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8011BAD1-4210-4E36-929C-83B62C333AF7}" xr6:coauthVersionLast="47" xr6:coauthVersionMax="47" xr10:uidLastSave="{00000000-0000-0000-0000-000000000000}"/>
  <bookViews>
    <workbookView xWindow="-108" yWindow="-108" windowWidth="23256" windowHeight="12456" firstSheet="2" activeTab="4" xr2:uid="{00000000-000D-0000-FFFF-FFFF00000000}"/>
  </bookViews>
  <sheets>
    <sheet name="INSTRUCCIONES" sheetId="1" r:id="rId1"/>
    <sheet name="INSTRUMENTO_2_PREGUNTAS" sheetId="2" r:id="rId2"/>
    <sheet name="CODIFICACION" sheetId="8" r:id="rId3"/>
    <sheet name="CAPTURA" sheetId="9" r:id="rId4"/>
    <sheet name="NORMALIZADO" sheetId="10" r:id="rId5"/>
    <sheet name="ISCAM_Score" sheetId="3" r:id="rId6"/>
    <sheet name="PONDERADORES" sheetId="4" r:id="rId7"/>
    <sheet name="MATRIZ_174" sheetId="5" r:id="rId8"/>
    <sheet name="SCORECARDS" sheetId="6" r:id="rId9"/>
    <sheet name="RADAR_BRECHAS" sheetId="7" r:id="rId10"/>
  </sheets>
  <definedNames>
    <definedName name="_xlnm._FilterDatabase" localSheetId="1" hidden="1">INSTRUMENTO_2_PREGUNTAS!$A$2:$G$121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A3" i="10" l="1"/>
  <c r="AV3" i="10" s="1"/>
  <c r="Q3" i="10" s="1"/>
  <c r="CA4" i="10"/>
  <c r="AV4" i="10" s="1"/>
  <c r="Q4" i="10" s="1"/>
  <c r="CA5" i="10"/>
  <c r="AV5" i="10" s="1"/>
  <c r="Q5" i="10" s="1"/>
  <c r="CA6" i="10"/>
  <c r="AV6" i="10" s="1"/>
  <c r="Q6" i="10" s="1"/>
  <c r="CA7" i="10"/>
  <c r="AV7" i="10" s="1"/>
  <c r="Q7" i="10" s="1"/>
  <c r="CA8" i="10"/>
  <c r="AV8" i="10" s="1"/>
  <c r="Q8" i="10" s="1"/>
  <c r="CA9" i="10"/>
  <c r="AV9" i="10" s="1"/>
  <c r="Q9" i="10" s="1"/>
  <c r="CA10" i="10"/>
  <c r="AV10" i="10" s="1"/>
  <c r="Q10" i="10" s="1"/>
  <c r="CA11" i="10"/>
  <c r="AV11" i="10" s="1"/>
  <c r="Q11" i="10" s="1"/>
  <c r="CA12" i="10"/>
  <c r="AV12" i="10" s="1"/>
  <c r="Q12" i="10" s="1"/>
  <c r="CA13" i="10"/>
  <c r="AV13" i="10" s="1"/>
  <c r="Q13" i="10" s="1"/>
  <c r="CA14" i="10"/>
  <c r="AV14" i="10" s="1"/>
  <c r="Q14" i="10" s="1"/>
  <c r="CA15" i="10"/>
  <c r="AV15" i="10" s="1"/>
  <c r="Q15" i="10" s="1"/>
  <c r="CA16" i="10"/>
  <c r="AV16" i="10" s="1"/>
  <c r="Q16" i="10" s="1"/>
  <c r="CA17" i="10"/>
  <c r="AV17" i="10" s="1"/>
  <c r="Q17" i="10" s="1"/>
  <c r="CA18" i="10"/>
  <c r="AV18" i="10" s="1"/>
  <c r="Q18" i="10" s="1"/>
  <c r="CA19" i="10"/>
  <c r="AV19" i="10" s="1"/>
  <c r="Q19" i="10" s="1"/>
  <c r="CA20" i="10"/>
  <c r="AV20" i="10" s="1"/>
  <c r="Q20" i="10" s="1"/>
  <c r="CA21" i="10"/>
  <c r="AV21" i="10" s="1"/>
  <c r="Q21" i="10" s="1"/>
  <c r="CA22" i="10"/>
  <c r="AV22" i="10" s="1"/>
  <c r="Q22" i="10" s="1"/>
  <c r="CA23" i="10"/>
  <c r="AV23" i="10" s="1"/>
  <c r="Q23" i="10" s="1"/>
  <c r="CA24" i="10"/>
  <c r="AV24" i="10" s="1"/>
  <c r="Q24" i="10" s="1"/>
  <c r="CA25" i="10"/>
  <c r="AV25" i="10" s="1"/>
  <c r="Q25" i="10" s="1"/>
  <c r="CA26" i="10"/>
  <c r="AV26" i="10" s="1"/>
  <c r="Q26" i="10" s="1"/>
  <c r="CA27" i="10"/>
  <c r="AV27" i="10" s="1"/>
  <c r="Q27" i="10" s="1"/>
  <c r="CA28" i="10"/>
  <c r="AV28" i="10" s="1"/>
  <c r="Q28" i="10" s="1"/>
  <c r="CA29" i="10"/>
  <c r="AV29" i="10" s="1"/>
  <c r="Q29" i="10" s="1"/>
  <c r="CA30" i="10"/>
  <c r="AV30" i="10" s="1"/>
  <c r="Q30" i="10" s="1"/>
  <c r="CA31" i="10"/>
  <c r="AV31" i="10" s="1"/>
  <c r="Q31" i="10" s="1"/>
  <c r="CA32" i="10"/>
  <c r="AV32" i="10" s="1"/>
  <c r="Q32" i="10" s="1"/>
  <c r="CA33" i="10"/>
  <c r="AV33" i="10" s="1"/>
  <c r="Q33" i="10" s="1"/>
  <c r="CA34" i="10"/>
  <c r="AV34" i="10" s="1"/>
  <c r="Q34" i="10" s="1"/>
  <c r="CA35" i="10"/>
  <c r="AV35" i="10" s="1"/>
  <c r="Q35" i="10" s="1"/>
  <c r="CA36" i="10"/>
  <c r="AV36" i="10" s="1"/>
  <c r="Q36" i="10" s="1"/>
  <c r="CA37" i="10"/>
  <c r="AV37" i="10" s="1"/>
  <c r="Q37" i="10" s="1"/>
  <c r="CA38" i="10"/>
  <c r="AV38" i="10" s="1"/>
  <c r="Q38" i="10" s="1"/>
  <c r="CA39" i="10"/>
  <c r="AV39" i="10" s="1"/>
  <c r="Q39" i="10" s="1"/>
  <c r="CA40" i="10"/>
  <c r="AV40" i="10" s="1"/>
  <c r="Q40" i="10" s="1"/>
  <c r="CA41" i="10"/>
  <c r="AV41" i="10" s="1"/>
  <c r="Q41" i="10" s="1"/>
  <c r="CA42" i="10"/>
  <c r="AV42" i="10" s="1"/>
  <c r="Q42" i="10" s="1"/>
  <c r="CA43" i="10"/>
  <c r="AV43" i="10" s="1"/>
  <c r="Q43" i="10" s="1"/>
  <c r="CA44" i="10"/>
  <c r="AV44" i="10" s="1"/>
  <c r="Q44" i="10" s="1"/>
  <c r="CA45" i="10"/>
  <c r="AV45" i="10" s="1"/>
  <c r="Q45" i="10" s="1"/>
  <c r="CA46" i="10"/>
  <c r="AV46" i="10" s="1"/>
  <c r="Q46" i="10" s="1"/>
  <c r="CA47" i="10"/>
  <c r="AV47" i="10" s="1"/>
  <c r="Q47" i="10" s="1"/>
  <c r="CA48" i="10"/>
  <c r="AV48" i="10" s="1"/>
  <c r="Q48" i="10" s="1"/>
  <c r="CA49" i="10"/>
  <c r="AV49" i="10" s="1"/>
  <c r="Q49" i="10" s="1"/>
  <c r="CA50" i="10"/>
  <c r="AV50" i="10" s="1"/>
  <c r="Q50" i="10" s="1"/>
  <c r="CA51" i="10"/>
  <c r="AV51" i="10" s="1"/>
  <c r="Q51" i="10" s="1"/>
  <c r="CA52" i="10"/>
  <c r="AV52" i="10" s="1"/>
  <c r="Q52" i="10" s="1"/>
  <c r="CA53" i="10"/>
  <c r="AV53" i="10" s="1"/>
  <c r="Q53" i="10" s="1"/>
  <c r="CA54" i="10"/>
  <c r="AV54" i="10" s="1"/>
  <c r="Q54" i="10" s="1"/>
  <c r="CA55" i="10"/>
  <c r="AV55" i="10" s="1"/>
  <c r="Q55" i="10" s="1"/>
  <c r="CA56" i="10"/>
  <c r="AV56" i="10" s="1"/>
  <c r="Q56" i="10" s="1"/>
  <c r="CA57" i="10"/>
  <c r="AV57" i="10" s="1"/>
  <c r="Q57" i="10" s="1"/>
  <c r="CA58" i="10"/>
  <c r="AV58" i="10" s="1"/>
  <c r="Q58" i="10" s="1"/>
  <c r="CA59" i="10"/>
  <c r="AV59" i="10" s="1"/>
  <c r="Q59" i="10" s="1"/>
  <c r="CA60" i="10"/>
  <c r="AV60" i="10" s="1"/>
  <c r="Q60" i="10" s="1"/>
  <c r="CA61" i="10"/>
  <c r="AV61" i="10" s="1"/>
  <c r="Q61" i="10" s="1"/>
  <c r="CA62" i="10"/>
  <c r="AV62" i="10" s="1"/>
  <c r="Q62" i="10" s="1"/>
  <c r="CA63" i="10"/>
  <c r="AV63" i="10" s="1"/>
  <c r="Q63" i="10" s="1"/>
  <c r="CA64" i="10"/>
  <c r="AV64" i="10" s="1"/>
  <c r="Q64" i="10" s="1"/>
  <c r="CA65" i="10"/>
  <c r="AV65" i="10" s="1"/>
  <c r="Q65" i="10" s="1"/>
  <c r="CA66" i="10"/>
  <c r="AV66" i="10" s="1"/>
  <c r="Q66" i="10" s="1"/>
  <c r="CA67" i="10"/>
  <c r="AV67" i="10" s="1"/>
  <c r="Q67" i="10" s="1"/>
  <c r="CA68" i="10"/>
  <c r="AV68" i="10" s="1"/>
  <c r="Q68" i="10" s="1"/>
  <c r="CA69" i="10"/>
  <c r="AV69" i="10" s="1"/>
  <c r="Q69" i="10" s="1"/>
  <c r="CA70" i="10"/>
  <c r="AV70" i="10" s="1"/>
  <c r="Q70" i="10" s="1"/>
  <c r="CA71" i="10"/>
  <c r="AV71" i="10" s="1"/>
  <c r="Q71" i="10" s="1"/>
  <c r="CA72" i="10"/>
  <c r="AV72" i="10" s="1"/>
  <c r="Q72" i="10" s="1"/>
  <c r="CA73" i="10"/>
  <c r="AV73" i="10" s="1"/>
  <c r="Q73" i="10" s="1"/>
  <c r="CA74" i="10"/>
  <c r="AV74" i="10" s="1"/>
  <c r="Q74" i="10" s="1"/>
  <c r="CA75" i="10"/>
  <c r="AV75" i="10" s="1"/>
  <c r="Q75" i="10" s="1"/>
  <c r="CA76" i="10"/>
  <c r="AV76" i="10" s="1"/>
  <c r="Q76" i="10" s="1"/>
  <c r="CA77" i="10"/>
  <c r="AV77" i="10" s="1"/>
  <c r="Q77" i="10" s="1"/>
  <c r="CA78" i="10"/>
  <c r="AV78" i="10" s="1"/>
  <c r="Q78" i="10" s="1"/>
  <c r="CA79" i="10"/>
  <c r="AV79" i="10" s="1"/>
  <c r="Q79" i="10" s="1"/>
  <c r="CA80" i="10"/>
  <c r="AV80" i="10" s="1"/>
  <c r="Q80" i="10" s="1"/>
  <c r="CA81" i="10"/>
  <c r="AV81" i="10" s="1"/>
  <c r="Q81" i="10" s="1"/>
  <c r="CA82" i="10"/>
  <c r="AV82" i="10" s="1"/>
  <c r="Q82" i="10" s="1"/>
  <c r="CA83" i="10"/>
  <c r="AV83" i="10" s="1"/>
  <c r="Q83" i="10" s="1"/>
  <c r="CA84" i="10"/>
  <c r="AV84" i="10" s="1"/>
  <c r="Q84" i="10" s="1"/>
  <c r="CA85" i="10"/>
  <c r="AV85" i="10" s="1"/>
  <c r="Q85" i="10" s="1"/>
  <c r="CA86" i="10"/>
  <c r="AV86" i="10" s="1"/>
  <c r="Q86" i="10" s="1"/>
  <c r="CA87" i="10"/>
  <c r="AV87" i="10" s="1"/>
  <c r="Q87" i="10" s="1"/>
  <c r="CA88" i="10"/>
  <c r="AV88" i="10" s="1"/>
  <c r="Q88" i="10" s="1"/>
  <c r="CA89" i="10"/>
  <c r="AV89" i="10" s="1"/>
  <c r="Q89" i="10" s="1"/>
  <c r="CA90" i="10"/>
  <c r="AV90" i="10" s="1"/>
  <c r="Q90" i="10" s="1"/>
  <c r="CA91" i="10"/>
  <c r="AV91" i="10" s="1"/>
  <c r="Q91" i="10" s="1"/>
  <c r="CA92" i="10"/>
  <c r="AV92" i="10" s="1"/>
  <c r="Q92" i="10" s="1"/>
  <c r="CA93" i="10"/>
  <c r="AV93" i="10" s="1"/>
  <c r="Q93" i="10" s="1"/>
  <c r="CA94" i="10"/>
  <c r="AV94" i="10" s="1"/>
  <c r="Q94" i="10" s="1"/>
  <c r="CA95" i="10"/>
  <c r="AV95" i="10" s="1"/>
  <c r="Q95" i="10" s="1"/>
  <c r="CA96" i="10"/>
  <c r="AV96" i="10" s="1"/>
  <c r="Q96" i="10" s="1"/>
  <c r="CA97" i="10"/>
  <c r="AV97" i="10" s="1"/>
  <c r="Q97" i="10" s="1"/>
  <c r="CA98" i="10"/>
  <c r="AV98" i="10" s="1"/>
  <c r="Q98" i="10" s="1"/>
  <c r="CA99" i="10"/>
  <c r="AV99" i="10" s="1"/>
  <c r="Q99" i="10" s="1"/>
  <c r="CA100" i="10"/>
  <c r="AV100" i="10" s="1"/>
  <c r="Q100" i="10" s="1"/>
  <c r="CA101" i="10"/>
  <c r="AV101" i="10" s="1"/>
  <c r="Q101" i="10" s="1"/>
  <c r="CA102" i="10"/>
  <c r="AV102" i="10" s="1"/>
  <c r="CA103" i="10"/>
  <c r="AV103" i="10" s="1"/>
  <c r="CA104" i="10"/>
  <c r="AV104" i="10" s="1"/>
  <c r="CA105" i="10"/>
  <c r="AV105" i="10" s="1"/>
  <c r="CA106" i="10"/>
  <c r="AV106" i="10" s="1"/>
  <c r="CA107" i="10"/>
  <c r="AV107" i="10" s="1"/>
  <c r="CA108" i="10"/>
  <c r="AV108" i="10" s="1"/>
  <c r="CA109" i="10"/>
  <c r="AV109" i="10" s="1"/>
  <c r="CA110" i="10"/>
  <c r="AV110" i="10" s="1"/>
  <c r="CA111" i="10"/>
  <c r="AV111" i="10" s="1"/>
  <c r="CA112" i="10"/>
  <c r="AV112" i="10" s="1"/>
  <c r="CA113" i="10"/>
  <c r="AV113" i="10" s="1"/>
  <c r="CA114" i="10"/>
  <c r="AV114" i="10" s="1"/>
  <c r="CA115" i="10"/>
  <c r="AV115" i="10" s="1"/>
  <c r="CA116" i="10"/>
  <c r="AV116" i="10" s="1"/>
  <c r="CA117" i="10"/>
  <c r="AV117" i="10" s="1"/>
  <c r="CA118" i="10"/>
  <c r="AV118" i="10" s="1"/>
  <c r="CA119" i="10"/>
  <c r="AV119" i="10" s="1"/>
  <c r="CA120" i="10"/>
  <c r="AV120" i="10" s="1"/>
  <c r="CA121" i="10"/>
  <c r="AV121" i="10" s="1"/>
  <c r="CA122" i="10"/>
  <c r="AV122" i="10" s="1"/>
  <c r="CA123" i="10"/>
  <c r="AV123" i="10" s="1"/>
  <c r="CA124" i="10"/>
  <c r="AV124" i="10" s="1"/>
  <c r="CA125" i="10"/>
  <c r="AV125" i="10" s="1"/>
  <c r="CA126" i="10"/>
  <c r="AV126" i="10" s="1"/>
  <c r="CA127" i="10"/>
  <c r="AV127" i="10" s="1"/>
  <c r="CA128" i="10"/>
  <c r="AV128" i="10" s="1"/>
  <c r="CA129" i="10"/>
  <c r="AV129" i="10" s="1"/>
  <c r="CA130" i="10"/>
  <c r="AV130" i="10" s="1"/>
  <c r="CA131" i="10"/>
  <c r="AV131" i="10" s="1"/>
  <c r="CA132" i="10"/>
  <c r="AV132" i="10" s="1"/>
  <c r="CA133" i="10"/>
  <c r="AV133" i="10" s="1"/>
  <c r="CA134" i="10"/>
  <c r="AV134" i="10" s="1"/>
  <c r="CA135" i="10"/>
  <c r="AV135" i="10" s="1"/>
  <c r="CA136" i="10"/>
  <c r="AV136" i="10" s="1"/>
  <c r="CA137" i="10"/>
  <c r="AV137" i="10" s="1"/>
  <c r="CA138" i="10"/>
  <c r="AV138" i="10" s="1"/>
  <c r="CA139" i="10"/>
  <c r="AV139" i="10" s="1"/>
  <c r="CA140" i="10"/>
  <c r="AV140" i="10" s="1"/>
  <c r="CA141" i="10"/>
  <c r="AV141" i="10" s="1"/>
  <c r="CA142" i="10"/>
  <c r="AV142" i="10" s="1"/>
  <c r="CA143" i="10"/>
  <c r="AV143" i="10" s="1"/>
  <c r="CA144" i="10"/>
  <c r="AV144" i="10" s="1"/>
  <c r="CA145" i="10"/>
  <c r="AV145" i="10" s="1"/>
  <c r="CA146" i="10"/>
  <c r="AV146" i="10" s="1"/>
  <c r="CA147" i="10"/>
  <c r="AV147" i="10" s="1"/>
  <c r="CA148" i="10"/>
  <c r="AV148" i="10" s="1"/>
  <c r="CA149" i="10"/>
  <c r="AV149" i="10" s="1"/>
  <c r="CA150" i="10"/>
  <c r="AV150" i="10" s="1"/>
  <c r="CA151" i="10"/>
  <c r="AV151" i="10" s="1"/>
  <c r="CA152" i="10"/>
  <c r="AV152" i="10" s="1"/>
  <c r="CA153" i="10"/>
  <c r="AV153" i="10" s="1"/>
  <c r="CA154" i="10"/>
  <c r="AV154" i="10" s="1"/>
  <c r="CA155" i="10"/>
  <c r="AV155" i="10" s="1"/>
  <c r="CA156" i="10"/>
  <c r="AV156" i="10" s="1"/>
  <c r="CA157" i="10"/>
  <c r="AV157" i="10" s="1"/>
  <c r="CA158" i="10"/>
  <c r="AV158" i="10" s="1"/>
  <c r="CA159" i="10"/>
  <c r="AV159" i="10" s="1"/>
  <c r="CA160" i="10"/>
  <c r="AV160" i="10" s="1"/>
  <c r="CA161" i="10"/>
  <c r="AV161" i="10" s="1"/>
  <c r="CA162" i="10"/>
  <c r="AV162" i="10" s="1"/>
  <c r="CA163" i="10"/>
  <c r="AV163" i="10" s="1"/>
  <c r="CA164" i="10"/>
  <c r="AV164" i="10" s="1"/>
  <c r="CA165" i="10"/>
  <c r="AV165" i="10" s="1"/>
  <c r="CA166" i="10"/>
  <c r="AV166" i="10" s="1"/>
  <c r="CA167" i="10"/>
  <c r="AV167" i="10" s="1"/>
  <c r="CA168" i="10"/>
  <c r="AV168" i="10" s="1"/>
  <c r="CA169" i="10"/>
  <c r="AV169" i="10" s="1"/>
  <c r="CA170" i="10"/>
  <c r="AV170" i="10" s="1"/>
  <c r="CA171" i="10"/>
  <c r="AV171" i="10" s="1"/>
  <c r="CA172" i="10"/>
  <c r="AV172" i="10" s="1"/>
  <c r="CA173" i="10"/>
  <c r="AV173" i="10" s="1"/>
  <c r="CA174" i="10"/>
  <c r="AV174" i="10" s="1"/>
  <c r="CA175" i="10"/>
  <c r="AV175" i="10" s="1"/>
  <c r="CA176" i="10"/>
  <c r="AV176" i="10" s="1"/>
  <c r="BZ3" i="10"/>
  <c r="AU3" i="10" s="1"/>
  <c r="BZ4" i="10"/>
  <c r="AU4" i="10" s="1"/>
  <c r="BZ5" i="10"/>
  <c r="AU5" i="10" s="1"/>
  <c r="BZ6" i="10"/>
  <c r="AU6" i="10" s="1"/>
  <c r="BZ7" i="10"/>
  <c r="AU7" i="10" s="1"/>
  <c r="BZ8" i="10"/>
  <c r="AU8" i="10" s="1"/>
  <c r="BZ9" i="10"/>
  <c r="AU9" i="10" s="1"/>
  <c r="BZ10" i="10"/>
  <c r="AU10" i="10" s="1"/>
  <c r="BZ11" i="10"/>
  <c r="AU11" i="10" s="1"/>
  <c r="BZ12" i="10"/>
  <c r="AU12" i="10" s="1"/>
  <c r="BZ13" i="10"/>
  <c r="AU13" i="10" s="1"/>
  <c r="BZ14" i="10"/>
  <c r="AU14" i="10" s="1"/>
  <c r="BZ15" i="10"/>
  <c r="AU15" i="10" s="1"/>
  <c r="BZ16" i="10"/>
  <c r="AU16" i="10" s="1"/>
  <c r="BZ17" i="10"/>
  <c r="AU17" i="10" s="1"/>
  <c r="BZ18" i="10"/>
  <c r="AU18" i="10" s="1"/>
  <c r="BZ19" i="10"/>
  <c r="AU19" i="10" s="1"/>
  <c r="BZ20" i="10"/>
  <c r="AU20" i="10" s="1"/>
  <c r="BZ21" i="10"/>
  <c r="AU21" i="10" s="1"/>
  <c r="BZ22" i="10"/>
  <c r="AU22" i="10" s="1"/>
  <c r="BZ23" i="10"/>
  <c r="AU23" i="10" s="1"/>
  <c r="BZ24" i="10"/>
  <c r="AU24" i="10" s="1"/>
  <c r="BZ25" i="10"/>
  <c r="AU25" i="10" s="1"/>
  <c r="BZ26" i="10"/>
  <c r="AU26" i="10" s="1"/>
  <c r="BZ27" i="10"/>
  <c r="AU27" i="10" s="1"/>
  <c r="BZ28" i="10"/>
  <c r="AU28" i="10" s="1"/>
  <c r="BZ29" i="10"/>
  <c r="AU29" i="10" s="1"/>
  <c r="BZ30" i="10"/>
  <c r="AU30" i="10" s="1"/>
  <c r="BZ31" i="10"/>
  <c r="AU31" i="10" s="1"/>
  <c r="BZ32" i="10"/>
  <c r="AU32" i="10" s="1"/>
  <c r="BZ33" i="10"/>
  <c r="AU33" i="10" s="1"/>
  <c r="BZ34" i="10"/>
  <c r="AU34" i="10" s="1"/>
  <c r="BZ35" i="10"/>
  <c r="AU35" i="10" s="1"/>
  <c r="BZ36" i="10"/>
  <c r="AU36" i="10" s="1"/>
  <c r="BZ37" i="10"/>
  <c r="AU37" i="10" s="1"/>
  <c r="BZ38" i="10"/>
  <c r="AU38" i="10" s="1"/>
  <c r="BZ39" i="10"/>
  <c r="AU39" i="10" s="1"/>
  <c r="BZ40" i="10"/>
  <c r="AU40" i="10" s="1"/>
  <c r="BZ41" i="10"/>
  <c r="AU41" i="10" s="1"/>
  <c r="BZ42" i="10"/>
  <c r="AU42" i="10" s="1"/>
  <c r="BZ43" i="10"/>
  <c r="AU43" i="10" s="1"/>
  <c r="BZ44" i="10"/>
  <c r="AU44" i="10" s="1"/>
  <c r="BZ45" i="10"/>
  <c r="AU45" i="10" s="1"/>
  <c r="BZ46" i="10"/>
  <c r="AU46" i="10" s="1"/>
  <c r="BZ47" i="10"/>
  <c r="AU47" i="10" s="1"/>
  <c r="BZ48" i="10"/>
  <c r="AU48" i="10" s="1"/>
  <c r="BZ49" i="10"/>
  <c r="AU49" i="10" s="1"/>
  <c r="BZ50" i="10"/>
  <c r="AU50" i="10" s="1"/>
  <c r="BZ51" i="10"/>
  <c r="AU51" i="10" s="1"/>
  <c r="BZ52" i="10"/>
  <c r="AU52" i="10" s="1"/>
  <c r="BZ53" i="10"/>
  <c r="AU53" i="10" s="1"/>
  <c r="BZ54" i="10"/>
  <c r="AU54" i="10" s="1"/>
  <c r="BZ55" i="10"/>
  <c r="AU55" i="10" s="1"/>
  <c r="BZ56" i="10"/>
  <c r="AU56" i="10" s="1"/>
  <c r="BZ57" i="10"/>
  <c r="AU57" i="10" s="1"/>
  <c r="BZ58" i="10"/>
  <c r="AU58" i="10" s="1"/>
  <c r="BZ59" i="10"/>
  <c r="AU59" i="10" s="1"/>
  <c r="BZ60" i="10"/>
  <c r="AU60" i="10" s="1"/>
  <c r="BZ61" i="10"/>
  <c r="AU61" i="10" s="1"/>
  <c r="BZ62" i="10"/>
  <c r="AU62" i="10" s="1"/>
  <c r="BZ63" i="10"/>
  <c r="AU63" i="10" s="1"/>
  <c r="BZ64" i="10"/>
  <c r="AU64" i="10" s="1"/>
  <c r="BZ65" i="10"/>
  <c r="AU65" i="10" s="1"/>
  <c r="BZ66" i="10"/>
  <c r="AU66" i="10" s="1"/>
  <c r="BZ67" i="10"/>
  <c r="AU67" i="10" s="1"/>
  <c r="BZ68" i="10"/>
  <c r="AU68" i="10" s="1"/>
  <c r="BZ69" i="10"/>
  <c r="AU69" i="10" s="1"/>
  <c r="P69" i="10" s="1"/>
  <c r="BZ70" i="10"/>
  <c r="AU70" i="10" s="1"/>
  <c r="BZ71" i="10"/>
  <c r="AU71" i="10" s="1"/>
  <c r="BZ72" i="10"/>
  <c r="AU72" i="10" s="1"/>
  <c r="BZ73" i="10"/>
  <c r="AU73" i="10" s="1"/>
  <c r="BZ74" i="10"/>
  <c r="AU74" i="10" s="1"/>
  <c r="BZ75" i="10"/>
  <c r="AU75" i="10" s="1"/>
  <c r="BZ76" i="10"/>
  <c r="AU76" i="10" s="1"/>
  <c r="BZ77" i="10"/>
  <c r="AU77" i="10" s="1"/>
  <c r="BZ78" i="10"/>
  <c r="AU78" i="10" s="1"/>
  <c r="BZ79" i="10"/>
  <c r="AU79" i="10" s="1"/>
  <c r="BZ80" i="10"/>
  <c r="AU80" i="10" s="1"/>
  <c r="BZ81" i="10"/>
  <c r="AU81" i="10" s="1"/>
  <c r="BZ82" i="10"/>
  <c r="AU82" i="10" s="1"/>
  <c r="BZ83" i="10"/>
  <c r="AU83" i="10" s="1"/>
  <c r="BZ84" i="10"/>
  <c r="AU84" i="10" s="1"/>
  <c r="BZ85" i="10"/>
  <c r="AU85" i="10" s="1"/>
  <c r="BZ86" i="10"/>
  <c r="AU86" i="10" s="1"/>
  <c r="BZ87" i="10"/>
  <c r="AU87" i="10" s="1"/>
  <c r="BZ88" i="10"/>
  <c r="AU88" i="10" s="1"/>
  <c r="BZ89" i="10"/>
  <c r="AU89" i="10" s="1"/>
  <c r="BZ90" i="10"/>
  <c r="AU90" i="10" s="1"/>
  <c r="BZ91" i="10"/>
  <c r="AU91" i="10" s="1"/>
  <c r="BZ92" i="10"/>
  <c r="AU92" i="10" s="1"/>
  <c r="BZ93" i="10"/>
  <c r="AU93" i="10" s="1"/>
  <c r="BZ94" i="10"/>
  <c r="AU94" i="10" s="1"/>
  <c r="BZ95" i="10"/>
  <c r="AU95" i="10" s="1"/>
  <c r="BZ96" i="10"/>
  <c r="AU96" i="10" s="1"/>
  <c r="BZ97" i="10"/>
  <c r="AU97" i="10" s="1"/>
  <c r="BZ98" i="10"/>
  <c r="AU98" i="10" s="1"/>
  <c r="BZ99" i="10"/>
  <c r="AU99" i="10" s="1"/>
  <c r="BZ100" i="10"/>
  <c r="AU100" i="10" s="1"/>
  <c r="BZ101" i="10"/>
  <c r="AU101" i="10" s="1"/>
  <c r="BZ102" i="10"/>
  <c r="BZ103" i="10"/>
  <c r="BZ104" i="10"/>
  <c r="BZ105" i="10"/>
  <c r="BZ106" i="10"/>
  <c r="BZ107" i="10"/>
  <c r="BZ108" i="10"/>
  <c r="BZ109" i="10"/>
  <c r="BZ110" i="10"/>
  <c r="BZ111" i="10"/>
  <c r="BZ112" i="10"/>
  <c r="BZ113" i="10"/>
  <c r="BZ114" i="10"/>
  <c r="BZ115" i="10"/>
  <c r="BZ116" i="10"/>
  <c r="BZ117" i="10"/>
  <c r="BZ118" i="10"/>
  <c r="BZ119" i="10"/>
  <c r="BZ120" i="10"/>
  <c r="BZ121" i="10"/>
  <c r="BZ122" i="10"/>
  <c r="BZ123" i="10"/>
  <c r="BZ124" i="10"/>
  <c r="BZ125" i="10"/>
  <c r="BZ126" i="10"/>
  <c r="BZ127" i="10"/>
  <c r="BZ128" i="10"/>
  <c r="BZ129" i="10"/>
  <c r="BZ130" i="10"/>
  <c r="BZ131" i="10"/>
  <c r="BZ132" i="10"/>
  <c r="BZ133" i="10"/>
  <c r="BZ134" i="10"/>
  <c r="BZ135" i="10"/>
  <c r="BZ136" i="10"/>
  <c r="BZ137" i="10"/>
  <c r="BZ138" i="10"/>
  <c r="BZ139" i="10"/>
  <c r="BZ140" i="10"/>
  <c r="BZ141" i="10"/>
  <c r="BZ142" i="10"/>
  <c r="BZ143" i="10"/>
  <c r="BZ144" i="10"/>
  <c r="BZ145" i="10"/>
  <c r="BZ146" i="10"/>
  <c r="BZ147" i="10"/>
  <c r="BZ148" i="10"/>
  <c r="BZ149" i="10"/>
  <c r="BZ150" i="10"/>
  <c r="BZ151" i="10"/>
  <c r="BZ152" i="10"/>
  <c r="BZ153" i="10"/>
  <c r="BZ154" i="10"/>
  <c r="BZ155" i="10"/>
  <c r="BZ156" i="10"/>
  <c r="BZ157" i="10"/>
  <c r="BZ158" i="10"/>
  <c r="BZ159" i="10"/>
  <c r="BZ160" i="10"/>
  <c r="BZ161" i="10"/>
  <c r="BZ162" i="10"/>
  <c r="BZ163" i="10"/>
  <c r="BZ164" i="10"/>
  <c r="BZ165" i="10"/>
  <c r="BZ166" i="10"/>
  <c r="BZ167" i="10"/>
  <c r="BZ168" i="10"/>
  <c r="BZ169" i="10"/>
  <c r="BZ170" i="10"/>
  <c r="BZ171" i="10"/>
  <c r="BZ172" i="10"/>
  <c r="BZ173" i="10"/>
  <c r="BZ174" i="10"/>
  <c r="BZ175" i="10"/>
  <c r="BZ176" i="10"/>
  <c r="BY3" i="10"/>
  <c r="Z3" i="5" s="1"/>
  <c r="AH4" i="3" s="1"/>
  <c r="BY4" i="10"/>
  <c r="Z4" i="5" s="1"/>
  <c r="AH5" i="3" s="1"/>
  <c r="BY5" i="10"/>
  <c r="Z5" i="5" s="1"/>
  <c r="AH6" i="3" s="1"/>
  <c r="BY6" i="10"/>
  <c r="Z6" i="5" s="1"/>
  <c r="AH7" i="3" s="1"/>
  <c r="BY7" i="10"/>
  <c r="Z7" i="5" s="1"/>
  <c r="AH8" i="3" s="1"/>
  <c r="BY8" i="10"/>
  <c r="Z8" i="5" s="1"/>
  <c r="AH9" i="3" s="1"/>
  <c r="BY9" i="10"/>
  <c r="Z9" i="5" s="1"/>
  <c r="AH10" i="3" s="1"/>
  <c r="BY10" i="10"/>
  <c r="Z10" i="5" s="1"/>
  <c r="AH11" i="3" s="1"/>
  <c r="BY11" i="10"/>
  <c r="Z11" i="5" s="1"/>
  <c r="AH12" i="3" s="1"/>
  <c r="BY12" i="10"/>
  <c r="Z12" i="5" s="1"/>
  <c r="AH13" i="3" s="1"/>
  <c r="BY13" i="10"/>
  <c r="Z13" i="5" s="1"/>
  <c r="AH14" i="3" s="1"/>
  <c r="BY14" i="10"/>
  <c r="Z14" i="5" s="1"/>
  <c r="AH15" i="3" s="1"/>
  <c r="BY15" i="10"/>
  <c r="Z15" i="5" s="1"/>
  <c r="AH16" i="3" s="1"/>
  <c r="BY16" i="10"/>
  <c r="Z16" i="5" s="1"/>
  <c r="AH17" i="3" s="1"/>
  <c r="BY17" i="10"/>
  <c r="Z17" i="5" s="1"/>
  <c r="AH18" i="3" s="1"/>
  <c r="BY18" i="10"/>
  <c r="Z18" i="5" s="1"/>
  <c r="AH19" i="3" s="1"/>
  <c r="BY19" i="10"/>
  <c r="Z19" i="5" s="1"/>
  <c r="AH20" i="3" s="1"/>
  <c r="BY20" i="10"/>
  <c r="Z20" i="5" s="1"/>
  <c r="AH21" i="3" s="1"/>
  <c r="BY21" i="10"/>
  <c r="Z21" i="5" s="1"/>
  <c r="AH22" i="3" s="1"/>
  <c r="BY22" i="10"/>
  <c r="Z22" i="5" s="1"/>
  <c r="AH23" i="3" s="1"/>
  <c r="BY23" i="10"/>
  <c r="Z23" i="5" s="1"/>
  <c r="AH24" i="3" s="1"/>
  <c r="BY24" i="10"/>
  <c r="Z24" i="5" s="1"/>
  <c r="AH25" i="3" s="1"/>
  <c r="BY25" i="10"/>
  <c r="Z25" i="5" s="1"/>
  <c r="AH26" i="3" s="1"/>
  <c r="BY26" i="10"/>
  <c r="Z26" i="5" s="1"/>
  <c r="AH27" i="3" s="1"/>
  <c r="BY27" i="10"/>
  <c r="Z27" i="5" s="1"/>
  <c r="AH28" i="3" s="1"/>
  <c r="BY28" i="10"/>
  <c r="Z28" i="5" s="1"/>
  <c r="AH29" i="3" s="1"/>
  <c r="BY29" i="10"/>
  <c r="Z29" i="5" s="1"/>
  <c r="AH30" i="3" s="1"/>
  <c r="BY30" i="10"/>
  <c r="Z30" i="5" s="1"/>
  <c r="AH31" i="3" s="1"/>
  <c r="BY31" i="10"/>
  <c r="Z31" i="5" s="1"/>
  <c r="AH32" i="3" s="1"/>
  <c r="BY32" i="10"/>
  <c r="Z32" i="5" s="1"/>
  <c r="AH33" i="3" s="1"/>
  <c r="BY33" i="10"/>
  <c r="Z33" i="5" s="1"/>
  <c r="AH34" i="3" s="1"/>
  <c r="BY34" i="10"/>
  <c r="Z34" i="5" s="1"/>
  <c r="AH35" i="3" s="1"/>
  <c r="BY35" i="10"/>
  <c r="Z35" i="5" s="1"/>
  <c r="AH36" i="3" s="1"/>
  <c r="BY36" i="10"/>
  <c r="Z36" i="5" s="1"/>
  <c r="AH37" i="3" s="1"/>
  <c r="BY37" i="10"/>
  <c r="Z37" i="5" s="1"/>
  <c r="AH38" i="3" s="1"/>
  <c r="BY38" i="10"/>
  <c r="Z38" i="5" s="1"/>
  <c r="AH39" i="3" s="1"/>
  <c r="BY39" i="10"/>
  <c r="Z39" i="5" s="1"/>
  <c r="AH40" i="3" s="1"/>
  <c r="BY40" i="10"/>
  <c r="Z40" i="5" s="1"/>
  <c r="AH41" i="3" s="1"/>
  <c r="BY41" i="10"/>
  <c r="Z41" i="5" s="1"/>
  <c r="AH42" i="3" s="1"/>
  <c r="BY42" i="10"/>
  <c r="Z42" i="5" s="1"/>
  <c r="AH43" i="3" s="1"/>
  <c r="BY43" i="10"/>
  <c r="Z43" i="5" s="1"/>
  <c r="AH44" i="3" s="1"/>
  <c r="BY44" i="10"/>
  <c r="Z44" i="5" s="1"/>
  <c r="AH45" i="3" s="1"/>
  <c r="BY45" i="10"/>
  <c r="Z45" i="5" s="1"/>
  <c r="AH46" i="3" s="1"/>
  <c r="BY46" i="10"/>
  <c r="Z46" i="5" s="1"/>
  <c r="AH47" i="3" s="1"/>
  <c r="BY47" i="10"/>
  <c r="Z47" i="5" s="1"/>
  <c r="AH48" i="3" s="1"/>
  <c r="BY48" i="10"/>
  <c r="Z48" i="5" s="1"/>
  <c r="AH49" i="3" s="1"/>
  <c r="BY49" i="10"/>
  <c r="Z49" i="5" s="1"/>
  <c r="AH50" i="3" s="1"/>
  <c r="BY50" i="10"/>
  <c r="Z50" i="5" s="1"/>
  <c r="AH51" i="3" s="1"/>
  <c r="BY51" i="10"/>
  <c r="Z51" i="5" s="1"/>
  <c r="AH52" i="3" s="1"/>
  <c r="BY52" i="10"/>
  <c r="Z52" i="5" s="1"/>
  <c r="AH53" i="3" s="1"/>
  <c r="BY53" i="10"/>
  <c r="Z53" i="5" s="1"/>
  <c r="AH54" i="3" s="1"/>
  <c r="BY54" i="10"/>
  <c r="Z54" i="5" s="1"/>
  <c r="AH55" i="3" s="1"/>
  <c r="BY55" i="10"/>
  <c r="Z55" i="5" s="1"/>
  <c r="AH56" i="3" s="1"/>
  <c r="BY56" i="10"/>
  <c r="Z56" i="5" s="1"/>
  <c r="AH57" i="3" s="1"/>
  <c r="BY57" i="10"/>
  <c r="Z57" i="5" s="1"/>
  <c r="AH58" i="3" s="1"/>
  <c r="BY58" i="10"/>
  <c r="Z58" i="5" s="1"/>
  <c r="AH59" i="3" s="1"/>
  <c r="BY59" i="10"/>
  <c r="Z59" i="5" s="1"/>
  <c r="AH60" i="3" s="1"/>
  <c r="BY60" i="10"/>
  <c r="Z60" i="5" s="1"/>
  <c r="AH61" i="3" s="1"/>
  <c r="BY61" i="10"/>
  <c r="Z61" i="5" s="1"/>
  <c r="AH62" i="3" s="1"/>
  <c r="BY62" i="10"/>
  <c r="Z62" i="5" s="1"/>
  <c r="AH63" i="3" s="1"/>
  <c r="BY63" i="10"/>
  <c r="Z63" i="5" s="1"/>
  <c r="AH64" i="3" s="1"/>
  <c r="BY64" i="10"/>
  <c r="Z64" i="5" s="1"/>
  <c r="AH65" i="3" s="1"/>
  <c r="BY65" i="10"/>
  <c r="Z65" i="5" s="1"/>
  <c r="AH66" i="3" s="1"/>
  <c r="BY66" i="10"/>
  <c r="Z66" i="5" s="1"/>
  <c r="AH67" i="3" s="1"/>
  <c r="BY67" i="10"/>
  <c r="Z67" i="5" s="1"/>
  <c r="AH68" i="3" s="1"/>
  <c r="BY68" i="10"/>
  <c r="Z68" i="5" s="1"/>
  <c r="AH69" i="3" s="1"/>
  <c r="BY69" i="10"/>
  <c r="Z69" i="5" s="1"/>
  <c r="AH70" i="3" s="1"/>
  <c r="BY70" i="10"/>
  <c r="Z70" i="5" s="1"/>
  <c r="AH71" i="3" s="1"/>
  <c r="BY71" i="10"/>
  <c r="Z71" i="5" s="1"/>
  <c r="AH72" i="3" s="1"/>
  <c r="BY72" i="10"/>
  <c r="Z72" i="5" s="1"/>
  <c r="AH73" i="3" s="1"/>
  <c r="BY73" i="10"/>
  <c r="Z73" i="5" s="1"/>
  <c r="AH74" i="3" s="1"/>
  <c r="BY74" i="10"/>
  <c r="Z74" i="5" s="1"/>
  <c r="AH75" i="3" s="1"/>
  <c r="BY75" i="10"/>
  <c r="Z75" i="5" s="1"/>
  <c r="AH76" i="3" s="1"/>
  <c r="BY76" i="10"/>
  <c r="Z76" i="5" s="1"/>
  <c r="AH77" i="3" s="1"/>
  <c r="BY77" i="10"/>
  <c r="Z77" i="5" s="1"/>
  <c r="AH78" i="3" s="1"/>
  <c r="BY78" i="10"/>
  <c r="Z78" i="5" s="1"/>
  <c r="AH79" i="3" s="1"/>
  <c r="BY79" i="10"/>
  <c r="Z79" i="5" s="1"/>
  <c r="AH80" i="3" s="1"/>
  <c r="BY80" i="10"/>
  <c r="Z80" i="5" s="1"/>
  <c r="AH81" i="3" s="1"/>
  <c r="BY81" i="10"/>
  <c r="Z81" i="5" s="1"/>
  <c r="AH82" i="3" s="1"/>
  <c r="BY82" i="10"/>
  <c r="Z82" i="5" s="1"/>
  <c r="AH83" i="3" s="1"/>
  <c r="BY83" i="10"/>
  <c r="Z83" i="5" s="1"/>
  <c r="AH84" i="3" s="1"/>
  <c r="BY84" i="10"/>
  <c r="Z84" i="5" s="1"/>
  <c r="AH85" i="3" s="1"/>
  <c r="BY85" i="10"/>
  <c r="Z85" i="5" s="1"/>
  <c r="AH86" i="3" s="1"/>
  <c r="BY86" i="10"/>
  <c r="Z86" i="5" s="1"/>
  <c r="AH87" i="3" s="1"/>
  <c r="BY87" i="10"/>
  <c r="Z87" i="5" s="1"/>
  <c r="AH88" i="3" s="1"/>
  <c r="BY88" i="10"/>
  <c r="Z88" i="5" s="1"/>
  <c r="AH89" i="3" s="1"/>
  <c r="BY89" i="10"/>
  <c r="Z89" i="5" s="1"/>
  <c r="AH90" i="3" s="1"/>
  <c r="BY90" i="10"/>
  <c r="Z90" i="5" s="1"/>
  <c r="AH91" i="3" s="1"/>
  <c r="BY91" i="10"/>
  <c r="Z91" i="5" s="1"/>
  <c r="AH92" i="3" s="1"/>
  <c r="BY92" i="10"/>
  <c r="Z92" i="5" s="1"/>
  <c r="AH93" i="3" s="1"/>
  <c r="BY93" i="10"/>
  <c r="Z93" i="5" s="1"/>
  <c r="AH94" i="3" s="1"/>
  <c r="BY94" i="10"/>
  <c r="Z94" i="5" s="1"/>
  <c r="AH95" i="3" s="1"/>
  <c r="BY95" i="10"/>
  <c r="Z95" i="5" s="1"/>
  <c r="AH96" i="3" s="1"/>
  <c r="BY96" i="10"/>
  <c r="Z96" i="5" s="1"/>
  <c r="AH97" i="3" s="1"/>
  <c r="BY97" i="10"/>
  <c r="Z97" i="5" s="1"/>
  <c r="AH98" i="3" s="1"/>
  <c r="BY98" i="10"/>
  <c r="Z98" i="5" s="1"/>
  <c r="AH99" i="3" s="1"/>
  <c r="BY99" i="10"/>
  <c r="Z99" i="5" s="1"/>
  <c r="AH100" i="3" s="1"/>
  <c r="BY100" i="10"/>
  <c r="Z100" i="5" s="1"/>
  <c r="AH101" i="3" s="1"/>
  <c r="BY101" i="10"/>
  <c r="Z101" i="5" s="1"/>
  <c r="AH102" i="3" s="1"/>
  <c r="BY102" i="10"/>
  <c r="Z102" i="5" s="1"/>
  <c r="AH103" i="3" s="1"/>
  <c r="BY103" i="10"/>
  <c r="Z103" i="5" s="1"/>
  <c r="AH104" i="3" s="1"/>
  <c r="BY104" i="10"/>
  <c r="Z104" i="5" s="1"/>
  <c r="AH105" i="3" s="1"/>
  <c r="BY105" i="10"/>
  <c r="Z105" i="5" s="1"/>
  <c r="AH106" i="3" s="1"/>
  <c r="BY106" i="10"/>
  <c r="Z106" i="5" s="1"/>
  <c r="AH107" i="3" s="1"/>
  <c r="BY107" i="10"/>
  <c r="Z107" i="5" s="1"/>
  <c r="AH108" i="3" s="1"/>
  <c r="BY108" i="10"/>
  <c r="Z108" i="5" s="1"/>
  <c r="AH109" i="3" s="1"/>
  <c r="BY109" i="10"/>
  <c r="Z109" i="5" s="1"/>
  <c r="AH110" i="3" s="1"/>
  <c r="BY110" i="10"/>
  <c r="Z110" i="5" s="1"/>
  <c r="AH111" i="3" s="1"/>
  <c r="BY111" i="10"/>
  <c r="Z111" i="5" s="1"/>
  <c r="AH112" i="3" s="1"/>
  <c r="BY112" i="10"/>
  <c r="Z112" i="5" s="1"/>
  <c r="AH113" i="3" s="1"/>
  <c r="BY113" i="10"/>
  <c r="Z113" i="5" s="1"/>
  <c r="AH114" i="3" s="1"/>
  <c r="BY114" i="10"/>
  <c r="Z114" i="5" s="1"/>
  <c r="AH115" i="3" s="1"/>
  <c r="BY115" i="10"/>
  <c r="Z115" i="5" s="1"/>
  <c r="AH116" i="3" s="1"/>
  <c r="BY116" i="10"/>
  <c r="Z116" i="5" s="1"/>
  <c r="AH117" i="3" s="1"/>
  <c r="BY117" i="10"/>
  <c r="Z117" i="5" s="1"/>
  <c r="AH118" i="3" s="1"/>
  <c r="BY118" i="10"/>
  <c r="Z118" i="5" s="1"/>
  <c r="AH119" i="3" s="1"/>
  <c r="BY119" i="10"/>
  <c r="Z119" i="5" s="1"/>
  <c r="AH120" i="3" s="1"/>
  <c r="BY120" i="10"/>
  <c r="Z120" i="5" s="1"/>
  <c r="AH121" i="3" s="1"/>
  <c r="BY121" i="10"/>
  <c r="Z121" i="5" s="1"/>
  <c r="AH122" i="3" s="1"/>
  <c r="BY122" i="10"/>
  <c r="Z122" i="5" s="1"/>
  <c r="AH123" i="3" s="1"/>
  <c r="BY123" i="10"/>
  <c r="Z123" i="5" s="1"/>
  <c r="AH124" i="3" s="1"/>
  <c r="BY124" i="10"/>
  <c r="Z124" i="5" s="1"/>
  <c r="AH125" i="3" s="1"/>
  <c r="BY125" i="10"/>
  <c r="Z125" i="5" s="1"/>
  <c r="AH126" i="3" s="1"/>
  <c r="BY126" i="10"/>
  <c r="Z126" i="5" s="1"/>
  <c r="AH127" i="3" s="1"/>
  <c r="BY127" i="10"/>
  <c r="Z127" i="5" s="1"/>
  <c r="AH128" i="3" s="1"/>
  <c r="BY128" i="10"/>
  <c r="Z128" i="5" s="1"/>
  <c r="AH129" i="3" s="1"/>
  <c r="BY129" i="10"/>
  <c r="Z129" i="5" s="1"/>
  <c r="AH130" i="3" s="1"/>
  <c r="BY130" i="10"/>
  <c r="Z130" i="5" s="1"/>
  <c r="AH131" i="3" s="1"/>
  <c r="BY131" i="10"/>
  <c r="Z131" i="5" s="1"/>
  <c r="AH132" i="3" s="1"/>
  <c r="BY132" i="10"/>
  <c r="Z132" i="5" s="1"/>
  <c r="AH133" i="3" s="1"/>
  <c r="BY133" i="10"/>
  <c r="Z133" i="5" s="1"/>
  <c r="AH134" i="3" s="1"/>
  <c r="BY134" i="10"/>
  <c r="Z134" i="5" s="1"/>
  <c r="AH135" i="3" s="1"/>
  <c r="BY135" i="10"/>
  <c r="Z135" i="5" s="1"/>
  <c r="AH136" i="3" s="1"/>
  <c r="BY136" i="10"/>
  <c r="Z136" i="5" s="1"/>
  <c r="AH137" i="3" s="1"/>
  <c r="BY137" i="10"/>
  <c r="Z137" i="5" s="1"/>
  <c r="AH138" i="3" s="1"/>
  <c r="BY138" i="10"/>
  <c r="Z138" i="5" s="1"/>
  <c r="AH139" i="3" s="1"/>
  <c r="BY139" i="10"/>
  <c r="Z139" i="5" s="1"/>
  <c r="AH140" i="3" s="1"/>
  <c r="BY140" i="10"/>
  <c r="Z140" i="5" s="1"/>
  <c r="AH141" i="3" s="1"/>
  <c r="BY141" i="10"/>
  <c r="Z141" i="5" s="1"/>
  <c r="AH142" i="3" s="1"/>
  <c r="BY142" i="10"/>
  <c r="Z142" i="5" s="1"/>
  <c r="AH143" i="3" s="1"/>
  <c r="BY143" i="10"/>
  <c r="Z143" i="5" s="1"/>
  <c r="AH144" i="3" s="1"/>
  <c r="BY144" i="10"/>
  <c r="Z144" i="5" s="1"/>
  <c r="AH145" i="3" s="1"/>
  <c r="BY145" i="10"/>
  <c r="Z145" i="5" s="1"/>
  <c r="AH146" i="3" s="1"/>
  <c r="BY146" i="10"/>
  <c r="Z146" i="5" s="1"/>
  <c r="AH147" i="3" s="1"/>
  <c r="BY147" i="10"/>
  <c r="Z147" i="5" s="1"/>
  <c r="AH148" i="3" s="1"/>
  <c r="BY148" i="10"/>
  <c r="Z148" i="5" s="1"/>
  <c r="AH149" i="3" s="1"/>
  <c r="BY149" i="10"/>
  <c r="Z149" i="5" s="1"/>
  <c r="AH150" i="3" s="1"/>
  <c r="BY150" i="10"/>
  <c r="Z150" i="5" s="1"/>
  <c r="AH151" i="3" s="1"/>
  <c r="BY151" i="10"/>
  <c r="Z151" i="5" s="1"/>
  <c r="AH152" i="3" s="1"/>
  <c r="BY152" i="10"/>
  <c r="Z152" i="5" s="1"/>
  <c r="AH153" i="3" s="1"/>
  <c r="BY153" i="10"/>
  <c r="Z153" i="5" s="1"/>
  <c r="AH154" i="3" s="1"/>
  <c r="BY154" i="10"/>
  <c r="Z154" i="5" s="1"/>
  <c r="AH155" i="3" s="1"/>
  <c r="BY155" i="10"/>
  <c r="Z155" i="5" s="1"/>
  <c r="AH156" i="3" s="1"/>
  <c r="BY156" i="10"/>
  <c r="Z156" i="5" s="1"/>
  <c r="AH157" i="3" s="1"/>
  <c r="BY157" i="10"/>
  <c r="Z157" i="5" s="1"/>
  <c r="AH158" i="3" s="1"/>
  <c r="BY158" i="10"/>
  <c r="Z158" i="5" s="1"/>
  <c r="AH159" i="3" s="1"/>
  <c r="BY159" i="10"/>
  <c r="Z159" i="5" s="1"/>
  <c r="AH160" i="3" s="1"/>
  <c r="BY160" i="10"/>
  <c r="Z160" i="5" s="1"/>
  <c r="AH161" i="3" s="1"/>
  <c r="BY161" i="10"/>
  <c r="Z161" i="5" s="1"/>
  <c r="AH162" i="3" s="1"/>
  <c r="BY162" i="10"/>
  <c r="Z162" i="5" s="1"/>
  <c r="AH163" i="3" s="1"/>
  <c r="BY163" i="10"/>
  <c r="Z163" i="5" s="1"/>
  <c r="AH164" i="3" s="1"/>
  <c r="BY164" i="10"/>
  <c r="Z164" i="5" s="1"/>
  <c r="AH165" i="3" s="1"/>
  <c r="BY165" i="10"/>
  <c r="Z165" i="5" s="1"/>
  <c r="AH166" i="3" s="1"/>
  <c r="BY166" i="10"/>
  <c r="Z166" i="5" s="1"/>
  <c r="AH167" i="3" s="1"/>
  <c r="BY167" i="10"/>
  <c r="Z167" i="5" s="1"/>
  <c r="AH168" i="3" s="1"/>
  <c r="BY168" i="10"/>
  <c r="Z168" i="5" s="1"/>
  <c r="AH169" i="3" s="1"/>
  <c r="BY169" i="10"/>
  <c r="Z169" i="5" s="1"/>
  <c r="AH170" i="3" s="1"/>
  <c r="BY170" i="10"/>
  <c r="Z170" i="5" s="1"/>
  <c r="AH171" i="3" s="1"/>
  <c r="BY171" i="10"/>
  <c r="Z171" i="5" s="1"/>
  <c r="AH172" i="3" s="1"/>
  <c r="BY172" i="10"/>
  <c r="Z172" i="5" s="1"/>
  <c r="AH173" i="3" s="1"/>
  <c r="BY173" i="10"/>
  <c r="Z173" i="5" s="1"/>
  <c r="AH174" i="3" s="1"/>
  <c r="BY174" i="10"/>
  <c r="Z174" i="5" s="1"/>
  <c r="AH175" i="3" s="1"/>
  <c r="BY175" i="10"/>
  <c r="Z175" i="5" s="1"/>
  <c r="AH176" i="3" s="1"/>
  <c r="BY176" i="10"/>
  <c r="Z176" i="5" s="1"/>
  <c r="AH177" i="3" s="1"/>
  <c r="BX3" i="10"/>
  <c r="Y3" i="5" s="1"/>
  <c r="AG4" i="3" s="1"/>
  <c r="BX4" i="10"/>
  <c r="Y4" i="5" s="1"/>
  <c r="AG5" i="3" s="1"/>
  <c r="BX5" i="10"/>
  <c r="Y5" i="5" s="1"/>
  <c r="AG6" i="3" s="1"/>
  <c r="BX6" i="10"/>
  <c r="Y6" i="5" s="1"/>
  <c r="AG7" i="3" s="1"/>
  <c r="BX7" i="10"/>
  <c r="Y7" i="5" s="1"/>
  <c r="AG8" i="3" s="1"/>
  <c r="BX8" i="10"/>
  <c r="Y8" i="5" s="1"/>
  <c r="AG9" i="3" s="1"/>
  <c r="BX9" i="10"/>
  <c r="Y9" i="5" s="1"/>
  <c r="AG10" i="3" s="1"/>
  <c r="BX10" i="10"/>
  <c r="Y10" i="5" s="1"/>
  <c r="AG11" i="3" s="1"/>
  <c r="BX11" i="10"/>
  <c r="Y11" i="5" s="1"/>
  <c r="AG12" i="3" s="1"/>
  <c r="BX12" i="10"/>
  <c r="Y12" i="5" s="1"/>
  <c r="AG13" i="3" s="1"/>
  <c r="BX13" i="10"/>
  <c r="Y13" i="5" s="1"/>
  <c r="AG14" i="3" s="1"/>
  <c r="BX14" i="10"/>
  <c r="Y14" i="5" s="1"/>
  <c r="AG15" i="3" s="1"/>
  <c r="BX15" i="10"/>
  <c r="Y15" i="5" s="1"/>
  <c r="AG16" i="3" s="1"/>
  <c r="BX16" i="10"/>
  <c r="Y16" i="5" s="1"/>
  <c r="AG17" i="3" s="1"/>
  <c r="BX17" i="10"/>
  <c r="Y17" i="5" s="1"/>
  <c r="AG18" i="3" s="1"/>
  <c r="BX18" i="10"/>
  <c r="Y18" i="5" s="1"/>
  <c r="AG19" i="3" s="1"/>
  <c r="BX19" i="10"/>
  <c r="Y19" i="5" s="1"/>
  <c r="AG20" i="3" s="1"/>
  <c r="BX20" i="10"/>
  <c r="Y20" i="5" s="1"/>
  <c r="AG21" i="3" s="1"/>
  <c r="BX21" i="10"/>
  <c r="Y21" i="5" s="1"/>
  <c r="AG22" i="3" s="1"/>
  <c r="BX22" i="10"/>
  <c r="Y22" i="5" s="1"/>
  <c r="AG23" i="3" s="1"/>
  <c r="BX23" i="10"/>
  <c r="Y23" i="5" s="1"/>
  <c r="AG24" i="3" s="1"/>
  <c r="BX24" i="10"/>
  <c r="Y24" i="5" s="1"/>
  <c r="AG25" i="3" s="1"/>
  <c r="BX25" i="10"/>
  <c r="Y25" i="5" s="1"/>
  <c r="AG26" i="3" s="1"/>
  <c r="BX26" i="10"/>
  <c r="Y26" i="5" s="1"/>
  <c r="AG27" i="3" s="1"/>
  <c r="BX27" i="10"/>
  <c r="Y27" i="5" s="1"/>
  <c r="AG28" i="3" s="1"/>
  <c r="BX28" i="10"/>
  <c r="Y28" i="5" s="1"/>
  <c r="AG29" i="3" s="1"/>
  <c r="BX29" i="10"/>
  <c r="Y29" i="5" s="1"/>
  <c r="AG30" i="3" s="1"/>
  <c r="BX30" i="10"/>
  <c r="Y30" i="5" s="1"/>
  <c r="AG31" i="3" s="1"/>
  <c r="BX31" i="10"/>
  <c r="Y31" i="5" s="1"/>
  <c r="AG32" i="3" s="1"/>
  <c r="BX32" i="10"/>
  <c r="Y32" i="5" s="1"/>
  <c r="AG33" i="3" s="1"/>
  <c r="BX33" i="10"/>
  <c r="Y33" i="5" s="1"/>
  <c r="AG34" i="3" s="1"/>
  <c r="BX34" i="10"/>
  <c r="Y34" i="5" s="1"/>
  <c r="AG35" i="3" s="1"/>
  <c r="BX35" i="10"/>
  <c r="Y35" i="5" s="1"/>
  <c r="AG36" i="3" s="1"/>
  <c r="BX36" i="10"/>
  <c r="Y36" i="5" s="1"/>
  <c r="AG37" i="3" s="1"/>
  <c r="BX37" i="10"/>
  <c r="Y37" i="5" s="1"/>
  <c r="AG38" i="3" s="1"/>
  <c r="BX38" i="10"/>
  <c r="Y38" i="5" s="1"/>
  <c r="AG39" i="3" s="1"/>
  <c r="BX39" i="10"/>
  <c r="Y39" i="5" s="1"/>
  <c r="AG40" i="3" s="1"/>
  <c r="BX40" i="10"/>
  <c r="Y40" i="5" s="1"/>
  <c r="AG41" i="3" s="1"/>
  <c r="BX41" i="10"/>
  <c r="Y41" i="5" s="1"/>
  <c r="AG42" i="3" s="1"/>
  <c r="BX42" i="10"/>
  <c r="Y42" i="5" s="1"/>
  <c r="AG43" i="3" s="1"/>
  <c r="BX43" i="10"/>
  <c r="Y43" i="5" s="1"/>
  <c r="AG44" i="3" s="1"/>
  <c r="BX44" i="10"/>
  <c r="Y44" i="5" s="1"/>
  <c r="AG45" i="3" s="1"/>
  <c r="BX45" i="10"/>
  <c r="Y45" i="5" s="1"/>
  <c r="AG46" i="3" s="1"/>
  <c r="BX46" i="10"/>
  <c r="Y46" i="5" s="1"/>
  <c r="AG47" i="3" s="1"/>
  <c r="BX47" i="10"/>
  <c r="Y47" i="5" s="1"/>
  <c r="AG48" i="3" s="1"/>
  <c r="BX48" i="10"/>
  <c r="Y48" i="5" s="1"/>
  <c r="AG49" i="3" s="1"/>
  <c r="BX49" i="10"/>
  <c r="Y49" i="5" s="1"/>
  <c r="AG50" i="3" s="1"/>
  <c r="BX50" i="10"/>
  <c r="Y50" i="5" s="1"/>
  <c r="AG51" i="3" s="1"/>
  <c r="BX51" i="10"/>
  <c r="Y51" i="5" s="1"/>
  <c r="AG52" i="3" s="1"/>
  <c r="BX52" i="10"/>
  <c r="Y52" i="5" s="1"/>
  <c r="AG53" i="3" s="1"/>
  <c r="BX53" i="10"/>
  <c r="Y53" i="5" s="1"/>
  <c r="AG54" i="3" s="1"/>
  <c r="BX54" i="10"/>
  <c r="Y54" i="5" s="1"/>
  <c r="AG55" i="3" s="1"/>
  <c r="BX55" i="10"/>
  <c r="Y55" i="5" s="1"/>
  <c r="AG56" i="3" s="1"/>
  <c r="BX56" i="10"/>
  <c r="Y56" i="5" s="1"/>
  <c r="AG57" i="3" s="1"/>
  <c r="BX57" i="10"/>
  <c r="Y57" i="5" s="1"/>
  <c r="AG58" i="3" s="1"/>
  <c r="BX58" i="10"/>
  <c r="Y58" i="5" s="1"/>
  <c r="AG59" i="3" s="1"/>
  <c r="BX59" i="10"/>
  <c r="Y59" i="5" s="1"/>
  <c r="AG60" i="3" s="1"/>
  <c r="BX60" i="10"/>
  <c r="Y60" i="5" s="1"/>
  <c r="AG61" i="3" s="1"/>
  <c r="BX61" i="10"/>
  <c r="Y61" i="5" s="1"/>
  <c r="AG62" i="3" s="1"/>
  <c r="BX62" i="10"/>
  <c r="Y62" i="5" s="1"/>
  <c r="AG63" i="3" s="1"/>
  <c r="BX63" i="10"/>
  <c r="Y63" i="5" s="1"/>
  <c r="AG64" i="3" s="1"/>
  <c r="BX64" i="10"/>
  <c r="Y64" i="5" s="1"/>
  <c r="AG65" i="3" s="1"/>
  <c r="BX65" i="10"/>
  <c r="Y65" i="5" s="1"/>
  <c r="AG66" i="3" s="1"/>
  <c r="BX66" i="10"/>
  <c r="Y66" i="5" s="1"/>
  <c r="AG67" i="3" s="1"/>
  <c r="BX67" i="10"/>
  <c r="Y67" i="5" s="1"/>
  <c r="AG68" i="3" s="1"/>
  <c r="BX68" i="10"/>
  <c r="Y68" i="5" s="1"/>
  <c r="AG69" i="3" s="1"/>
  <c r="BX69" i="10"/>
  <c r="Y69" i="5" s="1"/>
  <c r="AG70" i="3" s="1"/>
  <c r="BX70" i="10"/>
  <c r="Y70" i="5" s="1"/>
  <c r="AG71" i="3" s="1"/>
  <c r="BX71" i="10"/>
  <c r="Y71" i="5" s="1"/>
  <c r="AG72" i="3" s="1"/>
  <c r="BX72" i="10"/>
  <c r="Y72" i="5" s="1"/>
  <c r="AG73" i="3" s="1"/>
  <c r="BX73" i="10"/>
  <c r="Y73" i="5" s="1"/>
  <c r="AG74" i="3" s="1"/>
  <c r="BX74" i="10"/>
  <c r="Y74" i="5" s="1"/>
  <c r="AG75" i="3" s="1"/>
  <c r="BX75" i="10"/>
  <c r="Y75" i="5" s="1"/>
  <c r="AG76" i="3" s="1"/>
  <c r="BX76" i="10"/>
  <c r="Y76" i="5" s="1"/>
  <c r="AG77" i="3" s="1"/>
  <c r="BX77" i="10"/>
  <c r="Y77" i="5" s="1"/>
  <c r="AG78" i="3" s="1"/>
  <c r="BX78" i="10"/>
  <c r="Y78" i="5" s="1"/>
  <c r="AG79" i="3" s="1"/>
  <c r="BX79" i="10"/>
  <c r="Y79" i="5" s="1"/>
  <c r="AG80" i="3" s="1"/>
  <c r="BX80" i="10"/>
  <c r="Y80" i="5" s="1"/>
  <c r="AG81" i="3" s="1"/>
  <c r="BX81" i="10"/>
  <c r="Y81" i="5" s="1"/>
  <c r="AG82" i="3" s="1"/>
  <c r="BX82" i="10"/>
  <c r="Y82" i="5" s="1"/>
  <c r="AG83" i="3" s="1"/>
  <c r="BX83" i="10"/>
  <c r="Y83" i="5" s="1"/>
  <c r="AG84" i="3" s="1"/>
  <c r="BX84" i="10"/>
  <c r="Y84" i="5" s="1"/>
  <c r="AG85" i="3" s="1"/>
  <c r="BX85" i="10"/>
  <c r="Y85" i="5" s="1"/>
  <c r="AG86" i="3" s="1"/>
  <c r="BX86" i="10"/>
  <c r="Y86" i="5" s="1"/>
  <c r="AG87" i="3" s="1"/>
  <c r="BX87" i="10"/>
  <c r="Y87" i="5" s="1"/>
  <c r="AG88" i="3" s="1"/>
  <c r="BX88" i="10"/>
  <c r="Y88" i="5" s="1"/>
  <c r="AG89" i="3" s="1"/>
  <c r="BX89" i="10"/>
  <c r="Y89" i="5" s="1"/>
  <c r="AG90" i="3" s="1"/>
  <c r="BX90" i="10"/>
  <c r="Y90" i="5" s="1"/>
  <c r="AG91" i="3" s="1"/>
  <c r="BX91" i="10"/>
  <c r="Y91" i="5" s="1"/>
  <c r="AG92" i="3" s="1"/>
  <c r="BX92" i="10"/>
  <c r="Y92" i="5" s="1"/>
  <c r="AG93" i="3" s="1"/>
  <c r="BX93" i="10"/>
  <c r="Y93" i="5" s="1"/>
  <c r="AG94" i="3" s="1"/>
  <c r="BX94" i="10"/>
  <c r="Y94" i="5" s="1"/>
  <c r="AG95" i="3" s="1"/>
  <c r="BX95" i="10"/>
  <c r="Y95" i="5" s="1"/>
  <c r="AG96" i="3" s="1"/>
  <c r="BX96" i="10"/>
  <c r="Y96" i="5" s="1"/>
  <c r="AG97" i="3" s="1"/>
  <c r="BX97" i="10"/>
  <c r="Y97" i="5" s="1"/>
  <c r="AG98" i="3" s="1"/>
  <c r="BX98" i="10"/>
  <c r="Y98" i="5" s="1"/>
  <c r="AG99" i="3" s="1"/>
  <c r="BX99" i="10"/>
  <c r="Y99" i="5" s="1"/>
  <c r="AG100" i="3" s="1"/>
  <c r="BX100" i="10"/>
  <c r="Y100" i="5" s="1"/>
  <c r="AG101" i="3" s="1"/>
  <c r="BX101" i="10"/>
  <c r="Y101" i="5" s="1"/>
  <c r="AG102" i="3" s="1"/>
  <c r="BX102" i="10"/>
  <c r="Y102" i="5" s="1"/>
  <c r="AG103" i="3" s="1"/>
  <c r="BX103" i="10"/>
  <c r="Y103" i="5" s="1"/>
  <c r="AG104" i="3" s="1"/>
  <c r="BX104" i="10"/>
  <c r="Y104" i="5" s="1"/>
  <c r="AG105" i="3" s="1"/>
  <c r="BX105" i="10"/>
  <c r="Y105" i="5" s="1"/>
  <c r="AG106" i="3" s="1"/>
  <c r="BX106" i="10"/>
  <c r="Y106" i="5" s="1"/>
  <c r="AG107" i="3" s="1"/>
  <c r="BX107" i="10"/>
  <c r="Y107" i="5" s="1"/>
  <c r="AG108" i="3" s="1"/>
  <c r="BX108" i="10"/>
  <c r="Y108" i="5" s="1"/>
  <c r="AG109" i="3" s="1"/>
  <c r="BX109" i="10"/>
  <c r="Y109" i="5" s="1"/>
  <c r="AG110" i="3" s="1"/>
  <c r="BX110" i="10"/>
  <c r="Y110" i="5" s="1"/>
  <c r="AG111" i="3" s="1"/>
  <c r="BX111" i="10"/>
  <c r="Y111" i="5" s="1"/>
  <c r="AG112" i="3" s="1"/>
  <c r="BX112" i="10"/>
  <c r="Y112" i="5" s="1"/>
  <c r="AG113" i="3" s="1"/>
  <c r="BX113" i="10"/>
  <c r="Y113" i="5" s="1"/>
  <c r="AG114" i="3" s="1"/>
  <c r="BX114" i="10"/>
  <c r="Y114" i="5" s="1"/>
  <c r="AG115" i="3" s="1"/>
  <c r="BX115" i="10"/>
  <c r="Y115" i="5" s="1"/>
  <c r="AG116" i="3" s="1"/>
  <c r="BX116" i="10"/>
  <c r="Y116" i="5" s="1"/>
  <c r="AG117" i="3" s="1"/>
  <c r="BX117" i="10"/>
  <c r="Y117" i="5" s="1"/>
  <c r="AG118" i="3" s="1"/>
  <c r="BX118" i="10"/>
  <c r="Y118" i="5" s="1"/>
  <c r="AG119" i="3" s="1"/>
  <c r="BX119" i="10"/>
  <c r="Y119" i="5" s="1"/>
  <c r="AG120" i="3" s="1"/>
  <c r="BX120" i="10"/>
  <c r="Y120" i="5" s="1"/>
  <c r="AG121" i="3" s="1"/>
  <c r="BX121" i="10"/>
  <c r="Y121" i="5" s="1"/>
  <c r="AG122" i="3" s="1"/>
  <c r="BX122" i="10"/>
  <c r="Y122" i="5" s="1"/>
  <c r="AG123" i="3" s="1"/>
  <c r="BX123" i="10"/>
  <c r="Y123" i="5" s="1"/>
  <c r="AG124" i="3" s="1"/>
  <c r="BX124" i="10"/>
  <c r="Y124" i="5" s="1"/>
  <c r="AG125" i="3" s="1"/>
  <c r="BX125" i="10"/>
  <c r="Y125" i="5" s="1"/>
  <c r="AG126" i="3" s="1"/>
  <c r="BX126" i="10"/>
  <c r="Y126" i="5" s="1"/>
  <c r="AG127" i="3" s="1"/>
  <c r="BX127" i="10"/>
  <c r="Y127" i="5" s="1"/>
  <c r="AG128" i="3" s="1"/>
  <c r="BX128" i="10"/>
  <c r="Y128" i="5" s="1"/>
  <c r="AG129" i="3" s="1"/>
  <c r="BX129" i="10"/>
  <c r="Y129" i="5" s="1"/>
  <c r="AG130" i="3" s="1"/>
  <c r="BX130" i="10"/>
  <c r="Y130" i="5" s="1"/>
  <c r="AG131" i="3" s="1"/>
  <c r="BX131" i="10"/>
  <c r="Y131" i="5" s="1"/>
  <c r="AG132" i="3" s="1"/>
  <c r="BX132" i="10"/>
  <c r="Y132" i="5" s="1"/>
  <c r="AG133" i="3" s="1"/>
  <c r="BX133" i="10"/>
  <c r="Y133" i="5" s="1"/>
  <c r="AG134" i="3" s="1"/>
  <c r="BX134" i="10"/>
  <c r="Y134" i="5" s="1"/>
  <c r="AG135" i="3" s="1"/>
  <c r="BX135" i="10"/>
  <c r="Y135" i="5" s="1"/>
  <c r="AG136" i="3" s="1"/>
  <c r="BX136" i="10"/>
  <c r="Y136" i="5" s="1"/>
  <c r="AG137" i="3" s="1"/>
  <c r="BX137" i="10"/>
  <c r="Y137" i="5" s="1"/>
  <c r="AG138" i="3" s="1"/>
  <c r="BX138" i="10"/>
  <c r="Y138" i="5" s="1"/>
  <c r="AG139" i="3" s="1"/>
  <c r="BX139" i="10"/>
  <c r="Y139" i="5" s="1"/>
  <c r="AG140" i="3" s="1"/>
  <c r="BX140" i="10"/>
  <c r="Y140" i="5" s="1"/>
  <c r="AG141" i="3" s="1"/>
  <c r="BX141" i="10"/>
  <c r="Y141" i="5" s="1"/>
  <c r="AG142" i="3" s="1"/>
  <c r="BX142" i="10"/>
  <c r="Y142" i="5" s="1"/>
  <c r="AG143" i="3" s="1"/>
  <c r="BX143" i="10"/>
  <c r="Y143" i="5" s="1"/>
  <c r="AG144" i="3" s="1"/>
  <c r="BX144" i="10"/>
  <c r="Y144" i="5" s="1"/>
  <c r="AG145" i="3" s="1"/>
  <c r="BX145" i="10"/>
  <c r="Y145" i="5" s="1"/>
  <c r="AG146" i="3" s="1"/>
  <c r="BX146" i="10"/>
  <c r="Y146" i="5" s="1"/>
  <c r="AG147" i="3" s="1"/>
  <c r="BX147" i="10"/>
  <c r="Y147" i="5" s="1"/>
  <c r="AG148" i="3" s="1"/>
  <c r="BX148" i="10"/>
  <c r="Y148" i="5" s="1"/>
  <c r="AG149" i="3" s="1"/>
  <c r="BX149" i="10"/>
  <c r="Y149" i="5" s="1"/>
  <c r="AG150" i="3" s="1"/>
  <c r="BX150" i="10"/>
  <c r="Y150" i="5" s="1"/>
  <c r="AG151" i="3" s="1"/>
  <c r="BX151" i="10"/>
  <c r="Y151" i="5" s="1"/>
  <c r="AG152" i="3" s="1"/>
  <c r="BX152" i="10"/>
  <c r="Y152" i="5" s="1"/>
  <c r="AG153" i="3" s="1"/>
  <c r="BX153" i="10"/>
  <c r="Y153" i="5" s="1"/>
  <c r="AG154" i="3" s="1"/>
  <c r="BX154" i="10"/>
  <c r="Y154" i="5" s="1"/>
  <c r="AG155" i="3" s="1"/>
  <c r="BX155" i="10"/>
  <c r="Y155" i="5" s="1"/>
  <c r="AG156" i="3" s="1"/>
  <c r="BX156" i="10"/>
  <c r="Y156" i="5" s="1"/>
  <c r="AG157" i="3" s="1"/>
  <c r="BX157" i="10"/>
  <c r="Y157" i="5" s="1"/>
  <c r="AG158" i="3" s="1"/>
  <c r="BX158" i="10"/>
  <c r="Y158" i="5" s="1"/>
  <c r="AG159" i="3" s="1"/>
  <c r="BX159" i="10"/>
  <c r="Y159" i="5" s="1"/>
  <c r="AG160" i="3" s="1"/>
  <c r="BX160" i="10"/>
  <c r="Y160" i="5" s="1"/>
  <c r="AG161" i="3" s="1"/>
  <c r="BX161" i="10"/>
  <c r="Y161" i="5" s="1"/>
  <c r="AG162" i="3" s="1"/>
  <c r="BX162" i="10"/>
  <c r="Y162" i="5" s="1"/>
  <c r="AG163" i="3" s="1"/>
  <c r="BX163" i="10"/>
  <c r="Y163" i="5" s="1"/>
  <c r="AG164" i="3" s="1"/>
  <c r="BX164" i="10"/>
  <c r="Y164" i="5" s="1"/>
  <c r="AG165" i="3" s="1"/>
  <c r="BX165" i="10"/>
  <c r="Y165" i="5" s="1"/>
  <c r="AG166" i="3" s="1"/>
  <c r="BX166" i="10"/>
  <c r="Y166" i="5" s="1"/>
  <c r="AG167" i="3" s="1"/>
  <c r="BX167" i="10"/>
  <c r="Y167" i="5" s="1"/>
  <c r="AG168" i="3" s="1"/>
  <c r="BX168" i="10"/>
  <c r="Y168" i="5" s="1"/>
  <c r="AG169" i="3" s="1"/>
  <c r="BX169" i="10"/>
  <c r="Y169" i="5" s="1"/>
  <c r="AG170" i="3" s="1"/>
  <c r="BX170" i="10"/>
  <c r="Y170" i="5" s="1"/>
  <c r="AG171" i="3" s="1"/>
  <c r="BX171" i="10"/>
  <c r="Y171" i="5" s="1"/>
  <c r="AG172" i="3" s="1"/>
  <c r="BX172" i="10"/>
  <c r="Y172" i="5" s="1"/>
  <c r="AG173" i="3" s="1"/>
  <c r="BX173" i="10"/>
  <c r="Y173" i="5" s="1"/>
  <c r="AG174" i="3" s="1"/>
  <c r="BX174" i="10"/>
  <c r="Y174" i="5" s="1"/>
  <c r="AG175" i="3" s="1"/>
  <c r="BX175" i="10"/>
  <c r="Y175" i="5" s="1"/>
  <c r="AG176" i="3" s="1"/>
  <c r="BX176" i="10"/>
  <c r="Y176" i="5" s="1"/>
  <c r="AG177" i="3" s="1"/>
  <c r="BW3" i="10"/>
  <c r="X3" i="5" s="1"/>
  <c r="AF4" i="3" s="1"/>
  <c r="BW4" i="10"/>
  <c r="X4" i="5" s="1"/>
  <c r="AF5" i="3" s="1"/>
  <c r="BW5" i="10"/>
  <c r="X5" i="5" s="1"/>
  <c r="AF6" i="3" s="1"/>
  <c r="BW6" i="10"/>
  <c r="X6" i="5" s="1"/>
  <c r="AF7" i="3" s="1"/>
  <c r="BW7" i="10"/>
  <c r="X7" i="5" s="1"/>
  <c r="AF8" i="3" s="1"/>
  <c r="BW8" i="10"/>
  <c r="X8" i="5" s="1"/>
  <c r="AF9" i="3" s="1"/>
  <c r="BW9" i="10"/>
  <c r="X9" i="5" s="1"/>
  <c r="AF10" i="3" s="1"/>
  <c r="BW10" i="10"/>
  <c r="X10" i="5" s="1"/>
  <c r="AF11" i="3" s="1"/>
  <c r="BW11" i="10"/>
  <c r="X11" i="5" s="1"/>
  <c r="AF12" i="3" s="1"/>
  <c r="BW12" i="10"/>
  <c r="X12" i="5" s="1"/>
  <c r="AF13" i="3" s="1"/>
  <c r="BW13" i="10"/>
  <c r="X13" i="5" s="1"/>
  <c r="AF14" i="3" s="1"/>
  <c r="BW14" i="10"/>
  <c r="X14" i="5" s="1"/>
  <c r="AF15" i="3" s="1"/>
  <c r="BW15" i="10"/>
  <c r="X15" i="5" s="1"/>
  <c r="AF16" i="3" s="1"/>
  <c r="BW16" i="10"/>
  <c r="X16" i="5" s="1"/>
  <c r="AF17" i="3" s="1"/>
  <c r="BW17" i="10"/>
  <c r="X17" i="5" s="1"/>
  <c r="AF18" i="3" s="1"/>
  <c r="BW18" i="10"/>
  <c r="X18" i="5" s="1"/>
  <c r="AF19" i="3" s="1"/>
  <c r="BW19" i="10"/>
  <c r="X19" i="5" s="1"/>
  <c r="AF20" i="3" s="1"/>
  <c r="BW20" i="10"/>
  <c r="X20" i="5" s="1"/>
  <c r="AF21" i="3" s="1"/>
  <c r="BW21" i="10"/>
  <c r="X21" i="5" s="1"/>
  <c r="AF22" i="3" s="1"/>
  <c r="BW22" i="10"/>
  <c r="X22" i="5" s="1"/>
  <c r="AF23" i="3" s="1"/>
  <c r="BW23" i="10"/>
  <c r="X23" i="5" s="1"/>
  <c r="AF24" i="3" s="1"/>
  <c r="BW24" i="10"/>
  <c r="X24" i="5" s="1"/>
  <c r="AF25" i="3" s="1"/>
  <c r="BW25" i="10"/>
  <c r="X25" i="5" s="1"/>
  <c r="AF26" i="3" s="1"/>
  <c r="BW26" i="10"/>
  <c r="X26" i="5" s="1"/>
  <c r="AF27" i="3" s="1"/>
  <c r="BW27" i="10"/>
  <c r="X27" i="5" s="1"/>
  <c r="AF28" i="3" s="1"/>
  <c r="BW28" i="10"/>
  <c r="X28" i="5" s="1"/>
  <c r="AF29" i="3" s="1"/>
  <c r="BW29" i="10"/>
  <c r="X29" i="5" s="1"/>
  <c r="AF30" i="3" s="1"/>
  <c r="BW30" i="10"/>
  <c r="X30" i="5" s="1"/>
  <c r="AF31" i="3" s="1"/>
  <c r="BW31" i="10"/>
  <c r="X31" i="5" s="1"/>
  <c r="AF32" i="3" s="1"/>
  <c r="BW32" i="10"/>
  <c r="X32" i="5" s="1"/>
  <c r="AF33" i="3" s="1"/>
  <c r="BW33" i="10"/>
  <c r="X33" i="5" s="1"/>
  <c r="AF34" i="3" s="1"/>
  <c r="BW34" i="10"/>
  <c r="X34" i="5" s="1"/>
  <c r="AF35" i="3" s="1"/>
  <c r="BW35" i="10"/>
  <c r="X35" i="5" s="1"/>
  <c r="AF36" i="3" s="1"/>
  <c r="BW36" i="10"/>
  <c r="X36" i="5" s="1"/>
  <c r="AF37" i="3" s="1"/>
  <c r="BW37" i="10"/>
  <c r="X37" i="5" s="1"/>
  <c r="AF38" i="3" s="1"/>
  <c r="BW38" i="10"/>
  <c r="X38" i="5" s="1"/>
  <c r="AF39" i="3" s="1"/>
  <c r="BW39" i="10"/>
  <c r="X39" i="5" s="1"/>
  <c r="AF40" i="3" s="1"/>
  <c r="BW40" i="10"/>
  <c r="X40" i="5" s="1"/>
  <c r="AF41" i="3" s="1"/>
  <c r="BW41" i="10"/>
  <c r="X41" i="5" s="1"/>
  <c r="AF42" i="3" s="1"/>
  <c r="BW42" i="10"/>
  <c r="X42" i="5" s="1"/>
  <c r="AF43" i="3" s="1"/>
  <c r="BW43" i="10"/>
  <c r="X43" i="5" s="1"/>
  <c r="AF44" i="3" s="1"/>
  <c r="BW44" i="10"/>
  <c r="X44" i="5" s="1"/>
  <c r="AF45" i="3" s="1"/>
  <c r="BW45" i="10"/>
  <c r="X45" i="5" s="1"/>
  <c r="AF46" i="3" s="1"/>
  <c r="BW46" i="10"/>
  <c r="X46" i="5" s="1"/>
  <c r="AF47" i="3" s="1"/>
  <c r="BW47" i="10"/>
  <c r="X47" i="5" s="1"/>
  <c r="AF48" i="3" s="1"/>
  <c r="BW48" i="10"/>
  <c r="X48" i="5" s="1"/>
  <c r="AF49" i="3" s="1"/>
  <c r="BW49" i="10"/>
  <c r="X49" i="5" s="1"/>
  <c r="AF50" i="3" s="1"/>
  <c r="BW50" i="10"/>
  <c r="X50" i="5" s="1"/>
  <c r="AF51" i="3" s="1"/>
  <c r="BW51" i="10"/>
  <c r="X51" i="5" s="1"/>
  <c r="AF52" i="3" s="1"/>
  <c r="BW52" i="10"/>
  <c r="X52" i="5" s="1"/>
  <c r="AF53" i="3" s="1"/>
  <c r="BW53" i="10"/>
  <c r="X53" i="5" s="1"/>
  <c r="AF54" i="3" s="1"/>
  <c r="BW54" i="10"/>
  <c r="X54" i="5" s="1"/>
  <c r="AF55" i="3" s="1"/>
  <c r="BW55" i="10"/>
  <c r="X55" i="5" s="1"/>
  <c r="AF56" i="3" s="1"/>
  <c r="BW56" i="10"/>
  <c r="X56" i="5" s="1"/>
  <c r="AF57" i="3" s="1"/>
  <c r="BW57" i="10"/>
  <c r="X57" i="5" s="1"/>
  <c r="AF58" i="3" s="1"/>
  <c r="BW58" i="10"/>
  <c r="X58" i="5" s="1"/>
  <c r="AF59" i="3" s="1"/>
  <c r="BW59" i="10"/>
  <c r="X59" i="5" s="1"/>
  <c r="AF60" i="3" s="1"/>
  <c r="BW60" i="10"/>
  <c r="X60" i="5" s="1"/>
  <c r="AF61" i="3" s="1"/>
  <c r="BW61" i="10"/>
  <c r="X61" i="5" s="1"/>
  <c r="AF62" i="3" s="1"/>
  <c r="BW62" i="10"/>
  <c r="X62" i="5" s="1"/>
  <c r="AF63" i="3" s="1"/>
  <c r="BW63" i="10"/>
  <c r="X63" i="5" s="1"/>
  <c r="AF64" i="3" s="1"/>
  <c r="BW64" i="10"/>
  <c r="X64" i="5" s="1"/>
  <c r="AF65" i="3" s="1"/>
  <c r="BW65" i="10"/>
  <c r="X65" i="5" s="1"/>
  <c r="AF66" i="3" s="1"/>
  <c r="BW66" i="10"/>
  <c r="X66" i="5" s="1"/>
  <c r="AF67" i="3" s="1"/>
  <c r="BW67" i="10"/>
  <c r="X67" i="5" s="1"/>
  <c r="AF68" i="3" s="1"/>
  <c r="BW68" i="10"/>
  <c r="X68" i="5" s="1"/>
  <c r="AF69" i="3" s="1"/>
  <c r="BW69" i="10"/>
  <c r="X69" i="5" s="1"/>
  <c r="AF70" i="3" s="1"/>
  <c r="BW70" i="10"/>
  <c r="X70" i="5" s="1"/>
  <c r="AF71" i="3" s="1"/>
  <c r="BW71" i="10"/>
  <c r="X71" i="5" s="1"/>
  <c r="AF72" i="3" s="1"/>
  <c r="BW72" i="10"/>
  <c r="X72" i="5" s="1"/>
  <c r="AF73" i="3" s="1"/>
  <c r="BW73" i="10"/>
  <c r="X73" i="5" s="1"/>
  <c r="AF74" i="3" s="1"/>
  <c r="BW74" i="10"/>
  <c r="X74" i="5" s="1"/>
  <c r="AF75" i="3" s="1"/>
  <c r="BW75" i="10"/>
  <c r="X75" i="5" s="1"/>
  <c r="AF76" i="3" s="1"/>
  <c r="BW76" i="10"/>
  <c r="X76" i="5" s="1"/>
  <c r="AF77" i="3" s="1"/>
  <c r="BW77" i="10"/>
  <c r="X77" i="5" s="1"/>
  <c r="AF78" i="3" s="1"/>
  <c r="BW78" i="10"/>
  <c r="X78" i="5" s="1"/>
  <c r="AF79" i="3" s="1"/>
  <c r="BW79" i="10"/>
  <c r="X79" i="5" s="1"/>
  <c r="AF80" i="3" s="1"/>
  <c r="BW80" i="10"/>
  <c r="X80" i="5" s="1"/>
  <c r="AF81" i="3" s="1"/>
  <c r="BW81" i="10"/>
  <c r="X81" i="5" s="1"/>
  <c r="AF82" i="3" s="1"/>
  <c r="BW82" i="10"/>
  <c r="X82" i="5" s="1"/>
  <c r="AF83" i="3" s="1"/>
  <c r="BW83" i="10"/>
  <c r="X83" i="5" s="1"/>
  <c r="AF84" i="3" s="1"/>
  <c r="BW84" i="10"/>
  <c r="X84" i="5" s="1"/>
  <c r="AF85" i="3" s="1"/>
  <c r="BW85" i="10"/>
  <c r="X85" i="5" s="1"/>
  <c r="AF86" i="3" s="1"/>
  <c r="BW86" i="10"/>
  <c r="X86" i="5" s="1"/>
  <c r="AF87" i="3" s="1"/>
  <c r="BW87" i="10"/>
  <c r="X87" i="5" s="1"/>
  <c r="AF88" i="3" s="1"/>
  <c r="BW88" i="10"/>
  <c r="X88" i="5" s="1"/>
  <c r="AF89" i="3" s="1"/>
  <c r="BW89" i="10"/>
  <c r="X89" i="5" s="1"/>
  <c r="AF90" i="3" s="1"/>
  <c r="BW90" i="10"/>
  <c r="X90" i="5" s="1"/>
  <c r="AF91" i="3" s="1"/>
  <c r="BW91" i="10"/>
  <c r="X91" i="5" s="1"/>
  <c r="AF92" i="3" s="1"/>
  <c r="BW92" i="10"/>
  <c r="X92" i="5" s="1"/>
  <c r="AF93" i="3" s="1"/>
  <c r="BW93" i="10"/>
  <c r="X93" i="5" s="1"/>
  <c r="AF94" i="3" s="1"/>
  <c r="BW94" i="10"/>
  <c r="X94" i="5" s="1"/>
  <c r="AF95" i="3" s="1"/>
  <c r="BW95" i="10"/>
  <c r="X95" i="5" s="1"/>
  <c r="AF96" i="3" s="1"/>
  <c r="BW96" i="10"/>
  <c r="X96" i="5" s="1"/>
  <c r="AF97" i="3" s="1"/>
  <c r="BW97" i="10"/>
  <c r="X97" i="5" s="1"/>
  <c r="AF98" i="3" s="1"/>
  <c r="BW98" i="10"/>
  <c r="X98" i="5" s="1"/>
  <c r="AF99" i="3" s="1"/>
  <c r="BW99" i="10"/>
  <c r="X99" i="5" s="1"/>
  <c r="AF100" i="3" s="1"/>
  <c r="BW100" i="10"/>
  <c r="X100" i="5" s="1"/>
  <c r="AF101" i="3" s="1"/>
  <c r="BW101" i="10"/>
  <c r="X101" i="5" s="1"/>
  <c r="AF102" i="3" s="1"/>
  <c r="BW102" i="10"/>
  <c r="X102" i="5" s="1"/>
  <c r="AF103" i="3" s="1"/>
  <c r="BW103" i="10"/>
  <c r="X103" i="5" s="1"/>
  <c r="AF104" i="3" s="1"/>
  <c r="BW104" i="10"/>
  <c r="X104" i="5" s="1"/>
  <c r="AF105" i="3" s="1"/>
  <c r="BW105" i="10"/>
  <c r="X105" i="5" s="1"/>
  <c r="AF106" i="3" s="1"/>
  <c r="BW106" i="10"/>
  <c r="X106" i="5" s="1"/>
  <c r="AF107" i="3" s="1"/>
  <c r="BW107" i="10"/>
  <c r="X107" i="5" s="1"/>
  <c r="AF108" i="3" s="1"/>
  <c r="BW108" i="10"/>
  <c r="X108" i="5" s="1"/>
  <c r="AF109" i="3" s="1"/>
  <c r="BW109" i="10"/>
  <c r="X109" i="5" s="1"/>
  <c r="AF110" i="3" s="1"/>
  <c r="BW110" i="10"/>
  <c r="X110" i="5" s="1"/>
  <c r="AF111" i="3" s="1"/>
  <c r="BW111" i="10"/>
  <c r="X111" i="5" s="1"/>
  <c r="AF112" i="3" s="1"/>
  <c r="BW112" i="10"/>
  <c r="X112" i="5" s="1"/>
  <c r="AF113" i="3" s="1"/>
  <c r="BW113" i="10"/>
  <c r="X113" i="5" s="1"/>
  <c r="AF114" i="3" s="1"/>
  <c r="BW114" i="10"/>
  <c r="X114" i="5" s="1"/>
  <c r="AF115" i="3" s="1"/>
  <c r="BW115" i="10"/>
  <c r="X115" i="5" s="1"/>
  <c r="AF116" i="3" s="1"/>
  <c r="BW116" i="10"/>
  <c r="X116" i="5" s="1"/>
  <c r="AF117" i="3" s="1"/>
  <c r="BW117" i="10"/>
  <c r="X117" i="5" s="1"/>
  <c r="AF118" i="3" s="1"/>
  <c r="BW118" i="10"/>
  <c r="X118" i="5" s="1"/>
  <c r="AF119" i="3" s="1"/>
  <c r="BW119" i="10"/>
  <c r="X119" i="5" s="1"/>
  <c r="AF120" i="3" s="1"/>
  <c r="BW120" i="10"/>
  <c r="X120" i="5" s="1"/>
  <c r="AF121" i="3" s="1"/>
  <c r="BW121" i="10"/>
  <c r="X121" i="5" s="1"/>
  <c r="AF122" i="3" s="1"/>
  <c r="BW122" i="10"/>
  <c r="X122" i="5" s="1"/>
  <c r="AF123" i="3" s="1"/>
  <c r="BW123" i="10"/>
  <c r="X123" i="5" s="1"/>
  <c r="AF124" i="3" s="1"/>
  <c r="BW124" i="10"/>
  <c r="X124" i="5" s="1"/>
  <c r="AF125" i="3" s="1"/>
  <c r="BW125" i="10"/>
  <c r="X125" i="5" s="1"/>
  <c r="AF126" i="3" s="1"/>
  <c r="BW126" i="10"/>
  <c r="X126" i="5" s="1"/>
  <c r="AF127" i="3" s="1"/>
  <c r="BW127" i="10"/>
  <c r="X127" i="5" s="1"/>
  <c r="AF128" i="3" s="1"/>
  <c r="BW128" i="10"/>
  <c r="X128" i="5" s="1"/>
  <c r="AF129" i="3" s="1"/>
  <c r="BW129" i="10"/>
  <c r="X129" i="5" s="1"/>
  <c r="AF130" i="3" s="1"/>
  <c r="BW130" i="10"/>
  <c r="X130" i="5" s="1"/>
  <c r="AF131" i="3" s="1"/>
  <c r="BW131" i="10"/>
  <c r="X131" i="5" s="1"/>
  <c r="AF132" i="3" s="1"/>
  <c r="BW132" i="10"/>
  <c r="X132" i="5" s="1"/>
  <c r="AF133" i="3" s="1"/>
  <c r="BW133" i="10"/>
  <c r="X133" i="5" s="1"/>
  <c r="AF134" i="3" s="1"/>
  <c r="BW134" i="10"/>
  <c r="X134" i="5" s="1"/>
  <c r="AF135" i="3" s="1"/>
  <c r="BW135" i="10"/>
  <c r="X135" i="5" s="1"/>
  <c r="AF136" i="3" s="1"/>
  <c r="BW136" i="10"/>
  <c r="X136" i="5" s="1"/>
  <c r="AF137" i="3" s="1"/>
  <c r="BW137" i="10"/>
  <c r="X137" i="5" s="1"/>
  <c r="AF138" i="3" s="1"/>
  <c r="BW138" i="10"/>
  <c r="X138" i="5" s="1"/>
  <c r="AF139" i="3" s="1"/>
  <c r="BW139" i="10"/>
  <c r="X139" i="5" s="1"/>
  <c r="AF140" i="3" s="1"/>
  <c r="BW140" i="10"/>
  <c r="X140" i="5" s="1"/>
  <c r="AF141" i="3" s="1"/>
  <c r="BW141" i="10"/>
  <c r="X141" i="5" s="1"/>
  <c r="AF142" i="3" s="1"/>
  <c r="BW142" i="10"/>
  <c r="X142" i="5" s="1"/>
  <c r="AF143" i="3" s="1"/>
  <c r="BW143" i="10"/>
  <c r="X143" i="5" s="1"/>
  <c r="AF144" i="3" s="1"/>
  <c r="BW144" i="10"/>
  <c r="X144" i="5" s="1"/>
  <c r="AF145" i="3" s="1"/>
  <c r="BW145" i="10"/>
  <c r="X145" i="5" s="1"/>
  <c r="AF146" i="3" s="1"/>
  <c r="BW146" i="10"/>
  <c r="X146" i="5" s="1"/>
  <c r="AF147" i="3" s="1"/>
  <c r="BW147" i="10"/>
  <c r="X147" i="5" s="1"/>
  <c r="AF148" i="3" s="1"/>
  <c r="BW148" i="10"/>
  <c r="X148" i="5" s="1"/>
  <c r="AF149" i="3" s="1"/>
  <c r="BW149" i="10"/>
  <c r="X149" i="5" s="1"/>
  <c r="AF150" i="3" s="1"/>
  <c r="BW150" i="10"/>
  <c r="X150" i="5" s="1"/>
  <c r="AF151" i="3" s="1"/>
  <c r="BW151" i="10"/>
  <c r="X151" i="5" s="1"/>
  <c r="AF152" i="3" s="1"/>
  <c r="BW152" i="10"/>
  <c r="X152" i="5" s="1"/>
  <c r="AF153" i="3" s="1"/>
  <c r="BW153" i="10"/>
  <c r="X153" i="5" s="1"/>
  <c r="AF154" i="3" s="1"/>
  <c r="BW154" i="10"/>
  <c r="X154" i="5" s="1"/>
  <c r="AF155" i="3" s="1"/>
  <c r="BW155" i="10"/>
  <c r="X155" i="5" s="1"/>
  <c r="AF156" i="3" s="1"/>
  <c r="BW156" i="10"/>
  <c r="X156" i="5" s="1"/>
  <c r="AF157" i="3" s="1"/>
  <c r="BW157" i="10"/>
  <c r="X157" i="5" s="1"/>
  <c r="AF158" i="3" s="1"/>
  <c r="BW158" i="10"/>
  <c r="X158" i="5" s="1"/>
  <c r="AF159" i="3" s="1"/>
  <c r="BW159" i="10"/>
  <c r="X159" i="5" s="1"/>
  <c r="AF160" i="3" s="1"/>
  <c r="BW160" i="10"/>
  <c r="X160" i="5" s="1"/>
  <c r="AF161" i="3" s="1"/>
  <c r="BW161" i="10"/>
  <c r="X161" i="5" s="1"/>
  <c r="AF162" i="3" s="1"/>
  <c r="BW162" i="10"/>
  <c r="X162" i="5" s="1"/>
  <c r="AF163" i="3" s="1"/>
  <c r="BW163" i="10"/>
  <c r="X163" i="5" s="1"/>
  <c r="AF164" i="3" s="1"/>
  <c r="BW164" i="10"/>
  <c r="X164" i="5" s="1"/>
  <c r="AF165" i="3" s="1"/>
  <c r="BW165" i="10"/>
  <c r="X165" i="5" s="1"/>
  <c r="AF166" i="3" s="1"/>
  <c r="BW166" i="10"/>
  <c r="X166" i="5" s="1"/>
  <c r="AF167" i="3" s="1"/>
  <c r="BW167" i="10"/>
  <c r="X167" i="5" s="1"/>
  <c r="AF168" i="3" s="1"/>
  <c r="BW168" i="10"/>
  <c r="X168" i="5" s="1"/>
  <c r="AF169" i="3" s="1"/>
  <c r="BW169" i="10"/>
  <c r="X169" i="5" s="1"/>
  <c r="AF170" i="3" s="1"/>
  <c r="BW170" i="10"/>
  <c r="X170" i="5" s="1"/>
  <c r="AF171" i="3" s="1"/>
  <c r="BW171" i="10"/>
  <c r="X171" i="5" s="1"/>
  <c r="AF172" i="3" s="1"/>
  <c r="BW172" i="10"/>
  <c r="X172" i="5" s="1"/>
  <c r="AF173" i="3" s="1"/>
  <c r="BW173" i="10"/>
  <c r="X173" i="5" s="1"/>
  <c r="AF174" i="3" s="1"/>
  <c r="BW174" i="10"/>
  <c r="X174" i="5" s="1"/>
  <c r="AF175" i="3" s="1"/>
  <c r="BW175" i="10"/>
  <c r="X175" i="5" s="1"/>
  <c r="AF176" i="3" s="1"/>
  <c r="BW176" i="10"/>
  <c r="X176" i="5" s="1"/>
  <c r="AF177" i="3" s="1"/>
  <c r="BV3" i="10"/>
  <c r="W3" i="5" s="1"/>
  <c r="AE4" i="3" s="1"/>
  <c r="BV4" i="10"/>
  <c r="W4" i="5" s="1"/>
  <c r="AE5" i="3" s="1"/>
  <c r="BV5" i="10"/>
  <c r="W5" i="5" s="1"/>
  <c r="AE6" i="3" s="1"/>
  <c r="BV6" i="10"/>
  <c r="W6" i="5" s="1"/>
  <c r="AE7" i="3" s="1"/>
  <c r="BV7" i="10"/>
  <c r="W7" i="5" s="1"/>
  <c r="AE8" i="3" s="1"/>
  <c r="BV8" i="10"/>
  <c r="W8" i="5" s="1"/>
  <c r="AE9" i="3" s="1"/>
  <c r="BV9" i="10"/>
  <c r="W9" i="5" s="1"/>
  <c r="AE10" i="3" s="1"/>
  <c r="BV10" i="10"/>
  <c r="W10" i="5" s="1"/>
  <c r="AE11" i="3" s="1"/>
  <c r="BV11" i="10"/>
  <c r="W11" i="5" s="1"/>
  <c r="AE12" i="3" s="1"/>
  <c r="BV12" i="10"/>
  <c r="W12" i="5" s="1"/>
  <c r="AE13" i="3" s="1"/>
  <c r="BV13" i="10"/>
  <c r="W13" i="5" s="1"/>
  <c r="AE14" i="3" s="1"/>
  <c r="BV14" i="10"/>
  <c r="W14" i="5" s="1"/>
  <c r="AE15" i="3" s="1"/>
  <c r="BV15" i="10"/>
  <c r="W15" i="5" s="1"/>
  <c r="AE16" i="3" s="1"/>
  <c r="BV16" i="10"/>
  <c r="W16" i="5" s="1"/>
  <c r="AE17" i="3" s="1"/>
  <c r="BV17" i="10"/>
  <c r="W17" i="5" s="1"/>
  <c r="AE18" i="3" s="1"/>
  <c r="BV18" i="10"/>
  <c r="W18" i="5" s="1"/>
  <c r="AE19" i="3" s="1"/>
  <c r="BV19" i="10"/>
  <c r="W19" i="5" s="1"/>
  <c r="AE20" i="3" s="1"/>
  <c r="BV20" i="10"/>
  <c r="W20" i="5" s="1"/>
  <c r="AE21" i="3" s="1"/>
  <c r="BV21" i="10"/>
  <c r="W21" i="5" s="1"/>
  <c r="AE22" i="3" s="1"/>
  <c r="BV22" i="10"/>
  <c r="W22" i="5" s="1"/>
  <c r="AE23" i="3" s="1"/>
  <c r="BV23" i="10"/>
  <c r="W23" i="5" s="1"/>
  <c r="AE24" i="3" s="1"/>
  <c r="BV24" i="10"/>
  <c r="W24" i="5" s="1"/>
  <c r="AE25" i="3" s="1"/>
  <c r="BV25" i="10"/>
  <c r="W25" i="5" s="1"/>
  <c r="AE26" i="3" s="1"/>
  <c r="BV26" i="10"/>
  <c r="W26" i="5" s="1"/>
  <c r="AE27" i="3" s="1"/>
  <c r="BV27" i="10"/>
  <c r="W27" i="5" s="1"/>
  <c r="AE28" i="3" s="1"/>
  <c r="BV28" i="10"/>
  <c r="W28" i="5" s="1"/>
  <c r="AE29" i="3" s="1"/>
  <c r="BV29" i="10"/>
  <c r="W29" i="5" s="1"/>
  <c r="AE30" i="3" s="1"/>
  <c r="BV30" i="10"/>
  <c r="W30" i="5" s="1"/>
  <c r="AE31" i="3" s="1"/>
  <c r="BV31" i="10"/>
  <c r="W31" i="5" s="1"/>
  <c r="AE32" i="3" s="1"/>
  <c r="BV32" i="10"/>
  <c r="W32" i="5" s="1"/>
  <c r="AE33" i="3" s="1"/>
  <c r="BV33" i="10"/>
  <c r="W33" i="5" s="1"/>
  <c r="AE34" i="3" s="1"/>
  <c r="BV34" i="10"/>
  <c r="W34" i="5" s="1"/>
  <c r="AE35" i="3" s="1"/>
  <c r="BV35" i="10"/>
  <c r="W35" i="5" s="1"/>
  <c r="AE36" i="3" s="1"/>
  <c r="BV36" i="10"/>
  <c r="W36" i="5" s="1"/>
  <c r="AE37" i="3" s="1"/>
  <c r="BV37" i="10"/>
  <c r="W37" i="5" s="1"/>
  <c r="AE38" i="3" s="1"/>
  <c r="BV38" i="10"/>
  <c r="W38" i="5" s="1"/>
  <c r="AE39" i="3" s="1"/>
  <c r="BV39" i="10"/>
  <c r="W39" i="5" s="1"/>
  <c r="AE40" i="3" s="1"/>
  <c r="BV40" i="10"/>
  <c r="W40" i="5" s="1"/>
  <c r="AE41" i="3" s="1"/>
  <c r="BV41" i="10"/>
  <c r="W41" i="5" s="1"/>
  <c r="AE42" i="3" s="1"/>
  <c r="BV42" i="10"/>
  <c r="W42" i="5" s="1"/>
  <c r="AE43" i="3" s="1"/>
  <c r="BV43" i="10"/>
  <c r="W43" i="5" s="1"/>
  <c r="AE44" i="3" s="1"/>
  <c r="BV44" i="10"/>
  <c r="W44" i="5" s="1"/>
  <c r="AE45" i="3" s="1"/>
  <c r="BV45" i="10"/>
  <c r="W45" i="5" s="1"/>
  <c r="AE46" i="3" s="1"/>
  <c r="BV46" i="10"/>
  <c r="W46" i="5" s="1"/>
  <c r="AE47" i="3" s="1"/>
  <c r="BV47" i="10"/>
  <c r="W47" i="5" s="1"/>
  <c r="AE48" i="3" s="1"/>
  <c r="BV48" i="10"/>
  <c r="W48" i="5" s="1"/>
  <c r="AE49" i="3" s="1"/>
  <c r="BV49" i="10"/>
  <c r="W49" i="5" s="1"/>
  <c r="AE50" i="3" s="1"/>
  <c r="BV50" i="10"/>
  <c r="W50" i="5" s="1"/>
  <c r="AE51" i="3" s="1"/>
  <c r="BV51" i="10"/>
  <c r="W51" i="5" s="1"/>
  <c r="AE52" i="3" s="1"/>
  <c r="BV52" i="10"/>
  <c r="W52" i="5" s="1"/>
  <c r="AE53" i="3" s="1"/>
  <c r="BV53" i="10"/>
  <c r="W53" i="5" s="1"/>
  <c r="AE54" i="3" s="1"/>
  <c r="BV54" i="10"/>
  <c r="W54" i="5" s="1"/>
  <c r="AE55" i="3" s="1"/>
  <c r="BV55" i="10"/>
  <c r="W55" i="5" s="1"/>
  <c r="AE56" i="3" s="1"/>
  <c r="BV56" i="10"/>
  <c r="W56" i="5" s="1"/>
  <c r="AE57" i="3" s="1"/>
  <c r="BV57" i="10"/>
  <c r="W57" i="5" s="1"/>
  <c r="AE58" i="3" s="1"/>
  <c r="BV58" i="10"/>
  <c r="W58" i="5" s="1"/>
  <c r="AE59" i="3" s="1"/>
  <c r="BV59" i="10"/>
  <c r="W59" i="5" s="1"/>
  <c r="AE60" i="3" s="1"/>
  <c r="BV60" i="10"/>
  <c r="W60" i="5" s="1"/>
  <c r="AE61" i="3" s="1"/>
  <c r="BV61" i="10"/>
  <c r="W61" i="5" s="1"/>
  <c r="AE62" i="3" s="1"/>
  <c r="BV62" i="10"/>
  <c r="W62" i="5" s="1"/>
  <c r="AE63" i="3" s="1"/>
  <c r="BV63" i="10"/>
  <c r="W63" i="5" s="1"/>
  <c r="AE64" i="3" s="1"/>
  <c r="BV64" i="10"/>
  <c r="W64" i="5" s="1"/>
  <c r="AE65" i="3" s="1"/>
  <c r="BV65" i="10"/>
  <c r="W65" i="5" s="1"/>
  <c r="AE66" i="3" s="1"/>
  <c r="BV66" i="10"/>
  <c r="W66" i="5" s="1"/>
  <c r="AE67" i="3" s="1"/>
  <c r="BV67" i="10"/>
  <c r="W67" i="5" s="1"/>
  <c r="AE68" i="3" s="1"/>
  <c r="BV68" i="10"/>
  <c r="W68" i="5" s="1"/>
  <c r="AE69" i="3" s="1"/>
  <c r="BV69" i="10"/>
  <c r="W69" i="5" s="1"/>
  <c r="AE70" i="3" s="1"/>
  <c r="BV70" i="10"/>
  <c r="W70" i="5" s="1"/>
  <c r="AE71" i="3" s="1"/>
  <c r="BV71" i="10"/>
  <c r="W71" i="5" s="1"/>
  <c r="AE72" i="3" s="1"/>
  <c r="BV72" i="10"/>
  <c r="W72" i="5" s="1"/>
  <c r="AE73" i="3" s="1"/>
  <c r="BV73" i="10"/>
  <c r="W73" i="5" s="1"/>
  <c r="AE74" i="3" s="1"/>
  <c r="BV74" i="10"/>
  <c r="W74" i="5" s="1"/>
  <c r="AE75" i="3" s="1"/>
  <c r="BV75" i="10"/>
  <c r="W75" i="5" s="1"/>
  <c r="AE76" i="3" s="1"/>
  <c r="BV76" i="10"/>
  <c r="W76" i="5" s="1"/>
  <c r="AE77" i="3" s="1"/>
  <c r="BV77" i="10"/>
  <c r="W77" i="5" s="1"/>
  <c r="AE78" i="3" s="1"/>
  <c r="BV78" i="10"/>
  <c r="W78" i="5" s="1"/>
  <c r="AE79" i="3" s="1"/>
  <c r="BV79" i="10"/>
  <c r="W79" i="5" s="1"/>
  <c r="AE80" i="3" s="1"/>
  <c r="BV80" i="10"/>
  <c r="W80" i="5" s="1"/>
  <c r="AE81" i="3" s="1"/>
  <c r="BV81" i="10"/>
  <c r="W81" i="5" s="1"/>
  <c r="AE82" i="3" s="1"/>
  <c r="BV82" i="10"/>
  <c r="W82" i="5" s="1"/>
  <c r="AE83" i="3" s="1"/>
  <c r="BV83" i="10"/>
  <c r="W83" i="5" s="1"/>
  <c r="AE84" i="3" s="1"/>
  <c r="BV84" i="10"/>
  <c r="W84" i="5" s="1"/>
  <c r="AE85" i="3" s="1"/>
  <c r="BV85" i="10"/>
  <c r="W85" i="5" s="1"/>
  <c r="AE86" i="3" s="1"/>
  <c r="BV86" i="10"/>
  <c r="W86" i="5" s="1"/>
  <c r="AE87" i="3" s="1"/>
  <c r="BV87" i="10"/>
  <c r="W87" i="5" s="1"/>
  <c r="AE88" i="3" s="1"/>
  <c r="BV88" i="10"/>
  <c r="W88" i="5" s="1"/>
  <c r="AE89" i="3" s="1"/>
  <c r="BV89" i="10"/>
  <c r="W89" i="5" s="1"/>
  <c r="AE90" i="3" s="1"/>
  <c r="BV90" i="10"/>
  <c r="W90" i="5" s="1"/>
  <c r="AE91" i="3" s="1"/>
  <c r="BV91" i="10"/>
  <c r="W91" i="5" s="1"/>
  <c r="AE92" i="3" s="1"/>
  <c r="BV92" i="10"/>
  <c r="W92" i="5" s="1"/>
  <c r="AE93" i="3" s="1"/>
  <c r="BV93" i="10"/>
  <c r="W93" i="5" s="1"/>
  <c r="AE94" i="3" s="1"/>
  <c r="BV94" i="10"/>
  <c r="W94" i="5" s="1"/>
  <c r="AE95" i="3" s="1"/>
  <c r="BV95" i="10"/>
  <c r="W95" i="5" s="1"/>
  <c r="AE96" i="3" s="1"/>
  <c r="BV96" i="10"/>
  <c r="W96" i="5" s="1"/>
  <c r="AE97" i="3" s="1"/>
  <c r="BV97" i="10"/>
  <c r="W97" i="5" s="1"/>
  <c r="AE98" i="3" s="1"/>
  <c r="BV98" i="10"/>
  <c r="W98" i="5" s="1"/>
  <c r="AE99" i="3" s="1"/>
  <c r="BV99" i="10"/>
  <c r="W99" i="5" s="1"/>
  <c r="AE100" i="3" s="1"/>
  <c r="BV100" i="10"/>
  <c r="W100" i="5" s="1"/>
  <c r="AE101" i="3" s="1"/>
  <c r="BV101" i="10"/>
  <c r="W101" i="5" s="1"/>
  <c r="AE102" i="3" s="1"/>
  <c r="BV102" i="10"/>
  <c r="W102" i="5" s="1"/>
  <c r="AE103" i="3" s="1"/>
  <c r="BV103" i="10"/>
  <c r="W103" i="5" s="1"/>
  <c r="AE104" i="3" s="1"/>
  <c r="BV104" i="10"/>
  <c r="W104" i="5" s="1"/>
  <c r="AE105" i="3" s="1"/>
  <c r="BV105" i="10"/>
  <c r="W105" i="5" s="1"/>
  <c r="AE106" i="3" s="1"/>
  <c r="BV106" i="10"/>
  <c r="W106" i="5" s="1"/>
  <c r="AE107" i="3" s="1"/>
  <c r="BV107" i="10"/>
  <c r="W107" i="5" s="1"/>
  <c r="AE108" i="3" s="1"/>
  <c r="BV108" i="10"/>
  <c r="W108" i="5" s="1"/>
  <c r="AE109" i="3" s="1"/>
  <c r="BV109" i="10"/>
  <c r="W109" i="5" s="1"/>
  <c r="AE110" i="3" s="1"/>
  <c r="BV110" i="10"/>
  <c r="W110" i="5" s="1"/>
  <c r="AE111" i="3" s="1"/>
  <c r="BV111" i="10"/>
  <c r="W111" i="5" s="1"/>
  <c r="AE112" i="3" s="1"/>
  <c r="BV112" i="10"/>
  <c r="W112" i="5" s="1"/>
  <c r="AE113" i="3" s="1"/>
  <c r="BV113" i="10"/>
  <c r="W113" i="5" s="1"/>
  <c r="AE114" i="3" s="1"/>
  <c r="BV114" i="10"/>
  <c r="W114" i="5" s="1"/>
  <c r="AE115" i="3" s="1"/>
  <c r="BV115" i="10"/>
  <c r="W115" i="5" s="1"/>
  <c r="AE116" i="3" s="1"/>
  <c r="BV116" i="10"/>
  <c r="W116" i="5" s="1"/>
  <c r="AE117" i="3" s="1"/>
  <c r="BV117" i="10"/>
  <c r="W117" i="5" s="1"/>
  <c r="AE118" i="3" s="1"/>
  <c r="BV118" i="10"/>
  <c r="W118" i="5" s="1"/>
  <c r="AE119" i="3" s="1"/>
  <c r="BV119" i="10"/>
  <c r="W119" i="5" s="1"/>
  <c r="AE120" i="3" s="1"/>
  <c r="BV120" i="10"/>
  <c r="W120" i="5" s="1"/>
  <c r="AE121" i="3" s="1"/>
  <c r="BV121" i="10"/>
  <c r="W121" i="5" s="1"/>
  <c r="AE122" i="3" s="1"/>
  <c r="BV122" i="10"/>
  <c r="W122" i="5" s="1"/>
  <c r="AE123" i="3" s="1"/>
  <c r="BV123" i="10"/>
  <c r="W123" i="5" s="1"/>
  <c r="AE124" i="3" s="1"/>
  <c r="BV124" i="10"/>
  <c r="W124" i="5" s="1"/>
  <c r="AE125" i="3" s="1"/>
  <c r="BV125" i="10"/>
  <c r="W125" i="5" s="1"/>
  <c r="AE126" i="3" s="1"/>
  <c r="BV126" i="10"/>
  <c r="W126" i="5" s="1"/>
  <c r="AE127" i="3" s="1"/>
  <c r="BV127" i="10"/>
  <c r="W127" i="5" s="1"/>
  <c r="AE128" i="3" s="1"/>
  <c r="BV128" i="10"/>
  <c r="W128" i="5" s="1"/>
  <c r="AE129" i="3" s="1"/>
  <c r="BV129" i="10"/>
  <c r="W129" i="5" s="1"/>
  <c r="AE130" i="3" s="1"/>
  <c r="BV130" i="10"/>
  <c r="W130" i="5" s="1"/>
  <c r="AE131" i="3" s="1"/>
  <c r="BV131" i="10"/>
  <c r="W131" i="5" s="1"/>
  <c r="AE132" i="3" s="1"/>
  <c r="BV132" i="10"/>
  <c r="W132" i="5" s="1"/>
  <c r="AE133" i="3" s="1"/>
  <c r="BV133" i="10"/>
  <c r="W133" i="5" s="1"/>
  <c r="AE134" i="3" s="1"/>
  <c r="BV134" i="10"/>
  <c r="W134" i="5" s="1"/>
  <c r="AE135" i="3" s="1"/>
  <c r="BV135" i="10"/>
  <c r="W135" i="5" s="1"/>
  <c r="AE136" i="3" s="1"/>
  <c r="BV136" i="10"/>
  <c r="W136" i="5" s="1"/>
  <c r="AE137" i="3" s="1"/>
  <c r="BV137" i="10"/>
  <c r="W137" i="5" s="1"/>
  <c r="AE138" i="3" s="1"/>
  <c r="BV138" i="10"/>
  <c r="W138" i="5" s="1"/>
  <c r="AE139" i="3" s="1"/>
  <c r="BV139" i="10"/>
  <c r="W139" i="5" s="1"/>
  <c r="AE140" i="3" s="1"/>
  <c r="BV140" i="10"/>
  <c r="W140" i="5" s="1"/>
  <c r="AE141" i="3" s="1"/>
  <c r="BV141" i="10"/>
  <c r="W141" i="5" s="1"/>
  <c r="AE142" i="3" s="1"/>
  <c r="BV142" i="10"/>
  <c r="W142" i="5" s="1"/>
  <c r="AE143" i="3" s="1"/>
  <c r="BV143" i="10"/>
  <c r="W143" i="5" s="1"/>
  <c r="AE144" i="3" s="1"/>
  <c r="BV144" i="10"/>
  <c r="W144" i="5" s="1"/>
  <c r="AE145" i="3" s="1"/>
  <c r="BV145" i="10"/>
  <c r="W145" i="5" s="1"/>
  <c r="AE146" i="3" s="1"/>
  <c r="BV146" i="10"/>
  <c r="W146" i="5" s="1"/>
  <c r="AE147" i="3" s="1"/>
  <c r="BV147" i="10"/>
  <c r="W147" i="5" s="1"/>
  <c r="AE148" i="3" s="1"/>
  <c r="BV148" i="10"/>
  <c r="W148" i="5" s="1"/>
  <c r="AE149" i="3" s="1"/>
  <c r="BV149" i="10"/>
  <c r="W149" i="5" s="1"/>
  <c r="AE150" i="3" s="1"/>
  <c r="BV150" i="10"/>
  <c r="W150" i="5" s="1"/>
  <c r="AE151" i="3" s="1"/>
  <c r="BV151" i="10"/>
  <c r="W151" i="5" s="1"/>
  <c r="AE152" i="3" s="1"/>
  <c r="BV152" i="10"/>
  <c r="W152" i="5" s="1"/>
  <c r="AE153" i="3" s="1"/>
  <c r="BV153" i="10"/>
  <c r="W153" i="5" s="1"/>
  <c r="AE154" i="3" s="1"/>
  <c r="BV154" i="10"/>
  <c r="W154" i="5" s="1"/>
  <c r="AE155" i="3" s="1"/>
  <c r="BV155" i="10"/>
  <c r="W155" i="5" s="1"/>
  <c r="AE156" i="3" s="1"/>
  <c r="BV156" i="10"/>
  <c r="W156" i="5" s="1"/>
  <c r="AE157" i="3" s="1"/>
  <c r="BV157" i="10"/>
  <c r="W157" i="5" s="1"/>
  <c r="AE158" i="3" s="1"/>
  <c r="BV158" i="10"/>
  <c r="W158" i="5" s="1"/>
  <c r="AE159" i="3" s="1"/>
  <c r="BV159" i="10"/>
  <c r="W159" i="5" s="1"/>
  <c r="AE160" i="3" s="1"/>
  <c r="BV160" i="10"/>
  <c r="W160" i="5" s="1"/>
  <c r="AE161" i="3" s="1"/>
  <c r="BV161" i="10"/>
  <c r="W161" i="5" s="1"/>
  <c r="AE162" i="3" s="1"/>
  <c r="BV162" i="10"/>
  <c r="W162" i="5" s="1"/>
  <c r="AE163" i="3" s="1"/>
  <c r="BV163" i="10"/>
  <c r="W163" i="5" s="1"/>
  <c r="AE164" i="3" s="1"/>
  <c r="BV164" i="10"/>
  <c r="W164" i="5" s="1"/>
  <c r="AE165" i="3" s="1"/>
  <c r="BV165" i="10"/>
  <c r="W165" i="5" s="1"/>
  <c r="AE166" i="3" s="1"/>
  <c r="BV166" i="10"/>
  <c r="W166" i="5" s="1"/>
  <c r="AE167" i="3" s="1"/>
  <c r="BV167" i="10"/>
  <c r="W167" i="5" s="1"/>
  <c r="AE168" i="3" s="1"/>
  <c r="BV168" i="10"/>
  <c r="W168" i="5" s="1"/>
  <c r="AE169" i="3" s="1"/>
  <c r="BV169" i="10"/>
  <c r="W169" i="5" s="1"/>
  <c r="AE170" i="3" s="1"/>
  <c r="BV170" i="10"/>
  <c r="W170" i="5" s="1"/>
  <c r="AE171" i="3" s="1"/>
  <c r="BV171" i="10"/>
  <c r="W171" i="5" s="1"/>
  <c r="AE172" i="3" s="1"/>
  <c r="BV172" i="10"/>
  <c r="W172" i="5" s="1"/>
  <c r="AE173" i="3" s="1"/>
  <c r="BV173" i="10"/>
  <c r="W173" i="5" s="1"/>
  <c r="AE174" i="3" s="1"/>
  <c r="BV174" i="10"/>
  <c r="W174" i="5" s="1"/>
  <c r="AE175" i="3" s="1"/>
  <c r="BV175" i="10"/>
  <c r="W175" i="5" s="1"/>
  <c r="AE176" i="3" s="1"/>
  <c r="BV176" i="10"/>
  <c r="W176" i="5" s="1"/>
  <c r="AE177" i="3" s="1"/>
  <c r="BU3" i="10"/>
  <c r="BU4" i="10"/>
  <c r="BU5" i="10"/>
  <c r="BU6" i="10"/>
  <c r="BU7" i="10"/>
  <c r="BU8" i="10"/>
  <c r="BU9" i="10"/>
  <c r="BU10" i="10"/>
  <c r="BU11" i="10"/>
  <c r="BU12" i="10"/>
  <c r="BU13" i="10"/>
  <c r="BU14" i="10"/>
  <c r="BU15" i="10"/>
  <c r="BU16" i="10"/>
  <c r="BU17" i="10"/>
  <c r="BU18" i="10"/>
  <c r="BU19" i="10"/>
  <c r="BU20" i="10"/>
  <c r="BU21" i="10"/>
  <c r="BU22" i="10"/>
  <c r="BU23" i="10"/>
  <c r="BU24" i="10"/>
  <c r="BU25" i="10"/>
  <c r="BU26" i="10"/>
  <c r="BU27" i="10"/>
  <c r="BU28" i="10"/>
  <c r="BU29" i="10"/>
  <c r="BU30" i="10"/>
  <c r="BU31" i="10"/>
  <c r="BU32" i="10"/>
  <c r="BU33" i="10"/>
  <c r="BU34" i="10"/>
  <c r="BU35" i="10"/>
  <c r="BU36" i="10"/>
  <c r="BU37" i="10"/>
  <c r="BU38" i="10"/>
  <c r="BU39" i="10"/>
  <c r="BU40" i="10"/>
  <c r="BU41" i="10"/>
  <c r="BU42" i="10"/>
  <c r="BU43" i="10"/>
  <c r="BU44" i="10"/>
  <c r="BU45" i="10"/>
  <c r="BU46" i="10"/>
  <c r="BU47" i="10"/>
  <c r="BU48" i="10"/>
  <c r="BU49" i="10"/>
  <c r="BU50" i="10"/>
  <c r="BU51" i="10"/>
  <c r="BU52" i="10"/>
  <c r="BU53" i="10"/>
  <c r="BU54" i="10"/>
  <c r="BU55" i="10"/>
  <c r="BU56" i="10"/>
  <c r="BU57" i="10"/>
  <c r="BU58" i="10"/>
  <c r="BU59" i="10"/>
  <c r="BU60" i="10"/>
  <c r="BU61" i="10"/>
  <c r="BU62" i="10"/>
  <c r="BU63" i="10"/>
  <c r="BU64" i="10"/>
  <c r="BU65" i="10"/>
  <c r="BU66" i="10"/>
  <c r="BU67" i="10"/>
  <c r="BU68" i="10"/>
  <c r="BU69" i="10"/>
  <c r="BU70" i="10"/>
  <c r="BU71" i="10"/>
  <c r="BU72" i="10"/>
  <c r="BU73" i="10"/>
  <c r="BU74" i="10"/>
  <c r="BU75" i="10"/>
  <c r="BU76" i="10"/>
  <c r="BU77" i="10"/>
  <c r="BU78" i="10"/>
  <c r="BU79" i="10"/>
  <c r="BU80" i="10"/>
  <c r="BU81" i="10"/>
  <c r="BU82" i="10"/>
  <c r="BU83" i="10"/>
  <c r="BU84" i="10"/>
  <c r="BU85" i="10"/>
  <c r="BU86" i="10"/>
  <c r="BU87" i="10"/>
  <c r="BU88" i="10"/>
  <c r="BU89" i="10"/>
  <c r="BU90" i="10"/>
  <c r="BU91" i="10"/>
  <c r="BU92" i="10"/>
  <c r="BU93" i="10"/>
  <c r="BU94" i="10"/>
  <c r="BU95" i="10"/>
  <c r="BU96" i="10"/>
  <c r="BU97" i="10"/>
  <c r="BU98" i="10"/>
  <c r="BU99" i="10"/>
  <c r="BU100" i="10"/>
  <c r="BU101" i="10"/>
  <c r="BU102" i="10"/>
  <c r="BU103" i="10"/>
  <c r="BU104" i="10"/>
  <c r="BU105" i="10"/>
  <c r="BU106" i="10"/>
  <c r="BU107" i="10"/>
  <c r="BU108" i="10"/>
  <c r="BU109" i="10"/>
  <c r="BU110" i="10"/>
  <c r="BU111" i="10"/>
  <c r="BU112" i="10"/>
  <c r="BU113" i="10"/>
  <c r="BU114" i="10"/>
  <c r="BU115" i="10"/>
  <c r="BU116" i="10"/>
  <c r="BU117" i="10"/>
  <c r="BU118" i="10"/>
  <c r="BU119" i="10"/>
  <c r="BU120" i="10"/>
  <c r="BU121" i="10"/>
  <c r="BU122" i="10"/>
  <c r="BU123" i="10"/>
  <c r="BU124" i="10"/>
  <c r="BU125" i="10"/>
  <c r="BU126" i="10"/>
  <c r="BU127" i="10"/>
  <c r="BU128" i="10"/>
  <c r="BU129" i="10"/>
  <c r="BU130" i="10"/>
  <c r="BU131" i="10"/>
  <c r="BU132" i="10"/>
  <c r="BU133" i="10"/>
  <c r="BU134" i="10"/>
  <c r="BU135" i="10"/>
  <c r="BU136" i="10"/>
  <c r="BU137" i="10"/>
  <c r="BU138" i="10"/>
  <c r="BU139" i="10"/>
  <c r="BU140" i="10"/>
  <c r="BU141" i="10"/>
  <c r="BU142" i="10"/>
  <c r="BU143" i="10"/>
  <c r="BU144" i="10"/>
  <c r="BU145" i="10"/>
  <c r="BU146" i="10"/>
  <c r="BU147" i="10"/>
  <c r="BU148" i="10"/>
  <c r="BU149" i="10"/>
  <c r="BU150" i="10"/>
  <c r="BU151" i="10"/>
  <c r="BU152" i="10"/>
  <c r="BU153" i="10"/>
  <c r="BU154" i="10"/>
  <c r="BU155" i="10"/>
  <c r="BU156" i="10"/>
  <c r="BU157" i="10"/>
  <c r="BU158" i="10"/>
  <c r="BU159" i="10"/>
  <c r="BU160" i="10"/>
  <c r="BU161" i="10"/>
  <c r="BU162" i="10"/>
  <c r="BU163" i="10"/>
  <c r="BU164" i="10"/>
  <c r="BU165" i="10"/>
  <c r="BU166" i="10"/>
  <c r="BU167" i="10"/>
  <c r="BU168" i="10"/>
  <c r="BU169" i="10"/>
  <c r="BU170" i="10"/>
  <c r="BU171" i="10"/>
  <c r="BU172" i="10"/>
  <c r="BU173" i="10"/>
  <c r="BU174" i="10"/>
  <c r="BU175" i="10"/>
  <c r="BU176" i="10"/>
  <c r="BT3" i="10"/>
  <c r="CL3" i="10" s="1"/>
  <c r="BT4" i="10"/>
  <c r="CL4" i="10" s="1"/>
  <c r="BT5" i="10"/>
  <c r="CL5" i="10" s="1"/>
  <c r="BT6" i="10"/>
  <c r="CL6" i="10" s="1"/>
  <c r="BT7" i="10"/>
  <c r="CL7" i="10" s="1"/>
  <c r="BT8" i="10"/>
  <c r="CL8" i="10" s="1"/>
  <c r="BT9" i="10"/>
  <c r="CL9" i="10" s="1"/>
  <c r="BT10" i="10"/>
  <c r="CL10" i="10" s="1"/>
  <c r="BT11" i="10"/>
  <c r="CL11" i="10" s="1"/>
  <c r="BT12" i="10"/>
  <c r="CL12" i="10" s="1"/>
  <c r="BT13" i="10"/>
  <c r="CL13" i="10" s="1"/>
  <c r="BT14" i="10"/>
  <c r="CL14" i="10" s="1"/>
  <c r="BT15" i="10"/>
  <c r="CL15" i="10" s="1"/>
  <c r="BT16" i="10"/>
  <c r="CL16" i="10" s="1"/>
  <c r="BT17" i="10"/>
  <c r="CL17" i="10" s="1"/>
  <c r="BT18" i="10"/>
  <c r="CL18" i="10" s="1"/>
  <c r="BT19" i="10"/>
  <c r="CL19" i="10" s="1"/>
  <c r="BT20" i="10"/>
  <c r="CL20" i="10" s="1"/>
  <c r="BT21" i="10"/>
  <c r="CL21" i="10" s="1"/>
  <c r="BT22" i="10"/>
  <c r="CL22" i="10" s="1"/>
  <c r="BT23" i="10"/>
  <c r="CL23" i="10" s="1"/>
  <c r="BT24" i="10"/>
  <c r="CL24" i="10" s="1"/>
  <c r="BT25" i="10"/>
  <c r="CL25" i="10" s="1"/>
  <c r="BT26" i="10"/>
  <c r="CL26" i="10" s="1"/>
  <c r="BT27" i="10"/>
  <c r="CL27" i="10" s="1"/>
  <c r="BT28" i="10"/>
  <c r="CL28" i="10" s="1"/>
  <c r="BT29" i="10"/>
  <c r="CL29" i="10" s="1"/>
  <c r="BT30" i="10"/>
  <c r="CL30" i="10" s="1"/>
  <c r="BT31" i="10"/>
  <c r="CL31" i="10" s="1"/>
  <c r="BT32" i="10"/>
  <c r="CL32" i="10" s="1"/>
  <c r="BT33" i="10"/>
  <c r="CL33" i="10" s="1"/>
  <c r="BT34" i="10"/>
  <c r="CL34" i="10" s="1"/>
  <c r="BT35" i="10"/>
  <c r="CL35" i="10" s="1"/>
  <c r="BT36" i="10"/>
  <c r="CL36" i="10" s="1"/>
  <c r="BT37" i="10"/>
  <c r="CL37" i="10" s="1"/>
  <c r="BT38" i="10"/>
  <c r="CL38" i="10" s="1"/>
  <c r="BT39" i="10"/>
  <c r="CL39" i="10" s="1"/>
  <c r="BT40" i="10"/>
  <c r="CL40" i="10" s="1"/>
  <c r="BT41" i="10"/>
  <c r="CL41" i="10" s="1"/>
  <c r="BT42" i="10"/>
  <c r="CL42" i="10" s="1"/>
  <c r="BT43" i="10"/>
  <c r="CL43" i="10" s="1"/>
  <c r="BT44" i="10"/>
  <c r="CL44" i="10" s="1"/>
  <c r="BT45" i="10"/>
  <c r="CL45" i="10" s="1"/>
  <c r="BT46" i="10"/>
  <c r="CL46" i="10" s="1"/>
  <c r="BT47" i="10"/>
  <c r="CL47" i="10" s="1"/>
  <c r="BT48" i="10"/>
  <c r="CL48" i="10" s="1"/>
  <c r="BT49" i="10"/>
  <c r="CL49" i="10" s="1"/>
  <c r="BT50" i="10"/>
  <c r="CL50" i="10" s="1"/>
  <c r="BT51" i="10"/>
  <c r="CL51" i="10" s="1"/>
  <c r="BT52" i="10"/>
  <c r="CL52" i="10" s="1"/>
  <c r="BT53" i="10"/>
  <c r="CL53" i="10" s="1"/>
  <c r="BT54" i="10"/>
  <c r="CL54" i="10" s="1"/>
  <c r="BT55" i="10"/>
  <c r="CL55" i="10" s="1"/>
  <c r="BT56" i="10"/>
  <c r="CL56" i="10" s="1"/>
  <c r="BT57" i="10"/>
  <c r="CL57" i="10" s="1"/>
  <c r="BT58" i="10"/>
  <c r="CL58" i="10" s="1"/>
  <c r="BT59" i="10"/>
  <c r="CL59" i="10" s="1"/>
  <c r="BT60" i="10"/>
  <c r="CL60" i="10" s="1"/>
  <c r="BT61" i="10"/>
  <c r="CL61" i="10" s="1"/>
  <c r="BT62" i="10"/>
  <c r="CL62" i="10" s="1"/>
  <c r="BT63" i="10"/>
  <c r="CL63" i="10" s="1"/>
  <c r="BT64" i="10"/>
  <c r="CL64" i="10" s="1"/>
  <c r="BT65" i="10"/>
  <c r="CL65" i="10" s="1"/>
  <c r="BT66" i="10"/>
  <c r="CL66" i="10" s="1"/>
  <c r="BT67" i="10"/>
  <c r="CL67" i="10" s="1"/>
  <c r="BT68" i="10"/>
  <c r="CL68" i="10" s="1"/>
  <c r="BT69" i="10"/>
  <c r="CL69" i="10" s="1"/>
  <c r="BT70" i="10"/>
  <c r="CL70" i="10" s="1"/>
  <c r="BT71" i="10"/>
  <c r="CL71" i="10" s="1"/>
  <c r="BT72" i="10"/>
  <c r="CL72" i="10" s="1"/>
  <c r="BT73" i="10"/>
  <c r="CL73" i="10" s="1"/>
  <c r="BT74" i="10"/>
  <c r="CL74" i="10" s="1"/>
  <c r="BT75" i="10"/>
  <c r="CL75" i="10" s="1"/>
  <c r="BT76" i="10"/>
  <c r="CL76" i="10" s="1"/>
  <c r="BT77" i="10"/>
  <c r="CL77" i="10" s="1"/>
  <c r="BT78" i="10"/>
  <c r="CL78" i="10" s="1"/>
  <c r="BT79" i="10"/>
  <c r="CL79" i="10" s="1"/>
  <c r="BT80" i="10"/>
  <c r="CL80" i="10" s="1"/>
  <c r="BT81" i="10"/>
  <c r="CL81" i="10" s="1"/>
  <c r="BT82" i="10"/>
  <c r="CL82" i="10" s="1"/>
  <c r="BT83" i="10"/>
  <c r="CL83" i="10" s="1"/>
  <c r="BT84" i="10"/>
  <c r="CL84" i="10" s="1"/>
  <c r="BT85" i="10"/>
  <c r="CL85" i="10" s="1"/>
  <c r="BT86" i="10"/>
  <c r="CL86" i="10" s="1"/>
  <c r="BT87" i="10"/>
  <c r="CL87" i="10" s="1"/>
  <c r="BT88" i="10"/>
  <c r="CL88" i="10" s="1"/>
  <c r="BT89" i="10"/>
  <c r="CL89" i="10" s="1"/>
  <c r="BT90" i="10"/>
  <c r="CL90" i="10" s="1"/>
  <c r="BT91" i="10"/>
  <c r="CL91" i="10" s="1"/>
  <c r="BT92" i="10"/>
  <c r="CL92" i="10" s="1"/>
  <c r="BT93" i="10"/>
  <c r="CL93" i="10" s="1"/>
  <c r="BT94" i="10"/>
  <c r="CL94" i="10" s="1"/>
  <c r="BT95" i="10"/>
  <c r="CL95" i="10" s="1"/>
  <c r="BT96" i="10"/>
  <c r="CL96" i="10" s="1"/>
  <c r="BT97" i="10"/>
  <c r="CL97" i="10" s="1"/>
  <c r="BT98" i="10"/>
  <c r="CL98" i="10" s="1"/>
  <c r="BT99" i="10"/>
  <c r="CL99" i="10" s="1"/>
  <c r="BT100" i="10"/>
  <c r="CL100" i="10" s="1"/>
  <c r="BT101" i="10"/>
  <c r="CL101" i="10" s="1"/>
  <c r="BT102" i="10"/>
  <c r="CL102" i="10" s="1"/>
  <c r="BT103" i="10"/>
  <c r="CL103" i="10" s="1"/>
  <c r="BT104" i="10"/>
  <c r="CL104" i="10" s="1"/>
  <c r="BT105" i="10"/>
  <c r="CL105" i="10" s="1"/>
  <c r="BT106" i="10"/>
  <c r="CL106" i="10" s="1"/>
  <c r="BT107" i="10"/>
  <c r="CL107" i="10" s="1"/>
  <c r="BT108" i="10"/>
  <c r="CL108" i="10" s="1"/>
  <c r="BT109" i="10"/>
  <c r="CL109" i="10" s="1"/>
  <c r="BT110" i="10"/>
  <c r="CL110" i="10" s="1"/>
  <c r="BT111" i="10"/>
  <c r="CL111" i="10" s="1"/>
  <c r="BT112" i="10"/>
  <c r="CL112" i="10" s="1"/>
  <c r="BT113" i="10"/>
  <c r="CL113" i="10" s="1"/>
  <c r="BT114" i="10"/>
  <c r="CL114" i="10" s="1"/>
  <c r="BT115" i="10"/>
  <c r="CL115" i="10" s="1"/>
  <c r="BT116" i="10"/>
  <c r="CL116" i="10" s="1"/>
  <c r="BT117" i="10"/>
  <c r="CL117" i="10" s="1"/>
  <c r="BT118" i="10"/>
  <c r="CL118" i="10" s="1"/>
  <c r="BT119" i="10"/>
  <c r="CL119" i="10" s="1"/>
  <c r="BT120" i="10"/>
  <c r="CL120" i="10" s="1"/>
  <c r="BT121" i="10"/>
  <c r="CL121" i="10" s="1"/>
  <c r="BT122" i="10"/>
  <c r="CL122" i="10" s="1"/>
  <c r="BT123" i="10"/>
  <c r="CL123" i="10" s="1"/>
  <c r="BT124" i="10"/>
  <c r="CL124" i="10" s="1"/>
  <c r="BT125" i="10"/>
  <c r="CL125" i="10" s="1"/>
  <c r="BT126" i="10"/>
  <c r="CL126" i="10" s="1"/>
  <c r="BT127" i="10"/>
  <c r="CL127" i="10" s="1"/>
  <c r="BT128" i="10"/>
  <c r="CL128" i="10" s="1"/>
  <c r="BT129" i="10"/>
  <c r="CL129" i="10" s="1"/>
  <c r="BT130" i="10"/>
  <c r="CL130" i="10" s="1"/>
  <c r="BT131" i="10"/>
  <c r="CL131" i="10" s="1"/>
  <c r="BT132" i="10"/>
  <c r="CL132" i="10" s="1"/>
  <c r="BT133" i="10"/>
  <c r="CL133" i="10" s="1"/>
  <c r="BT134" i="10"/>
  <c r="CL134" i="10" s="1"/>
  <c r="BT135" i="10"/>
  <c r="CL135" i="10" s="1"/>
  <c r="BT136" i="10"/>
  <c r="CL136" i="10" s="1"/>
  <c r="BT137" i="10"/>
  <c r="CL137" i="10" s="1"/>
  <c r="BT138" i="10"/>
  <c r="CL138" i="10" s="1"/>
  <c r="BT139" i="10"/>
  <c r="CL139" i="10" s="1"/>
  <c r="BT140" i="10"/>
  <c r="CL140" i="10" s="1"/>
  <c r="BT141" i="10"/>
  <c r="CL141" i="10" s="1"/>
  <c r="BT142" i="10"/>
  <c r="CL142" i="10" s="1"/>
  <c r="BT143" i="10"/>
  <c r="CL143" i="10" s="1"/>
  <c r="BT144" i="10"/>
  <c r="CL144" i="10" s="1"/>
  <c r="BT145" i="10"/>
  <c r="CL145" i="10" s="1"/>
  <c r="BT146" i="10"/>
  <c r="CL146" i="10" s="1"/>
  <c r="BT147" i="10"/>
  <c r="CL147" i="10" s="1"/>
  <c r="BT148" i="10"/>
  <c r="CL148" i="10" s="1"/>
  <c r="BT149" i="10"/>
  <c r="CL149" i="10" s="1"/>
  <c r="BT150" i="10"/>
  <c r="CL150" i="10" s="1"/>
  <c r="BT151" i="10"/>
  <c r="CL151" i="10" s="1"/>
  <c r="BT152" i="10"/>
  <c r="CL152" i="10" s="1"/>
  <c r="BT153" i="10"/>
  <c r="CL153" i="10" s="1"/>
  <c r="BT154" i="10"/>
  <c r="CL154" i="10" s="1"/>
  <c r="BT155" i="10"/>
  <c r="CL155" i="10" s="1"/>
  <c r="BT156" i="10"/>
  <c r="CL156" i="10" s="1"/>
  <c r="BT157" i="10"/>
  <c r="CL157" i="10" s="1"/>
  <c r="BT158" i="10"/>
  <c r="CL158" i="10" s="1"/>
  <c r="BT159" i="10"/>
  <c r="CL159" i="10" s="1"/>
  <c r="BT160" i="10"/>
  <c r="CL160" i="10" s="1"/>
  <c r="BT161" i="10"/>
  <c r="CL161" i="10" s="1"/>
  <c r="BT162" i="10"/>
  <c r="CL162" i="10" s="1"/>
  <c r="BT163" i="10"/>
  <c r="CL163" i="10" s="1"/>
  <c r="BT164" i="10"/>
  <c r="CL164" i="10" s="1"/>
  <c r="BT165" i="10"/>
  <c r="CL165" i="10" s="1"/>
  <c r="BT166" i="10"/>
  <c r="CL166" i="10" s="1"/>
  <c r="BT167" i="10"/>
  <c r="CL167" i="10" s="1"/>
  <c r="BT168" i="10"/>
  <c r="CL168" i="10" s="1"/>
  <c r="BT169" i="10"/>
  <c r="CL169" i="10" s="1"/>
  <c r="BT170" i="10"/>
  <c r="CL170" i="10" s="1"/>
  <c r="BT171" i="10"/>
  <c r="CL171" i="10" s="1"/>
  <c r="BT172" i="10"/>
  <c r="CL172" i="10" s="1"/>
  <c r="BT173" i="10"/>
  <c r="CL173" i="10" s="1"/>
  <c r="BT174" i="10"/>
  <c r="CL174" i="10" s="1"/>
  <c r="BT175" i="10"/>
  <c r="CL175" i="10" s="1"/>
  <c r="BT176" i="10"/>
  <c r="CL176" i="10" s="1"/>
  <c r="BS3" i="10"/>
  <c r="BS4" i="10"/>
  <c r="BS5" i="10"/>
  <c r="BS6" i="10"/>
  <c r="BS7" i="10"/>
  <c r="BS8" i="10"/>
  <c r="BS9" i="10"/>
  <c r="BS10" i="10"/>
  <c r="BS11" i="10"/>
  <c r="BS12" i="10"/>
  <c r="BS13" i="10"/>
  <c r="BS14" i="10"/>
  <c r="BS15" i="10"/>
  <c r="BS16" i="10"/>
  <c r="BS17" i="10"/>
  <c r="BS18" i="10"/>
  <c r="BS19" i="10"/>
  <c r="BS20" i="10"/>
  <c r="BS21" i="10"/>
  <c r="BS22" i="10"/>
  <c r="BS23" i="10"/>
  <c r="BS24" i="10"/>
  <c r="BS25" i="10"/>
  <c r="BS26" i="10"/>
  <c r="BS27" i="10"/>
  <c r="BS28" i="10"/>
  <c r="BS29" i="10"/>
  <c r="BS30" i="10"/>
  <c r="BS31" i="10"/>
  <c r="BS32" i="10"/>
  <c r="BS33" i="10"/>
  <c r="BS34" i="10"/>
  <c r="BS35" i="10"/>
  <c r="BS36" i="10"/>
  <c r="BS37" i="10"/>
  <c r="BS38" i="10"/>
  <c r="BS39" i="10"/>
  <c r="BS40" i="10"/>
  <c r="BS41" i="10"/>
  <c r="BS42" i="10"/>
  <c r="BS43" i="10"/>
  <c r="BS44" i="10"/>
  <c r="BS45" i="10"/>
  <c r="BS46" i="10"/>
  <c r="BS47" i="10"/>
  <c r="BS48" i="10"/>
  <c r="BS49" i="10"/>
  <c r="BS50" i="10"/>
  <c r="BS51" i="10"/>
  <c r="BS52" i="10"/>
  <c r="BS53" i="10"/>
  <c r="BS54" i="10"/>
  <c r="BS55" i="10"/>
  <c r="BS56" i="10"/>
  <c r="BS57" i="10"/>
  <c r="BS58" i="10"/>
  <c r="BS59" i="10"/>
  <c r="BS60" i="10"/>
  <c r="BS61" i="10"/>
  <c r="BS62" i="10"/>
  <c r="BS63" i="10"/>
  <c r="BS64" i="10"/>
  <c r="BS65" i="10"/>
  <c r="BS66" i="10"/>
  <c r="BS67" i="10"/>
  <c r="BS68" i="10"/>
  <c r="BS69" i="10"/>
  <c r="BS70" i="10"/>
  <c r="BS71" i="10"/>
  <c r="BS72" i="10"/>
  <c r="BS73" i="10"/>
  <c r="BS74" i="10"/>
  <c r="BS75" i="10"/>
  <c r="BS76" i="10"/>
  <c r="BS77" i="10"/>
  <c r="BS78" i="10"/>
  <c r="BS79" i="10"/>
  <c r="BS80" i="10"/>
  <c r="BS81" i="10"/>
  <c r="BS82" i="10"/>
  <c r="BS83" i="10"/>
  <c r="BS84" i="10"/>
  <c r="BS85" i="10"/>
  <c r="BS86" i="10"/>
  <c r="BS87" i="10"/>
  <c r="BS88" i="10"/>
  <c r="BS89" i="10"/>
  <c r="BS90" i="10"/>
  <c r="BS91" i="10"/>
  <c r="BS92" i="10"/>
  <c r="BS93" i="10"/>
  <c r="BS94" i="10"/>
  <c r="BS95" i="10"/>
  <c r="BS96" i="10"/>
  <c r="BS97" i="10"/>
  <c r="BS98" i="10"/>
  <c r="BS99" i="10"/>
  <c r="BS100" i="10"/>
  <c r="BS101" i="10"/>
  <c r="BS102" i="10"/>
  <c r="BS103" i="10"/>
  <c r="BS104" i="10"/>
  <c r="BS105" i="10"/>
  <c r="BS106" i="10"/>
  <c r="BS107" i="10"/>
  <c r="BS108" i="10"/>
  <c r="BS109" i="10"/>
  <c r="BS110" i="10"/>
  <c r="BS111" i="10"/>
  <c r="BS112" i="10"/>
  <c r="BS113" i="10"/>
  <c r="BS114" i="10"/>
  <c r="BS115" i="10"/>
  <c r="BS116" i="10"/>
  <c r="BS117" i="10"/>
  <c r="BS118" i="10"/>
  <c r="BS119" i="10"/>
  <c r="BS120" i="10"/>
  <c r="BS121" i="10"/>
  <c r="BS122" i="10"/>
  <c r="BS123" i="10"/>
  <c r="BS124" i="10"/>
  <c r="BS125" i="10"/>
  <c r="BS126" i="10"/>
  <c r="BS127" i="10"/>
  <c r="BS128" i="10"/>
  <c r="BS129" i="10"/>
  <c r="BS130" i="10"/>
  <c r="BS131" i="10"/>
  <c r="BS132" i="10"/>
  <c r="BS133" i="10"/>
  <c r="BS134" i="10"/>
  <c r="BS135" i="10"/>
  <c r="BS136" i="10"/>
  <c r="BS137" i="10"/>
  <c r="BS138" i="10"/>
  <c r="BS139" i="10"/>
  <c r="BS140" i="10"/>
  <c r="BS141" i="10"/>
  <c r="BS142" i="10"/>
  <c r="BS143" i="10"/>
  <c r="BS144" i="10"/>
  <c r="BS145" i="10"/>
  <c r="BS146" i="10"/>
  <c r="BS147" i="10"/>
  <c r="BS148" i="10"/>
  <c r="BS149" i="10"/>
  <c r="BS150" i="10"/>
  <c r="BS151" i="10"/>
  <c r="BS152" i="10"/>
  <c r="BS153" i="10"/>
  <c r="BS154" i="10"/>
  <c r="BS155" i="10"/>
  <c r="BS156" i="10"/>
  <c r="BS157" i="10"/>
  <c r="BS158" i="10"/>
  <c r="BS159" i="10"/>
  <c r="BS160" i="10"/>
  <c r="BS161" i="10"/>
  <c r="BS162" i="10"/>
  <c r="BS163" i="10"/>
  <c r="BS164" i="10"/>
  <c r="BS165" i="10"/>
  <c r="BS166" i="10"/>
  <c r="BS167" i="10"/>
  <c r="BS168" i="10"/>
  <c r="BS169" i="10"/>
  <c r="BS170" i="10"/>
  <c r="BS171" i="10"/>
  <c r="BS172" i="10"/>
  <c r="BS173" i="10"/>
  <c r="BS174" i="10"/>
  <c r="BS175" i="10"/>
  <c r="BS176" i="10"/>
  <c r="BR3" i="10"/>
  <c r="BR4" i="10"/>
  <c r="BR5" i="10"/>
  <c r="BR6" i="10"/>
  <c r="BR7" i="10"/>
  <c r="BR8" i="10"/>
  <c r="BR9" i="10"/>
  <c r="BR10" i="10"/>
  <c r="BR11" i="10"/>
  <c r="BR12" i="10"/>
  <c r="BR13" i="10"/>
  <c r="BR14" i="10"/>
  <c r="BR15" i="10"/>
  <c r="BR16" i="10"/>
  <c r="BR17" i="10"/>
  <c r="BR18" i="10"/>
  <c r="BR19" i="10"/>
  <c r="BR20" i="10"/>
  <c r="BR21" i="10"/>
  <c r="BR22" i="10"/>
  <c r="BR23" i="10"/>
  <c r="BR24" i="10"/>
  <c r="BR25" i="10"/>
  <c r="BR26" i="10"/>
  <c r="BR27" i="10"/>
  <c r="BR28" i="10"/>
  <c r="BR29" i="10"/>
  <c r="BR30" i="10"/>
  <c r="BR31" i="10"/>
  <c r="BR32" i="10"/>
  <c r="BR33" i="10"/>
  <c r="BR34" i="10"/>
  <c r="BR35" i="10"/>
  <c r="BR36" i="10"/>
  <c r="BR37" i="10"/>
  <c r="BR38" i="10"/>
  <c r="BR39" i="10"/>
  <c r="BR40" i="10"/>
  <c r="BR41" i="10"/>
  <c r="BR42" i="10"/>
  <c r="BR43" i="10"/>
  <c r="BR44" i="10"/>
  <c r="BR45" i="10"/>
  <c r="BR46" i="10"/>
  <c r="BR47" i="10"/>
  <c r="BR48" i="10"/>
  <c r="BR49" i="10"/>
  <c r="BR50" i="10"/>
  <c r="BR51" i="10"/>
  <c r="BR52" i="10"/>
  <c r="BR53" i="10"/>
  <c r="BR54" i="10"/>
  <c r="BR55" i="10"/>
  <c r="BR56" i="10"/>
  <c r="BR57" i="10"/>
  <c r="BR58" i="10"/>
  <c r="BR59" i="10"/>
  <c r="BR60" i="10"/>
  <c r="BR61" i="10"/>
  <c r="BR62" i="10"/>
  <c r="BR63" i="10"/>
  <c r="BR64" i="10"/>
  <c r="BR65" i="10"/>
  <c r="BR66" i="10"/>
  <c r="BR67" i="10"/>
  <c r="BR68" i="10"/>
  <c r="BR69" i="10"/>
  <c r="BR70" i="10"/>
  <c r="BR71" i="10"/>
  <c r="BR72" i="10"/>
  <c r="BR73" i="10"/>
  <c r="BR74" i="10"/>
  <c r="BR75" i="10"/>
  <c r="BR76" i="10"/>
  <c r="BR77" i="10"/>
  <c r="BR78" i="10"/>
  <c r="BR79" i="10"/>
  <c r="BR80" i="10"/>
  <c r="BR81" i="10"/>
  <c r="BR82" i="10"/>
  <c r="BR83" i="10"/>
  <c r="BR84" i="10"/>
  <c r="BR85" i="10"/>
  <c r="BR86" i="10"/>
  <c r="BR87" i="10"/>
  <c r="BR88" i="10"/>
  <c r="BR89" i="10"/>
  <c r="BR90" i="10"/>
  <c r="BR91" i="10"/>
  <c r="BR92" i="10"/>
  <c r="BR93" i="10"/>
  <c r="BR94" i="10"/>
  <c r="BR95" i="10"/>
  <c r="BR96" i="10"/>
  <c r="BR97" i="10"/>
  <c r="BR98" i="10"/>
  <c r="BR99" i="10"/>
  <c r="BR100" i="10"/>
  <c r="BR101" i="10"/>
  <c r="BR102" i="10"/>
  <c r="BR103" i="10"/>
  <c r="BR104" i="10"/>
  <c r="BR105" i="10"/>
  <c r="BR106" i="10"/>
  <c r="BR107" i="10"/>
  <c r="BR108" i="10"/>
  <c r="BR109" i="10"/>
  <c r="BR110" i="10"/>
  <c r="BR111" i="10"/>
  <c r="BR112" i="10"/>
  <c r="BR113" i="10"/>
  <c r="BR114" i="10"/>
  <c r="BR115" i="10"/>
  <c r="BR116" i="10"/>
  <c r="BR117" i="10"/>
  <c r="BR118" i="10"/>
  <c r="BR119" i="10"/>
  <c r="BR120" i="10"/>
  <c r="BR121" i="10"/>
  <c r="BR122" i="10"/>
  <c r="BR123" i="10"/>
  <c r="BR124" i="10"/>
  <c r="BR125" i="10"/>
  <c r="BR126" i="10"/>
  <c r="BR127" i="10"/>
  <c r="BR128" i="10"/>
  <c r="BR129" i="10"/>
  <c r="BR130" i="10"/>
  <c r="BR131" i="10"/>
  <c r="BR132" i="10"/>
  <c r="BR133" i="10"/>
  <c r="BR134" i="10"/>
  <c r="BR135" i="10"/>
  <c r="BR136" i="10"/>
  <c r="BR137" i="10"/>
  <c r="BR138" i="10"/>
  <c r="BR139" i="10"/>
  <c r="BR140" i="10"/>
  <c r="BR141" i="10"/>
  <c r="BR142" i="10"/>
  <c r="BR143" i="10"/>
  <c r="BR144" i="10"/>
  <c r="BR145" i="10"/>
  <c r="BR146" i="10"/>
  <c r="BR147" i="10"/>
  <c r="BR148" i="10"/>
  <c r="BR149" i="10"/>
  <c r="BR150" i="10"/>
  <c r="BR151" i="10"/>
  <c r="BR152" i="10"/>
  <c r="BR153" i="10"/>
  <c r="BR154" i="10"/>
  <c r="BR155" i="10"/>
  <c r="BR156" i="10"/>
  <c r="BR157" i="10"/>
  <c r="BR158" i="10"/>
  <c r="BR159" i="10"/>
  <c r="BR160" i="10"/>
  <c r="BR161" i="10"/>
  <c r="BR162" i="10"/>
  <c r="BR163" i="10"/>
  <c r="BR164" i="10"/>
  <c r="BR165" i="10"/>
  <c r="BR166" i="10"/>
  <c r="BR167" i="10"/>
  <c r="BR168" i="10"/>
  <c r="BR169" i="10"/>
  <c r="BR170" i="10"/>
  <c r="BR171" i="10"/>
  <c r="BR172" i="10"/>
  <c r="BR173" i="10"/>
  <c r="BR174" i="10"/>
  <c r="BR175" i="10"/>
  <c r="BR176" i="10"/>
  <c r="BQ3" i="10"/>
  <c r="CK3" i="10" s="1"/>
  <c r="BQ4" i="10"/>
  <c r="CK4" i="10" s="1"/>
  <c r="BQ5" i="10"/>
  <c r="CK5" i="10" s="1"/>
  <c r="BQ6" i="10"/>
  <c r="CK6" i="10" s="1"/>
  <c r="BQ7" i="10"/>
  <c r="CK7" i="10" s="1"/>
  <c r="BQ8" i="10"/>
  <c r="CK8" i="10" s="1"/>
  <c r="BQ9" i="10"/>
  <c r="CK9" i="10" s="1"/>
  <c r="BQ10" i="10"/>
  <c r="CK10" i="10" s="1"/>
  <c r="BQ11" i="10"/>
  <c r="CK11" i="10" s="1"/>
  <c r="BQ12" i="10"/>
  <c r="CK12" i="10" s="1"/>
  <c r="BQ13" i="10"/>
  <c r="CK13" i="10" s="1"/>
  <c r="BQ14" i="10"/>
  <c r="CK14" i="10" s="1"/>
  <c r="BQ15" i="10"/>
  <c r="CK15" i="10" s="1"/>
  <c r="BQ16" i="10"/>
  <c r="CK16" i="10" s="1"/>
  <c r="BQ17" i="10"/>
  <c r="CK17" i="10" s="1"/>
  <c r="BQ18" i="10"/>
  <c r="CK18" i="10" s="1"/>
  <c r="BQ19" i="10"/>
  <c r="CK19" i="10" s="1"/>
  <c r="BQ20" i="10"/>
  <c r="CK20" i="10" s="1"/>
  <c r="BQ21" i="10"/>
  <c r="CK21" i="10" s="1"/>
  <c r="BQ22" i="10"/>
  <c r="CK22" i="10" s="1"/>
  <c r="BQ23" i="10"/>
  <c r="CK23" i="10" s="1"/>
  <c r="BQ24" i="10"/>
  <c r="CK24" i="10" s="1"/>
  <c r="BQ25" i="10"/>
  <c r="CK25" i="10" s="1"/>
  <c r="BQ26" i="10"/>
  <c r="CK26" i="10" s="1"/>
  <c r="BQ27" i="10"/>
  <c r="CK27" i="10" s="1"/>
  <c r="BQ28" i="10"/>
  <c r="CK28" i="10" s="1"/>
  <c r="BQ29" i="10"/>
  <c r="CK29" i="10" s="1"/>
  <c r="BQ30" i="10"/>
  <c r="CK30" i="10" s="1"/>
  <c r="BQ31" i="10"/>
  <c r="CK31" i="10" s="1"/>
  <c r="BQ32" i="10"/>
  <c r="CK32" i="10" s="1"/>
  <c r="BQ33" i="10"/>
  <c r="CK33" i="10" s="1"/>
  <c r="BQ34" i="10"/>
  <c r="CK34" i="10" s="1"/>
  <c r="BQ35" i="10"/>
  <c r="CK35" i="10" s="1"/>
  <c r="BQ36" i="10"/>
  <c r="CK36" i="10" s="1"/>
  <c r="BQ37" i="10"/>
  <c r="CK37" i="10" s="1"/>
  <c r="BQ38" i="10"/>
  <c r="CK38" i="10" s="1"/>
  <c r="BQ39" i="10"/>
  <c r="CK39" i="10" s="1"/>
  <c r="BQ40" i="10"/>
  <c r="CK40" i="10" s="1"/>
  <c r="BQ41" i="10"/>
  <c r="CK41" i="10" s="1"/>
  <c r="BQ42" i="10"/>
  <c r="CK42" i="10" s="1"/>
  <c r="BQ43" i="10"/>
  <c r="CK43" i="10" s="1"/>
  <c r="BQ44" i="10"/>
  <c r="CK44" i="10" s="1"/>
  <c r="BQ45" i="10"/>
  <c r="CK45" i="10" s="1"/>
  <c r="BQ46" i="10"/>
  <c r="CK46" i="10" s="1"/>
  <c r="BQ47" i="10"/>
  <c r="CK47" i="10" s="1"/>
  <c r="BQ48" i="10"/>
  <c r="CK48" i="10" s="1"/>
  <c r="BQ49" i="10"/>
  <c r="CK49" i="10" s="1"/>
  <c r="BQ50" i="10"/>
  <c r="CK50" i="10" s="1"/>
  <c r="BQ51" i="10"/>
  <c r="CK51" i="10" s="1"/>
  <c r="BQ52" i="10"/>
  <c r="CK52" i="10" s="1"/>
  <c r="BQ53" i="10"/>
  <c r="CK53" i="10" s="1"/>
  <c r="BQ54" i="10"/>
  <c r="CK54" i="10" s="1"/>
  <c r="BQ55" i="10"/>
  <c r="CK55" i="10" s="1"/>
  <c r="BQ56" i="10"/>
  <c r="CK56" i="10" s="1"/>
  <c r="BQ57" i="10"/>
  <c r="CK57" i="10" s="1"/>
  <c r="BQ58" i="10"/>
  <c r="CK58" i="10" s="1"/>
  <c r="BQ59" i="10"/>
  <c r="CK59" i="10" s="1"/>
  <c r="BQ60" i="10"/>
  <c r="CK60" i="10" s="1"/>
  <c r="BQ61" i="10"/>
  <c r="CK61" i="10" s="1"/>
  <c r="BQ62" i="10"/>
  <c r="CK62" i="10" s="1"/>
  <c r="BQ63" i="10"/>
  <c r="CK63" i="10" s="1"/>
  <c r="BQ64" i="10"/>
  <c r="CK64" i="10" s="1"/>
  <c r="BQ65" i="10"/>
  <c r="CK65" i="10" s="1"/>
  <c r="BQ66" i="10"/>
  <c r="CK66" i="10" s="1"/>
  <c r="BQ67" i="10"/>
  <c r="CK67" i="10" s="1"/>
  <c r="BQ68" i="10"/>
  <c r="CK68" i="10" s="1"/>
  <c r="BQ69" i="10"/>
  <c r="CK69" i="10" s="1"/>
  <c r="BQ70" i="10"/>
  <c r="CK70" i="10" s="1"/>
  <c r="BQ71" i="10"/>
  <c r="CK71" i="10" s="1"/>
  <c r="BQ72" i="10"/>
  <c r="CK72" i="10" s="1"/>
  <c r="BQ73" i="10"/>
  <c r="CK73" i="10" s="1"/>
  <c r="BQ74" i="10"/>
  <c r="CK74" i="10" s="1"/>
  <c r="BQ75" i="10"/>
  <c r="CK75" i="10" s="1"/>
  <c r="BQ76" i="10"/>
  <c r="CK76" i="10" s="1"/>
  <c r="BQ77" i="10"/>
  <c r="CK77" i="10" s="1"/>
  <c r="BQ78" i="10"/>
  <c r="CK78" i="10" s="1"/>
  <c r="BQ79" i="10"/>
  <c r="CK79" i="10" s="1"/>
  <c r="BQ80" i="10"/>
  <c r="CK80" i="10" s="1"/>
  <c r="BQ81" i="10"/>
  <c r="CK81" i="10" s="1"/>
  <c r="BQ82" i="10"/>
  <c r="CK82" i="10" s="1"/>
  <c r="BQ83" i="10"/>
  <c r="CK83" i="10" s="1"/>
  <c r="BQ84" i="10"/>
  <c r="CK84" i="10" s="1"/>
  <c r="BQ85" i="10"/>
  <c r="CK85" i="10" s="1"/>
  <c r="BQ86" i="10"/>
  <c r="CK86" i="10" s="1"/>
  <c r="BQ87" i="10"/>
  <c r="CK87" i="10" s="1"/>
  <c r="BQ88" i="10"/>
  <c r="CK88" i="10" s="1"/>
  <c r="BQ89" i="10"/>
  <c r="CK89" i="10" s="1"/>
  <c r="BQ90" i="10"/>
  <c r="CK90" i="10" s="1"/>
  <c r="BQ91" i="10"/>
  <c r="CK91" i="10" s="1"/>
  <c r="BQ92" i="10"/>
  <c r="CK92" i="10" s="1"/>
  <c r="BQ93" i="10"/>
  <c r="CK93" i="10" s="1"/>
  <c r="BQ94" i="10"/>
  <c r="CK94" i="10" s="1"/>
  <c r="BQ95" i="10"/>
  <c r="CK95" i="10" s="1"/>
  <c r="BQ96" i="10"/>
  <c r="CK96" i="10" s="1"/>
  <c r="BQ97" i="10"/>
  <c r="CK97" i="10" s="1"/>
  <c r="BQ98" i="10"/>
  <c r="CK98" i="10" s="1"/>
  <c r="BQ99" i="10"/>
  <c r="CK99" i="10" s="1"/>
  <c r="BQ100" i="10"/>
  <c r="CK100" i="10" s="1"/>
  <c r="BQ101" i="10"/>
  <c r="CK101" i="10" s="1"/>
  <c r="BQ102" i="10"/>
  <c r="CK102" i="10" s="1"/>
  <c r="BQ103" i="10"/>
  <c r="CK103" i="10" s="1"/>
  <c r="BQ104" i="10"/>
  <c r="CK104" i="10" s="1"/>
  <c r="BQ105" i="10"/>
  <c r="CK105" i="10" s="1"/>
  <c r="BQ106" i="10"/>
  <c r="CK106" i="10" s="1"/>
  <c r="BQ107" i="10"/>
  <c r="CK107" i="10" s="1"/>
  <c r="BQ108" i="10"/>
  <c r="CK108" i="10" s="1"/>
  <c r="BQ109" i="10"/>
  <c r="CK109" i="10" s="1"/>
  <c r="BQ110" i="10"/>
  <c r="CK110" i="10" s="1"/>
  <c r="BQ111" i="10"/>
  <c r="CK111" i="10" s="1"/>
  <c r="BQ112" i="10"/>
  <c r="CK112" i="10" s="1"/>
  <c r="BQ113" i="10"/>
  <c r="CK113" i="10" s="1"/>
  <c r="BQ114" i="10"/>
  <c r="CK114" i="10" s="1"/>
  <c r="BQ115" i="10"/>
  <c r="CK115" i="10" s="1"/>
  <c r="BQ116" i="10"/>
  <c r="CK116" i="10" s="1"/>
  <c r="BQ117" i="10"/>
  <c r="CK117" i="10" s="1"/>
  <c r="BQ118" i="10"/>
  <c r="CK118" i="10" s="1"/>
  <c r="BQ119" i="10"/>
  <c r="CK119" i="10" s="1"/>
  <c r="BQ120" i="10"/>
  <c r="CK120" i="10" s="1"/>
  <c r="BQ121" i="10"/>
  <c r="CK121" i="10" s="1"/>
  <c r="BQ122" i="10"/>
  <c r="CK122" i="10" s="1"/>
  <c r="BQ123" i="10"/>
  <c r="CK123" i="10" s="1"/>
  <c r="BQ124" i="10"/>
  <c r="CK124" i="10" s="1"/>
  <c r="BQ125" i="10"/>
  <c r="CK125" i="10" s="1"/>
  <c r="BQ126" i="10"/>
  <c r="CK126" i="10" s="1"/>
  <c r="BQ127" i="10"/>
  <c r="CK127" i="10" s="1"/>
  <c r="BQ128" i="10"/>
  <c r="CK128" i="10" s="1"/>
  <c r="BQ129" i="10"/>
  <c r="CK129" i="10" s="1"/>
  <c r="BQ130" i="10"/>
  <c r="CK130" i="10" s="1"/>
  <c r="BQ131" i="10"/>
  <c r="CK131" i="10" s="1"/>
  <c r="BQ132" i="10"/>
  <c r="CK132" i="10" s="1"/>
  <c r="BQ133" i="10"/>
  <c r="CK133" i="10" s="1"/>
  <c r="BQ134" i="10"/>
  <c r="CK134" i="10" s="1"/>
  <c r="BQ135" i="10"/>
  <c r="CK135" i="10" s="1"/>
  <c r="BQ136" i="10"/>
  <c r="CK136" i="10" s="1"/>
  <c r="BQ137" i="10"/>
  <c r="CK137" i="10" s="1"/>
  <c r="BQ138" i="10"/>
  <c r="CK138" i="10" s="1"/>
  <c r="BQ139" i="10"/>
  <c r="CK139" i="10" s="1"/>
  <c r="BQ140" i="10"/>
  <c r="CK140" i="10" s="1"/>
  <c r="BQ141" i="10"/>
  <c r="CK141" i="10" s="1"/>
  <c r="BQ142" i="10"/>
  <c r="CK142" i="10" s="1"/>
  <c r="BQ143" i="10"/>
  <c r="CK143" i="10" s="1"/>
  <c r="BQ144" i="10"/>
  <c r="CK144" i="10" s="1"/>
  <c r="BQ145" i="10"/>
  <c r="CK145" i="10" s="1"/>
  <c r="BQ146" i="10"/>
  <c r="CK146" i="10" s="1"/>
  <c r="BQ147" i="10"/>
  <c r="CK147" i="10" s="1"/>
  <c r="BQ148" i="10"/>
  <c r="CK148" i="10" s="1"/>
  <c r="BQ149" i="10"/>
  <c r="CK149" i="10" s="1"/>
  <c r="BQ150" i="10"/>
  <c r="CK150" i="10" s="1"/>
  <c r="BQ151" i="10"/>
  <c r="CK151" i="10" s="1"/>
  <c r="BQ152" i="10"/>
  <c r="CK152" i="10" s="1"/>
  <c r="BQ153" i="10"/>
  <c r="CK153" i="10" s="1"/>
  <c r="BQ154" i="10"/>
  <c r="CK154" i="10" s="1"/>
  <c r="BQ155" i="10"/>
  <c r="CK155" i="10" s="1"/>
  <c r="BQ156" i="10"/>
  <c r="CK156" i="10" s="1"/>
  <c r="BQ157" i="10"/>
  <c r="CK157" i="10" s="1"/>
  <c r="BQ158" i="10"/>
  <c r="CK158" i="10" s="1"/>
  <c r="BQ159" i="10"/>
  <c r="CK159" i="10" s="1"/>
  <c r="BQ160" i="10"/>
  <c r="CK160" i="10" s="1"/>
  <c r="BQ161" i="10"/>
  <c r="CK161" i="10" s="1"/>
  <c r="BQ162" i="10"/>
  <c r="CK162" i="10" s="1"/>
  <c r="BQ163" i="10"/>
  <c r="CK163" i="10" s="1"/>
  <c r="BQ164" i="10"/>
  <c r="CK164" i="10" s="1"/>
  <c r="BQ165" i="10"/>
  <c r="CK165" i="10" s="1"/>
  <c r="BQ166" i="10"/>
  <c r="CK166" i="10" s="1"/>
  <c r="BQ167" i="10"/>
  <c r="CK167" i="10" s="1"/>
  <c r="BQ168" i="10"/>
  <c r="CK168" i="10" s="1"/>
  <c r="BQ169" i="10"/>
  <c r="CK169" i="10" s="1"/>
  <c r="BQ170" i="10"/>
  <c r="CK170" i="10" s="1"/>
  <c r="BQ171" i="10"/>
  <c r="CK171" i="10" s="1"/>
  <c r="BQ172" i="10"/>
  <c r="CK172" i="10" s="1"/>
  <c r="BQ173" i="10"/>
  <c r="CK173" i="10" s="1"/>
  <c r="BQ174" i="10"/>
  <c r="CK174" i="10" s="1"/>
  <c r="BQ175" i="10"/>
  <c r="CK175" i="10" s="1"/>
  <c r="BQ176" i="10"/>
  <c r="CK176" i="10" s="1"/>
  <c r="BP3" i="10"/>
  <c r="BP4" i="10"/>
  <c r="BP5" i="10"/>
  <c r="BP6" i="10"/>
  <c r="BP7" i="10"/>
  <c r="BP8" i="10"/>
  <c r="BP9" i="10"/>
  <c r="BP10" i="10"/>
  <c r="BP11" i="10"/>
  <c r="BP12" i="10"/>
  <c r="BP13" i="10"/>
  <c r="BP14" i="10"/>
  <c r="BP15" i="10"/>
  <c r="BP16" i="10"/>
  <c r="BP17" i="10"/>
  <c r="BP18" i="10"/>
  <c r="BP19" i="10"/>
  <c r="BP20" i="10"/>
  <c r="BP21" i="10"/>
  <c r="BP22" i="10"/>
  <c r="BP23" i="10"/>
  <c r="BP24" i="10"/>
  <c r="BP25" i="10"/>
  <c r="BP26" i="10"/>
  <c r="BP27" i="10"/>
  <c r="BP28" i="10"/>
  <c r="BP29" i="10"/>
  <c r="BP30" i="10"/>
  <c r="BP31" i="10"/>
  <c r="BP32" i="10"/>
  <c r="BP33" i="10"/>
  <c r="BP34" i="10"/>
  <c r="BP35" i="10"/>
  <c r="BP36" i="10"/>
  <c r="BP37" i="10"/>
  <c r="BP38" i="10"/>
  <c r="BP39" i="10"/>
  <c r="BP40" i="10"/>
  <c r="BP41" i="10"/>
  <c r="BP42" i="10"/>
  <c r="BP43" i="10"/>
  <c r="BP44" i="10"/>
  <c r="BP45" i="10"/>
  <c r="BP46" i="10"/>
  <c r="BP47" i="10"/>
  <c r="BP48" i="10"/>
  <c r="BP49" i="10"/>
  <c r="BP50" i="10"/>
  <c r="BP51" i="10"/>
  <c r="BP52" i="10"/>
  <c r="BP53" i="10"/>
  <c r="BP54" i="10"/>
  <c r="BP55" i="10"/>
  <c r="BP56" i="10"/>
  <c r="BP57" i="10"/>
  <c r="BP58" i="10"/>
  <c r="BP59" i="10"/>
  <c r="BP60" i="10"/>
  <c r="BP61" i="10"/>
  <c r="BP62" i="10"/>
  <c r="BP63" i="10"/>
  <c r="BP64" i="10"/>
  <c r="BP65" i="10"/>
  <c r="BP66" i="10"/>
  <c r="BP67" i="10"/>
  <c r="BP68" i="10"/>
  <c r="BP69" i="10"/>
  <c r="BP70" i="10"/>
  <c r="BP71" i="10"/>
  <c r="BP72" i="10"/>
  <c r="BP73" i="10"/>
  <c r="BP74" i="10"/>
  <c r="BP75" i="10"/>
  <c r="BP76" i="10"/>
  <c r="BP77" i="10"/>
  <c r="BP78" i="10"/>
  <c r="BP79" i="10"/>
  <c r="BP80" i="10"/>
  <c r="BP81" i="10"/>
  <c r="BP82" i="10"/>
  <c r="BP83" i="10"/>
  <c r="BP84" i="10"/>
  <c r="BP85" i="10"/>
  <c r="BP86" i="10"/>
  <c r="BP87" i="10"/>
  <c r="BP88" i="10"/>
  <c r="BP89" i="10"/>
  <c r="BP90" i="10"/>
  <c r="BP91" i="10"/>
  <c r="BP92" i="10"/>
  <c r="BP93" i="10"/>
  <c r="BP94" i="10"/>
  <c r="BP95" i="10"/>
  <c r="BP96" i="10"/>
  <c r="BP97" i="10"/>
  <c r="BP98" i="10"/>
  <c r="BP99" i="10"/>
  <c r="BP100" i="10"/>
  <c r="BP101" i="10"/>
  <c r="BP102" i="10"/>
  <c r="BP103" i="10"/>
  <c r="BP104" i="10"/>
  <c r="BP105" i="10"/>
  <c r="BP106" i="10"/>
  <c r="BP107" i="10"/>
  <c r="BP108" i="10"/>
  <c r="BP109" i="10"/>
  <c r="BP110" i="10"/>
  <c r="BP111" i="10"/>
  <c r="BP112" i="10"/>
  <c r="BP113" i="10"/>
  <c r="BP114" i="10"/>
  <c r="BP115" i="10"/>
  <c r="BP116" i="10"/>
  <c r="BP117" i="10"/>
  <c r="BP118" i="10"/>
  <c r="BP119" i="10"/>
  <c r="BP120" i="10"/>
  <c r="BP121" i="10"/>
  <c r="BP122" i="10"/>
  <c r="BP123" i="10"/>
  <c r="BP124" i="10"/>
  <c r="BP125" i="10"/>
  <c r="BP126" i="10"/>
  <c r="BP127" i="10"/>
  <c r="BP128" i="10"/>
  <c r="BP129" i="10"/>
  <c r="BP130" i="10"/>
  <c r="BP131" i="10"/>
  <c r="BP132" i="10"/>
  <c r="BP133" i="10"/>
  <c r="BP134" i="10"/>
  <c r="BP135" i="10"/>
  <c r="BP136" i="10"/>
  <c r="BP137" i="10"/>
  <c r="BP138" i="10"/>
  <c r="BP139" i="10"/>
  <c r="BP140" i="10"/>
  <c r="BP141" i="10"/>
  <c r="BP142" i="10"/>
  <c r="BP143" i="10"/>
  <c r="BP144" i="10"/>
  <c r="BP145" i="10"/>
  <c r="BP146" i="10"/>
  <c r="BP147" i="10"/>
  <c r="BP148" i="10"/>
  <c r="BP149" i="10"/>
  <c r="BP150" i="10"/>
  <c r="BP151" i="10"/>
  <c r="BP152" i="10"/>
  <c r="BP153" i="10"/>
  <c r="BP154" i="10"/>
  <c r="BP155" i="10"/>
  <c r="BP156" i="10"/>
  <c r="BP157" i="10"/>
  <c r="BP158" i="10"/>
  <c r="BP159" i="10"/>
  <c r="BP160" i="10"/>
  <c r="BP161" i="10"/>
  <c r="BP162" i="10"/>
  <c r="BP163" i="10"/>
  <c r="BP164" i="10"/>
  <c r="BP165" i="10"/>
  <c r="BP166" i="10"/>
  <c r="BP167" i="10"/>
  <c r="BP168" i="10"/>
  <c r="BP169" i="10"/>
  <c r="BP170" i="10"/>
  <c r="BP171" i="10"/>
  <c r="BP172" i="10"/>
  <c r="BP173" i="10"/>
  <c r="BP174" i="10"/>
  <c r="BP175" i="10"/>
  <c r="BP176" i="10"/>
  <c r="BO3" i="10"/>
  <c r="BO4" i="10"/>
  <c r="BO5" i="10"/>
  <c r="BO6" i="10"/>
  <c r="BO7" i="10"/>
  <c r="BO8" i="10"/>
  <c r="BO9" i="10"/>
  <c r="BO10" i="10"/>
  <c r="BO11" i="10"/>
  <c r="BO12" i="10"/>
  <c r="BO13" i="10"/>
  <c r="BO14" i="10"/>
  <c r="BO15" i="10"/>
  <c r="BO16" i="10"/>
  <c r="BO17" i="10"/>
  <c r="BO18" i="10"/>
  <c r="BO19" i="10"/>
  <c r="BO20" i="10"/>
  <c r="BO21" i="10"/>
  <c r="BO22" i="10"/>
  <c r="BO23" i="10"/>
  <c r="BO24" i="10"/>
  <c r="BO25" i="10"/>
  <c r="BO26" i="10"/>
  <c r="BO27" i="10"/>
  <c r="BO28" i="10"/>
  <c r="BO29" i="10"/>
  <c r="BO30" i="10"/>
  <c r="BO31" i="10"/>
  <c r="BO32" i="10"/>
  <c r="BO33" i="10"/>
  <c r="BO34" i="10"/>
  <c r="BO35" i="10"/>
  <c r="BO36" i="10"/>
  <c r="BO37" i="10"/>
  <c r="BO38" i="10"/>
  <c r="BO39" i="10"/>
  <c r="BO40" i="10"/>
  <c r="BO41" i="10"/>
  <c r="BO42" i="10"/>
  <c r="BO43" i="10"/>
  <c r="BO44" i="10"/>
  <c r="BO45" i="10"/>
  <c r="BO46" i="10"/>
  <c r="BO47" i="10"/>
  <c r="BO48" i="10"/>
  <c r="BO49" i="10"/>
  <c r="BO50" i="10"/>
  <c r="BO51" i="10"/>
  <c r="BO52" i="10"/>
  <c r="BO53" i="10"/>
  <c r="BO54" i="10"/>
  <c r="BO55" i="10"/>
  <c r="BO56" i="10"/>
  <c r="BO57" i="10"/>
  <c r="BO58" i="10"/>
  <c r="BO59" i="10"/>
  <c r="BO60" i="10"/>
  <c r="BO61" i="10"/>
  <c r="BO62" i="10"/>
  <c r="BO63" i="10"/>
  <c r="BO64" i="10"/>
  <c r="BO65" i="10"/>
  <c r="BO66" i="10"/>
  <c r="BO67" i="10"/>
  <c r="BO68" i="10"/>
  <c r="BO69" i="10"/>
  <c r="BO70" i="10"/>
  <c r="BO71" i="10"/>
  <c r="BO72" i="10"/>
  <c r="BO73" i="10"/>
  <c r="BO74" i="10"/>
  <c r="BO75" i="10"/>
  <c r="BO76" i="10"/>
  <c r="BO77" i="10"/>
  <c r="BO78" i="10"/>
  <c r="BO79" i="10"/>
  <c r="BO80" i="10"/>
  <c r="BO81" i="10"/>
  <c r="BO82" i="10"/>
  <c r="BO83" i="10"/>
  <c r="BO84" i="10"/>
  <c r="BO85" i="10"/>
  <c r="BO86" i="10"/>
  <c r="BO87" i="10"/>
  <c r="BO88" i="10"/>
  <c r="BO89" i="10"/>
  <c r="BO90" i="10"/>
  <c r="BO91" i="10"/>
  <c r="BO92" i="10"/>
  <c r="BO93" i="10"/>
  <c r="BO94" i="10"/>
  <c r="BO95" i="10"/>
  <c r="BO96" i="10"/>
  <c r="BO97" i="10"/>
  <c r="BO98" i="10"/>
  <c r="BO99" i="10"/>
  <c r="BO100" i="10"/>
  <c r="BO101" i="10"/>
  <c r="BO102" i="10"/>
  <c r="BO103" i="10"/>
  <c r="BO104" i="10"/>
  <c r="BO105" i="10"/>
  <c r="BO106" i="10"/>
  <c r="BO107" i="10"/>
  <c r="BO108" i="10"/>
  <c r="BO109" i="10"/>
  <c r="BO110" i="10"/>
  <c r="BO111" i="10"/>
  <c r="BO112" i="10"/>
  <c r="BO113" i="10"/>
  <c r="BO114" i="10"/>
  <c r="BO115" i="10"/>
  <c r="BO116" i="10"/>
  <c r="BO117" i="10"/>
  <c r="BO118" i="10"/>
  <c r="BO119" i="10"/>
  <c r="BO120" i="10"/>
  <c r="BO121" i="10"/>
  <c r="BO122" i="10"/>
  <c r="BO123" i="10"/>
  <c r="BO124" i="10"/>
  <c r="BO125" i="10"/>
  <c r="BO126" i="10"/>
  <c r="BO127" i="10"/>
  <c r="BO128" i="10"/>
  <c r="BO129" i="10"/>
  <c r="BO130" i="10"/>
  <c r="BO131" i="10"/>
  <c r="BO132" i="10"/>
  <c r="BO133" i="10"/>
  <c r="BO134" i="10"/>
  <c r="BO135" i="10"/>
  <c r="BO136" i="10"/>
  <c r="BO137" i="10"/>
  <c r="BO138" i="10"/>
  <c r="BO139" i="10"/>
  <c r="BO140" i="10"/>
  <c r="BO141" i="10"/>
  <c r="BO142" i="10"/>
  <c r="BO143" i="10"/>
  <c r="BO144" i="10"/>
  <c r="BO145" i="10"/>
  <c r="BO146" i="10"/>
  <c r="BO147" i="10"/>
  <c r="BO148" i="10"/>
  <c r="BO149" i="10"/>
  <c r="BO150" i="10"/>
  <c r="BO151" i="10"/>
  <c r="BO152" i="10"/>
  <c r="BO153" i="10"/>
  <c r="BO154" i="10"/>
  <c r="BO155" i="10"/>
  <c r="BO156" i="10"/>
  <c r="BO157" i="10"/>
  <c r="BO158" i="10"/>
  <c r="BO159" i="10"/>
  <c r="BO160" i="10"/>
  <c r="BO161" i="10"/>
  <c r="BO162" i="10"/>
  <c r="BO163" i="10"/>
  <c r="BO164" i="10"/>
  <c r="BO165" i="10"/>
  <c r="BO166" i="10"/>
  <c r="BO167" i="10"/>
  <c r="BO168" i="10"/>
  <c r="BO169" i="10"/>
  <c r="BO170" i="10"/>
  <c r="BO171" i="10"/>
  <c r="BO172" i="10"/>
  <c r="BO173" i="10"/>
  <c r="BO174" i="10"/>
  <c r="BO175" i="10"/>
  <c r="BO176" i="10"/>
  <c r="BN3" i="10"/>
  <c r="BN4" i="10"/>
  <c r="BN5" i="10"/>
  <c r="BN6" i="10"/>
  <c r="BN7" i="10"/>
  <c r="BN8" i="10"/>
  <c r="BN9" i="10"/>
  <c r="BN10" i="10"/>
  <c r="BN11" i="10"/>
  <c r="BN12" i="10"/>
  <c r="BN13" i="10"/>
  <c r="BN14" i="10"/>
  <c r="BN15" i="10"/>
  <c r="BN16" i="10"/>
  <c r="BN17" i="10"/>
  <c r="BN18" i="10"/>
  <c r="BN19" i="10"/>
  <c r="BN20" i="10"/>
  <c r="BN21" i="10"/>
  <c r="BN22" i="10"/>
  <c r="BN23" i="10"/>
  <c r="BN24" i="10"/>
  <c r="BN25" i="10"/>
  <c r="BN26" i="10"/>
  <c r="BN27" i="10"/>
  <c r="BN28" i="10"/>
  <c r="BN29" i="10"/>
  <c r="BN30" i="10"/>
  <c r="BN31" i="10"/>
  <c r="BN32" i="10"/>
  <c r="BN33" i="10"/>
  <c r="BN34" i="10"/>
  <c r="BN35" i="10"/>
  <c r="BN36" i="10"/>
  <c r="BN37" i="10"/>
  <c r="BN38" i="10"/>
  <c r="BN39" i="10"/>
  <c r="BN40" i="10"/>
  <c r="BN41" i="10"/>
  <c r="BN42" i="10"/>
  <c r="BN43" i="10"/>
  <c r="BN44" i="10"/>
  <c r="BN45" i="10"/>
  <c r="BN46" i="10"/>
  <c r="BN47" i="10"/>
  <c r="BN48" i="10"/>
  <c r="BN49" i="10"/>
  <c r="BN50" i="10"/>
  <c r="BN51" i="10"/>
  <c r="BN52" i="10"/>
  <c r="BN53" i="10"/>
  <c r="BN54" i="10"/>
  <c r="BN55" i="10"/>
  <c r="BN56" i="10"/>
  <c r="BN57" i="10"/>
  <c r="BN58" i="10"/>
  <c r="BN59" i="10"/>
  <c r="BN60" i="10"/>
  <c r="BN61" i="10"/>
  <c r="BN62" i="10"/>
  <c r="BN63" i="10"/>
  <c r="BN64" i="10"/>
  <c r="BN65" i="10"/>
  <c r="BN66" i="10"/>
  <c r="BN67" i="10"/>
  <c r="BN68" i="10"/>
  <c r="BN69" i="10"/>
  <c r="BN70" i="10"/>
  <c r="BN71" i="10"/>
  <c r="BN72" i="10"/>
  <c r="BN73" i="10"/>
  <c r="BN74" i="10"/>
  <c r="BN75" i="10"/>
  <c r="BN76" i="10"/>
  <c r="BN77" i="10"/>
  <c r="BN78" i="10"/>
  <c r="BN79" i="10"/>
  <c r="BN80" i="10"/>
  <c r="BN81" i="10"/>
  <c r="BN82" i="10"/>
  <c r="BN83" i="10"/>
  <c r="BN84" i="10"/>
  <c r="BN85" i="10"/>
  <c r="BN86" i="10"/>
  <c r="BN87" i="10"/>
  <c r="BN88" i="10"/>
  <c r="BN89" i="10"/>
  <c r="BN90" i="10"/>
  <c r="BN91" i="10"/>
  <c r="BN92" i="10"/>
  <c r="BN93" i="10"/>
  <c r="BN94" i="10"/>
  <c r="BN95" i="10"/>
  <c r="BN96" i="10"/>
  <c r="BN97" i="10"/>
  <c r="BN98" i="10"/>
  <c r="BN99" i="10"/>
  <c r="BN100" i="10"/>
  <c r="BN101" i="10"/>
  <c r="BN102" i="10"/>
  <c r="BN103" i="10"/>
  <c r="BN104" i="10"/>
  <c r="BN105" i="10"/>
  <c r="BN106" i="10"/>
  <c r="BN107" i="10"/>
  <c r="BN108" i="10"/>
  <c r="BN109" i="10"/>
  <c r="BN110" i="10"/>
  <c r="BN111" i="10"/>
  <c r="BN112" i="10"/>
  <c r="BN113" i="10"/>
  <c r="BN114" i="10"/>
  <c r="BN115" i="10"/>
  <c r="BN116" i="10"/>
  <c r="BN117" i="10"/>
  <c r="BN118" i="10"/>
  <c r="BN119" i="10"/>
  <c r="BN120" i="10"/>
  <c r="BN121" i="10"/>
  <c r="BN122" i="10"/>
  <c r="BN123" i="10"/>
  <c r="BN124" i="10"/>
  <c r="BN125" i="10"/>
  <c r="BN126" i="10"/>
  <c r="BN127" i="10"/>
  <c r="BN128" i="10"/>
  <c r="BN129" i="10"/>
  <c r="BN130" i="10"/>
  <c r="BN131" i="10"/>
  <c r="BN132" i="10"/>
  <c r="BN133" i="10"/>
  <c r="BN134" i="10"/>
  <c r="BN135" i="10"/>
  <c r="BN136" i="10"/>
  <c r="BN137" i="10"/>
  <c r="BN138" i="10"/>
  <c r="BN139" i="10"/>
  <c r="BN140" i="10"/>
  <c r="BN141" i="10"/>
  <c r="BN142" i="10"/>
  <c r="BN143" i="10"/>
  <c r="BN144" i="10"/>
  <c r="BN145" i="10"/>
  <c r="BN146" i="10"/>
  <c r="BN147" i="10"/>
  <c r="BN148" i="10"/>
  <c r="BN149" i="10"/>
  <c r="BN150" i="10"/>
  <c r="BN151" i="10"/>
  <c r="BN152" i="10"/>
  <c r="BN153" i="10"/>
  <c r="BN154" i="10"/>
  <c r="BN155" i="10"/>
  <c r="BN156" i="10"/>
  <c r="BN157" i="10"/>
  <c r="BN158" i="10"/>
  <c r="BN159" i="10"/>
  <c r="BN160" i="10"/>
  <c r="BN161" i="10"/>
  <c r="BN162" i="10"/>
  <c r="BN163" i="10"/>
  <c r="BN164" i="10"/>
  <c r="BN165" i="10"/>
  <c r="BN166" i="10"/>
  <c r="BN167" i="10"/>
  <c r="BN168" i="10"/>
  <c r="BN169" i="10"/>
  <c r="BN170" i="10"/>
  <c r="BN171" i="10"/>
  <c r="BN172" i="10"/>
  <c r="BN173" i="10"/>
  <c r="BN174" i="10"/>
  <c r="BN175" i="10"/>
  <c r="BN176" i="10"/>
  <c r="BM3" i="10"/>
  <c r="BM4" i="10"/>
  <c r="BM5" i="10"/>
  <c r="BM6" i="10"/>
  <c r="BM7" i="10"/>
  <c r="BM8" i="10"/>
  <c r="BM9" i="10"/>
  <c r="BM10" i="10"/>
  <c r="BM11" i="10"/>
  <c r="BM12" i="10"/>
  <c r="BM13" i="10"/>
  <c r="BM14" i="10"/>
  <c r="BM15" i="10"/>
  <c r="BM16" i="10"/>
  <c r="BM17" i="10"/>
  <c r="BM18" i="10"/>
  <c r="BM19" i="10"/>
  <c r="BM20" i="10"/>
  <c r="BM21" i="10"/>
  <c r="BM22" i="10"/>
  <c r="BM23" i="10"/>
  <c r="BM24" i="10"/>
  <c r="BM25" i="10"/>
  <c r="BM26" i="10"/>
  <c r="BM27" i="10"/>
  <c r="BM28" i="10"/>
  <c r="BM29" i="10"/>
  <c r="BM30" i="10"/>
  <c r="BM31" i="10"/>
  <c r="BM32" i="10"/>
  <c r="BM33" i="10"/>
  <c r="BM34" i="10"/>
  <c r="BM35" i="10"/>
  <c r="BM36" i="10"/>
  <c r="BM37" i="10"/>
  <c r="BM38" i="10"/>
  <c r="BM39" i="10"/>
  <c r="BM40" i="10"/>
  <c r="BM41" i="10"/>
  <c r="BM42" i="10"/>
  <c r="BM43" i="10"/>
  <c r="BM44" i="10"/>
  <c r="BM45" i="10"/>
  <c r="BM46" i="10"/>
  <c r="BM47" i="10"/>
  <c r="BM48" i="10"/>
  <c r="BM49" i="10"/>
  <c r="BM50" i="10"/>
  <c r="BM51" i="10"/>
  <c r="BM52" i="10"/>
  <c r="BM53" i="10"/>
  <c r="BM54" i="10"/>
  <c r="BM55" i="10"/>
  <c r="BM56" i="10"/>
  <c r="BM57" i="10"/>
  <c r="BM58" i="10"/>
  <c r="BM59" i="10"/>
  <c r="BM60" i="10"/>
  <c r="BM61" i="10"/>
  <c r="BM62" i="10"/>
  <c r="BM63" i="10"/>
  <c r="BM64" i="10"/>
  <c r="BM65" i="10"/>
  <c r="BM66" i="10"/>
  <c r="BM67" i="10"/>
  <c r="BM68" i="10"/>
  <c r="BM69" i="10"/>
  <c r="BM70" i="10"/>
  <c r="BM71" i="10"/>
  <c r="BM72" i="10"/>
  <c r="BM73" i="10"/>
  <c r="BM74" i="10"/>
  <c r="BM75" i="10"/>
  <c r="BM76" i="10"/>
  <c r="BM77" i="10"/>
  <c r="BM78" i="10"/>
  <c r="BM79" i="10"/>
  <c r="BM80" i="10"/>
  <c r="BM81" i="10"/>
  <c r="BM82" i="10"/>
  <c r="BM83" i="10"/>
  <c r="BM84" i="10"/>
  <c r="BM85" i="10"/>
  <c r="BM86" i="10"/>
  <c r="BM87" i="10"/>
  <c r="BM88" i="10"/>
  <c r="BM89" i="10"/>
  <c r="BM90" i="10"/>
  <c r="BM91" i="10"/>
  <c r="BM92" i="10"/>
  <c r="BM93" i="10"/>
  <c r="BM94" i="10"/>
  <c r="BM95" i="10"/>
  <c r="BM96" i="10"/>
  <c r="BM97" i="10"/>
  <c r="BM98" i="10"/>
  <c r="BM99" i="10"/>
  <c r="BM100" i="10"/>
  <c r="BM101" i="10"/>
  <c r="BM102" i="10"/>
  <c r="BM103" i="10"/>
  <c r="BM104" i="10"/>
  <c r="BM105" i="10"/>
  <c r="BM106" i="10"/>
  <c r="BM107" i="10"/>
  <c r="BM108" i="10"/>
  <c r="BM109" i="10"/>
  <c r="BM110" i="10"/>
  <c r="BM111" i="10"/>
  <c r="BM112" i="10"/>
  <c r="BM113" i="10"/>
  <c r="BM114" i="10"/>
  <c r="BM115" i="10"/>
  <c r="BM116" i="10"/>
  <c r="BM117" i="10"/>
  <c r="BM118" i="10"/>
  <c r="BM119" i="10"/>
  <c r="BM120" i="10"/>
  <c r="BM121" i="10"/>
  <c r="BM122" i="10"/>
  <c r="BM123" i="10"/>
  <c r="BM124" i="10"/>
  <c r="BM125" i="10"/>
  <c r="BM126" i="10"/>
  <c r="BM127" i="10"/>
  <c r="BM128" i="10"/>
  <c r="BM129" i="10"/>
  <c r="BM130" i="10"/>
  <c r="BM131" i="10"/>
  <c r="BM132" i="10"/>
  <c r="BM133" i="10"/>
  <c r="BM134" i="10"/>
  <c r="BM135" i="10"/>
  <c r="BM136" i="10"/>
  <c r="BM137" i="10"/>
  <c r="BM138" i="10"/>
  <c r="BM139" i="10"/>
  <c r="BM140" i="10"/>
  <c r="BM141" i="10"/>
  <c r="BM142" i="10"/>
  <c r="BM143" i="10"/>
  <c r="BM144" i="10"/>
  <c r="BM145" i="10"/>
  <c r="BM146" i="10"/>
  <c r="BM147" i="10"/>
  <c r="BM148" i="10"/>
  <c r="BM149" i="10"/>
  <c r="BM150" i="10"/>
  <c r="BM151" i="10"/>
  <c r="BM152" i="10"/>
  <c r="BM153" i="10"/>
  <c r="BM154" i="10"/>
  <c r="BM155" i="10"/>
  <c r="BM156" i="10"/>
  <c r="BM157" i="10"/>
  <c r="BM158" i="10"/>
  <c r="BM159" i="10"/>
  <c r="BM160" i="10"/>
  <c r="BM161" i="10"/>
  <c r="BM162" i="10"/>
  <c r="BM163" i="10"/>
  <c r="BM164" i="10"/>
  <c r="BM165" i="10"/>
  <c r="BM166" i="10"/>
  <c r="BM167" i="10"/>
  <c r="BM168" i="10"/>
  <c r="BM169" i="10"/>
  <c r="BM170" i="10"/>
  <c r="BM171" i="10"/>
  <c r="BM172" i="10"/>
  <c r="BM173" i="10"/>
  <c r="BM174" i="10"/>
  <c r="BM175" i="10"/>
  <c r="BM176" i="10"/>
  <c r="BL3" i="10"/>
  <c r="BL4" i="10"/>
  <c r="BL5" i="10"/>
  <c r="BL6" i="10"/>
  <c r="BL7" i="10"/>
  <c r="BL8" i="10"/>
  <c r="BL9" i="10"/>
  <c r="BL10" i="10"/>
  <c r="BL11" i="10"/>
  <c r="BL12" i="10"/>
  <c r="BL13" i="10"/>
  <c r="BL14" i="10"/>
  <c r="BL15" i="10"/>
  <c r="BL16" i="10"/>
  <c r="BL17" i="10"/>
  <c r="BL18" i="10"/>
  <c r="BL19" i="10"/>
  <c r="BL20" i="10"/>
  <c r="BL21" i="10"/>
  <c r="BL22" i="10"/>
  <c r="BL23" i="10"/>
  <c r="BL24" i="10"/>
  <c r="BL25" i="10"/>
  <c r="BL26" i="10"/>
  <c r="BL27" i="10"/>
  <c r="BL28" i="10"/>
  <c r="BL29" i="10"/>
  <c r="BL30" i="10"/>
  <c r="BL31" i="10"/>
  <c r="BL32" i="10"/>
  <c r="BL33" i="10"/>
  <c r="BL34" i="10"/>
  <c r="BL35" i="10"/>
  <c r="BL36" i="10"/>
  <c r="BL37" i="10"/>
  <c r="BL38" i="10"/>
  <c r="BL39" i="10"/>
  <c r="BL40" i="10"/>
  <c r="BL41" i="10"/>
  <c r="BL42" i="10"/>
  <c r="BL43" i="10"/>
  <c r="BL44" i="10"/>
  <c r="BL45" i="10"/>
  <c r="BL46" i="10"/>
  <c r="BL47" i="10"/>
  <c r="BL48" i="10"/>
  <c r="BL49" i="10"/>
  <c r="BL50" i="10"/>
  <c r="BL51" i="10"/>
  <c r="BL52" i="10"/>
  <c r="BL53" i="10"/>
  <c r="BL54" i="10"/>
  <c r="BL55" i="10"/>
  <c r="BL56" i="10"/>
  <c r="BL57" i="10"/>
  <c r="BL58" i="10"/>
  <c r="BL59" i="10"/>
  <c r="BL60" i="10"/>
  <c r="BL61" i="10"/>
  <c r="BL62" i="10"/>
  <c r="BL63" i="10"/>
  <c r="BL64" i="10"/>
  <c r="BL65" i="10"/>
  <c r="BL66" i="10"/>
  <c r="BL67" i="10"/>
  <c r="BL68" i="10"/>
  <c r="BL69" i="10"/>
  <c r="BL70" i="10"/>
  <c r="BL71" i="10"/>
  <c r="BL72" i="10"/>
  <c r="BL73" i="10"/>
  <c r="BL74" i="10"/>
  <c r="BL75" i="10"/>
  <c r="BL76" i="10"/>
  <c r="BL77" i="10"/>
  <c r="BL78" i="10"/>
  <c r="BL79" i="10"/>
  <c r="BL80" i="10"/>
  <c r="BL81" i="10"/>
  <c r="BL82" i="10"/>
  <c r="BL83" i="10"/>
  <c r="BL84" i="10"/>
  <c r="BL85" i="10"/>
  <c r="BL86" i="10"/>
  <c r="BL87" i="10"/>
  <c r="BL88" i="10"/>
  <c r="BL89" i="10"/>
  <c r="BL90" i="10"/>
  <c r="BL91" i="10"/>
  <c r="BL92" i="10"/>
  <c r="BL93" i="10"/>
  <c r="BL94" i="10"/>
  <c r="BL95" i="10"/>
  <c r="BL96" i="10"/>
  <c r="BL97" i="10"/>
  <c r="BL98" i="10"/>
  <c r="BL99" i="10"/>
  <c r="BL100" i="10"/>
  <c r="BL101" i="10"/>
  <c r="BL102" i="10"/>
  <c r="BL103" i="10"/>
  <c r="BL104" i="10"/>
  <c r="BL105" i="10"/>
  <c r="BL106" i="10"/>
  <c r="BL107" i="10"/>
  <c r="BL108" i="10"/>
  <c r="BL109" i="10"/>
  <c r="BL110" i="10"/>
  <c r="BL111" i="10"/>
  <c r="BL112" i="10"/>
  <c r="BL113" i="10"/>
  <c r="BL114" i="10"/>
  <c r="BL115" i="10"/>
  <c r="BL116" i="10"/>
  <c r="BL117" i="10"/>
  <c r="BL118" i="10"/>
  <c r="BL119" i="10"/>
  <c r="BL120" i="10"/>
  <c r="BL121" i="10"/>
  <c r="BL122" i="10"/>
  <c r="BL123" i="10"/>
  <c r="BL124" i="10"/>
  <c r="BL125" i="10"/>
  <c r="BL126" i="10"/>
  <c r="BL127" i="10"/>
  <c r="BL128" i="10"/>
  <c r="BL129" i="10"/>
  <c r="BL130" i="10"/>
  <c r="BL131" i="10"/>
  <c r="BL132" i="10"/>
  <c r="BL133" i="10"/>
  <c r="BL134" i="10"/>
  <c r="BL135" i="10"/>
  <c r="BL136" i="10"/>
  <c r="BL137" i="10"/>
  <c r="BL138" i="10"/>
  <c r="BL139" i="10"/>
  <c r="BL140" i="10"/>
  <c r="BL141" i="10"/>
  <c r="BL142" i="10"/>
  <c r="BL143" i="10"/>
  <c r="BL144" i="10"/>
  <c r="BL145" i="10"/>
  <c r="BL146" i="10"/>
  <c r="BL147" i="10"/>
  <c r="BL148" i="10"/>
  <c r="BL149" i="10"/>
  <c r="BL150" i="10"/>
  <c r="BL151" i="10"/>
  <c r="BL152" i="10"/>
  <c r="BL153" i="10"/>
  <c r="BL154" i="10"/>
  <c r="BL155" i="10"/>
  <c r="BL156" i="10"/>
  <c r="BL157" i="10"/>
  <c r="BL158" i="10"/>
  <c r="BL159" i="10"/>
  <c r="BL160" i="10"/>
  <c r="BL161" i="10"/>
  <c r="BL162" i="10"/>
  <c r="BL163" i="10"/>
  <c r="BL164" i="10"/>
  <c r="BL165" i="10"/>
  <c r="BL166" i="10"/>
  <c r="BL167" i="10"/>
  <c r="BL168" i="10"/>
  <c r="BL169" i="10"/>
  <c r="BL170" i="10"/>
  <c r="BL171" i="10"/>
  <c r="BL172" i="10"/>
  <c r="BL173" i="10"/>
  <c r="BL174" i="10"/>
  <c r="BL175" i="10"/>
  <c r="BL176" i="10"/>
  <c r="BK3" i="10"/>
  <c r="BK4" i="10"/>
  <c r="BK5" i="10"/>
  <c r="BK6" i="10"/>
  <c r="BK7" i="10"/>
  <c r="BK8" i="10"/>
  <c r="BK9" i="10"/>
  <c r="BK10" i="10"/>
  <c r="BK11" i="10"/>
  <c r="BK12" i="10"/>
  <c r="BK13" i="10"/>
  <c r="BK14" i="10"/>
  <c r="BK15" i="10"/>
  <c r="BK16" i="10"/>
  <c r="BK17" i="10"/>
  <c r="BK18" i="10"/>
  <c r="BK19" i="10"/>
  <c r="BK20" i="10"/>
  <c r="BK21" i="10"/>
  <c r="BK22" i="10"/>
  <c r="BK23" i="10"/>
  <c r="BK24" i="10"/>
  <c r="BK25" i="10"/>
  <c r="BK26" i="10"/>
  <c r="BK27" i="10"/>
  <c r="BK28" i="10"/>
  <c r="BK29" i="10"/>
  <c r="BK30" i="10"/>
  <c r="BK31" i="10"/>
  <c r="BK32" i="10"/>
  <c r="BK33" i="10"/>
  <c r="BK34" i="10"/>
  <c r="BK35" i="10"/>
  <c r="BK36" i="10"/>
  <c r="BK37" i="10"/>
  <c r="BK38" i="10"/>
  <c r="BK39" i="10"/>
  <c r="BK40" i="10"/>
  <c r="BK41" i="10"/>
  <c r="BK42" i="10"/>
  <c r="BK43" i="10"/>
  <c r="BK44" i="10"/>
  <c r="BK45" i="10"/>
  <c r="BK46" i="10"/>
  <c r="BK47" i="10"/>
  <c r="BK48" i="10"/>
  <c r="BK49" i="10"/>
  <c r="BK50" i="10"/>
  <c r="BK51" i="10"/>
  <c r="BK52" i="10"/>
  <c r="BK53" i="10"/>
  <c r="BK54" i="10"/>
  <c r="BK55" i="10"/>
  <c r="BK56" i="10"/>
  <c r="BK57" i="10"/>
  <c r="BK58" i="10"/>
  <c r="BK59" i="10"/>
  <c r="BK60" i="10"/>
  <c r="BK61" i="10"/>
  <c r="BK62" i="10"/>
  <c r="BK63" i="10"/>
  <c r="BK64" i="10"/>
  <c r="BK65" i="10"/>
  <c r="BK66" i="10"/>
  <c r="BK67" i="10"/>
  <c r="BK68" i="10"/>
  <c r="BK69" i="10"/>
  <c r="BK70" i="10"/>
  <c r="BK71" i="10"/>
  <c r="BK72" i="10"/>
  <c r="BK73" i="10"/>
  <c r="BK74" i="10"/>
  <c r="BK75" i="10"/>
  <c r="BK76" i="10"/>
  <c r="BK77" i="10"/>
  <c r="BK78" i="10"/>
  <c r="BK79" i="10"/>
  <c r="BK80" i="10"/>
  <c r="BK81" i="10"/>
  <c r="BK82" i="10"/>
  <c r="BK83" i="10"/>
  <c r="BK84" i="10"/>
  <c r="BK85" i="10"/>
  <c r="BK86" i="10"/>
  <c r="BK87" i="10"/>
  <c r="BK88" i="10"/>
  <c r="BK89" i="10"/>
  <c r="BK90" i="10"/>
  <c r="BK91" i="10"/>
  <c r="BK92" i="10"/>
  <c r="BK93" i="10"/>
  <c r="BK94" i="10"/>
  <c r="BK95" i="10"/>
  <c r="BK96" i="10"/>
  <c r="BK97" i="10"/>
  <c r="BK98" i="10"/>
  <c r="BK99" i="10"/>
  <c r="BK100" i="10"/>
  <c r="BK101" i="10"/>
  <c r="BK102" i="10"/>
  <c r="BK103" i="10"/>
  <c r="BK104" i="10"/>
  <c r="BK105" i="10"/>
  <c r="BK106" i="10"/>
  <c r="BK107" i="10"/>
  <c r="BK108" i="10"/>
  <c r="BK109" i="10"/>
  <c r="BK110" i="10"/>
  <c r="BK111" i="10"/>
  <c r="BK112" i="10"/>
  <c r="BK113" i="10"/>
  <c r="BK114" i="10"/>
  <c r="BK115" i="10"/>
  <c r="BK116" i="10"/>
  <c r="BK117" i="10"/>
  <c r="BK118" i="10"/>
  <c r="BK119" i="10"/>
  <c r="BK120" i="10"/>
  <c r="BK121" i="10"/>
  <c r="BK122" i="10"/>
  <c r="BK123" i="10"/>
  <c r="BK124" i="10"/>
  <c r="BK125" i="10"/>
  <c r="BK126" i="10"/>
  <c r="BK127" i="10"/>
  <c r="BK128" i="10"/>
  <c r="BK129" i="10"/>
  <c r="BK130" i="10"/>
  <c r="BK131" i="10"/>
  <c r="BK132" i="10"/>
  <c r="BK133" i="10"/>
  <c r="BK134" i="10"/>
  <c r="BK135" i="10"/>
  <c r="BK136" i="10"/>
  <c r="BK137" i="10"/>
  <c r="BK138" i="10"/>
  <c r="BK139" i="10"/>
  <c r="BK140" i="10"/>
  <c r="BK141" i="10"/>
  <c r="BK142" i="10"/>
  <c r="BK143" i="10"/>
  <c r="BK144" i="10"/>
  <c r="BK145" i="10"/>
  <c r="BK146" i="10"/>
  <c r="BK147" i="10"/>
  <c r="BK148" i="10"/>
  <c r="BK149" i="10"/>
  <c r="BK150" i="10"/>
  <c r="BK151" i="10"/>
  <c r="BK152" i="10"/>
  <c r="BK153" i="10"/>
  <c r="BK154" i="10"/>
  <c r="BK155" i="10"/>
  <c r="BK156" i="10"/>
  <c r="BK157" i="10"/>
  <c r="BK158" i="10"/>
  <c r="BK159" i="10"/>
  <c r="BK160" i="10"/>
  <c r="BK161" i="10"/>
  <c r="BK162" i="10"/>
  <c r="BK163" i="10"/>
  <c r="BK164" i="10"/>
  <c r="BK165" i="10"/>
  <c r="BK166" i="10"/>
  <c r="BK167" i="10"/>
  <c r="BK168" i="10"/>
  <c r="BK169" i="10"/>
  <c r="BK170" i="10"/>
  <c r="BK171" i="10"/>
  <c r="BK172" i="10"/>
  <c r="BK173" i="10"/>
  <c r="BK174" i="10"/>
  <c r="BK175" i="10"/>
  <c r="BK176" i="10"/>
  <c r="BJ3" i="10"/>
  <c r="CI3" i="10" s="1"/>
  <c r="BJ4" i="10"/>
  <c r="CI4" i="10" s="1"/>
  <c r="BJ5" i="10"/>
  <c r="CI5" i="10" s="1"/>
  <c r="BJ6" i="10"/>
  <c r="CI6" i="10" s="1"/>
  <c r="BJ7" i="10"/>
  <c r="CI7" i="10" s="1"/>
  <c r="BJ8" i="10"/>
  <c r="CI8" i="10" s="1"/>
  <c r="BJ9" i="10"/>
  <c r="CI9" i="10" s="1"/>
  <c r="BJ10" i="10"/>
  <c r="CI10" i="10" s="1"/>
  <c r="BJ11" i="10"/>
  <c r="CI11" i="10" s="1"/>
  <c r="BJ12" i="10"/>
  <c r="CI12" i="10" s="1"/>
  <c r="BJ13" i="10"/>
  <c r="CI13" i="10" s="1"/>
  <c r="BJ14" i="10"/>
  <c r="CI14" i="10" s="1"/>
  <c r="BJ15" i="10"/>
  <c r="CI15" i="10" s="1"/>
  <c r="BJ16" i="10"/>
  <c r="CI16" i="10" s="1"/>
  <c r="BJ17" i="10"/>
  <c r="CI17" i="10" s="1"/>
  <c r="BJ18" i="10"/>
  <c r="CI18" i="10" s="1"/>
  <c r="BJ19" i="10"/>
  <c r="CI19" i="10" s="1"/>
  <c r="BJ20" i="10"/>
  <c r="CI20" i="10" s="1"/>
  <c r="BJ21" i="10"/>
  <c r="CI21" i="10" s="1"/>
  <c r="BJ22" i="10"/>
  <c r="CI22" i="10" s="1"/>
  <c r="BJ23" i="10"/>
  <c r="CI23" i="10" s="1"/>
  <c r="BJ24" i="10"/>
  <c r="CI24" i="10" s="1"/>
  <c r="BJ25" i="10"/>
  <c r="CI25" i="10" s="1"/>
  <c r="BJ26" i="10"/>
  <c r="CI26" i="10" s="1"/>
  <c r="BJ27" i="10"/>
  <c r="CI27" i="10" s="1"/>
  <c r="BJ28" i="10"/>
  <c r="CI28" i="10" s="1"/>
  <c r="BJ29" i="10"/>
  <c r="CI29" i="10" s="1"/>
  <c r="BJ30" i="10"/>
  <c r="CI30" i="10" s="1"/>
  <c r="BJ31" i="10"/>
  <c r="CI31" i="10" s="1"/>
  <c r="BJ32" i="10"/>
  <c r="CI32" i="10" s="1"/>
  <c r="BJ33" i="10"/>
  <c r="CI33" i="10" s="1"/>
  <c r="BJ34" i="10"/>
  <c r="CI34" i="10" s="1"/>
  <c r="BJ35" i="10"/>
  <c r="CI35" i="10" s="1"/>
  <c r="BJ36" i="10"/>
  <c r="CI36" i="10" s="1"/>
  <c r="BJ37" i="10"/>
  <c r="CI37" i="10" s="1"/>
  <c r="BJ38" i="10"/>
  <c r="CI38" i="10" s="1"/>
  <c r="BJ39" i="10"/>
  <c r="CI39" i="10" s="1"/>
  <c r="BJ40" i="10"/>
  <c r="CI40" i="10" s="1"/>
  <c r="BJ41" i="10"/>
  <c r="CI41" i="10" s="1"/>
  <c r="BJ42" i="10"/>
  <c r="CI42" i="10" s="1"/>
  <c r="BJ43" i="10"/>
  <c r="CI43" i="10" s="1"/>
  <c r="BJ44" i="10"/>
  <c r="CI44" i="10" s="1"/>
  <c r="BJ45" i="10"/>
  <c r="CI45" i="10" s="1"/>
  <c r="BJ46" i="10"/>
  <c r="CI46" i="10" s="1"/>
  <c r="BJ47" i="10"/>
  <c r="CI47" i="10" s="1"/>
  <c r="BJ48" i="10"/>
  <c r="CI48" i="10" s="1"/>
  <c r="BJ49" i="10"/>
  <c r="CI49" i="10" s="1"/>
  <c r="BJ50" i="10"/>
  <c r="CI50" i="10" s="1"/>
  <c r="BJ51" i="10"/>
  <c r="CI51" i="10" s="1"/>
  <c r="BJ52" i="10"/>
  <c r="CI52" i="10" s="1"/>
  <c r="BJ53" i="10"/>
  <c r="CI53" i="10" s="1"/>
  <c r="BJ54" i="10"/>
  <c r="CI54" i="10" s="1"/>
  <c r="BJ55" i="10"/>
  <c r="CI55" i="10" s="1"/>
  <c r="BJ56" i="10"/>
  <c r="CI56" i="10" s="1"/>
  <c r="BJ57" i="10"/>
  <c r="CI57" i="10" s="1"/>
  <c r="BJ58" i="10"/>
  <c r="CI58" i="10" s="1"/>
  <c r="BJ59" i="10"/>
  <c r="CI59" i="10" s="1"/>
  <c r="BJ60" i="10"/>
  <c r="CI60" i="10" s="1"/>
  <c r="BJ61" i="10"/>
  <c r="CI61" i="10" s="1"/>
  <c r="BJ62" i="10"/>
  <c r="CI62" i="10" s="1"/>
  <c r="BJ63" i="10"/>
  <c r="CI63" i="10" s="1"/>
  <c r="BJ64" i="10"/>
  <c r="CI64" i="10" s="1"/>
  <c r="BJ65" i="10"/>
  <c r="CI65" i="10" s="1"/>
  <c r="BJ66" i="10"/>
  <c r="CI66" i="10" s="1"/>
  <c r="BJ67" i="10"/>
  <c r="CI67" i="10" s="1"/>
  <c r="BJ68" i="10"/>
  <c r="CI68" i="10" s="1"/>
  <c r="BJ69" i="10"/>
  <c r="CI69" i="10" s="1"/>
  <c r="BJ70" i="10"/>
  <c r="CI70" i="10" s="1"/>
  <c r="BJ71" i="10"/>
  <c r="CI71" i="10" s="1"/>
  <c r="BJ72" i="10"/>
  <c r="CI72" i="10" s="1"/>
  <c r="BJ73" i="10"/>
  <c r="CI73" i="10" s="1"/>
  <c r="BJ74" i="10"/>
  <c r="CI74" i="10" s="1"/>
  <c r="BJ75" i="10"/>
  <c r="CI75" i="10" s="1"/>
  <c r="BJ76" i="10"/>
  <c r="CI76" i="10" s="1"/>
  <c r="BJ77" i="10"/>
  <c r="CI77" i="10" s="1"/>
  <c r="BJ78" i="10"/>
  <c r="CI78" i="10" s="1"/>
  <c r="BJ79" i="10"/>
  <c r="CI79" i="10" s="1"/>
  <c r="BJ80" i="10"/>
  <c r="CI80" i="10" s="1"/>
  <c r="BJ81" i="10"/>
  <c r="CI81" i="10" s="1"/>
  <c r="BJ82" i="10"/>
  <c r="CI82" i="10" s="1"/>
  <c r="BJ83" i="10"/>
  <c r="CI83" i="10" s="1"/>
  <c r="BJ84" i="10"/>
  <c r="CI84" i="10" s="1"/>
  <c r="BJ85" i="10"/>
  <c r="CI85" i="10" s="1"/>
  <c r="BJ86" i="10"/>
  <c r="CI86" i="10" s="1"/>
  <c r="BJ87" i="10"/>
  <c r="CI87" i="10" s="1"/>
  <c r="BJ88" i="10"/>
  <c r="CI88" i="10" s="1"/>
  <c r="BJ89" i="10"/>
  <c r="CI89" i="10" s="1"/>
  <c r="BJ90" i="10"/>
  <c r="CI90" i="10" s="1"/>
  <c r="BJ91" i="10"/>
  <c r="CI91" i="10" s="1"/>
  <c r="BJ92" i="10"/>
  <c r="CI92" i="10" s="1"/>
  <c r="BJ93" i="10"/>
  <c r="CI93" i="10" s="1"/>
  <c r="BJ94" i="10"/>
  <c r="CI94" i="10" s="1"/>
  <c r="BJ95" i="10"/>
  <c r="CI95" i="10" s="1"/>
  <c r="BJ96" i="10"/>
  <c r="CI96" i="10" s="1"/>
  <c r="BJ97" i="10"/>
  <c r="CI97" i="10" s="1"/>
  <c r="BJ98" i="10"/>
  <c r="CI98" i="10" s="1"/>
  <c r="BJ99" i="10"/>
  <c r="CI99" i="10" s="1"/>
  <c r="BJ100" i="10"/>
  <c r="CI100" i="10" s="1"/>
  <c r="BJ101" i="10"/>
  <c r="CI101" i="10" s="1"/>
  <c r="BJ102" i="10"/>
  <c r="CI102" i="10" s="1"/>
  <c r="BJ103" i="10"/>
  <c r="CI103" i="10" s="1"/>
  <c r="BJ104" i="10"/>
  <c r="CI104" i="10" s="1"/>
  <c r="BJ105" i="10"/>
  <c r="CI105" i="10" s="1"/>
  <c r="BJ106" i="10"/>
  <c r="CI106" i="10" s="1"/>
  <c r="BJ107" i="10"/>
  <c r="CI107" i="10" s="1"/>
  <c r="BJ108" i="10"/>
  <c r="CI108" i="10" s="1"/>
  <c r="BJ109" i="10"/>
  <c r="CI109" i="10" s="1"/>
  <c r="BJ110" i="10"/>
  <c r="CI110" i="10" s="1"/>
  <c r="BJ111" i="10"/>
  <c r="CI111" i="10" s="1"/>
  <c r="BJ112" i="10"/>
  <c r="CI112" i="10" s="1"/>
  <c r="BJ113" i="10"/>
  <c r="CI113" i="10" s="1"/>
  <c r="BJ114" i="10"/>
  <c r="CI114" i="10" s="1"/>
  <c r="BJ115" i="10"/>
  <c r="CI115" i="10" s="1"/>
  <c r="BJ116" i="10"/>
  <c r="CI116" i="10" s="1"/>
  <c r="BJ117" i="10"/>
  <c r="CI117" i="10" s="1"/>
  <c r="BJ118" i="10"/>
  <c r="CI118" i="10" s="1"/>
  <c r="BJ119" i="10"/>
  <c r="CI119" i="10" s="1"/>
  <c r="BJ120" i="10"/>
  <c r="CI120" i="10" s="1"/>
  <c r="BJ121" i="10"/>
  <c r="CI121" i="10" s="1"/>
  <c r="BJ122" i="10"/>
  <c r="CI122" i="10" s="1"/>
  <c r="BJ123" i="10"/>
  <c r="CI123" i="10" s="1"/>
  <c r="BJ124" i="10"/>
  <c r="CI124" i="10" s="1"/>
  <c r="BJ125" i="10"/>
  <c r="CI125" i="10" s="1"/>
  <c r="BJ126" i="10"/>
  <c r="CI126" i="10" s="1"/>
  <c r="BJ127" i="10"/>
  <c r="CI127" i="10" s="1"/>
  <c r="BJ128" i="10"/>
  <c r="CI128" i="10" s="1"/>
  <c r="BJ129" i="10"/>
  <c r="CI129" i="10" s="1"/>
  <c r="BJ130" i="10"/>
  <c r="CI130" i="10" s="1"/>
  <c r="BJ131" i="10"/>
  <c r="CI131" i="10" s="1"/>
  <c r="BJ132" i="10"/>
  <c r="CI132" i="10" s="1"/>
  <c r="BJ133" i="10"/>
  <c r="CI133" i="10" s="1"/>
  <c r="BJ134" i="10"/>
  <c r="CI134" i="10" s="1"/>
  <c r="BJ135" i="10"/>
  <c r="CI135" i="10" s="1"/>
  <c r="BJ136" i="10"/>
  <c r="CI136" i="10" s="1"/>
  <c r="BJ137" i="10"/>
  <c r="CI137" i="10" s="1"/>
  <c r="BJ138" i="10"/>
  <c r="CI138" i="10" s="1"/>
  <c r="BJ139" i="10"/>
  <c r="CI139" i="10" s="1"/>
  <c r="BJ140" i="10"/>
  <c r="CI140" i="10" s="1"/>
  <c r="BJ141" i="10"/>
  <c r="CI141" i="10" s="1"/>
  <c r="BJ142" i="10"/>
  <c r="CI142" i="10" s="1"/>
  <c r="BJ143" i="10"/>
  <c r="CI143" i="10" s="1"/>
  <c r="BJ144" i="10"/>
  <c r="CI144" i="10" s="1"/>
  <c r="BJ145" i="10"/>
  <c r="CI145" i="10" s="1"/>
  <c r="BJ146" i="10"/>
  <c r="CI146" i="10" s="1"/>
  <c r="BJ147" i="10"/>
  <c r="CI147" i="10" s="1"/>
  <c r="BJ148" i="10"/>
  <c r="CI148" i="10" s="1"/>
  <c r="BJ149" i="10"/>
  <c r="CI149" i="10" s="1"/>
  <c r="BJ150" i="10"/>
  <c r="CI150" i="10" s="1"/>
  <c r="BJ151" i="10"/>
  <c r="CI151" i="10" s="1"/>
  <c r="BJ152" i="10"/>
  <c r="CI152" i="10" s="1"/>
  <c r="BJ153" i="10"/>
  <c r="CI153" i="10" s="1"/>
  <c r="BJ154" i="10"/>
  <c r="CI154" i="10" s="1"/>
  <c r="BJ155" i="10"/>
  <c r="CI155" i="10" s="1"/>
  <c r="BJ156" i="10"/>
  <c r="CI156" i="10" s="1"/>
  <c r="BJ157" i="10"/>
  <c r="CI157" i="10" s="1"/>
  <c r="BJ158" i="10"/>
  <c r="CI158" i="10" s="1"/>
  <c r="BJ159" i="10"/>
  <c r="CI159" i="10" s="1"/>
  <c r="BJ160" i="10"/>
  <c r="CI160" i="10" s="1"/>
  <c r="BJ161" i="10"/>
  <c r="CI161" i="10" s="1"/>
  <c r="BJ162" i="10"/>
  <c r="CI162" i="10" s="1"/>
  <c r="BJ163" i="10"/>
  <c r="CI163" i="10" s="1"/>
  <c r="BJ164" i="10"/>
  <c r="CI164" i="10" s="1"/>
  <c r="BJ165" i="10"/>
  <c r="CI165" i="10" s="1"/>
  <c r="BJ166" i="10"/>
  <c r="CI166" i="10" s="1"/>
  <c r="BJ167" i="10"/>
  <c r="CI167" i="10" s="1"/>
  <c r="BJ168" i="10"/>
  <c r="CI168" i="10" s="1"/>
  <c r="BJ169" i="10"/>
  <c r="CI169" i="10" s="1"/>
  <c r="BJ170" i="10"/>
  <c r="CI170" i="10" s="1"/>
  <c r="BJ171" i="10"/>
  <c r="CI171" i="10" s="1"/>
  <c r="BJ172" i="10"/>
  <c r="CI172" i="10" s="1"/>
  <c r="BJ173" i="10"/>
  <c r="CI173" i="10" s="1"/>
  <c r="BJ174" i="10"/>
  <c r="CI174" i="10" s="1"/>
  <c r="BJ175" i="10"/>
  <c r="CI175" i="10" s="1"/>
  <c r="BJ176" i="10"/>
  <c r="CI176" i="10" s="1"/>
  <c r="BI3" i="10"/>
  <c r="BI4" i="10"/>
  <c r="BI5" i="10"/>
  <c r="BI6" i="10"/>
  <c r="BI7" i="10"/>
  <c r="BI8" i="10"/>
  <c r="BI9" i="10"/>
  <c r="BI10" i="10"/>
  <c r="BI11" i="10"/>
  <c r="BI12" i="10"/>
  <c r="BI13" i="10"/>
  <c r="BI14" i="10"/>
  <c r="BI15" i="10"/>
  <c r="BI16" i="10"/>
  <c r="BI17" i="10"/>
  <c r="BI18" i="10"/>
  <c r="BI19" i="10"/>
  <c r="BI20" i="10"/>
  <c r="BI21" i="10"/>
  <c r="BI22" i="10"/>
  <c r="BI23" i="10"/>
  <c r="BI24" i="10"/>
  <c r="BI25" i="10"/>
  <c r="BI26" i="10"/>
  <c r="BI27" i="10"/>
  <c r="BI28" i="10"/>
  <c r="BI29" i="10"/>
  <c r="BI30" i="10"/>
  <c r="BI31" i="10"/>
  <c r="BI32" i="10"/>
  <c r="BI33" i="10"/>
  <c r="BI34" i="10"/>
  <c r="BI35" i="10"/>
  <c r="BI36" i="10"/>
  <c r="BI37" i="10"/>
  <c r="BI38" i="10"/>
  <c r="BI39" i="10"/>
  <c r="BI40" i="10"/>
  <c r="BI41" i="10"/>
  <c r="BI42" i="10"/>
  <c r="BI43" i="10"/>
  <c r="BI44" i="10"/>
  <c r="BI45" i="10"/>
  <c r="BI46" i="10"/>
  <c r="BI47" i="10"/>
  <c r="BI48" i="10"/>
  <c r="BI49" i="10"/>
  <c r="BI50" i="10"/>
  <c r="BI51" i="10"/>
  <c r="BI52" i="10"/>
  <c r="BI53" i="10"/>
  <c r="BI54" i="10"/>
  <c r="BI55" i="10"/>
  <c r="BI56" i="10"/>
  <c r="BI57" i="10"/>
  <c r="BI58" i="10"/>
  <c r="BI59" i="10"/>
  <c r="BI60" i="10"/>
  <c r="BI61" i="10"/>
  <c r="BI62" i="10"/>
  <c r="BI63" i="10"/>
  <c r="BI64" i="10"/>
  <c r="BI65" i="10"/>
  <c r="BI66" i="10"/>
  <c r="BI67" i="10"/>
  <c r="BI68" i="10"/>
  <c r="BI69" i="10"/>
  <c r="BI70" i="10"/>
  <c r="BI71" i="10"/>
  <c r="BI72" i="10"/>
  <c r="BI73" i="10"/>
  <c r="BI74" i="10"/>
  <c r="BI75" i="10"/>
  <c r="BI76" i="10"/>
  <c r="BI77" i="10"/>
  <c r="BI78" i="10"/>
  <c r="BI79" i="10"/>
  <c r="BI80" i="10"/>
  <c r="BI81" i="10"/>
  <c r="BI82" i="10"/>
  <c r="BI83" i="10"/>
  <c r="BI84" i="10"/>
  <c r="BI85" i="10"/>
  <c r="BI86" i="10"/>
  <c r="BI87" i="10"/>
  <c r="BI88" i="10"/>
  <c r="BI89" i="10"/>
  <c r="BI90" i="10"/>
  <c r="BI91" i="10"/>
  <c r="BI92" i="10"/>
  <c r="BI93" i="10"/>
  <c r="BI94" i="10"/>
  <c r="BI95" i="10"/>
  <c r="BI96" i="10"/>
  <c r="BI97" i="10"/>
  <c r="BI98" i="10"/>
  <c r="BI99" i="10"/>
  <c r="BI100" i="10"/>
  <c r="BI101" i="10"/>
  <c r="BI102" i="10"/>
  <c r="BI103" i="10"/>
  <c r="BI104" i="10"/>
  <c r="BI105" i="10"/>
  <c r="BI106" i="10"/>
  <c r="BI107" i="10"/>
  <c r="BI108" i="10"/>
  <c r="BI109" i="10"/>
  <c r="BI110" i="10"/>
  <c r="BI111" i="10"/>
  <c r="BI112" i="10"/>
  <c r="BI113" i="10"/>
  <c r="BI114" i="10"/>
  <c r="BI115" i="10"/>
  <c r="BI116" i="10"/>
  <c r="BI117" i="10"/>
  <c r="BI118" i="10"/>
  <c r="BI119" i="10"/>
  <c r="BI120" i="10"/>
  <c r="BI121" i="10"/>
  <c r="BI122" i="10"/>
  <c r="BI123" i="10"/>
  <c r="BI124" i="10"/>
  <c r="BI125" i="10"/>
  <c r="BI126" i="10"/>
  <c r="BI127" i="10"/>
  <c r="BI128" i="10"/>
  <c r="BI129" i="10"/>
  <c r="BI130" i="10"/>
  <c r="BI131" i="10"/>
  <c r="BI132" i="10"/>
  <c r="BI133" i="10"/>
  <c r="BI134" i="10"/>
  <c r="BI135" i="10"/>
  <c r="BI136" i="10"/>
  <c r="BI137" i="10"/>
  <c r="BI138" i="10"/>
  <c r="BI139" i="10"/>
  <c r="BI140" i="10"/>
  <c r="BI141" i="10"/>
  <c r="BI142" i="10"/>
  <c r="BI143" i="10"/>
  <c r="BI144" i="10"/>
  <c r="BI145" i="10"/>
  <c r="BI146" i="10"/>
  <c r="BI147" i="10"/>
  <c r="BI148" i="10"/>
  <c r="BI149" i="10"/>
  <c r="BI150" i="10"/>
  <c r="BI151" i="10"/>
  <c r="BI152" i="10"/>
  <c r="BI153" i="10"/>
  <c r="BI154" i="10"/>
  <c r="BI155" i="10"/>
  <c r="BI156" i="10"/>
  <c r="BI157" i="10"/>
  <c r="BI158" i="10"/>
  <c r="BI159" i="10"/>
  <c r="BI160" i="10"/>
  <c r="BI161" i="10"/>
  <c r="BI162" i="10"/>
  <c r="BI163" i="10"/>
  <c r="BI164" i="10"/>
  <c r="BI165" i="10"/>
  <c r="BI166" i="10"/>
  <c r="BI167" i="10"/>
  <c r="BI168" i="10"/>
  <c r="BI169" i="10"/>
  <c r="BI170" i="10"/>
  <c r="BI171" i="10"/>
  <c r="BI172" i="10"/>
  <c r="BI173" i="10"/>
  <c r="BI174" i="10"/>
  <c r="BI175" i="10"/>
  <c r="BI176" i="10"/>
  <c r="BH3" i="10"/>
  <c r="BH4" i="10"/>
  <c r="BH5" i="10"/>
  <c r="BH6" i="10"/>
  <c r="BH7" i="10"/>
  <c r="BH8" i="10"/>
  <c r="BH9" i="10"/>
  <c r="BH10" i="10"/>
  <c r="BH11" i="10"/>
  <c r="BH12" i="10"/>
  <c r="BH13" i="10"/>
  <c r="BH14" i="10"/>
  <c r="BH15" i="10"/>
  <c r="BH16" i="10"/>
  <c r="BH17" i="10"/>
  <c r="BH18" i="10"/>
  <c r="BH19" i="10"/>
  <c r="BH20" i="10"/>
  <c r="BH21" i="10"/>
  <c r="BH22" i="10"/>
  <c r="BH23" i="10"/>
  <c r="BH24" i="10"/>
  <c r="BH25" i="10"/>
  <c r="BH26" i="10"/>
  <c r="BH27" i="10"/>
  <c r="BH28" i="10"/>
  <c r="BH29" i="10"/>
  <c r="BH30" i="10"/>
  <c r="BH31" i="10"/>
  <c r="BH32" i="10"/>
  <c r="BH33" i="10"/>
  <c r="BH34" i="10"/>
  <c r="BH35" i="10"/>
  <c r="BH36" i="10"/>
  <c r="BH37" i="10"/>
  <c r="BH38" i="10"/>
  <c r="BH39" i="10"/>
  <c r="BH40" i="10"/>
  <c r="BH41" i="10"/>
  <c r="BH42" i="10"/>
  <c r="BH43" i="10"/>
  <c r="BH44" i="10"/>
  <c r="BH45" i="10"/>
  <c r="BH46" i="10"/>
  <c r="BH47" i="10"/>
  <c r="BH48" i="10"/>
  <c r="BH49" i="10"/>
  <c r="BH50" i="10"/>
  <c r="BH51" i="10"/>
  <c r="BH52" i="10"/>
  <c r="BH53" i="10"/>
  <c r="BH54" i="10"/>
  <c r="BH55" i="10"/>
  <c r="BH56" i="10"/>
  <c r="BH57" i="10"/>
  <c r="BH58" i="10"/>
  <c r="BH59" i="10"/>
  <c r="BH60" i="10"/>
  <c r="BH61" i="10"/>
  <c r="BH62" i="10"/>
  <c r="BH63" i="10"/>
  <c r="BH64" i="10"/>
  <c r="BH65" i="10"/>
  <c r="BH66" i="10"/>
  <c r="BH67" i="10"/>
  <c r="BH68" i="10"/>
  <c r="BH69" i="10"/>
  <c r="BH70" i="10"/>
  <c r="BH71" i="10"/>
  <c r="BH72" i="10"/>
  <c r="BH73" i="10"/>
  <c r="BH74" i="10"/>
  <c r="BH75" i="10"/>
  <c r="BH76" i="10"/>
  <c r="BH77" i="10"/>
  <c r="BH78" i="10"/>
  <c r="BH79" i="10"/>
  <c r="BH80" i="10"/>
  <c r="BH81" i="10"/>
  <c r="BH82" i="10"/>
  <c r="BH83" i="10"/>
  <c r="BH84" i="10"/>
  <c r="BH85" i="10"/>
  <c r="BH86" i="10"/>
  <c r="BH87" i="10"/>
  <c r="BH88" i="10"/>
  <c r="BH89" i="10"/>
  <c r="BH90" i="10"/>
  <c r="BH91" i="10"/>
  <c r="BH92" i="10"/>
  <c r="BH93" i="10"/>
  <c r="BH94" i="10"/>
  <c r="BH95" i="10"/>
  <c r="BH96" i="10"/>
  <c r="BH97" i="10"/>
  <c r="BH98" i="10"/>
  <c r="BH99" i="10"/>
  <c r="BH100" i="10"/>
  <c r="BH101" i="10"/>
  <c r="BH102" i="10"/>
  <c r="BH103" i="10"/>
  <c r="BH104" i="10"/>
  <c r="BH105" i="10"/>
  <c r="BH106" i="10"/>
  <c r="BH107" i="10"/>
  <c r="BH108" i="10"/>
  <c r="BH109" i="10"/>
  <c r="BH110" i="10"/>
  <c r="BH111" i="10"/>
  <c r="BH112" i="10"/>
  <c r="BH113" i="10"/>
  <c r="BH114" i="10"/>
  <c r="BH115" i="10"/>
  <c r="BH116" i="10"/>
  <c r="BH117" i="10"/>
  <c r="BH118" i="10"/>
  <c r="BH119" i="10"/>
  <c r="BH120" i="10"/>
  <c r="BH121" i="10"/>
  <c r="BH122" i="10"/>
  <c r="BH123" i="10"/>
  <c r="BH124" i="10"/>
  <c r="BH125" i="10"/>
  <c r="BH126" i="10"/>
  <c r="BH127" i="10"/>
  <c r="BH128" i="10"/>
  <c r="BH129" i="10"/>
  <c r="BH130" i="10"/>
  <c r="BH131" i="10"/>
  <c r="BH132" i="10"/>
  <c r="BH133" i="10"/>
  <c r="BH134" i="10"/>
  <c r="BH135" i="10"/>
  <c r="BH136" i="10"/>
  <c r="BH137" i="10"/>
  <c r="BH138" i="10"/>
  <c r="BH139" i="10"/>
  <c r="BH140" i="10"/>
  <c r="BH141" i="10"/>
  <c r="BH142" i="10"/>
  <c r="BH143" i="10"/>
  <c r="BH144" i="10"/>
  <c r="BH145" i="10"/>
  <c r="BH146" i="10"/>
  <c r="BH147" i="10"/>
  <c r="BH148" i="10"/>
  <c r="BH149" i="10"/>
  <c r="BH150" i="10"/>
  <c r="BH151" i="10"/>
  <c r="BH152" i="10"/>
  <c r="BH153" i="10"/>
  <c r="BH154" i="10"/>
  <c r="BH155" i="10"/>
  <c r="BH156" i="10"/>
  <c r="BH157" i="10"/>
  <c r="BH158" i="10"/>
  <c r="BH159" i="10"/>
  <c r="BH160" i="10"/>
  <c r="BH161" i="10"/>
  <c r="BH162" i="10"/>
  <c r="BH163" i="10"/>
  <c r="BH164" i="10"/>
  <c r="BH165" i="10"/>
  <c r="BH166" i="10"/>
  <c r="BH167" i="10"/>
  <c r="BH168" i="10"/>
  <c r="BH169" i="10"/>
  <c r="BH170" i="10"/>
  <c r="BH171" i="10"/>
  <c r="BH172" i="10"/>
  <c r="BH173" i="10"/>
  <c r="BH174" i="10"/>
  <c r="BH175" i="10"/>
  <c r="BH176" i="10"/>
  <c r="AU102" i="10"/>
  <c r="AU103" i="10"/>
  <c r="AU104" i="10"/>
  <c r="AU105" i="10"/>
  <c r="AU106" i="10"/>
  <c r="AU107" i="10"/>
  <c r="AU108" i="10"/>
  <c r="AU109" i="10"/>
  <c r="AU110" i="10"/>
  <c r="AU111" i="10"/>
  <c r="AU112" i="10"/>
  <c r="AU113" i="10"/>
  <c r="AU114" i="10"/>
  <c r="AU115" i="10"/>
  <c r="AU116" i="10"/>
  <c r="AU117" i="10"/>
  <c r="AU118" i="10"/>
  <c r="AU119" i="10"/>
  <c r="AU120" i="10"/>
  <c r="AU121" i="10"/>
  <c r="AU122" i="10"/>
  <c r="AU123" i="10"/>
  <c r="AU124" i="10"/>
  <c r="AU125" i="10"/>
  <c r="AU126" i="10"/>
  <c r="AU127" i="10"/>
  <c r="AU128" i="10"/>
  <c r="AU129" i="10"/>
  <c r="AU130" i="10"/>
  <c r="AU131" i="10"/>
  <c r="AU132" i="10"/>
  <c r="AU133" i="10"/>
  <c r="AU134" i="10"/>
  <c r="AU135" i="10"/>
  <c r="AU136" i="10"/>
  <c r="AU137" i="10"/>
  <c r="AU138" i="10"/>
  <c r="AU139" i="10"/>
  <c r="AU140" i="10"/>
  <c r="AU141" i="10"/>
  <c r="AU142" i="10"/>
  <c r="AU143" i="10"/>
  <c r="AU144" i="10"/>
  <c r="AU145" i="10"/>
  <c r="AU146" i="10"/>
  <c r="AU147" i="10"/>
  <c r="AU148" i="10"/>
  <c r="AU149" i="10"/>
  <c r="AU150" i="10"/>
  <c r="AU151" i="10"/>
  <c r="AU152" i="10"/>
  <c r="AU153" i="10"/>
  <c r="AU154" i="10"/>
  <c r="AU155" i="10"/>
  <c r="AU156" i="10"/>
  <c r="AU157" i="10"/>
  <c r="AU158" i="10"/>
  <c r="AU159" i="10"/>
  <c r="AU160" i="10"/>
  <c r="AU161" i="10"/>
  <c r="AU162" i="10"/>
  <c r="AU163" i="10"/>
  <c r="AU164" i="10"/>
  <c r="AU165" i="10"/>
  <c r="AU166" i="10"/>
  <c r="AU167" i="10"/>
  <c r="AU168" i="10"/>
  <c r="AU169" i="10"/>
  <c r="AU170" i="10"/>
  <c r="AU171" i="10"/>
  <c r="AU172" i="10"/>
  <c r="AU173" i="10"/>
  <c r="AU174" i="10"/>
  <c r="AU175" i="10"/>
  <c r="AU176" i="10"/>
  <c r="AT3" i="10"/>
  <c r="AT4" i="10"/>
  <c r="AT5" i="10"/>
  <c r="AT6" i="10"/>
  <c r="AT7" i="10"/>
  <c r="AT8" i="10"/>
  <c r="AT9" i="10"/>
  <c r="AT10" i="10"/>
  <c r="AT11" i="10"/>
  <c r="AT12" i="10"/>
  <c r="AT13" i="10"/>
  <c r="AT14" i="10"/>
  <c r="AT15" i="10"/>
  <c r="AT16" i="10"/>
  <c r="AT17" i="10"/>
  <c r="AT18" i="10"/>
  <c r="AT19" i="10"/>
  <c r="AT20" i="10"/>
  <c r="AT21" i="10"/>
  <c r="AT22" i="10"/>
  <c r="AT23" i="10"/>
  <c r="AT24" i="10"/>
  <c r="AT25" i="10"/>
  <c r="AT26" i="10"/>
  <c r="AT27" i="10"/>
  <c r="AT28" i="10"/>
  <c r="AT29" i="10"/>
  <c r="AT30" i="10"/>
  <c r="AT31" i="10"/>
  <c r="AT32" i="10"/>
  <c r="AT33" i="10"/>
  <c r="AT34" i="10"/>
  <c r="AT35" i="10"/>
  <c r="AT36" i="10"/>
  <c r="AT37" i="10"/>
  <c r="AT38" i="10"/>
  <c r="AT39" i="10"/>
  <c r="AT40" i="10"/>
  <c r="AT41" i="10"/>
  <c r="AT42" i="10"/>
  <c r="AT43" i="10"/>
  <c r="AT44" i="10"/>
  <c r="AT45" i="10"/>
  <c r="AT46" i="10"/>
  <c r="AT47" i="10"/>
  <c r="AT48" i="10"/>
  <c r="AT49" i="10"/>
  <c r="AT50" i="10"/>
  <c r="AT51" i="10"/>
  <c r="AT52" i="10"/>
  <c r="AT53" i="10"/>
  <c r="AT54" i="10"/>
  <c r="AT55" i="10"/>
  <c r="AT56" i="10"/>
  <c r="AT57" i="10"/>
  <c r="AT58" i="10"/>
  <c r="AT59" i="10"/>
  <c r="AT60" i="10"/>
  <c r="AT61" i="10"/>
  <c r="AT62" i="10"/>
  <c r="AT63" i="10"/>
  <c r="AT64" i="10"/>
  <c r="AT65" i="10"/>
  <c r="AT66" i="10"/>
  <c r="AT67" i="10"/>
  <c r="AT68" i="10"/>
  <c r="AT69" i="10"/>
  <c r="AT70" i="10"/>
  <c r="AT71" i="10"/>
  <c r="AT72" i="10"/>
  <c r="AT73" i="10"/>
  <c r="AT74" i="10"/>
  <c r="AT75" i="10"/>
  <c r="AT76" i="10"/>
  <c r="AT77" i="10"/>
  <c r="AT78" i="10"/>
  <c r="AT79" i="10"/>
  <c r="AT80" i="10"/>
  <c r="AT81" i="10"/>
  <c r="AT82" i="10"/>
  <c r="AT83" i="10"/>
  <c r="AT84" i="10"/>
  <c r="AT85" i="10"/>
  <c r="AT86" i="10"/>
  <c r="AT87" i="10"/>
  <c r="AT88" i="10"/>
  <c r="AT89" i="10"/>
  <c r="AT90" i="10"/>
  <c r="AT91" i="10"/>
  <c r="AT92" i="10"/>
  <c r="AT93" i="10"/>
  <c r="AT94" i="10"/>
  <c r="AT95" i="10"/>
  <c r="AT96" i="10"/>
  <c r="AT97" i="10"/>
  <c r="AT98" i="10"/>
  <c r="AT99" i="10"/>
  <c r="AT100" i="10"/>
  <c r="AT101" i="10"/>
  <c r="AT102" i="10"/>
  <c r="AT103" i="10"/>
  <c r="AT104" i="10"/>
  <c r="AT105" i="10"/>
  <c r="AT106" i="10"/>
  <c r="AT107" i="10"/>
  <c r="AT108" i="10"/>
  <c r="AT109" i="10"/>
  <c r="AT110" i="10"/>
  <c r="AT111" i="10"/>
  <c r="AT112" i="10"/>
  <c r="AT113" i="10"/>
  <c r="AT114" i="10"/>
  <c r="AT115" i="10"/>
  <c r="AT116" i="10"/>
  <c r="AT117" i="10"/>
  <c r="AT118" i="10"/>
  <c r="AT119" i="10"/>
  <c r="AT120" i="10"/>
  <c r="AT121" i="10"/>
  <c r="AT122" i="10"/>
  <c r="AT123" i="10"/>
  <c r="AT124" i="10"/>
  <c r="AT125" i="10"/>
  <c r="AT126" i="10"/>
  <c r="AT127" i="10"/>
  <c r="AT128" i="10"/>
  <c r="AT129" i="10"/>
  <c r="AT130" i="10"/>
  <c r="AT131" i="10"/>
  <c r="AT132" i="10"/>
  <c r="AT133" i="10"/>
  <c r="AT134" i="10"/>
  <c r="AT135" i="10"/>
  <c r="AT136" i="10"/>
  <c r="AT137" i="10"/>
  <c r="AT138" i="10"/>
  <c r="AT139" i="10"/>
  <c r="AT140" i="10"/>
  <c r="AT141" i="10"/>
  <c r="AT142" i="10"/>
  <c r="AT143" i="10"/>
  <c r="AT144" i="10"/>
  <c r="AT145" i="10"/>
  <c r="AT146" i="10"/>
  <c r="AT147" i="10"/>
  <c r="AT148" i="10"/>
  <c r="AT149" i="10"/>
  <c r="AT150" i="10"/>
  <c r="AT151" i="10"/>
  <c r="AT152" i="10"/>
  <c r="AT153" i="10"/>
  <c r="AT154" i="10"/>
  <c r="AT155" i="10"/>
  <c r="AT156" i="10"/>
  <c r="AT157" i="10"/>
  <c r="AT158" i="10"/>
  <c r="AT159" i="10"/>
  <c r="AT160" i="10"/>
  <c r="AT161" i="10"/>
  <c r="AT162" i="10"/>
  <c r="AT163" i="10"/>
  <c r="AT164" i="10"/>
  <c r="AT165" i="10"/>
  <c r="AT166" i="10"/>
  <c r="AT167" i="10"/>
  <c r="AT168" i="10"/>
  <c r="AT169" i="10"/>
  <c r="AT170" i="10"/>
  <c r="AT171" i="10"/>
  <c r="AT172" i="10"/>
  <c r="AT173" i="10"/>
  <c r="AT174" i="10"/>
  <c r="AT175" i="10"/>
  <c r="AT176" i="10"/>
  <c r="AS3" i="10"/>
  <c r="AS4" i="10"/>
  <c r="AS5" i="10"/>
  <c r="AS6" i="10"/>
  <c r="AS7" i="10"/>
  <c r="AS8" i="10"/>
  <c r="AS9" i="10"/>
  <c r="AS10" i="10"/>
  <c r="AS11" i="10"/>
  <c r="AS12" i="10"/>
  <c r="AS13" i="10"/>
  <c r="AS14" i="10"/>
  <c r="AS15" i="10"/>
  <c r="AS16" i="10"/>
  <c r="AS17" i="10"/>
  <c r="AS18" i="10"/>
  <c r="AS19" i="10"/>
  <c r="AS20" i="10"/>
  <c r="AS21" i="10"/>
  <c r="AS22" i="10"/>
  <c r="AS23" i="10"/>
  <c r="AS24" i="10"/>
  <c r="AS25" i="10"/>
  <c r="AS26" i="10"/>
  <c r="AS27" i="10"/>
  <c r="AS28" i="10"/>
  <c r="AS29" i="10"/>
  <c r="AS30" i="10"/>
  <c r="AS31" i="10"/>
  <c r="AS32" i="10"/>
  <c r="AS33" i="10"/>
  <c r="AS34" i="10"/>
  <c r="AS35" i="10"/>
  <c r="AS36" i="10"/>
  <c r="AS37" i="10"/>
  <c r="AS38" i="10"/>
  <c r="AS39" i="10"/>
  <c r="AS40" i="10"/>
  <c r="AS41" i="10"/>
  <c r="AS42" i="10"/>
  <c r="AS43" i="10"/>
  <c r="AS44" i="10"/>
  <c r="AS45" i="10"/>
  <c r="AS46" i="10"/>
  <c r="AS47" i="10"/>
  <c r="AS48" i="10"/>
  <c r="AS49" i="10"/>
  <c r="AS50" i="10"/>
  <c r="AS51" i="10"/>
  <c r="AS52" i="10"/>
  <c r="AS53" i="10"/>
  <c r="AS54" i="10"/>
  <c r="AS55" i="10"/>
  <c r="AS56" i="10"/>
  <c r="AS57" i="10"/>
  <c r="AS58" i="10"/>
  <c r="AS59" i="10"/>
  <c r="AS60" i="10"/>
  <c r="AS61" i="10"/>
  <c r="AS62" i="10"/>
  <c r="AS63" i="10"/>
  <c r="AS64" i="10"/>
  <c r="AS65" i="10"/>
  <c r="AS66" i="10"/>
  <c r="AS67" i="10"/>
  <c r="AS68" i="10"/>
  <c r="AS69" i="10"/>
  <c r="AS70" i="10"/>
  <c r="AS71" i="10"/>
  <c r="AS72" i="10"/>
  <c r="AS73" i="10"/>
  <c r="AS74" i="10"/>
  <c r="AS75" i="10"/>
  <c r="AS76" i="10"/>
  <c r="AS77" i="10"/>
  <c r="AS78" i="10"/>
  <c r="AS79" i="10"/>
  <c r="AS80" i="10"/>
  <c r="AS81" i="10"/>
  <c r="AS82" i="10"/>
  <c r="AS83" i="10"/>
  <c r="AS84" i="10"/>
  <c r="AS85" i="10"/>
  <c r="AS86" i="10"/>
  <c r="AS87" i="10"/>
  <c r="AS88" i="10"/>
  <c r="AS89" i="10"/>
  <c r="AS90" i="10"/>
  <c r="AS91" i="10"/>
  <c r="AS92" i="10"/>
  <c r="AS93" i="10"/>
  <c r="AS94" i="10"/>
  <c r="AS95" i="10"/>
  <c r="AS96" i="10"/>
  <c r="AS97" i="10"/>
  <c r="AS98" i="10"/>
  <c r="AS99" i="10"/>
  <c r="AS100" i="10"/>
  <c r="AS101" i="10"/>
  <c r="AS102" i="10"/>
  <c r="AS103" i="10"/>
  <c r="AS104" i="10"/>
  <c r="AS105" i="10"/>
  <c r="AS106" i="10"/>
  <c r="AS107" i="10"/>
  <c r="AS108" i="10"/>
  <c r="AS109" i="10"/>
  <c r="AS110" i="10"/>
  <c r="AS111" i="10"/>
  <c r="AS112" i="10"/>
  <c r="AS113" i="10"/>
  <c r="AS114" i="10"/>
  <c r="AS115" i="10"/>
  <c r="AS116" i="10"/>
  <c r="AS117" i="10"/>
  <c r="AS118" i="10"/>
  <c r="AS119" i="10"/>
  <c r="AS120" i="10"/>
  <c r="AS121" i="10"/>
  <c r="AS122" i="10"/>
  <c r="AS123" i="10"/>
  <c r="AS124" i="10"/>
  <c r="AS125" i="10"/>
  <c r="AS126" i="10"/>
  <c r="AS127" i="10"/>
  <c r="AS128" i="10"/>
  <c r="AS129" i="10"/>
  <c r="AS130" i="10"/>
  <c r="AS131" i="10"/>
  <c r="AS132" i="10"/>
  <c r="AS133" i="10"/>
  <c r="AS134" i="10"/>
  <c r="AS135" i="10"/>
  <c r="AS136" i="10"/>
  <c r="AS137" i="10"/>
  <c r="AS138" i="10"/>
  <c r="AS139" i="10"/>
  <c r="AS140" i="10"/>
  <c r="AS141" i="10"/>
  <c r="AS142" i="10"/>
  <c r="AS143" i="10"/>
  <c r="AS144" i="10"/>
  <c r="AS145" i="10"/>
  <c r="AS146" i="10"/>
  <c r="AS147" i="10"/>
  <c r="AS148" i="10"/>
  <c r="AS149" i="10"/>
  <c r="AS150" i="10"/>
  <c r="AS151" i="10"/>
  <c r="AS152" i="10"/>
  <c r="AS153" i="10"/>
  <c r="AS154" i="10"/>
  <c r="AS155" i="10"/>
  <c r="AS156" i="10"/>
  <c r="AS157" i="10"/>
  <c r="AS158" i="10"/>
  <c r="AS159" i="10"/>
  <c r="AS160" i="10"/>
  <c r="AS161" i="10"/>
  <c r="AS162" i="10"/>
  <c r="AS163" i="10"/>
  <c r="AS164" i="10"/>
  <c r="AS165" i="10"/>
  <c r="AS166" i="10"/>
  <c r="AS167" i="10"/>
  <c r="AS168" i="10"/>
  <c r="AS169" i="10"/>
  <c r="AS170" i="10"/>
  <c r="AS171" i="10"/>
  <c r="AS172" i="10"/>
  <c r="AS173" i="10"/>
  <c r="AS174" i="10"/>
  <c r="AS175" i="10"/>
  <c r="AS176" i="10"/>
  <c r="AR3" i="10"/>
  <c r="AR4" i="10"/>
  <c r="AR5" i="10"/>
  <c r="AR6" i="10"/>
  <c r="AR7" i="10"/>
  <c r="AR8" i="10"/>
  <c r="AR9" i="10"/>
  <c r="AR10" i="10"/>
  <c r="AR11" i="10"/>
  <c r="AR12" i="10"/>
  <c r="AR13" i="10"/>
  <c r="AR14" i="10"/>
  <c r="AR15" i="10"/>
  <c r="AR16" i="10"/>
  <c r="AR17" i="10"/>
  <c r="AR18" i="10"/>
  <c r="AR19" i="10"/>
  <c r="AR20" i="10"/>
  <c r="AR21" i="10"/>
  <c r="AR22" i="10"/>
  <c r="AR23" i="10"/>
  <c r="AR24" i="10"/>
  <c r="AR25" i="10"/>
  <c r="AR26" i="10"/>
  <c r="AR27" i="10"/>
  <c r="AR28" i="10"/>
  <c r="AR29" i="10"/>
  <c r="AR30" i="10"/>
  <c r="AR31" i="10"/>
  <c r="AR32" i="10"/>
  <c r="AR33" i="10"/>
  <c r="AR34" i="10"/>
  <c r="AR35" i="10"/>
  <c r="AR36" i="10"/>
  <c r="AR37" i="10"/>
  <c r="AR38" i="10"/>
  <c r="AR39" i="10"/>
  <c r="AR40" i="10"/>
  <c r="AR41" i="10"/>
  <c r="AR42" i="10"/>
  <c r="AR43" i="10"/>
  <c r="AR44" i="10"/>
  <c r="AR45" i="10"/>
  <c r="AR46" i="10"/>
  <c r="AR47" i="10"/>
  <c r="AR48" i="10"/>
  <c r="AR49" i="10"/>
  <c r="AR50" i="10"/>
  <c r="AR51" i="10"/>
  <c r="AR52" i="10"/>
  <c r="AR53" i="10"/>
  <c r="AR54" i="10"/>
  <c r="AR55" i="10"/>
  <c r="AR56" i="10"/>
  <c r="AR57" i="10"/>
  <c r="AR58" i="10"/>
  <c r="AR59" i="10"/>
  <c r="AR60" i="10"/>
  <c r="AR61" i="10"/>
  <c r="AR62" i="10"/>
  <c r="AR63" i="10"/>
  <c r="AR64" i="10"/>
  <c r="AR65" i="10"/>
  <c r="AR66" i="10"/>
  <c r="AR67" i="10"/>
  <c r="AR68" i="10"/>
  <c r="AR69" i="10"/>
  <c r="AR70" i="10"/>
  <c r="AR71" i="10"/>
  <c r="AR72" i="10"/>
  <c r="AR73" i="10"/>
  <c r="AR74" i="10"/>
  <c r="AR75" i="10"/>
  <c r="AR76" i="10"/>
  <c r="AR77" i="10"/>
  <c r="AR78" i="10"/>
  <c r="AR79" i="10"/>
  <c r="AR80" i="10"/>
  <c r="AR81" i="10"/>
  <c r="AR82" i="10"/>
  <c r="AR83" i="10"/>
  <c r="AR84" i="10"/>
  <c r="AR85" i="10"/>
  <c r="AR86" i="10"/>
  <c r="AR87" i="10"/>
  <c r="AR88" i="10"/>
  <c r="AR89" i="10"/>
  <c r="AR90" i="10"/>
  <c r="AR91" i="10"/>
  <c r="AR92" i="10"/>
  <c r="AR93" i="10"/>
  <c r="AR94" i="10"/>
  <c r="AR95" i="10"/>
  <c r="AR96" i="10"/>
  <c r="AR97" i="10"/>
  <c r="AR98" i="10"/>
  <c r="AR99" i="10"/>
  <c r="AR100" i="10"/>
  <c r="AR101" i="10"/>
  <c r="AR102" i="10"/>
  <c r="AR103" i="10"/>
  <c r="AR104" i="10"/>
  <c r="AR105" i="10"/>
  <c r="AR106" i="10"/>
  <c r="AR107" i="10"/>
  <c r="AR108" i="10"/>
  <c r="AR109" i="10"/>
  <c r="AR110" i="10"/>
  <c r="AR111" i="10"/>
  <c r="AR112" i="10"/>
  <c r="AR113" i="10"/>
  <c r="AR114" i="10"/>
  <c r="AR115" i="10"/>
  <c r="AR116" i="10"/>
  <c r="AR117" i="10"/>
  <c r="AR118" i="10"/>
  <c r="AR119" i="10"/>
  <c r="AR120" i="10"/>
  <c r="AR121" i="10"/>
  <c r="AR122" i="10"/>
  <c r="AR123" i="10"/>
  <c r="AR124" i="10"/>
  <c r="AR125" i="10"/>
  <c r="AR126" i="10"/>
  <c r="AR127" i="10"/>
  <c r="AR128" i="10"/>
  <c r="AR129" i="10"/>
  <c r="AR130" i="10"/>
  <c r="AR131" i="10"/>
  <c r="AR132" i="10"/>
  <c r="AR133" i="10"/>
  <c r="AR134" i="10"/>
  <c r="AR135" i="10"/>
  <c r="AR136" i="10"/>
  <c r="AR137" i="10"/>
  <c r="AR138" i="10"/>
  <c r="AR139" i="10"/>
  <c r="AR140" i="10"/>
  <c r="AR141" i="10"/>
  <c r="AR142" i="10"/>
  <c r="AR143" i="10"/>
  <c r="AR144" i="10"/>
  <c r="AR145" i="10"/>
  <c r="AR146" i="10"/>
  <c r="AR147" i="10"/>
  <c r="AR148" i="10"/>
  <c r="AR149" i="10"/>
  <c r="AR150" i="10"/>
  <c r="AR151" i="10"/>
  <c r="AR152" i="10"/>
  <c r="AR153" i="10"/>
  <c r="AR154" i="10"/>
  <c r="AR155" i="10"/>
  <c r="AR156" i="10"/>
  <c r="AR157" i="10"/>
  <c r="AR158" i="10"/>
  <c r="AR159" i="10"/>
  <c r="AR160" i="10"/>
  <c r="AR161" i="10"/>
  <c r="AR162" i="10"/>
  <c r="AR163" i="10"/>
  <c r="AR164" i="10"/>
  <c r="AR165" i="10"/>
  <c r="AR166" i="10"/>
  <c r="AR167" i="10"/>
  <c r="AR168" i="10"/>
  <c r="AR169" i="10"/>
  <c r="AR170" i="10"/>
  <c r="AR171" i="10"/>
  <c r="AR172" i="10"/>
  <c r="AR173" i="10"/>
  <c r="AR174" i="10"/>
  <c r="AR175" i="10"/>
  <c r="AR176" i="10"/>
  <c r="AQ3" i="10"/>
  <c r="AQ4" i="10"/>
  <c r="AQ5" i="10"/>
  <c r="AQ6" i="10"/>
  <c r="AQ7" i="10"/>
  <c r="AQ8" i="10"/>
  <c r="AQ9" i="10"/>
  <c r="AQ10" i="10"/>
  <c r="AQ11" i="10"/>
  <c r="AQ12" i="10"/>
  <c r="AQ13" i="10"/>
  <c r="AQ14" i="10"/>
  <c r="AQ15" i="10"/>
  <c r="AQ16" i="10"/>
  <c r="AQ17" i="10"/>
  <c r="AQ18" i="10"/>
  <c r="AQ19" i="10"/>
  <c r="AQ20" i="10"/>
  <c r="AQ21" i="10"/>
  <c r="AQ22" i="10"/>
  <c r="AQ23" i="10"/>
  <c r="AQ24" i="10"/>
  <c r="AQ25" i="10"/>
  <c r="AQ26" i="10"/>
  <c r="AQ27" i="10"/>
  <c r="AQ28" i="10"/>
  <c r="AQ29" i="10"/>
  <c r="AQ30" i="10"/>
  <c r="AQ31" i="10"/>
  <c r="AQ32" i="10"/>
  <c r="AQ33" i="10"/>
  <c r="AQ34" i="10"/>
  <c r="AQ35" i="10"/>
  <c r="AQ36" i="10"/>
  <c r="AQ37" i="10"/>
  <c r="AQ38" i="10"/>
  <c r="AQ39" i="10"/>
  <c r="AQ40" i="10"/>
  <c r="AQ41" i="10"/>
  <c r="AQ42" i="10"/>
  <c r="AQ43" i="10"/>
  <c r="AQ44" i="10"/>
  <c r="AQ45" i="10"/>
  <c r="AQ46" i="10"/>
  <c r="AQ47" i="10"/>
  <c r="AQ48" i="10"/>
  <c r="AQ49" i="10"/>
  <c r="AQ50" i="10"/>
  <c r="AQ51" i="10"/>
  <c r="AQ52" i="10"/>
  <c r="AQ53" i="10"/>
  <c r="AQ54" i="10"/>
  <c r="AQ55" i="10"/>
  <c r="AQ56" i="10"/>
  <c r="AQ57" i="10"/>
  <c r="AQ58" i="10"/>
  <c r="AQ59" i="10"/>
  <c r="AQ60" i="10"/>
  <c r="AQ61" i="10"/>
  <c r="AQ62" i="10"/>
  <c r="AQ63" i="10"/>
  <c r="AQ64" i="10"/>
  <c r="AQ65" i="10"/>
  <c r="AQ66" i="10"/>
  <c r="AQ67" i="10"/>
  <c r="AQ68" i="10"/>
  <c r="AQ69" i="10"/>
  <c r="AQ70" i="10"/>
  <c r="AQ71" i="10"/>
  <c r="AQ72" i="10"/>
  <c r="AQ73" i="10"/>
  <c r="AQ74" i="10"/>
  <c r="AQ75" i="10"/>
  <c r="AQ76" i="10"/>
  <c r="AQ77" i="10"/>
  <c r="AQ78" i="10"/>
  <c r="AQ79" i="10"/>
  <c r="AQ80" i="10"/>
  <c r="AQ81" i="10"/>
  <c r="AQ82" i="10"/>
  <c r="AQ83" i="10"/>
  <c r="AQ84" i="10"/>
  <c r="AQ85" i="10"/>
  <c r="AQ86" i="10"/>
  <c r="AQ87" i="10"/>
  <c r="AQ88" i="10"/>
  <c r="AQ89" i="10"/>
  <c r="AQ90" i="10"/>
  <c r="AQ91" i="10"/>
  <c r="AQ92" i="10"/>
  <c r="AQ93" i="10"/>
  <c r="AQ94" i="10"/>
  <c r="AQ95" i="10"/>
  <c r="AQ96" i="10"/>
  <c r="AQ97" i="10"/>
  <c r="AQ98" i="10"/>
  <c r="AQ99" i="10"/>
  <c r="AQ100" i="10"/>
  <c r="AQ101" i="10"/>
  <c r="AQ102" i="10"/>
  <c r="AQ103" i="10"/>
  <c r="AQ104" i="10"/>
  <c r="AQ105" i="10"/>
  <c r="AQ106" i="10"/>
  <c r="AQ107" i="10"/>
  <c r="AQ108" i="10"/>
  <c r="AQ109" i="10"/>
  <c r="AQ110" i="10"/>
  <c r="AQ111" i="10"/>
  <c r="AQ112" i="10"/>
  <c r="AQ113" i="10"/>
  <c r="AQ114" i="10"/>
  <c r="AQ115" i="10"/>
  <c r="AQ116" i="10"/>
  <c r="AQ117" i="10"/>
  <c r="AQ118" i="10"/>
  <c r="AQ119" i="10"/>
  <c r="AQ120" i="10"/>
  <c r="AQ121" i="10"/>
  <c r="AQ122" i="10"/>
  <c r="AQ123" i="10"/>
  <c r="AQ124" i="10"/>
  <c r="AQ125" i="10"/>
  <c r="AQ126" i="10"/>
  <c r="AQ127" i="10"/>
  <c r="AQ128" i="10"/>
  <c r="AQ129" i="10"/>
  <c r="AQ130" i="10"/>
  <c r="AQ131" i="10"/>
  <c r="AQ132" i="10"/>
  <c r="AQ133" i="10"/>
  <c r="AQ134" i="10"/>
  <c r="AQ135" i="10"/>
  <c r="AQ136" i="10"/>
  <c r="AQ137" i="10"/>
  <c r="AQ138" i="10"/>
  <c r="AQ139" i="10"/>
  <c r="AQ140" i="10"/>
  <c r="AQ141" i="10"/>
  <c r="AQ142" i="10"/>
  <c r="AQ143" i="10"/>
  <c r="AQ144" i="10"/>
  <c r="AQ145" i="10"/>
  <c r="AQ146" i="10"/>
  <c r="AQ147" i="10"/>
  <c r="AQ148" i="10"/>
  <c r="AQ149" i="10"/>
  <c r="AQ150" i="10"/>
  <c r="AQ151" i="10"/>
  <c r="AQ152" i="10"/>
  <c r="AQ153" i="10"/>
  <c r="AQ154" i="10"/>
  <c r="AQ155" i="10"/>
  <c r="AQ156" i="10"/>
  <c r="AQ157" i="10"/>
  <c r="AQ158" i="10"/>
  <c r="AQ159" i="10"/>
  <c r="AQ160" i="10"/>
  <c r="AQ161" i="10"/>
  <c r="AQ162" i="10"/>
  <c r="AQ163" i="10"/>
  <c r="AQ164" i="10"/>
  <c r="AQ165" i="10"/>
  <c r="AQ166" i="10"/>
  <c r="AQ167" i="10"/>
  <c r="AQ168" i="10"/>
  <c r="AQ169" i="10"/>
  <c r="AQ170" i="10"/>
  <c r="AQ171" i="10"/>
  <c r="AQ172" i="10"/>
  <c r="AQ173" i="10"/>
  <c r="AQ174" i="10"/>
  <c r="AQ175" i="10"/>
  <c r="AQ176" i="10"/>
  <c r="AP3" i="10"/>
  <c r="AP4" i="10"/>
  <c r="AP5" i="10"/>
  <c r="AP6" i="10"/>
  <c r="AP7" i="10"/>
  <c r="AP8" i="10"/>
  <c r="AP9" i="10"/>
  <c r="AP10" i="10"/>
  <c r="AP11" i="10"/>
  <c r="AP12" i="10"/>
  <c r="AP13" i="10"/>
  <c r="AP14" i="10"/>
  <c r="AP15" i="10"/>
  <c r="AP16" i="10"/>
  <c r="AP17" i="10"/>
  <c r="AP18" i="10"/>
  <c r="AP19" i="10"/>
  <c r="AP20" i="10"/>
  <c r="AP21" i="10"/>
  <c r="AP22" i="10"/>
  <c r="AP23" i="10"/>
  <c r="AP24" i="10"/>
  <c r="AP25" i="10"/>
  <c r="AP26" i="10"/>
  <c r="AP27" i="10"/>
  <c r="AP28" i="10"/>
  <c r="AP29" i="10"/>
  <c r="AP30" i="10"/>
  <c r="AP31" i="10"/>
  <c r="AP32" i="10"/>
  <c r="AP33" i="10"/>
  <c r="AP34" i="10"/>
  <c r="AP35" i="10"/>
  <c r="AP36" i="10"/>
  <c r="AP37" i="10"/>
  <c r="AP38" i="10"/>
  <c r="AP39" i="10"/>
  <c r="AP40" i="10"/>
  <c r="AP41" i="10"/>
  <c r="AP42" i="10"/>
  <c r="AP43" i="10"/>
  <c r="AP44" i="10"/>
  <c r="AP45" i="10"/>
  <c r="AP46" i="10"/>
  <c r="AP47" i="10"/>
  <c r="AP48" i="10"/>
  <c r="AP49" i="10"/>
  <c r="AP50" i="10"/>
  <c r="AP51" i="10"/>
  <c r="AP52" i="10"/>
  <c r="AP53" i="10"/>
  <c r="AP54" i="10"/>
  <c r="AP55" i="10"/>
  <c r="AP56" i="10"/>
  <c r="AP57" i="10"/>
  <c r="AP58" i="10"/>
  <c r="AP59" i="10"/>
  <c r="AP60" i="10"/>
  <c r="AP61" i="10"/>
  <c r="AP62" i="10"/>
  <c r="AP63" i="10"/>
  <c r="AP64" i="10"/>
  <c r="AP65" i="10"/>
  <c r="AP66" i="10"/>
  <c r="AP67" i="10"/>
  <c r="AP68" i="10"/>
  <c r="AP69" i="10"/>
  <c r="AP70" i="10"/>
  <c r="AP71" i="10"/>
  <c r="AP72" i="10"/>
  <c r="AP73" i="10"/>
  <c r="AP74" i="10"/>
  <c r="AP75" i="10"/>
  <c r="AP76" i="10"/>
  <c r="AP77" i="10"/>
  <c r="AP78" i="10"/>
  <c r="AP79" i="10"/>
  <c r="AP80" i="10"/>
  <c r="AP81" i="10"/>
  <c r="AP82" i="10"/>
  <c r="AP83" i="10"/>
  <c r="AP84" i="10"/>
  <c r="AP85" i="10"/>
  <c r="AP86" i="10"/>
  <c r="AP87" i="10"/>
  <c r="AP88" i="10"/>
  <c r="AP89" i="10"/>
  <c r="AP90" i="10"/>
  <c r="AP91" i="10"/>
  <c r="AP92" i="10"/>
  <c r="AP93" i="10"/>
  <c r="AP94" i="10"/>
  <c r="AP95" i="10"/>
  <c r="AP96" i="10"/>
  <c r="AP97" i="10"/>
  <c r="AP98" i="10"/>
  <c r="AP99" i="10"/>
  <c r="AP100" i="10"/>
  <c r="AP101" i="10"/>
  <c r="AP102" i="10"/>
  <c r="AP103" i="10"/>
  <c r="AP104" i="10"/>
  <c r="AP105" i="10"/>
  <c r="AP106" i="10"/>
  <c r="AP107" i="10"/>
  <c r="AP108" i="10"/>
  <c r="AP109" i="10"/>
  <c r="AP110" i="10"/>
  <c r="AP111" i="10"/>
  <c r="AP112" i="10"/>
  <c r="AP113" i="10"/>
  <c r="AP114" i="10"/>
  <c r="AP115" i="10"/>
  <c r="AP116" i="10"/>
  <c r="AP117" i="10"/>
  <c r="AP118" i="10"/>
  <c r="AP119" i="10"/>
  <c r="AP120" i="10"/>
  <c r="AP121" i="10"/>
  <c r="AP122" i="10"/>
  <c r="AP123" i="10"/>
  <c r="AP124" i="10"/>
  <c r="AP125" i="10"/>
  <c r="AP126" i="10"/>
  <c r="AP127" i="10"/>
  <c r="AP128" i="10"/>
  <c r="AP129" i="10"/>
  <c r="AP130" i="10"/>
  <c r="AP131" i="10"/>
  <c r="AP132" i="10"/>
  <c r="AP133" i="10"/>
  <c r="AP134" i="10"/>
  <c r="AP135" i="10"/>
  <c r="AP136" i="10"/>
  <c r="AP137" i="10"/>
  <c r="AP138" i="10"/>
  <c r="AP139" i="10"/>
  <c r="AP140" i="10"/>
  <c r="AP141" i="10"/>
  <c r="AP142" i="10"/>
  <c r="AP143" i="10"/>
  <c r="AP144" i="10"/>
  <c r="AP145" i="10"/>
  <c r="AP146" i="10"/>
  <c r="AP147" i="10"/>
  <c r="AP148" i="10"/>
  <c r="AP149" i="10"/>
  <c r="AP150" i="10"/>
  <c r="AP151" i="10"/>
  <c r="AP152" i="10"/>
  <c r="AP153" i="10"/>
  <c r="AP154" i="10"/>
  <c r="AP155" i="10"/>
  <c r="AP156" i="10"/>
  <c r="AP157" i="10"/>
  <c r="AP158" i="10"/>
  <c r="AP159" i="10"/>
  <c r="AP160" i="10"/>
  <c r="AP161" i="10"/>
  <c r="AP162" i="10"/>
  <c r="AP163" i="10"/>
  <c r="AP164" i="10"/>
  <c r="AP165" i="10"/>
  <c r="AP166" i="10"/>
  <c r="AP167" i="10"/>
  <c r="AP168" i="10"/>
  <c r="AP169" i="10"/>
  <c r="AP170" i="10"/>
  <c r="AP171" i="10"/>
  <c r="AP172" i="10"/>
  <c r="AP173" i="10"/>
  <c r="AP174" i="10"/>
  <c r="AP175" i="10"/>
  <c r="AP176" i="10"/>
  <c r="AO3" i="10"/>
  <c r="AO4" i="10"/>
  <c r="AO5" i="10"/>
  <c r="AO6" i="10"/>
  <c r="AO7" i="10"/>
  <c r="AO8" i="10"/>
  <c r="AO9" i="10"/>
  <c r="AO10" i="10"/>
  <c r="AO11" i="10"/>
  <c r="AO12" i="10"/>
  <c r="AO13" i="10"/>
  <c r="AO14" i="10"/>
  <c r="AO15" i="10"/>
  <c r="AO16" i="10"/>
  <c r="AO17" i="10"/>
  <c r="AO18" i="10"/>
  <c r="AO19" i="10"/>
  <c r="AO20" i="10"/>
  <c r="AO21" i="10"/>
  <c r="AO22" i="10"/>
  <c r="AO23" i="10"/>
  <c r="AO24" i="10"/>
  <c r="AO25" i="10"/>
  <c r="AO26" i="10"/>
  <c r="AO27" i="10"/>
  <c r="AO28" i="10"/>
  <c r="AO29" i="10"/>
  <c r="AO30" i="10"/>
  <c r="AO31" i="10"/>
  <c r="AO32" i="10"/>
  <c r="AO33" i="10"/>
  <c r="AO34" i="10"/>
  <c r="AO35" i="10"/>
  <c r="AO36" i="10"/>
  <c r="AO37" i="10"/>
  <c r="AO38" i="10"/>
  <c r="AO39" i="10"/>
  <c r="AO40" i="10"/>
  <c r="AO41" i="10"/>
  <c r="AO42" i="10"/>
  <c r="AO43" i="10"/>
  <c r="AO44" i="10"/>
  <c r="AO45" i="10"/>
  <c r="AO46" i="10"/>
  <c r="AO47" i="10"/>
  <c r="AO48" i="10"/>
  <c r="AO49" i="10"/>
  <c r="AO50" i="10"/>
  <c r="AO51" i="10"/>
  <c r="AO52" i="10"/>
  <c r="AO53" i="10"/>
  <c r="AO54" i="10"/>
  <c r="AO55" i="10"/>
  <c r="AO56" i="10"/>
  <c r="AO57" i="10"/>
  <c r="AO58" i="10"/>
  <c r="AO59" i="10"/>
  <c r="AO60" i="10"/>
  <c r="AO61" i="10"/>
  <c r="AO62" i="10"/>
  <c r="AO63" i="10"/>
  <c r="AO64" i="10"/>
  <c r="AO65" i="10"/>
  <c r="AO66" i="10"/>
  <c r="AO67" i="10"/>
  <c r="AO68" i="10"/>
  <c r="AO69" i="10"/>
  <c r="AO70" i="10"/>
  <c r="AO71" i="10"/>
  <c r="AO72" i="10"/>
  <c r="AO73" i="10"/>
  <c r="AO74" i="10"/>
  <c r="AO75" i="10"/>
  <c r="AO76" i="10"/>
  <c r="AO77" i="10"/>
  <c r="AO78" i="10"/>
  <c r="AO79" i="10"/>
  <c r="AO80" i="10"/>
  <c r="AO81" i="10"/>
  <c r="AO82" i="10"/>
  <c r="AO83" i="10"/>
  <c r="AO84" i="10"/>
  <c r="AO85" i="10"/>
  <c r="AO86" i="10"/>
  <c r="AO87" i="10"/>
  <c r="AO88" i="10"/>
  <c r="AO89" i="10"/>
  <c r="AO90" i="10"/>
  <c r="AO91" i="10"/>
  <c r="AO92" i="10"/>
  <c r="AO93" i="10"/>
  <c r="AO94" i="10"/>
  <c r="AO95" i="10"/>
  <c r="AO96" i="10"/>
  <c r="AO97" i="10"/>
  <c r="AO98" i="10"/>
  <c r="AO99" i="10"/>
  <c r="AO100" i="10"/>
  <c r="AO101" i="10"/>
  <c r="AO102" i="10"/>
  <c r="AO103" i="10"/>
  <c r="AO104" i="10"/>
  <c r="AO105" i="10"/>
  <c r="AO106" i="10"/>
  <c r="AO107" i="10"/>
  <c r="AO108" i="10"/>
  <c r="AO109" i="10"/>
  <c r="AO110" i="10"/>
  <c r="AO111" i="10"/>
  <c r="AO112" i="10"/>
  <c r="AO113" i="10"/>
  <c r="AO114" i="10"/>
  <c r="AO115" i="10"/>
  <c r="AO116" i="10"/>
  <c r="AO117" i="10"/>
  <c r="AO118" i="10"/>
  <c r="AO119" i="10"/>
  <c r="AO120" i="10"/>
  <c r="AO121" i="10"/>
  <c r="AO122" i="10"/>
  <c r="AO123" i="10"/>
  <c r="AO124" i="10"/>
  <c r="AO125" i="10"/>
  <c r="AO126" i="10"/>
  <c r="AO127" i="10"/>
  <c r="AO128" i="10"/>
  <c r="AO129" i="10"/>
  <c r="AO130" i="10"/>
  <c r="AO131" i="10"/>
  <c r="AO132" i="10"/>
  <c r="AO133" i="10"/>
  <c r="AO134" i="10"/>
  <c r="AO135" i="10"/>
  <c r="AO136" i="10"/>
  <c r="AO137" i="10"/>
  <c r="AO138" i="10"/>
  <c r="AO139" i="10"/>
  <c r="AO140" i="10"/>
  <c r="AO141" i="10"/>
  <c r="AO142" i="10"/>
  <c r="AO143" i="10"/>
  <c r="AO144" i="10"/>
  <c r="AO145" i="10"/>
  <c r="AO146" i="10"/>
  <c r="AO147" i="10"/>
  <c r="AO148" i="10"/>
  <c r="AO149" i="10"/>
  <c r="AO150" i="10"/>
  <c r="AO151" i="10"/>
  <c r="AO152" i="10"/>
  <c r="AO153" i="10"/>
  <c r="AO154" i="10"/>
  <c r="AO155" i="10"/>
  <c r="AO156" i="10"/>
  <c r="AO157" i="10"/>
  <c r="AO158" i="10"/>
  <c r="AO159" i="10"/>
  <c r="AO160" i="10"/>
  <c r="AO161" i="10"/>
  <c r="AO162" i="10"/>
  <c r="AO163" i="10"/>
  <c r="AO164" i="10"/>
  <c r="AO165" i="10"/>
  <c r="AO166" i="10"/>
  <c r="AO167" i="10"/>
  <c r="AO168" i="10"/>
  <c r="AO169" i="10"/>
  <c r="AO170" i="10"/>
  <c r="AO171" i="10"/>
  <c r="AO172" i="10"/>
  <c r="AO173" i="10"/>
  <c r="AO174" i="10"/>
  <c r="AO175" i="10"/>
  <c r="AO176" i="10"/>
  <c r="AN3" i="10"/>
  <c r="AN4" i="10"/>
  <c r="AN5" i="10"/>
  <c r="AN6" i="10"/>
  <c r="AN7" i="10"/>
  <c r="AN8" i="10"/>
  <c r="AN9" i="10"/>
  <c r="AN10" i="10"/>
  <c r="AN11" i="10"/>
  <c r="AN12" i="10"/>
  <c r="AN13" i="10"/>
  <c r="AN14" i="10"/>
  <c r="AN15" i="10"/>
  <c r="AN16" i="10"/>
  <c r="AN17" i="10"/>
  <c r="AN18" i="10"/>
  <c r="AN19" i="10"/>
  <c r="AN20" i="10"/>
  <c r="AN21" i="10"/>
  <c r="AN22" i="10"/>
  <c r="AN23" i="10"/>
  <c r="AN24" i="10"/>
  <c r="AN25" i="10"/>
  <c r="AN26" i="10"/>
  <c r="AN27" i="10"/>
  <c r="AN28" i="10"/>
  <c r="AN29" i="10"/>
  <c r="AN30" i="10"/>
  <c r="AN31" i="10"/>
  <c r="AN32" i="10"/>
  <c r="AN33" i="10"/>
  <c r="AN34" i="10"/>
  <c r="AN35" i="10"/>
  <c r="AN36" i="10"/>
  <c r="AN37" i="10"/>
  <c r="AN38" i="10"/>
  <c r="AN39" i="10"/>
  <c r="AN40" i="10"/>
  <c r="AN41" i="10"/>
  <c r="AN42" i="10"/>
  <c r="AN43" i="10"/>
  <c r="AN44" i="10"/>
  <c r="AN45" i="10"/>
  <c r="AN46" i="10"/>
  <c r="AN47" i="10"/>
  <c r="AN48" i="10"/>
  <c r="AN49" i="10"/>
  <c r="AN50" i="10"/>
  <c r="AN51" i="10"/>
  <c r="AN52" i="10"/>
  <c r="AN53" i="10"/>
  <c r="AN54" i="10"/>
  <c r="AN55" i="10"/>
  <c r="AN56" i="10"/>
  <c r="AN57" i="10"/>
  <c r="AN58" i="10"/>
  <c r="AN59" i="10"/>
  <c r="AN60" i="10"/>
  <c r="AN61" i="10"/>
  <c r="AN62" i="10"/>
  <c r="AN63" i="10"/>
  <c r="AN64" i="10"/>
  <c r="AN65" i="10"/>
  <c r="AN66" i="10"/>
  <c r="AN67" i="10"/>
  <c r="AN68" i="10"/>
  <c r="AN69" i="10"/>
  <c r="AN70" i="10"/>
  <c r="AN71" i="10"/>
  <c r="AN72" i="10"/>
  <c r="AN73" i="10"/>
  <c r="AN74" i="10"/>
  <c r="AN75" i="10"/>
  <c r="AN76" i="10"/>
  <c r="AN77" i="10"/>
  <c r="AN78" i="10"/>
  <c r="AN79" i="10"/>
  <c r="AN80" i="10"/>
  <c r="AN81" i="10"/>
  <c r="AN82" i="10"/>
  <c r="AN83" i="10"/>
  <c r="AN84" i="10"/>
  <c r="AN85" i="10"/>
  <c r="AN86" i="10"/>
  <c r="AN87" i="10"/>
  <c r="AN88" i="10"/>
  <c r="AN89" i="10"/>
  <c r="AN90" i="10"/>
  <c r="AN91" i="10"/>
  <c r="AN92" i="10"/>
  <c r="AN93" i="10"/>
  <c r="AN94" i="10"/>
  <c r="AN95" i="10"/>
  <c r="AN96" i="10"/>
  <c r="AN97" i="10"/>
  <c r="AN98" i="10"/>
  <c r="AN99" i="10"/>
  <c r="AN100" i="10"/>
  <c r="AN101" i="10"/>
  <c r="AN102" i="10"/>
  <c r="AN103" i="10"/>
  <c r="AN104" i="10"/>
  <c r="AN105" i="10"/>
  <c r="AN106" i="10"/>
  <c r="AN107" i="10"/>
  <c r="AN108" i="10"/>
  <c r="AN109" i="10"/>
  <c r="AN110" i="10"/>
  <c r="AN111" i="10"/>
  <c r="AN112" i="10"/>
  <c r="AN113" i="10"/>
  <c r="AN114" i="10"/>
  <c r="AN115" i="10"/>
  <c r="AN116" i="10"/>
  <c r="AN117" i="10"/>
  <c r="AN118" i="10"/>
  <c r="AN119" i="10"/>
  <c r="AN120" i="10"/>
  <c r="AN121" i="10"/>
  <c r="AN122" i="10"/>
  <c r="AN123" i="10"/>
  <c r="AN124" i="10"/>
  <c r="AN125" i="10"/>
  <c r="AN126" i="10"/>
  <c r="AN127" i="10"/>
  <c r="AN128" i="10"/>
  <c r="AN129" i="10"/>
  <c r="AN130" i="10"/>
  <c r="AN131" i="10"/>
  <c r="AN132" i="10"/>
  <c r="AN133" i="10"/>
  <c r="AN134" i="10"/>
  <c r="AN135" i="10"/>
  <c r="AN136" i="10"/>
  <c r="AN137" i="10"/>
  <c r="AN138" i="10"/>
  <c r="AN139" i="10"/>
  <c r="AN140" i="10"/>
  <c r="AN141" i="10"/>
  <c r="AN142" i="10"/>
  <c r="AN143" i="10"/>
  <c r="AN144" i="10"/>
  <c r="AN145" i="10"/>
  <c r="AN146" i="10"/>
  <c r="AN147" i="10"/>
  <c r="AN148" i="10"/>
  <c r="AN149" i="10"/>
  <c r="AN150" i="10"/>
  <c r="AN151" i="10"/>
  <c r="AN152" i="10"/>
  <c r="AN153" i="10"/>
  <c r="AN154" i="10"/>
  <c r="AN155" i="10"/>
  <c r="AN156" i="10"/>
  <c r="AN157" i="10"/>
  <c r="AN158" i="10"/>
  <c r="AN159" i="10"/>
  <c r="AN160" i="10"/>
  <c r="AN161" i="10"/>
  <c r="AN162" i="10"/>
  <c r="AN163" i="10"/>
  <c r="AN164" i="10"/>
  <c r="AN165" i="10"/>
  <c r="AN166" i="10"/>
  <c r="AN167" i="10"/>
  <c r="AN168" i="10"/>
  <c r="AN169" i="10"/>
  <c r="AN170" i="10"/>
  <c r="AN171" i="10"/>
  <c r="AN172" i="10"/>
  <c r="AN173" i="10"/>
  <c r="AN174" i="10"/>
  <c r="AN175" i="10"/>
  <c r="AN176" i="10"/>
  <c r="AM3" i="10"/>
  <c r="AM4" i="10"/>
  <c r="AM5" i="10"/>
  <c r="AM6" i="10"/>
  <c r="AM7" i="10"/>
  <c r="AM8" i="10"/>
  <c r="AM9" i="10"/>
  <c r="AM10" i="10"/>
  <c r="AM11" i="10"/>
  <c r="AM12" i="10"/>
  <c r="AM13" i="10"/>
  <c r="AM14" i="10"/>
  <c r="AM15" i="10"/>
  <c r="AM16" i="10"/>
  <c r="AM17" i="10"/>
  <c r="AM18" i="10"/>
  <c r="AM19" i="10"/>
  <c r="AM20" i="10"/>
  <c r="AM21" i="10"/>
  <c r="AM22" i="10"/>
  <c r="AM23" i="10"/>
  <c r="AM24" i="10"/>
  <c r="AM25" i="10"/>
  <c r="AM26" i="10"/>
  <c r="AM27" i="10"/>
  <c r="AM28" i="10"/>
  <c r="AM29" i="10"/>
  <c r="AM30" i="10"/>
  <c r="AM31" i="10"/>
  <c r="AM32" i="10"/>
  <c r="AM33" i="10"/>
  <c r="AM34" i="10"/>
  <c r="AM35" i="10"/>
  <c r="AM36" i="10"/>
  <c r="AM37" i="10"/>
  <c r="AM38" i="10"/>
  <c r="AM39" i="10"/>
  <c r="AM40" i="10"/>
  <c r="AM41" i="10"/>
  <c r="AM42" i="10"/>
  <c r="AM43" i="10"/>
  <c r="AM44" i="10"/>
  <c r="AM45" i="10"/>
  <c r="AM46" i="10"/>
  <c r="AM47" i="10"/>
  <c r="AM48" i="10"/>
  <c r="AM49" i="10"/>
  <c r="AM50" i="10"/>
  <c r="AM51" i="10"/>
  <c r="AM52" i="10"/>
  <c r="AM53" i="10"/>
  <c r="AM54" i="10"/>
  <c r="AM55" i="10"/>
  <c r="AM56" i="10"/>
  <c r="AM57" i="10"/>
  <c r="AM58" i="10"/>
  <c r="AM59" i="10"/>
  <c r="AM60" i="10"/>
  <c r="AM61" i="10"/>
  <c r="AM62" i="10"/>
  <c r="AM63" i="10"/>
  <c r="AM64" i="10"/>
  <c r="AM65" i="10"/>
  <c r="AM66" i="10"/>
  <c r="AM67" i="10"/>
  <c r="AM68" i="10"/>
  <c r="AM69" i="10"/>
  <c r="AM70" i="10"/>
  <c r="AM71" i="10"/>
  <c r="AM72" i="10"/>
  <c r="AM73" i="10"/>
  <c r="AM74" i="10"/>
  <c r="AM75" i="10"/>
  <c r="AM76" i="10"/>
  <c r="AM77" i="10"/>
  <c r="AM78" i="10"/>
  <c r="AM79" i="10"/>
  <c r="AM80" i="10"/>
  <c r="AM81" i="10"/>
  <c r="AM82" i="10"/>
  <c r="AM83" i="10"/>
  <c r="AM84" i="10"/>
  <c r="AM85" i="10"/>
  <c r="AM86" i="10"/>
  <c r="AM87" i="10"/>
  <c r="AM88" i="10"/>
  <c r="AM89" i="10"/>
  <c r="AM90" i="10"/>
  <c r="AM91" i="10"/>
  <c r="AM92" i="10"/>
  <c r="AM93" i="10"/>
  <c r="AM94" i="10"/>
  <c r="AM95" i="10"/>
  <c r="AM96" i="10"/>
  <c r="AM97" i="10"/>
  <c r="AM98" i="10"/>
  <c r="AM99" i="10"/>
  <c r="AM100" i="10"/>
  <c r="AM101" i="10"/>
  <c r="AM102" i="10"/>
  <c r="AM103" i="10"/>
  <c r="AM104" i="10"/>
  <c r="AM105" i="10"/>
  <c r="AM106" i="10"/>
  <c r="AM107" i="10"/>
  <c r="AM108" i="10"/>
  <c r="AM109" i="10"/>
  <c r="AM110" i="10"/>
  <c r="AM111" i="10"/>
  <c r="AM112" i="10"/>
  <c r="AM113" i="10"/>
  <c r="AM114" i="10"/>
  <c r="AM115" i="10"/>
  <c r="AM116" i="10"/>
  <c r="AM117" i="10"/>
  <c r="AM118" i="10"/>
  <c r="AM119" i="10"/>
  <c r="AM120" i="10"/>
  <c r="AM121" i="10"/>
  <c r="AM122" i="10"/>
  <c r="AM123" i="10"/>
  <c r="AM124" i="10"/>
  <c r="AM125" i="10"/>
  <c r="AM126" i="10"/>
  <c r="AM127" i="10"/>
  <c r="AM128" i="10"/>
  <c r="AM129" i="10"/>
  <c r="AM130" i="10"/>
  <c r="AM131" i="10"/>
  <c r="AM132" i="10"/>
  <c r="AM133" i="10"/>
  <c r="AM134" i="10"/>
  <c r="AM135" i="10"/>
  <c r="AM136" i="10"/>
  <c r="AM137" i="10"/>
  <c r="AM138" i="10"/>
  <c r="AM139" i="10"/>
  <c r="AM140" i="10"/>
  <c r="AM141" i="10"/>
  <c r="AM142" i="10"/>
  <c r="AM143" i="10"/>
  <c r="AM144" i="10"/>
  <c r="AM145" i="10"/>
  <c r="AM146" i="10"/>
  <c r="AM147" i="10"/>
  <c r="AM148" i="10"/>
  <c r="AM149" i="10"/>
  <c r="AM150" i="10"/>
  <c r="AM151" i="10"/>
  <c r="AM152" i="10"/>
  <c r="AM153" i="10"/>
  <c r="AM154" i="10"/>
  <c r="AM155" i="10"/>
  <c r="AM156" i="10"/>
  <c r="AM157" i="10"/>
  <c r="AM158" i="10"/>
  <c r="AM159" i="10"/>
  <c r="AM160" i="10"/>
  <c r="AM161" i="10"/>
  <c r="AM162" i="10"/>
  <c r="AM163" i="10"/>
  <c r="AM164" i="10"/>
  <c r="AM165" i="10"/>
  <c r="AM166" i="10"/>
  <c r="AM167" i="10"/>
  <c r="AM168" i="10"/>
  <c r="AM169" i="10"/>
  <c r="AM170" i="10"/>
  <c r="AM171" i="10"/>
  <c r="AM172" i="10"/>
  <c r="AM173" i="10"/>
  <c r="AM174" i="10"/>
  <c r="AM175" i="10"/>
  <c r="AM176" i="10"/>
  <c r="AL3" i="10"/>
  <c r="AL4" i="10"/>
  <c r="AL5" i="10"/>
  <c r="AL6" i="10"/>
  <c r="AL7" i="10"/>
  <c r="AL8" i="10"/>
  <c r="AL9" i="10"/>
  <c r="AL10" i="10"/>
  <c r="AL11" i="10"/>
  <c r="AL12" i="10"/>
  <c r="AL13" i="10"/>
  <c r="AL14" i="10"/>
  <c r="AL15" i="10"/>
  <c r="AL16" i="10"/>
  <c r="AL17" i="10"/>
  <c r="AL18" i="10"/>
  <c r="AL19" i="10"/>
  <c r="AL20" i="10"/>
  <c r="AL21" i="10"/>
  <c r="AL22" i="10"/>
  <c r="AL23" i="10"/>
  <c r="AL24" i="10"/>
  <c r="AL25" i="10"/>
  <c r="AL26" i="10"/>
  <c r="AL27" i="10"/>
  <c r="AL28" i="10"/>
  <c r="AL29" i="10"/>
  <c r="AL30" i="10"/>
  <c r="AL31" i="10"/>
  <c r="AL32" i="10"/>
  <c r="AL33" i="10"/>
  <c r="AL34" i="10"/>
  <c r="AL35" i="10"/>
  <c r="AL36" i="10"/>
  <c r="AL37" i="10"/>
  <c r="AL38" i="10"/>
  <c r="AL39" i="10"/>
  <c r="AL40" i="10"/>
  <c r="AL41" i="10"/>
  <c r="AL42" i="10"/>
  <c r="AL43" i="10"/>
  <c r="AL44" i="10"/>
  <c r="AL45" i="10"/>
  <c r="AL46" i="10"/>
  <c r="AL47" i="10"/>
  <c r="AL48" i="10"/>
  <c r="AL49" i="10"/>
  <c r="AL50" i="10"/>
  <c r="AL51" i="10"/>
  <c r="AL52" i="10"/>
  <c r="AL53" i="10"/>
  <c r="AL54" i="10"/>
  <c r="AL55" i="10"/>
  <c r="AL56" i="10"/>
  <c r="AL57" i="10"/>
  <c r="AL58" i="10"/>
  <c r="AL59" i="10"/>
  <c r="AL60" i="10"/>
  <c r="AL61" i="10"/>
  <c r="AL62" i="10"/>
  <c r="AL63" i="10"/>
  <c r="AL64" i="10"/>
  <c r="AL65" i="10"/>
  <c r="AL66" i="10"/>
  <c r="AL67" i="10"/>
  <c r="AL68" i="10"/>
  <c r="AL69" i="10"/>
  <c r="AL70" i="10"/>
  <c r="AL71" i="10"/>
  <c r="AL72" i="10"/>
  <c r="AL73" i="10"/>
  <c r="AL74" i="10"/>
  <c r="AL75" i="10"/>
  <c r="AL76" i="10"/>
  <c r="AL77" i="10"/>
  <c r="AL78" i="10"/>
  <c r="AL79" i="10"/>
  <c r="AL80" i="10"/>
  <c r="AL81" i="10"/>
  <c r="AL82" i="10"/>
  <c r="AL83" i="10"/>
  <c r="AL84" i="10"/>
  <c r="AL85" i="10"/>
  <c r="AL86" i="10"/>
  <c r="AL87" i="10"/>
  <c r="AL88" i="10"/>
  <c r="AL89" i="10"/>
  <c r="AL90" i="10"/>
  <c r="AL91" i="10"/>
  <c r="AL92" i="10"/>
  <c r="AL93" i="10"/>
  <c r="AL94" i="10"/>
  <c r="AL95" i="10"/>
  <c r="AL96" i="10"/>
  <c r="AL97" i="10"/>
  <c r="AL98" i="10"/>
  <c r="AL99" i="10"/>
  <c r="AL100" i="10"/>
  <c r="AL101" i="10"/>
  <c r="AL102" i="10"/>
  <c r="AL103" i="10"/>
  <c r="AL104" i="10"/>
  <c r="AL105" i="10"/>
  <c r="AL106" i="10"/>
  <c r="AL107" i="10"/>
  <c r="AL108" i="10"/>
  <c r="AL109" i="10"/>
  <c r="AL110" i="10"/>
  <c r="AL111" i="10"/>
  <c r="AL112" i="10"/>
  <c r="AL113" i="10"/>
  <c r="AL114" i="10"/>
  <c r="AL115" i="10"/>
  <c r="AL116" i="10"/>
  <c r="AL117" i="10"/>
  <c r="AL118" i="10"/>
  <c r="AL119" i="10"/>
  <c r="AL120" i="10"/>
  <c r="AL121" i="10"/>
  <c r="AL122" i="10"/>
  <c r="AL123" i="10"/>
  <c r="AL124" i="10"/>
  <c r="AL125" i="10"/>
  <c r="AL126" i="10"/>
  <c r="AL127" i="10"/>
  <c r="AL128" i="10"/>
  <c r="AL129" i="10"/>
  <c r="AL130" i="10"/>
  <c r="AL131" i="10"/>
  <c r="AL132" i="10"/>
  <c r="AL133" i="10"/>
  <c r="AL134" i="10"/>
  <c r="AL135" i="10"/>
  <c r="AL136" i="10"/>
  <c r="AL137" i="10"/>
  <c r="AL138" i="10"/>
  <c r="AL139" i="10"/>
  <c r="AL140" i="10"/>
  <c r="AL141" i="10"/>
  <c r="AL142" i="10"/>
  <c r="AL143" i="10"/>
  <c r="AL144" i="10"/>
  <c r="AL145" i="10"/>
  <c r="AL146" i="10"/>
  <c r="AL147" i="10"/>
  <c r="AL148" i="10"/>
  <c r="AL149" i="10"/>
  <c r="AL150" i="10"/>
  <c r="AL151" i="10"/>
  <c r="AL152" i="10"/>
  <c r="AL153" i="10"/>
  <c r="AL154" i="10"/>
  <c r="AL155" i="10"/>
  <c r="AL156" i="10"/>
  <c r="AL157" i="10"/>
  <c r="AL158" i="10"/>
  <c r="AL159" i="10"/>
  <c r="AL160" i="10"/>
  <c r="AL161" i="10"/>
  <c r="AL162" i="10"/>
  <c r="AL163" i="10"/>
  <c r="AL164" i="10"/>
  <c r="AL165" i="10"/>
  <c r="AL166" i="10"/>
  <c r="AL167" i="10"/>
  <c r="AL168" i="10"/>
  <c r="AL169" i="10"/>
  <c r="AL170" i="10"/>
  <c r="AL171" i="10"/>
  <c r="AL172" i="10"/>
  <c r="AL173" i="10"/>
  <c r="AL174" i="10"/>
  <c r="AL175" i="10"/>
  <c r="AL176" i="10"/>
  <c r="AK3" i="10"/>
  <c r="AK4" i="10"/>
  <c r="AK5" i="10"/>
  <c r="AK6" i="10"/>
  <c r="AK7" i="10"/>
  <c r="AK8" i="10"/>
  <c r="AK9" i="10"/>
  <c r="AK10" i="10"/>
  <c r="AK11" i="10"/>
  <c r="AK12" i="10"/>
  <c r="AK13" i="10"/>
  <c r="AK14" i="10"/>
  <c r="AK15" i="10"/>
  <c r="AK16" i="10"/>
  <c r="AK17" i="10"/>
  <c r="AK18" i="10"/>
  <c r="AK19" i="10"/>
  <c r="AK20" i="10"/>
  <c r="AK21" i="10"/>
  <c r="AK22" i="10"/>
  <c r="AK23" i="10"/>
  <c r="AK24" i="10"/>
  <c r="AK25" i="10"/>
  <c r="AK26" i="10"/>
  <c r="AK27" i="10"/>
  <c r="AK28" i="10"/>
  <c r="AK29" i="10"/>
  <c r="AK30" i="10"/>
  <c r="AK31" i="10"/>
  <c r="AK32" i="10"/>
  <c r="AK33" i="10"/>
  <c r="AK34" i="10"/>
  <c r="AK35" i="10"/>
  <c r="AK36" i="10"/>
  <c r="AK37" i="10"/>
  <c r="AK38" i="10"/>
  <c r="AK39" i="10"/>
  <c r="AK40" i="10"/>
  <c r="AK41" i="10"/>
  <c r="AK42" i="10"/>
  <c r="AK43" i="10"/>
  <c r="AK44" i="10"/>
  <c r="AK45" i="10"/>
  <c r="AK46" i="10"/>
  <c r="AK47" i="10"/>
  <c r="AK48" i="10"/>
  <c r="AK49" i="10"/>
  <c r="AK50" i="10"/>
  <c r="AK51" i="10"/>
  <c r="AK52" i="10"/>
  <c r="AK53" i="10"/>
  <c r="AK54" i="10"/>
  <c r="AK55" i="10"/>
  <c r="AK56" i="10"/>
  <c r="AK57" i="10"/>
  <c r="AK58" i="10"/>
  <c r="AK59" i="10"/>
  <c r="AK60" i="10"/>
  <c r="AK61" i="10"/>
  <c r="AK62" i="10"/>
  <c r="AK63" i="10"/>
  <c r="AK64" i="10"/>
  <c r="AK65" i="10"/>
  <c r="AK66" i="10"/>
  <c r="AK67" i="10"/>
  <c r="AK68" i="10"/>
  <c r="AK69" i="10"/>
  <c r="AK70" i="10"/>
  <c r="AK71" i="10"/>
  <c r="AK72" i="10"/>
  <c r="AK73" i="10"/>
  <c r="AK74" i="10"/>
  <c r="AK75" i="10"/>
  <c r="AK76" i="10"/>
  <c r="AK77" i="10"/>
  <c r="AK78" i="10"/>
  <c r="AK79" i="10"/>
  <c r="AK80" i="10"/>
  <c r="AK81" i="10"/>
  <c r="AK82" i="10"/>
  <c r="AK83" i="10"/>
  <c r="AK84" i="10"/>
  <c r="AK85" i="10"/>
  <c r="AK86" i="10"/>
  <c r="AK87" i="10"/>
  <c r="AK88" i="10"/>
  <c r="AK89" i="10"/>
  <c r="AK90" i="10"/>
  <c r="AK91" i="10"/>
  <c r="AK92" i="10"/>
  <c r="AK93" i="10"/>
  <c r="AK94" i="10"/>
  <c r="AK95" i="10"/>
  <c r="AK96" i="10"/>
  <c r="AK97" i="10"/>
  <c r="AK98" i="10"/>
  <c r="AK99" i="10"/>
  <c r="AK100" i="10"/>
  <c r="AK101" i="10"/>
  <c r="AK102" i="10"/>
  <c r="AK103" i="10"/>
  <c r="AK104" i="10"/>
  <c r="AK105" i="10"/>
  <c r="AK106" i="10"/>
  <c r="AK107" i="10"/>
  <c r="AK108" i="10"/>
  <c r="AK109" i="10"/>
  <c r="AK110" i="10"/>
  <c r="AK111" i="10"/>
  <c r="AK112" i="10"/>
  <c r="AK113" i="10"/>
  <c r="AK114" i="10"/>
  <c r="AK115" i="10"/>
  <c r="AK116" i="10"/>
  <c r="AK117" i="10"/>
  <c r="AK118" i="10"/>
  <c r="AK119" i="10"/>
  <c r="AK120" i="10"/>
  <c r="AK121" i="10"/>
  <c r="AK122" i="10"/>
  <c r="AK123" i="10"/>
  <c r="AK124" i="10"/>
  <c r="AK125" i="10"/>
  <c r="AK126" i="10"/>
  <c r="AK127" i="10"/>
  <c r="AK128" i="10"/>
  <c r="AK129" i="10"/>
  <c r="AK130" i="10"/>
  <c r="AK131" i="10"/>
  <c r="AK132" i="10"/>
  <c r="AK133" i="10"/>
  <c r="AK134" i="10"/>
  <c r="AK135" i="10"/>
  <c r="AK136" i="10"/>
  <c r="AK137" i="10"/>
  <c r="AK138" i="10"/>
  <c r="AK139" i="10"/>
  <c r="AK140" i="10"/>
  <c r="AK141" i="10"/>
  <c r="AK142" i="10"/>
  <c r="AK143" i="10"/>
  <c r="AK144" i="10"/>
  <c r="AK145" i="10"/>
  <c r="AK146" i="10"/>
  <c r="AK147" i="10"/>
  <c r="AK148" i="10"/>
  <c r="AK149" i="10"/>
  <c r="AK150" i="10"/>
  <c r="AK151" i="10"/>
  <c r="AK152" i="10"/>
  <c r="AK153" i="10"/>
  <c r="AK154" i="10"/>
  <c r="AK155" i="10"/>
  <c r="AK156" i="10"/>
  <c r="AK157" i="10"/>
  <c r="AK158" i="10"/>
  <c r="AK159" i="10"/>
  <c r="AK160" i="10"/>
  <c r="AK161" i="10"/>
  <c r="AK162" i="10"/>
  <c r="AK163" i="10"/>
  <c r="AK164" i="10"/>
  <c r="AK165" i="10"/>
  <c r="AK166" i="10"/>
  <c r="AK167" i="10"/>
  <c r="AK168" i="10"/>
  <c r="AK169" i="10"/>
  <c r="AK170" i="10"/>
  <c r="AK171" i="10"/>
  <c r="AK172" i="10"/>
  <c r="AK173" i="10"/>
  <c r="AK174" i="10"/>
  <c r="AK175" i="10"/>
  <c r="AK176" i="10"/>
  <c r="AJ3" i="10"/>
  <c r="AJ4" i="10"/>
  <c r="AJ5" i="10"/>
  <c r="AJ6" i="10"/>
  <c r="AJ7" i="10"/>
  <c r="AJ8" i="10"/>
  <c r="AJ9" i="10"/>
  <c r="AJ10" i="10"/>
  <c r="AJ11" i="10"/>
  <c r="AJ12" i="10"/>
  <c r="AJ13" i="10"/>
  <c r="AJ14" i="10"/>
  <c r="AJ15" i="10"/>
  <c r="AJ16" i="10"/>
  <c r="AJ17" i="10"/>
  <c r="AJ18" i="10"/>
  <c r="AJ19" i="10"/>
  <c r="AJ20" i="10"/>
  <c r="AJ21" i="10"/>
  <c r="AJ22" i="10"/>
  <c r="AJ23" i="10"/>
  <c r="AJ24" i="10"/>
  <c r="AJ25" i="10"/>
  <c r="AJ26" i="10"/>
  <c r="AJ27" i="10"/>
  <c r="AJ28" i="10"/>
  <c r="AJ29" i="10"/>
  <c r="AJ30" i="10"/>
  <c r="AJ31" i="10"/>
  <c r="AJ32" i="10"/>
  <c r="AJ33" i="10"/>
  <c r="AJ34" i="10"/>
  <c r="AJ35" i="10"/>
  <c r="AJ36" i="10"/>
  <c r="AJ37" i="10"/>
  <c r="AJ38" i="10"/>
  <c r="AJ39" i="10"/>
  <c r="AJ40" i="10"/>
  <c r="AJ41" i="10"/>
  <c r="AJ42" i="10"/>
  <c r="AJ43" i="10"/>
  <c r="AJ44" i="10"/>
  <c r="AJ45" i="10"/>
  <c r="AJ46" i="10"/>
  <c r="AJ47" i="10"/>
  <c r="AJ48" i="10"/>
  <c r="AJ49" i="10"/>
  <c r="AJ50" i="10"/>
  <c r="AJ51" i="10"/>
  <c r="AJ52" i="10"/>
  <c r="AJ53" i="10"/>
  <c r="AJ54" i="10"/>
  <c r="AJ55" i="10"/>
  <c r="AJ56" i="10"/>
  <c r="AJ57" i="10"/>
  <c r="AJ58" i="10"/>
  <c r="AJ59" i="10"/>
  <c r="AJ60" i="10"/>
  <c r="AJ61" i="10"/>
  <c r="AJ62" i="10"/>
  <c r="AJ63" i="10"/>
  <c r="AJ64" i="10"/>
  <c r="AJ65" i="10"/>
  <c r="AJ66" i="10"/>
  <c r="AJ67" i="10"/>
  <c r="AJ68" i="10"/>
  <c r="AJ69" i="10"/>
  <c r="AJ70" i="10"/>
  <c r="AJ71" i="10"/>
  <c r="AJ72" i="10"/>
  <c r="AJ73" i="10"/>
  <c r="AJ74" i="10"/>
  <c r="AJ75" i="10"/>
  <c r="AJ76" i="10"/>
  <c r="AJ77" i="10"/>
  <c r="AJ78" i="10"/>
  <c r="AJ79" i="10"/>
  <c r="AJ80" i="10"/>
  <c r="AJ81" i="10"/>
  <c r="AJ82" i="10"/>
  <c r="AJ83" i="10"/>
  <c r="AJ84" i="10"/>
  <c r="AJ85" i="10"/>
  <c r="AJ86" i="10"/>
  <c r="AJ87" i="10"/>
  <c r="AJ88" i="10"/>
  <c r="AJ89" i="10"/>
  <c r="AJ90" i="10"/>
  <c r="AJ91" i="10"/>
  <c r="AJ92" i="10"/>
  <c r="AJ93" i="10"/>
  <c r="AJ94" i="10"/>
  <c r="AJ95" i="10"/>
  <c r="AJ96" i="10"/>
  <c r="AJ97" i="10"/>
  <c r="AJ98" i="10"/>
  <c r="AJ99" i="10"/>
  <c r="AJ100" i="10"/>
  <c r="AJ101" i="10"/>
  <c r="AJ102" i="10"/>
  <c r="AJ103" i="10"/>
  <c r="AJ104" i="10"/>
  <c r="AJ105" i="10"/>
  <c r="AJ106" i="10"/>
  <c r="AJ107" i="10"/>
  <c r="AJ108" i="10"/>
  <c r="AJ109" i="10"/>
  <c r="AJ110" i="10"/>
  <c r="AJ111" i="10"/>
  <c r="AJ112" i="10"/>
  <c r="AJ113" i="10"/>
  <c r="AJ114" i="10"/>
  <c r="AJ115" i="10"/>
  <c r="AJ116" i="10"/>
  <c r="AJ117" i="10"/>
  <c r="AJ118" i="10"/>
  <c r="AJ119" i="10"/>
  <c r="AJ120" i="10"/>
  <c r="AJ121" i="10"/>
  <c r="AJ122" i="10"/>
  <c r="AJ123" i="10"/>
  <c r="AJ124" i="10"/>
  <c r="AJ125" i="10"/>
  <c r="AJ126" i="10"/>
  <c r="AJ127" i="10"/>
  <c r="AJ128" i="10"/>
  <c r="AJ129" i="10"/>
  <c r="AJ130" i="10"/>
  <c r="AJ131" i="10"/>
  <c r="AJ132" i="10"/>
  <c r="AJ133" i="10"/>
  <c r="AJ134" i="10"/>
  <c r="AJ135" i="10"/>
  <c r="AJ136" i="10"/>
  <c r="AJ137" i="10"/>
  <c r="AJ138" i="10"/>
  <c r="AJ139" i="10"/>
  <c r="AJ140" i="10"/>
  <c r="AJ141" i="10"/>
  <c r="AJ142" i="10"/>
  <c r="AJ143" i="10"/>
  <c r="AJ144" i="10"/>
  <c r="AJ145" i="10"/>
  <c r="AJ146" i="10"/>
  <c r="AJ147" i="10"/>
  <c r="AJ148" i="10"/>
  <c r="AJ149" i="10"/>
  <c r="AJ150" i="10"/>
  <c r="AJ151" i="10"/>
  <c r="AJ152" i="10"/>
  <c r="AJ153" i="10"/>
  <c r="AJ154" i="10"/>
  <c r="AJ155" i="10"/>
  <c r="AJ156" i="10"/>
  <c r="AJ157" i="10"/>
  <c r="AJ158" i="10"/>
  <c r="AJ159" i="10"/>
  <c r="AJ160" i="10"/>
  <c r="AJ161" i="10"/>
  <c r="AJ162" i="10"/>
  <c r="AJ163" i="10"/>
  <c r="AJ164" i="10"/>
  <c r="AJ165" i="10"/>
  <c r="AJ166" i="10"/>
  <c r="AJ167" i="10"/>
  <c r="AJ168" i="10"/>
  <c r="AJ169" i="10"/>
  <c r="AJ170" i="10"/>
  <c r="AJ171" i="10"/>
  <c r="AJ172" i="10"/>
  <c r="AJ173" i="10"/>
  <c r="AJ174" i="10"/>
  <c r="AJ175" i="10"/>
  <c r="AJ176" i="10"/>
  <c r="AI3" i="10"/>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H3" i="10"/>
  <c r="AH4" i="10"/>
  <c r="AH5" i="10"/>
  <c r="AH6" i="10"/>
  <c r="AH7" i="10"/>
  <c r="AH8" i="10"/>
  <c r="AH9" i="10"/>
  <c r="AH10" i="10"/>
  <c r="AH11" i="10"/>
  <c r="AH12" i="10"/>
  <c r="AH13" i="10"/>
  <c r="AH14" i="10"/>
  <c r="AH15" i="10"/>
  <c r="AH16" i="10"/>
  <c r="AH17" i="10"/>
  <c r="AH18" i="10"/>
  <c r="AH19" i="10"/>
  <c r="AH20" i="10"/>
  <c r="AH21" i="10"/>
  <c r="AH22" i="10"/>
  <c r="AH23" i="10"/>
  <c r="AH24" i="10"/>
  <c r="AH25" i="10"/>
  <c r="AH26" i="10"/>
  <c r="AH27" i="10"/>
  <c r="AH28" i="10"/>
  <c r="AH29" i="10"/>
  <c r="AH30" i="10"/>
  <c r="AH31" i="10"/>
  <c r="AH32" i="10"/>
  <c r="AH33" i="10"/>
  <c r="AH34" i="10"/>
  <c r="AH35" i="10"/>
  <c r="AH36" i="10"/>
  <c r="AH37" i="10"/>
  <c r="AH38" i="10"/>
  <c r="AH39" i="10"/>
  <c r="AH40" i="10"/>
  <c r="AH41" i="10"/>
  <c r="AH42" i="10"/>
  <c r="AH43" i="10"/>
  <c r="AH44" i="10"/>
  <c r="AH45" i="10"/>
  <c r="AH46" i="10"/>
  <c r="AH47" i="10"/>
  <c r="AH48" i="10"/>
  <c r="AH49" i="10"/>
  <c r="AH50" i="10"/>
  <c r="AH51" i="10"/>
  <c r="AH52" i="10"/>
  <c r="AH53" i="10"/>
  <c r="AH54" i="10"/>
  <c r="AH55" i="10"/>
  <c r="AH56" i="10"/>
  <c r="AH57" i="10"/>
  <c r="AH58" i="10"/>
  <c r="AH59" i="10"/>
  <c r="AH60" i="10"/>
  <c r="AH61" i="10"/>
  <c r="AH62" i="10"/>
  <c r="AH63" i="10"/>
  <c r="AH64" i="10"/>
  <c r="AH65" i="10"/>
  <c r="AH66" i="10"/>
  <c r="AH67" i="10"/>
  <c r="AH68" i="10"/>
  <c r="AH69" i="10"/>
  <c r="AH70" i="10"/>
  <c r="AH71" i="10"/>
  <c r="AH72" i="10"/>
  <c r="AH73" i="10"/>
  <c r="AH74" i="10"/>
  <c r="AH75" i="10"/>
  <c r="AH76" i="10"/>
  <c r="AH77" i="10"/>
  <c r="AH78" i="10"/>
  <c r="AH79" i="10"/>
  <c r="AH80" i="10"/>
  <c r="AH81" i="10"/>
  <c r="AH82" i="10"/>
  <c r="AH83" i="10"/>
  <c r="AH84" i="10"/>
  <c r="AH85" i="10"/>
  <c r="AH86" i="10"/>
  <c r="AH87" i="10"/>
  <c r="AH88" i="10"/>
  <c r="AH89" i="10"/>
  <c r="AH90" i="10"/>
  <c r="AH91" i="10"/>
  <c r="AH92" i="10"/>
  <c r="AH93" i="10"/>
  <c r="AH94" i="10"/>
  <c r="AH95" i="10"/>
  <c r="AH96" i="10"/>
  <c r="AH97" i="10"/>
  <c r="AH98" i="10"/>
  <c r="AH99" i="10"/>
  <c r="AH100" i="10"/>
  <c r="AH101" i="10"/>
  <c r="AH102" i="10"/>
  <c r="AH103" i="10"/>
  <c r="AH104" i="10"/>
  <c r="AH105" i="10"/>
  <c r="AH106" i="10"/>
  <c r="AH107" i="10"/>
  <c r="AH108" i="10"/>
  <c r="AH109" i="10"/>
  <c r="AH110" i="10"/>
  <c r="AH111" i="10"/>
  <c r="AH112" i="10"/>
  <c r="AH113" i="10"/>
  <c r="AH114" i="10"/>
  <c r="AH115" i="10"/>
  <c r="AH116" i="10"/>
  <c r="AH117" i="10"/>
  <c r="AH118" i="10"/>
  <c r="AH119" i="10"/>
  <c r="AH120" i="10"/>
  <c r="AH121" i="10"/>
  <c r="AH122" i="10"/>
  <c r="AH123" i="10"/>
  <c r="AH124" i="10"/>
  <c r="AH125" i="10"/>
  <c r="AH126" i="10"/>
  <c r="AH127" i="10"/>
  <c r="AH128" i="10"/>
  <c r="AH129" i="10"/>
  <c r="AH130" i="10"/>
  <c r="AH131" i="10"/>
  <c r="AH132" i="10"/>
  <c r="AH133" i="10"/>
  <c r="AH134" i="10"/>
  <c r="AH135" i="10"/>
  <c r="AH136" i="10"/>
  <c r="AH137" i="10"/>
  <c r="AH138" i="10"/>
  <c r="AH139" i="10"/>
  <c r="AH140" i="10"/>
  <c r="AH141" i="10"/>
  <c r="AH142" i="10"/>
  <c r="AH143" i="10"/>
  <c r="AH144" i="10"/>
  <c r="AH145" i="10"/>
  <c r="AH146" i="10"/>
  <c r="AH147" i="10"/>
  <c r="AH148" i="10"/>
  <c r="AH149" i="10"/>
  <c r="AH150" i="10"/>
  <c r="AH151" i="10"/>
  <c r="AH152" i="10"/>
  <c r="AH153" i="10"/>
  <c r="AH154" i="10"/>
  <c r="AH155" i="10"/>
  <c r="AH156" i="10"/>
  <c r="AH157" i="10"/>
  <c r="AH158" i="10"/>
  <c r="AH159" i="10"/>
  <c r="AH160" i="10"/>
  <c r="AH161" i="10"/>
  <c r="AH162" i="10"/>
  <c r="AH163" i="10"/>
  <c r="AH164" i="10"/>
  <c r="AH165" i="10"/>
  <c r="AH166" i="10"/>
  <c r="AH167" i="10"/>
  <c r="AH168" i="10"/>
  <c r="AH169" i="10"/>
  <c r="AH170" i="10"/>
  <c r="AH171" i="10"/>
  <c r="AH172" i="10"/>
  <c r="AH173" i="10"/>
  <c r="AH174" i="10"/>
  <c r="AH175" i="10"/>
  <c r="AH176" i="10"/>
  <c r="AG3" i="10"/>
  <c r="CE3" i="10" s="1"/>
  <c r="AG4" i="10"/>
  <c r="CE4" i="10" s="1"/>
  <c r="AG5" i="10"/>
  <c r="CE5" i="10" s="1"/>
  <c r="AG6" i="10"/>
  <c r="CE6" i="10" s="1"/>
  <c r="AG7" i="10"/>
  <c r="CE7" i="10" s="1"/>
  <c r="AG8" i="10"/>
  <c r="CE8" i="10" s="1"/>
  <c r="AG9" i="10"/>
  <c r="CE9" i="10" s="1"/>
  <c r="AG10" i="10"/>
  <c r="CE10" i="10" s="1"/>
  <c r="AG11" i="10"/>
  <c r="CE11" i="10" s="1"/>
  <c r="AG12" i="10"/>
  <c r="CE12" i="10" s="1"/>
  <c r="AG13" i="10"/>
  <c r="CE13" i="10" s="1"/>
  <c r="AG14" i="10"/>
  <c r="CE14" i="10" s="1"/>
  <c r="AG15" i="10"/>
  <c r="CE15" i="10" s="1"/>
  <c r="AG16" i="10"/>
  <c r="CE16" i="10" s="1"/>
  <c r="AG17" i="10"/>
  <c r="CE17" i="10" s="1"/>
  <c r="AG18" i="10"/>
  <c r="CE18" i="10" s="1"/>
  <c r="AG19" i="10"/>
  <c r="CE19" i="10" s="1"/>
  <c r="AG20" i="10"/>
  <c r="CE20" i="10" s="1"/>
  <c r="AG21" i="10"/>
  <c r="CE21" i="10" s="1"/>
  <c r="AG22" i="10"/>
  <c r="CE22" i="10" s="1"/>
  <c r="AG23" i="10"/>
  <c r="CE23" i="10" s="1"/>
  <c r="AG24" i="10"/>
  <c r="CE24" i="10" s="1"/>
  <c r="AG25" i="10"/>
  <c r="CE25" i="10" s="1"/>
  <c r="AG26" i="10"/>
  <c r="CE26" i="10" s="1"/>
  <c r="AG27" i="10"/>
  <c r="CE27" i="10" s="1"/>
  <c r="AG28" i="10"/>
  <c r="CE28" i="10" s="1"/>
  <c r="AG29" i="10"/>
  <c r="CE29" i="10" s="1"/>
  <c r="AG30" i="10"/>
  <c r="CE30" i="10" s="1"/>
  <c r="AG31" i="10"/>
  <c r="CE31" i="10" s="1"/>
  <c r="AG32" i="10"/>
  <c r="CE32" i="10" s="1"/>
  <c r="AG33" i="10"/>
  <c r="CE33" i="10" s="1"/>
  <c r="AG34" i="10"/>
  <c r="CE34" i="10" s="1"/>
  <c r="AG35" i="10"/>
  <c r="CE35" i="10" s="1"/>
  <c r="AG36" i="10"/>
  <c r="CE36" i="10" s="1"/>
  <c r="AG37" i="10"/>
  <c r="CE37" i="10" s="1"/>
  <c r="AG38" i="10"/>
  <c r="CE38" i="10" s="1"/>
  <c r="AG39" i="10"/>
  <c r="CE39" i="10" s="1"/>
  <c r="AG40" i="10"/>
  <c r="CE40" i="10" s="1"/>
  <c r="AG41" i="10"/>
  <c r="CE41" i="10" s="1"/>
  <c r="AG42" i="10"/>
  <c r="CE42" i="10" s="1"/>
  <c r="AG43" i="10"/>
  <c r="CE43" i="10" s="1"/>
  <c r="AG44" i="10"/>
  <c r="CE44" i="10" s="1"/>
  <c r="AG45" i="10"/>
  <c r="CE45" i="10" s="1"/>
  <c r="AG46" i="10"/>
  <c r="CE46" i="10" s="1"/>
  <c r="AG47" i="10"/>
  <c r="CE47" i="10" s="1"/>
  <c r="AG48" i="10"/>
  <c r="CE48" i="10" s="1"/>
  <c r="AG49" i="10"/>
  <c r="CE49" i="10" s="1"/>
  <c r="AG50" i="10"/>
  <c r="CE50" i="10" s="1"/>
  <c r="AG51" i="10"/>
  <c r="CE51" i="10" s="1"/>
  <c r="AG52" i="10"/>
  <c r="CE52" i="10" s="1"/>
  <c r="AG53" i="10"/>
  <c r="CE53" i="10" s="1"/>
  <c r="AG54" i="10"/>
  <c r="CE54" i="10" s="1"/>
  <c r="AG55" i="10"/>
  <c r="CE55" i="10" s="1"/>
  <c r="AG56" i="10"/>
  <c r="CE56" i="10" s="1"/>
  <c r="AG57" i="10"/>
  <c r="CE57" i="10" s="1"/>
  <c r="AG58" i="10"/>
  <c r="CE58" i="10" s="1"/>
  <c r="AG59" i="10"/>
  <c r="CE59" i="10" s="1"/>
  <c r="AG60" i="10"/>
  <c r="CE60" i="10" s="1"/>
  <c r="AG61" i="10"/>
  <c r="CE61" i="10" s="1"/>
  <c r="AG62" i="10"/>
  <c r="CE62" i="10" s="1"/>
  <c r="AG63" i="10"/>
  <c r="CE63" i="10" s="1"/>
  <c r="AG64" i="10"/>
  <c r="CE64" i="10" s="1"/>
  <c r="AG65" i="10"/>
  <c r="CE65" i="10" s="1"/>
  <c r="AG66" i="10"/>
  <c r="CE66" i="10" s="1"/>
  <c r="AG67" i="10"/>
  <c r="CE67" i="10" s="1"/>
  <c r="AG68" i="10"/>
  <c r="CE68" i="10" s="1"/>
  <c r="AG69" i="10"/>
  <c r="CE69" i="10" s="1"/>
  <c r="AG70" i="10"/>
  <c r="CE70" i="10" s="1"/>
  <c r="AG71" i="10"/>
  <c r="CE71" i="10" s="1"/>
  <c r="AG72" i="10"/>
  <c r="CE72" i="10" s="1"/>
  <c r="AG73" i="10"/>
  <c r="CE73" i="10" s="1"/>
  <c r="AG74" i="10"/>
  <c r="CE74" i="10" s="1"/>
  <c r="AG75" i="10"/>
  <c r="CE75" i="10" s="1"/>
  <c r="AG76" i="10"/>
  <c r="CE76" i="10" s="1"/>
  <c r="AG77" i="10"/>
  <c r="CE77" i="10" s="1"/>
  <c r="AG78" i="10"/>
  <c r="CE78" i="10" s="1"/>
  <c r="AG79" i="10"/>
  <c r="CE79" i="10" s="1"/>
  <c r="AG80" i="10"/>
  <c r="CE80" i="10" s="1"/>
  <c r="AG81" i="10"/>
  <c r="CE81" i="10" s="1"/>
  <c r="AG82" i="10"/>
  <c r="CE82" i="10" s="1"/>
  <c r="AG83" i="10"/>
  <c r="CE83" i="10" s="1"/>
  <c r="AG84" i="10"/>
  <c r="CE84" i="10" s="1"/>
  <c r="AG85" i="10"/>
  <c r="CE85" i="10" s="1"/>
  <c r="AG86" i="10"/>
  <c r="CE86" i="10" s="1"/>
  <c r="AG87" i="10"/>
  <c r="CE87" i="10" s="1"/>
  <c r="AG88" i="10"/>
  <c r="CE88" i="10" s="1"/>
  <c r="AG89" i="10"/>
  <c r="CE89" i="10" s="1"/>
  <c r="AG90" i="10"/>
  <c r="CE90" i="10" s="1"/>
  <c r="AG91" i="10"/>
  <c r="CE91" i="10" s="1"/>
  <c r="AG92" i="10"/>
  <c r="CE92" i="10" s="1"/>
  <c r="AG93" i="10"/>
  <c r="CE93" i="10" s="1"/>
  <c r="AG94" i="10"/>
  <c r="CE94" i="10" s="1"/>
  <c r="AG95" i="10"/>
  <c r="CE95" i="10" s="1"/>
  <c r="AG96" i="10"/>
  <c r="CE96" i="10" s="1"/>
  <c r="AG97" i="10"/>
  <c r="CE97" i="10" s="1"/>
  <c r="AG98" i="10"/>
  <c r="CE98" i="10" s="1"/>
  <c r="AG99" i="10"/>
  <c r="CE99" i="10" s="1"/>
  <c r="AG100" i="10"/>
  <c r="CE100" i="10" s="1"/>
  <c r="AG101" i="10"/>
  <c r="CE101" i="10" s="1"/>
  <c r="AG102" i="10"/>
  <c r="CE102" i="10" s="1"/>
  <c r="AG103" i="10"/>
  <c r="CE103" i="10" s="1"/>
  <c r="AG104" i="10"/>
  <c r="CE104" i="10" s="1"/>
  <c r="AG105" i="10"/>
  <c r="CE105" i="10" s="1"/>
  <c r="AG106" i="10"/>
  <c r="CE106" i="10" s="1"/>
  <c r="AG107" i="10"/>
  <c r="CE107" i="10" s="1"/>
  <c r="AG108" i="10"/>
  <c r="CE108" i="10" s="1"/>
  <c r="AG109" i="10"/>
  <c r="CE109" i="10" s="1"/>
  <c r="AG110" i="10"/>
  <c r="CE110" i="10" s="1"/>
  <c r="AG111" i="10"/>
  <c r="CE111" i="10" s="1"/>
  <c r="AG112" i="10"/>
  <c r="CE112" i="10" s="1"/>
  <c r="AG113" i="10"/>
  <c r="CE113" i="10" s="1"/>
  <c r="AG114" i="10"/>
  <c r="CE114" i="10" s="1"/>
  <c r="AG115" i="10"/>
  <c r="CE115" i="10" s="1"/>
  <c r="AG116" i="10"/>
  <c r="CE116" i="10" s="1"/>
  <c r="AG117" i="10"/>
  <c r="CE117" i="10" s="1"/>
  <c r="AG118" i="10"/>
  <c r="CE118" i="10" s="1"/>
  <c r="AG119" i="10"/>
  <c r="CE119" i="10" s="1"/>
  <c r="AG120" i="10"/>
  <c r="CE120" i="10" s="1"/>
  <c r="AG121" i="10"/>
  <c r="CE121" i="10" s="1"/>
  <c r="AG122" i="10"/>
  <c r="CE122" i="10" s="1"/>
  <c r="AG123" i="10"/>
  <c r="CE123" i="10" s="1"/>
  <c r="AG124" i="10"/>
  <c r="CE124" i="10" s="1"/>
  <c r="AG125" i="10"/>
  <c r="CE125" i="10" s="1"/>
  <c r="AG126" i="10"/>
  <c r="CE126" i="10" s="1"/>
  <c r="AG127" i="10"/>
  <c r="CE127" i="10" s="1"/>
  <c r="AG128" i="10"/>
  <c r="CE128" i="10" s="1"/>
  <c r="AG129" i="10"/>
  <c r="CE129" i="10" s="1"/>
  <c r="AG130" i="10"/>
  <c r="CE130" i="10" s="1"/>
  <c r="AG131" i="10"/>
  <c r="CE131" i="10" s="1"/>
  <c r="AG132" i="10"/>
  <c r="CE132" i="10" s="1"/>
  <c r="AG133" i="10"/>
  <c r="CE133" i="10" s="1"/>
  <c r="AG134" i="10"/>
  <c r="CE134" i="10" s="1"/>
  <c r="AG135" i="10"/>
  <c r="CE135" i="10" s="1"/>
  <c r="AG136" i="10"/>
  <c r="CE136" i="10" s="1"/>
  <c r="AG137" i="10"/>
  <c r="CE137" i="10" s="1"/>
  <c r="AG138" i="10"/>
  <c r="CE138" i="10" s="1"/>
  <c r="AG139" i="10"/>
  <c r="CE139" i="10" s="1"/>
  <c r="AG140" i="10"/>
  <c r="CE140" i="10" s="1"/>
  <c r="AG141" i="10"/>
  <c r="CE141" i="10" s="1"/>
  <c r="AG142" i="10"/>
  <c r="CE142" i="10" s="1"/>
  <c r="AG143" i="10"/>
  <c r="CE143" i="10" s="1"/>
  <c r="AG144" i="10"/>
  <c r="CE144" i="10" s="1"/>
  <c r="AG145" i="10"/>
  <c r="CE145" i="10" s="1"/>
  <c r="AG146" i="10"/>
  <c r="CE146" i="10" s="1"/>
  <c r="AG147" i="10"/>
  <c r="CE147" i="10" s="1"/>
  <c r="AG148" i="10"/>
  <c r="CE148" i="10" s="1"/>
  <c r="AG149" i="10"/>
  <c r="CE149" i="10" s="1"/>
  <c r="AG150" i="10"/>
  <c r="CE150" i="10" s="1"/>
  <c r="AG151" i="10"/>
  <c r="CE151" i="10" s="1"/>
  <c r="AG152" i="10"/>
  <c r="CE152" i="10" s="1"/>
  <c r="AG153" i="10"/>
  <c r="CE153" i="10" s="1"/>
  <c r="AG154" i="10"/>
  <c r="CE154" i="10" s="1"/>
  <c r="AG155" i="10"/>
  <c r="CE155" i="10" s="1"/>
  <c r="AG156" i="10"/>
  <c r="CE156" i="10" s="1"/>
  <c r="AG157" i="10"/>
  <c r="CE157" i="10" s="1"/>
  <c r="AG158" i="10"/>
  <c r="CE158" i="10" s="1"/>
  <c r="AG159" i="10"/>
  <c r="CE159" i="10" s="1"/>
  <c r="AG160" i="10"/>
  <c r="CE160" i="10" s="1"/>
  <c r="AG161" i="10"/>
  <c r="CE161" i="10" s="1"/>
  <c r="AG162" i="10"/>
  <c r="CE162" i="10" s="1"/>
  <c r="AG163" i="10"/>
  <c r="CE163" i="10" s="1"/>
  <c r="AG164" i="10"/>
  <c r="CE164" i="10" s="1"/>
  <c r="AG165" i="10"/>
  <c r="CE165" i="10" s="1"/>
  <c r="AG166" i="10"/>
  <c r="CE166" i="10" s="1"/>
  <c r="AG167" i="10"/>
  <c r="CE167" i="10" s="1"/>
  <c r="AG168" i="10"/>
  <c r="CE168" i="10" s="1"/>
  <c r="AG169" i="10"/>
  <c r="CE169" i="10" s="1"/>
  <c r="AG170" i="10"/>
  <c r="CE170" i="10" s="1"/>
  <c r="AG171" i="10"/>
  <c r="CE171" i="10" s="1"/>
  <c r="AG172" i="10"/>
  <c r="CE172" i="10" s="1"/>
  <c r="AG173" i="10"/>
  <c r="CE173" i="10" s="1"/>
  <c r="AG174" i="10"/>
  <c r="CE174" i="10" s="1"/>
  <c r="AG175" i="10"/>
  <c r="CE175" i="10" s="1"/>
  <c r="AG176" i="10"/>
  <c r="CE176" i="10" s="1"/>
  <c r="AF3" i="10"/>
  <c r="AF4" i="10"/>
  <c r="AF5" i="10"/>
  <c r="AF6" i="10"/>
  <c r="AF7" i="10"/>
  <c r="AF8" i="10"/>
  <c r="AF9" i="10"/>
  <c r="AF10" i="10"/>
  <c r="AF11" i="10"/>
  <c r="AF12" i="10"/>
  <c r="AF13" i="10"/>
  <c r="AF14" i="10"/>
  <c r="AF15" i="10"/>
  <c r="AF16" i="10"/>
  <c r="AF17" i="10"/>
  <c r="AF18" i="10"/>
  <c r="AF19" i="10"/>
  <c r="AF20" i="10"/>
  <c r="AF21" i="10"/>
  <c r="AF22" i="10"/>
  <c r="AF23" i="10"/>
  <c r="AF24" i="10"/>
  <c r="AF25" i="10"/>
  <c r="AF26" i="10"/>
  <c r="AF27" i="10"/>
  <c r="AF28" i="10"/>
  <c r="AF29" i="10"/>
  <c r="AF30" i="10"/>
  <c r="AF31" i="10"/>
  <c r="AF32" i="10"/>
  <c r="AF33" i="10"/>
  <c r="AF34" i="10"/>
  <c r="AF35" i="10"/>
  <c r="AF36" i="10"/>
  <c r="AF37" i="10"/>
  <c r="AF38" i="10"/>
  <c r="AF39" i="10"/>
  <c r="AF40" i="10"/>
  <c r="AF41" i="10"/>
  <c r="AF42" i="10"/>
  <c r="AF43" i="10"/>
  <c r="AF44" i="10"/>
  <c r="AF45" i="10"/>
  <c r="AF46" i="10"/>
  <c r="AF47" i="10"/>
  <c r="AF48" i="10"/>
  <c r="AF49" i="10"/>
  <c r="AF50" i="10"/>
  <c r="AF51" i="10"/>
  <c r="AF52" i="10"/>
  <c r="AF53" i="10"/>
  <c r="AF54" i="10"/>
  <c r="AF55" i="10"/>
  <c r="AF56" i="10"/>
  <c r="AF57" i="10"/>
  <c r="AF58" i="10"/>
  <c r="AF59" i="10"/>
  <c r="AF60" i="10"/>
  <c r="AF61" i="10"/>
  <c r="AF62" i="10"/>
  <c r="AF63" i="10"/>
  <c r="AF64" i="10"/>
  <c r="AF65" i="10"/>
  <c r="AF66" i="10"/>
  <c r="AF67" i="10"/>
  <c r="AF68" i="10"/>
  <c r="AF69" i="10"/>
  <c r="AF70" i="10"/>
  <c r="AF71" i="10"/>
  <c r="AF72" i="10"/>
  <c r="AF73" i="10"/>
  <c r="AF74" i="10"/>
  <c r="AF75" i="10"/>
  <c r="AF76" i="10"/>
  <c r="AF77" i="10"/>
  <c r="AF78" i="10"/>
  <c r="AF79" i="10"/>
  <c r="AF80" i="10"/>
  <c r="AF81" i="10"/>
  <c r="AF82" i="10"/>
  <c r="AF83" i="10"/>
  <c r="AF84" i="10"/>
  <c r="AF85" i="10"/>
  <c r="AF86" i="10"/>
  <c r="AF87" i="10"/>
  <c r="AF88" i="10"/>
  <c r="AF89" i="10"/>
  <c r="AF90" i="10"/>
  <c r="AF91" i="10"/>
  <c r="AF92" i="10"/>
  <c r="AF93" i="10"/>
  <c r="AF94" i="10"/>
  <c r="AF95" i="10"/>
  <c r="AF96" i="10"/>
  <c r="AF97" i="10"/>
  <c r="AF98" i="10"/>
  <c r="AF99" i="10"/>
  <c r="AF100" i="10"/>
  <c r="AF101" i="10"/>
  <c r="AF102" i="10"/>
  <c r="AF103" i="10"/>
  <c r="AF104" i="10"/>
  <c r="AF105" i="10"/>
  <c r="AF106" i="10"/>
  <c r="AF107" i="10"/>
  <c r="AF108" i="10"/>
  <c r="AF109" i="10"/>
  <c r="AF110" i="10"/>
  <c r="AF111" i="10"/>
  <c r="AF112" i="10"/>
  <c r="AF113" i="10"/>
  <c r="AF114" i="10"/>
  <c r="AF115" i="10"/>
  <c r="AF116" i="10"/>
  <c r="AF117" i="10"/>
  <c r="AF118" i="10"/>
  <c r="AF119" i="10"/>
  <c r="AF120" i="10"/>
  <c r="AF121" i="10"/>
  <c r="AF122" i="10"/>
  <c r="AF123" i="10"/>
  <c r="AF124" i="10"/>
  <c r="AF125" i="10"/>
  <c r="AF126" i="10"/>
  <c r="AF127" i="10"/>
  <c r="AF128" i="10"/>
  <c r="AF129" i="10"/>
  <c r="AF130" i="10"/>
  <c r="AF131" i="10"/>
  <c r="AF132" i="10"/>
  <c r="AF133" i="10"/>
  <c r="AF134" i="10"/>
  <c r="AF135" i="10"/>
  <c r="AF136" i="10"/>
  <c r="AF137" i="10"/>
  <c r="AF138" i="10"/>
  <c r="AF139" i="10"/>
  <c r="AF140" i="10"/>
  <c r="AF141" i="10"/>
  <c r="AF142" i="10"/>
  <c r="AF143" i="10"/>
  <c r="AF144" i="10"/>
  <c r="AF145" i="10"/>
  <c r="AF146" i="10"/>
  <c r="AF147" i="10"/>
  <c r="AF148" i="10"/>
  <c r="AF149" i="10"/>
  <c r="AF150" i="10"/>
  <c r="AF151" i="10"/>
  <c r="AF152" i="10"/>
  <c r="AF153" i="10"/>
  <c r="AF154" i="10"/>
  <c r="AF155" i="10"/>
  <c r="AF156" i="10"/>
  <c r="AF157" i="10"/>
  <c r="AF158" i="10"/>
  <c r="AF159" i="10"/>
  <c r="AF160" i="10"/>
  <c r="AF161" i="10"/>
  <c r="AF162" i="10"/>
  <c r="AF163" i="10"/>
  <c r="AF164" i="10"/>
  <c r="AF165" i="10"/>
  <c r="AF166" i="10"/>
  <c r="AF167" i="10"/>
  <c r="AF168" i="10"/>
  <c r="AF169" i="10"/>
  <c r="AF170" i="10"/>
  <c r="AF171" i="10"/>
  <c r="AF172" i="10"/>
  <c r="AF173" i="10"/>
  <c r="AF174" i="10"/>
  <c r="AF175" i="10"/>
  <c r="AF176" i="10"/>
  <c r="AE3" i="10"/>
  <c r="AE4" i="10"/>
  <c r="AE5" i="10"/>
  <c r="AE6" i="10"/>
  <c r="AE7" i="10"/>
  <c r="AE8" i="10"/>
  <c r="AE9" i="10"/>
  <c r="AE10" i="10"/>
  <c r="AE11" i="10"/>
  <c r="AE12" i="10"/>
  <c r="AE13" i="10"/>
  <c r="AE14" i="10"/>
  <c r="AE15" i="10"/>
  <c r="AE16" i="10"/>
  <c r="AE17" i="10"/>
  <c r="AE18" i="10"/>
  <c r="AE19" i="10"/>
  <c r="AE20" i="10"/>
  <c r="AE21" i="10"/>
  <c r="AE22" i="10"/>
  <c r="AE23" i="10"/>
  <c r="AE24" i="10"/>
  <c r="AE25" i="10"/>
  <c r="AE26" i="10"/>
  <c r="AE27" i="10"/>
  <c r="AE28" i="10"/>
  <c r="AE29" i="10"/>
  <c r="AE30" i="10"/>
  <c r="AE31" i="10"/>
  <c r="AE32" i="10"/>
  <c r="AE33" i="10"/>
  <c r="AE34" i="10"/>
  <c r="AE35" i="10"/>
  <c r="AE36" i="10"/>
  <c r="AE37" i="10"/>
  <c r="AE38" i="10"/>
  <c r="AE39" i="10"/>
  <c r="AE40" i="10"/>
  <c r="AE41" i="10"/>
  <c r="AE42" i="10"/>
  <c r="AE43" i="10"/>
  <c r="AE44" i="10"/>
  <c r="AE45" i="10"/>
  <c r="AE46" i="10"/>
  <c r="AE47" i="10"/>
  <c r="AE48" i="10"/>
  <c r="AE49" i="10"/>
  <c r="AE50" i="10"/>
  <c r="AE51" i="10"/>
  <c r="AE52" i="10"/>
  <c r="AE53" i="10"/>
  <c r="AE54" i="10"/>
  <c r="AE55" i="10"/>
  <c r="AE56" i="10"/>
  <c r="AE57" i="10"/>
  <c r="AE58" i="10"/>
  <c r="AE59" i="10"/>
  <c r="AE60" i="10"/>
  <c r="AE61" i="10"/>
  <c r="AE62" i="10"/>
  <c r="AE63" i="10"/>
  <c r="AE64" i="10"/>
  <c r="AE65" i="10"/>
  <c r="AE66"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5" i="10"/>
  <c r="AE96" i="10"/>
  <c r="AE97" i="10"/>
  <c r="AE98" i="10"/>
  <c r="AE99" i="10"/>
  <c r="AE100" i="10"/>
  <c r="AE101" i="10"/>
  <c r="AE102" i="10"/>
  <c r="AE103" i="10"/>
  <c r="AE104" i="10"/>
  <c r="AE105" i="10"/>
  <c r="AE106" i="10"/>
  <c r="AE107" i="10"/>
  <c r="AE108" i="10"/>
  <c r="AE109" i="10"/>
  <c r="AE110" i="10"/>
  <c r="AE111" i="10"/>
  <c r="AE112" i="10"/>
  <c r="AE113" i="10"/>
  <c r="AE114" i="10"/>
  <c r="AE115" i="10"/>
  <c r="AE116" i="10"/>
  <c r="AE117" i="10"/>
  <c r="AE118" i="10"/>
  <c r="AE119" i="10"/>
  <c r="AE120" i="10"/>
  <c r="AE121" i="10"/>
  <c r="AE122" i="10"/>
  <c r="AE123" i="10"/>
  <c r="AE124" i="10"/>
  <c r="AE125" i="10"/>
  <c r="AE126" i="10"/>
  <c r="AE127" i="10"/>
  <c r="AE128" i="10"/>
  <c r="AE129" i="10"/>
  <c r="AE130" i="10"/>
  <c r="AE131" i="10"/>
  <c r="AE132" i="10"/>
  <c r="AE133" i="10"/>
  <c r="AE134" i="10"/>
  <c r="AE135" i="10"/>
  <c r="AE136" i="10"/>
  <c r="AE137" i="10"/>
  <c r="AE138" i="10"/>
  <c r="AE139" i="10"/>
  <c r="AE140" i="10"/>
  <c r="AE141" i="10"/>
  <c r="AE142" i="10"/>
  <c r="AE143" i="10"/>
  <c r="AE144" i="10"/>
  <c r="AE145" i="10"/>
  <c r="AE146" i="10"/>
  <c r="AE147" i="10"/>
  <c r="AE148" i="10"/>
  <c r="AE149" i="10"/>
  <c r="AE150" i="10"/>
  <c r="AE151" i="10"/>
  <c r="AE152" i="10"/>
  <c r="AE153" i="10"/>
  <c r="AE154" i="10"/>
  <c r="AE155" i="10"/>
  <c r="AE156" i="10"/>
  <c r="AE157" i="10"/>
  <c r="AE158" i="10"/>
  <c r="AE159" i="10"/>
  <c r="AE160" i="10"/>
  <c r="AE161" i="10"/>
  <c r="AE162" i="10"/>
  <c r="AE163" i="10"/>
  <c r="AE164" i="10"/>
  <c r="AE165" i="10"/>
  <c r="AE166" i="10"/>
  <c r="AE167" i="10"/>
  <c r="AE168" i="10"/>
  <c r="AE169" i="10"/>
  <c r="AE170" i="10"/>
  <c r="AE171" i="10"/>
  <c r="AE172" i="10"/>
  <c r="AE173" i="10"/>
  <c r="AE174" i="10"/>
  <c r="AE175" i="10"/>
  <c r="AE176" i="10"/>
  <c r="AD3" i="10"/>
  <c r="AD4" i="10"/>
  <c r="AD5" i="10"/>
  <c r="AD6" i="10"/>
  <c r="AD7" i="10"/>
  <c r="AD8" i="10"/>
  <c r="AD9" i="10"/>
  <c r="AD10" i="10"/>
  <c r="AD11" i="10"/>
  <c r="AD12" i="10"/>
  <c r="AD13" i="10"/>
  <c r="AD14" i="10"/>
  <c r="AD15" i="10"/>
  <c r="AD16" i="10"/>
  <c r="AD17" i="10"/>
  <c r="AD18" i="10"/>
  <c r="AD19" i="10"/>
  <c r="AD20" i="10"/>
  <c r="AD21" i="10"/>
  <c r="AD22" i="10"/>
  <c r="AD23" i="10"/>
  <c r="AD24" i="10"/>
  <c r="AD25" i="10"/>
  <c r="AD26" i="10"/>
  <c r="AD27" i="10"/>
  <c r="AD28" i="10"/>
  <c r="AD29" i="10"/>
  <c r="AD30" i="10"/>
  <c r="AD31" i="10"/>
  <c r="AD32" i="10"/>
  <c r="AD33" i="10"/>
  <c r="AD34" i="10"/>
  <c r="AD35" i="10"/>
  <c r="AD36" i="10"/>
  <c r="AD37" i="10"/>
  <c r="AD38" i="10"/>
  <c r="AD39" i="10"/>
  <c r="AD40" i="10"/>
  <c r="AD41" i="10"/>
  <c r="AD42" i="10"/>
  <c r="AD43" i="10"/>
  <c r="AD44" i="10"/>
  <c r="AD45" i="10"/>
  <c r="AD46" i="10"/>
  <c r="AD47" i="10"/>
  <c r="AD48" i="10"/>
  <c r="AD49" i="10"/>
  <c r="AD50" i="10"/>
  <c r="AD51" i="10"/>
  <c r="AD52" i="10"/>
  <c r="AD53" i="10"/>
  <c r="AD54" i="10"/>
  <c r="AD55" i="10"/>
  <c r="AD56" i="10"/>
  <c r="AD57" i="10"/>
  <c r="AD58" i="10"/>
  <c r="AD59" i="10"/>
  <c r="AD60" i="10"/>
  <c r="AD61" i="10"/>
  <c r="AD62" i="10"/>
  <c r="AD63" i="10"/>
  <c r="AD64" i="10"/>
  <c r="AD65" i="10"/>
  <c r="AD66" i="10"/>
  <c r="AD67" i="10"/>
  <c r="AD68" i="10"/>
  <c r="AD69" i="10"/>
  <c r="AD70" i="10"/>
  <c r="AD71" i="10"/>
  <c r="AD72" i="10"/>
  <c r="AD73" i="10"/>
  <c r="AD74" i="10"/>
  <c r="AD75" i="10"/>
  <c r="AD76" i="10"/>
  <c r="AD77" i="10"/>
  <c r="AD78" i="10"/>
  <c r="AD79" i="10"/>
  <c r="AD80" i="10"/>
  <c r="AD81" i="10"/>
  <c r="AD82" i="10"/>
  <c r="AD83" i="10"/>
  <c r="AD84" i="10"/>
  <c r="AD85" i="10"/>
  <c r="AD86" i="10"/>
  <c r="AD87" i="10"/>
  <c r="AD88" i="10"/>
  <c r="AD89" i="10"/>
  <c r="AD90" i="10"/>
  <c r="AD91" i="10"/>
  <c r="AD92" i="10"/>
  <c r="AD93" i="10"/>
  <c r="AD94" i="10"/>
  <c r="AD95" i="10"/>
  <c r="AD96" i="10"/>
  <c r="AD97" i="10"/>
  <c r="AD98" i="10"/>
  <c r="AD99" i="10"/>
  <c r="AD100" i="10"/>
  <c r="AD101" i="10"/>
  <c r="AD102" i="10"/>
  <c r="AD103" i="10"/>
  <c r="AD104" i="10"/>
  <c r="AD105" i="10"/>
  <c r="AD106" i="10"/>
  <c r="AD107" i="10"/>
  <c r="AD108" i="10"/>
  <c r="AD109" i="10"/>
  <c r="AD110" i="10"/>
  <c r="AD111" i="10"/>
  <c r="AD112" i="10"/>
  <c r="AD113" i="10"/>
  <c r="AD114" i="10"/>
  <c r="AD115" i="10"/>
  <c r="AD116" i="10"/>
  <c r="AD117" i="10"/>
  <c r="AD118" i="10"/>
  <c r="AD119" i="10"/>
  <c r="AD120" i="10"/>
  <c r="AD121" i="10"/>
  <c r="AD122" i="10"/>
  <c r="AD123" i="10"/>
  <c r="AD124" i="10"/>
  <c r="AD125" i="10"/>
  <c r="AD126" i="10"/>
  <c r="AD127" i="10"/>
  <c r="AD128" i="10"/>
  <c r="AD129" i="10"/>
  <c r="AD130" i="10"/>
  <c r="AD131" i="10"/>
  <c r="AD132" i="10"/>
  <c r="AD133" i="10"/>
  <c r="AD134" i="10"/>
  <c r="AD135" i="10"/>
  <c r="AD136" i="10"/>
  <c r="AD137" i="10"/>
  <c r="AD138" i="10"/>
  <c r="AD139" i="10"/>
  <c r="AD140" i="10"/>
  <c r="AD141" i="10"/>
  <c r="AD142" i="10"/>
  <c r="AD143" i="10"/>
  <c r="AD144" i="10"/>
  <c r="AD145" i="10"/>
  <c r="AD146" i="10"/>
  <c r="AD147" i="10"/>
  <c r="AD148" i="10"/>
  <c r="AD149" i="10"/>
  <c r="AD150" i="10"/>
  <c r="AD151" i="10"/>
  <c r="AD152" i="10"/>
  <c r="AD153" i="10"/>
  <c r="AD154" i="10"/>
  <c r="AD155" i="10"/>
  <c r="AD156" i="10"/>
  <c r="AD157" i="10"/>
  <c r="AD158" i="10"/>
  <c r="AD159" i="10"/>
  <c r="AD160" i="10"/>
  <c r="AD161" i="10"/>
  <c r="AD162" i="10"/>
  <c r="AD163" i="10"/>
  <c r="AD164" i="10"/>
  <c r="AD165" i="10"/>
  <c r="AD166" i="10"/>
  <c r="AD167" i="10"/>
  <c r="AD168" i="10"/>
  <c r="AD169" i="10"/>
  <c r="AD170" i="10"/>
  <c r="AD171" i="10"/>
  <c r="AD172" i="10"/>
  <c r="AD173" i="10"/>
  <c r="AD174" i="10"/>
  <c r="AD175" i="10"/>
  <c r="AD176" i="10"/>
  <c r="AC3" i="10"/>
  <c r="AC4" i="10"/>
  <c r="AC5" i="10"/>
  <c r="AC6" i="10"/>
  <c r="AC7" i="10"/>
  <c r="AC8" i="10"/>
  <c r="AC9" i="10"/>
  <c r="AC10" i="10"/>
  <c r="AC11" i="10"/>
  <c r="AC12" i="10"/>
  <c r="AC13" i="10"/>
  <c r="AC14" i="10"/>
  <c r="AC15" i="10"/>
  <c r="AC16" i="10"/>
  <c r="AC17" i="10"/>
  <c r="AC18" i="10"/>
  <c r="AC19" i="10"/>
  <c r="AC20" i="10"/>
  <c r="AC21" i="10"/>
  <c r="AC22" i="10"/>
  <c r="AC23" i="10"/>
  <c r="AC24" i="10"/>
  <c r="AC25" i="10"/>
  <c r="AC26" i="10"/>
  <c r="AC27" i="10"/>
  <c r="AC28" i="10"/>
  <c r="AC29" i="10"/>
  <c r="AC30" i="10"/>
  <c r="AC31" i="10"/>
  <c r="AC32" i="10"/>
  <c r="AC33" i="10"/>
  <c r="AC34" i="10"/>
  <c r="AC35" i="10"/>
  <c r="AC36" i="10"/>
  <c r="AC37" i="10"/>
  <c r="AC38" i="10"/>
  <c r="AC39" i="10"/>
  <c r="AC40" i="10"/>
  <c r="AC41" i="10"/>
  <c r="AC42" i="10"/>
  <c r="AC43" i="10"/>
  <c r="AC44" i="10"/>
  <c r="AC45" i="10"/>
  <c r="AC46" i="10"/>
  <c r="AC47" i="10"/>
  <c r="AC48" i="10"/>
  <c r="AC49" i="10"/>
  <c r="AC50" i="10"/>
  <c r="AC51" i="10"/>
  <c r="AC52" i="10"/>
  <c r="AC53" i="10"/>
  <c r="AC54" i="10"/>
  <c r="AC55" i="10"/>
  <c r="AC56" i="10"/>
  <c r="AC57" i="10"/>
  <c r="AC58" i="10"/>
  <c r="AC59" i="10"/>
  <c r="AC60" i="10"/>
  <c r="AC61" i="10"/>
  <c r="AC62" i="10"/>
  <c r="AC63" i="10"/>
  <c r="AC64" i="10"/>
  <c r="AC65" i="10"/>
  <c r="AC66" i="10"/>
  <c r="AC67" i="10"/>
  <c r="AC68" i="10"/>
  <c r="AC69" i="10"/>
  <c r="AC70" i="10"/>
  <c r="AC71" i="10"/>
  <c r="AC72" i="10"/>
  <c r="AC73" i="10"/>
  <c r="AC74" i="10"/>
  <c r="AC75" i="10"/>
  <c r="AC76" i="10"/>
  <c r="AC77" i="10"/>
  <c r="AC78" i="10"/>
  <c r="AC79" i="10"/>
  <c r="AC80" i="10"/>
  <c r="AC81" i="10"/>
  <c r="AC82" i="10"/>
  <c r="AC83" i="10"/>
  <c r="AC84" i="10"/>
  <c r="AC85" i="10"/>
  <c r="AC86" i="10"/>
  <c r="AC87" i="10"/>
  <c r="AC88" i="10"/>
  <c r="AC89" i="10"/>
  <c r="AC90" i="10"/>
  <c r="AC91" i="10"/>
  <c r="AC92" i="10"/>
  <c r="AC93" i="10"/>
  <c r="AC94" i="10"/>
  <c r="AC95" i="10"/>
  <c r="AC96" i="10"/>
  <c r="AC97" i="10"/>
  <c r="AC98" i="10"/>
  <c r="AC99" i="10"/>
  <c r="AC100" i="10"/>
  <c r="AC101" i="10"/>
  <c r="AC102" i="10"/>
  <c r="AC103" i="10"/>
  <c r="AC104" i="10"/>
  <c r="AC105" i="10"/>
  <c r="AC106" i="10"/>
  <c r="AC107" i="10"/>
  <c r="AC108" i="10"/>
  <c r="AC109" i="10"/>
  <c r="AC110" i="10"/>
  <c r="AC111" i="10"/>
  <c r="AC112" i="10"/>
  <c r="AC113" i="10"/>
  <c r="AC114" i="10"/>
  <c r="AC115" i="10"/>
  <c r="AC116" i="10"/>
  <c r="AC117" i="10"/>
  <c r="AC118" i="10"/>
  <c r="AC119" i="10"/>
  <c r="AC120" i="10"/>
  <c r="AC121" i="10"/>
  <c r="AC122" i="10"/>
  <c r="AC123" i="10"/>
  <c r="AC124" i="10"/>
  <c r="AC125" i="10"/>
  <c r="AC126" i="10"/>
  <c r="AC127" i="10"/>
  <c r="AC128" i="10"/>
  <c r="AC129" i="10"/>
  <c r="AC130" i="10"/>
  <c r="AC131" i="10"/>
  <c r="AC132" i="10"/>
  <c r="AC133" i="10"/>
  <c r="AC134" i="10"/>
  <c r="AC135" i="10"/>
  <c r="AC136" i="10"/>
  <c r="AC137" i="10"/>
  <c r="AC138" i="10"/>
  <c r="AC139" i="10"/>
  <c r="AC140" i="10"/>
  <c r="AC141" i="10"/>
  <c r="AC142" i="10"/>
  <c r="AC143" i="10"/>
  <c r="AC144" i="10"/>
  <c r="AC145" i="10"/>
  <c r="AC146" i="10"/>
  <c r="AC147" i="10"/>
  <c r="AC148" i="10"/>
  <c r="AC149" i="10"/>
  <c r="AC150" i="10"/>
  <c r="AC151" i="10"/>
  <c r="AC152" i="10"/>
  <c r="AC153" i="10"/>
  <c r="AC154" i="10"/>
  <c r="AC155" i="10"/>
  <c r="AC156" i="10"/>
  <c r="AC157" i="10"/>
  <c r="AC158" i="10"/>
  <c r="AC159" i="10"/>
  <c r="AC160" i="10"/>
  <c r="AC161" i="10"/>
  <c r="AC162" i="10"/>
  <c r="AC163" i="10"/>
  <c r="AC164" i="10"/>
  <c r="AC165" i="10"/>
  <c r="AC166" i="10"/>
  <c r="AC167" i="10"/>
  <c r="AC168" i="10"/>
  <c r="AC169" i="10"/>
  <c r="AC170" i="10"/>
  <c r="AC171" i="10"/>
  <c r="AC172" i="10"/>
  <c r="AC173" i="10"/>
  <c r="AC174" i="10"/>
  <c r="AC175" i="10"/>
  <c r="AC176" i="10"/>
  <c r="P102" i="10"/>
  <c r="P103" i="10"/>
  <c r="P104" i="10"/>
  <c r="P105" i="10"/>
  <c r="P106" i="10"/>
  <c r="P107" i="10"/>
  <c r="P108"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163" i="10"/>
  <c r="P164" i="10"/>
  <c r="P165" i="10"/>
  <c r="P166" i="10"/>
  <c r="P167" i="10"/>
  <c r="P168" i="10"/>
  <c r="P169" i="10"/>
  <c r="P170" i="10"/>
  <c r="P171" i="10"/>
  <c r="P172" i="10"/>
  <c r="P173" i="10"/>
  <c r="P174" i="10"/>
  <c r="P175" i="10"/>
  <c r="P176" i="10"/>
  <c r="O3" i="10"/>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163" i="10"/>
  <c r="O164" i="10"/>
  <c r="O165" i="10"/>
  <c r="O166" i="10"/>
  <c r="O167" i="10"/>
  <c r="O168" i="10"/>
  <c r="O169" i="10"/>
  <c r="O170" i="10"/>
  <c r="O171" i="10"/>
  <c r="O172" i="10"/>
  <c r="O173" i="10"/>
  <c r="O174" i="10"/>
  <c r="O175" i="10"/>
  <c r="O176" i="10"/>
  <c r="N3" i="10"/>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163" i="10"/>
  <c r="N164" i="10"/>
  <c r="N165" i="10"/>
  <c r="N166" i="10"/>
  <c r="N167" i="10"/>
  <c r="N168" i="10"/>
  <c r="N169" i="10"/>
  <c r="N170" i="10"/>
  <c r="N171" i="10"/>
  <c r="N172" i="10"/>
  <c r="N173" i="10"/>
  <c r="N174" i="10"/>
  <c r="N175" i="10"/>
  <c r="N176" i="10"/>
  <c r="M3" i="10"/>
  <c r="M4" i="10"/>
  <c r="M5" i="10"/>
  <c r="M6" i="10"/>
  <c r="M7" i="10"/>
  <c r="M8" i="10"/>
  <c r="M9" i="10"/>
  <c r="M10" i="10"/>
  <c r="M11" i="10"/>
  <c r="M12" i="10"/>
  <c r="M13" i="10"/>
  <c r="M14"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L3" i="10"/>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H3" i="10"/>
  <c r="CB3" i="10" s="1"/>
  <c r="H4" i="10"/>
  <c r="CB4" i="10" s="1"/>
  <c r="H5" i="10"/>
  <c r="CB5" i="10" s="1"/>
  <c r="H6" i="10"/>
  <c r="CB6" i="10" s="1"/>
  <c r="H7" i="10"/>
  <c r="CB7" i="10" s="1"/>
  <c r="H8" i="10"/>
  <c r="CB8" i="10" s="1"/>
  <c r="H9" i="10"/>
  <c r="CB9" i="10" s="1"/>
  <c r="H10" i="10"/>
  <c r="CB10" i="10" s="1"/>
  <c r="H11" i="10"/>
  <c r="CB11" i="10" s="1"/>
  <c r="H12" i="10"/>
  <c r="CB12" i="10" s="1"/>
  <c r="H13" i="10"/>
  <c r="CB13" i="10" s="1"/>
  <c r="H14" i="10"/>
  <c r="CB14" i="10" s="1"/>
  <c r="H15" i="10"/>
  <c r="CB15" i="10" s="1"/>
  <c r="H16" i="10"/>
  <c r="CB16" i="10" s="1"/>
  <c r="H17" i="10"/>
  <c r="CB17" i="10" s="1"/>
  <c r="H18" i="10"/>
  <c r="CB18" i="10" s="1"/>
  <c r="H19" i="10"/>
  <c r="CB19" i="10" s="1"/>
  <c r="H20" i="10"/>
  <c r="CB20" i="10" s="1"/>
  <c r="H21" i="10"/>
  <c r="CB21" i="10" s="1"/>
  <c r="H22" i="10"/>
  <c r="CB22" i="10" s="1"/>
  <c r="H23" i="10"/>
  <c r="CB23" i="10" s="1"/>
  <c r="H24" i="10"/>
  <c r="CB24" i="10" s="1"/>
  <c r="H25" i="10"/>
  <c r="CB25" i="10" s="1"/>
  <c r="H26" i="10"/>
  <c r="CB26" i="10" s="1"/>
  <c r="H27" i="10"/>
  <c r="CB27" i="10" s="1"/>
  <c r="H28" i="10"/>
  <c r="CB28" i="10" s="1"/>
  <c r="H29" i="10"/>
  <c r="CB29" i="10" s="1"/>
  <c r="H30" i="10"/>
  <c r="CB30" i="10" s="1"/>
  <c r="H31" i="10"/>
  <c r="CB31" i="10" s="1"/>
  <c r="H32" i="10"/>
  <c r="CB32" i="10" s="1"/>
  <c r="H33" i="10"/>
  <c r="CB33" i="10" s="1"/>
  <c r="H34" i="10"/>
  <c r="CB34" i="10" s="1"/>
  <c r="H35" i="10"/>
  <c r="CB35" i="10" s="1"/>
  <c r="H36" i="10"/>
  <c r="CB36" i="10" s="1"/>
  <c r="H37" i="10"/>
  <c r="CB37" i="10" s="1"/>
  <c r="H38" i="10"/>
  <c r="CB38" i="10" s="1"/>
  <c r="H39" i="10"/>
  <c r="CB39" i="10" s="1"/>
  <c r="H40" i="10"/>
  <c r="CB40" i="10" s="1"/>
  <c r="H41" i="10"/>
  <c r="CB41" i="10" s="1"/>
  <c r="H42" i="10"/>
  <c r="CB42" i="10" s="1"/>
  <c r="H43" i="10"/>
  <c r="CB43" i="10" s="1"/>
  <c r="H44" i="10"/>
  <c r="CB44" i="10" s="1"/>
  <c r="H45" i="10"/>
  <c r="CB45" i="10" s="1"/>
  <c r="H46" i="10"/>
  <c r="CB46" i="10" s="1"/>
  <c r="H47" i="10"/>
  <c r="CB47" i="10" s="1"/>
  <c r="H48" i="10"/>
  <c r="CB48" i="10" s="1"/>
  <c r="H49" i="10"/>
  <c r="CB49" i="10" s="1"/>
  <c r="H50" i="10"/>
  <c r="CB50" i="10" s="1"/>
  <c r="H51" i="10"/>
  <c r="CB51" i="10" s="1"/>
  <c r="H52" i="10"/>
  <c r="CB52" i="10" s="1"/>
  <c r="H53" i="10"/>
  <c r="CB53" i="10" s="1"/>
  <c r="H54" i="10"/>
  <c r="CB54" i="10" s="1"/>
  <c r="H55" i="10"/>
  <c r="CB55" i="10" s="1"/>
  <c r="H56" i="10"/>
  <c r="CB56" i="10" s="1"/>
  <c r="H57" i="10"/>
  <c r="CB57" i="10" s="1"/>
  <c r="H58" i="10"/>
  <c r="CB58" i="10" s="1"/>
  <c r="H59" i="10"/>
  <c r="CB59" i="10" s="1"/>
  <c r="H60" i="10"/>
  <c r="CB60" i="10" s="1"/>
  <c r="H61" i="10"/>
  <c r="CB61" i="10" s="1"/>
  <c r="H62" i="10"/>
  <c r="CB62" i="10" s="1"/>
  <c r="H63" i="10"/>
  <c r="CB63" i="10" s="1"/>
  <c r="H64" i="10"/>
  <c r="CB64" i="10" s="1"/>
  <c r="H65" i="10"/>
  <c r="CB65" i="10" s="1"/>
  <c r="H66" i="10"/>
  <c r="CB66" i="10" s="1"/>
  <c r="H67" i="10"/>
  <c r="CB67" i="10" s="1"/>
  <c r="H68" i="10"/>
  <c r="CB68" i="10" s="1"/>
  <c r="H69" i="10"/>
  <c r="CB69" i="10" s="1"/>
  <c r="H70" i="10"/>
  <c r="CB70" i="10" s="1"/>
  <c r="H71" i="10"/>
  <c r="CB71" i="10" s="1"/>
  <c r="H72" i="10"/>
  <c r="CB72" i="10" s="1"/>
  <c r="H73" i="10"/>
  <c r="CB73" i="10" s="1"/>
  <c r="H74" i="10"/>
  <c r="CB74" i="10" s="1"/>
  <c r="H75" i="10"/>
  <c r="CB75" i="10" s="1"/>
  <c r="H76" i="10"/>
  <c r="CB76" i="10" s="1"/>
  <c r="H77" i="10"/>
  <c r="CB77" i="10" s="1"/>
  <c r="H78" i="10"/>
  <c r="CB78" i="10" s="1"/>
  <c r="H79" i="10"/>
  <c r="CB79" i="10" s="1"/>
  <c r="H80" i="10"/>
  <c r="CB80" i="10" s="1"/>
  <c r="H81" i="10"/>
  <c r="CB81" i="10" s="1"/>
  <c r="H82" i="10"/>
  <c r="CB82" i="10" s="1"/>
  <c r="H83" i="10"/>
  <c r="CB83" i="10" s="1"/>
  <c r="H84" i="10"/>
  <c r="CB84" i="10" s="1"/>
  <c r="H85" i="10"/>
  <c r="CB85" i="10" s="1"/>
  <c r="H86" i="10"/>
  <c r="CB86" i="10" s="1"/>
  <c r="H87" i="10"/>
  <c r="CB87" i="10" s="1"/>
  <c r="H88" i="10"/>
  <c r="CB88" i="10" s="1"/>
  <c r="H89" i="10"/>
  <c r="CB89" i="10" s="1"/>
  <c r="H90" i="10"/>
  <c r="CB90" i="10" s="1"/>
  <c r="H91" i="10"/>
  <c r="CB91" i="10" s="1"/>
  <c r="H92" i="10"/>
  <c r="CB92" i="10" s="1"/>
  <c r="H93" i="10"/>
  <c r="CB93" i="10" s="1"/>
  <c r="H94" i="10"/>
  <c r="CB94" i="10" s="1"/>
  <c r="H95" i="10"/>
  <c r="CB95" i="10" s="1"/>
  <c r="H96" i="10"/>
  <c r="CB96" i="10" s="1"/>
  <c r="H97" i="10"/>
  <c r="CB97" i="10" s="1"/>
  <c r="H98" i="10"/>
  <c r="CB98" i="10" s="1"/>
  <c r="H99" i="10"/>
  <c r="CB99" i="10" s="1"/>
  <c r="H100" i="10"/>
  <c r="CB100" i="10" s="1"/>
  <c r="H101" i="10"/>
  <c r="CB101" i="10" s="1"/>
  <c r="H102" i="10"/>
  <c r="CB102" i="10" s="1"/>
  <c r="H103" i="10"/>
  <c r="CB103" i="10" s="1"/>
  <c r="H104" i="10"/>
  <c r="CB104" i="10" s="1"/>
  <c r="H105" i="10"/>
  <c r="CB105" i="10" s="1"/>
  <c r="H106" i="10"/>
  <c r="CB106" i="10" s="1"/>
  <c r="H107" i="10"/>
  <c r="CB107" i="10" s="1"/>
  <c r="H108" i="10"/>
  <c r="CB108" i="10" s="1"/>
  <c r="H109" i="10"/>
  <c r="CB109" i="10" s="1"/>
  <c r="H110" i="10"/>
  <c r="CB110" i="10" s="1"/>
  <c r="H111" i="10"/>
  <c r="CB111" i="10" s="1"/>
  <c r="H112" i="10"/>
  <c r="CB112" i="10" s="1"/>
  <c r="H113" i="10"/>
  <c r="CB113" i="10" s="1"/>
  <c r="H114" i="10"/>
  <c r="CB114" i="10" s="1"/>
  <c r="H115" i="10"/>
  <c r="H116" i="10"/>
  <c r="CB116" i="10" s="1"/>
  <c r="H117" i="10"/>
  <c r="CB117" i="10" s="1"/>
  <c r="H118" i="10"/>
  <c r="CB118" i="10" s="1"/>
  <c r="H119" i="10"/>
  <c r="CB119" i="10" s="1"/>
  <c r="H120" i="10"/>
  <c r="CB120" i="10" s="1"/>
  <c r="H121" i="10"/>
  <c r="CB121" i="10" s="1"/>
  <c r="H122" i="10"/>
  <c r="CB122" i="10" s="1"/>
  <c r="H123" i="10"/>
  <c r="CB123" i="10" s="1"/>
  <c r="H124" i="10"/>
  <c r="CB124" i="10" s="1"/>
  <c r="H125" i="10"/>
  <c r="CB125" i="10" s="1"/>
  <c r="H126" i="10"/>
  <c r="CB126" i="10" s="1"/>
  <c r="H127" i="10"/>
  <c r="CB127" i="10" s="1"/>
  <c r="H128" i="10"/>
  <c r="CB128" i="10" s="1"/>
  <c r="H129" i="10"/>
  <c r="CB129" i="10" s="1"/>
  <c r="H130" i="10"/>
  <c r="CB130" i="10" s="1"/>
  <c r="H131" i="10"/>
  <c r="CB131" i="10" s="1"/>
  <c r="H132" i="10"/>
  <c r="CB132" i="10" s="1"/>
  <c r="H133" i="10"/>
  <c r="CB133" i="10" s="1"/>
  <c r="H134" i="10"/>
  <c r="CB134" i="10" s="1"/>
  <c r="H135" i="10"/>
  <c r="CB135" i="10" s="1"/>
  <c r="H136" i="10"/>
  <c r="CB136" i="10" s="1"/>
  <c r="H137" i="10"/>
  <c r="CB137" i="10" s="1"/>
  <c r="H138" i="10"/>
  <c r="CB138" i="10" s="1"/>
  <c r="H139" i="10"/>
  <c r="CB139" i="10" s="1"/>
  <c r="H140" i="10"/>
  <c r="CB140" i="10" s="1"/>
  <c r="H141" i="10"/>
  <c r="CB141" i="10" s="1"/>
  <c r="H142" i="10"/>
  <c r="CB142" i="10" s="1"/>
  <c r="H143" i="10"/>
  <c r="CB143" i="10" s="1"/>
  <c r="H144" i="10"/>
  <c r="CB144" i="10" s="1"/>
  <c r="H145" i="10"/>
  <c r="CB145" i="10" s="1"/>
  <c r="H146" i="10"/>
  <c r="CB146" i="10" s="1"/>
  <c r="H147" i="10"/>
  <c r="CB147" i="10" s="1"/>
  <c r="H148" i="10"/>
  <c r="CB148" i="10" s="1"/>
  <c r="H149" i="10"/>
  <c r="H150" i="10"/>
  <c r="CB150" i="10" s="1"/>
  <c r="H151" i="10"/>
  <c r="CB151" i="10" s="1"/>
  <c r="H152" i="10"/>
  <c r="CB152" i="10" s="1"/>
  <c r="H153" i="10"/>
  <c r="CB153" i="10" s="1"/>
  <c r="H154" i="10"/>
  <c r="CB154" i="10" s="1"/>
  <c r="H155" i="10"/>
  <c r="CB155" i="10" s="1"/>
  <c r="H156" i="10"/>
  <c r="CB156" i="10" s="1"/>
  <c r="H157" i="10"/>
  <c r="CB157" i="10" s="1"/>
  <c r="H158" i="10"/>
  <c r="CB158" i="10" s="1"/>
  <c r="H159" i="10"/>
  <c r="CB159" i="10" s="1"/>
  <c r="H160" i="10"/>
  <c r="CB160" i="10" s="1"/>
  <c r="H161" i="10"/>
  <c r="CB161" i="10" s="1"/>
  <c r="H162" i="10"/>
  <c r="CB162" i="10" s="1"/>
  <c r="H163" i="10"/>
  <c r="CB163" i="10" s="1"/>
  <c r="H164" i="10"/>
  <c r="CB164" i="10" s="1"/>
  <c r="H165" i="10"/>
  <c r="CB165" i="10" s="1"/>
  <c r="H166" i="10"/>
  <c r="CB166" i="10" s="1"/>
  <c r="H167" i="10"/>
  <c r="CB167" i="10" s="1"/>
  <c r="H168" i="10"/>
  <c r="CB168" i="10" s="1"/>
  <c r="H169" i="10"/>
  <c r="CB169" i="10" s="1"/>
  <c r="H170" i="10"/>
  <c r="CB170" i="10" s="1"/>
  <c r="H171" i="10"/>
  <c r="CB171" i="10" s="1"/>
  <c r="H172" i="10"/>
  <c r="CB172" i="10" s="1"/>
  <c r="H173" i="10"/>
  <c r="CB173" i="10" s="1"/>
  <c r="H174" i="10"/>
  <c r="CB174" i="10" s="1"/>
  <c r="H175" i="10"/>
  <c r="CB175" i="10" s="1"/>
  <c r="H176" i="10"/>
  <c r="CB176" i="10" s="1"/>
  <c r="G3" i="10"/>
  <c r="CJ3" i="10" s="1"/>
  <c r="G4" i="10"/>
  <c r="CJ4" i="10" s="1"/>
  <c r="G5" i="10"/>
  <c r="CJ5" i="10" s="1"/>
  <c r="G6" i="10"/>
  <c r="CJ6" i="10" s="1"/>
  <c r="G7" i="10"/>
  <c r="CJ7" i="10" s="1"/>
  <c r="G8" i="10"/>
  <c r="CJ8" i="10" s="1"/>
  <c r="G9" i="10"/>
  <c r="CJ9" i="10" s="1"/>
  <c r="G10" i="10"/>
  <c r="CJ10" i="10" s="1"/>
  <c r="G11" i="10"/>
  <c r="CJ11" i="10" s="1"/>
  <c r="G12" i="10"/>
  <c r="CJ12" i="10" s="1"/>
  <c r="G13" i="10"/>
  <c r="CJ13" i="10" s="1"/>
  <c r="G14" i="10"/>
  <c r="CJ14" i="10" s="1"/>
  <c r="G15" i="10"/>
  <c r="CJ15" i="10" s="1"/>
  <c r="G16" i="10"/>
  <c r="CJ16" i="10" s="1"/>
  <c r="G17" i="10"/>
  <c r="CJ17" i="10" s="1"/>
  <c r="G18" i="10"/>
  <c r="CJ18" i="10" s="1"/>
  <c r="G19" i="10"/>
  <c r="CJ19" i="10" s="1"/>
  <c r="G20" i="10"/>
  <c r="CJ20" i="10" s="1"/>
  <c r="G21" i="10"/>
  <c r="CJ21" i="10" s="1"/>
  <c r="G22" i="10"/>
  <c r="CJ22" i="10" s="1"/>
  <c r="G23" i="10"/>
  <c r="CJ23" i="10" s="1"/>
  <c r="G24" i="10"/>
  <c r="CJ24" i="10" s="1"/>
  <c r="G25" i="10"/>
  <c r="CJ25" i="10" s="1"/>
  <c r="G26" i="10"/>
  <c r="CJ26" i="10" s="1"/>
  <c r="G27" i="10"/>
  <c r="CJ27" i="10" s="1"/>
  <c r="G28" i="10"/>
  <c r="CJ28" i="10" s="1"/>
  <c r="G29" i="10"/>
  <c r="CJ29" i="10" s="1"/>
  <c r="G30" i="10"/>
  <c r="CJ30" i="10" s="1"/>
  <c r="G31" i="10"/>
  <c r="CJ31" i="10" s="1"/>
  <c r="G32" i="10"/>
  <c r="CJ32" i="10" s="1"/>
  <c r="G33" i="10"/>
  <c r="CJ33" i="10" s="1"/>
  <c r="G34" i="10"/>
  <c r="CJ34" i="10" s="1"/>
  <c r="G35" i="10"/>
  <c r="CJ35" i="10" s="1"/>
  <c r="G36" i="10"/>
  <c r="CJ36" i="10" s="1"/>
  <c r="G37" i="10"/>
  <c r="CJ37" i="10" s="1"/>
  <c r="G38" i="10"/>
  <c r="CJ38" i="10" s="1"/>
  <c r="G39" i="10"/>
  <c r="CJ39" i="10" s="1"/>
  <c r="G40" i="10"/>
  <c r="CJ40" i="10" s="1"/>
  <c r="G41" i="10"/>
  <c r="CJ41" i="10" s="1"/>
  <c r="G42" i="10"/>
  <c r="CJ42" i="10" s="1"/>
  <c r="G43" i="10"/>
  <c r="CJ43" i="10" s="1"/>
  <c r="G44" i="10"/>
  <c r="CJ44" i="10" s="1"/>
  <c r="G45" i="10"/>
  <c r="CJ45" i="10" s="1"/>
  <c r="G46" i="10"/>
  <c r="CJ46" i="10" s="1"/>
  <c r="G47" i="10"/>
  <c r="CJ47" i="10" s="1"/>
  <c r="G48" i="10"/>
  <c r="CJ48" i="10" s="1"/>
  <c r="G49" i="10"/>
  <c r="CJ49" i="10" s="1"/>
  <c r="G50" i="10"/>
  <c r="CJ50" i="10" s="1"/>
  <c r="G51" i="10"/>
  <c r="CJ51" i="10" s="1"/>
  <c r="G52" i="10"/>
  <c r="CJ52" i="10" s="1"/>
  <c r="G53" i="10"/>
  <c r="CJ53" i="10" s="1"/>
  <c r="G54" i="10"/>
  <c r="CJ54" i="10" s="1"/>
  <c r="G55" i="10"/>
  <c r="CJ55" i="10" s="1"/>
  <c r="G56" i="10"/>
  <c r="CJ56" i="10" s="1"/>
  <c r="G57" i="10"/>
  <c r="CJ57" i="10" s="1"/>
  <c r="G58" i="10"/>
  <c r="CJ58" i="10" s="1"/>
  <c r="G59" i="10"/>
  <c r="CJ59" i="10" s="1"/>
  <c r="G60" i="10"/>
  <c r="CJ60" i="10" s="1"/>
  <c r="G61" i="10"/>
  <c r="CJ61" i="10" s="1"/>
  <c r="G62" i="10"/>
  <c r="CJ62" i="10" s="1"/>
  <c r="G63" i="10"/>
  <c r="CJ63" i="10" s="1"/>
  <c r="G64" i="10"/>
  <c r="CJ64" i="10" s="1"/>
  <c r="G65" i="10"/>
  <c r="CJ65" i="10" s="1"/>
  <c r="G66" i="10"/>
  <c r="CJ66" i="10" s="1"/>
  <c r="G67" i="10"/>
  <c r="CJ67" i="10" s="1"/>
  <c r="G68" i="10"/>
  <c r="CJ68" i="10" s="1"/>
  <c r="G69" i="10"/>
  <c r="CJ69" i="10" s="1"/>
  <c r="G70" i="10"/>
  <c r="CJ70" i="10" s="1"/>
  <c r="G71" i="10"/>
  <c r="CJ71" i="10" s="1"/>
  <c r="G72" i="10"/>
  <c r="CJ72" i="10" s="1"/>
  <c r="G73" i="10"/>
  <c r="CJ73" i="10" s="1"/>
  <c r="G74" i="10"/>
  <c r="CJ74" i="10" s="1"/>
  <c r="G75" i="10"/>
  <c r="CJ75" i="10" s="1"/>
  <c r="G76" i="10"/>
  <c r="CJ76" i="10" s="1"/>
  <c r="G77" i="10"/>
  <c r="CJ77" i="10" s="1"/>
  <c r="G78" i="10"/>
  <c r="CJ78" i="10" s="1"/>
  <c r="G79" i="10"/>
  <c r="CJ79" i="10" s="1"/>
  <c r="G80" i="10"/>
  <c r="CJ80" i="10" s="1"/>
  <c r="G81" i="10"/>
  <c r="CJ81" i="10" s="1"/>
  <c r="G82" i="10"/>
  <c r="CJ82" i="10" s="1"/>
  <c r="G83" i="10"/>
  <c r="CJ83" i="10" s="1"/>
  <c r="G84" i="10"/>
  <c r="CJ84" i="10" s="1"/>
  <c r="G85" i="10"/>
  <c r="CJ85" i="10" s="1"/>
  <c r="G86" i="10"/>
  <c r="CJ86" i="10" s="1"/>
  <c r="G87" i="10"/>
  <c r="CJ87" i="10" s="1"/>
  <c r="G88" i="10"/>
  <c r="CJ88" i="10" s="1"/>
  <c r="G89" i="10"/>
  <c r="CJ89" i="10" s="1"/>
  <c r="G90" i="10"/>
  <c r="CJ90" i="10" s="1"/>
  <c r="G91" i="10"/>
  <c r="CJ91" i="10" s="1"/>
  <c r="G92" i="10"/>
  <c r="CJ92" i="10" s="1"/>
  <c r="G93" i="10"/>
  <c r="CJ93" i="10" s="1"/>
  <c r="G94" i="10"/>
  <c r="CJ94" i="10" s="1"/>
  <c r="G95" i="10"/>
  <c r="CJ95" i="10" s="1"/>
  <c r="G96" i="10"/>
  <c r="CJ96" i="10" s="1"/>
  <c r="G97" i="10"/>
  <c r="CJ97" i="10" s="1"/>
  <c r="G98" i="10"/>
  <c r="CJ98" i="10" s="1"/>
  <c r="G99" i="10"/>
  <c r="CJ99" i="10" s="1"/>
  <c r="G100" i="10"/>
  <c r="CJ100" i="10" s="1"/>
  <c r="G101" i="10"/>
  <c r="CJ101" i="10" s="1"/>
  <c r="G102" i="10"/>
  <c r="CJ102" i="10" s="1"/>
  <c r="G103" i="10"/>
  <c r="CJ103" i="10" s="1"/>
  <c r="G104" i="10"/>
  <c r="CJ104" i="10" s="1"/>
  <c r="G105" i="10"/>
  <c r="CJ105" i="10" s="1"/>
  <c r="G106" i="10"/>
  <c r="CJ106" i="10" s="1"/>
  <c r="G107" i="10"/>
  <c r="CJ107" i="10" s="1"/>
  <c r="G108" i="10"/>
  <c r="CJ108" i="10" s="1"/>
  <c r="G109" i="10"/>
  <c r="CJ109" i="10" s="1"/>
  <c r="G110" i="10"/>
  <c r="CJ110" i="10" s="1"/>
  <c r="G111" i="10"/>
  <c r="CJ111" i="10" s="1"/>
  <c r="G112" i="10"/>
  <c r="CJ112" i="10" s="1"/>
  <c r="G113" i="10"/>
  <c r="CJ113" i="10" s="1"/>
  <c r="G114" i="10"/>
  <c r="CJ114" i="10" s="1"/>
  <c r="G115" i="10"/>
  <c r="CJ115" i="10" s="1"/>
  <c r="G116" i="10"/>
  <c r="CJ116" i="10" s="1"/>
  <c r="G117" i="10"/>
  <c r="CJ117" i="10" s="1"/>
  <c r="G118" i="10"/>
  <c r="CJ118" i="10" s="1"/>
  <c r="G119" i="10"/>
  <c r="CJ119" i="10" s="1"/>
  <c r="G120" i="10"/>
  <c r="CJ120" i="10" s="1"/>
  <c r="G121" i="10"/>
  <c r="CJ121" i="10" s="1"/>
  <c r="G122" i="10"/>
  <c r="CJ122" i="10" s="1"/>
  <c r="G123" i="10"/>
  <c r="CJ123" i="10" s="1"/>
  <c r="G124" i="10"/>
  <c r="CJ124" i="10" s="1"/>
  <c r="G125" i="10"/>
  <c r="CJ125" i="10" s="1"/>
  <c r="G126" i="10"/>
  <c r="CJ126" i="10" s="1"/>
  <c r="G127" i="10"/>
  <c r="CJ127" i="10" s="1"/>
  <c r="G128" i="10"/>
  <c r="CJ128" i="10" s="1"/>
  <c r="G129" i="10"/>
  <c r="CJ129" i="10" s="1"/>
  <c r="G130" i="10"/>
  <c r="CJ130" i="10" s="1"/>
  <c r="G131" i="10"/>
  <c r="CJ131" i="10" s="1"/>
  <c r="G132" i="10"/>
  <c r="CJ132" i="10" s="1"/>
  <c r="G133" i="10"/>
  <c r="CJ133" i="10" s="1"/>
  <c r="G134" i="10"/>
  <c r="CJ134" i="10" s="1"/>
  <c r="G135" i="10"/>
  <c r="CJ135" i="10" s="1"/>
  <c r="G136" i="10"/>
  <c r="CJ136" i="10" s="1"/>
  <c r="G137" i="10"/>
  <c r="CJ137" i="10" s="1"/>
  <c r="G138" i="10"/>
  <c r="CJ138" i="10" s="1"/>
  <c r="G139" i="10"/>
  <c r="CJ139" i="10" s="1"/>
  <c r="G140" i="10"/>
  <c r="CJ140" i="10" s="1"/>
  <c r="G141" i="10"/>
  <c r="CJ141" i="10" s="1"/>
  <c r="G142" i="10"/>
  <c r="CJ142" i="10" s="1"/>
  <c r="G143" i="10"/>
  <c r="CJ143" i="10" s="1"/>
  <c r="G144" i="10"/>
  <c r="CJ144" i="10" s="1"/>
  <c r="G145" i="10"/>
  <c r="CJ145" i="10" s="1"/>
  <c r="G146" i="10"/>
  <c r="CJ146" i="10" s="1"/>
  <c r="G147" i="10"/>
  <c r="CJ147" i="10" s="1"/>
  <c r="G148" i="10"/>
  <c r="CJ148" i="10" s="1"/>
  <c r="G149" i="10"/>
  <c r="CJ149" i="10" s="1"/>
  <c r="G150" i="10"/>
  <c r="CJ150" i="10" s="1"/>
  <c r="G151" i="10"/>
  <c r="CJ151" i="10" s="1"/>
  <c r="G152" i="10"/>
  <c r="CJ152" i="10" s="1"/>
  <c r="G153" i="10"/>
  <c r="CJ153" i="10" s="1"/>
  <c r="G154" i="10"/>
  <c r="CJ154" i="10" s="1"/>
  <c r="G155" i="10"/>
  <c r="CJ155" i="10" s="1"/>
  <c r="G156" i="10"/>
  <c r="CJ156" i="10" s="1"/>
  <c r="G157" i="10"/>
  <c r="CJ157" i="10" s="1"/>
  <c r="G158" i="10"/>
  <c r="CJ158" i="10" s="1"/>
  <c r="G159" i="10"/>
  <c r="CJ159" i="10" s="1"/>
  <c r="G160" i="10"/>
  <c r="CJ160" i="10" s="1"/>
  <c r="G161" i="10"/>
  <c r="CJ161" i="10" s="1"/>
  <c r="G162" i="10"/>
  <c r="CJ162" i="10" s="1"/>
  <c r="G163" i="10"/>
  <c r="CJ163" i="10" s="1"/>
  <c r="G164" i="10"/>
  <c r="CJ164" i="10" s="1"/>
  <c r="G165" i="10"/>
  <c r="CJ165" i="10" s="1"/>
  <c r="G166" i="10"/>
  <c r="CJ166" i="10" s="1"/>
  <c r="G167" i="10"/>
  <c r="CJ167" i="10" s="1"/>
  <c r="G168" i="10"/>
  <c r="CJ168" i="10" s="1"/>
  <c r="G169" i="10"/>
  <c r="CJ169" i="10" s="1"/>
  <c r="G170" i="10"/>
  <c r="CJ170" i="10" s="1"/>
  <c r="G171" i="10"/>
  <c r="CJ171" i="10" s="1"/>
  <c r="G172" i="10"/>
  <c r="CJ172" i="10" s="1"/>
  <c r="G173" i="10"/>
  <c r="CJ173" i="10" s="1"/>
  <c r="G174" i="10"/>
  <c r="CJ174" i="10" s="1"/>
  <c r="G175" i="10"/>
  <c r="CJ175" i="10" s="1"/>
  <c r="G176" i="10"/>
  <c r="CJ176" i="10"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D3" i="10"/>
  <c r="CF3" i="10" s="1"/>
  <c r="D4" i="10"/>
  <c r="CF4" i="10" s="1"/>
  <c r="D5" i="10"/>
  <c r="CF5" i="10" s="1"/>
  <c r="D6" i="10"/>
  <c r="CF6" i="10" s="1"/>
  <c r="D7" i="10"/>
  <c r="CF7" i="10" s="1"/>
  <c r="D8" i="10"/>
  <c r="CF8" i="10" s="1"/>
  <c r="D9" i="10"/>
  <c r="CF9" i="10" s="1"/>
  <c r="D10" i="10"/>
  <c r="CF10" i="10" s="1"/>
  <c r="D11" i="10"/>
  <c r="CF11" i="10" s="1"/>
  <c r="D12" i="10"/>
  <c r="CF12" i="10" s="1"/>
  <c r="D13" i="10"/>
  <c r="CF13" i="10" s="1"/>
  <c r="D14" i="10"/>
  <c r="CF14" i="10" s="1"/>
  <c r="D15" i="10"/>
  <c r="D16" i="10"/>
  <c r="CF16" i="10" s="1"/>
  <c r="D17" i="10"/>
  <c r="CF17" i="10" s="1"/>
  <c r="D18" i="10"/>
  <c r="CF18" i="10" s="1"/>
  <c r="D19" i="10"/>
  <c r="CF19" i="10" s="1"/>
  <c r="D20" i="10"/>
  <c r="CF20" i="10" s="1"/>
  <c r="D21" i="10"/>
  <c r="CF21" i="10" s="1"/>
  <c r="D22" i="10"/>
  <c r="CF22" i="10" s="1"/>
  <c r="D23" i="10"/>
  <c r="CF23" i="10" s="1"/>
  <c r="D24" i="10"/>
  <c r="CF24" i="10" s="1"/>
  <c r="D25" i="10"/>
  <c r="CF25" i="10" s="1"/>
  <c r="D26" i="10"/>
  <c r="CF26" i="10" s="1"/>
  <c r="D27" i="10"/>
  <c r="CF27" i="10" s="1"/>
  <c r="D28" i="10"/>
  <c r="CF28" i="10" s="1"/>
  <c r="D29" i="10"/>
  <c r="CF29" i="10" s="1"/>
  <c r="D30" i="10"/>
  <c r="CF30" i="10" s="1"/>
  <c r="D31" i="10"/>
  <c r="CF31" i="10" s="1"/>
  <c r="D32" i="10"/>
  <c r="CF32" i="10" s="1"/>
  <c r="D33" i="10"/>
  <c r="CF33" i="10" s="1"/>
  <c r="D34" i="10"/>
  <c r="CF34" i="10" s="1"/>
  <c r="D35" i="10"/>
  <c r="CF35" i="10" s="1"/>
  <c r="D36" i="10"/>
  <c r="CF36" i="10" s="1"/>
  <c r="D37" i="10"/>
  <c r="CF37" i="10" s="1"/>
  <c r="D38" i="10"/>
  <c r="CF38" i="10" s="1"/>
  <c r="D39" i="10"/>
  <c r="CF39" i="10" s="1"/>
  <c r="D40" i="10"/>
  <c r="CF40" i="10" s="1"/>
  <c r="D41" i="10"/>
  <c r="CF41" i="10" s="1"/>
  <c r="D42" i="10"/>
  <c r="CF42" i="10" s="1"/>
  <c r="D43" i="10"/>
  <c r="CF43" i="10" s="1"/>
  <c r="D44" i="10"/>
  <c r="CF44" i="10" s="1"/>
  <c r="D45" i="10"/>
  <c r="CF45" i="10" s="1"/>
  <c r="D46" i="10"/>
  <c r="CF46" i="10" s="1"/>
  <c r="D47" i="10"/>
  <c r="CF47" i="10" s="1"/>
  <c r="D48" i="10"/>
  <c r="CF48" i="10" s="1"/>
  <c r="D49" i="10"/>
  <c r="CF49" i="10" s="1"/>
  <c r="D50" i="10"/>
  <c r="CF50" i="10" s="1"/>
  <c r="D51" i="10"/>
  <c r="CF51" i="10" s="1"/>
  <c r="D52" i="10"/>
  <c r="CF52" i="10" s="1"/>
  <c r="D53" i="10"/>
  <c r="CF53" i="10" s="1"/>
  <c r="D54" i="10"/>
  <c r="CF54" i="10" s="1"/>
  <c r="D55" i="10"/>
  <c r="CF55" i="10" s="1"/>
  <c r="D56" i="10"/>
  <c r="CF56" i="10" s="1"/>
  <c r="D57" i="10"/>
  <c r="CF57" i="10" s="1"/>
  <c r="D58" i="10"/>
  <c r="CF58" i="10" s="1"/>
  <c r="D59" i="10"/>
  <c r="CF59" i="10" s="1"/>
  <c r="D60" i="10"/>
  <c r="CF60" i="10" s="1"/>
  <c r="D61" i="10"/>
  <c r="CF61" i="10" s="1"/>
  <c r="D62" i="10"/>
  <c r="CF62" i="10" s="1"/>
  <c r="D63" i="10"/>
  <c r="CF63" i="10" s="1"/>
  <c r="D64" i="10"/>
  <c r="CF64" i="10" s="1"/>
  <c r="D65" i="10"/>
  <c r="CF65" i="10" s="1"/>
  <c r="D66" i="10"/>
  <c r="CF66" i="10" s="1"/>
  <c r="D67" i="10"/>
  <c r="CF67" i="10" s="1"/>
  <c r="D68" i="10"/>
  <c r="CF68" i="10" s="1"/>
  <c r="D69" i="10"/>
  <c r="CF69" i="10" s="1"/>
  <c r="D70" i="10"/>
  <c r="CF70" i="10" s="1"/>
  <c r="D71" i="10"/>
  <c r="CF71" i="10" s="1"/>
  <c r="D72" i="10"/>
  <c r="CF72" i="10" s="1"/>
  <c r="D73" i="10"/>
  <c r="CF73" i="10" s="1"/>
  <c r="D74" i="10"/>
  <c r="CF74" i="10" s="1"/>
  <c r="D75" i="10"/>
  <c r="CF75" i="10" s="1"/>
  <c r="D76" i="10"/>
  <c r="CF76" i="10" s="1"/>
  <c r="D77" i="10"/>
  <c r="CF77" i="10" s="1"/>
  <c r="D78" i="10"/>
  <c r="CF78" i="10" s="1"/>
  <c r="D79" i="10"/>
  <c r="CF79" i="10" s="1"/>
  <c r="D80" i="10"/>
  <c r="CF80" i="10" s="1"/>
  <c r="D81" i="10"/>
  <c r="CF81" i="10" s="1"/>
  <c r="D82" i="10"/>
  <c r="CF82" i="10" s="1"/>
  <c r="D83" i="10"/>
  <c r="CF83" i="10" s="1"/>
  <c r="D84" i="10"/>
  <c r="CF84" i="10" s="1"/>
  <c r="D85" i="10"/>
  <c r="CF85" i="10" s="1"/>
  <c r="D86" i="10"/>
  <c r="CF86" i="10" s="1"/>
  <c r="D87" i="10"/>
  <c r="CF87" i="10" s="1"/>
  <c r="D88" i="10"/>
  <c r="CF88" i="10" s="1"/>
  <c r="D89" i="10"/>
  <c r="CF89" i="10" s="1"/>
  <c r="D90" i="10"/>
  <c r="CF90" i="10" s="1"/>
  <c r="D91" i="10"/>
  <c r="CF91" i="10" s="1"/>
  <c r="D92" i="10"/>
  <c r="CF92" i="10" s="1"/>
  <c r="D93" i="10"/>
  <c r="CF93" i="10" s="1"/>
  <c r="D94" i="10"/>
  <c r="CF94" i="10" s="1"/>
  <c r="D95" i="10"/>
  <c r="CF95" i="10" s="1"/>
  <c r="D96" i="10"/>
  <c r="CF96" i="10" s="1"/>
  <c r="D97" i="10"/>
  <c r="CF97" i="10" s="1"/>
  <c r="D98" i="10"/>
  <c r="CF98" i="10" s="1"/>
  <c r="D99" i="10"/>
  <c r="CF99" i="10" s="1"/>
  <c r="D100" i="10"/>
  <c r="CF100" i="10" s="1"/>
  <c r="D101" i="10"/>
  <c r="CF101" i="10" s="1"/>
  <c r="D102" i="10"/>
  <c r="CF102" i="10" s="1"/>
  <c r="D103" i="10"/>
  <c r="CF103" i="10" s="1"/>
  <c r="D104" i="10"/>
  <c r="CF104" i="10" s="1"/>
  <c r="D105" i="10"/>
  <c r="CF105" i="10" s="1"/>
  <c r="D106" i="10"/>
  <c r="CF106" i="10" s="1"/>
  <c r="D107" i="10"/>
  <c r="CF107" i="10" s="1"/>
  <c r="D108" i="10"/>
  <c r="CF108" i="10" s="1"/>
  <c r="D109" i="10"/>
  <c r="CF109" i="10" s="1"/>
  <c r="D110" i="10"/>
  <c r="CF110" i="10" s="1"/>
  <c r="D111" i="10"/>
  <c r="CF111" i="10" s="1"/>
  <c r="D112" i="10"/>
  <c r="CF112" i="10" s="1"/>
  <c r="D113" i="10"/>
  <c r="CF113" i="10" s="1"/>
  <c r="D114" i="10"/>
  <c r="CF114" i="10" s="1"/>
  <c r="D115" i="10"/>
  <c r="D116" i="10"/>
  <c r="CF116" i="10" s="1"/>
  <c r="D117" i="10"/>
  <c r="CF117" i="10" s="1"/>
  <c r="D118" i="10"/>
  <c r="CF118" i="10" s="1"/>
  <c r="D119" i="10"/>
  <c r="CF119" i="10" s="1"/>
  <c r="D120" i="10"/>
  <c r="CF120" i="10" s="1"/>
  <c r="D121" i="10"/>
  <c r="CF121" i="10" s="1"/>
  <c r="D122" i="10"/>
  <c r="CF122" i="10" s="1"/>
  <c r="D123" i="10"/>
  <c r="CF123" i="10" s="1"/>
  <c r="D124" i="10"/>
  <c r="CF124" i="10" s="1"/>
  <c r="D125" i="10"/>
  <c r="CF125" i="10" s="1"/>
  <c r="D126" i="10"/>
  <c r="CF126" i="10" s="1"/>
  <c r="D127" i="10"/>
  <c r="CF127" i="10" s="1"/>
  <c r="D128" i="10"/>
  <c r="CF128" i="10" s="1"/>
  <c r="D129" i="10"/>
  <c r="CF129" i="10" s="1"/>
  <c r="D130" i="10"/>
  <c r="CF130" i="10" s="1"/>
  <c r="D131" i="10"/>
  <c r="CF131" i="10" s="1"/>
  <c r="D132" i="10"/>
  <c r="CF132" i="10" s="1"/>
  <c r="D133" i="10"/>
  <c r="CF133" i="10" s="1"/>
  <c r="D134" i="10"/>
  <c r="CF134" i="10" s="1"/>
  <c r="D135" i="10"/>
  <c r="CF135" i="10" s="1"/>
  <c r="D136" i="10"/>
  <c r="CF136" i="10" s="1"/>
  <c r="D137" i="10"/>
  <c r="CF137" i="10" s="1"/>
  <c r="D138" i="10"/>
  <c r="CF138" i="10" s="1"/>
  <c r="D139" i="10"/>
  <c r="CF139" i="10" s="1"/>
  <c r="D140" i="10"/>
  <c r="CF140" i="10" s="1"/>
  <c r="D141" i="10"/>
  <c r="CF141" i="10" s="1"/>
  <c r="D142" i="10"/>
  <c r="CF142" i="10" s="1"/>
  <c r="D143" i="10"/>
  <c r="CF143" i="10" s="1"/>
  <c r="D144" i="10"/>
  <c r="CF144" i="10" s="1"/>
  <c r="D145" i="10"/>
  <c r="CF145" i="10" s="1"/>
  <c r="D146" i="10"/>
  <c r="CF146" i="10" s="1"/>
  <c r="D147" i="10"/>
  <c r="CF147" i="10" s="1"/>
  <c r="D148" i="10"/>
  <c r="CF148" i="10" s="1"/>
  <c r="D149" i="10"/>
  <c r="CF149" i="10" s="1"/>
  <c r="D150" i="10"/>
  <c r="CF150" i="10" s="1"/>
  <c r="D151" i="10"/>
  <c r="CF151" i="10" s="1"/>
  <c r="D152" i="10"/>
  <c r="CF152" i="10" s="1"/>
  <c r="D153" i="10"/>
  <c r="CF153" i="10" s="1"/>
  <c r="D154" i="10"/>
  <c r="CF154" i="10" s="1"/>
  <c r="D155" i="10"/>
  <c r="CF155" i="10" s="1"/>
  <c r="D156" i="10"/>
  <c r="CF156" i="10" s="1"/>
  <c r="D157" i="10"/>
  <c r="CF157" i="10" s="1"/>
  <c r="D158" i="10"/>
  <c r="CF158" i="10" s="1"/>
  <c r="D159" i="10"/>
  <c r="CF159" i="10" s="1"/>
  <c r="D160" i="10"/>
  <c r="CF160" i="10" s="1"/>
  <c r="D161" i="10"/>
  <c r="CF161" i="10" s="1"/>
  <c r="D162" i="10"/>
  <c r="CF162" i="10" s="1"/>
  <c r="D163" i="10"/>
  <c r="CF163" i="10" s="1"/>
  <c r="D164" i="10"/>
  <c r="CF164" i="10" s="1"/>
  <c r="D165" i="10"/>
  <c r="CF165" i="10" s="1"/>
  <c r="D166" i="10"/>
  <c r="CF166" i="10" s="1"/>
  <c r="D167" i="10"/>
  <c r="CF167" i="10" s="1"/>
  <c r="D168" i="10"/>
  <c r="CF168" i="10" s="1"/>
  <c r="D169" i="10"/>
  <c r="CF169" i="10" s="1"/>
  <c r="D170" i="10"/>
  <c r="CF170" i="10" s="1"/>
  <c r="D171" i="10"/>
  <c r="CF171" i="10" s="1"/>
  <c r="D172" i="10"/>
  <c r="CF172" i="10" s="1"/>
  <c r="D173" i="10"/>
  <c r="CF173" i="10" s="1"/>
  <c r="D174" i="10"/>
  <c r="CF174" i="10" s="1"/>
  <c r="D175" i="10"/>
  <c r="CF175" i="10" s="1"/>
  <c r="D176" i="10"/>
  <c r="CF176" i="10" s="1"/>
  <c r="C3" i="10"/>
  <c r="C4" i="10"/>
  <c r="C5" i="10"/>
  <c r="C6" i="10"/>
  <c r="C7" i="10"/>
  <c r="C8" i="10"/>
  <c r="C9" i="10"/>
  <c r="C10" i="10"/>
  <c r="C11" i="10"/>
  <c r="C12" i="10"/>
  <c r="C13" i="10"/>
  <c r="C14"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159" i="10"/>
  <c r="B160" i="10"/>
  <c r="B161" i="10"/>
  <c r="B162" i="10"/>
  <c r="B163" i="10"/>
  <c r="B164" i="10"/>
  <c r="B165" i="10"/>
  <c r="B166" i="10"/>
  <c r="B167" i="10"/>
  <c r="B168" i="10"/>
  <c r="B169" i="10"/>
  <c r="B170" i="10"/>
  <c r="B171" i="10"/>
  <c r="B172" i="10"/>
  <c r="B173" i="10"/>
  <c r="B174" i="10"/>
  <c r="B175" i="10"/>
  <c r="B176" i="10"/>
  <c r="A3" i="10"/>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L17" i="7"/>
  <c r="K17" i="7"/>
  <c r="J17" i="7"/>
  <c r="I17" i="7"/>
  <c r="H17" i="7"/>
  <c r="E17" i="7"/>
  <c r="D17" i="7"/>
  <c r="B17" i="7"/>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B32" i="7"/>
  <c r="B31" i="7"/>
  <c r="B30" i="7"/>
  <c r="K187" i="6"/>
  <c r="K186" i="6"/>
  <c r="K185" i="6"/>
  <c r="K184" i="6"/>
  <c r="K183" i="6"/>
  <c r="K182" i="6"/>
  <c r="K181" i="6"/>
  <c r="K180" i="6"/>
  <c r="B180" i="6"/>
  <c r="K179" i="6"/>
  <c r="K178" i="6"/>
  <c r="K177" i="6"/>
  <c r="P176" i="6"/>
  <c r="F176" i="6"/>
  <c r="P175" i="6"/>
  <c r="F175" i="6"/>
  <c r="P174" i="6"/>
  <c r="F174" i="6"/>
  <c r="P173" i="6"/>
  <c r="F173" i="6"/>
  <c r="P172" i="6"/>
  <c r="F172" i="6"/>
  <c r="P171" i="6"/>
  <c r="F171" i="6"/>
  <c r="P170" i="6"/>
  <c r="F170" i="6"/>
  <c r="P169" i="6"/>
  <c r="F169" i="6"/>
  <c r="P168" i="6"/>
  <c r="F168" i="6"/>
  <c r="P167" i="6"/>
  <c r="F167" i="6"/>
  <c r="P166" i="6"/>
  <c r="F166" i="6"/>
  <c r="P165" i="6"/>
  <c r="L165" i="6"/>
  <c r="G165" i="6"/>
  <c r="F165" i="6"/>
  <c r="P164" i="6"/>
  <c r="L164" i="6"/>
  <c r="G164" i="6"/>
  <c r="F164" i="6"/>
  <c r="P163" i="6"/>
  <c r="L163" i="6"/>
  <c r="G163" i="6"/>
  <c r="F163" i="6"/>
  <c r="P162" i="6"/>
  <c r="L162" i="6"/>
  <c r="G162" i="6"/>
  <c r="F162" i="6"/>
  <c r="P161" i="6"/>
  <c r="L161" i="6"/>
  <c r="G161" i="6"/>
  <c r="F161" i="6"/>
  <c r="P160" i="6"/>
  <c r="L160" i="6"/>
  <c r="G160" i="6"/>
  <c r="F160" i="6"/>
  <c r="P159" i="6"/>
  <c r="L159" i="6"/>
  <c r="G159" i="6"/>
  <c r="F159" i="6"/>
  <c r="P158" i="6"/>
  <c r="L158" i="6"/>
  <c r="G158" i="6"/>
  <c r="F158" i="6"/>
  <c r="P157" i="6"/>
  <c r="L157" i="6"/>
  <c r="G157" i="6"/>
  <c r="F157" i="6"/>
  <c r="P156" i="6"/>
  <c r="L156" i="6"/>
  <c r="G156" i="6"/>
  <c r="F156" i="6"/>
  <c r="P155" i="6"/>
  <c r="F155" i="6"/>
  <c r="P154" i="6"/>
  <c r="G154" i="6"/>
  <c r="F154" i="6"/>
  <c r="P153" i="6"/>
  <c r="L153" i="6"/>
  <c r="G153" i="6"/>
  <c r="F153" i="6"/>
  <c r="P152" i="6"/>
  <c r="L152" i="6"/>
  <c r="G152" i="6"/>
  <c r="F152" i="6"/>
  <c r="P151" i="6"/>
  <c r="L151" i="6"/>
  <c r="G151" i="6"/>
  <c r="F151" i="6"/>
  <c r="P150" i="6"/>
  <c r="L150" i="6"/>
  <c r="G150" i="6"/>
  <c r="F150" i="6"/>
  <c r="P149" i="6"/>
  <c r="L149" i="6"/>
  <c r="G149" i="6"/>
  <c r="F149" i="6"/>
  <c r="P148" i="6"/>
  <c r="F148" i="6"/>
  <c r="P147" i="6"/>
  <c r="F147" i="6"/>
  <c r="P146" i="6"/>
  <c r="F146" i="6"/>
  <c r="P145" i="6"/>
  <c r="F145" i="6"/>
  <c r="P144" i="6"/>
  <c r="F144" i="6"/>
  <c r="P143" i="6"/>
  <c r="F143" i="6"/>
  <c r="P142" i="6"/>
  <c r="F142" i="6"/>
  <c r="P141" i="6"/>
  <c r="F141" i="6"/>
  <c r="P140" i="6"/>
  <c r="F140" i="6"/>
  <c r="P139" i="6"/>
  <c r="F139" i="6"/>
  <c r="P138" i="6"/>
  <c r="F138" i="6"/>
  <c r="P137" i="6"/>
  <c r="L137" i="6"/>
  <c r="G137" i="6"/>
  <c r="F137" i="6"/>
  <c r="P136" i="6"/>
  <c r="L136" i="6"/>
  <c r="G136" i="6"/>
  <c r="F136" i="6"/>
  <c r="P135" i="6"/>
  <c r="L135" i="6"/>
  <c r="G135" i="6"/>
  <c r="F135" i="6"/>
  <c r="P134" i="6"/>
  <c r="L134" i="6"/>
  <c r="G134" i="6"/>
  <c r="F134" i="6"/>
  <c r="P133" i="6"/>
  <c r="L133" i="6"/>
  <c r="G133" i="6"/>
  <c r="F133" i="6"/>
  <c r="P132" i="6"/>
  <c r="L132" i="6"/>
  <c r="G132" i="6"/>
  <c r="F132" i="6"/>
  <c r="P131" i="6"/>
  <c r="L131" i="6"/>
  <c r="G131" i="6"/>
  <c r="F131" i="6"/>
  <c r="P130" i="6"/>
  <c r="F130" i="6"/>
  <c r="P129" i="6"/>
  <c r="F129" i="6"/>
  <c r="P128" i="6"/>
  <c r="L128" i="6"/>
  <c r="G128" i="6"/>
  <c r="F128" i="6"/>
  <c r="P127" i="6"/>
  <c r="L127" i="6"/>
  <c r="G127" i="6"/>
  <c r="F127" i="6"/>
  <c r="P126" i="6"/>
  <c r="L126" i="6"/>
  <c r="F126" i="6"/>
  <c r="P125" i="6"/>
  <c r="L125" i="6"/>
  <c r="G125" i="6"/>
  <c r="F125" i="6"/>
  <c r="P124" i="6"/>
  <c r="L124" i="6"/>
  <c r="G124" i="6"/>
  <c r="F124" i="6"/>
  <c r="P123" i="6"/>
  <c r="L123" i="6"/>
  <c r="G123" i="6"/>
  <c r="F123" i="6"/>
  <c r="P122" i="6"/>
  <c r="L122" i="6"/>
  <c r="G122" i="6"/>
  <c r="F122" i="6"/>
  <c r="P121" i="6"/>
  <c r="L121" i="6"/>
  <c r="G121" i="6"/>
  <c r="F121" i="6"/>
  <c r="P120" i="6"/>
  <c r="L120" i="6"/>
  <c r="G120" i="6"/>
  <c r="F120" i="6"/>
  <c r="P119" i="6"/>
  <c r="L119" i="6"/>
  <c r="G119" i="6"/>
  <c r="F119" i="6"/>
  <c r="P118" i="6"/>
  <c r="F118" i="6"/>
  <c r="P117" i="6"/>
  <c r="F117" i="6"/>
  <c r="P116" i="6"/>
  <c r="F116" i="6"/>
  <c r="P115" i="6"/>
  <c r="F115" i="6"/>
  <c r="P114" i="6"/>
  <c r="F114" i="6"/>
  <c r="P113" i="6"/>
  <c r="F113" i="6"/>
  <c r="P112" i="6"/>
  <c r="F112" i="6"/>
  <c r="P111" i="6"/>
  <c r="F111" i="6"/>
  <c r="P110" i="6"/>
  <c r="F110" i="6"/>
  <c r="P109" i="6"/>
  <c r="L109" i="6"/>
  <c r="G109" i="6"/>
  <c r="F109" i="6"/>
  <c r="P108" i="6"/>
  <c r="L108" i="6"/>
  <c r="G108" i="6"/>
  <c r="F108" i="6"/>
  <c r="P107" i="6"/>
  <c r="L107" i="6"/>
  <c r="G107" i="6"/>
  <c r="F107" i="6"/>
  <c r="P106" i="6"/>
  <c r="L106" i="6"/>
  <c r="G106" i="6"/>
  <c r="F106" i="6"/>
  <c r="P105" i="6"/>
  <c r="F105" i="6"/>
  <c r="P104" i="6"/>
  <c r="F104" i="6"/>
  <c r="P103" i="6"/>
  <c r="F103" i="6"/>
  <c r="P102" i="6"/>
  <c r="F102" i="6"/>
  <c r="P101" i="6"/>
  <c r="F101" i="6"/>
  <c r="P100" i="6"/>
  <c r="F100" i="6"/>
  <c r="P99" i="6"/>
  <c r="F99" i="6"/>
  <c r="P98" i="6"/>
  <c r="F98" i="6"/>
  <c r="P97" i="6"/>
  <c r="F97" i="6"/>
  <c r="P96" i="6"/>
  <c r="F96" i="6"/>
  <c r="P95" i="6"/>
  <c r="F95" i="6"/>
  <c r="P94" i="6"/>
  <c r="F94" i="6"/>
  <c r="P93" i="6"/>
  <c r="F93" i="6"/>
  <c r="P92" i="6"/>
  <c r="F92" i="6"/>
  <c r="P91" i="6"/>
  <c r="F91" i="6"/>
  <c r="P90" i="6"/>
  <c r="F90" i="6"/>
  <c r="P89" i="6"/>
  <c r="F89" i="6"/>
  <c r="P88" i="6"/>
  <c r="F88" i="6"/>
  <c r="P87" i="6"/>
  <c r="F87" i="6"/>
  <c r="P86" i="6"/>
  <c r="F86" i="6"/>
  <c r="P85" i="6"/>
  <c r="F85" i="6"/>
  <c r="P84" i="6"/>
  <c r="F84" i="6"/>
  <c r="P83" i="6"/>
  <c r="F83" i="6"/>
  <c r="P82" i="6"/>
  <c r="F82" i="6"/>
  <c r="P81" i="6"/>
  <c r="F81" i="6"/>
  <c r="P80" i="6"/>
  <c r="F80" i="6"/>
  <c r="P79" i="6"/>
  <c r="F79" i="6"/>
  <c r="P78" i="6"/>
  <c r="L78" i="6"/>
  <c r="G78" i="6"/>
  <c r="F78" i="6"/>
  <c r="P77" i="6"/>
  <c r="L77" i="6"/>
  <c r="G77" i="6"/>
  <c r="F77" i="6"/>
  <c r="P76" i="6"/>
  <c r="L76" i="6"/>
  <c r="G76" i="6"/>
  <c r="F76" i="6"/>
  <c r="P75" i="6"/>
  <c r="L75" i="6"/>
  <c r="G75" i="6"/>
  <c r="F75" i="6"/>
  <c r="P74" i="6"/>
  <c r="L74" i="6"/>
  <c r="G74" i="6"/>
  <c r="F74" i="6"/>
  <c r="P73" i="6"/>
  <c r="L73" i="6"/>
  <c r="G73" i="6"/>
  <c r="F73" i="6"/>
  <c r="P72" i="6"/>
  <c r="L72" i="6"/>
  <c r="G72" i="6"/>
  <c r="F72" i="6"/>
  <c r="P71" i="6"/>
  <c r="L71" i="6"/>
  <c r="G71" i="6"/>
  <c r="F71" i="6"/>
  <c r="P70" i="6"/>
  <c r="L70" i="6"/>
  <c r="G70" i="6"/>
  <c r="F70" i="6"/>
  <c r="P69" i="6"/>
  <c r="L69" i="6"/>
  <c r="G69" i="6"/>
  <c r="F69" i="6"/>
  <c r="P68" i="6"/>
  <c r="L68" i="6"/>
  <c r="G68" i="6"/>
  <c r="F68" i="6"/>
  <c r="P67" i="6"/>
  <c r="L67" i="6"/>
  <c r="G67" i="6"/>
  <c r="F67" i="6"/>
  <c r="P66" i="6"/>
  <c r="L66" i="6"/>
  <c r="G66" i="6"/>
  <c r="F66" i="6"/>
  <c r="P65" i="6"/>
  <c r="L65" i="6"/>
  <c r="G65" i="6"/>
  <c r="F65" i="6"/>
  <c r="P64" i="6"/>
  <c r="L64" i="6"/>
  <c r="G64" i="6"/>
  <c r="F64" i="6"/>
  <c r="P63" i="6"/>
  <c r="L63" i="6"/>
  <c r="G63" i="6"/>
  <c r="F63" i="6"/>
  <c r="P62" i="6"/>
  <c r="L62" i="6"/>
  <c r="G62" i="6"/>
  <c r="F62" i="6"/>
  <c r="P61" i="6"/>
  <c r="L61" i="6"/>
  <c r="G61" i="6"/>
  <c r="F61" i="6"/>
  <c r="P60" i="6"/>
  <c r="L60" i="6"/>
  <c r="G60" i="6"/>
  <c r="F60" i="6"/>
  <c r="P59" i="6"/>
  <c r="L59" i="6"/>
  <c r="G59" i="6"/>
  <c r="F59" i="6"/>
  <c r="P58" i="6"/>
  <c r="F58" i="6"/>
  <c r="P57" i="6"/>
  <c r="F57" i="6"/>
  <c r="P56" i="6"/>
  <c r="F56" i="6"/>
  <c r="P55" i="6"/>
  <c r="F55" i="6"/>
  <c r="P54" i="6"/>
  <c r="F54" i="6"/>
  <c r="P53" i="6"/>
  <c r="F53" i="6"/>
  <c r="P52" i="6"/>
  <c r="F52" i="6"/>
  <c r="P51" i="6"/>
  <c r="F51" i="6"/>
  <c r="P50" i="6"/>
  <c r="F50" i="6"/>
  <c r="P49" i="6"/>
  <c r="F49" i="6"/>
  <c r="P48" i="6"/>
  <c r="F48" i="6"/>
  <c r="P47" i="6"/>
  <c r="F47" i="6"/>
  <c r="P46" i="6"/>
  <c r="F46" i="6"/>
  <c r="P45" i="6"/>
  <c r="F45" i="6"/>
  <c r="P44" i="6"/>
  <c r="F44" i="6"/>
  <c r="P43" i="6"/>
  <c r="F43" i="6"/>
  <c r="P42" i="6"/>
  <c r="F42" i="6"/>
  <c r="P41" i="6"/>
  <c r="F41" i="6"/>
  <c r="P40" i="6"/>
  <c r="F40" i="6"/>
  <c r="P39" i="6"/>
  <c r="F39" i="6"/>
  <c r="P38" i="6"/>
  <c r="F38" i="6"/>
  <c r="P37" i="6"/>
  <c r="F37" i="6"/>
  <c r="P36" i="6"/>
  <c r="F36" i="6"/>
  <c r="P35" i="6"/>
  <c r="F35" i="6"/>
  <c r="P34" i="6"/>
  <c r="F34" i="6"/>
  <c r="P33" i="6"/>
  <c r="F33" i="6"/>
  <c r="P32" i="6"/>
  <c r="F32" i="6"/>
  <c r="P31" i="6"/>
  <c r="F31" i="6"/>
  <c r="P30" i="6"/>
  <c r="F30" i="6"/>
  <c r="P29" i="6"/>
  <c r="F29" i="6"/>
  <c r="P28" i="6"/>
  <c r="F28" i="6"/>
  <c r="P27" i="6"/>
  <c r="F27" i="6"/>
  <c r="P26" i="6"/>
  <c r="F26" i="6"/>
  <c r="P25" i="6"/>
  <c r="F25" i="6"/>
  <c r="P24" i="6"/>
  <c r="F24" i="6"/>
  <c r="P23" i="6"/>
  <c r="F23" i="6"/>
  <c r="P22" i="6"/>
  <c r="F22" i="6"/>
  <c r="P21" i="6"/>
  <c r="F21" i="6"/>
  <c r="P20" i="6"/>
  <c r="F20" i="6"/>
  <c r="P19" i="6"/>
  <c r="F19" i="6"/>
  <c r="P18" i="6"/>
  <c r="F18" i="6"/>
  <c r="P17" i="6"/>
  <c r="F17" i="6"/>
  <c r="P16" i="6"/>
  <c r="F16" i="6"/>
  <c r="P15" i="6"/>
  <c r="F15" i="6"/>
  <c r="P14" i="6"/>
  <c r="F14" i="6"/>
  <c r="P13" i="6"/>
  <c r="F13" i="6"/>
  <c r="P12" i="6"/>
  <c r="F12" i="6"/>
  <c r="P11" i="6"/>
  <c r="F11" i="6"/>
  <c r="P10" i="6"/>
  <c r="F10" i="6"/>
  <c r="P9" i="6"/>
  <c r="F9" i="6"/>
  <c r="P8" i="6"/>
  <c r="F8" i="6"/>
  <c r="P7" i="6"/>
  <c r="F7" i="6"/>
  <c r="P6" i="6"/>
  <c r="F6" i="6"/>
  <c r="P5" i="6"/>
  <c r="F5" i="6"/>
  <c r="P4" i="6"/>
  <c r="F4" i="6"/>
  <c r="P3" i="6"/>
  <c r="F3" i="6"/>
  <c r="D20" i="4"/>
  <c r="Y177" i="3"/>
  <c r="W177" i="3"/>
  <c r="Y176" i="3"/>
  <c r="W176" i="3"/>
  <c r="Y175" i="3"/>
  <c r="W175" i="3"/>
  <c r="Y174" i="3"/>
  <c r="W174" i="3"/>
  <c r="Y173" i="3"/>
  <c r="W173" i="3"/>
  <c r="Y172" i="3"/>
  <c r="W172" i="3"/>
  <c r="Y171" i="3"/>
  <c r="W171" i="3"/>
  <c r="Y170" i="3"/>
  <c r="W170" i="3"/>
  <c r="Y169" i="3"/>
  <c r="W169" i="3"/>
  <c r="Y168" i="3"/>
  <c r="W168" i="3"/>
  <c r="Y167" i="3"/>
  <c r="W167" i="3"/>
  <c r="Y166" i="3"/>
  <c r="W166" i="3"/>
  <c r="Y165" i="3"/>
  <c r="W165" i="3"/>
  <c r="Y164" i="3"/>
  <c r="W164" i="3"/>
  <c r="Y163" i="3"/>
  <c r="W163" i="3"/>
  <c r="Y162" i="3"/>
  <c r="W162" i="3"/>
  <c r="Y161" i="3"/>
  <c r="W161" i="3"/>
  <c r="Y160" i="3"/>
  <c r="W160" i="3"/>
  <c r="Y159" i="3"/>
  <c r="W159" i="3"/>
  <c r="Y158" i="3"/>
  <c r="W158" i="3"/>
  <c r="Y157" i="3"/>
  <c r="W157" i="3"/>
  <c r="Y156" i="3"/>
  <c r="W156" i="3"/>
  <c r="Y155" i="3"/>
  <c r="W155" i="3"/>
  <c r="Y154" i="3"/>
  <c r="W154" i="3"/>
  <c r="Y153" i="3"/>
  <c r="W153" i="3"/>
  <c r="Y152" i="3"/>
  <c r="W152" i="3"/>
  <c r="Y151" i="3"/>
  <c r="W151" i="3"/>
  <c r="Y150" i="3"/>
  <c r="W150" i="3"/>
  <c r="Y149" i="3"/>
  <c r="W149" i="3"/>
  <c r="Y148" i="3"/>
  <c r="W148" i="3"/>
  <c r="Y147" i="3"/>
  <c r="W147" i="3"/>
  <c r="Y146" i="3"/>
  <c r="W146" i="3"/>
  <c r="Y145" i="3"/>
  <c r="W145" i="3"/>
  <c r="Y144" i="3"/>
  <c r="W144" i="3"/>
  <c r="Y143" i="3"/>
  <c r="W143" i="3"/>
  <c r="Y142" i="3"/>
  <c r="W142" i="3"/>
  <c r="Y141" i="3"/>
  <c r="W141" i="3"/>
  <c r="Y140" i="3"/>
  <c r="W140" i="3"/>
  <c r="Y139" i="3"/>
  <c r="W139" i="3"/>
  <c r="Y138" i="3"/>
  <c r="W138" i="3"/>
  <c r="Y137" i="3"/>
  <c r="W137" i="3"/>
  <c r="Y136" i="3"/>
  <c r="W136" i="3"/>
  <c r="Y135" i="3"/>
  <c r="W135" i="3"/>
  <c r="Y134" i="3"/>
  <c r="W134" i="3"/>
  <c r="Y133" i="3"/>
  <c r="W133" i="3"/>
  <c r="Y132" i="3"/>
  <c r="W132" i="3"/>
  <c r="Y131" i="3"/>
  <c r="W131" i="3"/>
  <c r="Y130" i="3"/>
  <c r="W130" i="3"/>
  <c r="Y129" i="3"/>
  <c r="W129" i="3"/>
  <c r="Y128" i="3"/>
  <c r="W128" i="3"/>
  <c r="Y127" i="3"/>
  <c r="W127" i="3"/>
  <c r="Y126" i="3"/>
  <c r="W126" i="3"/>
  <c r="Y125" i="3"/>
  <c r="W125" i="3"/>
  <c r="Y124" i="3"/>
  <c r="W124" i="3"/>
  <c r="Y123" i="3"/>
  <c r="W123" i="3"/>
  <c r="Y122" i="3"/>
  <c r="W122" i="3"/>
  <c r="Y121" i="3"/>
  <c r="W121" i="3"/>
  <c r="Y120" i="3"/>
  <c r="W120" i="3"/>
  <c r="Y119" i="3"/>
  <c r="W119" i="3"/>
  <c r="Y118" i="3"/>
  <c r="W118" i="3"/>
  <c r="Y117" i="3"/>
  <c r="W117" i="3"/>
  <c r="Y116" i="3"/>
  <c r="W116" i="3"/>
  <c r="Y115" i="3"/>
  <c r="W115" i="3"/>
  <c r="Y114" i="3"/>
  <c r="W114" i="3"/>
  <c r="Y113" i="3"/>
  <c r="W113" i="3"/>
  <c r="Y112" i="3"/>
  <c r="W112" i="3"/>
  <c r="Y111" i="3"/>
  <c r="W111" i="3"/>
  <c r="Y110" i="3"/>
  <c r="W110" i="3"/>
  <c r="Y109" i="3"/>
  <c r="W109" i="3"/>
  <c r="Y108" i="3"/>
  <c r="W108" i="3"/>
  <c r="Y107" i="3"/>
  <c r="W107" i="3"/>
  <c r="Y106" i="3"/>
  <c r="W106" i="3"/>
  <c r="Y105" i="3"/>
  <c r="W105" i="3"/>
  <c r="Y104" i="3"/>
  <c r="W104" i="3"/>
  <c r="Y103" i="3"/>
  <c r="W103" i="3"/>
  <c r="Y102" i="3"/>
  <c r="W102" i="3"/>
  <c r="Y101" i="3"/>
  <c r="W101" i="3"/>
  <c r="Y100" i="3"/>
  <c r="W100" i="3"/>
  <c r="Y99" i="3"/>
  <c r="W99" i="3"/>
  <c r="Y98" i="3"/>
  <c r="W98" i="3"/>
  <c r="Y97" i="3"/>
  <c r="W97" i="3"/>
  <c r="Y96" i="3"/>
  <c r="W96" i="3"/>
  <c r="Y95" i="3"/>
  <c r="W95" i="3"/>
  <c r="Y94" i="3"/>
  <c r="W94" i="3"/>
  <c r="Y93" i="3"/>
  <c r="W93" i="3"/>
  <c r="Y92" i="3"/>
  <c r="W92" i="3"/>
  <c r="Y91" i="3"/>
  <c r="W91" i="3"/>
  <c r="Y90" i="3"/>
  <c r="W90" i="3"/>
  <c r="Y89" i="3"/>
  <c r="W89" i="3"/>
  <c r="Y88" i="3"/>
  <c r="W88" i="3"/>
  <c r="Y87" i="3"/>
  <c r="W87" i="3"/>
  <c r="Y86" i="3"/>
  <c r="W86" i="3"/>
  <c r="Y85" i="3"/>
  <c r="W85" i="3"/>
  <c r="Y84" i="3"/>
  <c r="W84" i="3"/>
  <c r="Y83" i="3"/>
  <c r="W83" i="3"/>
  <c r="Y82" i="3"/>
  <c r="W82" i="3"/>
  <c r="Y81" i="3"/>
  <c r="W81" i="3"/>
  <c r="Y80" i="3"/>
  <c r="W80" i="3"/>
  <c r="Y79" i="3"/>
  <c r="W79" i="3"/>
  <c r="Y78" i="3"/>
  <c r="W78" i="3"/>
  <c r="Y77" i="3"/>
  <c r="W77" i="3"/>
  <c r="Y76" i="3"/>
  <c r="W76" i="3"/>
  <c r="Y75" i="3"/>
  <c r="W75" i="3"/>
  <c r="Y74" i="3"/>
  <c r="W74" i="3"/>
  <c r="Y73" i="3"/>
  <c r="W73" i="3"/>
  <c r="Y72" i="3"/>
  <c r="W72" i="3"/>
  <c r="Y71" i="3"/>
  <c r="W71" i="3"/>
  <c r="Y70" i="3"/>
  <c r="W70" i="3"/>
  <c r="Y69" i="3"/>
  <c r="W69" i="3"/>
  <c r="Y68" i="3"/>
  <c r="W68" i="3"/>
  <c r="Y67" i="3"/>
  <c r="W67" i="3"/>
  <c r="Y66" i="3"/>
  <c r="W66" i="3"/>
  <c r="Y65" i="3"/>
  <c r="W65" i="3"/>
  <c r="Y64" i="3"/>
  <c r="W64" i="3"/>
  <c r="Y63" i="3"/>
  <c r="W63" i="3"/>
  <c r="Y62" i="3"/>
  <c r="W62" i="3"/>
  <c r="Y61" i="3"/>
  <c r="W61" i="3"/>
  <c r="Y60" i="3"/>
  <c r="W60" i="3"/>
  <c r="Y59" i="3"/>
  <c r="W59" i="3"/>
  <c r="Y58" i="3"/>
  <c r="W58" i="3"/>
  <c r="Y57" i="3"/>
  <c r="W57" i="3"/>
  <c r="Y56" i="3"/>
  <c r="W56" i="3"/>
  <c r="Y55" i="3"/>
  <c r="W55" i="3"/>
  <c r="Y54" i="3"/>
  <c r="W54" i="3"/>
  <c r="Y53" i="3"/>
  <c r="W53" i="3"/>
  <c r="Y52" i="3"/>
  <c r="W52" i="3"/>
  <c r="Y51" i="3"/>
  <c r="W51" i="3"/>
  <c r="Y50" i="3"/>
  <c r="W50" i="3"/>
  <c r="Y49" i="3"/>
  <c r="W49" i="3"/>
  <c r="Y48" i="3"/>
  <c r="W48" i="3"/>
  <c r="Y47" i="3"/>
  <c r="W47" i="3"/>
  <c r="Y46" i="3"/>
  <c r="W46" i="3"/>
  <c r="Y45" i="3"/>
  <c r="W45" i="3"/>
  <c r="Y44" i="3"/>
  <c r="W44" i="3"/>
  <c r="Y43" i="3"/>
  <c r="W43" i="3"/>
  <c r="Y42" i="3"/>
  <c r="W42" i="3"/>
  <c r="Y41" i="3"/>
  <c r="W41" i="3"/>
  <c r="Y40" i="3"/>
  <c r="W40" i="3"/>
  <c r="Y39" i="3"/>
  <c r="W39" i="3"/>
  <c r="Y38" i="3"/>
  <c r="W38" i="3"/>
  <c r="Y37" i="3"/>
  <c r="W37" i="3"/>
  <c r="Y36" i="3"/>
  <c r="W36" i="3"/>
  <c r="Y35" i="3"/>
  <c r="W35" i="3"/>
  <c r="Y34" i="3"/>
  <c r="W34" i="3"/>
  <c r="Y33" i="3"/>
  <c r="W33" i="3"/>
  <c r="Y32" i="3"/>
  <c r="W32" i="3"/>
  <c r="Y31" i="3"/>
  <c r="W31" i="3"/>
  <c r="Y30" i="3"/>
  <c r="W30" i="3"/>
  <c r="Y29" i="3"/>
  <c r="W29" i="3"/>
  <c r="Y28" i="3"/>
  <c r="W28" i="3"/>
  <c r="Y27" i="3"/>
  <c r="W27" i="3"/>
  <c r="Y26" i="3"/>
  <c r="W26" i="3"/>
  <c r="Y25" i="3"/>
  <c r="W25" i="3"/>
  <c r="Y24" i="3"/>
  <c r="W24" i="3"/>
  <c r="Y23" i="3"/>
  <c r="W23" i="3"/>
  <c r="Y22" i="3"/>
  <c r="W22" i="3"/>
  <c r="Y21" i="3"/>
  <c r="W21" i="3"/>
  <c r="Y20" i="3"/>
  <c r="W20" i="3"/>
  <c r="Y19" i="3"/>
  <c r="W19" i="3"/>
  <c r="Y18" i="3"/>
  <c r="W18" i="3"/>
  <c r="Y17" i="3"/>
  <c r="W17" i="3"/>
  <c r="Y16" i="3"/>
  <c r="W16" i="3"/>
  <c r="Y15" i="3"/>
  <c r="W15" i="3"/>
  <c r="Y14" i="3"/>
  <c r="W14" i="3"/>
  <c r="Y13" i="3"/>
  <c r="W13" i="3"/>
  <c r="Y12" i="3"/>
  <c r="W12" i="3"/>
  <c r="Y11" i="3"/>
  <c r="W11" i="3"/>
  <c r="Y10" i="3"/>
  <c r="W10" i="3"/>
  <c r="Y9" i="3"/>
  <c r="W9" i="3"/>
  <c r="Y8" i="3"/>
  <c r="W8" i="3"/>
  <c r="Y7" i="3"/>
  <c r="W7" i="3"/>
  <c r="Y6" i="3"/>
  <c r="W6" i="3"/>
  <c r="Y5" i="3"/>
  <c r="W5" i="3"/>
  <c r="Y4" i="3"/>
  <c r="W4" i="3"/>
  <c r="AO176" i="5"/>
  <c r="AJ177" i="3" s="1"/>
  <c r="O176" i="5"/>
  <c r="X177" i="3" s="1"/>
  <c r="M176" i="5"/>
  <c r="AO175" i="5"/>
  <c r="AJ176" i="3" s="1"/>
  <c r="O175" i="5"/>
  <c r="X176" i="3" s="1"/>
  <c r="M175" i="5"/>
  <c r="AO174" i="5"/>
  <c r="AJ175" i="3" s="1"/>
  <c r="O174" i="5"/>
  <c r="X175" i="3" s="1"/>
  <c r="M174" i="5"/>
  <c r="AO173" i="5"/>
  <c r="AJ174" i="3" s="1"/>
  <c r="O173" i="5"/>
  <c r="X174" i="3" s="1"/>
  <c r="M173" i="5"/>
  <c r="AO172" i="5"/>
  <c r="AJ173" i="3" s="1"/>
  <c r="O172" i="5"/>
  <c r="X173" i="3" s="1"/>
  <c r="M172" i="5"/>
  <c r="AO171" i="5"/>
  <c r="AJ172" i="3" s="1"/>
  <c r="O171" i="5"/>
  <c r="X172" i="3" s="1"/>
  <c r="M171" i="5"/>
  <c r="AO170" i="5"/>
  <c r="AJ171" i="3" s="1"/>
  <c r="O170" i="5"/>
  <c r="X171" i="3" s="1"/>
  <c r="M170" i="5"/>
  <c r="AO169" i="5"/>
  <c r="AJ170" i="3" s="1"/>
  <c r="O169" i="5"/>
  <c r="X170" i="3" s="1"/>
  <c r="M169" i="5"/>
  <c r="AO168" i="5"/>
  <c r="AJ169" i="3" s="1"/>
  <c r="O168" i="5"/>
  <c r="X169" i="3" s="1"/>
  <c r="M168" i="5"/>
  <c r="AO167" i="5"/>
  <c r="AJ168" i="3" s="1"/>
  <c r="O167" i="5"/>
  <c r="X168" i="3" s="1"/>
  <c r="M167" i="5"/>
  <c r="AO166" i="5"/>
  <c r="AJ167" i="3" s="1"/>
  <c r="O166" i="5"/>
  <c r="X167" i="3" s="1"/>
  <c r="M166" i="5"/>
  <c r="AO165" i="5"/>
  <c r="AJ166" i="3" s="1"/>
  <c r="O165" i="5"/>
  <c r="X166" i="3" s="1"/>
  <c r="M165" i="5"/>
  <c r="AO164" i="5"/>
  <c r="AJ165" i="3" s="1"/>
  <c r="O164" i="5"/>
  <c r="X165" i="3" s="1"/>
  <c r="M164" i="5"/>
  <c r="AO163" i="5"/>
  <c r="AJ164" i="3" s="1"/>
  <c r="O163" i="5"/>
  <c r="X164" i="3" s="1"/>
  <c r="M163" i="5"/>
  <c r="AO162" i="5"/>
  <c r="AJ163" i="3" s="1"/>
  <c r="O162" i="5"/>
  <c r="X163" i="3" s="1"/>
  <c r="M162" i="5"/>
  <c r="AO161" i="5"/>
  <c r="AJ162" i="3" s="1"/>
  <c r="O161" i="5"/>
  <c r="X162" i="3" s="1"/>
  <c r="M161" i="5"/>
  <c r="AO160" i="5"/>
  <c r="AJ161" i="3" s="1"/>
  <c r="O160" i="5"/>
  <c r="X161" i="3" s="1"/>
  <c r="M160" i="5"/>
  <c r="AO159" i="5"/>
  <c r="AJ160" i="3" s="1"/>
  <c r="O159" i="5"/>
  <c r="X160" i="3" s="1"/>
  <c r="M159" i="5"/>
  <c r="AO158" i="5"/>
  <c r="AJ159" i="3" s="1"/>
  <c r="O158" i="5"/>
  <c r="X159" i="3" s="1"/>
  <c r="M158" i="5"/>
  <c r="AO157" i="5"/>
  <c r="AJ158" i="3" s="1"/>
  <c r="O157" i="5"/>
  <c r="X158" i="3" s="1"/>
  <c r="M157" i="5"/>
  <c r="AO156" i="5"/>
  <c r="AJ157" i="3" s="1"/>
  <c r="O156" i="5"/>
  <c r="X157" i="3" s="1"/>
  <c r="M156" i="5"/>
  <c r="AO155" i="5"/>
  <c r="AJ156" i="3" s="1"/>
  <c r="O155" i="5"/>
  <c r="X156" i="3" s="1"/>
  <c r="M155" i="5"/>
  <c r="AO154" i="5"/>
  <c r="AJ155" i="3" s="1"/>
  <c r="O154" i="5"/>
  <c r="X155" i="3" s="1"/>
  <c r="M154" i="5"/>
  <c r="AO153" i="5"/>
  <c r="AJ154" i="3" s="1"/>
  <c r="O153" i="5"/>
  <c r="X154" i="3" s="1"/>
  <c r="M153" i="5"/>
  <c r="AO152" i="5"/>
  <c r="AJ153" i="3" s="1"/>
  <c r="O152" i="5"/>
  <c r="X153" i="3" s="1"/>
  <c r="M152" i="5"/>
  <c r="AO151" i="5"/>
  <c r="AJ152" i="3" s="1"/>
  <c r="O151" i="5"/>
  <c r="X152" i="3" s="1"/>
  <c r="M151" i="5"/>
  <c r="AO150" i="5"/>
  <c r="AJ151" i="3" s="1"/>
  <c r="O150" i="5"/>
  <c r="X151" i="3" s="1"/>
  <c r="M150" i="5"/>
  <c r="AO149" i="5"/>
  <c r="AJ150" i="3" s="1"/>
  <c r="O149" i="5"/>
  <c r="X150" i="3" s="1"/>
  <c r="M149" i="5"/>
  <c r="AO148" i="5"/>
  <c r="AJ149" i="3" s="1"/>
  <c r="O148" i="5"/>
  <c r="X149" i="3" s="1"/>
  <c r="M148" i="5"/>
  <c r="AO147" i="5"/>
  <c r="AJ148" i="3" s="1"/>
  <c r="O147" i="5"/>
  <c r="X148" i="3" s="1"/>
  <c r="M147" i="5"/>
  <c r="AO146" i="5"/>
  <c r="AJ147" i="3" s="1"/>
  <c r="O146" i="5"/>
  <c r="X147" i="3" s="1"/>
  <c r="M146" i="5"/>
  <c r="AO145" i="5"/>
  <c r="AJ146" i="3" s="1"/>
  <c r="O145" i="5"/>
  <c r="X146" i="3" s="1"/>
  <c r="M145" i="5"/>
  <c r="AO144" i="5"/>
  <c r="AJ145" i="3" s="1"/>
  <c r="O144" i="5"/>
  <c r="X145" i="3" s="1"/>
  <c r="M144" i="5"/>
  <c r="AO143" i="5"/>
  <c r="AJ144" i="3" s="1"/>
  <c r="O143" i="5"/>
  <c r="X144" i="3" s="1"/>
  <c r="M143" i="5"/>
  <c r="AO142" i="5"/>
  <c r="AJ143" i="3" s="1"/>
  <c r="O142" i="5"/>
  <c r="X143" i="3" s="1"/>
  <c r="M142" i="5"/>
  <c r="AO141" i="5"/>
  <c r="AJ142" i="3" s="1"/>
  <c r="O141" i="5"/>
  <c r="X142" i="3" s="1"/>
  <c r="M141" i="5"/>
  <c r="AO140" i="5"/>
  <c r="AJ141" i="3" s="1"/>
  <c r="O140" i="5"/>
  <c r="X141" i="3" s="1"/>
  <c r="M140" i="5"/>
  <c r="AO139" i="5"/>
  <c r="AJ140" i="3" s="1"/>
  <c r="O139" i="5"/>
  <c r="X140" i="3" s="1"/>
  <c r="M139" i="5"/>
  <c r="AO138" i="5"/>
  <c r="AJ139" i="3" s="1"/>
  <c r="O138" i="5"/>
  <c r="X139" i="3" s="1"/>
  <c r="M138" i="5"/>
  <c r="AO137" i="5"/>
  <c r="AJ138" i="3" s="1"/>
  <c r="O137" i="5"/>
  <c r="X138" i="3" s="1"/>
  <c r="M137" i="5"/>
  <c r="AO136" i="5"/>
  <c r="AJ137" i="3" s="1"/>
  <c r="O136" i="5"/>
  <c r="X137" i="3" s="1"/>
  <c r="M136" i="5"/>
  <c r="AO135" i="5"/>
  <c r="AJ136" i="3" s="1"/>
  <c r="O135" i="5"/>
  <c r="X136" i="3" s="1"/>
  <c r="M135" i="5"/>
  <c r="AO134" i="5"/>
  <c r="AJ135" i="3" s="1"/>
  <c r="O134" i="5"/>
  <c r="X135" i="3" s="1"/>
  <c r="M134" i="5"/>
  <c r="AO133" i="5"/>
  <c r="AJ134" i="3" s="1"/>
  <c r="O133" i="5"/>
  <c r="X134" i="3" s="1"/>
  <c r="M133" i="5"/>
  <c r="AO132" i="5"/>
  <c r="AJ133" i="3" s="1"/>
  <c r="O132" i="5"/>
  <c r="X133" i="3" s="1"/>
  <c r="M132" i="5"/>
  <c r="AO131" i="5"/>
  <c r="AJ132" i="3" s="1"/>
  <c r="O131" i="5"/>
  <c r="X132" i="3" s="1"/>
  <c r="M131" i="5"/>
  <c r="AO130" i="5"/>
  <c r="AJ131" i="3" s="1"/>
  <c r="O130" i="5"/>
  <c r="M130" i="5"/>
  <c r="G130" i="6" s="1"/>
  <c r="AO129" i="5"/>
  <c r="AJ130" i="3" s="1"/>
  <c r="O129" i="5"/>
  <c r="M129" i="5"/>
  <c r="AO128" i="5"/>
  <c r="AJ129" i="3" s="1"/>
  <c r="O128" i="5"/>
  <c r="X129" i="3" s="1"/>
  <c r="M128" i="5"/>
  <c r="AO127" i="5"/>
  <c r="AJ128" i="3" s="1"/>
  <c r="O127" i="5"/>
  <c r="X128" i="3" s="1"/>
  <c r="M127" i="5"/>
  <c r="AO126" i="5"/>
  <c r="AJ127" i="3" s="1"/>
  <c r="O126" i="5"/>
  <c r="X127" i="3" s="1"/>
  <c r="M126" i="5"/>
  <c r="AO125" i="5"/>
  <c r="AJ126" i="3" s="1"/>
  <c r="O125" i="5"/>
  <c r="X126" i="3" s="1"/>
  <c r="M125" i="5"/>
  <c r="AO124" i="5"/>
  <c r="AJ125" i="3" s="1"/>
  <c r="O124" i="5"/>
  <c r="X125" i="3" s="1"/>
  <c r="M124" i="5"/>
  <c r="AO123" i="5"/>
  <c r="AJ124" i="3" s="1"/>
  <c r="O123" i="5"/>
  <c r="X124" i="3" s="1"/>
  <c r="M123" i="5"/>
  <c r="AO122" i="5"/>
  <c r="AJ123" i="3" s="1"/>
  <c r="O122" i="5"/>
  <c r="X123" i="3" s="1"/>
  <c r="M122" i="5"/>
  <c r="AO121" i="5"/>
  <c r="AJ122" i="3" s="1"/>
  <c r="O121" i="5"/>
  <c r="X122" i="3" s="1"/>
  <c r="M121" i="5"/>
  <c r="AO120" i="5"/>
  <c r="AJ121" i="3" s="1"/>
  <c r="O120" i="5"/>
  <c r="X121" i="3" s="1"/>
  <c r="M120" i="5"/>
  <c r="AO119" i="5"/>
  <c r="AJ120" i="3" s="1"/>
  <c r="O119" i="5"/>
  <c r="X120" i="3" s="1"/>
  <c r="M119" i="5"/>
  <c r="AO118" i="5"/>
  <c r="AJ119" i="3" s="1"/>
  <c r="O118" i="5"/>
  <c r="M118" i="5"/>
  <c r="AO117" i="5"/>
  <c r="AJ118" i="3" s="1"/>
  <c r="O117" i="5"/>
  <c r="X118" i="3" s="1"/>
  <c r="M117" i="5"/>
  <c r="AO116" i="5"/>
  <c r="AJ117" i="3" s="1"/>
  <c r="O116" i="5"/>
  <c r="X117" i="3" s="1"/>
  <c r="M116" i="5"/>
  <c r="AO115" i="5"/>
  <c r="AJ116" i="3" s="1"/>
  <c r="O115" i="5"/>
  <c r="X116" i="3" s="1"/>
  <c r="M115" i="5"/>
  <c r="AO114" i="5"/>
  <c r="AJ115" i="3" s="1"/>
  <c r="O114" i="5"/>
  <c r="X115" i="3" s="1"/>
  <c r="M114" i="5"/>
  <c r="AO113" i="5"/>
  <c r="AJ114" i="3" s="1"/>
  <c r="O113" i="5"/>
  <c r="X114" i="3" s="1"/>
  <c r="M113" i="5"/>
  <c r="AO112" i="5"/>
  <c r="AJ113" i="3" s="1"/>
  <c r="O112" i="5"/>
  <c r="X113" i="3" s="1"/>
  <c r="M112" i="5"/>
  <c r="AO111" i="5"/>
  <c r="AJ112" i="3" s="1"/>
  <c r="O111" i="5"/>
  <c r="X112" i="3" s="1"/>
  <c r="M111" i="5"/>
  <c r="AO110" i="5"/>
  <c r="AJ111" i="3" s="1"/>
  <c r="O110" i="5"/>
  <c r="M110" i="5"/>
  <c r="AO109" i="5"/>
  <c r="AJ110" i="3" s="1"/>
  <c r="O109" i="5"/>
  <c r="X110" i="3" s="1"/>
  <c r="M109" i="5"/>
  <c r="AO108" i="5"/>
  <c r="AJ109" i="3" s="1"/>
  <c r="O108" i="5"/>
  <c r="X109" i="3" s="1"/>
  <c r="M108" i="5"/>
  <c r="AO107" i="5"/>
  <c r="AJ108" i="3" s="1"/>
  <c r="O107" i="5"/>
  <c r="X108" i="3" s="1"/>
  <c r="M107" i="5"/>
  <c r="AO106" i="5"/>
  <c r="AJ107" i="3" s="1"/>
  <c r="O106" i="5"/>
  <c r="X107" i="3" s="1"/>
  <c r="M106" i="5"/>
  <c r="AO105" i="5"/>
  <c r="AJ106" i="3" s="1"/>
  <c r="O105" i="5"/>
  <c r="X106" i="3" s="1"/>
  <c r="M105" i="5"/>
  <c r="AO104" i="5"/>
  <c r="AJ105" i="3" s="1"/>
  <c r="O104" i="5"/>
  <c r="X105" i="3" s="1"/>
  <c r="M104" i="5"/>
  <c r="AO103" i="5"/>
  <c r="AJ104" i="3" s="1"/>
  <c r="O103" i="5"/>
  <c r="X104" i="3" s="1"/>
  <c r="M103" i="5"/>
  <c r="AO102" i="5"/>
  <c r="AJ103" i="3" s="1"/>
  <c r="O102" i="5"/>
  <c r="X103" i="3" s="1"/>
  <c r="M102" i="5"/>
  <c r="AO101" i="5"/>
  <c r="AJ102" i="3" s="1"/>
  <c r="O101" i="5"/>
  <c r="X102" i="3" s="1"/>
  <c r="M101" i="5"/>
  <c r="AO100" i="5"/>
  <c r="AJ101" i="3" s="1"/>
  <c r="O100" i="5"/>
  <c r="X101" i="3" s="1"/>
  <c r="M100" i="5"/>
  <c r="AO99" i="5"/>
  <c r="AJ100" i="3" s="1"/>
  <c r="O99" i="5"/>
  <c r="X100" i="3" s="1"/>
  <c r="M99" i="5"/>
  <c r="AO98" i="5"/>
  <c r="AJ99" i="3" s="1"/>
  <c r="O98" i="5"/>
  <c r="X99" i="3" s="1"/>
  <c r="M98" i="5"/>
  <c r="AO97" i="5"/>
  <c r="AJ98" i="3" s="1"/>
  <c r="O97" i="5"/>
  <c r="X98" i="3" s="1"/>
  <c r="M97" i="5"/>
  <c r="AO96" i="5"/>
  <c r="AJ97" i="3" s="1"/>
  <c r="O96" i="5"/>
  <c r="X97" i="3" s="1"/>
  <c r="M96" i="5"/>
  <c r="AO95" i="5"/>
  <c r="AJ96" i="3" s="1"/>
  <c r="O95" i="5"/>
  <c r="X96" i="3" s="1"/>
  <c r="M95" i="5"/>
  <c r="AO94" i="5"/>
  <c r="AJ95" i="3" s="1"/>
  <c r="O94" i="5"/>
  <c r="X95" i="3" s="1"/>
  <c r="M94" i="5"/>
  <c r="AO93" i="5"/>
  <c r="AJ94" i="3" s="1"/>
  <c r="O93" i="5"/>
  <c r="X94" i="3" s="1"/>
  <c r="M93" i="5"/>
  <c r="AO92" i="5"/>
  <c r="AJ93" i="3" s="1"/>
  <c r="O92" i="5"/>
  <c r="X93" i="3" s="1"/>
  <c r="M92" i="5"/>
  <c r="AO91" i="5"/>
  <c r="AJ92" i="3" s="1"/>
  <c r="O91" i="5"/>
  <c r="X92" i="3" s="1"/>
  <c r="M91" i="5"/>
  <c r="AO90" i="5"/>
  <c r="AJ91" i="3" s="1"/>
  <c r="O90" i="5"/>
  <c r="X91" i="3" s="1"/>
  <c r="M90" i="5"/>
  <c r="AO89" i="5"/>
  <c r="AJ90" i="3" s="1"/>
  <c r="O89" i="5"/>
  <c r="X90" i="3" s="1"/>
  <c r="M89" i="5"/>
  <c r="AO88" i="5"/>
  <c r="AJ89" i="3" s="1"/>
  <c r="O88" i="5"/>
  <c r="X89" i="3" s="1"/>
  <c r="M88" i="5"/>
  <c r="AO87" i="5"/>
  <c r="AJ88" i="3" s="1"/>
  <c r="O87" i="5"/>
  <c r="X88" i="3" s="1"/>
  <c r="M87" i="5"/>
  <c r="AO86" i="5"/>
  <c r="AJ87" i="3" s="1"/>
  <c r="O86" i="5"/>
  <c r="X87" i="3" s="1"/>
  <c r="M86" i="5"/>
  <c r="AO85" i="5"/>
  <c r="AJ86" i="3" s="1"/>
  <c r="O85" i="5"/>
  <c r="X86" i="3" s="1"/>
  <c r="M85" i="5"/>
  <c r="AO84" i="5"/>
  <c r="AJ85" i="3" s="1"/>
  <c r="O84" i="5"/>
  <c r="M84" i="5"/>
  <c r="AO83" i="5"/>
  <c r="AJ84" i="3" s="1"/>
  <c r="O83" i="5"/>
  <c r="M83" i="5"/>
  <c r="AO82" i="5"/>
  <c r="AJ83" i="3" s="1"/>
  <c r="O82" i="5"/>
  <c r="M82" i="5"/>
  <c r="AO81" i="5"/>
  <c r="AJ82" i="3" s="1"/>
  <c r="O81" i="5"/>
  <c r="M81" i="5"/>
  <c r="AO80" i="5"/>
  <c r="AJ81" i="3" s="1"/>
  <c r="O80" i="5"/>
  <c r="M80" i="5"/>
  <c r="AO79" i="5"/>
  <c r="AJ80" i="3" s="1"/>
  <c r="O79" i="5"/>
  <c r="M79" i="5"/>
  <c r="AO78" i="5"/>
  <c r="AJ79" i="3" s="1"/>
  <c r="O78" i="5"/>
  <c r="X79" i="3" s="1"/>
  <c r="M78" i="5"/>
  <c r="AO77" i="5"/>
  <c r="AJ78" i="3" s="1"/>
  <c r="O77" i="5"/>
  <c r="X78" i="3" s="1"/>
  <c r="M77" i="5"/>
  <c r="AO76" i="5"/>
  <c r="AJ77" i="3" s="1"/>
  <c r="O76" i="5"/>
  <c r="X77" i="3" s="1"/>
  <c r="M76" i="5"/>
  <c r="AO75" i="5"/>
  <c r="AJ76" i="3" s="1"/>
  <c r="O75" i="5"/>
  <c r="X76" i="3" s="1"/>
  <c r="M75" i="5"/>
  <c r="AO74" i="5"/>
  <c r="AJ75" i="3" s="1"/>
  <c r="O74" i="5"/>
  <c r="X75" i="3" s="1"/>
  <c r="M74" i="5"/>
  <c r="AO73" i="5"/>
  <c r="AJ74" i="3" s="1"/>
  <c r="O73" i="5"/>
  <c r="X74" i="3" s="1"/>
  <c r="M73" i="5"/>
  <c r="AO72" i="5"/>
  <c r="AJ73" i="3" s="1"/>
  <c r="O72" i="5"/>
  <c r="X73" i="3" s="1"/>
  <c r="M72" i="5"/>
  <c r="AO71" i="5"/>
  <c r="AJ72" i="3" s="1"/>
  <c r="O71" i="5"/>
  <c r="X72" i="3" s="1"/>
  <c r="M71" i="5"/>
  <c r="AO70" i="5"/>
  <c r="AJ71" i="3" s="1"/>
  <c r="O70" i="5"/>
  <c r="X71" i="3" s="1"/>
  <c r="M70" i="5"/>
  <c r="AO69" i="5"/>
  <c r="AJ70" i="3" s="1"/>
  <c r="O69" i="5"/>
  <c r="X70" i="3" s="1"/>
  <c r="M69" i="5"/>
  <c r="AO68" i="5"/>
  <c r="AJ69" i="3" s="1"/>
  <c r="O68" i="5"/>
  <c r="X69" i="3" s="1"/>
  <c r="M68" i="5"/>
  <c r="AO67" i="5"/>
  <c r="AJ68" i="3" s="1"/>
  <c r="O67" i="5"/>
  <c r="X68" i="3" s="1"/>
  <c r="M67" i="5"/>
  <c r="AO66" i="5"/>
  <c r="AJ67" i="3" s="1"/>
  <c r="O66" i="5"/>
  <c r="X67" i="3" s="1"/>
  <c r="M66" i="5"/>
  <c r="AO65" i="5"/>
  <c r="AJ66" i="3" s="1"/>
  <c r="O65" i="5"/>
  <c r="X66" i="3" s="1"/>
  <c r="M65" i="5"/>
  <c r="AO64" i="5"/>
  <c r="AJ65" i="3" s="1"/>
  <c r="O64" i="5"/>
  <c r="X65" i="3" s="1"/>
  <c r="M64" i="5"/>
  <c r="AO63" i="5"/>
  <c r="AJ64" i="3" s="1"/>
  <c r="O63" i="5"/>
  <c r="X64" i="3" s="1"/>
  <c r="M63" i="5"/>
  <c r="AO62" i="5"/>
  <c r="AJ63" i="3" s="1"/>
  <c r="O62" i="5"/>
  <c r="X63" i="3" s="1"/>
  <c r="M62" i="5"/>
  <c r="AO61" i="5"/>
  <c r="AJ62" i="3" s="1"/>
  <c r="O61" i="5"/>
  <c r="X62" i="3" s="1"/>
  <c r="M61" i="5"/>
  <c r="AO60" i="5"/>
  <c r="AJ61" i="3" s="1"/>
  <c r="O60" i="5"/>
  <c r="X61" i="3" s="1"/>
  <c r="M60" i="5"/>
  <c r="AO59" i="5"/>
  <c r="AJ60" i="3" s="1"/>
  <c r="O59" i="5"/>
  <c r="X60" i="3" s="1"/>
  <c r="M59" i="5"/>
  <c r="AO58" i="5"/>
  <c r="AJ59" i="3" s="1"/>
  <c r="O58" i="5"/>
  <c r="X59" i="3" s="1"/>
  <c r="M58" i="5"/>
  <c r="AO57" i="5"/>
  <c r="AJ58" i="3" s="1"/>
  <c r="O57" i="5"/>
  <c r="X58" i="3" s="1"/>
  <c r="M57" i="5"/>
  <c r="AO56" i="5"/>
  <c r="AJ57" i="3" s="1"/>
  <c r="O56" i="5"/>
  <c r="X57" i="3" s="1"/>
  <c r="M56" i="5"/>
  <c r="AO55" i="5"/>
  <c r="AJ56" i="3" s="1"/>
  <c r="O55" i="5"/>
  <c r="X56" i="3" s="1"/>
  <c r="M55" i="5"/>
  <c r="AO54" i="5"/>
  <c r="AJ55" i="3" s="1"/>
  <c r="O54" i="5"/>
  <c r="X55" i="3" s="1"/>
  <c r="M54" i="5"/>
  <c r="AO53" i="5"/>
  <c r="AJ54" i="3" s="1"/>
  <c r="O53" i="5"/>
  <c r="X54" i="3" s="1"/>
  <c r="M53" i="5"/>
  <c r="AO52" i="5"/>
  <c r="AJ53" i="3" s="1"/>
  <c r="O52" i="5"/>
  <c r="X53" i="3" s="1"/>
  <c r="M52" i="5"/>
  <c r="AO51" i="5"/>
  <c r="AJ52" i="3" s="1"/>
  <c r="O51" i="5"/>
  <c r="X52" i="3" s="1"/>
  <c r="M51" i="5"/>
  <c r="AO50" i="5"/>
  <c r="AJ51" i="3" s="1"/>
  <c r="O50" i="5"/>
  <c r="X51" i="3" s="1"/>
  <c r="M50" i="5"/>
  <c r="AO49" i="5"/>
  <c r="AJ50" i="3" s="1"/>
  <c r="O49" i="5"/>
  <c r="X50" i="3" s="1"/>
  <c r="M49" i="5"/>
  <c r="AO48" i="5"/>
  <c r="AJ49" i="3" s="1"/>
  <c r="O48" i="5"/>
  <c r="X49" i="3" s="1"/>
  <c r="M48" i="5"/>
  <c r="AO47" i="5"/>
  <c r="AJ48" i="3" s="1"/>
  <c r="O47" i="5"/>
  <c r="X48" i="3" s="1"/>
  <c r="M47" i="5"/>
  <c r="AO46" i="5"/>
  <c r="AJ47" i="3" s="1"/>
  <c r="O46" i="5"/>
  <c r="X47" i="3" s="1"/>
  <c r="M46" i="5"/>
  <c r="AO45" i="5"/>
  <c r="AJ46" i="3" s="1"/>
  <c r="O45" i="5"/>
  <c r="X46" i="3" s="1"/>
  <c r="M45" i="5"/>
  <c r="AO44" i="5"/>
  <c r="AJ45" i="3" s="1"/>
  <c r="O44" i="5"/>
  <c r="X45" i="3" s="1"/>
  <c r="M44" i="5"/>
  <c r="AO43" i="5"/>
  <c r="AJ44" i="3" s="1"/>
  <c r="O43" i="5"/>
  <c r="X44" i="3" s="1"/>
  <c r="M43" i="5"/>
  <c r="AO42" i="5"/>
  <c r="AJ43" i="3" s="1"/>
  <c r="O42" i="5"/>
  <c r="X43" i="3" s="1"/>
  <c r="M42" i="5"/>
  <c r="AO41" i="5"/>
  <c r="AJ42" i="3" s="1"/>
  <c r="O41" i="5"/>
  <c r="X42" i="3" s="1"/>
  <c r="M41" i="5"/>
  <c r="AO40" i="5"/>
  <c r="AJ41" i="3" s="1"/>
  <c r="O40" i="5"/>
  <c r="X41" i="3" s="1"/>
  <c r="M40" i="5"/>
  <c r="AO39" i="5"/>
  <c r="AJ40" i="3" s="1"/>
  <c r="O39" i="5"/>
  <c r="X40" i="3" s="1"/>
  <c r="M39" i="5"/>
  <c r="AO38" i="5"/>
  <c r="AJ39" i="3" s="1"/>
  <c r="O38" i="5"/>
  <c r="X39" i="3" s="1"/>
  <c r="M38" i="5"/>
  <c r="AO37" i="5"/>
  <c r="AJ38" i="3" s="1"/>
  <c r="O37" i="5"/>
  <c r="X38" i="3" s="1"/>
  <c r="M37" i="5"/>
  <c r="AO36" i="5"/>
  <c r="AJ37" i="3" s="1"/>
  <c r="O36" i="5"/>
  <c r="X37" i="3" s="1"/>
  <c r="M36" i="5"/>
  <c r="AO35" i="5"/>
  <c r="AJ36" i="3" s="1"/>
  <c r="O35" i="5"/>
  <c r="X36" i="3" s="1"/>
  <c r="M35" i="5"/>
  <c r="AO34" i="5"/>
  <c r="AJ35" i="3" s="1"/>
  <c r="O34" i="5"/>
  <c r="X35" i="3" s="1"/>
  <c r="M34" i="5"/>
  <c r="AO33" i="5"/>
  <c r="AJ34" i="3" s="1"/>
  <c r="O33" i="5"/>
  <c r="X34" i="3" s="1"/>
  <c r="M33" i="5"/>
  <c r="AO32" i="5"/>
  <c r="AJ33" i="3" s="1"/>
  <c r="O32" i="5"/>
  <c r="X33" i="3" s="1"/>
  <c r="M32" i="5"/>
  <c r="AO31" i="5"/>
  <c r="AJ32" i="3" s="1"/>
  <c r="O31" i="5"/>
  <c r="X32" i="3" s="1"/>
  <c r="M31" i="5"/>
  <c r="AO30" i="5"/>
  <c r="AJ31" i="3" s="1"/>
  <c r="O30" i="5"/>
  <c r="X31" i="3" s="1"/>
  <c r="M30" i="5"/>
  <c r="AO29" i="5"/>
  <c r="AJ30" i="3" s="1"/>
  <c r="O29" i="5"/>
  <c r="X30" i="3" s="1"/>
  <c r="M29" i="5"/>
  <c r="AO28" i="5"/>
  <c r="AJ29" i="3" s="1"/>
  <c r="O28" i="5"/>
  <c r="X29" i="3" s="1"/>
  <c r="M28" i="5"/>
  <c r="AO27" i="5"/>
  <c r="AJ28" i="3" s="1"/>
  <c r="O27" i="5"/>
  <c r="X28" i="3" s="1"/>
  <c r="M27" i="5"/>
  <c r="AO26" i="5"/>
  <c r="AJ27" i="3" s="1"/>
  <c r="O26" i="5"/>
  <c r="X27" i="3" s="1"/>
  <c r="M26" i="5"/>
  <c r="AO25" i="5"/>
  <c r="AJ26" i="3" s="1"/>
  <c r="O25" i="5"/>
  <c r="X26" i="3" s="1"/>
  <c r="M25" i="5"/>
  <c r="AO24" i="5"/>
  <c r="AJ25" i="3" s="1"/>
  <c r="O24" i="5"/>
  <c r="X25" i="3" s="1"/>
  <c r="M24" i="5"/>
  <c r="AO23" i="5"/>
  <c r="AJ24" i="3" s="1"/>
  <c r="O23" i="5"/>
  <c r="X24" i="3" s="1"/>
  <c r="M23" i="5"/>
  <c r="AO22" i="5"/>
  <c r="AJ23" i="3" s="1"/>
  <c r="O22" i="5"/>
  <c r="X23" i="3" s="1"/>
  <c r="M22" i="5"/>
  <c r="AO21" i="5"/>
  <c r="AJ22" i="3" s="1"/>
  <c r="O21" i="5"/>
  <c r="X22" i="3" s="1"/>
  <c r="M21" i="5"/>
  <c r="AO20" i="5"/>
  <c r="AJ21" i="3" s="1"/>
  <c r="O20" i="5"/>
  <c r="X21" i="3" s="1"/>
  <c r="M20" i="5"/>
  <c r="AO19" i="5"/>
  <c r="AJ20" i="3" s="1"/>
  <c r="O19" i="5"/>
  <c r="X20" i="3" s="1"/>
  <c r="M19" i="5"/>
  <c r="AO18" i="5"/>
  <c r="AJ19" i="3" s="1"/>
  <c r="O18" i="5"/>
  <c r="X19" i="3" s="1"/>
  <c r="M18" i="5"/>
  <c r="AO17" i="5"/>
  <c r="AJ18" i="3" s="1"/>
  <c r="O17" i="5"/>
  <c r="X18" i="3" s="1"/>
  <c r="M17" i="5"/>
  <c r="AO16" i="5"/>
  <c r="AJ17" i="3" s="1"/>
  <c r="O16" i="5"/>
  <c r="X17" i="3" s="1"/>
  <c r="M16" i="5"/>
  <c r="AO15" i="5"/>
  <c r="AJ16" i="3" s="1"/>
  <c r="O15" i="5"/>
  <c r="X16" i="3" s="1"/>
  <c r="M15" i="5"/>
  <c r="AO14" i="5"/>
  <c r="AJ15" i="3" s="1"/>
  <c r="O14" i="5"/>
  <c r="X15" i="3" s="1"/>
  <c r="M14" i="5"/>
  <c r="AO13" i="5"/>
  <c r="AJ14" i="3" s="1"/>
  <c r="O13" i="5"/>
  <c r="X14" i="3" s="1"/>
  <c r="M13" i="5"/>
  <c r="AO12" i="5"/>
  <c r="AJ13" i="3" s="1"/>
  <c r="O12" i="5"/>
  <c r="X13" i="3" s="1"/>
  <c r="M12" i="5"/>
  <c r="AO11" i="5"/>
  <c r="AJ12" i="3" s="1"/>
  <c r="O11" i="5"/>
  <c r="X12" i="3" s="1"/>
  <c r="M11" i="5"/>
  <c r="AO10" i="5"/>
  <c r="AJ11" i="3" s="1"/>
  <c r="O10" i="5"/>
  <c r="X11" i="3" s="1"/>
  <c r="M10" i="5"/>
  <c r="AO9" i="5"/>
  <c r="AJ10" i="3" s="1"/>
  <c r="O9" i="5"/>
  <c r="X10" i="3" s="1"/>
  <c r="M9" i="5"/>
  <c r="AO8" i="5"/>
  <c r="AJ9" i="3" s="1"/>
  <c r="O8" i="5"/>
  <c r="X9" i="3" s="1"/>
  <c r="M8" i="5"/>
  <c r="AO7" i="5"/>
  <c r="AJ8" i="3" s="1"/>
  <c r="O7" i="5"/>
  <c r="X8" i="3" s="1"/>
  <c r="M7" i="5"/>
  <c r="AO6" i="5"/>
  <c r="AJ7" i="3" s="1"/>
  <c r="O6" i="5"/>
  <c r="X7" i="3" s="1"/>
  <c r="M6" i="5"/>
  <c r="AO5" i="5"/>
  <c r="AJ6" i="3" s="1"/>
  <c r="O5" i="5"/>
  <c r="X6" i="3" s="1"/>
  <c r="M5" i="5"/>
  <c r="AO4" i="5"/>
  <c r="AJ5" i="3" s="1"/>
  <c r="O4" i="5"/>
  <c r="X5" i="3" s="1"/>
  <c r="M4" i="5"/>
  <c r="AO3" i="5"/>
  <c r="AJ4" i="3" s="1"/>
  <c r="O3" i="5"/>
  <c r="M3" i="5"/>
  <c r="B196" i="3" l="1"/>
  <c r="C196" i="3" s="1"/>
  <c r="B197" i="3"/>
  <c r="C197" i="3" s="1"/>
  <c r="CB149" i="10"/>
  <c r="B195" i="3"/>
  <c r="C195" i="3" s="1"/>
  <c r="B194" i="3"/>
  <c r="C194" i="3" s="1"/>
  <c r="O4" i="3"/>
  <c r="BG3" i="10"/>
  <c r="AB3" i="10" s="1"/>
  <c r="BG4" i="10"/>
  <c r="AB4" i="10" s="1"/>
  <c r="O5" i="3"/>
  <c r="O6" i="3"/>
  <c r="BG5" i="10"/>
  <c r="AB5" i="10" s="1"/>
  <c r="O7" i="3"/>
  <c r="BG6" i="10"/>
  <c r="AB6" i="10" s="1"/>
  <c r="O8" i="3"/>
  <c r="BG7" i="10"/>
  <c r="AB7" i="10" s="1"/>
  <c r="O9" i="3"/>
  <c r="BG8" i="10"/>
  <c r="AB8" i="10" s="1"/>
  <c r="O10" i="3"/>
  <c r="BG9" i="10"/>
  <c r="AB9" i="10" s="1"/>
  <c r="BG10" i="10"/>
  <c r="AB10" i="10" s="1"/>
  <c r="O11" i="3"/>
  <c r="O12" i="3"/>
  <c r="BG11" i="10"/>
  <c r="AB11" i="10" s="1"/>
  <c r="O13" i="3"/>
  <c r="BG12" i="10"/>
  <c r="AB12" i="10" s="1"/>
  <c r="O14" i="3"/>
  <c r="BG13" i="10"/>
  <c r="AB13" i="10" s="1"/>
  <c r="BG14" i="10"/>
  <c r="AB14" i="10" s="1"/>
  <c r="O15" i="3"/>
  <c r="O16" i="3"/>
  <c r="BG15" i="10"/>
  <c r="AB15" i="10" s="1"/>
  <c r="O17" i="3"/>
  <c r="BG16" i="10"/>
  <c r="AB16" i="10" s="1"/>
  <c r="O18" i="3"/>
  <c r="BG17" i="10"/>
  <c r="AB17" i="10" s="1"/>
  <c r="O19" i="3"/>
  <c r="BG18" i="10"/>
  <c r="AB18" i="10" s="1"/>
  <c r="O20" i="3"/>
  <c r="BG19" i="10"/>
  <c r="AB19" i="10" s="1"/>
  <c r="O21" i="3"/>
  <c r="BG20" i="10"/>
  <c r="AB20" i="10" s="1"/>
  <c r="O22" i="3"/>
  <c r="BG21" i="10"/>
  <c r="AB21" i="10" s="1"/>
  <c r="O23" i="3"/>
  <c r="BG22" i="10"/>
  <c r="AB22" i="10" s="1"/>
  <c r="BG23" i="10"/>
  <c r="AB23" i="10" s="1"/>
  <c r="O24" i="3"/>
  <c r="BG24" i="10"/>
  <c r="AB24" i="10" s="1"/>
  <c r="O25" i="3"/>
  <c r="BG25" i="10"/>
  <c r="AB25" i="10" s="1"/>
  <c r="O26" i="3"/>
  <c r="O27" i="3"/>
  <c r="BG26" i="10"/>
  <c r="AB26" i="10" s="1"/>
  <c r="BG27" i="10"/>
  <c r="AB27" i="10" s="1"/>
  <c r="O28" i="3"/>
  <c r="BG28" i="10"/>
  <c r="AB28" i="10" s="1"/>
  <c r="O29" i="3"/>
  <c r="O30" i="3"/>
  <c r="BG29" i="10"/>
  <c r="AB29" i="10" s="1"/>
  <c r="O31" i="3"/>
  <c r="BG30" i="10"/>
  <c r="AB30" i="10" s="1"/>
  <c r="BG31" i="10"/>
  <c r="AB31" i="10" s="1"/>
  <c r="O32" i="3"/>
  <c r="O33" i="3"/>
  <c r="BG32" i="10"/>
  <c r="AB32" i="10" s="1"/>
  <c r="O34" i="3"/>
  <c r="BG33" i="10"/>
  <c r="AB33" i="10" s="1"/>
  <c r="O35" i="3"/>
  <c r="BG34" i="10"/>
  <c r="AB34" i="10" s="1"/>
  <c r="BG35" i="10"/>
  <c r="AB35" i="10" s="1"/>
  <c r="O36" i="3"/>
  <c r="O37" i="3"/>
  <c r="BG36" i="10"/>
  <c r="AB36" i="10" s="1"/>
  <c r="BG37" i="10"/>
  <c r="AB37" i="10" s="1"/>
  <c r="O38" i="3"/>
  <c r="O39" i="3"/>
  <c r="BG38" i="10"/>
  <c r="AB38" i="10" s="1"/>
  <c r="O40" i="3"/>
  <c r="BG39" i="10"/>
  <c r="AB39" i="10" s="1"/>
  <c r="O41" i="3"/>
  <c r="BG40" i="10"/>
  <c r="AB40" i="10" s="1"/>
  <c r="BG41" i="10"/>
  <c r="AB41" i="10" s="1"/>
  <c r="O42" i="3"/>
  <c r="O43" i="3"/>
  <c r="BG42" i="10"/>
  <c r="AB42" i="10" s="1"/>
  <c r="O44" i="3"/>
  <c r="BG43" i="10"/>
  <c r="AB43" i="10" s="1"/>
  <c r="O45" i="3"/>
  <c r="BG44" i="10"/>
  <c r="AB44" i="10" s="1"/>
  <c r="O46" i="3"/>
  <c r="BG45" i="10"/>
  <c r="AB45" i="10" s="1"/>
  <c r="O47" i="3"/>
  <c r="BG46" i="10"/>
  <c r="AB46" i="10" s="1"/>
  <c r="O48" i="3"/>
  <c r="BG47" i="10"/>
  <c r="AB47" i="10" s="1"/>
  <c r="BG48" i="10"/>
  <c r="AB48" i="10" s="1"/>
  <c r="O49" i="3"/>
  <c r="BG49" i="10"/>
  <c r="AB49" i="10" s="1"/>
  <c r="O50" i="3"/>
  <c r="O51" i="3"/>
  <c r="BG50" i="10"/>
  <c r="AB50" i="10" s="1"/>
  <c r="O52" i="3"/>
  <c r="BG51" i="10"/>
  <c r="AB51" i="10" s="1"/>
  <c r="O53" i="3"/>
  <c r="BG52" i="10"/>
  <c r="AB52" i="10" s="1"/>
  <c r="O54" i="3"/>
  <c r="BG53" i="10"/>
  <c r="AB53" i="10" s="1"/>
  <c r="O55" i="3"/>
  <c r="BG54" i="10"/>
  <c r="AB54" i="10" s="1"/>
  <c r="O56" i="3"/>
  <c r="BG55" i="10"/>
  <c r="AB55" i="10" s="1"/>
  <c r="O57" i="3"/>
  <c r="BG56" i="10"/>
  <c r="AB56" i="10" s="1"/>
  <c r="BG57" i="10"/>
  <c r="AB57" i="10" s="1"/>
  <c r="O58" i="3"/>
  <c r="BG58" i="10"/>
  <c r="AB58" i="10" s="1"/>
  <c r="O59" i="3"/>
  <c r="O60" i="3"/>
  <c r="BG59" i="10"/>
  <c r="AB59" i="10" s="1"/>
  <c r="BG60" i="10"/>
  <c r="AB60" i="10" s="1"/>
  <c r="O61" i="3"/>
  <c r="L13" i="7" s="1"/>
  <c r="BG61" i="10"/>
  <c r="AB61" i="10" s="1"/>
  <c r="O62" i="3"/>
  <c r="O63" i="3"/>
  <c r="BG62" i="10"/>
  <c r="AB62" i="10" s="1"/>
  <c r="O64" i="3"/>
  <c r="BG63" i="10"/>
  <c r="AB63" i="10" s="1"/>
  <c r="BG64" i="10"/>
  <c r="AB64" i="10" s="1"/>
  <c r="O65" i="3"/>
  <c r="BG65" i="10"/>
  <c r="AB65" i="10" s="1"/>
  <c r="O66" i="3"/>
  <c r="O67" i="3"/>
  <c r="BG66" i="10"/>
  <c r="AB66" i="10" s="1"/>
  <c r="BG67" i="10"/>
  <c r="AB67" i="10" s="1"/>
  <c r="O68" i="3"/>
  <c r="O69" i="3"/>
  <c r="BG68" i="10"/>
  <c r="AB68" i="10" s="1"/>
  <c r="BG69" i="10"/>
  <c r="AB69" i="10" s="1"/>
  <c r="O70" i="3"/>
  <c r="BG70" i="10"/>
  <c r="AB70" i="10" s="1"/>
  <c r="O71" i="3"/>
  <c r="O72" i="3"/>
  <c r="BG71" i="10"/>
  <c r="AB71" i="10" s="1"/>
  <c r="BG72" i="10"/>
  <c r="AB72" i="10" s="1"/>
  <c r="O73" i="3"/>
  <c r="BG73" i="10"/>
  <c r="AB73" i="10" s="1"/>
  <c r="O74" i="3"/>
  <c r="BG74" i="10"/>
  <c r="AB74" i="10" s="1"/>
  <c r="O75" i="3"/>
  <c r="O76" i="3"/>
  <c r="BG75" i="10"/>
  <c r="AB75" i="10" s="1"/>
  <c r="BG76" i="10"/>
  <c r="AB76" i="10" s="1"/>
  <c r="O77" i="3"/>
  <c r="O78" i="3"/>
  <c r="BG77" i="10"/>
  <c r="AB77" i="10" s="1"/>
  <c r="BG78" i="10"/>
  <c r="AB78" i="10" s="1"/>
  <c r="O79" i="3"/>
  <c r="BG79" i="10"/>
  <c r="AB79" i="10" s="1"/>
  <c r="O80" i="3"/>
  <c r="BG80" i="10"/>
  <c r="AB80" i="10" s="1"/>
  <c r="O81" i="3"/>
  <c r="BG81" i="10"/>
  <c r="AB81" i="10" s="1"/>
  <c r="O82" i="3"/>
  <c r="BG82" i="10"/>
  <c r="AB82" i="10" s="1"/>
  <c r="O83" i="3"/>
  <c r="BG83" i="10"/>
  <c r="AB83" i="10" s="1"/>
  <c r="O84" i="3"/>
  <c r="BG84" i="10"/>
  <c r="AB84" i="10" s="1"/>
  <c r="O85" i="3"/>
  <c r="O86" i="3"/>
  <c r="BG85" i="10"/>
  <c r="AB85" i="10" s="1"/>
  <c r="BG86" i="10"/>
  <c r="AB86" i="10" s="1"/>
  <c r="O87" i="3"/>
  <c r="BG87" i="10"/>
  <c r="AB87" i="10" s="1"/>
  <c r="O88" i="3"/>
  <c r="O89" i="3"/>
  <c r="BG88" i="10"/>
  <c r="AB88" i="10" s="1"/>
  <c r="BG89" i="10"/>
  <c r="AB89" i="10" s="1"/>
  <c r="O90" i="3"/>
  <c r="O91" i="3"/>
  <c r="BG90" i="10"/>
  <c r="AB90" i="10" s="1"/>
  <c r="BG91" i="10"/>
  <c r="AB91" i="10" s="1"/>
  <c r="O92" i="3"/>
  <c r="BG92" i="10"/>
  <c r="AB92" i="10" s="1"/>
  <c r="O93" i="3"/>
  <c r="BG93" i="10"/>
  <c r="AB93" i="10" s="1"/>
  <c r="O94" i="3"/>
  <c r="BG94" i="10"/>
  <c r="AB94" i="10" s="1"/>
  <c r="O95" i="3"/>
  <c r="O96" i="3"/>
  <c r="BG95" i="10"/>
  <c r="AB95" i="10" s="1"/>
  <c r="BG96" i="10"/>
  <c r="AB96" i="10" s="1"/>
  <c r="O97" i="3"/>
  <c r="BG97" i="10"/>
  <c r="AB97" i="10" s="1"/>
  <c r="O98" i="3"/>
  <c r="BG98" i="10"/>
  <c r="AB98" i="10" s="1"/>
  <c r="O99" i="3"/>
  <c r="BG99" i="10"/>
  <c r="AB99" i="10" s="1"/>
  <c r="O100" i="3"/>
  <c r="BG100" i="10"/>
  <c r="AB100" i="10" s="1"/>
  <c r="O101" i="3"/>
  <c r="BG101" i="10"/>
  <c r="AB101" i="10" s="1"/>
  <c r="O102" i="3"/>
  <c r="O103" i="3"/>
  <c r="BG102" i="10"/>
  <c r="AB102" i="10" s="1"/>
  <c r="BG103" i="10"/>
  <c r="AB103" i="10" s="1"/>
  <c r="O104" i="3"/>
  <c r="BG104" i="10"/>
  <c r="AB104" i="10" s="1"/>
  <c r="O105" i="3"/>
  <c r="BG105" i="10"/>
  <c r="AB105" i="10" s="1"/>
  <c r="O106" i="3"/>
  <c r="BG106" i="10"/>
  <c r="AB106" i="10" s="1"/>
  <c r="O107" i="3"/>
  <c r="BG107" i="10"/>
  <c r="AB107" i="10" s="1"/>
  <c r="O108" i="3"/>
  <c r="BG108" i="10"/>
  <c r="AB108" i="10" s="1"/>
  <c r="O109" i="3"/>
  <c r="O110" i="3"/>
  <c r="BG109" i="10"/>
  <c r="AB109" i="10" s="1"/>
  <c r="BG110" i="10"/>
  <c r="AB110" i="10" s="1"/>
  <c r="O111" i="3"/>
  <c r="O112" i="3"/>
  <c r="BG111" i="10"/>
  <c r="AB111" i="10" s="1"/>
  <c r="BG112" i="10"/>
  <c r="AB112" i="10" s="1"/>
  <c r="O113" i="3"/>
  <c r="BG113" i="10"/>
  <c r="AB113" i="10" s="1"/>
  <c r="O114" i="3"/>
  <c r="BG114" i="10"/>
  <c r="AB114" i="10" s="1"/>
  <c r="O115" i="3"/>
  <c r="BG115" i="10"/>
  <c r="AB115" i="10" s="1"/>
  <c r="O116" i="3"/>
  <c r="BG116" i="10"/>
  <c r="AB116" i="10" s="1"/>
  <c r="O117" i="3"/>
  <c r="BG117" i="10"/>
  <c r="AB117" i="10" s="1"/>
  <c r="O118" i="3"/>
  <c r="BG118" i="10"/>
  <c r="AB118" i="10" s="1"/>
  <c r="O119" i="3"/>
  <c r="BG119" i="10"/>
  <c r="AB119" i="10" s="1"/>
  <c r="O120" i="3"/>
  <c r="BG120" i="10"/>
  <c r="AB120" i="10" s="1"/>
  <c r="O121" i="3"/>
  <c r="BG121" i="10"/>
  <c r="AB121" i="10" s="1"/>
  <c r="O122" i="3"/>
  <c r="O123" i="3"/>
  <c r="BG122" i="10"/>
  <c r="AB122" i="10" s="1"/>
  <c r="O124" i="3"/>
  <c r="BG123" i="10"/>
  <c r="AB123" i="10" s="1"/>
  <c r="BG124" i="10"/>
  <c r="AB124" i="10" s="1"/>
  <c r="O125" i="3"/>
  <c r="O126" i="3"/>
  <c r="BG125" i="10"/>
  <c r="AB125" i="10" s="1"/>
  <c r="O127" i="3"/>
  <c r="BG126" i="10"/>
  <c r="AB126" i="10" s="1"/>
  <c r="O128" i="3"/>
  <c r="BG127" i="10"/>
  <c r="AB127" i="10" s="1"/>
  <c r="BG128" i="10"/>
  <c r="AB128" i="10" s="1"/>
  <c r="O129" i="3"/>
  <c r="O130" i="3"/>
  <c r="BG129" i="10"/>
  <c r="AB129" i="10" s="1"/>
  <c r="BG130" i="10"/>
  <c r="AB130" i="10" s="1"/>
  <c r="O131" i="3"/>
  <c r="BG131" i="10"/>
  <c r="AB131" i="10" s="1"/>
  <c r="O132" i="3"/>
  <c r="BG132" i="10"/>
  <c r="AB132" i="10" s="1"/>
  <c r="O133" i="3"/>
  <c r="O134" i="3"/>
  <c r="BG133" i="10"/>
  <c r="AB133" i="10" s="1"/>
  <c r="O135" i="3"/>
  <c r="BG134" i="10"/>
  <c r="AB134" i="10" s="1"/>
  <c r="BG135" i="10"/>
  <c r="AB135" i="10" s="1"/>
  <c r="O136" i="3"/>
  <c r="O137" i="3"/>
  <c r="BG136" i="10"/>
  <c r="AB136" i="10" s="1"/>
  <c r="BG137" i="10"/>
  <c r="AB137" i="10" s="1"/>
  <c r="O138" i="3"/>
  <c r="BG138" i="10"/>
  <c r="AB138" i="10" s="1"/>
  <c r="O139" i="3"/>
  <c r="BG139" i="10"/>
  <c r="AB139" i="10" s="1"/>
  <c r="O140" i="3"/>
  <c r="O141" i="3"/>
  <c r="BG140" i="10"/>
  <c r="AB140" i="10" s="1"/>
  <c r="BG141" i="10"/>
  <c r="AB141" i="10" s="1"/>
  <c r="O142" i="3"/>
  <c r="O143" i="3"/>
  <c r="BG142" i="10"/>
  <c r="AB142" i="10" s="1"/>
  <c r="BG143" i="10"/>
  <c r="AB143" i="10" s="1"/>
  <c r="O144" i="3"/>
  <c r="BG144" i="10"/>
  <c r="AB144" i="10" s="1"/>
  <c r="O145" i="3"/>
  <c r="O146" i="3"/>
  <c r="BG145" i="10"/>
  <c r="AB145" i="10" s="1"/>
  <c r="O147" i="3"/>
  <c r="BG146" i="10"/>
  <c r="AB146" i="10" s="1"/>
  <c r="BG147" i="10"/>
  <c r="AB147" i="10" s="1"/>
  <c r="O148" i="3"/>
  <c r="O149" i="3"/>
  <c r="BG148" i="10"/>
  <c r="AB148" i="10" s="1"/>
  <c r="BG149" i="10"/>
  <c r="AB149" i="10" s="1"/>
  <c r="O150" i="3"/>
  <c r="BG150" i="10"/>
  <c r="AB150" i="10" s="1"/>
  <c r="O151" i="3"/>
  <c r="BG151" i="10"/>
  <c r="AB151" i="10" s="1"/>
  <c r="O152" i="3"/>
  <c r="O153" i="3"/>
  <c r="BG152" i="10"/>
  <c r="AB152" i="10" s="1"/>
  <c r="O154" i="3"/>
  <c r="BG153" i="10"/>
  <c r="AB153" i="10" s="1"/>
  <c r="O155" i="3"/>
  <c r="BG154" i="10"/>
  <c r="AB154" i="10" s="1"/>
  <c r="O156" i="3"/>
  <c r="BG155" i="10"/>
  <c r="AB155" i="10" s="1"/>
  <c r="O157" i="3"/>
  <c r="BG156" i="10"/>
  <c r="AB156" i="10" s="1"/>
  <c r="O158" i="3"/>
  <c r="BG157" i="10"/>
  <c r="AB157" i="10" s="1"/>
  <c r="BG158" i="10"/>
  <c r="AB158" i="10" s="1"/>
  <c r="O159" i="3"/>
  <c r="O160" i="3"/>
  <c r="BG159" i="10"/>
  <c r="AB159" i="10" s="1"/>
  <c r="O161" i="3"/>
  <c r="BG160" i="10"/>
  <c r="AB160" i="10" s="1"/>
  <c r="BG161" i="10"/>
  <c r="AB161" i="10" s="1"/>
  <c r="O162" i="3"/>
  <c r="BG162" i="10"/>
  <c r="AB162" i="10" s="1"/>
  <c r="O163" i="3"/>
  <c r="O164" i="3"/>
  <c r="BG163" i="10"/>
  <c r="AB163" i="10" s="1"/>
  <c r="BG164" i="10"/>
  <c r="AB164" i="10" s="1"/>
  <c r="O165" i="3"/>
  <c r="BG165" i="10"/>
  <c r="AB165" i="10" s="1"/>
  <c r="O166" i="3"/>
  <c r="O167" i="3"/>
  <c r="BG166" i="10"/>
  <c r="AB166" i="10" s="1"/>
  <c r="BG167" i="10"/>
  <c r="AB167" i="10" s="1"/>
  <c r="O168" i="3"/>
  <c r="O169" i="3"/>
  <c r="BG168" i="10"/>
  <c r="AB168" i="10" s="1"/>
  <c r="O170" i="3"/>
  <c r="BG169" i="10"/>
  <c r="AB169" i="10" s="1"/>
  <c r="O171" i="3"/>
  <c r="BG170" i="10"/>
  <c r="AB170" i="10" s="1"/>
  <c r="O172" i="3"/>
  <c r="BG171" i="10"/>
  <c r="AB171" i="10" s="1"/>
  <c r="BG172" i="10"/>
  <c r="AB172" i="10" s="1"/>
  <c r="O173" i="3"/>
  <c r="O174" i="3"/>
  <c r="BG173" i="10"/>
  <c r="AB173" i="10" s="1"/>
  <c r="O175" i="3"/>
  <c r="BG174" i="10"/>
  <c r="AB174" i="10" s="1"/>
  <c r="O176" i="3"/>
  <c r="BG175" i="10"/>
  <c r="AB175" i="10" s="1"/>
  <c r="BG176" i="10"/>
  <c r="AB176" i="10" s="1"/>
  <c r="O177" i="3"/>
  <c r="BF3" i="10"/>
  <c r="AA3" i="10" s="1"/>
  <c r="N4" i="3"/>
  <c r="BF4" i="10"/>
  <c r="AA4" i="10" s="1"/>
  <c r="N5" i="3"/>
  <c r="BF5" i="10"/>
  <c r="AA5" i="10" s="1"/>
  <c r="N6" i="3"/>
  <c r="BF6" i="10"/>
  <c r="AA6" i="10" s="1"/>
  <c r="N7" i="3"/>
  <c r="N8" i="3"/>
  <c r="BF7" i="10"/>
  <c r="AA7" i="10" s="1"/>
  <c r="N9" i="3"/>
  <c r="BF8" i="10"/>
  <c r="AA8" i="10" s="1"/>
  <c r="BF9" i="10"/>
  <c r="AA9" i="10" s="1"/>
  <c r="N10" i="3"/>
  <c r="N11" i="3"/>
  <c r="BF10" i="10"/>
  <c r="AA10" i="10" s="1"/>
  <c r="BF11" i="10"/>
  <c r="AA11" i="10" s="1"/>
  <c r="N12" i="3"/>
  <c r="BF12" i="10"/>
  <c r="AA12" i="10" s="1"/>
  <c r="N13" i="3"/>
  <c r="N14" i="3"/>
  <c r="BF13" i="10"/>
  <c r="AA13" i="10" s="1"/>
  <c r="BF14" i="10"/>
  <c r="AA14" i="10" s="1"/>
  <c r="N15" i="3"/>
  <c r="BF15" i="10"/>
  <c r="AA15" i="10" s="1"/>
  <c r="N16" i="3"/>
  <c r="N17" i="3"/>
  <c r="BF16" i="10"/>
  <c r="AA16" i="10" s="1"/>
  <c r="BF17" i="10"/>
  <c r="AA17" i="10" s="1"/>
  <c r="N18" i="3"/>
  <c r="BF18" i="10"/>
  <c r="AA18" i="10" s="1"/>
  <c r="N19" i="3"/>
  <c r="BF19" i="10"/>
  <c r="AA19" i="10" s="1"/>
  <c r="N20" i="3"/>
  <c r="BF20" i="10"/>
  <c r="AA20" i="10" s="1"/>
  <c r="N21" i="3"/>
  <c r="BF21" i="10"/>
  <c r="AA21" i="10" s="1"/>
  <c r="N22" i="3"/>
  <c r="BF22" i="10"/>
  <c r="AA22" i="10" s="1"/>
  <c r="N23" i="3"/>
  <c r="N24" i="3"/>
  <c r="BF23" i="10"/>
  <c r="AA23" i="10" s="1"/>
  <c r="BF24" i="10"/>
  <c r="AA24" i="10" s="1"/>
  <c r="N25" i="3"/>
  <c r="N26" i="3"/>
  <c r="BF25" i="10"/>
  <c r="AA25" i="10" s="1"/>
  <c r="BF26" i="10"/>
  <c r="AA26" i="10" s="1"/>
  <c r="N27" i="3"/>
  <c r="BF27" i="10"/>
  <c r="AA27" i="10" s="1"/>
  <c r="N28" i="3"/>
  <c r="BF28" i="10"/>
  <c r="AA28" i="10" s="1"/>
  <c r="N29" i="3"/>
  <c r="N30" i="3"/>
  <c r="BF29" i="10"/>
  <c r="AA29" i="10" s="1"/>
  <c r="N31" i="3"/>
  <c r="BF30" i="10"/>
  <c r="AA30" i="10" s="1"/>
  <c r="N32" i="3"/>
  <c r="BF31" i="10"/>
  <c r="AA31" i="10" s="1"/>
  <c r="BF32" i="10"/>
  <c r="AA32" i="10" s="1"/>
  <c r="N33" i="3"/>
  <c r="BF33" i="10"/>
  <c r="AA33" i="10" s="1"/>
  <c r="N34" i="3"/>
  <c r="BF34" i="10"/>
  <c r="AA34" i="10" s="1"/>
  <c r="N35" i="3"/>
  <c r="BF35" i="10"/>
  <c r="AA35" i="10" s="1"/>
  <c r="N36" i="3"/>
  <c r="N37" i="3"/>
  <c r="BF36" i="10"/>
  <c r="AA36" i="10" s="1"/>
  <c r="N38" i="3"/>
  <c r="BF37" i="10"/>
  <c r="AA37" i="10" s="1"/>
  <c r="N39" i="3"/>
  <c r="BF38" i="10"/>
  <c r="AA38" i="10" s="1"/>
  <c r="N40" i="3"/>
  <c r="BF39" i="10"/>
  <c r="AA39" i="10" s="1"/>
  <c r="N41" i="3"/>
  <c r="BF40" i="10"/>
  <c r="AA40" i="10" s="1"/>
  <c r="BF41" i="10"/>
  <c r="AA41" i="10" s="1"/>
  <c r="N42" i="3"/>
  <c r="BF42" i="10"/>
  <c r="AA42" i="10" s="1"/>
  <c r="N43" i="3"/>
  <c r="N44" i="3"/>
  <c r="BF43" i="10"/>
  <c r="AA43" i="10" s="1"/>
  <c r="N45" i="3"/>
  <c r="BF44" i="10"/>
  <c r="AA44" i="10" s="1"/>
  <c r="BF45" i="10"/>
  <c r="AA45" i="10" s="1"/>
  <c r="N46" i="3"/>
  <c r="N47" i="3"/>
  <c r="BF46" i="10"/>
  <c r="AA46" i="10" s="1"/>
  <c r="N48" i="3"/>
  <c r="BF47" i="10"/>
  <c r="AA47" i="10" s="1"/>
  <c r="BF48" i="10"/>
  <c r="AA48" i="10" s="1"/>
  <c r="N49" i="3"/>
  <c r="N50" i="3"/>
  <c r="BF49" i="10"/>
  <c r="AA49" i="10" s="1"/>
  <c r="N51" i="3"/>
  <c r="BF50" i="10"/>
  <c r="AA50" i="10" s="1"/>
  <c r="BF51" i="10"/>
  <c r="AA51" i="10" s="1"/>
  <c r="N52" i="3"/>
  <c r="N53" i="3"/>
  <c r="BF52" i="10"/>
  <c r="AA52" i="10" s="1"/>
  <c r="N54" i="3"/>
  <c r="BF53" i="10"/>
  <c r="AA53" i="10" s="1"/>
  <c r="N55" i="3"/>
  <c r="BF54" i="10"/>
  <c r="AA54" i="10" s="1"/>
  <c r="BF55" i="10"/>
  <c r="AA55" i="10" s="1"/>
  <c r="N56" i="3"/>
  <c r="BF56" i="10"/>
  <c r="AA56" i="10" s="1"/>
  <c r="N57" i="3"/>
  <c r="BF57" i="10"/>
  <c r="AA57" i="10" s="1"/>
  <c r="N58" i="3"/>
  <c r="N59" i="3"/>
  <c r="BF58" i="10"/>
  <c r="AA58" i="10" s="1"/>
  <c r="N60" i="3"/>
  <c r="BF59" i="10"/>
  <c r="AA59" i="10" s="1"/>
  <c r="BF60" i="10"/>
  <c r="AA60" i="10" s="1"/>
  <c r="N61" i="3"/>
  <c r="K13" i="7" s="1"/>
  <c r="BF61" i="10"/>
  <c r="AA61" i="10" s="1"/>
  <c r="N62" i="3"/>
  <c r="BF62" i="10"/>
  <c r="AA62" i="10" s="1"/>
  <c r="N63" i="3"/>
  <c r="BF63" i="10"/>
  <c r="AA63" i="10" s="1"/>
  <c r="N64" i="3"/>
  <c r="BF64" i="10"/>
  <c r="AA64" i="10" s="1"/>
  <c r="N65" i="3"/>
  <c r="N66" i="3"/>
  <c r="BF65" i="10"/>
  <c r="AA65" i="10" s="1"/>
  <c r="N67" i="3"/>
  <c r="BF66" i="10"/>
  <c r="AA66" i="10" s="1"/>
  <c r="N68" i="3"/>
  <c r="BF67" i="10"/>
  <c r="AA67" i="10" s="1"/>
  <c r="N69" i="3"/>
  <c r="BF68" i="10"/>
  <c r="AA68" i="10" s="1"/>
  <c r="N70" i="3"/>
  <c r="BF69" i="10"/>
  <c r="AA69" i="10" s="1"/>
  <c r="N71" i="3"/>
  <c r="BF70" i="10"/>
  <c r="AA70" i="10" s="1"/>
  <c r="BF71" i="10"/>
  <c r="AA71" i="10" s="1"/>
  <c r="N72" i="3"/>
  <c r="N73" i="3"/>
  <c r="BF72" i="10"/>
  <c r="AA72" i="10" s="1"/>
  <c r="BF73" i="10"/>
  <c r="AA73" i="10" s="1"/>
  <c r="N74" i="3"/>
  <c r="BF74" i="10"/>
  <c r="AA74" i="10" s="1"/>
  <c r="N75" i="3"/>
  <c r="BF75" i="10"/>
  <c r="AA75" i="10" s="1"/>
  <c r="N76" i="3"/>
  <c r="BF76" i="10"/>
  <c r="AA76" i="10" s="1"/>
  <c r="N77" i="3"/>
  <c r="BF77" i="10"/>
  <c r="AA77" i="10" s="1"/>
  <c r="N78" i="3"/>
  <c r="N79" i="3"/>
  <c r="BF78" i="10"/>
  <c r="AA78" i="10" s="1"/>
  <c r="N80" i="3"/>
  <c r="BF79" i="10"/>
  <c r="AA79" i="10" s="1"/>
  <c r="N81" i="3"/>
  <c r="BF80" i="10"/>
  <c r="AA80" i="10" s="1"/>
  <c r="N82" i="3"/>
  <c r="BF81" i="10"/>
  <c r="AA81" i="10" s="1"/>
  <c r="N83" i="3"/>
  <c r="BF82" i="10"/>
  <c r="AA82" i="10" s="1"/>
  <c r="BF83" i="10"/>
  <c r="AA83" i="10" s="1"/>
  <c r="N84" i="3"/>
  <c r="BF84" i="10"/>
  <c r="AA84" i="10" s="1"/>
  <c r="N85" i="3"/>
  <c r="BF85" i="10"/>
  <c r="AA85" i="10" s="1"/>
  <c r="N86" i="3"/>
  <c r="BF86" i="10"/>
  <c r="AA86" i="10" s="1"/>
  <c r="N87" i="3"/>
  <c r="N88" i="3"/>
  <c r="BF87" i="10"/>
  <c r="AA87" i="10" s="1"/>
  <c r="BF88" i="10"/>
  <c r="AA88" i="10" s="1"/>
  <c r="N89" i="3"/>
  <c r="BF89" i="10"/>
  <c r="AA89" i="10" s="1"/>
  <c r="N90" i="3"/>
  <c r="BF90" i="10"/>
  <c r="AA90" i="10" s="1"/>
  <c r="N91" i="3"/>
  <c r="N92" i="3"/>
  <c r="BF91" i="10"/>
  <c r="AA91" i="10" s="1"/>
  <c r="BF92" i="10"/>
  <c r="AA92" i="10" s="1"/>
  <c r="N93" i="3"/>
  <c r="N94" i="3"/>
  <c r="BF93" i="10"/>
  <c r="AA93" i="10" s="1"/>
  <c r="BF94" i="10"/>
  <c r="AA94" i="10" s="1"/>
  <c r="N95" i="3"/>
  <c r="BF95" i="10"/>
  <c r="AA95" i="10" s="1"/>
  <c r="N96" i="3"/>
  <c r="BF96" i="10"/>
  <c r="AA96" i="10" s="1"/>
  <c r="N97" i="3"/>
  <c r="BF97" i="10"/>
  <c r="AA97" i="10" s="1"/>
  <c r="N98" i="3"/>
  <c r="BF98" i="10"/>
  <c r="AA98" i="10" s="1"/>
  <c r="N99" i="3"/>
  <c r="N100" i="3"/>
  <c r="BF99" i="10"/>
  <c r="AA99" i="10" s="1"/>
  <c r="BF100" i="10"/>
  <c r="AA100" i="10" s="1"/>
  <c r="N101" i="3"/>
  <c r="BF101" i="10"/>
  <c r="AA101" i="10" s="1"/>
  <c r="N102" i="3"/>
  <c r="BF102" i="10"/>
  <c r="AA102" i="10" s="1"/>
  <c r="N103" i="3"/>
  <c r="BF103" i="10"/>
  <c r="AA103" i="10" s="1"/>
  <c r="N104" i="3"/>
  <c r="BF104" i="10"/>
  <c r="AA104" i="10" s="1"/>
  <c r="N105" i="3"/>
  <c r="N106" i="3"/>
  <c r="BF105" i="10"/>
  <c r="AA105" i="10" s="1"/>
  <c r="BF106" i="10"/>
  <c r="AA106" i="10" s="1"/>
  <c r="N107" i="3"/>
  <c r="N108" i="3"/>
  <c r="BF107" i="10"/>
  <c r="AA107" i="10" s="1"/>
  <c r="N109" i="3"/>
  <c r="BF108" i="10"/>
  <c r="AA108" i="10" s="1"/>
  <c r="N110" i="3"/>
  <c r="BF109" i="10"/>
  <c r="AA109" i="10" s="1"/>
  <c r="BF110" i="10"/>
  <c r="AA110" i="10" s="1"/>
  <c r="N111" i="3"/>
  <c r="BF111" i="10"/>
  <c r="AA111" i="10" s="1"/>
  <c r="N112" i="3"/>
  <c r="N113" i="3"/>
  <c r="BF112" i="10"/>
  <c r="AA112" i="10" s="1"/>
  <c r="N114" i="3"/>
  <c r="BF113" i="10"/>
  <c r="AA113" i="10" s="1"/>
  <c r="BF114" i="10"/>
  <c r="AA114" i="10" s="1"/>
  <c r="N115" i="3"/>
  <c r="N116" i="3"/>
  <c r="BF115" i="10"/>
  <c r="AA115" i="10" s="1"/>
  <c r="BF116" i="10"/>
  <c r="AA116" i="10" s="1"/>
  <c r="N117" i="3"/>
  <c r="N118" i="3"/>
  <c r="BF117" i="10"/>
  <c r="AA117" i="10" s="1"/>
  <c r="N119" i="3"/>
  <c r="BF118" i="10"/>
  <c r="AA118" i="10" s="1"/>
  <c r="BF119" i="10"/>
  <c r="AA119" i="10" s="1"/>
  <c r="N120" i="3"/>
  <c r="N121" i="3"/>
  <c r="BF120" i="10"/>
  <c r="AA120" i="10" s="1"/>
  <c r="N122" i="3"/>
  <c r="BF121" i="10"/>
  <c r="AA121" i="10" s="1"/>
  <c r="BF122" i="10"/>
  <c r="AA122" i="10" s="1"/>
  <c r="N123" i="3"/>
  <c r="BF123" i="10"/>
  <c r="AA123" i="10" s="1"/>
  <c r="N124" i="3"/>
  <c r="BF124" i="10"/>
  <c r="AA124" i="10" s="1"/>
  <c r="N125" i="3"/>
  <c r="BF125" i="10"/>
  <c r="AA125" i="10" s="1"/>
  <c r="N126" i="3"/>
  <c r="N127" i="3"/>
  <c r="BF126" i="10"/>
  <c r="AA126" i="10" s="1"/>
  <c r="BF127" i="10"/>
  <c r="AA127" i="10" s="1"/>
  <c r="N128" i="3"/>
  <c r="N129" i="3"/>
  <c r="BF128" i="10"/>
  <c r="AA128" i="10" s="1"/>
  <c r="BF129" i="10"/>
  <c r="AA129" i="10" s="1"/>
  <c r="N130" i="3"/>
  <c r="BF130" i="10"/>
  <c r="AA130" i="10" s="1"/>
  <c r="N131" i="3"/>
  <c r="BF131" i="10"/>
  <c r="AA131" i="10" s="1"/>
  <c r="N132" i="3"/>
  <c r="BF132" i="10"/>
  <c r="AA132" i="10" s="1"/>
  <c r="N133" i="3"/>
  <c r="BF133" i="10"/>
  <c r="AA133" i="10" s="1"/>
  <c r="N134" i="3"/>
  <c r="BF134" i="10"/>
  <c r="AA134" i="10" s="1"/>
  <c r="N135" i="3"/>
  <c r="BF135" i="10"/>
  <c r="AA135" i="10" s="1"/>
  <c r="N136" i="3"/>
  <c r="BF136" i="10"/>
  <c r="AA136" i="10" s="1"/>
  <c r="N137" i="3"/>
  <c r="BF137" i="10"/>
  <c r="AA137" i="10" s="1"/>
  <c r="N138" i="3"/>
  <c r="BF138" i="10"/>
  <c r="AA138" i="10" s="1"/>
  <c r="N139" i="3"/>
  <c r="BF139" i="10"/>
  <c r="AA139" i="10" s="1"/>
  <c r="N140" i="3"/>
  <c r="BF140" i="10"/>
  <c r="AA140" i="10" s="1"/>
  <c r="N141" i="3"/>
  <c r="BF141" i="10"/>
  <c r="AA141" i="10" s="1"/>
  <c r="N142" i="3"/>
  <c r="BF142" i="10"/>
  <c r="AA142" i="10" s="1"/>
  <c r="N143" i="3"/>
  <c r="BF143" i="10"/>
  <c r="AA143" i="10" s="1"/>
  <c r="N144" i="3"/>
  <c r="BF144" i="10"/>
  <c r="AA144" i="10" s="1"/>
  <c r="N145" i="3"/>
  <c r="BF145" i="10"/>
  <c r="AA145" i="10" s="1"/>
  <c r="N146" i="3"/>
  <c r="BF146" i="10"/>
  <c r="AA146" i="10" s="1"/>
  <c r="N147" i="3"/>
  <c r="N148" i="3"/>
  <c r="BF147" i="10"/>
  <c r="AA147" i="10" s="1"/>
  <c r="BF148" i="10"/>
  <c r="AA148" i="10" s="1"/>
  <c r="N149" i="3"/>
  <c r="N150" i="3"/>
  <c r="BF149" i="10"/>
  <c r="AA149" i="10" s="1"/>
  <c r="N151" i="3"/>
  <c r="BF150" i="10"/>
  <c r="AA150" i="10" s="1"/>
  <c r="N152" i="3"/>
  <c r="BF151" i="10"/>
  <c r="AA151" i="10" s="1"/>
  <c r="N153" i="3"/>
  <c r="BF152" i="10"/>
  <c r="AA152" i="10" s="1"/>
  <c r="N154" i="3"/>
  <c r="BF153" i="10"/>
  <c r="AA153" i="10" s="1"/>
  <c r="N155" i="3"/>
  <c r="BF154" i="10"/>
  <c r="AA154" i="10" s="1"/>
  <c r="N156" i="3"/>
  <c r="BF155" i="10"/>
  <c r="AA155" i="10" s="1"/>
  <c r="N157" i="3"/>
  <c r="BF156" i="10"/>
  <c r="AA156" i="10" s="1"/>
  <c r="N158" i="3"/>
  <c r="BF157" i="10"/>
  <c r="AA157" i="10" s="1"/>
  <c r="N159" i="3"/>
  <c r="BF158" i="10"/>
  <c r="AA158" i="10" s="1"/>
  <c r="BF159" i="10"/>
  <c r="AA159" i="10" s="1"/>
  <c r="N160" i="3"/>
  <c r="N161" i="3"/>
  <c r="BF160" i="10"/>
  <c r="AA160" i="10" s="1"/>
  <c r="N162" i="3"/>
  <c r="BF161" i="10"/>
  <c r="AA161" i="10" s="1"/>
  <c r="N163" i="3"/>
  <c r="BF162" i="10"/>
  <c r="AA162" i="10" s="1"/>
  <c r="N164" i="3"/>
  <c r="BF163" i="10"/>
  <c r="AA163" i="10" s="1"/>
  <c r="BF164" i="10"/>
  <c r="AA164" i="10" s="1"/>
  <c r="N165" i="3"/>
  <c r="BF165" i="10"/>
  <c r="AA165" i="10" s="1"/>
  <c r="N166" i="3"/>
  <c r="BF166" i="10"/>
  <c r="AA166" i="10" s="1"/>
  <c r="N167" i="3"/>
  <c r="N168" i="3"/>
  <c r="BF167" i="10"/>
  <c r="AA167" i="10" s="1"/>
  <c r="BF168" i="10"/>
  <c r="AA168" i="10" s="1"/>
  <c r="N169" i="3"/>
  <c r="BF169" i="10"/>
  <c r="AA169" i="10" s="1"/>
  <c r="N170" i="3"/>
  <c r="BF170" i="10"/>
  <c r="AA170" i="10" s="1"/>
  <c r="N171" i="3"/>
  <c r="BF171" i="10"/>
  <c r="AA171" i="10" s="1"/>
  <c r="N172" i="3"/>
  <c r="N173" i="3"/>
  <c r="BF172" i="10"/>
  <c r="AA172" i="10" s="1"/>
  <c r="N174" i="3"/>
  <c r="BF173" i="10"/>
  <c r="AA173" i="10" s="1"/>
  <c r="BF174" i="10"/>
  <c r="AA174" i="10" s="1"/>
  <c r="N175" i="3"/>
  <c r="N176" i="3"/>
  <c r="BF175" i="10"/>
  <c r="AA175" i="10" s="1"/>
  <c r="BF176" i="10"/>
  <c r="AA176" i="10" s="1"/>
  <c r="N177" i="3"/>
  <c r="BD3" i="10"/>
  <c r="Y3" i="10" s="1"/>
  <c r="L4" i="3"/>
  <c r="BD4" i="10"/>
  <c r="Y4" i="10" s="1"/>
  <c r="L5" i="3"/>
  <c r="L6" i="3"/>
  <c r="BD5" i="10"/>
  <c r="Y5" i="10" s="1"/>
  <c r="BD6" i="10"/>
  <c r="Y6" i="10" s="1"/>
  <c r="L7" i="3"/>
  <c r="L8" i="3"/>
  <c r="BD7" i="10"/>
  <c r="Y7" i="10" s="1"/>
  <c r="L9" i="3"/>
  <c r="BD8" i="10"/>
  <c r="Y8" i="10" s="1"/>
  <c r="L10" i="3"/>
  <c r="BD9" i="10"/>
  <c r="Y9" i="10" s="1"/>
  <c r="L11" i="3"/>
  <c r="BD10" i="10"/>
  <c r="Y10" i="10" s="1"/>
  <c r="L12" i="3"/>
  <c r="BD11" i="10"/>
  <c r="Y11" i="10" s="1"/>
  <c r="L13" i="3"/>
  <c r="BD12" i="10"/>
  <c r="Y12" i="10" s="1"/>
  <c r="L14" i="3"/>
  <c r="BD13" i="10"/>
  <c r="Y13" i="10" s="1"/>
  <c r="L15" i="3"/>
  <c r="BD14" i="10"/>
  <c r="Y14" i="10" s="1"/>
  <c r="L16" i="3"/>
  <c r="BD15" i="10"/>
  <c r="Y15" i="10" s="1"/>
  <c r="L17" i="3"/>
  <c r="BD16" i="10"/>
  <c r="Y16" i="10" s="1"/>
  <c r="L18" i="3"/>
  <c r="BD17" i="10"/>
  <c r="Y17" i="10" s="1"/>
  <c r="L19" i="3"/>
  <c r="BD18" i="10"/>
  <c r="Y18" i="10" s="1"/>
  <c r="BD19" i="10"/>
  <c r="Y19" i="10" s="1"/>
  <c r="L20" i="3"/>
  <c r="BD20" i="10"/>
  <c r="Y20" i="10" s="1"/>
  <c r="L21" i="3"/>
  <c r="BD21" i="10"/>
  <c r="Y21" i="10" s="1"/>
  <c r="L22" i="3"/>
  <c r="BD22" i="10"/>
  <c r="Y22" i="10" s="1"/>
  <c r="L23" i="3"/>
  <c r="L24" i="3"/>
  <c r="BD23" i="10"/>
  <c r="Y23" i="10" s="1"/>
  <c r="L25" i="3"/>
  <c r="BD24" i="10"/>
  <c r="Y24" i="10" s="1"/>
  <c r="BD25" i="10"/>
  <c r="Y25" i="10" s="1"/>
  <c r="L26" i="3"/>
  <c r="L27" i="3"/>
  <c r="BD26" i="10"/>
  <c r="Y26" i="10" s="1"/>
  <c r="L28" i="3"/>
  <c r="BD27" i="10"/>
  <c r="Y27" i="10" s="1"/>
  <c r="BD28" i="10"/>
  <c r="Y28" i="10" s="1"/>
  <c r="L29" i="3"/>
  <c r="L30" i="3"/>
  <c r="BD29" i="10"/>
  <c r="Y29" i="10" s="1"/>
  <c r="BD30" i="10"/>
  <c r="Y30" i="10" s="1"/>
  <c r="L31" i="3"/>
  <c r="BD31" i="10"/>
  <c r="Y31" i="10" s="1"/>
  <c r="L32" i="3"/>
  <c r="BD32" i="10"/>
  <c r="Y32" i="10" s="1"/>
  <c r="L33" i="3"/>
  <c r="BD33" i="10"/>
  <c r="Y33" i="10" s="1"/>
  <c r="L34" i="3"/>
  <c r="BD34" i="10"/>
  <c r="Y34" i="10" s="1"/>
  <c r="L35" i="3"/>
  <c r="BD35" i="10"/>
  <c r="Y35" i="10" s="1"/>
  <c r="L36" i="3"/>
  <c r="BD36" i="10"/>
  <c r="Y36" i="10" s="1"/>
  <c r="L37" i="3"/>
  <c r="BD37" i="10"/>
  <c r="Y37" i="10" s="1"/>
  <c r="L38" i="3"/>
  <c r="BD38" i="10"/>
  <c r="Y38" i="10" s="1"/>
  <c r="L39" i="3"/>
  <c r="L40" i="3"/>
  <c r="BD39" i="10"/>
  <c r="Y39" i="10" s="1"/>
  <c r="BD40" i="10"/>
  <c r="Y40" i="10" s="1"/>
  <c r="L41" i="3"/>
  <c r="L42" i="3"/>
  <c r="BD41" i="10"/>
  <c r="Y41" i="10" s="1"/>
  <c r="L43" i="3"/>
  <c r="BD42" i="10"/>
  <c r="Y42" i="10" s="1"/>
  <c r="L44" i="3"/>
  <c r="BD43" i="10"/>
  <c r="Y43" i="10" s="1"/>
  <c r="L45" i="3"/>
  <c r="BD44" i="10"/>
  <c r="Y44" i="10" s="1"/>
  <c r="L46" i="3"/>
  <c r="BD45" i="10"/>
  <c r="Y45" i="10" s="1"/>
  <c r="BD46" i="10"/>
  <c r="Y46" i="10" s="1"/>
  <c r="L47" i="3"/>
  <c r="BD47" i="10"/>
  <c r="Y47" i="10" s="1"/>
  <c r="L48" i="3"/>
  <c r="BD48" i="10"/>
  <c r="Y48" i="10" s="1"/>
  <c r="L49" i="3"/>
  <c r="L50" i="3"/>
  <c r="BD49" i="10"/>
  <c r="Y49" i="10" s="1"/>
  <c r="L51" i="3"/>
  <c r="BD50" i="10"/>
  <c r="Y50" i="10" s="1"/>
  <c r="BD51" i="10"/>
  <c r="Y51" i="10" s="1"/>
  <c r="L52" i="3"/>
  <c r="L53" i="3"/>
  <c r="BD52" i="10"/>
  <c r="Y52" i="10" s="1"/>
  <c r="BD53" i="10"/>
  <c r="Y53" i="10" s="1"/>
  <c r="L54" i="3"/>
  <c r="L55" i="3"/>
  <c r="BD54" i="10"/>
  <c r="Y54" i="10" s="1"/>
  <c r="BD55" i="10"/>
  <c r="Y55" i="10" s="1"/>
  <c r="L56" i="3"/>
  <c r="BD56" i="10"/>
  <c r="Y56" i="10" s="1"/>
  <c r="L57" i="3"/>
  <c r="BD57" i="10"/>
  <c r="Y57" i="10" s="1"/>
  <c r="L58" i="3"/>
  <c r="L59" i="3"/>
  <c r="BD58" i="10"/>
  <c r="Y58" i="10" s="1"/>
  <c r="L60" i="3"/>
  <c r="BD59" i="10"/>
  <c r="Y59" i="10" s="1"/>
  <c r="BD60" i="10"/>
  <c r="Y60" i="10" s="1"/>
  <c r="L61" i="3"/>
  <c r="I13" i="7" s="1"/>
  <c r="L62" i="3"/>
  <c r="BD61" i="10"/>
  <c r="Y61" i="10" s="1"/>
  <c r="L63" i="3"/>
  <c r="BD62" i="10"/>
  <c r="Y62" i="10" s="1"/>
  <c r="BD63" i="10"/>
  <c r="Y63" i="10" s="1"/>
  <c r="L64" i="3"/>
  <c r="L65" i="3"/>
  <c r="BD64" i="10"/>
  <c r="Y64" i="10" s="1"/>
  <c r="BD65" i="10"/>
  <c r="Y65" i="10" s="1"/>
  <c r="L66" i="3"/>
  <c r="L67" i="3"/>
  <c r="BD66" i="10"/>
  <c r="Y66" i="10" s="1"/>
  <c r="L68" i="3"/>
  <c r="BD67" i="10"/>
  <c r="Y67" i="10" s="1"/>
  <c r="BD68" i="10"/>
  <c r="Y68" i="10" s="1"/>
  <c r="L69" i="3"/>
  <c r="BD69" i="10"/>
  <c r="Y69" i="10" s="1"/>
  <c r="L70" i="3"/>
  <c r="BD70" i="10"/>
  <c r="Y70" i="10" s="1"/>
  <c r="L71" i="3"/>
  <c r="BD71" i="10"/>
  <c r="Y71" i="10" s="1"/>
  <c r="L72" i="3"/>
  <c r="BD72" i="10"/>
  <c r="Y72" i="10" s="1"/>
  <c r="L73" i="3"/>
  <c r="L74" i="3"/>
  <c r="BD73" i="10"/>
  <c r="Y73" i="10" s="1"/>
  <c r="L75" i="3"/>
  <c r="BD74" i="10"/>
  <c r="Y74" i="10" s="1"/>
  <c r="BD75" i="10"/>
  <c r="Y75" i="10" s="1"/>
  <c r="L76" i="3"/>
  <c r="BD76" i="10"/>
  <c r="Y76" i="10" s="1"/>
  <c r="L77" i="3"/>
  <c r="BD77" i="10"/>
  <c r="Y77" i="10" s="1"/>
  <c r="L78" i="3"/>
  <c r="BD78" i="10"/>
  <c r="Y78" i="10" s="1"/>
  <c r="L79" i="3"/>
  <c r="BD79" i="10"/>
  <c r="Y79" i="10" s="1"/>
  <c r="L80" i="3"/>
  <c r="L81" i="3"/>
  <c r="BD80" i="10"/>
  <c r="Y80" i="10" s="1"/>
  <c r="BD81" i="10"/>
  <c r="Y81" i="10" s="1"/>
  <c r="L82" i="3"/>
  <c r="BD82" i="10"/>
  <c r="Y82" i="10" s="1"/>
  <c r="L83" i="3"/>
  <c r="L84" i="3"/>
  <c r="BD83" i="10"/>
  <c r="Y83" i="10" s="1"/>
  <c r="L85" i="3"/>
  <c r="BD84" i="10"/>
  <c r="Y84" i="10" s="1"/>
  <c r="L86" i="3"/>
  <c r="BD85" i="10"/>
  <c r="Y85" i="10" s="1"/>
  <c r="L87" i="3"/>
  <c r="BD86" i="10"/>
  <c r="Y86" i="10" s="1"/>
  <c r="L88" i="3"/>
  <c r="BD87" i="10"/>
  <c r="Y87" i="10" s="1"/>
  <c r="L89" i="3"/>
  <c r="BD88" i="10"/>
  <c r="Y88" i="10" s="1"/>
  <c r="L90" i="3"/>
  <c r="BD89" i="10"/>
  <c r="Y89" i="10" s="1"/>
  <c r="L91" i="3"/>
  <c r="BD90" i="10"/>
  <c r="Y90" i="10" s="1"/>
  <c r="BD91" i="10"/>
  <c r="Y91" i="10" s="1"/>
  <c r="L92" i="3"/>
  <c r="L93" i="3"/>
  <c r="BD92" i="10"/>
  <c r="Y92" i="10" s="1"/>
  <c r="BD93" i="10"/>
  <c r="Y93" i="10" s="1"/>
  <c r="L94" i="3"/>
  <c r="L95" i="3"/>
  <c r="BD94" i="10"/>
  <c r="Y94" i="10" s="1"/>
  <c r="L96" i="3"/>
  <c r="BD95" i="10"/>
  <c r="Y95" i="10" s="1"/>
  <c r="L97" i="3"/>
  <c r="BD96" i="10"/>
  <c r="Y96" i="10" s="1"/>
  <c r="L98" i="3"/>
  <c r="BD97" i="10"/>
  <c r="Y97" i="10" s="1"/>
  <c r="L99" i="3"/>
  <c r="BD98" i="10"/>
  <c r="Y98" i="10" s="1"/>
  <c r="L100" i="3"/>
  <c r="BD99" i="10"/>
  <c r="Y99" i="10" s="1"/>
  <c r="BD100" i="10"/>
  <c r="Y100" i="10" s="1"/>
  <c r="L101" i="3"/>
  <c r="BD101" i="10"/>
  <c r="Y101" i="10" s="1"/>
  <c r="L102" i="3"/>
  <c r="BD102" i="10"/>
  <c r="Y102" i="10" s="1"/>
  <c r="L103" i="3"/>
  <c r="BD103" i="10"/>
  <c r="Y103" i="10" s="1"/>
  <c r="L104" i="3"/>
  <c r="BD104" i="10"/>
  <c r="Y104" i="10" s="1"/>
  <c r="L105" i="3"/>
  <c r="BD105" i="10"/>
  <c r="Y105" i="10" s="1"/>
  <c r="L106" i="3"/>
  <c r="BD106" i="10"/>
  <c r="Y106" i="10" s="1"/>
  <c r="L107" i="3"/>
  <c r="L108" i="3"/>
  <c r="BD107" i="10"/>
  <c r="Y107" i="10" s="1"/>
  <c r="BD108" i="10"/>
  <c r="Y108" i="10" s="1"/>
  <c r="L109" i="3"/>
  <c r="L110" i="3"/>
  <c r="BD109" i="10"/>
  <c r="Y109" i="10" s="1"/>
  <c r="L111" i="3"/>
  <c r="BD110" i="10"/>
  <c r="Y110" i="10" s="1"/>
  <c r="BD111" i="10"/>
  <c r="Y111" i="10" s="1"/>
  <c r="L112" i="3"/>
  <c r="BD112" i="10"/>
  <c r="Y112" i="10" s="1"/>
  <c r="L113" i="3"/>
  <c r="L114" i="3"/>
  <c r="BD113" i="10"/>
  <c r="Y113" i="10" s="1"/>
  <c r="L115" i="3"/>
  <c r="BD114" i="10"/>
  <c r="Y114" i="10" s="1"/>
  <c r="L116" i="3"/>
  <c r="BD115" i="10"/>
  <c r="Y115" i="10" s="1"/>
  <c r="BD116" i="10"/>
  <c r="Y116" i="10" s="1"/>
  <c r="L117" i="3"/>
  <c r="BD117" i="10"/>
  <c r="Y117" i="10" s="1"/>
  <c r="L118" i="3"/>
  <c r="BD118" i="10"/>
  <c r="Y118" i="10" s="1"/>
  <c r="L119" i="3"/>
  <c r="BD119" i="10"/>
  <c r="Y119" i="10" s="1"/>
  <c r="L120" i="3"/>
  <c r="BD120" i="10"/>
  <c r="Y120" i="10" s="1"/>
  <c r="L121" i="3"/>
  <c r="L122" i="3"/>
  <c r="BD121" i="10"/>
  <c r="Y121" i="10" s="1"/>
  <c r="BD122" i="10"/>
  <c r="Y122" i="10" s="1"/>
  <c r="L123" i="3"/>
  <c r="L124" i="3"/>
  <c r="BD123" i="10"/>
  <c r="Y123" i="10" s="1"/>
  <c r="BD124" i="10"/>
  <c r="Y124" i="10" s="1"/>
  <c r="L125" i="3"/>
  <c r="L126" i="3"/>
  <c r="BD125" i="10"/>
  <c r="Y125" i="10" s="1"/>
  <c r="L127" i="3"/>
  <c r="BD126" i="10"/>
  <c r="Y126" i="10" s="1"/>
  <c r="L128" i="3"/>
  <c r="BD127" i="10"/>
  <c r="Y127" i="10" s="1"/>
  <c r="BD128" i="10"/>
  <c r="Y128" i="10" s="1"/>
  <c r="L129" i="3"/>
  <c r="L130" i="3"/>
  <c r="BD129" i="10"/>
  <c r="Y129" i="10" s="1"/>
  <c r="L131" i="3"/>
  <c r="BD130" i="10"/>
  <c r="Y130" i="10" s="1"/>
  <c r="BD131" i="10"/>
  <c r="Y131" i="10" s="1"/>
  <c r="L132" i="3"/>
  <c r="L133" i="3"/>
  <c r="BD132" i="10"/>
  <c r="Y132" i="10" s="1"/>
  <c r="L134" i="3"/>
  <c r="BD133" i="10"/>
  <c r="Y133" i="10" s="1"/>
  <c r="L135" i="3"/>
  <c r="BD134" i="10"/>
  <c r="Y134" i="10" s="1"/>
  <c r="L136" i="3"/>
  <c r="BD135" i="10"/>
  <c r="Y135" i="10" s="1"/>
  <c r="L137" i="3"/>
  <c r="BD136" i="10"/>
  <c r="Y136" i="10" s="1"/>
  <c r="BD137" i="10"/>
  <c r="Y137" i="10" s="1"/>
  <c r="L138" i="3"/>
  <c r="L139" i="3"/>
  <c r="BD138" i="10"/>
  <c r="Y138" i="10" s="1"/>
  <c r="BD139" i="10"/>
  <c r="Y139" i="10" s="1"/>
  <c r="L140" i="3"/>
  <c r="BD140" i="10"/>
  <c r="Y140" i="10" s="1"/>
  <c r="L141" i="3"/>
  <c r="BD141" i="10"/>
  <c r="Y141" i="10" s="1"/>
  <c r="L142" i="3"/>
  <c r="L143" i="3"/>
  <c r="BD142" i="10"/>
  <c r="Y142" i="10" s="1"/>
  <c r="BD143" i="10"/>
  <c r="Y143" i="10" s="1"/>
  <c r="L144" i="3"/>
  <c r="L145" i="3"/>
  <c r="BD144" i="10"/>
  <c r="Y144" i="10" s="1"/>
  <c r="BD145" i="10"/>
  <c r="Y145" i="10" s="1"/>
  <c r="L146" i="3"/>
  <c r="BD146" i="10"/>
  <c r="Y146" i="10" s="1"/>
  <c r="L147" i="3"/>
  <c r="L148" i="3"/>
  <c r="BD147" i="10"/>
  <c r="Y147" i="10" s="1"/>
  <c r="BD148" i="10"/>
  <c r="Y148" i="10" s="1"/>
  <c r="L149" i="3"/>
  <c r="BD149" i="10"/>
  <c r="Y149" i="10" s="1"/>
  <c r="L150" i="3"/>
  <c r="BD150" i="10"/>
  <c r="Y150" i="10" s="1"/>
  <c r="L151" i="3"/>
  <c r="BD151" i="10"/>
  <c r="Y151" i="10" s="1"/>
  <c r="L152" i="3"/>
  <c r="L153" i="3"/>
  <c r="BD152" i="10"/>
  <c r="Y152" i="10" s="1"/>
  <c r="L154" i="3"/>
  <c r="BD153" i="10"/>
  <c r="Y153" i="10" s="1"/>
  <c r="BD154" i="10"/>
  <c r="Y154" i="10" s="1"/>
  <c r="L155" i="3"/>
  <c r="BD155" i="10"/>
  <c r="Y155" i="10" s="1"/>
  <c r="L156" i="3"/>
  <c r="BD156" i="10"/>
  <c r="Y156" i="10" s="1"/>
  <c r="L157" i="3"/>
  <c r="BD157" i="10"/>
  <c r="Y157" i="10" s="1"/>
  <c r="L158" i="3"/>
  <c r="BD158" i="10"/>
  <c r="Y158" i="10" s="1"/>
  <c r="L159" i="3"/>
  <c r="BD159" i="10"/>
  <c r="Y159" i="10" s="1"/>
  <c r="L160" i="3"/>
  <c r="BD160" i="10"/>
  <c r="Y160" i="10" s="1"/>
  <c r="L161" i="3"/>
  <c r="BD161" i="10"/>
  <c r="Y161" i="10" s="1"/>
  <c r="L162" i="3"/>
  <c r="BD162" i="10"/>
  <c r="Y162" i="10" s="1"/>
  <c r="L163" i="3"/>
  <c r="BD163" i="10"/>
  <c r="Y163" i="10" s="1"/>
  <c r="L164" i="3"/>
  <c r="BD164" i="10"/>
  <c r="Y164" i="10" s="1"/>
  <c r="L165" i="3"/>
  <c r="L166" i="3"/>
  <c r="BD165" i="10"/>
  <c r="Y165" i="10" s="1"/>
  <c r="BD166" i="10"/>
  <c r="Y166" i="10" s="1"/>
  <c r="L167" i="3"/>
  <c r="BD167" i="10"/>
  <c r="Y167" i="10" s="1"/>
  <c r="L168" i="3"/>
  <c r="L169" i="3"/>
  <c r="BD168" i="10"/>
  <c r="Y168" i="10" s="1"/>
  <c r="BD169" i="10"/>
  <c r="Y169" i="10" s="1"/>
  <c r="L170" i="3"/>
  <c r="L171" i="3"/>
  <c r="BD170" i="10"/>
  <c r="Y170" i="10" s="1"/>
  <c r="L172" i="3"/>
  <c r="BD171" i="10"/>
  <c r="Y171" i="10" s="1"/>
  <c r="L173" i="3"/>
  <c r="BD172" i="10"/>
  <c r="Y172" i="10" s="1"/>
  <c r="L174" i="3"/>
  <c r="BD173" i="10"/>
  <c r="Y173" i="10" s="1"/>
  <c r="BD174" i="10"/>
  <c r="Y174" i="10" s="1"/>
  <c r="L175" i="3"/>
  <c r="L176" i="3"/>
  <c r="BD175" i="10"/>
  <c r="Y175" i="10" s="1"/>
  <c r="L177" i="3"/>
  <c r="BD176" i="10"/>
  <c r="Y176" i="10" s="1"/>
  <c r="I4" i="3"/>
  <c r="BA3" i="10"/>
  <c r="V3" i="10" s="1"/>
  <c r="I3" i="6"/>
  <c r="I5" i="3"/>
  <c r="BA4" i="10"/>
  <c r="V4" i="10" s="1"/>
  <c r="I4" i="6"/>
  <c r="F11" i="7" s="1"/>
  <c r="I6" i="3"/>
  <c r="BA5" i="10"/>
  <c r="V5" i="10" s="1"/>
  <c r="I5" i="6"/>
  <c r="F4" i="7" s="1"/>
  <c r="BA6" i="10"/>
  <c r="V6" i="10" s="1"/>
  <c r="I7" i="3"/>
  <c r="I6" i="6"/>
  <c r="F7" i="7" s="1"/>
  <c r="I8" i="3"/>
  <c r="BA7" i="10"/>
  <c r="V7" i="10" s="1"/>
  <c r="I7" i="6"/>
  <c r="I9" i="3"/>
  <c r="I8" i="6"/>
  <c r="BA8" i="10"/>
  <c r="V8" i="10" s="1"/>
  <c r="I9" i="6"/>
  <c r="BA9" i="10"/>
  <c r="V9" i="10" s="1"/>
  <c r="I10" i="3"/>
  <c r="I10" i="6"/>
  <c r="BA10" i="10"/>
  <c r="V10" i="10" s="1"/>
  <c r="I11" i="3"/>
  <c r="I11" i="6"/>
  <c r="BA11" i="10"/>
  <c r="V11" i="10" s="1"/>
  <c r="I12" i="3"/>
  <c r="BA12" i="10"/>
  <c r="V12" i="10" s="1"/>
  <c r="I12" i="6"/>
  <c r="I13" i="3"/>
  <c r="I14" i="3"/>
  <c r="BA13" i="10"/>
  <c r="V13" i="10" s="1"/>
  <c r="I13" i="6"/>
  <c r="BA14" i="10"/>
  <c r="V14" i="10" s="1"/>
  <c r="I15" i="3"/>
  <c r="I14" i="6"/>
  <c r="BA16" i="10"/>
  <c r="V16" i="10" s="1"/>
  <c r="I17" i="3"/>
  <c r="I16" i="6"/>
  <c r="F10" i="7" s="1"/>
  <c r="I18" i="3"/>
  <c r="BA17" i="10"/>
  <c r="V17" i="10" s="1"/>
  <c r="I17" i="6"/>
  <c r="I19" i="3"/>
  <c r="BA18" i="10"/>
  <c r="V18" i="10" s="1"/>
  <c r="I18" i="6"/>
  <c r="F8" i="7" s="1"/>
  <c r="I20" i="3"/>
  <c r="BA19" i="10"/>
  <c r="V19" i="10" s="1"/>
  <c r="I19" i="6"/>
  <c r="F5" i="7" s="1"/>
  <c r="BA20" i="10"/>
  <c r="V20" i="10" s="1"/>
  <c r="I20" i="6"/>
  <c r="I21" i="3"/>
  <c r="I21" i="6"/>
  <c r="I22" i="3"/>
  <c r="BA21" i="10"/>
  <c r="V21" i="10" s="1"/>
  <c r="I22" i="6"/>
  <c r="BA22" i="10"/>
  <c r="V22" i="10" s="1"/>
  <c r="I23" i="3"/>
  <c r="I24" i="3"/>
  <c r="I23" i="6"/>
  <c r="BA23" i="10"/>
  <c r="V23" i="10" s="1"/>
  <c r="I25" i="3"/>
  <c r="BA24" i="10"/>
  <c r="V24" i="10" s="1"/>
  <c r="I24" i="6"/>
  <c r="I25" i="6"/>
  <c r="BA25" i="10"/>
  <c r="V25" i="10" s="1"/>
  <c r="I26" i="3"/>
  <c r="I27" i="3"/>
  <c r="I26" i="6"/>
  <c r="BA26" i="10"/>
  <c r="V26" i="10" s="1"/>
  <c r="I27" i="6"/>
  <c r="BA27" i="10"/>
  <c r="V27" i="10" s="1"/>
  <c r="I28" i="3"/>
  <c r="BA28" i="10"/>
  <c r="V28" i="10" s="1"/>
  <c r="I29" i="3"/>
  <c r="I28" i="6"/>
  <c r="BA29" i="10"/>
  <c r="V29" i="10" s="1"/>
  <c r="I29" i="6"/>
  <c r="I30" i="3"/>
  <c r="I30" i="6"/>
  <c r="I31" i="3"/>
  <c r="BA30" i="10"/>
  <c r="V30" i="10" s="1"/>
  <c r="I31" i="6"/>
  <c r="I32" i="3"/>
  <c r="BA31" i="10"/>
  <c r="V31" i="10" s="1"/>
  <c r="I32" i="6"/>
  <c r="BA32" i="10"/>
  <c r="V32" i="10" s="1"/>
  <c r="I33" i="3"/>
  <c r="I33" i="6"/>
  <c r="BA33" i="10"/>
  <c r="V33" i="10" s="1"/>
  <c r="I34" i="3"/>
  <c r="I34" i="6"/>
  <c r="BA34" i="10"/>
  <c r="V34" i="10" s="1"/>
  <c r="I35" i="3"/>
  <c r="I35" i="6"/>
  <c r="I36" i="3"/>
  <c r="BA35" i="10"/>
  <c r="V35" i="10" s="1"/>
  <c r="I36" i="6"/>
  <c r="F6" i="7" s="1"/>
  <c r="BA36" i="10"/>
  <c r="V36" i="10" s="1"/>
  <c r="I37" i="3"/>
  <c r="BA37" i="10"/>
  <c r="V37" i="10" s="1"/>
  <c r="I37" i="6"/>
  <c r="I38" i="3"/>
  <c r="BA38" i="10"/>
  <c r="V38" i="10" s="1"/>
  <c r="I38" i="6"/>
  <c r="I39" i="3"/>
  <c r="I39" i="6"/>
  <c r="BA39" i="10"/>
  <c r="V39" i="10" s="1"/>
  <c r="I40" i="3"/>
  <c r="I41" i="3"/>
  <c r="BA40" i="10"/>
  <c r="V40" i="10" s="1"/>
  <c r="I40" i="6"/>
  <c r="I41" i="6"/>
  <c r="BA41" i="10"/>
  <c r="V41" i="10" s="1"/>
  <c r="I42" i="3"/>
  <c r="I42" i="6"/>
  <c r="BA42" i="10"/>
  <c r="V42" i="10" s="1"/>
  <c r="I43" i="3"/>
  <c r="I43" i="6"/>
  <c r="BA43" i="10"/>
  <c r="V43" i="10" s="1"/>
  <c r="I44" i="3"/>
  <c r="I44" i="6"/>
  <c r="BA44" i="10"/>
  <c r="V44" i="10" s="1"/>
  <c r="I45" i="3"/>
  <c r="BA45" i="10"/>
  <c r="V45" i="10" s="1"/>
  <c r="I45" i="6"/>
  <c r="I46" i="3"/>
  <c r="BA46" i="10"/>
  <c r="V46" i="10" s="1"/>
  <c r="I46" i="6"/>
  <c r="I47" i="3"/>
  <c r="BA47" i="10"/>
  <c r="V47" i="10" s="1"/>
  <c r="I47" i="6"/>
  <c r="I48" i="3"/>
  <c r="I48" i="6"/>
  <c r="BA48" i="10"/>
  <c r="V48" i="10" s="1"/>
  <c r="I49" i="3"/>
  <c r="BA49" i="10"/>
  <c r="V49" i="10" s="1"/>
  <c r="I49" i="6"/>
  <c r="I50" i="3"/>
  <c r="I51" i="3"/>
  <c r="BA50" i="10"/>
  <c r="V50" i="10" s="1"/>
  <c r="I50" i="6"/>
  <c r="F16" i="7" s="1"/>
  <c r="I52" i="3"/>
  <c r="BA51" i="10"/>
  <c r="V51" i="10" s="1"/>
  <c r="I51" i="6"/>
  <c r="BA52" i="10"/>
  <c r="V52" i="10" s="1"/>
  <c r="I52" i="6"/>
  <c r="I53" i="3"/>
  <c r="I54" i="3"/>
  <c r="I53" i="6"/>
  <c r="BA53" i="10"/>
  <c r="V53" i="10" s="1"/>
  <c r="I55" i="3"/>
  <c r="I54" i="6"/>
  <c r="BA54" i="10"/>
  <c r="V54" i="10" s="1"/>
  <c r="I56" i="3"/>
  <c r="I55" i="6"/>
  <c r="BA55" i="10"/>
  <c r="V55" i="10" s="1"/>
  <c r="I57" i="3"/>
  <c r="I56" i="6"/>
  <c r="F15" i="7" s="1"/>
  <c r="BA56" i="10"/>
  <c r="V56" i="10" s="1"/>
  <c r="I58" i="3"/>
  <c r="I57" i="6"/>
  <c r="BA57" i="10"/>
  <c r="V57" i="10" s="1"/>
  <c r="I58" i="6"/>
  <c r="BA58" i="10"/>
  <c r="V58" i="10" s="1"/>
  <c r="I59" i="3"/>
  <c r="I59" i="6"/>
  <c r="BA59" i="10"/>
  <c r="V59" i="10" s="1"/>
  <c r="I60" i="3"/>
  <c r="I60" i="6"/>
  <c r="F13" i="7" s="1"/>
  <c r="BA60" i="10"/>
  <c r="V60" i="10" s="1"/>
  <c r="I61" i="3"/>
  <c r="I61" i="6"/>
  <c r="BA61" i="10"/>
  <c r="V61" i="10" s="1"/>
  <c r="I62" i="3"/>
  <c r="BA62" i="10"/>
  <c r="V62" i="10" s="1"/>
  <c r="I62" i="6"/>
  <c r="I63" i="3"/>
  <c r="I63" i="6"/>
  <c r="I64" i="3"/>
  <c r="BA63" i="10"/>
  <c r="V63" i="10" s="1"/>
  <c r="I64" i="6"/>
  <c r="BA64" i="10"/>
  <c r="V64" i="10" s="1"/>
  <c r="I65" i="3"/>
  <c r="BA65" i="10"/>
  <c r="V65" i="10" s="1"/>
  <c r="I65" i="6"/>
  <c r="I66" i="3"/>
  <c r="BA66" i="10"/>
  <c r="V66" i="10" s="1"/>
  <c r="I66" i="6"/>
  <c r="I67" i="3"/>
  <c r="BA67" i="10"/>
  <c r="V67" i="10" s="1"/>
  <c r="I67" i="6"/>
  <c r="I68" i="3"/>
  <c r="I68" i="6"/>
  <c r="BA68" i="10"/>
  <c r="V68" i="10" s="1"/>
  <c r="I69" i="3"/>
  <c r="BA69" i="10"/>
  <c r="V69" i="10" s="1"/>
  <c r="I69" i="6"/>
  <c r="I70" i="3"/>
  <c r="I70" i="6"/>
  <c r="BA70" i="10"/>
  <c r="V70" i="10" s="1"/>
  <c r="I71" i="3"/>
  <c r="BA71" i="10"/>
  <c r="V71" i="10" s="1"/>
  <c r="I71" i="6"/>
  <c r="I72" i="3"/>
  <c r="BA72" i="10"/>
  <c r="V72" i="10" s="1"/>
  <c r="I73" i="3"/>
  <c r="I72" i="6"/>
  <c r="BA73" i="10"/>
  <c r="V73" i="10" s="1"/>
  <c r="I73" i="6"/>
  <c r="I74" i="3"/>
  <c r="I75" i="3"/>
  <c r="BA74" i="10"/>
  <c r="V74" i="10" s="1"/>
  <c r="I74" i="6"/>
  <c r="BA75" i="10"/>
  <c r="V75" i="10" s="1"/>
  <c r="I75" i="6"/>
  <c r="I76" i="3"/>
  <c r="BA76" i="10"/>
  <c r="V76" i="10" s="1"/>
  <c r="I76" i="6"/>
  <c r="I77" i="3"/>
  <c r="BA77" i="10"/>
  <c r="V77" i="10" s="1"/>
  <c r="I77" i="6"/>
  <c r="I78" i="3"/>
  <c r="BA78" i="10"/>
  <c r="V78" i="10" s="1"/>
  <c r="I78" i="6"/>
  <c r="I79" i="3"/>
  <c r="I79" i="6"/>
  <c r="F14" i="7" s="1"/>
  <c r="I80" i="3"/>
  <c r="BA79" i="10"/>
  <c r="V79" i="10" s="1"/>
  <c r="BA80" i="10"/>
  <c r="V80" i="10" s="1"/>
  <c r="I80" i="6"/>
  <c r="I81" i="3"/>
  <c r="I81" i="6"/>
  <c r="I82" i="3"/>
  <c r="BA81" i="10"/>
  <c r="V81" i="10" s="1"/>
  <c r="I83" i="3"/>
  <c r="BA82" i="10"/>
  <c r="V82" i="10" s="1"/>
  <c r="I82" i="6"/>
  <c r="F9" i="7" s="1"/>
  <c r="I83" i="6"/>
  <c r="I84" i="3"/>
  <c r="BA83" i="10"/>
  <c r="V83" i="10" s="1"/>
  <c r="I84" i="6"/>
  <c r="BA84" i="10"/>
  <c r="V84" i="10" s="1"/>
  <c r="I85" i="3"/>
  <c r="I85" i="6"/>
  <c r="BA85" i="10"/>
  <c r="V85" i="10" s="1"/>
  <c r="I86" i="3"/>
  <c r="I86" i="6"/>
  <c r="I87" i="3"/>
  <c r="BA86" i="10"/>
  <c r="V86" i="10" s="1"/>
  <c r="I88" i="3"/>
  <c r="BA87" i="10"/>
  <c r="V87" i="10" s="1"/>
  <c r="I87" i="6"/>
  <c r="I89" i="3"/>
  <c r="I88" i="6"/>
  <c r="BA88" i="10"/>
  <c r="V88" i="10" s="1"/>
  <c r="BA89" i="10"/>
  <c r="V89" i="10" s="1"/>
  <c r="I90" i="3"/>
  <c r="I89" i="6"/>
  <c r="I91" i="3"/>
  <c r="BA90" i="10"/>
  <c r="V90" i="10" s="1"/>
  <c r="I90" i="6"/>
  <c r="BA91" i="10"/>
  <c r="V91" i="10" s="1"/>
  <c r="I92" i="3"/>
  <c r="I91" i="6"/>
  <c r="I93" i="3"/>
  <c r="I92" i="6"/>
  <c r="BA92" i="10"/>
  <c r="V92" i="10" s="1"/>
  <c r="BA93" i="10"/>
  <c r="V93" i="10" s="1"/>
  <c r="I94" i="3"/>
  <c r="I93" i="6"/>
  <c r="I95" i="3"/>
  <c r="I94" i="6"/>
  <c r="BA94" i="10"/>
  <c r="V94" i="10" s="1"/>
  <c r="I96" i="3"/>
  <c r="I95" i="6"/>
  <c r="BA95" i="10"/>
  <c r="V95" i="10" s="1"/>
  <c r="I96" i="6"/>
  <c r="BA96" i="10"/>
  <c r="V96" i="10" s="1"/>
  <c r="I97" i="3"/>
  <c r="I97" i="6"/>
  <c r="BA97" i="10"/>
  <c r="V97" i="10" s="1"/>
  <c r="I98" i="3"/>
  <c r="I98" i="6"/>
  <c r="BA98" i="10"/>
  <c r="V98" i="10" s="1"/>
  <c r="I99" i="3"/>
  <c r="I100" i="3"/>
  <c r="BA99" i="10"/>
  <c r="V99" i="10" s="1"/>
  <c r="I99" i="6"/>
  <c r="I100" i="6"/>
  <c r="I101" i="3"/>
  <c r="BA100" i="10"/>
  <c r="V100" i="10" s="1"/>
  <c r="I101" i="6"/>
  <c r="BA101" i="10"/>
  <c r="V101" i="10" s="1"/>
  <c r="I102" i="3"/>
  <c r="BA102" i="10"/>
  <c r="V102" i="10" s="1"/>
  <c r="I102" i="6"/>
  <c r="I103" i="3"/>
  <c r="BA103" i="10"/>
  <c r="V103" i="10" s="1"/>
  <c r="I103" i="6"/>
  <c r="I104" i="3"/>
  <c r="I104" i="6"/>
  <c r="BA104" i="10"/>
  <c r="V104" i="10" s="1"/>
  <c r="I105" i="3"/>
  <c r="BA105" i="10"/>
  <c r="V105" i="10" s="1"/>
  <c r="I105" i="6"/>
  <c r="I106" i="3"/>
  <c r="I106" i="6"/>
  <c r="BA106" i="10"/>
  <c r="V106" i="10" s="1"/>
  <c r="I107" i="3"/>
  <c r="BA107" i="10"/>
  <c r="V107" i="10" s="1"/>
  <c r="I108" i="3"/>
  <c r="I107" i="6"/>
  <c r="BA108" i="10"/>
  <c r="V108" i="10" s="1"/>
  <c r="I109" i="3"/>
  <c r="I108" i="6"/>
  <c r="BA109" i="10"/>
  <c r="V109" i="10" s="1"/>
  <c r="I110" i="3"/>
  <c r="I109" i="6"/>
  <c r="I110" i="6"/>
  <c r="I111" i="3"/>
  <c r="BA110" i="10"/>
  <c r="V110" i="10" s="1"/>
  <c r="I112" i="3"/>
  <c r="I111" i="6"/>
  <c r="BA111" i="10"/>
  <c r="V111" i="10" s="1"/>
  <c r="I113" i="3"/>
  <c r="BA112" i="10"/>
  <c r="V112" i="10" s="1"/>
  <c r="I112" i="6"/>
  <c r="I114" i="3"/>
  <c r="I113" i="6"/>
  <c r="BA113" i="10"/>
  <c r="V113" i="10" s="1"/>
  <c r="I115" i="3"/>
  <c r="BA114" i="10"/>
  <c r="V114" i="10" s="1"/>
  <c r="I114" i="6"/>
  <c r="I117" i="3"/>
  <c r="BA116" i="10"/>
  <c r="V116" i="10" s="1"/>
  <c r="I116" i="6"/>
  <c r="I118" i="3"/>
  <c r="BA117" i="10"/>
  <c r="V117" i="10" s="1"/>
  <c r="I117" i="6"/>
  <c r="I119" i="3"/>
  <c r="BA118" i="10"/>
  <c r="V118" i="10" s="1"/>
  <c r="I118" i="6"/>
  <c r="I120" i="3"/>
  <c r="BA119" i="10"/>
  <c r="V119" i="10" s="1"/>
  <c r="I119" i="6"/>
  <c r="I120" i="6"/>
  <c r="BA120" i="10"/>
  <c r="V120" i="10" s="1"/>
  <c r="I121" i="3"/>
  <c r="BA121" i="10"/>
  <c r="V121" i="10" s="1"/>
  <c r="I121" i="6"/>
  <c r="I122" i="3"/>
  <c r="BA122" i="10"/>
  <c r="V122" i="10" s="1"/>
  <c r="I122" i="6"/>
  <c r="I123" i="3"/>
  <c r="I124" i="3"/>
  <c r="I123" i="6"/>
  <c r="BA123" i="10"/>
  <c r="V123" i="10" s="1"/>
  <c r="BA124" i="10"/>
  <c r="V124" i="10" s="1"/>
  <c r="I125" i="3"/>
  <c r="I124" i="6"/>
  <c r="I126" i="3"/>
  <c r="I125" i="6"/>
  <c r="BA125" i="10"/>
  <c r="V125" i="10" s="1"/>
  <c r="BA126" i="10"/>
  <c r="V126" i="10" s="1"/>
  <c r="I126" i="6"/>
  <c r="I127" i="3"/>
  <c r="I128" i="3"/>
  <c r="I127" i="6"/>
  <c r="BA127" i="10"/>
  <c r="V127" i="10" s="1"/>
  <c r="I129" i="3"/>
  <c r="I128" i="6"/>
  <c r="BA128" i="10"/>
  <c r="V128" i="10" s="1"/>
  <c r="BA129" i="10"/>
  <c r="V129" i="10" s="1"/>
  <c r="I130" i="3"/>
  <c r="I129" i="6"/>
  <c r="I131" i="3"/>
  <c r="I130" i="6"/>
  <c r="BA130" i="10"/>
  <c r="V130" i="10" s="1"/>
  <c r="I132" i="3"/>
  <c r="BA131" i="10"/>
  <c r="V131" i="10" s="1"/>
  <c r="I131" i="6"/>
  <c r="BA132" i="10"/>
  <c r="V132" i="10" s="1"/>
  <c r="I132" i="6"/>
  <c r="I133" i="3"/>
  <c r="I133" i="6"/>
  <c r="BA133" i="10"/>
  <c r="V133" i="10" s="1"/>
  <c r="I134" i="3"/>
  <c r="I135" i="3"/>
  <c r="I134" i="6"/>
  <c r="BA134" i="10"/>
  <c r="V134" i="10" s="1"/>
  <c r="I136" i="3"/>
  <c r="BA135" i="10"/>
  <c r="V135" i="10" s="1"/>
  <c r="I135" i="6"/>
  <c r="I137" i="3"/>
  <c r="BA136" i="10"/>
  <c r="V136" i="10" s="1"/>
  <c r="I136" i="6"/>
  <c r="I137" i="6"/>
  <c r="BA137" i="10"/>
  <c r="V137" i="10" s="1"/>
  <c r="I138" i="3"/>
  <c r="I139" i="3"/>
  <c r="I138" i="6"/>
  <c r="BA138" i="10"/>
  <c r="V138" i="10" s="1"/>
  <c r="I139" i="6"/>
  <c r="BA139" i="10"/>
  <c r="V139" i="10" s="1"/>
  <c r="I140" i="3"/>
  <c r="BA140" i="10"/>
  <c r="V140" i="10" s="1"/>
  <c r="I140" i="6"/>
  <c r="I141" i="3"/>
  <c r="I142" i="3"/>
  <c r="BA141" i="10"/>
  <c r="V141" i="10" s="1"/>
  <c r="I141" i="6"/>
  <c r="I143" i="3"/>
  <c r="BA142" i="10"/>
  <c r="V142" i="10" s="1"/>
  <c r="I142" i="6"/>
  <c r="BA143" i="10"/>
  <c r="V143" i="10" s="1"/>
  <c r="I144" i="3"/>
  <c r="I143" i="6"/>
  <c r="I144" i="6"/>
  <c r="I145" i="3"/>
  <c r="BA144" i="10"/>
  <c r="V144" i="10" s="1"/>
  <c r="I145" i="6"/>
  <c r="I146" i="3"/>
  <c r="BA145" i="10"/>
  <c r="V145" i="10" s="1"/>
  <c r="I147" i="3"/>
  <c r="I146" i="6"/>
  <c r="BA146" i="10"/>
  <c r="V146" i="10" s="1"/>
  <c r="I148" i="3"/>
  <c r="I147" i="6"/>
  <c r="BA147" i="10"/>
  <c r="V147" i="10" s="1"/>
  <c r="BA148" i="10"/>
  <c r="V148" i="10" s="1"/>
  <c r="I149" i="3"/>
  <c r="I148" i="6"/>
  <c r="I150" i="3"/>
  <c r="BA149" i="10"/>
  <c r="V149" i="10" s="1"/>
  <c r="I149" i="6"/>
  <c r="BA150" i="10"/>
  <c r="V150" i="10" s="1"/>
  <c r="I150" i="6"/>
  <c r="I151" i="3"/>
  <c r="BA151" i="10"/>
  <c r="V151" i="10" s="1"/>
  <c r="I151" i="6"/>
  <c r="I152" i="3"/>
  <c r="BA152" i="10"/>
  <c r="V152" i="10" s="1"/>
  <c r="I152" i="6"/>
  <c r="I153" i="3"/>
  <c r="I153" i="6"/>
  <c r="I154" i="3"/>
  <c r="BA153" i="10"/>
  <c r="V153" i="10" s="1"/>
  <c r="I155" i="3"/>
  <c r="BA154" i="10"/>
  <c r="V154" i="10" s="1"/>
  <c r="I154" i="6"/>
  <c r="I155" i="6"/>
  <c r="BA155" i="10"/>
  <c r="V155" i="10" s="1"/>
  <c r="I156" i="3"/>
  <c r="I157" i="3"/>
  <c r="I156" i="6"/>
  <c r="BA156" i="10"/>
  <c r="V156" i="10" s="1"/>
  <c r="BA157" i="10"/>
  <c r="V157" i="10" s="1"/>
  <c r="I157" i="6"/>
  <c r="I158" i="3"/>
  <c r="I158" i="6"/>
  <c r="BA158" i="10"/>
  <c r="V158" i="10" s="1"/>
  <c r="I159" i="3"/>
  <c r="BA159" i="10"/>
  <c r="V159" i="10" s="1"/>
  <c r="I159" i="6"/>
  <c r="I160" i="3"/>
  <c r="I160" i="6"/>
  <c r="I161" i="3"/>
  <c r="BA160" i="10"/>
  <c r="V160" i="10" s="1"/>
  <c r="BA161" i="10"/>
  <c r="V161" i="10" s="1"/>
  <c r="I161" i="6"/>
  <c r="I162" i="3"/>
  <c r="I162" i="6"/>
  <c r="I163" i="3"/>
  <c r="BA162" i="10"/>
  <c r="V162" i="10" s="1"/>
  <c r="I163" i="6"/>
  <c r="I164" i="3"/>
  <c r="BA163" i="10"/>
  <c r="V163" i="10" s="1"/>
  <c r="I164" i="6"/>
  <c r="I165" i="3"/>
  <c r="BA164" i="10"/>
  <c r="V164" i="10" s="1"/>
  <c r="BA165" i="10"/>
  <c r="V165" i="10" s="1"/>
  <c r="I166" i="3"/>
  <c r="I165" i="6"/>
  <c r="BA166" i="10"/>
  <c r="V166" i="10" s="1"/>
  <c r="I167" i="3"/>
  <c r="I166" i="6"/>
  <c r="I168" i="3"/>
  <c r="I167" i="6"/>
  <c r="BA167" i="10"/>
  <c r="V167" i="10" s="1"/>
  <c r="BA168" i="10"/>
  <c r="V168" i="10" s="1"/>
  <c r="I169" i="3"/>
  <c r="I168" i="6"/>
  <c r="I170" i="3"/>
  <c r="I169" i="6"/>
  <c r="BA169" i="10"/>
  <c r="V169" i="10" s="1"/>
  <c r="I171" i="3"/>
  <c r="I170" i="6"/>
  <c r="BA170" i="10"/>
  <c r="V170" i="10" s="1"/>
  <c r="BA171" i="10"/>
  <c r="V171" i="10" s="1"/>
  <c r="I171" i="6"/>
  <c r="I172" i="3"/>
  <c r="I172" i="6"/>
  <c r="BA172" i="10"/>
  <c r="V172" i="10" s="1"/>
  <c r="I173" i="3"/>
  <c r="BA173" i="10"/>
  <c r="V173" i="10" s="1"/>
  <c r="I173" i="6"/>
  <c r="I174" i="3"/>
  <c r="BA174" i="10"/>
  <c r="V174" i="10" s="1"/>
  <c r="I174" i="6"/>
  <c r="F17" i="7" s="1"/>
  <c r="I175" i="3"/>
  <c r="BA175" i="10"/>
  <c r="V175" i="10" s="1"/>
  <c r="I175" i="6"/>
  <c r="I176" i="3"/>
  <c r="BA176" i="10"/>
  <c r="V176" i="10" s="1"/>
  <c r="I176" i="6"/>
  <c r="I177" i="3"/>
  <c r="AZ3" i="10"/>
  <c r="U3" i="10" s="1"/>
  <c r="H4" i="3"/>
  <c r="AZ4" i="10"/>
  <c r="U4" i="10" s="1"/>
  <c r="H5" i="3"/>
  <c r="AZ5" i="10"/>
  <c r="U5" i="10" s="1"/>
  <c r="H6" i="3"/>
  <c r="AZ6" i="10"/>
  <c r="U6" i="10" s="1"/>
  <c r="H7" i="3"/>
  <c r="AZ7" i="10"/>
  <c r="U7" i="10" s="1"/>
  <c r="H8" i="3"/>
  <c r="AZ8" i="10"/>
  <c r="U8" i="10" s="1"/>
  <c r="H9" i="3"/>
  <c r="AZ9" i="10"/>
  <c r="U9" i="10" s="1"/>
  <c r="H10" i="3"/>
  <c r="AZ10" i="10"/>
  <c r="U10" i="10" s="1"/>
  <c r="H11" i="3"/>
  <c r="H12" i="3"/>
  <c r="AZ11" i="10"/>
  <c r="U11" i="10" s="1"/>
  <c r="AZ12" i="10"/>
  <c r="U12" i="10" s="1"/>
  <c r="H13" i="3"/>
  <c r="H14" i="3"/>
  <c r="AZ13" i="10"/>
  <c r="U13" i="10" s="1"/>
  <c r="AZ14" i="10"/>
  <c r="U14" i="10" s="1"/>
  <c r="H15" i="3"/>
  <c r="AZ15" i="10"/>
  <c r="U15" i="10" s="1"/>
  <c r="H16" i="3"/>
  <c r="H17" i="3"/>
  <c r="AZ16" i="10"/>
  <c r="U16" i="10" s="1"/>
  <c r="AZ17" i="10"/>
  <c r="U17" i="10" s="1"/>
  <c r="H18" i="3"/>
  <c r="AZ18" i="10"/>
  <c r="U18" i="10" s="1"/>
  <c r="H19" i="3"/>
  <c r="H20" i="3"/>
  <c r="AZ19" i="10"/>
  <c r="U19" i="10" s="1"/>
  <c r="AZ20" i="10"/>
  <c r="U20" i="10" s="1"/>
  <c r="H21" i="3"/>
  <c r="H22" i="3"/>
  <c r="AZ21" i="10"/>
  <c r="U21" i="10" s="1"/>
  <c r="H23" i="3"/>
  <c r="AZ22" i="10"/>
  <c r="U22" i="10" s="1"/>
  <c r="H24" i="3"/>
  <c r="AZ23" i="10"/>
  <c r="U23" i="10" s="1"/>
  <c r="AZ24" i="10"/>
  <c r="U24" i="10" s="1"/>
  <c r="H25" i="3"/>
  <c r="AZ25" i="10"/>
  <c r="U25" i="10" s="1"/>
  <c r="H26" i="3"/>
  <c r="H27" i="3"/>
  <c r="AZ26" i="10"/>
  <c r="U26" i="10" s="1"/>
  <c r="H28" i="3"/>
  <c r="AZ27" i="10"/>
  <c r="U27" i="10" s="1"/>
  <c r="AZ28" i="10"/>
  <c r="U28" i="10" s="1"/>
  <c r="H29" i="3"/>
  <c r="AZ29" i="10"/>
  <c r="U29" i="10" s="1"/>
  <c r="H30" i="3"/>
  <c r="AZ30" i="10"/>
  <c r="U30" i="10" s="1"/>
  <c r="H31" i="3"/>
  <c r="AZ31" i="10"/>
  <c r="U31" i="10" s="1"/>
  <c r="H32" i="3"/>
  <c r="AZ32" i="10"/>
  <c r="U32" i="10" s="1"/>
  <c r="H33" i="3"/>
  <c r="AZ33" i="10"/>
  <c r="U33" i="10" s="1"/>
  <c r="H34" i="3"/>
  <c r="H35" i="3"/>
  <c r="AZ34" i="10"/>
  <c r="U34" i="10" s="1"/>
  <c r="AZ35" i="10"/>
  <c r="U35" i="10" s="1"/>
  <c r="H36" i="3"/>
  <c r="H37" i="3"/>
  <c r="AZ36" i="10"/>
  <c r="U36" i="10" s="1"/>
  <c r="AZ37" i="10"/>
  <c r="U37" i="10" s="1"/>
  <c r="H38" i="3"/>
  <c r="AZ38" i="10"/>
  <c r="U38" i="10" s="1"/>
  <c r="H39" i="3"/>
  <c r="H40" i="3"/>
  <c r="AZ39" i="10"/>
  <c r="U39" i="10" s="1"/>
  <c r="H41" i="3"/>
  <c r="AZ40" i="10"/>
  <c r="U40" i="10" s="1"/>
  <c r="H42" i="3"/>
  <c r="AZ41" i="10"/>
  <c r="U41" i="10" s="1"/>
  <c r="AZ42" i="10"/>
  <c r="U42" i="10" s="1"/>
  <c r="H43" i="3"/>
  <c r="AZ43" i="10"/>
  <c r="U43" i="10" s="1"/>
  <c r="H44" i="3"/>
  <c r="H45" i="3"/>
  <c r="AZ44" i="10"/>
  <c r="U44" i="10" s="1"/>
  <c r="AZ45" i="10"/>
  <c r="U45" i="10" s="1"/>
  <c r="H46" i="3"/>
  <c r="AZ46" i="10"/>
  <c r="U46" i="10" s="1"/>
  <c r="H47" i="3"/>
  <c r="AZ47" i="10"/>
  <c r="U47" i="10" s="1"/>
  <c r="H48" i="3"/>
  <c r="AZ48" i="10"/>
  <c r="U48" i="10" s="1"/>
  <c r="H49" i="3"/>
  <c r="AZ49" i="10"/>
  <c r="U49" i="10" s="1"/>
  <c r="H50" i="3"/>
  <c r="AZ50" i="10"/>
  <c r="U50" i="10" s="1"/>
  <c r="H51" i="3"/>
  <c r="AZ51" i="10"/>
  <c r="U51" i="10" s="1"/>
  <c r="H52" i="3"/>
  <c r="AZ52" i="10"/>
  <c r="U52" i="10" s="1"/>
  <c r="H53" i="3"/>
  <c r="AZ53" i="10"/>
  <c r="U53" i="10" s="1"/>
  <c r="H54" i="3"/>
  <c r="AZ54" i="10"/>
  <c r="U54" i="10" s="1"/>
  <c r="H55" i="3"/>
  <c r="AZ55" i="10"/>
  <c r="U55" i="10" s="1"/>
  <c r="H56" i="3"/>
  <c r="AZ56" i="10"/>
  <c r="U56" i="10" s="1"/>
  <c r="H57" i="3"/>
  <c r="AZ57" i="10"/>
  <c r="U57" i="10" s="1"/>
  <c r="H58" i="3"/>
  <c r="H59" i="3"/>
  <c r="AZ58" i="10"/>
  <c r="U58" i="10" s="1"/>
  <c r="AZ59" i="10"/>
  <c r="U59" i="10" s="1"/>
  <c r="H60" i="3"/>
  <c r="H61" i="3"/>
  <c r="E13" i="7" s="1"/>
  <c r="AZ60" i="10"/>
  <c r="U60" i="10" s="1"/>
  <c r="AZ61" i="10"/>
  <c r="U61" i="10" s="1"/>
  <c r="H62" i="3"/>
  <c r="H63" i="3"/>
  <c r="AZ62" i="10"/>
  <c r="U62" i="10" s="1"/>
  <c r="H64" i="3"/>
  <c r="AZ63" i="10"/>
  <c r="U63" i="10" s="1"/>
  <c r="AZ64" i="10"/>
  <c r="U64" i="10" s="1"/>
  <c r="H65" i="3"/>
  <c r="H66" i="3"/>
  <c r="AZ65" i="10"/>
  <c r="U65" i="10" s="1"/>
  <c r="H67" i="3"/>
  <c r="AZ66" i="10"/>
  <c r="U66" i="10" s="1"/>
  <c r="AZ67" i="10"/>
  <c r="U67" i="10" s="1"/>
  <c r="H68" i="3"/>
  <c r="H69" i="3"/>
  <c r="AZ68" i="10"/>
  <c r="U68" i="10" s="1"/>
  <c r="H70" i="3"/>
  <c r="AZ69" i="10"/>
  <c r="U69" i="10" s="1"/>
  <c r="H71" i="3"/>
  <c r="AZ70" i="10"/>
  <c r="U70" i="10" s="1"/>
  <c r="H72" i="3"/>
  <c r="AZ71" i="10"/>
  <c r="U71" i="10" s="1"/>
  <c r="H73" i="3"/>
  <c r="AZ72" i="10"/>
  <c r="U72" i="10" s="1"/>
  <c r="H74" i="3"/>
  <c r="AZ73" i="10"/>
  <c r="U73" i="10" s="1"/>
  <c r="H75" i="3"/>
  <c r="AZ74" i="10"/>
  <c r="U74" i="10" s="1"/>
  <c r="H76" i="3"/>
  <c r="AZ75" i="10"/>
  <c r="U75" i="10" s="1"/>
  <c r="H77" i="3"/>
  <c r="AZ76" i="10"/>
  <c r="U76" i="10" s="1"/>
  <c r="H78" i="3"/>
  <c r="AZ77" i="10"/>
  <c r="U77" i="10" s="1"/>
  <c r="H79" i="3"/>
  <c r="AZ78" i="10"/>
  <c r="U78" i="10" s="1"/>
  <c r="H80" i="3"/>
  <c r="AZ79" i="10"/>
  <c r="U79" i="10" s="1"/>
  <c r="H81" i="3"/>
  <c r="AZ80" i="10"/>
  <c r="U80" i="10" s="1"/>
  <c r="H82" i="3"/>
  <c r="AZ81" i="10"/>
  <c r="U81" i="10" s="1"/>
  <c r="H83" i="3"/>
  <c r="AZ82" i="10"/>
  <c r="U82" i="10" s="1"/>
  <c r="H84" i="3"/>
  <c r="AZ83" i="10"/>
  <c r="U83" i="10" s="1"/>
  <c r="H85" i="3"/>
  <c r="AZ84" i="10"/>
  <c r="U84" i="10" s="1"/>
  <c r="H86" i="3"/>
  <c r="AZ85" i="10"/>
  <c r="U85" i="10" s="1"/>
  <c r="H87" i="3"/>
  <c r="AZ86" i="10"/>
  <c r="U86" i="10" s="1"/>
  <c r="H88" i="3"/>
  <c r="AZ87" i="10"/>
  <c r="U87" i="10" s="1"/>
  <c r="H89" i="3"/>
  <c r="AZ88" i="10"/>
  <c r="U88" i="10" s="1"/>
  <c r="H90" i="3"/>
  <c r="AZ89" i="10"/>
  <c r="U89" i="10" s="1"/>
  <c r="H91" i="3"/>
  <c r="AZ90" i="10"/>
  <c r="U90" i="10" s="1"/>
  <c r="H92" i="3"/>
  <c r="AZ91" i="10"/>
  <c r="U91" i="10" s="1"/>
  <c r="H93" i="3"/>
  <c r="AZ92" i="10"/>
  <c r="U92" i="10" s="1"/>
  <c r="AZ93" i="10"/>
  <c r="U93" i="10" s="1"/>
  <c r="H94" i="3"/>
  <c r="H95" i="3"/>
  <c r="AZ94" i="10"/>
  <c r="U94" i="10" s="1"/>
  <c r="H96" i="3"/>
  <c r="AZ95" i="10"/>
  <c r="U95" i="10" s="1"/>
  <c r="AZ96" i="10"/>
  <c r="U96" i="10" s="1"/>
  <c r="H97" i="3"/>
  <c r="H98" i="3"/>
  <c r="AZ97" i="10"/>
  <c r="U97" i="10" s="1"/>
  <c r="H99" i="3"/>
  <c r="AZ98" i="10"/>
  <c r="U98" i="10" s="1"/>
  <c r="H100" i="3"/>
  <c r="AZ99" i="10"/>
  <c r="U99" i="10" s="1"/>
  <c r="H101" i="3"/>
  <c r="AZ100" i="10"/>
  <c r="U100" i="10" s="1"/>
  <c r="H102" i="3"/>
  <c r="AZ101" i="10"/>
  <c r="U101" i="10" s="1"/>
  <c r="H103" i="3"/>
  <c r="AZ102" i="10"/>
  <c r="U102" i="10" s="1"/>
  <c r="H104" i="3"/>
  <c r="AZ103" i="10"/>
  <c r="U103" i="10" s="1"/>
  <c r="AZ104" i="10"/>
  <c r="U104" i="10" s="1"/>
  <c r="H105" i="3"/>
  <c r="AZ105" i="10"/>
  <c r="U105" i="10" s="1"/>
  <c r="H106" i="3"/>
  <c r="AZ106" i="10"/>
  <c r="U106" i="10" s="1"/>
  <c r="H107" i="3"/>
  <c r="AZ107" i="10"/>
  <c r="U107" i="10" s="1"/>
  <c r="H108" i="3"/>
  <c r="AZ108" i="10"/>
  <c r="U108" i="10" s="1"/>
  <c r="H109" i="3"/>
  <c r="H110" i="3"/>
  <c r="AZ109" i="10"/>
  <c r="U109" i="10" s="1"/>
  <c r="AZ110" i="10"/>
  <c r="U110" i="10" s="1"/>
  <c r="H111" i="3"/>
  <c r="H112" i="3"/>
  <c r="AZ111" i="10"/>
  <c r="U111" i="10" s="1"/>
  <c r="AZ112" i="10"/>
  <c r="U112" i="10" s="1"/>
  <c r="H113" i="3"/>
  <c r="AZ113" i="10"/>
  <c r="U113" i="10" s="1"/>
  <c r="H114" i="3"/>
  <c r="H115" i="3"/>
  <c r="AZ114" i="10"/>
  <c r="U114" i="10" s="1"/>
  <c r="H116" i="3"/>
  <c r="AZ115" i="10"/>
  <c r="U115" i="10" s="1"/>
  <c r="AZ116" i="10"/>
  <c r="U116" i="10" s="1"/>
  <c r="H117" i="3"/>
  <c r="AZ117" i="10"/>
  <c r="U117" i="10" s="1"/>
  <c r="H118" i="3"/>
  <c r="AZ118" i="10"/>
  <c r="U118" i="10" s="1"/>
  <c r="H119" i="3"/>
  <c r="AZ119" i="10"/>
  <c r="U119" i="10" s="1"/>
  <c r="H120" i="3"/>
  <c r="AZ120" i="10"/>
  <c r="U120" i="10" s="1"/>
  <c r="H121" i="3"/>
  <c r="AZ121" i="10"/>
  <c r="U121" i="10" s="1"/>
  <c r="H122" i="3"/>
  <c r="H123" i="3"/>
  <c r="AZ122" i="10"/>
  <c r="U122" i="10" s="1"/>
  <c r="AZ123" i="10"/>
  <c r="U123" i="10" s="1"/>
  <c r="H124" i="3"/>
  <c r="H125" i="3"/>
  <c r="AZ124" i="10"/>
  <c r="U124" i="10" s="1"/>
  <c r="AZ125" i="10"/>
  <c r="U125" i="10" s="1"/>
  <c r="H126" i="3"/>
  <c r="AZ126" i="10"/>
  <c r="U126" i="10" s="1"/>
  <c r="H127" i="3"/>
  <c r="H128" i="3"/>
  <c r="AZ127" i="10"/>
  <c r="U127" i="10" s="1"/>
  <c r="H129" i="3"/>
  <c r="AZ128" i="10"/>
  <c r="U128" i="10" s="1"/>
  <c r="AZ129" i="10"/>
  <c r="U129" i="10" s="1"/>
  <c r="H130" i="3"/>
  <c r="H131" i="3"/>
  <c r="AZ130" i="10"/>
  <c r="U130" i="10" s="1"/>
  <c r="H132" i="3"/>
  <c r="AZ131" i="10"/>
  <c r="U131" i="10" s="1"/>
  <c r="H133" i="3"/>
  <c r="AZ132" i="10"/>
  <c r="U132" i="10" s="1"/>
  <c r="H134" i="3"/>
  <c r="AZ133" i="10"/>
  <c r="U133" i="10" s="1"/>
  <c r="H135" i="3"/>
  <c r="AZ134" i="10"/>
  <c r="U134" i="10" s="1"/>
  <c r="AZ135" i="10"/>
  <c r="U135" i="10" s="1"/>
  <c r="H136" i="3"/>
  <c r="H137" i="3"/>
  <c r="AZ136" i="10"/>
  <c r="U136" i="10" s="1"/>
  <c r="H138" i="3"/>
  <c r="AZ137" i="10"/>
  <c r="U137" i="10" s="1"/>
  <c r="H139" i="3"/>
  <c r="AZ138" i="10"/>
  <c r="U138" i="10" s="1"/>
  <c r="H140" i="3"/>
  <c r="AZ139" i="10"/>
  <c r="U139" i="10" s="1"/>
  <c r="H141" i="3"/>
  <c r="AZ140" i="10"/>
  <c r="U140" i="10" s="1"/>
  <c r="H142" i="3"/>
  <c r="AZ141" i="10"/>
  <c r="U141" i="10" s="1"/>
  <c r="AZ142" i="10"/>
  <c r="U142" i="10" s="1"/>
  <c r="H143" i="3"/>
  <c r="AZ143" i="10"/>
  <c r="U143" i="10" s="1"/>
  <c r="H144" i="3"/>
  <c r="H145" i="3"/>
  <c r="AZ144" i="10"/>
  <c r="U144" i="10" s="1"/>
  <c r="AZ145" i="10"/>
  <c r="U145" i="10" s="1"/>
  <c r="H146" i="3"/>
  <c r="H147" i="3"/>
  <c r="AZ146" i="10"/>
  <c r="U146" i="10" s="1"/>
  <c r="H148" i="3"/>
  <c r="AZ147" i="10"/>
  <c r="U147" i="10" s="1"/>
  <c r="AZ148" i="10"/>
  <c r="U148" i="10" s="1"/>
  <c r="H149" i="3"/>
  <c r="AZ149" i="10"/>
  <c r="U149" i="10" s="1"/>
  <c r="H150" i="3"/>
  <c r="H151" i="3"/>
  <c r="AZ150" i="10"/>
  <c r="U150" i="10" s="1"/>
  <c r="AZ151" i="10"/>
  <c r="U151" i="10" s="1"/>
  <c r="H152" i="3"/>
  <c r="H153" i="3"/>
  <c r="AZ152" i="10"/>
  <c r="U152" i="10" s="1"/>
  <c r="H154" i="3"/>
  <c r="AZ153" i="10"/>
  <c r="U153" i="10" s="1"/>
  <c r="H155" i="3"/>
  <c r="AZ154" i="10"/>
  <c r="U154" i="10" s="1"/>
  <c r="AZ155" i="10"/>
  <c r="U155" i="10" s="1"/>
  <c r="H156" i="3"/>
  <c r="AZ156" i="10"/>
  <c r="U156" i="10" s="1"/>
  <c r="H157" i="3"/>
  <c r="AZ157" i="10"/>
  <c r="U157" i="10" s="1"/>
  <c r="H158" i="3"/>
  <c r="AZ158" i="10"/>
  <c r="U158" i="10" s="1"/>
  <c r="H159" i="3"/>
  <c r="AZ159" i="10"/>
  <c r="U159" i="10" s="1"/>
  <c r="H160" i="3"/>
  <c r="H161" i="3"/>
  <c r="AZ160" i="10"/>
  <c r="U160" i="10" s="1"/>
  <c r="H162" i="3"/>
  <c r="AZ161" i="10"/>
  <c r="U161" i="10" s="1"/>
  <c r="AZ162" i="10"/>
  <c r="U162" i="10" s="1"/>
  <c r="H163" i="3"/>
  <c r="AZ163" i="10"/>
  <c r="U163" i="10" s="1"/>
  <c r="H164" i="3"/>
  <c r="AZ164" i="10"/>
  <c r="U164" i="10" s="1"/>
  <c r="H165" i="3"/>
  <c r="AZ165" i="10"/>
  <c r="U165" i="10" s="1"/>
  <c r="H166" i="3"/>
  <c r="AZ166" i="10"/>
  <c r="U166" i="10" s="1"/>
  <c r="H167" i="3"/>
  <c r="AZ167" i="10"/>
  <c r="U167" i="10" s="1"/>
  <c r="H168" i="3"/>
  <c r="AZ168" i="10"/>
  <c r="U168" i="10" s="1"/>
  <c r="H169" i="3"/>
  <c r="AZ169" i="10"/>
  <c r="U169" i="10" s="1"/>
  <c r="H170" i="3"/>
  <c r="AZ170" i="10"/>
  <c r="U170" i="10" s="1"/>
  <c r="H171" i="3"/>
  <c r="AZ171" i="10"/>
  <c r="U171" i="10" s="1"/>
  <c r="H172" i="3"/>
  <c r="AZ172" i="10"/>
  <c r="U172" i="10" s="1"/>
  <c r="H173" i="3"/>
  <c r="AZ173" i="10"/>
  <c r="U173" i="10" s="1"/>
  <c r="H174" i="3"/>
  <c r="H175" i="3"/>
  <c r="AZ174" i="10"/>
  <c r="U174" i="10" s="1"/>
  <c r="H176" i="3"/>
  <c r="AZ175" i="10"/>
  <c r="U175" i="10" s="1"/>
  <c r="H177" i="3"/>
  <c r="AZ176" i="10"/>
  <c r="U176" i="10" s="1"/>
  <c r="AW3" i="10"/>
  <c r="R3" i="10" s="1"/>
  <c r="E4" i="3"/>
  <c r="AW4" i="10"/>
  <c r="R4" i="10" s="1"/>
  <c r="E5" i="3"/>
  <c r="E6" i="3"/>
  <c r="AW5" i="10"/>
  <c r="R5" i="10" s="1"/>
  <c r="E7" i="3"/>
  <c r="AW6" i="10"/>
  <c r="R6" i="10" s="1"/>
  <c r="E8" i="3"/>
  <c r="AW7" i="10"/>
  <c r="R7" i="10" s="1"/>
  <c r="E9" i="3"/>
  <c r="AW8" i="10"/>
  <c r="R8" i="10" s="1"/>
  <c r="AW9" i="10"/>
  <c r="R9" i="10" s="1"/>
  <c r="E10" i="3"/>
  <c r="E11" i="3"/>
  <c r="AW10" i="10"/>
  <c r="R10" i="10" s="1"/>
  <c r="AW11" i="10"/>
  <c r="R11" i="10" s="1"/>
  <c r="E12" i="3"/>
  <c r="E13" i="3"/>
  <c r="AW12" i="10"/>
  <c r="R12" i="10" s="1"/>
  <c r="E14" i="3"/>
  <c r="AW13" i="10"/>
  <c r="R13" i="10" s="1"/>
  <c r="AW14" i="10"/>
  <c r="R14" i="10" s="1"/>
  <c r="E15" i="3"/>
  <c r="AW15" i="10"/>
  <c r="R15" i="10" s="1"/>
  <c r="E16" i="3"/>
  <c r="E17" i="3"/>
  <c r="AW16" i="10"/>
  <c r="R16" i="10" s="1"/>
  <c r="E18" i="3"/>
  <c r="AW17" i="10"/>
  <c r="R17" i="10" s="1"/>
  <c r="E19" i="3"/>
  <c r="AW18" i="10"/>
  <c r="R18" i="10" s="1"/>
  <c r="E20" i="3"/>
  <c r="AW19" i="10"/>
  <c r="R19" i="10" s="1"/>
  <c r="E21" i="3"/>
  <c r="AW20" i="10"/>
  <c r="R20" i="10" s="1"/>
  <c r="E22" i="3"/>
  <c r="AW21" i="10"/>
  <c r="R21" i="10" s="1"/>
  <c r="E23" i="3"/>
  <c r="AW22" i="10"/>
  <c r="R22" i="10" s="1"/>
  <c r="AW23" i="10"/>
  <c r="R23" i="10" s="1"/>
  <c r="E24" i="3"/>
  <c r="AW24" i="10"/>
  <c r="R24" i="10" s="1"/>
  <c r="E25" i="3"/>
  <c r="AW25" i="10"/>
  <c r="R25" i="10" s="1"/>
  <c r="E26" i="3"/>
  <c r="E27" i="3"/>
  <c r="AW26" i="10"/>
  <c r="R26" i="10" s="1"/>
  <c r="E28" i="3"/>
  <c r="AW27" i="10"/>
  <c r="R27" i="10" s="1"/>
  <c r="AW28" i="10"/>
  <c r="R28" i="10" s="1"/>
  <c r="E29" i="3"/>
  <c r="E30" i="3"/>
  <c r="AW29" i="10"/>
  <c r="R29" i="10" s="1"/>
  <c r="E31" i="3"/>
  <c r="AW30" i="10"/>
  <c r="R30" i="10" s="1"/>
  <c r="E32" i="3"/>
  <c r="AW31" i="10"/>
  <c r="R31" i="10" s="1"/>
  <c r="E33" i="3"/>
  <c r="AW32" i="10"/>
  <c r="R32" i="10" s="1"/>
  <c r="E34" i="3"/>
  <c r="AW33" i="10"/>
  <c r="R33" i="10" s="1"/>
  <c r="AW34" i="10"/>
  <c r="R34" i="10" s="1"/>
  <c r="E35" i="3"/>
  <c r="E36" i="3"/>
  <c r="AW35" i="10"/>
  <c r="R35" i="10" s="1"/>
  <c r="E37" i="3"/>
  <c r="AW36" i="10"/>
  <c r="R36" i="10" s="1"/>
  <c r="AW37" i="10"/>
  <c r="R37" i="10" s="1"/>
  <c r="E38" i="3"/>
  <c r="E39" i="3"/>
  <c r="AW38" i="10"/>
  <c r="R38" i="10" s="1"/>
  <c r="AW39" i="10"/>
  <c r="R39" i="10" s="1"/>
  <c r="E40" i="3"/>
  <c r="AW40" i="10"/>
  <c r="R40" i="10" s="1"/>
  <c r="E41" i="3"/>
  <c r="AW41" i="10"/>
  <c r="R41" i="10" s="1"/>
  <c r="E42" i="3"/>
  <c r="AW42" i="10"/>
  <c r="R42" i="10" s="1"/>
  <c r="E43" i="3"/>
  <c r="E44" i="3"/>
  <c r="AW43" i="10"/>
  <c r="R43" i="10" s="1"/>
  <c r="AW44" i="10"/>
  <c r="R44" i="10" s="1"/>
  <c r="E45" i="3"/>
  <c r="AW45" i="10"/>
  <c r="R45" i="10" s="1"/>
  <c r="E46" i="3"/>
  <c r="AW46" i="10"/>
  <c r="R46" i="10" s="1"/>
  <c r="E47" i="3"/>
  <c r="AW47" i="10"/>
  <c r="R47" i="10" s="1"/>
  <c r="E48" i="3"/>
  <c r="E49" i="3"/>
  <c r="AW48" i="10"/>
  <c r="R48" i="10" s="1"/>
  <c r="E50" i="3"/>
  <c r="AW49" i="10"/>
  <c r="R49" i="10" s="1"/>
  <c r="E51" i="3"/>
  <c r="AW50" i="10"/>
  <c r="R50" i="10" s="1"/>
  <c r="E52" i="3"/>
  <c r="AW51" i="10"/>
  <c r="R51" i="10" s="1"/>
  <c r="AW52" i="10"/>
  <c r="R52" i="10" s="1"/>
  <c r="E53" i="3"/>
  <c r="AW53" i="10"/>
  <c r="R53" i="10" s="1"/>
  <c r="E54" i="3"/>
  <c r="AW54" i="10"/>
  <c r="R54" i="10" s="1"/>
  <c r="E55" i="3"/>
  <c r="AW55" i="10"/>
  <c r="R55" i="10" s="1"/>
  <c r="E56" i="3"/>
  <c r="E57" i="3"/>
  <c r="AW56" i="10"/>
  <c r="R56" i="10" s="1"/>
  <c r="AW57" i="10"/>
  <c r="R57" i="10" s="1"/>
  <c r="E58" i="3"/>
  <c r="AW58" i="10"/>
  <c r="R58" i="10" s="1"/>
  <c r="E59" i="3"/>
  <c r="E60" i="3"/>
  <c r="AW59" i="10"/>
  <c r="R59" i="10" s="1"/>
  <c r="E61" i="3"/>
  <c r="AW60" i="10"/>
  <c r="R60" i="10" s="1"/>
  <c r="E62" i="3"/>
  <c r="AW61" i="10"/>
  <c r="R61" i="10" s="1"/>
  <c r="E63" i="3"/>
  <c r="AW62" i="10"/>
  <c r="R62" i="10" s="1"/>
  <c r="E64" i="3"/>
  <c r="AW63" i="10"/>
  <c r="R63" i="10" s="1"/>
  <c r="E65" i="3"/>
  <c r="AW64" i="10"/>
  <c r="R64" i="10" s="1"/>
  <c r="E66" i="3"/>
  <c r="AW65" i="10"/>
  <c r="R65" i="10" s="1"/>
  <c r="E67" i="3"/>
  <c r="AW66" i="10"/>
  <c r="R66" i="10" s="1"/>
  <c r="E68" i="3"/>
  <c r="AW67" i="10"/>
  <c r="R67" i="10" s="1"/>
  <c r="E69" i="3"/>
  <c r="AW68" i="10"/>
  <c r="R68" i="10" s="1"/>
  <c r="E70" i="3"/>
  <c r="AW69" i="10"/>
  <c r="R69" i="10" s="1"/>
  <c r="AW70" i="10"/>
  <c r="R70" i="10" s="1"/>
  <c r="E71" i="3"/>
  <c r="AW71" i="10"/>
  <c r="R71" i="10" s="1"/>
  <c r="E72" i="3"/>
  <c r="AW72" i="10"/>
  <c r="R72" i="10" s="1"/>
  <c r="E73" i="3"/>
  <c r="AW73" i="10"/>
  <c r="R73" i="10" s="1"/>
  <c r="E74" i="3"/>
  <c r="AW74" i="10"/>
  <c r="R74" i="10" s="1"/>
  <c r="E75" i="3"/>
  <c r="E76" i="3"/>
  <c r="AW75" i="10"/>
  <c r="R75" i="10" s="1"/>
  <c r="E77" i="3"/>
  <c r="AW76" i="10"/>
  <c r="R76" i="10" s="1"/>
  <c r="E78" i="3"/>
  <c r="AW77" i="10"/>
  <c r="R77" i="10" s="1"/>
  <c r="AW78" i="10"/>
  <c r="R78" i="10" s="1"/>
  <c r="E79" i="3"/>
  <c r="AW79" i="10"/>
  <c r="R79" i="10" s="1"/>
  <c r="E80" i="3"/>
  <c r="AW80" i="10"/>
  <c r="R80" i="10" s="1"/>
  <c r="E81" i="3"/>
  <c r="E82" i="3"/>
  <c r="AW81" i="10"/>
  <c r="R81" i="10" s="1"/>
  <c r="E83" i="3"/>
  <c r="AW82" i="10"/>
  <c r="R82" i="10" s="1"/>
  <c r="AW83" i="10"/>
  <c r="R83" i="10" s="1"/>
  <c r="E84" i="3"/>
  <c r="AW84" i="10"/>
  <c r="R84" i="10" s="1"/>
  <c r="E85" i="3"/>
  <c r="E86" i="3"/>
  <c r="AW85" i="10"/>
  <c r="R85" i="10" s="1"/>
  <c r="E87" i="3"/>
  <c r="AW86" i="10"/>
  <c r="R86" i="10" s="1"/>
  <c r="AW87" i="10"/>
  <c r="R87" i="10" s="1"/>
  <c r="E88" i="3"/>
  <c r="E89" i="3"/>
  <c r="AW88" i="10"/>
  <c r="R88" i="10" s="1"/>
  <c r="AW89" i="10"/>
  <c r="R89" i="10" s="1"/>
  <c r="E90" i="3"/>
  <c r="AW90" i="10"/>
  <c r="R90" i="10" s="1"/>
  <c r="E91" i="3"/>
  <c r="E92" i="3"/>
  <c r="AW91" i="10"/>
  <c r="R91" i="10" s="1"/>
  <c r="E93" i="3"/>
  <c r="AW92" i="10"/>
  <c r="R92" i="10" s="1"/>
  <c r="E94" i="3"/>
  <c r="AW93" i="10"/>
  <c r="R93" i="10" s="1"/>
  <c r="E95" i="3"/>
  <c r="AW94" i="10"/>
  <c r="R94" i="10" s="1"/>
  <c r="E96" i="3"/>
  <c r="AW95" i="10"/>
  <c r="R95" i="10" s="1"/>
  <c r="E97" i="3"/>
  <c r="AW96" i="10"/>
  <c r="R96" i="10" s="1"/>
  <c r="E98" i="3"/>
  <c r="AW97" i="10"/>
  <c r="R97" i="10" s="1"/>
  <c r="E99" i="3"/>
  <c r="AW98" i="10"/>
  <c r="R98" i="10" s="1"/>
  <c r="E100" i="3"/>
  <c r="AW99" i="10"/>
  <c r="R99" i="10" s="1"/>
  <c r="AW100" i="10"/>
  <c r="R100" i="10" s="1"/>
  <c r="E101" i="3"/>
  <c r="AW101" i="10"/>
  <c r="R101" i="10" s="1"/>
  <c r="E102" i="3"/>
  <c r="E103" i="3"/>
  <c r="AW102" i="10"/>
  <c r="R102" i="10" s="1"/>
  <c r="E104" i="3"/>
  <c r="AW103" i="10"/>
  <c r="R103" i="10" s="1"/>
  <c r="E105" i="3"/>
  <c r="AW104" i="10"/>
  <c r="R104" i="10" s="1"/>
  <c r="AW105" i="10"/>
  <c r="R105" i="10" s="1"/>
  <c r="E106" i="3"/>
  <c r="AW106" i="10"/>
  <c r="R106" i="10" s="1"/>
  <c r="E107" i="3"/>
  <c r="E108" i="3"/>
  <c r="AW107" i="10"/>
  <c r="R107" i="10" s="1"/>
  <c r="E109" i="3"/>
  <c r="AW108" i="10"/>
  <c r="R108" i="10" s="1"/>
  <c r="E110" i="3"/>
  <c r="AW109" i="10"/>
  <c r="R109" i="10" s="1"/>
  <c r="AW110" i="10"/>
  <c r="R110" i="10" s="1"/>
  <c r="E111" i="3"/>
  <c r="AW111" i="10"/>
  <c r="R111" i="10" s="1"/>
  <c r="E112" i="3"/>
  <c r="AW112" i="10"/>
  <c r="R112" i="10" s="1"/>
  <c r="E113" i="3"/>
  <c r="E114" i="3"/>
  <c r="AW113" i="10"/>
  <c r="R113" i="10" s="1"/>
  <c r="AW114" i="10"/>
  <c r="R114" i="10" s="1"/>
  <c r="E115" i="3"/>
  <c r="E117" i="3"/>
  <c r="AW116" i="10"/>
  <c r="R116" i="10" s="1"/>
  <c r="E118" i="3"/>
  <c r="AW117" i="10"/>
  <c r="R117" i="10" s="1"/>
  <c r="AW118" i="10"/>
  <c r="R118" i="10" s="1"/>
  <c r="E119" i="3"/>
  <c r="E120" i="3"/>
  <c r="AW119" i="10"/>
  <c r="R119" i="10" s="1"/>
  <c r="AW120" i="10"/>
  <c r="R120" i="10" s="1"/>
  <c r="E121" i="3"/>
  <c r="AW121" i="10"/>
  <c r="R121" i="10" s="1"/>
  <c r="E122" i="3"/>
  <c r="AW122" i="10"/>
  <c r="R122" i="10" s="1"/>
  <c r="E123" i="3"/>
  <c r="E124" i="3"/>
  <c r="AW123" i="10"/>
  <c r="R123" i="10" s="1"/>
  <c r="E125" i="3"/>
  <c r="AW124" i="10"/>
  <c r="R124" i="10" s="1"/>
  <c r="AW125" i="10"/>
  <c r="R125" i="10" s="1"/>
  <c r="E126" i="3"/>
  <c r="E127" i="3"/>
  <c r="AW126" i="10"/>
  <c r="R126" i="10" s="1"/>
  <c r="AW127" i="10"/>
  <c r="R127" i="10" s="1"/>
  <c r="E128" i="3"/>
  <c r="E129" i="3"/>
  <c r="AW128" i="10"/>
  <c r="R128" i="10" s="1"/>
  <c r="AW129" i="10"/>
  <c r="R129" i="10" s="1"/>
  <c r="E130" i="3"/>
  <c r="E131" i="3"/>
  <c r="AW130" i="10"/>
  <c r="R130" i="10" s="1"/>
  <c r="E132" i="3"/>
  <c r="AW131" i="10"/>
  <c r="R131" i="10" s="1"/>
  <c r="E133" i="3"/>
  <c r="AW132" i="10"/>
  <c r="R132" i="10" s="1"/>
  <c r="E134" i="3"/>
  <c r="AW133" i="10"/>
  <c r="R133" i="10" s="1"/>
  <c r="E135" i="3"/>
  <c r="AW134" i="10"/>
  <c r="R134" i="10" s="1"/>
  <c r="E136" i="3"/>
  <c r="AW135" i="10"/>
  <c r="R135" i="10" s="1"/>
  <c r="E137" i="3"/>
  <c r="AW136" i="10"/>
  <c r="R136" i="10" s="1"/>
  <c r="E138" i="3"/>
  <c r="AW137" i="10"/>
  <c r="R137" i="10" s="1"/>
  <c r="E139" i="3"/>
  <c r="AW138" i="10"/>
  <c r="R138" i="10" s="1"/>
  <c r="E140" i="3"/>
  <c r="AW139" i="10"/>
  <c r="R139" i="10" s="1"/>
  <c r="E141" i="3"/>
  <c r="AW140" i="10"/>
  <c r="R140" i="10" s="1"/>
  <c r="E142" i="3"/>
  <c r="AW141" i="10"/>
  <c r="R141" i="10" s="1"/>
  <c r="AW142" i="10"/>
  <c r="R142" i="10" s="1"/>
  <c r="E143" i="3"/>
  <c r="E144" i="3"/>
  <c r="AW143" i="10"/>
  <c r="R143" i="10" s="1"/>
  <c r="AW144" i="10"/>
  <c r="R144" i="10" s="1"/>
  <c r="E145" i="3"/>
  <c r="E146" i="3"/>
  <c r="AW145" i="10"/>
  <c r="R145" i="10" s="1"/>
  <c r="E147" i="3"/>
  <c r="AW146" i="10"/>
  <c r="R146" i="10" s="1"/>
  <c r="AW147" i="10"/>
  <c r="R147" i="10" s="1"/>
  <c r="E148" i="3"/>
  <c r="AW148" i="10"/>
  <c r="R148" i="10" s="1"/>
  <c r="E149" i="3"/>
  <c r="AW150" i="10"/>
  <c r="R150" i="10" s="1"/>
  <c r="E151" i="3"/>
  <c r="AW151" i="10"/>
  <c r="R151" i="10" s="1"/>
  <c r="E152" i="3"/>
  <c r="E153" i="3"/>
  <c r="AW152" i="10"/>
  <c r="R152" i="10" s="1"/>
  <c r="AW153" i="10"/>
  <c r="R153" i="10" s="1"/>
  <c r="E154" i="3"/>
  <c r="AW154" i="10"/>
  <c r="R154" i="10" s="1"/>
  <c r="E155" i="3"/>
  <c r="AW155" i="10"/>
  <c r="R155" i="10" s="1"/>
  <c r="E156" i="3"/>
  <c r="AW156" i="10"/>
  <c r="R156" i="10" s="1"/>
  <c r="E157" i="3"/>
  <c r="AW157" i="10"/>
  <c r="R157" i="10" s="1"/>
  <c r="E158" i="3"/>
  <c r="AW158" i="10"/>
  <c r="R158" i="10" s="1"/>
  <c r="E159" i="3"/>
  <c r="E160" i="3"/>
  <c r="AW159" i="10"/>
  <c r="R159" i="10" s="1"/>
  <c r="AW160" i="10"/>
  <c r="R160" i="10" s="1"/>
  <c r="E161" i="3"/>
  <c r="AW161" i="10"/>
  <c r="R161" i="10" s="1"/>
  <c r="E162" i="3"/>
  <c r="E163" i="3"/>
  <c r="AW162" i="10"/>
  <c r="R162" i="10" s="1"/>
  <c r="E164" i="3"/>
  <c r="AW163" i="10"/>
  <c r="R163" i="10" s="1"/>
  <c r="E165" i="3"/>
  <c r="AW164" i="10"/>
  <c r="R164" i="10" s="1"/>
  <c r="E166" i="3"/>
  <c r="AW165" i="10"/>
  <c r="R165" i="10" s="1"/>
  <c r="E167" i="3"/>
  <c r="AW166" i="10"/>
  <c r="R166" i="10" s="1"/>
  <c r="E168" i="3"/>
  <c r="AW167" i="10"/>
  <c r="R167" i="10" s="1"/>
  <c r="E169" i="3"/>
  <c r="AW168" i="10"/>
  <c r="R168" i="10" s="1"/>
  <c r="E170" i="3"/>
  <c r="AW169" i="10"/>
  <c r="R169" i="10" s="1"/>
  <c r="AW170" i="10"/>
  <c r="R170" i="10" s="1"/>
  <c r="E171" i="3"/>
  <c r="AW171" i="10"/>
  <c r="R171" i="10" s="1"/>
  <c r="E172" i="3"/>
  <c r="E173" i="3"/>
  <c r="AW172" i="10"/>
  <c r="R172" i="10" s="1"/>
  <c r="E174" i="3"/>
  <c r="AW173" i="10"/>
  <c r="R173" i="10" s="1"/>
  <c r="AW174" i="10"/>
  <c r="R174" i="10" s="1"/>
  <c r="E175" i="3"/>
  <c r="E176" i="3"/>
  <c r="AW175" i="10"/>
  <c r="R175" i="10" s="1"/>
  <c r="E177" i="3"/>
  <c r="AW176" i="10"/>
  <c r="R176" i="10" s="1"/>
  <c r="Q102" i="10"/>
  <c r="Q103" i="10"/>
  <c r="Q104" i="10"/>
  <c r="Q105" i="10"/>
  <c r="Q106" i="10"/>
  <c r="Q107" i="10"/>
  <c r="Q108" i="10"/>
  <c r="Q109" i="10"/>
  <c r="Q110" i="10"/>
  <c r="Q111" i="10"/>
  <c r="Q112" i="10"/>
  <c r="Q113" i="10"/>
  <c r="Q114" i="10"/>
  <c r="Q115" i="10"/>
  <c r="Q116" i="10"/>
  <c r="Q117" i="10"/>
  <c r="Q118" i="10"/>
  <c r="Q119" i="10"/>
  <c r="Q120" i="10"/>
  <c r="Q121" i="10"/>
  <c r="Q122" i="10"/>
  <c r="Q123" i="10"/>
  <c r="Q124" i="10"/>
  <c r="Q125" i="10"/>
  <c r="Q126" i="10"/>
  <c r="Q127" i="10"/>
  <c r="Q128" i="10"/>
  <c r="Q129" i="10"/>
  <c r="Q130" i="10"/>
  <c r="Q131" i="10"/>
  <c r="Q132" i="10"/>
  <c r="Q133" i="10"/>
  <c r="Q134" i="10"/>
  <c r="Q135" i="10"/>
  <c r="Q136" i="10"/>
  <c r="Q137" i="10"/>
  <c r="Q138" i="10"/>
  <c r="Q139" i="10"/>
  <c r="Q140" i="10"/>
  <c r="Q141" i="10"/>
  <c r="Q142" i="10"/>
  <c r="Q143" i="10"/>
  <c r="Q144" i="10"/>
  <c r="Q145" i="10"/>
  <c r="Q146" i="10"/>
  <c r="Q147" i="10"/>
  <c r="Q148" i="10"/>
  <c r="Q149" i="10"/>
  <c r="Q150" i="10"/>
  <c r="Q151" i="10"/>
  <c r="Q152" i="10"/>
  <c r="Q153" i="10"/>
  <c r="Q154" i="10"/>
  <c r="Q155" i="10"/>
  <c r="Q156" i="10"/>
  <c r="Q157" i="10"/>
  <c r="Q158" i="10"/>
  <c r="Q159" i="10"/>
  <c r="Q160" i="10"/>
  <c r="Q161" i="10"/>
  <c r="Q162" i="10"/>
  <c r="Q163" i="10"/>
  <c r="Q164" i="10"/>
  <c r="Q165" i="10"/>
  <c r="Q166" i="10"/>
  <c r="Q167" i="10"/>
  <c r="Q168" i="10"/>
  <c r="Q169" i="10"/>
  <c r="Q170" i="10"/>
  <c r="Q171" i="10"/>
  <c r="Q172" i="10"/>
  <c r="Q173" i="10"/>
  <c r="Q174" i="10"/>
  <c r="Q175" i="10"/>
  <c r="Q176" i="10"/>
  <c r="P3" i="10"/>
  <c r="P4"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5" i="10"/>
  <c r="P96" i="10"/>
  <c r="P97" i="10"/>
  <c r="P98" i="10"/>
  <c r="P99" i="10"/>
  <c r="P100" i="10"/>
  <c r="P101" i="10"/>
  <c r="O69" i="10"/>
  <c r="CF15" i="10"/>
  <c r="M15" i="10"/>
  <c r="I115" i="10"/>
  <c r="CB115" i="10" s="1"/>
  <c r="CF115" i="10"/>
  <c r="M4" i="3"/>
  <c r="BE3" i="10"/>
  <c r="Z3" i="10" s="1"/>
  <c r="M5" i="3"/>
  <c r="BE4" i="10"/>
  <c r="Z4" i="10" s="1"/>
  <c r="M6" i="3"/>
  <c r="BE5" i="10"/>
  <c r="Z5" i="10" s="1"/>
  <c r="M7" i="3"/>
  <c r="BE6" i="10"/>
  <c r="Z6" i="10" s="1"/>
  <c r="M8" i="3"/>
  <c r="BE7" i="10"/>
  <c r="Z7" i="10" s="1"/>
  <c r="M9" i="3"/>
  <c r="BE8" i="10"/>
  <c r="Z8" i="10" s="1"/>
  <c r="M10" i="3"/>
  <c r="BE9" i="10"/>
  <c r="Z9" i="10" s="1"/>
  <c r="M11" i="3"/>
  <c r="BE10" i="10"/>
  <c r="Z10" i="10" s="1"/>
  <c r="M12" i="3"/>
  <c r="BE11" i="10"/>
  <c r="Z11" i="10" s="1"/>
  <c r="M13" i="3"/>
  <c r="BE12" i="10"/>
  <c r="Z12" i="10" s="1"/>
  <c r="M14" i="3"/>
  <c r="BE13" i="10"/>
  <c r="Z13" i="10" s="1"/>
  <c r="M15" i="3"/>
  <c r="BE14" i="10"/>
  <c r="Z14" i="10" s="1"/>
  <c r="M16" i="3"/>
  <c r="BE15" i="10"/>
  <c r="Z15" i="10" s="1"/>
  <c r="M17" i="3"/>
  <c r="BE16" i="10"/>
  <c r="Z16" i="10" s="1"/>
  <c r="M18" i="3"/>
  <c r="BE17" i="10"/>
  <c r="Z17" i="10" s="1"/>
  <c r="M19" i="3"/>
  <c r="BE18" i="10"/>
  <c r="Z18" i="10" s="1"/>
  <c r="M20" i="3"/>
  <c r="BE19" i="10"/>
  <c r="Z19" i="10" s="1"/>
  <c r="M21" i="3"/>
  <c r="BE20" i="10"/>
  <c r="Z20" i="10" s="1"/>
  <c r="M22" i="3"/>
  <c r="BE21" i="10"/>
  <c r="Z21" i="10" s="1"/>
  <c r="M23" i="3"/>
  <c r="BE22" i="10"/>
  <c r="Z22" i="10" s="1"/>
  <c r="M24" i="3"/>
  <c r="BE23" i="10"/>
  <c r="Z23" i="10" s="1"/>
  <c r="M25" i="3"/>
  <c r="BE24" i="10"/>
  <c r="Z24" i="10" s="1"/>
  <c r="M26" i="3"/>
  <c r="BE25" i="10"/>
  <c r="Z25" i="10" s="1"/>
  <c r="M27" i="3"/>
  <c r="BE26" i="10"/>
  <c r="Z26" i="10" s="1"/>
  <c r="M28" i="3"/>
  <c r="BE27" i="10"/>
  <c r="Z27" i="10" s="1"/>
  <c r="M29" i="3"/>
  <c r="BE28" i="10"/>
  <c r="Z28" i="10" s="1"/>
  <c r="M30" i="3"/>
  <c r="BE29" i="10"/>
  <c r="Z29" i="10" s="1"/>
  <c r="M31" i="3"/>
  <c r="BE30" i="10"/>
  <c r="Z30" i="10" s="1"/>
  <c r="M32" i="3"/>
  <c r="BE31" i="10"/>
  <c r="Z31" i="10" s="1"/>
  <c r="M33" i="3"/>
  <c r="BE32" i="10"/>
  <c r="Z32" i="10" s="1"/>
  <c r="M34" i="3"/>
  <c r="BE33" i="10"/>
  <c r="Z33" i="10" s="1"/>
  <c r="M35" i="3"/>
  <c r="BE34" i="10"/>
  <c r="Z34" i="10" s="1"/>
  <c r="M36" i="3"/>
  <c r="BE35" i="10"/>
  <c r="Z35" i="10" s="1"/>
  <c r="M37" i="3"/>
  <c r="BE36" i="10"/>
  <c r="Z36" i="10" s="1"/>
  <c r="M38" i="3"/>
  <c r="BE37" i="10"/>
  <c r="Z37" i="10" s="1"/>
  <c r="M39" i="3"/>
  <c r="BE38" i="10"/>
  <c r="Z38" i="10" s="1"/>
  <c r="M40" i="3"/>
  <c r="BE39" i="10"/>
  <c r="Z39" i="10" s="1"/>
  <c r="M41" i="3"/>
  <c r="BE40" i="10"/>
  <c r="Z40" i="10" s="1"/>
  <c r="M42" i="3"/>
  <c r="BE41" i="10"/>
  <c r="Z41" i="10" s="1"/>
  <c r="M43" i="3"/>
  <c r="BE42" i="10"/>
  <c r="Z42" i="10" s="1"/>
  <c r="M44" i="3"/>
  <c r="BE43" i="10"/>
  <c r="Z43" i="10" s="1"/>
  <c r="M45" i="3"/>
  <c r="BE44" i="10"/>
  <c r="Z44" i="10" s="1"/>
  <c r="M46" i="3"/>
  <c r="BE45" i="10"/>
  <c r="Z45" i="10" s="1"/>
  <c r="M47" i="3"/>
  <c r="BE46" i="10"/>
  <c r="Z46" i="10" s="1"/>
  <c r="M48" i="3"/>
  <c r="BE47" i="10"/>
  <c r="Z47" i="10" s="1"/>
  <c r="M49" i="3"/>
  <c r="BE48" i="10"/>
  <c r="Z48" i="10" s="1"/>
  <c r="M50" i="3"/>
  <c r="BE49" i="10"/>
  <c r="Z49" i="10" s="1"/>
  <c r="M51" i="3"/>
  <c r="BE50" i="10"/>
  <c r="Z50" i="10" s="1"/>
  <c r="M52" i="3"/>
  <c r="BE51" i="10"/>
  <c r="Z51" i="10" s="1"/>
  <c r="M53" i="3"/>
  <c r="BE52" i="10"/>
  <c r="Z52" i="10" s="1"/>
  <c r="M54" i="3"/>
  <c r="BE53" i="10"/>
  <c r="Z53" i="10" s="1"/>
  <c r="M55" i="3"/>
  <c r="BE54" i="10"/>
  <c r="Z54" i="10" s="1"/>
  <c r="M56" i="3"/>
  <c r="BE55" i="10"/>
  <c r="Z55" i="10" s="1"/>
  <c r="M57" i="3"/>
  <c r="BE56" i="10"/>
  <c r="Z56" i="10" s="1"/>
  <c r="M58" i="3"/>
  <c r="BE57" i="10"/>
  <c r="Z57" i="10" s="1"/>
  <c r="M59" i="3"/>
  <c r="BE58" i="10"/>
  <c r="Z58" i="10" s="1"/>
  <c r="M60" i="3"/>
  <c r="BE59" i="10"/>
  <c r="Z59" i="10" s="1"/>
  <c r="M61" i="3"/>
  <c r="J13" i="7" s="1"/>
  <c r="BE60" i="10"/>
  <c r="Z60" i="10" s="1"/>
  <c r="M62" i="3"/>
  <c r="BE61" i="10"/>
  <c r="Z61" i="10" s="1"/>
  <c r="M63" i="3"/>
  <c r="BE62" i="10"/>
  <c r="Z62" i="10" s="1"/>
  <c r="M64" i="3"/>
  <c r="BE63" i="10"/>
  <c r="Z63" i="10" s="1"/>
  <c r="M65" i="3"/>
  <c r="BE64" i="10"/>
  <c r="Z64" i="10" s="1"/>
  <c r="M66" i="3"/>
  <c r="BE65" i="10"/>
  <c r="Z65" i="10" s="1"/>
  <c r="M67" i="3"/>
  <c r="BE66" i="10"/>
  <c r="Z66" i="10" s="1"/>
  <c r="M68" i="3"/>
  <c r="BE67" i="10"/>
  <c r="Z67" i="10" s="1"/>
  <c r="M69" i="3"/>
  <c r="BE68" i="10"/>
  <c r="Z68" i="10" s="1"/>
  <c r="M70" i="3"/>
  <c r="BE69" i="10"/>
  <c r="Z69" i="10" s="1"/>
  <c r="M71" i="3"/>
  <c r="BE70" i="10"/>
  <c r="Z70" i="10" s="1"/>
  <c r="M72" i="3"/>
  <c r="BE71" i="10"/>
  <c r="Z71" i="10" s="1"/>
  <c r="M73" i="3"/>
  <c r="BE72" i="10"/>
  <c r="Z72" i="10" s="1"/>
  <c r="M74" i="3"/>
  <c r="BE73" i="10"/>
  <c r="Z73" i="10" s="1"/>
  <c r="M75" i="3"/>
  <c r="BE74" i="10"/>
  <c r="Z74" i="10" s="1"/>
  <c r="M76" i="3"/>
  <c r="BE75" i="10"/>
  <c r="Z75" i="10" s="1"/>
  <c r="M77" i="3"/>
  <c r="BE76" i="10"/>
  <c r="Z76" i="10" s="1"/>
  <c r="M78" i="3"/>
  <c r="BE77" i="10"/>
  <c r="Z77" i="10" s="1"/>
  <c r="M79" i="3"/>
  <c r="BE78" i="10"/>
  <c r="Z78" i="10" s="1"/>
  <c r="M80" i="3"/>
  <c r="BE79" i="10"/>
  <c r="Z79" i="10" s="1"/>
  <c r="M81" i="3"/>
  <c r="BE80" i="10"/>
  <c r="Z80" i="10" s="1"/>
  <c r="M82" i="3"/>
  <c r="BE81" i="10"/>
  <c r="Z81" i="10" s="1"/>
  <c r="M83" i="3"/>
  <c r="BE82" i="10"/>
  <c r="Z82" i="10" s="1"/>
  <c r="M84" i="3"/>
  <c r="BE83" i="10"/>
  <c r="Z83" i="10" s="1"/>
  <c r="M85" i="3"/>
  <c r="BE84" i="10"/>
  <c r="Z84" i="10" s="1"/>
  <c r="M86" i="3"/>
  <c r="BE85" i="10"/>
  <c r="Z85" i="10" s="1"/>
  <c r="M87" i="3"/>
  <c r="BE86" i="10"/>
  <c r="Z86" i="10" s="1"/>
  <c r="M88" i="3"/>
  <c r="BE87" i="10"/>
  <c r="Z87" i="10" s="1"/>
  <c r="M89" i="3"/>
  <c r="BE88" i="10"/>
  <c r="Z88" i="10" s="1"/>
  <c r="M90" i="3"/>
  <c r="BE89" i="10"/>
  <c r="Z89" i="10" s="1"/>
  <c r="M91" i="3"/>
  <c r="BE90" i="10"/>
  <c r="Z90" i="10" s="1"/>
  <c r="M92" i="3"/>
  <c r="BE91" i="10"/>
  <c r="Z91" i="10" s="1"/>
  <c r="M93" i="3"/>
  <c r="BE92" i="10"/>
  <c r="Z92" i="10" s="1"/>
  <c r="M94" i="3"/>
  <c r="BE93" i="10"/>
  <c r="Z93" i="10" s="1"/>
  <c r="M95" i="3"/>
  <c r="BE94" i="10"/>
  <c r="Z94" i="10" s="1"/>
  <c r="M96" i="3"/>
  <c r="BE95" i="10"/>
  <c r="Z95" i="10" s="1"/>
  <c r="M97" i="3"/>
  <c r="BE96" i="10"/>
  <c r="Z96" i="10" s="1"/>
  <c r="M98" i="3"/>
  <c r="BE97" i="10"/>
  <c r="Z97" i="10" s="1"/>
  <c r="M99" i="3"/>
  <c r="BE98" i="10"/>
  <c r="Z98" i="10" s="1"/>
  <c r="M100" i="3"/>
  <c r="BE99" i="10"/>
  <c r="Z99" i="10" s="1"/>
  <c r="M101" i="3"/>
  <c r="BE100" i="10"/>
  <c r="Z100" i="10" s="1"/>
  <c r="M102" i="3"/>
  <c r="BE101" i="10"/>
  <c r="Z101" i="10" s="1"/>
  <c r="M103" i="3"/>
  <c r="BE102" i="10"/>
  <c r="Z102" i="10" s="1"/>
  <c r="M104" i="3"/>
  <c r="BE103" i="10"/>
  <c r="Z103" i="10" s="1"/>
  <c r="M105" i="3"/>
  <c r="BE104" i="10"/>
  <c r="Z104" i="10" s="1"/>
  <c r="M106" i="3"/>
  <c r="BE105" i="10"/>
  <c r="Z105" i="10" s="1"/>
  <c r="M107" i="3"/>
  <c r="BE106" i="10"/>
  <c r="Z106" i="10" s="1"/>
  <c r="M108" i="3"/>
  <c r="BE107" i="10"/>
  <c r="Z107" i="10" s="1"/>
  <c r="M109" i="3"/>
  <c r="BE108" i="10"/>
  <c r="Z108" i="10" s="1"/>
  <c r="M110" i="3"/>
  <c r="BE109" i="10"/>
  <c r="Z109" i="10" s="1"/>
  <c r="M111" i="3"/>
  <c r="BE110" i="10"/>
  <c r="Z110" i="10" s="1"/>
  <c r="M112" i="3"/>
  <c r="BE111" i="10"/>
  <c r="Z111" i="10" s="1"/>
  <c r="M113" i="3"/>
  <c r="BE112" i="10"/>
  <c r="Z112" i="10" s="1"/>
  <c r="M114" i="3"/>
  <c r="BE113" i="10"/>
  <c r="Z113" i="10" s="1"/>
  <c r="M115" i="3"/>
  <c r="BE114" i="10"/>
  <c r="Z114" i="10" s="1"/>
  <c r="M116" i="3"/>
  <c r="BE115" i="10"/>
  <c r="Z115" i="10" s="1"/>
  <c r="M117" i="3"/>
  <c r="BE116" i="10"/>
  <c r="Z116" i="10" s="1"/>
  <c r="M118" i="3"/>
  <c r="BE117" i="10"/>
  <c r="Z117" i="10" s="1"/>
  <c r="M119" i="3"/>
  <c r="BE118" i="10"/>
  <c r="Z118" i="10" s="1"/>
  <c r="M120" i="3"/>
  <c r="BE119" i="10"/>
  <c r="Z119" i="10" s="1"/>
  <c r="M121" i="3"/>
  <c r="BE120" i="10"/>
  <c r="Z120" i="10" s="1"/>
  <c r="M122" i="3"/>
  <c r="BE121" i="10"/>
  <c r="Z121" i="10" s="1"/>
  <c r="M123" i="3"/>
  <c r="BE122" i="10"/>
  <c r="Z122" i="10" s="1"/>
  <c r="M124" i="3"/>
  <c r="BE123" i="10"/>
  <c r="Z123" i="10" s="1"/>
  <c r="M125" i="3"/>
  <c r="BE124" i="10"/>
  <c r="Z124" i="10" s="1"/>
  <c r="M126" i="3"/>
  <c r="BE125" i="10"/>
  <c r="Z125" i="10" s="1"/>
  <c r="M127" i="3"/>
  <c r="BE126" i="10"/>
  <c r="Z126" i="10" s="1"/>
  <c r="M128" i="3"/>
  <c r="BE127" i="10"/>
  <c r="Z127" i="10" s="1"/>
  <c r="M129" i="3"/>
  <c r="BE128" i="10"/>
  <c r="Z128" i="10" s="1"/>
  <c r="M130" i="3"/>
  <c r="BE129" i="10"/>
  <c r="Z129" i="10" s="1"/>
  <c r="M131" i="3"/>
  <c r="BE130" i="10"/>
  <c r="Z130" i="10" s="1"/>
  <c r="M132" i="3"/>
  <c r="BE131" i="10"/>
  <c r="Z131" i="10" s="1"/>
  <c r="M133" i="3"/>
  <c r="BE132" i="10"/>
  <c r="Z132" i="10" s="1"/>
  <c r="M134" i="3"/>
  <c r="BE133" i="10"/>
  <c r="Z133" i="10" s="1"/>
  <c r="M135" i="3"/>
  <c r="BE134" i="10"/>
  <c r="Z134" i="10" s="1"/>
  <c r="M136" i="3"/>
  <c r="BE135" i="10"/>
  <c r="Z135" i="10" s="1"/>
  <c r="M137" i="3"/>
  <c r="BE136" i="10"/>
  <c r="Z136" i="10" s="1"/>
  <c r="M138" i="3"/>
  <c r="BE137" i="10"/>
  <c r="Z137" i="10" s="1"/>
  <c r="M139" i="3"/>
  <c r="BE138" i="10"/>
  <c r="Z138" i="10" s="1"/>
  <c r="M140" i="3"/>
  <c r="BE139" i="10"/>
  <c r="Z139" i="10" s="1"/>
  <c r="M141" i="3"/>
  <c r="BE140" i="10"/>
  <c r="Z140" i="10" s="1"/>
  <c r="M142" i="3"/>
  <c r="BE141" i="10"/>
  <c r="Z141" i="10" s="1"/>
  <c r="M143" i="3"/>
  <c r="BE142" i="10"/>
  <c r="Z142" i="10" s="1"/>
  <c r="M144" i="3"/>
  <c r="BE143" i="10"/>
  <c r="Z143" i="10" s="1"/>
  <c r="M145" i="3"/>
  <c r="BE144" i="10"/>
  <c r="Z144" i="10" s="1"/>
  <c r="M146" i="3"/>
  <c r="BE145" i="10"/>
  <c r="Z145" i="10" s="1"/>
  <c r="M147" i="3"/>
  <c r="BE146" i="10"/>
  <c r="Z146" i="10" s="1"/>
  <c r="M148" i="3"/>
  <c r="BE147" i="10"/>
  <c r="Z147" i="10" s="1"/>
  <c r="M149" i="3"/>
  <c r="BE148" i="10"/>
  <c r="Z148" i="10" s="1"/>
  <c r="M150" i="3"/>
  <c r="BE149" i="10"/>
  <c r="Z149" i="10" s="1"/>
  <c r="M151" i="3"/>
  <c r="BE150" i="10"/>
  <c r="Z150" i="10" s="1"/>
  <c r="M152" i="3"/>
  <c r="BE151" i="10"/>
  <c r="Z151" i="10" s="1"/>
  <c r="M153" i="3"/>
  <c r="BE152" i="10"/>
  <c r="Z152" i="10" s="1"/>
  <c r="M154" i="3"/>
  <c r="BE153" i="10"/>
  <c r="Z153" i="10" s="1"/>
  <c r="M155" i="3"/>
  <c r="BE154" i="10"/>
  <c r="Z154" i="10" s="1"/>
  <c r="M156" i="3"/>
  <c r="BE155" i="10"/>
  <c r="Z155" i="10" s="1"/>
  <c r="M157" i="3"/>
  <c r="BE156" i="10"/>
  <c r="Z156" i="10" s="1"/>
  <c r="M158" i="3"/>
  <c r="BE157" i="10"/>
  <c r="Z157" i="10" s="1"/>
  <c r="M159" i="3"/>
  <c r="BE158" i="10"/>
  <c r="Z158" i="10" s="1"/>
  <c r="M160" i="3"/>
  <c r="BE159" i="10"/>
  <c r="Z159" i="10" s="1"/>
  <c r="M161" i="3"/>
  <c r="BE160" i="10"/>
  <c r="Z160" i="10" s="1"/>
  <c r="M162" i="3"/>
  <c r="BE161" i="10"/>
  <c r="Z161" i="10" s="1"/>
  <c r="M163" i="3"/>
  <c r="BE162" i="10"/>
  <c r="Z162" i="10" s="1"/>
  <c r="M164" i="3"/>
  <c r="BE163" i="10"/>
  <c r="Z163" i="10" s="1"/>
  <c r="M165" i="3"/>
  <c r="BE164" i="10"/>
  <c r="Z164" i="10" s="1"/>
  <c r="M166" i="3"/>
  <c r="BE165" i="10"/>
  <c r="Z165" i="10" s="1"/>
  <c r="M167" i="3"/>
  <c r="BE166" i="10"/>
  <c r="Z166" i="10" s="1"/>
  <c r="M168" i="3"/>
  <c r="BE167" i="10"/>
  <c r="Z167" i="10" s="1"/>
  <c r="M169" i="3"/>
  <c r="BE168" i="10"/>
  <c r="Z168" i="10" s="1"/>
  <c r="M170" i="3"/>
  <c r="BE169" i="10"/>
  <c r="Z169" i="10" s="1"/>
  <c r="M171" i="3"/>
  <c r="BE170" i="10"/>
  <c r="Z170" i="10" s="1"/>
  <c r="M172" i="3"/>
  <c r="BE171" i="10"/>
  <c r="Z171" i="10" s="1"/>
  <c r="M173" i="3"/>
  <c r="BE172" i="10"/>
  <c r="Z172" i="10" s="1"/>
  <c r="M174" i="3"/>
  <c r="BE173" i="10"/>
  <c r="Z173" i="10" s="1"/>
  <c r="M175" i="3"/>
  <c r="BE174" i="10"/>
  <c r="Z174" i="10" s="1"/>
  <c r="M176" i="3"/>
  <c r="BE175" i="10"/>
  <c r="Z175" i="10" s="1"/>
  <c r="M177" i="3"/>
  <c r="BE176" i="10"/>
  <c r="Z176" i="10" s="1"/>
  <c r="X131" i="3"/>
  <c r="L130" i="6"/>
  <c r="X130" i="3"/>
  <c r="L129" i="6"/>
  <c r="G129" i="6"/>
  <c r="X119" i="3"/>
  <c r="L118" i="6"/>
  <c r="X111" i="3"/>
  <c r="L110" i="6"/>
  <c r="G110" i="6"/>
  <c r="G176" i="6"/>
  <c r="G175" i="6"/>
  <c r="G174" i="6"/>
  <c r="G173" i="6"/>
  <c r="G172" i="6"/>
  <c r="G171" i="6"/>
  <c r="G170" i="6"/>
  <c r="G169" i="6"/>
  <c r="G168" i="6"/>
  <c r="G167" i="6"/>
  <c r="G166" i="6"/>
  <c r="G155" i="6"/>
  <c r="G126" i="6"/>
  <c r="G118" i="6"/>
  <c r="G117" i="6"/>
  <c r="G116" i="6"/>
  <c r="G115" i="6"/>
  <c r="G114" i="6"/>
  <c r="G113" i="6"/>
  <c r="G112" i="6"/>
  <c r="G111" i="6"/>
  <c r="G105" i="6"/>
  <c r="G104" i="6"/>
  <c r="G103" i="6"/>
  <c r="G102" i="6"/>
  <c r="G101" i="6"/>
  <c r="G100" i="6"/>
  <c r="G99" i="6"/>
  <c r="G98" i="6"/>
  <c r="G97" i="6"/>
  <c r="G96" i="6"/>
  <c r="G95" i="6"/>
  <c r="G94" i="6"/>
  <c r="G93" i="6"/>
  <c r="G92" i="6"/>
  <c r="G91" i="6"/>
  <c r="G90" i="6"/>
  <c r="G89" i="6"/>
  <c r="G88" i="6"/>
  <c r="G87" i="6"/>
  <c r="G86" i="6"/>
  <c r="G85" i="6"/>
  <c r="X85" i="3"/>
  <c r="L84" i="6"/>
  <c r="G84" i="6"/>
  <c r="X84" i="3"/>
  <c r="L83" i="6"/>
  <c r="G83" i="6"/>
  <c r="X83" i="3"/>
  <c r="L82" i="6"/>
  <c r="G82" i="6"/>
  <c r="X82" i="3"/>
  <c r="L81" i="6"/>
  <c r="G81" i="6"/>
  <c r="X81" i="3"/>
  <c r="L80" i="6"/>
  <c r="G80" i="6"/>
  <c r="X80" i="3"/>
  <c r="L79" i="6"/>
  <c r="G79" i="6"/>
  <c r="G58" i="6"/>
  <c r="G57" i="6"/>
  <c r="G56" i="6"/>
  <c r="G55" i="6"/>
  <c r="G54" i="6"/>
  <c r="G53" i="6"/>
  <c r="G52" i="6"/>
  <c r="G51" i="6"/>
  <c r="G50" i="6"/>
  <c r="G49" i="6"/>
  <c r="G48" i="6"/>
  <c r="G47" i="6"/>
  <c r="G46" i="6"/>
  <c r="G45" i="6"/>
  <c r="X4" i="3"/>
  <c r="L176" i="6"/>
  <c r="L175" i="6"/>
  <c r="L174" i="6"/>
  <c r="L173" i="6"/>
  <c r="L172" i="6"/>
  <c r="L171" i="6"/>
  <c r="L170" i="6"/>
  <c r="L169" i="6"/>
  <c r="L168" i="6"/>
  <c r="L167" i="6"/>
  <c r="L166" i="6"/>
  <c r="L155" i="6"/>
  <c r="L154" i="6"/>
  <c r="L117" i="6"/>
  <c r="L116" i="6"/>
  <c r="L115" i="6"/>
  <c r="L114" i="6"/>
  <c r="L113" i="6"/>
  <c r="L112" i="6"/>
  <c r="L111" i="6"/>
  <c r="L105" i="6"/>
  <c r="L104" i="6"/>
  <c r="L103" i="6"/>
  <c r="L102" i="6"/>
  <c r="L101" i="6"/>
  <c r="L100" i="6"/>
  <c r="L99" i="6"/>
  <c r="L98" i="6"/>
  <c r="L97" i="6"/>
  <c r="L96" i="6"/>
  <c r="L95" i="6"/>
  <c r="L94" i="6"/>
  <c r="L93" i="6"/>
  <c r="L92" i="6"/>
  <c r="L91" i="6"/>
  <c r="L90" i="6"/>
  <c r="L89" i="6"/>
  <c r="L88" i="6"/>
  <c r="L87" i="6"/>
  <c r="L86" i="6"/>
  <c r="L85" i="6"/>
  <c r="L58" i="6"/>
  <c r="L57" i="6"/>
  <c r="L56" i="6"/>
  <c r="L55" i="6"/>
  <c r="L54" i="6"/>
  <c r="L53" i="6"/>
  <c r="L52" i="6"/>
  <c r="L51" i="6"/>
  <c r="L50" i="6"/>
  <c r="L49" i="6"/>
  <c r="L48" i="6"/>
  <c r="L47" i="6"/>
  <c r="L46" i="6"/>
  <c r="L45" i="6"/>
  <c r="L44" i="6"/>
  <c r="B181" i="6"/>
  <c r="B187" i="6"/>
  <c r="U177" i="3"/>
  <c r="U176" i="3"/>
  <c r="U175" i="3"/>
  <c r="U174" i="3"/>
  <c r="U173" i="3"/>
  <c r="U172" i="3"/>
  <c r="U171" i="3"/>
  <c r="U170" i="3"/>
  <c r="U169" i="3"/>
  <c r="U168" i="3"/>
  <c r="U167" i="3"/>
  <c r="U166" i="3"/>
  <c r="U165" i="3"/>
  <c r="U164" i="3"/>
  <c r="U163" i="3"/>
  <c r="U162" i="3"/>
  <c r="U161" i="3"/>
  <c r="U160" i="3"/>
  <c r="U159" i="3"/>
  <c r="U158" i="3"/>
  <c r="U157" i="3"/>
  <c r="U156" i="3"/>
  <c r="U155" i="3"/>
  <c r="U154" i="3"/>
  <c r="U153" i="3"/>
  <c r="U152" i="3"/>
  <c r="U151" i="3"/>
  <c r="U150" i="3"/>
  <c r="L148" i="6"/>
  <c r="G148" i="6"/>
  <c r="U149" i="3"/>
  <c r="L147" i="6"/>
  <c r="U148" i="3"/>
  <c r="G147" i="6"/>
  <c r="L146" i="6"/>
  <c r="G146" i="6"/>
  <c r="U147" i="3"/>
  <c r="L145" i="6"/>
  <c r="U146" i="3"/>
  <c r="G145" i="6"/>
  <c r="L144" i="6"/>
  <c r="U145" i="3"/>
  <c r="G144" i="6"/>
  <c r="L143" i="6"/>
  <c r="U144" i="3"/>
  <c r="G143" i="6"/>
  <c r="L142" i="6"/>
  <c r="U143" i="3"/>
  <c r="G142" i="6"/>
  <c r="L141" i="6"/>
  <c r="U142" i="3"/>
  <c r="G141" i="6"/>
  <c r="L140" i="6"/>
  <c r="U141" i="3"/>
  <c r="G140" i="6"/>
  <c r="L139" i="6"/>
  <c r="G139" i="6"/>
  <c r="U140" i="3"/>
  <c r="L138" i="6"/>
  <c r="G138" i="6"/>
  <c r="U139" i="3"/>
  <c r="U138" i="3"/>
  <c r="U137" i="3"/>
  <c r="U136" i="3"/>
  <c r="U135" i="3"/>
  <c r="U134" i="3"/>
  <c r="U133" i="3"/>
  <c r="U132" i="3"/>
  <c r="U131" i="3"/>
  <c r="U130" i="3"/>
  <c r="U129" i="3"/>
  <c r="U128" i="3"/>
  <c r="U127" i="3"/>
  <c r="U126" i="3"/>
  <c r="U125" i="3"/>
  <c r="U124" i="3"/>
  <c r="U123" i="3"/>
  <c r="U122" i="3"/>
  <c r="U121" i="3"/>
  <c r="U120" i="3"/>
  <c r="U119" i="3"/>
  <c r="U118" i="3"/>
  <c r="U117" i="3"/>
  <c r="U116" i="3"/>
  <c r="U115" i="3"/>
  <c r="U114" i="3"/>
  <c r="U113" i="3"/>
  <c r="U112" i="3"/>
  <c r="U111" i="3"/>
  <c r="U110" i="3"/>
  <c r="U109" i="3"/>
  <c r="U108" i="3"/>
  <c r="U107" i="3"/>
  <c r="U106" i="3"/>
  <c r="U105" i="3"/>
  <c r="U104" i="3"/>
  <c r="U103" i="3"/>
  <c r="U102" i="3"/>
  <c r="U101" i="3"/>
  <c r="U100" i="3"/>
  <c r="U99" i="3"/>
  <c r="U98" i="3"/>
  <c r="U97" i="3"/>
  <c r="U96" i="3"/>
  <c r="U95" i="3"/>
  <c r="U94" i="3"/>
  <c r="U93" i="3"/>
  <c r="U92" i="3"/>
  <c r="U91" i="3"/>
  <c r="U90" i="3"/>
  <c r="U89" i="3"/>
  <c r="U88" i="3"/>
  <c r="U87" i="3"/>
  <c r="U86" i="3"/>
  <c r="U85" i="3"/>
  <c r="U84" i="3"/>
  <c r="U83" i="3"/>
  <c r="U82" i="3"/>
  <c r="U81" i="3"/>
  <c r="U80" i="3"/>
  <c r="U79" i="3"/>
  <c r="U78" i="3"/>
  <c r="U77" i="3"/>
  <c r="U76" i="3"/>
  <c r="U75" i="3"/>
  <c r="U74" i="3"/>
  <c r="U73" i="3"/>
  <c r="U72" i="3"/>
  <c r="U71" i="3"/>
  <c r="U70" i="3"/>
  <c r="U69" i="3"/>
  <c r="U68" i="3"/>
  <c r="U67" i="3"/>
  <c r="U66" i="3"/>
  <c r="U65" i="3"/>
  <c r="U64" i="3"/>
  <c r="U63" i="3"/>
  <c r="U62" i="3"/>
  <c r="U61" i="3"/>
  <c r="U60" i="3"/>
  <c r="U59" i="3"/>
  <c r="U58" i="3"/>
  <c r="U57" i="3"/>
  <c r="U56" i="3"/>
  <c r="U55" i="3"/>
  <c r="U54" i="3"/>
  <c r="U53" i="3"/>
  <c r="U52" i="3"/>
  <c r="U51" i="3"/>
  <c r="U50" i="3"/>
  <c r="U49" i="3"/>
  <c r="U48" i="3"/>
  <c r="U47" i="3"/>
  <c r="U46" i="3"/>
  <c r="U45" i="3"/>
  <c r="G44" i="6"/>
  <c r="L43" i="6"/>
  <c r="G43" i="6"/>
  <c r="U44" i="3"/>
  <c r="L42" i="6"/>
  <c r="G42" i="6"/>
  <c r="U43" i="3"/>
  <c r="L41" i="6"/>
  <c r="U42" i="3"/>
  <c r="G41" i="6"/>
  <c r="L40" i="6"/>
  <c r="U41" i="3"/>
  <c r="G40" i="6"/>
  <c r="L39" i="6"/>
  <c r="G39" i="6"/>
  <c r="U40" i="3"/>
  <c r="L38" i="6"/>
  <c r="U39" i="3"/>
  <c r="G38" i="6"/>
  <c r="L37" i="6"/>
  <c r="U38" i="3"/>
  <c r="G37" i="6"/>
  <c r="L36" i="6"/>
  <c r="U37" i="3"/>
  <c r="G36" i="6"/>
  <c r="L35" i="6"/>
  <c r="G35" i="6"/>
  <c r="U36" i="3"/>
  <c r="L34" i="6"/>
  <c r="G34" i="6"/>
  <c r="U35" i="3"/>
  <c r="L33" i="6"/>
  <c r="G33" i="6"/>
  <c r="U34" i="3"/>
  <c r="L32" i="6"/>
  <c r="G32" i="6"/>
  <c r="U33" i="3"/>
  <c r="L31" i="6"/>
  <c r="G31" i="6"/>
  <c r="U32" i="3"/>
  <c r="L30" i="6"/>
  <c r="U31" i="3"/>
  <c r="G30" i="6"/>
  <c r="L29" i="6"/>
  <c r="U30" i="3"/>
  <c r="G29" i="6"/>
  <c r="L28" i="6"/>
  <c r="G28" i="6"/>
  <c r="U29" i="3"/>
  <c r="L27" i="6"/>
  <c r="G27" i="6"/>
  <c r="U28" i="3"/>
  <c r="L26" i="6"/>
  <c r="U27" i="3"/>
  <c r="G26" i="6"/>
  <c r="L25" i="6"/>
  <c r="G25" i="6"/>
  <c r="U26" i="3"/>
  <c r="L24" i="6"/>
  <c r="U25" i="3"/>
  <c r="G24" i="6"/>
  <c r="L23" i="6"/>
  <c r="U24" i="3"/>
  <c r="G23" i="6"/>
  <c r="L22" i="6"/>
  <c r="U23" i="3"/>
  <c r="G22" i="6"/>
  <c r="L21" i="6"/>
  <c r="U22" i="3"/>
  <c r="G21" i="6"/>
  <c r="L20" i="6"/>
  <c r="U21" i="3"/>
  <c r="G20" i="6"/>
  <c r="L19" i="6"/>
  <c r="U20" i="3"/>
  <c r="G19" i="6"/>
  <c r="L18" i="6"/>
  <c r="U19" i="3"/>
  <c r="G18" i="6"/>
  <c r="L17" i="6"/>
  <c r="U18" i="3"/>
  <c r="G17" i="6"/>
  <c r="L16" i="6"/>
  <c r="U17" i="3"/>
  <c r="G16" i="6"/>
  <c r="L15" i="6"/>
  <c r="U16" i="3"/>
  <c r="G15" i="6"/>
  <c r="L14" i="6"/>
  <c r="U15" i="3"/>
  <c r="G14" i="6"/>
  <c r="L13" i="6"/>
  <c r="U14" i="3"/>
  <c r="G13" i="6"/>
  <c r="L12" i="6"/>
  <c r="G12" i="6"/>
  <c r="U13" i="3"/>
  <c r="L11" i="6"/>
  <c r="G11" i="6"/>
  <c r="U12" i="3"/>
  <c r="L10" i="6"/>
  <c r="G10" i="6"/>
  <c r="U11" i="3"/>
  <c r="L9" i="6"/>
  <c r="G9" i="6"/>
  <c r="U10" i="3"/>
  <c r="L8" i="6"/>
  <c r="G8" i="6"/>
  <c r="U9" i="3"/>
  <c r="L7" i="6"/>
  <c r="U8" i="3"/>
  <c r="G7" i="6"/>
  <c r="L6" i="6"/>
  <c r="G6" i="6"/>
  <c r="U7" i="3"/>
  <c r="L5" i="6"/>
  <c r="U6" i="3"/>
  <c r="G5" i="6"/>
  <c r="L4" i="6"/>
  <c r="U5" i="3"/>
  <c r="G4" i="6"/>
  <c r="L3" i="6"/>
  <c r="U4" i="3"/>
  <c r="G3" i="6"/>
  <c r="K9" i="7" l="1"/>
  <c r="K14" i="7"/>
  <c r="E150" i="3"/>
  <c r="AW149" i="10"/>
  <c r="R149" i="10" s="1"/>
  <c r="B193" i="3"/>
  <c r="C193" i="3" s="1"/>
  <c r="L12" i="7"/>
  <c r="B192" i="3"/>
  <c r="C192" i="3" s="1"/>
  <c r="K12" i="7"/>
  <c r="B190" i="3"/>
  <c r="C190" i="3" s="1"/>
  <c r="I12" i="7"/>
  <c r="B186" i="3"/>
  <c r="C186" i="3" s="1"/>
  <c r="E12" i="7"/>
  <c r="B12" i="7"/>
  <c r="B11" i="7"/>
  <c r="B4" i="7"/>
  <c r="B7" i="7"/>
  <c r="B10" i="7"/>
  <c r="B8" i="7"/>
  <c r="B5" i="7"/>
  <c r="B6" i="7"/>
  <c r="B16" i="7"/>
  <c r="B15" i="7"/>
  <c r="B13" i="7"/>
  <c r="B14" i="7"/>
  <c r="B9" i="7"/>
  <c r="I16" i="3"/>
  <c r="B187" i="3" s="1"/>
  <c r="C187" i="3" s="1"/>
  <c r="I15" i="6"/>
  <c r="F12" i="7" s="1"/>
  <c r="BA15" i="10"/>
  <c r="V15" i="10" s="1"/>
  <c r="C15" i="10"/>
  <c r="E116" i="3"/>
  <c r="AW115" i="10"/>
  <c r="R115" i="10" s="1"/>
  <c r="I116" i="3"/>
  <c r="I115" i="6"/>
  <c r="F3" i="7" s="1"/>
  <c r="BA115" i="10"/>
  <c r="V115" i="10" s="1"/>
  <c r="B191" i="3"/>
  <c r="C191" i="3" s="1"/>
  <c r="J12" i="7"/>
  <c r="L11" i="7"/>
  <c r="L4" i="7"/>
  <c r="L7" i="7"/>
  <c r="L10" i="7"/>
  <c r="L8" i="7"/>
  <c r="L5" i="7"/>
  <c r="L3" i="7"/>
  <c r="L6" i="7"/>
  <c r="L16" i="7"/>
  <c r="L9" i="7"/>
  <c r="K4" i="7"/>
  <c r="K8" i="7"/>
  <c r="K6" i="7"/>
  <c r="I11" i="7"/>
  <c r="I4" i="7"/>
  <c r="I7" i="7"/>
  <c r="I10" i="7"/>
  <c r="I8" i="7"/>
  <c r="I5" i="7"/>
  <c r="I3" i="7"/>
  <c r="I6" i="7"/>
  <c r="I16" i="7"/>
  <c r="I15" i="7"/>
  <c r="I14" i="7"/>
  <c r="I9" i="7"/>
  <c r="E11" i="7"/>
  <c r="E4" i="7"/>
  <c r="E7" i="7"/>
  <c r="E10" i="7"/>
  <c r="E8" i="7"/>
  <c r="E5" i="7"/>
  <c r="E3" i="7"/>
  <c r="E6" i="7"/>
  <c r="E16" i="7"/>
  <c r="E15" i="7"/>
  <c r="E14" i="7"/>
  <c r="E9" i="7"/>
  <c r="L14" i="7"/>
  <c r="K11" i="7"/>
  <c r="K10" i="7"/>
  <c r="K3" i="7"/>
  <c r="K15" i="7"/>
  <c r="L15" i="7"/>
  <c r="K7" i="7"/>
  <c r="K5" i="7"/>
  <c r="K16" i="7"/>
  <c r="J11" i="7"/>
  <c r="J4" i="7"/>
  <c r="J7" i="7"/>
  <c r="J10" i="7"/>
  <c r="J8" i="7"/>
  <c r="J5" i="7"/>
  <c r="J3" i="7"/>
  <c r="J6" i="7"/>
  <c r="J16" i="7"/>
  <c r="J15" i="7"/>
  <c r="J14" i="7"/>
  <c r="J9" i="7"/>
  <c r="B183" i="3" l="1"/>
  <c r="C183" i="3" s="1"/>
  <c r="B3" i="7"/>
  <c r="CD102" i="10" l="1"/>
  <c r="AY102" i="10"/>
  <c r="T102" i="10"/>
  <c r="CD105" i="10"/>
  <c r="AY105" i="10"/>
  <c r="T105" i="10"/>
  <c r="CD108" i="10"/>
  <c r="AY108" i="10"/>
  <c r="T108" i="10"/>
  <c r="CD111" i="10"/>
  <c r="AY111" i="10"/>
  <c r="T111" i="10"/>
  <c r="CD113" i="10"/>
  <c r="AY113" i="10"/>
  <c r="T113" i="10"/>
  <c r="CD116" i="10"/>
  <c r="AY116" i="10"/>
  <c r="T116" i="10"/>
  <c r="CD118" i="10"/>
  <c r="AY118" i="10"/>
  <c r="T118" i="10"/>
  <c r="CD121" i="10"/>
  <c r="AY121" i="10"/>
  <c r="T121" i="10"/>
  <c r="CD123" i="10"/>
  <c r="AY123" i="10"/>
  <c r="T123" i="10"/>
  <c r="CD125" i="10"/>
  <c r="AY125" i="10"/>
  <c r="T125" i="10"/>
  <c r="CD127" i="10"/>
  <c r="AY127" i="10"/>
  <c r="T127" i="10"/>
  <c r="CD129" i="10"/>
  <c r="AY129" i="10"/>
  <c r="T129" i="10"/>
  <c r="CD131" i="10"/>
  <c r="AY131" i="10"/>
  <c r="T131" i="10"/>
  <c r="CD132" i="10"/>
  <c r="AY132" i="10"/>
  <c r="T132" i="10"/>
  <c r="CD135" i="10"/>
  <c r="AY135" i="10"/>
  <c r="T135" i="10"/>
  <c r="CD137" i="10"/>
  <c r="AY137" i="10"/>
  <c r="T137" i="10"/>
  <c r="CD139" i="10"/>
  <c r="AY139" i="10"/>
  <c r="T139" i="10"/>
  <c r="CD141" i="10"/>
  <c r="AY141" i="10"/>
  <c r="T141" i="10"/>
  <c r="CD144" i="10"/>
  <c r="AY144" i="10"/>
  <c r="T144" i="10"/>
  <c r="CD147" i="10"/>
  <c r="AY147" i="10"/>
  <c r="T147" i="10"/>
  <c r="CD152" i="10"/>
  <c r="AY152" i="10"/>
  <c r="T152" i="10"/>
  <c r="CD154" i="10"/>
  <c r="AY154" i="10"/>
  <c r="T154" i="10"/>
  <c r="CD157" i="10"/>
  <c r="AY157" i="10"/>
  <c r="T157" i="10"/>
  <c r="CD162" i="10"/>
  <c r="AY162" i="10"/>
  <c r="T162" i="10"/>
  <c r="CD165" i="10"/>
  <c r="AY165" i="10"/>
  <c r="T165" i="10"/>
  <c r="CD168" i="10"/>
  <c r="AY168" i="10"/>
  <c r="T168" i="10"/>
  <c r="CD170" i="10"/>
  <c r="AY170" i="10"/>
  <c r="T170" i="10"/>
  <c r="CD176" i="10"/>
  <c r="AY176" i="10"/>
  <c r="T176" i="10"/>
  <c r="BC6" i="10"/>
  <c r="CH6" i="10"/>
  <c r="BC12" i="10"/>
  <c r="CH12" i="10"/>
  <c r="BC19" i="10"/>
  <c r="CH19" i="10"/>
  <c r="BC22" i="10"/>
  <c r="CH22" i="10"/>
  <c r="BC28" i="10"/>
  <c r="CH28" i="10"/>
  <c r="BC35" i="10"/>
  <c r="CH35" i="10"/>
  <c r="BC37" i="10"/>
  <c r="CH37" i="10"/>
  <c r="BC40" i="10"/>
  <c r="CH40" i="10"/>
  <c r="BC43" i="10"/>
  <c r="CH43" i="10"/>
  <c r="BC46" i="10"/>
  <c r="CH46" i="10"/>
  <c r="BC49" i="10"/>
  <c r="CH49" i="10"/>
  <c r="BC52" i="10"/>
  <c r="CH52" i="10"/>
  <c r="BC55" i="10"/>
  <c r="CH55" i="10"/>
  <c r="BC61" i="10"/>
  <c r="CH61" i="10"/>
  <c r="BC64" i="10"/>
  <c r="CH64" i="10"/>
  <c r="BC78" i="10"/>
  <c r="CH78" i="10"/>
  <c r="BC80" i="10"/>
  <c r="CH80" i="10"/>
  <c r="BC83" i="10"/>
  <c r="CH83" i="10"/>
  <c r="BC86" i="10"/>
  <c r="CH86" i="10"/>
  <c r="BC89" i="10"/>
  <c r="CH89" i="10"/>
  <c r="BC91" i="10"/>
  <c r="CH91" i="10"/>
  <c r="BC95" i="10"/>
  <c r="CH95" i="10"/>
  <c r="BC98" i="10"/>
  <c r="CH98" i="10"/>
  <c r="BC100" i="10"/>
  <c r="CH100" i="10"/>
  <c r="BC103" i="10"/>
  <c r="CH103" i="10"/>
  <c r="BC106" i="10"/>
  <c r="CH106" i="10"/>
  <c r="BC112" i="10"/>
  <c r="CH112" i="10"/>
  <c r="BC115" i="10"/>
  <c r="CH115" i="10"/>
  <c r="BC119" i="10"/>
  <c r="CH119" i="10"/>
  <c r="BC121" i="10"/>
  <c r="CH121" i="10"/>
  <c r="BC125" i="10"/>
  <c r="CH125" i="10"/>
  <c r="BC128" i="10"/>
  <c r="CH128" i="10"/>
  <c r="BC133" i="10"/>
  <c r="CH133" i="10"/>
  <c r="BC136" i="10"/>
  <c r="CH136" i="10"/>
  <c r="BC141" i="10"/>
  <c r="CH141" i="10"/>
  <c r="BC147" i="10"/>
  <c r="CH147" i="10"/>
  <c r="BC149" i="10"/>
  <c r="CH149" i="10"/>
  <c r="BC152" i="10"/>
  <c r="CH152" i="10"/>
  <c r="BC154" i="10"/>
  <c r="CH154" i="10"/>
  <c r="BC157" i="10"/>
  <c r="CH157" i="10"/>
  <c r="BC160" i="10"/>
  <c r="CH160" i="10"/>
  <c r="BC162" i="10"/>
  <c r="CH162" i="10"/>
  <c r="BC165" i="10"/>
  <c r="CH165" i="10"/>
  <c r="BC175" i="10"/>
  <c r="CH175" i="10"/>
  <c r="CD3" i="10"/>
  <c r="AY3" i="10"/>
  <c r="T3" i="10"/>
  <c r="CD6" i="10"/>
  <c r="AY6" i="10"/>
  <c r="T6" i="10"/>
  <c r="CD9" i="10"/>
  <c r="AY9" i="10"/>
  <c r="T9" i="10"/>
  <c r="CD12" i="10"/>
  <c r="AY12" i="10"/>
  <c r="T12" i="10"/>
  <c r="CD16" i="10"/>
  <c r="AY16" i="10"/>
  <c r="T16" i="10"/>
  <c r="CD19" i="10"/>
  <c r="AY19" i="10"/>
  <c r="T19" i="10"/>
  <c r="CD22" i="10"/>
  <c r="AY22" i="10"/>
  <c r="T22" i="10"/>
  <c r="CD26" i="10"/>
  <c r="AY26" i="10"/>
  <c r="T26" i="10"/>
  <c r="CD29" i="10"/>
  <c r="AY29" i="10"/>
  <c r="T29" i="10"/>
  <c r="CD31" i="10"/>
  <c r="AY31" i="10"/>
  <c r="T31" i="10"/>
  <c r="CD35" i="10"/>
  <c r="AY35" i="10"/>
  <c r="T35" i="10"/>
  <c r="CD37" i="10"/>
  <c r="AY37" i="10"/>
  <c r="T37" i="10"/>
  <c r="CD40" i="10"/>
  <c r="AY40" i="10"/>
  <c r="T40" i="10"/>
  <c r="CD43" i="10"/>
  <c r="AY43" i="10"/>
  <c r="T43" i="10"/>
  <c r="CD46" i="10"/>
  <c r="AY46" i="10"/>
  <c r="T46" i="10"/>
  <c r="CD49" i="10"/>
  <c r="AY49" i="10"/>
  <c r="T49" i="10"/>
  <c r="CD52" i="10"/>
  <c r="AY52" i="10"/>
  <c r="T52" i="10"/>
  <c r="CD57" i="10"/>
  <c r="AY57" i="10"/>
  <c r="T57" i="10"/>
  <c r="CD60" i="10"/>
  <c r="AY60" i="10"/>
  <c r="T60" i="10"/>
  <c r="CD62" i="10"/>
  <c r="AY62" i="10"/>
  <c r="T62" i="10"/>
  <c r="CD65" i="10"/>
  <c r="AY65" i="10"/>
  <c r="T65" i="10"/>
  <c r="CD68" i="10"/>
  <c r="AY68" i="10"/>
  <c r="T68" i="10"/>
  <c r="CD71" i="10"/>
  <c r="AY71" i="10"/>
  <c r="T71" i="10"/>
  <c r="CD74" i="10"/>
  <c r="AY74" i="10"/>
  <c r="T74" i="10"/>
  <c r="CD76" i="10"/>
  <c r="AY76" i="10"/>
  <c r="T76" i="10"/>
  <c r="CD79" i="10"/>
  <c r="AY79" i="10"/>
  <c r="T79" i="10"/>
  <c r="CD81" i="10"/>
  <c r="AY81" i="10"/>
  <c r="T81" i="10"/>
  <c r="CD84" i="10"/>
  <c r="AY84" i="10"/>
  <c r="T84" i="10"/>
  <c r="CD86" i="10"/>
  <c r="AY86" i="10"/>
  <c r="T86" i="10"/>
  <c r="CD89" i="10"/>
  <c r="AY89" i="10"/>
  <c r="T89" i="10"/>
  <c r="CD91" i="10"/>
  <c r="AY91" i="10"/>
  <c r="T91" i="10"/>
  <c r="CD94" i="10"/>
  <c r="AY94" i="10"/>
  <c r="T94" i="10"/>
  <c r="CD97" i="10"/>
  <c r="AY97" i="10"/>
  <c r="T97" i="10"/>
  <c r="CD100" i="10"/>
  <c r="AY100" i="10"/>
  <c r="T100" i="10"/>
  <c r="CD103" i="10"/>
  <c r="AY103" i="10"/>
  <c r="T103" i="10"/>
  <c r="CD107" i="10"/>
  <c r="AY107" i="10"/>
  <c r="T107" i="10"/>
  <c r="CD110" i="10"/>
  <c r="AY110" i="10"/>
  <c r="T110" i="10"/>
  <c r="CD115" i="10"/>
  <c r="AY115" i="10"/>
  <c r="T115" i="10"/>
  <c r="CD120" i="10"/>
  <c r="AY120" i="10"/>
  <c r="T120" i="10"/>
  <c r="CD122" i="10"/>
  <c r="AY122" i="10"/>
  <c r="T122" i="10"/>
  <c r="CD124" i="10"/>
  <c r="AY124" i="10"/>
  <c r="T124" i="10"/>
  <c r="CD126" i="10"/>
  <c r="AY126" i="10"/>
  <c r="T126" i="10"/>
  <c r="CD128" i="10"/>
  <c r="AY128" i="10"/>
  <c r="T128" i="10"/>
  <c r="CD130" i="10"/>
  <c r="AY130" i="10"/>
  <c r="T130" i="10"/>
  <c r="CD133" i="10"/>
  <c r="AY133" i="10"/>
  <c r="T133" i="10"/>
  <c r="CD134" i="10"/>
  <c r="AY134" i="10"/>
  <c r="T134" i="10"/>
  <c r="CD136" i="10"/>
  <c r="AY136" i="10"/>
  <c r="T136" i="10"/>
  <c r="CD138" i="10"/>
  <c r="AY138" i="10"/>
  <c r="T138" i="10"/>
  <c r="CD140" i="10"/>
  <c r="AY140" i="10"/>
  <c r="T140" i="10"/>
  <c r="CD143" i="10"/>
  <c r="AY143" i="10"/>
  <c r="T143" i="10"/>
  <c r="CD146" i="10"/>
  <c r="AY146" i="10"/>
  <c r="T146" i="10"/>
  <c r="CD149" i="10"/>
  <c r="AY149" i="10"/>
  <c r="T149" i="10"/>
  <c r="CD151" i="10"/>
  <c r="AY151" i="10"/>
  <c r="T151" i="10"/>
  <c r="CD156" i="10"/>
  <c r="AY156" i="10"/>
  <c r="T156" i="10"/>
  <c r="CD159" i="10"/>
  <c r="AY159" i="10"/>
  <c r="T159" i="10"/>
  <c r="CD161" i="10"/>
  <c r="AY161" i="10"/>
  <c r="T161" i="10"/>
  <c r="CD164" i="10"/>
  <c r="AY164" i="10"/>
  <c r="T164" i="10"/>
  <c r="CD166" i="10"/>
  <c r="AY166" i="10"/>
  <c r="T166" i="10"/>
  <c r="CD169" i="10"/>
  <c r="AY169" i="10"/>
  <c r="T169" i="10"/>
  <c r="CD172" i="10"/>
  <c r="AY172" i="10"/>
  <c r="T172" i="10"/>
  <c r="CD174" i="10"/>
  <c r="AY174" i="10"/>
  <c r="T174" i="10"/>
  <c r="BC3" i="10"/>
  <c r="CH3" i="10"/>
  <c r="X3" i="10"/>
  <c r="BC8" i="10"/>
  <c r="CH8" i="10"/>
  <c r="X8" i="10"/>
  <c r="BC24" i="10"/>
  <c r="CH24" i="10"/>
  <c r="X24" i="10"/>
  <c r="BC36" i="10"/>
  <c r="CH36" i="10"/>
  <c r="X36" i="10"/>
  <c r="X43" i="10"/>
  <c r="X46" i="10"/>
  <c r="X49" i="10"/>
  <c r="BC62" i="10"/>
  <c r="CH62" i="10"/>
  <c r="X62" i="10"/>
  <c r="BC71" i="10"/>
  <c r="CH71" i="10"/>
  <c r="X71" i="10"/>
  <c r="X80" i="10"/>
  <c r="X83" i="10"/>
  <c r="BC87" i="10"/>
  <c r="CH87" i="10"/>
  <c r="X87" i="10"/>
  <c r="BC93" i="10"/>
  <c r="CH93" i="10"/>
  <c r="X93" i="10"/>
  <c r="BC96" i="10"/>
  <c r="CH96" i="10"/>
  <c r="X96" i="10"/>
  <c r="BC99" i="10"/>
  <c r="CH99" i="10"/>
  <c r="X99" i="10"/>
  <c r="BC108" i="10"/>
  <c r="CH108" i="10"/>
  <c r="X108" i="10"/>
  <c r="X119" i="10"/>
  <c r="X125" i="10"/>
  <c r="X128" i="10"/>
  <c r="X154" i="10"/>
  <c r="BC170" i="10"/>
  <c r="CH170" i="10"/>
  <c r="X170" i="10"/>
  <c r="BC173" i="10"/>
  <c r="CH173" i="10"/>
  <c r="X173" i="10"/>
  <c r="BB5" i="10"/>
  <c r="CG5" i="10"/>
  <c r="W5" i="10"/>
  <c r="BB8" i="10"/>
  <c r="CG8" i="10"/>
  <c r="BB15" i="10"/>
  <c r="CG15" i="10"/>
  <c r="W15" i="10"/>
  <c r="BB18" i="10"/>
  <c r="CG18" i="10"/>
  <c r="CG43" i="10"/>
  <c r="BB43" i="10"/>
  <c r="W43" i="10"/>
  <c r="BB46" i="10"/>
  <c r="CG46" i="10"/>
  <c r="CG52" i="10"/>
  <c r="BB52" i="10"/>
  <c r="W52" i="10"/>
  <c r="BB54" i="10"/>
  <c r="CG54" i="10"/>
  <c r="CG64" i="10"/>
  <c r="BB64" i="10"/>
  <c r="W64" i="10"/>
  <c r="BB66" i="10"/>
  <c r="CG66" i="10"/>
  <c r="CG72" i="10"/>
  <c r="BB72" i="10"/>
  <c r="W72" i="10"/>
  <c r="AX20" i="10"/>
  <c r="S20" i="10"/>
  <c r="CC20" i="10"/>
  <c r="AX22" i="10"/>
  <c r="S22" i="10"/>
  <c r="CC22" i="10"/>
  <c r="AX45" i="10"/>
  <c r="S45" i="10"/>
  <c r="CC45" i="10"/>
  <c r="AX52" i="10"/>
  <c r="S52" i="10"/>
  <c r="CC52" i="10"/>
  <c r="AX72" i="10"/>
  <c r="S72" i="10"/>
  <c r="CC72" i="10"/>
  <c r="AX108" i="10"/>
  <c r="S108" i="10"/>
  <c r="CC108" i="10"/>
  <c r="AX138" i="10"/>
  <c r="S138" i="10"/>
  <c r="CC138" i="10"/>
  <c r="AX153" i="10"/>
  <c r="S153" i="10"/>
  <c r="CC153" i="10"/>
  <c r="AX166" i="10"/>
  <c r="S166" i="10"/>
  <c r="CC166" i="10"/>
  <c r="BC31" i="10"/>
  <c r="CH31" i="10"/>
  <c r="K32" i="3"/>
  <c r="H3" i="7"/>
  <c r="K20" i="3"/>
  <c r="H5" i="7"/>
  <c r="BC4" i="10"/>
  <c r="CH4" i="10"/>
  <c r="K5" i="3"/>
  <c r="H11" i="7"/>
  <c r="G61" i="3"/>
  <c r="D13" i="7"/>
  <c r="S148" i="10"/>
  <c r="CC148" i="10"/>
  <c r="AX148" i="10"/>
  <c r="H148" i="6"/>
  <c r="AQ148" i="5"/>
  <c r="S143" i="10"/>
  <c r="CC143" i="10"/>
  <c r="AX143" i="10"/>
  <c r="H143" i="6"/>
  <c r="AQ143" i="5"/>
  <c r="H138" i="6"/>
  <c r="AQ138" i="5"/>
  <c r="S136" i="10"/>
  <c r="CC136" i="10"/>
  <c r="AX136" i="10"/>
  <c r="H136" i="6"/>
  <c r="AQ136" i="5"/>
  <c r="S132" i="10"/>
  <c r="CC132" i="10"/>
  <c r="AX132" i="10"/>
  <c r="H132" i="6"/>
  <c r="AQ132" i="5"/>
  <c r="S128" i="10"/>
  <c r="CC128" i="10"/>
  <c r="AX128" i="10"/>
  <c r="H128" i="6"/>
  <c r="AQ128" i="5"/>
  <c r="S69" i="10"/>
  <c r="CC69" i="10"/>
  <c r="AX69" i="10"/>
  <c r="H69" i="6"/>
  <c r="AQ69" i="5"/>
  <c r="S67" i="10"/>
  <c r="CC67" i="10"/>
  <c r="AX67" i="10"/>
  <c r="S61" i="10"/>
  <c r="CC61" i="10"/>
  <c r="AX61" i="10"/>
  <c r="CG79" i="10"/>
  <c r="BB79" i="10"/>
  <c r="J79" i="6"/>
  <c r="G14" i="7"/>
  <c r="J8" i="6"/>
  <c r="J54" i="6"/>
  <c r="S157" i="10"/>
  <c r="CC157" i="10"/>
  <c r="AX157" i="10"/>
  <c r="H157" i="6"/>
  <c r="AP157" i="5"/>
  <c r="S157" i="5"/>
  <c r="T157" i="5"/>
  <c r="S155" i="10"/>
  <c r="CC155" i="10"/>
  <c r="AX155" i="10"/>
  <c r="F156" i="3"/>
  <c r="AK156" i="3"/>
  <c r="AL156" i="3"/>
  <c r="C155" i="6"/>
  <c r="S151" i="10"/>
  <c r="CC151" i="10"/>
  <c r="AX151" i="10"/>
  <c r="F152" i="3"/>
  <c r="AK152" i="3"/>
  <c r="AL152" i="3"/>
  <c r="C151" i="6"/>
  <c r="S149" i="10"/>
  <c r="CC149" i="10"/>
  <c r="AX149" i="10"/>
  <c r="H149" i="6"/>
  <c r="AP149" i="5"/>
  <c r="S149" i="5"/>
  <c r="T149" i="5"/>
  <c r="S58" i="10"/>
  <c r="CC58" i="10"/>
  <c r="AX58" i="10"/>
  <c r="F59" i="3"/>
  <c r="V59" i="3"/>
  <c r="AA59" i="3"/>
  <c r="BB101" i="10"/>
  <c r="CG101" i="10"/>
  <c r="W101" i="10"/>
  <c r="AX19" i="10"/>
  <c r="S19" i="10"/>
  <c r="CC19" i="10"/>
  <c r="AX32" i="10"/>
  <c r="S32" i="10"/>
  <c r="CC32" i="10"/>
  <c r="AX37" i="10"/>
  <c r="S37" i="10"/>
  <c r="CC37" i="10"/>
  <c r="AX73" i="10"/>
  <c r="S73" i="10"/>
  <c r="CC73" i="10"/>
  <c r="AX75" i="10"/>
  <c r="S75" i="10"/>
  <c r="CC75" i="10"/>
  <c r="AX86" i="10"/>
  <c r="S86" i="10"/>
  <c r="CC86" i="10"/>
  <c r="AX89" i="10"/>
  <c r="S89" i="10"/>
  <c r="CC89" i="10"/>
  <c r="AX95" i="10"/>
  <c r="S95" i="10"/>
  <c r="CC95" i="10"/>
  <c r="AX176" i="10"/>
  <c r="S176" i="10"/>
  <c r="CC176" i="10"/>
  <c r="X19" i="10"/>
  <c r="BC27" i="10"/>
  <c r="CH27" i="10"/>
  <c r="X27" i="10"/>
  <c r="X37" i="10"/>
  <c r="X98" i="10"/>
  <c r="BC105" i="10"/>
  <c r="CH105" i="10"/>
  <c r="X105" i="10"/>
  <c r="X133" i="10"/>
  <c r="X152" i="10"/>
  <c r="X175" i="10"/>
  <c r="W18" i="10"/>
  <c r="W66" i="10"/>
  <c r="BC50" i="10"/>
  <c r="CH50" i="10"/>
  <c r="X50" i="10"/>
  <c r="X55" i="10"/>
  <c r="X64" i="10"/>
  <c r="X91" i="10"/>
  <c r="CG157" i="10"/>
  <c r="BB157" i="10"/>
  <c r="AX53" i="10"/>
  <c r="S53" i="10"/>
  <c r="CC53" i="10"/>
  <c r="AX79" i="10"/>
  <c r="S79" i="10"/>
  <c r="CC79" i="10"/>
  <c r="AX90" i="10"/>
  <c r="S90" i="10"/>
  <c r="CC90" i="10"/>
  <c r="X162" i="10"/>
  <c r="AX111" i="10"/>
  <c r="S111" i="10"/>
  <c r="CC111" i="10"/>
  <c r="BC16" i="10"/>
  <c r="CH16" i="10"/>
  <c r="K17" i="3"/>
  <c r="H10" i="7"/>
  <c r="S109" i="10"/>
  <c r="CC109" i="10"/>
  <c r="AX109" i="10"/>
  <c r="H109" i="6"/>
  <c r="S66" i="10"/>
  <c r="CC66" i="10"/>
  <c r="AX66" i="10"/>
  <c r="H66" i="6"/>
  <c r="AQ66" i="5"/>
  <c r="S44" i="10"/>
  <c r="CC44" i="10"/>
  <c r="AX44" i="10"/>
  <c r="H44" i="6"/>
  <c r="AQ44" i="5"/>
  <c r="S36" i="10"/>
  <c r="CC36" i="10"/>
  <c r="AX36" i="10"/>
  <c r="H36" i="6"/>
  <c r="S12" i="10"/>
  <c r="CC12" i="10"/>
  <c r="AX12" i="10"/>
  <c r="H12" i="6"/>
  <c r="AQ12" i="5"/>
  <c r="S8" i="10"/>
  <c r="CC8" i="10"/>
  <c r="AX8" i="10"/>
  <c r="H8" i="6"/>
  <c r="AQ8" i="5"/>
  <c r="S48" i="10"/>
  <c r="CC48" i="10"/>
  <c r="AX48" i="10"/>
  <c r="F49" i="3"/>
  <c r="F53" i="3"/>
  <c r="S97" i="10"/>
  <c r="CC97" i="10"/>
  <c r="AX97" i="10"/>
  <c r="F98" i="3"/>
  <c r="F110" i="3"/>
  <c r="S121" i="10"/>
  <c r="CC121" i="10"/>
  <c r="AX121" i="10"/>
  <c r="F122" i="3"/>
  <c r="V122" i="3"/>
  <c r="F133" i="3"/>
  <c r="F139" i="3"/>
  <c r="S170" i="10"/>
  <c r="CC170" i="10"/>
  <c r="AX170" i="10"/>
  <c r="F171" i="3"/>
  <c r="K38" i="3"/>
  <c r="CH48" i="10"/>
  <c r="BC48" i="10"/>
  <c r="K49" i="3"/>
  <c r="CH81" i="10"/>
  <c r="BC81" i="10"/>
  <c r="K82" i="3"/>
  <c r="K97" i="3"/>
  <c r="K109" i="3"/>
  <c r="K137" i="3"/>
  <c r="K158" i="3"/>
  <c r="G17" i="3"/>
  <c r="G38" i="3"/>
  <c r="G63" i="3"/>
  <c r="G101" i="3"/>
  <c r="G112" i="3"/>
  <c r="G116" i="3"/>
  <c r="G130" i="3"/>
  <c r="G134" i="3"/>
  <c r="G141" i="3"/>
  <c r="G152" i="3"/>
  <c r="G166" i="3"/>
  <c r="G177" i="3"/>
  <c r="CG56" i="10"/>
  <c r="BB56" i="10"/>
  <c r="J57" i="3"/>
  <c r="R57" i="3"/>
  <c r="F13" i="3"/>
  <c r="Z13" i="3"/>
  <c r="S23" i="10"/>
  <c r="CC23" i="10"/>
  <c r="AX23" i="10"/>
  <c r="F24" i="3"/>
  <c r="Z24" i="3"/>
  <c r="S34" i="10"/>
  <c r="CC34" i="10"/>
  <c r="AX34" i="10"/>
  <c r="F35" i="3"/>
  <c r="Z35" i="3"/>
  <c r="S104" i="10"/>
  <c r="CC104" i="10"/>
  <c r="AX104" i="10"/>
  <c r="F105" i="3"/>
  <c r="Z105" i="3"/>
  <c r="Z171" i="3"/>
  <c r="S118" i="10"/>
  <c r="CC118" i="10"/>
  <c r="AX118" i="10"/>
  <c r="H118" i="6"/>
  <c r="AQ118" i="5"/>
  <c r="S91" i="10"/>
  <c r="CC91" i="10"/>
  <c r="AX91" i="10"/>
  <c r="H91" i="6"/>
  <c r="AQ91" i="5"/>
  <c r="S47" i="10"/>
  <c r="CC47" i="10"/>
  <c r="AX47" i="10"/>
  <c r="H47" i="6"/>
  <c r="AQ47" i="5"/>
  <c r="CG92" i="10"/>
  <c r="BB92" i="10"/>
  <c r="J93" i="3"/>
  <c r="F74" i="3"/>
  <c r="P74" i="3"/>
  <c r="T64" i="10"/>
  <c r="CD64" i="10"/>
  <c r="AY64" i="10"/>
  <c r="G65" i="3"/>
  <c r="Q65" i="3"/>
  <c r="P53" i="3"/>
  <c r="T47" i="10"/>
  <c r="CD47" i="10"/>
  <c r="AY47" i="10"/>
  <c r="G48" i="3"/>
  <c r="Q48" i="3"/>
  <c r="T34" i="10"/>
  <c r="CD34" i="10"/>
  <c r="AY34" i="10"/>
  <c r="G35" i="3"/>
  <c r="Q35" i="3"/>
  <c r="S27" i="10"/>
  <c r="CC27" i="10"/>
  <c r="AX27" i="10"/>
  <c r="F28" i="3"/>
  <c r="P28" i="3"/>
  <c r="S30" i="10"/>
  <c r="CC30" i="10"/>
  <c r="AX30" i="10"/>
  <c r="F31" i="3"/>
  <c r="AK31" i="3"/>
  <c r="CG82" i="10"/>
  <c r="BB82" i="10"/>
  <c r="J82" i="6"/>
  <c r="G9" i="7"/>
  <c r="S16" i="10"/>
  <c r="CC16" i="10"/>
  <c r="AX16" i="10"/>
  <c r="H16" i="6"/>
  <c r="C10" i="7"/>
  <c r="CG110" i="10"/>
  <c r="BB110" i="10"/>
  <c r="J110" i="6"/>
  <c r="CG119" i="10"/>
  <c r="BB119" i="10"/>
  <c r="J119" i="6"/>
  <c r="CG20" i="10"/>
  <c r="BB20" i="10"/>
  <c r="J20" i="6"/>
  <c r="CG48" i="10"/>
  <c r="BB48" i="10"/>
  <c r="J48" i="6"/>
  <c r="J92" i="6"/>
  <c r="CG69" i="10"/>
  <c r="BB69" i="10"/>
  <c r="J69" i="6"/>
  <c r="S154" i="10"/>
  <c r="CC154" i="10"/>
  <c r="AX154" i="10"/>
  <c r="F155" i="3"/>
  <c r="AK155" i="3"/>
  <c r="AL155" i="3"/>
  <c r="C154" i="6"/>
  <c r="S4" i="10"/>
  <c r="CC4" i="10"/>
  <c r="AX4" i="10"/>
  <c r="F5" i="3"/>
  <c r="Z5" i="3"/>
  <c r="F31" i="7"/>
  <c r="S116" i="10"/>
  <c r="CC116" i="10"/>
  <c r="AX116" i="10"/>
  <c r="F117" i="3"/>
  <c r="V117" i="3"/>
  <c r="AA117" i="3"/>
  <c r="S56" i="10"/>
  <c r="CC56" i="10"/>
  <c r="AX56" i="10"/>
  <c r="F57" i="3"/>
  <c r="V57" i="3"/>
  <c r="AA57" i="3"/>
  <c r="S141" i="10"/>
  <c r="CC141" i="10"/>
  <c r="AX141" i="10"/>
  <c r="F142" i="3"/>
  <c r="AK142" i="3"/>
  <c r="S123" i="10"/>
  <c r="CC123" i="10"/>
  <c r="AX123" i="10"/>
  <c r="H123" i="6"/>
  <c r="AP123" i="5"/>
  <c r="AK122" i="3"/>
  <c r="S40" i="10"/>
  <c r="CC40" i="10"/>
  <c r="AX40" i="10"/>
  <c r="F41" i="3"/>
  <c r="AK41" i="3"/>
  <c r="AL41" i="3"/>
  <c r="C40" i="6"/>
  <c r="AK49" i="3"/>
  <c r="F91" i="3"/>
  <c r="AK91" i="3"/>
  <c r="S106" i="10"/>
  <c r="CC106" i="10"/>
  <c r="AX106" i="10"/>
  <c r="F107" i="3"/>
  <c r="AK107" i="3"/>
  <c r="S122" i="10"/>
  <c r="CC122" i="10"/>
  <c r="AX122" i="10"/>
  <c r="F123" i="3"/>
  <c r="AK123" i="3"/>
  <c r="S135" i="10"/>
  <c r="CC135" i="10"/>
  <c r="AX135" i="10"/>
  <c r="F136" i="3"/>
  <c r="AK136" i="3"/>
  <c r="S169" i="10"/>
  <c r="CC169" i="10"/>
  <c r="AX169" i="10"/>
  <c r="F170" i="3"/>
  <c r="AK170" i="3"/>
  <c r="F177" i="3"/>
  <c r="AK177" i="3"/>
  <c r="Z31" i="3"/>
  <c r="S42" i="10"/>
  <c r="CC42" i="10"/>
  <c r="AX42" i="10"/>
  <c r="F43" i="3"/>
  <c r="Z43" i="3"/>
  <c r="Z98" i="3"/>
  <c r="Z110" i="3"/>
  <c r="S129" i="10"/>
  <c r="CC129" i="10"/>
  <c r="AX129" i="10"/>
  <c r="F130" i="3"/>
  <c r="Z130" i="3"/>
  <c r="Z177" i="3"/>
  <c r="S101" i="10"/>
  <c r="CC101" i="10"/>
  <c r="AX101" i="10"/>
  <c r="H101" i="6"/>
  <c r="AQ101" i="5"/>
  <c r="CG135" i="10"/>
  <c r="BB135" i="10"/>
  <c r="J136" i="3"/>
  <c r="CG121" i="10"/>
  <c r="BB121" i="10"/>
  <c r="J122" i="3"/>
  <c r="CG117" i="10"/>
  <c r="BB117" i="10"/>
  <c r="J118" i="3"/>
  <c r="S118" i="3"/>
  <c r="CG102" i="10"/>
  <c r="BB102" i="10"/>
  <c r="J103" i="3"/>
  <c r="CG71" i="10"/>
  <c r="BB71" i="10"/>
  <c r="J72" i="3"/>
  <c r="S72" i="3"/>
  <c r="S71" i="10"/>
  <c r="CC71" i="10"/>
  <c r="AX71" i="10"/>
  <c r="F72" i="3"/>
  <c r="AK72" i="3"/>
  <c r="S78" i="10"/>
  <c r="CC78" i="10"/>
  <c r="AX78" i="10"/>
  <c r="F79" i="3"/>
  <c r="AK79" i="3"/>
  <c r="S92" i="10"/>
  <c r="CC92" i="10"/>
  <c r="AX92" i="10"/>
  <c r="F93" i="3"/>
  <c r="AK93" i="3"/>
  <c r="AK133" i="3"/>
  <c r="AK171" i="3"/>
  <c r="CG120" i="10"/>
  <c r="BB120" i="10"/>
  <c r="J121" i="3"/>
  <c r="CG125" i="10"/>
  <c r="BB125" i="10"/>
  <c r="J126" i="3"/>
  <c r="CG133" i="10"/>
  <c r="BB133" i="10"/>
  <c r="J134" i="3"/>
  <c r="R134" i="3"/>
  <c r="CG148" i="10"/>
  <c r="BB148" i="10"/>
  <c r="J149" i="3"/>
  <c r="R149" i="3"/>
  <c r="S126" i="3"/>
  <c r="CG104" i="10"/>
  <c r="BB104" i="10"/>
  <c r="J105" i="3"/>
  <c r="S105" i="3"/>
  <c r="CG67" i="10"/>
  <c r="BB67" i="10"/>
  <c r="J68" i="3"/>
  <c r="S68" i="3"/>
  <c r="J47" i="3"/>
  <c r="J44" i="3"/>
  <c r="CG35" i="10"/>
  <c r="BB35" i="10"/>
  <c r="J36" i="3"/>
  <c r="S36" i="3"/>
  <c r="CG25" i="10"/>
  <c r="BB25" i="10"/>
  <c r="J26" i="3"/>
  <c r="J21" i="3"/>
  <c r="J16" i="3"/>
  <c r="T175" i="10"/>
  <c r="CD175" i="10"/>
  <c r="AY175" i="10"/>
  <c r="G176" i="3"/>
  <c r="Q176" i="3"/>
  <c r="P170" i="3"/>
  <c r="T167" i="10"/>
  <c r="CD167" i="10"/>
  <c r="AY167" i="10"/>
  <c r="G168" i="3"/>
  <c r="Q168" i="3"/>
  <c r="Q166" i="3"/>
  <c r="Q152" i="3"/>
  <c r="P139" i="3"/>
  <c r="P136" i="3"/>
  <c r="S113" i="10"/>
  <c r="CC113" i="10"/>
  <c r="AX113" i="10"/>
  <c r="F114" i="3"/>
  <c r="P114" i="3"/>
  <c r="S110" i="10"/>
  <c r="CC110" i="10"/>
  <c r="AX110" i="10"/>
  <c r="F111" i="3"/>
  <c r="P111" i="3"/>
  <c r="P110" i="3"/>
  <c r="P98" i="3"/>
  <c r="P91" i="3"/>
  <c r="S81" i="10"/>
  <c r="CC81" i="10"/>
  <c r="AX81" i="10"/>
  <c r="F82" i="3"/>
  <c r="P82" i="3"/>
  <c r="P35" i="3"/>
  <c r="P31" i="3"/>
  <c r="Q17" i="3"/>
  <c r="S5" i="10"/>
  <c r="CC5" i="10"/>
  <c r="AX5" i="10"/>
  <c r="F6" i="3"/>
  <c r="P6" i="3"/>
  <c r="S161" i="10"/>
  <c r="CC161" i="10"/>
  <c r="AX161" i="10"/>
  <c r="F162" i="3"/>
  <c r="V162" i="3"/>
  <c r="AA162" i="3"/>
  <c r="S150" i="10"/>
  <c r="CC150" i="10"/>
  <c r="AX150" i="10"/>
  <c r="F151" i="3"/>
  <c r="V151" i="3"/>
  <c r="AA151" i="3"/>
  <c r="F149" i="3"/>
  <c r="V149" i="3"/>
  <c r="AA149" i="3"/>
  <c r="S139" i="10"/>
  <c r="CC139" i="10"/>
  <c r="AX139" i="10"/>
  <c r="F140" i="3"/>
  <c r="V140" i="3"/>
  <c r="AA140" i="3"/>
  <c r="AA122" i="3"/>
  <c r="AP109" i="5"/>
  <c r="T82" i="3"/>
  <c r="CH76" i="10"/>
  <c r="BC76" i="10"/>
  <c r="K77" i="3"/>
  <c r="T77" i="3"/>
  <c r="F76" i="3"/>
  <c r="V76" i="3"/>
  <c r="AA76" i="3"/>
  <c r="V35" i="3"/>
  <c r="F33" i="3"/>
  <c r="V33" i="3"/>
  <c r="AA33" i="3"/>
  <c r="S24" i="10"/>
  <c r="CC24" i="10"/>
  <c r="AX24" i="10"/>
  <c r="F25" i="3"/>
  <c r="V25" i="3"/>
  <c r="V24" i="3"/>
  <c r="F23" i="3"/>
  <c r="V23" i="3"/>
  <c r="AA23" i="3"/>
  <c r="S15" i="10"/>
  <c r="CC15" i="10"/>
  <c r="AX15" i="10"/>
  <c r="F16" i="3"/>
  <c r="V16" i="3"/>
  <c r="AA16" i="3"/>
  <c r="S38" i="10"/>
  <c r="CC38" i="10"/>
  <c r="AX38" i="10"/>
  <c r="F39" i="3"/>
  <c r="P39" i="3"/>
  <c r="S35" i="10"/>
  <c r="CC35" i="10"/>
  <c r="AX35" i="10"/>
  <c r="F36" i="3"/>
  <c r="P36" i="3"/>
  <c r="F9" i="3"/>
  <c r="P9" i="3"/>
  <c r="CH174" i="10"/>
  <c r="BC174" i="10"/>
  <c r="K175" i="3"/>
  <c r="H166" i="6"/>
  <c r="S165" i="10"/>
  <c r="CC165" i="10"/>
  <c r="AX165" i="10"/>
  <c r="F166" i="3"/>
  <c r="V166" i="3"/>
  <c r="AA166" i="3"/>
  <c r="CH163" i="10"/>
  <c r="BC163" i="10"/>
  <c r="K164" i="3"/>
  <c r="T164" i="3"/>
  <c r="S163" i="10"/>
  <c r="CC163" i="10"/>
  <c r="AX163" i="10"/>
  <c r="F164" i="3"/>
  <c r="V164" i="3"/>
  <c r="AA164" i="3"/>
  <c r="CH161" i="10"/>
  <c r="BC161" i="10"/>
  <c r="K162" i="3"/>
  <c r="T162" i="3"/>
  <c r="F154" i="3"/>
  <c r="V154" i="3"/>
  <c r="AA154" i="3"/>
  <c r="AP143" i="5"/>
  <c r="AP138" i="5"/>
  <c r="AP136" i="5"/>
  <c r="CH132" i="10"/>
  <c r="BC132" i="10"/>
  <c r="K133" i="3"/>
  <c r="T133" i="3"/>
  <c r="S124" i="10"/>
  <c r="CC124" i="10"/>
  <c r="AX124" i="10"/>
  <c r="F125" i="3"/>
  <c r="V125" i="3"/>
  <c r="AA125" i="3"/>
  <c r="S102" i="10"/>
  <c r="CC102" i="10"/>
  <c r="AX102" i="10"/>
  <c r="H102" i="6"/>
  <c r="AP102" i="5"/>
  <c r="S96" i="10"/>
  <c r="CC96" i="10"/>
  <c r="AX96" i="10"/>
  <c r="H96" i="6"/>
  <c r="AP96" i="5"/>
  <c r="CH94" i="10"/>
  <c r="BC94" i="10"/>
  <c r="K95" i="3"/>
  <c r="T95" i="3"/>
  <c r="S94" i="10"/>
  <c r="CC94" i="10"/>
  <c r="AX94" i="10"/>
  <c r="H94" i="6"/>
  <c r="AP94" i="5"/>
  <c r="S93" i="10"/>
  <c r="CC93" i="10"/>
  <c r="AX93" i="10"/>
  <c r="H93" i="6"/>
  <c r="AP93" i="5"/>
  <c r="H92" i="6"/>
  <c r="AP92" i="5"/>
  <c r="BC88" i="10"/>
  <c r="CH88" i="10"/>
  <c r="K89" i="3"/>
  <c r="T89" i="3"/>
  <c r="S88" i="10"/>
  <c r="CC88" i="10"/>
  <c r="AX88" i="10"/>
  <c r="H88" i="6"/>
  <c r="AP88" i="5"/>
  <c r="CH82" i="10"/>
  <c r="BC82" i="10"/>
  <c r="K83" i="3"/>
  <c r="T83" i="3"/>
  <c r="V79" i="3"/>
  <c r="AA79" i="3"/>
  <c r="S76" i="10"/>
  <c r="CC76" i="10"/>
  <c r="AX76" i="10"/>
  <c r="H76" i="6"/>
  <c r="AP76" i="5"/>
  <c r="BC75" i="10"/>
  <c r="CH75" i="10"/>
  <c r="K76" i="3"/>
  <c r="T76" i="3"/>
  <c r="BC73" i="10"/>
  <c r="CH73" i="10"/>
  <c r="K74" i="3"/>
  <c r="T74" i="3"/>
  <c r="BC70" i="10"/>
  <c r="CH70" i="10"/>
  <c r="K71" i="3"/>
  <c r="T71" i="3"/>
  <c r="S70" i="10"/>
  <c r="CC70" i="10"/>
  <c r="AX70" i="10"/>
  <c r="F71" i="3"/>
  <c r="V71" i="3"/>
  <c r="AA71" i="3"/>
  <c r="AP69" i="5"/>
  <c r="CH68" i="10"/>
  <c r="BC68" i="10"/>
  <c r="K69" i="3"/>
  <c r="T69" i="3"/>
  <c r="S68" i="10"/>
  <c r="CC68" i="10"/>
  <c r="AX68" i="10"/>
  <c r="H68" i="6"/>
  <c r="AP68" i="5"/>
  <c r="F68" i="3"/>
  <c r="V68" i="3"/>
  <c r="AA68" i="3"/>
  <c r="BC66" i="10"/>
  <c r="CH66" i="10"/>
  <c r="K67" i="3"/>
  <c r="T67" i="3"/>
  <c r="AP66" i="5"/>
  <c r="S65" i="10"/>
  <c r="CC65" i="10"/>
  <c r="AX65" i="10"/>
  <c r="H65" i="6"/>
  <c r="AP65" i="5"/>
  <c r="BC63" i="10"/>
  <c r="CH63" i="10"/>
  <c r="K64" i="3"/>
  <c r="T64" i="3"/>
  <c r="S63" i="10"/>
  <c r="CC63" i="10"/>
  <c r="AX63" i="10"/>
  <c r="F64" i="3"/>
  <c r="V64" i="3"/>
  <c r="AA64" i="3"/>
  <c r="S59" i="10"/>
  <c r="CC59" i="10"/>
  <c r="AX59" i="10"/>
  <c r="F60" i="3"/>
  <c r="V60" i="3"/>
  <c r="AA60" i="3"/>
  <c r="CH54" i="10"/>
  <c r="BC54" i="10"/>
  <c r="K55" i="3"/>
  <c r="T55" i="3"/>
  <c r="CH53" i="10"/>
  <c r="BC53" i="10"/>
  <c r="K54" i="3"/>
  <c r="T54" i="3"/>
  <c r="H53" i="6"/>
  <c r="CH51" i="10"/>
  <c r="BC51" i="10"/>
  <c r="K52" i="3"/>
  <c r="H48" i="6"/>
  <c r="CH41" i="10"/>
  <c r="BC41" i="10"/>
  <c r="K42" i="3"/>
  <c r="T42" i="3"/>
  <c r="T20" i="3"/>
  <c r="T17" i="3"/>
  <c r="H15" i="6"/>
  <c r="AP15" i="5"/>
  <c r="V9" i="3"/>
  <c r="AP8" i="5"/>
  <c r="CH7" i="10"/>
  <c r="BC7" i="10"/>
  <c r="K8" i="3"/>
  <c r="T8" i="3"/>
  <c r="CG174" i="10"/>
  <c r="BB174" i="10"/>
  <c r="J174" i="6"/>
  <c r="G17" i="7"/>
  <c r="CG19" i="10"/>
  <c r="BB19" i="10"/>
  <c r="J19" i="6"/>
  <c r="G5" i="7"/>
  <c r="S6" i="10"/>
  <c r="CC6" i="10"/>
  <c r="AX6" i="10"/>
  <c r="H6" i="6"/>
  <c r="AQ6" i="5"/>
  <c r="R47" i="3"/>
  <c r="Z72" i="3"/>
  <c r="Z79" i="3"/>
  <c r="Z91" i="3"/>
  <c r="S173" i="10"/>
  <c r="CC173" i="10"/>
  <c r="AX173" i="10"/>
  <c r="H173" i="6"/>
  <c r="AQ173" i="5"/>
  <c r="CG165" i="10"/>
  <c r="BB165" i="10"/>
  <c r="J166" i="3"/>
  <c r="R166" i="3"/>
  <c r="J125" i="6"/>
  <c r="CG161" i="10"/>
  <c r="BB161" i="10"/>
  <c r="J161" i="6"/>
  <c r="CG168" i="10"/>
  <c r="BB168" i="10"/>
  <c r="J168" i="6"/>
  <c r="J15" i="6"/>
  <c r="J25" i="6"/>
  <c r="CG44" i="10"/>
  <c r="BB44" i="10"/>
  <c r="J44" i="6"/>
  <c r="CG61" i="10"/>
  <c r="BB61" i="10"/>
  <c r="J61" i="6"/>
  <c r="J64" i="6"/>
  <c r="J66" i="6"/>
  <c r="F137" i="3"/>
  <c r="Z137" i="3"/>
  <c r="AC137" i="3"/>
  <c r="S145" i="10"/>
  <c r="CC145" i="10"/>
  <c r="AX145" i="10"/>
  <c r="F146" i="3"/>
  <c r="Z146" i="3"/>
  <c r="AB146" i="3"/>
  <c r="Z155" i="3"/>
  <c r="AB155" i="3"/>
  <c r="Z162" i="3"/>
  <c r="AB162" i="3"/>
  <c r="S172" i="10"/>
  <c r="CC172" i="10"/>
  <c r="AX172" i="10"/>
  <c r="F173" i="3"/>
  <c r="V173" i="3"/>
  <c r="AA173" i="3"/>
  <c r="F94" i="3"/>
  <c r="V94" i="3"/>
  <c r="AA94" i="3"/>
  <c r="F95" i="3"/>
  <c r="V95" i="3"/>
  <c r="AA95" i="3"/>
  <c r="S54" i="10"/>
  <c r="CC54" i="10"/>
  <c r="AX54" i="10"/>
  <c r="F55" i="3"/>
  <c r="V55" i="3"/>
  <c r="AA55" i="3"/>
  <c r="S168" i="10"/>
  <c r="CC168" i="10"/>
  <c r="AX168" i="10"/>
  <c r="F169" i="3"/>
  <c r="Z169" i="3"/>
  <c r="AC169" i="3"/>
  <c r="AC110" i="3"/>
  <c r="S60" i="10"/>
  <c r="CC60" i="10"/>
  <c r="AX60" i="10"/>
  <c r="F61" i="3"/>
  <c r="Z61" i="3"/>
  <c r="AC61" i="3"/>
  <c r="AL177" i="3"/>
  <c r="AL171" i="3"/>
  <c r="H169" i="6"/>
  <c r="AP169" i="5"/>
  <c r="S169" i="5"/>
  <c r="T169" i="5"/>
  <c r="S164" i="10"/>
  <c r="CC164" i="10"/>
  <c r="AX164" i="10"/>
  <c r="H164" i="6"/>
  <c r="AP164" i="5"/>
  <c r="S164" i="5"/>
  <c r="T164" i="5"/>
  <c r="H163" i="6"/>
  <c r="AP163" i="5"/>
  <c r="S163" i="5"/>
  <c r="T163" i="5"/>
  <c r="S144" i="10"/>
  <c r="CC144" i="10"/>
  <c r="AX144" i="10"/>
  <c r="H144" i="6"/>
  <c r="AP144" i="5"/>
  <c r="S144" i="5"/>
  <c r="T144" i="5"/>
  <c r="S143" i="5"/>
  <c r="S142" i="10"/>
  <c r="CC142" i="10"/>
  <c r="AX142" i="10"/>
  <c r="H142" i="6"/>
  <c r="AP142" i="5"/>
  <c r="S142" i="5"/>
  <c r="H141" i="6"/>
  <c r="AP141" i="5"/>
  <c r="AI142" i="3"/>
  <c r="S140" i="10"/>
  <c r="CC140" i="10"/>
  <c r="AX140" i="10"/>
  <c r="F141" i="3"/>
  <c r="AK141" i="3"/>
  <c r="AL141" i="3"/>
  <c r="H140" i="6"/>
  <c r="AP140" i="5"/>
  <c r="S140" i="5"/>
  <c r="H139" i="6"/>
  <c r="AP139" i="5"/>
  <c r="S139" i="5"/>
  <c r="T139" i="5"/>
  <c r="AI139" i="3"/>
  <c r="S137" i="10"/>
  <c r="CC137" i="10"/>
  <c r="AX137" i="10"/>
  <c r="F138" i="3"/>
  <c r="AK138" i="3"/>
  <c r="AL138" i="3"/>
  <c r="S136" i="5"/>
  <c r="BB94" i="10"/>
  <c r="CG94" i="10"/>
  <c r="BB99" i="10"/>
  <c r="CG99" i="10"/>
  <c r="BB105" i="10"/>
  <c r="CG105" i="10"/>
  <c r="BB111" i="10"/>
  <c r="CG111" i="10"/>
  <c r="BB124" i="10"/>
  <c r="CG124" i="10"/>
  <c r="BB132" i="10"/>
  <c r="CG132" i="10"/>
  <c r="BB141" i="10"/>
  <c r="CG141" i="10"/>
  <c r="CG147" i="10"/>
  <c r="BB147" i="10"/>
  <c r="W147" i="10"/>
  <c r="BB150" i="10"/>
  <c r="CG150" i="10"/>
  <c r="BB156" i="10"/>
  <c r="CG156" i="10"/>
  <c r="BB162" i="10"/>
  <c r="CG162" i="10"/>
  <c r="BB171" i="10"/>
  <c r="CG171" i="10"/>
  <c r="AX14" i="10"/>
  <c r="S14" i="10"/>
  <c r="CC14" i="10"/>
  <c r="AX25" i="10"/>
  <c r="S25" i="10"/>
  <c r="CC25" i="10"/>
  <c r="AX51" i="10"/>
  <c r="S51" i="10"/>
  <c r="CC51" i="10"/>
  <c r="AX64" i="10"/>
  <c r="S64" i="10"/>
  <c r="CC64" i="10"/>
  <c r="AX80" i="10"/>
  <c r="S80" i="10"/>
  <c r="CC80" i="10"/>
  <c r="AX99" i="10"/>
  <c r="S99" i="10"/>
  <c r="CC99" i="10"/>
  <c r="AX107" i="10"/>
  <c r="S107" i="10"/>
  <c r="CC107" i="10"/>
  <c r="AX125" i="10"/>
  <c r="S125" i="10"/>
  <c r="CC125" i="10"/>
  <c r="AX131" i="10"/>
  <c r="S131" i="10"/>
  <c r="CC131" i="10"/>
  <c r="AX156" i="10"/>
  <c r="S156" i="10"/>
  <c r="CC156" i="10"/>
  <c r="CH5" i="10"/>
  <c r="BC5" i="10"/>
  <c r="X5" i="10"/>
  <c r="BC9" i="10"/>
  <c r="CH9" i="10"/>
  <c r="X28" i="10"/>
  <c r="X35" i="10"/>
  <c r="BC39" i="10"/>
  <c r="CH39" i="10"/>
  <c r="X39" i="10"/>
  <c r="BC42" i="10"/>
  <c r="CH42" i="10"/>
  <c r="CH74" i="10"/>
  <c r="BC74" i="10"/>
  <c r="X74" i="10"/>
  <c r="BC77" i="10"/>
  <c r="CH77" i="10"/>
  <c r="X136" i="10"/>
  <c r="CG4" i="10"/>
  <c r="BB4" i="10"/>
  <c r="W4" i="10"/>
  <c r="BB9" i="10"/>
  <c r="CG9" i="10"/>
  <c r="BB26" i="10"/>
  <c r="CG26" i="10"/>
  <c r="BB33" i="10"/>
  <c r="CG33" i="10"/>
  <c r="BB39" i="10"/>
  <c r="CG39" i="10"/>
  <c r="BB47" i="10"/>
  <c r="CG47" i="10"/>
  <c r="BB55" i="10"/>
  <c r="CG55" i="10"/>
  <c r="BB63" i="10"/>
  <c r="CG63" i="10"/>
  <c r="BB75" i="10"/>
  <c r="CG75" i="10"/>
  <c r="BB77" i="10"/>
  <c r="CG77" i="10"/>
  <c r="BB81" i="10"/>
  <c r="CG81" i="10"/>
  <c r="BB83" i="10"/>
  <c r="CG83" i="10"/>
  <c r="CG85" i="10"/>
  <c r="BB85" i="10"/>
  <c r="W85" i="10"/>
  <c r="BB86" i="10"/>
  <c r="CG86" i="10"/>
  <c r="BB88" i="10"/>
  <c r="CG88" i="10"/>
  <c r="BB90" i="10"/>
  <c r="CG90" i="10"/>
  <c r="BB93" i="10"/>
  <c r="CG93" i="10"/>
  <c r="BB100" i="10"/>
  <c r="CG100" i="10"/>
  <c r="BB107" i="10"/>
  <c r="CG107" i="10"/>
  <c r="BB113" i="10"/>
  <c r="CG113" i="10"/>
  <c r="BB118" i="10"/>
  <c r="CG118" i="10"/>
  <c r="CG123" i="10"/>
  <c r="BB123" i="10"/>
  <c r="W123" i="10"/>
  <c r="BB126" i="10"/>
  <c r="CG126" i="10"/>
  <c r="BB131" i="10"/>
  <c r="CG131" i="10"/>
  <c r="BB142" i="10"/>
  <c r="CG142" i="10"/>
  <c r="BB151" i="10"/>
  <c r="CG151" i="10"/>
  <c r="BB164" i="10"/>
  <c r="CG164" i="10"/>
  <c r="AX43" i="10"/>
  <c r="S43" i="10"/>
  <c r="CC43" i="10"/>
  <c r="AX49" i="10"/>
  <c r="S49" i="10"/>
  <c r="CC49" i="10"/>
  <c r="AX57" i="10"/>
  <c r="S57" i="10"/>
  <c r="CC57" i="10"/>
  <c r="AX77" i="10"/>
  <c r="S77" i="10"/>
  <c r="CC77" i="10"/>
  <c r="AX87" i="10"/>
  <c r="S87" i="10"/>
  <c r="CC87" i="10"/>
  <c r="AX100" i="10"/>
  <c r="S100" i="10"/>
  <c r="CC100" i="10"/>
  <c r="AX119" i="10"/>
  <c r="S119" i="10"/>
  <c r="CC119" i="10"/>
  <c r="AX133" i="10"/>
  <c r="S133" i="10"/>
  <c r="CC133" i="10"/>
  <c r="AX158" i="10"/>
  <c r="S158" i="10"/>
  <c r="CC158" i="10"/>
  <c r="AX160" i="10"/>
  <c r="S160" i="10"/>
  <c r="CC160" i="10"/>
  <c r="AX167" i="10"/>
  <c r="S167" i="10"/>
  <c r="CC167" i="10"/>
  <c r="X6" i="10"/>
  <c r="BC15" i="10"/>
  <c r="CH15" i="10"/>
  <c r="X22" i="10"/>
  <c r="BC45" i="10"/>
  <c r="CH45" i="10"/>
  <c r="X45" i="10"/>
  <c r="X53" i="10"/>
  <c r="BC56" i="10"/>
  <c r="CH56" i="10"/>
  <c r="X56" i="10"/>
  <c r="BC59" i="10"/>
  <c r="CH59" i="10"/>
  <c r="X59" i="10"/>
  <c r="X61" i="10"/>
  <c r="CH65" i="10"/>
  <c r="BC65" i="10"/>
  <c r="X65" i="10"/>
  <c r="X86" i="10"/>
  <c r="X115" i="10"/>
  <c r="X121" i="10"/>
  <c r="X141" i="10"/>
  <c r="X160" i="10"/>
  <c r="CH166" i="10"/>
  <c r="BC166" i="10"/>
  <c r="X166" i="10"/>
  <c r="BB6" i="10"/>
  <c r="CG6" i="10"/>
  <c r="BB17" i="10"/>
  <c r="CG17" i="10"/>
  <c r="BB23" i="10"/>
  <c r="CG23" i="10"/>
  <c r="CG145" i="10"/>
  <c r="BB145" i="10"/>
  <c r="W145" i="10"/>
  <c r="BB158" i="10"/>
  <c r="CG158" i="10"/>
  <c r="CG172" i="10"/>
  <c r="BB172" i="10"/>
  <c r="W172" i="10"/>
  <c r="BB175" i="10"/>
  <c r="CG175" i="10"/>
  <c r="S3" i="10"/>
  <c r="CC3" i="10"/>
  <c r="AX3" i="10"/>
  <c r="AX10" i="10"/>
  <c r="S10" i="10"/>
  <c r="CC10" i="10"/>
  <c r="AX13" i="10"/>
  <c r="S13" i="10"/>
  <c r="CC13" i="10"/>
  <c r="CC29" i="10"/>
  <c r="AX29" i="10"/>
  <c r="S29" i="10"/>
  <c r="AX33" i="10"/>
  <c r="S33" i="10"/>
  <c r="CC33" i="10"/>
  <c r="AX39" i="10"/>
  <c r="S39" i="10"/>
  <c r="CC39" i="10"/>
  <c r="AX103" i="10"/>
  <c r="S103" i="10"/>
  <c r="CC103" i="10"/>
  <c r="AX159" i="10"/>
  <c r="S159" i="10"/>
  <c r="CC159" i="10"/>
  <c r="AX174" i="10"/>
  <c r="S174" i="10"/>
  <c r="CC174" i="10"/>
  <c r="K57" i="3"/>
  <c r="H15" i="7"/>
  <c r="BC18" i="10"/>
  <c r="CH18" i="10"/>
  <c r="K19" i="3"/>
  <c r="H8" i="7"/>
  <c r="K4" i="3"/>
  <c r="T56" i="10"/>
  <c r="CD56" i="10"/>
  <c r="AY56" i="10"/>
  <c r="G57" i="3"/>
  <c r="D15" i="7"/>
  <c r="BC60" i="10"/>
  <c r="CH60" i="10"/>
  <c r="K61" i="3"/>
  <c r="H13" i="7"/>
  <c r="H125" i="6"/>
  <c r="AQ123" i="5"/>
  <c r="H121" i="6"/>
  <c r="AQ121" i="5"/>
  <c r="H119" i="6"/>
  <c r="AQ119" i="5"/>
  <c r="H107" i="6"/>
  <c r="AQ107" i="5"/>
  <c r="H77" i="6"/>
  <c r="AQ77" i="5"/>
  <c r="S74" i="10"/>
  <c r="CC74" i="10"/>
  <c r="AX74" i="10"/>
  <c r="H74" i="6"/>
  <c r="AQ74" i="5"/>
  <c r="H71" i="6"/>
  <c r="H67" i="6"/>
  <c r="AQ67" i="5"/>
  <c r="H64" i="6"/>
  <c r="AQ64" i="5"/>
  <c r="H61" i="6"/>
  <c r="AQ61" i="5"/>
  <c r="S120" i="10"/>
  <c r="CC120" i="10"/>
  <c r="AX120" i="10"/>
  <c r="T114" i="10"/>
  <c r="CD114" i="10"/>
  <c r="AY114" i="10"/>
  <c r="AY82" i="10"/>
  <c r="T82" i="10"/>
  <c r="CD82" i="10"/>
  <c r="CD61" i="10"/>
  <c r="AY61" i="10"/>
  <c r="T61" i="10"/>
  <c r="S46" i="10"/>
  <c r="CC46" i="10"/>
  <c r="AX46" i="10"/>
  <c r="F47" i="3"/>
  <c r="P47" i="3"/>
  <c r="CC26" i="10"/>
  <c r="AX26" i="10"/>
  <c r="S26" i="10"/>
  <c r="J5" i="6"/>
  <c r="J56" i="6"/>
  <c r="G15" i="7"/>
  <c r="Z94" i="3"/>
  <c r="S127" i="10"/>
  <c r="CC127" i="10"/>
  <c r="AX127" i="10"/>
  <c r="J119" i="3"/>
  <c r="J107" i="6"/>
  <c r="J117" i="6"/>
  <c r="J131" i="6"/>
  <c r="J165" i="6"/>
  <c r="J23" i="6"/>
  <c r="J81" i="6"/>
  <c r="F161" i="3"/>
  <c r="AK161" i="3"/>
  <c r="AL161" i="3"/>
  <c r="C160" i="6"/>
  <c r="H156" i="6"/>
  <c r="AP156" i="5"/>
  <c r="S156" i="5"/>
  <c r="T156" i="5"/>
  <c r="AK151" i="3"/>
  <c r="AL151" i="3"/>
  <c r="C150" i="6"/>
  <c r="S84" i="10"/>
  <c r="CC84" i="10"/>
  <c r="AX84" i="10"/>
  <c r="F85" i="3"/>
  <c r="S21" i="10"/>
  <c r="CC21" i="10"/>
  <c r="AX21" i="10"/>
  <c r="F22" i="3"/>
  <c r="Z22" i="3"/>
  <c r="AC22" i="3"/>
  <c r="Z25" i="3"/>
  <c r="Z170" i="3"/>
  <c r="F103" i="3"/>
  <c r="V103" i="3"/>
  <c r="AA103" i="3"/>
  <c r="F89" i="3"/>
  <c r="V89" i="3"/>
  <c r="AA89" i="3"/>
  <c r="AK35" i="3"/>
  <c r="W8" i="10"/>
  <c r="BB11" i="10"/>
  <c r="CG11" i="10"/>
  <c r="W11" i="10"/>
  <c r="BB13" i="10"/>
  <c r="CG13" i="10"/>
  <c r="W13" i="10"/>
  <c r="BB34" i="10"/>
  <c r="CG34" i="10"/>
  <c r="W34" i="10"/>
  <c r="BB37" i="10"/>
  <c r="CG37" i="10"/>
  <c r="W37" i="10"/>
  <c r="BB45" i="10"/>
  <c r="CG45" i="10"/>
  <c r="W45" i="10"/>
  <c r="W56" i="10"/>
  <c r="BB59" i="10"/>
  <c r="CG59" i="10"/>
  <c r="W59" i="10"/>
  <c r="CG65" i="10"/>
  <c r="BB65" i="10"/>
  <c r="BB95" i="10"/>
  <c r="CG95" i="10"/>
  <c r="W95" i="10"/>
  <c r="BB115" i="10"/>
  <c r="CG115" i="10"/>
  <c r="W115" i="10"/>
  <c r="W119" i="10"/>
  <c r="BB122" i="10"/>
  <c r="CG122" i="10"/>
  <c r="W122" i="10"/>
  <c r="BB139" i="10"/>
  <c r="CG139" i="10"/>
  <c r="W139" i="10"/>
  <c r="BB143" i="10"/>
  <c r="CG143" i="10"/>
  <c r="W143" i="10"/>
  <c r="BB149" i="10"/>
  <c r="CG149" i="10"/>
  <c r="W149" i="10"/>
  <c r="BB152" i="10"/>
  <c r="CG152" i="10"/>
  <c r="AX62" i="10"/>
  <c r="S62" i="10"/>
  <c r="CC62" i="10"/>
  <c r="BC14" i="10"/>
  <c r="CH14" i="10"/>
  <c r="X14" i="10"/>
  <c r="BC33" i="10"/>
  <c r="CH33" i="10"/>
  <c r="X33" i="10"/>
  <c r="X40" i="10"/>
  <c r="X52" i="10"/>
  <c r="X78" i="10"/>
  <c r="X81" i="10"/>
  <c r="X89" i="10"/>
  <c r="CH111" i="10"/>
  <c r="BC111" i="10"/>
  <c r="X157" i="10"/>
  <c r="CG7" i="10"/>
  <c r="BB7" i="10"/>
  <c r="W54" i="10"/>
  <c r="W94" i="10"/>
  <c r="W99" i="10"/>
  <c r="W105" i="10"/>
  <c r="CG108" i="10"/>
  <c r="BB108" i="10"/>
  <c r="BB114" i="10"/>
  <c r="CG114" i="10"/>
  <c r="W117" i="10"/>
  <c r="W124" i="10"/>
  <c r="W132" i="10"/>
  <c r="CG136" i="10"/>
  <c r="BB136" i="10"/>
  <c r="W150" i="10"/>
  <c r="BB153" i="10"/>
  <c r="CG153" i="10"/>
  <c r="W156" i="10"/>
  <c r="BB159" i="10"/>
  <c r="CG159" i="10"/>
  <c r="W162" i="10"/>
  <c r="BB167" i="10"/>
  <c r="CG167" i="10"/>
  <c r="W171" i="10"/>
  <c r="AX28" i="10"/>
  <c r="S28" i="10"/>
  <c r="CC28" i="10"/>
  <c r="CC82" i="10"/>
  <c r="AX82" i="10"/>
  <c r="S82" i="10"/>
  <c r="AX85" i="10"/>
  <c r="S85" i="10"/>
  <c r="CC85" i="10"/>
  <c r="CC147" i="10"/>
  <c r="AX147" i="10"/>
  <c r="S147" i="10"/>
  <c r="X42" i="10"/>
  <c r="CH84" i="10"/>
  <c r="BC84" i="10"/>
  <c r="W26" i="10"/>
  <c r="W39" i="10"/>
  <c r="W47" i="10"/>
  <c r="W63" i="10"/>
  <c r="W71" i="10"/>
  <c r="CG80" i="10"/>
  <c r="BB80" i="10"/>
  <c r="W86" i="10"/>
  <c r="CG89" i="10"/>
  <c r="BB89" i="10"/>
  <c r="W93" i="10"/>
  <c r="W126" i="10"/>
  <c r="CG146" i="10"/>
  <c r="BB146" i="10"/>
  <c r="X15" i="10"/>
  <c r="BC90" i="10"/>
  <c r="CH90" i="10"/>
  <c r="X90" i="10"/>
  <c r="X103" i="10"/>
  <c r="X147" i="10"/>
  <c r="W17" i="10"/>
  <c r="W23" i="10"/>
  <c r="W158" i="10"/>
  <c r="W175" i="10"/>
  <c r="AX126" i="10"/>
  <c r="S126" i="10"/>
  <c r="CC126" i="10"/>
  <c r="K7" i="3"/>
  <c r="H9" i="7"/>
  <c r="CH79" i="10"/>
  <c r="BC79" i="10"/>
  <c r="K80" i="3"/>
  <c r="H14" i="7"/>
  <c r="H122" i="6"/>
  <c r="H120" i="6"/>
  <c r="AQ120" i="5"/>
  <c r="H75" i="6"/>
  <c r="H72" i="6"/>
  <c r="AQ72" i="5"/>
  <c r="AQ68" i="5"/>
  <c r="H62" i="6"/>
  <c r="AQ62" i="5"/>
  <c r="H42" i="6"/>
  <c r="S41" i="10"/>
  <c r="CC41" i="10"/>
  <c r="AX41" i="10"/>
  <c r="H41" i="6"/>
  <c r="AQ41" i="5"/>
  <c r="H37" i="6"/>
  <c r="H32" i="6"/>
  <c r="AQ32" i="5"/>
  <c r="H19" i="6"/>
  <c r="AQ19" i="5"/>
  <c r="AQ15" i="5"/>
  <c r="H5" i="6"/>
  <c r="H3" i="6"/>
  <c r="F11" i="3"/>
  <c r="V13" i="3"/>
  <c r="F21" i="3"/>
  <c r="F38" i="3"/>
  <c r="F44" i="3"/>
  <c r="F48" i="3"/>
  <c r="V49" i="3"/>
  <c r="F58" i="3"/>
  <c r="F75" i="3"/>
  <c r="V75" i="3"/>
  <c r="F81" i="3"/>
  <c r="V123" i="3"/>
  <c r="F127" i="3"/>
  <c r="S134" i="10"/>
  <c r="CC134" i="10"/>
  <c r="AX134" i="10"/>
  <c r="F135" i="3"/>
  <c r="F144" i="3"/>
  <c r="F148" i="3"/>
  <c r="K10" i="3"/>
  <c r="K40" i="3"/>
  <c r="K46" i="3"/>
  <c r="K62" i="3"/>
  <c r="K75" i="3"/>
  <c r="K85" i="3"/>
  <c r="K91" i="3"/>
  <c r="K101" i="3"/>
  <c r="K107" i="3"/>
  <c r="K129" i="3"/>
  <c r="K155" i="3"/>
  <c r="K166" i="3"/>
  <c r="G27" i="3"/>
  <c r="G50" i="3"/>
  <c r="G92" i="3"/>
  <c r="G108" i="3"/>
  <c r="G114" i="3"/>
  <c r="G124" i="3"/>
  <c r="G125" i="3"/>
  <c r="G132" i="3"/>
  <c r="G139" i="3"/>
  <c r="G150" i="3"/>
  <c r="G162" i="3"/>
  <c r="G171" i="3"/>
  <c r="G175" i="3"/>
  <c r="CG32" i="10"/>
  <c r="BB32" i="10"/>
  <c r="J33" i="3"/>
  <c r="R36" i="3"/>
  <c r="J66" i="3"/>
  <c r="J45" i="3"/>
  <c r="Z28" i="3"/>
  <c r="Z39" i="3"/>
  <c r="Z49" i="3"/>
  <c r="Z74" i="3"/>
  <c r="S83" i="10"/>
  <c r="CC83" i="10"/>
  <c r="AX83" i="10"/>
  <c r="F84" i="3"/>
  <c r="Z84" i="3"/>
  <c r="Z93" i="3"/>
  <c r="Z111" i="3"/>
  <c r="Z151" i="3"/>
  <c r="F175" i="3"/>
  <c r="Z175" i="3"/>
  <c r="H170" i="6"/>
  <c r="AQ170" i="5"/>
  <c r="H155" i="6"/>
  <c r="AQ155" i="5"/>
  <c r="AQ102" i="5"/>
  <c r="AQ93" i="5"/>
  <c r="H58" i="6"/>
  <c r="H54" i="6"/>
  <c r="AQ54" i="5"/>
  <c r="CG76" i="10"/>
  <c r="BB76" i="10"/>
  <c r="J77" i="3"/>
  <c r="J82" i="3"/>
  <c r="J87" i="3"/>
  <c r="J89" i="3"/>
  <c r="R93" i="3"/>
  <c r="J120" i="3"/>
  <c r="T83" i="10"/>
  <c r="CD83" i="10"/>
  <c r="AY83" i="10"/>
  <c r="G84" i="3"/>
  <c r="T73" i="10"/>
  <c r="CD73" i="10"/>
  <c r="AY73" i="10"/>
  <c r="G74" i="3"/>
  <c r="Q74" i="3"/>
  <c r="CD70" i="10"/>
  <c r="AY70" i="10"/>
  <c r="T70" i="10"/>
  <c r="Q63" i="3"/>
  <c r="CD54" i="10"/>
  <c r="AY54" i="10"/>
  <c r="T54" i="10"/>
  <c r="G55" i="3"/>
  <c r="Q55" i="3"/>
  <c r="CD42" i="10"/>
  <c r="AY42" i="10"/>
  <c r="T42" i="10"/>
  <c r="G43" i="3"/>
  <c r="P24" i="3"/>
  <c r="CD17" i="10"/>
  <c r="AY17" i="10"/>
  <c r="T17" i="10"/>
  <c r="G18" i="3"/>
  <c r="C6" i="7"/>
  <c r="CG31" i="10"/>
  <c r="BB31" i="10"/>
  <c r="J31" i="6"/>
  <c r="G3" i="7"/>
  <c r="S7" i="10"/>
  <c r="CC7" i="10"/>
  <c r="AX7" i="10"/>
  <c r="F8" i="3"/>
  <c r="Z8" i="3"/>
  <c r="Z58" i="3"/>
  <c r="Z64" i="3"/>
  <c r="Z75" i="3"/>
  <c r="Z136" i="3"/>
  <c r="Z152" i="3"/>
  <c r="R119" i="3"/>
  <c r="J148" i="3"/>
  <c r="S148" i="3"/>
  <c r="J104" i="6"/>
  <c r="J113" i="6"/>
  <c r="J135" i="6"/>
  <c r="J146" i="6"/>
  <c r="J151" i="6"/>
  <c r="J157" i="6"/>
  <c r="J7" i="6"/>
  <c r="J33" i="6"/>
  <c r="J43" i="6"/>
  <c r="J88" i="6"/>
  <c r="J94" i="6"/>
  <c r="J100" i="6"/>
  <c r="F150" i="3"/>
  <c r="AK150" i="3"/>
  <c r="H147" i="6"/>
  <c r="AP147" i="5"/>
  <c r="S147" i="5"/>
  <c r="S146" i="10"/>
  <c r="CC146" i="10"/>
  <c r="AX146" i="10"/>
  <c r="H146" i="6"/>
  <c r="AC84" i="3"/>
  <c r="Z6" i="3"/>
  <c r="F7" i="3"/>
  <c r="Z7" i="3"/>
  <c r="AC7" i="3"/>
  <c r="Z11" i="3"/>
  <c r="Z57" i="3"/>
  <c r="AB57" i="3"/>
  <c r="F77" i="3"/>
  <c r="Z77" i="3"/>
  <c r="AC77" i="3"/>
  <c r="F96" i="3"/>
  <c r="Z96" i="3"/>
  <c r="AB96" i="3"/>
  <c r="Z154" i="3"/>
  <c r="AB154" i="3"/>
  <c r="F168" i="3"/>
  <c r="Z168" i="3"/>
  <c r="AB168" i="3"/>
  <c r="F101" i="3"/>
  <c r="V101" i="3"/>
  <c r="AA101" i="3"/>
  <c r="V169" i="3"/>
  <c r="F167" i="3"/>
  <c r="AK167" i="3"/>
  <c r="AL167" i="3"/>
  <c r="C166" i="6"/>
  <c r="S141" i="5"/>
  <c r="AK139" i="3"/>
  <c r="H131" i="6"/>
  <c r="AP131" i="5"/>
  <c r="S131" i="5"/>
  <c r="AL122" i="3"/>
  <c r="AP121" i="5"/>
  <c r="F112" i="3"/>
  <c r="AK112" i="3"/>
  <c r="AL112" i="3"/>
  <c r="C111" i="6"/>
  <c r="F109" i="3"/>
  <c r="AK109" i="3"/>
  <c r="AL109" i="3"/>
  <c r="C108" i="6"/>
  <c r="AK85" i="3"/>
  <c r="AL85" i="3"/>
  <c r="H84" i="6"/>
  <c r="AP84" i="5"/>
  <c r="S84" i="5"/>
  <c r="T84" i="5"/>
  <c r="H79" i="6"/>
  <c r="AP79" i="5"/>
  <c r="S79" i="5"/>
  <c r="T79" i="5"/>
  <c r="F45" i="3"/>
  <c r="AK45" i="3"/>
  <c r="AL45" i="3"/>
  <c r="AK43" i="3"/>
  <c r="AL43" i="3"/>
  <c r="C42" i="6"/>
  <c r="AK36" i="3"/>
  <c r="AL36" i="3"/>
  <c r="C35" i="6"/>
  <c r="AK33" i="3"/>
  <c r="AL33" i="3"/>
  <c r="AP32" i="5"/>
  <c r="S32" i="5"/>
  <c r="T32" i="5"/>
  <c r="H24" i="6"/>
  <c r="AP24" i="5"/>
  <c r="S24" i="5"/>
  <c r="T24" i="5"/>
  <c r="AK24" i="3"/>
  <c r="AK21" i="3"/>
  <c r="AL21" i="3"/>
  <c r="S17" i="10"/>
  <c r="CC17" i="10"/>
  <c r="AX17" i="10"/>
  <c r="H17" i="6"/>
  <c r="AP17" i="5"/>
  <c r="S17" i="5"/>
  <c r="T17" i="5"/>
  <c r="AK44" i="3"/>
  <c r="AK48" i="3"/>
  <c r="AK64" i="3"/>
  <c r="AK82" i="3"/>
  <c r="AK98" i="3"/>
  <c r="AK105" i="3"/>
  <c r="AK111" i="3"/>
  <c r="AK135" i="3"/>
  <c r="AK169" i="3"/>
  <c r="CG16" i="10"/>
  <c r="BB16" i="10"/>
  <c r="J16" i="6"/>
  <c r="G10" i="7"/>
  <c r="Z36" i="3"/>
  <c r="Z41" i="3"/>
  <c r="Z47" i="3"/>
  <c r="Z53" i="3"/>
  <c r="Z68" i="3"/>
  <c r="Z107" i="3"/>
  <c r="Z122" i="3"/>
  <c r="Z127" i="3"/>
  <c r="Z133" i="3"/>
  <c r="Z144" i="3"/>
  <c r="Z150" i="3"/>
  <c r="Z156" i="3"/>
  <c r="H174" i="6"/>
  <c r="H116" i="6"/>
  <c r="AQ116" i="5"/>
  <c r="H104" i="6"/>
  <c r="AQ104" i="5"/>
  <c r="H95" i="6"/>
  <c r="H87" i="6"/>
  <c r="H80" i="6"/>
  <c r="H57" i="6"/>
  <c r="S55" i="10"/>
  <c r="CC55" i="10"/>
  <c r="AX55" i="10"/>
  <c r="H55" i="6"/>
  <c r="H52" i="6"/>
  <c r="J111" i="3"/>
  <c r="J124" i="3"/>
  <c r="R124" i="3"/>
  <c r="J127" i="3"/>
  <c r="R127" i="3"/>
  <c r="J140" i="3"/>
  <c r="R140" i="3"/>
  <c r="J154" i="3"/>
  <c r="J158" i="3"/>
  <c r="J163" i="3"/>
  <c r="J169" i="3"/>
  <c r="J175" i="3"/>
  <c r="J108" i="3"/>
  <c r="CG91" i="10"/>
  <c r="BB91" i="10"/>
  <c r="J92" i="3"/>
  <c r="J162" i="3"/>
  <c r="S149" i="3"/>
  <c r="J147" i="3"/>
  <c r="S140" i="3"/>
  <c r="S134" i="3"/>
  <c r="J132" i="3"/>
  <c r="S132" i="3"/>
  <c r="CG127" i="10"/>
  <c r="BB127" i="10"/>
  <c r="J128" i="3"/>
  <c r="S128" i="3"/>
  <c r="S122" i="3"/>
  <c r="J115" i="3"/>
  <c r="S111" i="3"/>
  <c r="J109" i="3"/>
  <c r="S109" i="3"/>
  <c r="J94" i="3"/>
  <c r="AK9" i="3"/>
  <c r="AK11" i="3"/>
  <c r="AK13" i="3"/>
  <c r="AK39" i="3"/>
  <c r="F63" i="3"/>
  <c r="AK63" i="3"/>
  <c r="AK74" i="3"/>
  <c r="AK81" i="3"/>
  <c r="F87" i="3"/>
  <c r="AK87" i="3"/>
  <c r="AK130" i="3"/>
  <c r="J112" i="3"/>
  <c r="R121" i="3"/>
  <c r="R128" i="3"/>
  <c r="J165" i="3"/>
  <c r="R109" i="3"/>
  <c r="J172" i="3"/>
  <c r="S172" i="3"/>
  <c r="J151" i="3"/>
  <c r="S124" i="3"/>
  <c r="S112" i="3"/>
  <c r="CG103" i="10"/>
  <c r="BB103" i="10"/>
  <c r="J104" i="3"/>
  <c r="J64" i="3"/>
  <c r="S45" i="3"/>
  <c r="J40" i="3"/>
  <c r="S40" i="3"/>
  <c r="J24" i="3"/>
  <c r="CG22" i="10"/>
  <c r="BB22" i="10"/>
  <c r="J23" i="3"/>
  <c r="S23" i="3"/>
  <c r="J19" i="3"/>
  <c r="J14" i="3"/>
  <c r="J8" i="3"/>
  <c r="J7" i="3"/>
  <c r="S7" i="3"/>
  <c r="Q175" i="3"/>
  <c r="P171" i="3"/>
  <c r="T160" i="10"/>
  <c r="CD160" i="10"/>
  <c r="AY160" i="10"/>
  <c r="G161" i="3"/>
  <c r="T153" i="10"/>
  <c r="CD153" i="10"/>
  <c r="AY153" i="10"/>
  <c r="T150" i="10"/>
  <c r="CD150" i="10"/>
  <c r="AY150" i="10"/>
  <c r="G151" i="3"/>
  <c r="Q150" i="3"/>
  <c r="Q134" i="3"/>
  <c r="Q130" i="3"/>
  <c r="P127" i="3"/>
  <c r="T119" i="10"/>
  <c r="CD119" i="10"/>
  <c r="AY119" i="10"/>
  <c r="G120" i="3"/>
  <c r="Q114" i="3"/>
  <c r="T112" i="10"/>
  <c r="CD112" i="10"/>
  <c r="AY112" i="10"/>
  <c r="G113" i="3"/>
  <c r="Q112" i="3"/>
  <c r="Q108" i="3"/>
  <c r="T104" i="10"/>
  <c r="CD104" i="10"/>
  <c r="AY104" i="10"/>
  <c r="G105" i="3"/>
  <c r="P105" i="3"/>
  <c r="P103" i="3"/>
  <c r="CD101" i="10"/>
  <c r="AY101" i="10"/>
  <c r="T101" i="10"/>
  <c r="Q101" i="3"/>
  <c r="CD99" i="10"/>
  <c r="AY99" i="10"/>
  <c r="T99" i="10"/>
  <c r="T98" i="10"/>
  <c r="CD98" i="10"/>
  <c r="AY98" i="10"/>
  <c r="G99" i="3"/>
  <c r="Q99" i="3"/>
  <c r="AY96" i="10"/>
  <c r="T96" i="10"/>
  <c r="CD96" i="10"/>
  <c r="T95" i="10"/>
  <c r="CD95" i="10"/>
  <c r="AY95" i="10"/>
  <c r="T93" i="10"/>
  <c r="CD93" i="10"/>
  <c r="AY93" i="10"/>
  <c r="G94" i="3"/>
  <c r="P94" i="3"/>
  <c r="T88" i="10"/>
  <c r="CD88" i="10"/>
  <c r="AY88" i="10"/>
  <c r="P85" i="3"/>
  <c r="P75" i="3"/>
  <c r="AY69" i="10"/>
  <c r="T69" i="10"/>
  <c r="CD69" i="10"/>
  <c r="AY67" i="10"/>
  <c r="T67" i="10"/>
  <c r="CD67" i="10"/>
  <c r="P63" i="3"/>
  <c r="CD59" i="10"/>
  <c r="AY59" i="10"/>
  <c r="T59" i="10"/>
  <c r="Q57" i="3"/>
  <c r="CD51" i="10"/>
  <c r="AY51" i="10"/>
  <c r="T51" i="10"/>
  <c r="T44" i="10"/>
  <c r="CD44" i="10"/>
  <c r="AY44" i="10"/>
  <c r="T38" i="10"/>
  <c r="CD38" i="10"/>
  <c r="AY38" i="10"/>
  <c r="G39" i="3"/>
  <c r="P38" i="3"/>
  <c r="AY32" i="10"/>
  <c r="T32" i="10"/>
  <c r="CD32" i="10"/>
  <c r="T27" i="10"/>
  <c r="CD27" i="10"/>
  <c r="AY27" i="10"/>
  <c r="T25" i="10"/>
  <c r="CD25" i="10"/>
  <c r="AY25" i="10"/>
  <c r="G26" i="3"/>
  <c r="Q26" i="3"/>
  <c r="T20" i="10"/>
  <c r="CD20" i="10"/>
  <c r="AY20" i="10"/>
  <c r="G21" i="3"/>
  <c r="T13" i="10"/>
  <c r="CD13" i="10"/>
  <c r="AY13" i="10"/>
  <c r="G14" i="3"/>
  <c r="P13" i="3"/>
  <c r="P11" i="3"/>
  <c r="T8" i="10"/>
  <c r="CD8" i="10"/>
  <c r="AY8" i="10"/>
  <c r="G9" i="3"/>
  <c r="T7" i="10"/>
  <c r="CD7" i="10"/>
  <c r="AY7" i="10"/>
  <c r="G8" i="3"/>
  <c r="Q8" i="3"/>
  <c r="CH176" i="10"/>
  <c r="BC176" i="10"/>
  <c r="K177" i="3"/>
  <c r="BC171" i="10"/>
  <c r="CH171" i="10"/>
  <c r="CH169" i="10"/>
  <c r="BC169" i="10"/>
  <c r="BC167" i="10"/>
  <c r="CH167" i="10"/>
  <c r="K168" i="3"/>
  <c r="H167" i="6"/>
  <c r="AP167" i="5"/>
  <c r="CH164" i="10"/>
  <c r="BC164" i="10"/>
  <c r="S162" i="10"/>
  <c r="CC162" i="10"/>
  <c r="AX162" i="10"/>
  <c r="F163" i="3"/>
  <c r="V163" i="3"/>
  <c r="AA163" i="3"/>
  <c r="F160" i="3"/>
  <c r="V160" i="3"/>
  <c r="AA160" i="3"/>
  <c r="F158" i="3"/>
  <c r="V158" i="3"/>
  <c r="AA158" i="3"/>
  <c r="V150" i="3"/>
  <c r="CH148" i="10"/>
  <c r="BC148" i="10"/>
  <c r="V146" i="3"/>
  <c r="AA146" i="3"/>
  <c r="CH144" i="10"/>
  <c r="BC144" i="10"/>
  <c r="K145" i="3"/>
  <c r="BC142" i="10"/>
  <c r="CH142" i="10"/>
  <c r="V142" i="3"/>
  <c r="CH140" i="10"/>
  <c r="BC140" i="10"/>
  <c r="CH139" i="10"/>
  <c r="BC139" i="10"/>
  <c r="K140" i="3"/>
  <c r="T140" i="3"/>
  <c r="V139" i="3"/>
  <c r="CH137" i="10"/>
  <c r="BC137" i="10"/>
  <c r="V135" i="3"/>
  <c r="AA135" i="3"/>
  <c r="CH130" i="10"/>
  <c r="BC130" i="10"/>
  <c r="T129" i="3"/>
  <c r="CH126" i="10"/>
  <c r="BC126" i="10"/>
  <c r="K127" i="3"/>
  <c r="H124" i="6"/>
  <c r="AP124" i="5"/>
  <c r="CH122" i="10"/>
  <c r="BC122" i="10"/>
  <c r="K123" i="3"/>
  <c r="T123" i="3"/>
  <c r="AA123" i="3"/>
  <c r="CH120" i="10"/>
  <c r="BC120" i="10"/>
  <c r="K121" i="3"/>
  <c r="T121" i="3"/>
  <c r="AP120" i="5"/>
  <c r="AP119" i="5"/>
  <c r="BC118" i="10"/>
  <c r="CH118" i="10"/>
  <c r="K119" i="3"/>
  <c r="T119" i="3"/>
  <c r="BC117" i="10"/>
  <c r="CH117" i="10"/>
  <c r="K118" i="3"/>
  <c r="T118" i="3"/>
  <c r="BC113" i="10"/>
  <c r="CH113" i="10"/>
  <c r="K114" i="3"/>
  <c r="T114" i="3"/>
  <c r="S112" i="10"/>
  <c r="CC112" i="10"/>
  <c r="AX112" i="10"/>
  <c r="H112" i="6"/>
  <c r="AP112" i="5"/>
  <c r="BC110" i="10"/>
  <c r="CH110" i="10"/>
  <c r="K111" i="3"/>
  <c r="T111" i="3"/>
  <c r="BC109" i="10"/>
  <c r="CH109" i="10"/>
  <c r="K110" i="3"/>
  <c r="T110" i="3"/>
  <c r="AP107" i="5"/>
  <c r="BC104" i="10"/>
  <c r="CH104" i="10"/>
  <c r="K105" i="3"/>
  <c r="T105" i="3"/>
  <c r="H103" i="6"/>
  <c r="BC101" i="10"/>
  <c r="CH101" i="10"/>
  <c r="K102" i="3"/>
  <c r="AP101" i="5"/>
  <c r="S98" i="10"/>
  <c r="CC98" i="10"/>
  <c r="AX98" i="10"/>
  <c r="H98" i="6"/>
  <c r="CH92" i="10"/>
  <c r="BC92" i="10"/>
  <c r="CH85" i="10"/>
  <c r="BC85" i="10"/>
  <c r="K86" i="3"/>
  <c r="T86" i="3"/>
  <c r="H83" i="6"/>
  <c r="AP83" i="5"/>
  <c r="T75" i="3"/>
  <c r="AA75" i="3"/>
  <c r="BC72" i="10"/>
  <c r="CH72" i="10"/>
  <c r="BC69" i="10"/>
  <c r="CH69" i="10"/>
  <c r="BC67" i="10"/>
  <c r="CH67" i="10"/>
  <c r="AP64" i="5"/>
  <c r="T62" i="3"/>
  <c r="H60" i="6"/>
  <c r="AP60" i="5"/>
  <c r="CH58" i="10"/>
  <c r="BC58" i="10"/>
  <c r="K59" i="3"/>
  <c r="T59" i="3"/>
  <c r="BC57" i="10"/>
  <c r="CH57" i="10"/>
  <c r="CH47" i="10"/>
  <c r="BC47" i="10"/>
  <c r="K48" i="3"/>
  <c r="CH44" i="10"/>
  <c r="BC44" i="10"/>
  <c r="K45" i="3"/>
  <c r="V43" i="3"/>
  <c r="F40" i="3"/>
  <c r="V40" i="3"/>
  <c r="AA40" i="3"/>
  <c r="AP36" i="5"/>
  <c r="CH34" i="10"/>
  <c r="BC34" i="10"/>
  <c r="K35" i="3"/>
  <c r="T35" i="3"/>
  <c r="AA35" i="3"/>
  <c r="S31" i="10"/>
  <c r="CC31" i="10"/>
  <c r="AX31" i="10"/>
  <c r="F32" i="3"/>
  <c r="V32" i="3"/>
  <c r="AA32" i="3"/>
  <c r="CH29" i="10"/>
  <c r="BC29" i="10"/>
  <c r="AA24" i="3"/>
  <c r="CH20" i="10"/>
  <c r="BC20" i="10"/>
  <c r="F17" i="3"/>
  <c r="V17" i="3"/>
  <c r="AA17" i="3"/>
  <c r="CH13" i="10"/>
  <c r="BC13" i="10"/>
  <c r="P68" i="3"/>
  <c r="Q61" i="3"/>
  <c r="T55" i="10"/>
  <c r="CD55" i="10"/>
  <c r="AY55" i="10"/>
  <c r="P48" i="3"/>
  <c r="CD45" i="10"/>
  <c r="AY45" i="10"/>
  <c r="T45" i="10"/>
  <c r="T39" i="10"/>
  <c r="CD39" i="10"/>
  <c r="AY39" i="10"/>
  <c r="T36" i="10"/>
  <c r="CD36" i="10"/>
  <c r="AY36" i="10"/>
  <c r="G37" i="3"/>
  <c r="Q37" i="3"/>
  <c r="CD33" i="10"/>
  <c r="AY33" i="10"/>
  <c r="T33" i="10"/>
  <c r="T24" i="10"/>
  <c r="CD24" i="10"/>
  <c r="AY24" i="10"/>
  <c r="G25" i="3"/>
  <c r="Q25" i="3"/>
  <c r="T23" i="10"/>
  <c r="CD23" i="10"/>
  <c r="AY23" i="10"/>
  <c r="CD18" i="10"/>
  <c r="AY18" i="10"/>
  <c r="T18" i="10"/>
  <c r="AY15" i="10"/>
  <c r="T15" i="10"/>
  <c r="CD15" i="10"/>
  <c r="T14" i="10"/>
  <c r="CD14" i="10"/>
  <c r="AY14" i="10"/>
  <c r="CD11" i="10"/>
  <c r="AY11" i="10"/>
  <c r="T11" i="10"/>
  <c r="T5" i="10"/>
  <c r="CD5" i="10"/>
  <c r="AY5" i="10"/>
  <c r="T4" i="10"/>
  <c r="CD4" i="10"/>
  <c r="AY4" i="10"/>
  <c r="G5" i="3"/>
  <c r="Q5" i="3"/>
  <c r="AP155" i="5"/>
  <c r="CH153" i="10"/>
  <c r="BC153" i="10"/>
  <c r="K154" i="3"/>
  <c r="T154" i="3"/>
  <c r="V152" i="3"/>
  <c r="AP148" i="5"/>
  <c r="F147" i="3"/>
  <c r="V147" i="3"/>
  <c r="AA147" i="3"/>
  <c r="CH143" i="10"/>
  <c r="BC143" i="10"/>
  <c r="V141" i="3"/>
  <c r="CH138" i="10"/>
  <c r="BC138" i="10"/>
  <c r="V138" i="3"/>
  <c r="AA138" i="3"/>
  <c r="CH134" i="10"/>
  <c r="BC134" i="10"/>
  <c r="S130" i="10"/>
  <c r="CC130" i="10"/>
  <c r="AX130" i="10"/>
  <c r="H130" i="6"/>
  <c r="AP130" i="5"/>
  <c r="CH127" i="10"/>
  <c r="BC127" i="10"/>
  <c r="K128" i="3"/>
  <c r="T128" i="3"/>
  <c r="AP125" i="5"/>
  <c r="CH123" i="10"/>
  <c r="BC123" i="10"/>
  <c r="K124" i="3"/>
  <c r="T124" i="3"/>
  <c r="F120" i="3"/>
  <c r="V120" i="3"/>
  <c r="AA120" i="3"/>
  <c r="BC116" i="10"/>
  <c r="CH116" i="10"/>
  <c r="BC114" i="10"/>
  <c r="CH114" i="10"/>
  <c r="K112" i="3"/>
  <c r="T112" i="3"/>
  <c r="CH107" i="10"/>
  <c r="BC107" i="10"/>
  <c r="K108" i="3"/>
  <c r="T108" i="3"/>
  <c r="F108" i="3"/>
  <c r="V108" i="3"/>
  <c r="AA108" i="3"/>
  <c r="AP104" i="5"/>
  <c r="CH102" i="10"/>
  <c r="BC102" i="10"/>
  <c r="K103" i="3"/>
  <c r="T103" i="3"/>
  <c r="T101" i="3"/>
  <c r="BC97" i="10"/>
  <c r="CH97" i="10"/>
  <c r="K98" i="3"/>
  <c r="T98" i="3"/>
  <c r="T97" i="3"/>
  <c r="H59" i="6"/>
  <c r="AQ59" i="5"/>
  <c r="H43" i="6"/>
  <c r="AQ43" i="5"/>
  <c r="H40" i="6"/>
  <c r="AQ40" i="5"/>
  <c r="H38" i="6"/>
  <c r="AQ38" i="5"/>
  <c r="H35" i="6"/>
  <c r="AQ35" i="5"/>
  <c r="H33" i="6"/>
  <c r="AQ33" i="5"/>
  <c r="H31" i="6"/>
  <c r="AQ31" i="5"/>
  <c r="H29" i="6"/>
  <c r="AQ29" i="5"/>
  <c r="H27" i="6"/>
  <c r="AQ27" i="5"/>
  <c r="H25" i="6"/>
  <c r="AQ25" i="5"/>
  <c r="H22" i="6"/>
  <c r="AQ22" i="5"/>
  <c r="H20" i="6"/>
  <c r="AQ20" i="5"/>
  <c r="S18" i="10"/>
  <c r="CC18" i="10"/>
  <c r="AX18" i="10"/>
  <c r="H18" i="6"/>
  <c r="AQ18" i="5"/>
  <c r="H14" i="6"/>
  <c r="AQ14" i="5"/>
  <c r="H10" i="6"/>
  <c r="S9" i="10"/>
  <c r="CC9" i="10"/>
  <c r="AX9" i="10"/>
  <c r="H9" i="6"/>
  <c r="AQ9" i="5"/>
  <c r="H7" i="6"/>
  <c r="AQ7" i="5"/>
  <c r="H4" i="6"/>
  <c r="AQ4" i="5"/>
  <c r="F4" i="3"/>
  <c r="B189" i="3"/>
  <c r="BB3" i="10"/>
  <c r="CG3" i="10"/>
  <c r="J4" i="3"/>
  <c r="B188" i="3"/>
  <c r="G4" i="3"/>
  <c r="B184" i="3"/>
  <c r="V5" i="3"/>
  <c r="F14" i="3"/>
  <c r="F15" i="3"/>
  <c r="F18" i="3"/>
  <c r="V18" i="3"/>
  <c r="F26" i="3"/>
  <c r="F30" i="3"/>
  <c r="F46" i="3"/>
  <c r="F50" i="3"/>
  <c r="V50" i="3"/>
  <c r="F62" i="3"/>
  <c r="V62" i="3"/>
  <c r="F66" i="3"/>
  <c r="F67" i="3"/>
  <c r="F69" i="3"/>
  <c r="V69" i="3"/>
  <c r="F78" i="3"/>
  <c r="F88" i="3"/>
  <c r="F100" i="3"/>
  <c r="F104" i="3"/>
  <c r="S114" i="10"/>
  <c r="CC114" i="10"/>
  <c r="AX114" i="10"/>
  <c r="F115" i="3"/>
  <c r="F119" i="3"/>
  <c r="F124" i="3"/>
  <c r="F126" i="3"/>
  <c r="F132" i="3"/>
  <c r="F157" i="3"/>
  <c r="F174" i="3"/>
  <c r="K9" i="3"/>
  <c r="K13" i="3"/>
  <c r="K23" i="3"/>
  <c r="K25" i="3"/>
  <c r="K29" i="3"/>
  <c r="BC30" i="10"/>
  <c r="CH30" i="10"/>
  <c r="K31" i="3"/>
  <c r="K36" i="3"/>
  <c r="K41" i="3"/>
  <c r="K43" i="3"/>
  <c r="K47" i="3"/>
  <c r="K50" i="3"/>
  <c r="K53" i="3"/>
  <c r="K60" i="3"/>
  <c r="K63" i="3"/>
  <c r="K65" i="3"/>
  <c r="K72" i="3"/>
  <c r="K78" i="3"/>
  <c r="K81" i="3"/>
  <c r="K84" i="3"/>
  <c r="K88" i="3"/>
  <c r="K90" i="3"/>
  <c r="K92" i="3"/>
  <c r="K94" i="3"/>
  <c r="K96" i="3"/>
  <c r="K100" i="3"/>
  <c r="K104" i="3"/>
  <c r="K116" i="3"/>
  <c r="K120" i="3"/>
  <c r="K122" i="3"/>
  <c r="K126" i="3"/>
  <c r="K134" i="3"/>
  <c r="K142" i="3"/>
  <c r="K148" i="3"/>
  <c r="K150" i="3"/>
  <c r="K161" i="3"/>
  <c r="K163" i="3"/>
  <c r="K171" i="3"/>
  <c r="K174" i="3"/>
  <c r="K176" i="3"/>
  <c r="G7" i="3"/>
  <c r="G10" i="3"/>
  <c r="G20" i="3"/>
  <c r="G23" i="3"/>
  <c r="G30" i="3"/>
  <c r="G32" i="3"/>
  <c r="G41" i="3"/>
  <c r="G47" i="3"/>
  <c r="G53" i="3"/>
  <c r="G58" i="3"/>
  <c r="G66" i="3"/>
  <c r="G72" i="3"/>
  <c r="G75" i="3"/>
  <c r="G77" i="3"/>
  <c r="G82" i="3"/>
  <c r="G85" i="3"/>
  <c r="G87" i="3"/>
  <c r="G90" i="3"/>
  <c r="G95" i="3"/>
  <c r="G98" i="3"/>
  <c r="G104" i="3"/>
  <c r="G106" i="3"/>
  <c r="G109" i="3"/>
  <c r="G111" i="3"/>
  <c r="G117" i="3"/>
  <c r="G119" i="3"/>
  <c r="G121" i="3"/>
  <c r="G123" i="3"/>
  <c r="G126" i="3"/>
  <c r="G127" i="3"/>
  <c r="G129" i="3"/>
  <c r="G131" i="3"/>
  <c r="G133" i="3"/>
  <c r="G135" i="3"/>
  <c r="G137" i="3"/>
  <c r="G138" i="3"/>
  <c r="G140" i="3"/>
  <c r="G142" i="3"/>
  <c r="G144" i="3"/>
  <c r="G145" i="3"/>
  <c r="G147" i="3"/>
  <c r="G153" i="3"/>
  <c r="G155" i="3"/>
  <c r="G158" i="3"/>
  <c r="G160" i="3"/>
  <c r="G163" i="3"/>
  <c r="G165" i="3"/>
  <c r="G167" i="3"/>
  <c r="G169" i="3"/>
  <c r="H13" i="6"/>
  <c r="AQ13" i="5"/>
  <c r="J48" i="3"/>
  <c r="R48" i="3"/>
  <c r="J56" i="3"/>
  <c r="R56" i="3"/>
  <c r="J55" i="3"/>
  <c r="J67" i="3"/>
  <c r="BB74" i="10"/>
  <c r="CG74" i="10"/>
  <c r="J75" i="3"/>
  <c r="R75" i="3"/>
  <c r="Z16" i="3"/>
  <c r="Z30" i="3"/>
  <c r="BB138" i="10"/>
  <c r="CG138" i="10"/>
  <c r="J139" i="3"/>
  <c r="R139" i="3"/>
  <c r="J143" i="3"/>
  <c r="R143" i="3"/>
  <c r="J152" i="3"/>
  <c r="R152" i="3"/>
  <c r="BB154" i="10"/>
  <c r="CG154" i="10"/>
  <c r="J155" i="3"/>
  <c r="R155" i="3"/>
  <c r="J159" i="3"/>
  <c r="R159" i="3"/>
  <c r="BB163" i="10"/>
  <c r="CG163" i="10"/>
  <c r="J164" i="3"/>
  <c r="R164" i="3"/>
  <c r="BB170" i="10"/>
  <c r="CG170" i="10"/>
  <c r="J171" i="3"/>
  <c r="R171" i="3"/>
  <c r="BB173" i="10"/>
  <c r="CG173" i="10"/>
  <c r="J174" i="3"/>
  <c r="R174" i="3"/>
  <c r="BB169" i="10"/>
  <c r="CG169" i="10"/>
  <c r="J170" i="3"/>
  <c r="R170" i="3"/>
  <c r="BB137" i="10"/>
  <c r="CG137" i="10"/>
  <c r="J138" i="3"/>
  <c r="R138" i="3"/>
  <c r="J106" i="3"/>
  <c r="R106" i="3"/>
  <c r="J84" i="3"/>
  <c r="R84" i="3"/>
  <c r="BB68" i="10"/>
  <c r="CG68" i="10"/>
  <c r="J69" i="3"/>
  <c r="R69" i="3"/>
  <c r="BB53" i="10"/>
  <c r="CG53" i="10"/>
  <c r="J54" i="3"/>
  <c r="R54" i="3"/>
  <c r="BB27" i="10"/>
  <c r="CG27" i="10"/>
  <c r="J28" i="3"/>
  <c r="R28" i="3"/>
  <c r="J9" i="3"/>
  <c r="R9" i="3"/>
  <c r="J146" i="3"/>
  <c r="R146" i="3"/>
  <c r="BB106" i="10"/>
  <c r="CG106" i="10"/>
  <c r="J107" i="3"/>
  <c r="R107" i="3"/>
  <c r="J91" i="3"/>
  <c r="R91" i="3"/>
  <c r="BB58" i="10"/>
  <c r="CG58" i="10"/>
  <c r="J59" i="3"/>
  <c r="R59" i="3"/>
  <c r="BB41" i="10"/>
  <c r="CG41" i="10"/>
  <c r="J42" i="3"/>
  <c r="R42" i="3"/>
  <c r="R4" i="3"/>
  <c r="J157" i="3"/>
  <c r="S157" i="3"/>
  <c r="BB176" i="10"/>
  <c r="CG176" i="10"/>
  <c r="J177" i="3"/>
  <c r="S177" i="3"/>
  <c r="J173" i="3"/>
  <c r="R173" i="3"/>
  <c r="S159" i="3"/>
  <c r="BB155" i="10"/>
  <c r="CG155" i="10"/>
  <c r="J156" i="3"/>
  <c r="S156" i="3"/>
  <c r="BB144" i="10"/>
  <c r="CG144" i="10"/>
  <c r="J145" i="3"/>
  <c r="S145" i="3"/>
  <c r="J142" i="3"/>
  <c r="S142" i="3"/>
  <c r="BB134" i="10"/>
  <c r="CG134" i="10"/>
  <c r="J135" i="3"/>
  <c r="S135" i="3"/>
  <c r="BB130" i="10"/>
  <c r="CG130" i="10"/>
  <c r="J131" i="3"/>
  <c r="S131" i="3"/>
  <c r="BB128" i="10"/>
  <c r="CG128" i="10"/>
  <c r="J129" i="3"/>
  <c r="S129" i="3"/>
  <c r="BB112" i="10"/>
  <c r="CG112" i="10"/>
  <c r="J113" i="3"/>
  <c r="S113" i="3"/>
  <c r="BB109" i="10"/>
  <c r="CG109" i="10"/>
  <c r="J110" i="3"/>
  <c r="S110" i="3"/>
  <c r="S107" i="3"/>
  <c r="J100" i="3"/>
  <c r="S100" i="3"/>
  <c r="BB96" i="10"/>
  <c r="CG96" i="10"/>
  <c r="J97" i="3"/>
  <c r="S97" i="3"/>
  <c r="J95" i="3"/>
  <c r="S95" i="3"/>
  <c r="J86" i="3"/>
  <c r="S86" i="3"/>
  <c r="J101" i="3"/>
  <c r="S101" i="3"/>
  <c r="BB84" i="10"/>
  <c r="CG84" i="10"/>
  <c r="J85" i="3"/>
  <c r="S85" i="3"/>
  <c r="J80" i="3"/>
  <c r="S80" i="3"/>
  <c r="J78" i="3"/>
  <c r="S78" i="3"/>
  <c r="J76" i="3"/>
  <c r="S76" i="3"/>
  <c r="BB73" i="10"/>
  <c r="CG73" i="10"/>
  <c r="J74" i="3"/>
  <c r="S74" i="3"/>
  <c r="BB70" i="10"/>
  <c r="CG70" i="10"/>
  <c r="J71" i="3"/>
  <c r="S71" i="3"/>
  <c r="S69" i="3"/>
  <c r="S67" i="3"/>
  <c r="BB62" i="10"/>
  <c r="CG62" i="10"/>
  <c r="J63" i="3"/>
  <c r="S63" i="3"/>
  <c r="BB60" i="10"/>
  <c r="CG60" i="10"/>
  <c r="J61" i="3"/>
  <c r="S61" i="3"/>
  <c r="S59" i="3"/>
  <c r="S55" i="3"/>
  <c r="J53" i="3"/>
  <c r="S53" i="3"/>
  <c r="BB50" i="10"/>
  <c r="CG50" i="10"/>
  <c r="J51" i="3"/>
  <c r="S51" i="3"/>
  <c r="BB49" i="10"/>
  <c r="CG49" i="10"/>
  <c r="J50" i="3"/>
  <c r="S50" i="3"/>
  <c r="S48" i="3"/>
  <c r="BB42" i="10"/>
  <c r="CG42" i="10"/>
  <c r="J43" i="3"/>
  <c r="S43" i="3"/>
  <c r="BB40" i="10"/>
  <c r="CG40" i="10"/>
  <c r="J41" i="3"/>
  <c r="S41" i="3"/>
  <c r="BB38" i="10"/>
  <c r="CG38" i="10"/>
  <c r="J39" i="3"/>
  <c r="S39" i="3"/>
  <c r="BB36" i="10"/>
  <c r="CG36" i="10"/>
  <c r="J37" i="3"/>
  <c r="S37" i="3"/>
  <c r="BB30" i="10"/>
  <c r="CG30" i="10"/>
  <c r="J31" i="3"/>
  <c r="S31" i="3"/>
  <c r="BB28" i="10"/>
  <c r="CG28" i="10"/>
  <c r="J29" i="3"/>
  <c r="S29" i="3"/>
  <c r="J27" i="3"/>
  <c r="S27" i="3"/>
  <c r="BB24" i="10"/>
  <c r="CG24" i="10"/>
  <c r="J25" i="3"/>
  <c r="S25" i="3"/>
  <c r="BB21" i="10"/>
  <c r="CG21" i="10"/>
  <c r="J22" i="3"/>
  <c r="S22" i="3"/>
  <c r="J20" i="3"/>
  <c r="S20" i="3"/>
  <c r="J18" i="3"/>
  <c r="S18" i="3"/>
  <c r="BB14" i="10"/>
  <c r="CG14" i="10"/>
  <c r="J15" i="3"/>
  <c r="S15" i="3"/>
  <c r="BB12" i="10"/>
  <c r="CG12" i="10"/>
  <c r="J13" i="3"/>
  <c r="S13" i="3"/>
  <c r="BB10" i="10"/>
  <c r="CG10" i="10"/>
  <c r="J11" i="3"/>
  <c r="S11" i="3"/>
  <c r="S9" i="3"/>
  <c r="J6" i="3"/>
  <c r="S6" i="3"/>
  <c r="J5" i="3"/>
  <c r="S5" i="3"/>
  <c r="T173" i="10"/>
  <c r="CD173" i="10"/>
  <c r="AY173" i="10"/>
  <c r="G174" i="3"/>
  <c r="Q174" i="3"/>
  <c r="T171" i="10"/>
  <c r="CD171" i="10"/>
  <c r="AY171" i="10"/>
  <c r="G172" i="3"/>
  <c r="Q172" i="3"/>
  <c r="Q167" i="3"/>
  <c r="P167" i="3"/>
  <c r="P166" i="3"/>
  <c r="F165" i="3"/>
  <c r="P165" i="3"/>
  <c r="P164" i="3"/>
  <c r="P163" i="3"/>
  <c r="P162" i="3"/>
  <c r="P161" i="3"/>
  <c r="F159" i="3"/>
  <c r="P159" i="3"/>
  <c r="P158" i="3"/>
  <c r="T148" i="10"/>
  <c r="CD148" i="10"/>
  <c r="AY148" i="10"/>
  <c r="G149" i="3"/>
  <c r="Q149" i="3"/>
  <c r="Q147" i="3"/>
  <c r="F145" i="3"/>
  <c r="P145" i="3"/>
  <c r="Q144" i="3"/>
  <c r="Q142" i="3"/>
  <c r="Q140" i="3"/>
  <c r="Q138" i="3"/>
  <c r="Q137" i="3"/>
  <c r="Q135" i="3"/>
  <c r="P132" i="3"/>
  <c r="F131" i="3"/>
  <c r="P131" i="3"/>
  <c r="Q129" i="3"/>
  <c r="Q127" i="3"/>
  <c r="P126" i="3"/>
  <c r="P125" i="3"/>
  <c r="P124" i="3"/>
  <c r="P123" i="3"/>
  <c r="P122" i="3"/>
  <c r="F121" i="3"/>
  <c r="P121" i="3"/>
  <c r="Q117" i="3"/>
  <c r="G115" i="3"/>
  <c r="Q115" i="3"/>
  <c r="Q87" i="3"/>
  <c r="G62" i="3"/>
  <c r="CD48" i="10"/>
  <c r="AY48" i="10"/>
  <c r="T48" i="10"/>
  <c r="G49" i="3"/>
  <c r="Q49" i="3"/>
  <c r="F27" i="3"/>
  <c r="P17" i="3"/>
  <c r="AK26" i="3"/>
  <c r="C3" i="7"/>
  <c r="Z121" i="3"/>
  <c r="F128" i="3"/>
  <c r="Z145" i="3"/>
  <c r="R78" i="3"/>
  <c r="R86" i="3"/>
  <c r="R113" i="3"/>
  <c r="J105" i="6"/>
  <c r="J126" i="6"/>
  <c r="J142" i="6"/>
  <c r="J162" i="6"/>
  <c r="J173" i="6"/>
  <c r="J17" i="6"/>
  <c r="J38" i="6"/>
  <c r="J93" i="6"/>
  <c r="AK162" i="3"/>
  <c r="AL162" i="3"/>
  <c r="AK160" i="3"/>
  <c r="AL160" i="3"/>
  <c r="AK159" i="3"/>
  <c r="H158" i="6"/>
  <c r="AP158" i="5"/>
  <c r="S158" i="5"/>
  <c r="T158" i="5"/>
  <c r="AK158" i="3"/>
  <c r="AL158" i="3"/>
  <c r="C157" i="6"/>
  <c r="AX152" i="10"/>
  <c r="S152" i="10"/>
  <c r="CC152" i="10"/>
  <c r="F153" i="3"/>
  <c r="AK153" i="3"/>
  <c r="AL153" i="3"/>
  <c r="C152" i="6"/>
  <c r="V85" i="3"/>
  <c r="V175" i="3"/>
  <c r="V155" i="3"/>
  <c r="F52" i="3"/>
  <c r="V52" i="3"/>
  <c r="AA52" i="3"/>
  <c r="AK95" i="3"/>
  <c r="AL95" i="3"/>
  <c r="AP59" i="5"/>
  <c r="S59" i="5"/>
  <c r="AK30" i="3"/>
  <c r="AL30" i="3"/>
  <c r="F19" i="3"/>
  <c r="AK19" i="3"/>
  <c r="AL19" i="3"/>
  <c r="W40" i="10"/>
  <c r="W65" i="10"/>
  <c r="W70" i="10"/>
  <c r="BB98" i="10"/>
  <c r="CG98" i="10"/>
  <c r="W106" i="10"/>
  <c r="W125" i="10"/>
  <c r="W130" i="10"/>
  <c r="W152" i="10"/>
  <c r="CG166" i="10"/>
  <c r="BB166" i="10"/>
  <c r="W174" i="10"/>
  <c r="AX50" i="10"/>
  <c r="S50" i="10"/>
  <c r="CC50" i="10"/>
  <c r="AX105" i="10"/>
  <c r="S105" i="10"/>
  <c r="CC105" i="10"/>
  <c r="CC115" i="10"/>
  <c r="AX115" i="10"/>
  <c r="S115" i="10"/>
  <c r="AX117" i="10"/>
  <c r="S117" i="10"/>
  <c r="CC117" i="10"/>
  <c r="AX171" i="10"/>
  <c r="S171" i="10"/>
  <c r="CC171" i="10"/>
  <c r="BC11" i="10"/>
  <c r="CH11" i="10"/>
  <c r="X11" i="10"/>
  <c r="X48" i="10"/>
  <c r="X95" i="10"/>
  <c r="X111" i="10"/>
  <c r="X149" i="10"/>
  <c r="X165" i="10"/>
  <c r="W3" i="10"/>
  <c r="W7" i="10"/>
  <c r="W21" i="10"/>
  <c r="W25" i="10"/>
  <c r="BB29" i="10"/>
  <c r="CG29" i="10"/>
  <c r="W29" i="10"/>
  <c r="W46" i="10"/>
  <c r="BB57" i="10"/>
  <c r="CG57" i="10"/>
  <c r="W57" i="10"/>
  <c r="CC11" i="10"/>
  <c r="AX11" i="10"/>
  <c r="S11" i="10"/>
  <c r="CC175" i="10"/>
  <c r="AX175" i="10"/>
  <c r="S175" i="10"/>
  <c r="X9" i="10"/>
  <c r="X12" i="10"/>
  <c r="CH21" i="10"/>
  <c r="BC21" i="10"/>
  <c r="X77" i="10"/>
  <c r="X84" i="10"/>
  <c r="W9" i="10"/>
  <c r="CG51" i="10"/>
  <c r="BB51" i="10"/>
  <c r="CG78" i="10"/>
  <c r="BB78" i="10"/>
  <c r="W81" i="10"/>
  <c r="W83" i="10"/>
  <c r="CG87" i="10"/>
  <c r="BB87" i="10"/>
  <c r="CG97" i="10"/>
  <c r="BB97" i="10"/>
  <c r="W107" i="10"/>
  <c r="W113" i="10"/>
  <c r="BB116" i="10"/>
  <c r="CG116" i="10"/>
  <c r="W118" i="10"/>
  <c r="CG129" i="10"/>
  <c r="BB129" i="10"/>
  <c r="W151" i="10"/>
  <c r="W157" i="10"/>
  <c r="BB160" i="10"/>
  <c r="CG160" i="10"/>
  <c r="W164" i="10"/>
  <c r="X100" i="10"/>
  <c r="X106" i="10"/>
  <c r="X112" i="10"/>
  <c r="W6" i="10"/>
  <c r="W133" i="10"/>
  <c r="CG140" i="10"/>
  <c r="BB140" i="10"/>
  <c r="W165" i="10"/>
  <c r="K51" i="3"/>
  <c r="K6" i="3"/>
  <c r="H4" i="7"/>
  <c r="K37" i="3"/>
  <c r="H6" i="7"/>
  <c r="G80" i="3"/>
  <c r="H165" i="6"/>
  <c r="AQ165" i="5"/>
  <c r="AQ164" i="5"/>
  <c r="AQ163" i="5"/>
  <c r="H162" i="6"/>
  <c r="AQ162" i="5"/>
  <c r="H161" i="6"/>
  <c r="AQ161" i="5"/>
  <c r="H160" i="6"/>
  <c r="AQ160" i="5"/>
  <c r="H159" i="6"/>
  <c r="AQ159" i="5"/>
  <c r="AQ158" i="5"/>
  <c r="AQ157" i="5"/>
  <c r="H153" i="6"/>
  <c r="AQ153" i="5"/>
  <c r="H152" i="6"/>
  <c r="AQ152" i="5"/>
  <c r="H151" i="6"/>
  <c r="AQ151" i="5"/>
  <c r="H150" i="6"/>
  <c r="AQ150" i="5"/>
  <c r="H145" i="6"/>
  <c r="AQ145" i="5"/>
  <c r="AQ144" i="5"/>
  <c r="AQ142" i="5"/>
  <c r="AQ140" i="5"/>
  <c r="H137" i="6"/>
  <c r="AQ137" i="5"/>
  <c r="H133" i="6"/>
  <c r="H127" i="6"/>
  <c r="AQ127" i="5"/>
  <c r="AQ122" i="5"/>
  <c r="H108" i="6"/>
  <c r="H106" i="6"/>
  <c r="H78" i="6"/>
  <c r="AQ78" i="5"/>
  <c r="AQ75" i="5"/>
  <c r="H70" i="6"/>
  <c r="AQ70" i="5"/>
  <c r="AQ65" i="5"/>
  <c r="AQ60" i="5"/>
  <c r="AQ42" i="5"/>
  <c r="H39" i="6"/>
  <c r="AQ39" i="5"/>
  <c r="AQ36" i="5"/>
  <c r="H30" i="6"/>
  <c r="H28" i="6"/>
  <c r="H26" i="6"/>
  <c r="AQ26" i="5"/>
  <c r="H21" i="6"/>
  <c r="AQ21" i="5"/>
  <c r="AQ16" i="5"/>
  <c r="H11" i="6"/>
  <c r="AQ10" i="5"/>
  <c r="AQ5" i="5"/>
  <c r="Z4" i="3"/>
  <c r="B199" i="3"/>
  <c r="C188" i="3"/>
  <c r="V4" i="3"/>
  <c r="F10" i="3"/>
  <c r="F12" i="3"/>
  <c r="V12" i="3"/>
  <c r="V14" i="3"/>
  <c r="V15" i="3"/>
  <c r="F20" i="3"/>
  <c r="V26" i="3"/>
  <c r="F29" i="3"/>
  <c r="F34" i="3"/>
  <c r="F37" i="3"/>
  <c r="F42" i="3"/>
  <c r="V47" i="3"/>
  <c r="V48" i="3"/>
  <c r="F51" i="3"/>
  <c r="F54" i="3"/>
  <c r="F56" i="3"/>
  <c r="F65" i="3"/>
  <c r="V67" i="3"/>
  <c r="F70" i="3"/>
  <c r="F73" i="3"/>
  <c r="V74" i="3"/>
  <c r="V78" i="3"/>
  <c r="F80" i="3"/>
  <c r="F83" i="3"/>
  <c r="F86" i="3"/>
  <c r="V87" i="3"/>
  <c r="F90" i="3"/>
  <c r="F92" i="3"/>
  <c r="V93" i="3"/>
  <c r="F97" i="3"/>
  <c r="F99" i="3"/>
  <c r="V100" i="3"/>
  <c r="F102" i="3"/>
  <c r="V104" i="3"/>
  <c r="F106" i="3"/>
  <c r="V107" i="3"/>
  <c r="V109" i="3"/>
  <c r="V110" i="3"/>
  <c r="V111" i="3"/>
  <c r="F113" i="3"/>
  <c r="V114" i="3"/>
  <c r="F116" i="3"/>
  <c r="F118" i="3"/>
  <c r="V119" i="3"/>
  <c r="V121" i="3"/>
  <c r="V124" i="3"/>
  <c r="V126" i="3"/>
  <c r="V127" i="3"/>
  <c r="F129" i="3"/>
  <c r="V130" i="3"/>
  <c r="F134" i="3"/>
  <c r="F143" i="3"/>
  <c r="V159" i="3"/>
  <c r="V161" i="3"/>
  <c r="V165" i="3"/>
  <c r="V168" i="3"/>
  <c r="F172" i="3"/>
  <c r="F176" i="3"/>
  <c r="K12" i="3"/>
  <c r="K28" i="3"/>
  <c r="K44" i="3"/>
  <c r="K56" i="3"/>
  <c r="K66" i="3"/>
  <c r="K79" i="3"/>
  <c r="K87" i="3"/>
  <c r="K99" i="3"/>
  <c r="K113" i="3"/>
  <c r="K153" i="3"/>
  <c r="G13" i="3"/>
  <c r="G36" i="3"/>
  <c r="G44" i="3"/>
  <c r="G69" i="3"/>
  <c r="G103" i="3"/>
  <c r="G122" i="3"/>
  <c r="G128" i="3"/>
  <c r="G136" i="3"/>
  <c r="G148" i="3"/>
  <c r="G157" i="3"/>
  <c r="G170" i="3"/>
  <c r="G173" i="3"/>
  <c r="J35" i="3"/>
  <c r="R35" i="3"/>
  <c r="H135" i="6"/>
  <c r="AQ135" i="5"/>
  <c r="R66" i="3"/>
  <c r="R45" i="3"/>
  <c r="R67" i="3"/>
  <c r="Z9" i="3"/>
  <c r="Z21" i="3"/>
  <c r="Z32" i="3"/>
  <c r="Z46" i="3"/>
  <c r="Z51" i="3"/>
  <c r="Z63" i="3"/>
  <c r="Z71" i="3"/>
  <c r="Z81" i="3"/>
  <c r="Z87" i="3"/>
  <c r="Z99" i="3"/>
  <c r="Z108" i="3"/>
  <c r="Z114" i="3"/>
  <c r="Z123" i="3"/>
  <c r="Z131" i="3"/>
  <c r="Z140" i="3"/>
  <c r="Z148" i="3"/>
  <c r="Z157" i="3"/>
  <c r="Z166" i="3"/>
  <c r="H175" i="6"/>
  <c r="H172" i="6"/>
  <c r="AQ172" i="5"/>
  <c r="AQ167" i="5"/>
  <c r="H115" i="6"/>
  <c r="H111" i="6"/>
  <c r="AQ111" i="5"/>
  <c r="AQ96" i="5"/>
  <c r="H89" i="6"/>
  <c r="H86" i="6"/>
  <c r="H82" i="6"/>
  <c r="AQ82" i="5"/>
  <c r="H50" i="6"/>
  <c r="AQ50" i="5"/>
  <c r="R77" i="3"/>
  <c r="R82" i="3"/>
  <c r="R89" i="3"/>
  <c r="R105" i="3"/>
  <c r="J125" i="3"/>
  <c r="P88" i="3"/>
  <c r="Q84" i="3"/>
  <c r="AY80" i="10"/>
  <c r="T80" i="10"/>
  <c r="CD80" i="10"/>
  <c r="G81" i="3"/>
  <c r="CD78" i="10"/>
  <c r="AY78" i="10"/>
  <c r="T78" i="10"/>
  <c r="G79" i="3"/>
  <c r="Q77" i="3"/>
  <c r="G71" i="3"/>
  <c r="P69" i="3"/>
  <c r="AK25" i="3"/>
  <c r="AK38" i="3"/>
  <c r="J36" i="6"/>
  <c r="G6" i="7"/>
  <c r="J4" i="6"/>
  <c r="G11" i="7"/>
  <c r="J3" i="6"/>
  <c r="G12" i="7"/>
  <c r="R76" i="3"/>
  <c r="Z15" i="3"/>
  <c r="Z40" i="3"/>
  <c r="Z52" i="3"/>
  <c r="Z70" i="3"/>
  <c r="Z82" i="3"/>
  <c r="Z88" i="3"/>
  <c r="Z103" i="3"/>
  <c r="Z118" i="3"/>
  <c r="Z142" i="3"/>
  <c r="Z167" i="3"/>
  <c r="R110" i="3"/>
  <c r="R156" i="3"/>
  <c r="R148" i="3"/>
  <c r="J161" i="3"/>
  <c r="S161" i="3"/>
  <c r="J108" i="6"/>
  <c r="J116" i="6"/>
  <c r="J128" i="6"/>
  <c r="J139" i="6"/>
  <c r="J149" i="6"/>
  <c r="J159" i="6"/>
  <c r="J172" i="6"/>
  <c r="J14" i="6"/>
  <c r="J22" i="6"/>
  <c r="J27" i="6"/>
  <c r="J37" i="6"/>
  <c r="J46" i="6"/>
  <c r="J63" i="6"/>
  <c r="J75" i="6"/>
  <c r="J86" i="6"/>
  <c r="J90" i="6"/>
  <c r="J96" i="6"/>
  <c r="AP162" i="5"/>
  <c r="AL150" i="3"/>
  <c r="C149" i="6"/>
  <c r="AK149" i="3"/>
  <c r="AL149" i="3"/>
  <c r="C148" i="6"/>
  <c r="T147" i="5"/>
  <c r="AP146" i="5"/>
  <c r="AK147" i="3"/>
  <c r="AL147" i="3"/>
  <c r="C146" i="6"/>
  <c r="AC4" i="3"/>
  <c r="AB6" i="3"/>
  <c r="AC9" i="3"/>
  <c r="AB11" i="3"/>
  <c r="Z18" i="3"/>
  <c r="AC18" i="3"/>
  <c r="AC28" i="3"/>
  <c r="AB49" i="3"/>
  <c r="AB71" i="3"/>
  <c r="AB111" i="3"/>
  <c r="AB140" i="3"/>
  <c r="AC157" i="3"/>
  <c r="V167" i="3"/>
  <c r="AA167" i="3"/>
  <c r="V91" i="3"/>
  <c r="AC87" i="3"/>
  <c r="AA50" i="3"/>
  <c r="AL142" i="3"/>
  <c r="C141" i="6"/>
  <c r="T141" i="5"/>
  <c r="AL139" i="3"/>
  <c r="C138" i="6"/>
  <c r="T131" i="5"/>
  <c r="AK131" i="3"/>
  <c r="AL131" i="3"/>
  <c r="C130" i="6"/>
  <c r="S123" i="5"/>
  <c r="C121" i="6"/>
  <c r="S121" i="5"/>
  <c r="T121" i="5"/>
  <c r="H117" i="6"/>
  <c r="AP117" i="5"/>
  <c r="S117" i="5"/>
  <c r="AK118" i="3"/>
  <c r="AL118" i="3"/>
  <c r="AP108" i="5"/>
  <c r="S108" i="5"/>
  <c r="AK108" i="3"/>
  <c r="AL108" i="3"/>
  <c r="AK100" i="3"/>
  <c r="AK99" i="3"/>
  <c r="AL99" i="3"/>
  <c r="AP91" i="5"/>
  <c r="AP89" i="5"/>
  <c r="S89" i="5"/>
  <c r="AK89" i="3"/>
  <c r="AL89" i="3"/>
  <c r="C88" i="6"/>
  <c r="C84" i="6"/>
  <c r="AP82" i="5"/>
  <c r="S82" i="5"/>
  <c r="T82" i="5"/>
  <c r="AP78" i="5"/>
  <c r="S78" i="5"/>
  <c r="T78" i="5"/>
  <c r="AK61" i="3"/>
  <c r="AK59" i="3"/>
  <c r="AL59" i="3"/>
  <c r="C58" i="6"/>
  <c r="H51" i="6"/>
  <c r="AP51" i="5"/>
  <c r="AP50" i="5"/>
  <c r="S50" i="5"/>
  <c r="AK50" i="3"/>
  <c r="AL50" i="3"/>
  <c r="AP47" i="5"/>
  <c r="C44" i="6"/>
  <c r="AP43" i="5"/>
  <c r="S43" i="5"/>
  <c r="T43" i="5"/>
  <c r="AP40" i="5"/>
  <c r="S40" i="5"/>
  <c r="AL38" i="3"/>
  <c r="AL35" i="3"/>
  <c r="C34" i="6"/>
  <c r="AK32" i="3"/>
  <c r="AL32" i="3"/>
  <c r="AP30" i="5"/>
  <c r="S30" i="5"/>
  <c r="C29" i="6"/>
  <c r="AP25" i="5"/>
  <c r="S25" i="5"/>
  <c r="T25" i="5"/>
  <c r="AK23" i="3"/>
  <c r="AL23" i="3"/>
  <c r="AP21" i="5"/>
  <c r="S21" i="5"/>
  <c r="AK18" i="3"/>
  <c r="AL18" i="3"/>
  <c r="AK17" i="3"/>
  <c r="AL17" i="3"/>
  <c r="C16" i="6"/>
  <c r="AK15" i="3"/>
  <c r="AL15" i="3"/>
  <c r="AK40" i="3"/>
  <c r="AK47" i="3"/>
  <c r="AK62" i="3"/>
  <c r="AK71" i="3"/>
  <c r="AK77" i="3"/>
  <c r="AK84" i="3"/>
  <c r="AK94" i="3"/>
  <c r="AK101" i="3"/>
  <c r="AK104" i="3"/>
  <c r="AK110" i="3"/>
  <c r="AK114" i="3"/>
  <c r="AK126" i="3"/>
  <c r="AK132" i="3"/>
  <c r="AK137" i="3"/>
  <c r="AK144" i="3"/>
  <c r="AK168" i="3"/>
  <c r="AK173" i="3"/>
  <c r="H63" i="6"/>
  <c r="AQ63" i="5"/>
  <c r="C8" i="7"/>
  <c r="M8" i="7"/>
  <c r="H56" i="6"/>
  <c r="C15" i="7"/>
  <c r="Z141" i="3"/>
  <c r="Z159" i="3"/>
  <c r="Z172" i="3"/>
  <c r="H168" i="6"/>
  <c r="H126" i="6"/>
  <c r="AQ126" i="5"/>
  <c r="AQ112" i="5"/>
  <c r="H99" i="6"/>
  <c r="H97" i="6"/>
  <c r="AQ97" i="5"/>
  <c r="H90" i="6"/>
  <c r="AQ90" i="5"/>
  <c r="H85" i="6"/>
  <c r="AQ85" i="5"/>
  <c r="AQ80" i="5"/>
  <c r="AQ55" i="5"/>
  <c r="H49" i="6"/>
  <c r="H46" i="6"/>
  <c r="J79" i="3"/>
  <c r="J90" i="3"/>
  <c r="J96" i="3"/>
  <c r="J99" i="3"/>
  <c r="R99" i="3"/>
  <c r="J114" i="3"/>
  <c r="R118" i="3"/>
  <c r="R131" i="3"/>
  <c r="J150" i="3"/>
  <c r="R154" i="3"/>
  <c r="R163" i="3"/>
  <c r="R169" i="3"/>
  <c r="R175" i="3"/>
  <c r="R136" i="3"/>
  <c r="J81" i="3"/>
  <c r="J65" i="3"/>
  <c r="J137" i="3"/>
  <c r="J58" i="3"/>
  <c r="J10" i="3"/>
  <c r="J176" i="3"/>
  <c r="S176" i="3"/>
  <c r="S166" i="3"/>
  <c r="S154" i="3"/>
  <c r="S106" i="3"/>
  <c r="S99" i="3"/>
  <c r="S94" i="3"/>
  <c r="S103" i="3"/>
  <c r="S77" i="3"/>
  <c r="J70" i="3"/>
  <c r="AK8" i="3"/>
  <c r="AK12" i="3"/>
  <c r="AK34" i="3"/>
  <c r="AK42" i="3"/>
  <c r="AK53" i="3"/>
  <c r="AK56" i="3"/>
  <c r="AK60" i="3"/>
  <c r="AK66" i="3"/>
  <c r="AK69" i="3"/>
  <c r="AK75" i="3"/>
  <c r="AK92" i="3"/>
  <c r="AK103" i="3"/>
  <c r="AK117" i="3"/>
  <c r="AK121" i="3"/>
  <c r="AK127" i="3"/>
  <c r="AK134" i="3"/>
  <c r="AK145" i="3"/>
  <c r="AK163" i="3"/>
  <c r="AK166" i="3"/>
  <c r="AK175" i="3"/>
  <c r="R94" i="3"/>
  <c r="R112" i="3"/>
  <c r="J117" i="3"/>
  <c r="R117" i="3"/>
  <c r="R126" i="3"/>
  <c r="J144" i="3"/>
  <c r="J153" i="3"/>
  <c r="R162" i="3"/>
  <c r="J168" i="3"/>
  <c r="R172" i="3"/>
  <c r="R132" i="3"/>
  <c r="R41" i="3"/>
  <c r="J133" i="3"/>
  <c r="R103" i="3"/>
  <c r="R68" i="3"/>
  <c r="S173" i="3"/>
  <c r="S170" i="3"/>
  <c r="J160" i="3"/>
  <c r="S155" i="3"/>
  <c r="S146" i="3"/>
  <c r="J130" i="3"/>
  <c r="S130" i="3"/>
  <c r="S121" i="3"/>
  <c r="S114" i="3"/>
  <c r="S108" i="3"/>
  <c r="S96" i="3"/>
  <c r="J83" i="3"/>
  <c r="S93" i="3"/>
  <c r="J73" i="3"/>
  <c r="S66" i="3"/>
  <c r="J62" i="3"/>
  <c r="J60" i="3"/>
  <c r="S60" i="3"/>
  <c r="S54" i="3"/>
  <c r="J49" i="3"/>
  <c r="S47" i="3"/>
  <c r="S44" i="3"/>
  <c r="J38" i="3"/>
  <c r="J34" i="3"/>
  <c r="J32" i="3"/>
  <c r="J30" i="3"/>
  <c r="S30" i="3"/>
  <c r="S26" i="3"/>
  <c r="S24" i="3"/>
  <c r="S21" i="3"/>
  <c r="J17" i="3"/>
  <c r="S16" i="3"/>
  <c r="J12" i="3"/>
  <c r="S10" i="3"/>
  <c r="S8" i="3"/>
  <c r="S4" i="3"/>
  <c r="P168" i="3"/>
  <c r="Q165" i="3"/>
  <c r="T163" i="10"/>
  <c r="CD163" i="10"/>
  <c r="AY163" i="10"/>
  <c r="Q161" i="3"/>
  <c r="P160" i="3"/>
  <c r="AY155" i="10"/>
  <c r="T155" i="10"/>
  <c r="CD155" i="10"/>
  <c r="G156" i="3"/>
  <c r="Q155" i="3"/>
  <c r="G154" i="3"/>
  <c r="Q154" i="3"/>
  <c r="Q153" i="3"/>
  <c r="Q151" i="3"/>
  <c r="P150" i="3"/>
  <c r="P148" i="3"/>
  <c r="Q145" i="3"/>
  <c r="P142" i="3"/>
  <c r="P138" i="3"/>
  <c r="P135" i="3"/>
  <c r="Q133" i="3"/>
  <c r="Q132" i="3"/>
  <c r="P130" i="3"/>
  <c r="P128" i="3"/>
  <c r="Q125" i="3"/>
  <c r="Q123" i="3"/>
  <c r="Q120" i="3"/>
  <c r="P119" i="3"/>
  <c r="P117" i="3"/>
  <c r="P115" i="3"/>
  <c r="Q113" i="3"/>
  <c r="P112" i="3"/>
  <c r="AY109" i="10"/>
  <c r="T109" i="10"/>
  <c r="CD109" i="10"/>
  <c r="G110" i="3"/>
  <c r="Q109" i="3"/>
  <c r="AY106" i="10"/>
  <c r="T106" i="10"/>
  <c r="CD106" i="10"/>
  <c r="G107" i="3"/>
  <c r="P107" i="3"/>
  <c r="Q105" i="3"/>
  <c r="Q103" i="3"/>
  <c r="G102" i="3"/>
  <c r="P102" i="3"/>
  <c r="G100" i="3"/>
  <c r="P100" i="3"/>
  <c r="G96" i="3"/>
  <c r="Q96" i="3"/>
  <c r="Q94" i="3"/>
  <c r="AY92" i="10"/>
  <c r="T92" i="10"/>
  <c r="CD92" i="10"/>
  <c r="G93" i="3"/>
  <c r="P93" i="3"/>
  <c r="P92" i="3"/>
  <c r="T90" i="10"/>
  <c r="CD90" i="10"/>
  <c r="AY90" i="10"/>
  <c r="G89" i="3"/>
  <c r="AY87" i="10"/>
  <c r="T87" i="10"/>
  <c r="CD87" i="10"/>
  <c r="G88" i="3"/>
  <c r="P87" i="3"/>
  <c r="P83" i="3"/>
  <c r="P79" i="3"/>
  <c r="CD72" i="10"/>
  <c r="AY72" i="10"/>
  <c r="T72" i="10"/>
  <c r="G73" i="3"/>
  <c r="Q73" i="3"/>
  <c r="P71" i="3"/>
  <c r="P64" i="3"/>
  <c r="G60" i="3"/>
  <c r="P59" i="3"/>
  <c r="P56" i="3"/>
  <c r="G52" i="3"/>
  <c r="P49" i="3"/>
  <c r="G45" i="3"/>
  <c r="P44" i="3"/>
  <c r="T41" i="10"/>
  <c r="CD41" i="10"/>
  <c r="AY41" i="10"/>
  <c r="Q39" i="3"/>
  <c r="Q36" i="3"/>
  <c r="G28" i="3"/>
  <c r="Q21" i="3"/>
  <c r="P19" i="3"/>
  <c r="P16" i="3"/>
  <c r="Q14" i="3"/>
  <c r="P12" i="3"/>
  <c r="Q10" i="3"/>
  <c r="Q9" i="3"/>
  <c r="T177" i="3"/>
  <c r="T174" i="3"/>
  <c r="AP173" i="5"/>
  <c r="K172" i="3"/>
  <c r="H171" i="6"/>
  <c r="AP171" i="5"/>
  <c r="K170" i="3"/>
  <c r="T170" i="3"/>
  <c r="T168" i="3"/>
  <c r="T166" i="3"/>
  <c r="AP165" i="5"/>
  <c r="K165" i="3"/>
  <c r="T165" i="3"/>
  <c r="AA165" i="3"/>
  <c r="T161" i="3"/>
  <c r="AP160" i="5"/>
  <c r="T158" i="3"/>
  <c r="AP151" i="5"/>
  <c r="AA150" i="3"/>
  <c r="K149" i="3"/>
  <c r="T149" i="3"/>
  <c r="V148" i="3"/>
  <c r="CH145" i="10"/>
  <c r="BC145" i="10"/>
  <c r="T145" i="3"/>
  <c r="V144" i="3"/>
  <c r="AA144" i="3"/>
  <c r="K143" i="3"/>
  <c r="T142" i="3"/>
  <c r="AA142" i="3"/>
  <c r="K141" i="3"/>
  <c r="T141" i="3"/>
  <c r="AA139" i="3"/>
  <c r="K138" i="3"/>
  <c r="T138" i="3"/>
  <c r="V137" i="3"/>
  <c r="BC135" i="10"/>
  <c r="CH135" i="10"/>
  <c r="K136" i="3"/>
  <c r="V136" i="3"/>
  <c r="AA136" i="3"/>
  <c r="V134" i="3"/>
  <c r="V133" i="3"/>
  <c r="CH131" i="10"/>
  <c r="BC131" i="10"/>
  <c r="K131" i="3"/>
  <c r="V131" i="3"/>
  <c r="AA131" i="3"/>
  <c r="V129" i="3"/>
  <c r="AA129" i="3"/>
  <c r="T127" i="3"/>
  <c r="CH124" i="10"/>
  <c r="BC124" i="10"/>
  <c r="AP106" i="5"/>
  <c r="AP103" i="5"/>
  <c r="T102" i="3"/>
  <c r="H100" i="6"/>
  <c r="AP100" i="5"/>
  <c r="T96" i="3"/>
  <c r="AP95" i="5"/>
  <c r="K93" i="3"/>
  <c r="T92" i="3"/>
  <c r="H81" i="6"/>
  <c r="AP80" i="5"/>
  <c r="AA78" i="3"/>
  <c r="V77" i="3"/>
  <c r="AA77" i="3"/>
  <c r="H73" i="6"/>
  <c r="AP73" i="5"/>
  <c r="K73" i="3"/>
  <c r="V72" i="3"/>
  <c r="AP70" i="5"/>
  <c r="K70" i="3"/>
  <c r="V70" i="3"/>
  <c r="AA69" i="3"/>
  <c r="K68" i="3"/>
  <c r="V66" i="3"/>
  <c r="AA66" i="3"/>
  <c r="V63" i="3"/>
  <c r="AA63" i="3"/>
  <c r="K58" i="3"/>
  <c r="T57" i="3"/>
  <c r="AP54" i="5"/>
  <c r="T51" i="3"/>
  <c r="T48" i="3"/>
  <c r="T45" i="3"/>
  <c r="T43" i="3"/>
  <c r="V42" i="3"/>
  <c r="V41" i="3"/>
  <c r="AA41" i="3"/>
  <c r="AP37" i="5"/>
  <c r="V34" i="3"/>
  <c r="AA34" i="3"/>
  <c r="V31" i="3"/>
  <c r="AA31" i="3"/>
  <c r="K30" i="3"/>
  <c r="AP29" i="5"/>
  <c r="AP27" i="5"/>
  <c r="BC25" i="10"/>
  <c r="CH25" i="10"/>
  <c r="K26" i="3"/>
  <c r="T25" i="3"/>
  <c r="AA25" i="3"/>
  <c r="V22" i="3"/>
  <c r="AA22" i="3"/>
  <c r="K21" i="3"/>
  <c r="T21" i="3"/>
  <c r="V20" i="3"/>
  <c r="V19" i="3"/>
  <c r="CH17" i="10"/>
  <c r="BC17" i="10"/>
  <c r="AP14" i="5"/>
  <c r="K14" i="3"/>
  <c r="P73" i="3"/>
  <c r="Q66" i="3"/>
  <c r="P65" i="3"/>
  <c r="P60" i="3"/>
  <c r="G56" i="3"/>
  <c r="Q56" i="3"/>
  <c r="P54" i="3"/>
  <c r="T50" i="10"/>
  <c r="CD50" i="10"/>
  <c r="AY50" i="10"/>
  <c r="G46" i="3"/>
  <c r="P43" i="3"/>
  <c r="G40" i="3"/>
  <c r="Q40" i="3"/>
  <c r="G34" i="3"/>
  <c r="Q32" i="3"/>
  <c r="Q27" i="3"/>
  <c r="G24" i="3"/>
  <c r="P23" i="3"/>
  <c r="G19" i="3"/>
  <c r="P18" i="3"/>
  <c r="G15" i="3"/>
  <c r="G12" i="3"/>
  <c r="AY10" i="10"/>
  <c r="T10" i="10"/>
  <c r="CD10" i="10"/>
  <c r="G11" i="3"/>
  <c r="P10" i="3"/>
  <c r="Q7" i="3"/>
  <c r="G6" i="3"/>
  <c r="H176" i="6"/>
  <c r="AP176" i="5"/>
  <c r="T175" i="3"/>
  <c r="CH172" i="10"/>
  <c r="BC172" i="10"/>
  <c r="K173" i="3"/>
  <c r="T173" i="3"/>
  <c r="T171" i="3"/>
  <c r="AP170" i="5"/>
  <c r="BC168" i="10"/>
  <c r="CH168" i="10"/>
  <c r="K169" i="3"/>
  <c r="T169" i="3"/>
  <c r="K167" i="3"/>
  <c r="T167" i="3"/>
  <c r="AP166" i="5"/>
  <c r="AA161" i="3"/>
  <c r="BC159" i="10"/>
  <c r="CH159" i="10"/>
  <c r="K160" i="3"/>
  <c r="BC158" i="10"/>
  <c r="CH158" i="10"/>
  <c r="K159" i="3"/>
  <c r="CH156" i="10"/>
  <c r="BC156" i="10"/>
  <c r="CH155" i="10"/>
  <c r="BC155" i="10"/>
  <c r="H154" i="6"/>
  <c r="T153" i="3"/>
  <c r="V153" i="3"/>
  <c r="CH151" i="10"/>
  <c r="BC151" i="10"/>
  <c r="BC150" i="10"/>
  <c r="CH150" i="10"/>
  <c r="K151" i="3"/>
  <c r="AP150" i="5"/>
  <c r="CH146" i="10"/>
  <c r="BC146" i="10"/>
  <c r="V145" i="3"/>
  <c r="AA145" i="3"/>
  <c r="K144" i="3"/>
  <c r="T144" i="3"/>
  <c r="V143" i="3"/>
  <c r="AA143" i="3"/>
  <c r="K139" i="3"/>
  <c r="T139" i="3"/>
  <c r="T137" i="3"/>
  <c r="AP135" i="5"/>
  <c r="K135" i="3"/>
  <c r="H134" i="6"/>
  <c r="AP133" i="5"/>
  <c r="AP132" i="5"/>
  <c r="BC129" i="10"/>
  <c r="CH129" i="10"/>
  <c r="K130" i="3"/>
  <c r="H129" i="6"/>
  <c r="AP128" i="5"/>
  <c r="AA127" i="3"/>
  <c r="AP122" i="5"/>
  <c r="AP118" i="5"/>
  <c r="K117" i="3"/>
  <c r="AP116" i="5"/>
  <c r="K115" i="3"/>
  <c r="H114" i="6"/>
  <c r="H113" i="6"/>
  <c r="AP113" i="5"/>
  <c r="H110" i="6"/>
  <c r="T109" i="3"/>
  <c r="AP53" i="5"/>
  <c r="T52" i="3"/>
  <c r="T49" i="3"/>
  <c r="AP48" i="5"/>
  <c r="H45" i="6"/>
  <c r="AP44" i="5"/>
  <c r="V44" i="3"/>
  <c r="AA44" i="3"/>
  <c r="T41" i="3"/>
  <c r="AP39" i="5"/>
  <c r="CH38" i="10"/>
  <c r="BC38" i="10"/>
  <c r="K39" i="3"/>
  <c r="T38" i="3"/>
  <c r="V38" i="3"/>
  <c r="AA38" i="3"/>
  <c r="V36" i="3"/>
  <c r="H34" i="6"/>
  <c r="AP34" i="5"/>
  <c r="T31" i="3"/>
  <c r="V29" i="3"/>
  <c r="V28" i="3"/>
  <c r="AA28" i="3"/>
  <c r="V27" i="3"/>
  <c r="AA27" i="3"/>
  <c r="CH23" i="10"/>
  <c r="BC23" i="10"/>
  <c r="K24" i="3"/>
  <c r="T24" i="3"/>
  <c r="T23" i="3"/>
  <c r="K22" i="3"/>
  <c r="T22" i="3"/>
  <c r="V21" i="3"/>
  <c r="AA21" i="3"/>
  <c r="AP18" i="5"/>
  <c r="AP16" i="5"/>
  <c r="K15" i="3"/>
  <c r="AA14" i="3"/>
  <c r="AA13" i="3"/>
  <c r="CH10" i="10"/>
  <c r="BC10" i="10"/>
  <c r="V8" i="3"/>
  <c r="AA8" i="3"/>
  <c r="AP6" i="5"/>
  <c r="T5" i="3"/>
  <c r="T4" i="3"/>
  <c r="AP3" i="5"/>
  <c r="D4" i="7"/>
  <c r="D10" i="7"/>
  <c r="D11" i="7"/>
  <c r="D5" i="7"/>
  <c r="AQ141" i="5"/>
  <c r="C17" i="7"/>
  <c r="C12" i="7"/>
  <c r="J18" i="6"/>
  <c r="G8" i="7"/>
  <c r="M10" i="7"/>
  <c r="AQ110" i="5"/>
  <c r="R38" i="3"/>
  <c r="AQ139" i="5"/>
  <c r="AQ17" i="5"/>
  <c r="R44" i="3"/>
  <c r="R63" i="3"/>
  <c r="R60" i="3"/>
  <c r="R73" i="3"/>
  <c r="Z12" i="3"/>
  <c r="Z42" i="3"/>
  <c r="Z55" i="3"/>
  <c r="Z67" i="3"/>
  <c r="Z85" i="3"/>
  <c r="Z100" i="3"/>
  <c r="Z115" i="3"/>
  <c r="Z139" i="3"/>
  <c r="Z158" i="3"/>
  <c r="Z173" i="3"/>
  <c r="AQ114" i="5"/>
  <c r="AQ84" i="5"/>
  <c r="R83" i="3"/>
  <c r="J123" i="3"/>
  <c r="R70" i="3"/>
  <c r="R40" i="3"/>
  <c r="S150" i="3"/>
  <c r="S133" i="3"/>
  <c r="S90" i="3"/>
  <c r="J106" i="6"/>
  <c r="J115" i="6"/>
  <c r="J123" i="6"/>
  <c r="J130" i="6"/>
  <c r="J137" i="6"/>
  <c r="S138" i="5"/>
  <c r="C137" i="6"/>
  <c r="AL137" i="3"/>
  <c r="AI136" i="3"/>
  <c r="AP134" i="5"/>
  <c r="S134" i="5"/>
  <c r="AL134" i="3"/>
  <c r="S132" i="5"/>
  <c r="T132" i="5"/>
  <c r="S130" i="5"/>
  <c r="AP129" i="5"/>
  <c r="S129" i="5"/>
  <c r="S128" i="5"/>
  <c r="T128" i="5"/>
  <c r="AI126" i="3"/>
  <c r="S124" i="5"/>
  <c r="AK124" i="3"/>
  <c r="AL124" i="3"/>
  <c r="AL123" i="3"/>
  <c r="AI122" i="3"/>
  <c r="AL121" i="3"/>
  <c r="S119" i="5"/>
  <c r="S118" i="5"/>
  <c r="AI118" i="3"/>
  <c r="AP115" i="5"/>
  <c r="AI116" i="3"/>
  <c r="S113" i="5"/>
  <c r="AL114" i="3"/>
  <c r="S112" i="5"/>
  <c r="AP111" i="5"/>
  <c r="S111" i="5"/>
  <c r="AP110" i="5"/>
  <c r="AI111" i="3"/>
  <c r="AL110" i="3"/>
  <c r="AI108" i="3"/>
  <c r="S106" i="5"/>
  <c r="H105" i="6"/>
  <c r="AP105" i="5"/>
  <c r="S105" i="5"/>
  <c r="AL104" i="3"/>
  <c r="AI102" i="3"/>
  <c r="AL101" i="3"/>
  <c r="AP98" i="5"/>
  <c r="AI99" i="3"/>
  <c r="AP97" i="5"/>
  <c r="S97" i="5"/>
  <c r="AL98" i="3"/>
  <c r="S96" i="5"/>
  <c r="AK96" i="3"/>
  <c r="AL96" i="3"/>
  <c r="AI95" i="3"/>
  <c r="AI94" i="3"/>
  <c r="AL92" i="3"/>
  <c r="C91" i="6"/>
  <c r="AP90" i="5"/>
  <c r="S90" i="5"/>
  <c r="T90" i="5"/>
  <c r="S88" i="5"/>
  <c r="T88" i="5"/>
  <c r="AK88" i="3"/>
  <c r="AL88" i="3"/>
  <c r="AP87" i="5"/>
  <c r="S87" i="5"/>
  <c r="AL87" i="3"/>
  <c r="AK86" i="3"/>
  <c r="AL86" i="3"/>
  <c r="AI85" i="3"/>
  <c r="AP81" i="5"/>
  <c r="S81" i="5"/>
  <c r="AL82" i="3"/>
  <c r="AL81" i="3"/>
  <c r="AK80" i="3"/>
  <c r="AL74" i="3"/>
  <c r="AK73" i="3"/>
  <c r="AL73" i="3"/>
  <c r="AP71" i="5"/>
  <c r="AI72" i="3"/>
  <c r="AP63" i="5"/>
  <c r="S63" i="5"/>
  <c r="AL62" i="3"/>
  <c r="AL61" i="3"/>
  <c r="AL60" i="3"/>
  <c r="AP58" i="5"/>
  <c r="S58" i="5"/>
  <c r="AP55" i="5"/>
  <c r="AI56" i="3"/>
  <c r="AL13" i="3"/>
  <c r="AP9" i="5"/>
  <c r="AI10" i="3"/>
  <c r="S9" i="5"/>
  <c r="T9" i="5"/>
  <c r="AL9" i="3"/>
  <c r="S8" i="5"/>
  <c r="T8" i="5"/>
  <c r="AI7" i="3"/>
  <c r="AK7" i="3"/>
  <c r="AL7" i="3"/>
  <c r="C6" i="6"/>
  <c r="S6" i="5"/>
  <c r="T6" i="5"/>
  <c r="AI4" i="3"/>
  <c r="Z116" i="3"/>
  <c r="AC116" i="3"/>
  <c r="V54" i="3"/>
  <c r="AA54" i="3"/>
  <c r="AK6" i="3"/>
  <c r="R16" i="3"/>
  <c r="AA119" i="3"/>
  <c r="AC111" i="3"/>
  <c r="Z17" i="3"/>
  <c r="AB17" i="3"/>
  <c r="Z20" i="3"/>
  <c r="AC20" i="3"/>
  <c r="Z23" i="3"/>
  <c r="AC23" i="3"/>
  <c r="Z26" i="3"/>
  <c r="AC26" i="3"/>
  <c r="Z29" i="3"/>
  <c r="AC29" i="3"/>
  <c r="AC32" i="3"/>
  <c r="AC35" i="3"/>
  <c r="AB39" i="3"/>
  <c r="AB42" i="3"/>
  <c r="Z44" i="3"/>
  <c r="AB44" i="3"/>
  <c r="AB51" i="3"/>
  <c r="AB58" i="3"/>
  <c r="Z62" i="3"/>
  <c r="AB62" i="3"/>
  <c r="AB64" i="3"/>
  <c r="Z66" i="3"/>
  <c r="AC66" i="3"/>
  <c r="Z69" i="3"/>
  <c r="AB69" i="3"/>
  <c r="AB72" i="3"/>
  <c r="AC74" i="3"/>
  <c r="AB77" i="3"/>
  <c r="Z80" i="3"/>
  <c r="AB80" i="3"/>
  <c r="Z86" i="3"/>
  <c r="AB86" i="3"/>
  <c r="Z92" i="3"/>
  <c r="AB92" i="3"/>
  <c r="Z95" i="3"/>
  <c r="AB95" i="3"/>
  <c r="Z102" i="3"/>
  <c r="AB102" i="3"/>
  <c r="Z106" i="3"/>
  <c r="AB106" i="3"/>
  <c r="Z109" i="3"/>
  <c r="AB109" i="3"/>
  <c r="AB114" i="3"/>
  <c r="AB115" i="3"/>
  <c r="Z120" i="3"/>
  <c r="AB120" i="3"/>
  <c r="AC122" i="3"/>
  <c r="Z124" i="3"/>
  <c r="AB124" i="3"/>
  <c r="Z125" i="3"/>
  <c r="AB125" i="3"/>
  <c r="Z126" i="3"/>
  <c r="AC126" i="3"/>
  <c r="Z128" i="3"/>
  <c r="AC128" i="3"/>
  <c r="AC130" i="3"/>
  <c r="AC133" i="3"/>
  <c r="AB139" i="3"/>
  <c r="AC140" i="3"/>
  <c r="AB144" i="3"/>
  <c r="AC146" i="3"/>
  <c r="AB151" i="3"/>
  <c r="Z153" i="3"/>
  <c r="AB153" i="3"/>
  <c r="AB158" i="3"/>
  <c r="AC162" i="3"/>
  <c r="AB169" i="3"/>
  <c r="AB172" i="3"/>
  <c r="V176" i="3"/>
  <c r="Z174" i="3"/>
  <c r="AC174" i="3"/>
  <c r="V172" i="3"/>
  <c r="AA172" i="3"/>
  <c r="AA168" i="3"/>
  <c r="V105" i="3"/>
  <c r="AC105" i="3"/>
  <c r="V96" i="3"/>
  <c r="AC96" i="3"/>
  <c r="V112" i="3"/>
  <c r="AA104" i="3"/>
  <c r="V90" i="3"/>
  <c r="Z90" i="3"/>
  <c r="AC90" i="3"/>
  <c r="V88" i="3"/>
  <c r="AA88" i="3"/>
  <c r="AC86" i="3"/>
  <c r="V53" i="3"/>
  <c r="AC53" i="3"/>
  <c r="AC46" i="3"/>
  <c r="V45" i="3"/>
  <c r="V132" i="3"/>
  <c r="AA132" i="3"/>
  <c r="AP175" i="5"/>
  <c r="AI176" i="3"/>
  <c r="AI170" i="3"/>
  <c r="AP168" i="5"/>
  <c r="AI169" i="3"/>
  <c r="S167" i="5"/>
  <c r="AK165" i="3"/>
  <c r="AL165" i="3"/>
  <c r="AI164" i="3"/>
  <c r="C136" i="6"/>
  <c r="AL136" i="3"/>
  <c r="C135" i="6"/>
  <c r="C133" i="6"/>
  <c r="AL127" i="3"/>
  <c r="C126" i="6"/>
  <c r="D126" i="6"/>
  <c r="D121" i="6"/>
  <c r="C120" i="6"/>
  <c r="AK116" i="3"/>
  <c r="AL116" i="3"/>
  <c r="C115" i="6"/>
  <c r="D115" i="6"/>
  <c r="AL111" i="3"/>
  <c r="D108" i="6"/>
  <c r="C98" i="6"/>
  <c r="D98" i="6"/>
  <c r="AL93" i="3"/>
  <c r="C92" i="6"/>
  <c r="D92" i="6"/>
  <c r="AK90" i="3"/>
  <c r="AL90" i="3"/>
  <c r="C89" i="6"/>
  <c r="D89" i="6"/>
  <c r="D84" i="6"/>
  <c r="AK76" i="3"/>
  <c r="AL76" i="3"/>
  <c r="C75" i="6"/>
  <c r="D75" i="6"/>
  <c r="AL72" i="3"/>
  <c r="AK65" i="3"/>
  <c r="AL65" i="3"/>
  <c r="AK58" i="3"/>
  <c r="AL58" i="3"/>
  <c r="AL56" i="3"/>
  <c r="D44" i="6"/>
  <c r="D40" i="6"/>
  <c r="AL39" i="3"/>
  <c r="AK37" i="3"/>
  <c r="AL37" i="3"/>
  <c r="C36" i="6"/>
  <c r="D35" i="6"/>
  <c r="C176" i="6"/>
  <c r="AK174" i="3"/>
  <c r="AL174" i="3"/>
  <c r="C173" i="6"/>
  <c r="D173" i="6"/>
  <c r="C170" i="6"/>
  <c r="D166" i="6"/>
  <c r="AK164" i="3"/>
  <c r="AL164" i="3"/>
  <c r="C163" i="6"/>
  <c r="D163" i="6"/>
  <c r="C159" i="6"/>
  <c r="D159" i="6"/>
  <c r="D155" i="6"/>
  <c r="D151" i="6"/>
  <c r="D148" i="6"/>
  <c r="AL144" i="3"/>
  <c r="C143" i="6"/>
  <c r="D141" i="6"/>
  <c r="AK20" i="3"/>
  <c r="Z164" i="3"/>
  <c r="AC164" i="3"/>
  <c r="Z143" i="3"/>
  <c r="AC143" i="3"/>
  <c r="N142" i="6"/>
  <c r="N139" i="6"/>
  <c r="Z138" i="3"/>
  <c r="AC138" i="3"/>
  <c r="N132" i="6"/>
  <c r="N129" i="6"/>
  <c r="N127" i="6"/>
  <c r="N121" i="6"/>
  <c r="AC118" i="3"/>
  <c r="N117" i="6"/>
  <c r="N110" i="6"/>
  <c r="N104" i="6"/>
  <c r="AC98" i="3"/>
  <c r="Z14" i="3"/>
  <c r="AC14" i="3"/>
  <c r="Z10" i="3"/>
  <c r="AC10" i="3"/>
  <c r="M3" i="7"/>
  <c r="N89" i="6"/>
  <c r="AC42" i="3"/>
  <c r="N85" i="6"/>
  <c r="N83" i="6"/>
  <c r="AC79" i="3"/>
  <c r="N73" i="6"/>
  <c r="AC71" i="3"/>
  <c r="AC62" i="3"/>
  <c r="N60" i="6"/>
  <c r="AC49" i="3"/>
  <c r="N48" i="6"/>
  <c r="N45" i="6"/>
  <c r="AC41" i="3"/>
  <c r="N27" i="6"/>
  <c r="AC25" i="3"/>
  <c r="N24" i="6"/>
  <c r="N21" i="6"/>
  <c r="AC17" i="3"/>
  <c r="AA4" i="3"/>
  <c r="AA178" i="3"/>
  <c r="AL6" i="3"/>
  <c r="E32" i="7"/>
  <c r="AP4" i="5"/>
  <c r="AI5" i="3"/>
  <c r="D31" i="7"/>
  <c r="AC39" i="3"/>
  <c r="N38" i="6"/>
  <c r="V6" i="3"/>
  <c r="AA6" i="3"/>
  <c r="G32" i="7"/>
  <c r="AL163" i="3"/>
  <c r="D160" i="6"/>
  <c r="D152" i="6"/>
  <c r="AK148" i="3"/>
  <c r="AL148" i="3"/>
  <c r="AK146" i="3"/>
  <c r="AL146" i="3"/>
  <c r="AL145" i="3"/>
  <c r="C140" i="6"/>
  <c r="E35" i="6"/>
  <c r="E40" i="6"/>
  <c r="E34" i="6"/>
  <c r="E42" i="6"/>
  <c r="C49" i="6"/>
  <c r="E49" i="6"/>
  <c r="E120" i="6"/>
  <c r="AL126" i="3"/>
  <c r="C125" i="6"/>
  <c r="E125" i="6"/>
  <c r="AL130" i="3"/>
  <c r="C129" i="6"/>
  <c r="E129" i="6"/>
  <c r="E133" i="6"/>
  <c r="E137" i="6"/>
  <c r="E141" i="6"/>
  <c r="E151" i="6"/>
  <c r="AK157" i="3"/>
  <c r="AL157" i="3"/>
  <c r="C156" i="6"/>
  <c r="E156" i="6"/>
  <c r="AL159" i="3"/>
  <c r="C158" i="6"/>
  <c r="E158" i="6"/>
  <c r="E173" i="6"/>
  <c r="E121" i="6"/>
  <c r="AL133" i="3"/>
  <c r="C132" i="6"/>
  <c r="E132" i="6"/>
  <c r="E138" i="6"/>
  <c r="E146" i="6"/>
  <c r="E155" i="6"/>
  <c r="E150" i="6"/>
  <c r="E157" i="6"/>
  <c r="E163" i="6"/>
  <c r="E6" i="6"/>
  <c r="AK14" i="3"/>
  <c r="AL14" i="3"/>
  <c r="C13" i="6"/>
  <c r="E13" i="6"/>
  <c r="C31" i="6"/>
  <c r="E31" i="6"/>
  <c r="C14" i="6"/>
  <c r="E14" i="6"/>
  <c r="E16" i="6"/>
  <c r="AY28" i="10"/>
  <c r="T28" i="10"/>
  <c r="CD28" i="10"/>
  <c r="AY142" i="10"/>
  <c r="T142" i="10"/>
  <c r="CD142" i="10"/>
  <c r="F32" i="7"/>
  <c r="AB24" i="3"/>
  <c r="AB30" i="3"/>
  <c r="AC40" i="3"/>
  <c r="AB52" i="3"/>
  <c r="AB61" i="3"/>
  <c r="AC67" i="3"/>
  <c r="Z73" i="3"/>
  <c r="AB73" i="3"/>
  <c r="Z83" i="3"/>
  <c r="AB83" i="3"/>
  <c r="Z89" i="3"/>
  <c r="AB89" i="3"/>
  <c r="AB99" i="3"/>
  <c r="AB103" i="3"/>
  <c r="AC108" i="3"/>
  <c r="AC120" i="3"/>
  <c r="Z129" i="3"/>
  <c r="AB129" i="3"/>
  <c r="AC142" i="3"/>
  <c r="Z147" i="3"/>
  <c r="AB147" i="3"/>
  <c r="AC158" i="3"/>
  <c r="Z161" i="3"/>
  <c r="AB161" i="3"/>
  <c r="AB171" i="3"/>
  <c r="V98" i="3"/>
  <c r="AC115" i="3"/>
  <c r="V113" i="3"/>
  <c r="AA113" i="3"/>
  <c r="Z59" i="3"/>
  <c r="AC59" i="3"/>
  <c r="AA47" i="3"/>
  <c r="AL175" i="3"/>
  <c r="C174" i="6"/>
  <c r="AI171" i="3"/>
  <c r="S80" i="5"/>
  <c r="S71" i="5"/>
  <c r="T71" i="5"/>
  <c r="AK68" i="3"/>
  <c r="AL68" i="3"/>
  <c r="AI65" i="3"/>
  <c r="AL64" i="3"/>
  <c r="AP56" i="5"/>
  <c r="S56" i="5"/>
  <c r="AL53" i="3"/>
  <c r="AK52" i="3"/>
  <c r="AL52" i="3"/>
  <c r="C51" i="6"/>
  <c r="AL49" i="3"/>
  <c r="S44" i="5"/>
  <c r="AL44" i="3"/>
  <c r="AP42" i="5"/>
  <c r="S42" i="5"/>
  <c r="AI41" i="3"/>
  <c r="AP33" i="5"/>
  <c r="S33" i="5"/>
  <c r="S29" i="5"/>
  <c r="AK29" i="3"/>
  <c r="AL29" i="3"/>
  <c r="AP26" i="5"/>
  <c r="S26" i="5"/>
  <c r="AL25" i="3"/>
  <c r="H23" i="6"/>
  <c r="AP23" i="5"/>
  <c r="AI24" i="3"/>
  <c r="AP19" i="5"/>
  <c r="AI20" i="3"/>
  <c r="S18" i="5"/>
  <c r="S16" i="5"/>
  <c r="S14" i="5"/>
  <c r="X17" i="10"/>
  <c r="X31" i="10"/>
  <c r="X76" i="10"/>
  <c r="X101" i="10"/>
  <c r="X134" i="10"/>
  <c r="X143" i="10"/>
  <c r="X161" i="10"/>
  <c r="W12" i="10"/>
  <c r="W69" i="10"/>
  <c r="W108" i="10"/>
  <c r="W144" i="10"/>
  <c r="W167" i="10"/>
  <c r="X25" i="10"/>
  <c r="X110" i="10"/>
  <c r="X148" i="10"/>
  <c r="W14" i="10"/>
  <c r="W30" i="10"/>
  <c r="W51" i="10"/>
  <c r="W74" i="10"/>
  <c r="W80" i="10"/>
  <c r="W87" i="10"/>
  <c r="W104" i="10"/>
  <c r="W121" i="10"/>
  <c r="W138" i="10"/>
  <c r="W168" i="10"/>
  <c r="X69" i="10"/>
  <c r="X79" i="10"/>
  <c r="X129" i="10"/>
  <c r="X153" i="10"/>
  <c r="W20" i="10"/>
  <c r="W154" i="10"/>
  <c r="H7" i="7"/>
  <c r="P156" i="3"/>
  <c r="Q141" i="3"/>
  <c r="P134" i="3"/>
  <c r="P89" i="3"/>
  <c r="Q80" i="3"/>
  <c r="P72" i="3"/>
  <c r="T63" i="10"/>
  <c r="CD63" i="10"/>
  <c r="AY63" i="10"/>
  <c r="G64" i="3"/>
  <c r="P45" i="3"/>
  <c r="P37" i="3"/>
  <c r="AQ176" i="5"/>
  <c r="AQ79" i="5"/>
  <c r="R49" i="3"/>
  <c r="S158" i="3"/>
  <c r="S127" i="3"/>
  <c r="J112" i="6"/>
  <c r="J129" i="6"/>
  <c r="J153" i="6"/>
  <c r="J160" i="6"/>
  <c r="J169" i="6"/>
  <c r="J176" i="6"/>
  <c r="J28" i="6"/>
  <c r="J45" i="6"/>
  <c r="J52" i="6"/>
  <c r="J67" i="6"/>
  <c r="J87" i="6"/>
  <c r="J97" i="6"/>
  <c r="AI159" i="3"/>
  <c r="S151" i="5"/>
  <c r="AP145" i="5"/>
  <c r="AI146" i="3"/>
  <c r="AB15" i="3"/>
  <c r="Z27" i="3"/>
  <c r="AB27" i="3"/>
  <c r="AB35" i="3"/>
  <c r="AB47" i="3"/>
  <c r="Z50" i="3"/>
  <c r="AB50" i="3"/>
  <c r="AB59" i="3"/>
  <c r="AB74" i="3"/>
  <c r="AB91" i="3"/>
  <c r="AB105" i="3"/>
  <c r="AB108" i="3"/>
  <c r="Z117" i="3"/>
  <c r="AB117" i="3"/>
  <c r="AB148" i="3"/>
  <c r="AB166" i="3"/>
  <c r="V115" i="3"/>
  <c r="AA115" i="3"/>
  <c r="AA110" i="3"/>
  <c r="AI144" i="3"/>
  <c r="AI98" i="3"/>
  <c r="AI93" i="3"/>
  <c r="AP86" i="5"/>
  <c r="S86" i="5"/>
  <c r="AI66" i="3"/>
  <c r="AI61" i="3"/>
  <c r="S55" i="5"/>
  <c r="S54" i="5"/>
  <c r="AI54" i="3"/>
  <c r="AP46" i="5"/>
  <c r="S46" i="5"/>
  <c r="AP35" i="5"/>
  <c r="AI36" i="3"/>
  <c r="AI33" i="3"/>
  <c r="T16" i="5"/>
  <c r="T14" i="5"/>
  <c r="X57" i="10"/>
  <c r="X70" i="10"/>
  <c r="X114" i="10"/>
  <c r="X131" i="10"/>
  <c r="X169" i="10"/>
  <c r="X16" i="10"/>
  <c r="X67" i="10"/>
  <c r="X88" i="10"/>
  <c r="X123" i="10"/>
  <c r="X151" i="10"/>
  <c r="X158" i="10"/>
  <c r="X174" i="10"/>
  <c r="X117" i="10"/>
  <c r="X138" i="10"/>
  <c r="R64" i="3"/>
  <c r="AQ113" i="5"/>
  <c r="AQ81" i="5"/>
  <c r="J88" i="3"/>
  <c r="R88" i="3"/>
  <c r="R30" i="3"/>
  <c r="S136" i="3"/>
  <c r="R104" i="3"/>
  <c r="AP154" i="5"/>
  <c r="AI155" i="3"/>
  <c r="AI151" i="3"/>
  <c r="AB23" i="3"/>
  <c r="Z101" i="3"/>
  <c r="AB101" i="3"/>
  <c r="AC175" i="3"/>
  <c r="N174" i="6"/>
  <c r="S165" i="5"/>
  <c r="T165" i="5"/>
  <c r="AI137" i="3"/>
  <c r="T129" i="5"/>
  <c r="AP114" i="5"/>
  <c r="AI115" i="3"/>
  <c r="AI104" i="3"/>
  <c r="AI88" i="3"/>
  <c r="AI81" i="3"/>
  <c r="AP75" i="5"/>
  <c r="AI76" i="3"/>
  <c r="AI69" i="3"/>
  <c r="AP61" i="5"/>
  <c r="AI62" i="3"/>
  <c r="AI40" i="3"/>
  <c r="AI34" i="3"/>
  <c r="AI28" i="3"/>
  <c r="AI17" i="3"/>
  <c r="AL79" i="3"/>
  <c r="C78" i="6"/>
  <c r="D78" i="6"/>
  <c r="AL75" i="3"/>
  <c r="C74" i="6"/>
  <c r="D74" i="6"/>
  <c r="AK54" i="3"/>
  <c r="AL54" i="3"/>
  <c r="C53" i="6"/>
  <c r="D53" i="6"/>
  <c r="D51" i="6"/>
  <c r="AL47" i="3"/>
  <c r="C46" i="6"/>
  <c r="D46" i="6"/>
  <c r="AL34" i="3"/>
  <c r="C33" i="6"/>
  <c r="D33" i="6"/>
  <c r="N119" i="6"/>
  <c r="N58" i="6"/>
  <c r="N39" i="6"/>
  <c r="E74" i="6"/>
  <c r="E174" i="6"/>
  <c r="T39" i="3"/>
  <c r="T37" i="3"/>
  <c r="V37" i="3"/>
  <c r="AA37" i="3"/>
  <c r="K34" i="3"/>
  <c r="T34" i="3"/>
  <c r="BC32" i="10"/>
  <c r="CH32" i="10"/>
  <c r="K33" i="3"/>
  <c r="T32" i="3"/>
  <c r="V30" i="3"/>
  <c r="AA30" i="3"/>
  <c r="CH26" i="10"/>
  <c r="BC26" i="10"/>
  <c r="AP22" i="5"/>
  <c r="T19" i="3"/>
  <c r="AA18" i="3"/>
  <c r="K16" i="3"/>
  <c r="T16" i="3"/>
  <c r="T15" i="3"/>
  <c r="AA15" i="3"/>
  <c r="T13" i="3"/>
  <c r="AP12" i="5"/>
  <c r="AP11" i="5"/>
  <c r="K11" i="3"/>
  <c r="T11" i="3"/>
  <c r="V11" i="3"/>
  <c r="T10" i="3"/>
  <c r="V10" i="3"/>
  <c r="T9" i="3"/>
  <c r="AA9" i="3"/>
  <c r="AP7" i="5"/>
  <c r="V7" i="3"/>
  <c r="AA7" i="3"/>
  <c r="AP5" i="5"/>
  <c r="J50" i="6"/>
  <c r="G83" i="3"/>
  <c r="D9" i="7"/>
  <c r="D6" i="7"/>
  <c r="R6" i="3"/>
  <c r="R7" i="3"/>
  <c r="R8" i="3"/>
  <c r="R11" i="3"/>
  <c r="R12" i="3"/>
  <c r="R13" i="3"/>
  <c r="R14" i="3"/>
  <c r="R19" i="3"/>
  <c r="R20" i="3"/>
  <c r="R21" i="3"/>
  <c r="R22" i="3"/>
  <c r="R23" i="3"/>
  <c r="R24" i="3"/>
  <c r="R25" i="3"/>
  <c r="R26" i="3"/>
  <c r="R27" i="3"/>
  <c r="AQ149" i="5"/>
  <c r="AQ130" i="5"/>
  <c r="J60" i="6"/>
  <c r="C14" i="7"/>
  <c r="C11" i="7"/>
  <c r="J6" i="6"/>
  <c r="G7" i="7"/>
  <c r="C7" i="7"/>
  <c r="M7" i="7"/>
  <c r="C13" i="7"/>
  <c r="C5" i="7"/>
  <c r="C9" i="7"/>
  <c r="Z149" i="3"/>
  <c r="AQ169" i="5"/>
  <c r="AQ94" i="5"/>
  <c r="AQ48" i="5"/>
  <c r="J98" i="3"/>
  <c r="J141" i="3"/>
  <c r="R17" i="3"/>
  <c r="S174" i="3"/>
  <c r="S119" i="3"/>
  <c r="J103" i="6"/>
  <c r="J111" i="6"/>
  <c r="J121" i="6"/>
  <c r="J127" i="6"/>
  <c r="J134" i="6"/>
  <c r="J143" i="6"/>
  <c r="J152" i="6"/>
  <c r="J158" i="6"/>
  <c r="J164" i="6"/>
  <c r="J171" i="6"/>
  <c r="J9" i="6"/>
  <c r="T136" i="5"/>
  <c r="AL135" i="3"/>
  <c r="S133" i="5"/>
  <c r="AL132" i="3"/>
  <c r="C131" i="6"/>
  <c r="AK129" i="3"/>
  <c r="AL129" i="3"/>
  <c r="AK128" i="3"/>
  <c r="AL128" i="3"/>
  <c r="AP127" i="5"/>
  <c r="S127" i="5"/>
  <c r="AP126" i="5"/>
  <c r="AI127" i="3"/>
  <c r="S125" i="5"/>
  <c r="AK125" i="3"/>
  <c r="AL125" i="3"/>
  <c r="T124" i="5"/>
  <c r="S122" i="5"/>
  <c r="S120" i="5"/>
  <c r="AK120" i="3"/>
  <c r="AL120" i="3"/>
  <c r="AK119" i="3"/>
  <c r="AL119" i="3"/>
  <c r="T118" i="5"/>
  <c r="S116" i="5"/>
  <c r="AI117" i="3"/>
  <c r="S115" i="5"/>
  <c r="S114" i="5"/>
  <c r="AK115" i="3"/>
  <c r="AL115" i="3"/>
  <c r="AK113" i="3"/>
  <c r="AL113" i="3"/>
  <c r="AI112" i="3"/>
  <c r="S109" i="5"/>
  <c r="T109" i="5"/>
  <c r="AI109" i="3"/>
  <c r="S107" i="5"/>
  <c r="AL107" i="3"/>
  <c r="AK106" i="3"/>
  <c r="AL106" i="3"/>
  <c r="AL105" i="3"/>
  <c r="S103" i="5"/>
  <c r="S102" i="5"/>
  <c r="AL103" i="3"/>
  <c r="S101" i="5"/>
  <c r="S100" i="5"/>
  <c r="AP99" i="5"/>
  <c r="AI100" i="3"/>
  <c r="S98" i="5"/>
  <c r="T97" i="5"/>
  <c r="AK97" i="3"/>
  <c r="AL97" i="3"/>
  <c r="T96" i="5"/>
  <c r="S95" i="5"/>
  <c r="S94" i="5"/>
  <c r="S93" i="5"/>
  <c r="AL94" i="3"/>
  <c r="S92" i="5"/>
  <c r="AI92" i="3"/>
  <c r="AL91" i="3"/>
  <c r="C90" i="6"/>
  <c r="AI89" i="3"/>
  <c r="C87" i="6"/>
  <c r="T87" i="5"/>
  <c r="C86" i="6"/>
  <c r="AP85" i="5"/>
  <c r="S85" i="5"/>
  <c r="AL84" i="3"/>
  <c r="S83" i="5"/>
  <c r="AK83" i="3"/>
  <c r="T81" i="5"/>
  <c r="C81" i="6"/>
  <c r="AL80" i="3"/>
  <c r="C79" i="6"/>
  <c r="AK78" i="3"/>
  <c r="AL78" i="3"/>
  <c r="C77" i="6"/>
  <c r="S73" i="5"/>
  <c r="C73" i="6"/>
  <c r="AI71" i="3"/>
  <c r="AL69" i="3"/>
  <c r="T63" i="5"/>
  <c r="S61" i="5"/>
  <c r="C59" i="6"/>
  <c r="AK57" i="3"/>
  <c r="AL57" i="3"/>
  <c r="AK55" i="3"/>
  <c r="AL55" i="3"/>
  <c r="AP13" i="5"/>
  <c r="S13" i="5"/>
  <c r="AI13" i="3"/>
  <c r="AL12" i="3"/>
  <c r="C11" i="6"/>
  <c r="AC80" i="3"/>
  <c r="V81" i="3"/>
  <c r="AC81" i="3"/>
  <c r="AB4" i="3"/>
  <c r="AC5" i="3"/>
  <c r="AB7" i="3"/>
  <c r="AB9" i="3"/>
  <c r="AC11" i="3"/>
  <c r="AC13" i="3"/>
  <c r="AC15" i="3"/>
  <c r="AB18" i="3"/>
  <c r="AB22" i="3"/>
  <c r="AB25" i="3"/>
  <c r="AB28" i="3"/>
  <c r="AC31" i="3"/>
  <c r="Z34" i="3"/>
  <c r="AC34" i="3"/>
  <c r="Z37" i="3"/>
  <c r="AB43" i="3"/>
  <c r="Z48" i="3"/>
  <c r="AB48" i="3"/>
  <c r="AB53" i="3"/>
  <c r="Z60" i="3"/>
  <c r="AC60" i="3"/>
  <c r="AB67" i="3"/>
  <c r="AC69" i="3"/>
  <c r="AC72" i="3"/>
  <c r="Z76" i="3"/>
  <c r="AC76" i="3"/>
  <c r="AB79" i="3"/>
  <c r="AB84" i="3"/>
  <c r="AB88" i="3"/>
  <c r="AB98" i="3"/>
  <c r="Z104" i="3"/>
  <c r="AB104" i="3"/>
  <c r="AC107" i="3"/>
  <c r="Z112" i="3"/>
  <c r="AB118" i="3"/>
  <c r="AB121" i="3"/>
  <c r="AB123" i="3"/>
  <c r="AB126" i="3"/>
  <c r="AB128" i="3"/>
  <c r="AC129" i="3"/>
  <c r="AB133" i="3"/>
  <c r="AB136" i="3"/>
  <c r="AB138" i="3"/>
  <c r="AB141" i="3"/>
  <c r="AB143" i="3"/>
  <c r="AC147" i="3"/>
  <c r="AB150" i="3"/>
  <c r="AB152" i="3"/>
  <c r="AB157" i="3"/>
  <c r="Z160" i="3"/>
  <c r="AB160" i="3"/>
  <c r="Z163" i="3"/>
  <c r="AB163" i="3"/>
  <c r="Z165" i="3"/>
  <c r="AC165" i="3"/>
  <c r="AB167" i="3"/>
  <c r="AB174" i="3"/>
  <c r="AB175" i="3"/>
  <c r="AA176" i="3"/>
  <c r="AC172" i="3"/>
  <c r="V106" i="3"/>
  <c r="AC106" i="3"/>
  <c r="AA105" i="3"/>
  <c r="AC102" i="3"/>
  <c r="AA96" i="3"/>
  <c r="AA114" i="3"/>
  <c r="AC104" i="3"/>
  <c r="AA100" i="3"/>
  <c r="Z97" i="3"/>
  <c r="AC97" i="3"/>
  <c r="AC93" i="3"/>
  <c r="AA90" i="3"/>
  <c r="AC58" i="3"/>
  <c r="V51" i="3"/>
  <c r="AA48" i="3"/>
  <c r="AA45" i="3"/>
  <c r="AL173" i="3"/>
  <c r="S170" i="5"/>
  <c r="S166" i="5"/>
  <c r="AI166" i="3"/>
  <c r="D136" i="6"/>
  <c r="D135" i="6"/>
  <c r="C134" i="6"/>
  <c r="D134" i="6"/>
  <c r="D133" i="6"/>
  <c r="D132" i="6"/>
  <c r="D130" i="6"/>
  <c r="D129" i="6"/>
  <c r="C128" i="6"/>
  <c r="D128" i="6"/>
  <c r="C127" i="6"/>
  <c r="D127" i="6"/>
  <c r="D125" i="6"/>
  <c r="C124" i="6"/>
  <c r="D124" i="6"/>
  <c r="C123" i="6"/>
  <c r="C122" i="6"/>
  <c r="D120" i="6"/>
  <c r="C119" i="6"/>
  <c r="C118" i="6"/>
  <c r="C117" i="6"/>
  <c r="D117" i="6"/>
  <c r="AL117" i="3"/>
  <c r="C116" i="6"/>
  <c r="D116" i="6"/>
  <c r="C114" i="6"/>
  <c r="C112" i="6"/>
  <c r="D111" i="6"/>
  <c r="C109" i="6"/>
  <c r="C107" i="6"/>
  <c r="D107" i="6"/>
  <c r="C105" i="6"/>
  <c r="C103" i="6"/>
  <c r="AL100" i="3"/>
  <c r="C99" i="6"/>
  <c r="D99" i="6"/>
  <c r="C93" i="6"/>
  <c r="D93" i="6"/>
  <c r="D90" i="6"/>
  <c r="D88" i="6"/>
  <c r="C83" i="6"/>
  <c r="D81" i="6"/>
  <c r="D73" i="6"/>
  <c r="C64" i="6"/>
  <c r="C57" i="6"/>
  <c r="D49" i="6"/>
  <c r="D42" i="6"/>
  <c r="AL40" i="3"/>
  <c r="C39" i="6"/>
  <c r="D39" i="6"/>
  <c r="C38" i="6"/>
  <c r="D34" i="6"/>
  <c r="D29" i="6"/>
  <c r="AK28" i="3"/>
  <c r="AL28" i="3"/>
  <c r="C27" i="6"/>
  <c r="D27" i="6"/>
  <c r="AL26" i="3"/>
  <c r="C25" i="6"/>
  <c r="C22" i="6"/>
  <c r="AC151" i="3"/>
  <c r="N150" i="6"/>
  <c r="AC170" i="3"/>
  <c r="N169" i="6"/>
  <c r="N156" i="6"/>
  <c r="D176" i="6"/>
  <c r="C172" i="6"/>
  <c r="D172" i="6"/>
  <c r="D170" i="6"/>
  <c r="AL169" i="3"/>
  <c r="C168" i="6"/>
  <c r="D168" i="6"/>
  <c r="C161" i="6"/>
  <c r="D161" i="6"/>
  <c r="D158" i="6"/>
  <c r="AK154" i="3"/>
  <c r="AL154" i="3"/>
  <c r="C153" i="6"/>
  <c r="D153" i="6"/>
  <c r="D149" i="6"/>
  <c r="D146" i="6"/>
  <c r="D143" i="6"/>
  <c r="AK140" i="3"/>
  <c r="AL140" i="3"/>
  <c r="C139" i="6"/>
  <c r="AK22" i="3"/>
  <c r="AL22" i="3"/>
  <c r="C21" i="6"/>
  <c r="C20" i="6"/>
  <c r="AL20" i="3"/>
  <c r="AK16" i="3"/>
  <c r="AL16" i="3"/>
  <c r="D14" i="6"/>
  <c r="D11" i="6"/>
  <c r="N163" i="6"/>
  <c r="AC160" i="3"/>
  <c r="N159" i="6"/>
  <c r="AC144" i="3"/>
  <c r="AC141" i="3"/>
  <c r="N140" i="6"/>
  <c r="N136" i="6"/>
  <c r="Z135" i="3"/>
  <c r="AC135" i="3"/>
  <c r="Z134" i="3"/>
  <c r="AC134" i="3"/>
  <c r="N133" i="6"/>
  <c r="AC131" i="3"/>
  <c r="N128" i="6"/>
  <c r="AC127" i="3"/>
  <c r="N125" i="6"/>
  <c r="AC124" i="3"/>
  <c r="AC123" i="3"/>
  <c r="N122" i="6"/>
  <c r="Z113" i="3"/>
  <c r="AC113" i="3"/>
  <c r="N112" i="6"/>
  <c r="N109" i="6"/>
  <c r="N106" i="6"/>
  <c r="AC103" i="3"/>
  <c r="N102" i="6"/>
  <c r="AC101" i="3"/>
  <c r="N100" i="6"/>
  <c r="N96" i="6"/>
  <c r="N19" i="6"/>
  <c r="N13" i="6"/>
  <c r="N3" i="6"/>
  <c r="AC94" i="3"/>
  <c r="N93" i="6"/>
  <c r="N92" i="6"/>
  <c r="N86" i="6"/>
  <c r="N34" i="6"/>
  <c r="N168" i="6"/>
  <c r="AC85" i="3"/>
  <c r="N78" i="6"/>
  <c r="N75" i="6"/>
  <c r="N70" i="6"/>
  <c r="AC68" i="3"/>
  <c r="N65" i="6"/>
  <c r="AC64" i="3"/>
  <c r="N61" i="6"/>
  <c r="N57" i="6"/>
  <c r="AC44" i="3"/>
  <c r="N40" i="6"/>
  <c r="N28" i="6"/>
  <c r="N22" i="6"/>
  <c r="N16" i="6"/>
  <c r="N8" i="6"/>
  <c r="N115" i="6"/>
  <c r="H30" i="7"/>
  <c r="AI6" i="3"/>
  <c r="D32" i="7"/>
  <c r="AK4" i="3"/>
  <c r="AL4" i="3"/>
  <c r="E30" i="7"/>
  <c r="AC150" i="3"/>
  <c r="AC149" i="3"/>
  <c r="N148" i="6"/>
  <c r="AC167" i="3"/>
  <c r="AC153" i="3"/>
  <c r="AL166" i="3"/>
  <c r="C165" i="6"/>
  <c r="D165" i="6"/>
  <c r="C162" i="6"/>
  <c r="D157" i="6"/>
  <c r="D154" i="6"/>
  <c r="C147" i="6"/>
  <c r="D138" i="6"/>
  <c r="AL178" i="3"/>
  <c r="E29" i="6"/>
  <c r="E11" i="6"/>
  <c r="E44" i="6"/>
  <c r="E99" i="6"/>
  <c r="E108" i="6"/>
  <c r="E116" i="6"/>
  <c r="E131" i="6"/>
  <c r="E83" i="6"/>
  <c r="E86" i="6"/>
  <c r="E88" i="6"/>
  <c r="E90" i="6"/>
  <c r="E92" i="6"/>
  <c r="C94" i="6"/>
  <c r="E94" i="6"/>
  <c r="E105" i="6"/>
  <c r="E109" i="6"/>
  <c r="E114" i="6"/>
  <c r="E117" i="6"/>
  <c r="E119" i="6"/>
  <c r="E123" i="6"/>
  <c r="E127" i="6"/>
  <c r="E130" i="6"/>
  <c r="E136" i="6"/>
  <c r="E152" i="6"/>
  <c r="E162" i="6"/>
  <c r="E166" i="6"/>
  <c r="AL71" i="3"/>
  <c r="C70" i="6"/>
  <c r="E70" i="6"/>
  <c r="E75" i="6"/>
  <c r="E79" i="6"/>
  <c r="E81" i="6"/>
  <c r="E147" i="6"/>
  <c r="E153" i="6"/>
  <c r="E159" i="6"/>
  <c r="AL168" i="3"/>
  <c r="C167" i="6"/>
  <c r="E167" i="6"/>
  <c r="E176" i="6"/>
  <c r="B34" i="7"/>
  <c r="CD158" i="10"/>
  <c r="AY158" i="10"/>
  <c r="T158" i="10"/>
  <c r="M13" i="7"/>
  <c r="M12" i="7"/>
  <c r="C16" i="7"/>
  <c r="M16" i="7"/>
  <c r="V84" i="3"/>
  <c r="AB8" i="3"/>
  <c r="AC12" i="3"/>
  <c r="AB29" i="3"/>
  <c r="AB46" i="3"/>
  <c r="AB55" i="3"/>
  <c r="AC63" i="3"/>
  <c r="AB70" i="3"/>
  <c r="AB75" i="3"/>
  <c r="Z78" i="3"/>
  <c r="AC78" i="3"/>
  <c r="AB94" i="3"/>
  <c r="AB107" i="3"/>
  <c r="AB116" i="3"/>
  <c r="AB122" i="3"/>
  <c r="Z132" i="3"/>
  <c r="AB132" i="3"/>
  <c r="AC145" i="3"/>
  <c r="AC152" i="3"/>
  <c r="AC163" i="3"/>
  <c r="V177" i="3"/>
  <c r="AC173" i="3"/>
  <c r="AA98" i="3"/>
  <c r="AC95" i="3"/>
  <c r="AC89" i="3"/>
  <c r="AC55" i="3"/>
  <c r="AC50" i="3"/>
  <c r="S175" i="5"/>
  <c r="T175" i="5"/>
  <c r="S168" i="5"/>
  <c r="AI82" i="3"/>
  <c r="AP77" i="5"/>
  <c r="S77" i="5"/>
  <c r="S75" i="5"/>
  <c r="AP72" i="5"/>
  <c r="S72" i="5"/>
  <c r="S70" i="5"/>
  <c r="AK70" i="3"/>
  <c r="AL70" i="3"/>
  <c r="S68" i="5"/>
  <c r="C67" i="6"/>
  <c r="AL66" i="3"/>
  <c r="S64" i="5"/>
  <c r="AP62" i="5"/>
  <c r="S62" i="5"/>
  <c r="C60" i="6"/>
  <c r="AI59" i="3"/>
  <c r="AP52" i="5"/>
  <c r="S52" i="5"/>
  <c r="C52" i="6"/>
  <c r="AK51" i="3"/>
  <c r="AL51" i="3"/>
  <c r="AP49" i="5"/>
  <c r="S49" i="5"/>
  <c r="C48" i="6"/>
  <c r="AI45" i="3"/>
  <c r="C43" i="6"/>
  <c r="T42" i="5"/>
  <c r="AL42" i="3"/>
  <c r="S39" i="5"/>
  <c r="AP38" i="5"/>
  <c r="S38" i="5"/>
  <c r="C37" i="6"/>
  <c r="S36" i="5"/>
  <c r="AI35" i="3"/>
  <c r="C32" i="6"/>
  <c r="AL31" i="3"/>
  <c r="AI30" i="3"/>
  <c r="C28" i="6"/>
  <c r="T26" i="5"/>
  <c r="C24" i="6"/>
  <c r="AI23" i="3"/>
  <c r="S19" i="5"/>
  <c r="T19" i="5"/>
  <c r="C18" i="6"/>
  <c r="S15" i="5"/>
  <c r="X13" i="10"/>
  <c r="X29" i="10"/>
  <c r="X66" i="10"/>
  <c r="X92" i="10"/>
  <c r="X122" i="10"/>
  <c r="X140" i="10"/>
  <c r="X146" i="10"/>
  <c r="X159" i="10"/>
  <c r="X167" i="10"/>
  <c r="W60" i="10"/>
  <c r="W102" i="10"/>
  <c r="W120" i="10"/>
  <c r="W136" i="10"/>
  <c r="W159" i="10"/>
  <c r="X21" i="10"/>
  <c r="X104" i="10"/>
  <c r="X127" i="10"/>
  <c r="X163" i="10"/>
  <c r="W22" i="10"/>
  <c r="W44" i="10"/>
  <c r="W61" i="10"/>
  <c r="W76" i="10"/>
  <c r="W82" i="10"/>
  <c r="W89" i="10"/>
  <c r="W97" i="10"/>
  <c r="W116" i="10"/>
  <c r="W160" i="10"/>
  <c r="X18" i="10"/>
  <c r="X41" i="10"/>
  <c r="X72" i="10"/>
  <c r="X82" i="10"/>
  <c r="X144" i="10"/>
  <c r="X176" i="10"/>
  <c r="W27" i="10"/>
  <c r="W161" i="10"/>
  <c r="AQ109" i="5"/>
  <c r="AQ76" i="5"/>
  <c r="AQ37" i="5"/>
  <c r="B185" i="3"/>
  <c r="C185" i="3"/>
  <c r="S125" i="3"/>
  <c r="S120" i="3"/>
  <c r="S82" i="3"/>
  <c r="J46" i="3"/>
  <c r="S46" i="3"/>
  <c r="S33" i="3"/>
  <c r="Q177" i="3"/>
  <c r="P176" i="3"/>
  <c r="P173" i="3"/>
  <c r="Q171" i="3"/>
  <c r="G159" i="3"/>
  <c r="P154" i="3"/>
  <c r="P152" i="3"/>
  <c r="T145" i="10"/>
  <c r="CD145" i="10"/>
  <c r="AY145" i="10"/>
  <c r="G146" i="3"/>
  <c r="Q139" i="3"/>
  <c r="P133" i="3"/>
  <c r="T117" i="10"/>
  <c r="CD117" i="10"/>
  <c r="AY117" i="10"/>
  <c r="G118" i="3"/>
  <c r="Q118" i="3"/>
  <c r="P90" i="3"/>
  <c r="T85" i="10"/>
  <c r="CD85" i="10"/>
  <c r="AY85" i="10"/>
  <c r="G86" i="3"/>
  <c r="P70" i="3"/>
  <c r="T58" i="10"/>
  <c r="CD58" i="10"/>
  <c r="AY58" i="10"/>
  <c r="G59" i="3"/>
  <c r="P52" i="3"/>
  <c r="P34" i="3"/>
  <c r="P25" i="3"/>
  <c r="AQ117" i="5"/>
  <c r="AQ98" i="5"/>
  <c r="AQ51" i="5"/>
  <c r="R62" i="3"/>
  <c r="S169" i="3"/>
  <c r="S163" i="3"/>
  <c r="S117" i="3"/>
  <c r="J114" i="6"/>
  <c r="J138" i="6"/>
  <c r="J145" i="6"/>
  <c r="J167" i="6"/>
  <c r="J170" i="6"/>
  <c r="J13" i="6"/>
  <c r="J32" i="6"/>
  <c r="J40" i="6"/>
  <c r="J62" i="6"/>
  <c r="J72" i="6"/>
  <c r="J84" i="6"/>
  <c r="J91" i="6"/>
  <c r="J101" i="6"/>
  <c r="AP161" i="5"/>
  <c r="S161" i="5"/>
  <c r="AP159" i="5"/>
  <c r="S159" i="5"/>
  <c r="AI158" i="3"/>
  <c r="S155" i="5"/>
  <c r="S154" i="5"/>
  <c r="AP153" i="5"/>
  <c r="S153" i="5"/>
  <c r="T151" i="5"/>
  <c r="S148" i="5"/>
  <c r="AI148" i="3"/>
  <c r="F30" i="7"/>
  <c r="S173" i="5"/>
  <c r="T173" i="5"/>
  <c r="S145" i="5"/>
  <c r="T143" i="5"/>
  <c r="AI141" i="3"/>
  <c r="AI140" i="3"/>
  <c r="AI135" i="3"/>
  <c r="T133" i="5"/>
  <c r="AI132" i="3"/>
  <c r="AI130" i="3"/>
  <c r="AI125" i="3"/>
  <c r="T122" i="5"/>
  <c r="AI123" i="3"/>
  <c r="AI120" i="3"/>
  <c r="AI114" i="3"/>
  <c r="T112" i="5"/>
  <c r="S110" i="5"/>
  <c r="AI110" i="3"/>
  <c r="T106" i="5"/>
  <c r="S104" i="5"/>
  <c r="AI101" i="3"/>
  <c r="AI96" i="3"/>
  <c r="T93" i="5"/>
  <c r="AI91" i="3"/>
  <c r="T86" i="5"/>
  <c r="T77" i="5"/>
  <c r="AP74" i="5"/>
  <c r="S74" i="5"/>
  <c r="T73" i="5"/>
  <c r="AI70" i="3"/>
  <c r="AI63" i="3"/>
  <c r="AI57" i="3"/>
  <c r="AI55" i="3"/>
  <c r="AI47" i="3"/>
  <c r="AP45" i="5"/>
  <c r="AI46" i="3"/>
  <c r="T36" i="5"/>
  <c r="AP31" i="5"/>
  <c r="AI32" i="3"/>
  <c r="AI22" i="3"/>
  <c r="AI18" i="3"/>
  <c r="T15" i="5"/>
  <c r="X4" i="10"/>
  <c r="X44" i="10"/>
  <c r="X63" i="10"/>
  <c r="X109" i="10"/>
  <c r="X118" i="10"/>
  <c r="X139" i="10"/>
  <c r="X58" i="10"/>
  <c r="X94" i="10"/>
  <c r="X116" i="10"/>
  <c r="X130" i="10"/>
  <c r="X34" i="10"/>
  <c r="X132" i="10"/>
  <c r="X155" i="10"/>
  <c r="AQ171" i="5"/>
  <c r="AQ92" i="5"/>
  <c r="AQ45" i="5"/>
  <c r="R122" i="3"/>
  <c r="S123" i="3"/>
  <c r="AI162" i="3"/>
  <c r="AI156" i="3"/>
  <c r="AI152" i="3"/>
  <c r="AI149" i="3"/>
  <c r="AB34" i="3"/>
  <c r="AB85" i="3"/>
  <c r="AB130" i="3"/>
  <c r="AI177" i="3"/>
  <c r="T142" i="5"/>
  <c r="T134" i="5"/>
  <c r="AI128" i="3"/>
  <c r="T116" i="5"/>
  <c r="T107" i="5"/>
  <c r="AI105" i="3"/>
  <c r="T101" i="5"/>
  <c r="AI86" i="3"/>
  <c r="T80" i="5"/>
  <c r="AI67" i="3"/>
  <c r="B198" i="3"/>
  <c r="AI48" i="3"/>
  <c r="T44" i="5"/>
  <c r="AI37" i="3"/>
  <c r="AP28" i="5"/>
  <c r="AI29" i="3"/>
  <c r="AI25" i="3"/>
  <c r="AI19" i="3"/>
  <c r="C30" i="7"/>
  <c r="N107" i="6"/>
  <c r="N66" i="6"/>
  <c r="N49" i="6"/>
  <c r="N144" i="6"/>
  <c r="N151" i="6"/>
  <c r="E32" i="6"/>
  <c r="E33" i="6"/>
  <c r="E46" i="6"/>
  <c r="E51" i="6"/>
  <c r="C54" i="6"/>
  <c r="E54" i="6"/>
  <c r="E67" i="6"/>
  <c r="C69" i="6"/>
  <c r="E69" i="6"/>
  <c r="E78" i="6"/>
  <c r="AL83" i="3"/>
  <c r="C82" i="6"/>
  <c r="AI80" i="3"/>
  <c r="AI79" i="3"/>
  <c r="AI77" i="3"/>
  <c r="AI75" i="3"/>
  <c r="C72" i="6"/>
  <c r="C68" i="6"/>
  <c r="AL63" i="3"/>
  <c r="S60" i="5"/>
  <c r="AP57" i="5"/>
  <c r="S57" i="5"/>
  <c r="S53" i="5"/>
  <c r="T13" i="5"/>
  <c r="C12" i="6"/>
  <c r="S12" i="5"/>
  <c r="S11" i="5"/>
  <c r="AI12" i="3"/>
  <c r="AP10" i="5"/>
  <c r="S10" i="5"/>
  <c r="T10" i="5"/>
  <c r="AI11" i="3"/>
  <c r="AL11" i="3"/>
  <c r="C10" i="6"/>
  <c r="AK10" i="3"/>
  <c r="AL10" i="3"/>
  <c r="C9" i="6"/>
  <c r="AI9" i="3"/>
  <c r="C8" i="6"/>
  <c r="S7" i="5"/>
  <c r="AL8" i="3"/>
  <c r="C7" i="6"/>
  <c r="S5" i="5"/>
  <c r="T5" i="5"/>
  <c r="S4" i="5"/>
  <c r="T4" i="5"/>
  <c r="S3" i="5"/>
  <c r="V39" i="3"/>
  <c r="V116" i="3"/>
  <c r="AA116" i="3"/>
  <c r="Z54" i="3"/>
  <c r="AC54" i="3"/>
  <c r="AK5" i="3"/>
  <c r="J116" i="3"/>
  <c r="R116" i="3"/>
  <c r="Z119" i="3"/>
  <c r="AC119" i="3"/>
  <c r="AA111" i="3"/>
  <c r="M17" i="7"/>
  <c r="M6" i="7"/>
  <c r="C4" i="7"/>
  <c r="M4" i="7"/>
  <c r="M14" i="7"/>
  <c r="V83" i="3"/>
  <c r="AA83" i="3"/>
  <c r="AC83" i="3"/>
  <c r="V82" i="3"/>
  <c r="AA82" i="3"/>
  <c r="AC82" i="3"/>
  <c r="V80" i="3"/>
  <c r="AA80" i="3"/>
  <c r="AA81" i="3"/>
  <c r="AB5" i="3"/>
  <c r="AC6" i="3"/>
  <c r="AC8" i="3"/>
  <c r="AB10" i="3"/>
  <c r="AB12" i="3"/>
  <c r="AB14" i="3"/>
  <c r="AB16" i="3"/>
  <c r="Z19" i="3"/>
  <c r="AC21" i="3"/>
  <c r="AC24" i="3"/>
  <c r="AC27" i="3"/>
  <c r="AC30" i="3"/>
  <c r="Z33" i="3"/>
  <c r="AB36" i="3"/>
  <c r="Z38" i="3"/>
  <c r="AB38" i="3"/>
  <c r="AB41" i="3"/>
  <c r="Z45" i="3"/>
  <c r="AB45" i="3"/>
  <c r="Z56" i="3"/>
  <c r="AB56" i="3"/>
  <c r="AB60" i="3"/>
  <c r="AB63" i="3"/>
  <c r="Z65" i="3"/>
  <c r="AB65" i="3"/>
  <c r="AB68" i="3"/>
  <c r="AC70" i="3"/>
  <c r="AC73" i="3"/>
  <c r="AC75" i="3"/>
  <c r="AB78" i="3"/>
  <c r="AB82" i="3"/>
  <c r="AB90" i="3"/>
  <c r="AB93" i="3"/>
  <c r="AB100" i="3"/>
  <c r="AB110" i="3"/>
  <c r="AB112" i="3"/>
  <c r="AB131" i="3"/>
  <c r="AB135" i="3"/>
  <c r="AB137" i="3"/>
  <c r="AC139" i="3"/>
  <c r="AB142" i="3"/>
  <c r="AB145" i="3"/>
  <c r="AC148" i="3"/>
  <c r="AC154" i="3"/>
  <c r="AB156" i="3"/>
  <c r="AB159" i="3"/>
  <c r="AC161" i="3"/>
  <c r="AB164" i="3"/>
  <c r="AC166" i="3"/>
  <c r="AB170" i="3"/>
  <c r="AB177" i="3"/>
  <c r="Z176" i="3"/>
  <c r="AC176" i="3"/>
  <c r="V174" i="3"/>
  <c r="AA174" i="3"/>
  <c r="V171" i="3"/>
  <c r="AC171" i="3"/>
  <c r="AC168" i="3"/>
  <c r="V156" i="3"/>
  <c r="AC156" i="3"/>
  <c r="AA106" i="3"/>
  <c r="V102" i="3"/>
  <c r="AA102" i="3"/>
  <c r="V92" i="3"/>
  <c r="AC92" i="3"/>
  <c r="AC114" i="3"/>
  <c r="AA112" i="3"/>
  <c r="AC100" i="3"/>
  <c r="V97" i="3"/>
  <c r="AA93" i="3"/>
  <c r="AC88" i="3"/>
  <c r="V86" i="3"/>
  <c r="V58" i="3"/>
  <c r="V56" i="3"/>
  <c r="AC56" i="3"/>
  <c r="AA53" i="3"/>
  <c r="AC51" i="3"/>
  <c r="V46" i="3"/>
  <c r="AA46" i="3"/>
  <c r="AC132" i="3"/>
  <c r="S176" i="5"/>
  <c r="AK176" i="3"/>
  <c r="AL176" i="3"/>
  <c r="AP174" i="5"/>
  <c r="S174" i="5"/>
  <c r="AI174" i="3"/>
  <c r="AP172" i="5"/>
  <c r="AI173" i="3"/>
  <c r="S171" i="5"/>
  <c r="T170" i="5"/>
  <c r="AL170" i="3"/>
  <c r="T167" i="5"/>
  <c r="AI165" i="3"/>
  <c r="C164" i="6"/>
  <c r="C32" i="7"/>
  <c r="C113" i="6"/>
  <c r="C110" i="6"/>
  <c r="D109" i="6"/>
  <c r="C106" i="6"/>
  <c r="C104" i="6"/>
  <c r="C102" i="6"/>
  <c r="AK102" i="3"/>
  <c r="AL102" i="3"/>
  <c r="C100" i="6"/>
  <c r="C97" i="6"/>
  <c r="C96" i="6"/>
  <c r="C95" i="6"/>
  <c r="D94" i="6"/>
  <c r="D91" i="6"/>
  <c r="D87" i="6"/>
  <c r="C85" i="6"/>
  <c r="D83" i="6"/>
  <c r="C80" i="6"/>
  <c r="D77" i="6"/>
  <c r="D72" i="6"/>
  <c r="C71" i="6"/>
  <c r="D70" i="6"/>
  <c r="AK67" i="3"/>
  <c r="AL67" i="3"/>
  <c r="C66" i="6"/>
  <c r="D66" i="6"/>
  <c r="D64" i="6"/>
  <c r="D59" i="6"/>
  <c r="D58" i="6"/>
  <c r="C56" i="6"/>
  <c r="C55" i="6"/>
  <c r="AK46" i="3"/>
  <c r="AL46" i="3"/>
  <c r="D36" i="6"/>
  <c r="D31" i="6"/>
  <c r="AK27" i="3"/>
  <c r="AL27" i="3"/>
  <c r="C26" i="6"/>
  <c r="D26" i="6"/>
  <c r="D25" i="6"/>
  <c r="AL24" i="3"/>
  <c r="C23" i="6"/>
  <c r="D22" i="6"/>
  <c r="AC45" i="3"/>
  <c r="G30" i="7"/>
  <c r="D20" i="6"/>
  <c r="C19" i="6"/>
  <c r="D16" i="6"/>
  <c r="C15" i="6"/>
  <c r="D13" i="6"/>
  <c r="D10" i="6"/>
  <c r="D8" i="6"/>
  <c r="D6" i="6"/>
  <c r="N161" i="6"/>
  <c r="AC159" i="3"/>
  <c r="N143" i="6"/>
  <c r="N138" i="6"/>
  <c r="N137" i="6"/>
  <c r="AC136" i="3"/>
  <c r="N131" i="6"/>
  <c r="N130" i="6"/>
  <c r="N126" i="6"/>
  <c r="AC125" i="3"/>
  <c r="N123" i="6"/>
  <c r="AC121" i="3"/>
  <c r="N120" i="6"/>
  <c r="AC117" i="3"/>
  <c r="AC112" i="3"/>
  <c r="N111" i="6"/>
  <c r="AC109" i="3"/>
  <c r="N105" i="6"/>
  <c r="N99" i="6"/>
  <c r="N97" i="6"/>
  <c r="N95" i="6"/>
  <c r="N17" i="6"/>
  <c r="N9" i="6"/>
  <c r="N5" i="6"/>
  <c r="Z178" i="3"/>
  <c r="N41" i="6"/>
  <c r="N30" i="6"/>
  <c r="N84" i="6"/>
  <c r="N82" i="6"/>
  <c r="N79" i="6"/>
  <c r="N76" i="6"/>
  <c r="N74" i="6"/>
  <c r="N71" i="6"/>
  <c r="N68" i="6"/>
  <c r="AC65" i="3"/>
  <c r="N63" i="6"/>
  <c r="N59" i="6"/>
  <c r="N52" i="6"/>
  <c r="AC47" i="3"/>
  <c r="N46" i="6"/>
  <c r="N43" i="6"/>
  <c r="AC38" i="3"/>
  <c r="AC36" i="3"/>
  <c r="N31" i="6"/>
  <c r="N25" i="6"/>
  <c r="N23" i="6"/>
  <c r="N20" i="6"/>
  <c r="N14" i="6"/>
  <c r="N10" i="6"/>
  <c r="N6" i="6"/>
  <c r="H32" i="7"/>
  <c r="AC48" i="3"/>
  <c r="N47" i="6"/>
  <c r="AA5" i="3"/>
  <c r="G31" i="7"/>
  <c r="AL5" i="3"/>
  <c r="E31" i="7"/>
  <c r="D30" i="7"/>
  <c r="N149" i="6"/>
  <c r="N146" i="6"/>
  <c r="N164" i="6"/>
  <c r="AC177" i="3"/>
  <c r="N145" i="6"/>
  <c r="N173" i="6"/>
  <c r="AK172" i="3"/>
  <c r="AL172" i="3"/>
  <c r="C171" i="6"/>
  <c r="D167" i="6"/>
  <c r="D162" i="6"/>
  <c r="D156" i="6"/>
  <c r="D150" i="6"/>
  <c r="D147" i="6"/>
  <c r="C145" i="6"/>
  <c r="C144" i="6"/>
  <c r="AK143" i="3"/>
  <c r="AL143" i="3"/>
  <c r="C142" i="6"/>
  <c r="D140" i="6"/>
  <c r="D137" i="6"/>
  <c r="C5" i="6"/>
  <c r="C4" i="6"/>
  <c r="C3" i="6"/>
  <c r="E27" i="6"/>
  <c r="E7" i="6"/>
  <c r="E23" i="6"/>
  <c r="E39" i="6"/>
  <c r="E36" i="6"/>
  <c r="C45" i="6"/>
  <c r="E45" i="6"/>
  <c r="E102" i="6"/>
  <c r="E106" i="6"/>
  <c r="E110" i="6"/>
  <c r="E112" i="6"/>
  <c r="E122" i="6"/>
  <c r="E126" i="6"/>
  <c r="E135" i="6"/>
  <c r="E139" i="6"/>
  <c r="E143" i="6"/>
  <c r="E148" i="6"/>
  <c r="E154" i="6"/>
  <c r="E161" i="6"/>
  <c r="E164" i="6"/>
  <c r="E170" i="6"/>
  <c r="D3" i="6"/>
  <c r="E55" i="6"/>
  <c r="E56" i="6"/>
  <c r="E57" i="6"/>
  <c r="E58" i="6"/>
  <c r="E59" i="6"/>
  <c r="E64" i="6"/>
  <c r="E66" i="6"/>
  <c r="E84" i="6"/>
  <c r="E85" i="6"/>
  <c r="E87" i="6"/>
  <c r="E89" i="6"/>
  <c r="E91" i="6"/>
  <c r="E93" i="6"/>
  <c r="E95" i="6"/>
  <c r="E96" i="6"/>
  <c r="E98" i="6"/>
  <c r="E103" i="6"/>
  <c r="E107" i="6"/>
  <c r="E111" i="6"/>
  <c r="E115" i="6"/>
  <c r="E118" i="6"/>
  <c r="E124" i="6"/>
  <c r="E128" i="6"/>
  <c r="E134" i="6"/>
  <c r="E140" i="6"/>
  <c r="E144" i="6"/>
  <c r="E149" i="6"/>
  <c r="E160" i="6"/>
  <c r="E165" i="6"/>
  <c r="E172" i="6"/>
  <c r="B183" i="6"/>
  <c r="E12" i="6"/>
  <c r="E21" i="6"/>
  <c r="CD30" i="10"/>
  <c r="AY30" i="10"/>
  <c r="T30" i="10"/>
  <c r="T66" i="10"/>
  <c r="CD66" i="10"/>
  <c r="AY66" i="10"/>
  <c r="AY77" i="10"/>
  <c r="T77" i="10"/>
  <c r="CD77" i="10"/>
  <c r="T21" i="10"/>
  <c r="CD21" i="10"/>
  <c r="AY21" i="10"/>
  <c r="AY53" i="10"/>
  <c r="T53" i="10"/>
  <c r="CD53" i="10"/>
  <c r="T75" i="10"/>
  <c r="CD75" i="10"/>
  <c r="AY75" i="10"/>
  <c r="M5" i="7"/>
  <c r="M11" i="7"/>
  <c r="AA84" i="3"/>
  <c r="AC16" i="3"/>
  <c r="AC37" i="3"/>
  <c r="AC43" i="3"/>
  <c r="V170" i="3"/>
  <c r="AC155" i="3"/>
  <c r="V118" i="3"/>
  <c r="AA118" i="3"/>
  <c r="AC99" i="3"/>
  <c r="AC91" i="3"/>
  <c r="AC57" i="3"/>
  <c r="AC52" i="3"/>
  <c r="V61" i="3"/>
  <c r="AA61" i="3"/>
  <c r="S172" i="5"/>
  <c r="AI84" i="3"/>
  <c r="AL77" i="3"/>
  <c r="S76" i="5"/>
  <c r="AI74" i="3"/>
  <c r="S69" i="5"/>
  <c r="T68" i="5"/>
  <c r="AP67" i="5"/>
  <c r="S67" i="5"/>
  <c r="S66" i="5"/>
  <c r="C65" i="6"/>
  <c r="T64" i="5"/>
  <c r="C63" i="6"/>
  <c r="C61" i="6"/>
  <c r="AI60" i="3"/>
  <c r="T56" i="5"/>
  <c r="T52" i="5"/>
  <c r="AI51" i="3"/>
  <c r="AI50" i="3"/>
  <c r="S48" i="5"/>
  <c r="AL48" i="3"/>
  <c r="S45" i="5"/>
  <c r="AI44" i="3"/>
  <c r="AI43" i="3"/>
  <c r="AP41" i="5"/>
  <c r="S41" i="5"/>
  <c r="C41" i="6"/>
  <c r="AI39" i="3"/>
  <c r="S37" i="5"/>
  <c r="S35" i="5"/>
  <c r="S34" i="5"/>
  <c r="S31" i="5"/>
  <c r="C30" i="6"/>
  <c r="T29" i="5"/>
  <c r="S27" i="5"/>
  <c r="AI26" i="3"/>
  <c r="S23" i="5"/>
  <c r="AP20" i="5"/>
  <c r="AI21" i="3"/>
  <c r="T18" i="5"/>
  <c r="C17" i="6"/>
  <c r="AI14" i="3"/>
  <c r="X20" i="10"/>
  <c r="X54" i="10"/>
  <c r="X85" i="10"/>
  <c r="X113" i="10"/>
  <c r="X137" i="10"/>
  <c r="X150" i="10"/>
  <c r="X164" i="10"/>
  <c r="W48" i="10"/>
  <c r="W96" i="10"/>
  <c r="W114" i="10"/>
  <c r="W128" i="10"/>
  <c r="W153" i="10"/>
  <c r="W176" i="10"/>
  <c r="X32" i="10"/>
  <c r="X120" i="10"/>
  <c r="X156" i="10"/>
  <c r="X171" i="10"/>
  <c r="W36" i="10"/>
  <c r="W67" i="10"/>
  <c r="W78" i="10"/>
  <c r="W84" i="10"/>
  <c r="W91" i="10"/>
  <c r="W110" i="10"/>
  <c r="W129" i="10"/>
  <c r="W146" i="10"/>
  <c r="X10" i="10"/>
  <c r="X26" i="10"/>
  <c r="X51" i="10"/>
  <c r="X75" i="10"/>
  <c r="X135" i="10"/>
  <c r="X172" i="10"/>
  <c r="W10" i="10"/>
  <c r="W140" i="10"/>
  <c r="W169" i="10"/>
  <c r="AQ156" i="5"/>
  <c r="AQ73" i="5"/>
  <c r="AQ24" i="5"/>
  <c r="R72" i="3"/>
  <c r="R130" i="3"/>
  <c r="S89" i="3"/>
  <c r="S57" i="3"/>
  <c r="S35" i="3"/>
  <c r="Q157" i="3"/>
  <c r="P177" i="3"/>
  <c r="P175" i="3"/>
  <c r="Q170" i="3"/>
  <c r="P169" i="3"/>
  <c r="Q159" i="3"/>
  <c r="P155" i="3"/>
  <c r="P153" i="3"/>
  <c r="P151" i="3"/>
  <c r="Q148" i="3"/>
  <c r="G143" i="3"/>
  <c r="Q136" i="3"/>
  <c r="Q128" i="3"/>
  <c r="Q116" i="3"/>
  <c r="Q86" i="3"/>
  <c r="G78" i="3"/>
  <c r="G76" i="3"/>
  <c r="Q76" i="3"/>
  <c r="G67" i="3"/>
  <c r="Q64" i="3"/>
  <c r="Q59" i="3"/>
  <c r="G54" i="3"/>
  <c r="Q54" i="3"/>
  <c r="Q38" i="3"/>
  <c r="G31" i="3"/>
  <c r="G29" i="3"/>
  <c r="Q29" i="3"/>
  <c r="G22" i="3"/>
  <c r="P20" i="3"/>
  <c r="AQ105" i="5"/>
  <c r="AQ88" i="5"/>
  <c r="R123" i="3"/>
  <c r="R160" i="3"/>
  <c r="R161" i="3"/>
  <c r="S165" i="3"/>
  <c r="S141" i="3"/>
  <c r="J102" i="6"/>
  <c r="J120" i="6"/>
  <c r="J136" i="6"/>
  <c r="J140" i="6"/>
  <c r="J147" i="6"/>
  <c r="J155" i="6"/>
  <c r="J10" i="6"/>
  <c r="J35" i="6"/>
  <c r="J49" i="6"/>
  <c r="J59" i="6"/>
  <c r="J76" i="6"/>
  <c r="J89" i="6"/>
  <c r="J95" i="6"/>
  <c r="AI163" i="3"/>
  <c r="S160" i="5"/>
  <c r="AI160" i="3"/>
  <c r="AI157" i="3"/>
  <c r="AI154" i="3"/>
  <c r="AP152" i="5"/>
  <c r="S152" i="5"/>
  <c r="S150" i="5"/>
  <c r="T148" i="5"/>
  <c r="AI147" i="3"/>
  <c r="AB13" i="3"/>
  <c r="AB20" i="3"/>
  <c r="AB31" i="3"/>
  <c r="AB40" i="3"/>
  <c r="AB54" i="3"/>
  <c r="AB66" i="3"/>
  <c r="AB87" i="3"/>
  <c r="AB97" i="3"/>
  <c r="AB113" i="3"/>
  <c r="AB127" i="3"/>
  <c r="AB134" i="3"/>
  <c r="AB173" i="3"/>
  <c r="V99" i="3"/>
  <c r="AA99" i="3"/>
  <c r="AA49" i="3"/>
  <c r="AI172" i="3"/>
  <c r="T145" i="5"/>
  <c r="AI143" i="3"/>
  <c r="T140" i="5"/>
  <c r="AP137" i="5"/>
  <c r="S137" i="5"/>
  <c r="S135" i="5"/>
  <c r="AI134" i="3"/>
  <c r="AI133" i="3"/>
  <c r="T130" i="5"/>
  <c r="S126" i="5"/>
  <c r="T126" i="5"/>
  <c r="AI124" i="3"/>
  <c r="AI121" i="3"/>
  <c r="AI119" i="3"/>
  <c r="AI113" i="3"/>
  <c r="T111" i="5"/>
  <c r="T110" i="5"/>
  <c r="AI107" i="3"/>
  <c r="T105" i="5"/>
  <c r="T104" i="5"/>
  <c r="S99" i="5"/>
  <c r="T98" i="5"/>
  <c r="AI97" i="3"/>
  <c r="T94" i="5"/>
  <c r="AI90" i="3"/>
  <c r="AI78" i="3"/>
  <c r="AI73" i="3"/>
  <c r="S65" i="5"/>
  <c r="AI64" i="3"/>
  <c r="T58" i="5"/>
  <c r="T55" i="5"/>
  <c r="T54" i="5"/>
  <c r="AI53" i="3"/>
  <c r="T46" i="5"/>
  <c r="AI38" i="3"/>
  <c r="T33" i="5"/>
  <c r="S28" i="5"/>
  <c r="S20" i="5"/>
  <c r="AI16" i="3"/>
  <c r="X23" i="10"/>
  <c r="X60" i="10"/>
  <c r="X73" i="10"/>
  <c r="X126" i="10"/>
  <c r="X145" i="10"/>
  <c r="X47" i="10"/>
  <c r="X107" i="10"/>
  <c r="X142" i="10"/>
  <c r="X168" i="10"/>
  <c r="X97" i="10"/>
  <c r="X124" i="10"/>
  <c r="AQ166" i="5"/>
  <c r="AQ100" i="5"/>
  <c r="AQ53" i="5"/>
  <c r="R147" i="3"/>
  <c r="J167" i="3"/>
  <c r="S167" i="3"/>
  <c r="S92" i="3"/>
  <c r="AI161" i="3"/>
  <c r="AI153" i="3"/>
  <c r="AI150" i="3"/>
  <c r="AB26" i="3"/>
  <c r="AB76" i="3"/>
  <c r="AB119" i="3"/>
  <c r="AI175" i="3"/>
  <c r="AI138" i="3"/>
  <c r="AI131" i="3"/>
  <c r="AI129" i="3"/>
  <c r="T119" i="5"/>
  <c r="T113" i="5"/>
  <c r="AI106" i="3"/>
  <c r="AI103" i="3"/>
  <c r="AI87" i="3"/>
  <c r="AI83" i="3"/>
  <c r="T72" i="5"/>
  <c r="AI68" i="3"/>
  <c r="AI58" i="3"/>
  <c r="AI52" i="3"/>
  <c r="AI49" i="3"/>
  <c r="AI42" i="3"/>
  <c r="T34" i="5"/>
  <c r="AI31" i="3"/>
  <c r="AI27" i="3"/>
  <c r="S22" i="5"/>
  <c r="T22" i="5"/>
  <c r="AI15" i="3"/>
  <c r="C76" i="6"/>
  <c r="D76" i="6"/>
  <c r="D69" i="6"/>
  <c r="D65" i="6"/>
  <c r="C62" i="6"/>
  <c r="D62" i="6"/>
  <c r="D54" i="6"/>
  <c r="D52" i="6"/>
  <c r="C50" i="6"/>
  <c r="D50" i="6"/>
  <c r="C47" i="6"/>
  <c r="D47" i="6"/>
  <c r="D43" i="6"/>
  <c r="D37" i="6"/>
  <c r="D32" i="6"/>
  <c r="D28" i="6"/>
  <c r="N157" i="6"/>
  <c r="N141" i="6"/>
  <c r="N114" i="6"/>
  <c r="N15" i="6"/>
  <c r="N94" i="6"/>
  <c r="N88" i="6"/>
  <c r="N62" i="6"/>
  <c r="N54" i="6"/>
  <c r="N42" i="6"/>
  <c r="N172" i="6"/>
  <c r="D174" i="6"/>
  <c r="E28" i="6"/>
  <c r="E47" i="6"/>
  <c r="E50" i="6"/>
  <c r="E53" i="6"/>
  <c r="E65" i="6"/>
  <c r="E76" i="6"/>
  <c r="E24" i="6"/>
  <c r="H12" i="7"/>
  <c r="AQ125" i="5"/>
  <c r="AQ71" i="5"/>
  <c r="Q126" i="3"/>
  <c r="P120" i="3"/>
  <c r="Q85" i="3"/>
  <c r="Q83" i="3"/>
  <c r="Q41" i="3"/>
  <c r="G4" i="7"/>
  <c r="J124" i="6"/>
  <c r="J150" i="6"/>
  <c r="J26" i="6"/>
  <c r="J99" i="6"/>
  <c r="W16" i="10"/>
  <c r="W49" i="10"/>
  <c r="W53" i="10"/>
  <c r="W62" i="10"/>
  <c r="W68" i="10"/>
  <c r="W73" i="10"/>
  <c r="W98" i="10"/>
  <c r="W103" i="10"/>
  <c r="W109" i="10"/>
  <c r="W112" i="10"/>
  <c r="W127" i="10"/>
  <c r="W163" i="10"/>
  <c r="W166" i="10"/>
  <c r="X68" i="10"/>
  <c r="X102" i="10"/>
  <c r="W35" i="10"/>
  <c r="W111" i="10"/>
  <c r="W141" i="10"/>
  <c r="W19" i="10"/>
  <c r="W33" i="10"/>
  <c r="W55" i="10"/>
  <c r="W75" i="10"/>
  <c r="W77" i="10"/>
  <c r="W79" i="10"/>
  <c r="W88" i="10"/>
  <c r="W90" i="10"/>
  <c r="W100" i="10"/>
  <c r="W131" i="10"/>
  <c r="W142" i="10"/>
  <c r="X30" i="10"/>
  <c r="W148" i="10"/>
  <c r="H16" i="7"/>
  <c r="D14" i="7"/>
  <c r="AQ131" i="5"/>
  <c r="AQ124" i="5"/>
  <c r="AQ108" i="5"/>
  <c r="AQ34" i="5"/>
  <c r="AQ30" i="5"/>
  <c r="AQ23" i="5"/>
  <c r="AQ3" i="5"/>
  <c r="C199" i="3"/>
  <c r="C184" i="3"/>
  <c r="R33" i="3"/>
  <c r="R37" i="3"/>
  <c r="R74" i="3"/>
  <c r="R46" i="3"/>
  <c r="AQ175" i="5"/>
  <c r="AQ86" i="5"/>
  <c r="AQ58" i="5"/>
  <c r="R87" i="3"/>
  <c r="R120" i="3"/>
  <c r="Q81" i="3"/>
  <c r="P61" i="3"/>
  <c r="P58" i="3"/>
  <c r="P46" i="3"/>
  <c r="Q43" i="3"/>
  <c r="P33" i="3"/>
  <c r="P26" i="3"/>
  <c r="P21" i="3"/>
  <c r="Q18" i="3"/>
  <c r="R135" i="3"/>
  <c r="R5" i="3"/>
  <c r="J133" i="6"/>
  <c r="J144" i="6"/>
  <c r="J154" i="6"/>
  <c r="J163" i="6"/>
  <c r="J12" i="6"/>
  <c r="J29" i="6"/>
  <c r="J41" i="6"/>
  <c r="J55" i="6"/>
  <c r="J65" i="6"/>
  <c r="J73" i="6"/>
  <c r="J83" i="6"/>
  <c r="J98" i="6"/>
  <c r="S162" i="5"/>
  <c r="T162" i="5"/>
  <c r="S146" i="5"/>
  <c r="T146" i="5"/>
  <c r="AA169" i="3"/>
  <c r="S91" i="5"/>
  <c r="T91" i="5"/>
  <c r="S51" i="5"/>
  <c r="T51" i="5"/>
  <c r="T50" i="5"/>
  <c r="S47" i="5"/>
  <c r="T47" i="5"/>
  <c r="AQ174" i="5"/>
  <c r="AQ95" i="5"/>
  <c r="AQ87" i="5"/>
  <c r="AQ83" i="5"/>
  <c r="AQ57" i="5"/>
  <c r="AQ52" i="5"/>
  <c r="AQ46" i="5"/>
  <c r="R90" i="3"/>
  <c r="R111" i="3"/>
  <c r="R150" i="3"/>
  <c r="R158" i="3"/>
  <c r="R167" i="3"/>
  <c r="R108" i="3"/>
  <c r="R81" i="3"/>
  <c r="R31" i="3"/>
  <c r="R137" i="3"/>
  <c r="R92" i="3"/>
  <c r="R29" i="3"/>
  <c r="R10" i="3"/>
  <c r="S162" i="3"/>
  <c r="S147" i="3"/>
  <c r="S143" i="3"/>
  <c r="S115" i="3"/>
  <c r="J102" i="3"/>
  <c r="S102" i="3"/>
  <c r="R85" i="3"/>
  <c r="S88" i="3"/>
  <c r="S65" i="3"/>
  <c r="R100" i="3"/>
  <c r="R157" i="3"/>
  <c r="R165" i="3"/>
  <c r="R176" i="3"/>
  <c r="R102" i="3"/>
  <c r="R18" i="3"/>
  <c r="R133" i="3"/>
  <c r="R39" i="3"/>
  <c r="S175" i="3"/>
  <c r="S164" i="3"/>
  <c r="S153" i="3"/>
  <c r="S151" i="3"/>
  <c r="S144" i="3"/>
  <c r="S116" i="3"/>
  <c r="S91" i="3"/>
  <c r="S83" i="3"/>
  <c r="S104" i="3"/>
  <c r="S87" i="3"/>
  <c r="S64" i="3"/>
  <c r="S62" i="3"/>
  <c r="S58" i="3"/>
  <c r="J52" i="3"/>
  <c r="S52" i="3"/>
  <c r="S34" i="3"/>
  <c r="S19" i="3"/>
  <c r="S14" i="3"/>
  <c r="S12" i="3"/>
  <c r="P174" i="3"/>
  <c r="Q173" i="3"/>
  <c r="P172" i="3"/>
  <c r="G164" i="3"/>
  <c r="Q164" i="3"/>
  <c r="Q162" i="3"/>
  <c r="Q156" i="3"/>
  <c r="P147" i="3"/>
  <c r="P144" i="3"/>
  <c r="P141" i="3"/>
  <c r="Q131" i="3"/>
  <c r="P129" i="3"/>
  <c r="Q124" i="3"/>
  <c r="Q121" i="3"/>
  <c r="P116" i="3"/>
  <c r="Q110" i="3"/>
  <c r="P109" i="3"/>
  <c r="P108" i="3"/>
  <c r="Q107" i="3"/>
  <c r="Q106" i="3"/>
  <c r="Q104" i="3"/>
  <c r="P101" i="3"/>
  <c r="P99" i="3"/>
  <c r="G97" i="3"/>
  <c r="Q97" i="3"/>
  <c r="P96" i="3"/>
  <c r="P95" i="3"/>
  <c r="Q93" i="3"/>
  <c r="Q92" i="3"/>
  <c r="G91" i="3"/>
  <c r="Q91" i="3"/>
  <c r="Q89" i="3"/>
  <c r="Q88" i="3"/>
  <c r="P86" i="3"/>
  <c r="P84" i="3"/>
  <c r="P81" i="3"/>
  <c r="P76" i="3"/>
  <c r="Q72" i="3"/>
  <c r="G70" i="3"/>
  <c r="Q70" i="3"/>
  <c r="Q69" i="3"/>
  <c r="G68" i="3"/>
  <c r="Q68" i="3"/>
  <c r="P62" i="3"/>
  <c r="P55" i="3"/>
  <c r="Q45" i="3"/>
  <c r="G42" i="3"/>
  <c r="Q42" i="3"/>
  <c r="P41" i="3"/>
  <c r="G33" i="3"/>
  <c r="Q33" i="3"/>
  <c r="Q28" i="3"/>
  <c r="Q23" i="3"/>
  <c r="P8" i="3"/>
  <c r="AA159" i="3"/>
  <c r="K146" i="3"/>
  <c r="T146" i="3"/>
  <c r="T134" i="3"/>
  <c r="AA134" i="3"/>
  <c r="K132" i="3"/>
  <c r="T132" i="3"/>
  <c r="T131" i="3"/>
  <c r="AA130" i="3"/>
  <c r="K125" i="3"/>
  <c r="T125" i="3"/>
  <c r="T107" i="3"/>
  <c r="T99" i="3"/>
  <c r="T94" i="3"/>
  <c r="T93" i="3"/>
  <c r="T90" i="3"/>
  <c r="T65" i="3"/>
  <c r="AA43" i="3"/>
  <c r="T40" i="3"/>
  <c r="T30" i="3"/>
  <c r="AA19" i="3"/>
  <c r="K18" i="3"/>
  <c r="T18" i="3"/>
  <c r="T14" i="3"/>
  <c r="P66" i="3"/>
  <c r="G51" i="3"/>
  <c r="Q51" i="3"/>
  <c r="Q50" i="3"/>
  <c r="Q24" i="3"/>
  <c r="P22" i="3"/>
  <c r="G16" i="3"/>
  <c r="Q16" i="3"/>
  <c r="Q15" i="3"/>
  <c r="Q13" i="3"/>
  <c r="Q11" i="3"/>
  <c r="Q6" i="3"/>
  <c r="P4" i="3"/>
  <c r="T159" i="3"/>
  <c r="K157" i="3"/>
  <c r="T157" i="3"/>
  <c r="V157" i="3"/>
  <c r="AA157" i="3"/>
  <c r="K156" i="3"/>
  <c r="T156" i="3"/>
  <c r="T155" i="3"/>
  <c r="K152" i="3"/>
  <c r="T152" i="3"/>
  <c r="AA152" i="3"/>
  <c r="T151" i="3"/>
  <c r="T150" i="3"/>
  <c r="T148" i="3"/>
  <c r="K147" i="3"/>
  <c r="T147" i="3"/>
  <c r="AA141" i="3"/>
  <c r="T135" i="3"/>
  <c r="V128" i="3"/>
  <c r="AA128" i="3"/>
  <c r="AA124" i="3"/>
  <c r="AA121" i="3"/>
  <c r="AA107" i="3"/>
  <c r="K106" i="3"/>
  <c r="T106" i="3"/>
  <c r="T100" i="3"/>
  <c r="T91" i="3"/>
  <c r="T87" i="3"/>
  <c r="T85" i="3"/>
  <c r="T81" i="3"/>
  <c r="T80" i="3"/>
  <c r="AA74" i="3"/>
  <c r="V73" i="3"/>
  <c r="AA73" i="3"/>
  <c r="T72" i="3"/>
  <c r="T66" i="3"/>
  <c r="V65" i="3"/>
  <c r="AA65" i="3"/>
  <c r="T63" i="3"/>
  <c r="AA62" i="3"/>
  <c r="T61" i="3"/>
  <c r="T60" i="3"/>
  <c r="T56" i="3"/>
  <c r="T50" i="3"/>
  <c r="T47" i="3"/>
  <c r="T46" i="3"/>
  <c r="T36" i="3"/>
  <c r="AA36" i="3"/>
  <c r="T33" i="3"/>
  <c r="T29" i="3"/>
  <c r="AA29" i="3"/>
  <c r="K27" i="3"/>
  <c r="T27" i="3"/>
  <c r="T12" i="3"/>
  <c r="AA12" i="3"/>
  <c r="T7" i="3"/>
  <c r="T6" i="3"/>
  <c r="AQ129" i="5"/>
  <c r="R32" i="3"/>
  <c r="D12" i="7"/>
  <c r="D8" i="7"/>
  <c r="D16" i="7"/>
  <c r="AQ154" i="5"/>
  <c r="AQ146" i="5"/>
  <c r="D7" i="7"/>
  <c r="D3" i="7"/>
  <c r="M9" i="7"/>
  <c r="R34" i="3"/>
  <c r="AQ134" i="5"/>
  <c r="R51" i="3"/>
  <c r="R52" i="3"/>
  <c r="AQ103" i="5"/>
  <c r="AQ56" i="5"/>
  <c r="R95" i="3"/>
  <c r="R115" i="3"/>
  <c r="R151" i="3"/>
  <c r="R129" i="3"/>
  <c r="R15" i="3"/>
  <c r="S138" i="3"/>
  <c r="S98" i="3"/>
  <c r="J109" i="6"/>
  <c r="J118" i="6"/>
  <c r="J132" i="6"/>
  <c r="J141" i="6"/>
  <c r="J148" i="6"/>
  <c r="J156" i="6"/>
  <c r="J175" i="6"/>
  <c r="J11" i="6"/>
  <c r="J21" i="6"/>
  <c r="J30" i="6"/>
  <c r="J34" i="6"/>
  <c r="J39" i="6"/>
  <c r="J42" i="6"/>
  <c r="J47" i="6"/>
  <c r="J51" i="6"/>
  <c r="J57" i="6"/>
  <c r="J68" i="6"/>
  <c r="J71" i="6"/>
  <c r="J74" i="6"/>
  <c r="J77" i="6"/>
  <c r="J80" i="6"/>
  <c r="J85" i="6"/>
  <c r="AB165" i="3"/>
  <c r="AB176" i="3"/>
  <c r="AA87" i="3"/>
  <c r="AI168" i="3"/>
  <c r="AI167" i="3"/>
  <c r="AI145" i="3"/>
  <c r="T138" i="5"/>
  <c r="Q75" i="3"/>
  <c r="Q62" i="3"/>
  <c r="P57" i="3"/>
  <c r="P27" i="3"/>
  <c r="P15" i="3"/>
  <c r="AA85" i="3"/>
  <c r="AA175" i="3"/>
  <c r="AA155" i="3"/>
  <c r="T59" i="5"/>
  <c r="W24" i="10"/>
  <c r="W28" i="10"/>
  <c r="W31" i="10"/>
  <c r="W42" i="10"/>
  <c r="W50" i="10"/>
  <c r="W92" i="10"/>
  <c r="W135" i="10"/>
  <c r="W155" i="10"/>
  <c r="W170" i="10"/>
  <c r="W32" i="10"/>
  <c r="W38" i="10"/>
  <c r="W41" i="10"/>
  <c r="W173" i="10"/>
  <c r="W58" i="10"/>
  <c r="W134" i="10"/>
  <c r="W137" i="10"/>
  <c r="AQ133" i="5"/>
  <c r="AQ106" i="5"/>
  <c r="AQ28" i="5"/>
  <c r="AQ11" i="5"/>
  <c r="C189" i="3"/>
  <c r="AQ147" i="5"/>
  <c r="R55" i="3"/>
  <c r="AQ115" i="5"/>
  <c r="AQ89" i="5"/>
  <c r="R125" i="3"/>
  <c r="Q82" i="3"/>
  <c r="Q79" i="3"/>
  <c r="Q71" i="3"/>
  <c r="P51" i="3"/>
  <c r="P40" i="3"/>
  <c r="Q30" i="3"/>
  <c r="P14" i="3"/>
  <c r="R71" i="3"/>
  <c r="R53" i="3"/>
  <c r="R97" i="3"/>
  <c r="J122" i="6"/>
  <c r="J166" i="6"/>
  <c r="J24" i="6"/>
  <c r="J53" i="6"/>
  <c r="J58" i="6"/>
  <c r="J70" i="6"/>
  <c r="J78" i="6"/>
  <c r="AB21" i="3"/>
  <c r="AB32" i="3"/>
  <c r="AB81" i="3"/>
  <c r="AA91" i="3"/>
  <c r="T123" i="5"/>
  <c r="T117" i="5"/>
  <c r="T108" i="5"/>
  <c r="T89" i="5"/>
  <c r="T40" i="5"/>
  <c r="T30" i="5"/>
  <c r="T21" i="5"/>
  <c r="M15" i="7"/>
  <c r="AQ168" i="5"/>
  <c r="AQ99" i="5"/>
  <c r="AQ49" i="5"/>
  <c r="R79" i="3"/>
  <c r="R96" i="3"/>
  <c r="R114" i="3"/>
  <c r="R142" i="3"/>
  <c r="R65" i="3"/>
  <c r="R58" i="3"/>
  <c r="R50" i="3"/>
  <c r="S171" i="3"/>
  <c r="S152" i="3"/>
  <c r="S139" i="3"/>
  <c r="S81" i="3"/>
  <c r="S84" i="3"/>
  <c r="S75" i="3"/>
  <c r="S70" i="3"/>
  <c r="R80" i="3"/>
  <c r="R144" i="3"/>
  <c r="R153" i="3"/>
  <c r="R168" i="3"/>
  <c r="R145" i="3"/>
  <c r="R61" i="3"/>
  <c r="R177" i="3"/>
  <c r="R43" i="3"/>
  <c r="S168" i="3"/>
  <c r="S160" i="3"/>
  <c r="S137" i="3"/>
  <c r="R101" i="3"/>
  <c r="S79" i="3"/>
  <c r="S73" i="3"/>
  <c r="S56" i="3"/>
  <c r="S49" i="3"/>
  <c r="S42" i="3"/>
  <c r="S38" i="3"/>
  <c r="S32" i="3"/>
  <c r="S28" i="3"/>
  <c r="S17" i="3"/>
  <c r="P157" i="3"/>
  <c r="Q169" i="3"/>
  <c r="Q163" i="3"/>
  <c r="Q160" i="3"/>
  <c r="Q158" i="3"/>
  <c r="P149" i="3"/>
  <c r="P146" i="3"/>
  <c r="P143" i="3"/>
  <c r="P140" i="3"/>
  <c r="P137" i="3"/>
  <c r="Q122" i="3"/>
  <c r="Q119" i="3"/>
  <c r="P118" i="3"/>
  <c r="P113" i="3"/>
  <c r="Q111" i="3"/>
  <c r="P106" i="3"/>
  <c r="P104" i="3"/>
  <c r="Q102" i="3"/>
  <c r="Q100" i="3"/>
  <c r="Q98" i="3"/>
  <c r="P97" i="3"/>
  <c r="Q95" i="3"/>
  <c r="Q90" i="3"/>
  <c r="P80" i="3"/>
  <c r="P78" i="3"/>
  <c r="P77" i="3"/>
  <c r="P67" i="3"/>
  <c r="Q60" i="3"/>
  <c r="Q53" i="3"/>
  <c r="Q52" i="3"/>
  <c r="P50" i="3"/>
  <c r="Q47" i="3"/>
  <c r="P32" i="3"/>
  <c r="P30" i="3"/>
  <c r="Q20" i="3"/>
  <c r="P7" i="3"/>
  <c r="Q4" i="3"/>
  <c r="T176" i="3"/>
  <c r="T172" i="3"/>
  <c r="T163" i="3"/>
  <c r="AA148" i="3"/>
  <c r="T143" i="3"/>
  <c r="AA137" i="3"/>
  <c r="T136" i="3"/>
  <c r="AA133" i="3"/>
  <c r="AA126" i="3"/>
  <c r="T116" i="3"/>
  <c r="T113" i="3"/>
  <c r="AA109" i="3"/>
  <c r="T104" i="3"/>
  <c r="T88" i="3"/>
  <c r="T84" i="3"/>
  <c r="T79" i="3"/>
  <c r="T78" i="3"/>
  <c r="T73" i="3"/>
  <c r="AA72" i="3"/>
  <c r="T70" i="3"/>
  <c r="AA70" i="3"/>
  <c r="T68" i="3"/>
  <c r="AA67" i="3"/>
  <c r="T58" i="3"/>
  <c r="T53" i="3"/>
  <c r="T44" i="3"/>
  <c r="AA42" i="3"/>
  <c r="T28" i="3"/>
  <c r="T26" i="3"/>
  <c r="AA26" i="3"/>
  <c r="AA20" i="3"/>
  <c r="Q58" i="3"/>
  <c r="Q46" i="3"/>
  <c r="Q44" i="3"/>
  <c r="P42" i="3"/>
  <c r="Q34" i="3"/>
  <c r="P29" i="3"/>
  <c r="Q19" i="3"/>
  <c r="Q12" i="3"/>
  <c r="P5" i="3"/>
  <c r="T160" i="3"/>
  <c r="AA153" i="3"/>
  <c r="T130" i="3"/>
  <c r="T126" i="3"/>
  <c r="T122" i="3"/>
  <c r="T120" i="3"/>
  <c r="T117" i="3"/>
  <c r="T115" i="3"/>
  <c r="AA11" i="3"/>
  <c r="AA10" i="3"/>
  <c r="G16" i="7"/>
  <c r="G13" i="7"/>
  <c r="R98" i="3"/>
  <c r="T127" i="5"/>
  <c r="T125" i="5"/>
  <c r="T115" i="5"/>
  <c r="T114" i="5"/>
  <c r="T103" i="5"/>
  <c r="T102" i="5"/>
  <c r="T100" i="5"/>
  <c r="T92" i="5"/>
  <c r="T83" i="5"/>
  <c r="T7" i="5"/>
  <c r="AI8" i="3"/>
  <c r="AA39" i="3"/>
  <c r="C31" i="7"/>
  <c r="AB37" i="3"/>
  <c r="AB149" i="3"/>
  <c r="AA156" i="3"/>
  <c r="AA92" i="3"/>
  <c r="AA97" i="3"/>
  <c r="AA58" i="3"/>
  <c r="AA51" i="3"/>
  <c r="T174" i="5"/>
  <c r="T171" i="5"/>
  <c r="T166" i="5"/>
  <c r="D131" i="6"/>
  <c r="D123" i="6"/>
  <c r="D122" i="6"/>
  <c r="D119" i="6"/>
  <c r="D118" i="6"/>
  <c r="D114" i="6"/>
  <c r="D113" i="6"/>
  <c r="D112" i="6"/>
  <c r="D110" i="6"/>
  <c r="D106" i="6"/>
  <c r="D105" i="6"/>
  <c r="D104" i="6"/>
  <c r="D103" i="6"/>
  <c r="D102" i="6"/>
  <c r="C101" i="6"/>
  <c r="D101" i="6"/>
  <c r="D100" i="6"/>
  <c r="D96" i="6"/>
  <c r="D86" i="6"/>
  <c r="D82" i="6"/>
  <c r="D79" i="6"/>
  <c r="D68" i="6"/>
  <c r="D57" i="6"/>
  <c r="D55" i="6"/>
  <c r="D45" i="6"/>
  <c r="D38" i="6"/>
  <c r="N175" i="6"/>
  <c r="N103" i="6"/>
  <c r="D139" i="6"/>
  <c r="D21" i="6"/>
  <c r="D15" i="6"/>
  <c r="D12" i="6"/>
  <c r="D7" i="6"/>
  <c r="N160" i="6"/>
  <c r="N158" i="6"/>
  <c r="N135" i="6"/>
  <c r="N134" i="6"/>
  <c r="N124" i="6"/>
  <c r="N113" i="6"/>
  <c r="N108" i="6"/>
  <c r="N101" i="6"/>
  <c r="N7" i="6"/>
  <c r="N33" i="6"/>
  <c r="N80" i="6"/>
  <c r="N69" i="6"/>
  <c r="N67" i="6"/>
  <c r="N64" i="6"/>
  <c r="N55" i="6"/>
  <c r="N37" i="6"/>
  <c r="AC33" i="3"/>
  <c r="N32" i="6"/>
  <c r="N165" i="6"/>
  <c r="N12" i="6"/>
  <c r="N4" i="6"/>
  <c r="H31" i="7"/>
  <c r="N147" i="6"/>
  <c r="N166" i="6"/>
  <c r="N153" i="6"/>
  <c r="N171" i="6"/>
  <c r="N152" i="6"/>
  <c r="C175" i="6"/>
  <c r="D175" i="6"/>
  <c r="C169" i="6"/>
  <c r="D169" i="6"/>
  <c r="D144" i="6"/>
  <c r="AB178" i="3"/>
  <c r="E15" i="6"/>
  <c r="E25" i="6"/>
  <c r="E38" i="6"/>
  <c r="E101" i="6"/>
  <c r="E104" i="6"/>
  <c r="E113" i="6"/>
  <c r="E145" i="6"/>
  <c r="E169" i="6"/>
  <c r="B182" i="6"/>
  <c r="E168" i="6"/>
  <c r="E175" i="6"/>
  <c r="E71" i="6"/>
  <c r="E73" i="6"/>
  <c r="E77" i="6"/>
  <c r="E80" i="6"/>
  <c r="E82" i="6"/>
  <c r="E171" i="6"/>
  <c r="B184" i="6"/>
  <c r="D5" i="6"/>
  <c r="E5" i="6"/>
  <c r="D4" i="6"/>
  <c r="E4" i="6"/>
  <c r="E8" i="6"/>
  <c r="E20" i="6"/>
  <c r="E22" i="6"/>
  <c r="E68" i="6"/>
  <c r="E9" i="6"/>
  <c r="E19" i="6"/>
  <c r="E26" i="6"/>
  <c r="AB33" i="3"/>
  <c r="AA177" i="3"/>
  <c r="T76" i="5"/>
  <c r="T67" i="5"/>
  <c r="T66" i="5"/>
  <c r="T62" i="5"/>
  <c r="T61" i="5"/>
  <c r="T57" i="5"/>
  <c r="T49" i="5"/>
  <c r="T41" i="5"/>
  <c r="T38" i="5"/>
  <c r="T37" i="5"/>
  <c r="T35" i="5"/>
  <c r="T31" i="5"/>
  <c r="X38" i="10"/>
  <c r="Q146" i="3"/>
  <c r="Q78" i="3"/>
  <c r="Q22" i="3"/>
  <c r="R141" i="3"/>
  <c r="T161" i="5"/>
  <c r="T160" i="5"/>
  <c r="T159" i="5"/>
  <c r="T155" i="5"/>
  <c r="T154" i="5"/>
  <c r="T153" i="5"/>
  <c r="T150" i="5"/>
  <c r="T168" i="5"/>
  <c r="T95" i="5"/>
  <c r="T75" i="5"/>
  <c r="T74" i="5"/>
  <c r="T70" i="5"/>
  <c r="T39" i="5"/>
  <c r="T27" i="5"/>
  <c r="T20" i="5"/>
  <c r="X7" i="10"/>
  <c r="T120" i="5"/>
  <c r="T85" i="5"/>
  <c r="C198" i="3"/>
  <c r="T45" i="5"/>
  <c r="T23" i="5"/>
  <c r="D67" i="6"/>
  <c r="D63" i="6"/>
  <c r="D61" i="6"/>
  <c r="D60" i="6"/>
  <c r="D48" i="6"/>
  <c r="D41" i="6"/>
  <c r="D30" i="6"/>
  <c r="D24" i="6"/>
  <c r="D18" i="6"/>
  <c r="D17" i="6"/>
  <c r="N162" i="6"/>
  <c r="N98" i="6"/>
  <c r="N11" i="6"/>
  <c r="N77" i="6"/>
  <c r="N51" i="6"/>
  <c r="AC19" i="3"/>
  <c r="N18" i="6"/>
  <c r="N154" i="6"/>
  <c r="E30" i="6"/>
  <c r="E18" i="6"/>
  <c r="E37" i="6"/>
  <c r="E17" i="6"/>
  <c r="E43" i="6"/>
  <c r="E48" i="6"/>
  <c r="E52" i="6"/>
  <c r="E62" i="6"/>
  <c r="E60" i="6"/>
  <c r="T60" i="5"/>
  <c r="T12" i="5"/>
  <c r="T11" i="5"/>
  <c r="AB19" i="3"/>
  <c r="AA171" i="3"/>
  <c r="N167" i="6"/>
  <c r="AA86" i="3"/>
  <c r="AA56" i="3"/>
  <c r="T176" i="5"/>
  <c r="D97" i="6"/>
  <c r="D95" i="6"/>
  <c r="D85" i="6"/>
  <c r="D80" i="6"/>
  <c r="D71" i="6"/>
  <c r="D56" i="6"/>
  <c r="D23" i="6"/>
  <c r="N44" i="6"/>
  <c r="B186" i="6"/>
  <c r="N170" i="6"/>
  <c r="D164" i="6"/>
  <c r="D19" i="6"/>
  <c r="D9" i="6"/>
  <c r="N118" i="6"/>
  <c r="N116" i="6"/>
  <c r="N91" i="6"/>
  <c r="N87" i="6"/>
  <c r="N81" i="6"/>
  <c r="N72" i="6"/>
  <c r="N50" i="6"/>
  <c r="N35" i="6"/>
  <c r="N29" i="6"/>
  <c r="N26" i="6"/>
  <c r="T3" i="5"/>
  <c r="N155" i="6"/>
  <c r="N176" i="6"/>
  <c r="N53" i="6"/>
  <c r="D171" i="6"/>
  <c r="D145" i="6"/>
  <c r="D142" i="6"/>
  <c r="E10" i="6"/>
  <c r="E97" i="6"/>
  <c r="E100" i="6"/>
  <c r="E142" i="6"/>
  <c r="E3" i="6"/>
  <c r="E72" i="6"/>
  <c r="B185" i="6"/>
  <c r="AA170" i="3"/>
  <c r="T172" i="5"/>
  <c r="T53" i="5"/>
  <c r="T48" i="5"/>
  <c r="Q143" i="3"/>
  <c r="Q67" i="3"/>
  <c r="Q31" i="3"/>
  <c r="T152" i="5"/>
  <c r="T137" i="5"/>
  <c r="T135" i="5"/>
  <c r="T99" i="5"/>
  <c r="T65" i="5"/>
  <c r="T28" i="5"/>
  <c r="T69" i="5"/>
  <c r="N90" i="6"/>
  <c r="N56" i="6"/>
  <c r="N36" i="6"/>
  <c r="E41" i="6"/>
  <c r="E63" i="6"/>
  <c r="E6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E3" authorId="0" shapeId="0" xr:uid="{00000000-0006-0000-0200-000001000000}">
      <text>
        <r>
          <rPr>
            <sz val="11"/>
            <color theme="1"/>
            <rFont val="Calibri"/>
            <family val="2"/>
            <scheme val="minor"/>
          </rPr>
          <t>D1 — Clasificación regulatoria: si la organización tiene un rol claro frente al EUDR (operador, comerciante, operador posterior, etc.). Escala 0-100.</t>
        </r>
      </text>
    </comment>
    <comment ref="F3" authorId="0" shapeId="0" xr:uid="{00000000-0006-0000-0200-000002000000}">
      <text>
        <r>
          <rPr>
            <sz val="11"/>
            <color theme="1"/>
            <rFont val="Calibri"/>
            <family val="2"/>
            <scheme val="minor"/>
          </rPr>
          <t>D2 — Trazabilidad: si existe un vínculo documentado lote → parcela con coordenadas. Se carga manualmente en SCORECARDS a partir de las respuestas del Instrumento 2.</t>
        </r>
      </text>
    </comment>
    <comment ref="G3" authorId="0" shapeId="0" xr:uid="{00000000-0006-0000-0200-000003000000}">
      <text>
        <r>
          <rPr>
            <sz val="11"/>
            <color theme="1"/>
            <rFont val="Calibri"/>
            <family val="2"/>
            <scheme val="minor"/>
          </rPr>
          <t>D3 — Legalidad: estado de la organización ante OSCE (inhabilitaciones/sanciones vigentes). 0 = inhabilitación vigente.</t>
        </r>
      </text>
    </comment>
    <comment ref="H3" authorId="0" shapeId="0" xr:uid="{00000000-0006-0000-0200-000004000000}">
      <text>
        <r>
          <rPr>
            <sz val="11"/>
            <color theme="1"/>
            <rFont val="Calibri"/>
            <family val="2"/>
            <scheme val="minor"/>
          </rPr>
          <t>D4 — Deforestación Cero: si la parcela de origen está libre de deforestación posterior a diciembre de 2020 (el corte que exige el EUDR).</t>
        </r>
      </text>
    </comment>
    <comment ref="I3" authorId="0" shapeId="0" xr:uid="{00000000-0006-0000-0200-000005000000}">
      <text>
        <r>
          <rPr>
            <sz val="11"/>
            <color theme="1"/>
            <rFont val="Calibri"/>
            <family val="2"/>
            <scheme val="minor"/>
          </rPr>
          <t>D5 — Diligencia Debida: si la organización tiene un proceso propio de evaluación de riesgo de sus proveedores. Carga manual en SCORECARDS.</t>
        </r>
      </text>
    </comment>
    <comment ref="J3" authorId="0" shapeId="0" xr:uid="{00000000-0006-0000-0200-000006000000}">
      <text>
        <r>
          <rPr>
            <sz val="11"/>
            <color theme="1"/>
            <rFont val="Calibri"/>
            <family val="2"/>
            <scheme val="minor"/>
          </rPr>
          <t>D6 — Capacidad Digital: si la organización tiene personal o sistemas dedicados a manejar los datos de trazabilidad. Carga manual en SCORECARDS.</t>
        </r>
      </text>
    </comment>
    <comment ref="K3" authorId="0" shapeId="0" xr:uid="{00000000-0006-0000-0200-000007000000}">
      <text>
        <r>
          <rPr>
            <sz val="11"/>
            <color theme="1"/>
            <rFont val="Calibri"/>
            <family val="2"/>
            <scheme val="minor"/>
          </rPr>
          <t>D7 — Presión del Comprador: si el comprador europeo de la organización ya le exige cumplimiento EUDR.</t>
        </r>
      </text>
    </comment>
    <comment ref="L3" authorId="0" shapeId="0" xr:uid="{00000000-0006-0000-0200-000008000000}">
      <text>
        <r>
          <rPr>
            <sz val="11"/>
            <color theme="1"/>
            <rFont val="Calibri"/>
            <family val="2"/>
            <scheme val="minor"/>
          </rPr>
          <t>D8 — Gobernanza: participación y renovación de la junta directiva.</t>
        </r>
      </text>
    </comment>
    <comment ref="M3" authorId="0" shapeId="0" xr:uid="{00000000-0006-0000-0200-000009000000}">
      <text>
        <r>
          <rPr>
            <sz val="11"/>
            <color theme="1"/>
            <rFont val="Calibri"/>
            <family val="2"/>
            <scheme val="minor"/>
          </rPr>
          <t>D9 — Riesgo Financiero: situación financiera de la organización que podría limitar su capacidad de invertir en cumplimiento.</t>
        </r>
      </text>
    </comment>
    <comment ref="N3" authorId="0" shapeId="0" xr:uid="{00000000-0006-0000-0200-00000A000000}">
      <text>
        <r>
          <rPr>
            <sz val="11"/>
            <color theme="1"/>
            <rFont val="Calibri"/>
            <family val="2"/>
            <scheme val="minor"/>
          </rPr>
          <t>D10 — Certificación: certificaciones voluntarias vigentes (orgánico, Fairtrade). El EUDR las trata como información complementaria, nunca como sustituto de geolocalización y legalidad — por eso no entra en el promedio del índice.</t>
        </r>
      </text>
    </comment>
    <comment ref="O3" authorId="0" shapeId="0" xr:uid="{00000000-0006-0000-0200-00000B000000}">
      <text>
        <r>
          <rPr>
            <sz val="11"/>
            <color theme="1"/>
            <rFont val="Calibri"/>
            <family val="2"/>
            <scheme val="minor"/>
          </rPr>
          <t>D11 — Ecosistema de apoyo externo: asesoría técnica y plataformas de trazabilidad disponibles para la organización. Se reporta como inventario, no se promedia.</t>
        </r>
      </text>
    </comment>
    <comment ref="P3" authorId="0" shapeId="0" xr:uid="{00000000-0006-0000-0200-00000C000000}">
      <text>
        <r>
          <rPr>
            <sz val="11"/>
            <color theme="1"/>
            <rFont val="Calibri"/>
            <family val="2"/>
            <scheme val="minor"/>
          </rPr>
          <t>IP1: usa directamente D2 (Trazabilidad) como primera sub-dimensión de preparación.</t>
        </r>
      </text>
    </comment>
    <comment ref="Q3" authorId="0" shapeId="0" xr:uid="{00000000-0006-0000-0200-00000D000000}">
      <text>
        <r>
          <rPr>
            <sz val="11"/>
            <color theme="1"/>
            <rFont val="Calibri"/>
            <family val="2"/>
            <scheme val="minor"/>
          </rPr>
          <t>IP2: combina Legalidad (D3) y Deforestación Cero (D4) con una media geométrica — si cualquiera de las dos es cero, IP2 es cero (un defecto grave en una no se compensa con la otra).</t>
        </r>
      </text>
    </comment>
    <comment ref="R3" authorId="0" shapeId="0" xr:uid="{00000000-0006-0000-0200-00000E000000}">
      <text>
        <r>
          <rPr>
            <sz val="11"/>
            <color theme="1"/>
            <rFont val="Calibri"/>
            <family val="2"/>
            <scheme val="minor"/>
          </rPr>
          <t>IP3: promedio de Diligencia Debida (D5), Capacidad Digital (D6) y Gobernanza (D8) — las capacidades internas de la organización.</t>
        </r>
      </text>
    </comment>
    <comment ref="S3" authorId="0" shapeId="0" xr:uid="{00000000-0006-0000-0200-00000F000000}">
      <text>
        <r>
          <rPr>
            <sz val="11"/>
            <color theme="1"/>
            <rFont val="Calibri"/>
            <family val="2"/>
            <scheme val="minor"/>
          </rPr>
          <t>IP4: promedio de Capacidad Digital (D6) y Trazabilidad (D2) — qué tan bien documentada y sistematizada está la información.</t>
        </r>
      </text>
    </comment>
    <comment ref="T3" authorId="0" shapeId="0" xr:uid="{00000000-0006-0000-0200-000010000000}">
      <text>
        <r>
          <rPr>
            <sz val="11"/>
            <color theme="1"/>
            <rFont val="Calibri"/>
            <family val="2"/>
            <scheme val="minor"/>
          </rPr>
          <t>IP5: promedio de Presión del Comprador (D7), Riesgo Financiero (D9) y certificaciones — qué tanto el mercado empuja y qué tanta capacidad financiera hay para responder.</t>
        </r>
      </text>
    </comment>
    <comment ref="U3" authorId="0" shapeId="0" xr:uid="{00000000-0006-0000-0200-000011000000}">
      <text>
        <r>
          <rPr>
            <sz val="11"/>
            <color theme="1"/>
            <rFont val="Calibri"/>
            <family val="2"/>
            <scheme val="minor"/>
          </rPr>
          <t>IV1: porcentaje del valor exportado (FOB) que va a la Unión Europea. Mientras más alto, más depende la organización específicamente de ese mercado.</t>
        </r>
      </text>
    </comment>
    <comment ref="V3" authorId="0" shapeId="0" xr:uid="{00000000-0006-0000-0200-000012000000}">
      <text>
        <r>
          <rPr>
            <sz val="11"/>
            <color theme="1"/>
            <rFont val="Calibri"/>
            <family val="2"/>
            <scheme val="minor"/>
          </rPr>
          <t>IV2: usa D1 (Clasificación regulatoria); si no hay dato, se asume un riesgo intermedio (50) en vez de cero, para no subestimar la vulnerabilidad por falta de información.</t>
        </r>
      </text>
    </comment>
    <comment ref="W3" authorId="0" shapeId="0" xr:uid="{00000000-0006-0000-0200-000013000000}">
      <text>
        <r>
          <rPr>
            <sz val="11"/>
            <color theme="1"/>
            <rFont val="Calibri"/>
            <family val="2"/>
            <scheme val="minor"/>
          </rPr>
          <t>IV3: hectáreas por socio. Menos tierra por socio implica parcelas más fragmentadas y más difíciles/costosas de geolocalizar con precisión — mayor vulnerabilidad.</t>
        </r>
      </text>
    </comment>
    <comment ref="X3" authorId="0" shapeId="0" xr:uid="{00000000-0006-0000-0200-000014000000}">
      <text>
        <r>
          <rPr>
            <sz val="11"/>
            <color theme="1"/>
            <rFont val="Calibri"/>
            <family val="2"/>
            <scheme val="minor"/>
          </rPr>
          <t>IV4: si la organización no tiene ninguna certificación vigente, se le asigna mayor vulnerabilidad (70) que si tiene al menos una (30).</t>
        </r>
      </text>
    </comment>
    <comment ref="Y3" authorId="0" shapeId="0" xr:uid="{00000000-0006-0000-0200-000015000000}">
      <text>
        <r>
          <rPr>
            <sz val="11"/>
            <color theme="1"/>
            <rFont val="Calibri"/>
            <family val="2"/>
            <scheme val="minor"/>
          </rPr>
          <t>IV5: las asociaciones (vs. cooperativas formalmente constituidas) se consideran más vulnerables en términos de representación legal y continuidad institucional.</t>
        </r>
      </text>
    </comment>
    <comment ref="Z3" authorId="0" shapeId="0" xr:uid="{00000000-0006-0000-0200-000016000000}">
      <text>
        <r>
          <rPr>
            <sz val="11"/>
            <color theme="1"/>
            <rFont val="Calibri"/>
            <family val="2"/>
            <scheme val="minor"/>
          </rPr>
          <t>IP — Índice de Preparación: promedio simple de IP1 a IP5. Resume en un solo número qué tan lista está la organización hoy.</t>
        </r>
      </text>
    </comment>
    <comment ref="AA3" authorId="0" shapeId="0" xr:uid="{00000000-0006-0000-0200-000017000000}">
      <text>
        <r>
          <rPr>
            <sz val="11"/>
            <color theme="1"/>
            <rFont val="Calibri"/>
            <family val="2"/>
            <scheme val="minor"/>
          </rPr>
          <t>IV — Índice de Vulnerabilidad: promedio simple de IV1 a IV5. Resume en un solo número qué tan expuesta está la organización si no se prepara a tiempo.</t>
        </r>
      </text>
    </comment>
    <comment ref="AB3" authorId="0" shapeId="0" xr:uid="{00000000-0006-0000-0200-000018000000}">
      <text>
        <r>
          <rPr>
            <sz val="11"/>
            <color theme="1"/>
            <rFont val="Calibri"/>
            <family val="2"/>
            <scheme val="minor"/>
          </rPr>
          <t>RE — Riesgo de Exclusión = IV × (1 − IP/100). Si IP = 100 (preparación total), RE = 0 sin importar la vulnerabilidad. Si IP = 0, toda la vulnerabilidad se traduce en riesgo.</t>
        </r>
      </text>
    </comment>
    <comment ref="AC3" authorId="0" shapeId="0" xr:uid="{00000000-0006-0000-0200-000019000000}">
      <text>
        <r>
          <rPr>
            <sz val="11"/>
            <color theme="1"/>
            <rFont val="Calibri"/>
            <family val="2"/>
            <scheme val="minor"/>
          </rPr>
          <t>Tipología 2×2: cruza IP y IV (corte en 50) en cuatro perfiles de priorización — más simple de comunicar que mirar 9 dimensiones por separado.</t>
        </r>
      </text>
    </comment>
    <comment ref="AI3" authorId="0" shapeId="0" xr:uid="{00000000-0006-0000-0200-00001A000000}">
      <text>
        <r>
          <rPr>
            <sz val="11"/>
            <color theme="1"/>
            <rFont val="Calibri"/>
            <family val="2"/>
            <scheme val="minor"/>
          </rPr>
          <t>ISA-Pacto Verde: promedio de las 4 dimensiones de Pacto Verde Europeo (D12-D15), escala 0-1. Mide una preparación más amplia que la que exige estrictamente el EUDR.</t>
        </r>
      </text>
    </comment>
    <comment ref="AK3" authorId="0" shapeId="0" xr:uid="{00000000-0006-0000-0200-00001B000000}">
      <text>
        <r>
          <rPr>
            <sz val="11"/>
            <color theme="1"/>
            <rFont val="Calibri"/>
            <family val="2"/>
            <scheme val="minor"/>
          </rPr>
          <t>ISA-EUDR: combina D1-D7 con media geométrica (87.5% del peso: un cero en cualquiera de ellas no se compensa con las demás) y D8-D9 con media aritmética (12.5%, son moduladoras, no deben anular el índice solas).</t>
        </r>
      </text>
    </comment>
    <comment ref="AL3" authorId="0" shapeId="0" xr:uid="{00000000-0006-0000-0200-00001C000000}">
      <text>
        <r>
          <rPr>
            <sz val="11"/>
            <color theme="1"/>
            <rFont val="Calibri"/>
            <family val="2"/>
            <scheme val="minor"/>
          </rPr>
          <t>ISA-Completo: el puntaje final, 0 a 100. Combina ISA-EUDR (70%, decide el acceso al mercado europeo) e ISA-Pacto Verde (30%, decide la competitividad de largo plazo).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M2" authorId="0" shapeId="0" xr:uid="{00000000-0006-0000-0400-000001000000}">
      <text>
        <r>
          <rPr>
            <sz val="11"/>
            <color theme="1"/>
            <rFont val="Calibri"/>
            <family val="2"/>
            <scheme val="minor"/>
          </rPr>
          <t>Porcentaje del valor FOB exportado que va específicamente a la Unión Europea — mide la dependencia comercial del mercado que exige el EUDR.</t>
        </r>
      </text>
    </comment>
    <comment ref="O2" authorId="0" shapeId="0" xr:uid="{00000000-0006-0000-0400-000002000000}">
      <text>
        <r>
          <rPr>
            <sz val="11"/>
            <color theme="1"/>
            <rFont val="Calibri"/>
            <family val="2"/>
            <scheme val="minor"/>
          </rPr>
          <t>Puntaje de certificaciones vigentes (orgánico 60%, comercio justo 40%), usado como insumo de IV4 en ISCAM_Score.</t>
        </r>
      </text>
    </comment>
    <comment ref="P2" authorId="0" shapeId="0" xr:uid="{00000000-0006-0000-0400-000003000000}">
      <text>
        <r>
          <rPr>
            <sz val="11"/>
            <color theme="1"/>
            <rFont val="Calibri"/>
            <family val="2"/>
            <scheme val="minor"/>
          </rPr>
          <t>Tipo de organización (asociación, cooperativa, pendiente de formalizar) — usado en IV5 como proxy de riesgo de representación legal.</t>
        </r>
      </text>
    </comment>
  </commentList>
</comments>
</file>

<file path=xl/sharedStrings.xml><?xml version="1.0" encoding="utf-8"?>
<sst xmlns="http://schemas.openxmlformats.org/spreadsheetml/2006/main" count="5801" uniqueCount="1548">
  <si>
    <t>MATRIZ 174 — Datos existentes de organizaciones</t>
  </si>
  <si>
    <t>D12</t>
  </si>
  <si>
    <t>D13</t>
  </si>
  <si>
    <t>D14</t>
  </si>
  <si>
    <t>D15</t>
  </si>
  <si>
    <t>P1</t>
  </si>
  <si>
    <t>P2</t>
  </si>
  <si>
    <t>P3</t>
  </si>
  <si>
    <t>P4</t>
  </si>
  <si>
    <t>P5</t>
  </si>
  <si>
    <t>P6</t>
  </si>
  <si>
    <t>P7</t>
  </si>
  <si>
    <t>P8</t>
  </si>
  <si>
    <t>P9</t>
  </si>
  <si>
    <t>P10</t>
  </si>
  <si>
    <t>P11</t>
  </si>
  <si>
    <t>P12</t>
  </si>
  <si>
    <t>P13</t>
  </si>
  <si>
    <t>P14</t>
  </si>
  <si>
    <t>Bloque P
Score (0-1)</t>
  </si>
  <si>
    <t>ISA-PactoVerde
(0-1)</t>
  </si>
  <si>
    <t>RUC</t>
  </si>
  <si>
    <t>Razón Social (SUNAT)</t>
  </si>
  <si>
    <t>Depto</t>
  </si>
  <si>
    <t>Producto</t>
  </si>
  <si>
    <t>FOB Total USD</t>
  </si>
  <si>
    <t>N° DUAs</t>
  </si>
  <si>
    <t>Exporta</t>
  </si>
  <si>
    <t>Cert. Orgánica</t>
  </si>
  <si>
    <t>Cert. Fairtrade</t>
  </si>
  <si>
    <t>Estado SUNAT</t>
  </si>
  <si>
    <t>Avance EUDR</t>
  </si>
  <si>
    <t>FOB UE USD</t>
  </si>
  <si>
    <t>% UE/FOB</t>
  </si>
  <si>
    <t>HS Code principal</t>
  </si>
  <si>
    <t>Score Cert (0-1)</t>
  </si>
  <si>
    <t>Tipo org.</t>
  </si>
  <si>
    <t>N° aprox. socios</t>
  </si>
  <si>
    <t>Hectáreas aprox.</t>
  </si>
  <si>
    <t>PVE Score (0-100)</t>
  </si>
  <si>
    <t>Clasificación</t>
  </si>
  <si>
    <t>D3 Score (OSCE)</t>
  </si>
  <si>
    <t>D3 Observación</t>
  </si>
  <si>
    <t>D12 — Huella Carbono
0=Sin medición
1=En curso (ha conocidas)
2=Certificado
─────────────────────
NOTA: Valor actual = proxy FAO/IPCC
(ha × factor IPCC/FAO por cultivo).
Reemplazar tras Instrumento 2 Q40-Q44.</t>
  </si>
  <si>
    <t>Reporte Sostenibilidad (D13)
0=No, 1=En curso, 2=Publicado</t>
  </si>
  <si>
    <t>Economía Circular (D14)
0=No, 1=En transición, 2=Avanzado</t>
  </si>
  <si>
    <t>Fitosanitario/LMR (D15)
0=No verificado, 1=En monitoreo, 2=Cumple UE</t>
  </si>
  <si>
    <t>P1 — Productividad (USD/ha/año)</t>
  </si>
  <si>
    <t>P2 — Ingreso neto (USD/ha)</t>
  </si>
  <si>
    <t>P3 — % socios con acceso crédito</t>
  </si>
  <si>
    <t>P4 — Gender score (% muj. en org.)</t>
  </si>
  <si>
    <t>P5 — Formalización laboral (%)</t>
  </si>
  <si>
    <t>P6 — Capacitación/año/persona</t>
  </si>
  <si>
    <t>P7 — Tasa retención socios (%)</t>
  </si>
  <si>
    <t>P8 — Diversificación ingresos (%)</t>
  </si>
  <si>
    <t>P9 — Acceso mercados premium (%)</t>
  </si>
  <si>
    <t>P10 — Inversión EUDR (USD/año)</t>
  </si>
  <si>
    <t>P11 — Score trazabilidad (%)</t>
  </si>
  <si>
    <t>P12 — Quejas resueltas (%)</t>
  </si>
  <si>
    <t>P13 — Energía renovable (%)</t>
  </si>
  <si>
    <t>P14 — Residuos gestionados (%)</t>
  </si>
  <si>
    <t>ISA-PactoVerde (ponderado) = EXP_UE 20% + TRAZA 16% + DILIG 12% + CAPAC 8% + PRESION 12% + CERTIF 8% + PPWR 4% + AMBIENTAL(D12-D15) 20% (pesos en PONDERADORES)
0=Nada, 1=Preparación total</t>
  </si>
  <si>
    <t>20118578415</t>
  </si>
  <si>
    <t>CENT.DE COOP.AGR. CAF.VALLES SANDIA LTDA</t>
  </si>
  <si>
    <t>PUNO</t>
  </si>
  <si>
    <t>CAFÉ</t>
  </si>
  <si>
    <t>SI</t>
  </si>
  <si>
    <t>ACTIVO</t>
  </si>
  <si>
    <t>PENDIENTE</t>
  </si>
  <si>
    <t>Sin hallazgos OSCE / OEFA</t>
  </si>
  <si>
    <t>20129156083</t>
  </si>
  <si>
    <t>COOP AGRARIA CAFET VALLE RIO APURIMAC</t>
  </si>
  <si>
    <t>AYACUCHO</t>
  </si>
  <si>
    <t>CACAO</t>
  </si>
  <si>
    <t>NO</t>
  </si>
  <si>
    <t>20129529530</t>
  </si>
  <si>
    <t>COOP AGRARIA CAFETALERA SATIPO LTDA</t>
  </si>
  <si>
    <t>JUNIN</t>
  </si>
  <si>
    <t>20132489824</t>
  </si>
  <si>
    <t>COOPERATIVA AGRARIA CAFETALERA CHANCAMAYO LTDA. N° 008-B-VII</t>
  </si>
  <si>
    <t>CUSCO</t>
  </si>
  <si>
    <t>Cer</t>
  </si>
  <si>
    <t>Vig</t>
  </si>
  <si>
    <t>20132505455</t>
  </si>
  <si>
    <t>COOPERATIVA AGRARIA CAFETALERA AGUILAYOC LTDA. 084</t>
  </si>
  <si>
    <t>0.75</t>
  </si>
  <si>
    <t>20132509795</t>
  </si>
  <si>
    <t>COOPERATIVA AGRARIA CAFETALERA JOSE OLAYA LTDA N° 252</t>
  </si>
  <si>
    <t>20132509876</t>
  </si>
  <si>
    <t>COOPERATIVA AGRARIA CAFETALERA MARANURA LTDA. 129</t>
  </si>
  <si>
    <t>20132517119</t>
  </si>
  <si>
    <t>COOPERATIVA AGRARIA CAFETALERA MATEO PUMACAHUA LTDA N° 185</t>
  </si>
  <si>
    <t>Fai</t>
  </si>
  <si>
    <t>20136201132</t>
  </si>
  <si>
    <t>COOPERATIVA AGRARIA CAFETALERA ALTO URUBAMBA LTDA N° 239</t>
  </si>
  <si>
    <t>20136201213</t>
  </si>
  <si>
    <t xml:space="preserve">CENTRAL DE COOPERATIVAS AGRARIAS CAFETALERAS COCLA LTDA. N° </t>
  </si>
  <si>
    <t>⚠ 1 infracc. ambiental (OEFA)</t>
  </si>
  <si>
    <t>20140292657</t>
  </si>
  <si>
    <t>COOPERATIVA AGRARIA CAFETALERA CCOCHAPAMPA LTDA.</t>
  </si>
  <si>
    <t xml:space="preserve">
Fa</t>
  </si>
  <si>
    <t>20143692010</t>
  </si>
  <si>
    <t>COOPERATIVA AGRARIA EL QUINACHO LTDA. N° 078</t>
  </si>
  <si>
    <t>20145484597</t>
  </si>
  <si>
    <t>COOPERATIVA AGRARIA CAFETALERA SAN IGNACIO LTDA.</t>
  </si>
  <si>
    <t>20146696041</t>
  </si>
  <si>
    <t>COOP AGRARIA CAFET JOSE GABRIEL CONDORCA</t>
  </si>
  <si>
    <t>PIURA</t>
  </si>
  <si>
    <t>20147443120</t>
  </si>
  <si>
    <t>COOPERATIVA AGRARIA CAFETALERA TIRIJUAY PAVAYOC LTDA 013-B-V</t>
  </si>
  <si>
    <t>SUSPENSION TEMPORAL</t>
  </si>
  <si>
    <t>20166786861</t>
  </si>
  <si>
    <t>COMITE CENTRAL DE PRODUCTORES AGROPECUARIOS DE SAN ALEJANDRO</t>
  </si>
  <si>
    <t>UCAYALI</t>
  </si>
  <si>
    <t>20170142773</t>
  </si>
  <si>
    <t>COOPERATIVA AGRARIA CAFETALERA BAGUA GRANDE LIMITADA</t>
  </si>
  <si>
    <t>AMAZONAS</t>
  </si>
  <si>
    <t>20200880448</t>
  </si>
  <si>
    <t>COOPERATIVA AGRARIA CAFETALERA JORGE CHAVEZ LTDA</t>
  </si>
  <si>
    <t>20352417018</t>
  </si>
  <si>
    <t>COOPERATIVA AGRARIA DE CACAOTEROS TECNIFICADOS DE PADRE ABAD</t>
  </si>
  <si>
    <t>20352423921</t>
  </si>
  <si>
    <t>COOPERATIVA AGRARIA CAFETALERA DIVISORIA LTDA</t>
  </si>
  <si>
    <t>HUANUCO</t>
  </si>
  <si>
    <t>20393152207</t>
  </si>
  <si>
    <t>COOPERATIVA AGRO INDUSTRIAL APCTVASH</t>
  </si>
  <si>
    <t>20393593670</t>
  </si>
  <si>
    <t>COMITE CENTRAL CON DESARROLLO AL FUTURO DE CURIMANA</t>
  </si>
  <si>
    <t>BAJA DE OFICIO</t>
  </si>
  <si>
    <t>20393692228</t>
  </si>
  <si>
    <t>COOPERATIVA AGRARIA CACAOTERA SAN ALEJANDRO LTDA</t>
  </si>
  <si>
    <t>20393786044</t>
  </si>
  <si>
    <t>COOPERATIVA AGRARIA CAFETALERA COORDILLERA AZUL DE UCAYALI L</t>
  </si>
  <si>
    <t>20393816211</t>
  </si>
  <si>
    <t>COOPERATIVA AGRARIA SAN JUAN BAUTISTA</t>
  </si>
  <si>
    <t>20393882868</t>
  </si>
  <si>
    <t>COOPERATIVA AGRARIA ASCAH</t>
  </si>
  <si>
    <t>20393972000</t>
  </si>
  <si>
    <t>ASOCIACION DE MUJERES EMPRENDEDORAS FLOR DE BOQUERON</t>
  </si>
  <si>
    <t>20447888701</t>
  </si>
  <si>
    <t>COOPERATIVA AGRARIA INDUSTRIAL SAN GABAN LTDA.</t>
  </si>
  <si>
    <t>20450189201</t>
  </si>
  <si>
    <t>COOPERATIVA DE SERVICIOS MULTIPLES FRUTOS DE SELVA</t>
  </si>
  <si>
    <t>SAN MARTIN</t>
  </si>
  <si>
    <t>20450207544</t>
  </si>
  <si>
    <t>COOPERATIVA AGRARIA UCHIZA LTDA</t>
  </si>
  <si>
    <t>20450242021</t>
  </si>
  <si>
    <t>COOPERATIVA DE SERVICIOS MULTIPLES CAPEMA</t>
  </si>
  <si>
    <t>20450319423</t>
  </si>
  <si>
    <t>COOPERATIVA AGRARIA DE SERVICIOS MULTIPLES CAFE DONCEL</t>
  </si>
  <si>
    <t>20452774705</t>
  </si>
  <si>
    <t>COOPERATIVA AGRARIA CACAO VRAE</t>
  </si>
  <si>
    <t>20479595276</t>
  </si>
  <si>
    <t>COOPERATIVA AGRARIA CAFETALERA CASIL LTDA.</t>
  </si>
  <si>
    <t>CAJAMARCA</t>
  </si>
  <si>
    <t>20479622699</t>
  </si>
  <si>
    <t>COOPERATIVA AGRARIA JUAN MARCO EL PALTO</t>
  </si>
  <si>
    <t>20479856258</t>
  </si>
  <si>
    <t>ASOCIACION DE PRODUCTORES AGROPECUARIOS LUIS SOLIBARRIA</t>
  </si>
  <si>
    <t>20479917141</t>
  </si>
  <si>
    <t>COOPERATIVA AGRARIA CENTRAL DE PRODUCTORES DE AMAZONAS</t>
  </si>
  <si>
    <t>20480458550</t>
  </si>
  <si>
    <t>COOPERATIVA AGRARIA APROCAM</t>
  </si>
  <si>
    <t>20480762895</t>
  </si>
  <si>
    <t>ASOCIACION DE PRODUCTORES AGROPECUARIOS LA FLOR DE CAFE</t>
  </si>
  <si>
    <t>20484163902</t>
  </si>
  <si>
    <t>COOPERATIVA AGRARIA APPROCAP LTDA</t>
  </si>
  <si>
    <t>20485945815</t>
  </si>
  <si>
    <t>COOPERATIVA AGRARIA CAFETALERA ECOLOGICO ALTO PALOMAR</t>
  </si>
  <si>
    <t>20486094657</t>
  </si>
  <si>
    <t>ASOCIACION DE PRODUCTORES DE CAFES ESPECIALES MOUNTAIN COFFE</t>
  </si>
  <si>
    <t>20486255090</t>
  </si>
  <si>
    <t>COOPERATIVA AGRARIA SANGARENI</t>
  </si>
  <si>
    <t>20486668335</t>
  </si>
  <si>
    <t>COOPERATIVA AGROINDUSTRIAL SONOMORO LTDA</t>
  </si>
  <si>
    <t>20486876019</t>
  </si>
  <si>
    <t>COOPERATIVA AGROECOLOGICO INDUSTRIAL MAZAMARI LTDA</t>
  </si>
  <si>
    <t>20486973219</t>
  </si>
  <si>
    <t>COOPERATIVA AGRARIA SONOMORO DEL VRAEM LTDA</t>
  </si>
  <si>
    <t>20487242994</t>
  </si>
  <si>
    <t>COOPERATIVA AGRARIA ECOLOGICA CACAOTERA VALLE RIO ENE - COOP</t>
  </si>
  <si>
    <t>20487351343</t>
  </si>
  <si>
    <t>ASOCIACION DE PRODUCTORES AGROPECUARIOS TUPAC AMARU DE CHIÑA</t>
  </si>
  <si>
    <t>LAMBAYEQUE</t>
  </si>
  <si>
    <t>20487661539</t>
  </si>
  <si>
    <t>ASOCIACION DE PRODUCTORES CACAOTEROS DEL DISTRITO DE HUARANG</t>
  </si>
  <si>
    <t>20490726196</t>
  </si>
  <si>
    <t>ASOCIACIÓN DE PRODUCTORES AGROPECUARIOS VALLESITO - CHAHUARE</t>
  </si>
  <si>
    <t>20493934822</t>
  </si>
  <si>
    <t>COOPERATIVA AGRARIA NUEVO AMANECER LTDA.</t>
  </si>
  <si>
    <t>20493959574</t>
  </si>
  <si>
    <t>COOPERATIVA AGRARIA DE SERVICIOS MUJERES TECNOLOGAS CACAOTER</t>
  </si>
  <si>
    <t>20494126819</t>
  </si>
  <si>
    <t>ASOCIACION DE PRODUCTORES AGROPECUARIOS RIO MAYO SHANAO</t>
  </si>
  <si>
    <t>20494145791</t>
  </si>
  <si>
    <t>ASOCIACION ECOLOGICA Y DE PRODUCTORES AGROPECUARIOS SAN JOSE</t>
  </si>
  <si>
    <t>LORETO</t>
  </si>
  <si>
    <t>20494699690</t>
  </si>
  <si>
    <t>ASOCIACION DE PRODUCTORES DE CACAO ECOLOGICO DE KIMBIRI - AP</t>
  </si>
  <si>
    <t>20525969551</t>
  </si>
  <si>
    <t>COOPERATIVA AGRARIA DE PRODUCTORES DE BANANO, CACAO ORGANICO</t>
  </si>
  <si>
    <t>20526514689</t>
  </si>
  <si>
    <t>ASOCIACION DE PRODUCTORES AGROPECUARIOS ARTESANALES E INDUST</t>
  </si>
  <si>
    <t>20527565376</t>
  </si>
  <si>
    <t>COOPERATIVA AGRARIA CAFETALERA VALLE DE INCAHUASI</t>
  </si>
  <si>
    <t>APURIMAC</t>
  </si>
  <si>
    <t>20528996214</t>
  </si>
  <si>
    <t>COOPERATIVA AGRARIA CAFETALERA MILAGROS - MONZON</t>
  </si>
  <si>
    <t>20529801433</t>
  </si>
  <si>
    <t>OPA MARAY-ULLMA SAN LORENZO</t>
  </si>
  <si>
    <t>20529822350</t>
  </si>
  <si>
    <t>OPA PAPAYO - LA LAGUNA</t>
  </si>
  <si>
    <t>20531405723</t>
  </si>
  <si>
    <t>COOPERATIVA DE SERVICIOS MULTIPLES ADISA NARANJOS</t>
  </si>
  <si>
    <t>20531441797</t>
  </si>
  <si>
    <t>COOPERATIVA AGRARIA ALLIMA CACAO LTDA.</t>
  </si>
  <si>
    <t>20534524774</t>
  </si>
  <si>
    <t>COOPERATIVA AGRARIA TROPICAL ECOLOGICA DE KIMBIRI</t>
  </si>
  <si>
    <t>20539205600</t>
  </si>
  <si>
    <t>ASOCIACION DE PRODUCTORES Y EXPORTADORES DE CAFE RODRIGUEZ D</t>
  </si>
  <si>
    <t>20539241665</t>
  </si>
  <si>
    <t>ASOCIACION DE PRODUCTORES DE CAFES ORGANICOS Y CAFES ESPECIA</t>
  </si>
  <si>
    <t>20539280644</t>
  </si>
  <si>
    <t>ASOCIACION DE PEQUEÑOS AGRICULTORES PARA LA PRODUCCION ECOLO</t>
  </si>
  <si>
    <t>20542209951</t>
  </si>
  <si>
    <t>COOPERATIVA AGRARIA VALLE GRANDE</t>
  </si>
  <si>
    <t xml:space="preserve">Si </t>
  </si>
  <si>
    <t>1</t>
  </si>
  <si>
    <t>20542251990</t>
  </si>
  <si>
    <t>ASOCIACION DE MUJERES EMPRENDEDORAS DE NUEVO PROGRESO</t>
  </si>
  <si>
    <t>20542257416</t>
  </si>
  <si>
    <t>EMPRESA INDUSTRIAL ORO VERDE SOCIEDAD ANONIMA CERRADA</t>
  </si>
  <si>
    <t>20542264544</t>
  </si>
  <si>
    <t>COOPERATIVA AGRARIA VALLE DEL BIAVO LTDA</t>
  </si>
  <si>
    <t>PE-</t>
  </si>
  <si>
    <t>FLO</t>
  </si>
  <si>
    <t>20542289024</t>
  </si>
  <si>
    <t>CUENCAS DEL HUALLAGA ASOCIACION DE PRODUCTORES AGROPECUARIOS</t>
  </si>
  <si>
    <t>20542299330</t>
  </si>
  <si>
    <t xml:space="preserve">ASOCIACION DE PRODUCTORES AGROPECUARIOS DE SHUCUSHYACU FLOR </t>
  </si>
  <si>
    <t>20542311569</t>
  </si>
  <si>
    <t>COOPERATIVA AGRARIA ACHUAR SHAKAIM LTDA</t>
  </si>
  <si>
    <t>20542380455</t>
  </si>
  <si>
    <t>COOPERATIVA AGRARIA ECOFOREST</t>
  </si>
  <si>
    <t>20542482886</t>
  </si>
  <si>
    <t>COOPERATIVA AGROINDUSTRIAL APCCA</t>
  </si>
  <si>
    <t>20542825163</t>
  </si>
  <si>
    <t>COOPERATIVA AGRARIA CACAO FINO AGROBOSQUE</t>
  </si>
  <si>
    <t>MADRE DE DIOS</t>
  </si>
  <si>
    <t>20561140091</t>
  </si>
  <si>
    <t>COOPERATIVA AGRARIA ECOLOGICA CAFETALERA DE LONYA GRANDE</t>
  </si>
  <si>
    <t>SI(</t>
  </si>
  <si>
    <t>0.5</t>
  </si>
  <si>
    <t>20564032485</t>
  </si>
  <si>
    <t>ASOCIACION DE PRODUCTORES ECOLOGICOS DE CACAO MEDIO URUBAMBA</t>
  </si>
  <si>
    <t>20568071281</t>
  </si>
  <si>
    <t>COOPERATIVA AGRARIA CAFETALERA CEPRO YANESHA</t>
  </si>
  <si>
    <t>PASCO</t>
  </si>
  <si>
    <t>20568080948</t>
  </si>
  <si>
    <t>CONSEJO REGULADOR DE LA DENOMINACION DE ORIGEN CAFE VILLA RI</t>
  </si>
  <si>
    <t>20568190450</t>
  </si>
  <si>
    <t>COOPERATIVA AGRARIA KEMITO ENE LTDA. - KEMITO ENE</t>
  </si>
  <si>
    <t>20568194951</t>
  </si>
  <si>
    <t>ASOCIACION DE PRODUCTORES AGROSOSTENIBLES VILLA ECOLOGICA PE</t>
  </si>
  <si>
    <t>20568428375</t>
  </si>
  <si>
    <t>COOPERATIVA AGRARIA ASHANINKA DEL VALLE PICHIS</t>
  </si>
  <si>
    <t>20568549083</t>
  </si>
  <si>
    <t>COOPERATIVA AGRARIA INDUSTRIAL APASC SANCORE-PALCAZU LTDA</t>
  </si>
  <si>
    <t>20568560133</t>
  </si>
  <si>
    <t>COOPERATIVA AGRARIA ECOLOGICO ALTO PALCAZU LAGUNA RAYA</t>
  </si>
  <si>
    <t>20568567731</t>
  </si>
  <si>
    <t>COOPERATIVA AGRARIA VILLA RICA GOLDEN COFFEE LTDA.</t>
  </si>
  <si>
    <t>20568609833</t>
  </si>
  <si>
    <t xml:space="preserve">ASOCIACION DE MUJERES PRODUCTORAS ARTESANAS CACAO JENTARI - </t>
  </si>
  <si>
    <t>20568962282</t>
  </si>
  <si>
    <t>ASOCIACIÓN DE PRODUCTORES CENTRO COFFEE</t>
  </si>
  <si>
    <t>20570706927</t>
  </si>
  <si>
    <t>COOPERATIVA AGRARIA RUTAS DEL INCA</t>
  </si>
  <si>
    <t>20572111131</t>
  </si>
  <si>
    <t>ASOCIACION DE MUJERES ORGANIZADAS CHOCO WARMIS</t>
  </si>
  <si>
    <t>20572190251</t>
  </si>
  <si>
    <t>CENTRAL DE COOPERATIVAS AGRARIAS CACAO AROMA DE TOCACHE LTDA</t>
  </si>
  <si>
    <t>20573049102</t>
  </si>
  <si>
    <t>COOPERATIVA AGRARIA CACAOTERA PUERTO INCA</t>
  </si>
  <si>
    <t>20573057385</t>
  </si>
  <si>
    <t>COOPERATIVA AGRARIA PARAISO</t>
  </si>
  <si>
    <t>20573138202</t>
  </si>
  <si>
    <t>ASOCIACION DE PRODUCTORES AGROPECUARIOS Y FORESTALES EL ALVA</t>
  </si>
  <si>
    <t>20573260008</t>
  </si>
  <si>
    <t>COOPERATIVA AGRARIA AUCAYACU</t>
  </si>
  <si>
    <t>20573344791</t>
  </si>
  <si>
    <t>ASOCIACION AGROECOLOGICO HUANGANAPAMPA</t>
  </si>
  <si>
    <t>PLÁTANO</t>
  </si>
  <si>
    <t>20574797013</t>
  </si>
  <si>
    <t>ASOCIACION DE PRODUCTORES AGROPECUARIOS DE PARAISO CENTRAL</t>
  </si>
  <si>
    <t>20600001109</t>
  </si>
  <si>
    <t>COOPERATIVA AGRARIA CAFETALERA PRODUCTORA COMERCIAL EXPORTAD</t>
  </si>
  <si>
    <t>20600010086</t>
  </si>
  <si>
    <t>COOPERATIVA AGRARIA VALLE DEL CUCHARA LTDA</t>
  </si>
  <si>
    <t>20600029887</t>
  </si>
  <si>
    <t>COOPERATIVA AGRARIA INTEGRAL LUZ DE LA ESPERANZA</t>
  </si>
  <si>
    <t>20600146689</t>
  </si>
  <si>
    <t>COOPERATIVA AGRARIA DE SERVICIOS AGRICOLAS TAMBOPATA CANDAMO</t>
  </si>
  <si>
    <t>20600200756</t>
  </si>
  <si>
    <t>COOPERATIVA AGRARIA CAFETALERA MONTAÑA AZUL LTDA. - COOPACMA</t>
  </si>
  <si>
    <t>20600263286</t>
  </si>
  <si>
    <t>ASOCIACIÓN DE PRODUCTORES SELVA NORORIENTAL</t>
  </si>
  <si>
    <t>20600382064</t>
  </si>
  <si>
    <t>COOPERATIVA AGRARIA ECOLOGICA AGROINDUSTRIAL DE CURIMANA LTD</t>
  </si>
  <si>
    <t>20600390911</t>
  </si>
  <si>
    <t>COOPERATIVA AGRARIA DE CACAO AROMATICO COLPA DE LOROS</t>
  </si>
  <si>
    <t>20600529693</t>
  </si>
  <si>
    <t>AGRO ASOCIACION Y SERVICIOS TINKUY</t>
  </si>
  <si>
    <t>20600668430</t>
  </si>
  <si>
    <t>COOPERATIVA AGRARIA DEL CENTRO POBLADO DE BELLA BAJO MONZON</t>
  </si>
  <si>
    <t>20600682386</t>
  </si>
  <si>
    <t>ASOCIACION DE PRODUCTORES AGROPECUARIOS VALLE VERDE DE RODRI</t>
  </si>
  <si>
    <t>20600720733</t>
  </si>
  <si>
    <t>COOPERATIVA AGRARIA VALLE DEL MONZON CAV MONZON</t>
  </si>
  <si>
    <t>20600785541</t>
  </si>
  <si>
    <t>ASOCIACION DE PRODUCTORES CAFETALEROS ANDINOS SIERRA VERDE</t>
  </si>
  <si>
    <t>20600796683</t>
  </si>
  <si>
    <t>ASOCIACION DE PRODUCTORES DE CACAO SAN FRANCISCO MADRE DE DI</t>
  </si>
  <si>
    <t>20600796721</t>
  </si>
  <si>
    <t>ASOCIACIÓN DE PRODUCTORES AMAZONAS - ALTO MAYO</t>
  </si>
  <si>
    <t>20600874919</t>
  </si>
  <si>
    <t>COOPERATIVA AGRARIA DE LA INTER OCEANICA LIMITADA</t>
  </si>
  <si>
    <t>20600964080</t>
  </si>
  <si>
    <t>ASOCIACION DE AGRICULTORES KERGUERANOS</t>
  </si>
  <si>
    <t>20601067146</t>
  </si>
  <si>
    <t>COOPERATIVA AGRARIA INDUSTRIAL MONTE ALEGRE - REGION UCAYALI</t>
  </si>
  <si>
    <t>20601119316</t>
  </si>
  <si>
    <t>COOPERATIVA DE PRODUCTORES DE CACAO FINO Y DE AROMA</t>
  </si>
  <si>
    <t>20601186986</t>
  </si>
  <si>
    <t>COOPERATIVA AGRARIA LOS AMBIENTALISTAS LTDA</t>
  </si>
  <si>
    <t>20601329159</t>
  </si>
  <si>
    <t>COOPERATIVA AGRARIA CAFETALERA DE LA NACION YANESHA</t>
  </si>
  <si>
    <t>20601339090</t>
  </si>
  <si>
    <t>COOPERATIVA AGROINDUSTRIAL CAFETALERA CACOTERA MONZON LTDA</t>
  </si>
  <si>
    <t>20601537771</t>
  </si>
  <si>
    <t>ASOCIACION DE PRODUCTORES SOSTENIBLES EL AYNI</t>
  </si>
  <si>
    <t>20601558204</t>
  </si>
  <si>
    <t>COOPERATIVA AGRARIA CAFETALERA OCUMAL</t>
  </si>
  <si>
    <t xml:space="preserve">SI </t>
  </si>
  <si>
    <t>50 %</t>
  </si>
  <si>
    <t>20601667526</t>
  </si>
  <si>
    <t>COOP BESACARI - PERU</t>
  </si>
  <si>
    <t>20601919657</t>
  </si>
  <si>
    <t>COOPERATIVA AGRARIA INNOVACION CACAO Y CAFE DEL VRAEM</t>
  </si>
  <si>
    <t>20601939402</t>
  </si>
  <si>
    <t>COOPERATIVA AGRARIA ASHANINKA KEMITO SANKORI LTDA</t>
  </si>
  <si>
    <t>20601958911</t>
  </si>
  <si>
    <t>COOPERATIVA AGRARIA CAFETALERA LAGUNA DE LOS CÓNDORES</t>
  </si>
  <si>
    <t>20602047025</t>
  </si>
  <si>
    <t>ASOCIACION DE MUJERES CHOCOLATERAS CHOCOLATE CORAZON DE NOLB</t>
  </si>
  <si>
    <t>20602054480</t>
  </si>
  <si>
    <t>COOPERATIVA AGRARIA ECOLOGICA DE MUJERES CAFETALERAS VILLA R</t>
  </si>
  <si>
    <t>Empadronados PPA 64.8%</t>
  </si>
  <si>
    <t>20602161081</t>
  </si>
  <si>
    <t>APROVAPERU</t>
  </si>
  <si>
    <t>20602194265</t>
  </si>
  <si>
    <t>ASOCIACION DE AGRICULTORES DE CACAO Y REFORESTADORES DE CURI</t>
  </si>
  <si>
    <t>20602242464</t>
  </si>
  <si>
    <t>COOPERATIVA AGROPECUARIA MARCELINO VASQUEZ HUAMAN - COOPAMAV</t>
  </si>
  <si>
    <t>20602488927</t>
  </si>
  <si>
    <t>COOPERATIVA AGRARIA ECOLOGICO ROSAS PAMPA LTDA - CAECO ROSAS</t>
  </si>
  <si>
    <t>SI.</t>
  </si>
  <si>
    <t>0.93</t>
  </si>
  <si>
    <t>20602650643</t>
  </si>
  <si>
    <t>ASOCIACIÓN AGROEXPORTADORA DE LA REGIÓN SAN MARTÍN</t>
  </si>
  <si>
    <t>0.8</t>
  </si>
  <si>
    <t>20602712657</t>
  </si>
  <si>
    <t>COOPERATIVA AGRARIA CAFETALERA RIO TAMBO LIMITADA</t>
  </si>
  <si>
    <t>20602881971</t>
  </si>
  <si>
    <t>ASOCIACION DE PRODUCTORES AGRARIOS DE CACAO (APAC) ECHALACPE</t>
  </si>
  <si>
    <t>20603320621</t>
  </si>
  <si>
    <t>COOPERATIVA AGRARIA CAFETALERA ALTA MONTAÑA</t>
  </si>
  <si>
    <t>20603526423</t>
  </si>
  <si>
    <t>COOPERATIVA AGROINDUSTRIAL PERLA DEL HUALLAGA LTDA - CAPH LT</t>
  </si>
  <si>
    <t>20603557825</t>
  </si>
  <si>
    <t>COOPERATIVA AGRARIA KAFFEE SATIPO</t>
  </si>
  <si>
    <t>20603675551</t>
  </si>
  <si>
    <t xml:space="preserve">ASOCIACION DE PRODUCTORES AGROPECUARIOS MADRE SELVA - LACCO </t>
  </si>
  <si>
    <t>20603676476</t>
  </si>
  <si>
    <t>ASOCIACION DE PRODUCTORES AGROPECUARIOS PONGO MAYNIQUE DE LA</t>
  </si>
  <si>
    <t>20603820691</t>
  </si>
  <si>
    <t>COOPERATIVA AGRARIA DE SERVICIOS MULTIPLES CORDILLERA AZUL -</t>
  </si>
  <si>
    <t xml:space="preserve">UE </t>
  </si>
  <si>
    <t>20603829515</t>
  </si>
  <si>
    <t>ASOCIACION DE PRODUCTORES AGROPECUARIOS LOS NOGALES ALTO ITA</t>
  </si>
  <si>
    <t>20603842511</t>
  </si>
  <si>
    <t>ASOCIACION DE PRODUCTORES AGROPECUARIOS RIQ´CHARI DE TINTINI</t>
  </si>
  <si>
    <t>20603862369</t>
  </si>
  <si>
    <t>COOPERATIVA AGRARIA TROPICALS PRODUCTS</t>
  </si>
  <si>
    <t>251</t>
  </si>
  <si>
    <t>20604151954</t>
  </si>
  <si>
    <t>COOPERATIVA AGRARIA DE SERVICIOS MULTIPLES SUR ORIENTE - COO</t>
  </si>
  <si>
    <t>20604215600</t>
  </si>
  <si>
    <t xml:space="preserve">ASOCIACION DE PRODUCTORES DE CACAO ECOLOGICO DE DISTRITO DE </t>
  </si>
  <si>
    <t>20604309728</t>
  </si>
  <si>
    <t>ASOCIACION DE PRODUCTORES CAFETALEROS AGROECOLOGICOS SAN JUA</t>
  </si>
  <si>
    <t>20604401187</t>
  </si>
  <si>
    <t>ORGANIZACION ZONAL SAN MIGUEL DEL FAIQUE</t>
  </si>
  <si>
    <t>20604705411</t>
  </si>
  <si>
    <t>COOPERATIVA AGRARIA CRUZ DE YANAHUANCA</t>
  </si>
  <si>
    <t>20604988200</t>
  </si>
  <si>
    <t>ASOCIACION DE PRODUCTORES DE CACAO CCAPAQKILLA</t>
  </si>
  <si>
    <t>20605228489</t>
  </si>
  <si>
    <t xml:space="preserve">ASOCIACION AGROINDUSTRIAL DE MUJERES PRODUCTORAS DE CACAO Y </t>
  </si>
  <si>
    <t>20605500430</t>
  </si>
  <si>
    <t>COOPERATIVA AGRARIA DE PRODUCTORES ECOLOGICOS LOS CHANKAS VA</t>
  </si>
  <si>
    <t>20605688170</t>
  </si>
  <si>
    <t>COOPERATIVA AGRARIA ALEXANDER VON HUMBOLDT LTDA</t>
  </si>
  <si>
    <t>20606041382</t>
  </si>
  <si>
    <t>ASOCIACION AROMA DE MUJER LLAQUE</t>
  </si>
  <si>
    <t>20606451122</t>
  </si>
  <si>
    <t>ASOCIACIÓN DE PRODUCTORES CERRO BLANCO</t>
  </si>
  <si>
    <t>0.7</t>
  </si>
  <si>
    <t>20606485281</t>
  </si>
  <si>
    <t>COOPERATIVA AGROINDUSTRIAL DE LA GRAN NACION ASHANINKA</t>
  </si>
  <si>
    <t>20606556331</t>
  </si>
  <si>
    <t>ASOCIACIÓN ABISEO SAN MARTIN - ASABISAM</t>
  </si>
  <si>
    <t>20606717475</t>
  </si>
  <si>
    <t>ASOCIACION DE PEQUEÑOS PRODUCTORES AGROPECUARIOS ULLMA</t>
  </si>
  <si>
    <t>BAJA PROV. POR OFICIO</t>
  </si>
  <si>
    <t>20607265624</t>
  </si>
  <si>
    <t>ASOCIACION DE PEQUEÑOS PRODUCTORES AGROPECUARIOS PENACHI-KER</t>
  </si>
  <si>
    <t>20607382604</t>
  </si>
  <si>
    <t>ASOCIACION DE PEQUEÑOS PRODUCTORES AGROPECUARIOS SAN LORENZO</t>
  </si>
  <si>
    <t>20607536016</t>
  </si>
  <si>
    <t>COOPERATIVA AGRARIA COOPAGRO LTDA - COOPERATIVA COOPAGRO</t>
  </si>
  <si>
    <t>20607558559</t>
  </si>
  <si>
    <t>COOPERATIVA AGRARIA INDÍGENA AWAJUN WAMPIS TUNTANAIN LTDA</t>
  </si>
  <si>
    <t>20607775185</t>
  </si>
  <si>
    <t>ASOCIACION DE PRODUCTORES ANDINOS SOLIDARIOS-KAÑARIS</t>
  </si>
  <si>
    <t>20608235648</t>
  </si>
  <si>
    <t>ASOCIACIÓN DE PRODUCTORES DE CACAO ORGÁNICO PUSHARO MANU</t>
  </si>
  <si>
    <t>20608294512</t>
  </si>
  <si>
    <t>COOPERATIVA AGRARIA KURI VALLE DEL SISA LTDA</t>
  </si>
  <si>
    <t>20608478311</t>
  </si>
  <si>
    <t>COOPERATIVA AGRARIA YAKATHEO DEL AMAZONAS COOPAYAKAT</t>
  </si>
  <si>
    <t>20609025353</t>
  </si>
  <si>
    <t>ASOCIACION DE PRODUCTORES AGROPERU MANDOVA</t>
  </si>
  <si>
    <t>20609555395</t>
  </si>
  <si>
    <t>COOPERATIVA AGRARIA BANAQUI CURIMANA</t>
  </si>
  <si>
    <t>20609846314</t>
  </si>
  <si>
    <t>COOPERATIVA AGRARIA DE FAMILIAS CAMPESINAS EMPRENDEDORAS Y R</t>
  </si>
  <si>
    <t>20610739491</t>
  </si>
  <si>
    <t>ASOCIACION DE PRODUCTORES AGROPECUARIOS DON ANDRES-AMAZONAS</t>
  </si>
  <si>
    <t>20610772553</t>
  </si>
  <si>
    <t>ASOCIACION DE MUJERES CAFICULTORAS DE CHINYAMA</t>
  </si>
  <si>
    <t>20611316616</t>
  </si>
  <si>
    <t>OTROS</t>
  </si>
  <si>
    <t>20611935243</t>
  </si>
  <si>
    <t>COOPERATIVA AGRARIA ECOLOGICA CANIARI AMAZONICA CAECAM</t>
  </si>
  <si>
    <t>20612331821</t>
  </si>
  <si>
    <t>ASOCIACIÓN DE MUJERES LAS FLORES DE LUYA</t>
  </si>
  <si>
    <t>PLANTILLA ÍNDICE PVE — PACTO VERDE EUROPEO</t>
  </si>
  <si>
    <t>Clasificación de preparación y vulnerabilidad de cooperativas café y cacao ante el EUDR / Pacto Verde Europeo</t>
  </si>
  <si>
    <t>PROPÓSITO</t>
  </si>
  <si>
    <t>Esta plantilla calcula, para cada cooperativa cafetalera o cacaotera, un puntaje de 0 a 100 (ISA-Completo) que resume qué tan preparada está frente al Reglamento Europeo de Deforestación (EUDR) — la norma que desde diciembre de 2026 exige que todo café y cacao exportado a la Unión Europea tenga trazabilidad hasta la parcela de origen — y qué tan vulnerable es a quedar excluida del mercado europeo si no llega preparada a tiempo. Sirve para decidir, con datos y no solo con percepción, a qué organizaciones dar asistencia técnica primero y de qué tipo.</t>
  </si>
  <si>
    <t>CÓMO FUNCIONA</t>
  </si>
  <si>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</si>
  <si>
    <t>FLUJO DE USO</t>
  </si>
  <si>
    <t>Paso 1</t>
  </si>
  <si>
    <t>Revisar PONDERADORES — los pesos son editables en celdas amarillas</t>
  </si>
  <si>
    <t>Paso 2</t>
  </si>
  <si>
    <t>Ir a MATRIZ_174 — verificar/actualizar FOB, país destino, certificaciones</t>
  </si>
  <si>
    <t>Paso 3</t>
  </si>
  <si>
    <t>Paso 4</t>
  </si>
  <si>
    <t>Revisar SCORECARDS — el semáforo se actualiza automáticamente</t>
  </si>
  <si>
    <t>Paso 5</t>
  </si>
  <si>
    <t>Usar RADAR_BRECHAS para comparación por departamento</t>
  </si>
  <si>
    <t>SEMÁFORO</t>
  </si>
  <si>
    <t>🔴 Crítico (0–33)</t>
  </si>
  <si>
    <t>La cooperativa no puede generar la declaración EUDR. Riesgo de rechazo en frontera UE desde dic 2026.</t>
  </si>
  <si>
    <t>🟡 Vulnerable (34–66)</t>
  </si>
  <si>
    <t>Tiene infraestructura parcial pero incompleta. Necesita inversión en geolocalización y proceso.</t>
  </si>
  <si>
    <t>🟢 Preparado (67–100)</t>
  </si>
  <si>
    <t>Cumple los requisitos mínimos. Requiere monitoreo de actualización.</t>
  </si>
  <si>
    <t>NOTAS IMPORTANTES</t>
  </si>
  <si>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</si>
  <si>
    <t>Esta plantilla es un instrumento vivo: los pesos en PONDERADORES son editables (celda amarilla) y se ajustarán con un panel de expertos (método AHP) y con los resultados del primer piloto.</t>
  </si>
  <si>
    <t>El RUC es la llave que conecta todas las hojas entre sí: nunca debe quedar vacío, y no se debe reordenar esa columna una vez que se empiece a cargar información real.</t>
  </si>
  <si>
    <t>Cada cambio relevante a esta plantilla debe guardarse como una copia fechada (carpeta respaldos), para poder reconstruir cualquier estado anterior si algo sale mal.</t>
  </si>
  <si>
    <t>GLOSARIO</t>
  </si>
  <si>
    <t>EUDR</t>
  </si>
  <si>
    <t>Reglamento (UE) 2023/1115: la norma europea que exige trazabilidad y legalidad para café y cacao exportado a la UE a partir de diciembre de 2026.</t>
  </si>
  <si>
    <t>Pacto Verde Europeo (PVE)</t>
  </si>
  <si>
    <t>La estrategia más amplia de la Unión Europea para una economía climáticamente neutra. El EUDR es una de sus piezas; el PVE además evalúa huella de carbono, economía circular y envases.</t>
  </si>
  <si>
    <t>ISA (Índice Sintético de Alineamiento)</t>
  </si>
  <si>
    <t>El puntaje final (ISA-Completo, 0-100) que resume la preparación y vulnerabilidad de cada organización frente al EUDR y al Pacto Verde.</t>
  </si>
  <si>
    <t>IP (Índice de Preparación)</t>
  </si>
  <si>
    <t>Qué tan lista está la organización hoy (documentación, trazabilidad, legalidad, capacidad digital, acceso a mercado).</t>
  </si>
  <si>
    <t>IV (Índice de Vulnerabilidad)</t>
  </si>
  <si>
    <t>Qué tan expuesta está la organización si no logra prepararse a tiempo (dependencia del mercado europeo, fragmentación de tierra, informalidad).</t>
  </si>
  <si>
    <t>RE (Riesgo de Exclusión)</t>
  </si>
  <si>
    <t>El riesgo real de quedar fuera del mercado europeo: combina IP e IV — la preparación (IP) modera cuánto de la vulnerabilidad (IV) se vuelve riesgo real.</t>
  </si>
  <si>
    <t>AHP (Proceso de Análisis Jerárquico)</t>
  </si>
  <si>
    <t>Método estándar para que un panel de expertos derive los pesos de un índice a partir de comparaciones por pares, en vez de asumir pesos iguales por defecto.</t>
  </si>
  <si>
    <t>INSTRUMENTO 2 (v0.4, 119 preguntas) — Correspondencia pregunta → destino en esta plantilla</t>
  </si>
  <si>
    <t>Sección</t>
  </si>
  <si>
    <t>ID</t>
  </si>
  <si>
    <t>Bloque / Dimensión</t>
  </si>
  <si>
    <t>Pregunta</t>
  </si>
  <si>
    <t>Tipo de campo</t>
  </si>
  <si>
    <t>Opciones</t>
  </si>
  <si>
    <t>Destino en esta plantilla</t>
  </si>
  <si>
    <t>Sección 0 — Metadata de campo</t>
  </si>
  <si>
    <t>M1</t>
  </si>
  <si>
    <t>Bloque 0 — Ficha de identificación</t>
  </si>
  <si>
    <t>Fecha</t>
  </si>
  <si>
    <t>—</t>
  </si>
  <si>
    <t>Google Sheet de respuestas, col. D (`fecha_aplicacion`)</t>
  </si>
  <si>
    <t>M2</t>
  </si>
  <si>
    <t>Respuesta corta</t>
  </si>
  <si>
    <t>Google Sheet de respuestas, col. E (`encuestador`)</t>
  </si>
  <si>
    <t>M3</t>
  </si>
  <si>
    <t>Lista desplegable</t>
  </si>
  <si>
    <t>Google Form directo / Piggyback GIZ / Piggyback SAFE / Piggyback MIDAGRI / Evento gremial / Otro</t>
  </si>
  <si>
    <t>Google Sheet de respuestas, col. F (`canal_aplicacion`)</t>
  </si>
  <si>
    <t>Sección 1 — Bloque 0: Ficha de identificación</t>
  </si>
  <si>
    <t>B0.1</t>
  </si>
  <si>
    <t>Nombre de la cooperativa / razón social</t>
  </si>
  <si>
    <t>`MATRIZ_174!B` (Razón Social)</t>
  </si>
  <si>
    <t>B0.2</t>
  </si>
  <si>
    <t>Respuesta corta (validación: regex 11 dígitos si el Form lo permite)</t>
  </si>
  <si>
    <t>`MATRIZ_174!A` · `ISCAM_Score!A` · `SCORECARDS!A` — clave de join</t>
  </si>
  <si>
    <t>B0.3</t>
  </si>
  <si>
    <t>Producto(s) exportado(s) (café, cacao, madera, otro — indique código SA si lo conoce)</t>
  </si>
  <si>
    <t>Párrafo</t>
  </si>
  <si>
    <t>`MATRIZ_174!D` (Producto)</t>
  </si>
  <si>
    <t>B0.4</t>
  </si>
  <si>
    <t>N.º de socios productores y hectáreas totales asociadas (indique ambos: "N.º socios: ___ / Hectáreas: ___")</t>
  </si>
  <si>
    <t>`MATRIZ_174!Q` (N.° socios) + `R` (Ha)</t>
  </si>
  <si>
    <t>B0.5</t>
  </si>
  <si>
    <t>¿Exporta directamente a la Unión Europea o a través de un tercero?</t>
  </si>
  <si>
    <t>Opción múltiple</t>
  </si>
  <si>
    <t>Directamente / A través de un tercero</t>
  </si>
  <si>
    <t>`MATRIZ_174!G` (Exporta SI/NO)</t>
  </si>
  <si>
    <t>B0.6</t>
  </si>
  <si>
    <t>Si respondió "a través de un tercero": ¿quién es el comprador que sí exporta a la UE? (deje en blanco si no aplica)</t>
  </si>
  <si>
    <t>Respuesta corta (opcional)</t>
  </si>
  <si>
    <t>Sin destino en la plantilla — registro de auditoría</t>
  </si>
  <si>
    <t>B0.7</t>
  </si>
  <si>
    <t>Volumen anual aproximado destinado a la UE, como % del total exportado</t>
  </si>
  <si>
    <t>Respuesta corta (validación numérica 0-100)</t>
  </si>
  <si>
    <t>`MATRIZ_174!M` (% UE/FOB) — validación cruzada</t>
  </si>
  <si>
    <t>B0.8</t>
  </si>
  <si>
    <t>Destino(s) de sus exportaciones, marcando primero el principal — incluya destinos fuera de la UE</t>
  </si>
  <si>
    <t>Casillas de verificación</t>
  </si>
  <si>
    <t>Alemania / Bélgica / Países Bajos / Francia / Italia / España / Suecia / Dinamarca / Estados Unidos / Japón / China / Otro (especificar)</t>
  </si>
  <si>
    <t>Proxy `destino_principal` (D7); validación vs. DUAs</t>
  </si>
  <si>
    <t>B0.9</t>
  </si>
  <si>
    <t>Certificaciones voluntarias vigentes</t>
  </si>
  <si>
    <t>Rainforest Alliance / Fairtrade / Orgánico / UTZ / Otra / Ninguna</t>
  </si>
  <si>
    <t>`MATRIZ_174!H`/`I` → `O` (Score Cert)</t>
  </si>
  <si>
    <t>B0.10</t>
  </si>
  <si>
    <t>¿Las parcelas de los socios están concentradas en un solo distrito, repartidas en varios distritos de una misma provincia, o dispersas en varias provincias/regiones?</t>
  </si>
  <si>
    <t>Un solo distrito / Varios distritos, misma provincia / Varias provincias o regiones</t>
  </si>
  <si>
    <t>Insumo IV3 — `ISCAM_Score!W`</t>
  </si>
  <si>
    <t>B0.11</t>
  </si>
  <si>
    <t>Distancia aproximada entre las parcelas más alejadas de los socios y el centro de acopio o planta de procesamiento más cercano</t>
  </si>
  <si>
    <t>Menos de 5 km / Entre 5 y 20 km / Entre 20 y 50 km / Más de 50 km / No se ha medido</t>
  </si>
  <si>
    <t>B0.12</t>
  </si>
  <si>
    <t>% de mujeres en la directiva/consejo directivo</t>
  </si>
  <si>
    <t>Insumo IV5 — `ISCAM_Score!Y`</t>
  </si>
  <si>
    <t>B0.13</t>
  </si>
  <si>
    <t>¿Qué porcentaje aproximado de los socios productores opera en zonas clasificadas como de riesgo alto o muy alto de deforestación según el Mapa de Deforestación del MINAM o Global Forest Watch?</t>
  </si>
  <si>
    <t>Menos del 10% / Entre 10% y 30% / Entre 30% y 60% / Más del 60% / No se ha evaluado</t>
  </si>
  <si>
    <t>Insumo IV3/IP3 — `ISCAM_Score!W`/`R`</t>
  </si>
  <si>
    <t>B0.14</t>
  </si>
  <si>
    <t>¿La cooperativa tiene capacidad técnica de verificación directa en campo —personal o prestataire con formación agronómica— para supervisar las prácticas de los socios en sus parcelas de forma periódica?</t>
  </si>
  <si>
    <t>No tiene capacidad de verificación / Parcial, cubre menos de la mitad de los socios / Parcial, cubre más de la mitad / Sí, capacidad suficiente para visitas periódicas a todos los socios</t>
  </si>
  <si>
    <t>B0.15</t>
  </si>
  <si>
    <t>Tipo de organización</t>
  </si>
  <si>
    <t>Asociación / Cooperativa agraria / Cooperativa de servicios / Central o federación de cooperativas / Empresa / Otro (especificar)</t>
  </si>
  <si>
    <t>`MATRIZ_174!P` (Tipo org.)</t>
  </si>
  <si>
    <t>B0.16</t>
  </si>
  <si>
    <t>Departamento (y provincia) donde está registrada la sede de la organización</t>
  </si>
  <si>
    <t>`MATRIZ_174!C` (Depto) — validación SUNAT</t>
  </si>
  <si>
    <t>B0.17</t>
  </si>
  <si>
    <t>¿La organización está inscrita en el RNCA (Registro Nacional de Cooperativas Agrarias)?</t>
  </si>
  <si>
    <t>Sí / En trámite / No / No aplica (no es cooperativa agraria)</t>
  </si>
  <si>
    <t>Insumo IV2 — `ISCAM_Score!V`; proxy `rnca`</t>
  </si>
  <si>
    <t>Sección 2 — Bloque P: Variables de Performance</t>
  </si>
  <si>
    <t>Bloque P — Performance comercial</t>
  </si>
  <si>
    <t>Volumen exportado a la Unión Europea en el último año (especifique unidad —kg o toneladas— y producto si exporta ambos)</t>
  </si>
  <si>
    <t>Insumo IV1 — `ISCAM_Score!U`</t>
  </si>
  <si>
    <t>P1b</t>
  </si>
  <si>
    <t>Volumen TOTAL exportado a todos los destinos (UE y no UE) en el último año, mismo producto y misma unidad que la pregunta anterior</t>
  </si>
  <si>
    <t>Volumen exportado a la Unión Europea hace 3 años, mismo producto (kg o toneladas)</t>
  </si>
  <si>
    <t>No puntúa (retrospectivo)</t>
  </si>
  <si>
    <t>Ingreso total generado por ventas de exportación a la UE en el último año (especifique moneda: S/ o USD)</t>
  </si>
  <si>
    <t>Insumo IV1 — `ISCAM_Score!U`; deriva indicador de desempeño P2</t>
  </si>
  <si>
    <t>N.º de compradores/clientes europeos activos actualmente</t>
  </si>
  <si>
    <t>Respuesta corta (numérica)</t>
  </si>
  <si>
    <t>N.º de compradores/clientes europeos activos hace 3 años</t>
  </si>
  <si>
    <t>Precio promedio pagado al socio productor por kg/quintal en el último año (especifique S/ o USD)</t>
  </si>
  <si>
    <t>Derivada `var_precio_socio`</t>
  </si>
  <si>
    <t>Precio promedio pagado al socio productor por kg/quintal hace 3 años</t>
  </si>
  <si>
    <t>¿Ha tenido algún lote rechazado u observado por un comprador europeo por motivos de trazabilidad/deforestación en los últimos 2 años?</t>
  </si>
  <si>
    <t>Sí / No / No sabe</t>
  </si>
  <si>
    <t>Proxy `reg_rechazos` (D5)</t>
  </si>
  <si>
    <t>Si la respuesta anterior fue "Sí": N.º aproximado de lotes rechazados u observados (deje en blanco si no aplica)</t>
  </si>
  <si>
    <t>Detalle de P8 — no puntúa</t>
  </si>
  <si>
    <t>¿Ha perdido algún contrato o comprador europeo en los últimos 2 años por motivos de cumplimiento (EUDR u otro requisito de sostenibilidad del comprador)?</t>
  </si>
  <si>
    <t>Proxy presión PV del comprador (D7)</t>
  </si>
  <si>
    <t>% del volumen total exportado en el último año que cuenta con trazabilidad completa verificada hasta la parcela de origen (0-100%)</t>
  </si>
  <si>
    <t>`MATRIZ_174!AK` (P11 — Score trazabilidad)</t>
  </si>
  <si>
    <t>N.º de años consecutivos exportando a la Unión Europea, contando el año actual</t>
  </si>
  <si>
    <t>Validación externa — no puntúa</t>
  </si>
  <si>
    <t>¿Algún comprador europeo ha exigido formalmente, en los últimos 2 años, información sobre huella de carbono, LMR de pesticidas u otro requisito de sostenibilidad más allá del EUDR?</t>
  </si>
  <si>
    <t>No / Sí, de forma verbal o informal / Sí, como cuestionario de proveedor o documentación formal / Sí, como cláusula contractual o condición de pago</t>
  </si>
  <si>
    <t>¿La cooperativa ha accedido o intentado acceder a financiamiento verde, crédito de impacto o fondos condicionados a criterios de sostenibilidad del Pacto Verde en los últimos 2 años?</t>
  </si>
  <si>
    <t>No ha intentado / Lo intentó pero no cumplió los criterios / Sí, recibió financiamiento verde / No sabe si aplica a su caso</t>
  </si>
  <si>
    <t>Proxy financiamiento verde (D9)</t>
  </si>
  <si>
    <t>Sección 3 — D1: Clasificación regulatoria</t>
  </si>
  <si>
    <t>D1.1</t>
  </si>
  <si>
    <t>D1 — Clasificación regulatoria</t>
  </si>
  <si>
    <t>¿La cooperativa introduce el producto directamente en el mercado de la UE bajo su propio nombre?</t>
  </si>
  <si>
    <t>Sí / No</t>
  </si>
  <si>
    <t>`ISCAM_Score!E` (D1) — codificación 0/33/66/100</t>
  </si>
  <si>
    <t>D1.2</t>
  </si>
  <si>
    <t>¿Transforma el producto (trilla, tostado, fermentado, aserrío) antes de venderlo?</t>
  </si>
  <si>
    <t>Transforma / No transforma</t>
  </si>
  <si>
    <t>`ISCAM_Score!E` (D1) — contexto de rol</t>
  </si>
  <si>
    <t>D1.3</t>
  </si>
  <si>
    <t>¿Sabe con certeza qué rol le corresponde (operador, operador posterior, comerciante, micro/pequeño operador primario)?</t>
  </si>
  <si>
    <t>Sí con certeza / Idea aproximada / No sabe</t>
  </si>
  <si>
    <t>`ISCAM_Score!E` (D1)</t>
  </si>
  <si>
    <t>D1.4</t>
  </si>
  <si>
    <t>¿Cumple los umbrales de microempresa/pequeña empresa (Directiva 2013/34/UE)?</t>
  </si>
  <si>
    <t>D1.3a</t>
  </si>
  <si>
    <t>*(Rama: solo si D1.3 = "Sí con certeza" o "Idea aproximada")* ¿Cuál es el rol que le corresponde a la organización?</t>
  </si>
  <si>
    <t>Operador / Operador posterior / Comerciante / Micro o pequeño operador primario / No sabe</t>
  </si>
  <si>
    <t>Sección 4 — D2: Trazabilidad y geolocalización</t>
  </si>
  <si>
    <t>D2.5</t>
  </si>
  <si>
    <t>D2 — Trazabilidad y geolocalización</t>
  </si>
  <si>
    <t>¿Existe registro de geolocalización (GPS/polígono) por parcela de socio?</t>
  </si>
  <si>
    <t>Escala lineal 0-4</t>
  </si>
  <si>
    <t>0 = No existe/No sabe … 4 = Implementado y verificado/auditado</t>
  </si>
  <si>
    <t>`ISCAM_Score!F` vía `SCORECARDS!H` (D2)</t>
  </si>
  <si>
    <t>D2.6</t>
  </si>
  <si>
    <t>% de socios con parcela geolocalizada</t>
  </si>
  <si>
    <t>D2.7</t>
  </si>
  <si>
    <t>¿El sistema vincula un lote exportado con la(s) parcela(s) específica(s)?</t>
  </si>
  <si>
    <t>Misma leyenda que D2.5</t>
  </si>
  <si>
    <t>D2.8</t>
  </si>
  <si>
    <t>¿Quién levantó la información de geolocalización?</t>
  </si>
  <si>
    <t>Técnico propio / Consultor / Proyecto de cooperación / Socio por su cuenta / No se ha levantado</t>
  </si>
  <si>
    <t>D2.9</t>
  </si>
  <si>
    <t>Frecuencia de actualización de la geolocalización</t>
  </si>
  <si>
    <t>Nunca / Al ingreso del socio / Anual / Por cosecha</t>
  </si>
  <si>
    <t>D2.10</t>
  </si>
  <si>
    <t>¿Existe algún punto en el proceso de acopio o beneficio donde se mezclan físicamente lotes de distinto origen sin registro de qué parcelas los componen?</t>
  </si>
  <si>
    <t>Sí, se mezclan sin control / Se mezclan pero con registro de origen / No, se mantiene segregación física completa</t>
  </si>
  <si>
    <t>`ISCAM_Score!F` (D2) + bandera `SCORECARDS!AD`</t>
  </si>
  <si>
    <t>D2.5a</t>
  </si>
  <si>
    <t>¿Qué porcentaje aproximado del volumen exportado proviene de proveedores externos (productores que no son socios de la cooperativa)?</t>
  </si>
  <si>
    <t>0%, todo proviene de socios / Menos del 10% / Entre 10% y 30% / Más del 30% / No se ha cuantificado</t>
  </si>
  <si>
    <t>D2.5b</t>
  </si>
  <si>
    <t>*(Rama: solo si D2.5a ≠ "0%, todo proviene de socios" y ≠ "No se ha cuantificado")* Si compra a proveedores externos: ¿se registra el nombre, la cantidad y el origen (parcela o zona) de cada proveedor externo?</t>
  </si>
  <si>
    <t>Sí, verificado con georreferencia / Sí, pero sin georreferencia / Solo nombre y cantidad / No se registra / No aplica</t>
  </si>
  <si>
    <t>`ISCAM_Score!F` (D2) + bandera</t>
  </si>
  <si>
    <t>Sección 5 — D3: Legalidad de la producción</t>
  </si>
  <si>
    <t>D3.11</t>
  </si>
  <si>
    <t>D3 — Legalidad de la producción</t>
  </si>
  <si>
    <t>% de socios con título de propiedad o posesión reconocida legalmente</t>
  </si>
  <si>
    <t>`ISCAM_Score!G` (D3)</t>
  </si>
  <si>
    <t>D3.12</t>
  </si>
  <si>
    <t>¿Hay parcelas superpuestas a áreas naturales protegidas o su zona de amortiguamiento, reservas comunales o territorios indígenas sin sanear?</t>
  </si>
  <si>
    <t>Sí, extensa / Sí, puntual / Sí, en área natural protegida o zona de amortiguamiento / No verificado / No, ninguna</t>
  </si>
  <si>
    <t>D3.13</t>
  </si>
  <si>
    <t>¿Se verifica cumplimiento laboral (no trabajo infantil, seguridad social) a nivel de finca?</t>
  </si>
  <si>
    <t>D3.14</t>
  </si>
  <si>
    <t>¿Alguna parcela de socios se ubica en una zona de desarrollo alternativo (ex-cultivo de coca) o con antecedentes de conflicto social/territorial?</t>
  </si>
  <si>
    <t>Sí / No / No verificado</t>
  </si>
  <si>
    <t>D3.14a</t>
  </si>
  <si>
    <t>¿Los socios cuentan con autorización de uso de agua para su actividad productiva, cuando corresponde?</t>
  </si>
  <si>
    <t>Sí, todas las fuentes verificadas / Parcialmente / No / No aplica</t>
  </si>
  <si>
    <t>D3.14b</t>
  </si>
  <si>
    <t>¿El tratamiento de aguas residuales del beneficio/procesamiento cumple con lo exigido por la autoridad ambiental?</t>
  </si>
  <si>
    <t>Siempre / A veces / No / No aplica</t>
  </si>
  <si>
    <t>D3.14c</t>
  </si>
  <si>
    <t>¿Alguna parcela de socios se encuentra dentro de la faja marginal de un río, quebrada, lago o laguna?</t>
  </si>
  <si>
    <t>D3.14d</t>
  </si>
  <si>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</si>
  <si>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</si>
  <si>
    <t>D3.14e</t>
  </si>
  <si>
    <t>¿La cooperativa y sus socios están al día en sus obligaciones tributarias, aduaneras y comerciales vinculadas a la actividad exportadora?</t>
  </si>
  <si>
    <t>Sí, verificado / Parcialmente / No verificado / No sabe</t>
  </si>
  <si>
    <t>D3.14f</t>
  </si>
  <si>
    <t>¿Existen políticas o mecanismos internos contra la corrupción (código de conducta, canal de denuncias) aplicables a la cadena de abastecimiento?</t>
  </si>
  <si>
    <t>Sí, formalizado / Informal / No existe</t>
  </si>
  <si>
    <t>D3.14g</t>
  </si>
  <si>
    <t>Cuando corresponde (parcelas de socios en territorio de comunidades indígenas, nativas o campesinas), ¿se ha realizado un proceso de Consentimiento Libre, Previo e Informado (CLPI)?</t>
  </si>
  <si>
    <t>Sí, proceso documentado / Aplica pero no se ha realizado / No aplica, no hay territorios de este tipo / No sabe</t>
  </si>
  <si>
    <t>D3.14h</t>
  </si>
  <si>
    <t>¿La organización cuenta con autorizaciones ambientales vigentes para su planta y actividad (EIA, DIA, certificación forestal o certificado de habilitación, según corresponda)?</t>
  </si>
  <si>
    <t>Sí, vigentes y verificadas / Parcial, alguna falta o está vencida / No / No aplica (sin actividad que la requiera)</t>
  </si>
  <si>
    <t>D3.14i</t>
  </si>
  <si>
    <t>¿Existe algún proceso sancionador vigente de OEFA, SINEFA u otra autoridad ambiental contra la organización o sus socios?</t>
  </si>
  <si>
    <t>Sí, vigente y sin resolver / Sí, en proceso de resolución / No / No sabe</t>
  </si>
  <si>
    <t>`MATRIZ_174!U` (D3) + bandera `ISCAM_Score!AD` + IV4 (`X`)</t>
  </si>
  <si>
    <t>Sección 6 — D4: Riesgo de deforestación</t>
  </si>
  <si>
    <t>D4.15</t>
  </si>
  <si>
    <t>D4 — Riesgo de deforestación</t>
  </si>
  <si>
    <t>¿Se verificó cambio de uso de suelo posterior al 31 de diciembre de 2020 mediante cruce de las parcelas con mapas de deforestación (GEOSERFOR/PNCB o Global Forest Watch)?</t>
  </si>
  <si>
    <t>No verificado / Verificación parcial / Verificado sin hallazgos / Casos detectados sin resolver / Verificado sistemáticamente y documentado</t>
  </si>
  <si>
    <t>`ISCAM_Score!H` (D4)</t>
  </si>
  <si>
    <t>D4.16</t>
  </si>
  <si>
    <t>¿Usa herramientas de monitoreo satelital (Global Forest Watch, plataformas nacionales)?</t>
  </si>
  <si>
    <t>D4.17</t>
  </si>
  <si>
    <t>¿Conoce la clasificación de riesgo (bajo/estándar/alto) de su zona?</t>
  </si>
  <si>
    <t>Sí documentado / Idea aproximada / No sabe</t>
  </si>
  <si>
    <t>D4.15a</t>
  </si>
  <si>
    <t>¿Se han detectado alertas activas de deforestación en parcelas de socios de la organización (GEOSERFOR, PNCB o Global Forest Watch)?</t>
  </si>
  <si>
    <t>Sí, detectadas y sin resolver / Sí, detectadas y mitigadas o aclaradas / No se han detectado / No se monitorea</t>
  </si>
  <si>
    <t>`ISCAM_Score!H` (D4) + IP2 (`Q`) + bandera</t>
  </si>
  <si>
    <t>Sección 7 — D5: Sistema interno de diligencia debida</t>
  </si>
  <si>
    <t>D5.18</t>
  </si>
  <si>
    <t>D5 — Diligencia debida</t>
  </si>
  <si>
    <t>¿Existe procedimiento escrito de diligencia debida?</t>
  </si>
  <si>
    <t>`ISCAM_Score!I` vía `SCORECARDS!I` (D5)</t>
  </si>
  <si>
    <t>D5.18a</t>
  </si>
  <si>
    <t>¿Existe una política de deforestación formal y escrita (distinta del procedimiento operativo), con objetivos, metas medibles y plazos (ej. compromiso de "cero deforestación" a una fecha determinada)?</t>
  </si>
  <si>
    <t>D5.18b</t>
  </si>
  <si>
    <t>¿La cooperativa prioriza sus riesgos de deforestación con algún criterio de probabilidad e impacto (aunque sea informal), o los atiende sin un orden definido?</t>
  </si>
  <si>
    <t>No se prioriza, se atiende lo que surge / Priorización informal, sin criterio escrito / Priorización estructurada con matriz probabilidad×impacto o similar</t>
  </si>
  <si>
    <t>D5.19</t>
  </si>
  <si>
    <t>¿Ha elaborado o participado en una declaración de diligencia debida / simplificada?</t>
  </si>
  <si>
    <t>No sabe qué es / No pero lo entiende / En proceso / Presentada y aceptada</t>
  </si>
  <si>
    <t>D5.19a</t>
  </si>
  <si>
    <t>Del plan de gestión de riesgos de la cooperativa (si existe), marque los componentes que incluye explícitamente</t>
  </si>
  <si>
    <t>Plazos definidos / Recursos (humanos o financieros) asignados / Responsables designados / Procedimientos de consulta con socios y comunidades / Sistema de seguimiento y monitoreo / Protocolo ante incumplimiento de un socio / Atención diferenciada a productoras mujeres</t>
  </si>
  <si>
    <t>D5.20</t>
  </si>
  <si>
    <t>¿Existe responsable designado para el cumplimiento EUDR?</t>
  </si>
  <si>
    <t>No / Función adicional / Dedicado</t>
  </si>
  <si>
    <t>D5.21</t>
  </si>
  <si>
    <t>¿Capacitación formal en los últimos 12 meses?</t>
  </si>
  <si>
    <t>No / Hace más de 12 meses / Sí, reciente</t>
  </si>
  <si>
    <t>D5.21a</t>
  </si>
  <si>
    <t>¿El plan de gestión de riesgos se revisa con una frecuencia definida (ej. anual, por campaña)?</t>
  </si>
  <si>
    <t>No hay revisión definida / Revisión reactiva, sin frecuencia fija / Revisión periódica definida</t>
  </si>
  <si>
    <t>D5.21b</t>
  </si>
  <si>
    <t>¿La cooperativa elabora y comunica un reporte de debida diligencia con indicadores (ej. % de producto trazado hasta finca, N.º de alertas tempranas detectadas, N.º de productores capacitados)?</t>
  </si>
  <si>
    <t>No / Sí, uso interno solamente / Sí, interno y compartido con compradores u otras partes interesadas</t>
  </si>
  <si>
    <t>Sección 8 — D6: Capacidad organizacional y digital</t>
  </si>
  <si>
    <t>D6.22</t>
  </si>
  <si>
    <t>D6 — Capacidad organizacional y digital</t>
  </si>
  <si>
    <t>Presupuesto asignado al cumplimiento EUDR</t>
  </si>
  <si>
    <t>No / Parcial, solo actividades de cumplimiento / Parcial, incluye tecnología y datos / Sí, con partida explícita para tecnología y datos</t>
  </si>
  <si>
    <t>`ISCAM_Score!J` vía `SCORECARDS!J` (D6)</t>
  </si>
  <si>
    <t>D6.22a</t>
  </si>
  <si>
    <t>¿La cooperativa cuenta con una base de datos o sistema centralizado (digital o no) que permite vincular a cada socio proveedor con sus parcelas geolocalizadas, los lotes que ha entregado y su volumen?</t>
  </si>
  <si>
    <t>No existe / Existe en papel desorganizado / Existe digital pero sin vínculos entre tablas / Existe digital con vínculos actualizados entre socio-parcela-lote</t>
  </si>
  <si>
    <t>D6.22b</t>
  </si>
  <si>
    <t>*(Rama: solo si D6.22a ≠ "No existe" y ≠ "Existe en papel desorganizado")* ¿Qué tipo de sistema digital utiliza?</t>
  </si>
  <si>
    <t>Excel o Access básico / Software especializado de trazabilidad (ChainPoint, Teia, BQuant, otro) / Sistema web propio o de tercero / Base de datos personalizada con soporte técnico regular</t>
  </si>
  <si>
    <t>D6.23</t>
  </si>
  <si>
    <t>Digitalización de registros</t>
  </si>
  <si>
    <t>Papel / Mixto / Digital</t>
  </si>
  <si>
    <t>D6.24</t>
  </si>
  <si>
    <t>Conectividad a internet</t>
  </si>
  <si>
    <t>No hay / Limitada / Confiable</t>
  </si>
  <si>
    <t>D6.25</t>
  </si>
  <si>
    <t>¿Ha gestionado apoyo externo para adecuarse?</t>
  </si>
  <si>
    <t>No y lo necesita / No lo cree necesario / Sí en el pasado / Sí activo</t>
  </si>
  <si>
    <t>D6.25a</t>
  </si>
  <si>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</si>
  <si>
    <t>No existe política de respaldo / Parcial, solo los más críticos / Sí, con respaldo definido pero no probado / Sí, con protocolo probado periódicamente</t>
  </si>
  <si>
    <t>D6.25b</t>
  </si>
  <si>
    <t>*(Rama: solo si D6.25a = "Sí, con respaldo definido pero no probado" o "Sí, con protocolo probado")* ¿El protocolo fue diseñado internamente o con apoyo externo? ¿Cuándo se probó por última vez?</t>
  </si>
  <si>
    <t>Diseñado internamente / Con apoyo de ONG o programa / Con apoyo de consultoría o proveedor IT / Nunca se ha probado / Probado hace más de 12 meses / Probado en los últimos 12 meses</t>
  </si>
  <si>
    <t>D6.22c</t>
  </si>
  <si>
    <t>¿Hay personal asignado a la gestión de datos y trazabilidad (aunque sea a medio tiempo)?</t>
  </si>
  <si>
    <t>Sí, personal dedicado / Parcial, como función adicional / No / No sabe</t>
  </si>
  <si>
    <t>Sección 9 — D7: Cadena de valor</t>
  </si>
  <si>
    <t>D7.26</t>
  </si>
  <si>
    <t>D7 — Cadena de valor / presión comprador</t>
  </si>
  <si>
    <t>¿El comprador ha exigido formalmente geolocalización/diligencia debida?</t>
  </si>
  <si>
    <t>Aún no / Informalmente / Formalmente por escrito</t>
  </si>
  <si>
    <t>`ISCAM_Score!K` (D7)</t>
  </si>
  <si>
    <t>D7.27</t>
  </si>
  <si>
    <t>¿El comprador ofrece financiamiento/asistencia técnica condicionada al cumplimiento?</t>
  </si>
  <si>
    <t>D7.28</t>
  </si>
  <si>
    <t>Riesgo percibido de perder el contrato si no cumple a tiempo</t>
  </si>
  <si>
    <t>No sabe / Bajo / Medio / Alto</t>
  </si>
  <si>
    <t>D7.28b</t>
  </si>
  <si>
    <t>¿El comprador europeo ha comunicado que sus propias obligaciones (EUDR, CSRD, CSDDD u otra) implican requisitos adicionales sobre la cadena de suministro más allá de la geolocalización?</t>
  </si>
  <si>
    <t>No ha mencionado nada / Lo ha mencionado verbalmente sin requisito formal / Sí, ha enviado documentación o cuestionario de proveedores / Sí, lo ha formalizado como cláusula contractual</t>
  </si>
  <si>
    <t>D7.28c</t>
  </si>
  <si>
    <t>*(Rama: solo si D7.28b = "Sí, ha enviado documentación" o "Sí, lo ha formalizado como cláusula")* ¿Qué tipo de documentación ha enviado o solicitado el comprador? ¿Cubre solo a la cooperativa o también a sus proveedores?</t>
  </si>
  <si>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</si>
  <si>
    <t>D7.26a</t>
  </si>
  <si>
    <t>¿El comprador principal (primera mano) es una empresa de la Unión Europea o está sujeto a la Directiva de diligencia debida empresarial (CSDDD)?</t>
  </si>
  <si>
    <t>Sí, empresa de la UE / No es de la UE pero está sujeto a CSDDD / No / No sabe</t>
  </si>
  <si>
    <t>`ISCAM_Score!K` (D7) + IV1 (`U`)</t>
  </si>
  <si>
    <t>D7.26b</t>
  </si>
  <si>
    <t>¿Existe contrato o acuerdo escrito con el comprador principal que incluya cláusula de debida diligencia, geolocalización o trazabilidad?</t>
  </si>
  <si>
    <t>Sí, con cláusula explícita EUDR o equivalente / Sí, pero sin cláusula específica / No hay contrato escrito / No sabe</t>
  </si>
  <si>
    <t>`ISCAM_Score!K` (D7) + PRESION (`PONDERADORES!A16`)</t>
  </si>
  <si>
    <t>Sección 10 — D8: Gobernanza y participación de socios</t>
  </si>
  <si>
    <t>D8.29</t>
  </si>
  <si>
    <t>D8 — Gobernanza y participación</t>
  </si>
  <si>
    <t>¿Se han realizado asambleas o reuniones informativas sobre el EUDR dirigidas a los socios (no solo a la directiva)?</t>
  </si>
  <si>
    <t>`ISCAM_Score!L` (D8)</t>
  </si>
  <si>
    <t>D8.30</t>
  </si>
  <si>
    <t>% estimado de socios que entienden, al menos en términos generales, por qué se les pide geolocalización/documentación</t>
  </si>
  <si>
    <t>D8.31</t>
  </si>
  <si>
    <t>¿Existe algún mecanismo interno (incentivo o condición) para que los socios entreguen su información de parcela?</t>
  </si>
  <si>
    <t>No existe / Se pide informalmente / Es requisito formal para vender a la cooperativa</t>
  </si>
  <si>
    <t>D8.32</t>
  </si>
  <si>
    <t>Rotación de la directiva en los últimos 2 años</t>
  </si>
  <si>
    <t>Alta / Moderada / Baja/estable</t>
  </si>
  <si>
    <t>Sección 11 — D9: Sostenibilidad económica del cumplimiento</t>
  </si>
  <si>
    <t>D9.33</t>
  </si>
  <si>
    <t>D9 — Sostenibilidad económica</t>
  </si>
  <si>
    <t>Estimación del costo total de adecuación (geolocalización, saneamiento, sistemas, capacitación) frente al presupuesto anual de la cooperativa</t>
  </si>
  <si>
    <t>Costo mayor al 10% del presupuesto anual / Entre 3-10% / Menor al 3% / No se ha estimado</t>
  </si>
  <si>
    <t>`ISCAM_Score!M` (D9)</t>
  </si>
  <si>
    <t>D9.34</t>
  </si>
  <si>
    <t>¿Cómo ha financiado (o financiaría) la organización la adecuación al EUDR?</t>
  </si>
  <si>
    <t>Con crédito o endeudamiento / Con recursos propios / Existe fuente de financiamiento identificada (verde, cooperación o programa público), aún no ejecutada / No ha sido necesario / No sabe</t>
  </si>
  <si>
    <t>D9.35</t>
  </si>
  <si>
    <t>¿Existe riesgo de que el costo de adecuación se traslade a un menor precio pagado al socio productor?</t>
  </si>
  <si>
    <t>Sí, ya ha ocurrido / Es un riesgo latente / No aplica / No se ha evaluado</t>
  </si>
  <si>
    <t>Sección 12 — D10: Confusión entre certificación voluntaria y cumplimiento EUDR</t>
  </si>
  <si>
    <t>D10.36</t>
  </si>
  <si>
    <t>D10 — Confusión certificación/EUDR</t>
  </si>
  <si>
    <t>¿La cooperativa cree que su certificación vigente (Rainforest Alliance, Fairtrade, Orgánico, etc.) ya cubre las obligaciones del EUDR?</t>
  </si>
  <si>
    <t>Sí, totalmente / Sí, en parte / No, sabe que son cosas distintas / No tiene certificación</t>
  </si>
  <si>
    <t>`ISCAM_Score!N` (D10) — bandera, no promedia</t>
  </si>
  <si>
    <t>D10.37</t>
  </si>
  <si>
    <t>¿Algún proveedor o consultor le ha ofrecido una "certificación EUDR" como producto?</t>
  </si>
  <si>
    <t>D10.36a</t>
  </si>
  <si>
    <t>¿La organización ha recibido asesoría específica sobre el EUDR (a diferencia de asesoría genérica de sostenibilidad)?</t>
  </si>
  <si>
    <t>Sí, asesoría especializada en EUDR / Solo asesoría genérica de sostenibilidad / No ha recibido asesoría / No sabe</t>
  </si>
  <si>
    <t>Sección 13 — D11: Ecosistema de apoyo externo</t>
  </si>
  <si>
    <t>D11.38</t>
  </si>
  <si>
    <t>D11 — Ecosistema de apoyo externo</t>
  </si>
  <si>
    <t>Marque los actores con los que la cooperativa ya tiene contacto o apoyo activo</t>
  </si>
  <si>
    <t>SERFOR (legalidad forestal) / PNCB-MINAM (monitoreo satelital) / MIDAGRI o programa regional de café-cacao / Gobierno regional (catastro/saneamiento) / Cooperación internacional (GIZ, USAID, UE, ONG) / Junta Nacional del Café, APPCACAO u otro gremio / Ninguno</t>
  </si>
  <si>
    <t>`ISCAM_Score!O` (D11) — mapeo</t>
  </si>
  <si>
    <t>D11.39</t>
  </si>
  <si>
    <t>De los actores no marcados en la pregunta anterior, ¿cuáles conoce pero no ha contactado, y por qué?</t>
  </si>
  <si>
    <t>D11.39a</t>
  </si>
  <si>
    <t>¿La organización está inscrita en una plataforma de trazabilidad del sector (APPCACAO, Junta Nacional del Café u otra equivalente)?</t>
  </si>
  <si>
    <t>Sí / En proceso de inscripción / No / No conoce la plataforma</t>
  </si>
  <si>
    <t>Sección 14 — D12–D15: Pacto Verde europeo (alimentan ISA-PV, 30% de ISA-Completo)</t>
  </si>
  <si>
    <t>D12.42</t>
  </si>
  <si>
    <t>D12 — Huella de carbono (Pacto Verde)</t>
  </si>
  <si>
    <t>¿La organización mide o ha calculado la huella de carbono de su actividad productiva y de procesamiento (alcance 1 y 2)?</t>
  </si>
  <si>
    <t>No mide (0) / Registra insumos o mide parcialmente, en curso (1) / Calculada y verificada por tercero (2)</t>
  </si>
  <si>
    <t>`MATRIZ_174!W` -&gt; promedio con D13-D15 -&gt; componente AMBIENTAL (20%) de ISA-PV (ponderado) -&gt; 30% de `AL`</t>
  </si>
  <si>
    <t>D13.45</t>
  </si>
  <si>
    <t>D13 — Reporte de sostenibilidad (Pacto Verde)</t>
  </si>
  <si>
    <t>¿La organización elabora y publica un reporte de sostenibilidad con información de su desempeño ambiental y social?</t>
  </si>
  <si>
    <t>No (0) / En preparación (1) / Publicado (2)</t>
  </si>
  <si>
    <t>`MATRIZ_174!X` -&gt; promedio con D12/D14/D15 -&gt; componente AMBIENTAL (20%) de ISA-PV (ponderado)</t>
  </si>
  <si>
    <t>D14.51</t>
  </si>
  <si>
    <t>D14 — Economía circular (Pacto Verde)</t>
  </si>
  <si>
    <t>¿La organización gestiona los residuos y subproductos del beneficio (compostaje, reutilización de agua, aprovechamiento de pulpa o cáscara, u otras prácticas de economía circular)?</t>
  </si>
  <si>
    <t>No (0) / En transición, prácticas aisladas (1) / Avanzado, procesos establecidos (2)</t>
  </si>
  <si>
    <t>`MATRIZ_174!Y` -&gt; promedio con D12/D13/D15 -&gt; componente AMBIENTAL (20%) de ISA-PV (ponderado)</t>
  </si>
  <si>
    <t>D15.58</t>
  </si>
  <si>
    <t>D15 — Fitosanitario / LMR (Pacto Verde)</t>
  </si>
  <si>
    <t>¿La organización monitorea residuos de plaguicidas (LMR) en su producto para asegurar el cumplimiento de los límites de la Unión Europea?</t>
  </si>
  <si>
    <t>No verificado (0) / En monitoreo interno (1) / Cumple límites UE verificado (2)</t>
  </si>
  <si>
    <t>`MATRIZ_174!Z` -&gt; promedio con D12-D14 -&gt; componente AMBIENTAL (20%) de ISA-PV (ponderado)</t>
  </si>
  <si>
    <t>Sección 15 — PPWR: Envases y packaging (Reglamento europeo de envases)</t>
  </si>
  <si>
    <t>PP1</t>
  </si>
  <si>
    <t>PPWR — Envases y packaging</t>
  </si>
  <si>
    <t>¿Qué tipo de sacos de exportación utiliza principalmente?</t>
  </si>
  <si>
    <t>Yute reutilizable / Yute nuevo de un solo uso / Big-bag o saco plástico / Saco de papel / Otro (especificar)</t>
  </si>
  <si>
    <t>`SCORECARDS!M` (PPWR) + `PONDERADORES!A18`; proxy `tipo_saco`</t>
  </si>
  <si>
    <t>PP2</t>
  </si>
  <si>
    <t>¿Los sacos de exportación tienen certificación FSC o equivalente?</t>
  </si>
  <si>
    <t>`SCORECARDS!M` (PPWR) + `PONDERADORES!A18`; proxy `fsc`</t>
  </si>
  <si>
    <t>Sección 16 — Bloque R: Indicadores de Desempeño (columnas P1–P14 de `MATRIZ_174`)</t>
  </si>
  <si>
    <t>R1</t>
  </si>
  <si>
    <t>Bloque R — Indicadores de Desempeño</t>
  </si>
  <si>
    <t>¿Qué porcentaje aproximado de sus socios productores tiene acceso a crédito formal, fondo rotatorio o programa de financiamiento?</t>
  </si>
  <si>
    <t>`MATRIZ_174!AC` (P3) → `AO` (P_Global)</t>
  </si>
  <si>
    <t>R2</t>
  </si>
  <si>
    <t>¿Qué porcentaje de los socios productores trabajadores está formalizado (contrato, planilla o aportación a seguridad social)?</t>
  </si>
  <si>
    <t>`MATRIZ_174!AE` (P5) → `AO`</t>
  </si>
  <si>
    <t>R3</t>
  </si>
  <si>
    <t>¿Cuántas capacitaciones técnicas recibe en promedio cada socio productor al año?</t>
  </si>
  <si>
    <t>`MATRIZ_174!AF` (P6) → `AO`</t>
  </si>
  <si>
    <t>R4</t>
  </si>
  <si>
    <t>¿Qué porcentaje de los socios que tenía hace 3 años siguen activos entregando producto a la organización?</t>
  </si>
  <si>
    <t>`MATRIZ_174!AG` (P7) → `AO`</t>
  </si>
  <si>
    <t>R5</t>
  </si>
  <si>
    <t>¿Qué porcentaje del ingreso total de la organización proviene de productos distintos del café o cacao?</t>
  </si>
  <si>
    <t>`MATRIZ_174!AH` (P8) → `AO`</t>
  </si>
  <si>
    <t>R6</t>
  </si>
  <si>
    <t>¿Qué porcentaje de su volumen se comercializa en mercados premium o con prima (certificado, especial, single origin u otro)?</t>
  </si>
  <si>
    <t>`MATRIZ_174!AI` (P9) → `AO`</t>
  </si>
  <si>
    <t>R7</t>
  </si>
  <si>
    <t>¿Cuánto invirtió la organización en adecuación al EUDR en el último año? (especifique moneda: S/ o USD)</t>
  </si>
  <si>
    <t>`MATRIZ_174!AJ` (P10) → `AO`</t>
  </si>
  <si>
    <t>R8</t>
  </si>
  <si>
    <t>¿Qué porcentaje de los reclamos o quejas formales de socios presentados en los últimos 2 años fueron resueltos?</t>
  </si>
  <si>
    <t>`MATRIZ_174!AL` (P12) → `AO`</t>
  </si>
  <si>
    <t>R9</t>
  </si>
  <si>
    <t>¿Qué porcentaje de la energía que consume la organización (sede y planta de procesamiento) proviene de fuentes renovables?</t>
  </si>
  <si>
    <t>`MATRIZ_174!AM` (P13) → `AO`</t>
  </si>
  <si>
    <t>R10</t>
  </si>
  <si>
    <t>¿Qué porcentaje de los residuos y subproductos del beneficio se gestionan con tratamiento (compostaje, reciclaje, biogás u otro)?</t>
  </si>
  <si>
    <t>`MATRIZ_174!AN` (P14) → `AO`</t>
  </si>
  <si>
    <t>ISCAM — ISA-Completo = 0.70×ISA-EUDR + 0.30×ISA-PV  |  IP × IV → RE  |  Café y Cacao Perú — 174 organizaciones</t>
  </si>
  <si>
    <t>Razón Social</t>
  </si>
  <si>
    <t>D1 — Clasific.
Regulatoria</t>
  </si>
  <si>
    <t>D2 — Trazabilidad
(SCORECARDS H)</t>
  </si>
  <si>
    <t>D3 — Legalidad
(OSCE)</t>
  </si>
  <si>
    <t>D4 — Deforestación
Cero</t>
  </si>
  <si>
    <t>D5 — Diligencia
Debida</t>
  </si>
  <si>
    <t>D6 — Capacidad
Digital</t>
  </si>
  <si>
    <t>D7 — Presión
Comprador</t>
  </si>
  <si>
    <t>D8 — Gobernanza</t>
  </si>
  <si>
    <t>D9 — Riesgo
Financiero</t>
  </si>
  <si>
    <t>D10 — Certificac.</t>
  </si>
  <si>
    <t>D11 — Ecosistema
(inventario, no promedia)</t>
  </si>
  <si>
    <t>IP1
Trazabilidad
D2</t>
  </si>
  <si>
    <t>IP2
√(D3×D4)</t>
  </si>
  <si>
    <t>IP3
(D5+D6+D8)/3</t>
  </si>
  <si>
    <t>IP4
(D6+D2)/2</t>
  </si>
  <si>
    <t>IP5
(D7+D9+Cert)/3</t>
  </si>
  <si>
    <t>IV1
Exposición UE
(% FOB UE)</t>
  </si>
  <si>
    <t>IV2
D1 (base=50)</t>
  </si>
  <si>
    <t>IV3
Parcela ha/socio
(sin dato→65)</t>
  </si>
  <si>
    <t>IV4
Cert=0? → 70:30</t>
  </si>
  <si>
    <t>IV5
Tipo Asoc → 65:40</t>
  </si>
  <si>
    <t>IP
Preparación</t>
  </si>
  <si>
    <t>IV
Vulnerabilidad</t>
  </si>
  <si>
    <t>RE
Exclusión</t>
  </si>
  <si>
    <t>Tipología
2×2 ISCAM</t>
  </si>
  <si>
    <t>Banderas
Duras</t>
  </si>
  <si>
    <t>D12
Huella Carbono</t>
  </si>
  <si>
    <t>D13
Reporte Sostenib.</t>
  </si>
  <si>
    <t>D14
Economía Circular</t>
  </si>
  <si>
    <t>D15
Fitosanitario</t>
  </si>
  <si>
    <t>P_Global
Promedio P1:P14</t>
  </si>
  <si>
    <t>ISA-EUDR
Geom.D1–D7
+ Arit.D8–D9</t>
  </si>
  <si>
    <t>ISA-Completo
0.70×EUDR
+0.30×PV</t>
  </si>
  <si>
    <t>PROMEDIO MUESTRAL</t>
  </si>
  <si>
    <t>n = 174 organizaciones</t>
  </si>
  <si>
    <t>BLOQUE DE SUPUESTOS — PONDERACIONES DEL ÍNDICE PVE</t>
  </si>
  <si>
    <t>LEYENDA DE COLORES</t>
  </si>
  <si>
    <t>🔵 Azul</t>
  </si>
  <si>
    <t>Input hardcoded — valor primario, editable</t>
  </si>
  <si>
    <t>⚫ Negro</t>
  </si>
  <si>
    <t>Fórmula calculada — no editar manualmente</t>
  </si>
  <si>
    <t>🟡 Amarillo</t>
  </si>
  <si>
    <t>Input editable — cambiar ponderación aquí</t>
  </si>
  <si>
    <t>🟢 Verde</t>
  </si>
  <si>
    <t>Resultado positivo (cumple)</t>
  </si>
  <si>
    <t>🔴 Rojo</t>
  </si>
  <si>
    <t>Resultado negativo (no cumple)</t>
  </si>
  <si>
    <t>⬜ Gris</t>
  </si>
  <si>
    <t>Dato pendiente de capturar</t>
  </si>
  <si>
    <t>PONDERACIONES — MODIFICAR SOLO LAS CELDAS AMARILLAS</t>
  </si>
  <si>
    <t>Componente</t>
  </si>
  <si>
    <t>Dimensión EUDR</t>
  </si>
  <si>
    <t>Variable</t>
  </si>
  <si>
    <t>Ponderación (%)</t>
  </si>
  <si>
    <t>EXP_UE</t>
  </si>
  <si>
    <t>IV1 / Exposición UE</t>
  </si>
  <si>
    <t>% FOB exportado a UE sobre FOB total</t>
  </si>
  <si>
    <t>TRAZA</t>
  </si>
  <si>
    <t>D2 / Trazabilidad</t>
  </si>
  <si>
    <t>¿Existe vínculo lote → parcela con coords?</t>
  </si>
  <si>
    <t>DILIG</t>
  </si>
  <si>
    <t>D5 / Debida diligencia</t>
  </si>
  <si>
    <t>¿Existe proceso de evaluación de riesgo?</t>
  </si>
  <si>
    <t>CAPAC</t>
  </si>
  <si>
    <t>D6 / Capacidad digital</t>
  </si>
  <si>
    <t>¿Tiene personal dedicado a datos?</t>
  </si>
  <si>
    <t>PRESION</t>
  </si>
  <si>
    <t>D7 / Presión comprador</t>
  </si>
  <si>
    <t>¿Comprador UE exige EUDR?</t>
  </si>
  <si>
    <t>CERTIF</t>
  </si>
  <si>
    <t>Certificación (variable propia 'Cert', no es una dimensión D del instrumento)</t>
  </si>
  <si>
    <t>Score de certificaciones vigentes (Org + Ftrade)</t>
  </si>
  <si>
    <t>PPWR</t>
  </si>
  <si>
    <t>PPWR (variable propia, no es una dimensión D del instrumento — pendiente de cargar PP1/PP2)</t>
  </si>
  <si>
    <t>¿Usa sacos reutilizables o certificados?</t>
  </si>
  <si>
    <t>AMBIENTAL</t>
  </si>
  <si>
    <t>D12-D15 / Pacto Verde ambiental</t>
  </si>
  <si>
    <t>TOTAL</t>
  </si>
  <si>
    <t>⚠  El TOTAL debe sumar 100. Si lo ajustas, el Índice PVE en SCORECARDS se recalcula automáticamente.</t>
  </si>
  <si>
    <t>VERSION ISCAM (2026-10-12) — Pesos mostrados para transparencia (fijos, no editables)</t>
  </si>
  <si>
    <t>ISA-EUDR e ISA-PV usan pesos FIJOS (87.5%/12.5% y 70%/30%). IP/IV pesan 20% cada sub-dim.</t>
  </si>
  <si>
    <t>SUBDIM</t>
  </si>
  <si>
    <t>FÓRMULA</t>
  </si>
  <si>
    <t>PESO</t>
  </si>
  <si>
    <t>ISA-EUDR</t>
  </si>
  <si>
    <t>Geom(D1:D7)^(1/7)×0.875 + ((D8+D9)/2)×0.125 — ver ISCAM_Score!AK</t>
  </si>
  <si>
    <t>100%</t>
  </si>
  <si>
    <t>ISA-PactoVerde</t>
  </si>
  <si>
    <t>ISA-Completo</t>
  </si>
  <si>
    <t>0.70×ISA-EUDR + 0.30×ISA-PV — ver ISCAM_Score!AL</t>
  </si>
  <si>
    <t>IP1</t>
  </si>
  <si>
    <t>D2 — ver ISCAM_Score!P</t>
  </si>
  <si>
    <t>20%</t>
  </si>
  <si>
    <t>IP2</t>
  </si>
  <si>
    <t>SQRT(D3 × D4) — ver ISCAM_Score!Q</t>
  </si>
  <si>
    <t>IP3</t>
  </si>
  <si>
    <t>(D5 + D6 + D8) / 3 — ver ISCAM_Score!R</t>
  </si>
  <si>
    <t>IP4</t>
  </si>
  <si>
    <t>(D6 + D2) / 2 — ver ISCAM_Score!S</t>
  </si>
  <si>
    <t>IP5</t>
  </si>
  <si>
    <t>(D7 + D9 + Cert) / 3 — ver ISCAM_Score!T</t>
  </si>
  <si>
    <t>IP (total)</t>
  </si>
  <si>
    <t>AVG(IP1:IP5) — ver ISCAM_Score!Z</t>
  </si>
  <si>
    <t>IV1</t>
  </si>
  <si>
    <t>Exposición UE = % FOB UE (MATRIZ_174!M) — ver ISCAM_Score!U</t>
  </si>
  <si>
    <t>IV2</t>
  </si>
  <si>
    <t>D1 (base 50 si D1=0) — ver ISCAM_Score!V</t>
  </si>
  <si>
    <t>IV3</t>
  </si>
  <si>
    <t>Tamaño de parcela ha/socio (Q/R); sin dato → 65 — ver ISCAM_Score!W</t>
  </si>
  <si>
    <t>IV4</t>
  </si>
  <si>
    <t>IV5</t>
  </si>
  <si>
    <t>Tipo de organización (PENDIENTE/Asociación → 65) — ver ISCAM_Score!Y</t>
  </si>
  <si>
    <t>IV (total)</t>
  </si>
  <si>
    <t>AVG(IV1:IV5) — ver ISCAM_Score!AA</t>
  </si>
  <si>
    <t>RE</t>
  </si>
  <si>
    <t>Cuadrante 2×2</t>
  </si>
  <si>
    <t>IP≥50 vs &lt;50  ×  IV≥50 vs &lt;50</t>
  </si>
  <si>
    <t>Corte=50</t>
  </si>
  <si>
    <t>NOTAS 2026-10-14:</t>
  </si>
  <si>
    <t>P_Global</t>
  </si>
  <si>
    <t>DECIDIDO 2026-10-14: P_Global NO entra en ISA-Completo. El índice es el regresor/predictor del objetivo (f); la performance es la variable dependiente. ISCAM (Fase 4, paso 12) usa los indicadores de performance como validación externa del índice (certificaciones, % volumen trazable, continuidad exportadora, acceso a mercado UE): P_Global es esa variable de validación, no un insumo del índice. Fuente: Metodologia - Indice de Alineamiento (ISA) §5, Comparativa §3.3, Propuesta ISCAM IP-IV-RE.</t>
  </si>
  <si>
    <t>Escalas</t>
  </si>
  <si>
    <t>ISA-EUDR e ISA-Completo en 0–100; ISA-PV en 0–1 (MATRIZ_174!AP); el 0.30 de ISA-Completo multiplica ISA-PV ×100 (corregido 2026-10-14).</t>
  </si>
  <si>
    <t>SCORECARDS — ISA-Completo · IP · IV · RE · Café y Cacao Perú</t>
  </si>
  <si>
    <t>ISA-Completo
(0-100)</t>
  </si>
  <si>
    <t>Semáforo</t>
  </si>
  <si>
    <t>Ranking</t>
  </si>
  <si>
    <t>Trazab. (D2)</t>
  </si>
  <si>
    <t>Dilig. (D5)</t>
  </si>
  <si>
    <t>Capacidad (D6)</t>
  </si>
  <si>
    <t>Legalidad
D3 (OSCE)</t>
  </si>
  <si>
    <t>Cert (0-1)</t>
  </si>
  <si>
    <t>Tipología ISCAM</t>
  </si>
  <si>
    <t>Segmento</t>
  </si>
  <si>
    <t>Depto (join RUC)</t>
  </si>
  <si>
    <t>RESUMEN EJECUTIVO</t>
  </si>
  <si>
    <t>Total organizaciones</t>
  </si>
  <si>
    <t>Con exposición UE (FOB UE &gt; 0)</t>
  </si>
  <si>
    <t>🔴 Críticos (0-33)</t>
  </si>
  <si>
    <t>🟡 Vulnerables (34-66)</t>
  </si>
  <si>
    <t>🟢 Preparados (67-100)</t>
  </si>
  <si>
    <t>FOB total expuesto a UE (USD)</t>
  </si>
  <si>
    <t>RADAR DE BRECHAS — Score promedio por departamento y dimensión</t>
  </si>
  <si>
    <t>Departamento / Dimensión</t>
  </si>
  <si>
    <t>D1</t>
  </si>
  <si>
    <t>D2</t>
  </si>
  <si>
    <t>D3</t>
  </si>
  <si>
    <t>D4</t>
  </si>
  <si>
    <t>D5</t>
  </si>
  <si>
    <t>D6</t>
  </si>
  <si>
    <t>D7</t>
  </si>
  <si>
    <t>D8</t>
  </si>
  <si>
    <t>D9</t>
  </si>
  <si>
    <t>D10</t>
  </si>
  <si>
    <t>D11</t>
  </si>
  <si>
    <t>LEYENDA — NIVELES DE CUMPLIMIENTO</t>
  </si>
  <si>
    <t>🟢 Verde (0.67–1.00) — Cumplimiento adecuado</t>
  </si>
  <si>
    <t>🟡 Amarillo (0.34–0.66) — Brecha moderada</t>
  </si>
  <si>
    <t>🔴 Rojo (0.00–0.33) — Brecha crítica</t>
  </si>
  <si>
    <t>CORTE POR PRODUCTO — paridad café/cacao (sin sesgo)</t>
  </si>
  <si>
    <t>N.° orgs</t>
  </si>
  <si>
    <t>ISA-PV</t>
  </si>
  <si>
    <t>IP</t>
  </si>
  <si>
    <t>IV</t>
  </si>
  <si>
    <t>SIN PRODUCTO REGISTRADO</t>
  </si>
  <si>
    <t>Chequeo de paridad</t>
  </si>
  <si>
    <t>Regla: brecha máxima aceptable de 5 puntos de ISA-Completo entre café y cacao. Si se supera, revisar sesgo de redacción del instrumento o de muestreo antes de publicar resultados.</t>
  </si>
  <si>
    <t>ISA-Completo = 0.70×ISA-EUDR + 0.30×ISA-PV   |   ISA-EUDR = 0.875×Núcleo(D1–D7, geom.) + 0.125×Extendido(D8–D9, arit.)   |   ISA-PV = 8 componentes ponderados (ver PONDERADORES)   |   IP = Promedio(IP1..IP5)   |   IV = Promedio(IV1..IV5)   |   RE = IV×(1−IP/100)   |   Corte 2×2: 50</t>
  </si>
  <si>
    <t>ISA-PV
8 componentes ponderados</t>
  </si>
  <si>
    <t>EXP_UE 20% + TRAZA 16% + DILIG 12% + CAPAC 8% + PRESION 12% + CERTIF 8% + PPWR 4% + AMBIENTAL(D12-D15) 20% — ver ISCAM_Score!AI y MATRIZ_174!AP</t>
  </si>
  <si>
    <t>Para cada organización, aplicar el Instrumento 2 (hoja INSTRUMENTO_2_PREGUNTAS, 119 preguntas) y cargar las respuestas de D2 (Trazabilidad), D5 (Diligencia) y D6 (Capacidad) en SCORECARDS; D3 y las certificaciones se toman de MATRIZ_174, y las demás dimensiones se cargan con la capa de ingesta del instrumento (unión por RUC)</t>
  </si>
  <si>
    <t>P_Global — Promedio P1:P14
no entra en ISA-Completo (validación externa)</t>
  </si>
  <si>
    <t>Promedio D1–D11</t>
  </si>
  <si>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 Las preguntas marcadas "Insumo IVx" alimentan IV1–IV5 al cargar la ronda del instrumento; hoy esas subdimensiones operan con proxies documentados (ver PONDERADORES y §1.8 del documento de metodología).</t>
  </si>
  <si>
    <t>IV1–IV5 son proxies documentados mientras se ingesta el Instrumento 2; sus definiciones de diseño usan B0.7/P1/P1b/P4/D7.26a (IV1), B0.4/B0.10/B0.11/B0.13/B0.14 (IV3) y B0.12 + D3.14i (IV4/IV5). Cobertura D3 (OSCE/OEFA) completa: 174 de 174 organizaciones (2026-10-15); 0 inhabilitaciones OSCE vigentes y 1 infracción ambiental OEFA.</t>
  </si>
  <si>
    <t>Certificación: Cert=0 → 70 / Cert&gt;0 → 30, + agravante de legalidad 30% × (100 − D3) cuando hay registro OSCE/OEFA (tope 100) — ver ISCAM_Score!X</t>
  </si>
  <si>
    <t>Sin dato (pendiente Inst. 2)</t>
  </si>
  <si>
    <t>METODOLOGÍA ISCAM  |  ISA-EUDR = 0.875×(D1×D2×...×D7)^(1/7) + 0.125×(D8+D9)/2  |  ISA-PV = 8 componentes ponderados (ver PONDERADORES)  |  ISA-Completo = 0.70×ISA-EUDR + 0.30×ISA-PV  |  IP = Promedio(IP1..IP5): IP1=D2, IP2=√(D3×D4), IP3=(D5+D6+D8)/3, IP4=(D6+D2)/2, IP5=(D7+D9+Cert)/3  |  IV = Promedio(IV1..IV5): IV1=% FOB UE (tope 100), IV2=D1(base=50), IV3=ha/socio (≥2→35; 0.5-2→50; &lt;0.5→65), IV4=certificación (70/30) + agravante 30%×(100−D3), IV5=tipo Asoc?→65:40  |  RE = IV×(1−IP/100)  |  Corte 2×2: 50  |  █ GRIS=pendiente Inst.2  █ AZUL=Datos llenos  █ NARANJA=IV  █ ROJO=RE  █ VERDE=Ambiental  █ OSCURO=ISA  |  Regla de dato faltante: mientras el Instrumento 2 no se levante, ISA-EUDR, IP, RE e ISA-Completo se muestran como «—» (sin dato), no como 0.</t>
  </si>
  <si>
    <t>D2 — Trazabilidad</t>
  </si>
  <si>
    <t>D4 — Deforestación cero</t>
  </si>
  <si>
    <t>D6 — Capacidad digital</t>
  </si>
  <si>
    <t>D7 — Presión comprador</t>
  </si>
  <si>
    <t>D9 — Riesgo financiero</t>
  </si>
  <si>
    <t>D10 — Certificación</t>
  </si>
  <si>
    <t>D11 — Ecosistema de apoyo</t>
  </si>
  <si>
    <t>D13 — Reporte sostenibilidad</t>
  </si>
  <si>
    <t>D14 — Economía circular</t>
  </si>
  <si>
    <t>D15 — Fitosanitario / LMR</t>
  </si>
  <si>
    <t>D12 — Huella de carbono (=1 «en curso»)</t>
  </si>
  <si>
    <t>PVE promedio (ISA-PV, 0-100)</t>
  </si>
  <si>
    <t>Cobertura ISA-PV (n de 7 componentes; PPWR pendiente)</t>
  </si>
  <si>
    <t>REGLA DE DATO FALTANTE (2026-10-15)</t>
  </si>
  <si>
    <t>Mientras el Instrumento 2 no se levante, ISA-EUDR, IP, RE e ISA-Completo se muestran como «—» (sin dato), nunca como 0. Barrer la cobertura en ISCAM_Score!A182:C199.</t>
  </si>
  <si>
    <t>NOTA: D2/D5/D6 provienen de SCORECARDS (carga del Instrumento 2); D1, D3, D4 y D7–D11 de ISCAM_Score. Sin dato se muestra como «—» (gris), nunca como 0: la ausencia de dato no implica incumplimiento. El promedio D1–D11 solo se calcula con 7 o más dimensiones capturadas. Actualizado 2026-10-15.</t>
  </si>
  <si>
    <t>⬜ Gris («—») — Sin dato capturado</t>
  </si>
  <si>
    <t>Umbrales: ISA-EUDR se computa con 7 o más de las 9 dimensiones D1–D9 (las ausentes se excluyen y las restantes se re-ponderan); IP exige las 8 dimensiones D2–D9. Por debajo, se reporta «—» / «N/A» (sin dato).</t>
  </si>
  <si>
    <t>CODIFICACIÓN — Instrumento 2 · opción de respuesta → puntaje 0-100.  100 = mejor alineamiento con el EUDR.  «sin dato» = no se promedia.  [R] = revisar con el autor.</t>
  </si>
  <si>
    <t>Sección / Bloque</t>
  </si>
  <si>
    <t>Opción de respuesta</t>
  </si>
  <si>
    <t>Puntaje (0-100)</t>
  </si>
  <si>
    <t>Clave (ID|Opción)</t>
  </si>
  <si>
    <t>Nota</t>
  </si>
  <si>
    <t>no puntúa el índice (identificación, validación o derivada)</t>
  </si>
  <si>
    <t>(casillas múltiples, separar con «;»)</t>
  </si>
  <si>
    <t>Puntaje = (% de destinos de la UE sobre el total marcado) × 100  [R] revisar</t>
  </si>
  <si>
    <t>Sí</t>
  </si>
  <si>
    <t>P8|Sí</t>
  </si>
  <si>
    <t>No</t>
  </si>
  <si>
    <t>P8|No</t>
  </si>
  <si>
    <t>No sabe</t>
  </si>
  <si>
    <t>sin dato</t>
  </si>
  <si>
    <t>P8|No sabe</t>
  </si>
  <si>
    <t>«sin dato» no promedia</t>
  </si>
  <si>
    <t>P10|Sí</t>
  </si>
  <si>
    <t xml:space="preserve">  [R] revisar</t>
  </si>
  <si>
    <t>P10|No</t>
  </si>
  <si>
    <t>P10|No sabe</t>
  </si>
  <si>
    <t>«sin dato» no promedia  [R] revisar</t>
  </si>
  <si>
    <t>P13|No</t>
  </si>
  <si>
    <t>Sí, de forma verbal o informal</t>
  </si>
  <si>
    <t>P13|Sí, de forma verbal o informal</t>
  </si>
  <si>
    <t>Sí, como cuestionario de proveedor o documentación formal</t>
  </si>
  <si>
    <t>P13|Sí, como cuestionario de proveedor o documentación formal</t>
  </si>
  <si>
    <t>Sí, como cláusula contractual o condición de pago</t>
  </si>
  <si>
    <t>P13|Sí, como cláusula contractual o condición de pago</t>
  </si>
  <si>
    <t>No ha intentado</t>
  </si>
  <si>
    <t>P14|No ha intentado</t>
  </si>
  <si>
    <t>Lo intentó pero no cumplió los criterios</t>
  </si>
  <si>
    <t>P14|Lo intentó pero no cumplió los criterios</t>
  </si>
  <si>
    <t>Sí, recibió financiamiento verde</t>
  </si>
  <si>
    <t>P14|Sí, recibió financiamiento verde</t>
  </si>
  <si>
    <t>No sabe si aplica a su caso</t>
  </si>
  <si>
    <t>P14|No sabe si aplica a su caso</t>
  </si>
  <si>
    <t>D1.1|Sí</t>
  </si>
  <si>
    <t>D1.1|No</t>
  </si>
  <si>
    <t>Sí con certeza</t>
  </si>
  <si>
    <t>D1.3|Sí con certeza</t>
  </si>
  <si>
    <t>Idea aproximada</t>
  </si>
  <si>
    <t>D1.3|Idea aproximada</t>
  </si>
  <si>
    <t>D1.3|No sabe</t>
  </si>
  <si>
    <t>D1.4|Sí</t>
  </si>
  <si>
    <t>D1.4|No</t>
  </si>
  <si>
    <t>D1.4|No sabe</t>
  </si>
  <si>
    <t>Operador</t>
  </si>
  <si>
    <t>D1.3a|Operador</t>
  </si>
  <si>
    <t>Operador posterior</t>
  </si>
  <si>
    <t>D1.3a|Operador posterior</t>
  </si>
  <si>
    <t>Comerciante</t>
  </si>
  <si>
    <t>D1.3a|Comerciante</t>
  </si>
  <si>
    <t>Micro o pequeño operador primario</t>
  </si>
  <si>
    <t>D1.3a|Micro o pequeño operador primario</t>
  </si>
  <si>
    <t>D1.3a|No sabe</t>
  </si>
  <si>
    <t>(todas las opciones 0–4)</t>
  </si>
  <si>
    <t>Escala 0-4 ×25 → 0-100</t>
  </si>
  <si>
    <t>(valor numérico)</t>
  </si>
  <si>
    <t>Valor nativo 0-100</t>
  </si>
  <si>
    <t>Técnico propio</t>
  </si>
  <si>
    <t>D2.8|Técnico propio</t>
  </si>
  <si>
    <t>Consultor</t>
  </si>
  <si>
    <t>D2.8|Consultor</t>
  </si>
  <si>
    <t>Proyecto de cooperación</t>
  </si>
  <si>
    <t>D2.8|Proyecto de cooperación</t>
  </si>
  <si>
    <t>Socio por su cuenta</t>
  </si>
  <si>
    <t>D2.8|Socio por su cuenta</t>
  </si>
  <si>
    <t>No se ha levantado</t>
  </si>
  <si>
    <t>D2.8|No se ha levantado</t>
  </si>
  <si>
    <t>Nunca</t>
  </si>
  <si>
    <t>D2.9|Nunca</t>
  </si>
  <si>
    <t>Al ingreso del socio</t>
  </si>
  <si>
    <t>D2.9|Al ingreso del socio</t>
  </si>
  <si>
    <t>Anual</t>
  </si>
  <si>
    <t>D2.9|Anual</t>
  </si>
  <si>
    <t>Por cosecha</t>
  </si>
  <si>
    <t>D2.9|Por cosecha</t>
  </si>
  <si>
    <t>Sí, se mezclan sin control</t>
  </si>
  <si>
    <t>D2.10|Sí, se mezclan sin control</t>
  </si>
  <si>
    <t>Se mezclan pero con registro de origen</t>
  </si>
  <si>
    <t>D2.10|Se mezclan pero con registro de origen</t>
  </si>
  <si>
    <t>No, se mantiene segregación física completa</t>
  </si>
  <si>
    <t>D2.10|No, se mantiene segregación física completa</t>
  </si>
  <si>
    <t>0%, todo proviene de socios</t>
  </si>
  <si>
    <t>D2.5a|0%, todo proviene de socios</t>
  </si>
  <si>
    <t>Menos del 10%</t>
  </si>
  <si>
    <t>D2.5a|Menos del 10%</t>
  </si>
  <si>
    <t>Entre 10% y 30%</t>
  </si>
  <si>
    <t>D2.5a|Entre 10% y 30%</t>
  </si>
  <si>
    <t>Más del 30%</t>
  </si>
  <si>
    <t>D2.5a|Más del 30%</t>
  </si>
  <si>
    <t>No se ha cuantificado</t>
  </si>
  <si>
    <t>D2.5a|No se ha cuantificado</t>
  </si>
  <si>
    <t>Sí, verificado con georreferencia</t>
  </si>
  <si>
    <t>D2.5b|Sí, verificado con georreferencia</t>
  </si>
  <si>
    <t>Sí, pero sin georreferencia</t>
  </si>
  <si>
    <t>D2.5b|Sí, pero sin georreferencia</t>
  </si>
  <si>
    <t>Solo nombre y cantidad</t>
  </si>
  <si>
    <t>D2.5b|Solo nombre y cantidad</t>
  </si>
  <si>
    <t>No se registra</t>
  </si>
  <si>
    <t>D2.5b|No se registra</t>
  </si>
  <si>
    <t>No aplica</t>
  </si>
  <si>
    <t>D2.5b|No aplica</t>
  </si>
  <si>
    <t>Sí, extensa</t>
  </si>
  <si>
    <t>D3.12|Sí, extensa</t>
  </si>
  <si>
    <t>Sí, puntual</t>
  </si>
  <si>
    <t>D3.12|Sí, puntual</t>
  </si>
  <si>
    <t>Sí, en área natural protegida o zona de amortiguamiento</t>
  </si>
  <si>
    <t>D3.12|Sí, en área natural protegida o zona de amortiguamiento</t>
  </si>
  <si>
    <t>No verificado</t>
  </si>
  <si>
    <t>D3.12|No verificado</t>
  </si>
  <si>
    <t>No, ninguna</t>
  </si>
  <si>
    <t>D3.12|No, ninguna</t>
  </si>
  <si>
    <t>D3.14|Sí</t>
  </si>
  <si>
    <t>D3.14|No</t>
  </si>
  <si>
    <t>D3.14|No verificado</t>
  </si>
  <si>
    <t>Sí, todas las fuentes verificadas</t>
  </si>
  <si>
    <t>D3.14a|Sí, todas las fuentes verificadas</t>
  </si>
  <si>
    <t>Parcialmente</t>
  </si>
  <si>
    <t>D3.14a|Parcialmente</t>
  </si>
  <si>
    <t>D3.14a|No</t>
  </si>
  <si>
    <t>D3.14a|No aplica</t>
  </si>
  <si>
    <t>Siempre</t>
  </si>
  <si>
    <t>D3.14b|Siempre</t>
  </si>
  <si>
    <t>A veces</t>
  </si>
  <si>
    <t>D3.14b|A veces</t>
  </si>
  <si>
    <t>D3.14b|No</t>
  </si>
  <si>
    <t>D3.14b|No aplica</t>
  </si>
  <si>
    <t>D3.14c|Sí</t>
  </si>
  <si>
    <t>D3.14c|No</t>
  </si>
  <si>
    <t>D3.14c|No sabe</t>
  </si>
  <si>
    <t>No existe ningún derecho de terceros</t>
  </si>
  <si>
    <t>D3.14d|No existe ningún derecho de terceros</t>
  </si>
  <si>
    <t>Existe, pero está registrado y no restringe el uso</t>
  </si>
  <si>
    <t>D3.14d|Existe, pero está registrado y no restringe el uso</t>
  </si>
  <si>
    <t>Existe un acuerdo documentado con el titular o con la autoridad que legitima el uso, aunque la cooperativa o el socio no tenga título formal</t>
  </si>
  <si>
    <t>D3.14d|Existe un acuerdo documentado con el titular o con la autoridad que legitima el uso, aunque la cooperativa o el socio no tenga título formal</t>
  </si>
  <si>
    <t>Existe usufructo, arrendamiento o carga sin acuerdo que lo resuelva</t>
  </si>
  <si>
    <t>D3.14d|Existe usufructo, arrendamiento o carga sin acuerdo que lo resuelva</t>
  </si>
  <si>
    <t>Se han invocado derechos de uso tradicional o consuetudinarios por una comunidad o pueblo indígena sin proceso de acuerdo</t>
  </si>
  <si>
    <t>D3.14d|Se han invocado derechos de uso tradicional o consuetudinarios por una comunidad o pueblo indígena sin proceso de acuerdo</t>
  </si>
  <si>
    <t>D3.14d|No verificado</t>
  </si>
  <si>
    <t>Sí, verificado</t>
  </si>
  <si>
    <t>D3.14e|Sí, verificado</t>
  </si>
  <si>
    <t>D3.14e|Parcialmente</t>
  </si>
  <si>
    <t>D3.14e|No verificado</t>
  </si>
  <si>
    <t>D3.14e|No sabe</t>
  </si>
  <si>
    <t>Sí, formalizado</t>
  </si>
  <si>
    <t>D3.14f|Sí, formalizado</t>
  </si>
  <si>
    <t>Informal</t>
  </si>
  <si>
    <t>D3.14f|Informal</t>
  </si>
  <si>
    <t>No existe</t>
  </si>
  <si>
    <t>D3.14f|No existe</t>
  </si>
  <si>
    <t>Sí, proceso documentado</t>
  </si>
  <si>
    <t>D3.14g|Sí, proceso documentado</t>
  </si>
  <si>
    <t>Aplica pero no se ha realizado</t>
  </si>
  <si>
    <t>D3.14g|Aplica pero no se ha realizado</t>
  </si>
  <si>
    <t>No aplica, no hay territorios de este tipo</t>
  </si>
  <si>
    <t>D3.14g|No aplica, no hay territorios de este tipo</t>
  </si>
  <si>
    <t>D3.14g|No sabe</t>
  </si>
  <si>
    <t>Sí, vigentes y verificadas</t>
  </si>
  <si>
    <t>D3.14h|Sí, vigentes y verificadas</t>
  </si>
  <si>
    <t>Parcial, alguna falta o está vencida</t>
  </si>
  <si>
    <t>D3.14h|Parcial, alguna falta o está vencida</t>
  </si>
  <si>
    <t>D3.14h|No</t>
  </si>
  <si>
    <t>No aplica (sin actividad que la requiera)</t>
  </si>
  <si>
    <t>D3.14h|No aplica (sin actividad que la requiera)</t>
  </si>
  <si>
    <t>Sí, vigente y sin resolver</t>
  </si>
  <si>
    <t>D3.14i|Sí, vigente y sin resolver</t>
  </si>
  <si>
    <t>Sí, en proceso de resolución</t>
  </si>
  <si>
    <t>D3.14i|Sí, en proceso de resolución</t>
  </si>
  <si>
    <t>D3.14i|No</t>
  </si>
  <si>
    <t>D3.14i|No sabe</t>
  </si>
  <si>
    <t>D4.15|No verificado</t>
  </si>
  <si>
    <t>Verificación parcial</t>
  </si>
  <si>
    <t>D4.15|Verificación parcial</t>
  </si>
  <si>
    <t>Verificado sin hallazgos</t>
  </si>
  <si>
    <t>D4.15|Verificado sin hallazgos</t>
  </si>
  <si>
    <t>Casos detectados sin resolver</t>
  </si>
  <si>
    <t>D4.15|Casos detectados sin resolver</t>
  </si>
  <si>
    <t>Verificado sistemáticamente y documentado</t>
  </si>
  <si>
    <t>D4.15|Verificado sistemáticamente y documentado</t>
  </si>
  <si>
    <t>Sí documentado</t>
  </si>
  <si>
    <t>D4.17|Sí documentado</t>
  </si>
  <si>
    <t>D4.17|Idea aproximada</t>
  </si>
  <si>
    <t>D4.17|No sabe</t>
  </si>
  <si>
    <t>Sí, detectadas y sin resolver</t>
  </si>
  <si>
    <t>D4.15a|Sí, detectadas y sin resolver</t>
  </si>
  <si>
    <t>Sí, detectadas y mitigadas o aclaradas</t>
  </si>
  <si>
    <t>D4.15a|Sí, detectadas y mitigadas o aclaradas</t>
  </si>
  <si>
    <t>No se han detectado</t>
  </si>
  <si>
    <t>D4.15a|No se han detectado</t>
  </si>
  <si>
    <t>No se monitorea</t>
  </si>
  <si>
    <t>D4.15a|No se monitorea</t>
  </si>
  <si>
    <t>No se prioriza, se atiende lo que surge</t>
  </si>
  <si>
    <t>D5.18b|No se prioriza, se atiende lo que surge</t>
  </si>
  <si>
    <t>Priorización informal, sin criterio escrito</t>
  </si>
  <si>
    <t>D5.18b|Priorización informal, sin criterio escrito</t>
  </si>
  <si>
    <t>Priorización estructurada con matriz probabilidad×impacto o similar</t>
  </si>
  <si>
    <t>D5.18b|Priorización estructurada con matriz probabilidad×impacto o similar</t>
  </si>
  <si>
    <t>No sabe qué es</t>
  </si>
  <si>
    <t>D5.19|No sabe qué es</t>
  </si>
  <si>
    <t>No pero lo entiende</t>
  </si>
  <si>
    <t>D5.19|No pero lo entiende</t>
  </si>
  <si>
    <t>En proceso</t>
  </si>
  <si>
    <t>D5.19|En proceso</t>
  </si>
  <si>
    <t>Presentada y aceptada</t>
  </si>
  <si>
    <t>D5.19|Presentada y aceptada</t>
  </si>
  <si>
    <t>Puntaje = (n.º marcados ÷ 7) × 100</t>
  </si>
  <si>
    <t>D5.20|No</t>
  </si>
  <si>
    <t>Función adicional</t>
  </si>
  <si>
    <t>D5.20|Función adicional</t>
  </si>
  <si>
    <t>Dedicado</t>
  </si>
  <si>
    <t>D5.20|Dedicado</t>
  </si>
  <si>
    <t>D5.21|No</t>
  </si>
  <si>
    <t>Hace más de 12 meses</t>
  </si>
  <si>
    <t>D5.21|Hace más de 12 meses</t>
  </si>
  <si>
    <t>Sí, reciente</t>
  </si>
  <si>
    <t>D5.21|Sí, reciente</t>
  </si>
  <si>
    <t>No hay revisión definida</t>
  </si>
  <si>
    <t>D5.21a|No hay revisión definida</t>
  </si>
  <si>
    <t>Revisión reactiva, sin frecuencia fija</t>
  </si>
  <si>
    <t>D5.21a|Revisión reactiva, sin frecuencia fija</t>
  </si>
  <si>
    <t>Revisión periódica definida</t>
  </si>
  <si>
    <t>D5.21a|Revisión periódica definida</t>
  </si>
  <si>
    <t>D5.21b|No</t>
  </si>
  <si>
    <t>Sí, uso interno solamente</t>
  </si>
  <si>
    <t>D5.21b|Sí, uso interno solamente</t>
  </si>
  <si>
    <t>Sí, interno y compartido con compradores u otras partes interesadas</t>
  </si>
  <si>
    <t>D5.21b|Sí, interno y compartido con compradores u otras partes interesadas</t>
  </si>
  <si>
    <t>D6.22|No</t>
  </si>
  <si>
    <t>Parcial, solo actividades de cumplimiento</t>
  </si>
  <si>
    <t>D6.22|Parcial, solo actividades de cumplimiento</t>
  </si>
  <si>
    <t>Parcial, incluye tecnología y datos</t>
  </si>
  <si>
    <t>D6.22|Parcial, incluye tecnología y datos</t>
  </si>
  <si>
    <t>Sí, con partida explícita para tecnología y datos</t>
  </si>
  <si>
    <t>D6.22|Sí, con partida explícita para tecnología y datos</t>
  </si>
  <si>
    <t>D6.22a|No existe</t>
  </si>
  <si>
    <t>Existe en papel desorganizado</t>
  </si>
  <si>
    <t>D6.22a|Existe en papel desorganizado</t>
  </si>
  <si>
    <t>Existe digital pero sin vínculos entre tablas</t>
  </si>
  <si>
    <t>D6.22a|Existe digital pero sin vínculos entre tablas</t>
  </si>
  <si>
    <t>Existe digital con vínculos actualizados entre socio-parcela-lote</t>
  </si>
  <si>
    <t>D6.22a|Existe digital con vínculos actualizados entre socio-parcela-lote</t>
  </si>
  <si>
    <t>Excel o Access básico</t>
  </si>
  <si>
    <t>D6.22b|Excel o Access básico</t>
  </si>
  <si>
    <t>Software especializado de trazabilidad (ChainPoint, Teia, BQuant, otro)</t>
  </si>
  <si>
    <t>D6.22b|Software especializado de trazabilidad (ChainPoint, Teia, BQuant, otro)</t>
  </si>
  <si>
    <t>Sistema web propio o de tercero</t>
  </si>
  <si>
    <t>D6.22b|Sistema web propio o de tercero</t>
  </si>
  <si>
    <t>Base de datos personalizada con soporte técnico regular</t>
  </si>
  <si>
    <t>D6.22b|Base de datos personalizada con soporte técnico regular</t>
  </si>
  <si>
    <t>Papel</t>
  </si>
  <si>
    <t>D6.23|Papel</t>
  </si>
  <si>
    <t>Mixto</t>
  </si>
  <si>
    <t>D6.23|Mixto</t>
  </si>
  <si>
    <t>Digital</t>
  </si>
  <si>
    <t>D6.23|Digital</t>
  </si>
  <si>
    <t>No hay</t>
  </si>
  <si>
    <t>D6.24|No hay</t>
  </si>
  <si>
    <t>Limitada</t>
  </si>
  <si>
    <t>D6.24|Limitada</t>
  </si>
  <si>
    <t>Confiable</t>
  </si>
  <si>
    <t>D6.24|Confiable</t>
  </si>
  <si>
    <t>No y lo necesita</t>
  </si>
  <si>
    <t>D6.25|No y lo necesita</t>
  </si>
  <si>
    <t>No lo cree necesario</t>
  </si>
  <si>
    <t>D6.25|No lo cree necesario</t>
  </si>
  <si>
    <t>Sí en el pasado</t>
  </si>
  <si>
    <t>D6.25|Sí en el pasado</t>
  </si>
  <si>
    <t>Sí activo</t>
  </si>
  <si>
    <t>D6.25|Sí activo</t>
  </si>
  <si>
    <t>No existe política de respaldo</t>
  </si>
  <si>
    <t>D6.25a|No existe política de respaldo</t>
  </si>
  <si>
    <t>Parcial, solo los más críticos</t>
  </si>
  <si>
    <t>D6.25a|Parcial, solo los más críticos</t>
  </si>
  <si>
    <t>Sí, con respaldo definido pero no probado</t>
  </si>
  <si>
    <t>D6.25a|Sí, con respaldo definido pero no probado</t>
  </si>
  <si>
    <t>Sí, con protocolo probado periódicamente</t>
  </si>
  <si>
    <t>D6.25a|Sí, con protocolo probado periódicamente</t>
  </si>
  <si>
    <t>Diseñado internamente</t>
  </si>
  <si>
    <t>D6.25b|Diseñado internamente</t>
  </si>
  <si>
    <t>Con apoyo de ONG o programa</t>
  </si>
  <si>
    <t>D6.25b|Con apoyo de ONG o programa</t>
  </si>
  <si>
    <t>Con apoyo de consultoría o proveedor IT</t>
  </si>
  <si>
    <t>D6.25b|Con apoyo de consultoría o proveedor IT</t>
  </si>
  <si>
    <t>Nunca se ha probado</t>
  </si>
  <si>
    <t>D6.25b|Nunca se ha probado</t>
  </si>
  <si>
    <t>Probado hace más de 12 meses</t>
  </si>
  <si>
    <t>D6.25b|Probado hace más de 12 meses</t>
  </si>
  <si>
    <t>Probado en los últimos 12 meses</t>
  </si>
  <si>
    <t>D6.25b|Probado en los últimos 12 meses</t>
  </si>
  <si>
    <t>Sí, personal dedicado</t>
  </si>
  <si>
    <t>D6.22c|Sí, personal dedicado</t>
  </si>
  <si>
    <t>Parcial, como función adicional</t>
  </si>
  <si>
    <t>D6.22c|Parcial, como función adicional</t>
  </si>
  <si>
    <t>D6.22c|No</t>
  </si>
  <si>
    <t>D6.22c|No sabe</t>
  </si>
  <si>
    <t>Aún no</t>
  </si>
  <si>
    <t>D7.26|Aún no</t>
  </si>
  <si>
    <t>Informalmente</t>
  </si>
  <si>
    <t>D7.26|Informalmente</t>
  </si>
  <si>
    <t>Formalmente por escrito</t>
  </si>
  <si>
    <t>D7.26|Formalmente por escrito</t>
  </si>
  <si>
    <t>D7.27|Sí</t>
  </si>
  <si>
    <t>D7.27|No</t>
  </si>
  <si>
    <t>D7.28|No sabe</t>
  </si>
  <si>
    <t>Bajo</t>
  </si>
  <si>
    <t>D7.28|Bajo</t>
  </si>
  <si>
    <t>Medio</t>
  </si>
  <si>
    <t>D7.28|Medio</t>
  </si>
  <si>
    <t>Alto</t>
  </si>
  <si>
    <t>D7.28|Alto</t>
  </si>
  <si>
    <t>No ha mencionado nada</t>
  </si>
  <si>
    <t>D7.28b|No ha mencionado nada</t>
  </si>
  <si>
    <t>Lo ha mencionado verbalmente sin requisito formal</t>
  </si>
  <si>
    <t>D7.28b|Lo ha mencionado verbalmente sin requisito formal</t>
  </si>
  <si>
    <t>Sí, ha enviado documentación o cuestionario de proveedores</t>
  </si>
  <si>
    <t>D7.28b|Sí, ha enviado documentación o cuestionario de proveedores</t>
  </si>
  <si>
    <t>Sí, lo ha formalizado como cláusula contractual</t>
  </si>
  <si>
    <t>D7.28b|Sí, lo ha formalizado como cláusula contractual</t>
  </si>
  <si>
    <t>Puntaje = (n.º marcados ÷ 8) × 100  [R] revisar</t>
  </si>
  <si>
    <t>Sí, empresa de la UE</t>
  </si>
  <si>
    <t>D7.26a|Sí, empresa de la UE</t>
  </si>
  <si>
    <t>No es de la UE pero está sujeto a CSDDD</t>
  </si>
  <si>
    <t>D7.26a|No es de la UE pero está sujeto a CSDDD</t>
  </si>
  <si>
    <t>D7.26a|No</t>
  </si>
  <si>
    <t>D7.26a|No sabe</t>
  </si>
  <si>
    <t>Sí, con cláusula explícita EUDR o equivalente</t>
  </si>
  <si>
    <t>D7.26b|Sí, con cláusula explícita EUDR o equivalente</t>
  </si>
  <si>
    <t>Sí, pero sin cláusula específica</t>
  </si>
  <si>
    <t>D7.26b|Sí, pero sin cláusula específica</t>
  </si>
  <si>
    <t>No hay contrato escrito</t>
  </si>
  <si>
    <t>D7.26b|No hay contrato escrito</t>
  </si>
  <si>
    <t>D7.26b|No sabe</t>
  </si>
  <si>
    <t>D8.31|No existe</t>
  </si>
  <si>
    <t>Se pide informalmente</t>
  </si>
  <si>
    <t>D8.31|Se pide informalmente</t>
  </si>
  <si>
    <t>Es requisito formal para vender a la cooperativa</t>
  </si>
  <si>
    <t>D8.31|Es requisito formal para vender a la cooperativa</t>
  </si>
  <si>
    <t>Alta</t>
  </si>
  <si>
    <t>D8.32|Alta</t>
  </si>
  <si>
    <t>Moderada</t>
  </si>
  <si>
    <t>D8.32|Moderada</t>
  </si>
  <si>
    <t>Baja/estable</t>
  </si>
  <si>
    <t>D8.32|Baja/estable</t>
  </si>
  <si>
    <t>Costo mayor al 10% del presupuesto anual</t>
  </si>
  <si>
    <t>D9.33|Costo mayor al 10% del presupuesto anual</t>
  </si>
  <si>
    <t>Entre 3-10%</t>
  </si>
  <si>
    <t>D9.33|Entre 3-10%</t>
  </si>
  <si>
    <t>Menor al 3%</t>
  </si>
  <si>
    <t>D9.33|Menor al 3%</t>
  </si>
  <si>
    <t>No se ha estimado</t>
  </si>
  <si>
    <t>D9.33|No se ha estimado</t>
  </si>
  <si>
    <t>Con crédito o endeudamiento</t>
  </si>
  <si>
    <t>D9.34|Con crédito o endeudamiento</t>
  </si>
  <si>
    <t>Con recursos propios</t>
  </si>
  <si>
    <t>D9.34|Con recursos propios</t>
  </si>
  <si>
    <t>Existe fuente de financiamiento identificada (verde, cooperación o programa público), aún no ejecutada</t>
  </si>
  <si>
    <t>D9.34|Existe fuente de financiamiento identificada (verde, cooperación o programa público), aún no ejecutada</t>
  </si>
  <si>
    <t>No ha sido necesario</t>
  </si>
  <si>
    <t>D9.34|No ha sido necesario</t>
  </si>
  <si>
    <t>D9.34|No sabe</t>
  </si>
  <si>
    <t>Sí, ya ha ocurrido</t>
  </si>
  <si>
    <t>D9.35|Sí, ya ha ocurrido</t>
  </si>
  <si>
    <t>Es un riesgo latente</t>
  </si>
  <si>
    <t>D9.35|Es un riesgo latente</t>
  </si>
  <si>
    <t>D9.35|No aplica</t>
  </si>
  <si>
    <t>No se ha evaluado</t>
  </si>
  <si>
    <t>D9.35|No se ha evaluado</t>
  </si>
  <si>
    <t>Sí, totalmente</t>
  </si>
  <si>
    <t>D10.36|Sí, totalmente</t>
  </si>
  <si>
    <t>Sí, en parte</t>
  </si>
  <si>
    <t>D10.36|Sí, en parte</t>
  </si>
  <si>
    <t>No, sabe que son cosas distintas</t>
  </si>
  <si>
    <t>D10.36|No, sabe que son cosas distintas</t>
  </si>
  <si>
    <t>No tiene certificación</t>
  </si>
  <si>
    <t>D10.36|No tiene certificación</t>
  </si>
  <si>
    <t>D10.37|Sí</t>
  </si>
  <si>
    <t>D10.37|No</t>
  </si>
  <si>
    <t>Sí, asesoría especializada en EUDR</t>
  </si>
  <si>
    <t>D10.36a|Sí, asesoría especializada en EUDR</t>
  </si>
  <si>
    <t>Solo asesoría genérica de sostenibilidad</t>
  </si>
  <si>
    <t>D10.36a|Solo asesoría genérica de sostenibilidad</t>
  </si>
  <si>
    <t>No ha recibido asesoría</t>
  </si>
  <si>
    <t>D10.36a|No ha recibido asesoría</t>
  </si>
  <si>
    <t>D10.36a|No sabe</t>
  </si>
  <si>
    <t>Puntaje = (n.º marcados ÷ 7) × 100; «Ninguno» = 0  [R] revisar</t>
  </si>
  <si>
    <t>D11.39a|Sí</t>
  </si>
  <si>
    <t>En proceso de inscripción</t>
  </si>
  <si>
    <t>D11.39a|En proceso de inscripción</t>
  </si>
  <si>
    <t>D11.39a|No</t>
  </si>
  <si>
    <t>No conoce la plataforma</t>
  </si>
  <si>
    <t>D11.39a|No conoce la plataforma</t>
  </si>
  <si>
    <t>No mide (0)</t>
  </si>
  <si>
    <t>D12.42|No mide (0)</t>
  </si>
  <si>
    <t>Registra insumos o mide parcialmente, en curso (1)</t>
  </si>
  <si>
    <t>D12.42|Registra insumos o mide parcialmente, en curso (1)</t>
  </si>
  <si>
    <t>Calculada y verificada por tercero (2)</t>
  </si>
  <si>
    <t>D12.42|Calculada y verificada por tercero (2)</t>
  </si>
  <si>
    <t>No (0)</t>
  </si>
  <si>
    <t>D13.45|No (0)</t>
  </si>
  <si>
    <t>En preparación (1)</t>
  </si>
  <si>
    <t>D13.45|En preparación (1)</t>
  </si>
  <si>
    <t>Publicado (2)</t>
  </si>
  <si>
    <t>D13.45|Publicado (2)</t>
  </si>
  <si>
    <t>D14.51|No (0)</t>
  </si>
  <si>
    <t>En transición, prácticas aisladas (1)</t>
  </si>
  <si>
    <t>D14.51|En transición, prácticas aisladas (1)</t>
  </si>
  <si>
    <t>Avanzado, procesos establecidos (2)</t>
  </si>
  <si>
    <t>D14.51|Avanzado, procesos establecidos (2)</t>
  </si>
  <si>
    <t>No verificado (0)</t>
  </si>
  <si>
    <t>D15.58|No verificado (0)</t>
  </si>
  <si>
    <t>En monitoreo interno (1)</t>
  </si>
  <si>
    <t>D15.58|En monitoreo interno (1)</t>
  </si>
  <si>
    <t>Cumple límites UE verificado (2)</t>
  </si>
  <si>
    <t>D15.58|Cumple límites UE verificado (2)</t>
  </si>
  <si>
    <t>Yute reutilizable</t>
  </si>
  <si>
    <t>PP1|Yute reutilizable</t>
  </si>
  <si>
    <t>Yute nuevo de un solo uso</t>
  </si>
  <si>
    <t>PP1|Yute nuevo de un solo uso</t>
  </si>
  <si>
    <t>Big-bag o saco plástico</t>
  </si>
  <si>
    <t>PP1|Big-bag o saco plástico</t>
  </si>
  <si>
    <t>Saco de papel</t>
  </si>
  <si>
    <t>PP1|Saco de papel</t>
  </si>
  <si>
    <t>Otro (especificar)</t>
  </si>
  <si>
    <t>PP1|Otro (especificar)</t>
  </si>
  <si>
    <t>PP2|Sí</t>
  </si>
  <si>
    <t>PP2|No</t>
  </si>
  <si>
    <t>PP2|No sabe</t>
  </si>
  <si>
    <t>CAPTURA — Instrumento 2 (119 preguntas · 1 respuesta por cooperativa).  Pegue aquí las respuestas del formulario; el motor calcula solo.  Casillas múltiples: separe con «;».  El enunciado completo está en INSTRUMENTO_2_PREGUNTAS.</t>
  </si>
  <si>
    <t>RUC (clave de unión)</t>
  </si>
  <si>
    <t>NORMALIZADO — 0-100 automático (hoja de cálculo, no editar).  Lee CAPTURA y aplica CODIFICACION; los vacíos se propagan como «sin dato».</t>
  </si>
  <si>
    <t>COBERTURA DE CAPTURA POR DIMENSIÓN  (n de 174)  — calculada sobre NORMALIZADO</t>
  </si>
  <si>
    <t>D3 — Legalidad OSCE/OEFA + encuesta</t>
  </si>
  <si>
    <t>Organizaciones con ISA-EUDR computable (≥7 de D1–D9)</t>
  </si>
  <si>
    <t>Organizaciones con IP computable (8 de D2–D9)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</si>
</sst>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b/>
      <sz val="11"/>
      <name val="Calibri"/>
    </font>
    <font>
      <b/>
      <sz val="13"/>
      <color rgb="FFFFFFFF"/>
      <name val="Calibri"/>
    </font>
    <font>
      <i/>
      <sz val="9"/>
      <name val="Calibri"/>
    </font>
    <font>
      <b/>
      <sz val="10"/>
      <color rgb="FFFFFFFF"/>
      <name val="Calibri"/>
    </font>
    <font>
      <i/>
      <sz val="11"/>
      <color rgb="FF999999"/>
      <name val="Calibri"/>
    </font>
    <font>
      <b/>
      <sz val="11"/>
      <color rgb="FFFFFFFF"/>
      <name val="Calibri"/>
    </font>
    <font>
      <i/>
      <sz val="8"/>
      <name val="Calibri"/>
    </font>
    <font>
      <b/>
      <sz val="11"/>
      <color rgb="FF1F4E79"/>
      <name val="Calibri"/>
    </font>
    <font>
      <b/>
      <sz val="13"/>
      <color rgb="FFFFFFFF"/>
      <name val="Calibri"/>
    </font>
    <font>
      <b/>
      <sz val="10"/>
      <color rgb="FF1F3864"/>
      <name val="Calibri"/>
    </font>
    <font>
      <sz val="9"/>
      <name val="Calibri"/>
    </font>
    <font>
      <b/>
      <sz val="9"/>
      <name val="Calibri"/>
    </font>
    <font>
      <i/>
      <sz val="9"/>
      <color rgb="FF595959"/>
      <name val="Calibri"/>
    </font>
    <font>
      <b/>
      <sz val="11"/>
      <color rgb="FF1F3864"/>
      <name val="Calibri"/>
    </font>
    <font>
      <b/>
      <sz val="10"/>
      <name val="Calibri"/>
    </font>
    <font>
      <sz val="10"/>
      <name val="Calibri"/>
    </font>
    <font>
      <b/>
      <sz val="11"/>
      <color theme="1"/>
      <name val="Calibri"/>
      <family val="2"/>
      <scheme val="minor"/>
    </font>
    <font>
      <b/>
      <sz val="9"/>
      <color theme="1"/>
      <name val="Calibri"/>
      <family val="2"/>
      <scheme val="minor"/>
    </font>
  </fonts>
  <fills count="29">
    <fill>
      <patternFill patternType="none"/>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
      <patternFill patternType="solid">
        <fgColor rgb="FF50B000"/>
        <bgColor indexed="64"/>
      </patternFill>
    </fill>
    <fill>
      <patternFill patternType="solid">
        <fgColor rgb="FF50D092"/>
        <bgColor indexed="64"/>
      </patternFill>
    </fill>
    <fill>
      <patternFill patternType="solid">
        <fgColor rgb="FFD9D9D9"/>
        <bgColor indexed="64"/>
      </patternFill>
    </fill>
    <fill>
      <patternFill patternType="solid">
        <fgColor rgb="FFCEEFC6"/>
        <bgColor indexed="64"/>
      </patternFill>
    </fill>
    <fill>
      <patternFill patternType="solid">
        <fgColor rgb="FFF7EBDD"/>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8">
    <xf numFmtId="0" fontId="0" fillId="0" borderId="0" xfId="0"/>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center" vertical="center" wrapText="1"/>
    </xf>
    <xf numFmtId="0" fontId="5" fillId="5" borderId="1" xfId="0" applyFont="1" applyFill="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1" fillId="3" borderId="1" xfId="0" applyNumberFormat="1" applyFont="1" applyFill="1" applyBorder="1" applyAlignment="1">
      <alignment horizontal="center" vertical="center" wrapText="1"/>
    </xf>
    <xf numFmtId="164" fontId="1" fillId="16" borderId="1" xfId="0" applyNumberFormat="1" applyFont="1" applyFill="1" applyBorder="1" applyAlignment="1">
      <alignment horizontal="center" vertical="center" wrapText="1"/>
    </xf>
    <xf numFmtId="164" fontId="1" fillId="17"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164" fontId="1" fillId="7" borderId="1" xfId="0" applyNumberFormat="1"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19" borderId="1" xfId="0" applyFont="1" applyFill="1" applyBorder="1" applyAlignment="1">
      <alignment horizontal="left" vertical="center" wrapText="1"/>
    </xf>
    <xf numFmtId="0" fontId="0" fillId="19" borderId="1" xfId="0" applyFill="1" applyBorder="1" applyAlignment="1">
      <alignment horizontal="left" vertical="center" wrapText="1"/>
    </xf>
    <xf numFmtId="0" fontId="1" fillId="19"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0" fillId="18" borderId="1" xfId="0" applyFill="1" applyBorder="1" applyAlignment="1">
      <alignment horizontal="left" vertical="center" wrapText="1"/>
    </xf>
    <xf numFmtId="0" fontId="1" fillId="18" borderId="1" xfId="0" applyFont="1" applyFill="1" applyBorder="1" applyAlignment="1">
      <alignment horizontal="center" vertical="center" wrapText="1"/>
    </xf>
    <xf numFmtId="164" fontId="1" fillId="0" borderId="0" xfId="0" applyNumberFormat="1" applyFont="1"/>
    <xf numFmtId="0" fontId="10" fillId="21" borderId="4" xfId="0" applyFont="1" applyFill="1" applyBorder="1" applyAlignment="1">
      <alignment vertical="center" wrapText="1"/>
    </xf>
    <xf numFmtId="0" fontId="11" fillId="0" borderId="4" xfId="0" applyFont="1" applyBorder="1" applyAlignment="1">
      <alignment vertical="top" wrapText="1"/>
    </xf>
    <xf numFmtId="0" fontId="12" fillId="0" borderId="4" xfId="0" applyFont="1" applyBorder="1" applyAlignment="1">
      <alignment vertical="top" wrapText="1"/>
    </xf>
    <xf numFmtId="0" fontId="11" fillId="22" borderId="4" xfId="0" applyFont="1" applyFill="1" applyBorder="1" applyAlignment="1">
      <alignment vertical="top" wrapText="1"/>
    </xf>
    <xf numFmtId="0" fontId="12" fillId="22" borderId="4" xfId="0" applyFont="1" applyFill="1" applyBorder="1" applyAlignment="1">
      <alignment vertical="top" wrapText="1"/>
    </xf>
    <xf numFmtId="0" fontId="11" fillId="23" borderId="4" xfId="0" applyFont="1" applyFill="1" applyBorder="1" applyAlignment="1">
      <alignment vertical="top" wrapText="1"/>
    </xf>
    <xf numFmtId="0" fontId="12" fillId="23" borderId="4" xfId="0" applyFont="1" applyFill="1" applyBorder="1" applyAlignment="1">
      <alignment vertical="top" wrapText="1"/>
    </xf>
    <xf numFmtId="0" fontId="14" fillId="0" borderId="0" xfId="0" applyFont="1"/>
    <xf numFmtId="0" fontId="10" fillId="21" borderId="4" xfId="0" applyFont="1" applyFill="1" applyBorder="1"/>
    <xf numFmtId="0" fontId="15" fillId="0" borderId="4" xfId="0" applyFont="1" applyBorder="1"/>
    <xf numFmtId="0" fontId="16" fillId="0" borderId="4" xfId="0" applyFont="1" applyBorder="1"/>
    <xf numFmtId="164" fontId="16" fillId="0" borderId="4" xfId="0" applyNumberFormat="1" applyFont="1" applyBorder="1"/>
    <xf numFmtId="0" fontId="13" fillId="0" borderId="0" xfId="0" applyFont="1"/>
    <xf numFmtId="0" fontId="0" fillId="0" borderId="0" xfId="0" applyAlignment="1">
      <alignment vertical="center" wrapText="1"/>
    </xf>
    <xf numFmtId="0" fontId="1" fillId="0" borderId="0" xfId="0" applyFont="1"/>
    <xf numFmtId="0" fontId="3" fillId="0" borderId="0" xfId="0" applyFont="1"/>
    <xf numFmtId="0" fontId="0" fillId="24" borderId="0" xfId="0" applyFill="1"/>
    <xf numFmtId="0" fontId="0" fillId="25" borderId="0" xfId="0" applyFill="1"/>
    <xf numFmtId="0" fontId="0" fillId="0" borderId="0" xfId="0"/>
    <xf numFmtId="0" fontId="0" fillId="0" borderId="0" xfId="0" applyAlignment="1">
      <alignment vertical="top" wrapText="1"/>
    </xf>
    <xf numFmtId="0" fontId="13" fillId="0" borderId="0" xfId="0" applyFont="1" applyAlignment="1">
      <alignment vertical="top" wrapText="1"/>
    </xf>
    <xf numFmtId="0" fontId="9" fillId="20" borderId="0" xfId="0" applyFont="1" applyFill="1" applyAlignment="1">
      <alignment vertical="center"/>
    </xf>
    <xf numFmtId="0" fontId="2" fillId="2" borderId="0" xfId="0" applyFont="1" applyFill="1" applyAlignment="1">
      <alignment horizontal="center" vertical="center" wrapText="1"/>
    </xf>
    <xf numFmtId="0" fontId="6" fillId="12" borderId="1" xfId="0" applyFont="1" applyFill="1" applyBorder="1" applyAlignment="1">
      <alignment horizontal="center" vertical="center" wrapText="1"/>
    </xf>
    <xf numFmtId="0" fontId="0" fillId="0" borderId="2" xfId="0" applyBorder="1"/>
    <xf numFmtId="0" fontId="0" fillId="0" borderId="3" xfId="0" applyBorder="1"/>
    <xf numFmtId="0" fontId="7" fillId="18" borderId="0" xfId="0" applyFont="1" applyFill="1" applyAlignment="1">
      <alignment horizontal="left" vertical="center" wrapText="1"/>
    </xf>
    <xf numFmtId="0" fontId="3" fillId="3" borderId="0" xfId="0" applyFont="1" applyFill="1" applyAlignment="1">
      <alignment horizontal="left" vertical="center" wrapText="1"/>
    </xf>
    <xf numFmtId="0" fontId="8" fillId="0" borderId="0" xfId="0" applyFont="1"/>
    <xf numFmtId="0" fontId="17" fillId="0" borderId="0" xfId="0" applyFont="1"/>
    <xf numFmtId="0" fontId="17" fillId="0" borderId="0" xfId="0" applyFont="1"/>
    <xf numFmtId="0" fontId="17" fillId="0" borderId="0" xfId="0" applyFont="1" applyAlignment="1">
      <alignment wrapText="1"/>
    </xf>
    <xf numFmtId="0" fontId="0" fillId="0" borderId="0" xfId="0" applyAlignment="1">
      <alignment wrapText="1"/>
    </xf>
    <xf numFmtId="0" fontId="17" fillId="26" borderId="0" xfId="0" applyFont="1" applyFill="1"/>
    <xf numFmtId="0" fontId="17" fillId="26" borderId="0" xfId="0" applyFont="1" applyFill="1" applyAlignment="1">
      <alignment wrapText="1"/>
    </xf>
    <xf numFmtId="0" fontId="0" fillId="0" borderId="0" xfId="0" applyAlignment="1">
      <alignment horizontal="center"/>
    </xf>
    <xf numFmtId="0" fontId="0" fillId="0" borderId="0" xfId="0" applyAlignment="1">
      <alignment wrapText="1"/>
    </xf>
    <xf numFmtId="0" fontId="17" fillId="27" borderId="0" xfId="0" applyFont="1" applyFill="1" applyAlignment="1">
      <alignment horizontal="center" vertical="center" textRotation="90"/>
    </xf>
    <xf numFmtId="0" fontId="0" fillId="0" borderId="0" xfId="0" applyAlignment="1">
      <alignment horizontal="center" vertical="center"/>
    </xf>
    <xf numFmtId="0" fontId="17" fillId="28" borderId="0" xfId="0" applyFont="1" applyFill="1"/>
    <xf numFmtId="0" fontId="18" fillId="28" borderId="0" xfId="0" applyFont="1" applyFill="1" applyAlignment="1">
      <alignment textRotation="9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5" workbookViewId="0">
      <selection sqref="A1:H1"/>
    </sheetView>
  </sheetViews>
  <sheetFormatPr baseColWidth="10" defaultColWidth="8.88671875" defaultRowHeight="14.4" x14ac:dyDescent="0.3"/>
  <cols>
    <col min="1" max="1" width="20" customWidth="1"/>
    <col min="2" max="8" width="22" customWidth="1"/>
  </cols>
  <sheetData>
    <row r="1" spans="1:8" ht="31.95" customHeight="1" x14ac:dyDescent="0.3">
      <c r="A1" s="55" t="s">
        <v>457</v>
      </c>
      <c r="B1" s="55"/>
      <c r="C1" s="55"/>
      <c r="D1" s="55"/>
      <c r="E1" s="55"/>
      <c r="F1" s="55"/>
      <c r="G1" s="55"/>
      <c r="H1" s="55"/>
    </row>
    <row r="2" spans="1:8" ht="22.05" customHeight="1" x14ac:dyDescent="0.3">
      <c r="A2" s="55" t="s">
        <v>458</v>
      </c>
      <c r="B2" s="55"/>
      <c r="C2" s="55"/>
      <c r="D2" s="55"/>
      <c r="E2" s="55"/>
      <c r="F2" s="55"/>
      <c r="G2" s="55"/>
      <c r="H2" s="55"/>
    </row>
    <row r="4" spans="1:8" ht="18" customHeight="1" x14ac:dyDescent="0.3">
      <c r="A4" s="55" t="s">
        <v>459</v>
      </c>
      <c r="B4" s="55"/>
      <c r="C4" s="55"/>
      <c r="D4" s="55"/>
      <c r="E4" s="55"/>
      <c r="F4" s="55"/>
      <c r="G4" s="55"/>
      <c r="H4" s="55"/>
    </row>
    <row r="5" spans="1:8" x14ac:dyDescent="0.3">
      <c r="A5" s="56" t="s">
        <v>460</v>
      </c>
      <c r="B5" s="55"/>
      <c r="C5" s="55"/>
      <c r="D5" s="55"/>
      <c r="E5" s="55"/>
      <c r="F5" s="55"/>
      <c r="G5" s="55"/>
      <c r="H5" s="55"/>
    </row>
    <row r="7" spans="1:8" ht="18" customHeight="1" x14ac:dyDescent="0.3">
      <c r="A7" s="55" t="s">
        <v>461</v>
      </c>
      <c r="B7" s="55"/>
      <c r="C7" s="55"/>
      <c r="D7" s="55"/>
      <c r="E7" s="55"/>
      <c r="F7" s="55"/>
      <c r="G7" s="55"/>
      <c r="H7" s="55"/>
    </row>
    <row r="8" spans="1:8" x14ac:dyDescent="0.3">
      <c r="A8" s="56" t="s">
        <v>462</v>
      </c>
      <c r="B8" s="55"/>
      <c r="C8" s="55"/>
      <c r="D8" s="55"/>
      <c r="E8" s="55"/>
      <c r="F8" s="55"/>
      <c r="G8" s="55"/>
      <c r="H8" s="55"/>
    </row>
    <row r="10" spans="1:8" ht="18" customHeight="1" x14ac:dyDescent="0.3">
      <c r="A10" s="55" t="s">
        <v>463</v>
      </c>
      <c r="B10" s="55"/>
      <c r="C10" s="55"/>
      <c r="D10" s="55"/>
      <c r="E10" s="55"/>
      <c r="F10" s="55"/>
      <c r="G10" s="55"/>
      <c r="H10" s="55"/>
    </row>
    <row r="11" spans="1:8" x14ac:dyDescent="0.3">
      <c r="A11" t="s">
        <v>464</v>
      </c>
      <c r="B11" s="55" t="s">
        <v>465</v>
      </c>
      <c r="C11" s="55"/>
      <c r="D11" s="55"/>
      <c r="E11" s="55"/>
      <c r="F11" s="55"/>
      <c r="G11" s="55"/>
      <c r="H11" s="55"/>
    </row>
    <row r="12" spans="1:8" x14ac:dyDescent="0.3">
      <c r="A12" t="s">
        <v>466</v>
      </c>
      <c r="B12" s="55" t="s">
        <v>467</v>
      </c>
      <c r="C12" s="55"/>
      <c r="D12" s="55"/>
      <c r="E12" s="55"/>
      <c r="F12" s="55"/>
      <c r="G12" s="55"/>
      <c r="H12" s="55"/>
    </row>
    <row r="13" spans="1:8" x14ac:dyDescent="0.3">
      <c r="A13" t="s">
        <v>468</v>
      </c>
      <c r="B13" s="55" t="s">
        <v>1084</v>
      </c>
      <c r="C13" s="55"/>
      <c r="D13" s="55"/>
      <c r="E13" s="55"/>
      <c r="F13" s="55"/>
      <c r="G13" s="55"/>
      <c r="H13" s="55"/>
    </row>
    <row r="14" spans="1:8" x14ac:dyDescent="0.3">
      <c r="A14" t="s">
        <v>469</v>
      </c>
      <c r="B14" s="55" t="s">
        <v>470</v>
      </c>
      <c r="C14" s="55"/>
      <c r="D14" s="55"/>
      <c r="E14" s="55"/>
      <c r="F14" s="55"/>
      <c r="G14" s="55"/>
      <c r="H14" s="55"/>
    </row>
    <row r="15" spans="1:8" x14ac:dyDescent="0.3">
      <c r="A15" t="s">
        <v>471</v>
      </c>
      <c r="B15" s="55" t="s">
        <v>472</v>
      </c>
      <c r="C15" s="55"/>
      <c r="D15" s="55"/>
      <c r="E15" s="55"/>
      <c r="F15" s="55"/>
      <c r="G15" s="55"/>
      <c r="H15" s="55"/>
    </row>
    <row r="17" spans="1:8" ht="18" customHeight="1" x14ac:dyDescent="0.3">
      <c r="A17" s="55" t="s">
        <v>473</v>
      </c>
      <c r="B17" s="55"/>
      <c r="C17" s="55"/>
      <c r="D17" s="55"/>
      <c r="E17" s="55"/>
      <c r="F17" s="55"/>
      <c r="G17" s="55"/>
      <c r="H17" s="55"/>
    </row>
    <row r="18" spans="1:8" x14ac:dyDescent="0.3">
      <c r="A18" t="s">
        <v>474</v>
      </c>
      <c r="B18" s="55" t="s">
        <v>475</v>
      </c>
      <c r="C18" s="55"/>
      <c r="D18" s="55"/>
      <c r="E18" s="55"/>
      <c r="F18" s="55"/>
      <c r="G18" s="55"/>
      <c r="H18" s="55"/>
    </row>
    <row r="19" spans="1:8" x14ac:dyDescent="0.3">
      <c r="A19" t="s">
        <v>476</v>
      </c>
      <c r="B19" s="55" t="s">
        <v>477</v>
      </c>
      <c r="C19" s="55"/>
      <c r="D19" s="55"/>
      <c r="E19" s="55"/>
      <c r="F19" s="55"/>
      <c r="G19" s="55"/>
      <c r="H19" s="55"/>
    </row>
    <row r="20" spans="1:8" x14ac:dyDescent="0.3">
      <c r="A20" t="s">
        <v>478</v>
      </c>
      <c r="B20" s="55" t="s">
        <v>479</v>
      </c>
      <c r="C20" s="55"/>
      <c r="D20" s="55"/>
      <c r="E20" s="55"/>
      <c r="F20" s="55"/>
      <c r="G20" s="55"/>
      <c r="H20" s="55"/>
    </row>
    <row r="22" spans="1:8" ht="18" customHeight="1" x14ac:dyDescent="0.3">
      <c r="A22" s="55" t="s">
        <v>480</v>
      </c>
      <c r="B22" s="55"/>
      <c r="C22" s="55"/>
      <c r="D22" s="55"/>
      <c r="E22" s="55"/>
      <c r="F22" s="55"/>
      <c r="G22" s="55"/>
      <c r="H22" s="55"/>
    </row>
    <row r="23" spans="1:8" x14ac:dyDescent="0.3">
      <c r="A23" s="56" t="s">
        <v>481</v>
      </c>
      <c r="B23" s="55"/>
      <c r="C23" s="55"/>
      <c r="D23" s="55"/>
      <c r="E23" s="55"/>
      <c r="F23" s="55"/>
      <c r="G23" s="55"/>
      <c r="H23" s="55"/>
    </row>
    <row r="24" spans="1:8" x14ac:dyDescent="0.3">
      <c r="A24" s="56" t="s">
        <v>482</v>
      </c>
      <c r="B24" s="55"/>
      <c r="C24" s="55"/>
      <c r="D24" s="55"/>
      <c r="E24" s="55"/>
      <c r="F24" s="55"/>
      <c r="G24" s="55"/>
      <c r="H24" s="55"/>
    </row>
    <row r="25" spans="1:8" x14ac:dyDescent="0.3">
      <c r="A25" s="56" t="s">
        <v>483</v>
      </c>
      <c r="B25" s="55"/>
      <c r="C25" s="55"/>
      <c r="D25" s="55"/>
      <c r="E25" s="55"/>
      <c r="F25" s="55"/>
      <c r="G25" s="55"/>
      <c r="H25" s="55"/>
    </row>
    <row r="26" spans="1:8" x14ac:dyDescent="0.3">
      <c r="A26" s="56" t="s">
        <v>484</v>
      </c>
      <c r="B26" s="55"/>
      <c r="C26" s="55"/>
      <c r="D26" s="55"/>
      <c r="E26" s="55"/>
      <c r="F26" s="55"/>
      <c r="G26" s="55"/>
      <c r="H26" s="55"/>
    </row>
    <row r="27" spans="1:8" x14ac:dyDescent="0.3">
      <c r="A27" s="55"/>
      <c r="B27" s="55"/>
      <c r="C27" s="55"/>
      <c r="D27" s="55"/>
      <c r="E27" s="55"/>
      <c r="F27" s="55"/>
      <c r="G27" s="55"/>
      <c r="H27" s="55"/>
    </row>
    <row r="29" spans="1:8" x14ac:dyDescent="0.3">
      <c r="A29" t="s">
        <v>485</v>
      </c>
    </row>
    <row r="30" spans="1:8" x14ac:dyDescent="0.3">
      <c r="A30" s="51" t="s">
        <v>486</v>
      </c>
      <c r="B30" s="56" t="s">
        <v>487</v>
      </c>
      <c r="C30" s="55"/>
      <c r="D30" s="55"/>
      <c r="E30" s="55"/>
      <c r="F30" s="55"/>
      <c r="G30" s="55"/>
      <c r="H30" s="55"/>
    </row>
    <row r="31" spans="1:8" x14ac:dyDescent="0.3">
      <c r="A31" s="51" t="s">
        <v>488</v>
      </c>
      <c r="B31" s="56" t="s">
        <v>489</v>
      </c>
      <c r="C31" s="55"/>
      <c r="D31" s="55"/>
      <c r="E31" s="55"/>
      <c r="F31" s="55"/>
      <c r="G31" s="55"/>
      <c r="H31" s="55"/>
    </row>
    <row r="32" spans="1:8" x14ac:dyDescent="0.3">
      <c r="A32" s="51" t="s">
        <v>490</v>
      </c>
      <c r="B32" s="56" t="s">
        <v>491</v>
      </c>
      <c r="C32" s="55"/>
      <c r="D32" s="55"/>
      <c r="E32" s="55"/>
      <c r="F32" s="55"/>
      <c r="G32" s="55"/>
      <c r="H32" s="55"/>
    </row>
    <row r="33" spans="1:8" x14ac:dyDescent="0.3">
      <c r="A33" s="51" t="s">
        <v>492</v>
      </c>
      <c r="B33" s="56" t="s">
        <v>493</v>
      </c>
      <c r="C33" s="55"/>
      <c r="D33" s="55"/>
      <c r="E33" s="55"/>
      <c r="F33" s="55"/>
      <c r="G33" s="55"/>
      <c r="H33" s="55"/>
    </row>
    <row r="34" spans="1:8" x14ac:dyDescent="0.3">
      <c r="A34" s="51" t="s">
        <v>494</v>
      </c>
      <c r="B34" s="56" t="s">
        <v>495</v>
      </c>
      <c r="C34" s="55"/>
      <c r="D34" s="55"/>
      <c r="E34" s="55"/>
      <c r="F34" s="55"/>
      <c r="G34" s="55"/>
      <c r="H34" s="55"/>
    </row>
    <row r="35" spans="1:8" x14ac:dyDescent="0.3">
      <c r="A35" s="51" t="s">
        <v>496</v>
      </c>
      <c r="B35" s="56" t="s">
        <v>497</v>
      </c>
      <c r="C35" s="55"/>
      <c r="D35" s="55"/>
      <c r="E35" s="55"/>
      <c r="F35" s="55"/>
      <c r="G35" s="55"/>
      <c r="H35" s="55"/>
    </row>
    <row r="36" spans="1:8" x14ac:dyDescent="0.3">
      <c r="A36" s="51" t="s">
        <v>498</v>
      </c>
      <c r="B36" s="56" t="s">
        <v>499</v>
      </c>
      <c r="C36" s="55"/>
      <c r="D36" s="55"/>
      <c r="E36" s="55"/>
      <c r="F36" s="55"/>
      <c r="G36" s="55"/>
      <c r="H36" s="55"/>
    </row>
  </sheetData>
  <mergeCells count="29">
    <mergeCell ref="B36:H36"/>
    <mergeCell ref="B32:H32"/>
    <mergeCell ref="A7:H7"/>
    <mergeCell ref="A25:H25"/>
    <mergeCell ref="B35:H35"/>
    <mergeCell ref="A27:H27"/>
    <mergeCell ref="B31:H31"/>
    <mergeCell ref="A26:H26"/>
    <mergeCell ref="B18:H18"/>
    <mergeCell ref="B12:H12"/>
    <mergeCell ref="B11:H11"/>
    <mergeCell ref="A23:H23"/>
    <mergeCell ref="A8:H8"/>
    <mergeCell ref="A22:H22"/>
    <mergeCell ref="A17:H17"/>
    <mergeCell ref="A24:H24"/>
    <mergeCell ref="B30:H30"/>
    <mergeCell ref="B15:H15"/>
    <mergeCell ref="B33:H33"/>
    <mergeCell ref="B34:H34"/>
    <mergeCell ref="A1:H1"/>
    <mergeCell ref="B20:H20"/>
    <mergeCell ref="A2:H2"/>
    <mergeCell ref="A5:H5"/>
    <mergeCell ref="A4:H4"/>
    <mergeCell ref="B13:H13"/>
    <mergeCell ref="A10:H10"/>
    <mergeCell ref="B19:H19"/>
    <mergeCell ref="B14:H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23"/>
  <sheetViews>
    <sheetView topLeftCell="E1" workbookViewId="0">
      <pane ySplit="2" topLeftCell="A102" activePane="bottomLeft" state="frozen"/>
      <selection pane="bottomLeft" activeCell="G50" sqref="G50"/>
    </sheetView>
  </sheetViews>
  <sheetFormatPr baseColWidth="10" defaultColWidth="8.88671875" defaultRowHeight="14.4" x14ac:dyDescent="0.3"/>
  <cols>
    <col min="1" max="1" width="26" customWidth="1"/>
    <col min="2" max="2" width="10" customWidth="1"/>
    <col min="3" max="3" width="30" customWidth="1"/>
    <col min="4" max="4" width="60" customWidth="1"/>
    <col min="5" max="5" width="22" customWidth="1"/>
    <col min="6" max="6" width="55" customWidth="1"/>
    <col min="7" max="7" width="45" customWidth="1"/>
  </cols>
  <sheetData>
    <row r="1" spans="1:7" ht="24" customHeight="1" x14ac:dyDescent="0.3">
      <c r="A1" s="58" t="s">
        <v>500</v>
      </c>
      <c r="B1" s="55"/>
      <c r="C1" s="55"/>
      <c r="D1" s="55"/>
      <c r="E1" s="55"/>
      <c r="F1" s="55"/>
      <c r="G1" s="55"/>
    </row>
    <row r="2" spans="1:7" ht="28.05" customHeight="1" x14ac:dyDescent="0.3">
      <c r="A2" s="37" t="s">
        <v>501</v>
      </c>
      <c r="B2" s="37" t="s">
        <v>502</v>
      </c>
      <c r="C2" s="37" t="s">
        <v>503</v>
      </c>
      <c r="D2" s="37" t="s">
        <v>504</v>
      </c>
      <c r="E2" s="37" t="s">
        <v>505</v>
      </c>
      <c r="F2" s="37" t="s">
        <v>506</v>
      </c>
      <c r="G2" s="37" t="s">
        <v>507</v>
      </c>
    </row>
    <row r="3" spans="1:7" x14ac:dyDescent="0.3">
      <c r="A3" s="38" t="s">
        <v>508</v>
      </c>
      <c r="B3" s="39" t="s">
        <v>509</v>
      </c>
      <c r="C3" s="38" t="s">
        <v>510</v>
      </c>
      <c r="D3" s="38" t="s">
        <v>511</v>
      </c>
      <c r="E3" s="38" t="s">
        <v>512</v>
      </c>
      <c r="F3" s="38" t="s">
        <v>512</v>
      </c>
      <c r="G3" s="38" t="s">
        <v>513</v>
      </c>
    </row>
    <row r="4" spans="1:7" x14ac:dyDescent="0.3">
      <c r="A4" s="38" t="s">
        <v>508</v>
      </c>
      <c r="B4" s="39" t="s">
        <v>514</v>
      </c>
      <c r="C4" s="38" t="s">
        <v>510</v>
      </c>
      <c r="D4" s="38" t="s">
        <v>515</v>
      </c>
      <c r="E4" s="38" t="s">
        <v>512</v>
      </c>
      <c r="F4" s="38" t="s">
        <v>512</v>
      </c>
      <c r="G4" s="38" t="s">
        <v>516</v>
      </c>
    </row>
    <row r="5" spans="1:7" ht="48" customHeight="1" x14ac:dyDescent="0.3">
      <c r="A5" s="38" t="s">
        <v>508</v>
      </c>
      <c r="B5" s="39" t="s">
        <v>517</v>
      </c>
      <c r="C5" s="38" t="s">
        <v>510</v>
      </c>
      <c r="D5" s="38" t="s">
        <v>518</v>
      </c>
      <c r="E5" s="38" t="s">
        <v>519</v>
      </c>
      <c r="F5" s="38" t="s">
        <v>512</v>
      </c>
      <c r="G5" s="38" t="s">
        <v>520</v>
      </c>
    </row>
    <row r="6" spans="1:7" ht="24" customHeight="1" x14ac:dyDescent="0.3">
      <c r="A6" s="38" t="s">
        <v>521</v>
      </c>
      <c r="B6" s="39" t="s">
        <v>522</v>
      </c>
      <c r="C6" s="38" t="s">
        <v>510</v>
      </c>
      <c r="D6" s="38" t="s">
        <v>523</v>
      </c>
      <c r="E6" s="38" t="s">
        <v>515</v>
      </c>
      <c r="F6" s="38" t="s">
        <v>512</v>
      </c>
      <c r="G6" s="38" t="s">
        <v>524</v>
      </c>
    </row>
    <row r="7" spans="1:7" ht="36" customHeight="1" x14ac:dyDescent="0.3">
      <c r="A7" s="38" t="s">
        <v>521</v>
      </c>
      <c r="B7" s="39" t="s">
        <v>525</v>
      </c>
      <c r="C7" s="38" t="s">
        <v>510</v>
      </c>
      <c r="D7" s="38" t="s">
        <v>21</v>
      </c>
      <c r="E7" s="38" t="s">
        <v>526</v>
      </c>
      <c r="F7" s="38" t="s">
        <v>512</v>
      </c>
      <c r="G7" s="38" t="s">
        <v>527</v>
      </c>
    </row>
    <row r="8" spans="1:7" ht="24" customHeight="1" x14ac:dyDescent="0.3">
      <c r="A8" s="38" t="s">
        <v>521</v>
      </c>
      <c r="B8" s="39" t="s">
        <v>528</v>
      </c>
      <c r="C8" s="38" t="s">
        <v>510</v>
      </c>
      <c r="D8" s="38" t="s">
        <v>529</v>
      </c>
      <c r="E8" s="38" t="s">
        <v>530</v>
      </c>
      <c r="F8" s="38" t="s">
        <v>512</v>
      </c>
      <c r="G8" s="38" t="s">
        <v>531</v>
      </c>
    </row>
    <row r="9" spans="1:7" ht="24" customHeight="1" x14ac:dyDescent="0.3">
      <c r="A9" s="38" t="s">
        <v>521</v>
      </c>
      <c r="B9" s="39" t="s">
        <v>532</v>
      </c>
      <c r="C9" s="38" t="s">
        <v>510</v>
      </c>
      <c r="D9" s="38" t="s">
        <v>533</v>
      </c>
      <c r="E9" s="38" t="s">
        <v>530</v>
      </c>
      <c r="F9" s="38" t="s">
        <v>512</v>
      </c>
      <c r="G9" s="38" t="s">
        <v>534</v>
      </c>
    </row>
    <row r="10" spans="1:7" ht="24" customHeight="1" x14ac:dyDescent="0.3">
      <c r="A10" s="38" t="s">
        <v>521</v>
      </c>
      <c r="B10" s="39" t="s">
        <v>535</v>
      </c>
      <c r="C10" s="38" t="s">
        <v>510</v>
      </c>
      <c r="D10" s="38" t="s">
        <v>536</v>
      </c>
      <c r="E10" s="38" t="s">
        <v>537</v>
      </c>
      <c r="F10" s="38" t="s">
        <v>538</v>
      </c>
      <c r="G10" s="38" t="s">
        <v>539</v>
      </c>
    </row>
    <row r="11" spans="1:7" ht="24" customHeight="1" x14ac:dyDescent="0.3">
      <c r="A11" s="38" t="s">
        <v>521</v>
      </c>
      <c r="B11" s="39" t="s">
        <v>540</v>
      </c>
      <c r="C11" s="38" t="s">
        <v>510</v>
      </c>
      <c r="D11" s="38" t="s">
        <v>541</v>
      </c>
      <c r="E11" s="38" t="s">
        <v>542</v>
      </c>
      <c r="F11" s="38" t="s">
        <v>512</v>
      </c>
      <c r="G11" s="38" t="s">
        <v>543</v>
      </c>
    </row>
    <row r="12" spans="1:7" ht="24" customHeight="1" x14ac:dyDescent="0.3">
      <c r="A12" s="38" t="s">
        <v>521</v>
      </c>
      <c r="B12" s="39" t="s">
        <v>544</v>
      </c>
      <c r="C12" s="38" t="s">
        <v>510</v>
      </c>
      <c r="D12" s="38" t="s">
        <v>545</v>
      </c>
      <c r="E12" s="38" t="s">
        <v>546</v>
      </c>
      <c r="F12" s="38" t="s">
        <v>512</v>
      </c>
      <c r="G12" s="38" t="s">
        <v>547</v>
      </c>
    </row>
    <row r="13" spans="1:7" ht="24" customHeight="1" x14ac:dyDescent="0.3">
      <c r="A13" s="40" t="s">
        <v>521</v>
      </c>
      <c r="B13" s="41" t="s">
        <v>548</v>
      </c>
      <c r="C13" s="40" t="s">
        <v>510</v>
      </c>
      <c r="D13" s="40" t="s">
        <v>549</v>
      </c>
      <c r="E13" s="40" t="s">
        <v>550</v>
      </c>
      <c r="F13" s="40" t="s">
        <v>551</v>
      </c>
      <c r="G13" s="40" t="s">
        <v>552</v>
      </c>
    </row>
    <row r="14" spans="1:7" ht="24" customHeight="1" x14ac:dyDescent="0.3">
      <c r="A14" s="38" t="s">
        <v>521</v>
      </c>
      <c r="B14" s="39" t="s">
        <v>553</v>
      </c>
      <c r="C14" s="38" t="s">
        <v>510</v>
      </c>
      <c r="D14" s="38" t="s">
        <v>554</v>
      </c>
      <c r="E14" s="38" t="s">
        <v>550</v>
      </c>
      <c r="F14" s="38" t="s">
        <v>555</v>
      </c>
      <c r="G14" s="38" t="s">
        <v>556</v>
      </c>
    </row>
    <row r="15" spans="1:7" ht="24" customHeight="1" x14ac:dyDescent="0.3">
      <c r="A15" s="38" t="s">
        <v>521</v>
      </c>
      <c r="B15" s="39" t="s">
        <v>557</v>
      </c>
      <c r="C15" s="38" t="s">
        <v>510</v>
      </c>
      <c r="D15" s="38" t="s">
        <v>558</v>
      </c>
      <c r="E15" s="38" t="s">
        <v>537</v>
      </c>
      <c r="F15" s="38" t="s">
        <v>559</v>
      </c>
      <c r="G15" s="38" t="s">
        <v>560</v>
      </c>
    </row>
    <row r="16" spans="1:7" ht="24" customHeight="1" x14ac:dyDescent="0.3">
      <c r="A16" s="38" t="s">
        <v>521</v>
      </c>
      <c r="B16" s="39" t="s">
        <v>561</v>
      </c>
      <c r="C16" s="38" t="s">
        <v>510</v>
      </c>
      <c r="D16" s="38" t="s">
        <v>562</v>
      </c>
      <c r="E16" s="38" t="s">
        <v>537</v>
      </c>
      <c r="F16" s="38" t="s">
        <v>563</v>
      </c>
      <c r="G16" s="38" t="s">
        <v>560</v>
      </c>
    </row>
    <row r="17" spans="1:7" ht="24" customHeight="1" x14ac:dyDescent="0.3">
      <c r="A17" s="38" t="s">
        <v>521</v>
      </c>
      <c r="B17" s="39" t="s">
        <v>564</v>
      </c>
      <c r="C17" s="38" t="s">
        <v>510</v>
      </c>
      <c r="D17" s="38" t="s">
        <v>565</v>
      </c>
      <c r="E17" s="38" t="s">
        <v>546</v>
      </c>
      <c r="F17" s="38" t="s">
        <v>512</v>
      </c>
      <c r="G17" s="38" t="s">
        <v>566</v>
      </c>
    </row>
    <row r="18" spans="1:7" ht="36" customHeight="1" x14ac:dyDescent="0.3">
      <c r="A18" s="38" t="s">
        <v>521</v>
      </c>
      <c r="B18" s="39" t="s">
        <v>567</v>
      </c>
      <c r="C18" s="38" t="s">
        <v>510</v>
      </c>
      <c r="D18" s="38" t="s">
        <v>568</v>
      </c>
      <c r="E18" s="38" t="s">
        <v>537</v>
      </c>
      <c r="F18" s="38" t="s">
        <v>569</v>
      </c>
      <c r="G18" s="38" t="s">
        <v>570</v>
      </c>
    </row>
    <row r="19" spans="1:7" ht="36" customHeight="1" x14ac:dyDescent="0.3">
      <c r="A19" s="38" t="s">
        <v>521</v>
      </c>
      <c r="B19" s="39" t="s">
        <v>571</v>
      </c>
      <c r="C19" s="38" t="s">
        <v>510</v>
      </c>
      <c r="D19" s="38" t="s">
        <v>572</v>
      </c>
      <c r="E19" s="38" t="s">
        <v>537</v>
      </c>
      <c r="F19" s="38" t="s">
        <v>573</v>
      </c>
      <c r="G19" s="38" t="s">
        <v>570</v>
      </c>
    </row>
    <row r="20" spans="1:7" ht="24" customHeight="1" x14ac:dyDescent="0.3">
      <c r="A20" s="42" t="s">
        <v>521</v>
      </c>
      <c r="B20" s="43" t="s">
        <v>574</v>
      </c>
      <c r="C20" s="42" t="s">
        <v>510</v>
      </c>
      <c r="D20" s="42" t="s">
        <v>575</v>
      </c>
      <c r="E20" s="42" t="s">
        <v>537</v>
      </c>
      <c r="F20" s="42" t="s">
        <v>576</v>
      </c>
      <c r="G20" s="42" t="s">
        <v>577</v>
      </c>
    </row>
    <row r="21" spans="1:7" ht="24" customHeight="1" x14ac:dyDescent="0.3">
      <c r="A21" s="42" t="s">
        <v>521</v>
      </c>
      <c r="B21" s="43" t="s">
        <v>578</v>
      </c>
      <c r="C21" s="42" t="s">
        <v>510</v>
      </c>
      <c r="D21" s="42" t="s">
        <v>579</v>
      </c>
      <c r="E21" s="42" t="s">
        <v>515</v>
      </c>
      <c r="F21" s="42" t="s">
        <v>512</v>
      </c>
      <c r="G21" s="42" t="s">
        <v>580</v>
      </c>
    </row>
    <row r="22" spans="1:7" ht="24" customHeight="1" x14ac:dyDescent="0.3">
      <c r="A22" s="42" t="s">
        <v>521</v>
      </c>
      <c r="B22" s="43" t="s">
        <v>581</v>
      </c>
      <c r="C22" s="42" t="s">
        <v>510</v>
      </c>
      <c r="D22" s="42" t="s">
        <v>582</v>
      </c>
      <c r="E22" s="42" t="s">
        <v>537</v>
      </c>
      <c r="F22" s="42" t="s">
        <v>583</v>
      </c>
      <c r="G22" s="42" t="s">
        <v>584</v>
      </c>
    </row>
    <row r="23" spans="1:7" ht="24" customHeight="1" x14ac:dyDescent="0.3">
      <c r="A23" s="38" t="s">
        <v>585</v>
      </c>
      <c r="B23" s="39" t="s">
        <v>5</v>
      </c>
      <c r="C23" s="38" t="s">
        <v>586</v>
      </c>
      <c r="D23" s="38" t="s">
        <v>587</v>
      </c>
      <c r="E23" s="38" t="s">
        <v>530</v>
      </c>
      <c r="F23" s="38" t="s">
        <v>512</v>
      </c>
      <c r="G23" s="38" t="s">
        <v>588</v>
      </c>
    </row>
    <row r="24" spans="1:7" ht="24" customHeight="1" x14ac:dyDescent="0.3">
      <c r="A24" s="38" t="s">
        <v>585</v>
      </c>
      <c r="B24" s="39" t="s">
        <v>589</v>
      </c>
      <c r="C24" s="38" t="s">
        <v>586</v>
      </c>
      <c r="D24" s="38" t="s">
        <v>590</v>
      </c>
      <c r="E24" s="38" t="s">
        <v>530</v>
      </c>
      <c r="F24" s="38" t="s">
        <v>512</v>
      </c>
      <c r="G24" s="38" t="s">
        <v>588</v>
      </c>
    </row>
    <row r="25" spans="1:7" ht="24" customHeight="1" x14ac:dyDescent="0.3">
      <c r="A25" s="38" t="s">
        <v>585</v>
      </c>
      <c r="B25" s="39" t="s">
        <v>6</v>
      </c>
      <c r="C25" s="38" t="s">
        <v>586</v>
      </c>
      <c r="D25" s="38" t="s">
        <v>591</v>
      </c>
      <c r="E25" s="38" t="s">
        <v>530</v>
      </c>
      <c r="F25" s="38" t="s">
        <v>512</v>
      </c>
      <c r="G25" s="38" t="s">
        <v>592</v>
      </c>
    </row>
    <row r="26" spans="1:7" ht="24" customHeight="1" x14ac:dyDescent="0.3">
      <c r="A26" s="38" t="s">
        <v>585</v>
      </c>
      <c r="B26" s="39" t="s">
        <v>7</v>
      </c>
      <c r="C26" s="38" t="s">
        <v>586</v>
      </c>
      <c r="D26" s="38" t="s">
        <v>593</v>
      </c>
      <c r="E26" s="38" t="s">
        <v>530</v>
      </c>
      <c r="F26" s="38" t="s">
        <v>512</v>
      </c>
      <c r="G26" s="38" t="s">
        <v>594</v>
      </c>
    </row>
    <row r="27" spans="1:7" ht="24" customHeight="1" x14ac:dyDescent="0.3">
      <c r="A27" s="38" t="s">
        <v>585</v>
      </c>
      <c r="B27" s="39" t="s">
        <v>8</v>
      </c>
      <c r="C27" s="38" t="s">
        <v>586</v>
      </c>
      <c r="D27" s="38" t="s">
        <v>595</v>
      </c>
      <c r="E27" s="38" t="s">
        <v>596</v>
      </c>
      <c r="F27" s="38" t="s">
        <v>512</v>
      </c>
      <c r="G27" s="38" t="s">
        <v>588</v>
      </c>
    </row>
    <row r="28" spans="1:7" ht="24" customHeight="1" x14ac:dyDescent="0.3">
      <c r="A28" s="38" t="s">
        <v>585</v>
      </c>
      <c r="B28" s="39" t="s">
        <v>9</v>
      </c>
      <c r="C28" s="38" t="s">
        <v>586</v>
      </c>
      <c r="D28" s="38" t="s">
        <v>597</v>
      </c>
      <c r="E28" s="38" t="s">
        <v>596</v>
      </c>
      <c r="F28" s="38" t="s">
        <v>512</v>
      </c>
      <c r="G28" s="38" t="s">
        <v>592</v>
      </c>
    </row>
    <row r="29" spans="1:7" ht="24" customHeight="1" x14ac:dyDescent="0.3">
      <c r="A29" s="38" t="s">
        <v>585</v>
      </c>
      <c r="B29" s="39" t="s">
        <v>10</v>
      </c>
      <c r="C29" s="38" t="s">
        <v>586</v>
      </c>
      <c r="D29" s="38" t="s">
        <v>598</v>
      </c>
      <c r="E29" s="38" t="s">
        <v>515</v>
      </c>
      <c r="F29" s="38" t="s">
        <v>512</v>
      </c>
      <c r="G29" s="38" t="s">
        <v>599</v>
      </c>
    </row>
    <row r="30" spans="1:7" ht="24" customHeight="1" x14ac:dyDescent="0.3">
      <c r="A30" s="38" t="s">
        <v>585</v>
      </c>
      <c r="B30" s="39" t="s">
        <v>11</v>
      </c>
      <c r="C30" s="38" t="s">
        <v>586</v>
      </c>
      <c r="D30" s="38" t="s">
        <v>600</v>
      </c>
      <c r="E30" s="38" t="s">
        <v>515</v>
      </c>
      <c r="F30" s="38" t="s">
        <v>512</v>
      </c>
      <c r="G30" s="38" t="s">
        <v>599</v>
      </c>
    </row>
    <row r="31" spans="1:7" ht="24" customHeight="1" x14ac:dyDescent="0.3">
      <c r="A31" s="38" t="s">
        <v>585</v>
      </c>
      <c r="B31" s="39" t="s">
        <v>12</v>
      </c>
      <c r="C31" s="38" t="s">
        <v>586</v>
      </c>
      <c r="D31" s="38" t="s">
        <v>601</v>
      </c>
      <c r="E31" s="38" t="s">
        <v>537</v>
      </c>
      <c r="F31" s="38" t="s">
        <v>602</v>
      </c>
      <c r="G31" s="38" t="s">
        <v>603</v>
      </c>
    </row>
    <row r="32" spans="1:7" ht="24" customHeight="1" x14ac:dyDescent="0.3">
      <c r="A32" s="38" t="s">
        <v>585</v>
      </c>
      <c r="B32" s="39" t="s">
        <v>13</v>
      </c>
      <c r="C32" s="38" t="s">
        <v>586</v>
      </c>
      <c r="D32" s="38" t="s">
        <v>604</v>
      </c>
      <c r="E32" s="38" t="s">
        <v>542</v>
      </c>
      <c r="F32" s="38" t="s">
        <v>512</v>
      </c>
      <c r="G32" s="38" t="s">
        <v>605</v>
      </c>
    </row>
    <row r="33" spans="1:7" ht="24" customHeight="1" x14ac:dyDescent="0.3">
      <c r="A33" s="38" t="s">
        <v>585</v>
      </c>
      <c r="B33" s="39" t="s">
        <v>14</v>
      </c>
      <c r="C33" s="38" t="s">
        <v>586</v>
      </c>
      <c r="D33" s="38" t="s">
        <v>606</v>
      </c>
      <c r="E33" s="38" t="s">
        <v>537</v>
      </c>
      <c r="F33" s="38" t="s">
        <v>602</v>
      </c>
      <c r="G33" s="38" t="s">
        <v>607</v>
      </c>
    </row>
    <row r="34" spans="1:7" ht="24" customHeight="1" x14ac:dyDescent="0.3">
      <c r="A34" s="38" t="s">
        <v>585</v>
      </c>
      <c r="B34" s="39" t="s">
        <v>15</v>
      </c>
      <c r="C34" s="38" t="s">
        <v>586</v>
      </c>
      <c r="D34" s="38" t="s">
        <v>608</v>
      </c>
      <c r="E34" s="38" t="s">
        <v>546</v>
      </c>
      <c r="F34" s="38" t="s">
        <v>512</v>
      </c>
      <c r="G34" s="38" t="s">
        <v>609</v>
      </c>
    </row>
    <row r="35" spans="1:7" ht="24" customHeight="1" x14ac:dyDescent="0.3">
      <c r="A35" s="38" t="s">
        <v>585</v>
      </c>
      <c r="B35" s="39" t="s">
        <v>16</v>
      </c>
      <c r="C35" s="38" t="s">
        <v>586</v>
      </c>
      <c r="D35" s="38" t="s">
        <v>610</v>
      </c>
      <c r="E35" s="38" t="s">
        <v>596</v>
      </c>
      <c r="F35" s="38" t="s">
        <v>512</v>
      </c>
      <c r="G35" s="38" t="s">
        <v>611</v>
      </c>
    </row>
    <row r="36" spans="1:7" ht="36" customHeight="1" x14ac:dyDescent="0.3">
      <c r="A36" s="38" t="s">
        <v>585</v>
      </c>
      <c r="B36" s="39" t="s">
        <v>17</v>
      </c>
      <c r="C36" s="38" t="s">
        <v>586</v>
      </c>
      <c r="D36" s="38" t="s">
        <v>612</v>
      </c>
      <c r="E36" s="38" t="s">
        <v>537</v>
      </c>
      <c r="F36" s="38" t="s">
        <v>613</v>
      </c>
      <c r="G36" s="38" t="s">
        <v>607</v>
      </c>
    </row>
    <row r="37" spans="1:7" ht="36" customHeight="1" x14ac:dyDescent="0.3">
      <c r="A37" s="38" t="s">
        <v>585</v>
      </c>
      <c r="B37" s="39" t="s">
        <v>18</v>
      </c>
      <c r="C37" s="38" t="s">
        <v>586</v>
      </c>
      <c r="D37" s="38" t="s">
        <v>614</v>
      </c>
      <c r="E37" s="38" t="s">
        <v>537</v>
      </c>
      <c r="F37" s="38" t="s">
        <v>615</v>
      </c>
      <c r="G37" s="38" t="s">
        <v>616</v>
      </c>
    </row>
    <row r="38" spans="1:7" ht="24" customHeight="1" x14ac:dyDescent="0.3">
      <c r="A38" s="38" t="s">
        <v>617</v>
      </c>
      <c r="B38" s="39" t="s">
        <v>618</v>
      </c>
      <c r="C38" s="38" t="s">
        <v>619</v>
      </c>
      <c r="D38" s="38" t="s">
        <v>620</v>
      </c>
      <c r="E38" s="38" t="s">
        <v>537</v>
      </c>
      <c r="F38" s="38" t="s">
        <v>621</v>
      </c>
      <c r="G38" s="38" t="s">
        <v>622</v>
      </c>
    </row>
    <row r="39" spans="1:7" ht="24" customHeight="1" x14ac:dyDescent="0.3">
      <c r="A39" s="38" t="s">
        <v>617</v>
      </c>
      <c r="B39" s="39" t="s">
        <v>623</v>
      </c>
      <c r="C39" s="38" t="s">
        <v>619</v>
      </c>
      <c r="D39" s="38" t="s">
        <v>624</v>
      </c>
      <c r="E39" s="38" t="s">
        <v>537</v>
      </c>
      <c r="F39" s="38" t="s">
        <v>625</v>
      </c>
      <c r="G39" s="38" t="s">
        <v>626</v>
      </c>
    </row>
    <row r="40" spans="1:7" ht="24" customHeight="1" x14ac:dyDescent="0.3">
      <c r="A40" s="38" t="s">
        <v>617</v>
      </c>
      <c r="B40" s="39" t="s">
        <v>627</v>
      </c>
      <c r="C40" s="38" t="s">
        <v>619</v>
      </c>
      <c r="D40" s="38" t="s">
        <v>628</v>
      </c>
      <c r="E40" s="38" t="s">
        <v>537</v>
      </c>
      <c r="F40" s="38" t="s">
        <v>629</v>
      </c>
      <c r="G40" s="38" t="s">
        <v>630</v>
      </c>
    </row>
    <row r="41" spans="1:7" ht="24" customHeight="1" x14ac:dyDescent="0.3">
      <c r="A41" s="38" t="s">
        <v>617</v>
      </c>
      <c r="B41" s="39" t="s">
        <v>631</v>
      </c>
      <c r="C41" s="38" t="s">
        <v>619</v>
      </c>
      <c r="D41" s="38" t="s">
        <v>632</v>
      </c>
      <c r="E41" s="38" t="s">
        <v>537</v>
      </c>
      <c r="F41" s="38" t="s">
        <v>602</v>
      </c>
      <c r="G41" s="38" t="s">
        <v>630</v>
      </c>
    </row>
    <row r="42" spans="1:7" ht="24" customHeight="1" x14ac:dyDescent="0.3">
      <c r="A42" s="42" t="s">
        <v>617</v>
      </c>
      <c r="B42" s="43" t="s">
        <v>633</v>
      </c>
      <c r="C42" s="42" t="s">
        <v>619</v>
      </c>
      <c r="D42" s="42" t="s">
        <v>634</v>
      </c>
      <c r="E42" s="42" t="s">
        <v>537</v>
      </c>
      <c r="F42" s="42" t="s">
        <v>635</v>
      </c>
      <c r="G42" s="42" t="s">
        <v>630</v>
      </c>
    </row>
    <row r="43" spans="1:7" ht="24" customHeight="1" x14ac:dyDescent="0.3">
      <c r="A43" s="38" t="s">
        <v>636</v>
      </c>
      <c r="B43" s="39" t="s">
        <v>637</v>
      </c>
      <c r="C43" s="38" t="s">
        <v>638</v>
      </c>
      <c r="D43" s="38" t="s">
        <v>639</v>
      </c>
      <c r="E43" s="38" t="s">
        <v>640</v>
      </c>
      <c r="F43" s="38" t="s">
        <v>641</v>
      </c>
      <c r="G43" s="38" t="s">
        <v>642</v>
      </c>
    </row>
    <row r="44" spans="1:7" ht="24" customHeight="1" x14ac:dyDescent="0.3">
      <c r="A44" s="38" t="s">
        <v>636</v>
      </c>
      <c r="B44" s="39" t="s">
        <v>643</v>
      </c>
      <c r="C44" s="38" t="s">
        <v>638</v>
      </c>
      <c r="D44" s="38" t="s">
        <v>644</v>
      </c>
      <c r="E44" s="38" t="s">
        <v>546</v>
      </c>
      <c r="F44" s="38" t="s">
        <v>512</v>
      </c>
      <c r="G44" s="38" t="s">
        <v>642</v>
      </c>
    </row>
    <row r="45" spans="1:7" ht="24" customHeight="1" x14ac:dyDescent="0.3">
      <c r="A45" s="38" t="s">
        <v>636</v>
      </c>
      <c r="B45" s="39" t="s">
        <v>645</v>
      </c>
      <c r="C45" s="38" t="s">
        <v>638</v>
      </c>
      <c r="D45" s="38" t="s">
        <v>646</v>
      </c>
      <c r="E45" s="38" t="s">
        <v>640</v>
      </c>
      <c r="F45" s="38" t="s">
        <v>647</v>
      </c>
      <c r="G45" s="38" t="s">
        <v>642</v>
      </c>
    </row>
    <row r="46" spans="1:7" ht="24" customHeight="1" x14ac:dyDescent="0.3">
      <c r="A46" s="38" t="s">
        <v>636</v>
      </c>
      <c r="B46" s="39" t="s">
        <v>648</v>
      </c>
      <c r="C46" s="38" t="s">
        <v>638</v>
      </c>
      <c r="D46" s="38" t="s">
        <v>649</v>
      </c>
      <c r="E46" s="38" t="s">
        <v>537</v>
      </c>
      <c r="F46" s="38" t="s">
        <v>650</v>
      </c>
      <c r="G46" s="38" t="s">
        <v>642</v>
      </c>
    </row>
    <row r="47" spans="1:7" ht="24" customHeight="1" x14ac:dyDescent="0.3">
      <c r="A47" s="38" t="s">
        <v>636</v>
      </c>
      <c r="B47" s="39" t="s">
        <v>651</v>
      </c>
      <c r="C47" s="38" t="s">
        <v>638</v>
      </c>
      <c r="D47" s="38" t="s">
        <v>652</v>
      </c>
      <c r="E47" s="38" t="s">
        <v>537</v>
      </c>
      <c r="F47" s="38" t="s">
        <v>653</v>
      </c>
      <c r="G47" s="38" t="s">
        <v>642</v>
      </c>
    </row>
    <row r="48" spans="1:7" ht="24" customHeight="1" x14ac:dyDescent="0.3">
      <c r="A48" s="38" t="s">
        <v>636</v>
      </c>
      <c r="B48" s="39" t="s">
        <v>654</v>
      </c>
      <c r="C48" s="38" t="s">
        <v>638</v>
      </c>
      <c r="D48" s="38" t="s">
        <v>655</v>
      </c>
      <c r="E48" s="38" t="s">
        <v>537</v>
      </c>
      <c r="F48" s="38" t="s">
        <v>656</v>
      </c>
      <c r="G48" s="38" t="s">
        <v>657</v>
      </c>
    </row>
    <row r="49" spans="1:7" ht="24" customHeight="1" x14ac:dyDescent="0.3">
      <c r="A49" s="42" t="s">
        <v>636</v>
      </c>
      <c r="B49" s="43" t="s">
        <v>658</v>
      </c>
      <c r="C49" s="42" t="s">
        <v>638</v>
      </c>
      <c r="D49" s="42" t="s">
        <v>659</v>
      </c>
      <c r="E49" s="42" t="s">
        <v>537</v>
      </c>
      <c r="F49" s="42" t="s">
        <v>660</v>
      </c>
      <c r="G49" s="42" t="s">
        <v>642</v>
      </c>
    </row>
    <row r="50" spans="1:7" ht="36" customHeight="1" x14ac:dyDescent="0.3">
      <c r="A50" s="42" t="s">
        <v>636</v>
      </c>
      <c r="B50" s="43" t="s">
        <v>661</v>
      </c>
      <c r="C50" s="42" t="s">
        <v>638</v>
      </c>
      <c r="D50" s="42" t="s">
        <v>662</v>
      </c>
      <c r="E50" s="42" t="s">
        <v>537</v>
      </c>
      <c r="F50" s="42" t="s">
        <v>663</v>
      </c>
      <c r="G50" s="42" t="s">
        <v>664</v>
      </c>
    </row>
    <row r="51" spans="1:7" ht="24" customHeight="1" x14ac:dyDescent="0.3">
      <c r="A51" s="38" t="s">
        <v>665</v>
      </c>
      <c r="B51" s="39" t="s">
        <v>666</v>
      </c>
      <c r="C51" s="38" t="s">
        <v>667</v>
      </c>
      <c r="D51" s="38" t="s">
        <v>668</v>
      </c>
      <c r="E51" s="38" t="s">
        <v>546</v>
      </c>
      <c r="F51" s="38" t="s">
        <v>512</v>
      </c>
      <c r="G51" s="38" t="s">
        <v>669</v>
      </c>
    </row>
    <row r="52" spans="1:7" ht="24" customHeight="1" x14ac:dyDescent="0.3">
      <c r="A52" s="40" t="s">
        <v>665</v>
      </c>
      <c r="B52" s="41" t="s">
        <v>670</v>
      </c>
      <c r="C52" s="40" t="s">
        <v>667</v>
      </c>
      <c r="D52" s="40" t="s">
        <v>671</v>
      </c>
      <c r="E52" s="40" t="s">
        <v>537</v>
      </c>
      <c r="F52" s="40" t="s">
        <v>672</v>
      </c>
      <c r="G52" s="40" t="s">
        <v>669</v>
      </c>
    </row>
    <row r="53" spans="1:7" ht="24" customHeight="1" x14ac:dyDescent="0.3">
      <c r="A53" s="38" t="s">
        <v>665</v>
      </c>
      <c r="B53" s="39" t="s">
        <v>673</v>
      </c>
      <c r="C53" s="38" t="s">
        <v>667</v>
      </c>
      <c r="D53" s="38" t="s">
        <v>674</v>
      </c>
      <c r="E53" s="38" t="s">
        <v>640</v>
      </c>
      <c r="F53" s="38" t="s">
        <v>647</v>
      </c>
      <c r="G53" s="38" t="s">
        <v>669</v>
      </c>
    </row>
    <row r="54" spans="1:7" ht="24" customHeight="1" x14ac:dyDescent="0.3">
      <c r="A54" s="38" t="s">
        <v>665</v>
      </c>
      <c r="B54" s="39" t="s">
        <v>675</v>
      </c>
      <c r="C54" s="38" t="s">
        <v>667</v>
      </c>
      <c r="D54" s="38" t="s">
        <v>676</v>
      </c>
      <c r="E54" s="38" t="s">
        <v>537</v>
      </c>
      <c r="F54" s="38" t="s">
        <v>677</v>
      </c>
      <c r="G54" s="38" t="s">
        <v>669</v>
      </c>
    </row>
    <row r="55" spans="1:7" ht="24" customHeight="1" x14ac:dyDescent="0.3">
      <c r="A55" s="38" t="s">
        <v>665</v>
      </c>
      <c r="B55" s="39" t="s">
        <v>678</v>
      </c>
      <c r="C55" s="38" t="s">
        <v>667</v>
      </c>
      <c r="D55" s="38" t="s">
        <v>679</v>
      </c>
      <c r="E55" s="38" t="s">
        <v>537</v>
      </c>
      <c r="F55" s="38" t="s">
        <v>680</v>
      </c>
      <c r="G55" s="38" t="s">
        <v>669</v>
      </c>
    </row>
    <row r="56" spans="1:7" ht="24" customHeight="1" x14ac:dyDescent="0.3">
      <c r="A56" s="38" t="s">
        <v>665</v>
      </c>
      <c r="B56" s="39" t="s">
        <v>681</v>
      </c>
      <c r="C56" s="38" t="s">
        <v>667</v>
      </c>
      <c r="D56" s="38" t="s">
        <v>682</v>
      </c>
      <c r="E56" s="38" t="s">
        <v>537</v>
      </c>
      <c r="F56" s="38" t="s">
        <v>683</v>
      </c>
      <c r="G56" s="38" t="s">
        <v>669</v>
      </c>
    </row>
    <row r="57" spans="1:7" ht="24" customHeight="1" x14ac:dyDescent="0.3">
      <c r="A57" s="38" t="s">
        <v>665</v>
      </c>
      <c r="B57" s="39" t="s">
        <v>684</v>
      </c>
      <c r="C57" s="38" t="s">
        <v>667</v>
      </c>
      <c r="D57" s="38" t="s">
        <v>685</v>
      </c>
      <c r="E57" s="38" t="s">
        <v>537</v>
      </c>
      <c r="F57" s="38" t="s">
        <v>602</v>
      </c>
      <c r="G57" s="38" t="s">
        <v>669</v>
      </c>
    </row>
    <row r="58" spans="1:7" ht="72" customHeight="1" x14ac:dyDescent="0.3">
      <c r="A58" s="38" t="s">
        <v>665</v>
      </c>
      <c r="B58" s="39" t="s">
        <v>686</v>
      </c>
      <c r="C58" s="38" t="s">
        <v>667</v>
      </c>
      <c r="D58" s="38" t="s">
        <v>687</v>
      </c>
      <c r="E58" s="38" t="s">
        <v>537</v>
      </c>
      <c r="F58" s="38" t="s">
        <v>688</v>
      </c>
      <c r="G58" s="38" t="s">
        <v>669</v>
      </c>
    </row>
    <row r="59" spans="1:7" ht="24" customHeight="1" x14ac:dyDescent="0.3">
      <c r="A59" s="38" t="s">
        <v>665</v>
      </c>
      <c r="B59" s="39" t="s">
        <v>689</v>
      </c>
      <c r="C59" s="38" t="s">
        <v>667</v>
      </c>
      <c r="D59" s="38" t="s">
        <v>690</v>
      </c>
      <c r="E59" s="38" t="s">
        <v>537</v>
      </c>
      <c r="F59" s="38" t="s">
        <v>691</v>
      </c>
      <c r="G59" s="38" t="s">
        <v>669</v>
      </c>
    </row>
    <row r="60" spans="1:7" ht="24" customHeight="1" x14ac:dyDescent="0.3">
      <c r="A60" s="38" t="s">
        <v>665</v>
      </c>
      <c r="B60" s="39" t="s">
        <v>692</v>
      </c>
      <c r="C60" s="38" t="s">
        <v>667</v>
      </c>
      <c r="D60" s="38" t="s">
        <v>693</v>
      </c>
      <c r="E60" s="38" t="s">
        <v>537</v>
      </c>
      <c r="F60" s="38" t="s">
        <v>694</v>
      </c>
      <c r="G60" s="38" t="s">
        <v>669</v>
      </c>
    </row>
    <row r="61" spans="1:7" ht="36" customHeight="1" x14ac:dyDescent="0.3">
      <c r="A61" s="38" t="s">
        <v>665</v>
      </c>
      <c r="B61" s="39" t="s">
        <v>695</v>
      </c>
      <c r="C61" s="38" t="s">
        <v>667</v>
      </c>
      <c r="D61" s="38" t="s">
        <v>696</v>
      </c>
      <c r="E61" s="38" t="s">
        <v>537</v>
      </c>
      <c r="F61" s="38" t="s">
        <v>697</v>
      </c>
      <c r="G61" s="38" t="s">
        <v>669</v>
      </c>
    </row>
    <row r="62" spans="1:7" ht="36" customHeight="1" x14ac:dyDescent="0.3">
      <c r="A62" s="42" t="s">
        <v>665</v>
      </c>
      <c r="B62" s="43" t="s">
        <v>698</v>
      </c>
      <c r="C62" s="42" t="s">
        <v>667</v>
      </c>
      <c r="D62" s="42" t="s">
        <v>699</v>
      </c>
      <c r="E62" s="42" t="s">
        <v>537</v>
      </c>
      <c r="F62" s="42" t="s">
        <v>700</v>
      </c>
      <c r="G62" s="42" t="s">
        <v>669</v>
      </c>
    </row>
    <row r="63" spans="1:7" ht="24" customHeight="1" x14ac:dyDescent="0.3">
      <c r="A63" s="42" t="s">
        <v>665</v>
      </c>
      <c r="B63" s="43" t="s">
        <v>701</v>
      </c>
      <c r="C63" s="42" t="s">
        <v>667</v>
      </c>
      <c r="D63" s="42" t="s">
        <v>702</v>
      </c>
      <c r="E63" s="42" t="s">
        <v>537</v>
      </c>
      <c r="F63" s="42" t="s">
        <v>703</v>
      </c>
      <c r="G63" s="42" t="s">
        <v>704</v>
      </c>
    </row>
    <row r="64" spans="1:7" ht="36" customHeight="1" x14ac:dyDescent="0.3">
      <c r="A64" s="40" t="s">
        <v>705</v>
      </c>
      <c r="B64" s="41" t="s">
        <v>706</v>
      </c>
      <c r="C64" s="40" t="s">
        <v>707</v>
      </c>
      <c r="D64" s="40" t="s">
        <v>708</v>
      </c>
      <c r="E64" s="40" t="s">
        <v>537</v>
      </c>
      <c r="F64" s="40" t="s">
        <v>709</v>
      </c>
      <c r="G64" s="40" t="s">
        <v>710</v>
      </c>
    </row>
    <row r="65" spans="1:7" ht="24" customHeight="1" x14ac:dyDescent="0.3">
      <c r="A65" s="38" t="s">
        <v>705</v>
      </c>
      <c r="B65" s="39" t="s">
        <v>711</v>
      </c>
      <c r="C65" s="38" t="s">
        <v>707</v>
      </c>
      <c r="D65" s="38" t="s">
        <v>712</v>
      </c>
      <c r="E65" s="38" t="s">
        <v>640</v>
      </c>
      <c r="F65" s="38" t="s">
        <v>647</v>
      </c>
      <c r="G65" s="38" t="s">
        <v>710</v>
      </c>
    </row>
    <row r="66" spans="1:7" ht="24" customHeight="1" x14ac:dyDescent="0.3">
      <c r="A66" s="38" t="s">
        <v>705</v>
      </c>
      <c r="B66" s="39" t="s">
        <v>713</v>
      </c>
      <c r="C66" s="38" t="s">
        <v>707</v>
      </c>
      <c r="D66" s="38" t="s">
        <v>714</v>
      </c>
      <c r="E66" s="38" t="s">
        <v>537</v>
      </c>
      <c r="F66" s="38" t="s">
        <v>715</v>
      </c>
      <c r="G66" s="38" t="s">
        <v>710</v>
      </c>
    </row>
    <row r="67" spans="1:7" ht="24" customHeight="1" x14ac:dyDescent="0.3">
      <c r="A67" s="42" t="s">
        <v>705</v>
      </c>
      <c r="B67" s="43" t="s">
        <v>716</v>
      </c>
      <c r="C67" s="42" t="s">
        <v>707</v>
      </c>
      <c r="D67" s="42" t="s">
        <v>717</v>
      </c>
      <c r="E67" s="42" t="s">
        <v>537</v>
      </c>
      <c r="F67" s="42" t="s">
        <v>718</v>
      </c>
      <c r="G67" s="42" t="s">
        <v>719</v>
      </c>
    </row>
    <row r="68" spans="1:7" ht="24" customHeight="1" x14ac:dyDescent="0.3">
      <c r="A68" s="38" t="s">
        <v>720</v>
      </c>
      <c r="B68" s="39" t="s">
        <v>721</v>
      </c>
      <c r="C68" s="38" t="s">
        <v>722</v>
      </c>
      <c r="D68" s="38" t="s">
        <v>723</v>
      </c>
      <c r="E68" s="38" t="s">
        <v>640</v>
      </c>
      <c r="F68" s="38" t="s">
        <v>647</v>
      </c>
      <c r="G68" s="38" t="s">
        <v>724</v>
      </c>
    </row>
    <row r="69" spans="1:7" ht="36" customHeight="1" x14ac:dyDescent="0.3">
      <c r="A69" s="38" t="s">
        <v>720</v>
      </c>
      <c r="B69" s="39" t="s">
        <v>725</v>
      </c>
      <c r="C69" s="38" t="s">
        <v>722</v>
      </c>
      <c r="D69" s="38" t="s">
        <v>726</v>
      </c>
      <c r="E69" s="38" t="s">
        <v>640</v>
      </c>
      <c r="F69" s="38" t="s">
        <v>647</v>
      </c>
      <c r="G69" s="38" t="s">
        <v>724</v>
      </c>
    </row>
    <row r="70" spans="1:7" ht="24" customHeight="1" x14ac:dyDescent="0.3">
      <c r="A70" s="38" t="s">
        <v>720</v>
      </c>
      <c r="B70" s="39" t="s">
        <v>727</v>
      </c>
      <c r="C70" s="38" t="s">
        <v>722</v>
      </c>
      <c r="D70" s="38" t="s">
        <v>728</v>
      </c>
      <c r="E70" s="38" t="s">
        <v>537</v>
      </c>
      <c r="F70" s="38" t="s">
        <v>729</v>
      </c>
      <c r="G70" s="38" t="s">
        <v>724</v>
      </c>
    </row>
    <row r="71" spans="1:7" ht="24" customHeight="1" x14ac:dyDescent="0.3">
      <c r="A71" s="38" t="s">
        <v>720</v>
      </c>
      <c r="B71" s="39" t="s">
        <v>730</v>
      </c>
      <c r="C71" s="38" t="s">
        <v>722</v>
      </c>
      <c r="D71" s="38" t="s">
        <v>731</v>
      </c>
      <c r="E71" s="38" t="s">
        <v>537</v>
      </c>
      <c r="F71" s="38" t="s">
        <v>732</v>
      </c>
      <c r="G71" s="38" t="s">
        <v>724</v>
      </c>
    </row>
    <row r="72" spans="1:7" ht="48" customHeight="1" x14ac:dyDescent="0.3">
      <c r="A72" s="38" t="s">
        <v>720</v>
      </c>
      <c r="B72" s="39" t="s">
        <v>733</v>
      </c>
      <c r="C72" s="38" t="s">
        <v>722</v>
      </c>
      <c r="D72" s="38" t="s">
        <v>734</v>
      </c>
      <c r="E72" s="38" t="s">
        <v>550</v>
      </c>
      <c r="F72" s="38" t="s">
        <v>735</v>
      </c>
      <c r="G72" s="38" t="s">
        <v>724</v>
      </c>
    </row>
    <row r="73" spans="1:7" ht="24" customHeight="1" x14ac:dyDescent="0.3">
      <c r="A73" s="38" t="s">
        <v>720</v>
      </c>
      <c r="B73" s="39" t="s">
        <v>736</v>
      </c>
      <c r="C73" s="38" t="s">
        <v>722</v>
      </c>
      <c r="D73" s="38" t="s">
        <v>737</v>
      </c>
      <c r="E73" s="38" t="s">
        <v>537</v>
      </c>
      <c r="F73" s="38" t="s">
        <v>738</v>
      </c>
      <c r="G73" s="38" t="s">
        <v>724</v>
      </c>
    </row>
    <row r="74" spans="1:7" ht="24" customHeight="1" x14ac:dyDescent="0.3">
      <c r="A74" s="38" t="s">
        <v>720</v>
      </c>
      <c r="B74" s="39" t="s">
        <v>739</v>
      </c>
      <c r="C74" s="38" t="s">
        <v>722</v>
      </c>
      <c r="D74" s="38" t="s">
        <v>740</v>
      </c>
      <c r="E74" s="38" t="s">
        <v>537</v>
      </c>
      <c r="F74" s="38" t="s">
        <v>741</v>
      </c>
      <c r="G74" s="38" t="s">
        <v>724</v>
      </c>
    </row>
    <row r="75" spans="1:7" ht="24" customHeight="1" x14ac:dyDescent="0.3">
      <c r="A75" s="38" t="s">
        <v>720</v>
      </c>
      <c r="B75" s="39" t="s">
        <v>742</v>
      </c>
      <c r="C75" s="38" t="s">
        <v>722</v>
      </c>
      <c r="D75" s="38" t="s">
        <v>743</v>
      </c>
      <c r="E75" s="38" t="s">
        <v>537</v>
      </c>
      <c r="F75" s="38" t="s">
        <v>744</v>
      </c>
      <c r="G75" s="38" t="s">
        <v>724</v>
      </c>
    </row>
    <row r="76" spans="1:7" ht="36" customHeight="1" x14ac:dyDescent="0.3">
      <c r="A76" s="38" t="s">
        <v>720</v>
      </c>
      <c r="B76" s="39" t="s">
        <v>745</v>
      </c>
      <c r="C76" s="38" t="s">
        <v>722</v>
      </c>
      <c r="D76" s="38" t="s">
        <v>746</v>
      </c>
      <c r="E76" s="38" t="s">
        <v>537</v>
      </c>
      <c r="F76" s="38" t="s">
        <v>747</v>
      </c>
      <c r="G76" s="38" t="s">
        <v>724</v>
      </c>
    </row>
    <row r="77" spans="1:7" ht="24" customHeight="1" x14ac:dyDescent="0.3">
      <c r="A77" s="40" t="s">
        <v>748</v>
      </c>
      <c r="B77" s="41" t="s">
        <v>749</v>
      </c>
      <c r="C77" s="40" t="s">
        <v>750</v>
      </c>
      <c r="D77" s="40" t="s">
        <v>751</v>
      </c>
      <c r="E77" s="40" t="s">
        <v>537</v>
      </c>
      <c r="F77" s="40" t="s">
        <v>752</v>
      </c>
      <c r="G77" s="40" t="s">
        <v>753</v>
      </c>
    </row>
    <row r="78" spans="1:7" ht="36" customHeight="1" x14ac:dyDescent="0.3">
      <c r="A78" s="38" t="s">
        <v>748</v>
      </c>
      <c r="B78" s="39" t="s">
        <v>754</v>
      </c>
      <c r="C78" s="38" t="s">
        <v>750</v>
      </c>
      <c r="D78" s="38" t="s">
        <v>755</v>
      </c>
      <c r="E78" s="38" t="s">
        <v>537</v>
      </c>
      <c r="F78" s="38" t="s">
        <v>756</v>
      </c>
      <c r="G78" s="38" t="s">
        <v>753</v>
      </c>
    </row>
    <row r="79" spans="1:7" ht="36" customHeight="1" x14ac:dyDescent="0.3">
      <c r="A79" s="38" t="s">
        <v>748</v>
      </c>
      <c r="B79" s="39" t="s">
        <v>757</v>
      </c>
      <c r="C79" s="38" t="s">
        <v>750</v>
      </c>
      <c r="D79" s="38" t="s">
        <v>758</v>
      </c>
      <c r="E79" s="38" t="s">
        <v>537</v>
      </c>
      <c r="F79" s="38" t="s">
        <v>759</v>
      </c>
      <c r="G79" s="38" t="s">
        <v>753</v>
      </c>
    </row>
    <row r="80" spans="1:7" ht="24" customHeight="1" x14ac:dyDescent="0.3">
      <c r="A80" s="38" t="s">
        <v>748</v>
      </c>
      <c r="B80" s="39" t="s">
        <v>760</v>
      </c>
      <c r="C80" s="38" t="s">
        <v>750</v>
      </c>
      <c r="D80" s="38" t="s">
        <v>761</v>
      </c>
      <c r="E80" s="38" t="s">
        <v>537</v>
      </c>
      <c r="F80" s="38" t="s">
        <v>762</v>
      </c>
      <c r="G80" s="38" t="s">
        <v>753</v>
      </c>
    </row>
    <row r="81" spans="1:7" ht="24" customHeight="1" x14ac:dyDescent="0.3">
      <c r="A81" s="38" t="s">
        <v>748</v>
      </c>
      <c r="B81" s="39" t="s">
        <v>763</v>
      </c>
      <c r="C81" s="38" t="s">
        <v>750</v>
      </c>
      <c r="D81" s="38" t="s">
        <v>764</v>
      </c>
      <c r="E81" s="38" t="s">
        <v>537</v>
      </c>
      <c r="F81" s="38" t="s">
        <v>765</v>
      </c>
      <c r="G81" s="38" t="s">
        <v>753</v>
      </c>
    </row>
    <row r="82" spans="1:7" ht="24" customHeight="1" x14ac:dyDescent="0.3">
      <c r="A82" s="38" t="s">
        <v>748</v>
      </c>
      <c r="B82" s="39" t="s">
        <v>766</v>
      </c>
      <c r="C82" s="38" t="s">
        <v>750</v>
      </c>
      <c r="D82" s="38" t="s">
        <v>767</v>
      </c>
      <c r="E82" s="38" t="s">
        <v>537</v>
      </c>
      <c r="F82" s="38" t="s">
        <v>768</v>
      </c>
      <c r="G82" s="38" t="s">
        <v>753</v>
      </c>
    </row>
    <row r="83" spans="1:7" ht="48" customHeight="1" x14ac:dyDescent="0.3">
      <c r="A83" s="38" t="s">
        <v>748</v>
      </c>
      <c r="B83" s="39" t="s">
        <v>769</v>
      </c>
      <c r="C83" s="38" t="s">
        <v>750</v>
      </c>
      <c r="D83" s="38" t="s">
        <v>770</v>
      </c>
      <c r="E83" s="38" t="s">
        <v>537</v>
      </c>
      <c r="F83" s="38" t="s">
        <v>771</v>
      </c>
      <c r="G83" s="38" t="s">
        <v>753</v>
      </c>
    </row>
    <row r="84" spans="1:7" ht="36" customHeight="1" x14ac:dyDescent="0.3">
      <c r="A84" s="38" t="s">
        <v>748</v>
      </c>
      <c r="B84" s="39" t="s">
        <v>772</v>
      </c>
      <c r="C84" s="38" t="s">
        <v>750</v>
      </c>
      <c r="D84" s="38" t="s">
        <v>773</v>
      </c>
      <c r="E84" s="38" t="s">
        <v>537</v>
      </c>
      <c r="F84" s="38" t="s">
        <v>774</v>
      </c>
      <c r="G84" s="38" t="s">
        <v>753</v>
      </c>
    </row>
    <row r="85" spans="1:7" ht="24" customHeight="1" x14ac:dyDescent="0.3">
      <c r="A85" s="42" t="s">
        <v>748</v>
      </c>
      <c r="B85" s="43" t="s">
        <v>775</v>
      </c>
      <c r="C85" s="42" t="s">
        <v>750</v>
      </c>
      <c r="D85" s="42" t="s">
        <v>776</v>
      </c>
      <c r="E85" s="42" t="s">
        <v>537</v>
      </c>
      <c r="F85" s="42" t="s">
        <v>777</v>
      </c>
      <c r="G85" s="42" t="s">
        <v>753</v>
      </c>
    </row>
    <row r="86" spans="1:7" ht="24" customHeight="1" x14ac:dyDescent="0.3">
      <c r="A86" s="38" t="s">
        <v>778</v>
      </c>
      <c r="B86" s="39" t="s">
        <v>779</v>
      </c>
      <c r="C86" s="38" t="s">
        <v>780</v>
      </c>
      <c r="D86" s="38" t="s">
        <v>781</v>
      </c>
      <c r="E86" s="38" t="s">
        <v>537</v>
      </c>
      <c r="F86" s="38" t="s">
        <v>782</v>
      </c>
      <c r="G86" s="38" t="s">
        <v>783</v>
      </c>
    </row>
    <row r="87" spans="1:7" ht="24" customHeight="1" x14ac:dyDescent="0.3">
      <c r="A87" s="38" t="s">
        <v>778</v>
      </c>
      <c r="B87" s="39" t="s">
        <v>784</v>
      </c>
      <c r="C87" s="38" t="s">
        <v>780</v>
      </c>
      <c r="D87" s="38" t="s">
        <v>785</v>
      </c>
      <c r="E87" s="38" t="s">
        <v>537</v>
      </c>
      <c r="F87" s="38" t="s">
        <v>621</v>
      </c>
      <c r="G87" s="38" t="s">
        <v>783</v>
      </c>
    </row>
    <row r="88" spans="1:7" ht="24" customHeight="1" x14ac:dyDescent="0.3">
      <c r="A88" s="38" t="s">
        <v>778</v>
      </c>
      <c r="B88" s="39" t="s">
        <v>786</v>
      </c>
      <c r="C88" s="38" t="s">
        <v>780</v>
      </c>
      <c r="D88" s="38" t="s">
        <v>787</v>
      </c>
      <c r="E88" s="38" t="s">
        <v>537</v>
      </c>
      <c r="F88" s="38" t="s">
        <v>788</v>
      </c>
      <c r="G88" s="38" t="s">
        <v>783</v>
      </c>
    </row>
    <row r="89" spans="1:7" ht="36" customHeight="1" x14ac:dyDescent="0.3">
      <c r="A89" s="38" t="s">
        <v>778</v>
      </c>
      <c r="B89" s="39" t="s">
        <v>789</v>
      </c>
      <c r="C89" s="38" t="s">
        <v>780</v>
      </c>
      <c r="D89" s="38" t="s">
        <v>790</v>
      </c>
      <c r="E89" s="38" t="s">
        <v>537</v>
      </c>
      <c r="F89" s="38" t="s">
        <v>791</v>
      </c>
      <c r="G89" s="38" t="s">
        <v>783</v>
      </c>
    </row>
    <row r="90" spans="1:7" ht="60" customHeight="1" x14ac:dyDescent="0.3">
      <c r="A90" s="38" t="s">
        <v>778</v>
      </c>
      <c r="B90" s="39" t="s">
        <v>792</v>
      </c>
      <c r="C90" s="38" t="s">
        <v>780</v>
      </c>
      <c r="D90" s="38" t="s">
        <v>793</v>
      </c>
      <c r="E90" s="38" t="s">
        <v>537</v>
      </c>
      <c r="F90" s="38" t="s">
        <v>794</v>
      </c>
      <c r="G90" s="38" t="s">
        <v>783</v>
      </c>
    </row>
    <row r="91" spans="1:7" ht="24" customHeight="1" x14ac:dyDescent="0.3">
      <c r="A91" s="42" t="s">
        <v>778</v>
      </c>
      <c r="B91" s="43" t="s">
        <v>795</v>
      </c>
      <c r="C91" s="42" t="s">
        <v>780</v>
      </c>
      <c r="D91" s="42" t="s">
        <v>796</v>
      </c>
      <c r="E91" s="42" t="s">
        <v>537</v>
      </c>
      <c r="F91" s="42" t="s">
        <v>797</v>
      </c>
      <c r="G91" s="42" t="s">
        <v>798</v>
      </c>
    </row>
    <row r="92" spans="1:7" ht="24" customHeight="1" x14ac:dyDescent="0.3">
      <c r="A92" s="42" t="s">
        <v>778</v>
      </c>
      <c r="B92" s="43" t="s">
        <v>799</v>
      </c>
      <c r="C92" s="42" t="s">
        <v>780</v>
      </c>
      <c r="D92" s="42" t="s">
        <v>800</v>
      </c>
      <c r="E92" s="42" t="s">
        <v>537</v>
      </c>
      <c r="F92" s="42" t="s">
        <v>801</v>
      </c>
      <c r="G92" s="42" t="s">
        <v>802</v>
      </c>
    </row>
    <row r="93" spans="1:7" ht="24" customHeight="1" x14ac:dyDescent="0.3">
      <c r="A93" s="38" t="s">
        <v>803</v>
      </c>
      <c r="B93" s="39" t="s">
        <v>804</v>
      </c>
      <c r="C93" s="38" t="s">
        <v>805</v>
      </c>
      <c r="D93" s="38" t="s">
        <v>806</v>
      </c>
      <c r="E93" s="38" t="s">
        <v>640</v>
      </c>
      <c r="F93" s="38" t="s">
        <v>647</v>
      </c>
      <c r="G93" s="38" t="s">
        <v>807</v>
      </c>
    </row>
    <row r="94" spans="1:7" ht="24" customHeight="1" x14ac:dyDescent="0.3">
      <c r="A94" s="38" t="s">
        <v>803</v>
      </c>
      <c r="B94" s="39" t="s">
        <v>808</v>
      </c>
      <c r="C94" s="38" t="s">
        <v>805</v>
      </c>
      <c r="D94" s="38" t="s">
        <v>809</v>
      </c>
      <c r="E94" s="38" t="s">
        <v>546</v>
      </c>
      <c r="F94" s="38" t="s">
        <v>512</v>
      </c>
      <c r="G94" s="38" t="s">
        <v>807</v>
      </c>
    </row>
    <row r="95" spans="1:7" ht="24" customHeight="1" x14ac:dyDescent="0.3">
      <c r="A95" s="38" t="s">
        <v>803</v>
      </c>
      <c r="B95" s="39" t="s">
        <v>810</v>
      </c>
      <c r="C95" s="38" t="s">
        <v>805</v>
      </c>
      <c r="D95" s="38" t="s">
        <v>811</v>
      </c>
      <c r="E95" s="38" t="s">
        <v>537</v>
      </c>
      <c r="F95" s="38" t="s">
        <v>812</v>
      </c>
      <c r="G95" s="38" t="s">
        <v>807</v>
      </c>
    </row>
    <row r="96" spans="1:7" ht="24" customHeight="1" x14ac:dyDescent="0.3">
      <c r="A96" s="38" t="s">
        <v>803</v>
      </c>
      <c r="B96" s="39" t="s">
        <v>813</v>
      </c>
      <c r="C96" s="38" t="s">
        <v>805</v>
      </c>
      <c r="D96" s="38" t="s">
        <v>814</v>
      </c>
      <c r="E96" s="38" t="s">
        <v>537</v>
      </c>
      <c r="F96" s="38" t="s">
        <v>815</v>
      </c>
      <c r="G96" s="38" t="s">
        <v>807</v>
      </c>
    </row>
    <row r="97" spans="1:7" ht="24" customHeight="1" x14ac:dyDescent="0.3">
      <c r="A97" s="38" t="s">
        <v>816</v>
      </c>
      <c r="B97" s="39" t="s">
        <v>817</v>
      </c>
      <c r="C97" s="38" t="s">
        <v>818</v>
      </c>
      <c r="D97" s="38" t="s">
        <v>819</v>
      </c>
      <c r="E97" s="38" t="s">
        <v>537</v>
      </c>
      <c r="F97" s="38" t="s">
        <v>820</v>
      </c>
      <c r="G97" s="38" t="s">
        <v>821</v>
      </c>
    </row>
    <row r="98" spans="1:7" ht="36" customHeight="1" x14ac:dyDescent="0.3">
      <c r="A98" s="40" t="s">
        <v>816</v>
      </c>
      <c r="B98" s="41" t="s">
        <v>822</v>
      </c>
      <c r="C98" s="40" t="s">
        <v>818</v>
      </c>
      <c r="D98" s="40" t="s">
        <v>823</v>
      </c>
      <c r="E98" s="40" t="s">
        <v>537</v>
      </c>
      <c r="F98" s="40" t="s">
        <v>824</v>
      </c>
      <c r="G98" s="40" t="s">
        <v>821</v>
      </c>
    </row>
    <row r="99" spans="1:7" ht="24" customHeight="1" x14ac:dyDescent="0.3">
      <c r="A99" s="38" t="s">
        <v>816</v>
      </c>
      <c r="B99" s="39" t="s">
        <v>825</v>
      </c>
      <c r="C99" s="38" t="s">
        <v>818</v>
      </c>
      <c r="D99" s="38" t="s">
        <v>826</v>
      </c>
      <c r="E99" s="38" t="s">
        <v>537</v>
      </c>
      <c r="F99" s="38" t="s">
        <v>827</v>
      </c>
      <c r="G99" s="38" t="s">
        <v>821</v>
      </c>
    </row>
    <row r="100" spans="1:7" ht="36" customHeight="1" x14ac:dyDescent="0.3">
      <c r="A100" s="38" t="s">
        <v>828</v>
      </c>
      <c r="B100" s="39" t="s">
        <v>829</v>
      </c>
      <c r="C100" s="38" t="s">
        <v>830</v>
      </c>
      <c r="D100" s="38" t="s">
        <v>831</v>
      </c>
      <c r="E100" s="38" t="s">
        <v>537</v>
      </c>
      <c r="F100" s="38" t="s">
        <v>832</v>
      </c>
      <c r="G100" s="38" t="s">
        <v>833</v>
      </c>
    </row>
    <row r="101" spans="1:7" ht="36" customHeight="1" x14ac:dyDescent="0.3">
      <c r="A101" s="38" t="s">
        <v>828</v>
      </c>
      <c r="B101" s="39" t="s">
        <v>834</v>
      </c>
      <c r="C101" s="38" t="s">
        <v>830</v>
      </c>
      <c r="D101" s="38" t="s">
        <v>835</v>
      </c>
      <c r="E101" s="38" t="s">
        <v>537</v>
      </c>
      <c r="F101" s="38" t="s">
        <v>621</v>
      </c>
      <c r="G101" s="38" t="s">
        <v>833</v>
      </c>
    </row>
    <row r="102" spans="1:7" ht="36" customHeight="1" x14ac:dyDescent="0.3">
      <c r="A102" s="42" t="s">
        <v>828</v>
      </c>
      <c r="B102" s="43" t="s">
        <v>836</v>
      </c>
      <c r="C102" s="42" t="s">
        <v>830</v>
      </c>
      <c r="D102" s="42" t="s">
        <v>837</v>
      </c>
      <c r="E102" s="42" t="s">
        <v>537</v>
      </c>
      <c r="F102" s="42" t="s">
        <v>838</v>
      </c>
      <c r="G102" s="42" t="s">
        <v>833</v>
      </c>
    </row>
    <row r="103" spans="1:7" ht="48" customHeight="1" x14ac:dyDescent="0.3">
      <c r="A103" s="38" t="s">
        <v>839</v>
      </c>
      <c r="B103" s="39" t="s">
        <v>840</v>
      </c>
      <c r="C103" s="38" t="s">
        <v>841</v>
      </c>
      <c r="D103" s="38" t="s">
        <v>842</v>
      </c>
      <c r="E103" s="38" t="s">
        <v>550</v>
      </c>
      <c r="F103" s="38" t="s">
        <v>843</v>
      </c>
      <c r="G103" s="38" t="s">
        <v>844</v>
      </c>
    </row>
    <row r="104" spans="1:7" ht="24" customHeight="1" x14ac:dyDescent="0.3">
      <c r="A104" s="38" t="s">
        <v>839</v>
      </c>
      <c r="B104" s="39" t="s">
        <v>845</v>
      </c>
      <c r="C104" s="38" t="s">
        <v>841</v>
      </c>
      <c r="D104" s="38" t="s">
        <v>846</v>
      </c>
      <c r="E104" s="38" t="s">
        <v>530</v>
      </c>
      <c r="F104" s="38" t="s">
        <v>512</v>
      </c>
      <c r="G104" s="38" t="s">
        <v>844</v>
      </c>
    </row>
    <row r="105" spans="1:7" ht="24" customHeight="1" x14ac:dyDescent="0.3">
      <c r="A105" s="42" t="s">
        <v>839</v>
      </c>
      <c r="B105" s="43" t="s">
        <v>847</v>
      </c>
      <c r="C105" s="42" t="s">
        <v>841</v>
      </c>
      <c r="D105" s="42" t="s">
        <v>848</v>
      </c>
      <c r="E105" s="42" t="s">
        <v>537</v>
      </c>
      <c r="F105" s="42" t="s">
        <v>849</v>
      </c>
      <c r="G105" s="42" t="s">
        <v>844</v>
      </c>
    </row>
    <row r="106" spans="1:7" ht="36" customHeight="1" x14ac:dyDescent="0.3">
      <c r="A106" s="42" t="s">
        <v>850</v>
      </c>
      <c r="B106" s="43" t="s">
        <v>851</v>
      </c>
      <c r="C106" s="42" t="s">
        <v>852</v>
      </c>
      <c r="D106" s="42" t="s">
        <v>853</v>
      </c>
      <c r="E106" s="42" t="s">
        <v>537</v>
      </c>
      <c r="F106" s="42" t="s">
        <v>854</v>
      </c>
      <c r="G106" s="42" t="s">
        <v>855</v>
      </c>
    </row>
    <row r="107" spans="1:7" ht="36" customHeight="1" x14ac:dyDescent="0.3">
      <c r="A107" s="42" t="s">
        <v>850</v>
      </c>
      <c r="B107" s="43" t="s">
        <v>856</v>
      </c>
      <c r="C107" s="42" t="s">
        <v>857</v>
      </c>
      <c r="D107" s="42" t="s">
        <v>858</v>
      </c>
      <c r="E107" s="42" t="s">
        <v>537</v>
      </c>
      <c r="F107" s="42" t="s">
        <v>859</v>
      </c>
      <c r="G107" s="42" t="s">
        <v>860</v>
      </c>
    </row>
    <row r="108" spans="1:7" ht="36" customHeight="1" x14ac:dyDescent="0.3">
      <c r="A108" s="42" t="s">
        <v>850</v>
      </c>
      <c r="B108" s="43" t="s">
        <v>861</v>
      </c>
      <c r="C108" s="42" t="s">
        <v>862</v>
      </c>
      <c r="D108" s="42" t="s">
        <v>863</v>
      </c>
      <c r="E108" s="42" t="s">
        <v>537</v>
      </c>
      <c r="F108" s="42" t="s">
        <v>864</v>
      </c>
      <c r="G108" s="42" t="s">
        <v>865</v>
      </c>
    </row>
    <row r="109" spans="1:7" ht="36" customHeight="1" x14ac:dyDescent="0.3">
      <c r="A109" s="42" t="s">
        <v>850</v>
      </c>
      <c r="B109" s="43" t="s">
        <v>866</v>
      </c>
      <c r="C109" s="42" t="s">
        <v>867</v>
      </c>
      <c r="D109" s="42" t="s">
        <v>868</v>
      </c>
      <c r="E109" s="42" t="s">
        <v>537</v>
      </c>
      <c r="F109" s="42" t="s">
        <v>869</v>
      </c>
      <c r="G109" s="42" t="s">
        <v>870</v>
      </c>
    </row>
    <row r="110" spans="1:7" ht="36" customHeight="1" x14ac:dyDescent="0.3">
      <c r="A110" s="42" t="s">
        <v>871</v>
      </c>
      <c r="B110" s="43" t="s">
        <v>872</v>
      </c>
      <c r="C110" s="42" t="s">
        <v>873</v>
      </c>
      <c r="D110" s="42" t="s">
        <v>874</v>
      </c>
      <c r="E110" s="42" t="s">
        <v>537</v>
      </c>
      <c r="F110" s="42" t="s">
        <v>875</v>
      </c>
      <c r="G110" s="42" t="s">
        <v>876</v>
      </c>
    </row>
    <row r="111" spans="1:7" ht="36" customHeight="1" x14ac:dyDescent="0.3">
      <c r="A111" s="42" t="s">
        <v>871</v>
      </c>
      <c r="B111" s="43" t="s">
        <v>877</v>
      </c>
      <c r="C111" s="42" t="s">
        <v>873</v>
      </c>
      <c r="D111" s="42" t="s">
        <v>878</v>
      </c>
      <c r="E111" s="42" t="s">
        <v>537</v>
      </c>
      <c r="F111" s="42" t="s">
        <v>602</v>
      </c>
      <c r="G111" s="42" t="s">
        <v>879</v>
      </c>
    </row>
    <row r="112" spans="1:7" ht="36" customHeight="1" x14ac:dyDescent="0.3">
      <c r="A112" s="42" t="s">
        <v>880</v>
      </c>
      <c r="B112" s="43" t="s">
        <v>881</v>
      </c>
      <c r="C112" s="42" t="s">
        <v>882</v>
      </c>
      <c r="D112" s="42" t="s">
        <v>883</v>
      </c>
      <c r="E112" s="42" t="s">
        <v>546</v>
      </c>
      <c r="F112" s="42" t="s">
        <v>512</v>
      </c>
      <c r="G112" s="42" t="s">
        <v>884</v>
      </c>
    </row>
    <row r="113" spans="1:7" ht="36" customHeight="1" x14ac:dyDescent="0.3">
      <c r="A113" s="42" t="s">
        <v>880</v>
      </c>
      <c r="B113" s="43" t="s">
        <v>885</v>
      </c>
      <c r="C113" s="42" t="s">
        <v>882</v>
      </c>
      <c r="D113" s="42" t="s">
        <v>886</v>
      </c>
      <c r="E113" s="42" t="s">
        <v>546</v>
      </c>
      <c r="F113" s="42" t="s">
        <v>512</v>
      </c>
      <c r="G113" s="42" t="s">
        <v>887</v>
      </c>
    </row>
    <row r="114" spans="1:7" ht="36" customHeight="1" x14ac:dyDescent="0.3">
      <c r="A114" s="42" t="s">
        <v>880</v>
      </c>
      <c r="B114" s="43" t="s">
        <v>888</v>
      </c>
      <c r="C114" s="42" t="s">
        <v>882</v>
      </c>
      <c r="D114" s="42" t="s">
        <v>889</v>
      </c>
      <c r="E114" s="42" t="s">
        <v>596</v>
      </c>
      <c r="F114" s="42" t="s">
        <v>512</v>
      </c>
      <c r="G114" s="42" t="s">
        <v>890</v>
      </c>
    </row>
    <row r="115" spans="1:7" ht="36" customHeight="1" x14ac:dyDescent="0.3">
      <c r="A115" s="42" t="s">
        <v>880</v>
      </c>
      <c r="B115" s="43" t="s">
        <v>891</v>
      </c>
      <c r="C115" s="42" t="s">
        <v>882</v>
      </c>
      <c r="D115" s="42" t="s">
        <v>892</v>
      </c>
      <c r="E115" s="42" t="s">
        <v>546</v>
      </c>
      <c r="F115" s="42" t="s">
        <v>512</v>
      </c>
      <c r="G115" s="42" t="s">
        <v>893</v>
      </c>
    </row>
    <row r="116" spans="1:7" ht="36" customHeight="1" x14ac:dyDescent="0.3">
      <c r="A116" s="42" t="s">
        <v>880</v>
      </c>
      <c r="B116" s="43" t="s">
        <v>894</v>
      </c>
      <c r="C116" s="42" t="s">
        <v>882</v>
      </c>
      <c r="D116" s="42" t="s">
        <v>895</v>
      </c>
      <c r="E116" s="42" t="s">
        <v>546</v>
      </c>
      <c r="F116" s="42" t="s">
        <v>512</v>
      </c>
      <c r="G116" s="42" t="s">
        <v>896</v>
      </c>
    </row>
    <row r="117" spans="1:7" ht="36" customHeight="1" x14ac:dyDescent="0.3">
      <c r="A117" s="42" t="s">
        <v>880</v>
      </c>
      <c r="B117" s="43" t="s">
        <v>897</v>
      </c>
      <c r="C117" s="42" t="s">
        <v>882</v>
      </c>
      <c r="D117" s="42" t="s">
        <v>898</v>
      </c>
      <c r="E117" s="42" t="s">
        <v>546</v>
      </c>
      <c r="F117" s="42" t="s">
        <v>512</v>
      </c>
      <c r="G117" s="42" t="s">
        <v>899</v>
      </c>
    </row>
    <row r="118" spans="1:7" ht="36" customHeight="1" x14ac:dyDescent="0.3">
      <c r="A118" s="42" t="s">
        <v>880</v>
      </c>
      <c r="B118" s="43" t="s">
        <v>900</v>
      </c>
      <c r="C118" s="42" t="s">
        <v>882</v>
      </c>
      <c r="D118" s="42" t="s">
        <v>901</v>
      </c>
      <c r="E118" s="42" t="s">
        <v>515</v>
      </c>
      <c r="F118" s="42" t="s">
        <v>512</v>
      </c>
      <c r="G118" s="42" t="s">
        <v>902</v>
      </c>
    </row>
    <row r="119" spans="1:7" ht="36" customHeight="1" x14ac:dyDescent="0.3">
      <c r="A119" s="42" t="s">
        <v>880</v>
      </c>
      <c r="B119" s="43" t="s">
        <v>903</v>
      </c>
      <c r="C119" s="42" t="s">
        <v>882</v>
      </c>
      <c r="D119" s="42" t="s">
        <v>904</v>
      </c>
      <c r="E119" s="42" t="s">
        <v>546</v>
      </c>
      <c r="F119" s="42" t="s">
        <v>512</v>
      </c>
      <c r="G119" s="42" t="s">
        <v>905</v>
      </c>
    </row>
    <row r="120" spans="1:7" ht="36" customHeight="1" x14ac:dyDescent="0.3">
      <c r="A120" s="42" t="s">
        <v>880</v>
      </c>
      <c r="B120" s="43" t="s">
        <v>906</v>
      </c>
      <c r="C120" s="42" t="s">
        <v>882</v>
      </c>
      <c r="D120" s="42" t="s">
        <v>907</v>
      </c>
      <c r="E120" s="42" t="s">
        <v>546</v>
      </c>
      <c r="F120" s="42" t="s">
        <v>512</v>
      </c>
      <c r="G120" s="42" t="s">
        <v>908</v>
      </c>
    </row>
    <row r="121" spans="1:7" ht="36" customHeight="1" x14ac:dyDescent="0.3">
      <c r="A121" s="42" t="s">
        <v>880</v>
      </c>
      <c r="B121" s="43" t="s">
        <v>909</v>
      </c>
      <c r="C121" s="42" t="s">
        <v>882</v>
      </c>
      <c r="D121" s="42" t="s">
        <v>910</v>
      </c>
      <c r="E121" s="42" t="s">
        <v>546</v>
      </c>
      <c r="F121" s="42" t="s">
        <v>512</v>
      </c>
      <c r="G121" s="42" t="s">
        <v>911</v>
      </c>
    </row>
    <row r="123" spans="1:7" ht="42" customHeight="1" x14ac:dyDescent="0.3">
      <c r="A123" s="57" t="s">
        <v>1087</v>
      </c>
      <c r="B123" s="55"/>
      <c r="C123" s="55"/>
      <c r="D123" s="55"/>
      <c r="E123" s="55"/>
      <c r="F123" s="55"/>
      <c r="G123" s="55"/>
    </row>
  </sheetData>
  <autoFilter ref="A2:G121" xr:uid="{00000000-0009-0000-0000-000001000000}"/>
  <mergeCells count="2">
    <mergeCell ref="A123:G123"/>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82BAC-AC2D-4548-9C6B-5013D0F40521}">
  <dimension ref="A1:G292"/>
  <sheetViews>
    <sheetView workbookViewId="0"/>
  </sheetViews>
  <sheetFormatPr baseColWidth="10" defaultRowHeight="14.4" x14ac:dyDescent="0.3"/>
  <cols>
    <col min="1" max="1" width="11.77734375" customWidth="1"/>
    <col min="2" max="2" width="30.77734375" customWidth="1"/>
    <col min="3" max="3" width="22.77734375" customWidth="1"/>
    <col min="4" max="4" width="62.77734375" style="69" customWidth="1"/>
    <col min="5" max="5" width="13.77734375" customWidth="1"/>
    <col min="6" max="6" width="34.77734375" customWidth="1"/>
    <col min="7" max="7" width="46.77734375" style="69" customWidth="1"/>
  </cols>
  <sheetData>
    <row r="1" spans="1:7" ht="42" customHeight="1" x14ac:dyDescent="0.3">
      <c r="A1" s="68" t="s">
        <v>1110</v>
      </c>
      <c r="B1" s="68"/>
      <c r="C1" s="68"/>
      <c r="D1" s="68"/>
      <c r="E1" s="68"/>
      <c r="F1" s="68"/>
      <c r="G1" s="68"/>
    </row>
    <row r="2" spans="1:7" x14ac:dyDescent="0.3">
      <c r="A2" s="70" t="s">
        <v>502</v>
      </c>
      <c r="B2" s="70" t="s">
        <v>1111</v>
      </c>
      <c r="C2" s="70" t="s">
        <v>505</v>
      </c>
      <c r="D2" s="71" t="s">
        <v>1112</v>
      </c>
      <c r="E2" s="70" t="s">
        <v>1113</v>
      </c>
      <c r="F2" s="70" t="s">
        <v>1114</v>
      </c>
      <c r="G2" s="71" t="s">
        <v>1115</v>
      </c>
    </row>
    <row r="3" spans="1:7" ht="28.8" x14ac:dyDescent="0.3">
      <c r="A3" t="s">
        <v>509</v>
      </c>
      <c r="B3" t="s">
        <v>510</v>
      </c>
      <c r="C3" t="s">
        <v>512</v>
      </c>
      <c r="D3" s="69" t="s">
        <v>512</v>
      </c>
      <c r="E3" s="72"/>
      <c r="G3" s="69" t="s">
        <v>1116</v>
      </c>
    </row>
    <row r="4" spans="1:7" ht="28.8" x14ac:dyDescent="0.3">
      <c r="A4" t="s">
        <v>514</v>
      </c>
      <c r="B4" t="s">
        <v>510</v>
      </c>
      <c r="C4" t="s">
        <v>512</v>
      </c>
      <c r="D4" s="69" t="s">
        <v>512</v>
      </c>
      <c r="E4" s="72"/>
      <c r="G4" s="69" t="s">
        <v>1116</v>
      </c>
    </row>
    <row r="5" spans="1:7" ht="28.8" x14ac:dyDescent="0.3">
      <c r="A5" t="s">
        <v>517</v>
      </c>
      <c r="B5" t="s">
        <v>510</v>
      </c>
      <c r="C5" t="s">
        <v>519</v>
      </c>
      <c r="D5" s="69" t="s">
        <v>512</v>
      </c>
      <c r="E5" s="72"/>
      <c r="G5" s="69" t="s">
        <v>1116</v>
      </c>
    </row>
    <row r="6" spans="1:7" ht="28.8" x14ac:dyDescent="0.3">
      <c r="A6" t="s">
        <v>522</v>
      </c>
      <c r="B6" t="s">
        <v>510</v>
      </c>
      <c r="C6" t="s">
        <v>515</v>
      </c>
      <c r="D6" s="69" t="s">
        <v>512</v>
      </c>
      <c r="E6" s="72"/>
      <c r="G6" s="69" t="s">
        <v>1116</v>
      </c>
    </row>
    <row r="7" spans="1:7" ht="28.8" x14ac:dyDescent="0.3">
      <c r="A7" t="s">
        <v>525</v>
      </c>
      <c r="B7" t="s">
        <v>510</v>
      </c>
      <c r="C7" t="s">
        <v>526</v>
      </c>
      <c r="D7" s="69" t="s">
        <v>512</v>
      </c>
      <c r="E7" s="72"/>
      <c r="G7" s="69" t="s">
        <v>1116</v>
      </c>
    </row>
    <row r="8" spans="1:7" ht="28.8" x14ac:dyDescent="0.3">
      <c r="A8" t="s">
        <v>528</v>
      </c>
      <c r="B8" t="s">
        <v>510</v>
      </c>
      <c r="C8" t="s">
        <v>530</v>
      </c>
      <c r="D8" s="69" t="s">
        <v>512</v>
      </c>
      <c r="E8" s="72"/>
      <c r="G8" s="69" t="s">
        <v>1116</v>
      </c>
    </row>
    <row r="9" spans="1:7" ht="28.8" x14ac:dyDescent="0.3">
      <c r="A9" t="s">
        <v>532</v>
      </c>
      <c r="B9" t="s">
        <v>510</v>
      </c>
      <c r="C9" t="s">
        <v>530</v>
      </c>
      <c r="D9" s="69" t="s">
        <v>512</v>
      </c>
      <c r="E9" s="72"/>
      <c r="G9" s="69" t="s">
        <v>1116</v>
      </c>
    </row>
    <row r="10" spans="1:7" ht="28.8" x14ac:dyDescent="0.3">
      <c r="A10" t="s">
        <v>535</v>
      </c>
      <c r="B10" t="s">
        <v>510</v>
      </c>
      <c r="C10" t="s">
        <v>537</v>
      </c>
      <c r="D10" s="69" t="s">
        <v>538</v>
      </c>
      <c r="E10" s="72"/>
      <c r="G10" s="69" t="s">
        <v>1116</v>
      </c>
    </row>
    <row r="11" spans="1:7" ht="28.8" x14ac:dyDescent="0.3">
      <c r="A11" t="s">
        <v>540</v>
      </c>
      <c r="B11" t="s">
        <v>510</v>
      </c>
      <c r="C11" t="s">
        <v>542</v>
      </c>
      <c r="D11" s="69" t="s">
        <v>512</v>
      </c>
      <c r="E11" s="72"/>
      <c r="G11" s="69" t="s">
        <v>1116</v>
      </c>
    </row>
    <row r="12" spans="1:7" ht="28.8" x14ac:dyDescent="0.3">
      <c r="A12" t="s">
        <v>544</v>
      </c>
      <c r="B12" t="s">
        <v>510</v>
      </c>
      <c r="C12" t="s">
        <v>546</v>
      </c>
      <c r="D12" s="69" t="s">
        <v>512</v>
      </c>
      <c r="E12" s="72"/>
      <c r="G12" s="69" t="s">
        <v>1116</v>
      </c>
    </row>
    <row r="13" spans="1:7" ht="28.8" x14ac:dyDescent="0.3">
      <c r="A13" t="s">
        <v>548</v>
      </c>
      <c r="B13" t="s">
        <v>510</v>
      </c>
      <c r="C13" t="s">
        <v>550</v>
      </c>
      <c r="D13" s="69" t="s">
        <v>1117</v>
      </c>
      <c r="E13" s="72"/>
      <c r="G13" s="69" t="s">
        <v>1118</v>
      </c>
    </row>
    <row r="14" spans="1:7" ht="28.8" x14ac:dyDescent="0.3">
      <c r="A14" t="s">
        <v>553</v>
      </c>
      <c r="B14" t="s">
        <v>510</v>
      </c>
      <c r="C14" t="s">
        <v>550</v>
      </c>
      <c r="D14" s="69" t="s">
        <v>555</v>
      </c>
      <c r="E14" s="72"/>
      <c r="G14" s="69" t="s">
        <v>1116</v>
      </c>
    </row>
    <row r="15" spans="1:7" ht="28.8" x14ac:dyDescent="0.3">
      <c r="A15" t="s">
        <v>557</v>
      </c>
      <c r="B15" t="s">
        <v>510</v>
      </c>
      <c r="C15" t="s">
        <v>537</v>
      </c>
      <c r="D15" s="69" t="s">
        <v>559</v>
      </c>
      <c r="E15" s="72"/>
      <c r="G15" s="69" t="s">
        <v>1116</v>
      </c>
    </row>
    <row r="16" spans="1:7" ht="28.8" x14ac:dyDescent="0.3">
      <c r="A16" t="s">
        <v>561</v>
      </c>
      <c r="B16" t="s">
        <v>510</v>
      </c>
      <c r="C16" t="s">
        <v>537</v>
      </c>
      <c r="D16" s="69" t="s">
        <v>563</v>
      </c>
      <c r="E16" s="72"/>
      <c r="G16" s="69" t="s">
        <v>1116</v>
      </c>
    </row>
    <row r="17" spans="1:7" ht="28.8" x14ac:dyDescent="0.3">
      <c r="A17" t="s">
        <v>564</v>
      </c>
      <c r="B17" t="s">
        <v>510</v>
      </c>
      <c r="C17" t="s">
        <v>546</v>
      </c>
      <c r="D17" s="69" t="s">
        <v>512</v>
      </c>
      <c r="E17" s="72"/>
      <c r="G17" s="69" t="s">
        <v>1116</v>
      </c>
    </row>
    <row r="18" spans="1:7" ht="28.8" x14ac:dyDescent="0.3">
      <c r="A18" t="s">
        <v>567</v>
      </c>
      <c r="B18" t="s">
        <v>510</v>
      </c>
      <c r="C18" t="s">
        <v>537</v>
      </c>
      <c r="D18" s="69" t="s">
        <v>569</v>
      </c>
      <c r="E18" s="72"/>
      <c r="G18" s="69" t="s">
        <v>1116</v>
      </c>
    </row>
    <row r="19" spans="1:7" ht="43.2" x14ac:dyDescent="0.3">
      <c r="A19" t="s">
        <v>571</v>
      </c>
      <c r="B19" t="s">
        <v>510</v>
      </c>
      <c r="C19" t="s">
        <v>537</v>
      </c>
      <c r="D19" s="69" t="s">
        <v>573</v>
      </c>
      <c r="E19" s="72"/>
      <c r="G19" s="69" t="s">
        <v>1116</v>
      </c>
    </row>
    <row r="20" spans="1:7" ht="28.8" x14ac:dyDescent="0.3">
      <c r="A20" t="s">
        <v>574</v>
      </c>
      <c r="B20" t="s">
        <v>510</v>
      </c>
      <c r="C20" t="s">
        <v>537</v>
      </c>
      <c r="D20" s="69" t="s">
        <v>576</v>
      </c>
      <c r="E20" s="72"/>
      <c r="G20" s="69" t="s">
        <v>1116</v>
      </c>
    </row>
    <row r="21" spans="1:7" ht="28.8" x14ac:dyDescent="0.3">
      <c r="A21" t="s">
        <v>578</v>
      </c>
      <c r="B21" t="s">
        <v>510</v>
      </c>
      <c r="C21" t="s">
        <v>515</v>
      </c>
      <c r="D21" s="69" t="s">
        <v>512</v>
      </c>
      <c r="E21" s="72"/>
      <c r="G21" s="69" t="s">
        <v>1116</v>
      </c>
    </row>
    <row r="22" spans="1:7" ht="28.8" x14ac:dyDescent="0.3">
      <c r="A22" t="s">
        <v>581</v>
      </c>
      <c r="B22" t="s">
        <v>510</v>
      </c>
      <c r="C22" t="s">
        <v>537</v>
      </c>
      <c r="D22" s="69" t="s">
        <v>583</v>
      </c>
      <c r="E22" s="72"/>
      <c r="G22" s="69" t="s">
        <v>1116</v>
      </c>
    </row>
    <row r="23" spans="1:7" ht="28.8" x14ac:dyDescent="0.3">
      <c r="A23" t="s">
        <v>5</v>
      </c>
      <c r="B23" t="s">
        <v>586</v>
      </c>
      <c r="C23" t="s">
        <v>530</v>
      </c>
      <c r="D23" s="69" t="s">
        <v>512</v>
      </c>
      <c r="E23" s="72"/>
      <c r="G23" s="69" t="s">
        <v>1116</v>
      </c>
    </row>
    <row r="24" spans="1:7" ht="28.8" x14ac:dyDescent="0.3">
      <c r="A24" t="s">
        <v>589</v>
      </c>
      <c r="B24" t="s">
        <v>586</v>
      </c>
      <c r="C24" t="s">
        <v>530</v>
      </c>
      <c r="D24" s="69" t="s">
        <v>512</v>
      </c>
      <c r="E24" s="72"/>
      <c r="G24" s="69" t="s">
        <v>1116</v>
      </c>
    </row>
    <row r="25" spans="1:7" ht="28.8" x14ac:dyDescent="0.3">
      <c r="A25" t="s">
        <v>6</v>
      </c>
      <c r="B25" t="s">
        <v>586</v>
      </c>
      <c r="C25" t="s">
        <v>530</v>
      </c>
      <c r="D25" s="69" t="s">
        <v>512</v>
      </c>
      <c r="E25" s="72"/>
      <c r="G25" s="69" t="s">
        <v>1116</v>
      </c>
    </row>
    <row r="26" spans="1:7" ht="28.8" x14ac:dyDescent="0.3">
      <c r="A26" t="s">
        <v>7</v>
      </c>
      <c r="B26" t="s">
        <v>586</v>
      </c>
      <c r="C26" t="s">
        <v>530</v>
      </c>
      <c r="D26" s="69" t="s">
        <v>512</v>
      </c>
      <c r="E26" s="72"/>
      <c r="G26" s="69" t="s">
        <v>1116</v>
      </c>
    </row>
    <row r="27" spans="1:7" ht="28.8" x14ac:dyDescent="0.3">
      <c r="A27" t="s">
        <v>8</v>
      </c>
      <c r="B27" t="s">
        <v>586</v>
      </c>
      <c r="C27" t="s">
        <v>596</v>
      </c>
      <c r="D27" s="69" t="s">
        <v>512</v>
      </c>
      <c r="E27" s="72"/>
      <c r="G27" s="69" t="s">
        <v>1116</v>
      </c>
    </row>
    <row r="28" spans="1:7" ht="28.8" x14ac:dyDescent="0.3">
      <c r="A28" t="s">
        <v>9</v>
      </c>
      <c r="B28" t="s">
        <v>586</v>
      </c>
      <c r="C28" t="s">
        <v>596</v>
      </c>
      <c r="D28" s="69" t="s">
        <v>512</v>
      </c>
      <c r="E28" s="72"/>
      <c r="G28" s="69" t="s">
        <v>1116</v>
      </c>
    </row>
    <row r="29" spans="1:7" ht="28.8" x14ac:dyDescent="0.3">
      <c r="A29" t="s">
        <v>10</v>
      </c>
      <c r="B29" t="s">
        <v>586</v>
      </c>
      <c r="C29" t="s">
        <v>515</v>
      </c>
      <c r="D29" s="69" t="s">
        <v>512</v>
      </c>
      <c r="E29" s="72"/>
      <c r="G29" s="69" t="s">
        <v>1116</v>
      </c>
    </row>
    <row r="30" spans="1:7" ht="28.8" x14ac:dyDescent="0.3">
      <c r="A30" t="s">
        <v>11</v>
      </c>
      <c r="B30" t="s">
        <v>586</v>
      </c>
      <c r="C30" t="s">
        <v>515</v>
      </c>
      <c r="D30" s="69" t="s">
        <v>512</v>
      </c>
      <c r="E30" s="72"/>
      <c r="G30" s="69" t="s">
        <v>1116</v>
      </c>
    </row>
    <row r="31" spans="1:7" x14ac:dyDescent="0.3">
      <c r="A31" t="s">
        <v>12</v>
      </c>
      <c r="B31" t="s">
        <v>586</v>
      </c>
      <c r="C31" t="s">
        <v>537</v>
      </c>
      <c r="D31" s="69" t="s">
        <v>1119</v>
      </c>
      <c r="E31" s="72">
        <v>0</v>
      </c>
      <c r="F31" t="s">
        <v>1120</v>
      </c>
    </row>
    <row r="32" spans="1:7" x14ac:dyDescent="0.3">
      <c r="A32" t="s">
        <v>12</v>
      </c>
      <c r="B32" t="s">
        <v>586</v>
      </c>
      <c r="C32" t="s">
        <v>537</v>
      </c>
      <c r="D32" s="69" t="s">
        <v>1121</v>
      </c>
      <c r="E32" s="72">
        <v>100</v>
      </c>
      <c r="F32" t="s">
        <v>1122</v>
      </c>
    </row>
    <row r="33" spans="1:7" x14ac:dyDescent="0.3">
      <c r="A33" t="s">
        <v>12</v>
      </c>
      <c r="B33" t="s">
        <v>586</v>
      </c>
      <c r="C33" t="s">
        <v>537</v>
      </c>
      <c r="D33" s="69" t="s">
        <v>1123</v>
      </c>
      <c r="E33" s="72" t="s">
        <v>1124</v>
      </c>
      <c r="F33" t="s">
        <v>1125</v>
      </c>
      <c r="G33" s="69" t="s">
        <v>1126</v>
      </c>
    </row>
    <row r="34" spans="1:7" ht="28.8" x14ac:dyDescent="0.3">
      <c r="A34" t="s">
        <v>13</v>
      </c>
      <c r="B34" t="s">
        <v>586</v>
      </c>
      <c r="C34" t="s">
        <v>542</v>
      </c>
      <c r="D34" s="69" t="s">
        <v>512</v>
      </c>
      <c r="E34" s="72"/>
      <c r="G34" s="69" t="s">
        <v>1116</v>
      </c>
    </row>
    <row r="35" spans="1:7" x14ac:dyDescent="0.3">
      <c r="A35" t="s">
        <v>14</v>
      </c>
      <c r="B35" t="s">
        <v>586</v>
      </c>
      <c r="C35" t="s">
        <v>537</v>
      </c>
      <c r="D35" s="69" t="s">
        <v>1119</v>
      </c>
      <c r="E35" s="72">
        <v>0</v>
      </c>
      <c r="F35" t="s">
        <v>1127</v>
      </c>
      <c r="G35" s="69" t="s">
        <v>1128</v>
      </c>
    </row>
    <row r="36" spans="1:7" x14ac:dyDescent="0.3">
      <c r="A36" t="s">
        <v>14</v>
      </c>
      <c r="B36" t="s">
        <v>586</v>
      </c>
      <c r="C36" t="s">
        <v>537</v>
      </c>
      <c r="D36" s="69" t="s">
        <v>1121</v>
      </c>
      <c r="E36" s="72">
        <v>100</v>
      </c>
      <c r="F36" t="s">
        <v>1129</v>
      </c>
      <c r="G36" s="69" t="s">
        <v>1128</v>
      </c>
    </row>
    <row r="37" spans="1:7" x14ac:dyDescent="0.3">
      <c r="A37" t="s">
        <v>14</v>
      </c>
      <c r="B37" t="s">
        <v>586</v>
      </c>
      <c r="C37" t="s">
        <v>537</v>
      </c>
      <c r="D37" s="69" t="s">
        <v>1123</v>
      </c>
      <c r="E37" s="72" t="s">
        <v>1124</v>
      </c>
      <c r="F37" t="s">
        <v>1130</v>
      </c>
      <c r="G37" s="69" t="s">
        <v>1131</v>
      </c>
    </row>
    <row r="38" spans="1:7" ht="28.8" x14ac:dyDescent="0.3">
      <c r="A38" t="s">
        <v>15</v>
      </c>
      <c r="B38" t="s">
        <v>586</v>
      </c>
      <c r="C38" t="s">
        <v>546</v>
      </c>
      <c r="D38" s="69" t="s">
        <v>512</v>
      </c>
      <c r="E38" s="72"/>
      <c r="G38" s="69" t="s">
        <v>1116</v>
      </c>
    </row>
    <row r="39" spans="1:7" ht="28.8" x14ac:dyDescent="0.3">
      <c r="A39" t="s">
        <v>16</v>
      </c>
      <c r="B39" t="s">
        <v>586</v>
      </c>
      <c r="C39" t="s">
        <v>596</v>
      </c>
      <c r="D39" s="69" t="s">
        <v>512</v>
      </c>
      <c r="E39" s="72"/>
      <c r="G39" s="69" t="s">
        <v>1116</v>
      </c>
    </row>
    <row r="40" spans="1:7" x14ac:dyDescent="0.3">
      <c r="A40" t="s">
        <v>17</v>
      </c>
      <c r="B40" t="s">
        <v>586</v>
      </c>
      <c r="C40" t="s">
        <v>537</v>
      </c>
      <c r="D40" s="69" t="s">
        <v>1121</v>
      </c>
      <c r="E40" s="72">
        <v>0</v>
      </c>
      <c r="F40" t="s">
        <v>1132</v>
      </c>
    </row>
    <row r="41" spans="1:7" x14ac:dyDescent="0.3">
      <c r="A41" t="s">
        <v>17</v>
      </c>
      <c r="B41" t="s">
        <v>586</v>
      </c>
      <c r="C41" t="s">
        <v>537</v>
      </c>
      <c r="D41" s="69" t="s">
        <v>1133</v>
      </c>
      <c r="E41" s="72">
        <v>33</v>
      </c>
      <c r="F41" t="s">
        <v>1134</v>
      </c>
    </row>
    <row r="42" spans="1:7" x14ac:dyDescent="0.3">
      <c r="A42" t="s">
        <v>17</v>
      </c>
      <c r="B42" t="s">
        <v>586</v>
      </c>
      <c r="C42" t="s">
        <v>537</v>
      </c>
      <c r="D42" s="69" t="s">
        <v>1135</v>
      </c>
      <c r="E42" s="72">
        <v>67</v>
      </c>
      <c r="F42" t="s">
        <v>1136</v>
      </c>
    </row>
    <row r="43" spans="1:7" x14ac:dyDescent="0.3">
      <c r="A43" t="s">
        <v>17</v>
      </c>
      <c r="B43" t="s">
        <v>586</v>
      </c>
      <c r="C43" t="s">
        <v>537</v>
      </c>
      <c r="D43" s="69" t="s">
        <v>1137</v>
      </c>
      <c r="E43" s="72">
        <v>100</v>
      </c>
      <c r="F43" t="s">
        <v>1138</v>
      </c>
    </row>
    <row r="44" spans="1:7" x14ac:dyDescent="0.3">
      <c r="A44" t="s">
        <v>18</v>
      </c>
      <c r="B44" t="s">
        <v>586</v>
      </c>
      <c r="C44" t="s">
        <v>537</v>
      </c>
      <c r="D44" s="69" t="s">
        <v>1139</v>
      </c>
      <c r="E44" s="72">
        <v>0</v>
      </c>
      <c r="F44" t="s">
        <v>1140</v>
      </c>
    </row>
    <row r="45" spans="1:7" x14ac:dyDescent="0.3">
      <c r="A45" t="s">
        <v>18</v>
      </c>
      <c r="B45" t="s">
        <v>586</v>
      </c>
      <c r="C45" t="s">
        <v>537</v>
      </c>
      <c r="D45" s="69" t="s">
        <v>1141</v>
      </c>
      <c r="E45" s="72">
        <v>25</v>
      </c>
      <c r="F45" t="s">
        <v>1142</v>
      </c>
    </row>
    <row r="46" spans="1:7" x14ac:dyDescent="0.3">
      <c r="A46" t="s">
        <v>18</v>
      </c>
      <c r="B46" t="s">
        <v>586</v>
      </c>
      <c r="C46" t="s">
        <v>537</v>
      </c>
      <c r="D46" s="69" t="s">
        <v>1143</v>
      </c>
      <c r="E46" s="72">
        <v>100</v>
      </c>
      <c r="F46" t="s">
        <v>1144</v>
      </c>
    </row>
    <row r="47" spans="1:7" x14ac:dyDescent="0.3">
      <c r="A47" t="s">
        <v>18</v>
      </c>
      <c r="B47" t="s">
        <v>586</v>
      </c>
      <c r="C47" t="s">
        <v>537</v>
      </c>
      <c r="D47" s="69" t="s">
        <v>1145</v>
      </c>
      <c r="E47" s="72" t="s">
        <v>1124</v>
      </c>
      <c r="F47" t="s">
        <v>1146</v>
      </c>
      <c r="G47" s="69" t="s">
        <v>1126</v>
      </c>
    </row>
    <row r="48" spans="1:7" x14ac:dyDescent="0.3">
      <c r="A48" t="s">
        <v>618</v>
      </c>
      <c r="B48" t="s">
        <v>619</v>
      </c>
      <c r="C48" t="s">
        <v>537</v>
      </c>
      <c r="D48" s="69" t="s">
        <v>1119</v>
      </c>
      <c r="E48" s="72">
        <v>100</v>
      </c>
      <c r="F48" t="s">
        <v>1147</v>
      </c>
      <c r="G48" s="69" t="s">
        <v>1128</v>
      </c>
    </row>
    <row r="49" spans="1:7" x14ac:dyDescent="0.3">
      <c r="A49" t="s">
        <v>618</v>
      </c>
      <c r="B49" t="s">
        <v>619</v>
      </c>
      <c r="C49" t="s">
        <v>537</v>
      </c>
      <c r="D49" s="69" t="s">
        <v>1121</v>
      </c>
      <c r="E49" s="72">
        <v>50</v>
      </c>
      <c r="F49" t="s">
        <v>1148</v>
      </c>
      <c r="G49" s="69" t="s">
        <v>1128</v>
      </c>
    </row>
    <row r="50" spans="1:7" ht="28.8" x14ac:dyDescent="0.3">
      <c r="A50" t="s">
        <v>623</v>
      </c>
      <c r="B50" t="s">
        <v>619</v>
      </c>
      <c r="C50" t="s">
        <v>537</v>
      </c>
      <c r="D50" s="69" t="s">
        <v>625</v>
      </c>
      <c r="E50" s="72"/>
      <c r="G50" s="69" t="s">
        <v>1116</v>
      </c>
    </row>
    <row r="51" spans="1:7" x14ac:dyDescent="0.3">
      <c r="A51" t="s">
        <v>627</v>
      </c>
      <c r="B51" t="s">
        <v>619</v>
      </c>
      <c r="C51" t="s">
        <v>537</v>
      </c>
      <c r="D51" s="69" t="s">
        <v>1149</v>
      </c>
      <c r="E51" s="72">
        <v>100</v>
      </c>
      <c r="F51" t="s">
        <v>1150</v>
      </c>
    </row>
    <row r="52" spans="1:7" x14ac:dyDescent="0.3">
      <c r="A52" t="s">
        <v>627</v>
      </c>
      <c r="B52" t="s">
        <v>619</v>
      </c>
      <c r="C52" t="s">
        <v>537</v>
      </c>
      <c r="D52" s="69" t="s">
        <v>1151</v>
      </c>
      <c r="E52" s="72">
        <v>50</v>
      </c>
      <c r="F52" t="s">
        <v>1152</v>
      </c>
    </row>
    <row r="53" spans="1:7" x14ac:dyDescent="0.3">
      <c r="A53" t="s">
        <v>627</v>
      </c>
      <c r="B53" t="s">
        <v>619</v>
      </c>
      <c r="C53" t="s">
        <v>537</v>
      </c>
      <c r="D53" s="69" t="s">
        <v>1123</v>
      </c>
      <c r="E53" s="72" t="s">
        <v>1124</v>
      </c>
      <c r="F53" t="s">
        <v>1153</v>
      </c>
      <c r="G53" s="69" t="s">
        <v>1126</v>
      </c>
    </row>
    <row r="54" spans="1:7" x14ac:dyDescent="0.3">
      <c r="A54" t="s">
        <v>631</v>
      </c>
      <c r="B54" t="s">
        <v>619</v>
      </c>
      <c r="C54" t="s">
        <v>537</v>
      </c>
      <c r="D54" s="69" t="s">
        <v>1119</v>
      </c>
      <c r="E54" s="72">
        <v>100</v>
      </c>
      <c r="F54" t="s">
        <v>1154</v>
      </c>
      <c r="G54" s="69" t="s">
        <v>1128</v>
      </c>
    </row>
    <row r="55" spans="1:7" x14ac:dyDescent="0.3">
      <c r="A55" t="s">
        <v>631</v>
      </c>
      <c r="B55" t="s">
        <v>619</v>
      </c>
      <c r="C55" t="s">
        <v>537</v>
      </c>
      <c r="D55" s="69" t="s">
        <v>1121</v>
      </c>
      <c r="E55" s="72">
        <v>50</v>
      </c>
      <c r="F55" t="s">
        <v>1155</v>
      </c>
      <c r="G55" s="69" t="s">
        <v>1128</v>
      </c>
    </row>
    <row r="56" spans="1:7" x14ac:dyDescent="0.3">
      <c r="A56" t="s">
        <v>631</v>
      </c>
      <c r="B56" t="s">
        <v>619</v>
      </c>
      <c r="C56" t="s">
        <v>537</v>
      </c>
      <c r="D56" s="69" t="s">
        <v>1123</v>
      </c>
      <c r="E56" s="72" t="s">
        <v>1124</v>
      </c>
      <c r="F56" t="s">
        <v>1156</v>
      </c>
      <c r="G56" s="69" t="s">
        <v>1131</v>
      </c>
    </row>
    <row r="57" spans="1:7" x14ac:dyDescent="0.3">
      <c r="A57" t="s">
        <v>633</v>
      </c>
      <c r="B57" t="s">
        <v>619</v>
      </c>
      <c r="C57" t="s">
        <v>537</v>
      </c>
      <c r="D57" s="69" t="s">
        <v>1157</v>
      </c>
      <c r="E57" s="72">
        <v>100</v>
      </c>
      <c r="F57" t="s">
        <v>1158</v>
      </c>
    </row>
    <row r="58" spans="1:7" x14ac:dyDescent="0.3">
      <c r="A58" t="s">
        <v>633</v>
      </c>
      <c r="B58" t="s">
        <v>619</v>
      </c>
      <c r="C58" t="s">
        <v>537</v>
      </c>
      <c r="D58" s="69" t="s">
        <v>1159</v>
      </c>
      <c r="E58" s="72">
        <v>100</v>
      </c>
      <c r="F58" t="s">
        <v>1160</v>
      </c>
    </row>
    <row r="59" spans="1:7" x14ac:dyDescent="0.3">
      <c r="A59" t="s">
        <v>633</v>
      </c>
      <c r="B59" t="s">
        <v>619</v>
      </c>
      <c r="C59" t="s">
        <v>537</v>
      </c>
      <c r="D59" s="69" t="s">
        <v>1161</v>
      </c>
      <c r="E59" s="72">
        <v>100</v>
      </c>
      <c r="F59" t="s">
        <v>1162</v>
      </c>
    </row>
    <row r="60" spans="1:7" x14ac:dyDescent="0.3">
      <c r="A60" t="s">
        <v>633</v>
      </c>
      <c r="B60" t="s">
        <v>619</v>
      </c>
      <c r="C60" t="s">
        <v>537</v>
      </c>
      <c r="D60" s="69" t="s">
        <v>1163</v>
      </c>
      <c r="E60" s="72">
        <v>100</v>
      </c>
      <c r="F60" t="s">
        <v>1164</v>
      </c>
    </row>
    <row r="61" spans="1:7" x14ac:dyDescent="0.3">
      <c r="A61" t="s">
        <v>633</v>
      </c>
      <c r="B61" t="s">
        <v>619</v>
      </c>
      <c r="C61" t="s">
        <v>537</v>
      </c>
      <c r="D61" s="69" t="s">
        <v>1123</v>
      </c>
      <c r="E61" s="72" t="s">
        <v>1124</v>
      </c>
      <c r="F61" t="s">
        <v>1165</v>
      </c>
      <c r="G61" s="69" t="s">
        <v>1126</v>
      </c>
    </row>
    <row r="62" spans="1:7" x14ac:dyDescent="0.3">
      <c r="A62" t="s">
        <v>637</v>
      </c>
      <c r="B62" t="s">
        <v>638</v>
      </c>
      <c r="C62" t="s">
        <v>640</v>
      </c>
      <c r="D62" s="69" t="s">
        <v>1166</v>
      </c>
      <c r="E62" s="72"/>
      <c r="G62" s="69" t="s">
        <v>1167</v>
      </c>
    </row>
    <row r="63" spans="1:7" x14ac:dyDescent="0.3">
      <c r="A63" t="s">
        <v>643</v>
      </c>
      <c r="B63" t="s">
        <v>638</v>
      </c>
      <c r="C63" t="s">
        <v>546</v>
      </c>
      <c r="D63" s="69" t="s">
        <v>1168</v>
      </c>
      <c r="E63" s="72"/>
      <c r="G63" s="69" t="s">
        <v>1169</v>
      </c>
    </row>
    <row r="64" spans="1:7" x14ac:dyDescent="0.3">
      <c r="A64" t="s">
        <v>645</v>
      </c>
      <c r="B64" t="s">
        <v>638</v>
      </c>
      <c r="C64" t="s">
        <v>640</v>
      </c>
      <c r="D64" s="69" t="s">
        <v>1166</v>
      </c>
      <c r="E64" s="72"/>
      <c r="G64" s="69" t="s">
        <v>1167</v>
      </c>
    </row>
    <row r="65" spans="1:7" x14ac:dyDescent="0.3">
      <c r="A65" t="s">
        <v>648</v>
      </c>
      <c r="B65" t="s">
        <v>638</v>
      </c>
      <c r="C65" t="s">
        <v>537</v>
      </c>
      <c r="D65" s="69" t="s">
        <v>1170</v>
      </c>
      <c r="E65" s="72">
        <v>100</v>
      </c>
      <c r="F65" t="s">
        <v>1171</v>
      </c>
    </row>
    <row r="66" spans="1:7" x14ac:dyDescent="0.3">
      <c r="A66" t="s">
        <v>648</v>
      </c>
      <c r="B66" t="s">
        <v>638</v>
      </c>
      <c r="C66" t="s">
        <v>537</v>
      </c>
      <c r="D66" s="69" t="s">
        <v>1172</v>
      </c>
      <c r="E66" s="72">
        <v>75</v>
      </c>
      <c r="F66" t="s">
        <v>1173</v>
      </c>
    </row>
    <row r="67" spans="1:7" x14ac:dyDescent="0.3">
      <c r="A67" t="s">
        <v>648</v>
      </c>
      <c r="B67" t="s">
        <v>638</v>
      </c>
      <c r="C67" t="s">
        <v>537</v>
      </c>
      <c r="D67" s="69" t="s">
        <v>1174</v>
      </c>
      <c r="E67" s="72">
        <v>50</v>
      </c>
      <c r="F67" t="s">
        <v>1175</v>
      </c>
    </row>
    <row r="68" spans="1:7" x14ac:dyDescent="0.3">
      <c r="A68" t="s">
        <v>648</v>
      </c>
      <c r="B68" t="s">
        <v>638</v>
      </c>
      <c r="C68" t="s">
        <v>537</v>
      </c>
      <c r="D68" s="69" t="s">
        <v>1176</v>
      </c>
      <c r="E68" s="72">
        <v>25</v>
      </c>
      <c r="F68" t="s">
        <v>1177</v>
      </c>
    </row>
    <row r="69" spans="1:7" x14ac:dyDescent="0.3">
      <c r="A69" t="s">
        <v>648</v>
      </c>
      <c r="B69" t="s">
        <v>638</v>
      </c>
      <c r="C69" t="s">
        <v>537</v>
      </c>
      <c r="D69" s="69" t="s">
        <v>1178</v>
      </c>
      <c r="E69" s="72" t="s">
        <v>1124</v>
      </c>
      <c r="F69" t="s">
        <v>1179</v>
      </c>
      <c r="G69" s="69" t="s">
        <v>1126</v>
      </c>
    </row>
    <row r="70" spans="1:7" x14ac:dyDescent="0.3">
      <c r="A70" t="s">
        <v>651</v>
      </c>
      <c r="B70" t="s">
        <v>638</v>
      </c>
      <c r="C70" t="s">
        <v>537</v>
      </c>
      <c r="D70" s="69" t="s">
        <v>1180</v>
      </c>
      <c r="E70" s="72">
        <v>0</v>
      </c>
      <c r="F70" t="s">
        <v>1181</v>
      </c>
    </row>
    <row r="71" spans="1:7" x14ac:dyDescent="0.3">
      <c r="A71" t="s">
        <v>651</v>
      </c>
      <c r="B71" t="s">
        <v>638</v>
      </c>
      <c r="C71" t="s">
        <v>537</v>
      </c>
      <c r="D71" s="69" t="s">
        <v>1182</v>
      </c>
      <c r="E71" s="72">
        <v>33</v>
      </c>
      <c r="F71" t="s">
        <v>1183</v>
      </c>
    </row>
    <row r="72" spans="1:7" x14ac:dyDescent="0.3">
      <c r="A72" t="s">
        <v>651</v>
      </c>
      <c r="B72" t="s">
        <v>638</v>
      </c>
      <c r="C72" t="s">
        <v>537</v>
      </c>
      <c r="D72" s="69" t="s">
        <v>1184</v>
      </c>
      <c r="E72" s="72">
        <v>67</v>
      </c>
      <c r="F72" t="s">
        <v>1185</v>
      </c>
    </row>
    <row r="73" spans="1:7" x14ac:dyDescent="0.3">
      <c r="A73" t="s">
        <v>651</v>
      </c>
      <c r="B73" t="s">
        <v>638</v>
      </c>
      <c r="C73" t="s">
        <v>537</v>
      </c>
      <c r="D73" s="69" t="s">
        <v>1186</v>
      </c>
      <c r="E73" s="72">
        <v>100</v>
      </c>
      <c r="F73" t="s">
        <v>1187</v>
      </c>
    </row>
    <row r="74" spans="1:7" x14ac:dyDescent="0.3">
      <c r="A74" t="s">
        <v>654</v>
      </c>
      <c r="B74" t="s">
        <v>638</v>
      </c>
      <c r="C74" t="s">
        <v>537</v>
      </c>
      <c r="D74" s="69" t="s">
        <v>1188</v>
      </c>
      <c r="E74" s="72">
        <v>0</v>
      </c>
      <c r="F74" t="s">
        <v>1189</v>
      </c>
    </row>
    <row r="75" spans="1:7" x14ac:dyDescent="0.3">
      <c r="A75" t="s">
        <v>654</v>
      </c>
      <c r="B75" t="s">
        <v>638</v>
      </c>
      <c r="C75" t="s">
        <v>537</v>
      </c>
      <c r="D75" s="69" t="s">
        <v>1190</v>
      </c>
      <c r="E75" s="72">
        <v>50</v>
      </c>
      <c r="F75" t="s">
        <v>1191</v>
      </c>
    </row>
    <row r="76" spans="1:7" x14ac:dyDescent="0.3">
      <c r="A76" t="s">
        <v>654</v>
      </c>
      <c r="B76" t="s">
        <v>638</v>
      </c>
      <c r="C76" t="s">
        <v>537</v>
      </c>
      <c r="D76" s="69" t="s">
        <v>1192</v>
      </c>
      <c r="E76" s="72">
        <v>100</v>
      </c>
      <c r="F76" t="s">
        <v>1193</v>
      </c>
    </row>
    <row r="77" spans="1:7" x14ac:dyDescent="0.3">
      <c r="A77" t="s">
        <v>658</v>
      </c>
      <c r="B77" t="s">
        <v>638</v>
      </c>
      <c r="C77" t="s">
        <v>537</v>
      </c>
      <c r="D77" s="69" t="s">
        <v>1194</v>
      </c>
      <c r="E77" s="72">
        <v>100</v>
      </c>
      <c r="F77" t="s">
        <v>1195</v>
      </c>
    </row>
    <row r="78" spans="1:7" x14ac:dyDescent="0.3">
      <c r="A78" t="s">
        <v>658</v>
      </c>
      <c r="B78" t="s">
        <v>638</v>
      </c>
      <c r="C78" t="s">
        <v>537</v>
      </c>
      <c r="D78" s="69" t="s">
        <v>1196</v>
      </c>
      <c r="E78" s="72">
        <v>75</v>
      </c>
      <c r="F78" t="s">
        <v>1197</v>
      </c>
    </row>
    <row r="79" spans="1:7" x14ac:dyDescent="0.3">
      <c r="A79" t="s">
        <v>658</v>
      </c>
      <c r="B79" t="s">
        <v>638</v>
      </c>
      <c r="C79" t="s">
        <v>537</v>
      </c>
      <c r="D79" s="69" t="s">
        <v>1198</v>
      </c>
      <c r="E79" s="72">
        <v>50</v>
      </c>
      <c r="F79" t="s">
        <v>1199</v>
      </c>
    </row>
    <row r="80" spans="1:7" x14ac:dyDescent="0.3">
      <c r="A80" t="s">
        <v>658</v>
      </c>
      <c r="B80" t="s">
        <v>638</v>
      </c>
      <c r="C80" t="s">
        <v>537</v>
      </c>
      <c r="D80" s="69" t="s">
        <v>1200</v>
      </c>
      <c r="E80" s="72">
        <v>25</v>
      </c>
      <c r="F80" t="s">
        <v>1201</v>
      </c>
    </row>
    <row r="81" spans="1:7" x14ac:dyDescent="0.3">
      <c r="A81" t="s">
        <v>658</v>
      </c>
      <c r="B81" t="s">
        <v>638</v>
      </c>
      <c r="C81" t="s">
        <v>537</v>
      </c>
      <c r="D81" s="69" t="s">
        <v>1202</v>
      </c>
      <c r="E81" s="72" t="s">
        <v>1124</v>
      </c>
      <c r="F81" t="s">
        <v>1203</v>
      </c>
      <c r="G81" s="69" t="s">
        <v>1126</v>
      </c>
    </row>
    <row r="82" spans="1:7" x14ac:dyDescent="0.3">
      <c r="A82" t="s">
        <v>661</v>
      </c>
      <c r="B82" t="s">
        <v>638</v>
      </c>
      <c r="C82" t="s">
        <v>537</v>
      </c>
      <c r="D82" s="69" t="s">
        <v>1204</v>
      </c>
      <c r="E82" s="72">
        <v>100</v>
      </c>
      <c r="F82" t="s">
        <v>1205</v>
      </c>
    </row>
    <row r="83" spans="1:7" x14ac:dyDescent="0.3">
      <c r="A83" t="s">
        <v>661</v>
      </c>
      <c r="B83" t="s">
        <v>638</v>
      </c>
      <c r="C83" t="s">
        <v>537</v>
      </c>
      <c r="D83" s="69" t="s">
        <v>1206</v>
      </c>
      <c r="E83" s="72">
        <v>67</v>
      </c>
      <c r="F83" t="s">
        <v>1207</v>
      </c>
    </row>
    <row r="84" spans="1:7" x14ac:dyDescent="0.3">
      <c r="A84" t="s">
        <v>661</v>
      </c>
      <c r="B84" t="s">
        <v>638</v>
      </c>
      <c r="C84" t="s">
        <v>537</v>
      </c>
      <c r="D84" s="69" t="s">
        <v>1208</v>
      </c>
      <c r="E84" s="72">
        <v>33</v>
      </c>
      <c r="F84" t="s">
        <v>1209</v>
      </c>
    </row>
    <row r="85" spans="1:7" x14ac:dyDescent="0.3">
      <c r="A85" t="s">
        <v>661</v>
      </c>
      <c r="B85" t="s">
        <v>638</v>
      </c>
      <c r="C85" t="s">
        <v>537</v>
      </c>
      <c r="D85" s="69" t="s">
        <v>1210</v>
      </c>
      <c r="E85" s="72">
        <v>0</v>
      </c>
      <c r="F85" t="s">
        <v>1211</v>
      </c>
    </row>
    <row r="86" spans="1:7" x14ac:dyDescent="0.3">
      <c r="A86" t="s">
        <v>661</v>
      </c>
      <c r="B86" t="s">
        <v>638</v>
      </c>
      <c r="C86" t="s">
        <v>537</v>
      </c>
      <c r="D86" s="69" t="s">
        <v>1212</v>
      </c>
      <c r="E86" s="72" t="s">
        <v>1124</v>
      </c>
      <c r="F86" t="s">
        <v>1213</v>
      </c>
      <c r="G86" s="69" t="s">
        <v>1126</v>
      </c>
    </row>
    <row r="87" spans="1:7" x14ac:dyDescent="0.3">
      <c r="A87" t="s">
        <v>666</v>
      </c>
      <c r="B87" t="s">
        <v>667</v>
      </c>
      <c r="C87" t="s">
        <v>546</v>
      </c>
      <c r="D87" s="69" t="s">
        <v>1168</v>
      </c>
      <c r="E87" s="72"/>
      <c r="G87" s="69" t="s">
        <v>1169</v>
      </c>
    </row>
    <row r="88" spans="1:7" x14ac:dyDescent="0.3">
      <c r="A88" t="s">
        <v>670</v>
      </c>
      <c r="B88" t="s">
        <v>667</v>
      </c>
      <c r="C88" t="s">
        <v>537</v>
      </c>
      <c r="D88" s="69" t="s">
        <v>1214</v>
      </c>
      <c r="E88" s="72">
        <v>0</v>
      </c>
      <c r="F88" t="s">
        <v>1215</v>
      </c>
      <c r="G88" s="69" t="s">
        <v>1128</v>
      </c>
    </row>
    <row r="89" spans="1:7" x14ac:dyDescent="0.3">
      <c r="A89" t="s">
        <v>670</v>
      </c>
      <c r="B89" t="s">
        <v>667</v>
      </c>
      <c r="C89" t="s">
        <v>537</v>
      </c>
      <c r="D89" s="69" t="s">
        <v>1216</v>
      </c>
      <c r="E89" s="72">
        <v>50</v>
      </c>
      <c r="F89" t="s">
        <v>1217</v>
      </c>
      <c r="G89" s="69" t="s">
        <v>1128</v>
      </c>
    </row>
    <row r="90" spans="1:7" x14ac:dyDescent="0.3">
      <c r="A90" t="s">
        <v>670</v>
      </c>
      <c r="B90" t="s">
        <v>667</v>
      </c>
      <c r="C90" t="s">
        <v>537</v>
      </c>
      <c r="D90" s="69" t="s">
        <v>1218</v>
      </c>
      <c r="E90" s="72">
        <v>0</v>
      </c>
      <c r="F90" t="s">
        <v>1219</v>
      </c>
      <c r="G90" s="69" t="s">
        <v>1128</v>
      </c>
    </row>
    <row r="91" spans="1:7" x14ac:dyDescent="0.3">
      <c r="A91" t="s">
        <v>670</v>
      </c>
      <c r="B91" t="s">
        <v>667</v>
      </c>
      <c r="C91" t="s">
        <v>537</v>
      </c>
      <c r="D91" s="69" t="s">
        <v>1220</v>
      </c>
      <c r="E91" s="72" t="s">
        <v>1124</v>
      </c>
      <c r="F91" t="s">
        <v>1221</v>
      </c>
      <c r="G91" s="69" t="s">
        <v>1131</v>
      </c>
    </row>
    <row r="92" spans="1:7" x14ac:dyDescent="0.3">
      <c r="A92" t="s">
        <v>670</v>
      </c>
      <c r="B92" t="s">
        <v>667</v>
      </c>
      <c r="C92" t="s">
        <v>537</v>
      </c>
      <c r="D92" s="69" t="s">
        <v>1222</v>
      </c>
      <c r="E92" s="72">
        <v>100</v>
      </c>
      <c r="F92" t="s">
        <v>1223</v>
      </c>
      <c r="G92" s="69" t="s">
        <v>1128</v>
      </c>
    </row>
    <row r="93" spans="1:7" x14ac:dyDescent="0.3">
      <c r="A93" t="s">
        <v>673</v>
      </c>
      <c r="B93" t="s">
        <v>667</v>
      </c>
      <c r="C93" t="s">
        <v>640</v>
      </c>
      <c r="D93" s="69" t="s">
        <v>1166</v>
      </c>
      <c r="E93" s="72"/>
      <c r="G93" s="69" t="s">
        <v>1167</v>
      </c>
    </row>
    <row r="94" spans="1:7" x14ac:dyDescent="0.3">
      <c r="A94" t="s">
        <v>675</v>
      </c>
      <c r="B94" t="s">
        <v>667</v>
      </c>
      <c r="C94" t="s">
        <v>537</v>
      </c>
      <c r="D94" s="69" t="s">
        <v>1119</v>
      </c>
      <c r="E94" s="72">
        <v>0</v>
      </c>
      <c r="F94" t="s">
        <v>1224</v>
      </c>
    </row>
    <row r="95" spans="1:7" x14ac:dyDescent="0.3">
      <c r="A95" t="s">
        <v>675</v>
      </c>
      <c r="B95" t="s">
        <v>667</v>
      </c>
      <c r="C95" t="s">
        <v>537</v>
      </c>
      <c r="D95" s="69" t="s">
        <v>1121</v>
      </c>
      <c r="E95" s="72">
        <v>100</v>
      </c>
      <c r="F95" t="s">
        <v>1225</v>
      </c>
    </row>
    <row r="96" spans="1:7" x14ac:dyDescent="0.3">
      <c r="A96" t="s">
        <v>675</v>
      </c>
      <c r="B96" t="s">
        <v>667</v>
      </c>
      <c r="C96" t="s">
        <v>537</v>
      </c>
      <c r="D96" s="69" t="s">
        <v>1220</v>
      </c>
      <c r="E96" s="72" t="s">
        <v>1124</v>
      </c>
      <c r="F96" t="s">
        <v>1226</v>
      </c>
      <c r="G96" s="69" t="s">
        <v>1126</v>
      </c>
    </row>
    <row r="97" spans="1:7" x14ac:dyDescent="0.3">
      <c r="A97" t="s">
        <v>678</v>
      </c>
      <c r="B97" t="s">
        <v>667</v>
      </c>
      <c r="C97" t="s">
        <v>537</v>
      </c>
      <c r="D97" s="69" t="s">
        <v>1227</v>
      </c>
      <c r="E97" s="72">
        <v>100</v>
      </c>
      <c r="F97" t="s">
        <v>1228</v>
      </c>
    </row>
    <row r="98" spans="1:7" x14ac:dyDescent="0.3">
      <c r="A98" t="s">
        <v>678</v>
      </c>
      <c r="B98" t="s">
        <v>667</v>
      </c>
      <c r="C98" t="s">
        <v>537</v>
      </c>
      <c r="D98" s="69" t="s">
        <v>1229</v>
      </c>
      <c r="E98" s="72">
        <v>50</v>
      </c>
      <c r="F98" t="s">
        <v>1230</v>
      </c>
    </row>
    <row r="99" spans="1:7" x14ac:dyDescent="0.3">
      <c r="A99" t="s">
        <v>678</v>
      </c>
      <c r="B99" t="s">
        <v>667</v>
      </c>
      <c r="C99" t="s">
        <v>537</v>
      </c>
      <c r="D99" s="69" t="s">
        <v>1121</v>
      </c>
      <c r="E99" s="72">
        <v>0</v>
      </c>
      <c r="F99" t="s">
        <v>1231</v>
      </c>
    </row>
    <row r="100" spans="1:7" x14ac:dyDescent="0.3">
      <c r="A100" t="s">
        <v>678</v>
      </c>
      <c r="B100" t="s">
        <v>667</v>
      </c>
      <c r="C100" t="s">
        <v>537</v>
      </c>
      <c r="D100" s="69" t="s">
        <v>1212</v>
      </c>
      <c r="E100" s="72" t="s">
        <v>1124</v>
      </c>
      <c r="F100" t="s">
        <v>1232</v>
      </c>
      <c r="G100" s="69" t="s">
        <v>1126</v>
      </c>
    </row>
    <row r="101" spans="1:7" x14ac:dyDescent="0.3">
      <c r="A101" t="s">
        <v>681</v>
      </c>
      <c r="B101" t="s">
        <v>667</v>
      </c>
      <c r="C101" t="s">
        <v>537</v>
      </c>
      <c r="D101" s="69" t="s">
        <v>1233</v>
      </c>
      <c r="E101" s="72">
        <v>100</v>
      </c>
      <c r="F101" t="s">
        <v>1234</v>
      </c>
    </row>
    <row r="102" spans="1:7" x14ac:dyDescent="0.3">
      <c r="A102" t="s">
        <v>681</v>
      </c>
      <c r="B102" t="s">
        <v>667</v>
      </c>
      <c r="C102" t="s">
        <v>537</v>
      </c>
      <c r="D102" s="69" t="s">
        <v>1235</v>
      </c>
      <c r="E102" s="72">
        <v>50</v>
      </c>
      <c r="F102" t="s">
        <v>1236</v>
      </c>
    </row>
    <row r="103" spans="1:7" x14ac:dyDescent="0.3">
      <c r="A103" t="s">
        <v>681</v>
      </c>
      <c r="B103" t="s">
        <v>667</v>
      </c>
      <c r="C103" t="s">
        <v>537</v>
      </c>
      <c r="D103" s="69" t="s">
        <v>1121</v>
      </c>
      <c r="E103" s="72">
        <v>0</v>
      </c>
      <c r="F103" t="s">
        <v>1237</v>
      </c>
    </row>
    <row r="104" spans="1:7" x14ac:dyDescent="0.3">
      <c r="A104" t="s">
        <v>681</v>
      </c>
      <c r="B104" t="s">
        <v>667</v>
      </c>
      <c r="C104" t="s">
        <v>537</v>
      </c>
      <c r="D104" s="69" t="s">
        <v>1212</v>
      </c>
      <c r="E104" s="72" t="s">
        <v>1124</v>
      </c>
      <c r="F104" t="s">
        <v>1238</v>
      </c>
      <c r="G104" s="69" t="s">
        <v>1126</v>
      </c>
    </row>
    <row r="105" spans="1:7" x14ac:dyDescent="0.3">
      <c r="A105" t="s">
        <v>684</v>
      </c>
      <c r="B105" t="s">
        <v>667</v>
      </c>
      <c r="C105" t="s">
        <v>537</v>
      </c>
      <c r="D105" s="69" t="s">
        <v>1119</v>
      </c>
      <c r="E105" s="72">
        <v>0</v>
      </c>
      <c r="F105" t="s">
        <v>1239</v>
      </c>
    </row>
    <row r="106" spans="1:7" x14ac:dyDescent="0.3">
      <c r="A106" t="s">
        <v>684</v>
      </c>
      <c r="B106" t="s">
        <v>667</v>
      </c>
      <c r="C106" t="s">
        <v>537</v>
      </c>
      <c r="D106" s="69" t="s">
        <v>1121</v>
      </c>
      <c r="E106" s="72">
        <v>100</v>
      </c>
      <c r="F106" t="s">
        <v>1240</v>
      </c>
    </row>
    <row r="107" spans="1:7" x14ac:dyDescent="0.3">
      <c r="A107" t="s">
        <v>684</v>
      </c>
      <c r="B107" t="s">
        <v>667</v>
      </c>
      <c r="C107" t="s">
        <v>537</v>
      </c>
      <c r="D107" s="69" t="s">
        <v>1123</v>
      </c>
      <c r="E107" s="72" t="s">
        <v>1124</v>
      </c>
      <c r="F107" t="s">
        <v>1241</v>
      </c>
      <c r="G107" s="69" t="s">
        <v>1126</v>
      </c>
    </row>
    <row r="108" spans="1:7" x14ac:dyDescent="0.3">
      <c r="A108" t="s">
        <v>686</v>
      </c>
      <c r="B108" t="s">
        <v>667</v>
      </c>
      <c r="C108" t="s">
        <v>537</v>
      </c>
      <c r="D108" s="69" t="s">
        <v>1242</v>
      </c>
      <c r="E108" s="72">
        <v>100</v>
      </c>
      <c r="F108" t="s">
        <v>1243</v>
      </c>
    </row>
    <row r="109" spans="1:7" x14ac:dyDescent="0.3">
      <c r="A109" t="s">
        <v>686</v>
      </c>
      <c r="B109" t="s">
        <v>667</v>
      </c>
      <c r="C109" t="s">
        <v>537</v>
      </c>
      <c r="D109" s="69" t="s">
        <v>1244</v>
      </c>
      <c r="E109" s="72">
        <v>80</v>
      </c>
      <c r="F109" t="s">
        <v>1245</v>
      </c>
    </row>
    <row r="110" spans="1:7" ht="28.8" x14ac:dyDescent="0.3">
      <c r="A110" t="s">
        <v>686</v>
      </c>
      <c r="B110" t="s">
        <v>667</v>
      </c>
      <c r="C110" t="s">
        <v>537</v>
      </c>
      <c r="D110" s="69" t="s">
        <v>1246</v>
      </c>
      <c r="E110" s="72">
        <v>60</v>
      </c>
      <c r="F110" t="s">
        <v>1247</v>
      </c>
    </row>
    <row r="111" spans="1:7" x14ac:dyDescent="0.3">
      <c r="A111" t="s">
        <v>686</v>
      </c>
      <c r="B111" t="s">
        <v>667</v>
      </c>
      <c r="C111" t="s">
        <v>537</v>
      </c>
      <c r="D111" s="69" t="s">
        <v>1248</v>
      </c>
      <c r="E111" s="72">
        <v>20</v>
      </c>
      <c r="F111" t="s">
        <v>1249</v>
      </c>
    </row>
    <row r="112" spans="1:7" ht="28.8" x14ac:dyDescent="0.3">
      <c r="A112" t="s">
        <v>686</v>
      </c>
      <c r="B112" t="s">
        <v>667</v>
      </c>
      <c r="C112" t="s">
        <v>537</v>
      </c>
      <c r="D112" s="69" t="s">
        <v>1250</v>
      </c>
      <c r="E112" s="72">
        <v>0</v>
      </c>
      <c r="F112" t="s">
        <v>1251</v>
      </c>
    </row>
    <row r="113" spans="1:7" x14ac:dyDescent="0.3">
      <c r="A113" t="s">
        <v>686</v>
      </c>
      <c r="B113" t="s">
        <v>667</v>
      </c>
      <c r="C113" t="s">
        <v>537</v>
      </c>
      <c r="D113" s="69" t="s">
        <v>1220</v>
      </c>
      <c r="E113" s="72" t="s">
        <v>1124</v>
      </c>
      <c r="F113" t="s">
        <v>1252</v>
      </c>
      <c r="G113" s="69" t="s">
        <v>1126</v>
      </c>
    </row>
    <row r="114" spans="1:7" x14ac:dyDescent="0.3">
      <c r="A114" t="s">
        <v>689</v>
      </c>
      <c r="B114" t="s">
        <v>667</v>
      </c>
      <c r="C114" t="s">
        <v>537</v>
      </c>
      <c r="D114" s="69" t="s">
        <v>1253</v>
      </c>
      <c r="E114" s="72">
        <v>100</v>
      </c>
      <c r="F114" t="s">
        <v>1254</v>
      </c>
    </row>
    <row r="115" spans="1:7" x14ac:dyDescent="0.3">
      <c r="A115" t="s">
        <v>689</v>
      </c>
      <c r="B115" t="s">
        <v>667</v>
      </c>
      <c r="C115" t="s">
        <v>537</v>
      </c>
      <c r="D115" s="69" t="s">
        <v>1229</v>
      </c>
      <c r="E115" s="72">
        <v>50</v>
      </c>
      <c r="F115" t="s">
        <v>1255</v>
      </c>
    </row>
    <row r="116" spans="1:7" x14ac:dyDescent="0.3">
      <c r="A116" t="s">
        <v>689</v>
      </c>
      <c r="B116" t="s">
        <v>667</v>
      </c>
      <c r="C116" t="s">
        <v>537</v>
      </c>
      <c r="D116" s="69" t="s">
        <v>1220</v>
      </c>
      <c r="E116" s="72" t="s">
        <v>1124</v>
      </c>
      <c r="F116" t="s">
        <v>1256</v>
      </c>
      <c r="G116" s="69" t="s">
        <v>1126</v>
      </c>
    </row>
    <row r="117" spans="1:7" x14ac:dyDescent="0.3">
      <c r="A117" t="s">
        <v>689</v>
      </c>
      <c r="B117" t="s">
        <v>667</v>
      </c>
      <c r="C117" t="s">
        <v>537</v>
      </c>
      <c r="D117" s="69" t="s">
        <v>1123</v>
      </c>
      <c r="E117" s="72" t="s">
        <v>1124</v>
      </c>
      <c r="F117" t="s">
        <v>1257</v>
      </c>
      <c r="G117" s="69" t="s">
        <v>1126</v>
      </c>
    </row>
    <row r="118" spans="1:7" x14ac:dyDescent="0.3">
      <c r="A118" t="s">
        <v>692</v>
      </c>
      <c r="B118" t="s">
        <v>667</v>
      </c>
      <c r="C118" t="s">
        <v>537</v>
      </c>
      <c r="D118" s="69" t="s">
        <v>1258</v>
      </c>
      <c r="E118" s="72">
        <v>100</v>
      </c>
      <c r="F118" t="s">
        <v>1259</v>
      </c>
    </row>
    <row r="119" spans="1:7" x14ac:dyDescent="0.3">
      <c r="A119" t="s">
        <v>692</v>
      </c>
      <c r="B119" t="s">
        <v>667</v>
      </c>
      <c r="C119" t="s">
        <v>537</v>
      </c>
      <c r="D119" s="69" t="s">
        <v>1260</v>
      </c>
      <c r="E119" s="72">
        <v>50</v>
      </c>
      <c r="F119" t="s">
        <v>1261</v>
      </c>
    </row>
    <row r="120" spans="1:7" x14ac:dyDescent="0.3">
      <c r="A120" t="s">
        <v>692</v>
      </c>
      <c r="B120" t="s">
        <v>667</v>
      </c>
      <c r="C120" t="s">
        <v>537</v>
      </c>
      <c r="D120" s="69" t="s">
        <v>1262</v>
      </c>
      <c r="E120" s="72">
        <v>0</v>
      </c>
      <c r="F120" t="s">
        <v>1263</v>
      </c>
    </row>
    <row r="121" spans="1:7" x14ac:dyDescent="0.3">
      <c r="A121" t="s">
        <v>695</v>
      </c>
      <c r="B121" t="s">
        <v>667</v>
      </c>
      <c r="C121" t="s">
        <v>537</v>
      </c>
      <c r="D121" s="69" t="s">
        <v>1264</v>
      </c>
      <c r="E121" s="72">
        <v>100</v>
      </c>
      <c r="F121" t="s">
        <v>1265</v>
      </c>
    </row>
    <row r="122" spans="1:7" x14ac:dyDescent="0.3">
      <c r="A122" t="s">
        <v>695</v>
      </c>
      <c r="B122" t="s">
        <v>667</v>
      </c>
      <c r="C122" t="s">
        <v>537</v>
      </c>
      <c r="D122" s="69" t="s">
        <v>1266</v>
      </c>
      <c r="E122" s="72">
        <v>0</v>
      </c>
      <c r="F122" t="s">
        <v>1267</v>
      </c>
    </row>
    <row r="123" spans="1:7" x14ac:dyDescent="0.3">
      <c r="A123" t="s">
        <v>695</v>
      </c>
      <c r="B123" t="s">
        <v>667</v>
      </c>
      <c r="C123" t="s">
        <v>537</v>
      </c>
      <c r="D123" s="69" t="s">
        <v>1268</v>
      </c>
      <c r="E123" s="72" t="s">
        <v>1124</v>
      </c>
      <c r="F123" t="s">
        <v>1269</v>
      </c>
      <c r="G123" s="69" t="s">
        <v>1126</v>
      </c>
    </row>
    <row r="124" spans="1:7" x14ac:dyDescent="0.3">
      <c r="A124" t="s">
        <v>695</v>
      </c>
      <c r="B124" t="s">
        <v>667</v>
      </c>
      <c r="C124" t="s">
        <v>537</v>
      </c>
      <c r="D124" s="69" t="s">
        <v>1123</v>
      </c>
      <c r="E124" s="72" t="s">
        <v>1124</v>
      </c>
      <c r="F124" t="s">
        <v>1270</v>
      </c>
      <c r="G124" s="69" t="s">
        <v>1126</v>
      </c>
    </row>
    <row r="125" spans="1:7" x14ac:dyDescent="0.3">
      <c r="A125" t="s">
        <v>698</v>
      </c>
      <c r="B125" t="s">
        <v>667</v>
      </c>
      <c r="C125" t="s">
        <v>537</v>
      </c>
      <c r="D125" s="69" t="s">
        <v>1271</v>
      </c>
      <c r="E125" s="72">
        <v>100</v>
      </c>
      <c r="F125" t="s">
        <v>1272</v>
      </c>
    </row>
    <row r="126" spans="1:7" x14ac:dyDescent="0.3">
      <c r="A126" t="s">
        <v>698</v>
      </c>
      <c r="B126" t="s">
        <v>667</v>
      </c>
      <c r="C126" t="s">
        <v>537</v>
      </c>
      <c r="D126" s="69" t="s">
        <v>1273</v>
      </c>
      <c r="E126" s="72">
        <v>50</v>
      </c>
      <c r="F126" t="s">
        <v>1274</v>
      </c>
    </row>
    <row r="127" spans="1:7" x14ac:dyDescent="0.3">
      <c r="A127" t="s">
        <v>698</v>
      </c>
      <c r="B127" t="s">
        <v>667</v>
      </c>
      <c r="C127" t="s">
        <v>537</v>
      </c>
      <c r="D127" s="69" t="s">
        <v>1121</v>
      </c>
      <c r="E127" s="72">
        <v>0</v>
      </c>
      <c r="F127" t="s">
        <v>1275</v>
      </c>
    </row>
    <row r="128" spans="1:7" x14ac:dyDescent="0.3">
      <c r="A128" t="s">
        <v>698</v>
      </c>
      <c r="B128" t="s">
        <v>667</v>
      </c>
      <c r="C128" t="s">
        <v>537</v>
      </c>
      <c r="D128" s="69" t="s">
        <v>1276</v>
      </c>
      <c r="E128" s="72" t="s">
        <v>1124</v>
      </c>
      <c r="F128" t="s">
        <v>1277</v>
      </c>
      <c r="G128" s="69" t="s">
        <v>1126</v>
      </c>
    </row>
    <row r="129" spans="1:7" x14ac:dyDescent="0.3">
      <c r="A129" t="s">
        <v>701</v>
      </c>
      <c r="B129" t="s">
        <v>667</v>
      </c>
      <c r="C129" t="s">
        <v>537</v>
      </c>
      <c r="D129" s="69" t="s">
        <v>1278</v>
      </c>
      <c r="E129" s="72">
        <v>0</v>
      </c>
      <c r="F129" t="s">
        <v>1279</v>
      </c>
    </row>
    <row r="130" spans="1:7" x14ac:dyDescent="0.3">
      <c r="A130" t="s">
        <v>701</v>
      </c>
      <c r="B130" t="s">
        <v>667</v>
      </c>
      <c r="C130" t="s">
        <v>537</v>
      </c>
      <c r="D130" s="69" t="s">
        <v>1280</v>
      </c>
      <c r="E130" s="72">
        <v>50</v>
      </c>
      <c r="F130" t="s">
        <v>1281</v>
      </c>
    </row>
    <row r="131" spans="1:7" x14ac:dyDescent="0.3">
      <c r="A131" t="s">
        <v>701</v>
      </c>
      <c r="B131" t="s">
        <v>667</v>
      </c>
      <c r="C131" t="s">
        <v>537</v>
      </c>
      <c r="D131" s="69" t="s">
        <v>1121</v>
      </c>
      <c r="E131" s="72">
        <v>100</v>
      </c>
      <c r="F131" t="s">
        <v>1282</v>
      </c>
    </row>
    <row r="132" spans="1:7" x14ac:dyDescent="0.3">
      <c r="A132" t="s">
        <v>701</v>
      </c>
      <c r="B132" t="s">
        <v>667</v>
      </c>
      <c r="C132" t="s">
        <v>537</v>
      </c>
      <c r="D132" s="69" t="s">
        <v>1123</v>
      </c>
      <c r="E132" s="72" t="s">
        <v>1124</v>
      </c>
      <c r="F132" t="s">
        <v>1283</v>
      </c>
      <c r="G132" s="69" t="s">
        <v>1126</v>
      </c>
    </row>
    <row r="133" spans="1:7" x14ac:dyDescent="0.3">
      <c r="A133" t="s">
        <v>706</v>
      </c>
      <c r="B133" t="s">
        <v>707</v>
      </c>
      <c r="C133" t="s">
        <v>537</v>
      </c>
      <c r="D133" s="69" t="s">
        <v>1220</v>
      </c>
      <c r="E133" s="72" t="s">
        <v>1124</v>
      </c>
      <c r="F133" t="s">
        <v>1284</v>
      </c>
      <c r="G133" s="69" t="s">
        <v>1131</v>
      </c>
    </row>
    <row r="134" spans="1:7" x14ac:dyDescent="0.3">
      <c r="A134" t="s">
        <v>706</v>
      </c>
      <c r="B134" t="s">
        <v>707</v>
      </c>
      <c r="C134" t="s">
        <v>537</v>
      </c>
      <c r="D134" s="69" t="s">
        <v>1285</v>
      </c>
      <c r="E134" s="72">
        <v>50</v>
      </c>
      <c r="F134" t="s">
        <v>1286</v>
      </c>
      <c r="G134" s="69" t="s">
        <v>1128</v>
      </c>
    </row>
    <row r="135" spans="1:7" x14ac:dyDescent="0.3">
      <c r="A135" t="s">
        <v>706</v>
      </c>
      <c r="B135" t="s">
        <v>707</v>
      </c>
      <c r="C135" t="s">
        <v>537</v>
      </c>
      <c r="D135" s="69" t="s">
        <v>1287</v>
      </c>
      <c r="E135" s="72">
        <v>75</v>
      </c>
      <c r="F135" t="s">
        <v>1288</v>
      </c>
      <c r="G135" s="69" t="s">
        <v>1128</v>
      </c>
    </row>
    <row r="136" spans="1:7" x14ac:dyDescent="0.3">
      <c r="A136" t="s">
        <v>706</v>
      </c>
      <c r="B136" t="s">
        <v>707</v>
      </c>
      <c r="C136" t="s">
        <v>537</v>
      </c>
      <c r="D136" s="69" t="s">
        <v>1289</v>
      </c>
      <c r="E136" s="72">
        <v>0</v>
      </c>
      <c r="F136" t="s">
        <v>1290</v>
      </c>
      <c r="G136" s="69" t="s">
        <v>1128</v>
      </c>
    </row>
    <row r="137" spans="1:7" x14ac:dyDescent="0.3">
      <c r="A137" t="s">
        <v>706</v>
      </c>
      <c r="B137" t="s">
        <v>707</v>
      </c>
      <c r="C137" t="s">
        <v>537</v>
      </c>
      <c r="D137" s="69" t="s">
        <v>1291</v>
      </c>
      <c r="E137" s="72">
        <v>100</v>
      </c>
      <c r="F137" t="s">
        <v>1292</v>
      </c>
      <c r="G137" s="69" t="s">
        <v>1128</v>
      </c>
    </row>
    <row r="138" spans="1:7" x14ac:dyDescent="0.3">
      <c r="A138" t="s">
        <v>711</v>
      </c>
      <c r="B138" t="s">
        <v>707</v>
      </c>
      <c r="C138" t="s">
        <v>640</v>
      </c>
      <c r="D138" s="69" t="s">
        <v>1166</v>
      </c>
      <c r="E138" s="72"/>
      <c r="G138" s="69" t="s">
        <v>1167</v>
      </c>
    </row>
    <row r="139" spans="1:7" x14ac:dyDescent="0.3">
      <c r="A139" t="s">
        <v>713</v>
      </c>
      <c r="B139" t="s">
        <v>707</v>
      </c>
      <c r="C139" t="s">
        <v>537</v>
      </c>
      <c r="D139" s="69" t="s">
        <v>1293</v>
      </c>
      <c r="E139" s="72">
        <v>100</v>
      </c>
      <c r="F139" t="s">
        <v>1294</v>
      </c>
    </row>
    <row r="140" spans="1:7" x14ac:dyDescent="0.3">
      <c r="A140" t="s">
        <v>713</v>
      </c>
      <c r="B140" t="s">
        <v>707</v>
      </c>
      <c r="C140" t="s">
        <v>537</v>
      </c>
      <c r="D140" s="69" t="s">
        <v>1151</v>
      </c>
      <c r="E140" s="72">
        <v>50</v>
      </c>
      <c r="F140" t="s">
        <v>1295</v>
      </c>
    </row>
    <row r="141" spans="1:7" x14ac:dyDescent="0.3">
      <c r="A141" t="s">
        <v>713</v>
      </c>
      <c r="B141" t="s">
        <v>707</v>
      </c>
      <c r="C141" t="s">
        <v>537</v>
      </c>
      <c r="D141" s="69" t="s">
        <v>1123</v>
      </c>
      <c r="E141" s="72" t="s">
        <v>1124</v>
      </c>
      <c r="F141" t="s">
        <v>1296</v>
      </c>
      <c r="G141" s="69" t="s">
        <v>1126</v>
      </c>
    </row>
    <row r="142" spans="1:7" x14ac:dyDescent="0.3">
      <c r="A142" t="s">
        <v>716</v>
      </c>
      <c r="B142" t="s">
        <v>707</v>
      </c>
      <c r="C142" t="s">
        <v>537</v>
      </c>
      <c r="D142" s="69" t="s">
        <v>1297</v>
      </c>
      <c r="E142" s="72">
        <v>0</v>
      </c>
      <c r="F142" t="s">
        <v>1298</v>
      </c>
    </row>
    <row r="143" spans="1:7" x14ac:dyDescent="0.3">
      <c r="A143" t="s">
        <v>716</v>
      </c>
      <c r="B143" t="s">
        <v>707</v>
      </c>
      <c r="C143" t="s">
        <v>537</v>
      </c>
      <c r="D143" s="69" t="s">
        <v>1299</v>
      </c>
      <c r="E143" s="72">
        <v>75</v>
      </c>
      <c r="F143" t="s">
        <v>1300</v>
      </c>
    </row>
    <row r="144" spans="1:7" x14ac:dyDescent="0.3">
      <c r="A144" t="s">
        <v>716</v>
      </c>
      <c r="B144" t="s">
        <v>707</v>
      </c>
      <c r="C144" t="s">
        <v>537</v>
      </c>
      <c r="D144" s="69" t="s">
        <v>1301</v>
      </c>
      <c r="E144" s="72">
        <v>100</v>
      </c>
      <c r="F144" t="s">
        <v>1302</v>
      </c>
    </row>
    <row r="145" spans="1:7" x14ac:dyDescent="0.3">
      <c r="A145" t="s">
        <v>716</v>
      </c>
      <c r="B145" t="s">
        <v>707</v>
      </c>
      <c r="C145" t="s">
        <v>537</v>
      </c>
      <c r="D145" s="69" t="s">
        <v>1303</v>
      </c>
      <c r="E145" s="72">
        <v>0</v>
      </c>
      <c r="F145" t="s">
        <v>1304</v>
      </c>
    </row>
    <row r="146" spans="1:7" x14ac:dyDescent="0.3">
      <c r="A146" t="s">
        <v>721</v>
      </c>
      <c r="B146" t="s">
        <v>722</v>
      </c>
      <c r="C146" t="s">
        <v>640</v>
      </c>
      <c r="D146" s="69" t="s">
        <v>1166</v>
      </c>
      <c r="E146" s="72"/>
      <c r="G146" s="69" t="s">
        <v>1167</v>
      </c>
    </row>
    <row r="147" spans="1:7" x14ac:dyDescent="0.3">
      <c r="A147" t="s">
        <v>725</v>
      </c>
      <c r="B147" t="s">
        <v>722</v>
      </c>
      <c r="C147" t="s">
        <v>640</v>
      </c>
      <c r="D147" s="69" t="s">
        <v>1166</v>
      </c>
      <c r="E147" s="72"/>
      <c r="G147" s="69" t="s">
        <v>1167</v>
      </c>
    </row>
    <row r="148" spans="1:7" x14ac:dyDescent="0.3">
      <c r="A148" t="s">
        <v>727</v>
      </c>
      <c r="B148" t="s">
        <v>722</v>
      </c>
      <c r="C148" t="s">
        <v>537</v>
      </c>
      <c r="D148" s="69" t="s">
        <v>1305</v>
      </c>
      <c r="E148" s="72">
        <v>0</v>
      </c>
      <c r="F148" t="s">
        <v>1306</v>
      </c>
    </row>
    <row r="149" spans="1:7" x14ac:dyDescent="0.3">
      <c r="A149" t="s">
        <v>727</v>
      </c>
      <c r="B149" t="s">
        <v>722</v>
      </c>
      <c r="C149" t="s">
        <v>537</v>
      </c>
      <c r="D149" s="69" t="s">
        <v>1307</v>
      </c>
      <c r="E149" s="72">
        <v>50</v>
      </c>
      <c r="F149" t="s">
        <v>1308</v>
      </c>
    </row>
    <row r="150" spans="1:7" x14ac:dyDescent="0.3">
      <c r="A150" t="s">
        <v>727</v>
      </c>
      <c r="B150" t="s">
        <v>722</v>
      </c>
      <c r="C150" t="s">
        <v>537</v>
      </c>
      <c r="D150" s="69" t="s">
        <v>1309</v>
      </c>
      <c r="E150" s="72">
        <v>100</v>
      </c>
      <c r="F150" t="s">
        <v>1310</v>
      </c>
    </row>
    <row r="151" spans="1:7" x14ac:dyDescent="0.3">
      <c r="A151" t="s">
        <v>730</v>
      </c>
      <c r="B151" t="s">
        <v>722</v>
      </c>
      <c r="C151" t="s">
        <v>537</v>
      </c>
      <c r="D151" s="69" t="s">
        <v>1311</v>
      </c>
      <c r="E151" s="72" t="s">
        <v>1124</v>
      </c>
      <c r="F151" t="s">
        <v>1312</v>
      </c>
      <c r="G151" s="69" t="s">
        <v>1126</v>
      </c>
    </row>
    <row r="152" spans="1:7" x14ac:dyDescent="0.3">
      <c r="A152" t="s">
        <v>730</v>
      </c>
      <c r="B152" t="s">
        <v>722</v>
      </c>
      <c r="C152" t="s">
        <v>537</v>
      </c>
      <c r="D152" s="69" t="s">
        <v>1313</v>
      </c>
      <c r="E152" s="72">
        <v>0</v>
      </c>
      <c r="F152" t="s">
        <v>1314</v>
      </c>
    </row>
    <row r="153" spans="1:7" x14ac:dyDescent="0.3">
      <c r="A153" t="s">
        <v>730</v>
      </c>
      <c r="B153" t="s">
        <v>722</v>
      </c>
      <c r="C153" t="s">
        <v>537</v>
      </c>
      <c r="D153" s="69" t="s">
        <v>1315</v>
      </c>
      <c r="E153" s="72">
        <v>50</v>
      </c>
      <c r="F153" t="s">
        <v>1316</v>
      </c>
    </row>
    <row r="154" spans="1:7" x14ac:dyDescent="0.3">
      <c r="A154" t="s">
        <v>730</v>
      </c>
      <c r="B154" t="s">
        <v>722</v>
      </c>
      <c r="C154" t="s">
        <v>537</v>
      </c>
      <c r="D154" s="69" t="s">
        <v>1317</v>
      </c>
      <c r="E154" s="72">
        <v>100</v>
      </c>
      <c r="F154" t="s">
        <v>1318</v>
      </c>
    </row>
    <row r="155" spans="1:7" x14ac:dyDescent="0.3">
      <c r="A155" t="s">
        <v>733</v>
      </c>
      <c r="B155" t="s">
        <v>722</v>
      </c>
      <c r="C155" t="s">
        <v>550</v>
      </c>
      <c r="D155" s="69" t="s">
        <v>1117</v>
      </c>
      <c r="E155" s="72"/>
      <c r="G155" s="69" t="s">
        <v>1319</v>
      </c>
    </row>
    <row r="156" spans="1:7" x14ac:dyDescent="0.3">
      <c r="A156" t="s">
        <v>736</v>
      </c>
      <c r="B156" t="s">
        <v>722</v>
      </c>
      <c r="C156" t="s">
        <v>537</v>
      </c>
      <c r="D156" s="69" t="s">
        <v>1121</v>
      </c>
      <c r="E156" s="72">
        <v>0</v>
      </c>
      <c r="F156" t="s">
        <v>1320</v>
      </c>
    </row>
    <row r="157" spans="1:7" x14ac:dyDescent="0.3">
      <c r="A157" t="s">
        <v>736</v>
      </c>
      <c r="B157" t="s">
        <v>722</v>
      </c>
      <c r="C157" t="s">
        <v>537</v>
      </c>
      <c r="D157" s="69" t="s">
        <v>1321</v>
      </c>
      <c r="E157" s="72">
        <v>50</v>
      </c>
      <c r="F157" t="s">
        <v>1322</v>
      </c>
    </row>
    <row r="158" spans="1:7" x14ac:dyDescent="0.3">
      <c r="A158" t="s">
        <v>736</v>
      </c>
      <c r="B158" t="s">
        <v>722</v>
      </c>
      <c r="C158" t="s">
        <v>537</v>
      </c>
      <c r="D158" s="69" t="s">
        <v>1323</v>
      </c>
      <c r="E158" s="72">
        <v>100</v>
      </c>
      <c r="F158" t="s">
        <v>1324</v>
      </c>
    </row>
    <row r="159" spans="1:7" x14ac:dyDescent="0.3">
      <c r="A159" t="s">
        <v>739</v>
      </c>
      <c r="B159" t="s">
        <v>722</v>
      </c>
      <c r="C159" t="s">
        <v>537</v>
      </c>
      <c r="D159" s="69" t="s">
        <v>1121</v>
      </c>
      <c r="E159" s="72">
        <v>0</v>
      </c>
      <c r="F159" t="s">
        <v>1325</v>
      </c>
    </row>
    <row r="160" spans="1:7" x14ac:dyDescent="0.3">
      <c r="A160" t="s">
        <v>739</v>
      </c>
      <c r="B160" t="s">
        <v>722</v>
      </c>
      <c r="C160" t="s">
        <v>537</v>
      </c>
      <c r="D160" s="69" t="s">
        <v>1326</v>
      </c>
      <c r="E160" s="72">
        <v>50</v>
      </c>
      <c r="F160" t="s">
        <v>1327</v>
      </c>
    </row>
    <row r="161" spans="1:6" x14ac:dyDescent="0.3">
      <c r="A161" t="s">
        <v>739</v>
      </c>
      <c r="B161" t="s">
        <v>722</v>
      </c>
      <c r="C161" t="s">
        <v>537</v>
      </c>
      <c r="D161" s="69" t="s">
        <v>1328</v>
      </c>
      <c r="E161" s="72">
        <v>100</v>
      </c>
      <c r="F161" t="s">
        <v>1329</v>
      </c>
    </row>
    <row r="162" spans="1:6" x14ac:dyDescent="0.3">
      <c r="A162" t="s">
        <v>742</v>
      </c>
      <c r="B162" t="s">
        <v>722</v>
      </c>
      <c r="C162" t="s">
        <v>537</v>
      </c>
      <c r="D162" s="69" t="s">
        <v>1330</v>
      </c>
      <c r="E162" s="72">
        <v>0</v>
      </c>
      <c r="F162" t="s">
        <v>1331</v>
      </c>
    </row>
    <row r="163" spans="1:6" x14ac:dyDescent="0.3">
      <c r="A163" t="s">
        <v>742</v>
      </c>
      <c r="B163" t="s">
        <v>722</v>
      </c>
      <c r="C163" t="s">
        <v>537</v>
      </c>
      <c r="D163" s="69" t="s">
        <v>1332</v>
      </c>
      <c r="E163" s="72">
        <v>50</v>
      </c>
      <c r="F163" t="s">
        <v>1333</v>
      </c>
    </row>
    <row r="164" spans="1:6" x14ac:dyDescent="0.3">
      <c r="A164" t="s">
        <v>742</v>
      </c>
      <c r="B164" t="s">
        <v>722</v>
      </c>
      <c r="C164" t="s">
        <v>537</v>
      </c>
      <c r="D164" s="69" t="s">
        <v>1334</v>
      </c>
      <c r="E164" s="72">
        <v>100</v>
      </c>
      <c r="F164" t="s">
        <v>1335</v>
      </c>
    </row>
    <row r="165" spans="1:6" x14ac:dyDescent="0.3">
      <c r="A165" t="s">
        <v>745</v>
      </c>
      <c r="B165" t="s">
        <v>722</v>
      </c>
      <c r="C165" t="s">
        <v>537</v>
      </c>
      <c r="D165" s="69" t="s">
        <v>1121</v>
      </c>
      <c r="E165" s="72">
        <v>0</v>
      </c>
      <c r="F165" t="s">
        <v>1336</v>
      </c>
    </row>
    <row r="166" spans="1:6" x14ac:dyDescent="0.3">
      <c r="A166" t="s">
        <v>745</v>
      </c>
      <c r="B166" t="s">
        <v>722</v>
      </c>
      <c r="C166" t="s">
        <v>537</v>
      </c>
      <c r="D166" s="69" t="s">
        <v>1337</v>
      </c>
      <c r="E166" s="72">
        <v>50</v>
      </c>
      <c r="F166" t="s">
        <v>1338</v>
      </c>
    </row>
    <row r="167" spans="1:6" x14ac:dyDescent="0.3">
      <c r="A167" t="s">
        <v>745</v>
      </c>
      <c r="B167" t="s">
        <v>722</v>
      </c>
      <c r="C167" t="s">
        <v>537</v>
      </c>
      <c r="D167" s="69" t="s">
        <v>1339</v>
      </c>
      <c r="E167" s="72">
        <v>100</v>
      </c>
      <c r="F167" t="s">
        <v>1340</v>
      </c>
    </row>
    <row r="168" spans="1:6" x14ac:dyDescent="0.3">
      <c r="A168" t="s">
        <v>749</v>
      </c>
      <c r="B168" t="s">
        <v>750</v>
      </c>
      <c r="C168" t="s">
        <v>537</v>
      </c>
      <c r="D168" s="69" t="s">
        <v>1121</v>
      </c>
      <c r="E168" s="72">
        <v>0</v>
      </c>
      <c r="F168" t="s">
        <v>1341</v>
      </c>
    </row>
    <row r="169" spans="1:6" x14ac:dyDescent="0.3">
      <c r="A169" t="s">
        <v>749</v>
      </c>
      <c r="B169" t="s">
        <v>750</v>
      </c>
      <c r="C169" t="s">
        <v>537</v>
      </c>
      <c r="D169" s="69" t="s">
        <v>1342</v>
      </c>
      <c r="E169" s="72">
        <v>33</v>
      </c>
      <c r="F169" t="s">
        <v>1343</v>
      </c>
    </row>
    <row r="170" spans="1:6" x14ac:dyDescent="0.3">
      <c r="A170" t="s">
        <v>749</v>
      </c>
      <c r="B170" t="s">
        <v>750</v>
      </c>
      <c r="C170" t="s">
        <v>537</v>
      </c>
      <c r="D170" s="69" t="s">
        <v>1344</v>
      </c>
      <c r="E170" s="72">
        <v>67</v>
      </c>
      <c r="F170" t="s">
        <v>1345</v>
      </c>
    </row>
    <row r="171" spans="1:6" x14ac:dyDescent="0.3">
      <c r="A171" t="s">
        <v>749</v>
      </c>
      <c r="B171" t="s">
        <v>750</v>
      </c>
      <c r="C171" t="s">
        <v>537</v>
      </c>
      <c r="D171" s="69" t="s">
        <v>1346</v>
      </c>
      <c r="E171" s="72">
        <v>100</v>
      </c>
      <c r="F171" t="s">
        <v>1347</v>
      </c>
    </row>
    <row r="172" spans="1:6" x14ac:dyDescent="0.3">
      <c r="A172" t="s">
        <v>754</v>
      </c>
      <c r="B172" t="s">
        <v>750</v>
      </c>
      <c r="C172" t="s">
        <v>537</v>
      </c>
      <c r="D172" s="69" t="s">
        <v>1262</v>
      </c>
      <c r="E172" s="72">
        <v>0</v>
      </c>
      <c r="F172" t="s">
        <v>1348</v>
      </c>
    </row>
    <row r="173" spans="1:6" x14ac:dyDescent="0.3">
      <c r="A173" t="s">
        <v>754</v>
      </c>
      <c r="B173" t="s">
        <v>750</v>
      </c>
      <c r="C173" t="s">
        <v>537</v>
      </c>
      <c r="D173" s="69" t="s">
        <v>1349</v>
      </c>
      <c r="E173" s="72">
        <v>33</v>
      </c>
      <c r="F173" t="s">
        <v>1350</v>
      </c>
    </row>
    <row r="174" spans="1:6" x14ac:dyDescent="0.3">
      <c r="A174" t="s">
        <v>754</v>
      </c>
      <c r="B174" t="s">
        <v>750</v>
      </c>
      <c r="C174" t="s">
        <v>537</v>
      </c>
      <c r="D174" s="69" t="s">
        <v>1351</v>
      </c>
      <c r="E174" s="72">
        <v>67</v>
      </c>
      <c r="F174" t="s">
        <v>1352</v>
      </c>
    </row>
    <row r="175" spans="1:6" x14ac:dyDescent="0.3">
      <c r="A175" t="s">
        <v>754</v>
      </c>
      <c r="B175" t="s">
        <v>750</v>
      </c>
      <c r="C175" t="s">
        <v>537</v>
      </c>
      <c r="D175" s="69" t="s">
        <v>1353</v>
      </c>
      <c r="E175" s="72">
        <v>100</v>
      </c>
      <c r="F175" t="s">
        <v>1354</v>
      </c>
    </row>
    <row r="176" spans="1:6" x14ac:dyDescent="0.3">
      <c r="A176" t="s">
        <v>757</v>
      </c>
      <c r="B176" t="s">
        <v>750</v>
      </c>
      <c r="C176" t="s">
        <v>537</v>
      </c>
      <c r="D176" s="69" t="s">
        <v>1355</v>
      </c>
      <c r="E176" s="72">
        <v>25</v>
      </c>
      <c r="F176" t="s">
        <v>1356</v>
      </c>
    </row>
    <row r="177" spans="1:6" x14ac:dyDescent="0.3">
      <c r="A177" t="s">
        <v>757</v>
      </c>
      <c r="B177" t="s">
        <v>750</v>
      </c>
      <c r="C177" t="s">
        <v>537</v>
      </c>
      <c r="D177" s="69" t="s">
        <v>1357</v>
      </c>
      <c r="E177" s="72">
        <v>50</v>
      </c>
      <c r="F177" t="s">
        <v>1358</v>
      </c>
    </row>
    <row r="178" spans="1:6" x14ac:dyDescent="0.3">
      <c r="A178" t="s">
        <v>757</v>
      </c>
      <c r="B178" t="s">
        <v>750</v>
      </c>
      <c r="C178" t="s">
        <v>537</v>
      </c>
      <c r="D178" s="69" t="s">
        <v>1359</v>
      </c>
      <c r="E178" s="72">
        <v>75</v>
      </c>
      <c r="F178" t="s">
        <v>1360</v>
      </c>
    </row>
    <row r="179" spans="1:6" x14ac:dyDescent="0.3">
      <c r="A179" t="s">
        <v>757</v>
      </c>
      <c r="B179" t="s">
        <v>750</v>
      </c>
      <c r="C179" t="s">
        <v>537</v>
      </c>
      <c r="D179" s="69" t="s">
        <v>1361</v>
      </c>
      <c r="E179" s="72">
        <v>100</v>
      </c>
      <c r="F179" t="s">
        <v>1362</v>
      </c>
    </row>
    <row r="180" spans="1:6" x14ac:dyDescent="0.3">
      <c r="A180" t="s">
        <v>760</v>
      </c>
      <c r="B180" t="s">
        <v>750</v>
      </c>
      <c r="C180" t="s">
        <v>537</v>
      </c>
      <c r="D180" s="69" t="s">
        <v>1363</v>
      </c>
      <c r="E180" s="72">
        <v>0</v>
      </c>
      <c r="F180" t="s">
        <v>1364</v>
      </c>
    </row>
    <row r="181" spans="1:6" x14ac:dyDescent="0.3">
      <c r="A181" t="s">
        <v>760</v>
      </c>
      <c r="B181" t="s">
        <v>750</v>
      </c>
      <c r="C181" t="s">
        <v>537</v>
      </c>
      <c r="D181" s="69" t="s">
        <v>1365</v>
      </c>
      <c r="E181" s="72">
        <v>50</v>
      </c>
      <c r="F181" t="s">
        <v>1366</v>
      </c>
    </row>
    <row r="182" spans="1:6" x14ac:dyDescent="0.3">
      <c r="A182" t="s">
        <v>760</v>
      </c>
      <c r="B182" t="s">
        <v>750</v>
      </c>
      <c r="C182" t="s">
        <v>537</v>
      </c>
      <c r="D182" s="69" t="s">
        <v>1367</v>
      </c>
      <c r="E182" s="72">
        <v>100</v>
      </c>
      <c r="F182" t="s">
        <v>1368</v>
      </c>
    </row>
    <row r="183" spans="1:6" x14ac:dyDescent="0.3">
      <c r="A183" t="s">
        <v>763</v>
      </c>
      <c r="B183" t="s">
        <v>750</v>
      </c>
      <c r="C183" t="s">
        <v>537</v>
      </c>
      <c r="D183" s="69" t="s">
        <v>1369</v>
      </c>
      <c r="E183" s="72">
        <v>0</v>
      </c>
      <c r="F183" t="s">
        <v>1370</v>
      </c>
    </row>
    <row r="184" spans="1:6" x14ac:dyDescent="0.3">
      <c r="A184" t="s">
        <v>763</v>
      </c>
      <c r="B184" t="s">
        <v>750</v>
      </c>
      <c r="C184" t="s">
        <v>537</v>
      </c>
      <c r="D184" s="69" t="s">
        <v>1371</v>
      </c>
      <c r="E184" s="72">
        <v>50</v>
      </c>
      <c r="F184" t="s">
        <v>1372</v>
      </c>
    </row>
    <row r="185" spans="1:6" x14ac:dyDescent="0.3">
      <c r="A185" t="s">
        <v>763</v>
      </c>
      <c r="B185" t="s">
        <v>750</v>
      </c>
      <c r="C185" t="s">
        <v>537</v>
      </c>
      <c r="D185" s="69" t="s">
        <v>1373</v>
      </c>
      <c r="E185" s="72">
        <v>100</v>
      </c>
      <c r="F185" t="s">
        <v>1374</v>
      </c>
    </row>
    <row r="186" spans="1:6" x14ac:dyDescent="0.3">
      <c r="A186" t="s">
        <v>766</v>
      </c>
      <c r="B186" t="s">
        <v>750</v>
      </c>
      <c r="C186" t="s">
        <v>537</v>
      </c>
      <c r="D186" s="69" t="s">
        <v>1375</v>
      </c>
      <c r="E186" s="72">
        <v>0</v>
      </c>
      <c r="F186" t="s">
        <v>1376</v>
      </c>
    </row>
    <row r="187" spans="1:6" x14ac:dyDescent="0.3">
      <c r="A187" t="s">
        <v>766</v>
      </c>
      <c r="B187" t="s">
        <v>750</v>
      </c>
      <c r="C187" t="s">
        <v>537</v>
      </c>
      <c r="D187" s="69" t="s">
        <v>1377</v>
      </c>
      <c r="E187" s="72">
        <v>25</v>
      </c>
      <c r="F187" t="s">
        <v>1378</v>
      </c>
    </row>
    <row r="188" spans="1:6" x14ac:dyDescent="0.3">
      <c r="A188" t="s">
        <v>766</v>
      </c>
      <c r="B188" t="s">
        <v>750</v>
      </c>
      <c r="C188" t="s">
        <v>537</v>
      </c>
      <c r="D188" s="69" t="s">
        <v>1379</v>
      </c>
      <c r="E188" s="72">
        <v>50</v>
      </c>
      <c r="F188" t="s">
        <v>1380</v>
      </c>
    </row>
    <row r="189" spans="1:6" x14ac:dyDescent="0.3">
      <c r="A189" t="s">
        <v>766</v>
      </c>
      <c r="B189" t="s">
        <v>750</v>
      </c>
      <c r="C189" t="s">
        <v>537</v>
      </c>
      <c r="D189" s="69" t="s">
        <v>1381</v>
      </c>
      <c r="E189" s="72">
        <v>100</v>
      </c>
      <c r="F189" t="s">
        <v>1382</v>
      </c>
    </row>
    <row r="190" spans="1:6" x14ac:dyDescent="0.3">
      <c r="A190" t="s">
        <v>769</v>
      </c>
      <c r="B190" t="s">
        <v>750</v>
      </c>
      <c r="C190" t="s">
        <v>537</v>
      </c>
      <c r="D190" s="69" t="s">
        <v>1383</v>
      </c>
      <c r="E190" s="72">
        <v>0</v>
      </c>
      <c r="F190" t="s">
        <v>1384</v>
      </c>
    </row>
    <row r="191" spans="1:6" x14ac:dyDescent="0.3">
      <c r="A191" t="s">
        <v>769</v>
      </c>
      <c r="B191" t="s">
        <v>750</v>
      </c>
      <c r="C191" t="s">
        <v>537</v>
      </c>
      <c r="D191" s="69" t="s">
        <v>1385</v>
      </c>
      <c r="E191" s="72">
        <v>33</v>
      </c>
      <c r="F191" t="s">
        <v>1386</v>
      </c>
    </row>
    <row r="192" spans="1:6" x14ac:dyDescent="0.3">
      <c r="A192" t="s">
        <v>769</v>
      </c>
      <c r="B192" t="s">
        <v>750</v>
      </c>
      <c r="C192" t="s">
        <v>537</v>
      </c>
      <c r="D192" s="69" t="s">
        <v>1387</v>
      </c>
      <c r="E192" s="72">
        <v>67</v>
      </c>
      <c r="F192" t="s">
        <v>1388</v>
      </c>
    </row>
    <row r="193" spans="1:7" x14ac:dyDescent="0.3">
      <c r="A193" t="s">
        <v>769</v>
      </c>
      <c r="B193" t="s">
        <v>750</v>
      </c>
      <c r="C193" t="s">
        <v>537</v>
      </c>
      <c r="D193" s="69" t="s">
        <v>1389</v>
      </c>
      <c r="E193" s="72">
        <v>100</v>
      </c>
      <c r="F193" t="s">
        <v>1390</v>
      </c>
    </row>
    <row r="194" spans="1:7" x14ac:dyDescent="0.3">
      <c r="A194" t="s">
        <v>772</v>
      </c>
      <c r="B194" t="s">
        <v>750</v>
      </c>
      <c r="C194" t="s">
        <v>537</v>
      </c>
      <c r="D194" s="69" t="s">
        <v>1391</v>
      </c>
      <c r="E194" s="72">
        <v>50</v>
      </c>
      <c r="F194" t="s">
        <v>1392</v>
      </c>
      <c r="G194" s="69" t="s">
        <v>1128</v>
      </c>
    </row>
    <row r="195" spans="1:7" x14ac:dyDescent="0.3">
      <c r="A195" t="s">
        <v>772</v>
      </c>
      <c r="B195" t="s">
        <v>750</v>
      </c>
      <c r="C195" t="s">
        <v>537</v>
      </c>
      <c r="D195" s="69" t="s">
        <v>1393</v>
      </c>
      <c r="E195" s="72">
        <v>50</v>
      </c>
      <c r="F195" t="s">
        <v>1394</v>
      </c>
      <c r="G195" s="69" t="s">
        <v>1128</v>
      </c>
    </row>
    <row r="196" spans="1:7" x14ac:dyDescent="0.3">
      <c r="A196" t="s">
        <v>772</v>
      </c>
      <c r="B196" t="s">
        <v>750</v>
      </c>
      <c r="C196" t="s">
        <v>537</v>
      </c>
      <c r="D196" s="69" t="s">
        <v>1395</v>
      </c>
      <c r="E196" s="72">
        <v>50</v>
      </c>
      <c r="F196" t="s">
        <v>1396</v>
      </c>
      <c r="G196" s="69" t="s">
        <v>1128</v>
      </c>
    </row>
    <row r="197" spans="1:7" x14ac:dyDescent="0.3">
      <c r="A197" t="s">
        <v>772</v>
      </c>
      <c r="B197" t="s">
        <v>750</v>
      </c>
      <c r="C197" t="s">
        <v>537</v>
      </c>
      <c r="D197" s="69" t="s">
        <v>1397</v>
      </c>
      <c r="E197" s="72">
        <v>0</v>
      </c>
      <c r="F197" t="s">
        <v>1398</v>
      </c>
      <c r="G197" s="69" t="s">
        <v>1128</v>
      </c>
    </row>
    <row r="198" spans="1:7" x14ac:dyDescent="0.3">
      <c r="A198" t="s">
        <v>772</v>
      </c>
      <c r="B198" t="s">
        <v>750</v>
      </c>
      <c r="C198" t="s">
        <v>537</v>
      </c>
      <c r="D198" s="69" t="s">
        <v>1399</v>
      </c>
      <c r="E198" s="72">
        <v>50</v>
      </c>
      <c r="F198" t="s">
        <v>1400</v>
      </c>
      <c r="G198" s="69" t="s">
        <v>1128</v>
      </c>
    </row>
    <row r="199" spans="1:7" x14ac:dyDescent="0.3">
      <c r="A199" t="s">
        <v>772</v>
      </c>
      <c r="B199" t="s">
        <v>750</v>
      </c>
      <c r="C199" t="s">
        <v>537</v>
      </c>
      <c r="D199" s="69" t="s">
        <v>1401</v>
      </c>
      <c r="E199" s="72">
        <v>100</v>
      </c>
      <c r="F199" t="s">
        <v>1402</v>
      </c>
      <c r="G199" s="69" t="s">
        <v>1128</v>
      </c>
    </row>
    <row r="200" spans="1:7" x14ac:dyDescent="0.3">
      <c r="A200" t="s">
        <v>775</v>
      </c>
      <c r="B200" t="s">
        <v>750</v>
      </c>
      <c r="C200" t="s">
        <v>537</v>
      </c>
      <c r="D200" s="69" t="s">
        <v>1403</v>
      </c>
      <c r="E200" s="72">
        <v>100</v>
      </c>
      <c r="F200" t="s">
        <v>1404</v>
      </c>
    </row>
    <row r="201" spans="1:7" x14ac:dyDescent="0.3">
      <c r="A201" t="s">
        <v>775</v>
      </c>
      <c r="B201" t="s">
        <v>750</v>
      </c>
      <c r="C201" t="s">
        <v>537</v>
      </c>
      <c r="D201" s="69" t="s">
        <v>1405</v>
      </c>
      <c r="E201" s="72">
        <v>50</v>
      </c>
      <c r="F201" t="s">
        <v>1406</v>
      </c>
    </row>
    <row r="202" spans="1:7" x14ac:dyDescent="0.3">
      <c r="A202" t="s">
        <v>775</v>
      </c>
      <c r="B202" t="s">
        <v>750</v>
      </c>
      <c r="C202" t="s">
        <v>537</v>
      </c>
      <c r="D202" s="69" t="s">
        <v>1121</v>
      </c>
      <c r="E202" s="72">
        <v>0</v>
      </c>
      <c r="F202" t="s">
        <v>1407</v>
      </c>
    </row>
    <row r="203" spans="1:7" x14ac:dyDescent="0.3">
      <c r="A203" t="s">
        <v>775</v>
      </c>
      <c r="B203" t="s">
        <v>750</v>
      </c>
      <c r="C203" t="s">
        <v>537</v>
      </c>
      <c r="D203" s="69" t="s">
        <v>1123</v>
      </c>
      <c r="E203" s="72" t="s">
        <v>1124</v>
      </c>
      <c r="F203" t="s">
        <v>1408</v>
      </c>
      <c r="G203" s="69" t="s">
        <v>1126</v>
      </c>
    </row>
    <row r="204" spans="1:7" x14ac:dyDescent="0.3">
      <c r="A204" t="s">
        <v>779</v>
      </c>
      <c r="B204" t="s">
        <v>780</v>
      </c>
      <c r="C204" t="s">
        <v>537</v>
      </c>
      <c r="D204" s="69" t="s">
        <v>1409</v>
      </c>
      <c r="E204" s="72">
        <v>0</v>
      </c>
      <c r="F204" t="s">
        <v>1410</v>
      </c>
    </row>
    <row r="205" spans="1:7" x14ac:dyDescent="0.3">
      <c r="A205" t="s">
        <v>779</v>
      </c>
      <c r="B205" t="s">
        <v>780</v>
      </c>
      <c r="C205" t="s">
        <v>537</v>
      </c>
      <c r="D205" s="69" t="s">
        <v>1411</v>
      </c>
      <c r="E205" s="72">
        <v>50</v>
      </c>
      <c r="F205" t="s">
        <v>1412</v>
      </c>
    </row>
    <row r="206" spans="1:7" x14ac:dyDescent="0.3">
      <c r="A206" t="s">
        <v>779</v>
      </c>
      <c r="B206" t="s">
        <v>780</v>
      </c>
      <c r="C206" t="s">
        <v>537</v>
      </c>
      <c r="D206" s="69" t="s">
        <v>1413</v>
      </c>
      <c r="E206" s="72">
        <v>100</v>
      </c>
      <c r="F206" t="s">
        <v>1414</v>
      </c>
    </row>
    <row r="207" spans="1:7" x14ac:dyDescent="0.3">
      <c r="A207" t="s">
        <v>784</v>
      </c>
      <c r="B207" t="s">
        <v>780</v>
      </c>
      <c r="C207" t="s">
        <v>537</v>
      </c>
      <c r="D207" s="69" t="s">
        <v>1119</v>
      </c>
      <c r="E207" s="72">
        <v>100</v>
      </c>
      <c r="F207" t="s">
        <v>1415</v>
      </c>
    </row>
    <row r="208" spans="1:7" x14ac:dyDescent="0.3">
      <c r="A208" t="s">
        <v>784</v>
      </c>
      <c r="B208" t="s">
        <v>780</v>
      </c>
      <c r="C208" t="s">
        <v>537</v>
      </c>
      <c r="D208" s="69" t="s">
        <v>1121</v>
      </c>
      <c r="E208" s="72">
        <v>0</v>
      </c>
      <c r="F208" t="s">
        <v>1416</v>
      </c>
    </row>
    <row r="209" spans="1:7" x14ac:dyDescent="0.3">
      <c r="A209" t="s">
        <v>786</v>
      </c>
      <c r="B209" t="s">
        <v>780</v>
      </c>
      <c r="C209" t="s">
        <v>537</v>
      </c>
      <c r="D209" s="69" t="s">
        <v>1123</v>
      </c>
      <c r="E209" s="72" t="s">
        <v>1124</v>
      </c>
      <c r="F209" t="s">
        <v>1417</v>
      </c>
      <c r="G209" s="69" t="s">
        <v>1131</v>
      </c>
    </row>
    <row r="210" spans="1:7" x14ac:dyDescent="0.3">
      <c r="A210" t="s">
        <v>786</v>
      </c>
      <c r="B210" t="s">
        <v>780</v>
      </c>
      <c r="C210" t="s">
        <v>537</v>
      </c>
      <c r="D210" s="69" t="s">
        <v>1418</v>
      </c>
      <c r="E210" s="72">
        <v>33</v>
      </c>
      <c r="F210" t="s">
        <v>1419</v>
      </c>
      <c r="G210" s="69" t="s">
        <v>1128</v>
      </c>
    </row>
    <row r="211" spans="1:7" x14ac:dyDescent="0.3">
      <c r="A211" t="s">
        <v>786</v>
      </c>
      <c r="B211" t="s">
        <v>780</v>
      </c>
      <c r="C211" t="s">
        <v>537</v>
      </c>
      <c r="D211" s="69" t="s">
        <v>1420</v>
      </c>
      <c r="E211" s="72">
        <v>67</v>
      </c>
      <c r="F211" t="s">
        <v>1421</v>
      </c>
      <c r="G211" s="69" t="s">
        <v>1128</v>
      </c>
    </row>
    <row r="212" spans="1:7" x14ac:dyDescent="0.3">
      <c r="A212" t="s">
        <v>786</v>
      </c>
      <c r="B212" t="s">
        <v>780</v>
      </c>
      <c r="C212" t="s">
        <v>537</v>
      </c>
      <c r="D212" s="69" t="s">
        <v>1422</v>
      </c>
      <c r="E212" s="72">
        <v>100</v>
      </c>
      <c r="F212" t="s">
        <v>1423</v>
      </c>
      <c r="G212" s="69" t="s">
        <v>1128</v>
      </c>
    </row>
    <row r="213" spans="1:7" x14ac:dyDescent="0.3">
      <c r="A213" t="s">
        <v>789</v>
      </c>
      <c r="B213" t="s">
        <v>780</v>
      </c>
      <c r="C213" t="s">
        <v>537</v>
      </c>
      <c r="D213" s="69" t="s">
        <v>1424</v>
      </c>
      <c r="E213" s="72">
        <v>0</v>
      </c>
      <c r="F213" t="s">
        <v>1425</v>
      </c>
    </row>
    <row r="214" spans="1:7" x14ac:dyDescent="0.3">
      <c r="A214" t="s">
        <v>789</v>
      </c>
      <c r="B214" t="s">
        <v>780</v>
      </c>
      <c r="C214" t="s">
        <v>537</v>
      </c>
      <c r="D214" s="69" t="s">
        <v>1426</v>
      </c>
      <c r="E214" s="72">
        <v>33</v>
      </c>
      <c r="F214" t="s">
        <v>1427</v>
      </c>
    </row>
    <row r="215" spans="1:7" x14ac:dyDescent="0.3">
      <c r="A215" t="s">
        <v>789</v>
      </c>
      <c r="B215" t="s">
        <v>780</v>
      </c>
      <c r="C215" t="s">
        <v>537</v>
      </c>
      <c r="D215" s="69" t="s">
        <v>1428</v>
      </c>
      <c r="E215" s="72">
        <v>67</v>
      </c>
      <c r="F215" t="s">
        <v>1429</v>
      </c>
    </row>
    <row r="216" spans="1:7" x14ac:dyDescent="0.3">
      <c r="A216" t="s">
        <v>789</v>
      </c>
      <c r="B216" t="s">
        <v>780</v>
      </c>
      <c r="C216" t="s">
        <v>537</v>
      </c>
      <c r="D216" s="69" t="s">
        <v>1430</v>
      </c>
      <c r="E216" s="72">
        <v>100</v>
      </c>
      <c r="F216" t="s">
        <v>1431</v>
      </c>
    </row>
    <row r="217" spans="1:7" x14ac:dyDescent="0.3">
      <c r="A217" t="s">
        <v>792</v>
      </c>
      <c r="B217" t="s">
        <v>780</v>
      </c>
      <c r="C217" t="s">
        <v>537</v>
      </c>
      <c r="D217" s="69" t="s">
        <v>1117</v>
      </c>
      <c r="E217" s="72"/>
      <c r="G217" s="69" t="s">
        <v>1432</v>
      </c>
    </row>
    <row r="218" spans="1:7" x14ac:dyDescent="0.3">
      <c r="A218" t="s">
        <v>795</v>
      </c>
      <c r="B218" t="s">
        <v>780</v>
      </c>
      <c r="C218" t="s">
        <v>537</v>
      </c>
      <c r="D218" s="69" t="s">
        <v>1433</v>
      </c>
      <c r="E218" s="72">
        <v>100</v>
      </c>
      <c r="F218" t="s">
        <v>1434</v>
      </c>
    </row>
    <row r="219" spans="1:7" x14ac:dyDescent="0.3">
      <c r="A219" t="s">
        <v>795</v>
      </c>
      <c r="B219" t="s">
        <v>780</v>
      </c>
      <c r="C219" t="s">
        <v>537</v>
      </c>
      <c r="D219" s="69" t="s">
        <v>1435</v>
      </c>
      <c r="E219" s="72">
        <v>50</v>
      </c>
      <c r="F219" t="s">
        <v>1436</v>
      </c>
    </row>
    <row r="220" spans="1:7" x14ac:dyDescent="0.3">
      <c r="A220" t="s">
        <v>795</v>
      </c>
      <c r="B220" t="s">
        <v>780</v>
      </c>
      <c r="C220" t="s">
        <v>537</v>
      </c>
      <c r="D220" s="69" t="s">
        <v>1121</v>
      </c>
      <c r="E220" s="72">
        <v>0</v>
      </c>
      <c r="F220" t="s">
        <v>1437</v>
      </c>
    </row>
    <row r="221" spans="1:7" x14ac:dyDescent="0.3">
      <c r="A221" t="s">
        <v>795</v>
      </c>
      <c r="B221" t="s">
        <v>780</v>
      </c>
      <c r="C221" t="s">
        <v>537</v>
      </c>
      <c r="D221" s="69" t="s">
        <v>1123</v>
      </c>
      <c r="E221" s="72" t="s">
        <v>1124</v>
      </c>
      <c r="F221" t="s">
        <v>1438</v>
      </c>
      <c r="G221" s="69" t="s">
        <v>1126</v>
      </c>
    </row>
    <row r="222" spans="1:7" x14ac:dyDescent="0.3">
      <c r="A222" t="s">
        <v>799</v>
      </c>
      <c r="B222" t="s">
        <v>780</v>
      </c>
      <c r="C222" t="s">
        <v>537</v>
      </c>
      <c r="D222" s="69" t="s">
        <v>1439</v>
      </c>
      <c r="E222" s="72">
        <v>100</v>
      </c>
      <c r="F222" t="s">
        <v>1440</v>
      </c>
    </row>
    <row r="223" spans="1:7" x14ac:dyDescent="0.3">
      <c r="A223" t="s">
        <v>799</v>
      </c>
      <c r="B223" t="s">
        <v>780</v>
      </c>
      <c r="C223" t="s">
        <v>537</v>
      </c>
      <c r="D223" s="69" t="s">
        <v>1441</v>
      </c>
      <c r="E223" s="72">
        <v>50</v>
      </c>
      <c r="F223" t="s">
        <v>1442</v>
      </c>
    </row>
    <row r="224" spans="1:7" x14ac:dyDescent="0.3">
      <c r="A224" t="s">
        <v>799</v>
      </c>
      <c r="B224" t="s">
        <v>780</v>
      </c>
      <c r="C224" t="s">
        <v>537</v>
      </c>
      <c r="D224" s="69" t="s">
        <v>1443</v>
      </c>
      <c r="E224" s="72">
        <v>0</v>
      </c>
      <c r="F224" t="s">
        <v>1444</v>
      </c>
    </row>
    <row r="225" spans="1:7" x14ac:dyDescent="0.3">
      <c r="A225" t="s">
        <v>799</v>
      </c>
      <c r="B225" t="s">
        <v>780</v>
      </c>
      <c r="C225" t="s">
        <v>537</v>
      </c>
      <c r="D225" s="69" t="s">
        <v>1123</v>
      </c>
      <c r="E225" s="72" t="s">
        <v>1124</v>
      </c>
      <c r="F225" t="s">
        <v>1445</v>
      </c>
      <c r="G225" s="69" t="s">
        <v>1126</v>
      </c>
    </row>
    <row r="226" spans="1:7" x14ac:dyDescent="0.3">
      <c r="A226" t="s">
        <v>804</v>
      </c>
      <c r="B226" t="s">
        <v>805</v>
      </c>
      <c r="C226" t="s">
        <v>640</v>
      </c>
      <c r="D226" s="69" t="s">
        <v>1166</v>
      </c>
      <c r="E226" s="72"/>
      <c r="G226" s="69" t="s">
        <v>1167</v>
      </c>
    </row>
    <row r="227" spans="1:7" x14ac:dyDescent="0.3">
      <c r="A227" t="s">
        <v>808</v>
      </c>
      <c r="B227" t="s">
        <v>805</v>
      </c>
      <c r="C227" t="s">
        <v>546</v>
      </c>
      <c r="D227" s="69" t="s">
        <v>1168</v>
      </c>
      <c r="E227" s="72"/>
      <c r="G227" s="69" t="s">
        <v>1169</v>
      </c>
    </row>
    <row r="228" spans="1:7" x14ac:dyDescent="0.3">
      <c r="A228" t="s">
        <v>810</v>
      </c>
      <c r="B228" t="s">
        <v>805</v>
      </c>
      <c r="C228" t="s">
        <v>537</v>
      </c>
      <c r="D228" s="69" t="s">
        <v>1262</v>
      </c>
      <c r="E228" s="72">
        <v>0</v>
      </c>
      <c r="F228" t="s">
        <v>1446</v>
      </c>
    </row>
    <row r="229" spans="1:7" x14ac:dyDescent="0.3">
      <c r="A229" t="s">
        <v>810</v>
      </c>
      <c r="B229" t="s">
        <v>805</v>
      </c>
      <c r="C229" t="s">
        <v>537</v>
      </c>
      <c r="D229" s="69" t="s">
        <v>1447</v>
      </c>
      <c r="E229" s="72">
        <v>50</v>
      </c>
      <c r="F229" t="s">
        <v>1448</v>
      </c>
    </row>
    <row r="230" spans="1:7" x14ac:dyDescent="0.3">
      <c r="A230" t="s">
        <v>810</v>
      </c>
      <c r="B230" t="s">
        <v>805</v>
      </c>
      <c r="C230" t="s">
        <v>537</v>
      </c>
      <c r="D230" s="69" t="s">
        <v>1449</v>
      </c>
      <c r="E230" s="72">
        <v>100</v>
      </c>
      <c r="F230" t="s">
        <v>1450</v>
      </c>
    </row>
    <row r="231" spans="1:7" x14ac:dyDescent="0.3">
      <c r="A231" t="s">
        <v>813</v>
      </c>
      <c r="B231" t="s">
        <v>805</v>
      </c>
      <c r="C231" t="s">
        <v>537</v>
      </c>
      <c r="D231" s="69" t="s">
        <v>1451</v>
      </c>
      <c r="E231" s="72">
        <v>0</v>
      </c>
      <c r="F231" t="s">
        <v>1452</v>
      </c>
    </row>
    <row r="232" spans="1:7" x14ac:dyDescent="0.3">
      <c r="A232" t="s">
        <v>813</v>
      </c>
      <c r="B232" t="s">
        <v>805</v>
      </c>
      <c r="C232" t="s">
        <v>537</v>
      </c>
      <c r="D232" s="69" t="s">
        <v>1453</v>
      </c>
      <c r="E232" s="72">
        <v>50</v>
      </c>
      <c r="F232" t="s">
        <v>1454</v>
      </c>
    </row>
    <row r="233" spans="1:7" x14ac:dyDescent="0.3">
      <c r="A233" t="s">
        <v>813</v>
      </c>
      <c r="B233" t="s">
        <v>805</v>
      </c>
      <c r="C233" t="s">
        <v>537</v>
      </c>
      <c r="D233" s="69" t="s">
        <v>1455</v>
      </c>
      <c r="E233" s="72">
        <v>100</v>
      </c>
      <c r="F233" t="s">
        <v>1456</v>
      </c>
    </row>
    <row r="234" spans="1:7" x14ac:dyDescent="0.3">
      <c r="A234" t="s">
        <v>817</v>
      </c>
      <c r="B234" t="s">
        <v>818</v>
      </c>
      <c r="C234" t="s">
        <v>537</v>
      </c>
      <c r="D234" s="69" t="s">
        <v>1457</v>
      </c>
      <c r="E234" s="72">
        <v>0</v>
      </c>
      <c r="F234" t="s">
        <v>1458</v>
      </c>
    </row>
    <row r="235" spans="1:7" x14ac:dyDescent="0.3">
      <c r="A235" t="s">
        <v>817</v>
      </c>
      <c r="B235" t="s">
        <v>818</v>
      </c>
      <c r="C235" t="s">
        <v>537</v>
      </c>
      <c r="D235" s="69" t="s">
        <v>1459</v>
      </c>
      <c r="E235" s="72">
        <v>50</v>
      </c>
      <c r="F235" t="s">
        <v>1460</v>
      </c>
    </row>
    <row r="236" spans="1:7" x14ac:dyDescent="0.3">
      <c r="A236" t="s">
        <v>817</v>
      </c>
      <c r="B236" t="s">
        <v>818</v>
      </c>
      <c r="C236" t="s">
        <v>537</v>
      </c>
      <c r="D236" s="69" t="s">
        <v>1461</v>
      </c>
      <c r="E236" s="72">
        <v>100</v>
      </c>
      <c r="F236" t="s">
        <v>1462</v>
      </c>
    </row>
    <row r="237" spans="1:7" x14ac:dyDescent="0.3">
      <c r="A237" t="s">
        <v>817</v>
      </c>
      <c r="B237" t="s">
        <v>818</v>
      </c>
      <c r="C237" t="s">
        <v>537</v>
      </c>
      <c r="D237" s="69" t="s">
        <v>1463</v>
      </c>
      <c r="E237" s="72" t="s">
        <v>1124</v>
      </c>
      <c r="F237" t="s">
        <v>1464</v>
      </c>
      <c r="G237" s="69" t="s">
        <v>1126</v>
      </c>
    </row>
    <row r="238" spans="1:7" x14ac:dyDescent="0.3">
      <c r="A238" t="s">
        <v>822</v>
      </c>
      <c r="B238" t="s">
        <v>818</v>
      </c>
      <c r="C238" t="s">
        <v>537</v>
      </c>
      <c r="D238" s="69" t="s">
        <v>1465</v>
      </c>
      <c r="E238" s="72">
        <v>33</v>
      </c>
      <c r="F238" t="s">
        <v>1466</v>
      </c>
      <c r="G238" s="69" t="s">
        <v>1128</v>
      </c>
    </row>
    <row r="239" spans="1:7" x14ac:dyDescent="0.3">
      <c r="A239" t="s">
        <v>822</v>
      </c>
      <c r="B239" t="s">
        <v>818</v>
      </c>
      <c r="C239" t="s">
        <v>537</v>
      </c>
      <c r="D239" s="69" t="s">
        <v>1467</v>
      </c>
      <c r="E239" s="72">
        <v>100</v>
      </c>
      <c r="F239" t="s">
        <v>1468</v>
      </c>
      <c r="G239" s="69" t="s">
        <v>1128</v>
      </c>
    </row>
    <row r="240" spans="1:7" ht="28.8" x14ac:dyDescent="0.3">
      <c r="A240" t="s">
        <v>822</v>
      </c>
      <c r="B240" t="s">
        <v>818</v>
      </c>
      <c r="C240" t="s">
        <v>537</v>
      </c>
      <c r="D240" s="69" t="s">
        <v>1469</v>
      </c>
      <c r="E240" s="72">
        <v>67</v>
      </c>
      <c r="F240" t="s">
        <v>1470</v>
      </c>
      <c r="G240" s="69" t="s">
        <v>1128</v>
      </c>
    </row>
    <row r="241" spans="1:7" x14ac:dyDescent="0.3">
      <c r="A241" t="s">
        <v>822</v>
      </c>
      <c r="B241" t="s">
        <v>818</v>
      </c>
      <c r="C241" t="s">
        <v>537</v>
      </c>
      <c r="D241" s="69" t="s">
        <v>1471</v>
      </c>
      <c r="E241" s="72">
        <v>100</v>
      </c>
      <c r="F241" t="s">
        <v>1472</v>
      </c>
      <c r="G241" s="69" t="s">
        <v>1128</v>
      </c>
    </row>
    <row r="242" spans="1:7" x14ac:dyDescent="0.3">
      <c r="A242" t="s">
        <v>822</v>
      </c>
      <c r="B242" t="s">
        <v>818</v>
      </c>
      <c r="C242" t="s">
        <v>537</v>
      </c>
      <c r="D242" s="69" t="s">
        <v>1123</v>
      </c>
      <c r="E242" s="72" t="s">
        <v>1124</v>
      </c>
      <c r="F242" t="s">
        <v>1473</v>
      </c>
      <c r="G242" s="69" t="s">
        <v>1131</v>
      </c>
    </row>
    <row r="243" spans="1:7" x14ac:dyDescent="0.3">
      <c r="A243" t="s">
        <v>825</v>
      </c>
      <c r="B243" t="s">
        <v>818</v>
      </c>
      <c r="C243" t="s">
        <v>537</v>
      </c>
      <c r="D243" s="69" t="s">
        <v>1474</v>
      </c>
      <c r="E243" s="72">
        <v>0</v>
      </c>
      <c r="F243" t="s">
        <v>1475</v>
      </c>
    </row>
    <row r="244" spans="1:7" x14ac:dyDescent="0.3">
      <c r="A244" t="s">
        <v>825</v>
      </c>
      <c r="B244" t="s">
        <v>818</v>
      </c>
      <c r="C244" t="s">
        <v>537</v>
      </c>
      <c r="D244" s="69" t="s">
        <v>1476</v>
      </c>
      <c r="E244" s="72">
        <v>50</v>
      </c>
      <c r="F244" t="s">
        <v>1477</v>
      </c>
    </row>
    <row r="245" spans="1:7" x14ac:dyDescent="0.3">
      <c r="A245" t="s">
        <v>825</v>
      </c>
      <c r="B245" t="s">
        <v>818</v>
      </c>
      <c r="C245" t="s">
        <v>537</v>
      </c>
      <c r="D245" s="69" t="s">
        <v>1212</v>
      </c>
      <c r="E245" s="72" t="s">
        <v>1124</v>
      </c>
      <c r="F245" t="s">
        <v>1478</v>
      </c>
      <c r="G245" s="69" t="s">
        <v>1126</v>
      </c>
    </row>
    <row r="246" spans="1:7" x14ac:dyDescent="0.3">
      <c r="A246" t="s">
        <v>825</v>
      </c>
      <c r="B246" t="s">
        <v>818</v>
      </c>
      <c r="C246" t="s">
        <v>537</v>
      </c>
      <c r="D246" s="69" t="s">
        <v>1479</v>
      </c>
      <c r="E246" s="72" t="s">
        <v>1124</v>
      </c>
      <c r="F246" t="s">
        <v>1480</v>
      </c>
      <c r="G246" s="69" t="s">
        <v>1126</v>
      </c>
    </row>
    <row r="247" spans="1:7" x14ac:dyDescent="0.3">
      <c r="A247" t="s">
        <v>829</v>
      </c>
      <c r="B247" t="s">
        <v>830</v>
      </c>
      <c r="C247" t="s">
        <v>537</v>
      </c>
      <c r="D247" s="69" t="s">
        <v>1481</v>
      </c>
      <c r="E247" s="72">
        <v>0</v>
      </c>
      <c r="F247" t="s">
        <v>1482</v>
      </c>
      <c r="G247" s="69" t="s">
        <v>1128</v>
      </c>
    </row>
    <row r="248" spans="1:7" x14ac:dyDescent="0.3">
      <c r="A248" t="s">
        <v>829</v>
      </c>
      <c r="B248" t="s">
        <v>830</v>
      </c>
      <c r="C248" t="s">
        <v>537</v>
      </c>
      <c r="D248" s="69" t="s">
        <v>1483</v>
      </c>
      <c r="E248" s="72">
        <v>33</v>
      </c>
      <c r="F248" t="s">
        <v>1484</v>
      </c>
      <c r="G248" s="69" t="s">
        <v>1128</v>
      </c>
    </row>
    <row r="249" spans="1:7" x14ac:dyDescent="0.3">
      <c r="A249" t="s">
        <v>829</v>
      </c>
      <c r="B249" t="s">
        <v>830</v>
      </c>
      <c r="C249" t="s">
        <v>537</v>
      </c>
      <c r="D249" s="69" t="s">
        <v>1485</v>
      </c>
      <c r="E249" s="72">
        <v>100</v>
      </c>
      <c r="F249" t="s">
        <v>1486</v>
      </c>
      <c r="G249" s="69" t="s">
        <v>1128</v>
      </c>
    </row>
    <row r="250" spans="1:7" x14ac:dyDescent="0.3">
      <c r="A250" t="s">
        <v>829</v>
      </c>
      <c r="B250" t="s">
        <v>830</v>
      </c>
      <c r="C250" t="s">
        <v>537</v>
      </c>
      <c r="D250" s="69" t="s">
        <v>1487</v>
      </c>
      <c r="E250" s="72" t="s">
        <v>1124</v>
      </c>
      <c r="F250" t="s">
        <v>1488</v>
      </c>
      <c r="G250" s="69" t="s">
        <v>1131</v>
      </c>
    </row>
    <row r="251" spans="1:7" x14ac:dyDescent="0.3">
      <c r="A251" t="s">
        <v>834</v>
      </c>
      <c r="B251" t="s">
        <v>830</v>
      </c>
      <c r="C251" t="s">
        <v>537</v>
      </c>
      <c r="D251" s="69" t="s">
        <v>1119</v>
      </c>
      <c r="E251" s="72">
        <v>0</v>
      </c>
      <c r="F251" t="s">
        <v>1489</v>
      </c>
      <c r="G251" s="69" t="s">
        <v>1128</v>
      </c>
    </row>
    <row r="252" spans="1:7" x14ac:dyDescent="0.3">
      <c r="A252" t="s">
        <v>834</v>
      </c>
      <c r="B252" t="s">
        <v>830</v>
      </c>
      <c r="C252" t="s">
        <v>537</v>
      </c>
      <c r="D252" s="69" t="s">
        <v>1121</v>
      </c>
      <c r="E252" s="72">
        <v>100</v>
      </c>
      <c r="F252" t="s">
        <v>1490</v>
      </c>
      <c r="G252" s="69" t="s">
        <v>1128</v>
      </c>
    </row>
    <row r="253" spans="1:7" x14ac:dyDescent="0.3">
      <c r="A253" t="s">
        <v>836</v>
      </c>
      <c r="B253" t="s">
        <v>830</v>
      </c>
      <c r="C253" t="s">
        <v>537</v>
      </c>
      <c r="D253" s="69" t="s">
        <v>1491</v>
      </c>
      <c r="E253" s="72">
        <v>100</v>
      </c>
      <c r="F253" t="s">
        <v>1492</v>
      </c>
    </row>
    <row r="254" spans="1:7" x14ac:dyDescent="0.3">
      <c r="A254" t="s">
        <v>836</v>
      </c>
      <c r="B254" t="s">
        <v>830</v>
      </c>
      <c r="C254" t="s">
        <v>537</v>
      </c>
      <c r="D254" s="69" t="s">
        <v>1493</v>
      </c>
      <c r="E254" s="72">
        <v>50</v>
      </c>
      <c r="F254" t="s">
        <v>1494</v>
      </c>
    </row>
    <row r="255" spans="1:7" x14ac:dyDescent="0.3">
      <c r="A255" t="s">
        <v>836</v>
      </c>
      <c r="B255" t="s">
        <v>830</v>
      </c>
      <c r="C255" t="s">
        <v>537</v>
      </c>
      <c r="D255" s="69" t="s">
        <v>1495</v>
      </c>
      <c r="E255" s="72">
        <v>0</v>
      </c>
      <c r="F255" t="s">
        <v>1496</v>
      </c>
    </row>
    <row r="256" spans="1:7" x14ac:dyDescent="0.3">
      <c r="A256" t="s">
        <v>836</v>
      </c>
      <c r="B256" t="s">
        <v>830</v>
      </c>
      <c r="C256" t="s">
        <v>537</v>
      </c>
      <c r="D256" s="69" t="s">
        <v>1123</v>
      </c>
      <c r="E256" s="72" t="s">
        <v>1124</v>
      </c>
      <c r="F256" t="s">
        <v>1497</v>
      </c>
      <c r="G256" s="69" t="s">
        <v>1126</v>
      </c>
    </row>
    <row r="257" spans="1:7" ht="28.8" x14ac:dyDescent="0.3">
      <c r="A257" t="s">
        <v>840</v>
      </c>
      <c r="B257" t="s">
        <v>841</v>
      </c>
      <c r="C257" t="s">
        <v>550</v>
      </c>
      <c r="D257" s="69" t="s">
        <v>1117</v>
      </c>
      <c r="E257" s="72"/>
      <c r="G257" s="69" t="s">
        <v>1498</v>
      </c>
    </row>
    <row r="258" spans="1:7" ht="28.8" x14ac:dyDescent="0.3">
      <c r="A258" t="s">
        <v>845</v>
      </c>
      <c r="B258" t="s">
        <v>841</v>
      </c>
      <c r="C258" t="s">
        <v>530</v>
      </c>
      <c r="D258" s="69" t="s">
        <v>512</v>
      </c>
      <c r="E258" s="72"/>
      <c r="G258" s="69" t="s">
        <v>1116</v>
      </c>
    </row>
    <row r="259" spans="1:7" x14ac:dyDescent="0.3">
      <c r="A259" t="s">
        <v>847</v>
      </c>
      <c r="B259" t="s">
        <v>841</v>
      </c>
      <c r="C259" t="s">
        <v>537</v>
      </c>
      <c r="D259" s="69" t="s">
        <v>1119</v>
      </c>
      <c r="E259" s="72">
        <v>100</v>
      </c>
      <c r="F259" t="s">
        <v>1499</v>
      </c>
      <c r="G259" s="69" t="s">
        <v>1128</v>
      </c>
    </row>
    <row r="260" spans="1:7" x14ac:dyDescent="0.3">
      <c r="A260" t="s">
        <v>847</v>
      </c>
      <c r="B260" t="s">
        <v>841</v>
      </c>
      <c r="C260" t="s">
        <v>537</v>
      </c>
      <c r="D260" s="69" t="s">
        <v>1500</v>
      </c>
      <c r="E260" s="72">
        <v>50</v>
      </c>
      <c r="F260" t="s">
        <v>1501</v>
      </c>
      <c r="G260" s="69" t="s">
        <v>1128</v>
      </c>
    </row>
    <row r="261" spans="1:7" x14ac:dyDescent="0.3">
      <c r="A261" t="s">
        <v>847</v>
      </c>
      <c r="B261" t="s">
        <v>841</v>
      </c>
      <c r="C261" t="s">
        <v>537</v>
      </c>
      <c r="D261" s="69" t="s">
        <v>1121</v>
      </c>
      <c r="E261" s="72">
        <v>0</v>
      </c>
      <c r="F261" t="s">
        <v>1502</v>
      </c>
      <c r="G261" s="69" t="s">
        <v>1128</v>
      </c>
    </row>
    <row r="262" spans="1:7" x14ac:dyDescent="0.3">
      <c r="A262" t="s">
        <v>847</v>
      </c>
      <c r="B262" t="s">
        <v>841</v>
      </c>
      <c r="C262" t="s">
        <v>537</v>
      </c>
      <c r="D262" s="69" t="s">
        <v>1503</v>
      </c>
      <c r="E262" s="72" t="s">
        <v>1124</v>
      </c>
      <c r="F262" t="s">
        <v>1504</v>
      </c>
      <c r="G262" s="69" t="s">
        <v>1131</v>
      </c>
    </row>
    <row r="263" spans="1:7" x14ac:dyDescent="0.3">
      <c r="A263" t="s">
        <v>851</v>
      </c>
      <c r="B263" t="s">
        <v>852</v>
      </c>
      <c r="C263" t="s">
        <v>537</v>
      </c>
      <c r="D263" s="69" t="s">
        <v>1505</v>
      </c>
      <c r="E263" s="72">
        <v>0</v>
      </c>
      <c r="F263" t="s">
        <v>1506</v>
      </c>
    </row>
    <row r="264" spans="1:7" x14ac:dyDescent="0.3">
      <c r="A264" t="s">
        <v>851</v>
      </c>
      <c r="B264" t="s">
        <v>852</v>
      </c>
      <c r="C264" t="s">
        <v>537</v>
      </c>
      <c r="D264" s="69" t="s">
        <v>1507</v>
      </c>
      <c r="E264" s="72">
        <v>1</v>
      </c>
      <c r="F264" t="s">
        <v>1508</v>
      </c>
    </row>
    <row r="265" spans="1:7" x14ac:dyDescent="0.3">
      <c r="A265" t="s">
        <v>851</v>
      </c>
      <c r="B265" t="s">
        <v>852</v>
      </c>
      <c r="C265" t="s">
        <v>537</v>
      </c>
      <c r="D265" s="69" t="s">
        <v>1509</v>
      </c>
      <c r="E265" s="72">
        <v>2</v>
      </c>
      <c r="F265" t="s">
        <v>1510</v>
      </c>
    </row>
    <row r="266" spans="1:7" x14ac:dyDescent="0.3">
      <c r="A266" t="s">
        <v>856</v>
      </c>
      <c r="B266" t="s">
        <v>857</v>
      </c>
      <c r="C266" t="s">
        <v>537</v>
      </c>
      <c r="D266" s="69" t="s">
        <v>1511</v>
      </c>
      <c r="E266" s="72">
        <v>0</v>
      </c>
      <c r="F266" t="s">
        <v>1512</v>
      </c>
    </row>
    <row r="267" spans="1:7" x14ac:dyDescent="0.3">
      <c r="A267" t="s">
        <v>856</v>
      </c>
      <c r="B267" t="s">
        <v>857</v>
      </c>
      <c r="C267" t="s">
        <v>537</v>
      </c>
      <c r="D267" s="69" t="s">
        <v>1513</v>
      </c>
      <c r="E267" s="72">
        <v>1</v>
      </c>
      <c r="F267" t="s">
        <v>1514</v>
      </c>
    </row>
    <row r="268" spans="1:7" x14ac:dyDescent="0.3">
      <c r="A268" t="s">
        <v>856</v>
      </c>
      <c r="B268" t="s">
        <v>857</v>
      </c>
      <c r="C268" t="s">
        <v>537</v>
      </c>
      <c r="D268" s="69" t="s">
        <v>1515</v>
      </c>
      <c r="E268" s="72">
        <v>2</v>
      </c>
      <c r="F268" t="s">
        <v>1516</v>
      </c>
    </row>
    <row r="269" spans="1:7" x14ac:dyDescent="0.3">
      <c r="A269" t="s">
        <v>861</v>
      </c>
      <c r="B269" t="s">
        <v>862</v>
      </c>
      <c r="C269" t="s">
        <v>537</v>
      </c>
      <c r="D269" s="69" t="s">
        <v>1511</v>
      </c>
      <c r="E269" s="72">
        <v>0</v>
      </c>
      <c r="F269" t="s">
        <v>1517</v>
      </c>
    </row>
    <row r="270" spans="1:7" x14ac:dyDescent="0.3">
      <c r="A270" t="s">
        <v>861</v>
      </c>
      <c r="B270" t="s">
        <v>862</v>
      </c>
      <c r="C270" t="s">
        <v>537</v>
      </c>
      <c r="D270" s="69" t="s">
        <v>1518</v>
      </c>
      <c r="E270" s="72">
        <v>1</v>
      </c>
      <c r="F270" t="s">
        <v>1519</v>
      </c>
    </row>
    <row r="271" spans="1:7" x14ac:dyDescent="0.3">
      <c r="A271" t="s">
        <v>861</v>
      </c>
      <c r="B271" t="s">
        <v>862</v>
      </c>
      <c r="C271" t="s">
        <v>537</v>
      </c>
      <c r="D271" s="69" t="s">
        <v>1520</v>
      </c>
      <c r="E271" s="72">
        <v>2</v>
      </c>
      <c r="F271" t="s">
        <v>1521</v>
      </c>
    </row>
    <row r="272" spans="1:7" x14ac:dyDescent="0.3">
      <c r="A272" t="s">
        <v>866</v>
      </c>
      <c r="B272" t="s">
        <v>867</v>
      </c>
      <c r="C272" t="s">
        <v>537</v>
      </c>
      <c r="D272" s="69" t="s">
        <v>1522</v>
      </c>
      <c r="E272" s="72">
        <v>0</v>
      </c>
      <c r="F272" t="s">
        <v>1523</v>
      </c>
    </row>
    <row r="273" spans="1:7" x14ac:dyDescent="0.3">
      <c r="A273" t="s">
        <v>866</v>
      </c>
      <c r="B273" t="s">
        <v>867</v>
      </c>
      <c r="C273" t="s">
        <v>537</v>
      </c>
      <c r="D273" s="69" t="s">
        <v>1524</v>
      </c>
      <c r="E273" s="72">
        <v>1</v>
      </c>
      <c r="F273" t="s">
        <v>1525</v>
      </c>
    </row>
    <row r="274" spans="1:7" x14ac:dyDescent="0.3">
      <c r="A274" t="s">
        <v>866</v>
      </c>
      <c r="B274" t="s">
        <v>867</v>
      </c>
      <c r="C274" t="s">
        <v>537</v>
      </c>
      <c r="D274" s="69" t="s">
        <v>1526</v>
      </c>
      <c r="E274" s="72">
        <v>2</v>
      </c>
      <c r="F274" t="s">
        <v>1527</v>
      </c>
    </row>
    <row r="275" spans="1:7" x14ac:dyDescent="0.3">
      <c r="A275" t="s">
        <v>872</v>
      </c>
      <c r="B275" t="s">
        <v>873</v>
      </c>
      <c r="C275" t="s">
        <v>537</v>
      </c>
      <c r="D275" s="69" t="s">
        <v>1528</v>
      </c>
      <c r="E275" s="72">
        <v>100</v>
      </c>
      <c r="F275" t="s">
        <v>1529</v>
      </c>
      <c r="G275" s="69" t="s">
        <v>1128</v>
      </c>
    </row>
    <row r="276" spans="1:7" x14ac:dyDescent="0.3">
      <c r="A276" t="s">
        <v>872</v>
      </c>
      <c r="B276" t="s">
        <v>873</v>
      </c>
      <c r="C276" t="s">
        <v>537</v>
      </c>
      <c r="D276" s="69" t="s">
        <v>1530</v>
      </c>
      <c r="E276" s="72">
        <v>75</v>
      </c>
      <c r="F276" t="s">
        <v>1531</v>
      </c>
      <c r="G276" s="69" t="s">
        <v>1128</v>
      </c>
    </row>
    <row r="277" spans="1:7" x14ac:dyDescent="0.3">
      <c r="A277" t="s">
        <v>872</v>
      </c>
      <c r="B277" t="s">
        <v>873</v>
      </c>
      <c r="C277" t="s">
        <v>537</v>
      </c>
      <c r="D277" s="69" t="s">
        <v>1532</v>
      </c>
      <c r="E277" s="72">
        <v>25</v>
      </c>
      <c r="F277" t="s">
        <v>1533</v>
      </c>
      <c r="G277" s="69" t="s">
        <v>1128</v>
      </c>
    </row>
    <row r="278" spans="1:7" x14ac:dyDescent="0.3">
      <c r="A278" t="s">
        <v>872</v>
      </c>
      <c r="B278" t="s">
        <v>873</v>
      </c>
      <c r="C278" t="s">
        <v>537</v>
      </c>
      <c r="D278" s="69" t="s">
        <v>1534</v>
      </c>
      <c r="E278" s="72">
        <v>50</v>
      </c>
      <c r="F278" t="s">
        <v>1535</v>
      </c>
      <c r="G278" s="69" t="s">
        <v>1128</v>
      </c>
    </row>
    <row r="279" spans="1:7" x14ac:dyDescent="0.3">
      <c r="A279" t="s">
        <v>872</v>
      </c>
      <c r="B279" t="s">
        <v>873</v>
      </c>
      <c r="C279" t="s">
        <v>537</v>
      </c>
      <c r="D279" s="69" t="s">
        <v>1536</v>
      </c>
      <c r="E279" s="72">
        <v>50</v>
      </c>
      <c r="F279" t="s">
        <v>1537</v>
      </c>
      <c r="G279" s="69" t="s">
        <v>1128</v>
      </c>
    </row>
    <row r="280" spans="1:7" x14ac:dyDescent="0.3">
      <c r="A280" t="s">
        <v>877</v>
      </c>
      <c r="B280" t="s">
        <v>873</v>
      </c>
      <c r="C280" t="s">
        <v>537</v>
      </c>
      <c r="D280" s="69" t="s">
        <v>1119</v>
      </c>
      <c r="E280" s="72">
        <v>100</v>
      </c>
      <c r="F280" t="s">
        <v>1538</v>
      </c>
    </row>
    <row r="281" spans="1:7" x14ac:dyDescent="0.3">
      <c r="A281" t="s">
        <v>877</v>
      </c>
      <c r="B281" t="s">
        <v>873</v>
      </c>
      <c r="C281" t="s">
        <v>537</v>
      </c>
      <c r="D281" s="69" t="s">
        <v>1121</v>
      </c>
      <c r="E281" s="72">
        <v>0</v>
      </c>
      <c r="F281" t="s">
        <v>1539</v>
      </c>
    </row>
    <row r="282" spans="1:7" x14ac:dyDescent="0.3">
      <c r="A282" t="s">
        <v>877</v>
      </c>
      <c r="B282" t="s">
        <v>873</v>
      </c>
      <c r="C282" t="s">
        <v>537</v>
      </c>
      <c r="D282" s="69" t="s">
        <v>1123</v>
      </c>
      <c r="E282" s="72" t="s">
        <v>1124</v>
      </c>
      <c r="F282" t="s">
        <v>1540</v>
      </c>
      <c r="G282" s="69" t="s">
        <v>1126</v>
      </c>
    </row>
    <row r="283" spans="1:7" ht="28.8" x14ac:dyDescent="0.3">
      <c r="A283" t="s">
        <v>881</v>
      </c>
      <c r="B283" t="s">
        <v>882</v>
      </c>
      <c r="C283" t="s">
        <v>546</v>
      </c>
      <c r="D283" s="69" t="s">
        <v>512</v>
      </c>
      <c r="E283" s="72"/>
      <c r="G283" s="69" t="s">
        <v>1116</v>
      </c>
    </row>
    <row r="284" spans="1:7" ht="28.8" x14ac:dyDescent="0.3">
      <c r="A284" t="s">
        <v>885</v>
      </c>
      <c r="B284" t="s">
        <v>882</v>
      </c>
      <c r="C284" t="s">
        <v>546</v>
      </c>
      <c r="D284" s="69" t="s">
        <v>512</v>
      </c>
      <c r="E284" s="72"/>
      <c r="G284" s="69" t="s">
        <v>1116</v>
      </c>
    </row>
    <row r="285" spans="1:7" ht="28.8" x14ac:dyDescent="0.3">
      <c r="A285" t="s">
        <v>888</v>
      </c>
      <c r="B285" t="s">
        <v>882</v>
      </c>
      <c r="C285" t="s">
        <v>596</v>
      </c>
      <c r="D285" s="69" t="s">
        <v>512</v>
      </c>
      <c r="E285" s="72"/>
      <c r="G285" s="69" t="s">
        <v>1116</v>
      </c>
    </row>
    <row r="286" spans="1:7" ht="28.8" x14ac:dyDescent="0.3">
      <c r="A286" t="s">
        <v>891</v>
      </c>
      <c r="B286" t="s">
        <v>882</v>
      </c>
      <c r="C286" t="s">
        <v>546</v>
      </c>
      <c r="D286" s="69" t="s">
        <v>512</v>
      </c>
      <c r="E286" s="72"/>
      <c r="G286" s="69" t="s">
        <v>1116</v>
      </c>
    </row>
    <row r="287" spans="1:7" ht="28.8" x14ac:dyDescent="0.3">
      <c r="A287" t="s">
        <v>894</v>
      </c>
      <c r="B287" t="s">
        <v>882</v>
      </c>
      <c r="C287" t="s">
        <v>546</v>
      </c>
      <c r="D287" s="69" t="s">
        <v>512</v>
      </c>
      <c r="E287" s="72"/>
      <c r="G287" s="69" t="s">
        <v>1116</v>
      </c>
    </row>
    <row r="288" spans="1:7" ht="28.8" x14ac:dyDescent="0.3">
      <c r="A288" t="s">
        <v>897</v>
      </c>
      <c r="B288" t="s">
        <v>882</v>
      </c>
      <c r="C288" t="s">
        <v>546</v>
      </c>
      <c r="D288" s="69" t="s">
        <v>512</v>
      </c>
      <c r="E288" s="72"/>
      <c r="G288" s="69" t="s">
        <v>1116</v>
      </c>
    </row>
    <row r="289" spans="1:7" ht="28.8" x14ac:dyDescent="0.3">
      <c r="A289" t="s">
        <v>900</v>
      </c>
      <c r="B289" t="s">
        <v>882</v>
      </c>
      <c r="C289" t="s">
        <v>515</v>
      </c>
      <c r="D289" s="69" t="s">
        <v>512</v>
      </c>
      <c r="E289" s="72"/>
      <c r="G289" s="69" t="s">
        <v>1116</v>
      </c>
    </row>
    <row r="290" spans="1:7" ht="28.8" x14ac:dyDescent="0.3">
      <c r="A290" t="s">
        <v>903</v>
      </c>
      <c r="B290" t="s">
        <v>882</v>
      </c>
      <c r="C290" t="s">
        <v>546</v>
      </c>
      <c r="D290" s="69" t="s">
        <v>512</v>
      </c>
      <c r="E290" s="72"/>
      <c r="G290" s="69" t="s">
        <v>1116</v>
      </c>
    </row>
    <row r="291" spans="1:7" ht="28.8" x14ac:dyDescent="0.3">
      <c r="A291" t="s">
        <v>906</v>
      </c>
      <c r="B291" t="s">
        <v>882</v>
      </c>
      <c r="C291" t="s">
        <v>546</v>
      </c>
      <c r="D291" s="69" t="s">
        <v>512</v>
      </c>
      <c r="E291" s="72"/>
      <c r="G291" s="69" t="s">
        <v>1116</v>
      </c>
    </row>
    <row r="292" spans="1:7" ht="28.8" x14ac:dyDescent="0.3">
      <c r="A292" t="s">
        <v>909</v>
      </c>
      <c r="B292" t="s">
        <v>882</v>
      </c>
      <c r="C292" t="s">
        <v>546</v>
      </c>
      <c r="D292" s="69" t="s">
        <v>512</v>
      </c>
      <c r="E292" s="72"/>
      <c r="G292" s="69" t="s">
        <v>1116</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FD250-C6D4-4275-A517-57F785834C66}">
  <dimension ref="A1:DQ17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RowHeight="14.4" x14ac:dyDescent="0.3"/>
  <cols>
    <col min="1" max="1" width="15.77734375" customWidth="1"/>
    <col min="2" max="2" width="42.77734375" customWidth="1"/>
    <col min="3" max="121" width="9.33203125" customWidth="1"/>
  </cols>
  <sheetData>
    <row r="1" spans="1:121" ht="34.049999999999997" customHeight="1" x14ac:dyDescent="0.3">
      <c r="A1" s="68" t="s">
        <v>1541</v>
      </c>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c r="CN1" s="73"/>
      <c r="CO1" s="73"/>
      <c r="CP1" s="73"/>
      <c r="CQ1" s="73"/>
      <c r="CR1" s="73"/>
      <c r="CS1" s="73"/>
      <c r="CT1" s="73"/>
      <c r="CU1" s="73"/>
      <c r="CV1" s="73"/>
      <c r="CW1" s="73"/>
      <c r="CX1" s="73"/>
      <c r="CY1" s="73"/>
      <c r="CZ1" s="73"/>
      <c r="DA1" s="73"/>
      <c r="DB1" s="73"/>
      <c r="DC1" s="73"/>
      <c r="DD1" s="73"/>
      <c r="DE1" s="73"/>
      <c r="DF1" s="73"/>
      <c r="DG1" s="73"/>
      <c r="DH1" s="73"/>
      <c r="DI1" s="73"/>
      <c r="DJ1" s="73"/>
      <c r="DK1" s="73"/>
      <c r="DL1" s="73"/>
      <c r="DM1" s="73"/>
      <c r="DN1" s="73"/>
      <c r="DO1" s="73"/>
      <c r="DP1" s="73"/>
      <c r="DQ1" s="73"/>
    </row>
    <row r="2" spans="1:121" s="75" customFormat="1" ht="150" customHeight="1" x14ac:dyDescent="0.3">
      <c r="A2" s="74" t="s">
        <v>1542</v>
      </c>
      <c r="B2" s="74" t="s">
        <v>913</v>
      </c>
      <c r="C2" s="74" t="s">
        <v>509</v>
      </c>
      <c r="D2" s="74" t="s">
        <v>514</v>
      </c>
      <c r="E2" s="74" t="s">
        <v>517</v>
      </c>
      <c r="F2" s="74" t="s">
        <v>522</v>
      </c>
      <c r="G2" s="74" t="s">
        <v>525</v>
      </c>
      <c r="H2" s="74" t="s">
        <v>528</v>
      </c>
      <c r="I2" s="74" t="s">
        <v>532</v>
      </c>
      <c r="J2" s="74" t="s">
        <v>535</v>
      </c>
      <c r="K2" s="74" t="s">
        <v>540</v>
      </c>
      <c r="L2" s="74" t="s">
        <v>544</v>
      </c>
      <c r="M2" s="74" t="s">
        <v>548</v>
      </c>
      <c r="N2" s="74" t="s">
        <v>553</v>
      </c>
      <c r="O2" s="74" t="s">
        <v>557</v>
      </c>
      <c r="P2" s="74" t="s">
        <v>561</v>
      </c>
      <c r="Q2" s="74" t="s">
        <v>564</v>
      </c>
      <c r="R2" s="74" t="s">
        <v>567</v>
      </c>
      <c r="S2" s="74" t="s">
        <v>571</v>
      </c>
      <c r="T2" s="74" t="s">
        <v>574</v>
      </c>
      <c r="U2" s="74" t="s">
        <v>578</v>
      </c>
      <c r="V2" s="74" t="s">
        <v>581</v>
      </c>
      <c r="W2" s="74" t="s">
        <v>5</v>
      </c>
      <c r="X2" s="74" t="s">
        <v>589</v>
      </c>
      <c r="Y2" s="74" t="s">
        <v>6</v>
      </c>
      <c r="Z2" s="74" t="s">
        <v>7</v>
      </c>
      <c r="AA2" s="74" t="s">
        <v>8</v>
      </c>
      <c r="AB2" s="74" t="s">
        <v>9</v>
      </c>
      <c r="AC2" s="74" t="s">
        <v>10</v>
      </c>
      <c r="AD2" s="74" t="s">
        <v>11</v>
      </c>
      <c r="AE2" s="74" t="s">
        <v>12</v>
      </c>
      <c r="AF2" s="74" t="s">
        <v>13</v>
      </c>
      <c r="AG2" s="74" t="s">
        <v>14</v>
      </c>
      <c r="AH2" s="74" t="s">
        <v>15</v>
      </c>
      <c r="AI2" s="74" t="s">
        <v>16</v>
      </c>
      <c r="AJ2" s="74" t="s">
        <v>17</v>
      </c>
      <c r="AK2" s="74" t="s">
        <v>18</v>
      </c>
      <c r="AL2" s="74" t="s">
        <v>618</v>
      </c>
      <c r="AM2" s="74" t="s">
        <v>623</v>
      </c>
      <c r="AN2" s="74" t="s">
        <v>627</v>
      </c>
      <c r="AO2" s="74" t="s">
        <v>631</v>
      </c>
      <c r="AP2" s="74" t="s">
        <v>633</v>
      </c>
      <c r="AQ2" s="74" t="s">
        <v>637</v>
      </c>
      <c r="AR2" s="74" t="s">
        <v>643</v>
      </c>
      <c r="AS2" s="74" t="s">
        <v>645</v>
      </c>
      <c r="AT2" s="74" t="s">
        <v>648</v>
      </c>
      <c r="AU2" s="74" t="s">
        <v>651</v>
      </c>
      <c r="AV2" s="74" t="s">
        <v>654</v>
      </c>
      <c r="AW2" s="74" t="s">
        <v>658</v>
      </c>
      <c r="AX2" s="74" t="s">
        <v>661</v>
      </c>
      <c r="AY2" s="74" t="s">
        <v>666</v>
      </c>
      <c r="AZ2" s="74" t="s">
        <v>670</v>
      </c>
      <c r="BA2" s="74" t="s">
        <v>673</v>
      </c>
      <c r="BB2" s="74" t="s">
        <v>675</v>
      </c>
      <c r="BC2" s="74" t="s">
        <v>678</v>
      </c>
      <c r="BD2" s="74" t="s">
        <v>681</v>
      </c>
      <c r="BE2" s="74" t="s">
        <v>684</v>
      </c>
      <c r="BF2" s="74" t="s">
        <v>686</v>
      </c>
      <c r="BG2" s="74" t="s">
        <v>689</v>
      </c>
      <c r="BH2" s="74" t="s">
        <v>692</v>
      </c>
      <c r="BI2" s="74" t="s">
        <v>695</v>
      </c>
      <c r="BJ2" s="74" t="s">
        <v>698</v>
      </c>
      <c r="BK2" s="74" t="s">
        <v>701</v>
      </c>
      <c r="BL2" s="74" t="s">
        <v>706</v>
      </c>
      <c r="BM2" s="74" t="s">
        <v>711</v>
      </c>
      <c r="BN2" s="74" t="s">
        <v>713</v>
      </c>
      <c r="BO2" s="74" t="s">
        <v>716</v>
      </c>
      <c r="BP2" s="74" t="s">
        <v>721</v>
      </c>
      <c r="BQ2" s="74" t="s">
        <v>725</v>
      </c>
      <c r="BR2" s="74" t="s">
        <v>727</v>
      </c>
      <c r="BS2" s="74" t="s">
        <v>730</v>
      </c>
      <c r="BT2" s="74" t="s">
        <v>733</v>
      </c>
      <c r="BU2" s="74" t="s">
        <v>736</v>
      </c>
      <c r="BV2" s="74" t="s">
        <v>739</v>
      </c>
      <c r="BW2" s="74" t="s">
        <v>742</v>
      </c>
      <c r="BX2" s="74" t="s">
        <v>745</v>
      </c>
      <c r="BY2" s="74" t="s">
        <v>749</v>
      </c>
      <c r="BZ2" s="74" t="s">
        <v>754</v>
      </c>
      <c r="CA2" s="74" t="s">
        <v>757</v>
      </c>
      <c r="CB2" s="74" t="s">
        <v>760</v>
      </c>
      <c r="CC2" s="74" t="s">
        <v>763</v>
      </c>
      <c r="CD2" s="74" t="s">
        <v>766</v>
      </c>
      <c r="CE2" s="74" t="s">
        <v>769</v>
      </c>
      <c r="CF2" s="74" t="s">
        <v>772</v>
      </c>
      <c r="CG2" s="74" t="s">
        <v>775</v>
      </c>
      <c r="CH2" s="74" t="s">
        <v>779</v>
      </c>
      <c r="CI2" s="74" t="s">
        <v>784</v>
      </c>
      <c r="CJ2" s="74" t="s">
        <v>786</v>
      </c>
      <c r="CK2" s="74" t="s">
        <v>789</v>
      </c>
      <c r="CL2" s="74" t="s">
        <v>792</v>
      </c>
      <c r="CM2" s="74" t="s">
        <v>795</v>
      </c>
      <c r="CN2" s="74" t="s">
        <v>799</v>
      </c>
      <c r="CO2" s="74" t="s">
        <v>804</v>
      </c>
      <c r="CP2" s="74" t="s">
        <v>808</v>
      </c>
      <c r="CQ2" s="74" t="s">
        <v>810</v>
      </c>
      <c r="CR2" s="74" t="s">
        <v>813</v>
      </c>
      <c r="CS2" s="74" t="s">
        <v>817</v>
      </c>
      <c r="CT2" s="74" t="s">
        <v>822</v>
      </c>
      <c r="CU2" s="74" t="s">
        <v>825</v>
      </c>
      <c r="CV2" s="74" t="s">
        <v>829</v>
      </c>
      <c r="CW2" s="74" t="s">
        <v>834</v>
      </c>
      <c r="CX2" s="74" t="s">
        <v>836</v>
      </c>
      <c r="CY2" s="74" t="s">
        <v>840</v>
      </c>
      <c r="CZ2" s="74" t="s">
        <v>845</v>
      </c>
      <c r="DA2" s="74" t="s">
        <v>847</v>
      </c>
      <c r="DB2" s="74" t="s">
        <v>851</v>
      </c>
      <c r="DC2" s="74" t="s">
        <v>856</v>
      </c>
      <c r="DD2" s="74" t="s">
        <v>861</v>
      </c>
      <c r="DE2" s="74" t="s">
        <v>866</v>
      </c>
      <c r="DF2" s="74" t="s">
        <v>872</v>
      </c>
      <c r="DG2" s="74" t="s">
        <v>877</v>
      </c>
      <c r="DH2" s="74" t="s">
        <v>881</v>
      </c>
      <c r="DI2" s="74" t="s">
        <v>885</v>
      </c>
      <c r="DJ2" s="74" t="s">
        <v>888</v>
      </c>
      <c r="DK2" s="74" t="s">
        <v>891</v>
      </c>
      <c r="DL2" s="74" t="s">
        <v>894</v>
      </c>
      <c r="DM2" s="74" t="s">
        <v>897</v>
      </c>
      <c r="DN2" s="74" t="s">
        <v>900</v>
      </c>
      <c r="DO2" s="74" t="s">
        <v>903</v>
      </c>
      <c r="DP2" s="74" t="s">
        <v>906</v>
      </c>
      <c r="DQ2" s="74" t="s">
        <v>909</v>
      </c>
    </row>
    <row r="3" spans="1:121" x14ac:dyDescent="0.3">
      <c r="A3">
        <v>20118578415</v>
      </c>
      <c r="B3" t="s">
        <v>63</v>
      </c>
    </row>
    <row r="4" spans="1:121" x14ac:dyDescent="0.3">
      <c r="A4">
        <v>20129156083</v>
      </c>
      <c r="B4" t="s">
        <v>71</v>
      </c>
    </row>
    <row r="5" spans="1:121" x14ac:dyDescent="0.3">
      <c r="A5">
        <v>20129529530</v>
      </c>
      <c r="B5" t="s">
        <v>76</v>
      </c>
    </row>
    <row r="6" spans="1:121" x14ac:dyDescent="0.3">
      <c r="A6">
        <v>20132489824</v>
      </c>
      <c r="B6" t="s">
        <v>79</v>
      </c>
    </row>
    <row r="7" spans="1:121" x14ac:dyDescent="0.3">
      <c r="A7">
        <v>20132505455</v>
      </c>
      <c r="B7" t="s">
        <v>84</v>
      </c>
    </row>
    <row r="8" spans="1:121" x14ac:dyDescent="0.3">
      <c r="A8">
        <v>20132509795</v>
      </c>
      <c r="B8" t="s">
        <v>87</v>
      </c>
    </row>
    <row r="9" spans="1:121" x14ac:dyDescent="0.3">
      <c r="A9">
        <v>20132509876</v>
      </c>
      <c r="B9" t="s">
        <v>89</v>
      </c>
    </row>
    <row r="10" spans="1:121" x14ac:dyDescent="0.3">
      <c r="A10">
        <v>20132517119</v>
      </c>
      <c r="B10" t="s">
        <v>91</v>
      </c>
    </row>
    <row r="11" spans="1:121" x14ac:dyDescent="0.3">
      <c r="A11">
        <v>20136201132</v>
      </c>
      <c r="B11" t="s">
        <v>94</v>
      </c>
    </row>
    <row r="12" spans="1:121" x14ac:dyDescent="0.3">
      <c r="A12">
        <v>20136201213</v>
      </c>
      <c r="B12" t="s">
        <v>96</v>
      </c>
    </row>
    <row r="13" spans="1:121" x14ac:dyDescent="0.3">
      <c r="A13">
        <v>20140292657</v>
      </c>
      <c r="B13" t="s">
        <v>99</v>
      </c>
    </row>
    <row r="14" spans="1:121" x14ac:dyDescent="0.3">
      <c r="A14">
        <v>20143692010</v>
      </c>
      <c r="B14" t="s">
        <v>102</v>
      </c>
    </row>
    <row r="15" spans="1:121" x14ac:dyDescent="0.3">
      <c r="A15">
        <v>20145484597</v>
      </c>
      <c r="B15" t="s">
        <v>104</v>
      </c>
    </row>
    <row r="16" spans="1:121" x14ac:dyDescent="0.3">
      <c r="A16">
        <v>20146696041</v>
      </c>
      <c r="B16" t="s">
        <v>106</v>
      </c>
    </row>
    <row r="17" spans="1:2" x14ac:dyDescent="0.3">
      <c r="A17">
        <v>20147443120</v>
      </c>
      <c r="B17" t="s">
        <v>109</v>
      </c>
    </row>
    <row r="18" spans="1:2" x14ac:dyDescent="0.3">
      <c r="A18">
        <v>20166786861</v>
      </c>
      <c r="B18" t="s">
        <v>112</v>
      </c>
    </row>
    <row r="19" spans="1:2" x14ac:dyDescent="0.3">
      <c r="A19">
        <v>20170142773</v>
      </c>
      <c r="B19" t="s">
        <v>115</v>
      </c>
    </row>
    <row r="20" spans="1:2" x14ac:dyDescent="0.3">
      <c r="A20">
        <v>20200880448</v>
      </c>
      <c r="B20" t="s">
        <v>118</v>
      </c>
    </row>
    <row r="21" spans="1:2" x14ac:dyDescent="0.3">
      <c r="A21">
        <v>20352417018</v>
      </c>
      <c r="B21" t="s">
        <v>120</v>
      </c>
    </row>
    <row r="22" spans="1:2" x14ac:dyDescent="0.3">
      <c r="A22">
        <v>20352423921</v>
      </c>
      <c r="B22" t="s">
        <v>122</v>
      </c>
    </row>
    <row r="23" spans="1:2" x14ac:dyDescent="0.3">
      <c r="A23">
        <v>20393152207</v>
      </c>
      <c r="B23" t="s">
        <v>125</v>
      </c>
    </row>
    <row r="24" spans="1:2" x14ac:dyDescent="0.3">
      <c r="A24">
        <v>20393593670</v>
      </c>
      <c r="B24" t="s">
        <v>127</v>
      </c>
    </row>
    <row r="25" spans="1:2" x14ac:dyDescent="0.3">
      <c r="A25">
        <v>20393692228</v>
      </c>
      <c r="B25" t="s">
        <v>130</v>
      </c>
    </row>
    <row r="26" spans="1:2" x14ac:dyDescent="0.3">
      <c r="A26">
        <v>20393786044</v>
      </c>
      <c r="B26" t="s">
        <v>132</v>
      </c>
    </row>
    <row r="27" spans="1:2" x14ac:dyDescent="0.3">
      <c r="A27">
        <v>20393816211</v>
      </c>
      <c r="B27" t="s">
        <v>134</v>
      </c>
    </row>
    <row r="28" spans="1:2" x14ac:dyDescent="0.3">
      <c r="A28">
        <v>20393882868</v>
      </c>
      <c r="B28" t="s">
        <v>136</v>
      </c>
    </row>
    <row r="29" spans="1:2" x14ac:dyDescent="0.3">
      <c r="A29">
        <v>20393972000</v>
      </c>
      <c r="B29" t="s">
        <v>138</v>
      </c>
    </row>
    <row r="30" spans="1:2" x14ac:dyDescent="0.3">
      <c r="A30">
        <v>20447888701</v>
      </c>
      <c r="B30" t="s">
        <v>140</v>
      </c>
    </row>
    <row r="31" spans="1:2" x14ac:dyDescent="0.3">
      <c r="A31">
        <v>20450189201</v>
      </c>
      <c r="B31" t="s">
        <v>142</v>
      </c>
    </row>
    <row r="32" spans="1:2" x14ac:dyDescent="0.3">
      <c r="A32">
        <v>20450207544</v>
      </c>
      <c r="B32" t="s">
        <v>145</v>
      </c>
    </row>
    <row r="33" spans="1:2" x14ac:dyDescent="0.3">
      <c r="A33">
        <v>20450242021</v>
      </c>
      <c r="B33" t="s">
        <v>147</v>
      </c>
    </row>
    <row r="34" spans="1:2" x14ac:dyDescent="0.3">
      <c r="A34">
        <v>20450319423</v>
      </c>
      <c r="B34" t="s">
        <v>149</v>
      </c>
    </row>
    <row r="35" spans="1:2" x14ac:dyDescent="0.3">
      <c r="A35">
        <v>20452774705</v>
      </c>
      <c r="B35" t="s">
        <v>151</v>
      </c>
    </row>
    <row r="36" spans="1:2" x14ac:dyDescent="0.3">
      <c r="A36">
        <v>20479595276</v>
      </c>
      <c r="B36" t="s">
        <v>153</v>
      </c>
    </row>
    <row r="37" spans="1:2" x14ac:dyDescent="0.3">
      <c r="A37">
        <v>20479622699</v>
      </c>
      <c r="B37" t="s">
        <v>156</v>
      </c>
    </row>
    <row r="38" spans="1:2" x14ac:dyDescent="0.3">
      <c r="A38">
        <v>20479856258</v>
      </c>
      <c r="B38" t="s">
        <v>158</v>
      </c>
    </row>
    <row r="39" spans="1:2" x14ac:dyDescent="0.3">
      <c r="A39">
        <v>20479917141</v>
      </c>
      <c r="B39" t="s">
        <v>160</v>
      </c>
    </row>
    <row r="40" spans="1:2" x14ac:dyDescent="0.3">
      <c r="A40">
        <v>20480458550</v>
      </c>
      <c r="B40" t="s">
        <v>162</v>
      </c>
    </row>
    <row r="41" spans="1:2" x14ac:dyDescent="0.3">
      <c r="A41">
        <v>20480762895</v>
      </c>
      <c r="B41" t="s">
        <v>164</v>
      </c>
    </row>
    <row r="42" spans="1:2" x14ac:dyDescent="0.3">
      <c r="A42">
        <v>20484163902</v>
      </c>
      <c r="B42" t="s">
        <v>166</v>
      </c>
    </row>
    <row r="43" spans="1:2" x14ac:dyDescent="0.3">
      <c r="A43">
        <v>20485945815</v>
      </c>
      <c r="B43" t="s">
        <v>168</v>
      </c>
    </row>
    <row r="44" spans="1:2" x14ac:dyDescent="0.3">
      <c r="A44">
        <v>20486094657</v>
      </c>
      <c r="B44" t="s">
        <v>170</v>
      </c>
    </row>
    <row r="45" spans="1:2" x14ac:dyDescent="0.3">
      <c r="A45">
        <v>20486255090</v>
      </c>
      <c r="B45" t="s">
        <v>172</v>
      </c>
    </row>
    <row r="46" spans="1:2" x14ac:dyDescent="0.3">
      <c r="A46">
        <v>20486668335</v>
      </c>
      <c r="B46" t="s">
        <v>174</v>
      </c>
    </row>
    <row r="47" spans="1:2" x14ac:dyDescent="0.3">
      <c r="A47">
        <v>20486876019</v>
      </c>
      <c r="B47" t="s">
        <v>176</v>
      </c>
    </row>
    <row r="48" spans="1:2" x14ac:dyDescent="0.3">
      <c r="A48">
        <v>20486973219</v>
      </c>
      <c r="B48" t="s">
        <v>178</v>
      </c>
    </row>
    <row r="49" spans="1:2" x14ac:dyDescent="0.3">
      <c r="A49">
        <v>20487242994</v>
      </c>
      <c r="B49" t="s">
        <v>180</v>
      </c>
    </row>
    <row r="50" spans="1:2" x14ac:dyDescent="0.3">
      <c r="A50">
        <v>20487351343</v>
      </c>
      <c r="B50" t="s">
        <v>182</v>
      </c>
    </row>
    <row r="51" spans="1:2" x14ac:dyDescent="0.3">
      <c r="A51">
        <v>20487661539</v>
      </c>
      <c r="B51" t="s">
        <v>185</v>
      </c>
    </row>
    <row r="52" spans="1:2" x14ac:dyDescent="0.3">
      <c r="A52">
        <v>20490726196</v>
      </c>
      <c r="B52" t="s">
        <v>187</v>
      </c>
    </row>
    <row r="53" spans="1:2" x14ac:dyDescent="0.3">
      <c r="A53">
        <v>20493934822</v>
      </c>
      <c r="B53" t="s">
        <v>189</v>
      </c>
    </row>
    <row r="54" spans="1:2" x14ac:dyDescent="0.3">
      <c r="A54">
        <v>20493959574</v>
      </c>
      <c r="B54" t="s">
        <v>191</v>
      </c>
    </row>
    <row r="55" spans="1:2" x14ac:dyDescent="0.3">
      <c r="A55">
        <v>20494126819</v>
      </c>
      <c r="B55" t="s">
        <v>193</v>
      </c>
    </row>
    <row r="56" spans="1:2" x14ac:dyDescent="0.3">
      <c r="A56">
        <v>20494145791</v>
      </c>
      <c r="B56" t="s">
        <v>195</v>
      </c>
    </row>
    <row r="57" spans="1:2" x14ac:dyDescent="0.3">
      <c r="A57">
        <v>20494699690</v>
      </c>
      <c r="B57" t="s">
        <v>198</v>
      </c>
    </row>
    <row r="58" spans="1:2" x14ac:dyDescent="0.3">
      <c r="A58">
        <v>20525969551</v>
      </c>
      <c r="B58" t="s">
        <v>200</v>
      </c>
    </row>
    <row r="59" spans="1:2" x14ac:dyDescent="0.3">
      <c r="A59">
        <v>20526514689</v>
      </c>
      <c r="B59" t="s">
        <v>202</v>
      </c>
    </row>
    <row r="60" spans="1:2" x14ac:dyDescent="0.3">
      <c r="A60">
        <v>20527565376</v>
      </c>
      <c r="B60" t="s">
        <v>204</v>
      </c>
    </row>
    <row r="61" spans="1:2" x14ac:dyDescent="0.3">
      <c r="A61">
        <v>20528996214</v>
      </c>
      <c r="B61" t="s">
        <v>207</v>
      </c>
    </row>
    <row r="62" spans="1:2" x14ac:dyDescent="0.3">
      <c r="A62">
        <v>20529801433</v>
      </c>
      <c r="B62" t="s">
        <v>209</v>
      </c>
    </row>
    <row r="63" spans="1:2" x14ac:dyDescent="0.3">
      <c r="A63">
        <v>20529822350</v>
      </c>
      <c r="B63" t="s">
        <v>211</v>
      </c>
    </row>
    <row r="64" spans="1:2" x14ac:dyDescent="0.3">
      <c r="A64">
        <v>20531405723</v>
      </c>
      <c r="B64" t="s">
        <v>213</v>
      </c>
    </row>
    <row r="65" spans="1:2" x14ac:dyDescent="0.3">
      <c r="A65">
        <v>20531441797</v>
      </c>
      <c r="B65" t="s">
        <v>215</v>
      </c>
    </row>
    <row r="66" spans="1:2" x14ac:dyDescent="0.3">
      <c r="A66">
        <v>20534524774</v>
      </c>
      <c r="B66" t="s">
        <v>217</v>
      </c>
    </row>
    <row r="67" spans="1:2" x14ac:dyDescent="0.3">
      <c r="A67">
        <v>20539205600</v>
      </c>
      <c r="B67" t="s">
        <v>219</v>
      </c>
    </row>
    <row r="68" spans="1:2" x14ac:dyDescent="0.3">
      <c r="A68">
        <v>20539241665</v>
      </c>
      <c r="B68" t="s">
        <v>221</v>
      </c>
    </row>
    <row r="69" spans="1:2" x14ac:dyDescent="0.3">
      <c r="A69">
        <v>20539280644</v>
      </c>
      <c r="B69" t="s">
        <v>223</v>
      </c>
    </row>
    <row r="70" spans="1:2" x14ac:dyDescent="0.3">
      <c r="A70">
        <v>20542209951</v>
      </c>
      <c r="B70" t="s">
        <v>225</v>
      </c>
    </row>
    <row r="71" spans="1:2" x14ac:dyDescent="0.3">
      <c r="A71">
        <v>20542251990</v>
      </c>
      <c r="B71" t="s">
        <v>229</v>
      </c>
    </row>
    <row r="72" spans="1:2" x14ac:dyDescent="0.3">
      <c r="A72">
        <v>20542257416</v>
      </c>
      <c r="B72" t="s">
        <v>231</v>
      </c>
    </row>
    <row r="73" spans="1:2" x14ac:dyDescent="0.3">
      <c r="A73">
        <v>20542264544</v>
      </c>
      <c r="B73" t="s">
        <v>233</v>
      </c>
    </row>
    <row r="74" spans="1:2" x14ac:dyDescent="0.3">
      <c r="A74">
        <v>20542289024</v>
      </c>
      <c r="B74" t="s">
        <v>237</v>
      </c>
    </row>
    <row r="75" spans="1:2" x14ac:dyDescent="0.3">
      <c r="A75">
        <v>20542299330</v>
      </c>
      <c r="B75" t="s">
        <v>239</v>
      </c>
    </row>
    <row r="76" spans="1:2" x14ac:dyDescent="0.3">
      <c r="A76">
        <v>20542311569</v>
      </c>
      <c r="B76" t="s">
        <v>241</v>
      </c>
    </row>
    <row r="77" spans="1:2" x14ac:dyDescent="0.3">
      <c r="A77">
        <v>20542380455</v>
      </c>
      <c r="B77" t="s">
        <v>243</v>
      </c>
    </row>
    <row r="78" spans="1:2" x14ac:dyDescent="0.3">
      <c r="A78">
        <v>20542482886</v>
      </c>
      <c r="B78" t="s">
        <v>245</v>
      </c>
    </row>
    <row r="79" spans="1:2" x14ac:dyDescent="0.3">
      <c r="A79">
        <v>20542825163</v>
      </c>
      <c r="B79" t="s">
        <v>247</v>
      </c>
    </row>
    <row r="80" spans="1:2" x14ac:dyDescent="0.3">
      <c r="A80">
        <v>20561140091</v>
      </c>
      <c r="B80" t="s">
        <v>250</v>
      </c>
    </row>
    <row r="81" spans="1:2" x14ac:dyDescent="0.3">
      <c r="A81">
        <v>20564032485</v>
      </c>
      <c r="B81" t="s">
        <v>254</v>
      </c>
    </row>
    <row r="82" spans="1:2" x14ac:dyDescent="0.3">
      <c r="A82">
        <v>20568071281</v>
      </c>
      <c r="B82" t="s">
        <v>256</v>
      </c>
    </row>
    <row r="83" spans="1:2" x14ac:dyDescent="0.3">
      <c r="A83">
        <v>20568080948</v>
      </c>
      <c r="B83" t="s">
        <v>259</v>
      </c>
    </row>
    <row r="84" spans="1:2" x14ac:dyDescent="0.3">
      <c r="A84">
        <v>20568190450</v>
      </c>
      <c r="B84" t="s">
        <v>261</v>
      </c>
    </row>
    <row r="85" spans="1:2" x14ac:dyDescent="0.3">
      <c r="A85">
        <v>20568194951</v>
      </c>
      <c r="B85" t="s">
        <v>263</v>
      </c>
    </row>
    <row r="86" spans="1:2" x14ac:dyDescent="0.3">
      <c r="A86">
        <v>20568428375</v>
      </c>
      <c r="B86" t="s">
        <v>265</v>
      </c>
    </row>
    <row r="87" spans="1:2" x14ac:dyDescent="0.3">
      <c r="A87">
        <v>20568549083</v>
      </c>
      <c r="B87" t="s">
        <v>267</v>
      </c>
    </row>
    <row r="88" spans="1:2" x14ac:dyDescent="0.3">
      <c r="A88">
        <v>20568560133</v>
      </c>
      <c r="B88" t="s">
        <v>269</v>
      </c>
    </row>
    <row r="89" spans="1:2" x14ac:dyDescent="0.3">
      <c r="A89">
        <v>20568567731</v>
      </c>
      <c r="B89" t="s">
        <v>271</v>
      </c>
    </row>
    <row r="90" spans="1:2" x14ac:dyDescent="0.3">
      <c r="A90">
        <v>20568609833</v>
      </c>
      <c r="B90" t="s">
        <v>273</v>
      </c>
    </row>
    <row r="91" spans="1:2" x14ac:dyDescent="0.3">
      <c r="A91">
        <v>20568962282</v>
      </c>
      <c r="B91" t="s">
        <v>275</v>
      </c>
    </row>
    <row r="92" spans="1:2" x14ac:dyDescent="0.3">
      <c r="A92">
        <v>20570706927</v>
      </c>
      <c r="B92" t="s">
        <v>277</v>
      </c>
    </row>
    <row r="93" spans="1:2" x14ac:dyDescent="0.3">
      <c r="A93">
        <v>20572111131</v>
      </c>
      <c r="B93" t="s">
        <v>279</v>
      </c>
    </row>
    <row r="94" spans="1:2" x14ac:dyDescent="0.3">
      <c r="A94">
        <v>20572190251</v>
      </c>
      <c r="B94" t="s">
        <v>281</v>
      </c>
    </row>
    <row r="95" spans="1:2" x14ac:dyDescent="0.3">
      <c r="A95">
        <v>20573049102</v>
      </c>
      <c r="B95" t="s">
        <v>283</v>
      </c>
    </row>
    <row r="96" spans="1:2" x14ac:dyDescent="0.3">
      <c r="A96">
        <v>20573057385</v>
      </c>
      <c r="B96" t="s">
        <v>285</v>
      </c>
    </row>
    <row r="97" spans="1:2" x14ac:dyDescent="0.3">
      <c r="A97">
        <v>20573138202</v>
      </c>
      <c r="B97" t="s">
        <v>287</v>
      </c>
    </row>
    <row r="98" spans="1:2" x14ac:dyDescent="0.3">
      <c r="A98">
        <v>20573260008</v>
      </c>
      <c r="B98" t="s">
        <v>289</v>
      </c>
    </row>
    <row r="99" spans="1:2" x14ac:dyDescent="0.3">
      <c r="A99">
        <v>20573344791</v>
      </c>
      <c r="B99" t="s">
        <v>291</v>
      </c>
    </row>
    <row r="100" spans="1:2" x14ac:dyDescent="0.3">
      <c r="A100">
        <v>20574797013</v>
      </c>
      <c r="B100" t="s">
        <v>294</v>
      </c>
    </row>
    <row r="101" spans="1:2" x14ac:dyDescent="0.3">
      <c r="A101">
        <v>20600001109</v>
      </c>
      <c r="B101" t="s">
        <v>296</v>
      </c>
    </row>
    <row r="102" spans="1:2" x14ac:dyDescent="0.3">
      <c r="A102">
        <v>20600010086</v>
      </c>
      <c r="B102" t="s">
        <v>298</v>
      </c>
    </row>
    <row r="103" spans="1:2" x14ac:dyDescent="0.3">
      <c r="A103">
        <v>20600029887</v>
      </c>
      <c r="B103" t="s">
        <v>300</v>
      </c>
    </row>
    <row r="104" spans="1:2" x14ac:dyDescent="0.3">
      <c r="A104">
        <v>20600146689</v>
      </c>
      <c r="B104" t="s">
        <v>302</v>
      </c>
    </row>
    <row r="105" spans="1:2" x14ac:dyDescent="0.3">
      <c r="A105">
        <v>20600200756</v>
      </c>
      <c r="B105" t="s">
        <v>304</v>
      </c>
    </row>
    <row r="106" spans="1:2" x14ac:dyDescent="0.3">
      <c r="A106">
        <v>20600263286</v>
      </c>
      <c r="B106" t="s">
        <v>306</v>
      </c>
    </row>
    <row r="107" spans="1:2" x14ac:dyDescent="0.3">
      <c r="A107">
        <v>20600382064</v>
      </c>
      <c r="B107" t="s">
        <v>308</v>
      </c>
    </row>
    <row r="108" spans="1:2" x14ac:dyDescent="0.3">
      <c r="A108">
        <v>20600390911</v>
      </c>
      <c r="B108" t="s">
        <v>310</v>
      </c>
    </row>
    <row r="109" spans="1:2" x14ac:dyDescent="0.3">
      <c r="A109">
        <v>20600529693</v>
      </c>
      <c r="B109" t="s">
        <v>312</v>
      </c>
    </row>
    <row r="110" spans="1:2" x14ac:dyDescent="0.3">
      <c r="A110">
        <v>20600668430</v>
      </c>
      <c r="B110" t="s">
        <v>314</v>
      </c>
    </row>
    <row r="111" spans="1:2" x14ac:dyDescent="0.3">
      <c r="A111">
        <v>20600682386</v>
      </c>
      <c r="B111" t="s">
        <v>316</v>
      </c>
    </row>
    <row r="112" spans="1:2" x14ac:dyDescent="0.3">
      <c r="A112">
        <v>20600720733</v>
      </c>
      <c r="B112" t="s">
        <v>318</v>
      </c>
    </row>
    <row r="113" spans="1:2" x14ac:dyDescent="0.3">
      <c r="A113">
        <v>20600785541</v>
      </c>
      <c r="B113" t="s">
        <v>320</v>
      </c>
    </row>
    <row r="114" spans="1:2" x14ac:dyDescent="0.3">
      <c r="A114">
        <v>20600796683</v>
      </c>
      <c r="B114" t="s">
        <v>322</v>
      </c>
    </row>
    <row r="115" spans="1:2" x14ac:dyDescent="0.3">
      <c r="A115">
        <v>20600796721</v>
      </c>
      <c r="B115" t="s">
        <v>324</v>
      </c>
    </row>
    <row r="116" spans="1:2" x14ac:dyDescent="0.3">
      <c r="A116">
        <v>20600874919</v>
      </c>
      <c r="B116" t="s">
        <v>326</v>
      </c>
    </row>
    <row r="117" spans="1:2" x14ac:dyDescent="0.3">
      <c r="A117">
        <v>20600964080</v>
      </c>
      <c r="B117" t="s">
        <v>328</v>
      </c>
    </row>
    <row r="118" spans="1:2" x14ac:dyDescent="0.3">
      <c r="A118">
        <v>20601067146</v>
      </c>
      <c r="B118" t="s">
        <v>330</v>
      </c>
    </row>
    <row r="119" spans="1:2" x14ac:dyDescent="0.3">
      <c r="A119">
        <v>20601119316</v>
      </c>
      <c r="B119" t="s">
        <v>332</v>
      </c>
    </row>
    <row r="120" spans="1:2" x14ac:dyDescent="0.3">
      <c r="A120">
        <v>20601186986</v>
      </c>
      <c r="B120" t="s">
        <v>334</v>
      </c>
    </row>
    <row r="121" spans="1:2" x14ac:dyDescent="0.3">
      <c r="A121">
        <v>20601329159</v>
      </c>
      <c r="B121" t="s">
        <v>336</v>
      </c>
    </row>
    <row r="122" spans="1:2" x14ac:dyDescent="0.3">
      <c r="A122">
        <v>20601339090</v>
      </c>
      <c r="B122" t="s">
        <v>338</v>
      </c>
    </row>
    <row r="123" spans="1:2" x14ac:dyDescent="0.3">
      <c r="A123">
        <v>20601537771</v>
      </c>
      <c r="B123" t="s">
        <v>340</v>
      </c>
    </row>
    <row r="124" spans="1:2" x14ac:dyDescent="0.3">
      <c r="A124">
        <v>20601558204</v>
      </c>
      <c r="B124" t="s">
        <v>342</v>
      </c>
    </row>
    <row r="125" spans="1:2" x14ac:dyDescent="0.3">
      <c r="A125">
        <v>20601667526</v>
      </c>
      <c r="B125" t="s">
        <v>346</v>
      </c>
    </row>
    <row r="126" spans="1:2" x14ac:dyDescent="0.3">
      <c r="A126">
        <v>20601919657</v>
      </c>
      <c r="B126" t="s">
        <v>348</v>
      </c>
    </row>
    <row r="127" spans="1:2" x14ac:dyDescent="0.3">
      <c r="A127">
        <v>20601939402</v>
      </c>
      <c r="B127" t="s">
        <v>350</v>
      </c>
    </row>
    <row r="128" spans="1:2" x14ac:dyDescent="0.3">
      <c r="A128">
        <v>20601958911</v>
      </c>
      <c r="B128" t="s">
        <v>352</v>
      </c>
    </row>
    <row r="129" spans="1:2" x14ac:dyDescent="0.3">
      <c r="A129">
        <v>20602047025</v>
      </c>
      <c r="B129" t="s">
        <v>354</v>
      </c>
    </row>
    <row r="130" spans="1:2" x14ac:dyDescent="0.3">
      <c r="A130">
        <v>20602054480</v>
      </c>
      <c r="B130" t="s">
        <v>356</v>
      </c>
    </row>
    <row r="131" spans="1:2" x14ac:dyDescent="0.3">
      <c r="A131">
        <v>20602161081</v>
      </c>
      <c r="B131" t="s">
        <v>359</v>
      </c>
    </row>
    <row r="132" spans="1:2" x14ac:dyDescent="0.3">
      <c r="A132">
        <v>20602194265</v>
      </c>
      <c r="B132" t="s">
        <v>361</v>
      </c>
    </row>
    <row r="133" spans="1:2" x14ac:dyDescent="0.3">
      <c r="A133">
        <v>20602242464</v>
      </c>
      <c r="B133" t="s">
        <v>363</v>
      </c>
    </row>
    <row r="134" spans="1:2" x14ac:dyDescent="0.3">
      <c r="A134">
        <v>20602488927</v>
      </c>
      <c r="B134" t="s">
        <v>365</v>
      </c>
    </row>
    <row r="135" spans="1:2" x14ac:dyDescent="0.3">
      <c r="A135">
        <v>20602650643</v>
      </c>
      <c r="B135" t="s">
        <v>369</v>
      </c>
    </row>
    <row r="136" spans="1:2" x14ac:dyDescent="0.3">
      <c r="A136">
        <v>20602712657</v>
      </c>
      <c r="B136" t="s">
        <v>372</v>
      </c>
    </row>
    <row r="137" spans="1:2" x14ac:dyDescent="0.3">
      <c r="A137">
        <v>20602881971</v>
      </c>
      <c r="B137" t="s">
        <v>374</v>
      </c>
    </row>
    <row r="138" spans="1:2" x14ac:dyDescent="0.3">
      <c r="A138">
        <v>20603320621</v>
      </c>
      <c r="B138" t="s">
        <v>376</v>
      </c>
    </row>
    <row r="139" spans="1:2" x14ac:dyDescent="0.3">
      <c r="A139">
        <v>20603526423</v>
      </c>
      <c r="B139" t="s">
        <v>378</v>
      </c>
    </row>
    <row r="140" spans="1:2" x14ac:dyDescent="0.3">
      <c r="A140">
        <v>20603557825</v>
      </c>
      <c r="B140" t="s">
        <v>380</v>
      </c>
    </row>
    <row r="141" spans="1:2" x14ac:dyDescent="0.3">
      <c r="A141">
        <v>20603675551</v>
      </c>
      <c r="B141" t="s">
        <v>382</v>
      </c>
    </row>
    <row r="142" spans="1:2" x14ac:dyDescent="0.3">
      <c r="A142">
        <v>20603676476</v>
      </c>
      <c r="B142" t="s">
        <v>384</v>
      </c>
    </row>
    <row r="143" spans="1:2" x14ac:dyDescent="0.3">
      <c r="A143">
        <v>20603820691</v>
      </c>
      <c r="B143" t="s">
        <v>386</v>
      </c>
    </row>
    <row r="144" spans="1:2" x14ac:dyDescent="0.3">
      <c r="A144">
        <v>20603829515</v>
      </c>
      <c r="B144" t="s">
        <v>389</v>
      </c>
    </row>
    <row r="145" spans="1:2" x14ac:dyDescent="0.3">
      <c r="A145">
        <v>20603842511</v>
      </c>
      <c r="B145" t="s">
        <v>391</v>
      </c>
    </row>
    <row r="146" spans="1:2" x14ac:dyDescent="0.3">
      <c r="A146">
        <v>20603862369</v>
      </c>
      <c r="B146" t="s">
        <v>393</v>
      </c>
    </row>
    <row r="147" spans="1:2" x14ac:dyDescent="0.3">
      <c r="A147">
        <v>20604151954</v>
      </c>
      <c r="B147" t="s">
        <v>396</v>
      </c>
    </row>
    <row r="148" spans="1:2" x14ac:dyDescent="0.3">
      <c r="A148">
        <v>20604215600</v>
      </c>
      <c r="B148" t="s">
        <v>398</v>
      </c>
    </row>
    <row r="149" spans="1:2" x14ac:dyDescent="0.3">
      <c r="A149">
        <v>20604309728</v>
      </c>
      <c r="B149" t="s">
        <v>400</v>
      </c>
    </row>
    <row r="150" spans="1:2" x14ac:dyDescent="0.3">
      <c r="A150">
        <v>20604401187</v>
      </c>
      <c r="B150" t="s">
        <v>402</v>
      </c>
    </row>
    <row r="151" spans="1:2" x14ac:dyDescent="0.3">
      <c r="A151">
        <v>20604705411</v>
      </c>
      <c r="B151" t="s">
        <v>404</v>
      </c>
    </row>
    <row r="152" spans="1:2" x14ac:dyDescent="0.3">
      <c r="A152">
        <v>20604988200</v>
      </c>
      <c r="B152" t="s">
        <v>406</v>
      </c>
    </row>
    <row r="153" spans="1:2" x14ac:dyDescent="0.3">
      <c r="A153">
        <v>20605228489</v>
      </c>
      <c r="B153" t="s">
        <v>408</v>
      </c>
    </row>
    <row r="154" spans="1:2" x14ac:dyDescent="0.3">
      <c r="A154">
        <v>20605500430</v>
      </c>
      <c r="B154" t="s">
        <v>410</v>
      </c>
    </row>
    <row r="155" spans="1:2" x14ac:dyDescent="0.3">
      <c r="A155">
        <v>20605688170</v>
      </c>
      <c r="B155" t="s">
        <v>412</v>
      </c>
    </row>
    <row r="156" spans="1:2" x14ac:dyDescent="0.3">
      <c r="A156">
        <v>20606041382</v>
      </c>
      <c r="B156" t="s">
        <v>414</v>
      </c>
    </row>
    <row r="157" spans="1:2" x14ac:dyDescent="0.3">
      <c r="A157">
        <v>20606451122</v>
      </c>
      <c r="B157" t="s">
        <v>416</v>
      </c>
    </row>
    <row r="158" spans="1:2" x14ac:dyDescent="0.3">
      <c r="A158">
        <v>20606485281</v>
      </c>
      <c r="B158" t="s">
        <v>419</v>
      </c>
    </row>
    <row r="159" spans="1:2" x14ac:dyDescent="0.3">
      <c r="A159">
        <v>20606556331</v>
      </c>
      <c r="B159" t="s">
        <v>421</v>
      </c>
    </row>
    <row r="160" spans="1:2" x14ac:dyDescent="0.3">
      <c r="A160">
        <v>20606717475</v>
      </c>
      <c r="B160" t="s">
        <v>423</v>
      </c>
    </row>
    <row r="161" spans="1:2" x14ac:dyDescent="0.3">
      <c r="A161">
        <v>20607265624</v>
      </c>
      <c r="B161" t="s">
        <v>426</v>
      </c>
    </row>
    <row r="162" spans="1:2" x14ac:dyDescent="0.3">
      <c r="A162">
        <v>20607382604</v>
      </c>
      <c r="B162" t="s">
        <v>428</v>
      </c>
    </row>
    <row r="163" spans="1:2" x14ac:dyDescent="0.3">
      <c r="A163">
        <v>20607536016</v>
      </c>
      <c r="B163" t="s">
        <v>430</v>
      </c>
    </row>
    <row r="164" spans="1:2" x14ac:dyDescent="0.3">
      <c r="A164">
        <v>20607558559</v>
      </c>
      <c r="B164" t="s">
        <v>432</v>
      </c>
    </row>
    <row r="165" spans="1:2" x14ac:dyDescent="0.3">
      <c r="A165">
        <v>20607775185</v>
      </c>
      <c r="B165" t="s">
        <v>434</v>
      </c>
    </row>
    <row r="166" spans="1:2" x14ac:dyDescent="0.3">
      <c r="A166">
        <v>20608235648</v>
      </c>
      <c r="B166" t="s">
        <v>436</v>
      </c>
    </row>
    <row r="167" spans="1:2" x14ac:dyDescent="0.3">
      <c r="A167">
        <v>20608294512</v>
      </c>
      <c r="B167" t="s">
        <v>438</v>
      </c>
    </row>
    <row r="168" spans="1:2" x14ac:dyDescent="0.3">
      <c r="A168">
        <v>20608478311</v>
      </c>
      <c r="B168" t="s">
        <v>440</v>
      </c>
    </row>
    <row r="169" spans="1:2" x14ac:dyDescent="0.3">
      <c r="A169">
        <v>20609025353</v>
      </c>
      <c r="B169" t="s">
        <v>442</v>
      </c>
    </row>
    <row r="170" spans="1:2" x14ac:dyDescent="0.3">
      <c r="A170">
        <v>20609555395</v>
      </c>
      <c r="B170" t="s">
        <v>444</v>
      </c>
    </row>
    <row r="171" spans="1:2" x14ac:dyDescent="0.3">
      <c r="A171">
        <v>20609846314</v>
      </c>
      <c r="B171" t="s">
        <v>446</v>
      </c>
    </row>
    <row r="172" spans="1:2" x14ac:dyDescent="0.3">
      <c r="A172">
        <v>20610739491</v>
      </c>
      <c r="B172" t="s">
        <v>448</v>
      </c>
    </row>
    <row r="173" spans="1:2" x14ac:dyDescent="0.3">
      <c r="A173">
        <v>20610772553</v>
      </c>
      <c r="B173" t="s">
        <v>450</v>
      </c>
    </row>
    <row r="174" spans="1:2" x14ac:dyDescent="0.3">
      <c r="A174">
        <v>20611316616</v>
      </c>
    </row>
    <row r="175" spans="1:2" x14ac:dyDescent="0.3">
      <c r="A175">
        <v>20611935243</v>
      </c>
      <c r="B175" t="s">
        <v>454</v>
      </c>
    </row>
    <row r="176" spans="1:2" x14ac:dyDescent="0.3">
      <c r="A176">
        <v>20612331821</v>
      </c>
      <c r="B176" t="s">
        <v>456</v>
      </c>
    </row>
  </sheetData>
  <mergeCells count="1">
    <mergeCell ref="A1:DQ1"/>
  </mergeCells>
  <dataValidations count="10">
    <dataValidation type="whole" allowBlank="1" showInputMessage="1" showErrorMessage="1" error="Escala 0 a 4" sqref="AQ3:AQ176" xr:uid="{4FD670F1-EE2D-4ED5-AAAB-AC550D877A49}">
      <formula1>0</formula1>
      <formula2>4</formula2>
    </dataValidation>
    <dataValidation type="whole" allowBlank="1" showInputMessage="1" showErrorMessage="1" error="Valor 0 a 100" sqref="AR3:AR176" xr:uid="{99998FB9-12C8-4D72-BD81-232B316EDC86}">
      <formula1>0</formula1>
      <formula2>100</formula2>
    </dataValidation>
    <dataValidation type="whole" allowBlank="1" showInputMessage="1" showErrorMessage="1" error="Escala 0 a 4" sqref="AS3:AS176" xr:uid="{BBD6C65D-548A-4195-8EEF-7BC3CBFCA676}">
      <formula1>0</formula1>
      <formula2>4</formula2>
    </dataValidation>
    <dataValidation type="whole" allowBlank="1" showInputMessage="1" showErrorMessage="1" error="Valor 0 a 100" sqref="AY3:AY176" xr:uid="{7C82406E-530B-4F68-A81D-89A5AA759D91}">
      <formula1>0</formula1>
      <formula2>100</formula2>
    </dataValidation>
    <dataValidation type="whole" allowBlank="1" showInputMessage="1" showErrorMessage="1" error="Escala 0 a 4" sqref="BA3:BA176" xr:uid="{525D64A1-DF32-463F-9289-643013842867}">
      <formula1>0</formula1>
      <formula2>4</formula2>
    </dataValidation>
    <dataValidation type="whole" allowBlank="1" showInputMessage="1" showErrorMessage="1" error="Escala 0 a 4" sqref="BM3:BM176" xr:uid="{ABD59D12-4C11-4F50-B637-DC46A7FFCF25}">
      <formula1>0</formula1>
      <formula2>4</formula2>
    </dataValidation>
    <dataValidation type="whole" allowBlank="1" showInputMessage="1" showErrorMessage="1" error="Escala 0 a 4" sqref="BP3:BP176" xr:uid="{A64368E7-A674-4BDA-9B55-934F22AD0543}">
      <formula1>0</formula1>
      <formula2>4</formula2>
    </dataValidation>
    <dataValidation type="whole" allowBlank="1" showInputMessage="1" showErrorMessage="1" error="Escala 0 a 4" sqref="BQ3:BQ176" xr:uid="{068BA358-31E1-44D3-8E22-FBED3FE72DF7}">
      <formula1>0</formula1>
      <formula2>4</formula2>
    </dataValidation>
    <dataValidation type="whole" allowBlank="1" showInputMessage="1" showErrorMessage="1" error="Escala 0 a 4" sqref="CO3:CO176" xr:uid="{7ED36300-234E-4CCD-B03B-B4B96BC61A7B}">
      <formula1>0</formula1>
      <formula2>4</formula2>
    </dataValidation>
    <dataValidation type="whole" allowBlank="1" showInputMessage="1" showErrorMessage="1" error="Valor 0 a 100" sqref="CP3:CP176" xr:uid="{9C62F9C2-9A27-4FF9-9EAC-4573A05CCA79}">
      <formula1>0</formula1>
      <formula2>100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63">
        <x14:dataValidation type="list" allowBlank="1" showInputMessage="1" showErrorMessage="1" xr:uid="{7F842659-BBE7-4B2A-9E01-6A6C55E5CDD9}">
          <x14:formula1>
            <xm:f>CODIFICACION!$D$31:$D$33</xm:f>
          </x14:formula1>
          <xm:sqref>AE3:AE176</xm:sqref>
        </x14:dataValidation>
        <x14:dataValidation type="list" allowBlank="1" showInputMessage="1" showErrorMessage="1" xr:uid="{7AA4CEB1-F7FB-4E05-BBED-94262A72A04D}">
          <x14:formula1>
            <xm:f>CODIFICACION!$D$35:$D$37</xm:f>
          </x14:formula1>
          <xm:sqref>AG3:AG176</xm:sqref>
        </x14:dataValidation>
        <x14:dataValidation type="list" allowBlank="1" showInputMessage="1" showErrorMessage="1" xr:uid="{4DE48346-1ED5-46FC-BEE5-C26215AB5489}">
          <x14:formula1>
            <xm:f>CODIFICACION!$D$40:$D$43</xm:f>
          </x14:formula1>
          <xm:sqref>AJ3:AJ176</xm:sqref>
        </x14:dataValidation>
        <x14:dataValidation type="list" allowBlank="1" showInputMessage="1" showErrorMessage="1" xr:uid="{BA79561A-28D6-462F-A966-03465B14F2D7}">
          <x14:formula1>
            <xm:f>CODIFICACION!$D$44:$D$47</xm:f>
          </x14:formula1>
          <xm:sqref>AK3:AK176</xm:sqref>
        </x14:dataValidation>
        <x14:dataValidation type="list" allowBlank="1" showInputMessage="1" showErrorMessage="1" xr:uid="{FAC80A5F-1159-4856-9AD5-B7867936C641}">
          <x14:formula1>
            <xm:f>CODIFICACION!$D$48:$D$49</xm:f>
          </x14:formula1>
          <xm:sqref>AL3:AL176</xm:sqref>
        </x14:dataValidation>
        <x14:dataValidation type="list" allowBlank="1" showInputMessage="1" showErrorMessage="1" xr:uid="{FFB11785-5739-49EF-B935-B69477C7E396}">
          <x14:formula1>
            <xm:f>CODIFICACION!$D$51:$D$53</xm:f>
          </x14:formula1>
          <xm:sqref>AN3:AN176</xm:sqref>
        </x14:dataValidation>
        <x14:dataValidation type="list" allowBlank="1" showInputMessage="1" showErrorMessage="1" xr:uid="{5E839356-2A4B-4C53-94F5-8CCEC2422DFF}">
          <x14:formula1>
            <xm:f>CODIFICACION!$D$54:$D$56</xm:f>
          </x14:formula1>
          <xm:sqref>AO3:AO176</xm:sqref>
        </x14:dataValidation>
        <x14:dataValidation type="list" allowBlank="1" showInputMessage="1" showErrorMessage="1" xr:uid="{E0429C31-007A-4AD5-AA4F-A13361A3B815}">
          <x14:formula1>
            <xm:f>CODIFICACION!$D$57:$D$61</xm:f>
          </x14:formula1>
          <xm:sqref>AP3:AP176</xm:sqref>
        </x14:dataValidation>
        <x14:dataValidation type="list" allowBlank="1" showInputMessage="1" showErrorMessage="1" xr:uid="{0F0CE5BF-4138-4E1C-ABF7-BBEC33B20C9E}">
          <x14:formula1>
            <xm:f>CODIFICACION!$D$65:$D$69</xm:f>
          </x14:formula1>
          <xm:sqref>AT3:AT176</xm:sqref>
        </x14:dataValidation>
        <x14:dataValidation type="list" allowBlank="1" showInputMessage="1" showErrorMessage="1" xr:uid="{AC789739-926C-4B40-8C37-D932CB1E3C6C}">
          <x14:formula1>
            <xm:f>CODIFICACION!$D$70:$D$73</xm:f>
          </x14:formula1>
          <xm:sqref>AU3:AU176</xm:sqref>
        </x14:dataValidation>
        <x14:dataValidation type="list" allowBlank="1" showInputMessage="1" showErrorMessage="1" xr:uid="{4D0B5DED-680A-444F-A04C-C003C076F7BC}">
          <x14:formula1>
            <xm:f>CODIFICACION!$D$74:$D$76</xm:f>
          </x14:formula1>
          <xm:sqref>AV3:AV176</xm:sqref>
        </x14:dataValidation>
        <x14:dataValidation type="list" allowBlank="1" showInputMessage="1" showErrorMessage="1" xr:uid="{0D87B789-98F1-47DB-BD34-6FCB64C76243}">
          <x14:formula1>
            <xm:f>CODIFICACION!$D$77:$D$81</xm:f>
          </x14:formula1>
          <xm:sqref>AW3:AW176</xm:sqref>
        </x14:dataValidation>
        <x14:dataValidation type="list" allowBlank="1" showInputMessage="1" showErrorMessage="1" xr:uid="{523FD96C-CCAD-4151-A7CA-ED7C8A1DC1B3}">
          <x14:formula1>
            <xm:f>CODIFICACION!$D$82:$D$86</xm:f>
          </x14:formula1>
          <xm:sqref>AX3:AX176</xm:sqref>
        </x14:dataValidation>
        <x14:dataValidation type="list" allowBlank="1" showInputMessage="1" showErrorMessage="1" xr:uid="{E7CC7F07-5652-451F-9C86-672AC45CD15E}">
          <x14:formula1>
            <xm:f>CODIFICACION!$D$88:$D$92</xm:f>
          </x14:formula1>
          <xm:sqref>AZ3:AZ176</xm:sqref>
        </x14:dataValidation>
        <x14:dataValidation type="list" allowBlank="1" showInputMessage="1" showErrorMessage="1" xr:uid="{4617FC6E-6430-47B2-A052-CD2C871CB129}">
          <x14:formula1>
            <xm:f>CODIFICACION!$D$94:$D$96</xm:f>
          </x14:formula1>
          <xm:sqref>BB3:BB176</xm:sqref>
        </x14:dataValidation>
        <x14:dataValidation type="list" allowBlank="1" showInputMessage="1" showErrorMessage="1" xr:uid="{11320FB5-4887-44D2-8E22-BABA39922914}">
          <x14:formula1>
            <xm:f>CODIFICACION!$D$97:$D$100</xm:f>
          </x14:formula1>
          <xm:sqref>BC3:BC176</xm:sqref>
        </x14:dataValidation>
        <x14:dataValidation type="list" allowBlank="1" showInputMessage="1" showErrorMessage="1" xr:uid="{07A316D0-4F5C-4850-A14E-3C7BD5C05EE4}">
          <x14:formula1>
            <xm:f>CODIFICACION!$D$101:$D$104</xm:f>
          </x14:formula1>
          <xm:sqref>BD3:BD176</xm:sqref>
        </x14:dataValidation>
        <x14:dataValidation type="list" allowBlank="1" showInputMessage="1" showErrorMessage="1" xr:uid="{15C9152B-515C-469E-B700-7DF3ACF6DC8B}">
          <x14:formula1>
            <xm:f>CODIFICACION!$D$105:$D$107</xm:f>
          </x14:formula1>
          <xm:sqref>BE3:BE176</xm:sqref>
        </x14:dataValidation>
        <x14:dataValidation type="list" allowBlank="1" showInputMessage="1" showErrorMessage="1" xr:uid="{AC0124DB-067D-48AA-BE01-C457262FEA9C}">
          <x14:formula1>
            <xm:f>CODIFICACION!$D$108:$D$113</xm:f>
          </x14:formula1>
          <xm:sqref>BF3:BF176</xm:sqref>
        </x14:dataValidation>
        <x14:dataValidation type="list" allowBlank="1" showInputMessage="1" showErrorMessage="1" xr:uid="{E5018292-C2FF-4E34-A060-428B7413C973}">
          <x14:formula1>
            <xm:f>CODIFICACION!$D$114:$D$117</xm:f>
          </x14:formula1>
          <xm:sqref>BG3:BG176</xm:sqref>
        </x14:dataValidation>
        <x14:dataValidation type="list" allowBlank="1" showInputMessage="1" showErrorMessage="1" xr:uid="{170B842F-EBEB-48C9-BBE6-B4E1FC6F6781}">
          <x14:formula1>
            <xm:f>CODIFICACION!$D$118:$D$120</xm:f>
          </x14:formula1>
          <xm:sqref>BH3:BH176</xm:sqref>
        </x14:dataValidation>
        <x14:dataValidation type="list" allowBlank="1" showInputMessage="1" showErrorMessage="1" xr:uid="{38646309-EF7D-4571-9DCC-B245F59A8991}">
          <x14:formula1>
            <xm:f>CODIFICACION!$D$121:$D$124</xm:f>
          </x14:formula1>
          <xm:sqref>BI3:BI176</xm:sqref>
        </x14:dataValidation>
        <x14:dataValidation type="list" allowBlank="1" showInputMessage="1" showErrorMessage="1" xr:uid="{6D03F8B2-E34E-441D-97F1-CB1B920FD8EC}">
          <x14:formula1>
            <xm:f>CODIFICACION!$D$125:$D$128</xm:f>
          </x14:formula1>
          <xm:sqref>BJ3:BJ176</xm:sqref>
        </x14:dataValidation>
        <x14:dataValidation type="list" allowBlank="1" showInputMessage="1" showErrorMessage="1" xr:uid="{89746B0E-1339-47C6-964D-A3694CBDE4C7}">
          <x14:formula1>
            <xm:f>CODIFICACION!$D$129:$D$132</xm:f>
          </x14:formula1>
          <xm:sqref>BK3:BK176</xm:sqref>
        </x14:dataValidation>
        <x14:dataValidation type="list" allowBlank="1" showInputMessage="1" showErrorMessage="1" xr:uid="{EE5C2C9A-0302-4DC5-AED3-E035040F064D}">
          <x14:formula1>
            <xm:f>CODIFICACION!$D$133:$D$137</xm:f>
          </x14:formula1>
          <xm:sqref>BL3:BL176</xm:sqref>
        </x14:dataValidation>
        <x14:dataValidation type="list" allowBlank="1" showInputMessage="1" showErrorMessage="1" xr:uid="{72ABA785-AEED-4A45-B31E-A4310E07C6C2}">
          <x14:formula1>
            <xm:f>CODIFICACION!$D$139:$D$141</xm:f>
          </x14:formula1>
          <xm:sqref>BN3:BN176</xm:sqref>
        </x14:dataValidation>
        <x14:dataValidation type="list" allowBlank="1" showInputMessage="1" showErrorMessage="1" xr:uid="{4CF36F7D-CE4A-472B-98BC-4F0DDA719EB1}">
          <x14:formula1>
            <xm:f>CODIFICACION!$D$142:$D$145</xm:f>
          </x14:formula1>
          <xm:sqref>BO3:BO176</xm:sqref>
        </x14:dataValidation>
        <x14:dataValidation type="list" allowBlank="1" showInputMessage="1" showErrorMessage="1" xr:uid="{E7271453-36CF-49F7-9101-11A50E736F58}">
          <x14:formula1>
            <xm:f>CODIFICACION!$D$148:$D$150</xm:f>
          </x14:formula1>
          <xm:sqref>BR3:BR176</xm:sqref>
        </x14:dataValidation>
        <x14:dataValidation type="list" allowBlank="1" showInputMessage="1" showErrorMessage="1" xr:uid="{1771DCE5-5C0A-4673-A33E-2E62F95B2A6C}">
          <x14:formula1>
            <xm:f>CODIFICACION!$D$151:$D$154</xm:f>
          </x14:formula1>
          <xm:sqref>BS3:BS176</xm:sqref>
        </x14:dataValidation>
        <x14:dataValidation type="list" allowBlank="1" showInputMessage="1" showErrorMessage="1" xr:uid="{33F4CF50-D89B-439E-9F0C-4B6F6B59805A}">
          <x14:formula1>
            <xm:f>CODIFICACION!$D$156:$D$158</xm:f>
          </x14:formula1>
          <xm:sqref>BU3:BU176</xm:sqref>
        </x14:dataValidation>
        <x14:dataValidation type="list" allowBlank="1" showInputMessage="1" showErrorMessage="1" xr:uid="{AD5BDAD1-FDE5-4055-A666-E10832A2E015}">
          <x14:formula1>
            <xm:f>CODIFICACION!$D$159:$D$161</xm:f>
          </x14:formula1>
          <xm:sqref>BV3:BV176</xm:sqref>
        </x14:dataValidation>
        <x14:dataValidation type="list" allowBlank="1" showInputMessage="1" showErrorMessage="1" xr:uid="{573CC4CC-C2EB-4F44-89C4-3A64C2BDABC9}">
          <x14:formula1>
            <xm:f>CODIFICACION!$D$162:$D$164</xm:f>
          </x14:formula1>
          <xm:sqref>BW3:BW176</xm:sqref>
        </x14:dataValidation>
        <x14:dataValidation type="list" allowBlank="1" showInputMessage="1" showErrorMessage="1" xr:uid="{F36564AB-9674-43C8-8660-049FF7CAA084}">
          <x14:formula1>
            <xm:f>CODIFICACION!$D$165:$D$167</xm:f>
          </x14:formula1>
          <xm:sqref>BX3:BX176</xm:sqref>
        </x14:dataValidation>
        <x14:dataValidation type="list" allowBlank="1" showInputMessage="1" showErrorMessage="1" xr:uid="{CCA0D478-C3E9-4915-B49D-0DD793B071D3}">
          <x14:formula1>
            <xm:f>CODIFICACION!$D$168:$D$171</xm:f>
          </x14:formula1>
          <xm:sqref>BY3:BY176</xm:sqref>
        </x14:dataValidation>
        <x14:dataValidation type="list" allowBlank="1" showInputMessage="1" showErrorMessage="1" xr:uid="{44DED3C5-DDD7-4FB3-8974-E447C4ABF587}">
          <x14:formula1>
            <xm:f>CODIFICACION!$D$172:$D$175</xm:f>
          </x14:formula1>
          <xm:sqref>BZ3:BZ176</xm:sqref>
        </x14:dataValidation>
        <x14:dataValidation type="list" allowBlank="1" showInputMessage="1" showErrorMessage="1" xr:uid="{C0EA4C22-60DA-406A-98E2-729D4A7C9146}">
          <x14:formula1>
            <xm:f>CODIFICACION!$D$176:$D$179</xm:f>
          </x14:formula1>
          <xm:sqref>CA3:CA176</xm:sqref>
        </x14:dataValidation>
        <x14:dataValidation type="list" allowBlank="1" showInputMessage="1" showErrorMessage="1" xr:uid="{2ED7CFB5-2934-4C92-A67E-8B57E3B015B1}">
          <x14:formula1>
            <xm:f>CODIFICACION!$D$180:$D$182</xm:f>
          </x14:formula1>
          <xm:sqref>CB3:CB176</xm:sqref>
        </x14:dataValidation>
        <x14:dataValidation type="list" allowBlank="1" showInputMessage="1" showErrorMessage="1" xr:uid="{C24DAD6D-E249-4C44-BD5E-D649ED7C09BA}">
          <x14:formula1>
            <xm:f>CODIFICACION!$D$183:$D$185</xm:f>
          </x14:formula1>
          <xm:sqref>CC3:CC176</xm:sqref>
        </x14:dataValidation>
        <x14:dataValidation type="list" allowBlank="1" showInputMessage="1" showErrorMessage="1" xr:uid="{6D4EB1FD-6F1B-4243-8776-40D6B1BC0835}">
          <x14:formula1>
            <xm:f>CODIFICACION!$D$186:$D$189</xm:f>
          </x14:formula1>
          <xm:sqref>CD3:CD176</xm:sqref>
        </x14:dataValidation>
        <x14:dataValidation type="list" allowBlank="1" showInputMessage="1" showErrorMessage="1" xr:uid="{A0957FD8-39DC-40DC-B154-71AABB56233C}">
          <x14:formula1>
            <xm:f>CODIFICACION!$D$190:$D$193</xm:f>
          </x14:formula1>
          <xm:sqref>CE3:CE176</xm:sqref>
        </x14:dataValidation>
        <x14:dataValidation type="list" allowBlank="1" showInputMessage="1" showErrorMessage="1" xr:uid="{572482AD-61B3-4F7E-94C9-5DCD4FF0A89E}">
          <x14:formula1>
            <xm:f>CODIFICACION!$D$194:$D$199</xm:f>
          </x14:formula1>
          <xm:sqref>CF3:CF176</xm:sqref>
        </x14:dataValidation>
        <x14:dataValidation type="list" allowBlank="1" showInputMessage="1" showErrorMessage="1" xr:uid="{87ED1390-27A4-413F-A646-EF09A2FDCFA7}">
          <x14:formula1>
            <xm:f>CODIFICACION!$D$200:$D$203</xm:f>
          </x14:formula1>
          <xm:sqref>CG3:CG176</xm:sqref>
        </x14:dataValidation>
        <x14:dataValidation type="list" allowBlank="1" showInputMessage="1" showErrorMessage="1" xr:uid="{E1DCD612-4E26-45AC-865B-524B81C141A1}">
          <x14:formula1>
            <xm:f>CODIFICACION!$D$204:$D$206</xm:f>
          </x14:formula1>
          <xm:sqref>CH3:CH176</xm:sqref>
        </x14:dataValidation>
        <x14:dataValidation type="list" allowBlank="1" showInputMessage="1" showErrorMessage="1" xr:uid="{8E911AA9-3695-43C1-B217-F5DD4BBB4829}">
          <x14:formula1>
            <xm:f>CODIFICACION!$D$207:$D$208</xm:f>
          </x14:formula1>
          <xm:sqref>CI3:CI176</xm:sqref>
        </x14:dataValidation>
        <x14:dataValidation type="list" allowBlank="1" showInputMessage="1" showErrorMessage="1" xr:uid="{1FB4D1DD-D770-4DE7-B14F-DFC8E1AD6055}">
          <x14:formula1>
            <xm:f>CODIFICACION!$D$209:$D$212</xm:f>
          </x14:formula1>
          <xm:sqref>CJ3:CJ176</xm:sqref>
        </x14:dataValidation>
        <x14:dataValidation type="list" allowBlank="1" showInputMessage="1" showErrorMessage="1" xr:uid="{23927A61-5804-4F5E-A3EC-A8DBAE342A7A}">
          <x14:formula1>
            <xm:f>CODIFICACION!$D$213:$D$216</xm:f>
          </x14:formula1>
          <xm:sqref>CK3:CK176</xm:sqref>
        </x14:dataValidation>
        <x14:dataValidation type="list" allowBlank="1" showInputMessage="1" showErrorMessage="1" xr:uid="{3E238309-6121-415C-96E4-C3F71146D286}">
          <x14:formula1>
            <xm:f>CODIFICACION!$D$218:$D$221</xm:f>
          </x14:formula1>
          <xm:sqref>CM3:CM176</xm:sqref>
        </x14:dataValidation>
        <x14:dataValidation type="list" allowBlank="1" showInputMessage="1" showErrorMessage="1" xr:uid="{309E89E3-4B8C-4D12-B760-9D51CBCC3E8B}">
          <x14:formula1>
            <xm:f>CODIFICACION!$D$222:$D$225</xm:f>
          </x14:formula1>
          <xm:sqref>CN3:CN176</xm:sqref>
        </x14:dataValidation>
        <x14:dataValidation type="list" allowBlank="1" showInputMessage="1" showErrorMessage="1" xr:uid="{3868421C-6C9D-407E-967B-A65726CA4DBE}">
          <x14:formula1>
            <xm:f>CODIFICACION!$D$228:$D$230</xm:f>
          </x14:formula1>
          <xm:sqref>CQ3:CQ176</xm:sqref>
        </x14:dataValidation>
        <x14:dataValidation type="list" allowBlank="1" showInputMessage="1" showErrorMessage="1" xr:uid="{E175EDB1-313E-4E7B-9786-DFC621AF7BB9}">
          <x14:formula1>
            <xm:f>CODIFICACION!$D$231:$D$233</xm:f>
          </x14:formula1>
          <xm:sqref>CR3:CR176</xm:sqref>
        </x14:dataValidation>
        <x14:dataValidation type="list" allowBlank="1" showInputMessage="1" showErrorMessage="1" xr:uid="{25E0EEB5-610D-427C-BCE6-5137BBF5D5E9}">
          <x14:formula1>
            <xm:f>CODIFICACION!$D$234:$D$237</xm:f>
          </x14:formula1>
          <xm:sqref>CS3:CS176</xm:sqref>
        </x14:dataValidation>
        <x14:dataValidation type="list" allowBlank="1" showInputMessage="1" showErrorMessage="1" xr:uid="{6BD1EA8A-CCB6-4518-98C9-0607DE46495D}">
          <x14:formula1>
            <xm:f>CODIFICACION!$D$238:$D$242</xm:f>
          </x14:formula1>
          <xm:sqref>CT3:CT176</xm:sqref>
        </x14:dataValidation>
        <x14:dataValidation type="list" allowBlank="1" showInputMessage="1" showErrorMessage="1" xr:uid="{F3435D89-244E-4A03-B740-DC8F463CC4B7}">
          <x14:formula1>
            <xm:f>CODIFICACION!$D$243:$D$246</xm:f>
          </x14:formula1>
          <xm:sqref>CU3:CU176</xm:sqref>
        </x14:dataValidation>
        <x14:dataValidation type="list" allowBlank="1" showInputMessage="1" showErrorMessage="1" xr:uid="{B23E507D-E006-411F-BD70-C2C0F87B2053}">
          <x14:formula1>
            <xm:f>CODIFICACION!$D$247:$D$250</xm:f>
          </x14:formula1>
          <xm:sqref>CV3:CV176</xm:sqref>
        </x14:dataValidation>
        <x14:dataValidation type="list" allowBlank="1" showInputMessage="1" showErrorMessage="1" xr:uid="{08CAAE3E-BDD1-4064-AA67-5499AA36B9BE}">
          <x14:formula1>
            <xm:f>CODIFICACION!$D$251:$D$252</xm:f>
          </x14:formula1>
          <xm:sqref>CW3:CW176</xm:sqref>
        </x14:dataValidation>
        <x14:dataValidation type="list" allowBlank="1" showInputMessage="1" showErrorMessage="1" xr:uid="{427FA90E-3A6B-4199-9690-3D032C27CF80}">
          <x14:formula1>
            <xm:f>CODIFICACION!$D$253:$D$256</xm:f>
          </x14:formula1>
          <xm:sqref>CX3:CX176</xm:sqref>
        </x14:dataValidation>
        <x14:dataValidation type="list" allowBlank="1" showInputMessage="1" showErrorMessage="1" xr:uid="{7FBC6016-7B01-4B84-8C4E-12BB38E0EE62}">
          <x14:formula1>
            <xm:f>CODIFICACION!$D$259:$D$262</xm:f>
          </x14:formula1>
          <xm:sqref>DA3:DA176</xm:sqref>
        </x14:dataValidation>
        <x14:dataValidation type="list" allowBlank="1" showInputMessage="1" showErrorMessage="1" xr:uid="{4ABB5269-7661-4F4B-A6BA-94C747B5C360}">
          <x14:formula1>
            <xm:f>CODIFICACION!$D$263:$D$265</xm:f>
          </x14:formula1>
          <xm:sqref>DB3:DB176</xm:sqref>
        </x14:dataValidation>
        <x14:dataValidation type="list" allowBlank="1" showInputMessage="1" showErrorMessage="1" xr:uid="{A1AF5597-E655-45AF-B77A-E63C62172356}">
          <x14:formula1>
            <xm:f>CODIFICACION!$D$266:$D$268</xm:f>
          </x14:formula1>
          <xm:sqref>DC3:DC176</xm:sqref>
        </x14:dataValidation>
        <x14:dataValidation type="list" allowBlank="1" showInputMessage="1" showErrorMessage="1" xr:uid="{E3BB849B-559A-4C3D-9E5F-62CEA0FCA310}">
          <x14:formula1>
            <xm:f>CODIFICACION!$D$269:$D$271</xm:f>
          </x14:formula1>
          <xm:sqref>DD3:DD176</xm:sqref>
        </x14:dataValidation>
        <x14:dataValidation type="list" allowBlank="1" showInputMessage="1" showErrorMessage="1" xr:uid="{685731B1-9607-4BB5-99BC-E8331ABD6D7F}">
          <x14:formula1>
            <xm:f>CODIFICACION!$D$272:$D$274</xm:f>
          </x14:formula1>
          <xm:sqref>DE3:DE176</xm:sqref>
        </x14:dataValidation>
        <x14:dataValidation type="list" allowBlank="1" showInputMessage="1" showErrorMessage="1" xr:uid="{ED2C1DFC-5FCC-49D3-BB22-DF67946F9939}">
          <x14:formula1>
            <xm:f>CODIFICACION!$D$275:$D$279</xm:f>
          </x14:formula1>
          <xm:sqref>DF3:DF176</xm:sqref>
        </x14:dataValidation>
        <x14:dataValidation type="list" allowBlank="1" showInputMessage="1" showErrorMessage="1" xr:uid="{3E620D54-2A7F-4D05-BC73-333B333E945D}">
          <x14:formula1>
            <xm:f>CODIFICACION!$D$280:$D$282</xm:f>
          </x14:formula1>
          <xm:sqref>DG3:DG176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1F476-26F7-4F9F-82D0-9A6BF15A8AAA}">
  <dimension ref="A1:CL176"/>
  <sheetViews>
    <sheetView tabSelected="1" workbookViewId="0"/>
  </sheetViews>
  <sheetFormatPr baseColWidth="10" defaultRowHeight="14.4" x14ac:dyDescent="0.3"/>
  <cols>
    <col min="1" max="1" width="15.77734375" customWidth="1"/>
    <col min="2" max="2" width="30.77734375" customWidth="1"/>
    <col min="3" max="90" width="9.33203125" customWidth="1"/>
  </cols>
  <sheetData>
    <row r="1" spans="1:90" x14ac:dyDescent="0.3">
      <c r="A1" s="67" t="s">
        <v>1543</v>
      </c>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c r="BN1" s="55"/>
      <c r="BO1" s="55"/>
      <c r="BP1" s="55"/>
      <c r="BQ1" s="55"/>
      <c r="BR1" s="55"/>
      <c r="BS1" s="55"/>
      <c r="BT1" s="55"/>
      <c r="BU1" s="55"/>
      <c r="BV1" s="55"/>
      <c r="BW1" s="55"/>
      <c r="BX1" s="55"/>
      <c r="BY1" s="55"/>
      <c r="BZ1" s="55"/>
      <c r="CA1" s="55"/>
      <c r="CB1" s="55"/>
      <c r="CC1" s="55"/>
      <c r="CD1" s="55"/>
      <c r="CE1" s="55"/>
      <c r="CF1" s="55"/>
      <c r="CG1" s="55"/>
      <c r="CH1" s="55"/>
      <c r="CI1" s="55"/>
      <c r="CJ1" s="55"/>
      <c r="CK1" s="55"/>
      <c r="CL1" s="55"/>
    </row>
    <row r="2" spans="1:90" ht="60" customHeight="1" x14ac:dyDescent="0.3">
      <c r="A2" s="76" t="s">
        <v>21</v>
      </c>
      <c r="B2" s="76" t="s">
        <v>913</v>
      </c>
      <c r="C2" s="77" t="s">
        <v>548</v>
      </c>
      <c r="D2" s="77" t="s">
        <v>12</v>
      </c>
      <c r="E2" s="77" t="s">
        <v>14</v>
      </c>
      <c r="F2" s="77" t="s">
        <v>17</v>
      </c>
      <c r="G2" s="77" t="s">
        <v>18</v>
      </c>
      <c r="H2" s="77" t="s">
        <v>618</v>
      </c>
      <c r="I2" s="77" t="s">
        <v>627</v>
      </c>
      <c r="J2" s="77" t="s">
        <v>631</v>
      </c>
      <c r="K2" s="77" t="s">
        <v>633</v>
      </c>
      <c r="L2" s="77" t="s">
        <v>637</v>
      </c>
      <c r="M2" s="77" t="s">
        <v>643</v>
      </c>
      <c r="N2" s="77" t="s">
        <v>645</v>
      </c>
      <c r="O2" s="77" t="s">
        <v>648</v>
      </c>
      <c r="P2" s="77" t="s">
        <v>651</v>
      </c>
      <c r="Q2" s="77" t="s">
        <v>654</v>
      </c>
      <c r="R2" s="77" t="s">
        <v>658</v>
      </c>
      <c r="S2" s="77" t="s">
        <v>661</v>
      </c>
      <c r="T2" s="77" t="s">
        <v>666</v>
      </c>
      <c r="U2" s="77" t="s">
        <v>670</v>
      </c>
      <c r="V2" s="77" t="s">
        <v>673</v>
      </c>
      <c r="W2" s="77" t="s">
        <v>675</v>
      </c>
      <c r="X2" s="77" t="s">
        <v>678</v>
      </c>
      <c r="Y2" s="77" t="s">
        <v>681</v>
      </c>
      <c r="Z2" s="77" t="s">
        <v>684</v>
      </c>
      <c r="AA2" s="77" t="s">
        <v>686</v>
      </c>
      <c r="AB2" s="77" t="s">
        <v>689</v>
      </c>
      <c r="AC2" s="77" t="s">
        <v>692</v>
      </c>
      <c r="AD2" s="77" t="s">
        <v>695</v>
      </c>
      <c r="AE2" s="77" t="s">
        <v>698</v>
      </c>
      <c r="AF2" s="77" t="s">
        <v>701</v>
      </c>
      <c r="AG2" s="77" t="s">
        <v>706</v>
      </c>
      <c r="AH2" s="77" t="s">
        <v>711</v>
      </c>
      <c r="AI2" s="77" t="s">
        <v>713</v>
      </c>
      <c r="AJ2" s="77" t="s">
        <v>716</v>
      </c>
      <c r="AK2" s="77" t="s">
        <v>721</v>
      </c>
      <c r="AL2" s="77" t="s">
        <v>725</v>
      </c>
      <c r="AM2" s="77" t="s">
        <v>727</v>
      </c>
      <c r="AN2" s="77" t="s">
        <v>730</v>
      </c>
      <c r="AO2" s="77" t="s">
        <v>733</v>
      </c>
      <c r="AP2" s="77" t="s">
        <v>736</v>
      </c>
      <c r="AQ2" s="77" t="s">
        <v>739</v>
      </c>
      <c r="AR2" s="77" t="s">
        <v>742</v>
      </c>
      <c r="AS2" s="77" t="s">
        <v>745</v>
      </c>
      <c r="AT2" s="77" t="s">
        <v>749</v>
      </c>
      <c r="AU2" s="77" t="s">
        <v>754</v>
      </c>
      <c r="AV2" s="77" t="s">
        <v>757</v>
      </c>
      <c r="AW2" s="77" t="s">
        <v>760</v>
      </c>
      <c r="AX2" s="77" t="s">
        <v>763</v>
      </c>
      <c r="AY2" s="77" t="s">
        <v>766</v>
      </c>
      <c r="AZ2" s="77" t="s">
        <v>769</v>
      </c>
      <c r="BA2" s="77" t="s">
        <v>772</v>
      </c>
      <c r="BB2" s="77" t="s">
        <v>775</v>
      </c>
      <c r="BC2" s="77" t="s">
        <v>779</v>
      </c>
      <c r="BD2" s="77" t="s">
        <v>784</v>
      </c>
      <c r="BE2" s="77" t="s">
        <v>786</v>
      </c>
      <c r="BF2" s="77" t="s">
        <v>789</v>
      </c>
      <c r="BG2" s="77" t="s">
        <v>792</v>
      </c>
      <c r="BH2" s="77" t="s">
        <v>795</v>
      </c>
      <c r="BI2" s="77" t="s">
        <v>799</v>
      </c>
      <c r="BJ2" s="77" t="s">
        <v>804</v>
      </c>
      <c r="BK2" s="77" t="s">
        <v>808</v>
      </c>
      <c r="BL2" s="77" t="s">
        <v>810</v>
      </c>
      <c r="BM2" s="77" t="s">
        <v>813</v>
      </c>
      <c r="BN2" s="77" t="s">
        <v>817</v>
      </c>
      <c r="BO2" s="77" t="s">
        <v>822</v>
      </c>
      <c r="BP2" s="77" t="s">
        <v>825</v>
      </c>
      <c r="BQ2" s="77" t="s">
        <v>829</v>
      </c>
      <c r="BR2" s="77" t="s">
        <v>834</v>
      </c>
      <c r="BS2" s="77" t="s">
        <v>836</v>
      </c>
      <c r="BT2" s="77" t="s">
        <v>840</v>
      </c>
      <c r="BU2" s="77" t="s">
        <v>847</v>
      </c>
      <c r="BV2" s="77" t="s">
        <v>851</v>
      </c>
      <c r="BW2" s="77" t="s">
        <v>856</v>
      </c>
      <c r="BX2" s="77" t="s">
        <v>861</v>
      </c>
      <c r="BY2" s="77" t="s">
        <v>866</v>
      </c>
      <c r="BZ2" s="77" t="s">
        <v>872</v>
      </c>
      <c r="CA2" s="77" t="s">
        <v>877</v>
      </c>
      <c r="CB2" s="77" t="s">
        <v>1058</v>
      </c>
      <c r="CC2" s="77" t="s">
        <v>1059</v>
      </c>
      <c r="CD2" s="77" t="s">
        <v>1060</v>
      </c>
      <c r="CE2" s="77" t="s">
        <v>1061</v>
      </c>
      <c r="CF2" s="77" t="s">
        <v>1062</v>
      </c>
      <c r="CG2" s="77" t="s">
        <v>1063</v>
      </c>
      <c r="CH2" s="77" t="s">
        <v>1064</v>
      </c>
      <c r="CI2" s="77" t="s">
        <v>1065</v>
      </c>
      <c r="CJ2" s="77" t="s">
        <v>1066</v>
      </c>
      <c r="CK2" s="77" t="s">
        <v>1067</v>
      </c>
      <c r="CL2" s="77" t="s">
        <v>1068</v>
      </c>
    </row>
    <row r="3" spans="1:90" x14ac:dyDescent="0.3">
      <c r="A3">
        <f>CAPTURA!A3</f>
        <v>20118578415</v>
      </c>
      <c r="B3">
        <f>CAPTURA!C3</f>
        <v>0</v>
      </c>
      <c r="C3" t="str">
        <f t="shared" ref="C3:C34" si="0">IF(M3="","",ROUND((ISNUMBER(SEARCH("Alemania",M3))+ISNUMBER(SEARCH("Bélgica",M3))+ISNUMBER(SEARCH("Países Bajos",M3))+ISNUMBER(SEARCH("Francia",M3))+ISNUMBER(SEARCH("Italia",M3))+ISNUMBER(SEARCH("España",M3))+ISNUMBER(SEARCH("Suecia",M3))+ISNUMBER(SEARCH("Dinamarca",M3)))/((LEN(M3)-LEN(SUBSTITUTE(M3,";","")))+1)*100,1))</f>
        <v/>
      </c>
      <c r="D3" t="str">
        <f>IF(AE3="","",IFERROR(IF(INDEX(CODIFICACION!$E$2:$E$500,MATCH("P8|"&amp;AE3,CODIFICACION!$F$2:$F$500,0))="sin dato","",INDEX(CODIFICACION!$E$2:$E$500,MATCH("P8|"&amp;AE3,CODIFICACION!$F$2:$F$500,0))),"⚠"))</f>
        <v/>
      </c>
      <c r="E3" t="str">
        <f>IF(AG3="","",IFERROR(IF(INDEX(CODIFICACION!$E$2:$E$500,MATCH("P10|"&amp;AG3,CODIFICACION!$F$2:$F$500,0))="sin dato","",INDEX(CODIFICACION!$E$2:$E$500,MATCH("P10|"&amp;AG3,CODIFICACION!$F$2:$F$500,0))),"⚠"))</f>
        <v/>
      </c>
      <c r="F3" t="str">
        <f>IF(AJ3="","",IFERROR(IF(INDEX(CODIFICACION!$E$2:$E$500,MATCH("P13|"&amp;AJ3,CODIFICACION!$F$2:$F$500,0))="sin dato","",INDEX(CODIFICACION!$E$2:$E$500,MATCH("P13|"&amp;AJ3,CODIFICACION!$F$2:$F$500,0))),"⚠"))</f>
        <v/>
      </c>
      <c r="G3" t="str">
        <f>IF(AK3="","",IFERROR(IF(INDEX(CODIFICACION!$E$2:$E$500,MATCH("P14|"&amp;AK3,CODIFICACION!$F$2:$F$500,0))="sin dato","",INDEX(CODIFICACION!$E$2:$E$500,MATCH("P14|"&amp;AK3,CODIFICACION!$F$2:$F$500,0))),"⚠"))</f>
        <v/>
      </c>
      <c r="H3" t="str">
        <f>IF(AL3="","",IFERROR(IF(INDEX(CODIFICACION!$E$2:$E$500,MATCH("D1.1|"&amp;AL3,CODIFICACION!$F$2:$F$500,0))="sin dato","",INDEX(CODIFICACION!$E$2:$E$500,MATCH("D1.1|"&amp;AL3,CODIFICACION!$F$2:$F$500,0))),"⚠"))</f>
        <v/>
      </c>
      <c r="I3" t="str">
        <f>IF(AN3="","",IFERROR(IF(INDEX(CODIFICACION!$E$2:$E$500,MATCH("D1.3|"&amp;AN3,CODIFICACION!$F$2:$F$500,0))="sin dato","",INDEX(CODIFICACION!$E$2:$E$500,MATCH("D1.3|"&amp;AN3,CODIFICACION!$F$2:$F$500,0))),"⚠"))</f>
        <v/>
      </c>
      <c r="J3" t="str">
        <f>IF(AO3="","",IFERROR(IF(INDEX(CODIFICACION!$E$2:$E$500,MATCH("D1.4|"&amp;AO3,CODIFICACION!$F$2:$F$500,0))="sin dato","",INDEX(CODIFICACION!$E$2:$E$500,MATCH("D1.4|"&amp;AO3,CODIFICACION!$F$2:$F$500,0))),"⚠"))</f>
        <v/>
      </c>
      <c r="K3" t="str">
        <f>IF(AP3="","",IFERROR(IF(INDEX(CODIFICACION!$E$2:$E$500,MATCH("D1.3a|"&amp;AP3,CODIFICACION!$F$2:$F$500,0))="sin dato","",INDEX(CODIFICACION!$E$2:$E$500,MATCH("D1.3a|"&amp;AP3,CODIFICACION!$F$2:$F$500,0))),"⚠"))</f>
        <v/>
      </c>
      <c r="L3" t="str">
        <f t="shared" ref="L3:L34" si="1">IF(AQ3="","",IF(AND(ISNUMBER(AQ3),AQ3&gt;=0,AQ3&lt;=4),AQ3*25,"⚠"))</f>
        <v/>
      </c>
      <c r="M3" t="str">
        <f t="shared" ref="M3:M34" si="2">IF(AR3="","",IF(ISNUMBER(AR3),MAX(0,MIN(100,AR3)),"⚠"))</f>
        <v/>
      </c>
      <c r="N3" t="str">
        <f t="shared" ref="N3:N34" si="3">IF(AS3="","",IF(AND(ISNUMBER(AS3),AS3&gt;=0,AS3&lt;=4),AS3*25,"⚠"))</f>
        <v/>
      </c>
      <c r="O3" t="str">
        <f>IF(AT3="","",IFERROR(IF(INDEX(CODIFICACION!$E$2:$E$500,MATCH("D2.8|"&amp;AT3,CODIFICACION!$F$2:$F$500,0))="sin dato","",INDEX(CODIFICACION!$E$2:$E$500,MATCH("D2.8|"&amp;AT3,CODIFICACION!$F$2:$F$500,0))),"⚠"))</f>
        <v/>
      </c>
      <c r="P3" t="str">
        <f>IF(AU3="","",IFERROR(IF(INDEX(CODIFICACION!$E$2:$E$500,MATCH("D2.9|"&amp;AU3,CODIFICACION!$F$2:$F$500,0))="sin dato","",INDEX(CODIFICACION!$E$2:$E$500,MATCH("D2.9|"&amp;AU3,CODIFICACION!$F$2:$F$500,0))),"⚠"))</f>
        <v/>
      </c>
      <c r="Q3" t="str">
        <f>IF(AV3="","",IFERROR(IF(INDEX(CODIFICACION!$E$2:$E$500,MATCH("D2.10|"&amp;AV3,CODIFICACION!$F$2:$F$500,0))="sin dato","",INDEX(CODIFICACION!$E$2:$E$500,MATCH("D2.10|"&amp;AV3,CODIFICACION!$F$2:$F$500,0))),"⚠"))</f>
        <v/>
      </c>
      <c r="R3" t="str">
        <f>IF(AW3="","",IFERROR(IF(INDEX(CODIFICACION!$E$2:$E$500,MATCH("D2.5a|"&amp;AW3,CODIFICACION!$F$2:$F$500,0))="sin dato","",INDEX(CODIFICACION!$E$2:$E$500,MATCH("D2.5a|"&amp;AW3,CODIFICACION!$F$2:$F$500,0))),"⚠"))</f>
        <v/>
      </c>
      <c r="S3" t="str">
        <f ca="1">IF(AX3="","",IFERROR(IF(INDEX(CODIFICACION!$E$2:$E$500,MATCH("D2.5b|"&amp;AX3,CODIFICACION!$F$2:$F$500,0))="sin dato","",INDEX(CODIFICACION!$E$2:$E$500,MATCH("D2.5b|"&amp;AX3,CODIFICACION!$F$2:$F$500,0))),"⚠"))</f>
        <v/>
      </c>
      <c r="T3" t="str">
        <f t="shared" ref="T3:T34" ca="1" si="4">IF(AY3="","",IF(ISNUMBER(AY3),MAX(0,MIN(100,AY3)),"⚠"))</f>
        <v/>
      </c>
      <c r="U3" t="str">
        <f>IF(AZ3="","",IFERROR(IF(INDEX(CODIFICACION!$E$2:$E$500,MATCH("D3.12|"&amp;AZ3,CODIFICACION!$F$2:$F$500,0))="sin dato","",INDEX(CODIFICACION!$E$2:$E$500,MATCH("D3.12|"&amp;AZ3,CODIFICACION!$F$2:$F$500,0))),"⚠"))</f>
        <v/>
      </c>
      <c r="V3" t="str">
        <f t="shared" ref="V3:V34" si="5">IF(BA3="","",IF(AND(ISNUMBER(BA3),BA3&gt;=0,BA3&lt;=4),BA3*25,"⚠"))</f>
        <v/>
      </c>
      <c r="W3" t="str">
        <f ca="1">IF(BB3="","",IFERROR(IF(INDEX(CODIFICACION!$E$2:$E$500,MATCH("D3.14|"&amp;BB3,CODIFICACION!$F$2:$F$500,0))="sin dato","",INDEX(CODIFICACION!$E$2:$E$500,MATCH("D3.14|"&amp;BB3,CODIFICACION!$F$2:$F$500,0))),"⚠"))</f>
        <v/>
      </c>
      <c r="X3" t="str">
        <f ca="1">IF(BC3="","",IFERROR(IF(INDEX(CODIFICACION!$E$2:$E$500,MATCH("D3.14a|"&amp;BC3,CODIFICACION!$F$2:$F$500,0))="sin dato","",INDEX(CODIFICACION!$E$2:$E$500,MATCH("D3.14a|"&amp;BC3,CODIFICACION!$F$2:$F$500,0))),"⚠"))</f>
        <v/>
      </c>
      <c r="Y3" t="str">
        <f>IF(BD3="","",IFERROR(IF(INDEX(CODIFICACION!$E$2:$E$500,MATCH("D3.14b|"&amp;BD3,CODIFICACION!$F$2:$F$500,0))="sin dato","",INDEX(CODIFICACION!$E$2:$E$500,MATCH("D3.14b|"&amp;BD3,CODIFICACION!$F$2:$F$500,0))),"⚠"))</f>
        <v/>
      </c>
      <c r="Z3" t="str">
        <f>IF(BE3="","",IFERROR(IF(INDEX(CODIFICACION!$E$2:$E$500,MATCH("D3.14c|"&amp;BE3,CODIFICACION!$F$2:$F$500,0))="sin dato","",INDEX(CODIFICACION!$E$2:$E$500,MATCH("D3.14c|"&amp;BE3,CODIFICACION!$F$2:$F$500,0))),"⚠"))</f>
        <v/>
      </c>
      <c r="AA3" t="str">
        <f>IF(BF3="","",IFERROR(IF(INDEX(CODIFICACION!$E$2:$E$500,MATCH("D3.14d|"&amp;BF3,CODIFICACION!$F$2:$F$500,0))="sin dato","",INDEX(CODIFICACION!$E$2:$E$500,MATCH("D3.14d|"&amp;BF3,CODIFICACION!$F$2:$F$500,0))),"⚠"))</f>
        <v/>
      </c>
      <c r="AB3" t="str">
        <f>IF(BG3="","",IFERROR(IF(INDEX(CODIFICACION!$E$2:$E$500,MATCH("D3.14e|"&amp;BG3,CODIFICACION!$F$2:$F$500,0))="sin dato","",INDEX(CODIFICACION!$E$2:$E$500,MATCH("D3.14e|"&amp;BG3,CODIFICACION!$F$2:$F$500,0))),"⚠"))</f>
        <v/>
      </c>
      <c r="AC3" t="str">
        <f>IF(BH3="","",IFERROR(IF(INDEX(CODIFICACION!$E$2:$E$500,MATCH("D3.14f|"&amp;BH3,CODIFICACION!$F$2:$F$500,0))="sin dato","",INDEX(CODIFICACION!$E$2:$E$500,MATCH("D3.14f|"&amp;BH3,CODIFICACION!$F$2:$F$500,0))),"⚠"))</f>
        <v/>
      </c>
      <c r="AD3" t="str">
        <f>IF(BI3="","",IFERROR(IF(INDEX(CODIFICACION!$E$2:$E$500,MATCH("D3.14g|"&amp;BI3,CODIFICACION!$F$2:$F$500,0))="sin dato","",INDEX(CODIFICACION!$E$2:$E$500,MATCH("D3.14g|"&amp;BI3,CODIFICACION!$F$2:$F$500,0))),"⚠"))</f>
        <v/>
      </c>
      <c r="AE3" t="str">
        <f>IF(BJ3="","",IFERROR(IF(INDEX(CODIFICACION!$E$2:$E$500,MATCH("D3.14h|"&amp;BJ3,CODIFICACION!$F$2:$F$500,0))="sin dato","",INDEX(CODIFICACION!$E$2:$E$500,MATCH("D3.14h|"&amp;BJ3,CODIFICACION!$F$2:$F$500,0))),"⚠"))</f>
        <v/>
      </c>
      <c r="AF3" t="str">
        <f>IF(BK3="","",IFERROR(IF(INDEX(CODIFICACION!$E$2:$E$500,MATCH("D3.14i|"&amp;BK3,CODIFICACION!$F$2:$F$500,0))="sin dato","",INDEX(CODIFICACION!$E$2:$E$500,MATCH("D3.14i|"&amp;BK3,CODIFICACION!$F$2:$F$500,0))),"⚠"))</f>
        <v/>
      </c>
      <c r="AG3" t="str">
        <f>IF(BL3="","",IFERROR(IF(INDEX(CODIFICACION!$E$2:$E$500,MATCH("D4.15|"&amp;BL3,CODIFICACION!$F$2:$F$500,0))="sin dato","",INDEX(CODIFICACION!$E$2:$E$500,MATCH("D4.15|"&amp;BL3,CODIFICACION!$F$2:$F$500,0))),"⚠"))</f>
        <v/>
      </c>
      <c r="AH3" t="str">
        <f t="shared" ref="AH3:AH34" si="6">IF(BM3="","",IF(AND(ISNUMBER(BM3),BM3&gt;=0,BM3&lt;=4),BM3*25,"⚠"))</f>
        <v/>
      </c>
      <c r="AI3" t="str">
        <f>IF(BN3="","",IFERROR(IF(INDEX(CODIFICACION!$E$2:$E$500,MATCH("D4.17|"&amp;BN3,CODIFICACION!$F$2:$F$500,0))="sin dato","",INDEX(CODIFICACION!$E$2:$E$500,MATCH("D4.17|"&amp;BN3,CODIFICACION!$F$2:$F$500,0))),"⚠"))</f>
        <v/>
      </c>
      <c r="AJ3" t="str">
        <f>IF(BO3="","",IFERROR(IF(INDEX(CODIFICACION!$E$2:$E$500,MATCH("D4.15a|"&amp;BO3,CODIFICACION!$F$2:$F$500,0))="sin dato","",INDEX(CODIFICACION!$E$2:$E$500,MATCH("D4.15a|"&amp;BO3,CODIFICACION!$F$2:$F$500,0))),"⚠"))</f>
        <v/>
      </c>
      <c r="AK3" t="str">
        <f t="shared" ref="AK3:AK34" si="7">IF(BP3="","",IF(AND(ISNUMBER(BP3),BP3&gt;=0,BP3&lt;=4),BP3*25,"⚠"))</f>
        <v/>
      </c>
      <c r="AL3" t="str">
        <f t="shared" ref="AL3:AL34" si="8">IF(BQ3="","",IF(AND(ISNUMBER(BQ3),BQ3&gt;=0,BQ3&lt;=4),BQ3*25,"⚠"))</f>
        <v/>
      </c>
      <c r="AM3" t="str">
        <f>IF(BR3="","",IFERROR(IF(INDEX(CODIFICACION!$E$2:$E$500,MATCH("D5.18b|"&amp;BR3,CODIFICACION!$F$2:$F$500,0))="sin dato","",INDEX(CODIFICACION!$E$2:$E$500,MATCH("D5.18b|"&amp;BR3,CODIFICACION!$F$2:$F$500,0))),"⚠"))</f>
        <v/>
      </c>
      <c r="AN3" t="str">
        <f>IF(BS3="","",IFERROR(IF(INDEX(CODIFICACION!$E$2:$E$500,MATCH("D5.19|"&amp;BS3,CODIFICACION!$F$2:$F$500,0))="sin dato","",INDEX(CODIFICACION!$E$2:$E$500,MATCH("D5.19|"&amp;BS3,CODIFICACION!$F$2:$F$500,0))),"⚠"))</f>
        <v/>
      </c>
      <c r="AO3" t="str">
        <f t="shared" ref="AO3:AO34" si="9">IF(BT3="","",ROUND((LEN(BT3)-LEN(SUBSTITUTE(BT3,";",""))+1)/7*100,1))</f>
        <v/>
      </c>
      <c r="AP3" t="str">
        <f>IF(BU3="","",IFERROR(IF(INDEX(CODIFICACION!$E$2:$E$500,MATCH("D5.20|"&amp;BU3,CODIFICACION!$F$2:$F$500,0))="sin dato","",INDEX(CODIFICACION!$E$2:$E$500,MATCH("D5.20|"&amp;BU3,CODIFICACION!$F$2:$F$500,0))),"⚠"))</f>
        <v/>
      </c>
      <c r="AQ3" t="str">
        <f>IF(BV3="","",IFERROR(IF(INDEX(CODIFICACION!$E$2:$E$500,MATCH("D5.21|"&amp;BV3,CODIFICACION!$F$2:$F$500,0))="sin dato","",INDEX(CODIFICACION!$E$2:$E$500,MATCH("D5.21|"&amp;BV3,CODIFICACION!$F$2:$F$500,0))),"⚠"))</f>
        <v/>
      </c>
      <c r="AR3" t="str">
        <f>IF(BW3="","",IFERROR(IF(INDEX(CODIFICACION!$E$2:$E$500,MATCH("D5.21a|"&amp;BW3,CODIFICACION!$F$2:$F$500,0))="sin dato","",INDEX(CODIFICACION!$E$2:$E$500,MATCH("D5.21a|"&amp;BW3,CODIFICACION!$F$2:$F$500,0))),"⚠"))</f>
        <v/>
      </c>
      <c r="AS3" t="str">
        <f>IF(BX3="","",IFERROR(IF(INDEX(CODIFICACION!$E$2:$E$500,MATCH("D5.21b|"&amp;BX3,CODIFICACION!$F$2:$F$500,0))="sin dato","",INDEX(CODIFICACION!$E$2:$E$500,MATCH("D5.21b|"&amp;BX3,CODIFICACION!$F$2:$F$500,0))),"⚠"))</f>
        <v/>
      </c>
      <c r="AT3" t="str">
        <f>IF(BY3="","",IFERROR(IF(INDEX(CODIFICACION!$E$2:$E$500,MATCH("D6.22|"&amp;BY3,CODIFICACION!$F$2:$F$500,0))="sin dato","",INDEX(CODIFICACION!$E$2:$E$500,MATCH("D6.22|"&amp;BY3,CODIFICACION!$F$2:$F$500,0))),"⚠"))</f>
        <v/>
      </c>
      <c r="AU3" t="str">
        <f>IF(BZ3="","",IFERROR(IF(INDEX(CODIFICACION!$E$2:$E$500,MATCH("D6.22a|"&amp;BZ3,CODIFICACION!$F$2:$F$500,0))="sin dato","",INDEX(CODIFICACION!$E$2:$E$500,MATCH("D6.22a|"&amp;BZ3,CODIFICACION!$F$2:$F$500,0))),"⚠"))</f>
        <v/>
      </c>
      <c r="AV3" t="str">
        <f>IF(CA3="","",IFERROR(IF(INDEX(CODIFICACION!$E$2:$E$500,MATCH("D6.22b|"&amp;CA3,CODIFICACION!$F$2:$F$500,0))="sin dato","",INDEX(CODIFICACION!$E$2:$E$500,MATCH("D6.22b|"&amp;CA3,CODIFICACION!$F$2:$F$500,0))),"⚠"))</f>
        <v/>
      </c>
      <c r="AW3" t="str">
        <f>IF(CB3="","",IFERROR(IF(INDEX(CODIFICACION!$E$2:$E$500,MATCH("D6.23|"&amp;CB3,CODIFICACION!$F$2:$F$500,0))="sin dato","",INDEX(CODIFICACION!$E$2:$E$500,MATCH("D6.23|"&amp;CB3,CODIFICACION!$F$2:$F$500,0))),"⚠"))</f>
        <v/>
      </c>
      <c r="AX3" t="str">
        <f ca="1">IF(CC3="","",IFERROR(IF(INDEX(CODIFICACION!$E$2:$E$500,MATCH("D6.24|"&amp;CC3,CODIFICACION!$F$2:$F$500,0))="sin dato","",INDEX(CODIFICACION!$E$2:$E$500,MATCH("D6.24|"&amp;CC3,CODIFICACION!$F$2:$F$500,0))),"⚠"))</f>
        <v/>
      </c>
      <c r="AY3" t="str">
        <f ca="1">IF(CD3="","",IFERROR(IF(INDEX(CODIFICACION!$E$2:$E$500,MATCH("D6.25|"&amp;CD3,CODIFICACION!$F$2:$F$500,0))="sin dato","",INDEX(CODIFICACION!$E$2:$E$500,MATCH("D6.25|"&amp;CD3,CODIFICACION!$F$2:$F$500,0))),"⚠"))</f>
        <v/>
      </c>
      <c r="AZ3" t="str">
        <f>IF(CE3="","",IFERROR(IF(INDEX(CODIFICACION!$E$2:$E$500,MATCH("D6.25a|"&amp;CE3,CODIFICACION!$F$2:$F$500,0))="sin dato","",INDEX(CODIFICACION!$E$2:$E$500,MATCH("D6.25a|"&amp;CE3,CODIFICACION!$F$2:$F$500,0))),"⚠"))</f>
        <v/>
      </c>
      <c r="BA3" t="str">
        <f>IF(CF3="","",IFERROR(IF(INDEX(CODIFICACION!$E$2:$E$500,MATCH("D6.25b|"&amp;CF3,CODIFICACION!$F$2:$F$500,0))="sin dato","",INDEX(CODIFICACION!$E$2:$E$500,MATCH("D6.25b|"&amp;CF3,CODIFICACION!$F$2:$F$500,0))),"⚠"))</f>
        <v/>
      </c>
      <c r="BB3" t="str">
        <f ca="1">IF(CG3="","",IFERROR(IF(INDEX(CODIFICACION!$E$2:$E$500,MATCH("D6.22c|"&amp;CG3,CODIFICACION!$F$2:$F$500,0))="sin dato","",INDEX(CODIFICACION!$E$2:$E$500,MATCH("D6.22c|"&amp;CG3,CODIFICACION!$F$2:$F$500,0))),"⚠"))</f>
        <v/>
      </c>
      <c r="BC3" t="str">
        <f ca="1">IF(CH3="","",IFERROR(IF(INDEX(CODIFICACION!$E$2:$E$500,MATCH("D7.26|"&amp;CH3,CODIFICACION!$F$2:$F$500,0))="sin dato","",INDEX(CODIFICACION!$E$2:$E$500,MATCH("D7.26|"&amp;CH3,CODIFICACION!$F$2:$F$500,0))),"⚠"))</f>
        <v/>
      </c>
      <c r="BD3" t="str">
        <f>IF(CI3="","",IFERROR(IF(INDEX(CODIFICACION!$E$2:$E$500,MATCH("D7.27|"&amp;CI3,CODIFICACION!$F$2:$F$500,0))="sin dato","",INDEX(CODIFICACION!$E$2:$E$500,MATCH("D7.27|"&amp;CI3,CODIFICACION!$F$2:$F$500,0))),"⚠"))</f>
        <v/>
      </c>
      <c r="BE3" t="str">
        <f>IF(CJ3="","",IFERROR(IF(INDEX(CODIFICACION!$E$2:$E$500,MATCH("D7.28|"&amp;CJ3,CODIFICACION!$F$2:$F$500,0))="sin dato","",INDEX(CODIFICACION!$E$2:$E$500,MATCH("D7.28|"&amp;CJ3,CODIFICACION!$F$2:$F$500,0))),"⚠"))</f>
        <v/>
      </c>
      <c r="BF3" t="str">
        <f>IF(CK3="","",IFERROR(IF(INDEX(CODIFICACION!$E$2:$E$500,MATCH("D7.28b|"&amp;CK3,CODIFICACION!$F$2:$F$500,0))="sin dato","",INDEX(CODIFICACION!$E$2:$E$500,MATCH("D7.28b|"&amp;CK3,CODIFICACION!$F$2:$F$500,0))),"⚠"))</f>
        <v/>
      </c>
      <c r="BG3" t="str">
        <f t="shared" ref="BG3:BG34" si="10">IF(CL3="","",ROUND((LEN(CL3)-LEN(SUBSTITUTE(CL3,";",""))+1)/8*100,1))</f>
        <v/>
      </c>
      <c r="BH3" t="str">
        <f>IF(CM3="","",IFERROR(IF(INDEX(CODIFICACION!$E$2:$E$500,MATCH("D7.26a|"&amp;CM3,CODIFICACION!$F$2:$F$500,0))="sin dato","",INDEX(CODIFICACION!$E$2:$E$500,MATCH("D7.26a|"&amp;CM3,CODIFICACION!$F$2:$F$500,0))),"⚠"))</f>
        <v/>
      </c>
      <c r="BI3" t="str">
        <f>IF(CN3="","",IFERROR(IF(INDEX(CODIFICACION!$E$2:$E$500,MATCH("D7.26b|"&amp;CN3,CODIFICACION!$F$2:$F$500,0))="sin dato","",INDEX(CODIFICACION!$E$2:$E$500,MATCH("D7.26b|"&amp;CN3,CODIFICACION!$F$2:$F$500,0))),"⚠"))</f>
        <v/>
      </c>
      <c r="BJ3" t="str">
        <f t="shared" ref="BJ3:BJ34" si="11">IF(CO3="","",IF(AND(ISNUMBER(CO3),CO3&gt;=0,CO3&lt;=4),CO3*25,"⚠"))</f>
        <v/>
      </c>
      <c r="BK3" t="str">
        <f t="shared" ref="BK3:BK34" si="12">IF(CP3="","",IF(ISNUMBER(CP3),MAX(0,MIN(100,CP3)),"⚠"))</f>
        <v/>
      </c>
      <c r="BL3" t="str">
        <f>IF(CQ3="","",IFERROR(IF(INDEX(CODIFICACION!$E$2:$E$500,MATCH("D8.31|"&amp;CQ3,CODIFICACION!$F$2:$F$500,0))="sin dato","",INDEX(CODIFICACION!$E$2:$E$500,MATCH("D8.31|"&amp;CQ3,CODIFICACION!$F$2:$F$500,0))),"⚠"))</f>
        <v/>
      </c>
      <c r="BM3" t="str">
        <f>IF(CR3="","",IFERROR(IF(INDEX(CODIFICACION!$E$2:$E$500,MATCH("D8.32|"&amp;CR3,CODIFICACION!$F$2:$F$500,0))="sin dato","",INDEX(CODIFICACION!$E$2:$E$500,MATCH("D8.32|"&amp;CR3,CODIFICACION!$F$2:$F$500,0))),"⚠"))</f>
        <v/>
      </c>
      <c r="BN3" t="str">
        <f>IF(CS3="","",IFERROR(IF(INDEX(CODIFICACION!$E$2:$E$500,MATCH("D9.33|"&amp;CS3,CODIFICACION!$F$2:$F$500,0))="sin dato","",INDEX(CODIFICACION!$E$2:$E$500,MATCH("D9.33|"&amp;CS3,CODIFICACION!$F$2:$F$500,0))),"⚠"))</f>
        <v/>
      </c>
      <c r="BO3" t="str">
        <f>IF(CT3="","",IFERROR(IF(INDEX(CODIFICACION!$E$2:$E$500,MATCH("D9.34|"&amp;CT3,CODIFICACION!$F$2:$F$500,0))="sin dato","",INDEX(CODIFICACION!$E$2:$E$500,MATCH("D9.34|"&amp;CT3,CODIFICACION!$F$2:$F$500,0))),"⚠"))</f>
        <v/>
      </c>
      <c r="BP3" t="str">
        <f>IF(CU3="","",IFERROR(IF(INDEX(CODIFICACION!$E$2:$E$500,MATCH("D9.35|"&amp;CU3,CODIFICACION!$F$2:$F$500,0))="sin dato","",INDEX(CODIFICACION!$E$2:$E$500,MATCH("D9.35|"&amp;CU3,CODIFICACION!$F$2:$F$500,0))),"⚠"))</f>
        <v/>
      </c>
      <c r="BQ3" t="str">
        <f>IF(CV3="","",IFERROR(IF(INDEX(CODIFICACION!$E$2:$E$500,MATCH("D10.36|"&amp;CV3,CODIFICACION!$F$2:$F$500,0))="sin dato","",INDEX(CODIFICACION!$E$2:$E$500,MATCH("D10.36|"&amp;CV3,CODIFICACION!$F$2:$F$500,0))),"⚠"))</f>
        <v/>
      </c>
      <c r="BR3" t="str">
        <f>IF(CW3="","",IFERROR(IF(INDEX(CODIFICACION!$E$2:$E$500,MATCH("D10.37|"&amp;CW3,CODIFICACION!$F$2:$F$500,0))="sin dato","",INDEX(CODIFICACION!$E$2:$E$500,MATCH("D10.37|"&amp;CW3,CODIFICACION!$F$2:$F$500,0))),"⚠"))</f>
        <v/>
      </c>
      <c r="BS3" t="str">
        <f>IF(CX3="","",IFERROR(IF(INDEX(CODIFICACION!$E$2:$E$500,MATCH("D10.36a|"&amp;CX3,CODIFICACION!$F$2:$F$500,0))="sin dato","",INDEX(CODIFICACION!$E$2:$E$500,MATCH("D10.36a|"&amp;CX3,CODIFICACION!$F$2:$F$500,0))),"⚠"))</f>
        <v/>
      </c>
      <c r="BT3" t="str">
        <f t="shared" ref="BT3:BT34" si="13">IF(CY3="","",IF(ISNUMBER(SEARCH("Ninguno",CY3)),0,ROUND((LEN(CY3)-LEN(SUBSTITUTE(CY3,";",""))+1)/6*100,1)))</f>
        <v/>
      </c>
      <c r="BU3" t="str">
        <f>IF(DA3="","",IFERROR(IF(INDEX(CODIFICACION!$E$2:$E$500,MATCH("D11.39a|"&amp;DA3,CODIFICACION!$F$2:$F$500,0))="sin dato","",INDEX(CODIFICACION!$E$2:$E$500,MATCH("D11.39a|"&amp;DA3,CODIFICACION!$F$2:$F$500,0))),"⚠"))</f>
        <v/>
      </c>
      <c r="BV3" t="str">
        <f>IF(DB3="","",IFERROR(IF(INDEX(CODIFICACION!$E$2:$E$500,MATCH("D12.42|"&amp;DB3,CODIFICACION!$F$2:$F$500,0))="sin dato","",INDEX(CODIFICACION!$E$2:$E$500,MATCH("D12.42|"&amp;DB3,CODIFICACION!$F$2:$F$500,0))),"⚠"))</f>
        <v/>
      </c>
      <c r="BW3" t="str">
        <f>IF(DC3="","",IFERROR(IF(INDEX(CODIFICACION!$E$2:$E$500,MATCH("D13.45|"&amp;DC3,CODIFICACION!$F$2:$F$500,0))="sin dato","",INDEX(CODIFICACION!$E$2:$E$500,MATCH("D13.45|"&amp;DC3,CODIFICACION!$F$2:$F$500,0))),"⚠"))</f>
        <v/>
      </c>
      <c r="BX3" t="str">
        <f>IF(DD3="","",IFERROR(IF(INDEX(CODIFICACION!$E$2:$E$500,MATCH("D14.51|"&amp;DD3,CODIFICACION!$F$2:$F$500,0))="sin dato","",INDEX(CODIFICACION!$E$2:$E$500,MATCH("D14.51|"&amp;DD3,CODIFICACION!$F$2:$F$500,0))),"⚠"))</f>
        <v/>
      </c>
      <c r="BY3" t="str">
        <f>IF(DE3="","",IFERROR(IF(INDEX(CODIFICACION!$E$2:$E$500,MATCH("D15.58|"&amp;DE3,CODIFICACION!$F$2:$F$500,0))="sin dato","",INDEX(CODIFICACION!$E$2:$E$500,MATCH("D15.58|"&amp;DE3,CODIFICACION!$F$2:$F$500,0))),"⚠"))</f>
        <v/>
      </c>
      <c r="BZ3" t="str">
        <f>IF(DF3="","",IFERROR(IF(INDEX(CODIFICACION!$E$2:$E$500,MATCH("PP1|"&amp;DF3,CODIFICACION!$F$2:$F$500,0))="sin dato","",INDEX(CODIFICACION!$E$2:$E$500,MATCH("PP1|"&amp;DF3,CODIFICACION!$F$2:$F$500,0))),"⚠"))</f>
        <v/>
      </c>
      <c r="CA3" t="str">
        <f>IF(DG3="","",IFERROR(IF(INDEX(CODIFICACION!$E$2:$E$500,MATCH("PP2|"&amp;DG3,CODIFICACION!$F$2:$F$500,0))="sin dato","",INDEX(CODIFICACION!$E$2:$E$500,MATCH("PP2|"&amp;DG3,CODIFICACION!$F$2:$F$500,0))),"⚠"))</f>
        <v/>
      </c>
      <c r="CB3" t="str">
        <f t="shared" ref="CB3:CB34" si="14">IFERROR(AVERAGE(H3,I3,J3,K3),"")</f>
        <v/>
      </c>
      <c r="CC3" t="str">
        <f t="shared" ref="CC3:CC34" ca="1" si="15">IFERROR(AVERAGE(L3,M3,N3,O3,P3,Q3,R3,S3),"")</f>
        <v/>
      </c>
      <c r="CD3" t="str">
        <f t="shared" ref="CD3:CD34" ca="1" si="16">IFERROR(AVERAGE(T3,U3,V3,W3,X3,Y3,Z3,AA3,AB3,AC3,AD3,AE3,AF3),"")</f>
        <v/>
      </c>
      <c r="CE3" t="str">
        <f t="shared" ref="CE3:CE34" si="17">IFERROR(AVERAGE(AG3,AH3,AI3,AJ3),"")</f>
        <v/>
      </c>
      <c r="CF3" t="str">
        <f t="shared" ref="CF3:CF34" si="18">IFERROR(AVERAGE(D3,AK3,AL3,AM3,AN3,AO3,AP3,AQ3,AR3,AS3),"")</f>
        <v/>
      </c>
      <c r="CG3" t="str">
        <f t="shared" ref="CG3:CG34" ca="1" si="19">IFERROR(AVERAGE(AT3,AU3,AV3,BB3,AW3,AX3,AY3,AZ3,BA3),"")</f>
        <v/>
      </c>
      <c r="CH3" t="str">
        <f t="shared" ref="CH3:CH34" ca="1" si="20">IFERROR(AVERAGE(C3,E3,F3,BC3,BH3,BI3,BD3,BE3,BF3,BG3),"")</f>
        <v/>
      </c>
      <c r="CI3" t="str">
        <f t="shared" ref="CI3:CI34" si="21">IFERROR(AVERAGE(BJ3,BK3,BL3,BM3),"")</f>
        <v/>
      </c>
      <c r="CJ3" t="str">
        <f t="shared" ref="CJ3:CJ34" si="22">IFERROR(AVERAGE(G3,BN3,BO3,BP3),"")</f>
        <v/>
      </c>
      <c r="CK3" t="str">
        <f t="shared" ref="CK3:CK34" si="23">IFERROR(AVERAGE(BQ3,BS3,BR3),"")</f>
        <v/>
      </c>
      <c r="CL3" t="str">
        <f t="shared" ref="CL3:CL34" si="24">IFERROR(AVERAGE(BT3,BU3),"")</f>
        <v/>
      </c>
    </row>
    <row r="4" spans="1:90" x14ac:dyDescent="0.3">
      <c r="A4">
        <f>CAPTURA!A4</f>
        <v>20129156083</v>
      </c>
      <c r="B4">
        <f>CAPTURA!C4</f>
        <v>0</v>
      </c>
      <c r="C4" t="str">
        <f t="shared" si="0"/>
        <v/>
      </c>
      <c r="D4" t="str">
        <f>IF(AE4="","",IFERROR(IF(INDEX(CODIFICACION!$E$2:$E$500,MATCH("P8|"&amp;AE4,CODIFICACION!$F$2:$F$500,0))="sin dato","",INDEX(CODIFICACION!$E$2:$E$500,MATCH("P8|"&amp;AE4,CODIFICACION!$F$2:$F$500,0))),"⚠"))</f>
        <v/>
      </c>
      <c r="E4" t="str">
        <f>IF(AG4="","",IFERROR(IF(INDEX(CODIFICACION!$E$2:$E$500,MATCH("P10|"&amp;AG4,CODIFICACION!$F$2:$F$500,0))="sin dato","",INDEX(CODIFICACION!$E$2:$E$500,MATCH("P10|"&amp;AG4,CODIFICACION!$F$2:$F$500,0))),"⚠"))</f>
        <v/>
      </c>
      <c r="F4" t="str">
        <f>IF(AJ4="","",IFERROR(IF(INDEX(CODIFICACION!$E$2:$E$500,MATCH("P13|"&amp;AJ4,CODIFICACION!$F$2:$F$500,0))="sin dato","",INDEX(CODIFICACION!$E$2:$E$500,MATCH("P13|"&amp;AJ4,CODIFICACION!$F$2:$F$500,0))),"⚠"))</f>
        <v/>
      </c>
      <c r="G4" t="str">
        <f>IF(AK4="","",IFERROR(IF(INDEX(CODIFICACION!$E$2:$E$500,MATCH("P14|"&amp;AK4,CODIFICACION!$F$2:$F$500,0))="sin dato","",INDEX(CODIFICACION!$E$2:$E$500,MATCH("P14|"&amp;AK4,CODIFICACION!$F$2:$F$500,0))),"⚠"))</f>
        <v/>
      </c>
      <c r="H4" t="str">
        <f>IF(AL4="","",IFERROR(IF(INDEX(CODIFICACION!$E$2:$E$500,MATCH("D1.1|"&amp;AL4,CODIFICACION!$F$2:$F$500,0))="sin dato","",INDEX(CODIFICACION!$E$2:$E$500,MATCH("D1.1|"&amp;AL4,CODIFICACION!$F$2:$F$500,0))),"⚠"))</f>
        <v/>
      </c>
      <c r="I4" t="str">
        <f>IF(AN4="","",IFERROR(IF(INDEX(CODIFICACION!$E$2:$E$500,MATCH("D1.3|"&amp;AN4,CODIFICACION!$F$2:$F$500,0))="sin dato","",INDEX(CODIFICACION!$E$2:$E$500,MATCH("D1.3|"&amp;AN4,CODIFICACION!$F$2:$F$500,0))),"⚠"))</f>
        <v/>
      </c>
      <c r="J4" t="str">
        <f>IF(AO4="","",IFERROR(IF(INDEX(CODIFICACION!$E$2:$E$500,MATCH("D1.4|"&amp;AO4,CODIFICACION!$F$2:$F$500,0))="sin dato","",INDEX(CODIFICACION!$E$2:$E$500,MATCH("D1.4|"&amp;AO4,CODIFICACION!$F$2:$F$500,0))),"⚠"))</f>
        <v/>
      </c>
      <c r="K4" t="str">
        <f>IF(AP4="","",IFERROR(IF(INDEX(CODIFICACION!$E$2:$E$500,MATCH("D1.3a|"&amp;AP4,CODIFICACION!$F$2:$F$500,0))="sin dato","",INDEX(CODIFICACION!$E$2:$E$500,MATCH("D1.3a|"&amp;AP4,CODIFICACION!$F$2:$F$500,0))),"⚠"))</f>
        <v/>
      </c>
      <c r="L4" t="str">
        <f t="shared" si="1"/>
        <v/>
      </c>
      <c r="M4" t="str">
        <f t="shared" si="2"/>
        <v/>
      </c>
      <c r="N4" t="str">
        <f t="shared" si="3"/>
        <v/>
      </c>
      <c r="O4" t="str">
        <f>IF(AT4="","",IFERROR(IF(INDEX(CODIFICACION!$E$2:$E$500,MATCH("D2.8|"&amp;AT4,CODIFICACION!$F$2:$F$500,0))="sin dato","",INDEX(CODIFICACION!$E$2:$E$500,MATCH("D2.8|"&amp;AT4,CODIFICACION!$F$2:$F$500,0))),"⚠"))</f>
        <v/>
      </c>
      <c r="P4" t="str">
        <f>IF(AU4="","",IFERROR(IF(INDEX(CODIFICACION!$E$2:$E$500,MATCH("D2.9|"&amp;AU4,CODIFICACION!$F$2:$F$500,0))="sin dato","",INDEX(CODIFICACION!$E$2:$E$500,MATCH("D2.9|"&amp;AU4,CODIFICACION!$F$2:$F$500,0))),"⚠"))</f>
        <v/>
      </c>
      <c r="Q4" t="str">
        <f>IF(AV4="","",IFERROR(IF(INDEX(CODIFICACION!$E$2:$E$500,MATCH("D2.10|"&amp;AV4,CODIFICACION!$F$2:$F$500,0))="sin dato","",INDEX(CODIFICACION!$E$2:$E$500,MATCH("D2.10|"&amp;AV4,CODIFICACION!$F$2:$F$500,0))),"⚠"))</f>
        <v/>
      </c>
      <c r="R4" t="str">
        <f>IF(AW4="","",IFERROR(IF(INDEX(CODIFICACION!$E$2:$E$500,MATCH("D2.5a|"&amp;AW4,CODIFICACION!$F$2:$F$500,0))="sin dato","",INDEX(CODIFICACION!$E$2:$E$500,MATCH("D2.5a|"&amp;AW4,CODIFICACION!$F$2:$F$500,0))),"⚠"))</f>
        <v/>
      </c>
      <c r="S4" t="str">
        <f ca="1">IF(AX4="","",IFERROR(IF(INDEX(CODIFICACION!$E$2:$E$500,MATCH("D2.5b|"&amp;AX4,CODIFICACION!$F$2:$F$500,0))="sin dato","",INDEX(CODIFICACION!$E$2:$E$500,MATCH("D2.5b|"&amp;AX4,CODIFICACION!$F$2:$F$500,0))),"⚠"))</f>
        <v/>
      </c>
      <c r="T4" t="str">
        <f t="shared" ca="1" si="4"/>
        <v/>
      </c>
      <c r="U4" t="str">
        <f>IF(AZ4="","",IFERROR(IF(INDEX(CODIFICACION!$E$2:$E$500,MATCH("D3.12|"&amp;AZ4,CODIFICACION!$F$2:$F$500,0))="sin dato","",INDEX(CODIFICACION!$E$2:$E$500,MATCH("D3.12|"&amp;AZ4,CODIFICACION!$F$2:$F$500,0))),"⚠"))</f>
        <v/>
      </c>
      <c r="V4" t="str">
        <f t="shared" si="5"/>
        <v/>
      </c>
      <c r="W4" t="str">
        <f ca="1">IF(BB4="","",IFERROR(IF(INDEX(CODIFICACION!$E$2:$E$500,MATCH("D3.14|"&amp;BB4,CODIFICACION!$F$2:$F$500,0))="sin dato","",INDEX(CODIFICACION!$E$2:$E$500,MATCH("D3.14|"&amp;BB4,CODIFICACION!$F$2:$F$500,0))),"⚠"))</f>
        <v/>
      </c>
      <c r="X4" t="str">
        <f ca="1">IF(BC4="","",IFERROR(IF(INDEX(CODIFICACION!$E$2:$E$500,MATCH("D3.14a|"&amp;BC4,CODIFICACION!$F$2:$F$500,0))="sin dato","",INDEX(CODIFICACION!$E$2:$E$500,MATCH("D3.14a|"&amp;BC4,CODIFICACION!$F$2:$F$500,0))),"⚠"))</f>
        <v/>
      </c>
      <c r="Y4" t="str">
        <f>IF(BD4="","",IFERROR(IF(INDEX(CODIFICACION!$E$2:$E$500,MATCH("D3.14b|"&amp;BD4,CODIFICACION!$F$2:$F$500,0))="sin dato","",INDEX(CODIFICACION!$E$2:$E$500,MATCH("D3.14b|"&amp;BD4,CODIFICACION!$F$2:$F$500,0))),"⚠"))</f>
        <v/>
      </c>
      <c r="Z4" t="str">
        <f>IF(BE4="","",IFERROR(IF(INDEX(CODIFICACION!$E$2:$E$500,MATCH("D3.14c|"&amp;BE4,CODIFICACION!$F$2:$F$500,0))="sin dato","",INDEX(CODIFICACION!$E$2:$E$500,MATCH("D3.14c|"&amp;BE4,CODIFICACION!$F$2:$F$500,0))),"⚠"))</f>
        <v/>
      </c>
      <c r="AA4" t="str">
        <f>IF(BF4="","",IFERROR(IF(INDEX(CODIFICACION!$E$2:$E$500,MATCH("D3.14d|"&amp;BF4,CODIFICACION!$F$2:$F$500,0))="sin dato","",INDEX(CODIFICACION!$E$2:$E$500,MATCH("D3.14d|"&amp;BF4,CODIFICACION!$F$2:$F$500,0))),"⚠"))</f>
        <v/>
      </c>
      <c r="AB4" t="str">
        <f>IF(BG4="","",IFERROR(IF(INDEX(CODIFICACION!$E$2:$E$500,MATCH("D3.14e|"&amp;BG4,CODIFICACION!$F$2:$F$500,0))="sin dato","",INDEX(CODIFICACION!$E$2:$E$500,MATCH("D3.14e|"&amp;BG4,CODIFICACION!$F$2:$F$500,0))),"⚠"))</f>
        <v/>
      </c>
      <c r="AC4" t="str">
        <f>IF(BH4="","",IFERROR(IF(INDEX(CODIFICACION!$E$2:$E$500,MATCH("D3.14f|"&amp;BH4,CODIFICACION!$F$2:$F$500,0))="sin dato","",INDEX(CODIFICACION!$E$2:$E$500,MATCH("D3.14f|"&amp;BH4,CODIFICACION!$F$2:$F$500,0))),"⚠"))</f>
        <v/>
      </c>
      <c r="AD4" t="str">
        <f>IF(BI4="","",IFERROR(IF(INDEX(CODIFICACION!$E$2:$E$500,MATCH("D3.14g|"&amp;BI4,CODIFICACION!$F$2:$F$500,0))="sin dato","",INDEX(CODIFICACION!$E$2:$E$500,MATCH("D3.14g|"&amp;BI4,CODIFICACION!$F$2:$F$500,0))),"⚠"))</f>
        <v/>
      </c>
      <c r="AE4" t="str">
        <f>IF(BJ4="","",IFERROR(IF(INDEX(CODIFICACION!$E$2:$E$500,MATCH("D3.14h|"&amp;BJ4,CODIFICACION!$F$2:$F$500,0))="sin dato","",INDEX(CODIFICACION!$E$2:$E$500,MATCH("D3.14h|"&amp;BJ4,CODIFICACION!$F$2:$F$500,0))),"⚠"))</f>
        <v/>
      </c>
      <c r="AF4" t="str">
        <f>IF(BK4="","",IFERROR(IF(INDEX(CODIFICACION!$E$2:$E$500,MATCH("D3.14i|"&amp;BK4,CODIFICACION!$F$2:$F$500,0))="sin dato","",INDEX(CODIFICACION!$E$2:$E$500,MATCH("D3.14i|"&amp;BK4,CODIFICACION!$F$2:$F$500,0))),"⚠"))</f>
        <v/>
      </c>
      <c r="AG4" t="str">
        <f>IF(BL4="","",IFERROR(IF(INDEX(CODIFICACION!$E$2:$E$500,MATCH("D4.15|"&amp;BL4,CODIFICACION!$F$2:$F$500,0))="sin dato","",INDEX(CODIFICACION!$E$2:$E$500,MATCH("D4.15|"&amp;BL4,CODIFICACION!$F$2:$F$500,0))),"⚠"))</f>
        <v/>
      </c>
      <c r="AH4" t="str">
        <f t="shared" si="6"/>
        <v/>
      </c>
      <c r="AI4" t="str">
        <f>IF(BN4="","",IFERROR(IF(INDEX(CODIFICACION!$E$2:$E$500,MATCH("D4.17|"&amp;BN4,CODIFICACION!$F$2:$F$500,0))="sin dato","",INDEX(CODIFICACION!$E$2:$E$500,MATCH("D4.17|"&amp;BN4,CODIFICACION!$F$2:$F$500,0))),"⚠"))</f>
        <v/>
      </c>
      <c r="AJ4" t="str">
        <f>IF(BO4="","",IFERROR(IF(INDEX(CODIFICACION!$E$2:$E$500,MATCH("D4.15a|"&amp;BO4,CODIFICACION!$F$2:$F$500,0))="sin dato","",INDEX(CODIFICACION!$E$2:$E$500,MATCH("D4.15a|"&amp;BO4,CODIFICACION!$F$2:$F$500,0))),"⚠"))</f>
        <v/>
      </c>
      <c r="AK4" t="str">
        <f t="shared" si="7"/>
        <v/>
      </c>
      <c r="AL4" t="str">
        <f t="shared" si="8"/>
        <v/>
      </c>
      <c r="AM4" t="str">
        <f>IF(BR4="","",IFERROR(IF(INDEX(CODIFICACION!$E$2:$E$500,MATCH("D5.18b|"&amp;BR4,CODIFICACION!$F$2:$F$500,0))="sin dato","",INDEX(CODIFICACION!$E$2:$E$500,MATCH("D5.18b|"&amp;BR4,CODIFICACION!$F$2:$F$500,0))),"⚠"))</f>
        <v/>
      </c>
      <c r="AN4" t="str">
        <f>IF(BS4="","",IFERROR(IF(INDEX(CODIFICACION!$E$2:$E$500,MATCH("D5.19|"&amp;BS4,CODIFICACION!$F$2:$F$500,0))="sin dato","",INDEX(CODIFICACION!$E$2:$E$500,MATCH("D5.19|"&amp;BS4,CODIFICACION!$F$2:$F$500,0))),"⚠"))</f>
        <v/>
      </c>
      <c r="AO4" t="str">
        <f t="shared" si="9"/>
        <v/>
      </c>
      <c r="AP4" t="str">
        <f>IF(BU4="","",IFERROR(IF(INDEX(CODIFICACION!$E$2:$E$500,MATCH("D5.20|"&amp;BU4,CODIFICACION!$F$2:$F$500,0))="sin dato","",INDEX(CODIFICACION!$E$2:$E$500,MATCH("D5.20|"&amp;BU4,CODIFICACION!$F$2:$F$500,0))),"⚠"))</f>
        <v/>
      </c>
      <c r="AQ4" t="str">
        <f>IF(BV4="","",IFERROR(IF(INDEX(CODIFICACION!$E$2:$E$500,MATCH("D5.21|"&amp;BV4,CODIFICACION!$F$2:$F$500,0))="sin dato","",INDEX(CODIFICACION!$E$2:$E$500,MATCH("D5.21|"&amp;BV4,CODIFICACION!$F$2:$F$500,0))),"⚠"))</f>
        <v/>
      </c>
      <c r="AR4" t="str">
        <f>IF(BW4="","",IFERROR(IF(INDEX(CODIFICACION!$E$2:$E$500,MATCH("D5.21a|"&amp;BW4,CODIFICACION!$F$2:$F$500,0))="sin dato","",INDEX(CODIFICACION!$E$2:$E$500,MATCH("D5.21a|"&amp;BW4,CODIFICACION!$F$2:$F$500,0))),"⚠"))</f>
        <v/>
      </c>
      <c r="AS4" t="str">
        <f>IF(BX4="","",IFERROR(IF(INDEX(CODIFICACION!$E$2:$E$500,MATCH("D5.21b|"&amp;BX4,CODIFICACION!$F$2:$F$500,0))="sin dato","",INDEX(CODIFICACION!$E$2:$E$500,MATCH("D5.21b|"&amp;BX4,CODIFICACION!$F$2:$F$500,0))),"⚠"))</f>
        <v/>
      </c>
      <c r="AT4" t="str">
        <f>IF(BY4="","",IFERROR(IF(INDEX(CODIFICACION!$E$2:$E$500,MATCH("D6.22|"&amp;BY4,CODIFICACION!$F$2:$F$500,0))="sin dato","",INDEX(CODIFICACION!$E$2:$E$500,MATCH("D6.22|"&amp;BY4,CODIFICACION!$F$2:$F$500,0))),"⚠"))</f>
        <v/>
      </c>
      <c r="AU4" t="str">
        <f>IF(BZ4="","",IFERROR(IF(INDEX(CODIFICACION!$E$2:$E$500,MATCH("D6.22a|"&amp;BZ4,CODIFICACION!$F$2:$F$500,0))="sin dato","",INDEX(CODIFICACION!$E$2:$E$500,MATCH("D6.22a|"&amp;BZ4,CODIFICACION!$F$2:$F$500,0))),"⚠"))</f>
        <v/>
      </c>
      <c r="AV4" t="str">
        <f>IF(CA4="","",IFERROR(IF(INDEX(CODIFICACION!$E$2:$E$500,MATCH("D6.22b|"&amp;CA4,CODIFICACION!$F$2:$F$500,0))="sin dato","",INDEX(CODIFICACION!$E$2:$E$500,MATCH("D6.22b|"&amp;CA4,CODIFICACION!$F$2:$F$500,0))),"⚠"))</f>
        <v/>
      </c>
      <c r="AW4" t="str">
        <f>IF(CB4="","",IFERROR(IF(INDEX(CODIFICACION!$E$2:$E$500,MATCH("D6.23|"&amp;CB4,CODIFICACION!$F$2:$F$500,0))="sin dato","",INDEX(CODIFICACION!$E$2:$E$500,MATCH("D6.23|"&amp;CB4,CODIFICACION!$F$2:$F$500,0))),"⚠"))</f>
        <v/>
      </c>
      <c r="AX4" t="str">
        <f ca="1">IF(CC4="","",IFERROR(IF(INDEX(CODIFICACION!$E$2:$E$500,MATCH("D6.24|"&amp;CC4,CODIFICACION!$F$2:$F$500,0))="sin dato","",INDEX(CODIFICACION!$E$2:$E$500,MATCH("D6.24|"&amp;CC4,CODIFICACION!$F$2:$F$500,0))),"⚠"))</f>
        <v/>
      </c>
      <c r="AY4" t="str">
        <f ca="1">IF(CD4="","",IFERROR(IF(INDEX(CODIFICACION!$E$2:$E$500,MATCH("D6.25|"&amp;CD4,CODIFICACION!$F$2:$F$500,0))="sin dato","",INDEX(CODIFICACION!$E$2:$E$500,MATCH("D6.25|"&amp;CD4,CODIFICACION!$F$2:$F$500,0))),"⚠"))</f>
        <v/>
      </c>
      <c r="AZ4" t="str">
        <f>IF(CE4="","",IFERROR(IF(INDEX(CODIFICACION!$E$2:$E$500,MATCH("D6.25a|"&amp;CE4,CODIFICACION!$F$2:$F$500,0))="sin dato","",INDEX(CODIFICACION!$E$2:$E$500,MATCH("D6.25a|"&amp;CE4,CODIFICACION!$F$2:$F$500,0))),"⚠"))</f>
        <v/>
      </c>
      <c r="BA4" t="str">
        <f>IF(CF4="","",IFERROR(IF(INDEX(CODIFICACION!$E$2:$E$500,MATCH("D6.25b|"&amp;CF4,CODIFICACION!$F$2:$F$500,0))="sin dato","",INDEX(CODIFICACION!$E$2:$E$500,MATCH("D6.25b|"&amp;CF4,CODIFICACION!$F$2:$F$500,0))),"⚠"))</f>
        <v/>
      </c>
      <c r="BB4" t="str">
        <f ca="1">IF(CG4="","",IFERROR(IF(INDEX(CODIFICACION!$E$2:$E$500,MATCH("D6.22c|"&amp;CG4,CODIFICACION!$F$2:$F$500,0))="sin dato","",INDEX(CODIFICACION!$E$2:$E$500,MATCH("D6.22c|"&amp;CG4,CODIFICACION!$F$2:$F$500,0))),"⚠"))</f>
        <v/>
      </c>
      <c r="BC4" t="str">
        <f ca="1">IF(CH4="","",IFERROR(IF(INDEX(CODIFICACION!$E$2:$E$500,MATCH("D7.26|"&amp;CH4,CODIFICACION!$F$2:$F$500,0))="sin dato","",INDEX(CODIFICACION!$E$2:$E$500,MATCH("D7.26|"&amp;CH4,CODIFICACION!$F$2:$F$500,0))),"⚠"))</f>
        <v/>
      </c>
      <c r="BD4" t="str">
        <f>IF(CI4="","",IFERROR(IF(INDEX(CODIFICACION!$E$2:$E$500,MATCH("D7.27|"&amp;CI4,CODIFICACION!$F$2:$F$500,0))="sin dato","",INDEX(CODIFICACION!$E$2:$E$500,MATCH("D7.27|"&amp;CI4,CODIFICACION!$F$2:$F$500,0))),"⚠"))</f>
        <v/>
      </c>
      <c r="BE4" t="str">
        <f>IF(CJ4="","",IFERROR(IF(INDEX(CODIFICACION!$E$2:$E$500,MATCH("D7.28|"&amp;CJ4,CODIFICACION!$F$2:$F$500,0))="sin dato","",INDEX(CODIFICACION!$E$2:$E$500,MATCH("D7.28|"&amp;CJ4,CODIFICACION!$F$2:$F$500,0))),"⚠"))</f>
        <v/>
      </c>
      <c r="BF4" t="str">
        <f>IF(CK4="","",IFERROR(IF(INDEX(CODIFICACION!$E$2:$E$500,MATCH("D7.28b|"&amp;CK4,CODIFICACION!$F$2:$F$500,0))="sin dato","",INDEX(CODIFICACION!$E$2:$E$500,MATCH("D7.28b|"&amp;CK4,CODIFICACION!$F$2:$F$500,0))),"⚠"))</f>
        <v/>
      </c>
      <c r="BG4" t="str">
        <f t="shared" si="10"/>
        <v/>
      </c>
      <c r="BH4" t="str">
        <f>IF(CM4="","",IFERROR(IF(INDEX(CODIFICACION!$E$2:$E$500,MATCH("D7.26a|"&amp;CM4,CODIFICACION!$F$2:$F$500,0))="sin dato","",INDEX(CODIFICACION!$E$2:$E$500,MATCH("D7.26a|"&amp;CM4,CODIFICACION!$F$2:$F$500,0))),"⚠"))</f>
        <v/>
      </c>
      <c r="BI4" t="str">
        <f>IF(CN4="","",IFERROR(IF(INDEX(CODIFICACION!$E$2:$E$500,MATCH("D7.26b|"&amp;CN4,CODIFICACION!$F$2:$F$500,0))="sin dato","",INDEX(CODIFICACION!$E$2:$E$500,MATCH("D7.26b|"&amp;CN4,CODIFICACION!$F$2:$F$500,0))),"⚠"))</f>
        <v/>
      </c>
      <c r="BJ4" t="str">
        <f t="shared" si="11"/>
        <v/>
      </c>
      <c r="BK4" t="str">
        <f t="shared" si="12"/>
        <v/>
      </c>
      <c r="BL4" t="str">
        <f>IF(CQ4="","",IFERROR(IF(INDEX(CODIFICACION!$E$2:$E$500,MATCH("D8.31|"&amp;CQ4,CODIFICACION!$F$2:$F$500,0))="sin dato","",INDEX(CODIFICACION!$E$2:$E$500,MATCH("D8.31|"&amp;CQ4,CODIFICACION!$F$2:$F$500,0))),"⚠"))</f>
        <v/>
      </c>
      <c r="BM4" t="str">
        <f>IF(CR4="","",IFERROR(IF(INDEX(CODIFICACION!$E$2:$E$500,MATCH("D8.32|"&amp;CR4,CODIFICACION!$F$2:$F$500,0))="sin dato","",INDEX(CODIFICACION!$E$2:$E$500,MATCH("D8.32|"&amp;CR4,CODIFICACION!$F$2:$F$500,0))),"⚠"))</f>
        <v/>
      </c>
      <c r="BN4" t="str">
        <f>IF(CS4="","",IFERROR(IF(INDEX(CODIFICACION!$E$2:$E$500,MATCH("D9.33|"&amp;CS4,CODIFICACION!$F$2:$F$500,0))="sin dato","",INDEX(CODIFICACION!$E$2:$E$500,MATCH("D9.33|"&amp;CS4,CODIFICACION!$F$2:$F$500,0))),"⚠"))</f>
        <v/>
      </c>
      <c r="BO4" t="str">
        <f>IF(CT4="","",IFERROR(IF(INDEX(CODIFICACION!$E$2:$E$500,MATCH("D9.34|"&amp;CT4,CODIFICACION!$F$2:$F$500,0))="sin dato","",INDEX(CODIFICACION!$E$2:$E$500,MATCH("D9.34|"&amp;CT4,CODIFICACION!$F$2:$F$500,0))),"⚠"))</f>
        <v/>
      </c>
      <c r="BP4" t="str">
        <f>IF(CU4="","",IFERROR(IF(INDEX(CODIFICACION!$E$2:$E$500,MATCH("D9.35|"&amp;CU4,CODIFICACION!$F$2:$F$500,0))="sin dato","",INDEX(CODIFICACION!$E$2:$E$500,MATCH("D9.35|"&amp;CU4,CODIFICACION!$F$2:$F$500,0))),"⚠"))</f>
        <v/>
      </c>
      <c r="BQ4" t="str">
        <f>IF(CV4="","",IFERROR(IF(INDEX(CODIFICACION!$E$2:$E$500,MATCH("D10.36|"&amp;CV4,CODIFICACION!$F$2:$F$500,0))="sin dato","",INDEX(CODIFICACION!$E$2:$E$500,MATCH("D10.36|"&amp;CV4,CODIFICACION!$F$2:$F$500,0))),"⚠"))</f>
        <v/>
      </c>
      <c r="BR4" t="str">
        <f>IF(CW4="","",IFERROR(IF(INDEX(CODIFICACION!$E$2:$E$500,MATCH("D10.37|"&amp;CW4,CODIFICACION!$F$2:$F$500,0))="sin dato","",INDEX(CODIFICACION!$E$2:$E$500,MATCH("D10.37|"&amp;CW4,CODIFICACION!$F$2:$F$500,0))),"⚠"))</f>
        <v/>
      </c>
      <c r="BS4" t="str">
        <f>IF(CX4="","",IFERROR(IF(INDEX(CODIFICACION!$E$2:$E$500,MATCH("D10.36a|"&amp;CX4,CODIFICACION!$F$2:$F$500,0))="sin dato","",INDEX(CODIFICACION!$E$2:$E$500,MATCH("D10.36a|"&amp;CX4,CODIFICACION!$F$2:$F$500,0))),"⚠"))</f>
        <v/>
      </c>
      <c r="BT4" t="str">
        <f t="shared" si="13"/>
        <v/>
      </c>
      <c r="BU4" t="str">
        <f>IF(DA4="","",IFERROR(IF(INDEX(CODIFICACION!$E$2:$E$500,MATCH("D11.39a|"&amp;DA4,CODIFICACION!$F$2:$F$500,0))="sin dato","",INDEX(CODIFICACION!$E$2:$E$500,MATCH("D11.39a|"&amp;DA4,CODIFICACION!$F$2:$F$500,0))),"⚠"))</f>
        <v/>
      </c>
      <c r="BV4" t="str">
        <f>IF(DB4="","",IFERROR(IF(INDEX(CODIFICACION!$E$2:$E$500,MATCH("D12.42|"&amp;DB4,CODIFICACION!$F$2:$F$500,0))="sin dato","",INDEX(CODIFICACION!$E$2:$E$500,MATCH("D12.42|"&amp;DB4,CODIFICACION!$F$2:$F$500,0))),"⚠"))</f>
        <v/>
      </c>
      <c r="BW4" t="str">
        <f>IF(DC4="","",IFERROR(IF(INDEX(CODIFICACION!$E$2:$E$500,MATCH("D13.45|"&amp;DC4,CODIFICACION!$F$2:$F$500,0))="sin dato","",INDEX(CODIFICACION!$E$2:$E$500,MATCH("D13.45|"&amp;DC4,CODIFICACION!$F$2:$F$500,0))),"⚠"))</f>
        <v/>
      </c>
      <c r="BX4" t="str">
        <f>IF(DD4="","",IFERROR(IF(INDEX(CODIFICACION!$E$2:$E$500,MATCH("D14.51|"&amp;DD4,CODIFICACION!$F$2:$F$500,0))="sin dato","",INDEX(CODIFICACION!$E$2:$E$500,MATCH("D14.51|"&amp;DD4,CODIFICACION!$F$2:$F$500,0))),"⚠"))</f>
        <v/>
      </c>
      <c r="BY4" t="str">
        <f>IF(DE4="","",IFERROR(IF(INDEX(CODIFICACION!$E$2:$E$500,MATCH("D15.58|"&amp;DE4,CODIFICACION!$F$2:$F$500,0))="sin dato","",INDEX(CODIFICACION!$E$2:$E$500,MATCH("D15.58|"&amp;DE4,CODIFICACION!$F$2:$F$500,0))),"⚠"))</f>
        <v/>
      </c>
      <c r="BZ4" t="str">
        <f>IF(DF4="","",IFERROR(IF(INDEX(CODIFICACION!$E$2:$E$500,MATCH("PP1|"&amp;DF4,CODIFICACION!$F$2:$F$500,0))="sin dato","",INDEX(CODIFICACION!$E$2:$E$500,MATCH("PP1|"&amp;DF4,CODIFICACION!$F$2:$F$500,0))),"⚠"))</f>
        <v/>
      </c>
      <c r="CA4" t="str">
        <f>IF(DG4="","",IFERROR(IF(INDEX(CODIFICACION!$E$2:$E$500,MATCH("PP2|"&amp;DG4,CODIFICACION!$F$2:$F$500,0))="sin dato","",INDEX(CODIFICACION!$E$2:$E$500,MATCH("PP2|"&amp;DG4,CODIFICACION!$F$2:$F$500,0))),"⚠"))</f>
        <v/>
      </c>
      <c r="CB4" t="str">
        <f t="shared" si="14"/>
        <v/>
      </c>
      <c r="CC4" t="str">
        <f t="shared" ca="1" si="15"/>
        <v/>
      </c>
      <c r="CD4" t="str">
        <f t="shared" ca="1" si="16"/>
        <v/>
      </c>
      <c r="CE4" t="str">
        <f t="shared" si="17"/>
        <v/>
      </c>
      <c r="CF4" t="str">
        <f t="shared" si="18"/>
        <v/>
      </c>
      <c r="CG4" t="str">
        <f t="shared" ca="1" si="19"/>
        <v/>
      </c>
      <c r="CH4" t="str">
        <f t="shared" ca="1" si="20"/>
        <v/>
      </c>
      <c r="CI4" t="str">
        <f t="shared" si="21"/>
        <v/>
      </c>
      <c r="CJ4" t="str">
        <f t="shared" si="22"/>
        <v/>
      </c>
      <c r="CK4" t="str">
        <f t="shared" si="23"/>
        <v/>
      </c>
      <c r="CL4" t="str">
        <f t="shared" si="24"/>
        <v/>
      </c>
    </row>
    <row r="5" spans="1:90" x14ac:dyDescent="0.3">
      <c r="A5">
        <f>CAPTURA!A5</f>
        <v>20129529530</v>
      </c>
      <c r="B5">
        <f>CAPTURA!C5</f>
        <v>0</v>
      </c>
      <c r="C5" t="str">
        <f t="shared" si="0"/>
        <v/>
      </c>
      <c r="D5" t="str">
        <f>IF(AE5="","",IFERROR(IF(INDEX(CODIFICACION!$E$2:$E$500,MATCH("P8|"&amp;AE5,CODIFICACION!$F$2:$F$500,0))="sin dato","",INDEX(CODIFICACION!$E$2:$E$500,MATCH("P8|"&amp;AE5,CODIFICACION!$F$2:$F$500,0))),"⚠"))</f>
        <v/>
      </c>
      <c r="E5" t="str">
        <f>IF(AG5="","",IFERROR(IF(INDEX(CODIFICACION!$E$2:$E$500,MATCH("P10|"&amp;AG5,CODIFICACION!$F$2:$F$500,0))="sin dato","",INDEX(CODIFICACION!$E$2:$E$500,MATCH("P10|"&amp;AG5,CODIFICACION!$F$2:$F$500,0))),"⚠"))</f>
        <v/>
      </c>
      <c r="F5" t="str">
        <f>IF(AJ5="","",IFERROR(IF(INDEX(CODIFICACION!$E$2:$E$500,MATCH("P13|"&amp;AJ5,CODIFICACION!$F$2:$F$500,0))="sin dato","",INDEX(CODIFICACION!$E$2:$E$500,MATCH("P13|"&amp;AJ5,CODIFICACION!$F$2:$F$500,0))),"⚠"))</f>
        <v/>
      </c>
      <c r="G5" t="str">
        <f>IF(AK5="","",IFERROR(IF(INDEX(CODIFICACION!$E$2:$E$500,MATCH("P14|"&amp;AK5,CODIFICACION!$F$2:$F$500,0))="sin dato","",INDEX(CODIFICACION!$E$2:$E$500,MATCH("P14|"&amp;AK5,CODIFICACION!$F$2:$F$500,0))),"⚠"))</f>
        <v/>
      </c>
      <c r="H5" t="str">
        <f>IF(AL5="","",IFERROR(IF(INDEX(CODIFICACION!$E$2:$E$500,MATCH("D1.1|"&amp;AL5,CODIFICACION!$F$2:$F$500,0))="sin dato","",INDEX(CODIFICACION!$E$2:$E$500,MATCH("D1.1|"&amp;AL5,CODIFICACION!$F$2:$F$500,0))),"⚠"))</f>
        <v/>
      </c>
      <c r="I5" t="str">
        <f>IF(AN5="","",IFERROR(IF(INDEX(CODIFICACION!$E$2:$E$500,MATCH("D1.3|"&amp;AN5,CODIFICACION!$F$2:$F$500,0))="sin dato","",INDEX(CODIFICACION!$E$2:$E$500,MATCH("D1.3|"&amp;AN5,CODIFICACION!$F$2:$F$500,0))),"⚠"))</f>
        <v/>
      </c>
      <c r="J5" t="str">
        <f>IF(AO5="","",IFERROR(IF(INDEX(CODIFICACION!$E$2:$E$500,MATCH("D1.4|"&amp;AO5,CODIFICACION!$F$2:$F$500,0))="sin dato","",INDEX(CODIFICACION!$E$2:$E$500,MATCH("D1.4|"&amp;AO5,CODIFICACION!$F$2:$F$500,0))),"⚠"))</f>
        <v/>
      </c>
      <c r="K5" t="str">
        <f>IF(AP5="","",IFERROR(IF(INDEX(CODIFICACION!$E$2:$E$500,MATCH("D1.3a|"&amp;AP5,CODIFICACION!$F$2:$F$500,0))="sin dato","",INDEX(CODIFICACION!$E$2:$E$500,MATCH("D1.3a|"&amp;AP5,CODIFICACION!$F$2:$F$500,0))),"⚠"))</f>
        <v/>
      </c>
      <c r="L5" t="str">
        <f t="shared" si="1"/>
        <v/>
      </c>
      <c r="M5" t="str">
        <f t="shared" si="2"/>
        <v/>
      </c>
      <c r="N5" t="str">
        <f t="shared" si="3"/>
        <v/>
      </c>
      <c r="O5" t="str">
        <f>IF(AT5="","",IFERROR(IF(INDEX(CODIFICACION!$E$2:$E$500,MATCH("D2.8|"&amp;AT5,CODIFICACION!$F$2:$F$500,0))="sin dato","",INDEX(CODIFICACION!$E$2:$E$500,MATCH("D2.8|"&amp;AT5,CODIFICACION!$F$2:$F$500,0))),"⚠"))</f>
        <v/>
      </c>
      <c r="P5" t="str">
        <f>IF(AU5="","",IFERROR(IF(INDEX(CODIFICACION!$E$2:$E$500,MATCH("D2.9|"&amp;AU5,CODIFICACION!$F$2:$F$500,0))="sin dato","",INDEX(CODIFICACION!$E$2:$E$500,MATCH("D2.9|"&amp;AU5,CODIFICACION!$F$2:$F$500,0))),"⚠"))</f>
        <v/>
      </c>
      <c r="Q5" t="str">
        <f>IF(AV5="","",IFERROR(IF(INDEX(CODIFICACION!$E$2:$E$500,MATCH("D2.10|"&amp;AV5,CODIFICACION!$F$2:$F$500,0))="sin dato","",INDEX(CODIFICACION!$E$2:$E$500,MATCH("D2.10|"&amp;AV5,CODIFICACION!$F$2:$F$500,0))),"⚠"))</f>
        <v/>
      </c>
      <c r="R5" t="str">
        <f>IF(AW5="","",IFERROR(IF(INDEX(CODIFICACION!$E$2:$E$500,MATCH("D2.5a|"&amp;AW5,CODIFICACION!$F$2:$F$500,0))="sin dato","",INDEX(CODIFICACION!$E$2:$E$500,MATCH("D2.5a|"&amp;AW5,CODIFICACION!$F$2:$F$500,0))),"⚠"))</f>
        <v/>
      </c>
      <c r="S5" t="str">
        <f ca="1">IF(AX5="","",IFERROR(IF(INDEX(CODIFICACION!$E$2:$E$500,MATCH("D2.5b|"&amp;AX5,CODIFICACION!$F$2:$F$500,0))="sin dato","",INDEX(CODIFICACION!$E$2:$E$500,MATCH("D2.5b|"&amp;AX5,CODIFICACION!$F$2:$F$500,0))),"⚠"))</f>
        <v/>
      </c>
      <c r="T5" t="str">
        <f t="shared" ca="1" si="4"/>
        <v/>
      </c>
      <c r="U5" t="str">
        <f>IF(AZ5="","",IFERROR(IF(INDEX(CODIFICACION!$E$2:$E$500,MATCH("D3.12|"&amp;AZ5,CODIFICACION!$F$2:$F$500,0))="sin dato","",INDEX(CODIFICACION!$E$2:$E$500,MATCH("D3.12|"&amp;AZ5,CODIFICACION!$F$2:$F$500,0))),"⚠"))</f>
        <v/>
      </c>
      <c r="V5" t="str">
        <f t="shared" si="5"/>
        <v/>
      </c>
      <c r="W5" t="str">
        <f ca="1">IF(BB5="","",IFERROR(IF(INDEX(CODIFICACION!$E$2:$E$500,MATCH("D3.14|"&amp;BB5,CODIFICACION!$F$2:$F$500,0))="sin dato","",INDEX(CODIFICACION!$E$2:$E$500,MATCH("D3.14|"&amp;BB5,CODIFICACION!$F$2:$F$500,0))),"⚠"))</f>
        <v/>
      </c>
      <c r="X5" t="str">
        <f ca="1">IF(BC5="","",IFERROR(IF(INDEX(CODIFICACION!$E$2:$E$500,MATCH("D3.14a|"&amp;BC5,CODIFICACION!$F$2:$F$500,0))="sin dato","",INDEX(CODIFICACION!$E$2:$E$500,MATCH("D3.14a|"&amp;BC5,CODIFICACION!$F$2:$F$500,0))),"⚠"))</f>
        <v/>
      </c>
      <c r="Y5" t="str">
        <f>IF(BD5="","",IFERROR(IF(INDEX(CODIFICACION!$E$2:$E$500,MATCH("D3.14b|"&amp;BD5,CODIFICACION!$F$2:$F$500,0))="sin dato","",INDEX(CODIFICACION!$E$2:$E$500,MATCH("D3.14b|"&amp;BD5,CODIFICACION!$F$2:$F$500,0))),"⚠"))</f>
        <v/>
      </c>
      <c r="Z5" t="str">
        <f>IF(BE5="","",IFERROR(IF(INDEX(CODIFICACION!$E$2:$E$500,MATCH("D3.14c|"&amp;BE5,CODIFICACION!$F$2:$F$500,0))="sin dato","",INDEX(CODIFICACION!$E$2:$E$500,MATCH("D3.14c|"&amp;BE5,CODIFICACION!$F$2:$F$500,0))),"⚠"))</f>
        <v/>
      </c>
      <c r="AA5" t="str">
        <f>IF(BF5="","",IFERROR(IF(INDEX(CODIFICACION!$E$2:$E$500,MATCH("D3.14d|"&amp;BF5,CODIFICACION!$F$2:$F$500,0))="sin dato","",INDEX(CODIFICACION!$E$2:$E$500,MATCH("D3.14d|"&amp;BF5,CODIFICACION!$F$2:$F$500,0))),"⚠"))</f>
        <v/>
      </c>
      <c r="AB5" t="str">
        <f>IF(BG5="","",IFERROR(IF(INDEX(CODIFICACION!$E$2:$E$500,MATCH("D3.14e|"&amp;BG5,CODIFICACION!$F$2:$F$500,0))="sin dato","",INDEX(CODIFICACION!$E$2:$E$500,MATCH("D3.14e|"&amp;BG5,CODIFICACION!$F$2:$F$500,0))),"⚠"))</f>
        <v/>
      </c>
      <c r="AC5" t="str">
        <f>IF(BH5="","",IFERROR(IF(INDEX(CODIFICACION!$E$2:$E$500,MATCH("D3.14f|"&amp;BH5,CODIFICACION!$F$2:$F$500,0))="sin dato","",INDEX(CODIFICACION!$E$2:$E$500,MATCH("D3.14f|"&amp;BH5,CODIFICACION!$F$2:$F$500,0))),"⚠"))</f>
        <v/>
      </c>
      <c r="AD5" t="str">
        <f>IF(BI5="","",IFERROR(IF(INDEX(CODIFICACION!$E$2:$E$500,MATCH("D3.14g|"&amp;BI5,CODIFICACION!$F$2:$F$500,0))="sin dato","",INDEX(CODIFICACION!$E$2:$E$500,MATCH("D3.14g|"&amp;BI5,CODIFICACION!$F$2:$F$500,0))),"⚠"))</f>
        <v/>
      </c>
      <c r="AE5" t="str">
        <f>IF(BJ5="","",IFERROR(IF(INDEX(CODIFICACION!$E$2:$E$500,MATCH("D3.14h|"&amp;BJ5,CODIFICACION!$F$2:$F$500,0))="sin dato","",INDEX(CODIFICACION!$E$2:$E$500,MATCH("D3.14h|"&amp;BJ5,CODIFICACION!$F$2:$F$500,0))),"⚠"))</f>
        <v/>
      </c>
      <c r="AF5" t="str">
        <f>IF(BK5="","",IFERROR(IF(INDEX(CODIFICACION!$E$2:$E$500,MATCH("D3.14i|"&amp;BK5,CODIFICACION!$F$2:$F$500,0))="sin dato","",INDEX(CODIFICACION!$E$2:$E$500,MATCH("D3.14i|"&amp;BK5,CODIFICACION!$F$2:$F$500,0))),"⚠"))</f>
        <v/>
      </c>
      <c r="AG5" t="str">
        <f>IF(BL5="","",IFERROR(IF(INDEX(CODIFICACION!$E$2:$E$500,MATCH("D4.15|"&amp;BL5,CODIFICACION!$F$2:$F$500,0))="sin dato","",INDEX(CODIFICACION!$E$2:$E$500,MATCH("D4.15|"&amp;BL5,CODIFICACION!$F$2:$F$500,0))),"⚠"))</f>
        <v/>
      </c>
      <c r="AH5" t="str">
        <f t="shared" si="6"/>
        <v/>
      </c>
      <c r="AI5" t="str">
        <f>IF(BN5="","",IFERROR(IF(INDEX(CODIFICACION!$E$2:$E$500,MATCH("D4.17|"&amp;BN5,CODIFICACION!$F$2:$F$500,0))="sin dato","",INDEX(CODIFICACION!$E$2:$E$500,MATCH("D4.17|"&amp;BN5,CODIFICACION!$F$2:$F$500,0))),"⚠"))</f>
        <v/>
      </c>
      <c r="AJ5" t="str">
        <f>IF(BO5="","",IFERROR(IF(INDEX(CODIFICACION!$E$2:$E$500,MATCH("D4.15a|"&amp;BO5,CODIFICACION!$F$2:$F$500,0))="sin dato","",INDEX(CODIFICACION!$E$2:$E$500,MATCH("D4.15a|"&amp;BO5,CODIFICACION!$F$2:$F$500,0))),"⚠"))</f>
        <v/>
      </c>
      <c r="AK5" t="str">
        <f t="shared" si="7"/>
        <v/>
      </c>
      <c r="AL5" t="str">
        <f t="shared" si="8"/>
        <v/>
      </c>
      <c r="AM5" t="str">
        <f>IF(BR5="","",IFERROR(IF(INDEX(CODIFICACION!$E$2:$E$500,MATCH("D5.18b|"&amp;BR5,CODIFICACION!$F$2:$F$500,0))="sin dato","",INDEX(CODIFICACION!$E$2:$E$500,MATCH("D5.18b|"&amp;BR5,CODIFICACION!$F$2:$F$500,0))),"⚠"))</f>
        <v/>
      </c>
      <c r="AN5" t="str">
        <f>IF(BS5="","",IFERROR(IF(INDEX(CODIFICACION!$E$2:$E$500,MATCH("D5.19|"&amp;BS5,CODIFICACION!$F$2:$F$500,0))="sin dato","",INDEX(CODIFICACION!$E$2:$E$500,MATCH("D5.19|"&amp;BS5,CODIFICACION!$F$2:$F$500,0))),"⚠"))</f>
        <v/>
      </c>
      <c r="AO5" t="str">
        <f t="shared" si="9"/>
        <v/>
      </c>
      <c r="AP5" t="str">
        <f>IF(BU5="","",IFERROR(IF(INDEX(CODIFICACION!$E$2:$E$500,MATCH("D5.20|"&amp;BU5,CODIFICACION!$F$2:$F$500,0))="sin dato","",INDEX(CODIFICACION!$E$2:$E$500,MATCH("D5.20|"&amp;BU5,CODIFICACION!$F$2:$F$500,0))),"⚠"))</f>
        <v/>
      </c>
      <c r="AQ5" t="str">
        <f>IF(BV5="","",IFERROR(IF(INDEX(CODIFICACION!$E$2:$E$500,MATCH("D5.21|"&amp;BV5,CODIFICACION!$F$2:$F$500,0))="sin dato","",INDEX(CODIFICACION!$E$2:$E$500,MATCH("D5.21|"&amp;BV5,CODIFICACION!$F$2:$F$500,0))),"⚠"))</f>
        <v/>
      </c>
      <c r="AR5" t="str">
        <f>IF(BW5="","",IFERROR(IF(INDEX(CODIFICACION!$E$2:$E$500,MATCH("D5.21a|"&amp;BW5,CODIFICACION!$F$2:$F$500,0))="sin dato","",INDEX(CODIFICACION!$E$2:$E$500,MATCH("D5.21a|"&amp;BW5,CODIFICACION!$F$2:$F$500,0))),"⚠"))</f>
        <v/>
      </c>
      <c r="AS5" t="str">
        <f>IF(BX5="","",IFERROR(IF(INDEX(CODIFICACION!$E$2:$E$500,MATCH("D5.21b|"&amp;BX5,CODIFICACION!$F$2:$F$500,0))="sin dato","",INDEX(CODIFICACION!$E$2:$E$500,MATCH("D5.21b|"&amp;BX5,CODIFICACION!$F$2:$F$500,0))),"⚠"))</f>
        <v/>
      </c>
      <c r="AT5" t="str">
        <f>IF(BY5="","",IFERROR(IF(INDEX(CODIFICACION!$E$2:$E$500,MATCH("D6.22|"&amp;BY5,CODIFICACION!$F$2:$F$500,0))="sin dato","",INDEX(CODIFICACION!$E$2:$E$500,MATCH("D6.22|"&amp;BY5,CODIFICACION!$F$2:$F$500,0))),"⚠"))</f>
        <v/>
      </c>
      <c r="AU5" t="str">
        <f>IF(BZ5="","",IFERROR(IF(INDEX(CODIFICACION!$E$2:$E$500,MATCH("D6.22a|"&amp;BZ5,CODIFICACION!$F$2:$F$500,0))="sin dato","",INDEX(CODIFICACION!$E$2:$E$500,MATCH("D6.22a|"&amp;BZ5,CODIFICACION!$F$2:$F$500,0))),"⚠"))</f>
        <v/>
      </c>
      <c r="AV5" t="str">
        <f>IF(CA5="","",IFERROR(IF(INDEX(CODIFICACION!$E$2:$E$500,MATCH("D6.22b|"&amp;CA5,CODIFICACION!$F$2:$F$500,0))="sin dato","",INDEX(CODIFICACION!$E$2:$E$500,MATCH("D6.22b|"&amp;CA5,CODIFICACION!$F$2:$F$500,0))),"⚠"))</f>
        <v/>
      </c>
      <c r="AW5" t="str">
        <f>IF(CB5="","",IFERROR(IF(INDEX(CODIFICACION!$E$2:$E$500,MATCH("D6.23|"&amp;CB5,CODIFICACION!$F$2:$F$500,0))="sin dato","",INDEX(CODIFICACION!$E$2:$E$500,MATCH("D6.23|"&amp;CB5,CODIFICACION!$F$2:$F$500,0))),"⚠"))</f>
        <v/>
      </c>
      <c r="AX5" t="str">
        <f ca="1">IF(CC5="","",IFERROR(IF(INDEX(CODIFICACION!$E$2:$E$500,MATCH("D6.24|"&amp;CC5,CODIFICACION!$F$2:$F$500,0))="sin dato","",INDEX(CODIFICACION!$E$2:$E$500,MATCH("D6.24|"&amp;CC5,CODIFICACION!$F$2:$F$500,0))),"⚠"))</f>
        <v/>
      </c>
      <c r="AY5" t="str">
        <f ca="1">IF(CD5="","",IFERROR(IF(INDEX(CODIFICACION!$E$2:$E$500,MATCH("D6.25|"&amp;CD5,CODIFICACION!$F$2:$F$500,0))="sin dato","",INDEX(CODIFICACION!$E$2:$E$500,MATCH("D6.25|"&amp;CD5,CODIFICACION!$F$2:$F$500,0))),"⚠"))</f>
        <v/>
      </c>
      <c r="AZ5" t="str">
        <f>IF(CE5="","",IFERROR(IF(INDEX(CODIFICACION!$E$2:$E$500,MATCH("D6.25a|"&amp;CE5,CODIFICACION!$F$2:$F$500,0))="sin dato","",INDEX(CODIFICACION!$E$2:$E$500,MATCH("D6.25a|"&amp;CE5,CODIFICACION!$F$2:$F$500,0))),"⚠"))</f>
        <v/>
      </c>
      <c r="BA5" t="str">
        <f>IF(CF5="","",IFERROR(IF(INDEX(CODIFICACION!$E$2:$E$500,MATCH("D6.25b|"&amp;CF5,CODIFICACION!$F$2:$F$500,0))="sin dato","",INDEX(CODIFICACION!$E$2:$E$500,MATCH("D6.25b|"&amp;CF5,CODIFICACION!$F$2:$F$500,0))),"⚠"))</f>
        <v/>
      </c>
      <c r="BB5" t="str">
        <f ca="1">IF(CG5="","",IFERROR(IF(INDEX(CODIFICACION!$E$2:$E$500,MATCH("D6.22c|"&amp;CG5,CODIFICACION!$F$2:$F$500,0))="sin dato","",INDEX(CODIFICACION!$E$2:$E$500,MATCH("D6.22c|"&amp;CG5,CODIFICACION!$F$2:$F$500,0))),"⚠"))</f>
        <v/>
      </c>
      <c r="BC5" t="str">
        <f ca="1">IF(CH5="","",IFERROR(IF(INDEX(CODIFICACION!$E$2:$E$500,MATCH("D7.26|"&amp;CH5,CODIFICACION!$F$2:$F$500,0))="sin dato","",INDEX(CODIFICACION!$E$2:$E$500,MATCH("D7.26|"&amp;CH5,CODIFICACION!$F$2:$F$500,0))),"⚠"))</f>
        <v/>
      </c>
      <c r="BD5" t="str">
        <f>IF(CI5="","",IFERROR(IF(INDEX(CODIFICACION!$E$2:$E$500,MATCH("D7.27|"&amp;CI5,CODIFICACION!$F$2:$F$500,0))="sin dato","",INDEX(CODIFICACION!$E$2:$E$500,MATCH("D7.27|"&amp;CI5,CODIFICACION!$F$2:$F$500,0))),"⚠"))</f>
        <v/>
      </c>
      <c r="BE5" t="str">
        <f>IF(CJ5="","",IFERROR(IF(INDEX(CODIFICACION!$E$2:$E$500,MATCH("D7.28|"&amp;CJ5,CODIFICACION!$F$2:$F$500,0))="sin dato","",INDEX(CODIFICACION!$E$2:$E$500,MATCH("D7.28|"&amp;CJ5,CODIFICACION!$F$2:$F$500,0))),"⚠"))</f>
        <v/>
      </c>
      <c r="BF5" t="str">
        <f>IF(CK5="","",IFERROR(IF(INDEX(CODIFICACION!$E$2:$E$500,MATCH("D7.28b|"&amp;CK5,CODIFICACION!$F$2:$F$500,0))="sin dato","",INDEX(CODIFICACION!$E$2:$E$500,MATCH("D7.28b|"&amp;CK5,CODIFICACION!$F$2:$F$500,0))),"⚠"))</f>
        <v/>
      </c>
      <c r="BG5" t="str">
        <f t="shared" si="10"/>
        <v/>
      </c>
      <c r="BH5" t="str">
        <f>IF(CM5="","",IFERROR(IF(INDEX(CODIFICACION!$E$2:$E$500,MATCH("D7.26a|"&amp;CM5,CODIFICACION!$F$2:$F$500,0))="sin dato","",INDEX(CODIFICACION!$E$2:$E$500,MATCH("D7.26a|"&amp;CM5,CODIFICACION!$F$2:$F$500,0))),"⚠"))</f>
        <v/>
      </c>
      <c r="BI5" t="str">
        <f>IF(CN5="","",IFERROR(IF(INDEX(CODIFICACION!$E$2:$E$500,MATCH("D7.26b|"&amp;CN5,CODIFICACION!$F$2:$F$500,0))="sin dato","",INDEX(CODIFICACION!$E$2:$E$500,MATCH("D7.26b|"&amp;CN5,CODIFICACION!$F$2:$F$500,0))),"⚠"))</f>
        <v/>
      </c>
      <c r="BJ5" t="str">
        <f t="shared" si="11"/>
        <v/>
      </c>
      <c r="BK5" t="str">
        <f t="shared" si="12"/>
        <v/>
      </c>
      <c r="BL5" t="str">
        <f>IF(CQ5="","",IFERROR(IF(INDEX(CODIFICACION!$E$2:$E$500,MATCH("D8.31|"&amp;CQ5,CODIFICACION!$F$2:$F$500,0))="sin dato","",INDEX(CODIFICACION!$E$2:$E$500,MATCH("D8.31|"&amp;CQ5,CODIFICACION!$F$2:$F$500,0))),"⚠"))</f>
        <v/>
      </c>
      <c r="BM5" t="str">
        <f>IF(CR5="","",IFERROR(IF(INDEX(CODIFICACION!$E$2:$E$500,MATCH("D8.32|"&amp;CR5,CODIFICACION!$F$2:$F$500,0))="sin dato","",INDEX(CODIFICACION!$E$2:$E$500,MATCH("D8.32|"&amp;CR5,CODIFICACION!$F$2:$F$500,0))),"⚠"))</f>
        <v/>
      </c>
      <c r="BN5" t="str">
        <f>IF(CS5="","",IFERROR(IF(INDEX(CODIFICACION!$E$2:$E$500,MATCH("D9.33|"&amp;CS5,CODIFICACION!$F$2:$F$500,0))="sin dato","",INDEX(CODIFICACION!$E$2:$E$500,MATCH("D9.33|"&amp;CS5,CODIFICACION!$F$2:$F$500,0))),"⚠"))</f>
        <v/>
      </c>
      <c r="BO5" t="str">
        <f>IF(CT5="","",IFERROR(IF(INDEX(CODIFICACION!$E$2:$E$500,MATCH("D9.34|"&amp;CT5,CODIFICACION!$F$2:$F$500,0))="sin dato","",INDEX(CODIFICACION!$E$2:$E$500,MATCH("D9.34|"&amp;CT5,CODIFICACION!$F$2:$F$500,0))),"⚠"))</f>
        <v/>
      </c>
      <c r="BP5" t="str">
        <f>IF(CU5="","",IFERROR(IF(INDEX(CODIFICACION!$E$2:$E$500,MATCH("D9.35|"&amp;CU5,CODIFICACION!$F$2:$F$500,0))="sin dato","",INDEX(CODIFICACION!$E$2:$E$500,MATCH("D9.35|"&amp;CU5,CODIFICACION!$F$2:$F$500,0))),"⚠"))</f>
        <v/>
      </c>
      <c r="BQ5" t="str">
        <f>IF(CV5="","",IFERROR(IF(INDEX(CODIFICACION!$E$2:$E$500,MATCH("D10.36|"&amp;CV5,CODIFICACION!$F$2:$F$500,0))="sin dato","",INDEX(CODIFICACION!$E$2:$E$500,MATCH("D10.36|"&amp;CV5,CODIFICACION!$F$2:$F$500,0))),"⚠"))</f>
        <v/>
      </c>
      <c r="BR5" t="str">
        <f>IF(CW5="","",IFERROR(IF(INDEX(CODIFICACION!$E$2:$E$500,MATCH("D10.37|"&amp;CW5,CODIFICACION!$F$2:$F$500,0))="sin dato","",INDEX(CODIFICACION!$E$2:$E$500,MATCH("D10.37|"&amp;CW5,CODIFICACION!$F$2:$F$500,0))),"⚠"))</f>
        <v/>
      </c>
      <c r="BS5" t="str">
        <f>IF(CX5="","",IFERROR(IF(INDEX(CODIFICACION!$E$2:$E$500,MATCH("D10.36a|"&amp;CX5,CODIFICACION!$F$2:$F$500,0))="sin dato","",INDEX(CODIFICACION!$E$2:$E$500,MATCH("D10.36a|"&amp;CX5,CODIFICACION!$F$2:$F$500,0))),"⚠"))</f>
        <v/>
      </c>
      <c r="BT5" t="str">
        <f t="shared" si="13"/>
        <v/>
      </c>
      <c r="BU5" t="str">
        <f>IF(DA5="","",IFERROR(IF(INDEX(CODIFICACION!$E$2:$E$500,MATCH("D11.39a|"&amp;DA5,CODIFICACION!$F$2:$F$500,0))="sin dato","",INDEX(CODIFICACION!$E$2:$E$500,MATCH("D11.39a|"&amp;DA5,CODIFICACION!$F$2:$F$500,0))),"⚠"))</f>
        <v/>
      </c>
      <c r="BV5" t="str">
        <f>IF(DB5="","",IFERROR(IF(INDEX(CODIFICACION!$E$2:$E$500,MATCH("D12.42|"&amp;DB5,CODIFICACION!$F$2:$F$500,0))="sin dato","",INDEX(CODIFICACION!$E$2:$E$500,MATCH("D12.42|"&amp;DB5,CODIFICACION!$F$2:$F$500,0))),"⚠"))</f>
        <v/>
      </c>
      <c r="BW5" t="str">
        <f>IF(DC5="","",IFERROR(IF(INDEX(CODIFICACION!$E$2:$E$500,MATCH("D13.45|"&amp;DC5,CODIFICACION!$F$2:$F$500,0))="sin dato","",INDEX(CODIFICACION!$E$2:$E$500,MATCH("D13.45|"&amp;DC5,CODIFICACION!$F$2:$F$500,0))),"⚠"))</f>
        <v/>
      </c>
      <c r="BX5" t="str">
        <f>IF(DD5="","",IFERROR(IF(INDEX(CODIFICACION!$E$2:$E$500,MATCH("D14.51|"&amp;DD5,CODIFICACION!$F$2:$F$500,0))="sin dato","",INDEX(CODIFICACION!$E$2:$E$500,MATCH("D14.51|"&amp;DD5,CODIFICACION!$F$2:$F$500,0))),"⚠"))</f>
        <v/>
      </c>
      <c r="BY5" t="str">
        <f>IF(DE5="","",IFERROR(IF(INDEX(CODIFICACION!$E$2:$E$500,MATCH("D15.58|"&amp;DE5,CODIFICACION!$F$2:$F$500,0))="sin dato","",INDEX(CODIFICACION!$E$2:$E$500,MATCH("D15.58|"&amp;DE5,CODIFICACION!$F$2:$F$500,0))),"⚠"))</f>
        <v/>
      </c>
      <c r="BZ5" t="str">
        <f>IF(DF5="","",IFERROR(IF(INDEX(CODIFICACION!$E$2:$E$500,MATCH("PP1|"&amp;DF5,CODIFICACION!$F$2:$F$500,0))="sin dato","",INDEX(CODIFICACION!$E$2:$E$500,MATCH("PP1|"&amp;DF5,CODIFICACION!$F$2:$F$500,0))),"⚠"))</f>
        <v/>
      </c>
      <c r="CA5" t="str">
        <f>IF(DG5="","",IFERROR(IF(INDEX(CODIFICACION!$E$2:$E$500,MATCH("PP2|"&amp;DG5,CODIFICACION!$F$2:$F$500,0))="sin dato","",INDEX(CODIFICACION!$E$2:$E$500,MATCH("PP2|"&amp;DG5,CODIFICACION!$F$2:$F$500,0))),"⚠"))</f>
        <v/>
      </c>
      <c r="CB5" t="str">
        <f t="shared" si="14"/>
        <v/>
      </c>
      <c r="CC5" t="str">
        <f t="shared" ca="1" si="15"/>
        <v/>
      </c>
      <c r="CD5" t="str">
        <f t="shared" ca="1" si="16"/>
        <v/>
      </c>
      <c r="CE5" t="str">
        <f t="shared" si="17"/>
        <v/>
      </c>
      <c r="CF5" t="str">
        <f t="shared" si="18"/>
        <v/>
      </c>
      <c r="CG5" t="str">
        <f t="shared" ca="1" si="19"/>
        <v/>
      </c>
      <c r="CH5" t="str">
        <f t="shared" ca="1" si="20"/>
        <v/>
      </c>
      <c r="CI5" t="str">
        <f t="shared" si="21"/>
        <v/>
      </c>
      <c r="CJ5" t="str">
        <f t="shared" si="22"/>
        <v/>
      </c>
      <c r="CK5" t="str">
        <f t="shared" si="23"/>
        <v/>
      </c>
      <c r="CL5" t="str">
        <f t="shared" si="24"/>
        <v/>
      </c>
    </row>
    <row r="6" spans="1:90" x14ac:dyDescent="0.3">
      <c r="A6">
        <f>CAPTURA!A6</f>
        <v>20132489824</v>
      </c>
      <c r="B6">
        <f>CAPTURA!C6</f>
        <v>0</v>
      </c>
      <c r="C6" t="str">
        <f t="shared" si="0"/>
        <v/>
      </c>
      <c r="D6" t="str">
        <f>IF(AE6="","",IFERROR(IF(INDEX(CODIFICACION!$E$2:$E$500,MATCH("P8|"&amp;AE6,CODIFICACION!$F$2:$F$500,0))="sin dato","",INDEX(CODIFICACION!$E$2:$E$500,MATCH("P8|"&amp;AE6,CODIFICACION!$F$2:$F$500,0))),"⚠"))</f>
        <v/>
      </c>
      <c r="E6" t="str">
        <f>IF(AG6="","",IFERROR(IF(INDEX(CODIFICACION!$E$2:$E$500,MATCH("P10|"&amp;AG6,CODIFICACION!$F$2:$F$500,0))="sin dato","",INDEX(CODIFICACION!$E$2:$E$500,MATCH("P10|"&amp;AG6,CODIFICACION!$F$2:$F$500,0))),"⚠"))</f>
        <v/>
      </c>
      <c r="F6" t="str">
        <f>IF(AJ6="","",IFERROR(IF(INDEX(CODIFICACION!$E$2:$E$500,MATCH("P13|"&amp;AJ6,CODIFICACION!$F$2:$F$500,0))="sin dato","",INDEX(CODIFICACION!$E$2:$E$500,MATCH("P13|"&amp;AJ6,CODIFICACION!$F$2:$F$500,0))),"⚠"))</f>
        <v/>
      </c>
      <c r="G6" t="str">
        <f>IF(AK6="","",IFERROR(IF(INDEX(CODIFICACION!$E$2:$E$500,MATCH("P14|"&amp;AK6,CODIFICACION!$F$2:$F$500,0))="sin dato","",INDEX(CODIFICACION!$E$2:$E$500,MATCH("P14|"&amp;AK6,CODIFICACION!$F$2:$F$500,0))),"⚠"))</f>
        <v/>
      </c>
      <c r="H6" t="str">
        <f>IF(AL6="","",IFERROR(IF(INDEX(CODIFICACION!$E$2:$E$500,MATCH("D1.1|"&amp;AL6,CODIFICACION!$F$2:$F$500,0))="sin dato","",INDEX(CODIFICACION!$E$2:$E$500,MATCH("D1.1|"&amp;AL6,CODIFICACION!$F$2:$F$500,0))),"⚠"))</f>
        <v/>
      </c>
      <c r="I6" t="str">
        <f>IF(AN6="","",IFERROR(IF(INDEX(CODIFICACION!$E$2:$E$500,MATCH("D1.3|"&amp;AN6,CODIFICACION!$F$2:$F$500,0))="sin dato","",INDEX(CODIFICACION!$E$2:$E$500,MATCH("D1.3|"&amp;AN6,CODIFICACION!$F$2:$F$500,0))),"⚠"))</f>
        <v/>
      </c>
      <c r="J6" t="str">
        <f>IF(AO6="","",IFERROR(IF(INDEX(CODIFICACION!$E$2:$E$500,MATCH("D1.4|"&amp;AO6,CODIFICACION!$F$2:$F$500,0))="sin dato","",INDEX(CODIFICACION!$E$2:$E$500,MATCH("D1.4|"&amp;AO6,CODIFICACION!$F$2:$F$500,0))),"⚠"))</f>
        <v/>
      </c>
      <c r="K6" t="str">
        <f>IF(AP6="","",IFERROR(IF(INDEX(CODIFICACION!$E$2:$E$500,MATCH("D1.3a|"&amp;AP6,CODIFICACION!$F$2:$F$500,0))="sin dato","",INDEX(CODIFICACION!$E$2:$E$500,MATCH("D1.3a|"&amp;AP6,CODIFICACION!$F$2:$F$500,0))),"⚠"))</f>
        <v/>
      </c>
      <c r="L6" t="str">
        <f t="shared" si="1"/>
        <v/>
      </c>
      <c r="M6" t="str">
        <f t="shared" si="2"/>
        <v/>
      </c>
      <c r="N6" t="str">
        <f t="shared" si="3"/>
        <v/>
      </c>
      <c r="O6" t="str">
        <f>IF(AT6="","",IFERROR(IF(INDEX(CODIFICACION!$E$2:$E$500,MATCH("D2.8|"&amp;AT6,CODIFICACION!$F$2:$F$500,0))="sin dato","",INDEX(CODIFICACION!$E$2:$E$500,MATCH("D2.8|"&amp;AT6,CODIFICACION!$F$2:$F$500,0))),"⚠"))</f>
        <v/>
      </c>
      <c r="P6" t="str">
        <f>IF(AU6="","",IFERROR(IF(INDEX(CODIFICACION!$E$2:$E$500,MATCH("D2.9|"&amp;AU6,CODIFICACION!$F$2:$F$500,0))="sin dato","",INDEX(CODIFICACION!$E$2:$E$500,MATCH("D2.9|"&amp;AU6,CODIFICACION!$F$2:$F$500,0))),"⚠"))</f>
        <v/>
      </c>
      <c r="Q6" t="str">
        <f>IF(AV6="","",IFERROR(IF(INDEX(CODIFICACION!$E$2:$E$500,MATCH("D2.10|"&amp;AV6,CODIFICACION!$F$2:$F$500,0))="sin dato","",INDEX(CODIFICACION!$E$2:$E$500,MATCH("D2.10|"&amp;AV6,CODIFICACION!$F$2:$F$500,0))),"⚠"))</f>
        <v/>
      </c>
      <c r="R6" t="str">
        <f>IF(AW6="","",IFERROR(IF(INDEX(CODIFICACION!$E$2:$E$500,MATCH("D2.5a|"&amp;AW6,CODIFICACION!$F$2:$F$500,0))="sin dato","",INDEX(CODIFICACION!$E$2:$E$500,MATCH("D2.5a|"&amp;AW6,CODIFICACION!$F$2:$F$500,0))),"⚠"))</f>
        <v/>
      </c>
      <c r="S6" t="str">
        <f ca="1">IF(AX6="","",IFERROR(IF(INDEX(CODIFICACION!$E$2:$E$500,MATCH("D2.5b|"&amp;AX6,CODIFICACION!$F$2:$F$500,0))="sin dato","",INDEX(CODIFICACION!$E$2:$E$500,MATCH("D2.5b|"&amp;AX6,CODIFICACION!$F$2:$F$500,0))),"⚠"))</f>
        <v/>
      </c>
      <c r="T6" t="str">
        <f t="shared" ca="1" si="4"/>
        <v/>
      </c>
      <c r="U6" t="str">
        <f>IF(AZ6="","",IFERROR(IF(INDEX(CODIFICACION!$E$2:$E$500,MATCH("D3.12|"&amp;AZ6,CODIFICACION!$F$2:$F$500,0))="sin dato","",INDEX(CODIFICACION!$E$2:$E$500,MATCH("D3.12|"&amp;AZ6,CODIFICACION!$F$2:$F$500,0))),"⚠"))</f>
        <v/>
      </c>
      <c r="V6" t="str">
        <f t="shared" si="5"/>
        <v/>
      </c>
      <c r="W6" t="str">
        <f ca="1">IF(BB6="","",IFERROR(IF(INDEX(CODIFICACION!$E$2:$E$500,MATCH("D3.14|"&amp;BB6,CODIFICACION!$F$2:$F$500,0))="sin dato","",INDEX(CODIFICACION!$E$2:$E$500,MATCH("D3.14|"&amp;BB6,CODIFICACION!$F$2:$F$500,0))),"⚠"))</f>
        <v/>
      </c>
      <c r="X6" t="str">
        <f ca="1">IF(BC6="","",IFERROR(IF(INDEX(CODIFICACION!$E$2:$E$500,MATCH("D3.14a|"&amp;BC6,CODIFICACION!$F$2:$F$500,0))="sin dato","",INDEX(CODIFICACION!$E$2:$E$500,MATCH("D3.14a|"&amp;BC6,CODIFICACION!$F$2:$F$500,0))),"⚠"))</f>
        <v/>
      </c>
      <c r="Y6" t="str">
        <f>IF(BD6="","",IFERROR(IF(INDEX(CODIFICACION!$E$2:$E$500,MATCH("D3.14b|"&amp;BD6,CODIFICACION!$F$2:$F$500,0))="sin dato","",INDEX(CODIFICACION!$E$2:$E$500,MATCH("D3.14b|"&amp;BD6,CODIFICACION!$F$2:$F$500,0))),"⚠"))</f>
        <v/>
      </c>
      <c r="Z6" t="str">
        <f>IF(BE6="","",IFERROR(IF(INDEX(CODIFICACION!$E$2:$E$500,MATCH("D3.14c|"&amp;BE6,CODIFICACION!$F$2:$F$500,0))="sin dato","",INDEX(CODIFICACION!$E$2:$E$500,MATCH("D3.14c|"&amp;BE6,CODIFICACION!$F$2:$F$500,0))),"⚠"))</f>
        <v/>
      </c>
      <c r="AA6" t="str">
        <f>IF(BF6="","",IFERROR(IF(INDEX(CODIFICACION!$E$2:$E$500,MATCH("D3.14d|"&amp;BF6,CODIFICACION!$F$2:$F$500,0))="sin dato","",INDEX(CODIFICACION!$E$2:$E$500,MATCH("D3.14d|"&amp;BF6,CODIFICACION!$F$2:$F$500,0))),"⚠"))</f>
        <v/>
      </c>
      <c r="AB6" t="str">
        <f>IF(BG6="","",IFERROR(IF(INDEX(CODIFICACION!$E$2:$E$500,MATCH("D3.14e|"&amp;BG6,CODIFICACION!$F$2:$F$500,0))="sin dato","",INDEX(CODIFICACION!$E$2:$E$500,MATCH("D3.14e|"&amp;BG6,CODIFICACION!$F$2:$F$500,0))),"⚠"))</f>
        <v/>
      </c>
      <c r="AC6" t="str">
        <f>IF(BH6="","",IFERROR(IF(INDEX(CODIFICACION!$E$2:$E$500,MATCH("D3.14f|"&amp;BH6,CODIFICACION!$F$2:$F$500,0))="sin dato","",INDEX(CODIFICACION!$E$2:$E$500,MATCH("D3.14f|"&amp;BH6,CODIFICACION!$F$2:$F$500,0))),"⚠"))</f>
        <v/>
      </c>
      <c r="AD6" t="str">
        <f>IF(BI6="","",IFERROR(IF(INDEX(CODIFICACION!$E$2:$E$500,MATCH("D3.14g|"&amp;BI6,CODIFICACION!$F$2:$F$500,0))="sin dato","",INDEX(CODIFICACION!$E$2:$E$500,MATCH("D3.14g|"&amp;BI6,CODIFICACION!$F$2:$F$500,0))),"⚠"))</f>
        <v/>
      </c>
      <c r="AE6" t="str">
        <f>IF(BJ6="","",IFERROR(IF(INDEX(CODIFICACION!$E$2:$E$500,MATCH("D3.14h|"&amp;BJ6,CODIFICACION!$F$2:$F$500,0))="sin dato","",INDEX(CODIFICACION!$E$2:$E$500,MATCH("D3.14h|"&amp;BJ6,CODIFICACION!$F$2:$F$500,0))),"⚠"))</f>
        <v/>
      </c>
      <c r="AF6" t="str">
        <f>IF(BK6="","",IFERROR(IF(INDEX(CODIFICACION!$E$2:$E$500,MATCH("D3.14i|"&amp;BK6,CODIFICACION!$F$2:$F$500,0))="sin dato","",INDEX(CODIFICACION!$E$2:$E$500,MATCH("D3.14i|"&amp;BK6,CODIFICACION!$F$2:$F$500,0))),"⚠"))</f>
        <v/>
      </c>
      <c r="AG6" t="str">
        <f>IF(BL6="","",IFERROR(IF(INDEX(CODIFICACION!$E$2:$E$500,MATCH("D4.15|"&amp;BL6,CODIFICACION!$F$2:$F$500,0))="sin dato","",INDEX(CODIFICACION!$E$2:$E$500,MATCH("D4.15|"&amp;BL6,CODIFICACION!$F$2:$F$500,0))),"⚠"))</f>
        <v/>
      </c>
      <c r="AH6" t="str">
        <f t="shared" si="6"/>
        <v/>
      </c>
      <c r="AI6" t="str">
        <f>IF(BN6="","",IFERROR(IF(INDEX(CODIFICACION!$E$2:$E$500,MATCH("D4.17|"&amp;BN6,CODIFICACION!$F$2:$F$500,0))="sin dato","",INDEX(CODIFICACION!$E$2:$E$500,MATCH("D4.17|"&amp;BN6,CODIFICACION!$F$2:$F$500,0))),"⚠"))</f>
        <v/>
      </c>
      <c r="AJ6" t="str">
        <f>IF(BO6="","",IFERROR(IF(INDEX(CODIFICACION!$E$2:$E$500,MATCH("D4.15a|"&amp;BO6,CODIFICACION!$F$2:$F$500,0))="sin dato","",INDEX(CODIFICACION!$E$2:$E$500,MATCH("D4.15a|"&amp;BO6,CODIFICACION!$F$2:$F$500,0))),"⚠"))</f>
        <v/>
      </c>
      <c r="AK6" t="str">
        <f t="shared" si="7"/>
        <v/>
      </c>
      <c r="AL6" t="str">
        <f t="shared" si="8"/>
        <v/>
      </c>
      <c r="AM6" t="str">
        <f>IF(BR6="","",IFERROR(IF(INDEX(CODIFICACION!$E$2:$E$500,MATCH("D5.18b|"&amp;BR6,CODIFICACION!$F$2:$F$500,0))="sin dato","",INDEX(CODIFICACION!$E$2:$E$500,MATCH("D5.18b|"&amp;BR6,CODIFICACION!$F$2:$F$500,0))),"⚠"))</f>
        <v/>
      </c>
      <c r="AN6" t="str">
        <f>IF(BS6="","",IFERROR(IF(INDEX(CODIFICACION!$E$2:$E$500,MATCH("D5.19|"&amp;BS6,CODIFICACION!$F$2:$F$500,0))="sin dato","",INDEX(CODIFICACION!$E$2:$E$500,MATCH("D5.19|"&amp;BS6,CODIFICACION!$F$2:$F$500,0))),"⚠"))</f>
        <v/>
      </c>
      <c r="AO6" t="str">
        <f t="shared" si="9"/>
        <v/>
      </c>
      <c r="AP6" t="str">
        <f>IF(BU6="","",IFERROR(IF(INDEX(CODIFICACION!$E$2:$E$500,MATCH("D5.20|"&amp;BU6,CODIFICACION!$F$2:$F$500,0))="sin dato","",INDEX(CODIFICACION!$E$2:$E$500,MATCH("D5.20|"&amp;BU6,CODIFICACION!$F$2:$F$500,0))),"⚠"))</f>
        <v/>
      </c>
      <c r="AQ6" t="str">
        <f>IF(BV6="","",IFERROR(IF(INDEX(CODIFICACION!$E$2:$E$500,MATCH("D5.21|"&amp;BV6,CODIFICACION!$F$2:$F$500,0))="sin dato","",INDEX(CODIFICACION!$E$2:$E$500,MATCH("D5.21|"&amp;BV6,CODIFICACION!$F$2:$F$500,0))),"⚠"))</f>
        <v/>
      </c>
      <c r="AR6" t="str">
        <f>IF(BW6="","",IFERROR(IF(INDEX(CODIFICACION!$E$2:$E$500,MATCH("D5.21a|"&amp;BW6,CODIFICACION!$F$2:$F$500,0))="sin dato","",INDEX(CODIFICACION!$E$2:$E$500,MATCH("D5.21a|"&amp;BW6,CODIFICACION!$F$2:$F$500,0))),"⚠"))</f>
        <v/>
      </c>
      <c r="AS6" t="str">
        <f>IF(BX6="","",IFERROR(IF(INDEX(CODIFICACION!$E$2:$E$500,MATCH("D5.21b|"&amp;BX6,CODIFICACION!$F$2:$F$500,0))="sin dato","",INDEX(CODIFICACION!$E$2:$E$500,MATCH("D5.21b|"&amp;BX6,CODIFICACION!$F$2:$F$500,0))),"⚠"))</f>
        <v/>
      </c>
      <c r="AT6" t="str">
        <f>IF(BY6="","",IFERROR(IF(INDEX(CODIFICACION!$E$2:$E$500,MATCH("D6.22|"&amp;BY6,CODIFICACION!$F$2:$F$500,0))="sin dato","",INDEX(CODIFICACION!$E$2:$E$500,MATCH("D6.22|"&amp;BY6,CODIFICACION!$F$2:$F$500,0))),"⚠"))</f>
        <v/>
      </c>
      <c r="AU6" t="str">
        <f>IF(BZ6="","",IFERROR(IF(INDEX(CODIFICACION!$E$2:$E$500,MATCH("D6.22a|"&amp;BZ6,CODIFICACION!$F$2:$F$500,0))="sin dato","",INDEX(CODIFICACION!$E$2:$E$500,MATCH("D6.22a|"&amp;BZ6,CODIFICACION!$F$2:$F$500,0))),"⚠"))</f>
        <v/>
      </c>
      <c r="AV6" t="str">
        <f>IF(CA6="","",IFERROR(IF(INDEX(CODIFICACION!$E$2:$E$500,MATCH("D6.22b|"&amp;CA6,CODIFICACION!$F$2:$F$500,0))="sin dato","",INDEX(CODIFICACION!$E$2:$E$500,MATCH("D6.22b|"&amp;CA6,CODIFICACION!$F$2:$F$500,0))),"⚠"))</f>
        <v/>
      </c>
      <c r="AW6" t="str">
        <f>IF(CB6="","",IFERROR(IF(INDEX(CODIFICACION!$E$2:$E$500,MATCH("D6.23|"&amp;CB6,CODIFICACION!$F$2:$F$500,0))="sin dato","",INDEX(CODIFICACION!$E$2:$E$500,MATCH("D6.23|"&amp;CB6,CODIFICACION!$F$2:$F$500,0))),"⚠"))</f>
        <v/>
      </c>
      <c r="AX6" t="str">
        <f ca="1">IF(CC6="","",IFERROR(IF(INDEX(CODIFICACION!$E$2:$E$500,MATCH("D6.24|"&amp;CC6,CODIFICACION!$F$2:$F$500,0))="sin dato","",INDEX(CODIFICACION!$E$2:$E$500,MATCH("D6.24|"&amp;CC6,CODIFICACION!$F$2:$F$500,0))),"⚠"))</f>
        <v/>
      </c>
      <c r="AY6" t="str">
        <f ca="1">IF(CD6="","",IFERROR(IF(INDEX(CODIFICACION!$E$2:$E$500,MATCH("D6.25|"&amp;CD6,CODIFICACION!$F$2:$F$500,0))="sin dato","",INDEX(CODIFICACION!$E$2:$E$500,MATCH("D6.25|"&amp;CD6,CODIFICACION!$F$2:$F$500,0))),"⚠"))</f>
        <v/>
      </c>
      <c r="AZ6" t="str">
        <f>IF(CE6="","",IFERROR(IF(INDEX(CODIFICACION!$E$2:$E$500,MATCH("D6.25a|"&amp;CE6,CODIFICACION!$F$2:$F$500,0))="sin dato","",INDEX(CODIFICACION!$E$2:$E$500,MATCH("D6.25a|"&amp;CE6,CODIFICACION!$F$2:$F$500,0))),"⚠"))</f>
        <v/>
      </c>
      <c r="BA6" t="str">
        <f>IF(CF6="","",IFERROR(IF(INDEX(CODIFICACION!$E$2:$E$500,MATCH("D6.25b|"&amp;CF6,CODIFICACION!$F$2:$F$500,0))="sin dato","",INDEX(CODIFICACION!$E$2:$E$500,MATCH("D6.25b|"&amp;CF6,CODIFICACION!$F$2:$F$500,0))),"⚠"))</f>
        <v/>
      </c>
      <c r="BB6" t="str">
        <f ca="1">IF(CG6="","",IFERROR(IF(INDEX(CODIFICACION!$E$2:$E$500,MATCH("D6.22c|"&amp;CG6,CODIFICACION!$F$2:$F$500,0))="sin dato","",INDEX(CODIFICACION!$E$2:$E$500,MATCH("D6.22c|"&amp;CG6,CODIFICACION!$F$2:$F$500,0))),"⚠"))</f>
        <v/>
      </c>
      <c r="BC6" t="str">
        <f ca="1">IF(CH6="","",IFERROR(IF(INDEX(CODIFICACION!$E$2:$E$500,MATCH("D7.26|"&amp;CH6,CODIFICACION!$F$2:$F$500,0))="sin dato","",INDEX(CODIFICACION!$E$2:$E$500,MATCH("D7.26|"&amp;CH6,CODIFICACION!$F$2:$F$500,0))),"⚠"))</f>
        <v/>
      </c>
      <c r="BD6" t="str">
        <f>IF(CI6="","",IFERROR(IF(INDEX(CODIFICACION!$E$2:$E$500,MATCH("D7.27|"&amp;CI6,CODIFICACION!$F$2:$F$500,0))="sin dato","",INDEX(CODIFICACION!$E$2:$E$500,MATCH("D7.27|"&amp;CI6,CODIFICACION!$F$2:$F$500,0))),"⚠"))</f>
        <v/>
      </c>
      <c r="BE6" t="str">
        <f>IF(CJ6="","",IFERROR(IF(INDEX(CODIFICACION!$E$2:$E$500,MATCH("D7.28|"&amp;CJ6,CODIFICACION!$F$2:$F$500,0))="sin dato","",INDEX(CODIFICACION!$E$2:$E$500,MATCH("D7.28|"&amp;CJ6,CODIFICACION!$F$2:$F$500,0))),"⚠"))</f>
        <v/>
      </c>
      <c r="BF6" t="str">
        <f>IF(CK6="","",IFERROR(IF(INDEX(CODIFICACION!$E$2:$E$500,MATCH("D7.28b|"&amp;CK6,CODIFICACION!$F$2:$F$500,0))="sin dato","",INDEX(CODIFICACION!$E$2:$E$500,MATCH("D7.28b|"&amp;CK6,CODIFICACION!$F$2:$F$500,0))),"⚠"))</f>
        <v/>
      </c>
      <c r="BG6" t="str">
        <f t="shared" si="10"/>
        <v/>
      </c>
      <c r="BH6" t="str">
        <f>IF(CM6="","",IFERROR(IF(INDEX(CODIFICACION!$E$2:$E$500,MATCH("D7.26a|"&amp;CM6,CODIFICACION!$F$2:$F$500,0))="sin dato","",INDEX(CODIFICACION!$E$2:$E$500,MATCH("D7.26a|"&amp;CM6,CODIFICACION!$F$2:$F$500,0))),"⚠"))</f>
        <v/>
      </c>
      <c r="BI6" t="str">
        <f>IF(CN6="","",IFERROR(IF(INDEX(CODIFICACION!$E$2:$E$500,MATCH("D7.26b|"&amp;CN6,CODIFICACION!$F$2:$F$500,0))="sin dato","",INDEX(CODIFICACION!$E$2:$E$500,MATCH("D7.26b|"&amp;CN6,CODIFICACION!$F$2:$F$500,0))),"⚠"))</f>
        <v/>
      </c>
      <c r="BJ6" t="str">
        <f t="shared" si="11"/>
        <v/>
      </c>
      <c r="BK6" t="str">
        <f t="shared" si="12"/>
        <v/>
      </c>
      <c r="BL6" t="str">
        <f>IF(CQ6="","",IFERROR(IF(INDEX(CODIFICACION!$E$2:$E$500,MATCH("D8.31|"&amp;CQ6,CODIFICACION!$F$2:$F$500,0))="sin dato","",INDEX(CODIFICACION!$E$2:$E$500,MATCH("D8.31|"&amp;CQ6,CODIFICACION!$F$2:$F$500,0))),"⚠"))</f>
        <v/>
      </c>
      <c r="BM6" t="str">
        <f>IF(CR6="","",IFERROR(IF(INDEX(CODIFICACION!$E$2:$E$500,MATCH("D8.32|"&amp;CR6,CODIFICACION!$F$2:$F$500,0))="sin dato","",INDEX(CODIFICACION!$E$2:$E$500,MATCH("D8.32|"&amp;CR6,CODIFICACION!$F$2:$F$500,0))),"⚠"))</f>
        <v/>
      </c>
      <c r="BN6" t="str">
        <f>IF(CS6="","",IFERROR(IF(INDEX(CODIFICACION!$E$2:$E$500,MATCH("D9.33|"&amp;CS6,CODIFICACION!$F$2:$F$500,0))="sin dato","",INDEX(CODIFICACION!$E$2:$E$500,MATCH("D9.33|"&amp;CS6,CODIFICACION!$F$2:$F$500,0))),"⚠"))</f>
        <v/>
      </c>
      <c r="BO6" t="str">
        <f>IF(CT6="","",IFERROR(IF(INDEX(CODIFICACION!$E$2:$E$500,MATCH("D9.34|"&amp;CT6,CODIFICACION!$F$2:$F$500,0))="sin dato","",INDEX(CODIFICACION!$E$2:$E$500,MATCH("D9.34|"&amp;CT6,CODIFICACION!$F$2:$F$500,0))),"⚠"))</f>
        <v/>
      </c>
      <c r="BP6" t="str">
        <f>IF(CU6="","",IFERROR(IF(INDEX(CODIFICACION!$E$2:$E$500,MATCH("D9.35|"&amp;CU6,CODIFICACION!$F$2:$F$500,0))="sin dato","",INDEX(CODIFICACION!$E$2:$E$500,MATCH("D9.35|"&amp;CU6,CODIFICACION!$F$2:$F$500,0))),"⚠"))</f>
        <v/>
      </c>
      <c r="BQ6" t="str">
        <f>IF(CV6="","",IFERROR(IF(INDEX(CODIFICACION!$E$2:$E$500,MATCH("D10.36|"&amp;CV6,CODIFICACION!$F$2:$F$500,0))="sin dato","",INDEX(CODIFICACION!$E$2:$E$500,MATCH("D10.36|"&amp;CV6,CODIFICACION!$F$2:$F$500,0))),"⚠"))</f>
        <v/>
      </c>
      <c r="BR6" t="str">
        <f>IF(CW6="","",IFERROR(IF(INDEX(CODIFICACION!$E$2:$E$500,MATCH("D10.37|"&amp;CW6,CODIFICACION!$F$2:$F$500,0))="sin dato","",INDEX(CODIFICACION!$E$2:$E$500,MATCH("D10.37|"&amp;CW6,CODIFICACION!$F$2:$F$500,0))),"⚠"))</f>
        <v/>
      </c>
      <c r="BS6" t="str">
        <f>IF(CX6="","",IFERROR(IF(INDEX(CODIFICACION!$E$2:$E$500,MATCH("D10.36a|"&amp;CX6,CODIFICACION!$F$2:$F$500,0))="sin dato","",INDEX(CODIFICACION!$E$2:$E$500,MATCH("D10.36a|"&amp;CX6,CODIFICACION!$F$2:$F$500,0))),"⚠"))</f>
        <v/>
      </c>
      <c r="BT6" t="str">
        <f t="shared" si="13"/>
        <v/>
      </c>
      <c r="BU6" t="str">
        <f>IF(DA6="","",IFERROR(IF(INDEX(CODIFICACION!$E$2:$E$500,MATCH("D11.39a|"&amp;DA6,CODIFICACION!$F$2:$F$500,0))="sin dato","",INDEX(CODIFICACION!$E$2:$E$500,MATCH("D11.39a|"&amp;DA6,CODIFICACION!$F$2:$F$500,0))),"⚠"))</f>
        <v/>
      </c>
      <c r="BV6" t="str">
        <f>IF(DB6="","",IFERROR(IF(INDEX(CODIFICACION!$E$2:$E$500,MATCH("D12.42|"&amp;DB6,CODIFICACION!$F$2:$F$500,0))="sin dato","",INDEX(CODIFICACION!$E$2:$E$500,MATCH("D12.42|"&amp;DB6,CODIFICACION!$F$2:$F$500,0))),"⚠"))</f>
        <v/>
      </c>
      <c r="BW6" t="str">
        <f>IF(DC6="","",IFERROR(IF(INDEX(CODIFICACION!$E$2:$E$500,MATCH("D13.45|"&amp;DC6,CODIFICACION!$F$2:$F$500,0))="sin dato","",INDEX(CODIFICACION!$E$2:$E$500,MATCH("D13.45|"&amp;DC6,CODIFICACION!$F$2:$F$500,0))),"⚠"))</f>
        <v/>
      </c>
      <c r="BX6" t="str">
        <f>IF(DD6="","",IFERROR(IF(INDEX(CODIFICACION!$E$2:$E$500,MATCH("D14.51|"&amp;DD6,CODIFICACION!$F$2:$F$500,0))="sin dato","",INDEX(CODIFICACION!$E$2:$E$500,MATCH("D14.51|"&amp;DD6,CODIFICACION!$F$2:$F$500,0))),"⚠"))</f>
        <v/>
      </c>
      <c r="BY6" t="str">
        <f>IF(DE6="","",IFERROR(IF(INDEX(CODIFICACION!$E$2:$E$500,MATCH("D15.58|"&amp;DE6,CODIFICACION!$F$2:$F$500,0))="sin dato","",INDEX(CODIFICACION!$E$2:$E$500,MATCH("D15.58|"&amp;DE6,CODIFICACION!$F$2:$F$500,0))),"⚠"))</f>
        <v/>
      </c>
      <c r="BZ6" t="str">
        <f>IF(DF6="","",IFERROR(IF(INDEX(CODIFICACION!$E$2:$E$500,MATCH("PP1|"&amp;DF6,CODIFICACION!$F$2:$F$500,0))="sin dato","",INDEX(CODIFICACION!$E$2:$E$500,MATCH("PP1|"&amp;DF6,CODIFICACION!$F$2:$F$500,0))),"⚠"))</f>
        <v/>
      </c>
      <c r="CA6" t="str">
        <f>IF(DG6="","",IFERROR(IF(INDEX(CODIFICACION!$E$2:$E$500,MATCH("PP2|"&amp;DG6,CODIFICACION!$F$2:$F$500,0))="sin dato","",INDEX(CODIFICACION!$E$2:$E$500,MATCH("PP2|"&amp;DG6,CODIFICACION!$F$2:$F$500,0))),"⚠"))</f>
        <v/>
      </c>
      <c r="CB6" t="str">
        <f t="shared" si="14"/>
        <v/>
      </c>
      <c r="CC6" t="str">
        <f t="shared" ca="1" si="15"/>
        <v/>
      </c>
      <c r="CD6" t="str">
        <f t="shared" ca="1" si="16"/>
        <v/>
      </c>
      <c r="CE6" t="str">
        <f t="shared" si="17"/>
        <v/>
      </c>
      <c r="CF6" t="str">
        <f t="shared" si="18"/>
        <v/>
      </c>
      <c r="CG6" t="str">
        <f t="shared" ca="1" si="19"/>
        <v/>
      </c>
      <c r="CH6" t="str">
        <f t="shared" ca="1" si="20"/>
        <v/>
      </c>
      <c r="CI6" t="str">
        <f t="shared" si="21"/>
        <v/>
      </c>
      <c r="CJ6" t="str">
        <f t="shared" si="22"/>
        <v/>
      </c>
      <c r="CK6" t="str">
        <f t="shared" si="23"/>
        <v/>
      </c>
      <c r="CL6" t="str">
        <f t="shared" si="24"/>
        <v/>
      </c>
    </row>
    <row r="7" spans="1:90" x14ac:dyDescent="0.3">
      <c r="A7">
        <f>CAPTURA!A7</f>
        <v>20132505455</v>
      </c>
      <c r="B7">
        <f>CAPTURA!C7</f>
        <v>0</v>
      </c>
      <c r="C7" t="str">
        <f t="shared" si="0"/>
        <v/>
      </c>
      <c r="D7" t="str">
        <f>IF(AE7="","",IFERROR(IF(INDEX(CODIFICACION!$E$2:$E$500,MATCH("P8|"&amp;AE7,CODIFICACION!$F$2:$F$500,0))="sin dato","",INDEX(CODIFICACION!$E$2:$E$500,MATCH("P8|"&amp;AE7,CODIFICACION!$F$2:$F$500,0))),"⚠"))</f>
        <v/>
      </c>
      <c r="E7" t="str">
        <f>IF(AG7="","",IFERROR(IF(INDEX(CODIFICACION!$E$2:$E$500,MATCH("P10|"&amp;AG7,CODIFICACION!$F$2:$F$500,0))="sin dato","",INDEX(CODIFICACION!$E$2:$E$500,MATCH("P10|"&amp;AG7,CODIFICACION!$F$2:$F$500,0))),"⚠"))</f>
        <v/>
      </c>
      <c r="F7" t="str">
        <f>IF(AJ7="","",IFERROR(IF(INDEX(CODIFICACION!$E$2:$E$500,MATCH("P13|"&amp;AJ7,CODIFICACION!$F$2:$F$500,0))="sin dato","",INDEX(CODIFICACION!$E$2:$E$500,MATCH("P13|"&amp;AJ7,CODIFICACION!$F$2:$F$500,0))),"⚠"))</f>
        <v/>
      </c>
      <c r="G7" t="str">
        <f>IF(AK7="","",IFERROR(IF(INDEX(CODIFICACION!$E$2:$E$500,MATCH("P14|"&amp;AK7,CODIFICACION!$F$2:$F$500,0))="sin dato","",INDEX(CODIFICACION!$E$2:$E$500,MATCH("P14|"&amp;AK7,CODIFICACION!$F$2:$F$500,0))),"⚠"))</f>
        <v/>
      </c>
      <c r="H7" t="str">
        <f>IF(AL7="","",IFERROR(IF(INDEX(CODIFICACION!$E$2:$E$500,MATCH("D1.1|"&amp;AL7,CODIFICACION!$F$2:$F$500,0))="sin dato","",INDEX(CODIFICACION!$E$2:$E$500,MATCH("D1.1|"&amp;AL7,CODIFICACION!$F$2:$F$500,0))),"⚠"))</f>
        <v/>
      </c>
      <c r="I7" t="str">
        <f>IF(AN7="","",IFERROR(IF(INDEX(CODIFICACION!$E$2:$E$500,MATCH("D1.3|"&amp;AN7,CODIFICACION!$F$2:$F$500,0))="sin dato","",INDEX(CODIFICACION!$E$2:$E$500,MATCH("D1.3|"&amp;AN7,CODIFICACION!$F$2:$F$500,0))),"⚠"))</f>
        <v/>
      </c>
      <c r="J7" t="str">
        <f>IF(AO7="","",IFERROR(IF(INDEX(CODIFICACION!$E$2:$E$500,MATCH("D1.4|"&amp;AO7,CODIFICACION!$F$2:$F$500,0))="sin dato","",INDEX(CODIFICACION!$E$2:$E$500,MATCH("D1.4|"&amp;AO7,CODIFICACION!$F$2:$F$500,0))),"⚠"))</f>
        <v/>
      </c>
      <c r="K7" t="str">
        <f>IF(AP7="","",IFERROR(IF(INDEX(CODIFICACION!$E$2:$E$500,MATCH("D1.3a|"&amp;AP7,CODIFICACION!$F$2:$F$500,0))="sin dato","",INDEX(CODIFICACION!$E$2:$E$500,MATCH("D1.3a|"&amp;AP7,CODIFICACION!$F$2:$F$500,0))),"⚠"))</f>
        <v/>
      </c>
      <c r="L7" t="str">
        <f t="shared" si="1"/>
        <v/>
      </c>
      <c r="M7" t="str">
        <f t="shared" si="2"/>
        <v/>
      </c>
      <c r="N7" t="str">
        <f t="shared" si="3"/>
        <v/>
      </c>
      <c r="O7" t="str">
        <f>IF(AT7="","",IFERROR(IF(INDEX(CODIFICACION!$E$2:$E$500,MATCH("D2.8|"&amp;AT7,CODIFICACION!$F$2:$F$500,0))="sin dato","",INDEX(CODIFICACION!$E$2:$E$500,MATCH("D2.8|"&amp;AT7,CODIFICACION!$F$2:$F$500,0))),"⚠"))</f>
        <v/>
      </c>
      <c r="P7" t="str">
        <f>IF(AU7="","",IFERROR(IF(INDEX(CODIFICACION!$E$2:$E$500,MATCH("D2.9|"&amp;AU7,CODIFICACION!$F$2:$F$500,0))="sin dato","",INDEX(CODIFICACION!$E$2:$E$500,MATCH("D2.9|"&amp;AU7,CODIFICACION!$F$2:$F$500,0))),"⚠"))</f>
        <v/>
      </c>
      <c r="Q7" t="str">
        <f>IF(AV7="","",IFERROR(IF(INDEX(CODIFICACION!$E$2:$E$500,MATCH("D2.10|"&amp;AV7,CODIFICACION!$F$2:$F$500,0))="sin dato","",INDEX(CODIFICACION!$E$2:$E$500,MATCH("D2.10|"&amp;AV7,CODIFICACION!$F$2:$F$500,0))),"⚠"))</f>
        <v/>
      </c>
      <c r="R7" t="str">
        <f>IF(AW7="","",IFERROR(IF(INDEX(CODIFICACION!$E$2:$E$500,MATCH("D2.5a|"&amp;AW7,CODIFICACION!$F$2:$F$500,0))="sin dato","",INDEX(CODIFICACION!$E$2:$E$500,MATCH("D2.5a|"&amp;AW7,CODIFICACION!$F$2:$F$500,0))),"⚠"))</f>
        <v/>
      </c>
      <c r="S7" t="str">
        <f ca="1">IF(AX7="","",IFERROR(IF(INDEX(CODIFICACION!$E$2:$E$500,MATCH("D2.5b|"&amp;AX7,CODIFICACION!$F$2:$F$500,0))="sin dato","",INDEX(CODIFICACION!$E$2:$E$500,MATCH("D2.5b|"&amp;AX7,CODIFICACION!$F$2:$F$500,0))),"⚠"))</f>
        <v/>
      </c>
      <c r="T7" t="str">
        <f t="shared" ca="1" si="4"/>
        <v/>
      </c>
      <c r="U7" t="str">
        <f>IF(AZ7="","",IFERROR(IF(INDEX(CODIFICACION!$E$2:$E$500,MATCH("D3.12|"&amp;AZ7,CODIFICACION!$F$2:$F$500,0))="sin dato","",INDEX(CODIFICACION!$E$2:$E$500,MATCH("D3.12|"&amp;AZ7,CODIFICACION!$F$2:$F$500,0))),"⚠"))</f>
        <v/>
      </c>
      <c r="V7" t="str">
        <f t="shared" si="5"/>
        <v/>
      </c>
      <c r="W7" t="str">
        <f ca="1">IF(BB7="","",IFERROR(IF(INDEX(CODIFICACION!$E$2:$E$500,MATCH("D3.14|"&amp;BB7,CODIFICACION!$F$2:$F$500,0))="sin dato","",INDEX(CODIFICACION!$E$2:$E$500,MATCH("D3.14|"&amp;BB7,CODIFICACION!$F$2:$F$500,0))),"⚠"))</f>
        <v/>
      </c>
      <c r="X7" t="str">
        <f ca="1">IF(BC7="","",IFERROR(IF(INDEX(CODIFICACION!$E$2:$E$500,MATCH("D3.14a|"&amp;BC7,CODIFICACION!$F$2:$F$500,0))="sin dato","",INDEX(CODIFICACION!$E$2:$E$500,MATCH("D3.14a|"&amp;BC7,CODIFICACION!$F$2:$F$500,0))),"⚠"))</f>
        <v/>
      </c>
      <c r="Y7" t="str">
        <f>IF(BD7="","",IFERROR(IF(INDEX(CODIFICACION!$E$2:$E$500,MATCH("D3.14b|"&amp;BD7,CODIFICACION!$F$2:$F$500,0))="sin dato","",INDEX(CODIFICACION!$E$2:$E$500,MATCH("D3.14b|"&amp;BD7,CODIFICACION!$F$2:$F$500,0))),"⚠"))</f>
        <v/>
      </c>
      <c r="Z7" t="str">
        <f>IF(BE7="","",IFERROR(IF(INDEX(CODIFICACION!$E$2:$E$500,MATCH("D3.14c|"&amp;BE7,CODIFICACION!$F$2:$F$500,0))="sin dato","",INDEX(CODIFICACION!$E$2:$E$500,MATCH("D3.14c|"&amp;BE7,CODIFICACION!$F$2:$F$500,0))),"⚠"))</f>
        <v/>
      </c>
      <c r="AA7" t="str">
        <f>IF(BF7="","",IFERROR(IF(INDEX(CODIFICACION!$E$2:$E$500,MATCH("D3.14d|"&amp;BF7,CODIFICACION!$F$2:$F$500,0))="sin dato","",INDEX(CODIFICACION!$E$2:$E$500,MATCH("D3.14d|"&amp;BF7,CODIFICACION!$F$2:$F$500,0))),"⚠"))</f>
        <v/>
      </c>
      <c r="AB7" t="str">
        <f>IF(BG7="","",IFERROR(IF(INDEX(CODIFICACION!$E$2:$E$500,MATCH("D3.14e|"&amp;BG7,CODIFICACION!$F$2:$F$500,0))="sin dato","",INDEX(CODIFICACION!$E$2:$E$500,MATCH("D3.14e|"&amp;BG7,CODIFICACION!$F$2:$F$500,0))),"⚠"))</f>
        <v/>
      </c>
      <c r="AC7" t="str">
        <f>IF(BH7="","",IFERROR(IF(INDEX(CODIFICACION!$E$2:$E$500,MATCH("D3.14f|"&amp;BH7,CODIFICACION!$F$2:$F$500,0))="sin dato","",INDEX(CODIFICACION!$E$2:$E$500,MATCH("D3.14f|"&amp;BH7,CODIFICACION!$F$2:$F$500,0))),"⚠"))</f>
        <v/>
      </c>
      <c r="AD7" t="str">
        <f>IF(BI7="","",IFERROR(IF(INDEX(CODIFICACION!$E$2:$E$500,MATCH("D3.14g|"&amp;BI7,CODIFICACION!$F$2:$F$500,0))="sin dato","",INDEX(CODIFICACION!$E$2:$E$500,MATCH("D3.14g|"&amp;BI7,CODIFICACION!$F$2:$F$500,0))),"⚠"))</f>
        <v/>
      </c>
      <c r="AE7" t="str">
        <f>IF(BJ7="","",IFERROR(IF(INDEX(CODIFICACION!$E$2:$E$500,MATCH("D3.14h|"&amp;BJ7,CODIFICACION!$F$2:$F$500,0))="sin dato","",INDEX(CODIFICACION!$E$2:$E$500,MATCH("D3.14h|"&amp;BJ7,CODIFICACION!$F$2:$F$500,0))),"⚠"))</f>
        <v/>
      </c>
      <c r="AF7" t="str">
        <f>IF(BK7="","",IFERROR(IF(INDEX(CODIFICACION!$E$2:$E$500,MATCH("D3.14i|"&amp;BK7,CODIFICACION!$F$2:$F$500,0))="sin dato","",INDEX(CODIFICACION!$E$2:$E$500,MATCH("D3.14i|"&amp;BK7,CODIFICACION!$F$2:$F$500,0))),"⚠"))</f>
        <v/>
      </c>
      <c r="AG7" t="str">
        <f>IF(BL7="","",IFERROR(IF(INDEX(CODIFICACION!$E$2:$E$500,MATCH("D4.15|"&amp;BL7,CODIFICACION!$F$2:$F$500,0))="sin dato","",INDEX(CODIFICACION!$E$2:$E$500,MATCH("D4.15|"&amp;BL7,CODIFICACION!$F$2:$F$500,0))),"⚠"))</f>
        <v/>
      </c>
      <c r="AH7" t="str">
        <f t="shared" si="6"/>
        <v/>
      </c>
      <c r="AI7" t="str">
        <f>IF(BN7="","",IFERROR(IF(INDEX(CODIFICACION!$E$2:$E$500,MATCH("D4.17|"&amp;BN7,CODIFICACION!$F$2:$F$500,0))="sin dato","",INDEX(CODIFICACION!$E$2:$E$500,MATCH("D4.17|"&amp;BN7,CODIFICACION!$F$2:$F$500,0))),"⚠"))</f>
        <v/>
      </c>
      <c r="AJ7" t="str">
        <f>IF(BO7="","",IFERROR(IF(INDEX(CODIFICACION!$E$2:$E$500,MATCH("D4.15a|"&amp;BO7,CODIFICACION!$F$2:$F$500,0))="sin dato","",INDEX(CODIFICACION!$E$2:$E$500,MATCH("D4.15a|"&amp;BO7,CODIFICACION!$F$2:$F$500,0))),"⚠"))</f>
        <v/>
      </c>
      <c r="AK7" t="str">
        <f t="shared" si="7"/>
        <v/>
      </c>
      <c r="AL7" t="str">
        <f t="shared" si="8"/>
        <v/>
      </c>
      <c r="AM7" t="str">
        <f>IF(BR7="","",IFERROR(IF(INDEX(CODIFICACION!$E$2:$E$500,MATCH("D5.18b|"&amp;BR7,CODIFICACION!$F$2:$F$500,0))="sin dato","",INDEX(CODIFICACION!$E$2:$E$500,MATCH("D5.18b|"&amp;BR7,CODIFICACION!$F$2:$F$500,0))),"⚠"))</f>
        <v/>
      </c>
      <c r="AN7" t="str">
        <f>IF(BS7="","",IFERROR(IF(INDEX(CODIFICACION!$E$2:$E$500,MATCH("D5.19|"&amp;BS7,CODIFICACION!$F$2:$F$500,0))="sin dato","",INDEX(CODIFICACION!$E$2:$E$500,MATCH("D5.19|"&amp;BS7,CODIFICACION!$F$2:$F$500,0))),"⚠"))</f>
        <v/>
      </c>
      <c r="AO7" t="str">
        <f t="shared" si="9"/>
        <v/>
      </c>
      <c r="AP7" t="str">
        <f>IF(BU7="","",IFERROR(IF(INDEX(CODIFICACION!$E$2:$E$500,MATCH("D5.20|"&amp;BU7,CODIFICACION!$F$2:$F$500,0))="sin dato","",INDEX(CODIFICACION!$E$2:$E$500,MATCH("D5.20|"&amp;BU7,CODIFICACION!$F$2:$F$500,0))),"⚠"))</f>
        <v/>
      </c>
      <c r="AQ7" t="str">
        <f>IF(BV7="","",IFERROR(IF(INDEX(CODIFICACION!$E$2:$E$500,MATCH("D5.21|"&amp;BV7,CODIFICACION!$F$2:$F$500,0))="sin dato","",INDEX(CODIFICACION!$E$2:$E$500,MATCH("D5.21|"&amp;BV7,CODIFICACION!$F$2:$F$500,0))),"⚠"))</f>
        <v/>
      </c>
      <c r="AR7" t="str">
        <f>IF(BW7="","",IFERROR(IF(INDEX(CODIFICACION!$E$2:$E$500,MATCH("D5.21a|"&amp;BW7,CODIFICACION!$F$2:$F$500,0))="sin dato","",INDEX(CODIFICACION!$E$2:$E$500,MATCH("D5.21a|"&amp;BW7,CODIFICACION!$F$2:$F$500,0))),"⚠"))</f>
        <v/>
      </c>
      <c r="AS7" t="str">
        <f>IF(BX7="","",IFERROR(IF(INDEX(CODIFICACION!$E$2:$E$500,MATCH("D5.21b|"&amp;BX7,CODIFICACION!$F$2:$F$500,0))="sin dato","",INDEX(CODIFICACION!$E$2:$E$500,MATCH("D5.21b|"&amp;BX7,CODIFICACION!$F$2:$F$500,0))),"⚠"))</f>
        <v/>
      </c>
      <c r="AT7" t="str">
        <f>IF(BY7="","",IFERROR(IF(INDEX(CODIFICACION!$E$2:$E$500,MATCH("D6.22|"&amp;BY7,CODIFICACION!$F$2:$F$500,0))="sin dato","",INDEX(CODIFICACION!$E$2:$E$500,MATCH("D6.22|"&amp;BY7,CODIFICACION!$F$2:$F$500,0))),"⚠"))</f>
        <v/>
      </c>
      <c r="AU7" t="str">
        <f>IF(BZ7="","",IFERROR(IF(INDEX(CODIFICACION!$E$2:$E$500,MATCH("D6.22a|"&amp;BZ7,CODIFICACION!$F$2:$F$500,0))="sin dato","",INDEX(CODIFICACION!$E$2:$E$500,MATCH("D6.22a|"&amp;BZ7,CODIFICACION!$F$2:$F$500,0))),"⚠"))</f>
        <v/>
      </c>
      <c r="AV7" t="str">
        <f>IF(CA7="","",IFERROR(IF(INDEX(CODIFICACION!$E$2:$E$500,MATCH("D6.22b|"&amp;CA7,CODIFICACION!$F$2:$F$500,0))="sin dato","",INDEX(CODIFICACION!$E$2:$E$500,MATCH("D6.22b|"&amp;CA7,CODIFICACION!$F$2:$F$500,0))),"⚠"))</f>
        <v/>
      </c>
      <c r="AW7" t="str">
        <f>IF(CB7="","",IFERROR(IF(INDEX(CODIFICACION!$E$2:$E$500,MATCH("D6.23|"&amp;CB7,CODIFICACION!$F$2:$F$500,0))="sin dato","",INDEX(CODIFICACION!$E$2:$E$500,MATCH("D6.23|"&amp;CB7,CODIFICACION!$F$2:$F$500,0))),"⚠"))</f>
        <v/>
      </c>
      <c r="AX7" t="str">
        <f ca="1">IF(CC7="","",IFERROR(IF(INDEX(CODIFICACION!$E$2:$E$500,MATCH("D6.24|"&amp;CC7,CODIFICACION!$F$2:$F$500,0))="sin dato","",INDEX(CODIFICACION!$E$2:$E$500,MATCH("D6.24|"&amp;CC7,CODIFICACION!$F$2:$F$500,0))),"⚠"))</f>
        <v/>
      </c>
      <c r="AY7" t="str">
        <f ca="1">IF(CD7="","",IFERROR(IF(INDEX(CODIFICACION!$E$2:$E$500,MATCH("D6.25|"&amp;CD7,CODIFICACION!$F$2:$F$500,0))="sin dato","",INDEX(CODIFICACION!$E$2:$E$500,MATCH("D6.25|"&amp;CD7,CODIFICACION!$F$2:$F$500,0))),"⚠"))</f>
        <v/>
      </c>
      <c r="AZ7" t="str">
        <f>IF(CE7="","",IFERROR(IF(INDEX(CODIFICACION!$E$2:$E$500,MATCH("D6.25a|"&amp;CE7,CODIFICACION!$F$2:$F$500,0))="sin dato","",INDEX(CODIFICACION!$E$2:$E$500,MATCH("D6.25a|"&amp;CE7,CODIFICACION!$F$2:$F$500,0))),"⚠"))</f>
        <v/>
      </c>
      <c r="BA7" t="str">
        <f>IF(CF7="","",IFERROR(IF(INDEX(CODIFICACION!$E$2:$E$500,MATCH("D6.25b|"&amp;CF7,CODIFICACION!$F$2:$F$500,0))="sin dato","",INDEX(CODIFICACION!$E$2:$E$500,MATCH("D6.25b|"&amp;CF7,CODIFICACION!$F$2:$F$500,0))),"⚠"))</f>
        <v/>
      </c>
      <c r="BB7" t="str">
        <f ca="1">IF(CG7="","",IFERROR(IF(INDEX(CODIFICACION!$E$2:$E$500,MATCH("D6.22c|"&amp;CG7,CODIFICACION!$F$2:$F$500,0))="sin dato","",INDEX(CODIFICACION!$E$2:$E$500,MATCH("D6.22c|"&amp;CG7,CODIFICACION!$F$2:$F$500,0))),"⚠"))</f>
        <v/>
      </c>
      <c r="BC7" t="str">
        <f ca="1">IF(CH7="","",IFERROR(IF(INDEX(CODIFICACION!$E$2:$E$500,MATCH("D7.26|"&amp;CH7,CODIFICACION!$F$2:$F$500,0))="sin dato","",INDEX(CODIFICACION!$E$2:$E$500,MATCH("D7.26|"&amp;CH7,CODIFICACION!$F$2:$F$500,0))),"⚠"))</f>
        <v/>
      </c>
      <c r="BD7" t="str">
        <f>IF(CI7="","",IFERROR(IF(INDEX(CODIFICACION!$E$2:$E$500,MATCH("D7.27|"&amp;CI7,CODIFICACION!$F$2:$F$500,0))="sin dato","",INDEX(CODIFICACION!$E$2:$E$500,MATCH("D7.27|"&amp;CI7,CODIFICACION!$F$2:$F$500,0))),"⚠"))</f>
        <v/>
      </c>
      <c r="BE7" t="str">
        <f>IF(CJ7="","",IFERROR(IF(INDEX(CODIFICACION!$E$2:$E$500,MATCH("D7.28|"&amp;CJ7,CODIFICACION!$F$2:$F$500,0))="sin dato","",INDEX(CODIFICACION!$E$2:$E$500,MATCH("D7.28|"&amp;CJ7,CODIFICACION!$F$2:$F$500,0))),"⚠"))</f>
        <v/>
      </c>
      <c r="BF7" t="str">
        <f>IF(CK7="","",IFERROR(IF(INDEX(CODIFICACION!$E$2:$E$500,MATCH("D7.28b|"&amp;CK7,CODIFICACION!$F$2:$F$500,0))="sin dato","",INDEX(CODIFICACION!$E$2:$E$500,MATCH("D7.28b|"&amp;CK7,CODIFICACION!$F$2:$F$500,0))),"⚠"))</f>
        <v/>
      </c>
      <c r="BG7" t="str">
        <f t="shared" si="10"/>
        <v/>
      </c>
      <c r="BH7" t="str">
        <f>IF(CM7="","",IFERROR(IF(INDEX(CODIFICACION!$E$2:$E$500,MATCH("D7.26a|"&amp;CM7,CODIFICACION!$F$2:$F$500,0))="sin dato","",INDEX(CODIFICACION!$E$2:$E$500,MATCH("D7.26a|"&amp;CM7,CODIFICACION!$F$2:$F$500,0))),"⚠"))</f>
        <v/>
      </c>
      <c r="BI7" t="str">
        <f>IF(CN7="","",IFERROR(IF(INDEX(CODIFICACION!$E$2:$E$500,MATCH("D7.26b|"&amp;CN7,CODIFICACION!$F$2:$F$500,0))="sin dato","",INDEX(CODIFICACION!$E$2:$E$500,MATCH("D7.26b|"&amp;CN7,CODIFICACION!$F$2:$F$500,0))),"⚠"))</f>
        <v/>
      </c>
      <c r="BJ7" t="str">
        <f t="shared" si="11"/>
        <v/>
      </c>
      <c r="BK7" t="str">
        <f t="shared" si="12"/>
        <v/>
      </c>
      <c r="BL7" t="str">
        <f>IF(CQ7="","",IFERROR(IF(INDEX(CODIFICACION!$E$2:$E$500,MATCH("D8.31|"&amp;CQ7,CODIFICACION!$F$2:$F$500,0))="sin dato","",INDEX(CODIFICACION!$E$2:$E$500,MATCH("D8.31|"&amp;CQ7,CODIFICACION!$F$2:$F$500,0))),"⚠"))</f>
        <v/>
      </c>
      <c r="BM7" t="str">
        <f>IF(CR7="","",IFERROR(IF(INDEX(CODIFICACION!$E$2:$E$500,MATCH("D8.32|"&amp;CR7,CODIFICACION!$F$2:$F$500,0))="sin dato","",INDEX(CODIFICACION!$E$2:$E$500,MATCH("D8.32|"&amp;CR7,CODIFICACION!$F$2:$F$500,0))),"⚠"))</f>
        <v/>
      </c>
      <c r="BN7" t="str">
        <f>IF(CS7="","",IFERROR(IF(INDEX(CODIFICACION!$E$2:$E$500,MATCH("D9.33|"&amp;CS7,CODIFICACION!$F$2:$F$500,0))="sin dato","",INDEX(CODIFICACION!$E$2:$E$500,MATCH("D9.33|"&amp;CS7,CODIFICACION!$F$2:$F$500,0))),"⚠"))</f>
        <v/>
      </c>
      <c r="BO7" t="str">
        <f>IF(CT7="","",IFERROR(IF(INDEX(CODIFICACION!$E$2:$E$500,MATCH("D9.34|"&amp;CT7,CODIFICACION!$F$2:$F$500,0))="sin dato","",INDEX(CODIFICACION!$E$2:$E$500,MATCH("D9.34|"&amp;CT7,CODIFICACION!$F$2:$F$500,0))),"⚠"))</f>
        <v/>
      </c>
      <c r="BP7" t="str">
        <f>IF(CU7="","",IFERROR(IF(INDEX(CODIFICACION!$E$2:$E$500,MATCH("D9.35|"&amp;CU7,CODIFICACION!$F$2:$F$500,0))="sin dato","",INDEX(CODIFICACION!$E$2:$E$500,MATCH("D9.35|"&amp;CU7,CODIFICACION!$F$2:$F$500,0))),"⚠"))</f>
        <v/>
      </c>
      <c r="BQ7" t="str">
        <f>IF(CV7="","",IFERROR(IF(INDEX(CODIFICACION!$E$2:$E$500,MATCH("D10.36|"&amp;CV7,CODIFICACION!$F$2:$F$500,0))="sin dato","",INDEX(CODIFICACION!$E$2:$E$500,MATCH("D10.36|"&amp;CV7,CODIFICACION!$F$2:$F$500,0))),"⚠"))</f>
        <v/>
      </c>
      <c r="BR7" t="str">
        <f>IF(CW7="","",IFERROR(IF(INDEX(CODIFICACION!$E$2:$E$500,MATCH("D10.37|"&amp;CW7,CODIFICACION!$F$2:$F$500,0))="sin dato","",INDEX(CODIFICACION!$E$2:$E$500,MATCH("D10.37|"&amp;CW7,CODIFICACION!$F$2:$F$500,0))),"⚠"))</f>
        <v/>
      </c>
      <c r="BS7" t="str">
        <f>IF(CX7="","",IFERROR(IF(INDEX(CODIFICACION!$E$2:$E$500,MATCH("D10.36a|"&amp;CX7,CODIFICACION!$F$2:$F$500,0))="sin dato","",INDEX(CODIFICACION!$E$2:$E$500,MATCH("D10.36a|"&amp;CX7,CODIFICACION!$F$2:$F$500,0))),"⚠"))</f>
        <v/>
      </c>
      <c r="BT7" t="str">
        <f t="shared" si="13"/>
        <v/>
      </c>
      <c r="BU7" t="str">
        <f>IF(DA7="","",IFERROR(IF(INDEX(CODIFICACION!$E$2:$E$500,MATCH("D11.39a|"&amp;DA7,CODIFICACION!$F$2:$F$500,0))="sin dato","",INDEX(CODIFICACION!$E$2:$E$500,MATCH("D11.39a|"&amp;DA7,CODIFICACION!$F$2:$F$500,0))),"⚠"))</f>
        <v/>
      </c>
      <c r="BV7" t="str">
        <f>IF(DB7="","",IFERROR(IF(INDEX(CODIFICACION!$E$2:$E$500,MATCH("D12.42|"&amp;DB7,CODIFICACION!$F$2:$F$500,0))="sin dato","",INDEX(CODIFICACION!$E$2:$E$500,MATCH("D12.42|"&amp;DB7,CODIFICACION!$F$2:$F$500,0))),"⚠"))</f>
        <v/>
      </c>
      <c r="BW7" t="str">
        <f>IF(DC7="","",IFERROR(IF(INDEX(CODIFICACION!$E$2:$E$500,MATCH("D13.45|"&amp;DC7,CODIFICACION!$F$2:$F$500,0))="sin dato","",INDEX(CODIFICACION!$E$2:$E$500,MATCH("D13.45|"&amp;DC7,CODIFICACION!$F$2:$F$500,0))),"⚠"))</f>
        <v/>
      </c>
      <c r="BX7" t="str">
        <f>IF(DD7="","",IFERROR(IF(INDEX(CODIFICACION!$E$2:$E$500,MATCH("D14.51|"&amp;DD7,CODIFICACION!$F$2:$F$500,0))="sin dato","",INDEX(CODIFICACION!$E$2:$E$500,MATCH("D14.51|"&amp;DD7,CODIFICACION!$F$2:$F$500,0))),"⚠"))</f>
        <v/>
      </c>
      <c r="BY7" t="str">
        <f>IF(DE7="","",IFERROR(IF(INDEX(CODIFICACION!$E$2:$E$500,MATCH("D15.58|"&amp;DE7,CODIFICACION!$F$2:$F$500,0))="sin dato","",INDEX(CODIFICACION!$E$2:$E$500,MATCH("D15.58|"&amp;DE7,CODIFICACION!$F$2:$F$500,0))),"⚠"))</f>
        <v/>
      </c>
      <c r="BZ7" t="str">
        <f>IF(DF7="","",IFERROR(IF(INDEX(CODIFICACION!$E$2:$E$500,MATCH("PP1|"&amp;DF7,CODIFICACION!$F$2:$F$500,0))="sin dato","",INDEX(CODIFICACION!$E$2:$E$500,MATCH("PP1|"&amp;DF7,CODIFICACION!$F$2:$F$500,0))),"⚠"))</f>
        <v/>
      </c>
      <c r="CA7" t="str">
        <f>IF(DG7="","",IFERROR(IF(INDEX(CODIFICACION!$E$2:$E$500,MATCH("PP2|"&amp;DG7,CODIFICACION!$F$2:$F$500,0))="sin dato","",INDEX(CODIFICACION!$E$2:$E$500,MATCH("PP2|"&amp;DG7,CODIFICACION!$F$2:$F$500,0))),"⚠"))</f>
        <v/>
      </c>
      <c r="CB7" t="str">
        <f t="shared" si="14"/>
        <v/>
      </c>
      <c r="CC7" t="str">
        <f t="shared" ca="1" si="15"/>
        <v/>
      </c>
      <c r="CD7" t="str">
        <f t="shared" ca="1" si="16"/>
        <v/>
      </c>
      <c r="CE7" t="str">
        <f t="shared" si="17"/>
        <v/>
      </c>
      <c r="CF7" t="str">
        <f t="shared" si="18"/>
        <v/>
      </c>
      <c r="CG7" t="str">
        <f t="shared" ca="1" si="19"/>
        <v/>
      </c>
      <c r="CH7" t="str">
        <f t="shared" ca="1" si="20"/>
        <v/>
      </c>
      <c r="CI7" t="str">
        <f t="shared" si="21"/>
        <v/>
      </c>
      <c r="CJ7" t="str">
        <f t="shared" si="22"/>
        <v/>
      </c>
      <c r="CK7" t="str">
        <f t="shared" si="23"/>
        <v/>
      </c>
      <c r="CL7" t="str">
        <f t="shared" si="24"/>
        <v/>
      </c>
    </row>
    <row r="8" spans="1:90" x14ac:dyDescent="0.3">
      <c r="A8">
        <f>CAPTURA!A8</f>
        <v>20132509795</v>
      </c>
      <c r="B8">
        <f>CAPTURA!C8</f>
        <v>0</v>
      </c>
      <c r="C8" t="str">
        <f t="shared" si="0"/>
        <v/>
      </c>
      <c r="D8" t="str">
        <f>IF(AE8="","",IFERROR(IF(INDEX(CODIFICACION!$E$2:$E$500,MATCH("P8|"&amp;AE8,CODIFICACION!$F$2:$F$500,0))="sin dato","",INDEX(CODIFICACION!$E$2:$E$500,MATCH("P8|"&amp;AE8,CODIFICACION!$F$2:$F$500,0))),"⚠"))</f>
        <v/>
      </c>
      <c r="E8" t="str">
        <f>IF(AG8="","",IFERROR(IF(INDEX(CODIFICACION!$E$2:$E$500,MATCH("P10|"&amp;AG8,CODIFICACION!$F$2:$F$500,0))="sin dato","",INDEX(CODIFICACION!$E$2:$E$500,MATCH("P10|"&amp;AG8,CODIFICACION!$F$2:$F$500,0))),"⚠"))</f>
        <v/>
      </c>
      <c r="F8" t="str">
        <f>IF(AJ8="","",IFERROR(IF(INDEX(CODIFICACION!$E$2:$E$500,MATCH("P13|"&amp;AJ8,CODIFICACION!$F$2:$F$500,0))="sin dato","",INDEX(CODIFICACION!$E$2:$E$500,MATCH("P13|"&amp;AJ8,CODIFICACION!$F$2:$F$500,0))),"⚠"))</f>
        <v/>
      </c>
      <c r="G8" t="str">
        <f>IF(AK8="","",IFERROR(IF(INDEX(CODIFICACION!$E$2:$E$500,MATCH("P14|"&amp;AK8,CODIFICACION!$F$2:$F$500,0))="sin dato","",INDEX(CODIFICACION!$E$2:$E$500,MATCH("P14|"&amp;AK8,CODIFICACION!$F$2:$F$500,0))),"⚠"))</f>
        <v/>
      </c>
      <c r="H8" t="str">
        <f>IF(AL8="","",IFERROR(IF(INDEX(CODIFICACION!$E$2:$E$500,MATCH("D1.1|"&amp;AL8,CODIFICACION!$F$2:$F$500,0))="sin dato","",INDEX(CODIFICACION!$E$2:$E$500,MATCH("D1.1|"&amp;AL8,CODIFICACION!$F$2:$F$500,0))),"⚠"))</f>
        <v/>
      </c>
      <c r="I8" t="str">
        <f>IF(AN8="","",IFERROR(IF(INDEX(CODIFICACION!$E$2:$E$500,MATCH("D1.3|"&amp;AN8,CODIFICACION!$F$2:$F$500,0))="sin dato","",INDEX(CODIFICACION!$E$2:$E$500,MATCH("D1.3|"&amp;AN8,CODIFICACION!$F$2:$F$500,0))),"⚠"))</f>
        <v/>
      </c>
      <c r="J8" t="str">
        <f>IF(AO8="","",IFERROR(IF(INDEX(CODIFICACION!$E$2:$E$500,MATCH("D1.4|"&amp;AO8,CODIFICACION!$F$2:$F$500,0))="sin dato","",INDEX(CODIFICACION!$E$2:$E$500,MATCH("D1.4|"&amp;AO8,CODIFICACION!$F$2:$F$500,0))),"⚠"))</f>
        <v/>
      </c>
      <c r="K8" t="str">
        <f>IF(AP8="","",IFERROR(IF(INDEX(CODIFICACION!$E$2:$E$500,MATCH("D1.3a|"&amp;AP8,CODIFICACION!$F$2:$F$500,0))="sin dato","",INDEX(CODIFICACION!$E$2:$E$500,MATCH("D1.3a|"&amp;AP8,CODIFICACION!$F$2:$F$500,0))),"⚠"))</f>
        <v/>
      </c>
      <c r="L8" t="str">
        <f t="shared" si="1"/>
        <v/>
      </c>
      <c r="M8" t="str">
        <f t="shared" si="2"/>
        <v/>
      </c>
      <c r="N8" t="str">
        <f t="shared" si="3"/>
        <v/>
      </c>
      <c r="O8" t="str">
        <f>IF(AT8="","",IFERROR(IF(INDEX(CODIFICACION!$E$2:$E$500,MATCH("D2.8|"&amp;AT8,CODIFICACION!$F$2:$F$500,0))="sin dato","",INDEX(CODIFICACION!$E$2:$E$500,MATCH("D2.8|"&amp;AT8,CODIFICACION!$F$2:$F$500,0))),"⚠"))</f>
        <v/>
      </c>
      <c r="P8" t="str">
        <f>IF(AU8="","",IFERROR(IF(INDEX(CODIFICACION!$E$2:$E$500,MATCH("D2.9|"&amp;AU8,CODIFICACION!$F$2:$F$500,0))="sin dato","",INDEX(CODIFICACION!$E$2:$E$500,MATCH("D2.9|"&amp;AU8,CODIFICACION!$F$2:$F$500,0))),"⚠"))</f>
        <v/>
      </c>
      <c r="Q8" t="str">
        <f>IF(AV8="","",IFERROR(IF(INDEX(CODIFICACION!$E$2:$E$500,MATCH("D2.10|"&amp;AV8,CODIFICACION!$F$2:$F$500,0))="sin dato","",INDEX(CODIFICACION!$E$2:$E$500,MATCH("D2.10|"&amp;AV8,CODIFICACION!$F$2:$F$500,0))),"⚠"))</f>
        <v/>
      </c>
      <c r="R8" t="str">
        <f>IF(AW8="","",IFERROR(IF(INDEX(CODIFICACION!$E$2:$E$500,MATCH("D2.5a|"&amp;AW8,CODIFICACION!$F$2:$F$500,0))="sin dato","",INDEX(CODIFICACION!$E$2:$E$500,MATCH("D2.5a|"&amp;AW8,CODIFICACION!$F$2:$F$500,0))),"⚠"))</f>
        <v/>
      </c>
      <c r="S8" t="str">
        <f ca="1">IF(AX8="","",IFERROR(IF(INDEX(CODIFICACION!$E$2:$E$500,MATCH("D2.5b|"&amp;AX8,CODIFICACION!$F$2:$F$500,0))="sin dato","",INDEX(CODIFICACION!$E$2:$E$500,MATCH("D2.5b|"&amp;AX8,CODIFICACION!$F$2:$F$500,0))),"⚠"))</f>
        <v/>
      </c>
      <c r="T8" t="str">
        <f t="shared" ca="1" si="4"/>
        <v/>
      </c>
      <c r="U8" t="str">
        <f>IF(AZ8="","",IFERROR(IF(INDEX(CODIFICACION!$E$2:$E$500,MATCH("D3.12|"&amp;AZ8,CODIFICACION!$F$2:$F$500,0))="sin dato","",INDEX(CODIFICACION!$E$2:$E$500,MATCH("D3.12|"&amp;AZ8,CODIFICACION!$F$2:$F$500,0))),"⚠"))</f>
        <v/>
      </c>
      <c r="V8" t="str">
        <f t="shared" si="5"/>
        <v/>
      </c>
      <c r="W8" t="str">
        <f ca="1">IF(BB8="","",IFERROR(IF(INDEX(CODIFICACION!$E$2:$E$500,MATCH("D3.14|"&amp;BB8,CODIFICACION!$F$2:$F$500,0))="sin dato","",INDEX(CODIFICACION!$E$2:$E$500,MATCH("D3.14|"&amp;BB8,CODIFICACION!$F$2:$F$500,0))),"⚠"))</f>
        <v/>
      </c>
      <c r="X8" t="str">
        <f ca="1">IF(BC8="","",IFERROR(IF(INDEX(CODIFICACION!$E$2:$E$500,MATCH("D3.14a|"&amp;BC8,CODIFICACION!$F$2:$F$500,0))="sin dato","",INDEX(CODIFICACION!$E$2:$E$500,MATCH("D3.14a|"&amp;BC8,CODIFICACION!$F$2:$F$500,0))),"⚠"))</f>
        <v/>
      </c>
      <c r="Y8" t="str">
        <f>IF(BD8="","",IFERROR(IF(INDEX(CODIFICACION!$E$2:$E$500,MATCH("D3.14b|"&amp;BD8,CODIFICACION!$F$2:$F$500,0))="sin dato","",INDEX(CODIFICACION!$E$2:$E$500,MATCH("D3.14b|"&amp;BD8,CODIFICACION!$F$2:$F$500,0))),"⚠"))</f>
        <v/>
      </c>
      <c r="Z8" t="str">
        <f>IF(BE8="","",IFERROR(IF(INDEX(CODIFICACION!$E$2:$E$500,MATCH("D3.14c|"&amp;BE8,CODIFICACION!$F$2:$F$500,0))="sin dato","",INDEX(CODIFICACION!$E$2:$E$500,MATCH("D3.14c|"&amp;BE8,CODIFICACION!$F$2:$F$500,0))),"⚠"))</f>
        <v/>
      </c>
      <c r="AA8" t="str">
        <f>IF(BF8="","",IFERROR(IF(INDEX(CODIFICACION!$E$2:$E$500,MATCH("D3.14d|"&amp;BF8,CODIFICACION!$F$2:$F$500,0))="sin dato","",INDEX(CODIFICACION!$E$2:$E$500,MATCH("D3.14d|"&amp;BF8,CODIFICACION!$F$2:$F$500,0))),"⚠"))</f>
        <v/>
      </c>
      <c r="AB8" t="str">
        <f>IF(BG8="","",IFERROR(IF(INDEX(CODIFICACION!$E$2:$E$500,MATCH("D3.14e|"&amp;BG8,CODIFICACION!$F$2:$F$500,0))="sin dato","",INDEX(CODIFICACION!$E$2:$E$500,MATCH("D3.14e|"&amp;BG8,CODIFICACION!$F$2:$F$500,0))),"⚠"))</f>
        <v/>
      </c>
      <c r="AC8" t="str">
        <f>IF(BH8="","",IFERROR(IF(INDEX(CODIFICACION!$E$2:$E$500,MATCH("D3.14f|"&amp;BH8,CODIFICACION!$F$2:$F$500,0))="sin dato","",INDEX(CODIFICACION!$E$2:$E$500,MATCH("D3.14f|"&amp;BH8,CODIFICACION!$F$2:$F$500,0))),"⚠"))</f>
        <v/>
      </c>
      <c r="AD8" t="str">
        <f>IF(BI8="","",IFERROR(IF(INDEX(CODIFICACION!$E$2:$E$500,MATCH("D3.14g|"&amp;BI8,CODIFICACION!$F$2:$F$500,0))="sin dato","",INDEX(CODIFICACION!$E$2:$E$500,MATCH("D3.14g|"&amp;BI8,CODIFICACION!$F$2:$F$500,0))),"⚠"))</f>
        <v/>
      </c>
      <c r="AE8" t="str">
        <f>IF(BJ8="","",IFERROR(IF(INDEX(CODIFICACION!$E$2:$E$500,MATCH("D3.14h|"&amp;BJ8,CODIFICACION!$F$2:$F$500,0))="sin dato","",INDEX(CODIFICACION!$E$2:$E$500,MATCH("D3.14h|"&amp;BJ8,CODIFICACION!$F$2:$F$500,0))),"⚠"))</f>
        <v/>
      </c>
      <c r="AF8" t="str">
        <f>IF(BK8="","",IFERROR(IF(INDEX(CODIFICACION!$E$2:$E$500,MATCH("D3.14i|"&amp;BK8,CODIFICACION!$F$2:$F$500,0))="sin dato","",INDEX(CODIFICACION!$E$2:$E$500,MATCH("D3.14i|"&amp;BK8,CODIFICACION!$F$2:$F$500,0))),"⚠"))</f>
        <v/>
      </c>
      <c r="AG8" t="str">
        <f>IF(BL8="","",IFERROR(IF(INDEX(CODIFICACION!$E$2:$E$500,MATCH("D4.15|"&amp;BL8,CODIFICACION!$F$2:$F$500,0))="sin dato","",INDEX(CODIFICACION!$E$2:$E$500,MATCH("D4.15|"&amp;BL8,CODIFICACION!$F$2:$F$500,0))),"⚠"))</f>
        <v/>
      </c>
      <c r="AH8" t="str">
        <f t="shared" si="6"/>
        <v/>
      </c>
      <c r="AI8" t="str">
        <f>IF(BN8="","",IFERROR(IF(INDEX(CODIFICACION!$E$2:$E$500,MATCH("D4.17|"&amp;BN8,CODIFICACION!$F$2:$F$500,0))="sin dato","",INDEX(CODIFICACION!$E$2:$E$500,MATCH("D4.17|"&amp;BN8,CODIFICACION!$F$2:$F$500,0))),"⚠"))</f>
        <v/>
      </c>
      <c r="AJ8" t="str">
        <f>IF(BO8="","",IFERROR(IF(INDEX(CODIFICACION!$E$2:$E$500,MATCH("D4.15a|"&amp;BO8,CODIFICACION!$F$2:$F$500,0))="sin dato","",INDEX(CODIFICACION!$E$2:$E$500,MATCH("D4.15a|"&amp;BO8,CODIFICACION!$F$2:$F$500,0))),"⚠"))</f>
        <v/>
      </c>
      <c r="AK8" t="str">
        <f t="shared" si="7"/>
        <v/>
      </c>
      <c r="AL8" t="str">
        <f t="shared" si="8"/>
        <v/>
      </c>
      <c r="AM8" t="str">
        <f>IF(BR8="","",IFERROR(IF(INDEX(CODIFICACION!$E$2:$E$500,MATCH("D5.18b|"&amp;BR8,CODIFICACION!$F$2:$F$500,0))="sin dato","",INDEX(CODIFICACION!$E$2:$E$500,MATCH("D5.18b|"&amp;BR8,CODIFICACION!$F$2:$F$500,0))),"⚠"))</f>
        <v/>
      </c>
      <c r="AN8" t="str">
        <f>IF(BS8="","",IFERROR(IF(INDEX(CODIFICACION!$E$2:$E$500,MATCH("D5.19|"&amp;BS8,CODIFICACION!$F$2:$F$500,0))="sin dato","",INDEX(CODIFICACION!$E$2:$E$500,MATCH("D5.19|"&amp;BS8,CODIFICACION!$F$2:$F$500,0))),"⚠"))</f>
        <v/>
      </c>
      <c r="AO8" t="str">
        <f t="shared" si="9"/>
        <v/>
      </c>
      <c r="AP8" t="str">
        <f>IF(BU8="","",IFERROR(IF(INDEX(CODIFICACION!$E$2:$E$500,MATCH("D5.20|"&amp;BU8,CODIFICACION!$F$2:$F$500,0))="sin dato","",INDEX(CODIFICACION!$E$2:$E$500,MATCH("D5.20|"&amp;BU8,CODIFICACION!$F$2:$F$500,0))),"⚠"))</f>
        <v/>
      </c>
      <c r="AQ8" t="str">
        <f>IF(BV8="","",IFERROR(IF(INDEX(CODIFICACION!$E$2:$E$500,MATCH("D5.21|"&amp;BV8,CODIFICACION!$F$2:$F$500,0))="sin dato","",INDEX(CODIFICACION!$E$2:$E$500,MATCH("D5.21|"&amp;BV8,CODIFICACION!$F$2:$F$500,0))),"⚠"))</f>
        <v/>
      </c>
      <c r="AR8" t="str">
        <f>IF(BW8="","",IFERROR(IF(INDEX(CODIFICACION!$E$2:$E$500,MATCH("D5.21a|"&amp;BW8,CODIFICACION!$F$2:$F$500,0))="sin dato","",INDEX(CODIFICACION!$E$2:$E$500,MATCH("D5.21a|"&amp;BW8,CODIFICACION!$F$2:$F$500,0))),"⚠"))</f>
        <v/>
      </c>
      <c r="AS8" t="str">
        <f>IF(BX8="","",IFERROR(IF(INDEX(CODIFICACION!$E$2:$E$500,MATCH("D5.21b|"&amp;BX8,CODIFICACION!$F$2:$F$500,0))="sin dato","",INDEX(CODIFICACION!$E$2:$E$500,MATCH("D5.21b|"&amp;BX8,CODIFICACION!$F$2:$F$500,0))),"⚠"))</f>
        <v/>
      </c>
      <c r="AT8" t="str">
        <f>IF(BY8="","",IFERROR(IF(INDEX(CODIFICACION!$E$2:$E$500,MATCH("D6.22|"&amp;BY8,CODIFICACION!$F$2:$F$500,0))="sin dato","",INDEX(CODIFICACION!$E$2:$E$500,MATCH("D6.22|"&amp;BY8,CODIFICACION!$F$2:$F$500,0))),"⚠"))</f>
        <v/>
      </c>
      <c r="AU8" t="str">
        <f>IF(BZ8="","",IFERROR(IF(INDEX(CODIFICACION!$E$2:$E$500,MATCH("D6.22a|"&amp;BZ8,CODIFICACION!$F$2:$F$500,0))="sin dato","",INDEX(CODIFICACION!$E$2:$E$500,MATCH("D6.22a|"&amp;BZ8,CODIFICACION!$F$2:$F$500,0))),"⚠"))</f>
        <v/>
      </c>
      <c r="AV8" t="str">
        <f>IF(CA8="","",IFERROR(IF(INDEX(CODIFICACION!$E$2:$E$500,MATCH("D6.22b|"&amp;CA8,CODIFICACION!$F$2:$F$500,0))="sin dato","",INDEX(CODIFICACION!$E$2:$E$500,MATCH("D6.22b|"&amp;CA8,CODIFICACION!$F$2:$F$500,0))),"⚠"))</f>
        <v/>
      </c>
      <c r="AW8" t="str">
        <f>IF(CB8="","",IFERROR(IF(INDEX(CODIFICACION!$E$2:$E$500,MATCH("D6.23|"&amp;CB8,CODIFICACION!$F$2:$F$500,0))="sin dato","",INDEX(CODIFICACION!$E$2:$E$500,MATCH("D6.23|"&amp;CB8,CODIFICACION!$F$2:$F$500,0))),"⚠"))</f>
        <v/>
      </c>
      <c r="AX8" t="str">
        <f ca="1">IF(CC8="","",IFERROR(IF(INDEX(CODIFICACION!$E$2:$E$500,MATCH("D6.24|"&amp;CC8,CODIFICACION!$F$2:$F$500,0))="sin dato","",INDEX(CODIFICACION!$E$2:$E$500,MATCH("D6.24|"&amp;CC8,CODIFICACION!$F$2:$F$500,0))),"⚠"))</f>
        <v/>
      </c>
      <c r="AY8" t="str">
        <f ca="1">IF(CD8="","",IFERROR(IF(INDEX(CODIFICACION!$E$2:$E$500,MATCH("D6.25|"&amp;CD8,CODIFICACION!$F$2:$F$500,0))="sin dato","",INDEX(CODIFICACION!$E$2:$E$500,MATCH("D6.25|"&amp;CD8,CODIFICACION!$F$2:$F$500,0))),"⚠"))</f>
        <v/>
      </c>
      <c r="AZ8" t="str">
        <f>IF(CE8="","",IFERROR(IF(INDEX(CODIFICACION!$E$2:$E$500,MATCH("D6.25a|"&amp;CE8,CODIFICACION!$F$2:$F$500,0))="sin dato","",INDEX(CODIFICACION!$E$2:$E$500,MATCH("D6.25a|"&amp;CE8,CODIFICACION!$F$2:$F$500,0))),"⚠"))</f>
        <v/>
      </c>
      <c r="BA8" t="str">
        <f>IF(CF8="","",IFERROR(IF(INDEX(CODIFICACION!$E$2:$E$500,MATCH("D6.25b|"&amp;CF8,CODIFICACION!$F$2:$F$500,0))="sin dato","",INDEX(CODIFICACION!$E$2:$E$500,MATCH("D6.25b|"&amp;CF8,CODIFICACION!$F$2:$F$500,0))),"⚠"))</f>
        <v/>
      </c>
      <c r="BB8" t="str">
        <f ca="1">IF(CG8="","",IFERROR(IF(INDEX(CODIFICACION!$E$2:$E$500,MATCH("D6.22c|"&amp;CG8,CODIFICACION!$F$2:$F$500,0))="sin dato","",INDEX(CODIFICACION!$E$2:$E$500,MATCH("D6.22c|"&amp;CG8,CODIFICACION!$F$2:$F$500,0))),"⚠"))</f>
        <v/>
      </c>
      <c r="BC8" t="str">
        <f ca="1">IF(CH8="","",IFERROR(IF(INDEX(CODIFICACION!$E$2:$E$500,MATCH("D7.26|"&amp;CH8,CODIFICACION!$F$2:$F$500,0))="sin dato","",INDEX(CODIFICACION!$E$2:$E$500,MATCH("D7.26|"&amp;CH8,CODIFICACION!$F$2:$F$500,0))),"⚠"))</f>
        <v/>
      </c>
      <c r="BD8" t="str">
        <f>IF(CI8="","",IFERROR(IF(INDEX(CODIFICACION!$E$2:$E$500,MATCH("D7.27|"&amp;CI8,CODIFICACION!$F$2:$F$500,0))="sin dato","",INDEX(CODIFICACION!$E$2:$E$500,MATCH("D7.27|"&amp;CI8,CODIFICACION!$F$2:$F$500,0))),"⚠"))</f>
        <v/>
      </c>
      <c r="BE8" t="str">
        <f>IF(CJ8="","",IFERROR(IF(INDEX(CODIFICACION!$E$2:$E$500,MATCH("D7.28|"&amp;CJ8,CODIFICACION!$F$2:$F$500,0))="sin dato","",INDEX(CODIFICACION!$E$2:$E$500,MATCH("D7.28|"&amp;CJ8,CODIFICACION!$F$2:$F$500,0))),"⚠"))</f>
        <v/>
      </c>
      <c r="BF8" t="str">
        <f>IF(CK8="","",IFERROR(IF(INDEX(CODIFICACION!$E$2:$E$500,MATCH("D7.28b|"&amp;CK8,CODIFICACION!$F$2:$F$500,0))="sin dato","",INDEX(CODIFICACION!$E$2:$E$500,MATCH("D7.28b|"&amp;CK8,CODIFICACION!$F$2:$F$500,0))),"⚠"))</f>
        <v/>
      </c>
      <c r="BG8" t="str">
        <f t="shared" si="10"/>
        <v/>
      </c>
      <c r="BH8" t="str">
        <f>IF(CM8="","",IFERROR(IF(INDEX(CODIFICACION!$E$2:$E$500,MATCH("D7.26a|"&amp;CM8,CODIFICACION!$F$2:$F$500,0))="sin dato","",INDEX(CODIFICACION!$E$2:$E$500,MATCH("D7.26a|"&amp;CM8,CODIFICACION!$F$2:$F$500,0))),"⚠"))</f>
        <v/>
      </c>
      <c r="BI8" t="str">
        <f>IF(CN8="","",IFERROR(IF(INDEX(CODIFICACION!$E$2:$E$500,MATCH("D7.26b|"&amp;CN8,CODIFICACION!$F$2:$F$500,0))="sin dato","",INDEX(CODIFICACION!$E$2:$E$500,MATCH("D7.26b|"&amp;CN8,CODIFICACION!$F$2:$F$500,0))),"⚠"))</f>
        <v/>
      </c>
      <c r="BJ8" t="str">
        <f t="shared" si="11"/>
        <v/>
      </c>
      <c r="BK8" t="str">
        <f t="shared" si="12"/>
        <v/>
      </c>
      <c r="BL8" t="str">
        <f>IF(CQ8="","",IFERROR(IF(INDEX(CODIFICACION!$E$2:$E$500,MATCH("D8.31|"&amp;CQ8,CODIFICACION!$F$2:$F$500,0))="sin dato","",INDEX(CODIFICACION!$E$2:$E$500,MATCH("D8.31|"&amp;CQ8,CODIFICACION!$F$2:$F$500,0))),"⚠"))</f>
        <v/>
      </c>
      <c r="BM8" t="str">
        <f>IF(CR8="","",IFERROR(IF(INDEX(CODIFICACION!$E$2:$E$500,MATCH("D8.32|"&amp;CR8,CODIFICACION!$F$2:$F$500,0))="sin dato","",INDEX(CODIFICACION!$E$2:$E$500,MATCH("D8.32|"&amp;CR8,CODIFICACION!$F$2:$F$500,0))),"⚠"))</f>
        <v/>
      </c>
      <c r="BN8" t="str">
        <f>IF(CS8="","",IFERROR(IF(INDEX(CODIFICACION!$E$2:$E$500,MATCH("D9.33|"&amp;CS8,CODIFICACION!$F$2:$F$500,0))="sin dato","",INDEX(CODIFICACION!$E$2:$E$500,MATCH("D9.33|"&amp;CS8,CODIFICACION!$F$2:$F$500,0))),"⚠"))</f>
        <v/>
      </c>
      <c r="BO8" t="str">
        <f>IF(CT8="","",IFERROR(IF(INDEX(CODIFICACION!$E$2:$E$500,MATCH("D9.34|"&amp;CT8,CODIFICACION!$F$2:$F$500,0))="sin dato","",INDEX(CODIFICACION!$E$2:$E$500,MATCH("D9.34|"&amp;CT8,CODIFICACION!$F$2:$F$500,0))),"⚠"))</f>
        <v/>
      </c>
      <c r="BP8" t="str">
        <f>IF(CU8="","",IFERROR(IF(INDEX(CODIFICACION!$E$2:$E$500,MATCH("D9.35|"&amp;CU8,CODIFICACION!$F$2:$F$500,0))="sin dato","",INDEX(CODIFICACION!$E$2:$E$500,MATCH("D9.35|"&amp;CU8,CODIFICACION!$F$2:$F$500,0))),"⚠"))</f>
        <v/>
      </c>
      <c r="BQ8" t="str">
        <f>IF(CV8="","",IFERROR(IF(INDEX(CODIFICACION!$E$2:$E$500,MATCH("D10.36|"&amp;CV8,CODIFICACION!$F$2:$F$500,0))="sin dato","",INDEX(CODIFICACION!$E$2:$E$500,MATCH("D10.36|"&amp;CV8,CODIFICACION!$F$2:$F$500,0))),"⚠"))</f>
        <v/>
      </c>
      <c r="BR8" t="str">
        <f>IF(CW8="","",IFERROR(IF(INDEX(CODIFICACION!$E$2:$E$500,MATCH("D10.37|"&amp;CW8,CODIFICACION!$F$2:$F$500,0))="sin dato","",INDEX(CODIFICACION!$E$2:$E$500,MATCH("D10.37|"&amp;CW8,CODIFICACION!$F$2:$F$500,0))),"⚠"))</f>
        <v/>
      </c>
      <c r="BS8" t="str">
        <f>IF(CX8="","",IFERROR(IF(INDEX(CODIFICACION!$E$2:$E$500,MATCH("D10.36a|"&amp;CX8,CODIFICACION!$F$2:$F$500,0))="sin dato","",INDEX(CODIFICACION!$E$2:$E$500,MATCH("D10.36a|"&amp;CX8,CODIFICACION!$F$2:$F$500,0))),"⚠"))</f>
        <v/>
      </c>
      <c r="BT8" t="str">
        <f t="shared" si="13"/>
        <v/>
      </c>
      <c r="BU8" t="str">
        <f>IF(DA8="","",IFERROR(IF(INDEX(CODIFICACION!$E$2:$E$500,MATCH("D11.39a|"&amp;DA8,CODIFICACION!$F$2:$F$500,0))="sin dato","",INDEX(CODIFICACION!$E$2:$E$500,MATCH("D11.39a|"&amp;DA8,CODIFICACION!$F$2:$F$500,0))),"⚠"))</f>
        <v/>
      </c>
      <c r="BV8" t="str">
        <f>IF(DB8="","",IFERROR(IF(INDEX(CODIFICACION!$E$2:$E$500,MATCH("D12.42|"&amp;DB8,CODIFICACION!$F$2:$F$500,0))="sin dato","",INDEX(CODIFICACION!$E$2:$E$500,MATCH("D12.42|"&amp;DB8,CODIFICACION!$F$2:$F$500,0))),"⚠"))</f>
        <v/>
      </c>
      <c r="BW8" t="str">
        <f>IF(DC8="","",IFERROR(IF(INDEX(CODIFICACION!$E$2:$E$500,MATCH("D13.45|"&amp;DC8,CODIFICACION!$F$2:$F$500,0))="sin dato","",INDEX(CODIFICACION!$E$2:$E$500,MATCH("D13.45|"&amp;DC8,CODIFICACION!$F$2:$F$500,0))),"⚠"))</f>
        <v/>
      </c>
      <c r="BX8" t="str">
        <f>IF(DD8="","",IFERROR(IF(INDEX(CODIFICACION!$E$2:$E$500,MATCH("D14.51|"&amp;DD8,CODIFICACION!$F$2:$F$500,0))="sin dato","",INDEX(CODIFICACION!$E$2:$E$500,MATCH("D14.51|"&amp;DD8,CODIFICACION!$F$2:$F$500,0))),"⚠"))</f>
        <v/>
      </c>
      <c r="BY8" t="str">
        <f>IF(DE8="","",IFERROR(IF(INDEX(CODIFICACION!$E$2:$E$500,MATCH("D15.58|"&amp;DE8,CODIFICACION!$F$2:$F$500,0))="sin dato","",INDEX(CODIFICACION!$E$2:$E$500,MATCH("D15.58|"&amp;DE8,CODIFICACION!$F$2:$F$500,0))),"⚠"))</f>
        <v/>
      </c>
      <c r="BZ8" t="str">
        <f>IF(DF8="","",IFERROR(IF(INDEX(CODIFICACION!$E$2:$E$500,MATCH("PP1|"&amp;DF8,CODIFICACION!$F$2:$F$500,0))="sin dato","",INDEX(CODIFICACION!$E$2:$E$500,MATCH("PP1|"&amp;DF8,CODIFICACION!$F$2:$F$500,0))),"⚠"))</f>
        <v/>
      </c>
      <c r="CA8" t="str">
        <f>IF(DG8="","",IFERROR(IF(INDEX(CODIFICACION!$E$2:$E$500,MATCH("PP2|"&amp;DG8,CODIFICACION!$F$2:$F$500,0))="sin dato","",INDEX(CODIFICACION!$E$2:$E$500,MATCH("PP2|"&amp;DG8,CODIFICACION!$F$2:$F$500,0))),"⚠"))</f>
        <v/>
      </c>
      <c r="CB8" t="str">
        <f t="shared" si="14"/>
        <v/>
      </c>
      <c r="CC8" t="str">
        <f t="shared" ca="1" si="15"/>
        <v/>
      </c>
      <c r="CD8" t="str">
        <f t="shared" ca="1" si="16"/>
        <v/>
      </c>
      <c r="CE8" t="str">
        <f t="shared" si="17"/>
        <v/>
      </c>
      <c r="CF8" t="str">
        <f t="shared" si="18"/>
        <v/>
      </c>
      <c r="CG8" t="str">
        <f t="shared" ca="1" si="19"/>
        <v/>
      </c>
      <c r="CH8" t="str">
        <f t="shared" ca="1" si="20"/>
        <v/>
      </c>
      <c r="CI8" t="str">
        <f t="shared" si="21"/>
        <v/>
      </c>
      <c r="CJ8" t="str">
        <f t="shared" si="22"/>
        <v/>
      </c>
      <c r="CK8" t="str">
        <f t="shared" si="23"/>
        <v/>
      </c>
      <c r="CL8" t="str">
        <f t="shared" si="24"/>
        <v/>
      </c>
    </row>
    <row r="9" spans="1:90" x14ac:dyDescent="0.3">
      <c r="A9">
        <f>CAPTURA!A9</f>
        <v>20132509876</v>
      </c>
      <c r="B9">
        <f>CAPTURA!C9</f>
        <v>0</v>
      </c>
      <c r="C9" t="str">
        <f t="shared" si="0"/>
        <v/>
      </c>
      <c r="D9" t="str">
        <f>IF(AE9="","",IFERROR(IF(INDEX(CODIFICACION!$E$2:$E$500,MATCH("P8|"&amp;AE9,CODIFICACION!$F$2:$F$500,0))="sin dato","",INDEX(CODIFICACION!$E$2:$E$500,MATCH("P8|"&amp;AE9,CODIFICACION!$F$2:$F$500,0))),"⚠"))</f>
        <v/>
      </c>
      <c r="E9" t="str">
        <f>IF(AG9="","",IFERROR(IF(INDEX(CODIFICACION!$E$2:$E$500,MATCH("P10|"&amp;AG9,CODIFICACION!$F$2:$F$500,0))="sin dato","",INDEX(CODIFICACION!$E$2:$E$500,MATCH("P10|"&amp;AG9,CODIFICACION!$F$2:$F$500,0))),"⚠"))</f>
        <v/>
      </c>
      <c r="F9" t="str">
        <f>IF(AJ9="","",IFERROR(IF(INDEX(CODIFICACION!$E$2:$E$500,MATCH("P13|"&amp;AJ9,CODIFICACION!$F$2:$F$500,0))="sin dato","",INDEX(CODIFICACION!$E$2:$E$500,MATCH("P13|"&amp;AJ9,CODIFICACION!$F$2:$F$500,0))),"⚠"))</f>
        <v/>
      </c>
      <c r="G9" t="str">
        <f>IF(AK9="","",IFERROR(IF(INDEX(CODIFICACION!$E$2:$E$500,MATCH("P14|"&amp;AK9,CODIFICACION!$F$2:$F$500,0))="sin dato","",INDEX(CODIFICACION!$E$2:$E$500,MATCH("P14|"&amp;AK9,CODIFICACION!$F$2:$F$500,0))),"⚠"))</f>
        <v/>
      </c>
      <c r="H9" t="str">
        <f>IF(AL9="","",IFERROR(IF(INDEX(CODIFICACION!$E$2:$E$500,MATCH("D1.1|"&amp;AL9,CODIFICACION!$F$2:$F$500,0))="sin dato","",INDEX(CODIFICACION!$E$2:$E$500,MATCH("D1.1|"&amp;AL9,CODIFICACION!$F$2:$F$500,0))),"⚠"))</f>
        <v/>
      </c>
      <c r="I9" t="str">
        <f>IF(AN9="","",IFERROR(IF(INDEX(CODIFICACION!$E$2:$E$500,MATCH("D1.3|"&amp;AN9,CODIFICACION!$F$2:$F$500,0))="sin dato","",INDEX(CODIFICACION!$E$2:$E$500,MATCH("D1.3|"&amp;AN9,CODIFICACION!$F$2:$F$500,0))),"⚠"))</f>
        <v/>
      </c>
      <c r="J9" t="str">
        <f>IF(AO9="","",IFERROR(IF(INDEX(CODIFICACION!$E$2:$E$500,MATCH("D1.4|"&amp;AO9,CODIFICACION!$F$2:$F$500,0))="sin dato","",INDEX(CODIFICACION!$E$2:$E$500,MATCH("D1.4|"&amp;AO9,CODIFICACION!$F$2:$F$500,0))),"⚠"))</f>
        <v/>
      </c>
      <c r="K9" t="str">
        <f>IF(AP9="","",IFERROR(IF(INDEX(CODIFICACION!$E$2:$E$500,MATCH("D1.3a|"&amp;AP9,CODIFICACION!$F$2:$F$500,0))="sin dato","",INDEX(CODIFICACION!$E$2:$E$500,MATCH("D1.3a|"&amp;AP9,CODIFICACION!$F$2:$F$500,0))),"⚠"))</f>
        <v/>
      </c>
      <c r="L9" t="str">
        <f t="shared" si="1"/>
        <v/>
      </c>
      <c r="M9" t="str">
        <f t="shared" si="2"/>
        <v/>
      </c>
      <c r="N9" t="str">
        <f t="shared" si="3"/>
        <v/>
      </c>
      <c r="O9" t="str">
        <f>IF(AT9="","",IFERROR(IF(INDEX(CODIFICACION!$E$2:$E$500,MATCH("D2.8|"&amp;AT9,CODIFICACION!$F$2:$F$500,0))="sin dato","",INDEX(CODIFICACION!$E$2:$E$500,MATCH("D2.8|"&amp;AT9,CODIFICACION!$F$2:$F$500,0))),"⚠"))</f>
        <v/>
      </c>
      <c r="P9" t="str">
        <f>IF(AU9="","",IFERROR(IF(INDEX(CODIFICACION!$E$2:$E$500,MATCH("D2.9|"&amp;AU9,CODIFICACION!$F$2:$F$500,0))="sin dato","",INDEX(CODIFICACION!$E$2:$E$500,MATCH("D2.9|"&amp;AU9,CODIFICACION!$F$2:$F$500,0))),"⚠"))</f>
        <v/>
      </c>
      <c r="Q9" t="str">
        <f>IF(AV9="","",IFERROR(IF(INDEX(CODIFICACION!$E$2:$E$500,MATCH("D2.10|"&amp;AV9,CODIFICACION!$F$2:$F$500,0))="sin dato","",INDEX(CODIFICACION!$E$2:$E$500,MATCH("D2.10|"&amp;AV9,CODIFICACION!$F$2:$F$500,0))),"⚠"))</f>
        <v/>
      </c>
      <c r="R9" t="str">
        <f>IF(AW9="","",IFERROR(IF(INDEX(CODIFICACION!$E$2:$E$500,MATCH("D2.5a|"&amp;AW9,CODIFICACION!$F$2:$F$500,0))="sin dato","",INDEX(CODIFICACION!$E$2:$E$500,MATCH("D2.5a|"&amp;AW9,CODIFICACION!$F$2:$F$500,0))),"⚠"))</f>
        <v/>
      </c>
      <c r="S9" t="str">
        <f ca="1">IF(AX9="","",IFERROR(IF(INDEX(CODIFICACION!$E$2:$E$500,MATCH("D2.5b|"&amp;AX9,CODIFICACION!$F$2:$F$500,0))="sin dato","",INDEX(CODIFICACION!$E$2:$E$500,MATCH("D2.5b|"&amp;AX9,CODIFICACION!$F$2:$F$500,0))),"⚠"))</f>
        <v/>
      </c>
      <c r="T9" t="str">
        <f t="shared" ca="1" si="4"/>
        <v/>
      </c>
      <c r="U9" t="str">
        <f>IF(AZ9="","",IFERROR(IF(INDEX(CODIFICACION!$E$2:$E$500,MATCH("D3.12|"&amp;AZ9,CODIFICACION!$F$2:$F$500,0))="sin dato","",INDEX(CODIFICACION!$E$2:$E$500,MATCH("D3.12|"&amp;AZ9,CODIFICACION!$F$2:$F$500,0))),"⚠"))</f>
        <v/>
      </c>
      <c r="V9" t="str">
        <f t="shared" si="5"/>
        <v/>
      </c>
      <c r="W9" t="str">
        <f ca="1">IF(BB9="","",IFERROR(IF(INDEX(CODIFICACION!$E$2:$E$500,MATCH("D3.14|"&amp;BB9,CODIFICACION!$F$2:$F$500,0))="sin dato","",INDEX(CODIFICACION!$E$2:$E$500,MATCH("D3.14|"&amp;BB9,CODIFICACION!$F$2:$F$500,0))),"⚠"))</f>
        <v/>
      </c>
      <c r="X9" t="str">
        <f ca="1">IF(BC9="","",IFERROR(IF(INDEX(CODIFICACION!$E$2:$E$500,MATCH("D3.14a|"&amp;BC9,CODIFICACION!$F$2:$F$500,0))="sin dato","",INDEX(CODIFICACION!$E$2:$E$500,MATCH("D3.14a|"&amp;BC9,CODIFICACION!$F$2:$F$500,0))),"⚠"))</f>
        <v/>
      </c>
      <c r="Y9" t="str">
        <f>IF(BD9="","",IFERROR(IF(INDEX(CODIFICACION!$E$2:$E$500,MATCH("D3.14b|"&amp;BD9,CODIFICACION!$F$2:$F$500,0))="sin dato","",INDEX(CODIFICACION!$E$2:$E$500,MATCH("D3.14b|"&amp;BD9,CODIFICACION!$F$2:$F$500,0))),"⚠"))</f>
        <v/>
      </c>
      <c r="Z9" t="str">
        <f>IF(BE9="","",IFERROR(IF(INDEX(CODIFICACION!$E$2:$E$500,MATCH("D3.14c|"&amp;BE9,CODIFICACION!$F$2:$F$500,0))="sin dato","",INDEX(CODIFICACION!$E$2:$E$500,MATCH("D3.14c|"&amp;BE9,CODIFICACION!$F$2:$F$500,0))),"⚠"))</f>
        <v/>
      </c>
      <c r="AA9" t="str">
        <f>IF(BF9="","",IFERROR(IF(INDEX(CODIFICACION!$E$2:$E$500,MATCH("D3.14d|"&amp;BF9,CODIFICACION!$F$2:$F$500,0))="sin dato","",INDEX(CODIFICACION!$E$2:$E$500,MATCH("D3.14d|"&amp;BF9,CODIFICACION!$F$2:$F$500,0))),"⚠"))</f>
        <v/>
      </c>
      <c r="AB9" t="str">
        <f>IF(BG9="","",IFERROR(IF(INDEX(CODIFICACION!$E$2:$E$500,MATCH("D3.14e|"&amp;BG9,CODIFICACION!$F$2:$F$500,0))="sin dato","",INDEX(CODIFICACION!$E$2:$E$500,MATCH("D3.14e|"&amp;BG9,CODIFICACION!$F$2:$F$500,0))),"⚠"))</f>
        <v/>
      </c>
      <c r="AC9" t="str">
        <f>IF(BH9="","",IFERROR(IF(INDEX(CODIFICACION!$E$2:$E$500,MATCH("D3.14f|"&amp;BH9,CODIFICACION!$F$2:$F$500,0))="sin dato","",INDEX(CODIFICACION!$E$2:$E$500,MATCH("D3.14f|"&amp;BH9,CODIFICACION!$F$2:$F$500,0))),"⚠"))</f>
        <v/>
      </c>
      <c r="AD9" t="str">
        <f>IF(BI9="","",IFERROR(IF(INDEX(CODIFICACION!$E$2:$E$500,MATCH("D3.14g|"&amp;BI9,CODIFICACION!$F$2:$F$500,0))="sin dato","",INDEX(CODIFICACION!$E$2:$E$500,MATCH("D3.14g|"&amp;BI9,CODIFICACION!$F$2:$F$500,0))),"⚠"))</f>
        <v/>
      </c>
      <c r="AE9" t="str">
        <f>IF(BJ9="","",IFERROR(IF(INDEX(CODIFICACION!$E$2:$E$500,MATCH("D3.14h|"&amp;BJ9,CODIFICACION!$F$2:$F$500,0))="sin dato","",INDEX(CODIFICACION!$E$2:$E$500,MATCH("D3.14h|"&amp;BJ9,CODIFICACION!$F$2:$F$500,0))),"⚠"))</f>
        <v/>
      </c>
      <c r="AF9" t="str">
        <f>IF(BK9="","",IFERROR(IF(INDEX(CODIFICACION!$E$2:$E$500,MATCH("D3.14i|"&amp;BK9,CODIFICACION!$F$2:$F$500,0))="sin dato","",INDEX(CODIFICACION!$E$2:$E$500,MATCH("D3.14i|"&amp;BK9,CODIFICACION!$F$2:$F$500,0))),"⚠"))</f>
        <v/>
      </c>
      <c r="AG9" t="str">
        <f>IF(BL9="","",IFERROR(IF(INDEX(CODIFICACION!$E$2:$E$500,MATCH("D4.15|"&amp;BL9,CODIFICACION!$F$2:$F$500,0))="sin dato","",INDEX(CODIFICACION!$E$2:$E$500,MATCH("D4.15|"&amp;BL9,CODIFICACION!$F$2:$F$500,0))),"⚠"))</f>
        <v/>
      </c>
      <c r="AH9" t="str">
        <f t="shared" si="6"/>
        <v/>
      </c>
      <c r="AI9" t="str">
        <f>IF(BN9="","",IFERROR(IF(INDEX(CODIFICACION!$E$2:$E$500,MATCH("D4.17|"&amp;BN9,CODIFICACION!$F$2:$F$500,0))="sin dato","",INDEX(CODIFICACION!$E$2:$E$500,MATCH("D4.17|"&amp;BN9,CODIFICACION!$F$2:$F$500,0))),"⚠"))</f>
        <v/>
      </c>
      <c r="AJ9" t="str">
        <f>IF(BO9="","",IFERROR(IF(INDEX(CODIFICACION!$E$2:$E$500,MATCH("D4.15a|"&amp;BO9,CODIFICACION!$F$2:$F$500,0))="sin dato","",INDEX(CODIFICACION!$E$2:$E$500,MATCH("D4.15a|"&amp;BO9,CODIFICACION!$F$2:$F$500,0))),"⚠"))</f>
        <v/>
      </c>
      <c r="AK9" t="str">
        <f t="shared" si="7"/>
        <v/>
      </c>
      <c r="AL9" t="str">
        <f t="shared" si="8"/>
        <v/>
      </c>
      <c r="AM9" t="str">
        <f>IF(BR9="","",IFERROR(IF(INDEX(CODIFICACION!$E$2:$E$500,MATCH("D5.18b|"&amp;BR9,CODIFICACION!$F$2:$F$500,0))="sin dato","",INDEX(CODIFICACION!$E$2:$E$500,MATCH("D5.18b|"&amp;BR9,CODIFICACION!$F$2:$F$500,0))),"⚠"))</f>
        <v/>
      </c>
      <c r="AN9" t="str">
        <f>IF(BS9="","",IFERROR(IF(INDEX(CODIFICACION!$E$2:$E$500,MATCH("D5.19|"&amp;BS9,CODIFICACION!$F$2:$F$500,0))="sin dato","",INDEX(CODIFICACION!$E$2:$E$500,MATCH("D5.19|"&amp;BS9,CODIFICACION!$F$2:$F$500,0))),"⚠"))</f>
        <v/>
      </c>
      <c r="AO9" t="str">
        <f t="shared" si="9"/>
        <v/>
      </c>
      <c r="AP9" t="str">
        <f>IF(BU9="","",IFERROR(IF(INDEX(CODIFICACION!$E$2:$E$500,MATCH("D5.20|"&amp;BU9,CODIFICACION!$F$2:$F$500,0))="sin dato","",INDEX(CODIFICACION!$E$2:$E$500,MATCH("D5.20|"&amp;BU9,CODIFICACION!$F$2:$F$500,0))),"⚠"))</f>
        <v/>
      </c>
      <c r="AQ9" t="str">
        <f>IF(BV9="","",IFERROR(IF(INDEX(CODIFICACION!$E$2:$E$500,MATCH("D5.21|"&amp;BV9,CODIFICACION!$F$2:$F$500,0))="sin dato","",INDEX(CODIFICACION!$E$2:$E$500,MATCH("D5.21|"&amp;BV9,CODIFICACION!$F$2:$F$500,0))),"⚠"))</f>
        <v/>
      </c>
      <c r="AR9" t="str">
        <f>IF(BW9="","",IFERROR(IF(INDEX(CODIFICACION!$E$2:$E$500,MATCH("D5.21a|"&amp;BW9,CODIFICACION!$F$2:$F$500,0))="sin dato","",INDEX(CODIFICACION!$E$2:$E$500,MATCH("D5.21a|"&amp;BW9,CODIFICACION!$F$2:$F$500,0))),"⚠"))</f>
        <v/>
      </c>
      <c r="AS9" t="str">
        <f>IF(BX9="","",IFERROR(IF(INDEX(CODIFICACION!$E$2:$E$500,MATCH("D5.21b|"&amp;BX9,CODIFICACION!$F$2:$F$500,0))="sin dato","",INDEX(CODIFICACION!$E$2:$E$500,MATCH("D5.21b|"&amp;BX9,CODIFICACION!$F$2:$F$500,0))),"⚠"))</f>
        <v/>
      </c>
      <c r="AT9" t="str">
        <f>IF(BY9="","",IFERROR(IF(INDEX(CODIFICACION!$E$2:$E$500,MATCH("D6.22|"&amp;BY9,CODIFICACION!$F$2:$F$500,0))="sin dato","",INDEX(CODIFICACION!$E$2:$E$500,MATCH("D6.22|"&amp;BY9,CODIFICACION!$F$2:$F$500,0))),"⚠"))</f>
        <v/>
      </c>
      <c r="AU9" t="str">
        <f>IF(BZ9="","",IFERROR(IF(INDEX(CODIFICACION!$E$2:$E$500,MATCH("D6.22a|"&amp;BZ9,CODIFICACION!$F$2:$F$500,0))="sin dato","",INDEX(CODIFICACION!$E$2:$E$500,MATCH("D6.22a|"&amp;BZ9,CODIFICACION!$F$2:$F$500,0))),"⚠"))</f>
        <v/>
      </c>
      <c r="AV9" t="str">
        <f>IF(CA9="","",IFERROR(IF(INDEX(CODIFICACION!$E$2:$E$500,MATCH("D6.22b|"&amp;CA9,CODIFICACION!$F$2:$F$500,0))="sin dato","",INDEX(CODIFICACION!$E$2:$E$500,MATCH("D6.22b|"&amp;CA9,CODIFICACION!$F$2:$F$500,0))),"⚠"))</f>
        <v/>
      </c>
      <c r="AW9" t="str">
        <f>IF(CB9="","",IFERROR(IF(INDEX(CODIFICACION!$E$2:$E$500,MATCH("D6.23|"&amp;CB9,CODIFICACION!$F$2:$F$500,0))="sin dato","",INDEX(CODIFICACION!$E$2:$E$500,MATCH("D6.23|"&amp;CB9,CODIFICACION!$F$2:$F$500,0))),"⚠"))</f>
        <v/>
      </c>
      <c r="AX9" t="str">
        <f ca="1">IF(CC9="","",IFERROR(IF(INDEX(CODIFICACION!$E$2:$E$500,MATCH("D6.24|"&amp;CC9,CODIFICACION!$F$2:$F$500,0))="sin dato","",INDEX(CODIFICACION!$E$2:$E$500,MATCH("D6.24|"&amp;CC9,CODIFICACION!$F$2:$F$500,0))),"⚠"))</f>
        <v/>
      </c>
      <c r="AY9" t="str">
        <f ca="1">IF(CD9="","",IFERROR(IF(INDEX(CODIFICACION!$E$2:$E$500,MATCH("D6.25|"&amp;CD9,CODIFICACION!$F$2:$F$500,0))="sin dato","",INDEX(CODIFICACION!$E$2:$E$500,MATCH("D6.25|"&amp;CD9,CODIFICACION!$F$2:$F$500,0))),"⚠"))</f>
        <v/>
      </c>
      <c r="AZ9" t="str">
        <f>IF(CE9="","",IFERROR(IF(INDEX(CODIFICACION!$E$2:$E$500,MATCH("D6.25a|"&amp;CE9,CODIFICACION!$F$2:$F$500,0))="sin dato","",INDEX(CODIFICACION!$E$2:$E$500,MATCH("D6.25a|"&amp;CE9,CODIFICACION!$F$2:$F$500,0))),"⚠"))</f>
        <v/>
      </c>
      <c r="BA9" t="str">
        <f>IF(CF9="","",IFERROR(IF(INDEX(CODIFICACION!$E$2:$E$500,MATCH("D6.25b|"&amp;CF9,CODIFICACION!$F$2:$F$500,0))="sin dato","",INDEX(CODIFICACION!$E$2:$E$500,MATCH("D6.25b|"&amp;CF9,CODIFICACION!$F$2:$F$500,0))),"⚠"))</f>
        <v/>
      </c>
      <c r="BB9" t="str">
        <f ca="1">IF(CG9="","",IFERROR(IF(INDEX(CODIFICACION!$E$2:$E$500,MATCH("D6.22c|"&amp;CG9,CODIFICACION!$F$2:$F$500,0))="sin dato","",INDEX(CODIFICACION!$E$2:$E$500,MATCH("D6.22c|"&amp;CG9,CODIFICACION!$F$2:$F$500,0))),"⚠"))</f>
        <v/>
      </c>
      <c r="BC9" t="str">
        <f ca="1">IF(CH9="","",IFERROR(IF(INDEX(CODIFICACION!$E$2:$E$500,MATCH("D7.26|"&amp;CH9,CODIFICACION!$F$2:$F$500,0))="sin dato","",INDEX(CODIFICACION!$E$2:$E$500,MATCH("D7.26|"&amp;CH9,CODIFICACION!$F$2:$F$500,0))),"⚠"))</f>
        <v/>
      </c>
      <c r="BD9" t="str">
        <f>IF(CI9="","",IFERROR(IF(INDEX(CODIFICACION!$E$2:$E$500,MATCH("D7.27|"&amp;CI9,CODIFICACION!$F$2:$F$500,0))="sin dato","",INDEX(CODIFICACION!$E$2:$E$500,MATCH("D7.27|"&amp;CI9,CODIFICACION!$F$2:$F$500,0))),"⚠"))</f>
        <v/>
      </c>
      <c r="BE9" t="str">
        <f>IF(CJ9="","",IFERROR(IF(INDEX(CODIFICACION!$E$2:$E$500,MATCH("D7.28|"&amp;CJ9,CODIFICACION!$F$2:$F$500,0))="sin dato","",INDEX(CODIFICACION!$E$2:$E$500,MATCH("D7.28|"&amp;CJ9,CODIFICACION!$F$2:$F$500,0))),"⚠"))</f>
        <v/>
      </c>
      <c r="BF9" t="str">
        <f>IF(CK9="","",IFERROR(IF(INDEX(CODIFICACION!$E$2:$E$500,MATCH("D7.28b|"&amp;CK9,CODIFICACION!$F$2:$F$500,0))="sin dato","",INDEX(CODIFICACION!$E$2:$E$500,MATCH("D7.28b|"&amp;CK9,CODIFICACION!$F$2:$F$500,0))),"⚠"))</f>
        <v/>
      </c>
      <c r="BG9" t="str">
        <f t="shared" si="10"/>
        <v/>
      </c>
      <c r="BH9" t="str">
        <f>IF(CM9="","",IFERROR(IF(INDEX(CODIFICACION!$E$2:$E$500,MATCH("D7.26a|"&amp;CM9,CODIFICACION!$F$2:$F$500,0))="sin dato","",INDEX(CODIFICACION!$E$2:$E$500,MATCH("D7.26a|"&amp;CM9,CODIFICACION!$F$2:$F$500,0))),"⚠"))</f>
        <v/>
      </c>
      <c r="BI9" t="str">
        <f>IF(CN9="","",IFERROR(IF(INDEX(CODIFICACION!$E$2:$E$500,MATCH("D7.26b|"&amp;CN9,CODIFICACION!$F$2:$F$500,0))="sin dato","",INDEX(CODIFICACION!$E$2:$E$500,MATCH("D7.26b|"&amp;CN9,CODIFICACION!$F$2:$F$500,0))),"⚠"))</f>
        <v/>
      </c>
      <c r="BJ9" t="str">
        <f t="shared" si="11"/>
        <v/>
      </c>
      <c r="BK9" t="str">
        <f t="shared" si="12"/>
        <v/>
      </c>
      <c r="BL9" t="str">
        <f>IF(CQ9="","",IFERROR(IF(INDEX(CODIFICACION!$E$2:$E$500,MATCH("D8.31|"&amp;CQ9,CODIFICACION!$F$2:$F$500,0))="sin dato","",INDEX(CODIFICACION!$E$2:$E$500,MATCH("D8.31|"&amp;CQ9,CODIFICACION!$F$2:$F$500,0))),"⚠"))</f>
        <v/>
      </c>
      <c r="BM9" t="str">
        <f>IF(CR9="","",IFERROR(IF(INDEX(CODIFICACION!$E$2:$E$500,MATCH("D8.32|"&amp;CR9,CODIFICACION!$F$2:$F$500,0))="sin dato","",INDEX(CODIFICACION!$E$2:$E$500,MATCH("D8.32|"&amp;CR9,CODIFICACION!$F$2:$F$500,0))),"⚠"))</f>
        <v/>
      </c>
      <c r="BN9" t="str">
        <f>IF(CS9="","",IFERROR(IF(INDEX(CODIFICACION!$E$2:$E$500,MATCH("D9.33|"&amp;CS9,CODIFICACION!$F$2:$F$500,0))="sin dato","",INDEX(CODIFICACION!$E$2:$E$500,MATCH("D9.33|"&amp;CS9,CODIFICACION!$F$2:$F$500,0))),"⚠"))</f>
        <v/>
      </c>
      <c r="BO9" t="str">
        <f>IF(CT9="","",IFERROR(IF(INDEX(CODIFICACION!$E$2:$E$500,MATCH("D9.34|"&amp;CT9,CODIFICACION!$F$2:$F$500,0))="sin dato","",INDEX(CODIFICACION!$E$2:$E$500,MATCH("D9.34|"&amp;CT9,CODIFICACION!$F$2:$F$500,0))),"⚠"))</f>
        <v/>
      </c>
      <c r="BP9" t="str">
        <f>IF(CU9="","",IFERROR(IF(INDEX(CODIFICACION!$E$2:$E$500,MATCH("D9.35|"&amp;CU9,CODIFICACION!$F$2:$F$500,0))="sin dato","",INDEX(CODIFICACION!$E$2:$E$500,MATCH("D9.35|"&amp;CU9,CODIFICACION!$F$2:$F$500,0))),"⚠"))</f>
        <v/>
      </c>
      <c r="BQ9" t="str">
        <f>IF(CV9="","",IFERROR(IF(INDEX(CODIFICACION!$E$2:$E$500,MATCH("D10.36|"&amp;CV9,CODIFICACION!$F$2:$F$500,0))="sin dato","",INDEX(CODIFICACION!$E$2:$E$500,MATCH("D10.36|"&amp;CV9,CODIFICACION!$F$2:$F$500,0))),"⚠"))</f>
        <v/>
      </c>
      <c r="BR9" t="str">
        <f>IF(CW9="","",IFERROR(IF(INDEX(CODIFICACION!$E$2:$E$500,MATCH("D10.37|"&amp;CW9,CODIFICACION!$F$2:$F$500,0))="sin dato","",INDEX(CODIFICACION!$E$2:$E$500,MATCH("D10.37|"&amp;CW9,CODIFICACION!$F$2:$F$500,0))),"⚠"))</f>
        <v/>
      </c>
      <c r="BS9" t="str">
        <f>IF(CX9="","",IFERROR(IF(INDEX(CODIFICACION!$E$2:$E$500,MATCH("D10.36a|"&amp;CX9,CODIFICACION!$F$2:$F$500,0))="sin dato","",INDEX(CODIFICACION!$E$2:$E$500,MATCH("D10.36a|"&amp;CX9,CODIFICACION!$F$2:$F$500,0))),"⚠"))</f>
        <v/>
      </c>
      <c r="BT9" t="str">
        <f t="shared" si="13"/>
        <v/>
      </c>
      <c r="BU9" t="str">
        <f>IF(DA9="","",IFERROR(IF(INDEX(CODIFICACION!$E$2:$E$500,MATCH("D11.39a|"&amp;DA9,CODIFICACION!$F$2:$F$500,0))="sin dato","",INDEX(CODIFICACION!$E$2:$E$500,MATCH("D11.39a|"&amp;DA9,CODIFICACION!$F$2:$F$500,0))),"⚠"))</f>
        <v/>
      </c>
      <c r="BV9" t="str">
        <f>IF(DB9="","",IFERROR(IF(INDEX(CODIFICACION!$E$2:$E$500,MATCH("D12.42|"&amp;DB9,CODIFICACION!$F$2:$F$500,0))="sin dato","",INDEX(CODIFICACION!$E$2:$E$500,MATCH("D12.42|"&amp;DB9,CODIFICACION!$F$2:$F$500,0))),"⚠"))</f>
        <v/>
      </c>
      <c r="BW9" t="str">
        <f>IF(DC9="","",IFERROR(IF(INDEX(CODIFICACION!$E$2:$E$500,MATCH("D13.45|"&amp;DC9,CODIFICACION!$F$2:$F$500,0))="sin dato","",INDEX(CODIFICACION!$E$2:$E$500,MATCH("D13.45|"&amp;DC9,CODIFICACION!$F$2:$F$500,0))),"⚠"))</f>
        <v/>
      </c>
      <c r="BX9" t="str">
        <f>IF(DD9="","",IFERROR(IF(INDEX(CODIFICACION!$E$2:$E$500,MATCH("D14.51|"&amp;DD9,CODIFICACION!$F$2:$F$500,0))="sin dato","",INDEX(CODIFICACION!$E$2:$E$500,MATCH("D14.51|"&amp;DD9,CODIFICACION!$F$2:$F$500,0))),"⚠"))</f>
        <v/>
      </c>
      <c r="BY9" t="str">
        <f>IF(DE9="","",IFERROR(IF(INDEX(CODIFICACION!$E$2:$E$500,MATCH("D15.58|"&amp;DE9,CODIFICACION!$F$2:$F$500,0))="sin dato","",INDEX(CODIFICACION!$E$2:$E$500,MATCH("D15.58|"&amp;DE9,CODIFICACION!$F$2:$F$500,0))),"⚠"))</f>
        <v/>
      </c>
      <c r="BZ9" t="str">
        <f>IF(DF9="","",IFERROR(IF(INDEX(CODIFICACION!$E$2:$E$500,MATCH("PP1|"&amp;DF9,CODIFICACION!$F$2:$F$500,0))="sin dato","",INDEX(CODIFICACION!$E$2:$E$500,MATCH("PP1|"&amp;DF9,CODIFICACION!$F$2:$F$500,0))),"⚠"))</f>
        <v/>
      </c>
      <c r="CA9" t="str">
        <f>IF(DG9="","",IFERROR(IF(INDEX(CODIFICACION!$E$2:$E$500,MATCH("PP2|"&amp;DG9,CODIFICACION!$F$2:$F$500,0))="sin dato","",INDEX(CODIFICACION!$E$2:$E$500,MATCH("PP2|"&amp;DG9,CODIFICACION!$F$2:$F$500,0))),"⚠"))</f>
        <v/>
      </c>
      <c r="CB9" t="str">
        <f t="shared" si="14"/>
        <v/>
      </c>
      <c r="CC9" t="str">
        <f t="shared" ca="1" si="15"/>
        <v/>
      </c>
      <c r="CD9" t="str">
        <f t="shared" ca="1" si="16"/>
        <v/>
      </c>
      <c r="CE9" t="str">
        <f t="shared" si="17"/>
        <v/>
      </c>
      <c r="CF9" t="str">
        <f t="shared" si="18"/>
        <v/>
      </c>
      <c r="CG9" t="str">
        <f t="shared" ca="1" si="19"/>
        <v/>
      </c>
      <c r="CH9" t="str">
        <f t="shared" ca="1" si="20"/>
        <v/>
      </c>
      <c r="CI9" t="str">
        <f t="shared" si="21"/>
        <v/>
      </c>
      <c r="CJ9" t="str">
        <f t="shared" si="22"/>
        <v/>
      </c>
      <c r="CK9" t="str">
        <f t="shared" si="23"/>
        <v/>
      </c>
      <c r="CL9" t="str">
        <f t="shared" si="24"/>
        <v/>
      </c>
    </row>
    <row r="10" spans="1:90" x14ac:dyDescent="0.3">
      <c r="A10">
        <f>CAPTURA!A10</f>
        <v>20132517119</v>
      </c>
      <c r="B10">
        <f>CAPTURA!C10</f>
        <v>0</v>
      </c>
      <c r="C10" t="str">
        <f t="shared" si="0"/>
        <v/>
      </c>
      <c r="D10" t="str">
        <f>IF(AE10="","",IFERROR(IF(INDEX(CODIFICACION!$E$2:$E$500,MATCH("P8|"&amp;AE10,CODIFICACION!$F$2:$F$500,0))="sin dato","",INDEX(CODIFICACION!$E$2:$E$500,MATCH("P8|"&amp;AE10,CODIFICACION!$F$2:$F$500,0))),"⚠"))</f>
        <v/>
      </c>
      <c r="E10" t="str">
        <f>IF(AG10="","",IFERROR(IF(INDEX(CODIFICACION!$E$2:$E$500,MATCH("P10|"&amp;AG10,CODIFICACION!$F$2:$F$500,0))="sin dato","",INDEX(CODIFICACION!$E$2:$E$500,MATCH("P10|"&amp;AG10,CODIFICACION!$F$2:$F$500,0))),"⚠"))</f>
        <v/>
      </c>
      <c r="F10" t="str">
        <f>IF(AJ10="","",IFERROR(IF(INDEX(CODIFICACION!$E$2:$E$500,MATCH("P13|"&amp;AJ10,CODIFICACION!$F$2:$F$500,0))="sin dato","",INDEX(CODIFICACION!$E$2:$E$500,MATCH("P13|"&amp;AJ10,CODIFICACION!$F$2:$F$500,0))),"⚠"))</f>
        <v/>
      </c>
      <c r="G10" t="str">
        <f>IF(AK10="","",IFERROR(IF(INDEX(CODIFICACION!$E$2:$E$500,MATCH("P14|"&amp;AK10,CODIFICACION!$F$2:$F$500,0))="sin dato","",INDEX(CODIFICACION!$E$2:$E$500,MATCH("P14|"&amp;AK10,CODIFICACION!$F$2:$F$500,0))),"⚠"))</f>
        <v/>
      </c>
      <c r="H10" t="str">
        <f>IF(AL10="","",IFERROR(IF(INDEX(CODIFICACION!$E$2:$E$500,MATCH("D1.1|"&amp;AL10,CODIFICACION!$F$2:$F$500,0))="sin dato","",INDEX(CODIFICACION!$E$2:$E$500,MATCH("D1.1|"&amp;AL10,CODIFICACION!$F$2:$F$500,0))),"⚠"))</f>
        <v/>
      </c>
      <c r="I10" t="str">
        <f>IF(AN10="","",IFERROR(IF(INDEX(CODIFICACION!$E$2:$E$500,MATCH("D1.3|"&amp;AN10,CODIFICACION!$F$2:$F$500,0))="sin dato","",INDEX(CODIFICACION!$E$2:$E$500,MATCH("D1.3|"&amp;AN10,CODIFICACION!$F$2:$F$500,0))),"⚠"))</f>
        <v/>
      </c>
      <c r="J10" t="str">
        <f>IF(AO10="","",IFERROR(IF(INDEX(CODIFICACION!$E$2:$E$500,MATCH("D1.4|"&amp;AO10,CODIFICACION!$F$2:$F$500,0))="sin dato","",INDEX(CODIFICACION!$E$2:$E$500,MATCH("D1.4|"&amp;AO10,CODIFICACION!$F$2:$F$500,0))),"⚠"))</f>
        <v/>
      </c>
      <c r="K10" t="str">
        <f>IF(AP10="","",IFERROR(IF(INDEX(CODIFICACION!$E$2:$E$500,MATCH("D1.3a|"&amp;AP10,CODIFICACION!$F$2:$F$500,0))="sin dato","",INDEX(CODIFICACION!$E$2:$E$500,MATCH("D1.3a|"&amp;AP10,CODIFICACION!$F$2:$F$500,0))),"⚠"))</f>
        <v/>
      </c>
      <c r="L10" t="str">
        <f t="shared" si="1"/>
        <v/>
      </c>
      <c r="M10" t="str">
        <f t="shared" si="2"/>
        <v/>
      </c>
      <c r="N10" t="str">
        <f t="shared" si="3"/>
        <v/>
      </c>
      <c r="O10" t="str">
        <f>IF(AT10="","",IFERROR(IF(INDEX(CODIFICACION!$E$2:$E$500,MATCH("D2.8|"&amp;AT10,CODIFICACION!$F$2:$F$500,0))="sin dato","",INDEX(CODIFICACION!$E$2:$E$500,MATCH("D2.8|"&amp;AT10,CODIFICACION!$F$2:$F$500,0))),"⚠"))</f>
        <v/>
      </c>
      <c r="P10" t="str">
        <f>IF(AU10="","",IFERROR(IF(INDEX(CODIFICACION!$E$2:$E$500,MATCH("D2.9|"&amp;AU10,CODIFICACION!$F$2:$F$500,0))="sin dato","",INDEX(CODIFICACION!$E$2:$E$500,MATCH("D2.9|"&amp;AU10,CODIFICACION!$F$2:$F$500,0))),"⚠"))</f>
        <v/>
      </c>
      <c r="Q10" t="str">
        <f>IF(AV10="","",IFERROR(IF(INDEX(CODIFICACION!$E$2:$E$500,MATCH("D2.10|"&amp;AV10,CODIFICACION!$F$2:$F$500,0))="sin dato","",INDEX(CODIFICACION!$E$2:$E$500,MATCH("D2.10|"&amp;AV10,CODIFICACION!$F$2:$F$500,0))),"⚠"))</f>
        <v/>
      </c>
      <c r="R10" t="str">
        <f>IF(AW10="","",IFERROR(IF(INDEX(CODIFICACION!$E$2:$E$500,MATCH("D2.5a|"&amp;AW10,CODIFICACION!$F$2:$F$500,0))="sin dato","",INDEX(CODIFICACION!$E$2:$E$500,MATCH("D2.5a|"&amp;AW10,CODIFICACION!$F$2:$F$500,0))),"⚠"))</f>
        <v/>
      </c>
      <c r="S10" t="str">
        <f ca="1">IF(AX10="","",IFERROR(IF(INDEX(CODIFICACION!$E$2:$E$500,MATCH("D2.5b|"&amp;AX10,CODIFICACION!$F$2:$F$500,0))="sin dato","",INDEX(CODIFICACION!$E$2:$E$500,MATCH("D2.5b|"&amp;AX10,CODIFICACION!$F$2:$F$500,0))),"⚠"))</f>
        <v/>
      </c>
      <c r="T10" t="str">
        <f t="shared" ca="1" si="4"/>
        <v/>
      </c>
      <c r="U10" t="str">
        <f>IF(AZ10="","",IFERROR(IF(INDEX(CODIFICACION!$E$2:$E$500,MATCH("D3.12|"&amp;AZ10,CODIFICACION!$F$2:$F$500,0))="sin dato","",INDEX(CODIFICACION!$E$2:$E$500,MATCH("D3.12|"&amp;AZ10,CODIFICACION!$F$2:$F$500,0))),"⚠"))</f>
        <v/>
      </c>
      <c r="V10" t="str">
        <f t="shared" si="5"/>
        <v/>
      </c>
      <c r="W10" t="str">
        <f ca="1">IF(BB10="","",IFERROR(IF(INDEX(CODIFICACION!$E$2:$E$500,MATCH("D3.14|"&amp;BB10,CODIFICACION!$F$2:$F$500,0))="sin dato","",INDEX(CODIFICACION!$E$2:$E$500,MATCH("D3.14|"&amp;BB10,CODIFICACION!$F$2:$F$500,0))),"⚠"))</f>
        <v/>
      </c>
      <c r="X10" t="str">
        <f ca="1">IF(BC10="","",IFERROR(IF(INDEX(CODIFICACION!$E$2:$E$500,MATCH("D3.14a|"&amp;BC10,CODIFICACION!$F$2:$F$500,0))="sin dato","",INDEX(CODIFICACION!$E$2:$E$500,MATCH("D3.14a|"&amp;BC10,CODIFICACION!$F$2:$F$500,0))),"⚠"))</f>
        <v/>
      </c>
      <c r="Y10" t="str">
        <f>IF(BD10="","",IFERROR(IF(INDEX(CODIFICACION!$E$2:$E$500,MATCH("D3.14b|"&amp;BD10,CODIFICACION!$F$2:$F$500,0))="sin dato","",INDEX(CODIFICACION!$E$2:$E$500,MATCH("D3.14b|"&amp;BD10,CODIFICACION!$F$2:$F$500,0))),"⚠"))</f>
        <v/>
      </c>
      <c r="Z10" t="str">
        <f>IF(BE10="","",IFERROR(IF(INDEX(CODIFICACION!$E$2:$E$500,MATCH("D3.14c|"&amp;BE10,CODIFICACION!$F$2:$F$500,0))="sin dato","",INDEX(CODIFICACION!$E$2:$E$500,MATCH("D3.14c|"&amp;BE10,CODIFICACION!$F$2:$F$500,0))),"⚠"))</f>
        <v/>
      </c>
      <c r="AA10" t="str">
        <f>IF(BF10="","",IFERROR(IF(INDEX(CODIFICACION!$E$2:$E$500,MATCH("D3.14d|"&amp;BF10,CODIFICACION!$F$2:$F$500,0))="sin dato","",INDEX(CODIFICACION!$E$2:$E$500,MATCH("D3.14d|"&amp;BF10,CODIFICACION!$F$2:$F$500,0))),"⚠"))</f>
        <v/>
      </c>
      <c r="AB10" t="str">
        <f>IF(BG10="","",IFERROR(IF(INDEX(CODIFICACION!$E$2:$E$500,MATCH("D3.14e|"&amp;BG10,CODIFICACION!$F$2:$F$500,0))="sin dato","",INDEX(CODIFICACION!$E$2:$E$500,MATCH("D3.14e|"&amp;BG10,CODIFICACION!$F$2:$F$500,0))),"⚠"))</f>
        <v/>
      </c>
      <c r="AC10" t="str">
        <f>IF(BH10="","",IFERROR(IF(INDEX(CODIFICACION!$E$2:$E$500,MATCH("D3.14f|"&amp;BH10,CODIFICACION!$F$2:$F$500,0))="sin dato","",INDEX(CODIFICACION!$E$2:$E$500,MATCH("D3.14f|"&amp;BH10,CODIFICACION!$F$2:$F$500,0))),"⚠"))</f>
        <v/>
      </c>
      <c r="AD10" t="str">
        <f>IF(BI10="","",IFERROR(IF(INDEX(CODIFICACION!$E$2:$E$500,MATCH("D3.14g|"&amp;BI10,CODIFICACION!$F$2:$F$500,0))="sin dato","",INDEX(CODIFICACION!$E$2:$E$500,MATCH("D3.14g|"&amp;BI10,CODIFICACION!$F$2:$F$500,0))),"⚠"))</f>
        <v/>
      </c>
      <c r="AE10" t="str">
        <f>IF(BJ10="","",IFERROR(IF(INDEX(CODIFICACION!$E$2:$E$500,MATCH("D3.14h|"&amp;BJ10,CODIFICACION!$F$2:$F$500,0))="sin dato","",INDEX(CODIFICACION!$E$2:$E$500,MATCH("D3.14h|"&amp;BJ10,CODIFICACION!$F$2:$F$500,0))),"⚠"))</f>
        <v/>
      </c>
      <c r="AF10" t="str">
        <f>IF(BK10="","",IFERROR(IF(INDEX(CODIFICACION!$E$2:$E$500,MATCH("D3.14i|"&amp;BK10,CODIFICACION!$F$2:$F$500,0))="sin dato","",INDEX(CODIFICACION!$E$2:$E$500,MATCH("D3.14i|"&amp;BK10,CODIFICACION!$F$2:$F$500,0))),"⚠"))</f>
        <v/>
      </c>
      <c r="AG10" t="str">
        <f>IF(BL10="","",IFERROR(IF(INDEX(CODIFICACION!$E$2:$E$500,MATCH("D4.15|"&amp;BL10,CODIFICACION!$F$2:$F$500,0))="sin dato","",INDEX(CODIFICACION!$E$2:$E$500,MATCH("D4.15|"&amp;BL10,CODIFICACION!$F$2:$F$500,0))),"⚠"))</f>
        <v/>
      </c>
      <c r="AH10" t="str">
        <f t="shared" si="6"/>
        <v/>
      </c>
      <c r="AI10" t="str">
        <f>IF(BN10="","",IFERROR(IF(INDEX(CODIFICACION!$E$2:$E$500,MATCH("D4.17|"&amp;BN10,CODIFICACION!$F$2:$F$500,0))="sin dato","",INDEX(CODIFICACION!$E$2:$E$500,MATCH("D4.17|"&amp;BN10,CODIFICACION!$F$2:$F$500,0))),"⚠"))</f>
        <v/>
      </c>
      <c r="AJ10" t="str">
        <f>IF(BO10="","",IFERROR(IF(INDEX(CODIFICACION!$E$2:$E$500,MATCH("D4.15a|"&amp;BO10,CODIFICACION!$F$2:$F$500,0))="sin dato","",INDEX(CODIFICACION!$E$2:$E$500,MATCH("D4.15a|"&amp;BO10,CODIFICACION!$F$2:$F$500,0))),"⚠"))</f>
        <v/>
      </c>
      <c r="AK10" t="str">
        <f t="shared" si="7"/>
        <v/>
      </c>
      <c r="AL10" t="str">
        <f t="shared" si="8"/>
        <v/>
      </c>
      <c r="AM10" t="str">
        <f>IF(BR10="","",IFERROR(IF(INDEX(CODIFICACION!$E$2:$E$500,MATCH("D5.18b|"&amp;BR10,CODIFICACION!$F$2:$F$500,0))="sin dato","",INDEX(CODIFICACION!$E$2:$E$500,MATCH("D5.18b|"&amp;BR10,CODIFICACION!$F$2:$F$500,0))),"⚠"))</f>
        <v/>
      </c>
      <c r="AN10" t="str">
        <f>IF(BS10="","",IFERROR(IF(INDEX(CODIFICACION!$E$2:$E$500,MATCH("D5.19|"&amp;BS10,CODIFICACION!$F$2:$F$500,0))="sin dato","",INDEX(CODIFICACION!$E$2:$E$500,MATCH("D5.19|"&amp;BS10,CODIFICACION!$F$2:$F$500,0))),"⚠"))</f>
        <v/>
      </c>
      <c r="AO10" t="str">
        <f t="shared" si="9"/>
        <v/>
      </c>
      <c r="AP10" t="str">
        <f>IF(BU10="","",IFERROR(IF(INDEX(CODIFICACION!$E$2:$E$500,MATCH("D5.20|"&amp;BU10,CODIFICACION!$F$2:$F$500,0))="sin dato","",INDEX(CODIFICACION!$E$2:$E$500,MATCH("D5.20|"&amp;BU10,CODIFICACION!$F$2:$F$500,0))),"⚠"))</f>
        <v/>
      </c>
      <c r="AQ10" t="str">
        <f>IF(BV10="","",IFERROR(IF(INDEX(CODIFICACION!$E$2:$E$500,MATCH("D5.21|"&amp;BV10,CODIFICACION!$F$2:$F$500,0))="sin dato","",INDEX(CODIFICACION!$E$2:$E$500,MATCH("D5.21|"&amp;BV10,CODIFICACION!$F$2:$F$500,0))),"⚠"))</f>
        <v/>
      </c>
      <c r="AR10" t="str">
        <f>IF(BW10="","",IFERROR(IF(INDEX(CODIFICACION!$E$2:$E$500,MATCH("D5.21a|"&amp;BW10,CODIFICACION!$F$2:$F$500,0))="sin dato","",INDEX(CODIFICACION!$E$2:$E$500,MATCH("D5.21a|"&amp;BW10,CODIFICACION!$F$2:$F$500,0))),"⚠"))</f>
        <v/>
      </c>
      <c r="AS10" t="str">
        <f>IF(BX10="","",IFERROR(IF(INDEX(CODIFICACION!$E$2:$E$500,MATCH("D5.21b|"&amp;BX10,CODIFICACION!$F$2:$F$500,0))="sin dato","",INDEX(CODIFICACION!$E$2:$E$500,MATCH("D5.21b|"&amp;BX10,CODIFICACION!$F$2:$F$500,0))),"⚠"))</f>
        <v/>
      </c>
      <c r="AT10" t="str">
        <f>IF(BY10="","",IFERROR(IF(INDEX(CODIFICACION!$E$2:$E$500,MATCH("D6.22|"&amp;BY10,CODIFICACION!$F$2:$F$500,0))="sin dato","",INDEX(CODIFICACION!$E$2:$E$500,MATCH("D6.22|"&amp;BY10,CODIFICACION!$F$2:$F$500,0))),"⚠"))</f>
        <v/>
      </c>
      <c r="AU10" t="str">
        <f>IF(BZ10="","",IFERROR(IF(INDEX(CODIFICACION!$E$2:$E$500,MATCH("D6.22a|"&amp;BZ10,CODIFICACION!$F$2:$F$500,0))="sin dato","",INDEX(CODIFICACION!$E$2:$E$500,MATCH("D6.22a|"&amp;BZ10,CODIFICACION!$F$2:$F$500,0))),"⚠"))</f>
        <v/>
      </c>
      <c r="AV10" t="str">
        <f>IF(CA10="","",IFERROR(IF(INDEX(CODIFICACION!$E$2:$E$500,MATCH("D6.22b|"&amp;CA10,CODIFICACION!$F$2:$F$500,0))="sin dato","",INDEX(CODIFICACION!$E$2:$E$500,MATCH("D6.22b|"&amp;CA10,CODIFICACION!$F$2:$F$500,0))),"⚠"))</f>
        <v/>
      </c>
      <c r="AW10" t="str">
        <f>IF(CB10="","",IFERROR(IF(INDEX(CODIFICACION!$E$2:$E$500,MATCH("D6.23|"&amp;CB10,CODIFICACION!$F$2:$F$500,0))="sin dato","",INDEX(CODIFICACION!$E$2:$E$500,MATCH("D6.23|"&amp;CB10,CODIFICACION!$F$2:$F$500,0))),"⚠"))</f>
        <v/>
      </c>
      <c r="AX10" t="str">
        <f ca="1">IF(CC10="","",IFERROR(IF(INDEX(CODIFICACION!$E$2:$E$500,MATCH("D6.24|"&amp;CC10,CODIFICACION!$F$2:$F$500,0))="sin dato","",INDEX(CODIFICACION!$E$2:$E$500,MATCH("D6.24|"&amp;CC10,CODIFICACION!$F$2:$F$500,0))),"⚠"))</f>
        <v/>
      </c>
      <c r="AY10" t="str">
        <f ca="1">IF(CD10="","",IFERROR(IF(INDEX(CODIFICACION!$E$2:$E$500,MATCH("D6.25|"&amp;CD10,CODIFICACION!$F$2:$F$500,0))="sin dato","",INDEX(CODIFICACION!$E$2:$E$500,MATCH("D6.25|"&amp;CD10,CODIFICACION!$F$2:$F$500,0))),"⚠"))</f>
        <v/>
      </c>
      <c r="AZ10" t="str">
        <f>IF(CE10="","",IFERROR(IF(INDEX(CODIFICACION!$E$2:$E$500,MATCH("D6.25a|"&amp;CE10,CODIFICACION!$F$2:$F$500,0))="sin dato","",INDEX(CODIFICACION!$E$2:$E$500,MATCH("D6.25a|"&amp;CE10,CODIFICACION!$F$2:$F$500,0))),"⚠"))</f>
        <v/>
      </c>
      <c r="BA10" t="str">
        <f>IF(CF10="","",IFERROR(IF(INDEX(CODIFICACION!$E$2:$E$500,MATCH("D6.25b|"&amp;CF10,CODIFICACION!$F$2:$F$500,0))="sin dato","",INDEX(CODIFICACION!$E$2:$E$500,MATCH("D6.25b|"&amp;CF10,CODIFICACION!$F$2:$F$500,0))),"⚠"))</f>
        <v/>
      </c>
      <c r="BB10" t="str">
        <f ca="1">IF(CG10="","",IFERROR(IF(INDEX(CODIFICACION!$E$2:$E$500,MATCH("D6.22c|"&amp;CG10,CODIFICACION!$F$2:$F$500,0))="sin dato","",INDEX(CODIFICACION!$E$2:$E$500,MATCH("D6.22c|"&amp;CG10,CODIFICACION!$F$2:$F$500,0))),"⚠"))</f>
        <v/>
      </c>
      <c r="BC10" t="str">
        <f ca="1">IF(CH10="","",IFERROR(IF(INDEX(CODIFICACION!$E$2:$E$500,MATCH("D7.26|"&amp;CH10,CODIFICACION!$F$2:$F$500,0))="sin dato","",INDEX(CODIFICACION!$E$2:$E$500,MATCH("D7.26|"&amp;CH10,CODIFICACION!$F$2:$F$500,0))),"⚠"))</f>
        <v/>
      </c>
      <c r="BD10" t="str">
        <f>IF(CI10="","",IFERROR(IF(INDEX(CODIFICACION!$E$2:$E$500,MATCH("D7.27|"&amp;CI10,CODIFICACION!$F$2:$F$500,0))="sin dato","",INDEX(CODIFICACION!$E$2:$E$500,MATCH("D7.27|"&amp;CI10,CODIFICACION!$F$2:$F$500,0))),"⚠"))</f>
        <v/>
      </c>
      <c r="BE10" t="str">
        <f>IF(CJ10="","",IFERROR(IF(INDEX(CODIFICACION!$E$2:$E$500,MATCH("D7.28|"&amp;CJ10,CODIFICACION!$F$2:$F$500,0))="sin dato","",INDEX(CODIFICACION!$E$2:$E$500,MATCH("D7.28|"&amp;CJ10,CODIFICACION!$F$2:$F$500,0))),"⚠"))</f>
        <v/>
      </c>
      <c r="BF10" t="str">
        <f>IF(CK10="","",IFERROR(IF(INDEX(CODIFICACION!$E$2:$E$500,MATCH("D7.28b|"&amp;CK10,CODIFICACION!$F$2:$F$500,0))="sin dato","",INDEX(CODIFICACION!$E$2:$E$500,MATCH("D7.28b|"&amp;CK10,CODIFICACION!$F$2:$F$500,0))),"⚠"))</f>
        <v/>
      </c>
      <c r="BG10" t="str">
        <f t="shared" si="10"/>
        <v/>
      </c>
      <c r="BH10" t="str">
        <f>IF(CM10="","",IFERROR(IF(INDEX(CODIFICACION!$E$2:$E$500,MATCH("D7.26a|"&amp;CM10,CODIFICACION!$F$2:$F$500,0))="sin dato","",INDEX(CODIFICACION!$E$2:$E$500,MATCH("D7.26a|"&amp;CM10,CODIFICACION!$F$2:$F$500,0))),"⚠"))</f>
        <v/>
      </c>
      <c r="BI10" t="str">
        <f>IF(CN10="","",IFERROR(IF(INDEX(CODIFICACION!$E$2:$E$500,MATCH("D7.26b|"&amp;CN10,CODIFICACION!$F$2:$F$500,0))="sin dato","",INDEX(CODIFICACION!$E$2:$E$500,MATCH("D7.26b|"&amp;CN10,CODIFICACION!$F$2:$F$500,0))),"⚠"))</f>
        <v/>
      </c>
      <c r="BJ10" t="str">
        <f t="shared" si="11"/>
        <v/>
      </c>
      <c r="BK10" t="str">
        <f t="shared" si="12"/>
        <v/>
      </c>
      <c r="BL10" t="str">
        <f>IF(CQ10="","",IFERROR(IF(INDEX(CODIFICACION!$E$2:$E$500,MATCH("D8.31|"&amp;CQ10,CODIFICACION!$F$2:$F$500,0))="sin dato","",INDEX(CODIFICACION!$E$2:$E$500,MATCH("D8.31|"&amp;CQ10,CODIFICACION!$F$2:$F$500,0))),"⚠"))</f>
        <v/>
      </c>
      <c r="BM10" t="str">
        <f>IF(CR10="","",IFERROR(IF(INDEX(CODIFICACION!$E$2:$E$500,MATCH("D8.32|"&amp;CR10,CODIFICACION!$F$2:$F$500,0))="sin dato","",INDEX(CODIFICACION!$E$2:$E$500,MATCH("D8.32|"&amp;CR10,CODIFICACION!$F$2:$F$500,0))),"⚠"))</f>
        <v/>
      </c>
      <c r="BN10" t="str">
        <f>IF(CS10="","",IFERROR(IF(INDEX(CODIFICACION!$E$2:$E$500,MATCH("D9.33|"&amp;CS10,CODIFICACION!$F$2:$F$500,0))="sin dato","",INDEX(CODIFICACION!$E$2:$E$500,MATCH("D9.33|"&amp;CS10,CODIFICACION!$F$2:$F$500,0))),"⚠"))</f>
        <v/>
      </c>
      <c r="BO10" t="str">
        <f>IF(CT10="","",IFERROR(IF(INDEX(CODIFICACION!$E$2:$E$500,MATCH("D9.34|"&amp;CT10,CODIFICACION!$F$2:$F$500,0))="sin dato","",INDEX(CODIFICACION!$E$2:$E$500,MATCH("D9.34|"&amp;CT10,CODIFICACION!$F$2:$F$500,0))),"⚠"))</f>
        <v/>
      </c>
      <c r="BP10" t="str">
        <f>IF(CU10="","",IFERROR(IF(INDEX(CODIFICACION!$E$2:$E$500,MATCH("D9.35|"&amp;CU10,CODIFICACION!$F$2:$F$500,0))="sin dato","",INDEX(CODIFICACION!$E$2:$E$500,MATCH("D9.35|"&amp;CU10,CODIFICACION!$F$2:$F$500,0))),"⚠"))</f>
        <v/>
      </c>
      <c r="BQ10" t="str">
        <f>IF(CV10="","",IFERROR(IF(INDEX(CODIFICACION!$E$2:$E$500,MATCH("D10.36|"&amp;CV10,CODIFICACION!$F$2:$F$500,0))="sin dato","",INDEX(CODIFICACION!$E$2:$E$500,MATCH("D10.36|"&amp;CV10,CODIFICACION!$F$2:$F$500,0))),"⚠"))</f>
        <v/>
      </c>
      <c r="BR10" t="str">
        <f>IF(CW10="","",IFERROR(IF(INDEX(CODIFICACION!$E$2:$E$500,MATCH("D10.37|"&amp;CW10,CODIFICACION!$F$2:$F$500,0))="sin dato","",INDEX(CODIFICACION!$E$2:$E$500,MATCH("D10.37|"&amp;CW10,CODIFICACION!$F$2:$F$500,0))),"⚠"))</f>
        <v/>
      </c>
      <c r="BS10" t="str">
        <f>IF(CX10="","",IFERROR(IF(INDEX(CODIFICACION!$E$2:$E$500,MATCH("D10.36a|"&amp;CX10,CODIFICACION!$F$2:$F$500,0))="sin dato","",INDEX(CODIFICACION!$E$2:$E$500,MATCH("D10.36a|"&amp;CX10,CODIFICACION!$F$2:$F$500,0))),"⚠"))</f>
        <v/>
      </c>
      <c r="BT10" t="str">
        <f t="shared" si="13"/>
        <v/>
      </c>
      <c r="BU10" t="str">
        <f>IF(DA10="","",IFERROR(IF(INDEX(CODIFICACION!$E$2:$E$500,MATCH("D11.39a|"&amp;DA10,CODIFICACION!$F$2:$F$500,0))="sin dato","",INDEX(CODIFICACION!$E$2:$E$500,MATCH("D11.39a|"&amp;DA10,CODIFICACION!$F$2:$F$500,0))),"⚠"))</f>
        <v/>
      </c>
      <c r="BV10" t="str">
        <f>IF(DB10="","",IFERROR(IF(INDEX(CODIFICACION!$E$2:$E$500,MATCH("D12.42|"&amp;DB10,CODIFICACION!$F$2:$F$500,0))="sin dato","",INDEX(CODIFICACION!$E$2:$E$500,MATCH("D12.42|"&amp;DB10,CODIFICACION!$F$2:$F$500,0))),"⚠"))</f>
        <v/>
      </c>
      <c r="BW10" t="str">
        <f>IF(DC10="","",IFERROR(IF(INDEX(CODIFICACION!$E$2:$E$500,MATCH("D13.45|"&amp;DC10,CODIFICACION!$F$2:$F$500,0))="sin dato","",INDEX(CODIFICACION!$E$2:$E$500,MATCH("D13.45|"&amp;DC10,CODIFICACION!$F$2:$F$500,0))),"⚠"))</f>
        <v/>
      </c>
      <c r="BX10" t="str">
        <f>IF(DD10="","",IFERROR(IF(INDEX(CODIFICACION!$E$2:$E$500,MATCH("D14.51|"&amp;DD10,CODIFICACION!$F$2:$F$500,0))="sin dato","",INDEX(CODIFICACION!$E$2:$E$500,MATCH("D14.51|"&amp;DD10,CODIFICACION!$F$2:$F$500,0))),"⚠"))</f>
        <v/>
      </c>
      <c r="BY10" t="str">
        <f>IF(DE10="","",IFERROR(IF(INDEX(CODIFICACION!$E$2:$E$500,MATCH("D15.58|"&amp;DE10,CODIFICACION!$F$2:$F$500,0))="sin dato","",INDEX(CODIFICACION!$E$2:$E$500,MATCH("D15.58|"&amp;DE10,CODIFICACION!$F$2:$F$500,0))),"⚠"))</f>
        <v/>
      </c>
      <c r="BZ10" t="str">
        <f>IF(DF10="","",IFERROR(IF(INDEX(CODIFICACION!$E$2:$E$500,MATCH("PP1|"&amp;DF10,CODIFICACION!$F$2:$F$500,0))="sin dato","",INDEX(CODIFICACION!$E$2:$E$500,MATCH("PP1|"&amp;DF10,CODIFICACION!$F$2:$F$500,0))),"⚠"))</f>
        <v/>
      </c>
      <c r="CA10" t="str">
        <f>IF(DG10="","",IFERROR(IF(INDEX(CODIFICACION!$E$2:$E$500,MATCH("PP2|"&amp;DG10,CODIFICACION!$F$2:$F$500,0))="sin dato","",INDEX(CODIFICACION!$E$2:$E$500,MATCH("PP2|"&amp;DG10,CODIFICACION!$F$2:$F$500,0))),"⚠"))</f>
        <v/>
      </c>
      <c r="CB10" t="str">
        <f t="shared" si="14"/>
        <v/>
      </c>
      <c r="CC10" t="str">
        <f t="shared" ca="1" si="15"/>
        <v/>
      </c>
      <c r="CD10" t="str">
        <f t="shared" ca="1" si="16"/>
        <v/>
      </c>
      <c r="CE10" t="str">
        <f t="shared" si="17"/>
        <v/>
      </c>
      <c r="CF10" t="str">
        <f t="shared" si="18"/>
        <v/>
      </c>
      <c r="CG10" t="str">
        <f t="shared" ca="1" si="19"/>
        <v/>
      </c>
      <c r="CH10" t="str">
        <f t="shared" ca="1" si="20"/>
        <v/>
      </c>
      <c r="CI10" t="str">
        <f t="shared" si="21"/>
        <v/>
      </c>
      <c r="CJ10" t="str">
        <f t="shared" si="22"/>
        <v/>
      </c>
      <c r="CK10" t="str">
        <f t="shared" si="23"/>
        <v/>
      </c>
      <c r="CL10" t="str">
        <f t="shared" si="24"/>
        <v/>
      </c>
    </row>
    <row r="11" spans="1:90" x14ac:dyDescent="0.3">
      <c r="A11">
        <f>CAPTURA!A11</f>
        <v>20136201132</v>
      </c>
      <c r="B11">
        <f>CAPTURA!C11</f>
        <v>0</v>
      </c>
      <c r="C11" t="str">
        <f t="shared" si="0"/>
        <v/>
      </c>
      <c r="D11" t="str">
        <f>IF(AE11="","",IFERROR(IF(INDEX(CODIFICACION!$E$2:$E$500,MATCH("P8|"&amp;AE11,CODIFICACION!$F$2:$F$500,0))="sin dato","",INDEX(CODIFICACION!$E$2:$E$500,MATCH("P8|"&amp;AE11,CODIFICACION!$F$2:$F$500,0))),"⚠"))</f>
        <v/>
      </c>
      <c r="E11" t="str">
        <f>IF(AG11="","",IFERROR(IF(INDEX(CODIFICACION!$E$2:$E$500,MATCH("P10|"&amp;AG11,CODIFICACION!$F$2:$F$500,0))="sin dato","",INDEX(CODIFICACION!$E$2:$E$500,MATCH("P10|"&amp;AG11,CODIFICACION!$F$2:$F$500,0))),"⚠"))</f>
        <v/>
      </c>
      <c r="F11" t="str">
        <f>IF(AJ11="","",IFERROR(IF(INDEX(CODIFICACION!$E$2:$E$500,MATCH("P13|"&amp;AJ11,CODIFICACION!$F$2:$F$500,0))="sin dato","",INDEX(CODIFICACION!$E$2:$E$500,MATCH("P13|"&amp;AJ11,CODIFICACION!$F$2:$F$500,0))),"⚠"))</f>
        <v/>
      </c>
      <c r="G11" t="str">
        <f>IF(AK11="","",IFERROR(IF(INDEX(CODIFICACION!$E$2:$E$500,MATCH("P14|"&amp;AK11,CODIFICACION!$F$2:$F$500,0))="sin dato","",INDEX(CODIFICACION!$E$2:$E$500,MATCH("P14|"&amp;AK11,CODIFICACION!$F$2:$F$500,0))),"⚠"))</f>
        <v/>
      </c>
      <c r="H11" t="str">
        <f>IF(AL11="","",IFERROR(IF(INDEX(CODIFICACION!$E$2:$E$500,MATCH("D1.1|"&amp;AL11,CODIFICACION!$F$2:$F$500,0))="sin dato","",INDEX(CODIFICACION!$E$2:$E$500,MATCH("D1.1|"&amp;AL11,CODIFICACION!$F$2:$F$500,0))),"⚠"))</f>
        <v/>
      </c>
      <c r="I11" t="str">
        <f>IF(AN11="","",IFERROR(IF(INDEX(CODIFICACION!$E$2:$E$500,MATCH("D1.3|"&amp;AN11,CODIFICACION!$F$2:$F$500,0))="sin dato","",INDEX(CODIFICACION!$E$2:$E$500,MATCH("D1.3|"&amp;AN11,CODIFICACION!$F$2:$F$500,0))),"⚠"))</f>
        <v/>
      </c>
      <c r="J11" t="str">
        <f>IF(AO11="","",IFERROR(IF(INDEX(CODIFICACION!$E$2:$E$500,MATCH("D1.4|"&amp;AO11,CODIFICACION!$F$2:$F$500,0))="sin dato","",INDEX(CODIFICACION!$E$2:$E$500,MATCH("D1.4|"&amp;AO11,CODIFICACION!$F$2:$F$500,0))),"⚠"))</f>
        <v/>
      </c>
      <c r="K11" t="str">
        <f>IF(AP11="","",IFERROR(IF(INDEX(CODIFICACION!$E$2:$E$500,MATCH("D1.3a|"&amp;AP11,CODIFICACION!$F$2:$F$500,0))="sin dato","",INDEX(CODIFICACION!$E$2:$E$500,MATCH("D1.3a|"&amp;AP11,CODIFICACION!$F$2:$F$500,0))),"⚠"))</f>
        <v/>
      </c>
      <c r="L11" t="str">
        <f t="shared" si="1"/>
        <v/>
      </c>
      <c r="M11" t="str">
        <f t="shared" si="2"/>
        <v/>
      </c>
      <c r="N11" t="str">
        <f t="shared" si="3"/>
        <v/>
      </c>
      <c r="O11" t="str">
        <f>IF(AT11="","",IFERROR(IF(INDEX(CODIFICACION!$E$2:$E$500,MATCH("D2.8|"&amp;AT11,CODIFICACION!$F$2:$F$500,0))="sin dato","",INDEX(CODIFICACION!$E$2:$E$500,MATCH("D2.8|"&amp;AT11,CODIFICACION!$F$2:$F$500,0))),"⚠"))</f>
        <v/>
      </c>
      <c r="P11" t="str">
        <f>IF(AU11="","",IFERROR(IF(INDEX(CODIFICACION!$E$2:$E$500,MATCH("D2.9|"&amp;AU11,CODIFICACION!$F$2:$F$500,0))="sin dato","",INDEX(CODIFICACION!$E$2:$E$500,MATCH("D2.9|"&amp;AU11,CODIFICACION!$F$2:$F$500,0))),"⚠"))</f>
        <v/>
      </c>
      <c r="Q11" t="str">
        <f>IF(AV11="","",IFERROR(IF(INDEX(CODIFICACION!$E$2:$E$500,MATCH("D2.10|"&amp;AV11,CODIFICACION!$F$2:$F$500,0))="sin dato","",INDEX(CODIFICACION!$E$2:$E$500,MATCH("D2.10|"&amp;AV11,CODIFICACION!$F$2:$F$500,0))),"⚠"))</f>
        <v/>
      </c>
      <c r="R11" t="str">
        <f>IF(AW11="","",IFERROR(IF(INDEX(CODIFICACION!$E$2:$E$500,MATCH("D2.5a|"&amp;AW11,CODIFICACION!$F$2:$F$500,0))="sin dato","",INDEX(CODIFICACION!$E$2:$E$500,MATCH("D2.5a|"&amp;AW11,CODIFICACION!$F$2:$F$500,0))),"⚠"))</f>
        <v/>
      </c>
      <c r="S11" t="str">
        <f ca="1">IF(AX11="","",IFERROR(IF(INDEX(CODIFICACION!$E$2:$E$500,MATCH("D2.5b|"&amp;AX11,CODIFICACION!$F$2:$F$500,0))="sin dato","",INDEX(CODIFICACION!$E$2:$E$500,MATCH("D2.5b|"&amp;AX11,CODIFICACION!$F$2:$F$500,0))),"⚠"))</f>
        <v/>
      </c>
      <c r="T11" t="str">
        <f t="shared" ca="1" si="4"/>
        <v/>
      </c>
      <c r="U11" t="str">
        <f>IF(AZ11="","",IFERROR(IF(INDEX(CODIFICACION!$E$2:$E$500,MATCH("D3.12|"&amp;AZ11,CODIFICACION!$F$2:$F$500,0))="sin dato","",INDEX(CODIFICACION!$E$2:$E$500,MATCH("D3.12|"&amp;AZ11,CODIFICACION!$F$2:$F$500,0))),"⚠"))</f>
        <v/>
      </c>
      <c r="V11" t="str">
        <f t="shared" si="5"/>
        <v/>
      </c>
      <c r="W11" t="str">
        <f ca="1">IF(BB11="","",IFERROR(IF(INDEX(CODIFICACION!$E$2:$E$500,MATCH("D3.14|"&amp;BB11,CODIFICACION!$F$2:$F$500,0))="sin dato","",INDEX(CODIFICACION!$E$2:$E$500,MATCH("D3.14|"&amp;BB11,CODIFICACION!$F$2:$F$500,0))),"⚠"))</f>
        <v/>
      </c>
      <c r="X11" t="str">
        <f ca="1">IF(BC11="","",IFERROR(IF(INDEX(CODIFICACION!$E$2:$E$500,MATCH("D3.14a|"&amp;BC11,CODIFICACION!$F$2:$F$500,0))="sin dato","",INDEX(CODIFICACION!$E$2:$E$500,MATCH("D3.14a|"&amp;BC11,CODIFICACION!$F$2:$F$500,0))),"⚠"))</f>
        <v/>
      </c>
      <c r="Y11" t="str">
        <f>IF(BD11="","",IFERROR(IF(INDEX(CODIFICACION!$E$2:$E$500,MATCH("D3.14b|"&amp;BD11,CODIFICACION!$F$2:$F$500,0))="sin dato","",INDEX(CODIFICACION!$E$2:$E$500,MATCH("D3.14b|"&amp;BD11,CODIFICACION!$F$2:$F$500,0))),"⚠"))</f>
        <v/>
      </c>
      <c r="Z11" t="str">
        <f>IF(BE11="","",IFERROR(IF(INDEX(CODIFICACION!$E$2:$E$500,MATCH("D3.14c|"&amp;BE11,CODIFICACION!$F$2:$F$500,0))="sin dato","",INDEX(CODIFICACION!$E$2:$E$500,MATCH("D3.14c|"&amp;BE11,CODIFICACION!$F$2:$F$500,0))),"⚠"))</f>
        <v/>
      </c>
      <c r="AA11" t="str">
        <f>IF(BF11="","",IFERROR(IF(INDEX(CODIFICACION!$E$2:$E$500,MATCH("D3.14d|"&amp;BF11,CODIFICACION!$F$2:$F$500,0))="sin dato","",INDEX(CODIFICACION!$E$2:$E$500,MATCH("D3.14d|"&amp;BF11,CODIFICACION!$F$2:$F$500,0))),"⚠"))</f>
        <v/>
      </c>
      <c r="AB11" t="str">
        <f>IF(BG11="","",IFERROR(IF(INDEX(CODIFICACION!$E$2:$E$500,MATCH("D3.14e|"&amp;BG11,CODIFICACION!$F$2:$F$500,0))="sin dato","",INDEX(CODIFICACION!$E$2:$E$500,MATCH("D3.14e|"&amp;BG11,CODIFICACION!$F$2:$F$500,0))),"⚠"))</f>
        <v/>
      </c>
      <c r="AC11" t="str">
        <f>IF(BH11="","",IFERROR(IF(INDEX(CODIFICACION!$E$2:$E$500,MATCH("D3.14f|"&amp;BH11,CODIFICACION!$F$2:$F$500,0))="sin dato","",INDEX(CODIFICACION!$E$2:$E$500,MATCH("D3.14f|"&amp;BH11,CODIFICACION!$F$2:$F$500,0))),"⚠"))</f>
        <v/>
      </c>
      <c r="AD11" t="str">
        <f>IF(BI11="","",IFERROR(IF(INDEX(CODIFICACION!$E$2:$E$500,MATCH("D3.14g|"&amp;BI11,CODIFICACION!$F$2:$F$500,0))="sin dato","",INDEX(CODIFICACION!$E$2:$E$500,MATCH("D3.14g|"&amp;BI11,CODIFICACION!$F$2:$F$500,0))),"⚠"))</f>
        <v/>
      </c>
      <c r="AE11" t="str">
        <f>IF(BJ11="","",IFERROR(IF(INDEX(CODIFICACION!$E$2:$E$500,MATCH("D3.14h|"&amp;BJ11,CODIFICACION!$F$2:$F$500,0))="sin dato","",INDEX(CODIFICACION!$E$2:$E$500,MATCH("D3.14h|"&amp;BJ11,CODIFICACION!$F$2:$F$500,0))),"⚠"))</f>
        <v/>
      </c>
      <c r="AF11" t="str">
        <f>IF(BK11="","",IFERROR(IF(INDEX(CODIFICACION!$E$2:$E$500,MATCH("D3.14i|"&amp;BK11,CODIFICACION!$F$2:$F$500,0))="sin dato","",INDEX(CODIFICACION!$E$2:$E$500,MATCH("D3.14i|"&amp;BK11,CODIFICACION!$F$2:$F$500,0))),"⚠"))</f>
        <v/>
      </c>
      <c r="AG11" t="str">
        <f>IF(BL11="","",IFERROR(IF(INDEX(CODIFICACION!$E$2:$E$500,MATCH("D4.15|"&amp;BL11,CODIFICACION!$F$2:$F$500,0))="sin dato","",INDEX(CODIFICACION!$E$2:$E$500,MATCH("D4.15|"&amp;BL11,CODIFICACION!$F$2:$F$500,0))),"⚠"))</f>
        <v/>
      </c>
      <c r="AH11" t="str">
        <f t="shared" si="6"/>
        <v/>
      </c>
      <c r="AI11" t="str">
        <f>IF(BN11="","",IFERROR(IF(INDEX(CODIFICACION!$E$2:$E$500,MATCH("D4.17|"&amp;BN11,CODIFICACION!$F$2:$F$500,0))="sin dato","",INDEX(CODIFICACION!$E$2:$E$500,MATCH("D4.17|"&amp;BN11,CODIFICACION!$F$2:$F$500,0))),"⚠"))</f>
        <v/>
      </c>
      <c r="AJ11" t="str">
        <f>IF(BO11="","",IFERROR(IF(INDEX(CODIFICACION!$E$2:$E$500,MATCH("D4.15a|"&amp;BO11,CODIFICACION!$F$2:$F$500,0))="sin dato","",INDEX(CODIFICACION!$E$2:$E$500,MATCH("D4.15a|"&amp;BO11,CODIFICACION!$F$2:$F$500,0))),"⚠"))</f>
        <v/>
      </c>
      <c r="AK11" t="str">
        <f t="shared" si="7"/>
        <v/>
      </c>
      <c r="AL11" t="str">
        <f t="shared" si="8"/>
        <v/>
      </c>
      <c r="AM11" t="str">
        <f>IF(BR11="","",IFERROR(IF(INDEX(CODIFICACION!$E$2:$E$500,MATCH("D5.18b|"&amp;BR11,CODIFICACION!$F$2:$F$500,0))="sin dato","",INDEX(CODIFICACION!$E$2:$E$500,MATCH("D5.18b|"&amp;BR11,CODIFICACION!$F$2:$F$500,0))),"⚠"))</f>
        <v/>
      </c>
      <c r="AN11" t="str">
        <f>IF(BS11="","",IFERROR(IF(INDEX(CODIFICACION!$E$2:$E$500,MATCH("D5.19|"&amp;BS11,CODIFICACION!$F$2:$F$500,0))="sin dato","",INDEX(CODIFICACION!$E$2:$E$500,MATCH("D5.19|"&amp;BS11,CODIFICACION!$F$2:$F$500,0))),"⚠"))</f>
        <v/>
      </c>
      <c r="AO11" t="str">
        <f t="shared" si="9"/>
        <v/>
      </c>
      <c r="AP11" t="str">
        <f>IF(BU11="","",IFERROR(IF(INDEX(CODIFICACION!$E$2:$E$500,MATCH("D5.20|"&amp;BU11,CODIFICACION!$F$2:$F$500,0))="sin dato","",INDEX(CODIFICACION!$E$2:$E$500,MATCH("D5.20|"&amp;BU11,CODIFICACION!$F$2:$F$500,0))),"⚠"))</f>
        <v/>
      </c>
      <c r="AQ11" t="str">
        <f>IF(BV11="","",IFERROR(IF(INDEX(CODIFICACION!$E$2:$E$500,MATCH("D5.21|"&amp;BV11,CODIFICACION!$F$2:$F$500,0))="sin dato","",INDEX(CODIFICACION!$E$2:$E$500,MATCH("D5.21|"&amp;BV11,CODIFICACION!$F$2:$F$500,0))),"⚠"))</f>
        <v/>
      </c>
      <c r="AR11" t="str">
        <f>IF(BW11="","",IFERROR(IF(INDEX(CODIFICACION!$E$2:$E$500,MATCH("D5.21a|"&amp;BW11,CODIFICACION!$F$2:$F$500,0))="sin dato","",INDEX(CODIFICACION!$E$2:$E$500,MATCH("D5.21a|"&amp;BW11,CODIFICACION!$F$2:$F$500,0))),"⚠"))</f>
        <v/>
      </c>
      <c r="AS11" t="str">
        <f>IF(BX11="","",IFERROR(IF(INDEX(CODIFICACION!$E$2:$E$500,MATCH("D5.21b|"&amp;BX11,CODIFICACION!$F$2:$F$500,0))="sin dato","",INDEX(CODIFICACION!$E$2:$E$500,MATCH("D5.21b|"&amp;BX11,CODIFICACION!$F$2:$F$500,0))),"⚠"))</f>
        <v/>
      </c>
      <c r="AT11" t="str">
        <f>IF(BY11="","",IFERROR(IF(INDEX(CODIFICACION!$E$2:$E$500,MATCH("D6.22|"&amp;BY11,CODIFICACION!$F$2:$F$500,0))="sin dato","",INDEX(CODIFICACION!$E$2:$E$500,MATCH("D6.22|"&amp;BY11,CODIFICACION!$F$2:$F$500,0))),"⚠"))</f>
        <v/>
      </c>
      <c r="AU11" t="str">
        <f>IF(BZ11="","",IFERROR(IF(INDEX(CODIFICACION!$E$2:$E$500,MATCH("D6.22a|"&amp;BZ11,CODIFICACION!$F$2:$F$500,0))="sin dato","",INDEX(CODIFICACION!$E$2:$E$500,MATCH("D6.22a|"&amp;BZ11,CODIFICACION!$F$2:$F$500,0))),"⚠"))</f>
        <v/>
      </c>
      <c r="AV11" t="str">
        <f>IF(CA11="","",IFERROR(IF(INDEX(CODIFICACION!$E$2:$E$500,MATCH("D6.22b|"&amp;CA11,CODIFICACION!$F$2:$F$500,0))="sin dato","",INDEX(CODIFICACION!$E$2:$E$500,MATCH("D6.22b|"&amp;CA11,CODIFICACION!$F$2:$F$500,0))),"⚠"))</f>
        <v/>
      </c>
      <c r="AW11" t="str">
        <f>IF(CB11="","",IFERROR(IF(INDEX(CODIFICACION!$E$2:$E$500,MATCH("D6.23|"&amp;CB11,CODIFICACION!$F$2:$F$500,0))="sin dato","",INDEX(CODIFICACION!$E$2:$E$500,MATCH("D6.23|"&amp;CB11,CODIFICACION!$F$2:$F$500,0))),"⚠"))</f>
        <v/>
      </c>
      <c r="AX11" t="str">
        <f ca="1">IF(CC11="","",IFERROR(IF(INDEX(CODIFICACION!$E$2:$E$500,MATCH("D6.24|"&amp;CC11,CODIFICACION!$F$2:$F$500,0))="sin dato","",INDEX(CODIFICACION!$E$2:$E$500,MATCH("D6.24|"&amp;CC11,CODIFICACION!$F$2:$F$500,0))),"⚠"))</f>
        <v/>
      </c>
      <c r="AY11" t="str">
        <f ca="1">IF(CD11="","",IFERROR(IF(INDEX(CODIFICACION!$E$2:$E$500,MATCH("D6.25|"&amp;CD11,CODIFICACION!$F$2:$F$500,0))="sin dato","",INDEX(CODIFICACION!$E$2:$E$500,MATCH("D6.25|"&amp;CD11,CODIFICACION!$F$2:$F$500,0))),"⚠"))</f>
        <v/>
      </c>
      <c r="AZ11" t="str">
        <f>IF(CE11="","",IFERROR(IF(INDEX(CODIFICACION!$E$2:$E$500,MATCH("D6.25a|"&amp;CE11,CODIFICACION!$F$2:$F$500,0))="sin dato","",INDEX(CODIFICACION!$E$2:$E$500,MATCH("D6.25a|"&amp;CE11,CODIFICACION!$F$2:$F$500,0))),"⚠"))</f>
        <v/>
      </c>
      <c r="BA11" t="str">
        <f>IF(CF11="","",IFERROR(IF(INDEX(CODIFICACION!$E$2:$E$500,MATCH("D6.25b|"&amp;CF11,CODIFICACION!$F$2:$F$500,0))="sin dato","",INDEX(CODIFICACION!$E$2:$E$500,MATCH("D6.25b|"&amp;CF11,CODIFICACION!$F$2:$F$500,0))),"⚠"))</f>
        <v/>
      </c>
      <c r="BB11" t="str">
        <f ca="1">IF(CG11="","",IFERROR(IF(INDEX(CODIFICACION!$E$2:$E$500,MATCH("D6.22c|"&amp;CG11,CODIFICACION!$F$2:$F$500,0))="sin dato","",INDEX(CODIFICACION!$E$2:$E$500,MATCH("D6.22c|"&amp;CG11,CODIFICACION!$F$2:$F$500,0))),"⚠"))</f>
        <v/>
      </c>
      <c r="BC11" t="str">
        <f ca="1">IF(CH11="","",IFERROR(IF(INDEX(CODIFICACION!$E$2:$E$500,MATCH("D7.26|"&amp;CH11,CODIFICACION!$F$2:$F$500,0))="sin dato","",INDEX(CODIFICACION!$E$2:$E$500,MATCH("D7.26|"&amp;CH11,CODIFICACION!$F$2:$F$500,0))),"⚠"))</f>
        <v/>
      </c>
      <c r="BD11" t="str">
        <f>IF(CI11="","",IFERROR(IF(INDEX(CODIFICACION!$E$2:$E$500,MATCH("D7.27|"&amp;CI11,CODIFICACION!$F$2:$F$500,0))="sin dato","",INDEX(CODIFICACION!$E$2:$E$500,MATCH("D7.27|"&amp;CI11,CODIFICACION!$F$2:$F$500,0))),"⚠"))</f>
        <v/>
      </c>
      <c r="BE11" t="str">
        <f>IF(CJ11="","",IFERROR(IF(INDEX(CODIFICACION!$E$2:$E$500,MATCH("D7.28|"&amp;CJ11,CODIFICACION!$F$2:$F$500,0))="sin dato","",INDEX(CODIFICACION!$E$2:$E$500,MATCH("D7.28|"&amp;CJ11,CODIFICACION!$F$2:$F$500,0))),"⚠"))</f>
        <v/>
      </c>
      <c r="BF11" t="str">
        <f>IF(CK11="","",IFERROR(IF(INDEX(CODIFICACION!$E$2:$E$500,MATCH("D7.28b|"&amp;CK11,CODIFICACION!$F$2:$F$500,0))="sin dato","",INDEX(CODIFICACION!$E$2:$E$500,MATCH("D7.28b|"&amp;CK11,CODIFICACION!$F$2:$F$500,0))),"⚠"))</f>
        <v/>
      </c>
      <c r="BG11" t="str">
        <f t="shared" si="10"/>
        <v/>
      </c>
      <c r="BH11" t="str">
        <f>IF(CM11="","",IFERROR(IF(INDEX(CODIFICACION!$E$2:$E$500,MATCH("D7.26a|"&amp;CM11,CODIFICACION!$F$2:$F$500,0))="sin dato","",INDEX(CODIFICACION!$E$2:$E$500,MATCH("D7.26a|"&amp;CM11,CODIFICACION!$F$2:$F$500,0))),"⚠"))</f>
        <v/>
      </c>
      <c r="BI11" t="str">
        <f>IF(CN11="","",IFERROR(IF(INDEX(CODIFICACION!$E$2:$E$500,MATCH("D7.26b|"&amp;CN11,CODIFICACION!$F$2:$F$500,0))="sin dato","",INDEX(CODIFICACION!$E$2:$E$500,MATCH("D7.26b|"&amp;CN11,CODIFICACION!$F$2:$F$500,0))),"⚠"))</f>
        <v/>
      </c>
      <c r="BJ11" t="str">
        <f t="shared" si="11"/>
        <v/>
      </c>
      <c r="BK11" t="str">
        <f t="shared" si="12"/>
        <v/>
      </c>
      <c r="BL11" t="str">
        <f>IF(CQ11="","",IFERROR(IF(INDEX(CODIFICACION!$E$2:$E$500,MATCH("D8.31|"&amp;CQ11,CODIFICACION!$F$2:$F$500,0))="sin dato","",INDEX(CODIFICACION!$E$2:$E$500,MATCH("D8.31|"&amp;CQ11,CODIFICACION!$F$2:$F$500,0))),"⚠"))</f>
        <v/>
      </c>
      <c r="BM11" t="str">
        <f>IF(CR11="","",IFERROR(IF(INDEX(CODIFICACION!$E$2:$E$500,MATCH("D8.32|"&amp;CR11,CODIFICACION!$F$2:$F$500,0))="sin dato","",INDEX(CODIFICACION!$E$2:$E$500,MATCH("D8.32|"&amp;CR11,CODIFICACION!$F$2:$F$500,0))),"⚠"))</f>
        <v/>
      </c>
      <c r="BN11" t="str">
        <f>IF(CS11="","",IFERROR(IF(INDEX(CODIFICACION!$E$2:$E$500,MATCH("D9.33|"&amp;CS11,CODIFICACION!$F$2:$F$500,0))="sin dato","",INDEX(CODIFICACION!$E$2:$E$500,MATCH("D9.33|"&amp;CS11,CODIFICACION!$F$2:$F$500,0))),"⚠"))</f>
        <v/>
      </c>
      <c r="BO11" t="str">
        <f>IF(CT11="","",IFERROR(IF(INDEX(CODIFICACION!$E$2:$E$500,MATCH("D9.34|"&amp;CT11,CODIFICACION!$F$2:$F$500,0))="sin dato","",INDEX(CODIFICACION!$E$2:$E$500,MATCH("D9.34|"&amp;CT11,CODIFICACION!$F$2:$F$500,0))),"⚠"))</f>
        <v/>
      </c>
      <c r="BP11" t="str">
        <f>IF(CU11="","",IFERROR(IF(INDEX(CODIFICACION!$E$2:$E$500,MATCH("D9.35|"&amp;CU11,CODIFICACION!$F$2:$F$500,0))="sin dato","",INDEX(CODIFICACION!$E$2:$E$500,MATCH("D9.35|"&amp;CU11,CODIFICACION!$F$2:$F$500,0))),"⚠"))</f>
        <v/>
      </c>
      <c r="BQ11" t="str">
        <f>IF(CV11="","",IFERROR(IF(INDEX(CODIFICACION!$E$2:$E$500,MATCH("D10.36|"&amp;CV11,CODIFICACION!$F$2:$F$500,0))="sin dato","",INDEX(CODIFICACION!$E$2:$E$500,MATCH("D10.36|"&amp;CV11,CODIFICACION!$F$2:$F$500,0))),"⚠"))</f>
        <v/>
      </c>
      <c r="BR11" t="str">
        <f>IF(CW11="","",IFERROR(IF(INDEX(CODIFICACION!$E$2:$E$500,MATCH("D10.37|"&amp;CW11,CODIFICACION!$F$2:$F$500,0))="sin dato","",INDEX(CODIFICACION!$E$2:$E$500,MATCH("D10.37|"&amp;CW11,CODIFICACION!$F$2:$F$500,0))),"⚠"))</f>
        <v/>
      </c>
      <c r="BS11" t="str">
        <f>IF(CX11="","",IFERROR(IF(INDEX(CODIFICACION!$E$2:$E$500,MATCH("D10.36a|"&amp;CX11,CODIFICACION!$F$2:$F$500,0))="sin dato","",INDEX(CODIFICACION!$E$2:$E$500,MATCH("D10.36a|"&amp;CX11,CODIFICACION!$F$2:$F$500,0))),"⚠"))</f>
        <v/>
      </c>
      <c r="BT11" t="str">
        <f t="shared" si="13"/>
        <v/>
      </c>
      <c r="BU11" t="str">
        <f>IF(DA11="","",IFERROR(IF(INDEX(CODIFICACION!$E$2:$E$500,MATCH("D11.39a|"&amp;DA11,CODIFICACION!$F$2:$F$500,0))="sin dato","",INDEX(CODIFICACION!$E$2:$E$500,MATCH("D11.39a|"&amp;DA11,CODIFICACION!$F$2:$F$500,0))),"⚠"))</f>
        <v/>
      </c>
      <c r="BV11" t="str">
        <f>IF(DB11="","",IFERROR(IF(INDEX(CODIFICACION!$E$2:$E$500,MATCH("D12.42|"&amp;DB11,CODIFICACION!$F$2:$F$500,0))="sin dato","",INDEX(CODIFICACION!$E$2:$E$500,MATCH("D12.42|"&amp;DB11,CODIFICACION!$F$2:$F$500,0))),"⚠"))</f>
        <v/>
      </c>
      <c r="BW11" t="str">
        <f>IF(DC11="","",IFERROR(IF(INDEX(CODIFICACION!$E$2:$E$500,MATCH("D13.45|"&amp;DC11,CODIFICACION!$F$2:$F$500,0))="sin dato","",INDEX(CODIFICACION!$E$2:$E$500,MATCH("D13.45|"&amp;DC11,CODIFICACION!$F$2:$F$500,0))),"⚠"))</f>
        <v/>
      </c>
      <c r="BX11" t="str">
        <f>IF(DD11="","",IFERROR(IF(INDEX(CODIFICACION!$E$2:$E$500,MATCH("D14.51|"&amp;DD11,CODIFICACION!$F$2:$F$500,0))="sin dato","",INDEX(CODIFICACION!$E$2:$E$500,MATCH("D14.51|"&amp;DD11,CODIFICACION!$F$2:$F$500,0))),"⚠"))</f>
        <v/>
      </c>
      <c r="BY11" t="str">
        <f>IF(DE11="","",IFERROR(IF(INDEX(CODIFICACION!$E$2:$E$500,MATCH("D15.58|"&amp;DE11,CODIFICACION!$F$2:$F$500,0))="sin dato","",INDEX(CODIFICACION!$E$2:$E$500,MATCH("D15.58|"&amp;DE11,CODIFICACION!$F$2:$F$500,0))),"⚠"))</f>
        <v/>
      </c>
      <c r="BZ11" t="str">
        <f>IF(DF11="","",IFERROR(IF(INDEX(CODIFICACION!$E$2:$E$500,MATCH("PP1|"&amp;DF11,CODIFICACION!$F$2:$F$500,0))="sin dato","",INDEX(CODIFICACION!$E$2:$E$500,MATCH("PP1|"&amp;DF11,CODIFICACION!$F$2:$F$500,0))),"⚠"))</f>
        <v/>
      </c>
      <c r="CA11" t="str">
        <f>IF(DG11="","",IFERROR(IF(INDEX(CODIFICACION!$E$2:$E$500,MATCH("PP2|"&amp;DG11,CODIFICACION!$F$2:$F$500,0))="sin dato","",INDEX(CODIFICACION!$E$2:$E$500,MATCH("PP2|"&amp;DG11,CODIFICACION!$F$2:$F$500,0))),"⚠"))</f>
        <v/>
      </c>
      <c r="CB11" t="str">
        <f t="shared" si="14"/>
        <v/>
      </c>
      <c r="CC11" t="str">
        <f t="shared" ca="1" si="15"/>
        <v/>
      </c>
      <c r="CD11" t="str">
        <f t="shared" ca="1" si="16"/>
        <v/>
      </c>
      <c r="CE11" t="str">
        <f t="shared" si="17"/>
        <v/>
      </c>
      <c r="CF11" t="str">
        <f t="shared" si="18"/>
        <v/>
      </c>
      <c r="CG11" t="str">
        <f t="shared" ca="1" si="19"/>
        <v/>
      </c>
      <c r="CH11" t="str">
        <f t="shared" ca="1" si="20"/>
        <v/>
      </c>
      <c r="CI11" t="str">
        <f t="shared" si="21"/>
        <v/>
      </c>
      <c r="CJ11" t="str">
        <f t="shared" si="22"/>
        <v/>
      </c>
      <c r="CK11" t="str">
        <f t="shared" si="23"/>
        <v/>
      </c>
      <c r="CL11" t="str">
        <f t="shared" si="24"/>
        <v/>
      </c>
    </row>
    <row r="12" spans="1:90" x14ac:dyDescent="0.3">
      <c r="A12">
        <f>CAPTURA!A12</f>
        <v>20136201213</v>
      </c>
      <c r="B12">
        <f>CAPTURA!C12</f>
        <v>0</v>
      </c>
      <c r="C12" t="str">
        <f t="shared" si="0"/>
        <v/>
      </c>
      <c r="D12" t="str">
        <f>IF(AE12="","",IFERROR(IF(INDEX(CODIFICACION!$E$2:$E$500,MATCH("P8|"&amp;AE12,CODIFICACION!$F$2:$F$500,0))="sin dato","",INDEX(CODIFICACION!$E$2:$E$500,MATCH("P8|"&amp;AE12,CODIFICACION!$F$2:$F$500,0))),"⚠"))</f>
        <v/>
      </c>
      <c r="E12" t="str">
        <f>IF(AG12="","",IFERROR(IF(INDEX(CODIFICACION!$E$2:$E$500,MATCH("P10|"&amp;AG12,CODIFICACION!$F$2:$F$500,0))="sin dato","",INDEX(CODIFICACION!$E$2:$E$500,MATCH("P10|"&amp;AG12,CODIFICACION!$F$2:$F$500,0))),"⚠"))</f>
        <v/>
      </c>
      <c r="F12" t="str">
        <f>IF(AJ12="","",IFERROR(IF(INDEX(CODIFICACION!$E$2:$E$500,MATCH("P13|"&amp;AJ12,CODIFICACION!$F$2:$F$500,0))="sin dato","",INDEX(CODIFICACION!$E$2:$E$500,MATCH("P13|"&amp;AJ12,CODIFICACION!$F$2:$F$500,0))),"⚠"))</f>
        <v/>
      </c>
      <c r="G12" t="str">
        <f>IF(AK12="","",IFERROR(IF(INDEX(CODIFICACION!$E$2:$E$500,MATCH("P14|"&amp;AK12,CODIFICACION!$F$2:$F$500,0))="sin dato","",INDEX(CODIFICACION!$E$2:$E$500,MATCH("P14|"&amp;AK12,CODIFICACION!$F$2:$F$500,0))),"⚠"))</f>
        <v/>
      </c>
      <c r="H12" t="str">
        <f>IF(AL12="","",IFERROR(IF(INDEX(CODIFICACION!$E$2:$E$500,MATCH("D1.1|"&amp;AL12,CODIFICACION!$F$2:$F$500,0))="sin dato","",INDEX(CODIFICACION!$E$2:$E$500,MATCH("D1.1|"&amp;AL12,CODIFICACION!$F$2:$F$500,0))),"⚠"))</f>
        <v/>
      </c>
      <c r="I12" t="str">
        <f>IF(AN12="","",IFERROR(IF(INDEX(CODIFICACION!$E$2:$E$500,MATCH("D1.3|"&amp;AN12,CODIFICACION!$F$2:$F$500,0))="sin dato","",INDEX(CODIFICACION!$E$2:$E$500,MATCH("D1.3|"&amp;AN12,CODIFICACION!$F$2:$F$500,0))),"⚠"))</f>
        <v/>
      </c>
      <c r="J12" t="str">
        <f>IF(AO12="","",IFERROR(IF(INDEX(CODIFICACION!$E$2:$E$500,MATCH("D1.4|"&amp;AO12,CODIFICACION!$F$2:$F$500,0))="sin dato","",INDEX(CODIFICACION!$E$2:$E$500,MATCH("D1.4|"&amp;AO12,CODIFICACION!$F$2:$F$500,0))),"⚠"))</f>
        <v/>
      </c>
      <c r="K12" t="str">
        <f>IF(AP12="","",IFERROR(IF(INDEX(CODIFICACION!$E$2:$E$500,MATCH("D1.3a|"&amp;AP12,CODIFICACION!$F$2:$F$500,0))="sin dato","",INDEX(CODIFICACION!$E$2:$E$500,MATCH("D1.3a|"&amp;AP12,CODIFICACION!$F$2:$F$500,0))),"⚠"))</f>
        <v/>
      </c>
      <c r="L12" t="str">
        <f t="shared" si="1"/>
        <v/>
      </c>
      <c r="M12" t="str">
        <f t="shared" si="2"/>
        <v/>
      </c>
      <c r="N12" t="str">
        <f t="shared" si="3"/>
        <v/>
      </c>
      <c r="O12" t="str">
        <f>IF(AT12="","",IFERROR(IF(INDEX(CODIFICACION!$E$2:$E$500,MATCH("D2.8|"&amp;AT12,CODIFICACION!$F$2:$F$500,0))="sin dato","",INDEX(CODIFICACION!$E$2:$E$500,MATCH("D2.8|"&amp;AT12,CODIFICACION!$F$2:$F$500,0))),"⚠"))</f>
        <v/>
      </c>
      <c r="P12" t="str">
        <f>IF(AU12="","",IFERROR(IF(INDEX(CODIFICACION!$E$2:$E$500,MATCH("D2.9|"&amp;AU12,CODIFICACION!$F$2:$F$500,0))="sin dato","",INDEX(CODIFICACION!$E$2:$E$500,MATCH("D2.9|"&amp;AU12,CODIFICACION!$F$2:$F$500,0))),"⚠"))</f>
        <v/>
      </c>
      <c r="Q12" t="str">
        <f>IF(AV12="","",IFERROR(IF(INDEX(CODIFICACION!$E$2:$E$500,MATCH("D2.10|"&amp;AV12,CODIFICACION!$F$2:$F$500,0))="sin dato","",INDEX(CODIFICACION!$E$2:$E$500,MATCH("D2.10|"&amp;AV12,CODIFICACION!$F$2:$F$500,0))),"⚠"))</f>
        <v/>
      </c>
      <c r="R12" t="str">
        <f>IF(AW12="","",IFERROR(IF(INDEX(CODIFICACION!$E$2:$E$500,MATCH("D2.5a|"&amp;AW12,CODIFICACION!$F$2:$F$500,0))="sin dato","",INDEX(CODIFICACION!$E$2:$E$500,MATCH("D2.5a|"&amp;AW12,CODIFICACION!$F$2:$F$500,0))),"⚠"))</f>
        <v/>
      </c>
      <c r="S12" t="str">
        <f ca="1">IF(AX12="","",IFERROR(IF(INDEX(CODIFICACION!$E$2:$E$500,MATCH("D2.5b|"&amp;AX12,CODIFICACION!$F$2:$F$500,0))="sin dato","",INDEX(CODIFICACION!$E$2:$E$500,MATCH("D2.5b|"&amp;AX12,CODIFICACION!$F$2:$F$500,0))),"⚠"))</f>
        <v/>
      </c>
      <c r="T12" t="str">
        <f t="shared" ca="1" si="4"/>
        <v/>
      </c>
      <c r="U12" t="str">
        <f>IF(AZ12="","",IFERROR(IF(INDEX(CODIFICACION!$E$2:$E$500,MATCH("D3.12|"&amp;AZ12,CODIFICACION!$F$2:$F$500,0))="sin dato","",INDEX(CODIFICACION!$E$2:$E$500,MATCH("D3.12|"&amp;AZ12,CODIFICACION!$F$2:$F$500,0))),"⚠"))</f>
        <v/>
      </c>
      <c r="V12" t="str">
        <f t="shared" si="5"/>
        <v/>
      </c>
      <c r="W12" t="str">
        <f ca="1">IF(BB12="","",IFERROR(IF(INDEX(CODIFICACION!$E$2:$E$500,MATCH("D3.14|"&amp;BB12,CODIFICACION!$F$2:$F$500,0))="sin dato","",INDEX(CODIFICACION!$E$2:$E$500,MATCH("D3.14|"&amp;BB12,CODIFICACION!$F$2:$F$500,0))),"⚠"))</f>
        <v/>
      </c>
      <c r="X12" t="str">
        <f ca="1">IF(BC12="","",IFERROR(IF(INDEX(CODIFICACION!$E$2:$E$500,MATCH("D3.14a|"&amp;BC12,CODIFICACION!$F$2:$F$500,0))="sin dato","",INDEX(CODIFICACION!$E$2:$E$500,MATCH("D3.14a|"&amp;BC12,CODIFICACION!$F$2:$F$500,0))),"⚠"))</f>
        <v/>
      </c>
      <c r="Y12" t="str">
        <f>IF(BD12="","",IFERROR(IF(INDEX(CODIFICACION!$E$2:$E$500,MATCH("D3.14b|"&amp;BD12,CODIFICACION!$F$2:$F$500,0))="sin dato","",INDEX(CODIFICACION!$E$2:$E$500,MATCH("D3.14b|"&amp;BD12,CODIFICACION!$F$2:$F$500,0))),"⚠"))</f>
        <v/>
      </c>
      <c r="Z12" t="str">
        <f>IF(BE12="","",IFERROR(IF(INDEX(CODIFICACION!$E$2:$E$500,MATCH("D3.14c|"&amp;BE12,CODIFICACION!$F$2:$F$500,0))="sin dato","",INDEX(CODIFICACION!$E$2:$E$500,MATCH("D3.14c|"&amp;BE12,CODIFICACION!$F$2:$F$500,0))),"⚠"))</f>
        <v/>
      </c>
      <c r="AA12" t="str">
        <f>IF(BF12="","",IFERROR(IF(INDEX(CODIFICACION!$E$2:$E$500,MATCH("D3.14d|"&amp;BF12,CODIFICACION!$F$2:$F$500,0))="sin dato","",INDEX(CODIFICACION!$E$2:$E$500,MATCH("D3.14d|"&amp;BF12,CODIFICACION!$F$2:$F$500,0))),"⚠"))</f>
        <v/>
      </c>
      <c r="AB12" t="str">
        <f>IF(BG12="","",IFERROR(IF(INDEX(CODIFICACION!$E$2:$E$500,MATCH("D3.14e|"&amp;BG12,CODIFICACION!$F$2:$F$500,0))="sin dato","",INDEX(CODIFICACION!$E$2:$E$500,MATCH("D3.14e|"&amp;BG12,CODIFICACION!$F$2:$F$500,0))),"⚠"))</f>
        <v/>
      </c>
      <c r="AC12" t="str">
        <f>IF(BH12="","",IFERROR(IF(INDEX(CODIFICACION!$E$2:$E$500,MATCH("D3.14f|"&amp;BH12,CODIFICACION!$F$2:$F$500,0))="sin dato","",INDEX(CODIFICACION!$E$2:$E$500,MATCH("D3.14f|"&amp;BH12,CODIFICACION!$F$2:$F$500,0))),"⚠"))</f>
        <v/>
      </c>
      <c r="AD12" t="str">
        <f>IF(BI12="","",IFERROR(IF(INDEX(CODIFICACION!$E$2:$E$500,MATCH("D3.14g|"&amp;BI12,CODIFICACION!$F$2:$F$500,0))="sin dato","",INDEX(CODIFICACION!$E$2:$E$500,MATCH("D3.14g|"&amp;BI12,CODIFICACION!$F$2:$F$500,0))),"⚠"))</f>
        <v/>
      </c>
      <c r="AE12" t="str">
        <f>IF(BJ12="","",IFERROR(IF(INDEX(CODIFICACION!$E$2:$E$500,MATCH("D3.14h|"&amp;BJ12,CODIFICACION!$F$2:$F$500,0))="sin dato","",INDEX(CODIFICACION!$E$2:$E$500,MATCH("D3.14h|"&amp;BJ12,CODIFICACION!$F$2:$F$500,0))),"⚠"))</f>
        <v/>
      </c>
      <c r="AF12" t="str">
        <f>IF(BK12="","",IFERROR(IF(INDEX(CODIFICACION!$E$2:$E$500,MATCH("D3.14i|"&amp;BK12,CODIFICACION!$F$2:$F$500,0))="sin dato","",INDEX(CODIFICACION!$E$2:$E$500,MATCH("D3.14i|"&amp;BK12,CODIFICACION!$F$2:$F$500,0))),"⚠"))</f>
        <v/>
      </c>
      <c r="AG12" t="str">
        <f>IF(BL12="","",IFERROR(IF(INDEX(CODIFICACION!$E$2:$E$500,MATCH("D4.15|"&amp;BL12,CODIFICACION!$F$2:$F$500,0))="sin dato","",INDEX(CODIFICACION!$E$2:$E$500,MATCH("D4.15|"&amp;BL12,CODIFICACION!$F$2:$F$500,0))),"⚠"))</f>
        <v/>
      </c>
      <c r="AH12" t="str">
        <f t="shared" si="6"/>
        <v/>
      </c>
      <c r="AI12" t="str">
        <f>IF(BN12="","",IFERROR(IF(INDEX(CODIFICACION!$E$2:$E$500,MATCH("D4.17|"&amp;BN12,CODIFICACION!$F$2:$F$500,0))="sin dato","",INDEX(CODIFICACION!$E$2:$E$500,MATCH("D4.17|"&amp;BN12,CODIFICACION!$F$2:$F$500,0))),"⚠"))</f>
        <v/>
      </c>
      <c r="AJ12" t="str">
        <f>IF(BO12="","",IFERROR(IF(INDEX(CODIFICACION!$E$2:$E$500,MATCH("D4.15a|"&amp;BO12,CODIFICACION!$F$2:$F$500,0))="sin dato","",INDEX(CODIFICACION!$E$2:$E$500,MATCH("D4.15a|"&amp;BO12,CODIFICACION!$F$2:$F$500,0))),"⚠"))</f>
        <v/>
      </c>
      <c r="AK12" t="str">
        <f t="shared" si="7"/>
        <v/>
      </c>
      <c r="AL12" t="str">
        <f t="shared" si="8"/>
        <v/>
      </c>
      <c r="AM12" t="str">
        <f>IF(BR12="","",IFERROR(IF(INDEX(CODIFICACION!$E$2:$E$500,MATCH("D5.18b|"&amp;BR12,CODIFICACION!$F$2:$F$500,0))="sin dato","",INDEX(CODIFICACION!$E$2:$E$500,MATCH("D5.18b|"&amp;BR12,CODIFICACION!$F$2:$F$500,0))),"⚠"))</f>
        <v/>
      </c>
      <c r="AN12" t="str">
        <f>IF(BS12="","",IFERROR(IF(INDEX(CODIFICACION!$E$2:$E$500,MATCH("D5.19|"&amp;BS12,CODIFICACION!$F$2:$F$500,0))="sin dato","",INDEX(CODIFICACION!$E$2:$E$500,MATCH("D5.19|"&amp;BS12,CODIFICACION!$F$2:$F$500,0))),"⚠"))</f>
        <v/>
      </c>
      <c r="AO12" t="str">
        <f t="shared" si="9"/>
        <v/>
      </c>
      <c r="AP12" t="str">
        <f>IF(BU12="","",IFERROR(IF(INDEX(CODIFICACION!$E$2:$E$500,MATCH("D5.20|"&amp;BU12,CODIFICACION!$F$2:$F$500,0))="sin dato","",INDEX(CODIFICACION!$E$2:$E$500,MATCH("D5.20|"&amp;BU12,CODIFICACION!$F$2:$F$500,0))),"⚠"))</f>
        <v/>
      </c>
      <c r="AQ12" t="str">
        <f>IF(BV12="","",IFERROR(IF(INDEX(CODIFICACION!$E$2:$E$500,MATCH("D5.21|"&amp;BV12,CODIFICACION!$F$2:$F$500,0))="sin dato","",INDEX(CODIFICACION!$E$2:$E$500,MATCH("D5.21|"&amp;BV12,CODIFICACION!$F$2:$F$500,0))),"⚠"))</f>
        <v/>
      </c>
      <c r="AR12" t="str">
        <f>IF(BW12="","",IFERROR(IF(INDEX(CODIFICACION!$E$2:$E$500,MATCH("D5.21a|"&amp;BW12,CODIFICACION!$F$2:$F$500,0))="sin dato","",INDEX(CODIFICACION!$E$2:$E$500,MATCH("D5.21a|"&amp;BW12,CODIFICACION!$F$2:$F$500,0))),"⚠"))</f>
        <v/>
      </c>
      <c r="AS12" t="str">
        <f>IF(BX12="","",IFERROR(IF(INDEX(CODIFICACION!$E$2:$E$500,MATCH("D5.21b|"&amp;BX12,CODIFICACION!$F$2:$F$500,0))="sin dato","",INDEX(CODIFICACION!$E$2:$E$500,MATCH("D5.21b|"&amp;BX12,CODIFICACION!$F$2:$F$500,0))),"⚠"))</f>
        <v/>
      </c>
      <c r="AT12" t="str">
        <f>IF(BY12="","",IFERROR(IF(INDEX(CODIFICACION!$E$2:$E$500,MATCH("D6.22|"&amp;BY12,CODIFICACION!$F$2:$F$500,0))="sin dato","",INDEX(CODIFICACION!$E$2:$E$500,MATCH("D6.22|"&amp;BY12,CODIFICACION!$F$2:$F$500,0))),"⚠"))</f>
        <v/>
      </c>
      <c r="AU12" t="str">
        <f>IF(BZ12="","",IFERROR(IF(INDEX(CODIFICACION!$E$2:$E$500,MATCH("D6.22a|"&amp;BZ12,CODIFICACION!$F$2:$F$500,0))="sin dato","",INDEX(CODIFICACION!$E$2:$E$500,MATCH("D6.22a|"&amp;BZ12,CODIFICACION!$F$2:$F$500,0))),"⚠"))</f>
        <v/>
      </c>
      <c r="AV12" t="str">
        <f>IF(CA12="","",IFERROR(IF(INDEX(CODIFICACION!$E$2:$E$500,MATCH("D6.22b|"&amp;CA12,CODIFICACION!$F$2:$F$500,0))="sin dato","",INDEX(CODIFICACION!$E$2:$E$500,MATCH("D6.22b|"&amp;CA12,CODIFICACION!$F$2:$F$500,0))),"⚠"))</f>
        <v/>
      </c>
      <c r="AW12" t="str">
        <f>IF(CB12="","",IFERROR(IF(INDEX(CODIFICACION!$E$2:$E$500,MATCH("D6.23|"&amp;CB12,CODIFICACION!$F$2:$F$500,0))="sin dato","",INDEX(CODIFICACION!$E$2:$E$500,MATCH("D6.23|"&amp;CB12,CODIFICACION!$F$2:$F$500,0))),"⚠"))</f>
        <v/>
      </c>
      <c r="AX12" t="str">
        <f ca="1">IF(CC12="","",IFERROR(IF(INDEX(CODIFICACION!$E$2:$E$500,MATCH("D6.24|"&amp;CC12,CODIFICACION!$F$2:$F$500,0))="sin dato","",INDEX(CODIFICACION!$E$2:$E$500,MATCH("D6.24|"&amp;CC12,CODIFICACION!$F$2:$F$500,0))),"⚠"))</f>
        <v/>
      </c>
      <c r="AY12" t="str">
        <f ca="1">IF(CD12="","",IFERROR(IF(INDEX(CODIFICACION!$E$2:$E$500,MATCH("D6.25|"&amp;CD12,CODIFICACION!$F$2:$F$500,0))="sin dato","",INDEX(CODIFICACION!$E$2:$E$500,MATCH("D6.25|"&amp;CD12,CODIFICACION!$F$2:$F$500,0))),"⚠"))</f>
        <v/>
      </c>
      <c r="AZ12" t="str">
        <f>IF(CE12="","",IFERROR(IF(INDEX(CODIFICACION!$E$2:$E$500,MATCH("D6.25a|"&amp;CE12,CODIFICACION!$F$2:$F$500,0))="sin dato","",INDEX(CODIFICACION!$E$2:$E$500,MATCH("D6.25a|"&amp;CE12,CODIFICACION!$F$2:$F$500,0))),"⚠"))</f>
        <v/>
      </c>
      <c r="BA12" t="str">
        <f>IF(CF12="","",IFERROR(IF(INDEX(CODIFICACION!$E$2:$E$500,MATCH("D6.25b|"&amp;CF12,CODIFICACION!$F$2:$F$500,0))="sin dato","",INDEX(CODIFICACION!$E$2:$E$500,MATCH("D6.25b|"&amp;CF12,CODIFICACION!$F$2:$F$500,0))),"⚠"))</f>
        <v/>
      </c>
      <c r="BB12" t="str">
        <f ca="1">IF(CG12="","",IFERROR(IF(INDEX(CODIFICACION!$E$2:$E$500,MATCH("D6.22c|"&amp;CG12,CODIFICACION!$F$2:$F$500,0))="sin dato","",INDEX(CODIFICACION!$E$2:$E$500,MATCH("D6.22c|"&amp;CG12,CODIFICACION!$F$2:$F$500,0))),"⚠"))</f>
        <v/>
      </c>
      <c r="BC12" t="str">
        <f ca="1">IF(CH12="","",IFERROR(IF(INDEX(CODIFICACION!$E$2:$E$500,MATCH("D7.26|"&amp;CH12,CODIFICACION!$F$2:$F$500,0))="sin dato","",INDEX(CODIFICACION!$E$2:$E$500,MATCH("D7.26|"&amp;CH12,CODIFICACION!$F$2:$F$500,0))),"⚠"))</f>
        <v/>
      </c>
      <c r="BD12" t="str">
        <f>IF(CI12="","",IFERROR(IF(INDEX(CODIFICACION!$E$2:$E$500,MATCH("D7.27|"&amp;CI12,CODIFICACION!$F$2:$F$500,0))="sin dato","",INDEX(CODIFICACION!$E$2:$E$500,MATCH("D7.27|"&amp;CI12,CODIFICACION!$F$2:$F$500,0))),"⚠"))</f>
        <v/>
      </c>
      <c r="BE12" t="str">
        <f>IF(CJ12="","",IFERROR(IF(INDEX(CODIFICACION!$E$2:$E$500,MATCH("D7.28|"&amp;CJ12,CODIFICACION!$F$2:$F$500,0))="sin dato","",INDEX(CODIFICACION!$E$2:$E$500,MATCH("D7.28|"&amp;CJ12,CODIFICACION!$F$2:$F$500,0))),"⚠"))</f>
        <v/>
      </c>
      <c r="BF12" t="str">
        <f>IF(CK12="","",IFERROR(IF(INDEX(CODIFICACION!$E$2:$E$500,MATCH("D7.28b|"&amp;CK12,CODIFICACION!$F$2:$F$500,0))="sin dato","",INDEX(CODIFICACION!$E$2:$E$500,MATCH("D7.28b|"&amp;CK12,CODIFICACION!$F$2:$F$500,0))),"⚠"))</f>
        <v/>
      </c>
      <c r="BG12" t="str">
        <f t="shared" si="10"/>
        <v/>
      </c>
      <c r="BH12" t="str">
        <f>IF(CM12="","",IFERROR(IF(INDEX(CODIFICACION!$E$2:$E$500,MATCH("D7.26a|"&amp;CM12,CODIFICACION!$F$2:$F$500,0))="sin dato","",INDEX(CODIFICACION!$E$2:$E$500,MATCH("D7.26a|"&amp;CM12,CODIFICACION!$F$2:$F$500,0))),"⚠"))</f>
        <v/>
      </c>
      <c r="BI12" t="str">
        <f>IF(CN12="","",IFERROR(IF(INDEX(CODIFICACION!$E$2:$E$500,MATCH("D7.26b|"&amp;CN12,CODIFICACION!$F$2:$F$500,0))="sin dato","",INDEX(CODIFICACION!$E$2:$E$500,MATCH("D7.26b|"&amp;CN12,CODIFICACION!$F$2:$F$500,0))),"⚠"))</f>
        <v/>
      </c>
      <c r="BJ12" t="str">
        <f t="shared" si="11"/>
        <v/>
      </c>
      <c r="BK12" t="str">
        <f t="shared" si="12"/>
        <v/>
      </c>
      <c r="BL12" t="str">
        <f>IF(CQ12="","",IFERROR(IF(INDEX(CODIFICACION!$E$2:$E$500,MATCH("D8.31|"&amp;CQ12,CODIFICACION!$F$2:$F$500,0))="sin dato","",INDEX(CODIFICACION!$E$2:$E$500,MATCH("D8.31|"&amp;CQ12,CODIFICACION!$F$2:$F$500,0))),"⚠"))</f>
        <v/>
      </c>
      <c r="BM12" t="str">
        <f>IF(CR12="","",IFERROR(IF(INDEX(CODIFICACION!$E$2:$E$500,MATCH("D8.32|"&amp;CR12,CODIFICACION!$F$2:$F$500,0))="sin dato","",INDEX(CODIFICACION!$E$2:$E$500,MATCH("D8.32|"&amp;CR12,CODIFICACION!$F$2:$F$500,0))),"⚠"))</f>
        <v/>
      </c>
      <c r="BN12" t="str">
        <f>IF(CS12="","",IFERROR(IF(INDEX(CODIFICACION!$E$2:$E$500,MATCH("D9.33|"&amp;CS12,CODIFICACION!$F$2:$F$500,0))="sin dato","",INDEX(CODIFICACION!$E$2:$E$500,MATCH("D9.33|"&amp;CS12,CODIFICACION!$F$2:$F$500,0))),"⚠"))</f>
        <v/>
      </c>
      <c r="BO12" t="str">
        <f>IF(CT12="","",IFERROR(IF(INDEX(CODIFICACION!$E$2:$E$500,MATCH("D9.34|"&amp;CT12,CODIFICACION!$F$2:$F$500,0))="sin dato","",INDEX(CODIFICACION!$E$2:$E$500,MATCH("D9.34|"&amp;CT12,CODIFICACION!$F$2:$F$500,0))),"⚠"))</f>
        <v/>
      </c>
      <c r="BP12" t="str">
        <f>IF(CU12="","",IFERROR(IF(INDEX(CODIFICACION!$E$2:$E$500,MATCH("D9.35|"&amp;CU12,CODIFICACION!$F$2:$F$500,0))="sin dato","",INDEX(CODIFICACION!$E$2:$E$500,MATCH("D9.35|"&amp;CU12,CODIFICACION!$F$2:$F$500,0))),"⚠"))</f>
        <v/>
      </c>
      <c r="BQ12" t="str">
        <f>IF(CV12="","",IFERROR(IF(INDEX(CODIFICACION!$E$2:$E$500,MATCH("D10.36|"&amp;CV12,CODIFICACION!$F$2:$F$500,0))="sin dato","",INDEX(CODIFICACION!$E$2:$E$500,MATCH("D10.36|"&amp;CV12,CODIFICACION!$F$2:$F$500,0))),"⚠"))</f>
        <v/>
      </c>
      <c r="BR12" t="str">
        <f>IF(CW12="","",IFERROR(IF(INDEX(CODIFICACION!$E$2:$E$500,MATCH("D10.37|"&amp;CW12,CODIFICACION!$F$2:$F$500,0))="sin dato","",INDEX(CODIFICACION!$E$2:$E$500,MATCH("D10.37|"&amp;CW12,CODIFICACION!$F$2:$F$500,0))),"⚠"))</f>
        <v/>
      </c>
      <c r="BS12" t="str">
        <f>IF(CX12="","",IFERROR(IF(INDEX(CODIFICACION!$E$2:$E$500,MATCH("D10.36a|"&amp;CX12,CODIFICACION!$F$2:$F$500,0))="sin dato","",INDEX(CODIFICACION!$E$2:$E$500,MATCH("D10.36a|"&amp;CX12,CODIFICACION!$F$2:$F$500,0))),"⚠"))</f>
        <v/>
      </c>
      <c r="BT12" t="str">
        <f t="shared" si="13"/>
        <v/>
      </c>
      <c r="BU12" t="str">
        <f>IF(DA12="","",IFERROR(IF(INDEX(CODIFICACION!$E$2:$E$500,MATCH("D11.39a|"&amp;DA12,CODIFICACION!$F$2:$F$500,0))="sin dato","",INDEX(CODIFICACION!$E$2:$E$500,MATCH("D11.39a|"&amp;DA12,CODIFICACION!$F$2:$F$500,0))),"⚠"))</f>
        <v/>
      </c>
      <c r="BV12" t="str">
        <f>IF(DB12="","",IFERROR(IF(INDEX(CODIFICACION!$E$2:$E$500,MATCH("D12.42|"&amp;DB12,CODIFICACION!$F$2:$F$500,0))="sin dato","",INDEX(CODIFICACION!$E$2:$E$500,MATCH("D12.42|"&amp;DB12,CODIFICACION!$F$2:$F$500,0))),"⚠"))</f>
        <v/>
      </c>
      <c r="BW12" t="str">
        <f>IF(DC12="","",IFERROR(IF(INDEX(CODIFICACION!$E$2:$E$500,MATCH("D13.45|"&amp;DC12,CODIFICACION!$F$2:$F$500,0))="sin dato","",INDEX(CODIFICACION!$E$2:$E$500,MATCH("D13.45|"&amp;DC12,CODIFICACION!$F$2:$F$500,0))),"⚠"))</f>
        <v/>
      </c>
      <c r="BX12" t="str">
        <f>IF(DD12="","",IFERROR(IF(INDEX(CODIFICACION!$E$2:$E$500,MATCH("D14.51|"&amp;DD12,CODIFICACION!$F$2:$F$500,0))="sin dato","",INDEX(CODIFICACION!$E$2:$E$500,MATCH("D14.51|"&amp;DD12,CODIFICACION!$F$2:$F$500,0))),"⚠"))</f>
        <v/>
      </c>
      <c r="BY12" t="str">
        <f>IF(DE12="","",IFERROR(IF(INDEX(CODIFICACION!$E$2:$E$500,MATCH("D15.58|"&amp;DE12,CODIFICACION!$F$2:$F$500,0))="sin dato","",INDEX(CODIFICACION!$E$2:$E$500,MATCH("D15.58|"&amp;DE12,CODIFICACION!$F$2:$F$500,0))),"⚠"))</f>
        <v/>
      </c>
      <c r="BZ12" t="str">
        <f>IF(DF12="","",IFERROR(IF(INDEX(CODIFICACION!$E$2:$E$500,MATCH("PP1|"&amp;DF12,CODIFICACION!$F$2:$F$500,0))="sin dato","",INDEX(CODIFICACION!$E$2:$E$500,MATCH("PP1|"&amp;DF12,CODIFICACION!$F$2:$F$500,0))),"⚠"))</f>
        <v/>
      </c>
      <c r="CA12" t="str">
        <f>IF(DG12="","",IFERROR(IF(INDEX(CODIFICACION!$E$2:$E$500,MATCH("PP2|"&amp;DG12,CODIFICACION!$F$2:$F$500,0))="sin dato","",INDEX(CODIFICACION!$E$2:$E$500,MATCH("PP2|"&amp;DG12,CODIFICACION!$F$2:$F$500,0))),"⚠"))</f>
        <v/>
      </c>
      <c r="CB12" t="str">
        <f t="shared" si="14"/>
        <v/>
      </c>
      <c r="CC12" t="str">
        <f t="shared" ca="1" si="15"/>
        <v/>
      </c>
      <c r="CD12" t="str">
        <f t="shared" ca="1" si="16"/>
        <v/>
      </c>
      <c r="CE12" t="str">
        <f t="shared" si="17"/>
        <v/>
      </c>
      <c r="CF12" t="str">
        <f t="shared" si="18"/>
        <v/>
      </c>
      <c r="CG12" t="str">
        <f t="shared" ca="1" si="19"/>
        <v/>
      </c>
      <c r="CH12" t="str">
        <f t="shared" ca="1" si="20"/>
        <v/>
      </c>
      <c r="CI12" t="str">
        <f t="shared" si="21"/>
        <v/>
      </c>
      <c r="CJ12" t="str">
        <f t="shared" si="22"/>
        <v/>
      </c>
      <c r="CK12" t="str">
        <f t="shared" si="23"/>
        <v/>
      </c>
      <c r="CL12" t="str">
        <f t="shared" si="24"/>
        <v/>
      </c>
    </row>
    <row r="13" spans="1:90" x14ac:dyDescent="0.3">
      <c r="A13">
        <f>CAPTURA!A13</f>
        <v>20140292657</v>
      </c>
      <c r="B13">
        <f>CAPTURA!C13</f>
        <v>0</v>
      </c>
      <c r="C13" t="str">
        <f t="shared" si="0"/>
        <v/>
      </c>
      <c r="D13" t="str">
        <f>IF(AE13="","",IFERROR(IF(INDEX(CODIFICACION!$E$2:$E$500,MATCH("P8|"&amp;AE13,CODIFICACION!$F$2:$F$500,0))="sin dato","",INDEX(CODIFICACION!$E$2:$E$500,MATCH("P8|"&amp;AE13,CODIFICACION!$F$2:$F$500,0))),"⚠"))</f>
        <v/>
      </c>
      <c r="E13" t="str">
        <f>IF(AG13="","",IFERROR(IF(INDEX(CODIFICACION!$E$2:$E$500,MATCH("P10|"&amp;AG13,CODIFICACION!$F$2:$F$500,0))="sin dato","",INDEX(CODIFICACION!$E$2:$E$500,MATCH("P10|"&amp;AG13,CODIFICACION!$F$2:$F$500,0))),"⚠"))</f>
        <v/>
      </c>
      <c r="F13" t="str">
        <f>IF(AJ13="","",IFERROR(IF(INDEX(CODIFICACION!$E$2:$E$500,MATCH("P13|"&amp;AJ13,CODIFICACION!$F$2:$F$500,0))="sin dato","",INDEX(CODIFICACION!$E$2:$E$500,MATCH("P13|"&amp;AJ13,CODIFICACION!$F$2:$F$500,0))),"⚠"))</f>
        <v/>
      </c>
      <c r="G13" t="str">
        <f>IF(AK13="","",IFERROR(IF(INDEX(CODIFICACION!$E$2:$E$500,MATCH("P14|"&amp;AK13,CODIFICACION!$F$2:$F$500,0))="sin dato","",INDEX(CODIFICACION!$E$2:$E$500,MATCH("P14|"&amp;AK13,CODIFICACION!$F$2:$F$500,0))),"⚠"))</f>
        <v/>
      </c>
      <c r="H13" t="str">
        <f>IF(AL13="","",IFERROR(IF(INDEX(CODIFICACION!$E$2:$E$500,MATCH("D1.1|"&amp;AL13,CODIFICACION!$F$2:$F$500,0))="sin dato","",INDEX(CODIFICACION!$E$2:$E$500,MATCH("D1.1|"&amp;AL13,CODIFICACION!$F$2:$F$500,0))),"⚠"))</f>
        <v/>
      </c>
      <c r="I13" t="str">
        <f>IF(AN13="","",IFERROR(IF(INDEX(CODIFICACION!$E$2:$E$500,MATCH("D1.3|"&amp;AN13,CODIFICACION!$F$2:$F$500,0))="sin dato","",INDEX(CODIFICACION!$E$2:$E$500,MATCH("D1.3|"&amp;AN13,CODIFICACION!$F$2:$F$500,0))),"⚠"))</f>
        <v/>
      </c>
      <c r="J13" t="str">
        <f>IF(AO13="","",IFERROR(IF(INDEX(CODIFICACION!$E$2:$E$500,MATCH("D1.4|"&amp;AO13,CODIFICACION!$F$2:$F$500,0))="sin dato","",INDEX(CODIFICACION!$E$2:$E$500,MATCH("D1.4|"&amp;AO13,CODIFICACION!$F$2:$F$500,0))),"⚠"))</f>
        <v/>
      </c>
      <c r="K13" t="str">
        <f>IF(AP13="","",IFERROR(IF(INDEX(CODIFICACION!$E$2:$E$500,MATCH("D1.3a|"&amp;AP13,CODIFICACION!$F$2:$F$500,0))="sin dato","",INDEX(CODIFICACION!$E$2:$E$500,MATCH("D1.3a|"&amp;AP13,CODIFICACION!$F$2:$F$500,0))),"⚠"))</f>
        <v/>
      </c>
      <c r="L13" t="str">
        <f t="shared" si="1"/>
        <v/>
      </c>
      <c r="M13" t="str">
        <f t="shared" si="2"/>
        <v/>
      </c>
      <c r="N13" t="str">
        <f t="shared" si="3"/>
        <v/>
      </c>
      <c r="O13" t="str">
        <f>IF(AT13="","",IFERROR(IF(INDEX(CODIFICACION!$E$2:$E$500,MATCH("D2.8|"&amp;AT13,CODIFICACION!$F$2:$F$500,0))="sin dato","",INDEX(CODIFICACION!$E$2:$E$500,MATCH("D2.8|"&amp;AT13,CODIFICACION!$F$2:$F$500,0))),"⚠"))</f>
        <v/>
      </c>
      <c r="P13" t="str">
        <f>IF(AU13="","",IFERROR(IF(INDEX(CODIFICACION!$E$2:$E$500,MATCH("D2.9|"&amp;AU13,CODIFICACION!$F$2:$F$500,0))="sin dato","",INDEX(CODIFICACION!$E$2:$E$500,MATCH("D2.9|"&amp;AU13,CODIFICACION!$F$2:$F$500,0))),"⚠"))</f>
        <v/>
      </c>
      <c r="Q13" t="str">
        <f>IF(AV13="","",IFERROR(IF(INDEX(CODIFICACION!$E$2:$E$500,MATCH("D2.10|"&amp;AV13,CODIFICACION!$F$2:$F$500,0))="sin dato","",INDEX(CODIFICACION!$E$2:$E$500,MATCH("D2.10|"&amp;AV13,CODIFICACION!$F$2:$F$500,0))),"⚠"))</f>
        <v/>
      </c>
      <c r="R13" t="str">
        <f>IF(AW13="","",IFERROR(IF(INDEX(CODIFICACION!$E$2:$E$500,MATCH("D2.5a|"&amp;AW13,CODIFICACION!$F$2:$F$500,0))="sin dato","",INDEX(CODIFICACION!$E$2:$E$500,MATCH("D2.5a|"&amp;AW13,CODIFICACION!$F$2:$F$500,0))),"⚠"))</f>
        <v/>
      </c>
      <c r="S13" t="str">
        <f ca="1">IF(AX13="","",IFERROR(IF(INDEX(CODIFICACION!$E$2:$E$500,MATCH("D2.5b|"&amp;AX13,CODIFICACION!$F$2:$F$500,0))="sin dato","",INDEX(CODIFICACION!$E$2:$E$500,MATCH("D2.5b|"&amp;AX13,CODIFICACION!$F$2:$F$500,0))),"⚠"))</f>
        <v/>
      </c>
      <c r="T13" t="str">
        <f t="shared" ca="1" si="4"/>
        <v/>
      </c>
      <c r="U13" t="str">
        <f>IF(AZ13="","",IFERROR(IF(INDEX(CODIFICACION!$E$2:$E$500,MATCH("D3.12|"&amp;AZ13,CODIFICACION!$F$2:$F$500,0))="sin dato","",INDEX(CODIFICACION!$E$2:$E$500,MATCH("D3.12|"&amp;AZ13,CODIFICACION!$F$2:$F$500,0))),"⚠"))</f>
        <v/>
      </c>
      <c r="V13" t="str">
        <f t="shared" si="5"/>
        <v/>
      </c>
      <c r="W13" t="str">
        <f ca="1">IF(BB13="","",IFERROR(IF(INDEX(CODIFICACION!$E$2:$E$500,MATCH("D3.14|"&amp;BB13,CODIFICACION!$F$2:$F$500,0))="sin dato","",INDEX(CODIFICACION!$E$2:$E$500,MATCH("D3.14|"&amp;BB13,CODIFICACION!$F$2:$F$500,0))),"⚠"))</f>
        <v/>
      </c>
      <c r="X13" t="str">
        <f ca="1">IF(BC13="","",IFERROR(IF(INDEX(CODIFICACION!$E$2:$E$500,MATCH("D3.14a|"&amp;BC13,CODIFICACION!$F$2:$F$500,0))="sin dato","",INDEX(CODIFICACION!$E$2:$E$500,MATCH("D3.14a|"&amp;BC13,CODIFICACION!$F$2:$F$500,0))),"⚠"))</f>
        <v/>
      </c>
      <c r="Y13" t="str">
        <f>IF(BD13="","",IFERROR(IF(INDEX(CODIFICACION!$E$2:$E$500,MATCH("D3.14b|"&amp;BD13,CODIFICACION!$F$2:$F$500,0))="sin dato","",INDEX(CODIFICACION!$E$2:$E$500,MATCH("D3.14b|"&amp;BD13,CODIFICACION!$F$2:$F$500,0))),"⚠"))</f>
        <v/>
      </c>
      <c r="Z13" t="str">
        <f>IF(BE13="","",IFERROR(IF(INDEX(CODIFICACION!$E$2:$E$500,MATCH("D3.14c|"&amp;BE13,CODIFICACION!$F$2:$F$500,0))="sin dato","",INDEX(CODIFICACION!$E$2:$E$500,MATCH("D3.14c|"&amp;BE13,CODIFICACION!$F$2:$F$500,0))),"⚠"))</f>
        <v/>
      </c>
      <c r="AA13" t="str">
        <f>IF(BF13="","",IFERROR(IF(INDEX(CODIFICACION!$E$2:$E$500,MATCH("D3.14d|"&amp;BF13,CODIFICACION!$F$2:$F$500,0))="sin dato","",INDEX(CODIFICACION!$E$2:$E$500,MATCH("D3.14d|"&amp;BF13,CODIFICACION!$F$2:$F$500,0))),"⚠"))</f>
        <v/>
      </c>
      <c r="AB13" t="str">
        <f>IF(BG13="","",IFERROR(IF(INDEX(CODIFICACION!$E$2:$E$500,MATCH("D3.14e|"&amp;BG13,CODIFICACION!$F$2:$F$500,0))="sin dato","",INDEX(CODIFICACION!$E$2:$E$500,MATCH("D3.14e|"&amp;BG13,CODIFICACION!$F$2:$F$500,0))),"⚠"))</f>
        <v/>
      </c>
      <c r="AC13" t="str">
        <f>IF(BH13="","",IFERROR(IF(INDEX(CODIFICACION!$E$2:$E$500,MATCH("D3.14f|"&amp;BH13,CODIFICACION!$F$2:$F$500,0))="sin dato","",INDEX(CODIFICACION!$E$2:$E$500,MATCH("D3.14f|"&amp;BH13,CODIFICACION!$F$2:$F$500,0))),"⚠"))</f>
        <v/>
      </c>
      <c r="AD13" t="str">
        <f>IF(BI13="","",IFERROR(IF(INDEX(CODIFICACION!$E$2:$E$500,MATCH("D3.14g|"&amp;BI13,CODIFICACION!$F$2:$F$500,0))="sin dato","",INDEX(CODIFICACION!$E$2:$E$500,MATCH("D3.14g|"&amp;BI13,CODIFICACION!$F$2:$F$500,0))),"⚠"))</f>
        <v/>
      </c>
      <c r="AE13" t="str">
        <f>IF(BJ13="","",IFERROR(IF(INDEX(CODIFICACION!$E$2:$E$500,MATCH("D3.14h|"&amp;BJ13,CODIFICACION!$F$2:$F$500,0))="sin dato","",INDEX(CODIFICACION!$E$2:$E$500,MATCH("D3.14h|"&amp;BJ13,CODIFICACION!$F$2:$F$500,0))),"⚠"))</f>
        <v/>
      </c>
      <c r="AF13" t="str">
        <f>IF(BK13="","",IFERROR(IF(INDEX(CODIFICACION!$E$2:$E$500,MATCH("D3.14i|"&amp;BK13,CODIFICACION!$F$2:$F$500,0))="sin dato","",INDEX(CODIFICACION!$E$2:$E$500,MATCH("D3.14i|"&amp;BK13,CODIFICACION!$F$2:$F$500,0))),"⚠"))</f>
        <v/>
      </c>
      <c r="AG13" t="str">
        <f>IF(BL13="","",IFERROR(IF(INDEX(CODIFICACION!$E$2:$E$500,MATCH("D4.15|"&amp;BL13,CODIFICACION!$F$2:$F$500,0))="sin dato","",INDEX(CODIFICACION!$E$2:$E$500,MATCH("D4.15|"&amp;BL13,CODIFICACION!$F$2:$F$500,0))),"⚠"))</f>
        <v/>
      </c>
      <c r="AH13" t="str">
        <f t="shared" si="6"/>
        <v/>
      </c>
      <c r="AI13" t="str">
        <f>IF(BN13="","",IFERROR(IF(INDEX(CODIFICACION!$E$2:$E$500,MATCH("D4.17|"&amp;BN13,CODIFICACION!$F$2:$F$500,0))="sin dato","",INDEX(CODIFICACION!$E$2:$E$500,MATCH("D4.17|"&amp;BN13,CODIFICACION!$F$2:$F$500,0))),"⚠"))</f>
        <v/>
      </c>
      <c r="AJ13" t="str">
        <f>IF(BO13="","",IFERROR(IF(INDEX(CODIFICACION!$E$2:$E$500,MATCH("D4.15a|"&amp;BO13,CODIFICACION!$F$2:$F$500,0))="sin dato","",INDEX(CODIFICACION!$E$2:$E$500,MATCH("D4.15a|"&amp;BO13,CODIFICACION!$F$2:$F$500,0))),"⚠"))</f>
        <v/>
      </c>
      <c r="AK13" t="str">
        <f t="shared" si="7"/>
        <v/>
      </c>
      <c r="AL13" t="str">
        <f t="shared" si="8"/>
        <v/>
      </c>
      <c r="AM13" t="str">
        <f>IF(BR13="","",IFERROR(IF(INDEX(CODIFICACION!$E$2:$E$500,MATCH("D5.18b|"&amp;BR13,CODIFICACION!$F$2:$F$500,0))="sin dato","",INDEX(CODIFICACION!$E$2:$E$500,MATCH("D5.18b|"&amp;BR13,CODIFICACION!$F$2:$F$500,0))),"⚠"))</f>
        <v/>
      </c>
      <c r="AN13" t="str">
        <f>IF(BS13="","",IFERROR(IF(INDEX(CODIFICACION!$E$2:$E$500,MATCH("D5.19|"&amp;BS13,CODIFICACION!$F$2:$F$500,0))="sin dato","",INDEX(CODIFICACION!$E$2:$E$500,MATCH("D5.19|"&amp;BS13,CODIFICACION!$F$2:$F$500,0))),"⚠"))</f>
        <v/>
      </c>
      <c r="AO13" t="str">
        <f t="shared" si="9"/>
        <v/>
      </c>
      <c r="AP13" t="str">
        <f>IF(BU13="","",IFERROR(IF(INDEX(CODIFICACION!$E$2:$E$500,MATCH("D5.20|"&amp;BU13,CODIFICACION!$F$2:$F$500,0))="sin dato","",INDEX(CODIFICACION!$E$2:$E$500,MATCH("D5.20|"&amp;BU13,CODIFICACION!$F$2:$F$500,0))),"⚠"))</f>
        <v/>
      </c>
      <c r="AQ13" t="str">
        <f>IF(BV13="","",IFERROR(IF(INDEX(CODIFICACION!$E$2:$E$500,MATCH("D5.21|"&amp;BV13,CODIFICACION!$F$2:$F$500,0))="sin dato","",INDEX(CODIFICACION!$E$2:$E$500,MATCH("D5.21|"&amp;BV13,CODIFICACION!$F$2:$F$500,0))),"⚠"))</f>
        <v/>
      </c>
      <c r="AR13" t="str">
        <f>IF(BW13="","",IFERROR(IF(INDEX(CODIFICACION!$E$2:$E$500,MATCH("D5.21a|"&amp;BW13,CODIFICACION!$F$2:$F$500,0))="sin dato","",INDEX(CODIFICACION!$E$2:$E$500,MATCH("D5.21a|"&amp;BW13,CODIFICACION!$F$2:$F$500,0))),"⚠"))</f>
        <v/>
      </c>
      <c r="AS13" t="str">
        <f>IF(BX13="","",IFERROR(IF(INDEX(CODIFICACION!$E$2:$E$500,MATCH("D5.21b|"&amp;BX13,CODIFICACION!$F$2:$F$500,0))="sin dato","",INDEX(CODIFICACION!$E$2:$E$500,MATCH("D5.21b|"&amp;BX13,CODIFICACION!$F$2:$F$500,0))),"⚠"))</f>
        <v/>
      </c>
      <c r="AT13" t="str">
        <f>IF(BY13="","",IFERROR(IF(INDEX(CODIFICACION!$E$2:$E$500,MATCH("D6.22|"&amp;BY13,CODIFICACION!$F$2:$F$500,0))="sin dato","",INDEX(CODIFICACION!$E$2:$E$500,MATCH("D6.22|"&amp;BY13,CODIFICACION!$F$2:$F$500,0))),"⚠"))</f>
        <v/>
      </c>
      <c r="AU13" t="str">
        <f>IF(BZ13="","",IFERROR(IF(INDEX(CODIFICACION!$E$2:$E$500,MATCH("D6.22a|"&amp;BZ13,CODIFICACION!$F$2:$F$500,0))="sin dato","",INDEX(CODIFICACION!$E$2:$E$500,MATCH("D6.22a|"&amp;BZ13,CODIFICACION!$F$2:$F$500,0))),"⚠"))</f>
        <v/>
      </c>
      <c r="AV13" t="str">
        <f>IF(CA13="","",IFERROR(IF(INDEX(CODIFICACION!$E$2:$E$500,MATCH("D6.22b|"&amp;CA13,CODIFICACION!$F$2:$F$500,0))="sin dato","",INDEX(CODIFICACION!$E$2:$E$500,MATCH("D6.22b|"&amp;CA13,CODIFICACION!$F$2:$F$500,0))),"⚠"))</f>
        <v/>
      </c>
      <c r="AW13" t="str">
        <f>IF(CB13="","",IFERROR(IF(INDEX(CODIFICACION!$E$2:$E$500,MATCH("D6.23|"&amp;CB13,CODIFICACION!$F$2:$F$500,0))="sin dato","",INDEX(CODIFICACION!$E$2:$E$500,MATCH("D6.23|"&amp;CB13,CODIFICACION!$F$2:$F$500,0))),"⚠"))</f>
        <v/>
      </c>
      <c r="AX13" t="str">
        <f ca="1">IF(CC13="","",IFERROR(IF(INDEX(CODIFICACION!$E$2:$E$500,MATCH("D6.24|"&amp;CC13,CODIFICACION!$F$2:$F$500,0))="sin dato","",INDEX(CODIFICACION!$E$2:$E$500,MATCH("D6.24|"&amp;CC13,CODIFICACION!$F$2:$F$500,0))),"⚠"))</f>
        <v/>
      </c>
      <c r="AY13" t="str">
        <f ca="1">IF(CD13="","",IFERROR(IF(INDEX(CODIFICACION!$E$2:$E$500,MATCH("D6.25|"&amp;CD13,CODIFICACION!$F$2:$F$500,0))="sin dato","",INDEX(CODIFICACION!$E$2:$E$500,MATCH("D6.25|"&amp;CD13,CODIFICACION!$F$2:$F$500,0))),"⚠"))</f>
        <v/>
      </c>
      <c r="AZ13" t="str">
        <f>IF(CE13="","",IFERROR(IF(INDEX(CODIFICACION!$E$2:$E$500,MATCH("D6.25a|"&amp;CE13,CODIFICACION!$F$2:$F$500,0))="sin dato","",INDEX(CODIFICACION!$E$2:$E$500,MATCH("D6.25a|"&amp;CE13,CODIFICACION!$F$2:$F$500,0))),"⚠"))</f>
        <v/>
      </c>
      <c r="BA13" t="str">
        <f>IF(CF13="","",IFERROR(IF(INDEX(CODIFICACION!$E$2:$E$500,MATCH("D6.25b|"&amp;CF13,CODIFICACION!$F$2:$F$500,0))="sin dato","",INDEX(CODIFICACION!$E$2:$E$500,MATCH("D6.25b|"&amp;CF13,CODIFICACION!$F$2:$F$500,0))),"⚠"))</f>
        <v/>
      </c>
      <c r="BB13" t="str">
        <f ca="1">IF(CG13="","",IFERROR(IF(INDEX(CODIFICACION!$E$2:$E$500,MATCH("D6.22c|"&amp;CG13,CODIFICACION!$F$2:$F$500,0))="sin dato","",INDEX(CODIFICACION!$E$2:$E$500,MATCH("D6.22c|"&amp;CG13,CODIFICACION!$F$2:$F$500,0))),"⚠"))</f>
        <v/>
      </c>
      <c r="BC13" t="str">
        <f ca="1">IF(CH13="","",IFERROR(IF(INDEX(CODIFICACION!$E$2:$E$500,MATCH("D7.26|"&amp;CH13,CODIFICACION!$F$2:$F$500,0))="sin dato","",INDEX(CODIFICACION!$E$2:$E$500,MATCH("D7.26|"&amp;CH13,CODIFICACION!$F$2:$F$500,0))),"⚠"))</f>
        <v/>
      </c>
      <c r="BD13" t="str">
        <f>IF(CI13="","",IFERROR(IF(INDEX(CODIFICACION!$E$2:$E$500,MATCH("D7.27|"&amp;CI13,CODIFICACION!$F$2:$F$500,0))="sin dato","",INDEX(CODIFICACION!$E$2:$E$500,MATCH("D7.27|"&amp;CI13,CODIFICACION!$F$2:$F$500,0))),"⚠"))</f>
        <v/>
      </c>
      <c r="BE13" t="str">
        <f>IF(CJ13="","",IFERROR(IF(INDEX(CODIFICACION!$E$2:$E$500,MATCH("D7.28|"&amp;CJ13,CODIFICACION!$F$2:$F$500,0))="sin dato","",INDEX(CODIFICACION!$E$2:$E$500,MATCH("D7.28|"&amp;CJ13,CODIFICACION!$F$2:$F$500,0))),"⚠"))</f>
        <v/>
      </c>
      <c r="BF13" t="str">
        <f>IF(CK13="","",IFERROR(IF(INDEX(CODIFICACION!$E$2:$E$500,MATCH("D7.28b|"&amp;CK13,CODIFICACION!$F$2:$F$500,0))="sin dato","",INDEX(CODIFICACION!$E$2:$E$500,MATCH("D7.28b|"&amp;CK13,CODIFICACION!$F$2:$F$500,0))),"⚠"))</f>
        <v/>
      </c>
      <c r="BG13" t="str">
        <f t="shared" si="10"/>
        <v/>
      </c>
      <c r="BH13" t="str">
        <f>IF(CM13="","",IFERROR(IF(INDEX(CODIFICACION!$E$2:$E$500,MATCH("D7.26a|"&amp;CM13,CODIFICACION!$F$2:$F$500,0))="sin dato","",INDEX(CODIFICACION!$E$2:$E$500,MATCH("D7.26a|"&amp;CM13,CODIFICACION!$F$2:$F$500,0))),"⚠"))</f>
        <v/>
      </c>
      <c r="BI13" t="str">
        <f>IF(CN13="","",IFERROR(IF(INDEX(CODIFICACION!$E$2:$E$500,MATCH("D7.26b|"&amp;CN13,CODIFICACION!$F$2:$F$500,0))="sin dato","",INDEX(CODIFICACION!$E$2:$E$500,MATCH("D7.26b|"&amp;CN13,CODIFICACION!$F$2:$F$500,0))),"⚠"))</f>
        <v/>
      </c>
      <c r="BJ13" t="str">
        <f t="shared" si="11"/>
        <v/>
      </c>
      <c r="BK13" t="str">
        <f t="shared" si="12"/>
        <v/>
      </c>
      <c r="BL13" t="str">
        <f>IF(CQ13="","",IFERROR(IF(INDEX(CODIFICACION!$E$2:$E$500,MATCH("D8.31|"&amp;CQ13,CODIFICACION!$F$2:$F$500,0))="sin dato","",INDEX(CODIFICACION!$E$2:$E$500,MATCH("D8.31|"&amp;CQ13,CODIFICACION!$F$2:$F$500,0))),"⚠"))</f>
        <v/>
      </c>
      <c r="BM13" t="str">
        <f>IF(CR13="","",IFERROR(IF(INDEX(CODIFICACION!$E$2:$E$500,MATCH("D8.32|"&amp;CR13,CODIFICACION!$F$2:$F$500,0))="sin dato","",INDEX(CODIFICACION!$E$2:$E$500,MATCH("D8.32|"&amp;CR13,CODIFICACION!$F$2:$F$500,0))),"⚠"))</f>
        <v/>
      </c>
      <c r="BN13" t="str">
        <f>IF(CS13="","",IFERROR(IF(INDEX(CODIFICACION!$E$2:$E$500,MATCH("D9.33|"&amp;CS13,CODIFICACION!$F$2:$F$500,0))="sin dato","",INDEX(CODIFICACION!$E$2:$E$500,MATCH("D9.33|"&amp;CS13,CODIFICACION!$F$2:$F$500,0))),"⚠"))</f>
        <v/>
      </c>
      <c r="BO13" t="str">
        <f>IF(CT13="","",IFERROR(IF(INDEX(CODIFICACION!$E$2:$E$500,MATCH("D9.34|"&amp;CT13,CODIFICACION!$F$2:$F$500,0))="sin dato","",INDEX(CODIFICACION!$E$2:$E$500,MATCH("D9.34|"&amp;CT13,CODIFICACION!$F$2:$F$500,0))),"⚠"))</f>
        <v/>
      </c>
      <c r="BP13" t="str">
        <f>IF(CU13="","",IFERROR(IF(INDEX(CODIFICACION!$E$2:$E$500,MATCH("D9.35|"&amp;CU13,CODIFICACION!$F$2:$F$500,0))="sin dato","",INDEX(CODIFICACION!$E$2:$E$500,MATCH("D9.35|"&amp;CU13,CODIFICACION!$F$2:$F$500,0))),"⚠"))</f>
        <v/>
      </c>
      <c r="BQ13" t="str">
        <f>IF(CV13="","",IFERROR(IF(INDEX(CODIFICACION!$E$2:$E$500,MATCH("D10.36|"&amp;CV13,CODIFICACION!$F$2:$F$500,0))="sin dato","",INDEX(CODIFICACION!$E$2:$E$500,MATCH("D10.36|"&amp;CV13,CODIFICACION!$F$2:$F$500,0))),"⚠"))</f>
        <v/>
      </c>
      <c r="BR13" t="str">
        <f>IF(CW13="","",IFERROR(IF(INDEX(CODIFICACION!$E$2:$E$500,MATCH("D10.37|"&amp;CW13,CODIFICACION!$F$2:$F$500,0))="sin dato","",INDEX(CODIFICACION!$E$2:$E$500,MATCH("D10.37|"&amp;CW13,CODIFICACION!$F$2:$F$500,0))),"⚠"))</f>
        <v/>
      </c>
      <c r="BS13" t="str">
        <f>IF(CX13="","",IFERROR(IF(INDEX(CODIFICACION!$E$2:$E$500,MATCH("D10.36a|"&amp;CX13,CODIFICACION!$F$2:$F$500,0))="sin dato","",INDEX(CODIFICACION!$E$2:$E$500,MATCH("D10.36a|"&amp;CX13,CODIFICACION!$F$2:$F$500,0))),"⚠"))</f>
        <v/>
      </c>
      <c r="BT13" t="str">
        <f t="shared" si="13"/>
        <v/>
      </c>
      <c r="BU13" t="str">
        <f>IF(DA13="","",IFERROR(IF(INDEX(CODIFICACION!$E$2:$E$500,MATCH("D11.39a|"&amp;DA13,CODIFICACION!$F$2:$F$500,0))="sin dato","",INDEX(CODIFICACION!$E$2:$E$500,MATCH("D11.39a|"&amp;DA13,CODIFICACION!$F$2:$F$500,0))),"⚠"))</f>
        <v/>
      </c>
      <c r="BV13" t="str">
        <f>IF(DB13="","",IFERROR(IF(INDEX(CODIFICACION!$E$2:$E$500,MATCH("D12.42|"&amp;DB13,CODIFICACION!$F$2:$F$500,0))="sin dato","",INDEX(CODIFICACION!$E$2:$E$500,MATCH("D12.42|"&amp;DB13,CODIFICACION!$F$2:$F$500,0))),"⚠"))</f>
        <v/>
      </c>
      <c r="BW13" t="str">
        <f>IF(DC13="","",IFERROR(IF(INDEX(CODIFICACION!$E$2:$E$500,MATCH("D13.45|"&amp;DC13,CODIFICACION!$F$2:$F$500,0))="sin dato","",INDEX(CODIFICACION!$E$2:$E$500,MATCH("D13.45|"&amp;DC13,CODIFICACION!$F$2:$F$500,0))),"⚠"))</f>
        <v/>
      </c>
      <c r="BX13" t="str">
        <f>IF(DD13="","",IFERROR(IF(INDEX(CODIFICACION!$E$2:$E$500,MATCH("D14.51|"&amp;DD13,CODIFICACION!$F$2:$F$500,0))="sin dato","",INDEX(CODIFICACION!$E$2:$E$500,MATCH("D14.51|"&amp;DD13,CODIFICACION!$F$2:$F$500,0))),"⚠"))</f>
        <v/>
      </c>
      <c r="BY13" t="str">
        <f>IF(DE13="","",IFERROR(IF(INDEX(CODIFICACION!$E$2:$E$500,MATCH("D15.58|"&amp;DE13,CODIFICACION!$F$2:$F$500,0))="sin dato","",INDEX(CODIFICACION!$E$2:$E$500,MATCH("D15.58|"&amp;DE13,CODIFICACION!$F$2:$F$500,0))),"⚠"))</f>
        <v/>
      </c>
      <c r="BZ13" t="str">
        <f>IF(DF13="","",IFERROR(IF(INDEX(CODIFICACION!$E$2:$E$500,MATCH("PP1|"&amp;DF13,CODIFICACION!$F$2:$F$500,0))="sin dato","",INDEX(CODIFICACION!$E$2:$E$500,MATCH("PP1|"&amp;DF13,CODIFICACION!$F$2:$F$500,0))),"⚠"))</f>
        <v/>
      </c>
      <c r="CA13" t="str">
        <f>IF(DG13="","",IFERROR(IF(INDEX(CODIFICACION!$E$2:$E$500,MATCH("PP2|"&amp;DG13,CODIFICACION!$F$2:$F$500,0))="sin dato","",INDEX(CODIFICACION!$E$2:$E$500,MATCH("PP2|"&amp;DG13,CODIFICACION!$F$2:$F$500,0))),"⚠"))</f>
        <v/>
      </c>
      <c r="CB13" t="str">
        <f t="shared" si="14"/>
        <v/>
      </c>
      <c r="CC13" t="str">
        <f t="shared" ca="1" si="15"/>
        <v/>
      </c>
      <c r="CD13" t="str">
        <f t="shared" ca="1" si="16"/>
        <v/>
      </c>
      <c r="CE13" t="str">
        <f t="shared" si="17"/>
        <v/>
      </c>
      <c r="CF13" t="str">
        <f t="shared" si="18"/>
        <v/>
      </c>
      <c r="CG13" t="str">
        <f t="shared" ca="1" si="19"/>
        <v/>
      </c>
      <c r="CH13" t="str">
        <f t="shared" ca="1" si="20"/>
        <v/>
      </c>
      <c r="CI13" t="str">
        <f t="shared" si="21"/>
        <v/>
      </c>
      <c r="CJ13" t="str">
        <f t="shared" si="22"/>
        <v/>
      </c>
      <c r="CK13" t="str">
        <f t="shared" si="23"/>
        <v/>
      </c>
      <c r="CL13" t="str">
        <f t="shared" si="24"/>
        <v/>
      </c>
    </row>
    <row r="14" spans="1:90" x14ac:dyDescent="0.3">
      <c r="A14">
        <f>CAPTURA!A14</f>
        <v>20143692010</v>
      </c>
      <c r="B14">
        <f>CAPTURA!C14</f>
        <v>0</v>
      </c>
      <c r="C14" t="str">
        <f t="shared" si="0"/>
        <v/>
      </c>
      <c r="D14" t="str">
        <f>IF(AE14="","",IFERROR(IF(INDEX(CODIFICACION!$E$2:$E$500,MATCH("P8|"&amp;AE14,CODIFICACION!$F$2:$F$500,0))="sin dato","",INDEX(CODIFICACION!$E$2:$E$500,MATCH("P8|"&amp;AE14,CODIFICACION!$F$2:$F$500,0))),"⚠"))</f>
        <v/>
      </c>
      <c r="E14" t="str">
        <f>IF(AG14="","",IFERROR(IF(INDEX(CODIFICACION!$E$2:$E$500,MATCH("P10|"&amp;AG14,CODIFICACION!$F$2:$F$500,0))="sin dato","",INDEX(CODIFICACION!$E$2:$E$500,MATCH("P10|"&amp;AG14,CODIFICACION!$F$2:$F$500,0))),"⚠"))</f>
        <v/>
      </c>
      <c r="F14" t="str">
        <f>IF(AJ14="","",IFERROR(IF(INDEX(CODIFICACION!$E$2:$E$500,MATCH("P13|"&amp;AJ14,CODIFICACION!$F$2:$F$500,0))="sin dato","",INDEX(CODIFICACION!$E$2:$E$500,MATCH("P13|"&amp;AJ14,CODIFICACION!$F$2:$F$500,0))),"⚠"))</f>
        <v/>
      </c>
      <c r="G14" t="str">
        <f>IF(AK14="","",IFERROR(IF(INDEX(CODIFICACION!$E$2:$E$500,MATCH("P14|"&amp;AK14,CODIFICACION!$F$2:$F$500,0))="sin dato","",INDEX(CODIFICACION!$E$2:$E$500,MATCH("P14|"&amp;AK14,CODIFICACION!$F$2:$F$500,0))),"⚠"))</f>
        <v/>
      </c>
      <c r="H14" t="str">
        <f>IF(AL14="","",IFERROR(IF(INDEX(CODIFICACION!$E$2:$E$500,MATCH("D1.1|"&amp;AL14,CODIFICACION!$F$2:$F$500,0))="sin dato","",INDEX(CODIFICACION!$E$2:$E$500,MATCH("D1.1|"&amp;AL14,CODIFICACION!$F$2:$F$500,0))),"⚠"))</f>
        <v/>
      </c>
      <c r="I14" t="str">
        <f>IF(AN14="","",IFERROR(IF(INDEX(CODIFICACION!$E$2:$E$500,MATCH("D1.3|"&amp;AN14,CODIFICACION!$F$2:$F$500,0))="sin dato","",INDEX(CODIFICACION!$E$2:$E$500,MATCH("D1.3|"&amp;AN14,CODIFICACION!$F$2:$F$500,0))),"⚠"))</f>
        <v/>
      </c>
      <c r="J14" t="str">
        <f>IF(AO14="","",IFERROR(IF(INDEX(CODIFICACION!$E$2:$E$500,MATCH("D1.4|"&amp;AO14,CODIFICACION!$F$2:$F$500,0))="sin dato","",INDEX(CODIFICACION!$E$2:$E$500,MATCH("D1.4|"&amp;AO14,CODIFICACION!$F$2:$F$500,0))),"⚠"))</f>
        <v/>
      </c>
      <c r="K14" t="str">
        <f>IF(AP14="","",IFERROR(IF(INDEX(CODIFICACION!$E$2:$E$500,MATCH("D1.3a|"&amp;AP14,CODIFICACION!$F$2:$F$500,0))="sin dato","",INDEX(CODIFICACION!$E$2:$E$500,MATCH("D1.3a|"&amp;AP14,CODIFICACION!$F$2:$F$500,0))),"⚠"))</f>
        <v/>
      </c>
      <c r="L14" t="str">
        <f t="shared" si="1"/>
        <v/>
      </c>
      <c r="M14" t="str">
        <f t="shared" si="2"/>
        <v/>
      </c>
      <c r="N14" t="str">
        <f t="shared" si="3"/>
        <v/>
      </c>
      <c r="O14" t="str">
        <f>IF(AT14="","",IFERROR(IF(INDEX(CODIFICACION!$E$2:$E$500,MATCH("D2.8|"&amp;AT14,CODIFICACION!$F$2:$F$500,0))="sin dato","",INDEX(CODIFICACION!$E$2:$E$500,MATCH("D2.8|"&amp;AT14,CODIFICACION!$F$2:$F$500,0))),"⚠"))</f>
        <v/>
      </c>
      <c r="P14" t="str">
        <f>IF(AU14="","",IFERROR(IF(INDEX(CODIFICACION!$E$2:$E$500,MATCH("D2.9|"&amp;AU14,CODIFICACION!$F$2:$F$500,0))="sin dato","",INDEX(CODIFICACION!$E$2:$E$500,MATCH("D2.9|"&amp;AU14,CODIFICACION!$F$2:$F$500,0))),"⚠"))</f>
        <v/>
      </c>
      <c r="Q14" t="str">
        <f>IF(AV14="","",IFERROR(IF(INDEX(CODIFICACION!$E$2:$E$500,MATCH("D2.10|"&amp;AV14,CODIFICACION!$F$2:$F$500,0))="sin dato","",INDEX(CODIFICACION!$E$2:$E$500,MATCH("D2.10|"&amp;AV14,CODIFICACION!$F$2:$F$500,0))),"⚠"))</f>
        <v/>
      </c>
      <c r="R14" t="str">
        <f>IF(AW14="","",IFERROR(IF(INDEX(CODIFICACION!$E$2:$E$500,MATCH("D2.5a|"&amp;AW14,CODIFICACION!$F$2:$F$500,0))="sin dato","",INDEX(CODIFICACION!$E$2:$E$500,MATCH("D2.5a|"&amp;AW14,CODIFICACION!$F$2:$F$500,0))),"⚠"))</f>
        <v/>
      </c>
      <c r="S14" t="str">
        <f ca="1">IF(AX14="","",IFERROR(IF(INDEX(CODIFICACION!$E$2:$E$500,MATCH("D2.5b|"&amp;AX14,CODIFICACION!$F$2:$F$500,0))="sin dato","",INDEX(CODIFICACION!$E$2:$E$500,MATCH("D2.5b|"&amp;AX14,CODIFICACION!$F$2:$F$500,0))),"⚠"))</f>
        <v/>
      </c>
      <c r="T14" t="str">
        <f t="shared" ca="1" si="4"/>
        <v/>
      </c>
      <c r="U14" t="str">
        <f>IF(AZ14="","",IFERROR(IF(INDEX(CODIFICACION!$E$2:$E$500,MATCH("D3.12|"&amp;AZ14,CODIFICACION!$F$2:$F$500,0))="sin dato","",INDEX(CODIFICACION!$E$2:$E$500,MATCH("D3.12|"&amp;AZ14,CODIFICACION!$F$2:$F$500,0))),"⚠"))</f>
        <v/>
      </c>
      <c r="V14" t="str">
        <f t="shared" si="5"/>
        <v/>
      </c>
      <c r="W14" t="str">
        <f ca="1">IF(BB14="","",IFERROR(IF(INDEX(CODIFICACION!$E$2:$E$500,MATCH("D3.14|"&amp;BB14,CODIFICACION!$F$2:$F$500,0))="sin dato","",INDEX(CODIFICACION!$E$2:$E$500,MATCH("D3.14|"&amp;BB14,CODIFICACION!$F$2:$F$500,0))),"⚠"))</f>
        <v/>
      </c>
      <c r="X14" t="str">
        <f ca="1">IF(BC14="","",IFERROR(IF(INDEX(CODIFICACION!$E$2:$E$500,MATCH("D3.14a|"&amp;BC14,CODIFICACION!$F$2:$F$500,0))="sin dato","",INDEX(CODIFICACION!$E$2:$E$500,MATCH("D3.14a|"&amp;BC14,CODIFICACION!$F$2:$F$500,0))),"⚠"))</f>
        <v/>
      </c>
      <c r="Y14" t="str">
        <f>IF(BD14="","",IFERROR(IF(INDEX(CODIFICACION!$E$2:$E$500,MATCH("D3.14b|"&amp;BD14,CODIFICACION!$F$2:$F$500,0))="sin dato","",INDEX(CODIFICACION!$E$2:$E$500,MATCH("D3.14b|"&amp;BD14,CODIFICACION!$F$2:$F$500,0))),"⚠"))</f>
        <v/>
      </c>
      <c r="Z14" t="str">
        <f>IF(BE14="","",IFERROR(IF(INDEX(CODIFICACION!$E$2:$E$500,MATCH("D3.14c|"&amp;BE14,CODIFICACION!$F$2:$F$500,0))="sin dato","",INDEX(CODIFICACION!$E$2:$E$500,MATCH("D3.14c|"&amp;BE14,CODIFICACION!$F$2:$F$500,0))),"⚠"))</f>
        <v/>
      </c>
      <c r="AA14" t="str">
        <f>IF(BF14="","",IFERROR(IF(INDEX(CODIFICACION!$E$2:$E$500,MATCH("D3.14d|"&amp;BF14,CODIFICACION!$F$2:$F$500,0))="sin dato","",INDEX(CODIFICACION!$E$2:$E$500,MATCH("D3.14d|"&amp;BF14,CODIFICACION!$F$2:$F$500,0))),"⚠"))</f>
        <v/>
      </c>
      <c r="AB14" t="str">
        <f>IF(BG14="","",IFERROR(IF(INDEX(CODIFICACION!$E$2:$E$500,MATCH("D3.14e|"&amp;BG14,CODIFICACION!$F$2:$F$500,0))="sin dato","",INDEX(CODIFICACION!$E$2:$E$500,MATCH("D3.14e|"&amp;BG14,CODIFICACION!$F$2:$F$500,0))),"⚠"))</f>
        <v/>
      </c>
      <c r="AC14" t="str">
        <f>IF(BH14="","",IFERROR(IF(INDEX(CODIFICACION!$E$2:$E$500,MATCH("D3.14f|"&amp;BH14,CODIFICACION!$F$2:$F$500,0))="sin dato","",INDEX(CODIFICACION!$E$2:$E$500,MATCH("D3.14f|"&amp;BH14,CODIFICACION!$F$2:$F$500,0))),"⚠"))</f>
        <v/>
      </c>
      <c r="AD14" t="str">
        <f>IF(BI14="","",IFERROR(IF(INDEX(CODIFICACION!$E$2:$E$500,MATCH("D3.14g|"&amp;BI14,CODIFICACION!$F$2:$F$500,0))="sin dato","",INDEX(CODIFICACION!$E$2:$E$500,MATCH("D3.14g|"&amp;BI14,CODIFICACION!$F$2:$F$500,0))),"⚠"))</f>
        <v/>
      </c>
      <c r="AE14" t="str">
        <f>IF(BJ14="","",IFERROR(IF(INDEX(CODIFICACION!$E$2:$E$500,MATCH("D3.14h|"&amp;BJ14,CODIFICACION!$F$2:$F$500,0))="sin dato","",INDEX(CODIFICACION!$E$2:$E$500,MATCH("D3.14h|"&amp;BJ14,CODIFICACION!$F$2:$F$500,0))),"⚠"))</f>
        <v/>
      </c>
      <c r="AF14" t="str">
        <f>IF(BK14="","",IFERROR(IF(INDEX(CODIFICACION!$E$2:$E$500,MATCH("D3.14i|"&amp;BK14,CODIFICACION!$F$2:$F$500,0))="sin dato","",INDEX(CODIFICACION!$E$2:$E$500,MATCH("D3.14i|"&amp;BK14,CODIFICACION!$F$2:$F$500,0))),"⚠"))</f>
        <v/>
      </c>
      <c r="AG14" t="str">
        <f>IF(BL14="","",IFERROR(IF(INDEX(CODIFICACION!$E$2:$E$500,MATCH("D4.15|"&amp;BL14,CODIFICACION!$F$2:$F$500,0))="sin dato","",INDEX(CODIFICACION!$E$2:$E$500,MATCH("D4.15|"&amp;BL14,CODIFICACION!$F$2:$F$500,0))),"⚠"))</f>
        <v/>
      </c>
      <c r="AH14" t="str">
        <f t="shared" si="6"/>
        <v/>
      </c>
      <c r="AI14" t="str">
        <f>IF(BN14="","",IFERROR(IF(INDEX(CODIFICACION!$E$2:$E$500,MATCH("D4.17|"&amp;BN14,CODIFICACION!$F$2:$F$500,0))="sin dato","",INDEX(CODIFICACION!$E$2:$E$500,MATCH("D4.17|"&amp;BN14,CODIFICACION!$F$2:$F$500,0))),"⚠"))</f>
        <v/>
      </c>
      <c r="AJ14" t="str">
        <f>IF(BO14="","",IFERROR(IF(INDEX(CODIFICACION!$E$2:$E$500,MATCH("D4.15a|"&amp;BO14,CODIFICACION!$F$2:$F$500,0))="sin dato","",INDEX(CODIFICACION!$E$2:$E$500,MATCH("D4.15a|"&amp;BO14,CODIFICACION!$F$2:$F$500,0))),"⚠"))</f>
        <v/>
      </c>
      <c r="AK14" t="str">
        <f t="shared" si="7"/>
        <v/>
      </c>
      <c r="AL14" t="str">
        <f t="shared" si="8"/>
        <v/>
      </c>
      <c r="AM14" t="str">
        <f>IF(BR14="","",IFERROR(IF(INDEX(CODIFICACION!$E$2:$E$500,MATCH("D5.18b|"&amp;BR14,CODIFICACION!$F$2:$F$500,0))="sin dato","",INDEX(CODIFICACION!$E$2:$E$500,MATCH("D5.18b|"&amp;BR14,CODIFICACION!$F$2:$F$500,0))),"⚠"))</f>
        <v/>
      </c>
      <c r="AN14" t="str">
        <f>IF(BS14="","",IFERROR(IF(INDEX(CODIFICACION!$E$2:$E$500,MATCH("D5.19|"&amp;BS14,CODIFICACION!$F$2:$F$500,0))="sin dato","",INDEX(CODIFICACION!$E$2:$E$500,MATCH("D5.19|"&amp;BS14,CODIFICACION!$F$2:$F$500,0))),"⚠"))</f>
        <v/>
      </c>
      <c r="AO14" t="str">
        <f t="shared" si="9"/>
        <v/>
      </c>
      <c r="AP14" t="str">
        <f>IF(BU14="","",IFERROR(IF(INDEX(CODIFICACION!$E$2:$E$500,MATCH("D5.20|"&amp;BU14,CODIFICACION!$F$2:$F$500,0))="sin dato","",INDEX(CODIFICACION!$E$2:$E$500,MATCH("D5.20|"&amp;BU14,CODIFICACION!$F$2:$F$500,0))),"⚠"))</f>
        <v/>
      </c>
      <c r="AQ14" t="str">
        <f>IF(BV14="","",IFERROR(IF(INDEX(CODIFICACION!$E$2:$E$500,MATCH("D5.21|"&amp;BV14,CODIFICACION!$F$2:$F$500,0))="sin dato","",INDEX(CODIFICACION!$E$2:$E$500,MATCH("D5.21|"&amp;BV14,CODIFICACION!$F$2:$F$500,0))),"⚠"))</f>
        <v/>
      </c>
      <c r="AR14" t="str">
        <f>IF(BW14="","",IFERROR(IF(INDEX(CODIFICACION!$E$2:$E$500,MATCH("D5.21a|"&amp;BW14,CODIFICACION!$F$2:$F$500,0))="sin dato","",INDEX(CODIFICACION!$E$2:$E$500,MATCH("D5.21a|"&amp;BW14,CODIFICACION!$F$2:$F$500,0))),"⚠"))</f>
        <v/>
      </c>
      <c r="AS14" t="str">
        <f>IF(BX14="","",IFERROR(IF(INDEX(CODIFICACION!$E$2:$E$500,MATCH("D5.21b|"&amp;BX14,CODIFICACION!$F$2:$F$500,0))="sin dato","",INDEX(CODIFICACION!$E$2:$E$500,MATCH("D5.21b|"&amp;BX14,CODIFICACION!$F$2:$F$500,0))),"⚠"))</f>
        <v/>
      </c>
      <c r="AT14" t="str">
        <f>IF(BY14="","",IFERROR(IF(INDEX(CODIFICACION!$E$2:$E$500,MATCH("D6.22|"&amp;BY14,CODIFICACION!$F$2:$F$500,0))="sin dato","",INDEX(CODIFICACION!$E$2:$E$500,MATCH("D6.22|"&amp;BY14,CODIFICACION!$F$2:$F$500,0))),"⚠"))</f>
        <v/>
      </c>
      <c r="AU14" t="str">
        <f>IF(BZ14="","",IFERROR(IF(INDEX(CODIFICACION!$E$2:$E$500,MATCH("D6.22a|"&amp;BZ14,CODIFICACION!$F$2:$F$500,0))="sin dato","",INDEX(CODIFICACION!$E$2:$E$500,MATCH("D6.22a|"&amp;BZ14,CODIFICACION!$F$2:$F$500,0))),"⚠"))</f>
        <v/>
      </c>
      <c r="AV14" t="str">
        <f>IF(CA14="","",IFERROR(IF(INDEX(CODIFICACION!$E$2:$E$500,MATCH("D6.22b|"&amp;CA14,CODIFICACION!$F$2:$F$500,0))="sin dato","",INDEX(CODIFICACION!$E$2:$E$500,MATCH("D6.22b|"&amp;CA14,CODIFICACION!$F$2:$F$500,0))),"⚠"))</f>
        <v/>
      </c>
      <c r="AW14" t="str">
        <f>IF(CB14="","",IFERROR(IF(INDEX(CODIFICACION!$E$2:$E$500,MATCH("D6.23|"&amp;CB14,CODIFICACION!$F$2:$F$500,0))="sin dato","",INDEX(CODIFICACION!$E$2:$E$500,MATCH("D6.23|"&amp;CB14,CODIFICACION!$F$2:$F$500,0))),"⚠"))</f>
        <v/>
      </c>
      <c r="AX14" t="str">
        <f ca="1">IF(CC14="","",IFERROR(IF(INDEX(CODIFICACION!$E$2:$E$500,MATCH("D6.24|"&amp;CC14,CODIFICACION!$F$2:$F$500,0))="sin dato","",INDEX(CODIFICACION!$E$2:$E$500,MATCH("D6.24|"&amp;CC14,CODIFICACION!$F$2:$F$500,0))),"⚠"))</f>
        <v/>
      </c>
      <c r="AY14" t="str">
        <f ca="1">IF(CD14="","",IFERROR(IF(INDEX(CODIFICACION!$E$2:$E$500,MATCH("D6.25|"&amp;CD14,CODIFICACION!$F$2:$F$500,0))="sin dato","",INDEX(CODIFICACION!$E$2:$E$500,MATCH("D6.25|"&amp;CD14,CODIFICACION!$F$2:$F$500,0))),"⚠"))</f>
        <v/>
      </c>
      <c r="AZ14" t="str">
        <f>IF(CE14="","",IFERROR(IF(INDEX(CODIFICACION!$E$2:$E$500,MATCH("D6.25a|"&amp;CE14,CODIFICACION!$F$2:$F$500,0))="sin dato","",INDEX(CODIFICACION!$E$2:$E$500,MATCH("D6.25a|"&amp;CE14,CODIFICACION!$F$2:$F$500,0))),"⚠"))</f>
        <v/>
      </c>
      <c r="BA14" t="str">
        <f>IF(CF14="","",IFERROR(IF(INDEX(CODIFICACION!$E$2:$E$500,MATCH("D6.25b|"&amp;CF14,CODIFICACION!$F$2:$F$500,0))="sin dato","",INDEX(CODIFICACION!$E$2:$E$500,MATCH("D6.25b|"&amp;CF14,CODIFICACION!$F$2:$F$500,0))),"⚠"))</f>
        <v/>
      </c>
      <c r="BB14" t="str">
        <f ca="1">IF(CG14="","",IFERROR(IF(INDEX(CODIFICACION!$E$2:$E$500,MATCH("D6.22c|"&amp;CG14,CODIFICACION!$F$2:$F$500,0))="sin dato","",INDEX(CODIFICACION!$E$2:$E$500,MATCH("D6.22c|"&amp;CG14,CODIFICACION!$F$2:$F$500,0))),"⚠"))</f>
        <v/>
      </c>
      <c r="BC14" t="str">
        <f ca="1">IF(CH14="","",IFERROR(IF(INDEX(CODIFICACION!$E$2:$E$500,MATCH("D7.26|"&amp;CH14,CODIFICACION!$F$2:$F$500,0))="sin dato","",INDEX(CODIFICACION!$E$2:$E$500,MATCH("D7.26|"&amp;CH14,CODIFICACION!$F$2:$F$500,0))),"⚠"))</f>
        <v/>
      </c>
      <c r="BD14" t="str">
        <f>IF(CI14="","",IFERROR(IF(INDEX(CODIFICACION!$E$2:$E$500,MATCH("D7.27|"&amp;CI14,CODIFICACION!$F$2:$F$500,0))="sin dato","",INDEX(CODIFICACION!$E$2:$E$500,MATCH("D7.27|"&amp;CI14,CODIFICACION!$F$2:$F$500,0))),"⚠"))</f>
        <v/>
      </c>
      <c r="BE14" t="str">
        <f>IF(CJ14="","",IFERROR(IF(INDEX(CODIFICACION!$E$2:$E$500,MATCH("D7.28|"&amp;CJ14,CODIFICACION!$F$2:$F$500,0))="sin dato","",INDEX(CODIFICACION!$E$2:$E$500,MATCH("D7.28|"&amp;CJ14,CODIFICACION!$F$2:$F$500,0))),"⚠"))</f>
        <v/>
      </c>
      <c r="BF14" t="str">
        <f>IF(CK14="","",IFERROR(IF(INDEX(CODIFICACION!$E$2:$E$500,MATCH("D7.28b|"&amp;CK14,CODIFICACION!$F$2:$F$500,0))="sin dato","",INDEX(CODIFICACION!$E$2:$E$500,MATCH("D7.28b|"&amp;CK14,CODIFICACION!$F$2:$F$500,0))),"⚠"))</f>
        <v/>
      </c>
      <c r="BG14" t="str">
        <f t="shared" si="10"/>
        <v/>
      </c>
      <c r="BH14" t="str">
        <f>IF(CM14="","",IFERROR(IF(INDEX(CODIFICACION!$E$2:$E$500,MATCH("D7.26a|"&amp;CM14,CODIFICACION!$F$2:$F$500,0))="sin dato","",INDEX(CODIFICACION!$E$2:$E$500,MATCH("D7.26a|"&amp;CM14,CODIFICACION!$F$2:$F$500,0))),"⚠"))</f>
        <v/>
      </c>
      <c r="BI14" t="str">
        <f>IF(CN14="","",IFERROR(IF(INDEX(CODIFICACION!$E$2:$E$500,MATCH("D7.26b|"&amp;CN14,CODIFICACION!$F$2:$F$500,0))="sin dato","",INDEX(CODIFICACION!$E$2:$E$500,MATCH("D7.26b|"&amp;CN14,CODIFICACION!$F$2:$F$500,0))),"⚠"))</f>
        <v/>
      </c>
      <c r="BJ14" t="str">
        <f t="shared" si="11"/>
        <v/>
      </c>
      <c r="BK14" t="str">
        <f t="shared" si="12"/>
        <v/>
      </c>
      <c r="BL14" t="str">
        <f>IF(CQ14="","",IFERROR(IF(INDEX(CODIFICACION!$E$2:$E$500,MATCH("D8.31|"&amp;CQ14,CODIFICACION!$F$2:$F$500,0))="sin dato","",INDEX(CODIFICACION!$E$2:$E$500,MATCH("D8.31|"&amp;CQ14,CODIFICACION!$F$2:$F$500,0))),"⚠"))</f>
        <v/>
      </c>
      <c r="BM14" t="str">
        <f>IF(CR14="","",IFERROR(IF(INDEX(CODIFICACION!$E$2:$E$500,MATCH("D8.32|"&amp;CR14,CODIFICACION!$F$2:$F$500,0))="sin dato","",INDEX(CODIFICACION!$E$2:$E$500,MATCH("D8.32|"&amp;CR14,CODIFICACION!$F$2:$F$500,0))),"⚠"))</f>
        <v/>
      </c>
      <c r="BN14" t="str">
        <f>IF(CS14="","",IFERROR(IF(INDEX(CODIFICACION!$E$2:$E$500,MATCH("D9.33|"&amp;CS14,CODIFICACION!$F$2:$F$500,0))="sin dato","",INDEX(CODIFICACION!$E$2:$E$500,MATCH("D9.33|"&amp;CS14,CODIFICACION!$F$2:$F$500,0))),"⚠"))</f>
        <v/>
      </c>
      <c r="BO14" t="str">
        <f>IF(CT14="","",IFERROR(IF(INDEX(CODIFICACION!$E$2:$E$500,MATCH("D9.34|"&amp;CT14,CODIFICACION!$F$2:$F$500,0))="sin dato","",INDEX(CODIFICACION!$E$2:$E$500,MATCH("D9.34|"&amp;CT14,CODIFICACION!$F$2:$F$500,0))),"⚠"))</f>
        <v/>
      </c>
      <c r="BP14" t="str">
        <f>IF(CU14="","",IFERROR(IF(INDEX(CODIFICACION!$E$2:$E$500,MATCH("D9.35|"&amp;CU14,CODIFICACION!$F$2:$F$500,0))="sin dato","",INDEX(CODIFICACION!$E$2:$E$500,MATCH("D9.35|"&amp;CU14,CODIFICACION!$F$2:$F$500,0))),"⚠"))</f>
        <v/>
      </c>
      <c r="BQ14" t="str">
        <f>IF(CV14="","",IFERROR(IF(INDEX(CODIFICACION!$E$2:$E$500,MATCH("D10.36|"&amp;CV14,CODIFICACION!$F$2:$F$500,0))="sin dato","",INDEX(CODIFICACION!$E$2:$E$500,MATCH("D10.36|"&amp;CV14,CODIFICACION!$F$2:$F$500,0))),"⚠"))</f>
        <v/>
      </c>
      <c r="BR14" t="str">
        <f>IF(CW14="","",IFERROR(IF(INDEX(CODIFICACION!$E$2:$E$500,MATCH("D10.37|"&amp;CW14,CODIFICACION!$F$2:$F$500,0))="sin dato","",INDEX(CODIFICACION!$E$2:$E$500,MATCH("D10.37|"&amp;CW14,CODIFICACION!$F$2:$F$500,0))),"⚠"))</f>
        <v/>
      </c>
      <c r="BS14" t="str">
        <f>IF(CX14="","",IFERROR(IF(INDEX(CODIFICACION!$E$2:$E$500,MATCH("D10.36a|"&amp;CX14,CODIFICACION!$F$2:$F$500,0))="sin dato","",INDEX(CODIFICACION!$E$2:$E$500,MATCH("D10.36a|"&amp;CX14,CODIFICACION!$F$2:$F$500,0))),"⚠"))</f>
        <v/>
      </c>
      <c r="BT14" t="str">
        <f t="shared" si="13"/>
        <v/>
      </c>
      <c r="BU14" t="str">
        <f>IF(DA14="","",IFERROR(IF(INDEX(CODIFICACION!$E$2:$E$500,MATCH("D11.39a|"&amp;DA14,CODIFICACION!$F$2:$F$500,0))="sin dato","",INDEX(CODIFICACION!$E$2:$E$500,MATCH("D11.39a|"&amp;DA14,CODIFICACION!$F$2:$F$500,0))),"⚠"))</f>
        <v/>
      </c>
      <c r="BV14" t="str">
        <f>IF(DB14="","",IFERROR(IF(INDEX(CODIFICACION!$E$2:$E$500,MATCH("D12.42|"&amp;DB14,CODIFICACION!$F$2:$F$500,0))="sin dato","",INDEX(CODIFICACION!$E$2:$E$500,MATCH("D12.42|"&amp;DB14,CODIFICACION!$F$2:$F$500,0))),"⚠"))</f>
        <v/>
      </c>
      <c r="BW14" t="str">
        <f>IF(DC14="","",IFERROR(IF(INDEX(CODIFICACION!$E$2:$E$500,MATCH("D13.45|"&amp;DC14,CODIFICACION!$F$2:$F$500,0))="sin dato","",INDEX(CODIFICACION!$E$2:$E$500,MATCH("D13.45|"&amp;DC14,CODIFICACION!$F$2:$F$500,0))),"⚠"))</f>
        <v/>
      </c>
      <c r="BX14" t="str">
        <f>IF(DD14="","",IFERROR(IF(INDEX(CODIFICACION!$E$2:$E$500,MATCH("D14.51|"&amp;DD14,CODIFICACION!$F$2:$F$500,0))="sin dato","",INDEX(CODIFICACION!$E$2:$E$500,MATCH("D14.51|"&amp;DD14,CODIFICACION!$F$2:$F$500,0))),"⚠"))</f>
        <v/>
      </c>
      <c r="BY14" t="str">
        <f>IF(DE14="","",IFERROR(IF(INDEX(CODIFICACION!$E$2:$E$500,MATCH("D15.58|"&amp;DE14,CODIFICACION!$F$2:$F$500,0))="sin dato","",INDEX(CODIFICACION!$E$2:$E$500,MATCH("D15.58|"&amp;DE14,CODIFICACION!$F$2:$F$500,0))),"⚠"))</f>
        <v/>
      </c>
      <c r="BZ14" t="str">
        <f>IF(DF14="","",IFERROR(IF(INDEX(CODIFICACION!$E$2:$E$500,MATCH("PP1|"&amp;DF14,CODIFICACION!$F$2:$F$500,0))="sin dato","",INDEX(CODIFICACION!$E$2:$E$500,MATCH("PP1|"&amp;DF14,CODIFICACION!$F$2:$F$500,0))),"⚠"))</f>
        <v/>
      </c>
      <c r="CA14" t="str">
        <f>IF(DG14="","",IFERROR(IF(INDEX(CODIFICACION!$E$2:$E$500,MATCH("PP2|"&amp;DG14,CODIFICACION!$F$2:$F$500,0))="sin dato","",INDEX(CODIFICACION!$E$2:$E$500,MATCH("PP2|"&amp;DG14,CODIFICACION!$F$2:$F$500,0))),"⚠"))</f>
        <v/>
      </c>
      <c r="CB14" t="str">
        <f t="shared" si="14"/>
        <v/>
      </c>
      <c r="CC14" t="str">
        <f t="shared" ca="1" si="15"/>
        <v/>
      </c>
      <c r="CD14" t="str">
        <f t="shared" ca="1" si="16"/>
        <v/>
      </c>
      <c r="CE14" t="str">
        <f t="shared" si="17"/>
        <v/>
      </c>
      <c r="CF14" t="str">
        <f t="shared" si="18"/>
        <v/>
      </c>
      <c r="CG14" t="str">
        <f t="shared" ca="1" si="19"/>
        <v/>
      </c>
      <c r="CH14" t="str">
        <f t="shared" ca="1" si="20"/>
        <v/>
      </c>
      <c r="CI14" t="str">
        <f t="shared" si="21"/>
        <v/>
      </c>
      <c r="CJ14" t="str">
        <f t="shared" si="22"/>
        <v/>
      </c>
      <c r="CK14" t="str">
        <f t="shared" si="23"/>
        <v/>
      </c>
      <c r="CL14" t="str">
        <f t="shared" si="24"/>
        <v/>
      </c>
    </row>
    <row r="15" spans="1:90" x14ac:dyDescent="0.3">
      <c r="A15">
        <f>CAPTURA!A15</f>
        <v>20145484597</v>
      </c>
      <c r="B15">
        <f>CAPTURA!C15</f>
        <v>0</v>
      </c>
      <c r="C15" t="str">
        <f t="shared" si="0"/>
        <v/>
      </c>
      <c r="D15" t="str">
        <f>IF(AE15="","",IFERROR(IF(INDEX(CODIFICACION!$E$2:$E$500,MATCH("P8|"&amp;AE15,CODIFICACION!$F$2:$F$500,0))="sin dato","",INDEX(CODIFICACION!$E$2:$E$500,MATCH("P8|"&amp;AE15,CODIFICACION!$F$2:$F$500,0))),"⚠"))</f>
        <v/>
      </c>
      <c r="E15" t="str">
        <f>IF(AG15="","",IFERROR(IF(INDEX(CODIFICACION!$E$2:$E$500,MATCH("P10|"&amp;AG15,CODIFICACION!$F$2:$F$500,0))="sin dato","",INDEX(CODIFICACION!$E$2:$E$500,MATCH("P10|"&amp;AG15,CODIFICACION!$F$2:$F$500,0))),"⚠"))</f>
        <v/>
      </c>
      <c r="F15" t="str">
        <f>IF(AJ15="","",IFERROR(IF(INDEX(CODIFICACION!$E$2:$E$500,MATCH("P13|"&amp;AJ15,CODIFICACION!$F$2:$F$500,0))="sin dato","",INDEX(CODIFICACION!$E$2:$E$500,MATCH("P13|"&amp;AJ15,CODIFICACION!$F$2:$F$500,0))),"⚠"))</f>
        <v/>
      </c>
      <c r="G15" t="str">
        <f>IF(AK15="","",IFERROR(IF(INDEX(CODIFICACION!$E$2:$E$500,MATCH("P14|"&amp;AK15,CODIFICACION!$F$2:$F$500,0))="sin dato","",INDEX(CODIFICACION!$E$2:$E$500,MATCH("P14|"&amp;AK15,CODIFICACION!$F$2:$F$500,0))),"⚠"))</f>
        <v/>
      </c>
      <c r="H15" t="str">
        <f>IF(AL15="","",IFERROR(IF(INDEX(CODIFICACION!$E$2:$E$500,MATCH("D1.1|"&amp;AL15,CODIFICACION!$F$2:$F$500,0))="sin dato","",INDEX(CODIFICACION!$E$2:$E$500,MATCH("D1.1|"&amp;AL15,CODIFICACION!$F$2:$F$500,0))),"⚠"))</f>
        <v/>
      </c>
      <c r="I15" t="str">
        <f>IF(AN15="","",IFERROR(IF(INDEX(CODIFICACION!$E$2:$E$500,MATCH("D1.3|"&amp;AN15,CODIFICACION!$F$2:$F$500,0))="sin dato","",INDEX(CODIFICACION!$E$2:$E$500,MATCH("D1.3|"&amp;AN15,CODIFICACION!$F$2:$F$500,0))),"⚠"))</f>
        <v/>
      </c>
      <c r="J15" t="str">
        <f>IF(AO15="","",IFERROR(IF(INDEX(CODIFICACION!$E$2:$E$500,MATCH("D1.4|"&amp;AO15,CODIFICACION!$F$2:$F$500,0))="sin dato","",INDEX(CODIFICACION!$E$2:$E$500,MATCH("D1.4|"&amp;AO15,CODIFICACION!$F$2:$F$500,0))),"⚠"))</f>
        <v/>
      </c>
      <c r="K15" t="str">
        <f>IF(AP15="","",IFERROR(IF(INDEX(CODIFICACION!$E$2:$E$500,MATCH("D1.3a|"&amp;AP15,CODIFICACION!$F$2:$F$500,0))="sin dato","",INDEX(CODIFICACION!$E$2:$E$500,MATCH("D1.3a|"&amp;AP15,CODIFICACION!$F$2:$F$500,0))),"⚠"))</f>
        <v/>
      </c>
      <c r="L15" t="str">
        <f t="shared" si="1"/>
        <v/>
      </c>
      <c r="M15" t="str">
        <f t="shared" si="2"/>
        <v/>
      </c>
      <c r="N15" t="str">
        <f t="shared" si="3"/>
        <v/>
      </c>
      <c r="O15" t="str">
        <f>IF(AT15="","",IFERROR(IF(INDEX(CODIFICACION!$E$2:$E$500,MATCH("D2.8|"&amp;AT15,CODIFICACION!$F$2:$F$500,0))="sin dato","",INDEX(CODIFICACION!$E$2:$E$500,MATCH("D2.8|"&amp;AT15,CODIFICACION!$F$2:$F$500,0))),"⚠"))</f>
        <v/>
      </c>
      <c r="P15" t="str">
        <f>IF(AU15="","",IFERROR(IF(INDEX(CODIFICACION!$E$2:$E$500,MATCH("D2.9|"&amp;AU15,CODIFICACION!$F$2:$F$500,0))="sin dato","",INDEX(CODIFICACION!$E$2:$E$500,MATCH("D2.9|"&amp;AU15,CODIFICACION!$F$2:$F$500,0))),"⚠"))</f>
        <v/>
      </c>
      <c r="Q15" t="str">
        <f>IF(AV15="","",IFERROR(IF(INDEX(CODIFICACION!$E$2:$E$500,MATCH("D2.10|"&amp;AV15,CODIFICACION!$F$2:$F$500,0))="sin dato","",INDEX(CODIFICACION!$E$2:$E$500,MATCH("D2.10|"&amp;AV15,CODIFICACION!$F$2:$F$500,0))),"⚠"))</f>
        <v/>
      </c>
      <c r="R15" t="str">
        <f>IF(AW15="","",IFERROR(IF(INDEX(CODIFICACION!$E$2:$E$500,MATCH("D2.5a|"&amp;AW15,CODIFICACION!$F$2:$F$500,0))="sin dato","",INDEX(CODIFICACION!$E$2:$E$500,MATCH("D2.5a|"&amp;AW15,CODIFICACION!$F$2:$F$500,0))),"⚠"))</f>
        <v/>
      </c>
      <c r="S15" t="str">
        <f ca="1">IF(AX15="","",IFERROR(IF(INDEX(CODIFICACION!$E$2:$E$500,MATCH("D2.5b|"&amp;AX15,CODIFICACION!$F$2:$F$500,0))="sin dato","",INDEX(CODIFICACION!$E$2:$E$500,MATCH("D2.5b|"&amp;AX15,CODIFICACION!$F$2:$F$500,0))),"⚠"))</f>
        <v/>
      </c>
      <c r="T15" t="str">
        <f t="shared" ca="1" si="4"/>
        <v/>
      </c>
      <c r="U15" t="str">
        <f>IF(AZ15="","",IFERROR(IF(INDEX(CODIFICACION!$E$2:$E$500,MATCH("D3.12|"&amp;AZ15,CODIFICACION!$F$2:$F$500,0))="sin dato","",INDEX(CODIFICACION!$E$2:$E$500,MATCH("D3.12|"&amp;AZ15,CODIFICACION!$F$2:$F$500,0))),"⚠"))</f>
        <v/>
      </c>
      <c r="V15" t="str">
        <f t="shared" si="5"/>
        <v/>
      </c>
      <c r="W15" t="str">
        <f ca="1">IF(BB15="","",IFERROR(IF(INDEX(CODIFICACION!$E$2:$E$500,MATCH("D3.14|"&amp;BB15,CODIFICACION!$F$2:$F$500,0))="sin dato","",INDEX(CODIFICACION!$E$2:$E$500,MATCH("D3.14|"&amp;BB15,CODIFICACION!$F$2:$F$500,0))),"⚠"))</f>
        <v/>
      </c>
      <c r="X15" t="str">
        <f ca="1">IF(BC15="","",IFERROR(IF(INDEX(CODIFICACION!$E$2:$E$500,MATCH("D3.14a|"&amp;BC15,CODIFICACION!$F$2:$F$500,0))="sin dato","",INDEX(CODIFICACION!$E$2:$E$500,MATCH("D3.14a|"&amp;BC15,CODIFICACION!$F$2:$F$500,0))),"⚠"))</f>
        <v/>
      </c>
      <c r="Y15" t="str">
        <f>IF(BD15="","",IFERROR(IF(INDEX(CODIFICACION!$E$2:$E$500,MATCH("D3.14b|"&amp;BD15,CODIFICACION!$F$2:$F$500,0))="sin dato","",INDEX(CODIFICACION!$E$2:$E$500,MATCH("D3.14b|"&amp;BD15,CODIFICACION!$F$2:$F$500,0))),"⚠"))</f>
        <v/>
      </c>
      <c r="Z15" t="str">
        <f>IF(BE15="","",IFERROR(IF(INDEX(CODIFICACION!$E$2:$E$500,MATCH("D3.14c|"&amp;BE15,CODIFICACION!$F$2:$F$500,0))="sin dato","",INDEX(CODIFICACION!$E$2:$E$500,MATCH("D3.14c|"&amp;BE15,CODIFICACION!$F$2:$F$500,0))),"⚠"))</f>
        <v/>
      </c>
      <c r="AA15" t="str">
        <f>IF(BF15="","",IFERROR(IF(INDEX(CODIFICACION!$E$2:$E$500,MATCH("D3.14d|"&amp;BF15,CODIFICACION!$F$2:$F$500,0))="sin dato","",INDEX(CODIFICACION!$E$2:$E$500,MATCH("D3.14d|"&amp;BF15,CODIFICACION!$F$2:$F$500,0))),"⚠"))</f>
        <v/>
      </c>
      <c r="AB15" t="str">
        <f>IF(BG15="","",IFERROR(IF(INDEX(CODIFICACION!$E$2:$E$500,MATCH("D3.14e|"&amp;BG15,CODIFICACION!$F$2:$F$500,0))="sin dato","",INDEX(CODIFICACION!$E$2:$E$500,MATCH("D3.14e|"&amp;BG15,CODIFICACION!$F$2:$F$500,0))),"⚠"))</f>
        <v/>
      </c>
      <c r="AC15" t="str">
        <f>IF(BH15="","",IFERROR(IF(INDEX(CODIFICACION!$E$2:$E$500,MATCH("D3.14f|"&amp;BH15,CODIFICACION!$F$2:$F$500,0))="sin dato","",INDEX(CODIFICACION!$E$2:$E$500,MATCH("D3.14f|"&amp;BH15,CODIFICACION!$F$2:$F$500,0))),"⚠"))</f>
        <v/>
      </c>
      <c r="AD15" t="str">
        <f>IF(BI15="","",IFERROR(IF(INDEX(CODIFICACION!$E$2:$E$500,MATCH("D3.14g|"&amp;BI15,CODIFICACION!$F$2:$F$500,0))="sin dato","",INDEX(CODIFICACION!$E$2:$E$500,MATCH("D3.14g|"&amp;BI15,CODIFICACION!$F$2:$F$500,0))),"⚠"))</f>
        <v/>
      </c>
      <c r="AE15" t="str">
        <f>IF(BJ15="","",IFERROR(IF(INDEX(CODIFICACION!$E$2:$E$500,MATCH("D3.14h|"&amp;BJ15,CODIFICACION!$F$2:$F$500,0))="sin dato","",INDEX(CODIFICACION!$E$2:$E$500,MATCH("D3.14h|"&amp;BJ15,CODIFICACION!$F$2:$F$500,0))),"⚠"))</f>
        <v/>
      </c>
      <c r="AF15" t="str">
        <f>IF(BK15="","",IFERROR(IF(INDEX(CODIFICACION!$E$2:$E$500,MATCH("D3.14i|"&amp;BK15,CODIFICACION!$F$2:$F$500,0))="sin dato","",INDEX(CODIFICACION!$E$2:$E$500,MATCH("D3.14i|"&amp;BK15,CODIFICACION!$F$2:$F$500,0))),"⚠"))</f>
        <v/>
      </c>
      <c r="AG15" t="str">
        <f>IF(BL15="","",IFERROR(IF(INDEX(CODIFICACION!$E$2:$E$500,MATCH("D4.15|"&amp;BL15,CODIFICACION!$F$2:$F$500,0))="sin dato","",INDEX(CODIFICACION!$E$2:$E$500,MATCH("D4.15|"&amp;BL15,CODIFICACION!$F$2:$F$500,0))),"⚠"))</f>
        <v/>
      </c>
      <c r="AH15" t="str">
        <f t="shared" si="6"/>
        <v/>
      </c>
      <c r="AI15" t="str">
        <f>IF(BN15="","",IFERROR(IF(INDEX(CODIFICACION!$E$2:$E$500,MATCH("D4.17|"&amp;BN15,CODIFICACION!$F$2:$F$500,0))="sin dato","",INDEX(CODIFICACION!$E$2:$E$500,MATCH("D4.17|"&amp;BN15,CODIFICACION!$F$2:$F$500,0))),"⚠"))</f>
        <v/>
      </c>
      <c r="AJ15" t="str">
        <f>IF(BO15="","",IFERROR(IF(INDEX(CODIFICACION!$E$2:$E$500,MATCH("D4.15a|"&amp;BO15,CODIFICACION!$F$2:$F$500,0))="sin dato","",INDEX(CODIFICACION!$E$2:$E$500,MATCH("D4.15a|"&amp;BO15,CODIFICACION!$F$2:$F$500,0))),"⚠"))</f>
        <v/>
      </c>
      <c r="AK15" t="str">
        <f t="shared" si="7"/>
        <v/>
      </c>
      <c r="AL15" t="str">
        <f t="shared" si="8"/>
        <v/>
      </c>
      <c r="AM15" t="str">
        <f>IF(BR15="","",IFERROR(IF(INDEX(CODIFICACION!$E$2:$E$500,MATCH("D5.18b|"&amp;BR15,CODIFICACION!$F$2:$F$500,0))="sin dato","",INDEX(CODIFICACION!$E$2:$E$500,MATCH("D5.18b|"&amp;BR15,CODIFICACION!$F$2:$F$500,0))),"⚠"))</f>
        <v/>
      </c>
      <c r="AN15" t="str">
        <f>IF(BS15="","",IFERROR(IF(INDEX(CODIFICACION!$E$2:$E$500,MATCH("D5.19|"&amp;BS15,CODIFICACION!$F$2:$F$500,0))="sin dato","",INDEX(CODIFICACION!$E$2:$E$500,MATCH("D5.19|"&amp;BS15,CODIFICACION!$F$2:$F$500,0))),"⚠"))</f>
        <v/>
      </c>
      <c r="AO15" t="str">
        <f t="shared" si="9"/>
        <v/>
      </c>
      <c r="AP15" t="str">
        <f>IF(BU15="","",IFERROR(IF(INDEX(CODIFICACION!$E$2:$E$500,MATCH("D5.20|"&amp;BU15,CODIFICACION!$F$2:$F$500,0))="sin dato","",INDEX(CODIFICACION!$E$2:$E$500,MATCH("D5.20|"&amp;BU15,CODIFICACION!$F$2:$F$500,0))),"⚠"))</f>
        <v/>
      </c>
      <c r="AQ15" t="str">
        <f>IF(BV15="","",IFERROR(IF(INDEX(CODIFICACION!$E$2:$E$500,MATCH("D5.21|"&amp;BV15,CODIFICACION!$F$2:$F$500,0))="sin dato","",INDEX(CODIFICACION!$E$2:$E$500,MATCH("D5.21|"&amp;BV15,CODIFICACION!$F$2:$F$500,0))),"⚠"))</f>
        <v/>
      </c>
      <c r="AR15" t="str">
        <f>IF(BW15="","",IFERROR(IF(INDEX(CODIFICACION!$E$2:$E$500,MATCH("D5.21a|"&amp;BW15,CODIFICACION!$F$2:$F$500,0))="sin dato","",INDEX(CODIFICACION!$E$2:$E$500,MATCH("D5.21a|"&amp;BW15,CODIFICACION!$F$2:$F$500,0))),"⚠"))</f>
        <v/>
      </c>
      <c r="AS15" t="str">
        <f>IF(BX15="","",IFERROR(IF(INDEX(CODIFICACION!$E$2:$E$500,MATCH("D5.21b|"&amp;BX15,CODIFICACION!$F$2:$F$500,0))="sin dato","",INDEX(CODIFICACION!$E$2:$E$500,MATCH("D5.21b|"&amp;BX15,CODIFICACION!$F$2:$F$500,0))),"⚠"))</f>
        <v/>
      </c>
      <c r="AT15" t="str">
        <f>IF(BY15="","",IFERROR(IF(INDEX(CODIFICACION!$E$2:$E$500,MATCH("D6.22|"&amp;BY15,CODIFICACION!$F$2:$F$500,0))="sin dato","",INDEX(CODIFICACION!$E$2:$E$500,MATCH("D6.22|"&amp;BY15,CODIFICACION!$F$2:$F$500,0))),"⚠"))</f>
        <v/>
      </c>
      <c r="AU15" t="str">
        <f>IF(BZ15="","",IFERROR(IF(INDEX(CODIFICACION!$E$2:$E$500,MATCH("D6.22a|"&amp;BZ15,CODIFICACION!$F$2:$F$500,0))="sin dato","",INDEX(CODIFICACION!$E$2:$E$500,MATCH("D6.22a|"&amp;BZ15,CODIFICACION!$F$2:$F$500,0))),"⚠"))</f>
        <v/>
      </c>
      <c r="AV15" t="str">
        <f>IF(CA15="","",IFERROR(IF(INDEX(CODIFICACION!$E$2:$E$500,MATCH("D6.22b|"&amp;CA15,CODIFICACION!$F$2:$F$500,0))="sin dato","",INDEX(CODIFICACION!$E$2:$E$500,MATCH("D6.22b|"&amp;CA15,CODIFICACION!$F$2:$F$500,0))),"⚠"))</f>
        <v/>
      </c>
      <c r="AW15" t="str">
        <f>IF(CB15="","",IFERROR(IF(INDEX(CODIFICACION!$E$2:$E$500,MATCH("D6.23|"&amp;CB15,CODIFICACION!$F$2:$F$500,0))="sin dato","",INDEX(CODIFICACION!$E$2:$E$500,MATCH("D6.23|"&amp;CB15,CODIFICACION!$F$2:$F$500,0))),"⚠"))</f>
        <v/>
      </c>
      <c r="AX15" t="str">
        <f ca="1">IF(CC15="","",IFERROR(IF(INDEX(CODIFICACION!$E$2:$E$500,MATCH("D6.24|"&amp;CC15,CODIFICACION!$F$2:$F$500,0))="sin dato","",INDEX(CODIFICACION!$E$2:$E$500,MATCH("D6.24|"&amp;CC15,CODIFICACION!$F$2:$F$500,0))),"⚠"))</f>
        <v/>
      </c>
      <c r="AY15" t="str">
        <f ca="1">IF(CD15="","",IFERROR(IF(INDEX(CODIFICACION!$E$2:$E$500,MATCH("D6.25|"&amp;CD15,CODIFICACION!$F$2:$F$500,0))="sin dato","",INDEX(CODIFICACION!$E$2:$E$500,MATCH("D6.25|"&amp;CD15,CODIFICACION!$F$2:$F$500,0))),"⚠"))</f>
        <v/>
      </c>
      <c r="AZ15" t="str">
        <f>IF(CE15="","",IFERROR(IF(INDEX(CODIFICACION!$E$2:$E$500,MATCH("D6.25a|"&amp;CE15,CODIFICACION!$F$2:$F$500,0))="sin dato","",INDEX(CODIFICACION!$E$2:$E$500,MATCH("D6.25a|"&amp;CE15,CODIFICACION!$F$2:$F$500,0))),"⚠"))</f>
        <v/>
      </c>
      <c r="BA15" t="str">
        <f>IF(CF15="","",IFERROR(IF(INDEX(CODIFICACION!$E$2:$E$500,MATCH("D6.25b|"&amp;CF15,CODIFICACION!$F$2:$F$500,0))="sin dato","",INDEX(CODIFICACION!$E$2:$E$500,MATCH("D6.25b|"&amp;CF15,CODIFICACION!$F$2:$F$500,0))),"⚠"))</f>
        <v/>
      </c>
      <c r="BB15" t="str">
        <f ca="1">IF(CG15="","",IFERROR(IF(INDEX(CODIFICACION!$E$2:$E$500,MATCH("D6.22c|"&amp;CG15,CODIFICACION!$F$2:$F$500,0))="sin dato","",INDEX(CODIFICACION!$E$2:$E$500,MATCH("D6.22c|"&amp;CG15,CODIFICACION!$F$2:$F$500,0))),"⚠"))</f>
        <v/>
      </c>
      <c r="BC15" t="str">
        <f ca="1">IF(CH15="","",IFERROR(IF(INDEX(CODIFICACION!$E$2:$E$500,MATCH("D7.26|"&amp;CH15,CODIFICACION!$F$2:$F$500,0))="sin dato","",INDEX(CODIFICACION!$E$2:$E$500,MATCH("D7.26|"&amp;CH15,CODIFICACION!$F$2:$F$500,0))),"⚠"))</f>
        <v/>
      </c>
      <c r="BD15" t="str">
        <f>IF(CI15="","",IFERROR(IF(INDEX(CODIFICACION!$E$2:$E$500,MATCH("D7.27|"&amp;CI15,CODIFICACION!$F$2:$F$500,0))="sin dato","",INDEX(CODIFICACION!$E$2:$E$500,MATCH("D7.27|"&amp;CI15,CODIFICACION!$F$2:$F$500,0))),"⚠"))</f>
        <v/>
      </c>
      <c r="BE15" t="str">
        <f>IF(CJ15="","",IFERROR(IF(INDEX(CODIFICACION!$E$2:$E$500,MATCH("D7.28|"&amp;CJ15,CODIFICACION!$F$2:$F$500,0))="sin dato","",INDEX(CODIFICACION!$E$2:$E$500,MATCH("D7.28|"&amp;CJ15,CODIFICACION!$F$2:$F$500,0))),"⚠"))</f>
        <v/>
      </c>
      <c r="BF15" t="str">
        <f>IF(CK15="","",IFERROR(IF(INDEX(CODIFICACION!$E$2:$E$500,MATCH("D7.28b|"&amp;CK15,CODIFICACION!$F$2:$F$500,0))="sin dato","",INDEX(CODIFICACION!$E$2:$E$500,MATCH("D7.28b|"&amp;CK15,CODIFICACION!$F$2:$F$500,0))),"⚠"))</f>
        <v/>
      </c>
      <c r="BG15" t="str">
        <f t="shared" si="10"/>
        <v/>
      </c>
      <c r="BH15" t="str">
        <f>IF(CM15="","",IFERROR(IF(INDEX(CODIFICACION!$E$2:$E$500,MATCH("D7.26a|"&amp;CM15,CODIFICACION!$F$2:$F$500,0))="sin dato","",INDEX(CODIFICACION!$E$2:$E$500,MATCH("D7.26a|"&amp;CM15,CODIFICACION!$F$2:$F$500,0))),"⚠"))</f>
        <v/>
      </c>
      <c r="BI15" t="str">
        <f>IF(CN15="","",IFERROR(IF(INDEX(CODIFICACION!$E$2:$E$500,MATCH("D7.26b|"&amp;CN15,CODIFICACION!$F$2:$F$500,0))="sin dato","",INDEX(CODIFICACION!$E$2:$E$500,MATCH("D7.26b|"&amp;CN15,CODIFICACION!$F$2:$F$500,0))),"⚠"))</f>
        <v/>
      </c>
      <c r="BJ15" t="str">
        <f t="shared" si="11"/>
        <v/>
      </c>
      <c r="BK15" t="str">
        <f t="shared" si="12"/>
        <v/>
      </c>
      <c r="BL15" t="str">
        <f>IF(CQ15="","",IFERROR(IF(INDEX(CODIFICACION!$E$2:$E$500,MATCH("D8.31|"&amp;CQ15,CODIFICACION!$F$2:$F$500,0))="sin dato","",INDEX(CODIFICACION!$E$2:$E$500,MATCH("D8.31|"&amp;CQ15,CODIFICACION!$F$2:$F$500,0))),"⚠"))</f>
        <v/>
      </c>
      <c r="BM15" t="str">
        <f>IF(CR15="","",IFERROR(IF(INDEX(CODIFICACION!$E$2:$E$500,MATCH("D8.32|"&amp;CR15,CODIFICACION!$F$2:$F$500,0))="sin dato","",INDEX(CODIFICACION!$E$2:$E$500,MATCH("D8.32|"&amp;CR15,CODIFICACION!$F$2:$F$500,0))),"⚠"))</f>
        <v/>
      </c>
      <c r="BN15" t="str">
        <f>IF(CS15="","",IFERROR(IF(INDEX(CODIFICACION!$E$2:$E$500,MATCH("D9.33|"&amp;CS15,CODIFICACION!$F$2:$F$500,0))="sin dato","",INDEX(CODIFICACION!$E$2:$E$500,MATCH("D9.33|"&amp;CS15,CODIFICACION!$F$2:$F$500,0))),"⚠"))</f>
        <v/>
      </c>
      <c r="BO15" t="str">
        <f>IF(CT15="","",IFERROR(IF(INDEX(CODIFICACION!$E$2:$E$500,MATCH("D9.34|"&amp;CT15,CODIFICACION!$F$2:$F$500,0))="sin dato","",INDEX(CODIFICACION!$E$2:$E$500,MATCH("D9.34|"&amp;CT15,CODIFICACION!$F$2:$F$500,0))),"⚠"))</f>
        <v/>
      </c>
      <c r="BP15" t="str">
        <f>IF(CU15="","",IFERROR(IF(INDEX(CODIFICACION!$E$2:$E$500,MATCH("D9.35|"&amp;CU15,CODIFICACION!$F$2:$F$500,0))="sin dato","",INDEX(CODIFICACION!$E$2:$E$500,MATCH("D9.35|"&amp;CU15,CODIFICACION!$F$2:$F$500,0))),"⚠"))</f>
        <v/>
      </c>
      <c r="BQ15" t="str">
        <f>IF(CV15="","",IFERROR(IF(INDEX(CODIFICACION!$E$2:$E$500,MATCH("D10.36|"&amp;CV15,CODIFICACION!$F$2:$F$500,0))="sin dato","",INDEX(CODIFICACION!$E$2:$E$500,MATCH("D10.36|"&amp;CV15,CODIFICACION!$F$2:$F$500,0))),"⚠"))</f>
        <v/>
      </c>
      <c r="BR15" t="str">
        <f>IF(CW15="","",IFERROR(IF(INDEX(CODIFICACION!$E$2:$E$500,MATCH("D10.37|"&amp;CW15,CODIFICACION!$F$2:$F$500,0))="sin dato","",INDEX(CODIFICACION!$E$2:$E$500,MATCH("D10.37|"&amp;CW15,CODIFICACION!$F$2:$F$500,0))),"⚠"))</f>
        <v/>
      </c>
      <c r="BS15" t="str">
        <f>IF(CX15="","",IFERROR(IF(INDEX(CODIFICACION!$E$2:$E$500,MATCH("D10.36a|"&amp;CX15,CODIFICACION!$F$2:$F$500,0))="sin dato","",INDEX(CODIFICACION!$E$2:$E$500,MATCH("D10.36a|"&amp;CX15,CODIFICACION!$F$2:$F$500,0))),"⚠"))</f>
        <v/>
      </c>
      <c r="BT15" t="str">
        <f t="shared" si="13"/>
        <v/>
      </c>
      <c r="BU15" t="str">
        <f>IF(DA15="","",IFERROR(IF(INDEX(CODIFICACION!$E$2:$E$500,MATCH("D11.39a|"&amp;DA15,CODIFICACION!$F$2:$F$500,0))="sin dato","",INDEX(CODIFICACION!$E$2:$E$500,MATCH("D11.39a|"&amp;DA15,CODIFICACION!$F$2:$F$500,0))),"⚠"))</f>
        <v/>
      </c>
      <c r="BV15" t="str">
        <f>IF(DB15="","",IFERROR(IF(INDEX(CODIFICACION!$E$2:$E$500,MATCH("D12.42|"&amp;DB15,CODIFICACION!$F$2:$F$500,0))="sin dato","",INDEX(CODIFICACION!$E$2:$E$500,MATCH("D12.42|"&amp;DB15,CODIFICACION!$F$2:$F$500,0))),"⚠"))</f>
        <v/>
      </c>
      <c r="BW15" t="str">
        <f>IF(DC15="","",IFERROR(IF(INDEX(CODIFICACION!$E$2:$E$500,MATCH("D13.45|"&amp;DC15,CODIFICACION!$F$2:$F$500,0))="sin dato","",INDEX(CODIFICACION!$E$2:$E$500,MATCH("D13.45|"&amp;DC15,CODIFICACION!$F$2:$F$500,0))),"⚠"))</f>
        <v/>
      </c>
      <c r="BX15" t="str">
        <f>IF(DD15="","",IFERROR(IF(INDEX(CODIFICACION!$E$2:$E$500,MATCH("D14.51|"&amp;DD15,CODIFICACION!$F$2:$F$500,0))="sin dato","",INDEX(CODIFICACION!$E$2:$E$500,MATCH("D14.51|"&amp;DD15,CODIFICACION!$F$2:$F$500,0))),"⚠"))</f>
        <v/>
      </c>
      <c r="BY15" t="str">
        <f>IF(DE15="","",IFERROR(IF(INDEX(CODIFICACION!$E$2:$E$500,MATCH("D15.58|"&amp;DE15,CODIFICACION!$F$2:$F$500,0))="sin dato","",INDEX(CODIFICACION!$E$2:$E$500,MATCH("D15.58|"&amp;DE15,CODIFICACION!$F$2:$F$500,0))),"⚠"))</f>
        <v/>
      </c>
      <c r="BZ15" t="str">
        <f>IF(DF15="","",IFERROR(IF(INDEX(CODIFICACION!$E$2:$E$500,MATCH("PP1|"&amp;DF15,CODIFICACION!$F$2:$F$500,0))="sin dato","",INDEX(CODIFICACION!$E$2:$E$500,MATCH("PP1|"&amp;DF15,CODIFICACION!$F$2:$F$500,0))),"⚠"))</f>
        <v/>
      </c>
      <c r="CA15" t="str">
        <f>IF(DG15="","",IFERROR(IF(INDEX(CODIFICACION!$E$2:$E$500,MATCH("PP2|"&amp;DG15,CODIFICACION!$F$2:$F$500,0))="sin dato","",INDEX(CODIFICACION!$E$2:$E$500,MATCH("PP2|"&amp;DG15,CODIFICACION!$F$2:$F$500,0))),"⚠"))</f>
        <v/>
      </c>
      <c r="CB15" t="str">
        <f t="shared" si="14"/>
        <v/>
      </c>
      <c r="CC15" t="str">
        <f t="shared" ca="1" si="15"/>
        <v/>
      </c>
      <c r="CD15" t="str">
        <f t="shared" ca="1" si="16"/>
        <v/>
      </c>
      <c r="CE15" t="str">
        <f t="shared" si="17"/>
        <v/>
      </c>
      <c r="CF15" t="str">
        <f t="shared" si="18"/>
        <v/>
      </c>
      <c r="CG15" t="str">
        <f t="shared" ca="1" si="19"/>
        <v/>
      </c>
      <c r="CH15" t="str">
        <f t="shared" ca="1" si="20"/>
        <v/>
      </c>
      <c r="CI15" t="str">
        <f t="shared" si="21"/>
        <v/>
      </c>
      <c r="CJ15" t="str">
        <f t="shared" si="22"/>
        <v/>
      </c>
      <c r="CK15" t="str">
        <f t="shared" si="23"/>
        <v/>
      </c>
      <c r="CL15" t="str">
        <f t="shared" si="24"/>
        <v/>
      </c>
    </row>
    <row r="16" spans="1:90" x14ac:dyDescent="0.3">
      <c r="A16">
        <f>CAPTURA!A16</f>
        <v>20146696041</v>
      </c>
      <c r="B16">
        <f>CAPTURA!C16</f>
        <v>0</v>
      </c>
      <c r="C16" t="str">
        <f t="shared" si="0"/>
        <v/>
      </c>
      <c r="D16" t="str">
        <f>IF(AE16="","",IFERROR(IF(INDEX(CODIFICACION!$E$2:$E$500,MATCH("P8|"&amp;AE16,CODIFICACION!$F$2:$F$500,0))="sin dato","",INDEX(CODIFICACION!$E$2:$E$500,MATCH("P8|"&amp;AE16,CODIFICACION!$F$2:$F$500,0))),"⚠"))</f>
        <v/>
      </c>
      <c r="E16" t="str">
        <f>IF(AG16="","",IFERROR(IF(INDEX(CODIFICACION!$E$2:$E$500,MATCH("P10|"&amp;AG16,CODIFICACION!$F$2:$F$500,0))="sin dato","",INDEX(CODIFICACION!$E$2:$E$500,MATCH("P10|"&amp;AG16,CODIFICACION!$F$2:$F$500,0))),"⚠"))</f>
        <v/>
      </c>
      <c r="F16" t="str">
        <f>IF(AJ16="","",IFERROR(IF(INDEX(CODIFICACION!$E$2:$E$500,MATCH("P13|"&amp;AJ16,CODIFICACION!$F$2:$F$500,0))="sin dato","",INDEX(CODIFICACION!$E$2:$E$500,MATCH("P13|"&amp;AJ16,CODIFICACION!$F$2:$F$500,0))),"⚠"))</f>
        <v/>
      </c>
      <c r="G16" t="str">
        <f>IF(AK16="","",IFERROR(IF(INDEX(CODIFICACION!$E$2:$E$500,MATCH("P14|"&amp;AK16,CODIFICACION!$F$2:$F$500,0))="sin dato","",INDEX(CODIFICACION!$E$2:$E$500,MATCH("P14|"&amp;AK16,CODIFICACION!$F$2:$F$500,0))),"⚠"))</f>
        <v/>
      </c>
      <c r="H16" t="str">
        <f>IF(AL16="","",IFERROR(IF(INDEX(CODIFICACION!$E$2:$E$500,MATCH("D1.1|"&amp;AL16,CODIFICACION!$F$2:$F$500,0))="sin dato","",INDEX(CODIFICACION!$E$2:$E$500,MATCH("D1.1|"&amp;AL16,CODIFICACION!$F$2:$F$500,0))),"⚠"))</f>
        <v/>
      </c>
      <c r="I16" t="str">
        <f>IF(AN16="","",IFERROR(IF(INDEX(CODIFICACION!$E$2:$E$500,MATCH("D1.3|"&amp;AN16,CODIFICACION!$F$2:$F$500,0))="sin dato","",INDEX(CODIFICACION!$E$2:$E$500,MATCH("D1.3|"&amp;AN16,CODIFICACION!$F$2:$F$500,0))),"⚠"))</f>
        <v/>
      </c>
      <c r="J16" t="str">
        <f>IF(AO16="","",IFERROR(IF(INDEX(CODIFICACION!$E$2:$E$500,MATCH("D1.4|"&amp;AO16,CODIFICACION!$F$2:$F$500,0))="sin dato","",INDEX(CODIFICACION!$E$2:$E$500,MATCH("D1.4|"&amp;AO16,CODIFICACION!$F$2:$F$500,0))),"⚠"))</f>
        <v/>
      </c>
      <c r="K16" t="str">
        <f>IF(AP16="","",IFERROR(IF(INDEX(CODIFICACION!$E$2:$E$500,MATCH("D1.3a|"&amp;AP16,CODIFICACION!$F$2:$F$500,0))="sin dato","",INDEX(CODIFICACION!$E$2:$E$500,MATCH("D1.3a|"&amp;AP16,CODIFICACION!$F$2:$F$500,0))),"⚠"))</f>
        <v/>
      </c>
      <c r="L16" t="str">
        <f t="shared" si="1"/>
        <v/>
      </c>
      <c r="M16" t="str">
        <f t="shared" si="2"/>
        <v/>
      </c>
      <c r="N16" t="str">
        <f t="shared" si="3"/>
        <v/>
      </c>
      <c r="O16" t="str">
        <f>IF(AT16="","",IFERROR(IF(INDEX(CODIFICACION!$E$2:$E$500,MATCH("D2.8|"&amp;AT16,CODIFICACION!$F$2:$F$500,0))="sin dato","",INDEX(CODIFICACION!$E$2:$E$500,MATCH("D2.8|"&amp;AT16,CODIFICACION!$F$2:$F$500,0))),"⚠"))</f>
        <v/>
      </c>
      <c r="P16" t="str">
        <f>IF(AU16="","",IFERROR(IF(INDEX(CODIFICACION!$E$2:$E$500,MATCH("D2.9|"&amp;AU16,CODIFICACION!$F$2:$F$500,0))="sin dato","",INDEX(CODIFICACION!$E$2:$E$500,MATCH("D2.9|"&amp;AU16,CODIFICACION!$F$2:$F$500,0))),"⚠"))</f>
        <v/>
      </c>
      <c r="Q16" t="str">
        <f>IF(AV16="","",IFERROR(IF(INDEX(CODIFICACION!$E$2:$E$500,MATCH("D2.10|"&amp;AV16,CODIFICACION!$F$2:$F$500,0))="sin dato","",INDEX(CODIFICACION!$E$2:$E$500,MATCH("D2.10|"&amp;AV16,CODIFICACION!$F$2:$F$500,0))),"⚠"))</f>
        <v/>
      </c>
      <c r="R16" t="str">
        <f>IF(AW16="","",IFERROR(IF(INDEX(CODIFICACION!$E$2:$E$500,MATCH("D2.5a|"&amp;AW16,CODIFICACION!$F$2:$F$500,0))="sin dato","",INDEX(CODIFICACION!$E$2:$E$500,MATCH("D2.5a|"&amp;AW16,CODIFICACION!$F$2:$F$500,0))),"⚠"))</f>
        <v/>
      </c>
      <c r="S16" t="str">
        <f ca="1">IF(AX16="","",IFERROR(IF(INDEX(CODIFICACION!$E$2:$E$500,MATCH("D2.5b|"&amp;AX16,CODIFICACION!$F$2:$F$500,0))="sin dato","",INDEX(CODIFICACION!$E$2:$E$500,MATCH("D2.5b|"&amp;AX16,CODIFICACION!$F$2:$F$500,0))),"⚠"))</f>
        <v/>
      </c>
      <c r="T16" t="str">
        <f t="shared" ca="1" si="4"/>
        <v/>
      </c>
      <c r="U16" t="str">
        <f>IF(AZ16="","",IFERROR(IF(INDEX(CODIFICACION!$E$2:$E$500,MATCH("D3.12|"&amp;AZ16,CODIFICACION!$F$2:$F$500,0))="sin dato","",INDEX(CODIFICACION!$E$2:$E$500,MATCH("D3.12|"&amp;AZ16,CODIFICACION!$F$2:$F$500,0))),"⚠"))</f>
        <v/>
      </c>
      <c r="V16" t="str">
        <f t="shared" si="5"/>
        <v/>
      </c>
      <c r="W16" t="str">
        <f ca="1">IF(BB16="","",IFERROR(IF(INDEX(CODIFICACION!$E$2:$E$500,MATCH("D3.14|"&amp;BB16,CODIFICACION!$F$2:$F$500,0))="sin dato","",INDEX(CODIFICACION!$E$2:$E$500,MATCH("D3.14|"&amp;BB16,CODIFICACION!$F$2:$F$500,0))),"⚠"))</f>
        <v/>
      </c>
      <c r="X16" t="str">
        <f ca="1">IF(BC16="","",IFERROR(IF(INDEX(CODIFICACION!$E$2:$E$500,MATCH("D3.14a|"&amp;BC16,CODIFICACION!$F$2:$F$500,0))="sin dato","",INDEX(CODIFICACION!$E$2:$E$500,MATCH("D3.14a|"&amp;BC16,CODIFICACION!$F$2:$F$500,0))),"⚠"))</f>
        <v/>
      </c>
      <c r="Y16" t="str">
        <f>IF(BD16="","",IFERROR(IF(INDEX(CODIFICACION!$E$2:$E$500,MATCH("D3.14b|"&amp;BD16,CODIFICACION!$F$2:$F$500,0))="sin dato","",INDEX(CODIFICACION!$E$2:$E$500,MATCH("D3.14b|"&amp;BD16,CODIFICACION!$F$2:$F$500,0))),"⚠"))</f>
        <v/>
      </c>
      <c r="Z16" t="str">
        <f>IF(BE16="","",IFERROR(IF(INDEX(CODIFICACION!$E$2:$E$500,MATCH("D3.14c|"&amp;BE16,CODIFICACION!$F$2:$F$500,0))="sin dato","",INDEX(CODIFICACION!$E$2:$E$500,MATCH("D3.14c|"&amp;BE16,CODIFICACION!$F$2:$F$500,0))),"⚠"))</f>
        <v/>
      </c>
      <c r="AA16" t="str">
        <f>IF(BF16="","",IFERROR(IF(INDEX(CODIFICACION!$E$2:$E$500,MATCH("D3.14d|"&amp;BF16,CODIFICACION!$F$2:$F$500,0))="sin dato","",INDEX(CODIFICACION!$E$2:$E$500,MATCH("D3.14d|"&amp;BF16,CODIFICACION!$F$2:$F$500,0))),"⚠"))</f>
        <v/>
      </c>
      <c r="AB16" t="str">
        <f>IF(BG16="","",IFERROR(IF(INDEX(CODIFICACION!$E$2:$E$500,MATCH("D3.14e|"&amp;BG16,CODIFICACION!$F$2:$F$500,0))="sin dato","",INDEX(CODIFICACION!$E$2:$E$500,MATCH("D3.14e|"&amp;BG16,CODIFICACION!$F$2:$F$500,0))),"⚠"))</f>
        <v/>
      </c>
      <c r="AC16" t="str">
        <f>IF(BH16="","",IFERROR(IF(INDEX(CODIFICACION!$E$2:$E$500,MATCH("D3.14f|"&amp;BH16,CODIFICACION!$F$2:$F$500,0))="sin dato","",INDEX(CODIFICACION!$E$2:$E$500,MATCH("D3.14f|"&amp;BH16,CODIFICACION!$F$2:$F$500,0))),"⚠"))</f>
        <v/>
      </c>
      <c r="AD16" t="str">
        <f>IF(BI16="","",IFERROR(IF(INDEX(CODIFICACION!$E$2:$E$500,MATCH("D3.14g|"&amp;BI16,CODIFICACION!$F$2:$F$500,0))="sin dato","",INDEX(CODIFICACION!$E$2:$E$500,MATCH("D3.14g|"&amp;BI16,CODIFICACION!$F$2:$F$500,0))),"⚠"))</f>
        <v/>
      </c>
      <c r="AE16" t="str">
        <f>IF(BJ16="","",IFERROR(IF(INDEX(CODIFICACION!$E$2:$E$500,MATCH("D3.14h|"&amp;BJ16,CODIFICACION!$F$2:$F$500,0))="sin dato","",INDEX(CODIFICACION!$E$2:$E$500,MATCH("D3.14h|"&amp;BJ16,CODIFICACION!$F$2:$F$500,0))),"⚠"))</f>
        <v/>
      </c>
      <c r="AF16" t="str">
        <f>IF(BK16="","",IFERROR(IF(INDEX(CODIFICACION!$E$2:$E$500,MATCH("D3.14i|"&amp;BK16,CODIFICACION!$F$2:$F$500,0))="sin dato","",INDEX(CODIFICACION!$E$2:$E$500,MATCH("D3.14i|"&amp;BK16,CODIFICACION!$F$2:$F$500,0))),"⚠"))</f>
        <v/>
      </c>
      <c r="AG16" t="str">
        <f>IF(BL16="","",IFERROR(IF(INDEX(CODIFICACION!$E$2:$E$500,MATCH("D4.15|"&amp;BL16,CODIFICACION!$F$2:$F$500,0))="sin dato","",INDEX(CODIFICACION!$E$2:$E$500,MATCH("D4.15|"&amp;BL16,CODIFICACION!$F$2:$F$500,0))),"⚠"))</f>
        <v/>
      </c>
      <c r="AH16" t="str">
        <f t="shared" si="6"/>
        <v/>
      </c>
      <c r="AI16" t="str">
        <f>IF(BN16="","",IFERROR(IF(INDEX(CODIFICACION!$E$2:$E$500,MATCH("D4.17|"&amp;BN16,CODIFICACION!$F$2:$F$500,0))="sin dato","",INDEX(CODIFICACION!$E$2:$E$500,MATCH("D4.17|"&amp;BN16,CODIFICACION!$F$2:$F$500,0))),"⚠"))</f>
        <v/>
      </c>
      <c r="AJ16" t="str">
        <f>IF(BO16="","",IFERROR(IF(INDEX(CODIFICACION!$E$2:$E$500,MATCH("D4.15a|"&amp;BO16,CODIFICACION!$F$2:$F$500,0))="sin dato","",INDEX(CODIFICACION!$E$2:$E$500,MATCH("D4.15a|"&amp;BO16,CODIFICACION!$F$2:$F$500,0))),"⚠"))</f>
        <v/>
      </c>
      <c r="AK16" t="str">
        <f t="shared" si="7"/>
        <v/>
      </c>
      <c r="AL16" t="str">
        <f t="shared" si="8"/>
        <v/>
      </c>
      <c r="AM16" t="str">
        <f>IF(BR16="","",IFERROR(IF(INDEX(CODIFICACION!$E$2:$E$500,MATCH("D5.18b|"&amp;BR16,CODIFICACION!$F$2:$F$500,0))="sin dato","",INDEX(CODIFICACION!$E$2:$E$500,MATCH("D5.18b|"&amp;BR16,CODIFICACION!$F$2:$F$500,0))),"⚠"))</f>
        <v/>
      </c>
      <c r="AN16" t="str">
        <f>IF(BS16="","",IFERROR(IF(INDEX(CODIFICACION!$E$2:$E$500,MATCH("D5.19|"&amp;BS16,CODIFICACION!$F$2:$F$500,0))="sin dato","",INDEX(CODIFICACION!$E$2:$E$500,MATCH("D5.19|"&amp;BS16,CODIFICACION!$F$2:$F$500,0))),"⚠"))</f>
        <v/>
      </c>
      <c r="AO16" t="str">
        <f t="shared" si="9"/>
        <v/>
      </c>
      <c r="AP16" t="str">
        <f>IF(BU16="","",IFERROR(IF(INDEX(CODIFICACION!$E$2:$E$500,MATCH("D5.20|"&amp;BU16,CODIFICACION!$F$2:$F$500,0))="sin dato","",INDEX(CODIFICACION!$E$2:$E$500,MATCH("D5.20|"&amp;BU16,CODIFICACION!$F$2:$F$500,0))),"⚠"))</f>
        <v/>
      </c>
      <c r="AQ16" t="str">
        <f>IF(BV16="","",IFERROR(IF(INDEX(CODIFICACION!$E$2:$E$500,MATCH("D5.21|"&amp;BV16,CODIFICACION!$F$2:$F$500,0))="sin dato","",INDEX(CODIFICACION!$E$2:$E$500,MATCH("D5.21|"&amp;BV16,CODIFICACION!$F$2:$F$500,0))),"⚠"))</f>
        <v/>
      </c>
      <c r="AR16" t="str">
        <f>IF(BW16="","",IFERROR(IF(INDEX(CODIFICACION!$E$2:$E$500,MATCH("D5.21a|"&amp;BW16,CODIFICACION!$F$2:$F$500,0))="sin dato","",INDEX(CODIFICACION!$E$2:$E$500,MATCH("D5.21a|"&amp;BW16,CODIFICACION!$F$2:$F$500,0))),"⚠"))</f>
        <v/>
      </c>
      <c r="AS16" t="str">
        <f>IF(BX16="","",IFERROR(IF(INDEX(CODIFICACION!$E$2:$E$500,MATCH("D5.21b|"&amp;BX16,CODIFICACION!$F$2:$F$500,0))="sin dato","",INDEX(CODIFICACION!$E$2:$E$500,MATCH("D5.21b|"&amp;BX16,CODIFICACION!$F$2:$F$500,0))),"⚠"))</f>
        <v/>
      </c>
      <c r="AT16" t="str">
        <f>IF(BY16="","",IFERROR(IF(INDEX(CODIFICACION!$E$2:$E$500,MATCH("D6.22|"&amp;BY16,CODIFICACION!$F$2:$F$500,0))="sin dato","",INDEX(CODIFICACION!$E$2:$E$500,MATCH("D6.22|"&amp;BY16,CODIFICACION!$F$2:$F$500,0))),"⚠"))</f>
        <v/>
      </c>
      <c r="AU16" t="str">
        <f>IF(BZ16="","",IFERROR(IF(INDEX(CODIFICACION!$E$2:$E$500,MATCH("D6.22a|"&amp;BZ16,CODIFICACION!$F$2:$F$500,0))="sin dato","",INDEX(CODIFICACION!$E$2:$E$500,MATCH("D6.22a|"&amp;BZ16,CODIFICACION!$F$2:$F$500,0))),"⚠"))</f>
        <v/>
      </c>
      <c r="AV16" t="str">
        <f>IF(CA16="","",IFERROR(IF(INDEX(CODIFICACION!$E$2:$E$500,MATCH("D6.22b|"&amp;CA16,CODIFICACION!$F$2:$F$500,0))="sin dato","",INDEX(CODIFICACION!$E$2:$E$500,MATCH("D6.22b|"&amp;CA16,CODIFICACION!$F$2:$F$500,0))),"⚠"))</f>
        <v/>
      </c>
      <c r="AW16" t="str">
        <f>IF(CB16="","",IFERROR(IF(INDEX(CODIFICACION!$E$2:$E$500,MATCH("D6.23|"&amp;CB16,CODIFICACION!$F$2:$F$500,0))="sin dato","",INDEX(CODIFICACION!$E$2:$E$500,MATCH("D6.23|"&amp;CB16,CODIFICACION!$F$2:$F$500,0))),"⚠"))</f>
        <v/>
      </c>
      <c r="AX16" t="str">
        <f ca="1">IF(CC16="","",IFERROR(IF(INDEX(CODIFICACION!$E$2:$E$500,MATCH("D6.24|"&amp;CC16,CODIFICACION!$F$2:$F$500,0))="sin dato","",INDEX(CODIFICACION!$E$2:$E$500,MATCH("D6.24|"&amp;CC16,CODIFICACION!$F$2:$F$500,0))),"⚠"))</f>
        <v/>
      </c>
      <c r="AY16" t="str">
        <f ca="1">IF(CD16="","",IFERROR(IF(INDEX(CODIFICACION!$E$2:$E$500,MATCH("D6.25|"&amp;CD16,CODIFICACION!$F$2:$F$500,0))="sin dato","",INDEX(CODIFICACION!$E$2:$E$500,MATCH("D6.25|"&amp;CD16,CODIFICACION!$F$2:$F$500,0))),"⚠"))</f>
        <v/>
      </c>
      <c r="AZ16" t="str">
        <f>IF(CE16="","",IFERROR(IF(INDEX(CODIFICACION!$E$2:$E$500,MATCH("D6.25a|"&amp;CE16,CODIFICACION!$F$2:$F$500,0))="sin dato","",INDEX(CODIFICACION!$E$2:$E$500,MATCH("D6.25a|"&amp;CE16,CODIFICACION!$F$2:$F$500,0))),"⚠"))</f>
        <v/>
      </c>
      <c r="BA16" t="str">
        <f>IF(CF16="","",IFERROR(IF(INDEX(CODIFICACION!$E$2:$E$500,MATCH("D6.25b|"&amp;CF16,CODIFICACION!$F$2:$F$500,0))="sin dato","",INDEX(CODIFICACION!$E$2:$E$500,MATCH("D6.25b|"&amp;CF16,CODIFICACION!$F$2:$F$500,0))),"⚠"))</f>
        <v/>
      </c>
      <c r="BB16" t="str">
        <f ca="1">IF(CG16="","",IFERROR(IF(INDEX(CODIFICACION!$E$2:$E$500,MATCH("D6.22c|"&amp;CG16,CODIFICACION!$F$2:$F$500,0))="sin dato","",INDEX(CODIFICACION!$E$2:$E$500,MATCH("D6.22c|"&amp;CG16,CODIFICACION!$F$2:$F$500,0))),"⚠"))</f>
        <v/>
      </c>
      <c r="BC16" t="str">
        <f ca="1">IF(CH16="","",IFERROR(IF(INDEX(CODIFICACION!$E$2:$E$500,MATCH("D7.26|"&amp;CH16,CODIFICACION!$F$2:$F$500,0))="sin dato","",INDEX(CODIFICACION!$E$2:$E$500,MATCH("D7.26|"&amp;CH16,CODIFICACION!$F$2:$F$500,0))),"⚠"))</f>
        <v/>
      </c>
      <c r="BD16" t="str">
        <f>IF(CI16="","",IFERROR(IF(INDEX(CODIFICACION!$E$2:$E$500,MATCH("D7.27|"&amp;CI16,CODIFICACION!$F$2:$F$500,0))="sin dato","",INDEX(CODIFICACION!$E$2:$E$500,MATCH("D7.27|"&amp;CI16,CODIFICACION!$F$2:$F$500,0))),"⚠"))</f>
        <v/>
      </c>
      <c r="BE16" t="str">
        <f>IF(CJ16="","",IFERROR(IF(INDEX(CODIFICACION!$E$2:$E$500,MATCH("D7.28|"&amp;CJ16,CODIFICACION!$F$2:$F$500,0))="sin dato","",INDEX(CODIFICACION!$E$2:$E$500,MATCH("D7.28|"&amp;CJ16,CODIFICACION!$F$2:$F$500,0))),"⚠"))</f>
        <v/>
      </c>
      <c r="BF16" t="str">
        <f>IF(CK16="","",IFERROR(IF(INDEX(CODIFICACION!$E$2:$E$500,MATCH("D7.28b|"&amp;CK16,CODIFICACION!$F$2:$F$500,0))="sin dato","",INDEX(CODIFICACION!$E$2:$E$500,MATCH("D7.28b|"&amp;CK16,CODIFICACION!$F$2:$F$500,0))),"⚠"))</f>
        <v/>
      </c>
      <c r="BG16" t="str">
        <f t="shared" si="10"/>
        <v/>
      </c>
      <c r="BH16" t="str">
        <f>IF(CM16="","",IFERROR(IF(INDEX(CODIFICACION!$E$2:$E$500,MATCH("D7.26a|"&amp;CM16,CODIFICACION!$F$2:$F$500,0))="sin dato","",INDEX(CODIFICACION!$E$2:$E$500,MATCH("D7.26a|"&amp;CM16,CODIFICACION!$F$2:$F$500,0))),"⚠"))</f>
        <v/>
      </c>
      <c r="BI16" t="str">
        <f>IF(CN16="","",IFERROR(IF(INDEX(CODIFICACION!$E$2:$E$500,MATCH("D7.26b|"&amp;CN16,CODIFICACION!$F$2:$F$500,0))="sin dato","",INDEX(CODIFICACION!$E$2:$E$500,MATCH("D7.26b|"&amp;CN16,CODIFICACION!$F$2:$F$500,0))),"⚠"))</f>
        <v/>
      </c>
      <c r="BJ16" t="str">
        <f t="shared" si="11"/>
        <v/>
      </c>
      <c r="BK16" t="str">
        <f t="shared" si="12"/>
        <v/>
      </c>
      <c r="BL16" t="str">
        <f>IF(CQ16="","",IFERROR(IF(INDEX(CODIFICACION!$E$2:$E$500,MATCH("D8.31|"&amp;CQ16,CODIFICACION!$F$2:$F$500,0))="sin dato","",INDEX(CODIFICACION!$E$2:$E$500,MATCH("D8.31|"&amp;CQ16,CODIFICACION!$F$2:$F$500,0))),"⚠"))</f>
        <v/>
      </c>
      <c r="BM16" t="str">
        <f>IF(CR16="","",IFERROR(IF(INDEX(CODIFICACION!$E$2:$E$500,MATCH("D8.32|"&amp;CR16,CODIFICACION!$F$2:$F$500,0))="sin dato","",INDEX(CODIFICACION!$E$2:$E$500,MATCH("D8.32|"&amp;CR16,CODIFICACION!$F$2:$F$500,0))),"⚠"))</f>
        <v/>
      </c>
      <c r="BN16" t="str">
        <f>IF(CS16="","",IFERROR(IF(INDEX(CODIFICACION!$E$2:$E$500,MATCH("D9.33|"&amp;CS16,CODIFICACION!$F$2:$F$500,0))="sin dato","",INDEX(CODIFICACION!$E$2:$E$500,MATCH("D9.33|"&amp;CS16,CODIFICACION!$F$2:$F$500,0))),"⚠"))</f>
        <v/>
      </c>
      <c r="BO16" t="str">
        <f>IF(CT16="","",IFERROR(IF(INDEX(CODIFICACION!$E$2:$E$500,MATCH("D9.34|"&amp;CT16,CODIFICACION!$F$2:$F$500,0))="sin dato","",INDEX(CODIFICACION!$E$2:$E$500,MATCH("D9.34|"&amp;CT16,CODIFICACION!$F$2:$F$500,0))),"⚠"))</f>
        <v/>
      </c>
      <c r="BP16" t="str">
        <f>IF(CU16="","",IFERROR(IF(INDEX(CODIFICACION!$E$2:$E$500,MATCH("D9.35|"&amp;CU16,CODIFICACION!$F$2:$F$500,0))="sin dato","",INDEX(CODIFICACION!$E$2:$E$500,MATCH("D9.35|"&amp;CU16,CODIFICACION!$F$2:$F$500,0))),"⚠"))</f>
        <v/>
      </c>
      <c r="BQ16" t="str">
        <f>IF(CV16="","",IFERROR(IF(INDEX(CODIFICACION!$E$2:$E$500,MATCH("D10.36|"&amp;CV16,CODIFICACION!$F$2:$F$500,0))="sin dato","",INDEX(CODIFICACION!$E$2:$E$500,MATCH("D10.36|"&amp;CV16,CODIFICACION!$F$2:$F$500,0))),"⚠"))</f>
        <v/>
      </c>
      <c r="BR16" t="str">
        <f>IF(CW16="","",IFERROR(IF(INDEX(CODIFICACION!$E$2:$E$500,MATCH("D10.37|"&amp;CW16,CODIFICACION!$F$2:$F$500,0))="sin dato","",INDEX(CODIFICACION!$E$2:$E$500,MATCH("D10.37|"&amp;CW16,CODIFICACION!$F$2:$F$500,0))),"⚠"))</f>
        <v/>
      </c>
      <c r="BS16" t="str">
        <f>IF(CX16="","",IFERROR(IF(INDEX(CODIFICACION!$E$2:$E$500,MATCH("D10.36a|"&amp;CX16,CODIFICACION!$F$2:$F$500,0))="sin dato","",INDEX(CODIFICACION!$E$2:$E$500,MATCH("D10.36a|"&amp;CX16,CODIFICACION!$F$2:$F$500,0))),"⚠"))</f>
        <v/>
      </c>
      <c r="BT16" t="str">
        <f t="shared" si="13"/>
        <v/>
      </c>
      <c r="BU16" t="str">
        <f>IF(DA16="","",IFERROR(IF(INDEX(CODIFICACION!$E$2:$E$500,MATCH("D11.39a|"&amp;DA16,CODIFICACION!$F$2:$F$500,0))="sin dato","",INDEX(CODIFICACION!$E$2:$E$500,MATCH("D11.39a|"&amp;DA16,CODIFICACION!$F$2:$F$500,0))),"⚠"))</f>
        <v/>
      </c>
      <c r="BV16" t="str">
        <f>IF(DB16="","",IFERROR(IF(INDEX(CODIFICACION!$E$2:$E$500,MATCH("D12.42|"&amp;DB16,CODIFICACION!$F$2:$F$500,0))="sin dato","",INDEX(CODIFICACION!$E$2:$E$500,MATCH("D12.42|"&amp;DB16,CODIFICACION!$F$2:$F$500,0))),"⚠"))</f>
        <v/>
      </c>
      <c r="BW16" t="str">
        <f>IF(DC16="","",IFERROR(IF(INDEX(CODIFICACION!$E$2:$E$500,MATCH("D13.45|"&amp;DC16,CODIFICACION!$F$2:$F$500,0))="sin dato","",INDEX(CODIFICACION!$E$2:$E$500,MATCH("D13.45|"&amp;DC16,CODIFICACION!$F$2:$F$500,0))),"⚠"))</f>
        <v/>
      </c>
      <c r="BX16" t="str">
        <f>IF(DD16="","",IFERROR(IF(INDEX(CODIFICACION!$E$2:$E$500,MATCH("D14.51|"&amp;DD16,CODIFICACION!$F$2:$F$500,0))="sin dato","",INDEX(CODIFICACION!$E$2:$E$500,MATCH("D14.51|"&amp;DD16,CODIFICACION!$F$2:$F$500,0))),"⚠"))</f>
        <v/>
      </c>
      <c r="BY16" t="str">
        <f>IF(DE16="","",IFERROR(IF(INDEX(CODIFICACION!$E$2:$E$500,MATCH("D15.58|"&amp;DE16,CODIFICACION!$F$2:$F$500,0))="sin dato","",INDEX(CODIFICACION!$E$2:$E$500,MATCH("D15.58|"&amp;DE16,CODIFICACION!$F$2:$F$500,0))),"⚠"))</f>
        <v/>
      </c>
      <c r="BZ16" t="str">
        <f>IF(DF16="","",IFERROR(IF(INDEX(CODIFICACION!$E$2:$E$500,MATCH("PP1|"&amp;DF16,CODIFICACION!$F$2:$F$500,0))="sin dato","",INDEX(CODIFICACION!$E$2:$E$500,MATCH("PP1|"&amp;DF16,CODIFICACION!$F$2:$F$500,0))),"⚠"))</f>
        <v/>
      </c>
      <c r="CA16" t="str">
        <f>IF(DG16="","",IFERROR(IF(INDEX(CODIFICACION!$E$2:$E$500,MATCH("PP2|"&amp;DG16,CODIFICACION!$F$2:$F$500,0))="sin dato","",INDEX(CODIFICACION!$E$2:$E$500,MATCH("PP2|"&amp;DG16,CODIFICACION!$F$2:$F$500,0))),"⚠"))</f>
        <v/>
      </c>
      <c r="CB16" t="str">
        <f t="shared" si="14"/>
        <v/>
      </c>
      <c r="CC16" t="str">
        <f t="shared" ca="1" si="15"/>
        <v/>
      </c>
      <c r="CD16" t="str">
        <f t="shared" ca="1" si="16"/>
        <v/>
      </c>
      <c r="CE16" t="str">
        <f t="shared" si="17"/>
        <v/>
      </c>
      <c r="CF16" t="str">
        <f t="shared" si="18"/>
        <v/>
      </c>
      <c r="CG16" t="str">
        <f t="shared" ca="1" si="19"/>
        <v/>
      </c>
      <c r="CH16" t="str">
        <f t="shared" ca="1" si="20"/>
        <v/>
      </c>
      <c r="CI16" t="str">
        <f t="shared" si="21"/>
        <v/>
      </c>
      <c r="CJ16" t="str">
        <f t="shared" si="22"/>
        <v/>
      </c>
      <c r="CK16" t="str">
        <f t="shared" si="23"/>
        <v/>
      </c>
      <c r="CL16" t="str">
        <f t="shared" si="24"/>
        <v/>
      </c>
    </row>
    <row r="17" spans="1:90" x14ac:dyDescent="0.3">
      <c r="A17">
        <f>CAPTURA!A17</f>
        <v>20147443120</v>
      </c>
      <c r="B17">
        <f>CAPTURA!C17</f>
        <v>0</v>
      </c>
      <c r="C17" t="str">
        <f t="shared" si="0"/>
        <v/>
      </c>
      <c r="D17" t="str">
        <f>IF(AE17="","",IFERROR(IF(INDEX(CODIFICACION!$E$2:$E$500,MATCH("P8|"&amp;AE17,CODIFICACION!$F$2:$F$500,0))="sin dato","",INDEX(CODIFICACION!$E$2:$E$500,MATCH("P8|"&amp;AE17,CODIFICACION!$F$2:$F$500,0))),"⚠"))</f>
        <v/>
      </c>
      <c r="E17" t="str">
        <f>IF(AG17="","",IFERROR(IF(INDEX(CODIFICACION!$E$2:$E$500,MATCH("P10|"&amp;AG17,CODIFICACION!$F$2:$F$500,0))="sin dato","",INDEX(CODIFICACION!$E$2:$E$500,MATCH("P10|"&amp;AG17,CODIFICACION!$F$2:$F$500,0))),"⚠"))</f>
        <v/>
      </c>
      <c r="F17" t="str">
        <f>IF(AJ17="","",IFERROR(IF(INDEX(CODIFICACION!$E$2:$E$500,MATCH("P13|"&amp;AJ17,CODIFICACION!$F$2:$F$500,0))="sin dato","",INDEX(CODIFICACION!$E$2:$E$500,MATCH("P13|"&amp;AJ17,CODIFICACION!$F$2:$F$500,0))),"⚠"))</f>
        <v/>
      </c>
      <c r="G17" t="str">
        <f>IF(AK17="","",IFERROR(IF(INDEX(CODIFICACION!$E$2:$E$500,MATCH("P14|"&amp;AK17,CODIFICACION!$F$2:$F$500,0))="sin dato","",INDEX(CODIFICACION!$E$2:$E$500,MATCH("P14|"&amp;AK17,CODIFICACION!$F$2:$F$500,0))),"⚠"))</f>
        <v/>
      </c>
      <c r="H17" t="str">
        <f>IF(AL17="","",IFERROR(IF(INDEX(CODIFICACION!$E$2:$E$500,MATCH("D1.1|"&amp;AL17,CODIFICACION!$F$2:$F$500,0))="sin dato","",INDEX(CODIFICACION!$E$2:$E$500,MATCH("D1.1|"&amp;AL17,CODIFICACION!$F$2:$F$500,0))),"⚠"))</f>
        <v/>
      </c>
      <c r="I17" t="str">
        <f>IF(AN17="","",IFERROR(IF(INDEX(CODIFICACION!$E$2:$E$500,MATCH("D1.3|"&amp;AN17,CODIFICACION!$F$2:$F$500,0))="sin dato","",INDEX(CODIFICACION!$E$2:$E$500,MATCH("D1.3|"&amp;AN17,CODIFICACION!$F$2:$F$500,0))),"⚠"))</f>
        <v/>
      </c>
      <c r="J17" t="str">
        <f>IF(AO17="","",IFERROR(IF(INDEX(CODIFICACION!$E$2:$E$500,MATCH("D1.4|"&amp;AO17,CODIFICACION!$F$2:$F$500,0))="sin dato","",INDEX(CODIFICACION!$E$2:$E$500,MATCH("D1.4|"&amp;AO17,CODIFICACION!$F$2:$F$500,0))),"⚠"))</f>
        <v/>
      </c>
      <c r="K17" t="str">
        <f>IF(AP17="","",IFERROR(IF(INDEX(CODIFICACION!$E$2:$E$500,MATCH("D1.3a|"&amp;AP17,CODIFICACION!$F$2:$F$500,0))="sin dato","",INDEX(CODIFICACION!$E$2:$E$500,MATCH("D1.3a|"&amp;AP17,CODIFICACION!$F$2:$F$500,0))),"⚠"))</f>
        <v/>
      </c>
      <c r="L17" t="str">
        <f t="shared" si="1"/>
        <v/>
      </c>
      <c r="M17" t="str">
        <f t="shared" si="2"/>
        <v/>
      </c>
      <c r="N17" t="str">
        <f t="shared" si="3"/>
        <v/>
      </c>
      <c r="O17" t="str">
        <f>IF(AT17="","",IFERROR(IF(INDEX(CODIFICACION!$E$2:$E$500,MATCH("D2.8|"&amp;AT17,CODIFICACION!$F$2:$F$500,0))="sin dato","",INDEX(CODIFICACION!$E$2:$E$500,MATCH("D2.8|"&amp;AT17,CODIFICACION!$F$2:$F$500,0))),"⚠"))</f>
        <v/>
      </c>
      <c r="P17" t="str">
        <f>IF(AU17="","",IFERROR(IF(INDEX(CODIFICACION!$E$2:$E$500,MATCH("D2.9|"&amp;AU17,CODIFICACION!$F$2:$F$500,0))="sin dato","",INDEX(CODIFICACION!$E$2:$E$500,MATCH("D2.9|"&amp;AU17,CODIFICACION!$F$2:$F$500,0))),"⚠"))</f>
        <v/>
      </c>
      <c r="Q17" t="str">
        <f>IF(AV17="","",IFERROR(IF(INDEX(CODIFICACION!$E$2:$E$500,MATCH("D2.10|"&amp;AV17,CODIFICACION!$F$2:$F$500,0))="sin dato","",INDEX(CODIFICACION!$E$2:$E$500,MATCH("D2.10|"&amp;AV17,CODIFICACION!$F$2:$F$500,0))),"⚠"))</f>
        <v/>
      </c>
      <c r="R17" t="str">
        <f>IF(AW17="","",IFERROR(IF(INDEX(CODIFICACION!$E$2:$E$500,MATCH("D2.5a|"&amp;AW17,CODIFICACION!$F$2:$F$500,0))="sin dato","",INDEX(CODIFICACION!$E$2:$E$500,MATCH("D2.5a|"&amp;AW17,CODIFICACION!$F$2:$F$500,0))),"⚠"))</f>
        <v/>
      </c>
      <c r="S17" t="str">
        <f ca="1">IF(AX17="","",IFERROR(IF(INDEX(CODIFICACION!$E$2:$E$500,MATCH("D2.5b|"&amp;AX17,CODIFICACION!$F$2:$F$500,0))="sin dato","",INDEX(CODIFICACION!$E$2:$E$500,MATCH("D2.5b|"&amp;AX17,CODIFICACION!$F$2:$F$500,0))),"⚠"))</f>
        <v/>
      </c>
      <c r="T17" t="str">
        <f t="shared" ca="1" si="4"/>
        <v/>
      </c>
      <c r="U17" t="str">
        <f>IF(AZ17="","",IFERROR(IF(INDEX(CODIFICACION!$E$2:$E$500,MATCH("D3.12|"&amp;AZ17,CODIFICACION!$F$2:$F$500,0))="sin dato","",INDEX(CODIFICACION!$E$2:$E$500,MATCH("D3.12|"&amp;AZ17,CODIFICACION!$F$2:$F$500,0))),"⚠"))</f>
        <v/>
      </c>
      <c r="V17" t="str">
        <f t="shared" si="5"/>
        <v/>
      </c>
      <c r="W17" t="str">
        <f ca="1">IF(BB17="","",IFERROR(IF(INDEX(CODIFICACION!$E$2:$E$500,MATCH("D3.14|"&amp;BB17,CODIFICACION!$F$2:$F$500,0))="sin dato","",INDEX(CODIFICACION!$E$2:$E$500,MATCH("D3.14|"&amp;BB17,CODIFICACION!$F$2:$F$500,0))),"⚠"))</f>
        <v/>
      </c>
      <c r="X17" t="str">
        <f ca="1">IF(BC17="","",IFERROR(IF(INDEX(CODIFICACION!$E$2:$E$500,MATCH("D3.14a|"&amp;BC17,CODIFICACION!$F$2:$F$500,0))="sin dato","",INDEX(CODIFICACION!$E$2:$E$500,MATCH("D3.14a|"&amp;BC17,CODIFICACION!$F$2:$F$500,0))),"⚠"))</f>
        <v/>
      </c>
      <c r="Y17" t="str">
        <f>IF(BD17="","",IFERROR(IF(INDEX(CODIFICACION!$E$2:$E$500,MATCH("D3.14b|"&amp;BD17,CODIFICACION!$F$2:$F$500,0))="sin dato","",INDEX(CODIFICACION!$E$2:$E$500,MATCH("D3.14b|"&amp;BD17,CODIFICACION!$F$2:$F$500,0))),"⚠"))</f>
        <v/>
      </c>
      <c r="Z17" t="str">
        <f>IF(BE17="","",IFERROR(IF(INDEX(CODIFICACION!$E$2:$E$500,MATCH("D3.14c|"&amp;BE17,CODIFICACION!$F$2:$F$500,0))="sin dato","",INDEX(CODIFICACION!$E$2:$E$500,MATCH("D3.14c|"&amp;BE17,CODIFICACION!$F$2:$F$500,0))),"⚠"))</f>
        <v/>
      </c>
      <c r="AA17" t="str">
        <f>IF(BF17="","",IFERROR(IF(INDEX(CODIFICACION!$E$2:$E$500,MATCH("D3.14d|"&amp;BF17,CODIFICACION!$F$2:$F$500,0))="sin dato","",INDEX(CODIFICACION!$E$2:$E$500,MATCH("D3.14d|"&amp;BF17,CODIFICACION!$F$2:$F$500,0))),"⚠"))</f>
        <v/>
      </c>
      <c r="AB17" t="str">
        <f>IF(BG17="","",IFERROR(IF(INDEX(CODIFICACION!$E$2:$E$500,MATCH("D3.14e|"&amp;BG17,CODIFICACION!$F$2:$F$500,0))="sin dato","",INDEX(CODIFICACION!$E$2:$E$500,MATCH("D3.14e|"&amp;BG17,CODIFICACION!$F$2:$F$500,0))),"⚠"))</f>
        <v/>
      </c>
      <c r="AC17" t="str">
        <f>IF(BH17="","",IFERROR(IF(INDEX(CODIFICACION!$E$2:$E$500,MATCH("D3.14f|"&amp;BH17,CODIFICACION!$F$2:$F$500,0))="sin dato","",INDEX(CODIFICACION!$E$2:$E$500,MATCH("D3.14f|"&amp;BH17,CODIFICACION!$F$2:$F$500,0))),"⚠"))</f>
        <v/>
      </c>
      <c r="AD17" t="str">
        <f>IF(BI17="","",IFERROR(IF(INDEX(CODIFICACION!$E$2:$E$500,MATCH("D3.14g|"&amp;BI17,CODIFICACION!$F$2:$F$500,0))="sin dato","",INDEX(CODIFICACION!$E$2:$E$500,MATCH("D3.14g|"&amp;BI17,CODIFICACION!$F$2:$F$500,0))),"⚠"))</f>
        <v/>
      </c>
      <c r="AE17" t="str">
        <f>IF(BJ17="","",IFERROR(IF(INDEX(CODIFICACION!$E$2:$E$500,MATCH("D3.14h|"&amp;BJ17,CODIFICACION!$F$2:$F$500,0))="sin dato","",INDEX(CODIFICACION!$E$2:$E$500,MATCH("D3.14h|"&amp;BJ17,CODIFICACION!$F$2:$F$500,0))),"⚠"))</f>
        <v/>
      </c>
      <c r="AF17" t="str">
        <f>IF(BK17="","",IFERROR(IF(INDEX(CODIFICACION!$E$2:$E$500,MATCH("D3.14i|"&amp;BK17,CODIFICACION!$F$2:$F$500,0))="sin dato","",INDEX(CODIFICACION!$E$2:$E$500,MATCH("D3.14i|"&amp;BK17,CODIFICACION!$F$2:$F$500,0))),"⚠"))</f>
        <v/>
      </c>
      <c r="AG17" t="str">
        <f>IF(BL17="","",IFERROR(IF(INDEX(CODIFICACION!$E$2:$E$500,MATCH("D4.15|"&amp;BL17,CODIFICACION!$F$2:$F$500,0))="sin dato","",INDEX(CODIFICACION!$E$2:$E$500,MATCH("D4.15|"&amp;BL17,CODIFICACION!$F$2:$F$500,0))),"⚠"))</f>
        <v/>
      </c>
      <c r="AH17" t="str">
        <f t="shared" si="6"/>
        <v/>
      </c>
      <c r="AI17" t="str">
        <f>IF(BN17="","",IFERROR(IF(INDEX(CODIFICACION!$E$2:$E$500,MATCH("D4.17|"&amp;BN17,CODIFICACION!$F$2:$F$500,0))="sin dato","",INDEX(CODIFICACION!$E$2:$E$500,MATCH("D4.17|"&amp;BN17,CODIFICACION!$F$2:$F$500,0))),"⚠"))</f>
        <v/>
      </c>
      <c r="AJ17" t="str">
        <f>IF(BO17="","",IFERROR(IF(INDEX(CODIFICACION!$E$2:$E$500,MATCH("D4.15a|"&amp;BO17,CODIFICACION!$F$2:$F$500,0))="sin dato","",INDEX(CODIFICACION!$E$2:$E$500,MATCH("D4.15a|"&amp;BO17,CODIFICACION!$F$2:$F$500,0))),"⚠"))</f>
        <v/>
      </c>
      <c r="AK17" t="str">
        <f t="shared" si="7"/>
        <v/>
      </c>
      <c r="AL17" t="str">
        <f t="shared" si="8"/>
        <v/>
      </c>
      <c r="AM17" t="str">
        <f>IF(BR17="","",IFERROR(IF(INDEX(CODIFICACION!$E$2:$E$500,MATCH("D5.18b|"&amp;BR17,CODIFICACION!$F$2:$F$500,0))="sin dato","",INDEX(CODIFICACION!$E$2:$E$500,MATCH("D5.18b|"&amp;BR17,CODIFICACION!$F$2:$F$500,0))),"⚠"))</f>
        <v/>
      </c>
      <c r="AN17" t="str">
        <f>IF(BS17="","",IFERROR(IF(INDEX(CODIFICACION!$E$2:$E$500,MATCH("D5.19|"&amp;BS17,CODIFICACION!$F$2:$F$500,0))="sin dato","",INDEX(CODIFICACION!$E$2:$E$500,MATCH("D5.19|"&amp;BS17,CODIFICACION!$F$2:$F$500,0))),"⚠"))</f>
        <v/>
      </c>
      <c r="AO17" t="str">
        <f t="shared" si="9"/>
        <v/>
      </c>
      <c r="AP17" t="str">
        <f>IF(BU17="","",IFERROR(IF(INDEX(CODIFICACION!$E$2:$E$500,MATCH("D5.20|"&amp;BU17,CODIFICACION!$F$2:$F$500,0))="sin dato","",INDEX(CODIFICACION!$E$2:$E$500,MATCH("D5.20|"&amp;BU17,CODIFICACION!$F$2:$F$500,0))),"⚠"))</f>
        <v/>
      </c>
      <c r="AQ17" t="str">
        <f>IF(BV17="","",IFERROR(IF(INDEX(CODIFICACION!$E$2:$E$500,MATCH("D5.21|"&amp;BV17,CODIFICACION!$F$2:$F$500,0))="sin dato","",INDEX(CODIFICACION!$E$2:$E$500,MATCH("D5.21|"&amp;BV17,CODIFICACION!$F$2:$F$500,0))),"⚠"))</f>
        <v/>
      </c>
      <c r="AR17" t="str">
        <f>IF(BW17="","",IFERROR(IF(INDEX(CODIFICACION!$E$2:$E$500,MATCH("D5.21a|"&amp;BW17,CODIFICACION!$F$2:$F$500,0))="sin dato","",INDEX(CODIFICACION!$E$2:$E$500,MATCH("D5.21a|"&amp;BW17,CODIFICACION!$F$2:$F$500,0))),"⚠"))</f>
        <v/>
      </c>
      <c r="AS17" t="str">
        <f>IF(BX17="","",IFERROR(IF(INDEX(CODIFICACION!$E$2:$E$500,MATCH("D5.21b|"&amp;BX17,CODIFICACION!$F$2:$F$500,0))="sin dato","",INDEX(CODIFICACION!$E$2:$E$500,MATCH("D5.21b|"&amp;BX17,CODIFICACION!$F$2:$F$500,0))),"⚠"))</f>
        <v/>
      </c>
      <c r="AT17" t="str">
        <f>IF(BY17="","",IFERROR(IF(INDEX(CODIFICACION!$E$2:$E$500,MATCH("D6.22|"&amp;BY17,CODIFICACION!$F$2:$F$500,0))="sin dato","",INDEX(CODIFICACION!$E$2:$E$500,MATCH("D6.22|"&amp;BY17,CODIFICACION!$F$2:$F$500,0))),"⚠"))</f>
        <v/>
      </c>
      <c r="AU17" t="str">
        <f>IF(BZ17="","",IFERROR(IF(INDEX(CODIFICACION!$E$2:$E$500,MATCH("D6.22a|"&amp;BZ17,CODIFICACION!$F$2:$F$500,0))="sin dato","",INDEX(CODIFICACION!$E$2:$E$500,MATCH("D6.22a|"&amp;BZ17,CODIFICACION!$F$2:$F$500,0))),"⚠"))</f>
        <v/>
      </c>
      <c r="AV17" t="str">
        <f>IF(CA17="","",IFERROR(IF(INDEX(CODIFICACION!$E$2:$E$500,MATCH("D6.22b|"&amp;CA17,CODIFICACION!$F$2:$F$500,0))="sin dato","",INDEX(CODIFICACION!$E$2:$E$500,MATCH("D6.22b|"&amp;CA17,CODIFICACION!$F$2:$F$500,0))),"⚠"))</f>
        <v/>
      </c>
      <c r="AW17" t="str">
        <f>IF(CB17="","",IFERROR(IF(INDEX(CODIFICACION!$E$2:$E$500,MATCH("D6.23|"&amp;CB17,CODIFICACION!$F$2:$F$500,0))="sin dato","",INDEX(CODIFICACION!$E$2:$E$500,MATCH("D6.23|"&amp;CB17,CODIFICACION!$F$2:$F$500,0))),"⚠"))</f>
        <v/>
      </c>
      <c r="AX17" t="str">
        <f ca="1">IF(CC17="","",IFERROR(IF(INDEX(CODIFICACION!$E$2:$E$500,MATCH("D6.24|"&amp;CC17,CODIFICACION!$F$2:$F$500,0))="sin dato","",INDEX(CODIFICACION!$E$2:$E$500,MATCH("D6.24|"&amp;CC17,CODIFICACION!$F$2:$F$500,0))),"⚠"))</f>
        <v/>
      </c>
      <c r="AY17" t="str">
        <f ca="1">IF(CD17="","",IFERROR(IF(INDEX(CODIFICACION!$E$2:$E$500,MATCH("D6.25|"&amp;CD17,CODIFICACION!$F$2:$F$500,0))="sin dato","",INDEX(CODIFICACION!$E$2:$E$500,MATCH("D6.25|"&amp;CD17,CODIFICACION!$F$2:$F$500,0))),"⚠"))</f>
        <v/>
      </c>
      <c r="AZ17" t="str">
        <f>IF(CE17="","",IFERROR(IF(INDEX(CODIFICACION!$E$2:$E$500,MATCH("D6.25a|"&amp;CE17,CODIFICACION!$F$2:$F$500,0))="sin dato","",INDEX(CODIFICACION!$E$2:$E$500,MATCH("D6.25a|"&amp;CE17,CODIFICACION!$F$2:$F$500,0))),"⚠"))</f>
        <v/>
      </c>
      <c r="BA17" t="str">
        <f>IF(CF17="","",IFERROR(IF(INDEX(CODIFICACION!$E$2:$E$500,MATCH("D6.25b|"&amp;CF17,CODIFICACION!$F$2:$F$500,0))="sin dato","",INDEX(CODIFICACION!$E$2:$E$500,MATCH("D6.25b|"&amp;CF17,CODIFICACION!$F$2:$F$500,0))),"⚠"))</f>
        <v/>
      </c>
      <c r="BB17" t="str">
        <f ca="1">IF(CG17="","",IFERROR(IF(INDEX(CODIFICACION!$E$2:$E$500,MATCH("D6.22c|"&amp;CG17,CODIFICACION!$F$2:$F$500,0))="sin dato","",INDEX(CODIFICACION!$E$2:$E$500,MATCH("D6.22c|"&amp;CG17,CODIFICACION!$F$2:$F$500,0))),"⚠"))</f>
        <v/>
      </c>
      <c r="BC17" t="str">
        <f ca="1">IF(CH17="","",IFERROR(IF(INDEX(CODIFICACION!$E$2:$E$500,MATCH("D7.26|"&amp;CH17,CODIFICACION!$F$2:$F$500,0))="sin dato","",INDEX(CODIFICACION!$E$2:$E$500,MATCH("D7.26|"&amp;CH17,CODIFICACION!$F$2:$F$500,0))),"⚠"))</f>
        <v/>
      </c>
      <c r="BD17" t="str">
        <f>IF(CI17="","",IFERROR(IF(INDEX(CODIFICACION!$E$2:$E$500,MATCH("D7.27|"&amp;CI17,CODIFICACION!$F$2:$F$500,0))="sin dato","",INDEX(CODIFICACION!$E$2:$E$500,MATCH("D7.27|"&amp;CI17,CODIFICACION!$F$2:$F$500,0))),"⚠"))</f>
        <v/>
      </c>
      <c r="BE17" t="str">
        <f>IF(CJ17="","",IFERROR(IF(INDEX(CODIFICACION!$E$2:$E$500,MATCH("D7.28|"&amp;CJ17,CODIFICACION!$F$2:$F$500,0))="sin dato","",INDEX(CODIFICACION!$E$2:$E$500,MATCH("D7.28|"&amp;CJ17,CODIFICACION!$F$2:$F$500,0))),"⚠"))</f>
        <v/>
      </c>
      <c r="BF17" t="str">
        <f>IF(CK17="","",IFERROR(IF(INDEX(CODIFICACION!$E$2:$E$500,MATCH("D7.28b|"&amp;CK17,CODIFICACION!$F$2:$F$500,0))="sin dato","",INDEX(CODIFICACION!$E$2:$E$500,MATCH("D7.28b|"&amp;CK17,CODIFICACION!$F$2:$F$500,0))),"⚠"))</f>
        <v/>
      </c>
      <c r="BG17" t="str">
        <f t="shared" si="10"/>
        <v/>
      </c>
      <c r="BH17" t="str">
        <f>IF(CM17="","",IFERROR(IF(INDEX(CODIFICACION!$E$2:$E$500,MATCH("D7.26a|"&amp;CM17,CODIFICACION!$F$2:$F$500,0))="sin dato","",INDEX(CODIFICACION!$E$2:$E$500,MATCH("D7.26a|"&amp;CM17,CODIFICACION!$F$2:$F$500,0))),"⚠"))</f>
        <v/>
      </c>
      <c r="BI17" t="str">
        <f>IF(CN17="","",IFERROR(IF(INDEX(CODIFICACION!$E$2:$E$500,MATCH("D7.26b|"&amp;CN17,CODIFICACION!$F$2:$F$500,0))="sin dato","",INDEX(CODIFICACION!$E$2:$E$500,MATCH("D7.26b|"&amp;CN17,CODIFICACION!$F$2:$F$500,0))),"⚠"))</f>
        <v/>
      </c>
      <c r="BJ17" t="str">
        <f t="shared" si="11"/>
        <v/>
      </c>
      <c r="BK17" t="str">
        <f t="shared" si="12"/>
        <v/>
      </c>
      <c r="BL17" t="str">
        <f>IF(CQ17="","",IFERROR(IF(INDEX(CODIFICACION!$E$2:$E$500,MATCH("D8.31|"&amp;CQ17,CODIFICACION!$F$2:$F$500,0))="sin dato","",INDEX(CODIFICACION!$E$2:$E$500,MATCH("D8.31|"&amp;CQ17,CODIFICACION!$F$2:$F$500,0))),"⚠"))</f>
        <v/>
      </c>
      <c r="BM17" t="str">
        <f>IF(CR17="","",IFERROR(IF(INDEX(CODIFICACION!$E$2:$E$500,MATCH("D8.32|"&amp;CR17,CODIFICACION!$F$2:$F$500,0))="sin dato","",INDEX(CODIFICACION!$E$2:$E$500,MATCH("D8.32|"&amp;CR17,CODIFICACION!$F$2:$F$500,0))),"⚠"))</f>
        <v/>
      </c>
      <c r="BN17" t="str">
        <f>IF(CS17="","",IFERROR(IF(INDEX(CODIFICACION!$E$2:$E$500,MATCH("D9.33|"&amp;CS17,CODIFICACION!$F$2:$F$500,0))="sin dato","",INDEX(CODIFICACION!$E$2:$E$500,MATCH("D9.33|"&amp;CS17,CODIFICACION!$F$2:$F$500,0))),"⚠"))</f>
        <v/>
      </c>
      <c r="BO17" t="str">
        <f>IF(CT17="","",IFERROR(IF(INDEX(CODIFICACION!$E$2:$E$500,MATCH("D9.34|"&amp;CT17,CODIFICACION!$F$2:$F$500,0))="sin dato","",INDEX(CODIFICACION!$E$2:$E$500,MATCH("D9.34|"&amp;CT17,CODIFICACION!$F$2:$F$500,0))),"⚠"))</f>
        <v/>
      </c>
      <c r="BP17" t="str">
        <f>IF(CU17="","",IFERROR(IF(INDEX(CODIFICACION!$E$2:$E$500,MATCH("D9.35|"&amp;CU17,CODIFICACION!$F$2:$F$500,0))="sin dato","",INDEX(CODIFICACION!$E$2:$E$500,MATCH("D9.35|"&amp;CU17,CODIFICACION!$F$2:$F$500,0))),"⚠"))</f>
        <v/>
      </c>
      <c r="BQ17" t="str">
        <f>IF(CV17="","",IFERROR(IF(INDEX(CODIFICACION!$E$2:$E$500,MATCH("D10.36|"&amp;CV17,CODIFICACION!$F$2:$F$500,0))="sin dato","",INDEX(CODIFICACION!$E$2:$E$500,MATCH("D10.36|"&amp;CV17,CODIFICACION!$F$2:$F$500,0))),"⚠"))</f>
        <v/>
      </c>
      <c r="BR17" t="str">
        <f>IF(CW17="","",IFERROR(IF(INDEX(CODIFICACION!$E$2:$E$500,MATCH("D10.37|"&amp;CW17,CODIFICACION!$F$2:$F$500,0))="sin dato","",INDEX(CODIFICACION!$E$2:$E$500,MATCH("D10.37|"&amp;CW17,CODIFICACION!$F$2:$F$500,0))),"⚠"))</f>
        <v/>
      </c>
      <c r="BS17" t="str">
        <f>IF(CX17="","",IFERROR(IF(INDEX(CODIFICACION!$E$2:$E$500,MATCH("D10.36a|"&amp;CX17,CODIFICACION!$F$2:$F$500,0))="sin dato","",INDEX(CODIFICACION!$E$2:$E$500,MATCH("D10.36a|"&amp;CX17,CODIFICACION!$F$2:$F$500,0))),"⚠"))</f>
        <v/>
      </c>
      <c r="BT17" t="str">
        <f t="shared" si="13"/>
        <v/>
      </c>
      <c r="BU17" t="str">
        <f>IF(DA17="","",IFERROR(IF(INDEX(CODIFICACION!$E$2:$E$500,MATCH("D11.39a|"&amp;DA17,CODIFICACION!$F$2:$F$500,0))="sin dato","",INDEX(CODIFICACION!$E$2:$E$500,MATCH("D11.39a|"&amp;DA17,CODIFICACION!$F$2:$F$500,0))),"⚠"))</f>
        <v/>
      </c>
      <c r="BV17" t="str">
        <f>IF(DB17="","",IFERROR(IF(INDEX(CODIFICACION!$E$2:$E$500,MATCH("D12.42|"&amp;DB17,CODIFICACION!$F$2:$F$500,0))="sin dato","",INDEX(CODIFICACION!$E$2:$E$500,MATCH("D12.42|"&amp;DB17,CODIFICACION!$F$2:$F$500,0))),"⚠"))</f>
        <v/>
      </c>
      <c r="BW17" t="str">
        <f>IF(DC17="","",IFERROR(IF(INDEX(CODIFICACION!$E$2:$E$500,MATCH("D13.45|"&amp;DC17,CODIFICACION!$F$2:$F$500,0))="sin dato","",INDEX(CODIFICACION!$E$2:$E$500,MATCH("D13.45|"&amp;DC17,CODIFICACION!$F$2:$F$500,0))),"⚠"))</f>
        <v/>
      </c>
      <c r="BX17" t="str">
        <f>IF(DD17="","",IFERROR(IF(INDEX(CODIFICACION!$E$2:$E$500,MATCH("D14.51|"&amp;DD17,CODIFICACION!$F$2:$F$500,0))="sin dato","",INDEX(CODIFICACION!$E$2:$E$500,MATCH("D14.51|"&amp;DD17,CODIFICACION!$F$2:$F$500,0))),"⚠"))</f>
        <v/>
      </c>
      <c r="BY17" t="str">
        <f>IF(DE17="","",IFERROR(IF(INDEX(CODIFICACION!$E$2:$E$500,MATCH("D15.58|"&amp;DE17,CODIFICACION!$F$2:$F$500,0))="sin dato","",INDEX(CODIFICACION!$E$2:$E$500,MATCH("D15.58|"&amp;DE17,CODIFICACION!$F$2:$F$500,0))),"⚠"))</f>
        <v/>
      </c>
      <c r="BZ17" t="str">
        <f>IF(DF17="","",IFERROR(IF(INDEX(CODIFICACION!$E$2:$E$500,MATCH("PP1|"&amp;DF17,CODIFICACION!$F$2:$F$500,0))="sin dato","",INDEX(CODIFICACION!$E$2:$E$500,MATCH("PP1|"&amp;DF17,CODIFICACION!$F$2:$F$500,0))),"⚠"))</f>
        <v/>
      </c>
      <c r="CA17" t="str">
        <f>IF(DG17="","",IFERROR(IF(INDEX(CODIFICACION!$E$2:$E$500,MATCH("PP2|"&amp;DG17,CODIFICACION!$F$2:$F$500,0))="sin dato","",INDEX(CODIFICACION!$E$2:$E$500,MATCH("PP2|"&amp;DG17,CODIFICACION!$F$2:$F$500,0))),"⚠"))</f>
        <v/>
      </c>
      <c r="CB17" t="str">
        <f t="shared" si="14"/>
        <v/>
      </c>
      <c r="CC17" t="str">
        <f t="shared" ca="1" si="15"/>
        <v/>
      </c>
      <c r="CD17" t="str">
        <f t="shared" ca="1" si="16"/>
        <v/>
      </c>
      <c r="CE17" t="str">
        <f t="shared" si="17"/>
        <v/>
      </c>
      <c r="CF17" t="str">
        <f t="shared" si="18"/>
        <v/>
      </c>
      <c r="CG17" t="str">
        <f t="shared" ca="1" si="19"/>
        <v/>
      </c>
      <c r="CH17" t="str">
        <f t="shared" ca="1" si="20"/>
        <v/>
      </c>
      <c r="CI17" t="str">
        <f t="shared" si="21"/>
        <v/>
      </c>
      <c r="CJ17" t="str">
        <f t="shared" si="22"/>
        <v/>
      </c>
      <c r="CK17" t="str">
        <f t="shared" si="23"/>
        <v/>
      </c>
      <c r="CL17" t="str">
        <f t="shared" si="24"/>
        <v/>
      </c>
    </row>
    <row r="18" spans="1:90" x14ac:dyDescent="0.3">
      <c r="A18">
        <f>CAPTURA!A18</f>
        <v>20166786861</v>
      </c>
      <c r="B18">
        <f>CAPTURA!C18</f>
        <v>0</v>
      </c>
      <c r="C18" t="str">
        <f t="shared" si="0"/>
        <v/>
      </c>
      <c r="D18" t="str">
        <f>IF(AE18="","",IFERROR(IF(INDEX(CODIFICACION!$E$2:$E$500,MATCH("P8|"&amp;AE18,CODIFICACION!$F$2:$F$500,0))="sin dato","",INDEX(CODIFICACION!$E$2:$E$500,MATCH("P8|"&amp;AE18,CODIFICACION!$F$2:$F$500,0))),"⚠"))</f>
        <v/>
      </c>
      <c r="E18" t="str">
        <f>IF(AG18="","",IFERROR(IF(INDEX(CODIFICACION!$E$2:$E$500,MATCH("P10|"&amp;AG18,CODIFICACION!$F$2:$F$500,0))="sin dato","",INDEX(CODIFICACION!$E$2:$E$500,MATCH("P10|"&amp;AG18,CODIFICACION!$F$2:$F$500,0))),"⚠"))</f>
        <v/>
      </c>
      <c r="F18" t="str">
        <f>IF(AJ18="","",IFERROR(IF(INDEX(CODIFICACION!$E$2:$E$500,MATCH("P13|"&amp;AJ18,CODIFICACION!$F$2:$F$500,0))="sin dato","",INDEX(CODIFICACION!$E$2:$E$500,MATCH("P13|"&amp;AJ18,CODIFICACION!$F$2:$F$500,0))),"⚠"))</f>
        <v/>
      </c>
      <c r="G18" t="str">
        <f>IF(AK18="","",IFERROR(IF(INDEX(CODIFICACION!$E$2:$E$500,MATCH("P14|"&amp;AK18,CODIFICACION!$F$2:$F$500,0))="sin dato","",INDEX(CODIFICACION!$E$2:$E$500,MATCH("P14|"&amp;AK18,CODIFICACION!$F$2:$F$500,0))),"⚠"))</f>
        <v/>
      </c>
      <c r="H18" t="str">
        <f>IF(AL18="","",IFERROR(IF(INDEX(CODIFICACION!$E$2:$E$500,MATCH("D1.1|"&amp;AL18,CODIFICACION!$F$2:$F$500,0))="sin dato","",INDEX(CODIFICACION!$E$2:$E$500,MATCH("D1.1|"&amp;AL18,CODIFICACION!$F$2:$F$500,0))),"⚠"))</f>
        <v/>
      </c>
      <c r="I18" t="str">
        <f>IF(AN18="","",IFERROR(IF(INDEX(CODIFICACION!$E$2:$E$500,MATCH("D1.3|"&amp;AN18,CODIFICACION!$F$2:$F$500,0))="sin dato","",INDEX(CODIFICACION!$E$2:$E$500,MATCH("D1.3|"&amp;AN18,CODIFICACION!$F$2:$F$500,0))),"⚠"))</f>
        <v/>
      </c>
      <c r="J18" t="str">
        <f>IF(AO18="","",IFERROR(IF(INDEX(CODIFICACION!$E$2:$E$500,MATCH("D1.4|"&amp;AO18,CODIFICACION!$F$2:$F$500,0))="sin dato","",INDEX(CODIFICACION!$E$2:$E$500,MATCH("D1.4|"&amp;AO18,CODIFICACION!$F$2:$F$500,0))),"⚠"))</f>
        <v/>
      </c>
      <c r="K18" t="str">
        <f>IF(AP18="","",IFERROR(IF(INDEX(CODIFICACION!$E$2:$E$500,MATCH("D1.3a|"&amp;AP18,CODIFICACION!$F$2:$F$500,0))="sin dato","",INDEX(CODIFICACION!$E$2:$E$500,MATCH("D1.3a|"&amp;AP18,CODIFICACION!$F$2:$F$500,0))),"⚠"))</f>
        <v/>
      </c>
      <c r="L18" t="str">
        <f t="shared" si="1"/>
        <v/>
      </c>
      <c r="M18" t="str">
        <f t="shared" si="2"/>
        <v/>
      </c>
      <c r="N18" t="str">
        <f t="shared" si="3"/>
        <v/>
      </c>
      <c r="O18" t="str">
        <f>IF(AT18="","",IFERROR(IF(INDEX(CODIFICACION!$E$2:$E$500,MATCH("D2.8|"&amp;AT18,CODIFICACION!$F$2:$F$500,0))="sin dato","",INDEX(CODIFICACION!$E$2:$E$500,MATCH("D2.8|"&amp;AT18,CODIFICACION!$F$2:$F$500,0))),"⚠"))</f>
        <v/>
      </c>
      <c r="P18" t="str">
        <f>IF(AU18="","",IFERROR(IF(INDEX(CODIFICACION!$E$2:$E$500,MATCH("D2.9|"&amp;AU18,CODIFICACION!$F$2:$F$500,0))="sin dato","",INDEX(CODIFICACION!$E$2:$E$500,MATCH("D2.9|"&amp;AU18,CODIFICACION!$F$2:$F$500,0))),"⚠"))</f>
        <v/>
      </c>
      <c r="Q18" t="str">
        <f>IF(AV18="","",IFERROR(IF(INDEX(CODIFICACION!$E$2:$E$500,MATCH("D2.10|"&amp;AV18,CODIFICACION!$F$2:$F$500,0))="sin dato","",INDEX(CODIFICACION!$E$2:$E$500,MATCH("D2.10|"&amp;AV18,CODIFICACION!$F$2:$F$500,0))),"⚠"))</f>
        <v/>
      </c>
      <c r="R18" t="str">
        <f>IF(AW18="","",IFERROR(IF(INDEX(CODIFICACION!$E$2:$E$500,MATCH("D2.5a|"&amp;AW18,CODIFICACION!$F$2:$F$500,0))="sin dato","",INDEX(CODIFICACION!$E$2:$E$500,MATCH("D2.5a|"&amp;AW18,CODIFICACION!$F$2:$F$500,0))),"⚠"))</f>
        <v/>
      </c>
      <c r="S18" t="str">
        <f ca="1">IF(AX18="","",IFERROR(IF(INDEX(CODIFICACION!$E$2:$E$500,MATCH("D2.5b|"&amp;AX18,CODIFICACION!$F$2:$F$500,0))="sin dato","",INDEX(CODIFICACION!$E$2:$E$500,MATCH("D2.5b|"&amp;AX18,CODIFICACION!$F$2:$F$500,0))),"⚠"))</f>
        <v/>
      </c>
      <c r="T18" t="str">
        <f t="shared" ca="1" si="4"/>
        <v/>
      </c>
      <c r="U18" t="str">
        <f>IF(AZ18="","",IFERROR(IF(INDEX(CODIFICACION!$E$2:$E$500,MATCH("D3.12|"&amp;AZ18,CODIFICACION!$F$2:$F$500,0))="sin dato","",INDEX(CODIFICACION!$E$2:$E$500,MATCH("D3.12|"&amp;AZ18,CODIFICACION!$F$2:$F$500,0))),"⚠"))</f>
        <v/>
      </c>
      <c r="V18" t="str">
        <f t="shared" si="5"/>
        <v/>
      </c>
      <c r="W18" t="str">
        <f ca="1">IF(BB18="","",IFERROR(IF(INDEX(CODIFICACION!$E$2:$E$500,MATCH("D3.14|"&amp;BB18,CODIFICACION!$F$2:$F$500,0))="sin dato","",INDEX(CODIFICACION!$E$2:$E$500,MATCH("D3.14|"&amp;BB18,CODIFICACION!$F$2:$F$500,0))),"⚠"))</f>
        <v/>
      </c>
      <c r="X18" t="str">
        <f ca="1">IF(BC18="","",IFERROR(IF(INDEX(CODIFICACION!$E$2:$E$500,MATCH("D3.14a|"&amp;BC18,CODIFICACION!$F$2:$F$500,0))="sin dato","",INDEX(CODIFICACION!$E$2:$E$500,MATCH("D3.14a|"&amp;BC18,CODIFICACION!$F$2:$F$500,0))),"⚠"))</f>
        <v/>
      </c>
      <c r="Y18" t="str">
        <f>IF(BD18="","",IFERROR(IF(INDEX(CODIFICACION!$E$2:$E$500,MATCH("D3.14b|"&amp;BD18,CODIFICACION!$F$2:$F$500,0))="sin dato","",INDEX(CODIFICACION!$E$2:$E$500,MATCH("D3.14b|"&amp;BD18,CODIFICACION!$F$2:$F$500,0))),"⚠"))</f>
        <v/>
      </c>
      <c r="Z18" t="str">
        <f>IF(BE18="","",IFERROR(IF(INDEX(CODIFICACION!$E$2:$E$500,MATCH("D3.14c|"&amp;BE18,CODIFICACION!$F$2:$F$500,0))="sin dato","",INDEX(CODIFICACION!$E$2:$E$500,MATCH("D3.14c|"&amp;BE18,CODIFICACION!$F$2:$F$500,0))),"⚠"))</f>
        <v/>
      </c>
      <c r="AA18" t="str">
        <f>IF(BF18="","",IFERROR(IF(INDEX(CODIFICACION!$E$2:$E$500,MATCH("D3.14d|"&amp;BF18,CODIFICACION!$F$2:$F$500,0))="sin dato","",INDEX(CODIFICACION!$E$2:$E$500,MATCH("D3.14d|"&amp;BF18,CODIFICACION!$F$2:$F$500,0))),"⚠"))</f>
        <v/>
      </c>
      <c r="AB18" t="str">
        <f>IF(BG18="","",IFERROR(IF(INDEX(CODIFICACION!$E$2:$E$500,MATCH("D3.14e|"&amp;BG18,CODIFICACION!$F$2:$F$500,0))="sin dato","",INDEX(CODIFICACION!$E$2:$E$500,MATCH("D3.14e|"&amp;BG18,CODIFICACION!$F$2:$F$500,0))),"⚠"))</f>
        <v/>
      </c>
      <c r="AC18" t="str">
        <f>IF(BH18="","",IFERROR(IF(INDEX(CODIFICACION!$E$2:$E$500,MATCH("D3.14f|"&amp;BH18,CODIFICACION!$F$2:$F$500,0))="sin dato","",INDEX(CODIFICACION!$E$2:$E$500,MATCH("D3.14f|"&amp;BH18,CODIFICACION!$F$2:$F$500,0))),"⚠"))</f>
        <v/>
      </c>
      <c r="AD18" t="str">
        <f>IF(BI18="","",IFERROR(IF(INDEX(CODIFICACION!$E$2:$E$500,MATCH("D3.14g|"&amp;BI18,CODIFICACION!$F$2:$F$500,0))="sin dato","",INDEX(CODIFICACION!$E$2:$E$500,MATCH("D3.14g|"&amp;BI18,CODIFICACION!$F$2:$F$500,0))),"⚠"))</f>
        <v/>
      </c>
      <c r="AE18" t="str">
        <f>IF(BJ18="","",IFERROR(IF(INDEX(CODIFICACION!$E$2:$E$500,MATCH("D3.14h|"&amp;BJ18,CODIFICACION!$F$2:$F$500,0))="sin dato","",INDEX(CODIFICACION!$E$2:$E$500,MATCH("D3.14h|"&amp;BJ18,CODIFICACION!$F$2:$F$500,0))),"⚠"))</f>
        <v/>
      </c>
      <c r="AF18" t="str">
        <f>IF(BK18="","",IFERROR(IF(INDEX(CODIFICACION!$E$2:$E$500,MATCH("D3.14i|"&amp;BK18,CODIFICACION!$F$2:$F$500,0))="sin dato","",INDEX(CODIFICACION!$E$2:$E$500,MATCH("D3.14i|"&amp;BK18,CODIFICACION!$F$2:$F$500,0))),"⚠"))</f>
        <v/>
      </c>
      <c r="AG18" t="str">
        <f>IF(BL18="","",IFERROR(IF(INDEX(CODIFICACION!$E$2:$E$500,MATCH("D4.15|"&amp;BL18,CODIFICACION!$F$2:$F$500,0))="sin dato","",INDEX(CODIFICACION!$E$2:$E$500,MATCH("D4.15|"&amp;BL18,CODIFICACION!$F$2:$F$500,0))),"⚠"))</f>
        <v/>
      </c>
      <c r="AH18" t="str">
        <f t="shared" si="6"/>
        <v/>
      </c>
      <c r="AI18" t="str">
        <f>IF(BN18="","",IFERROR(IF(INDEX(CODIFICACION!$E$2:$E$500,MATCH("D4.17|"&amp;BN18,CODIFICACION!$F$2:$F$500,0))="sin dato","",INDEX(CODIFICACION!$E$2:$E$500,MATCH("D4.17|"&amp;BN18,CODIFICACION!$F$2:$F$500,0))),"⚠"))</f>
        <v/>
      </c>
      <c r="AJ18" t="str">
        <f>IF(BO18="","",IFERROR(IF(INDEX(CODIFICACION!$E$2:$E$500,MATCH("D4.15a|"&amp;BO18,CODIFICACION!$F$2:$F$500,0))="sin dato","",INDEX(CODIFICACION!$E$2:$E$500,MATCH("D4.15a|"&amp;BO18,CODIFICACION!$F$2:$F$500,0))),"⚠"))</f>
        <v/>
      </c>
      <c r="AK18" t="str">
        <f t="shared" si="7"/>
        <v/>
      </c>
      <c r="AL18" t="str">
        <f t="shared" si="8"/>
        <v/>
      </c>
      <c r="AM18" t="str">
        <f>IF(BR18="","",IFERROR(IF(INDEX(CODIFICACION!$E$2:$E$500,MATCH("D5.18b|"&amp;BR18,CODIFICACION!$F$2:$F$500,0))="sin dato","",INDEX(CODIFICACION!$E$2:$E$500,MATCH("D5.18b|"&amp;BR18,CODIFICACION!$F$2:$F$500,0))),"⚠"))</f>
        <v/>
      </c>
      <c r="AN18" t="str">
        <f>IF(BS18="","",IFERROR(IF(INDEX(CODIFICACION!$E$2:$E$500,MATCH("D5.19|"&amp;BS18,CODIFICACION!$F$2:$F$500,0))="sin dato","",INDEX(CODIFICACION!$E$2:$E$500,MATCH("D5.19|"&amp;BS18,CODIFICACION!$F$2:$F$500,0))),"⚠"))</f>
        <v/>
      </c>
      <c r="AO18" t="str">
        <f t="shared" si="9"/>
        <v/>
      </c>
      <c r="AP18" t="str">
        <f>IF(BU18="","",IFERROR(IF(INDEX(CODIFICACION!$E$2:$E$500,MATCH("D5.20|"&amp;BU18,CODIFICACION!$F$2:$F$500,0))="sin dato","",INDEX(CODIFICACION!$E$2:$E$500,MATCH("D5.20|"&amp;BU18,CODIFICACION!$F$2:$F$500,0))),"⚠"))</f>
        <v/>
      </c>
      <c r="AQ18" t="str">
        <f>IF(BV18="","",IFERROR(IF(INDEX(CODIFICACION!$E$2:$E$500,MATCH("D5.21|"&amp;BV18,CODIFICACION!$F$2:$F$500,0))="sin dato","",INDEX(CODIFICACION!$E$2:$E$500,MATCH("D5.21|"&amp;BV18,CODIFICACION!$F$2:$F$500,0))),"⚠"))</f>
        <v/>
      </c>
      <c r="AR18" t="str">
        <f>IF(BW18="","",IFERROR(IF(INDEX(CODIFICACION!$E$2:$E$500,MATCH("D5.21a|"&amp;BW18,CODIFICACION!$F$2:$F$500,0))="sin dato","",INDEX(CODIFICACION!$E$2:$E$500,MATCH("D5.21a|"&amp;BW18,CODIFICACION!$F$2:$F$500,0))),"⚠"))</f>
        <v/>
      </c>
      <c r="AS18" t="str">
        <f>IF(BX18="","",IFERROR(IF(INDEX(CODIFICACION!$E$2:$E$500,MATCH("D5.21b|"&amp;BX18,CODIFICACION!$F$2:$F$500,0))="sin dato","",INDEX(CODIFICACION!$E$2:$E$500,MATCH("D5.21b|"&amp;BX18,CODIFICACION!$F$2:$F$500,0))),"⚠"))</f>
        <v/>
      </c>
      <c r="AT18" t="str">
        <f>IF(BY18="","",IFERROR(IF(INDEX(CODIFICACION!$E$2:$E$500,MATCH("D6.22|"&amp;BY18,CODIFICACION!$F$2:$F$500,0))="sin dato","",INDEX(CODIFICACION!$E$2:$E$500,MATCH("D6.22|"&amp;BY18,CODIFICACION!$F$2:$F$500,0))),"⚠"))</f>
        <v/>
      </c>
      <c r="AU18" t="str">
        <f>IF(BZ18="","",IFERROR(IF(INDEX(CODIFICACION!$E$2:$E$500,MATCH("D6.22a|"&amp;BZ18,CODIFICACION!$F$2:$F$500,0))="sin dato","",INDEX(CODIFICACION!$E$2:$E$500,MATCH("D6.22a|"&amp;BZ18,CODIFICACION!$F$2:$F$500,0))),"⚠"))</f>
        <v/>
      </c>
      <c r="AV18" t="str">
        <f>IF(CA18="","",IFERROR(IF(INDEX(CODIFICACION!$E$2:$E$500,MATCH("D6.22b|"&amp;CA18,CODIFICACION!$F$2:$F$500,0))="sin dato","",INDEX(CODIFICACION!$E$2:$E$500,MATCH("D6.22b|"&amp;CA18,CODIFICACION!$F$2:$F$500,0))),"⚠"))</f>
        <v/>
      </c>
      <c r="AW18" t="str">
        <f>IF(CB18="","",IFERROR(IF(INDEX(CODIFICACION!$E$2:$E$500,MATCH("D6.23|"&amp;CB18,CODIFICACION!$F$2:$F$500,0))="sin dato","",INDEX(CODIFICACION!$E$2:$E$500,MATCH("D6.23|"&amp;CB18,CODIFICACION!$F$2:$F$500,0))),"⚠"))</f>
        <v/>
      </c>
      <c r="AX18" t="str">
        <f ca="1">IF(CC18="","",IFERROR(IF(INDEX(CODIFICACION!$E$2:$E$500,MATCH("D6.24|"&amp;CC18,CODIFICACION!$F$2:$F$500,0))="sin dato","",INDEX(CODIFICACION!$E$2:$E$500,MATCH("D6.24|"&amp;CC18,CODIFICACION!$F$2:$F$500,0))),"⚠"))</f>
        <v/>
      </c>
      <c r="AY18" t="str">
        <f ca="1">IF(CD18="","",IFERROR(IF(INDEX(CODIFICACION!$E$2:$E$500,MATCH("D6.25|"&amp;CD18,CODIFICACION!$F$2:$F$500,0))="sin dato","",INDEX(CODIFICACION!$E$2:$E$500,MATCH("D6.25|"&amp;CD18,CODIFICACION!$F$2:$F$500,0))),"⚠"))</f>
        <v/>
      </c>
      <c r="AZ18" t="str">
        <f>IF(CE18="","",IFERROR(IF(INDEX(CODIFICACION!$E$2:$E$500,MATCH("D6.25a|"&amp;CE18,CODIFICACION!$F$2:$F$500,0))="sin dato","",INDEX(CODIFICACION!$E$2:$E$500,MATCH("D6.25a|"&amp;CE18,CODIFICACION!$F$2:$F$500,0))),"⚠"))</f>
        <v/>
      </c>
      <c r="BA18" t="str">
        <f>IF(CF18="","",IFERROR(IF(INDEX(CODIFICACION!$E$2:$E$500,MATCH("D6.25b|"&amp;CF18,CODIFICACION!$F$2:$F$500,0))="sin dato","",INDEX(CODIFICACION!$E$2:$E$500,MATCH("D6.25b|"&amp;CF18,CODIFICACION!$F$2:$F$500,0))),"⚠"))</f>
        <v/>
      </c>
      <c r="BB18" t="str">
        <f ca="1">IF(CG18="","",IFERROR(IF(INDEX(CODIFICACION!$E$2:$E$500,MATCH("D6.22c|"&amp;CG18,CODIFICACION!$F$2:$F$500,0))="sin dato","",INDEX(CODIFICACION!$E$2:$E$500,MATCH("D6.22c|"&amp;CG18,CODIFICACION!$F$2:$F$500,0))),"⚠"))</f>
        <v/>
      </c>
      <c r="BC18" t="str">
        <f ca="1">IF(CH18="","",IFERROR(IF(INDEX(CODIFICACION!$E$2:$E$500,MATCH("D7.26|"&amp;CH18,CODIFICACION!$F$2:$F$500,0))="sin dato","",INDEX(CODIFICACION!$E$2:$E$500,MATCH("D7.26|"&amp;CH18,CODIFICACION!$F$2:$F$500,0))),"⚠"))</f>
        <v/>
      </c>
      <c r="BD18" t="str">
        <f>IF(CI18="","",IFERROR(IF(INDEX(CODIFICACION!$E$2:$E$500,MATCH("D7.27|"&amp;CI18,CODIFICACION!$F$2:$F$500,0))="sin dato","",INDEX(CODIFICACION!$E$2:$E$500,MATCH("D7.27|"&amp;CI18,CODIFICACION!$F$2:$F$500,0))),"⚠"))</f>
        <v/>
      </c>
      <c r="BE18" t="str">
        <f>IF(CJ18="","",IFERROR(IF(INDEX(CODIFICACION!$E$2:$E$500,MATCH("D7.28|"&amp;CJ18,CODIFICACION!$F$2:$F$500,0))="sin dato","",INDEX(CODIFICACION!$E$2:$E$500,MATCH("D7.28|"&amp;CJ18,CODIFICACION!$F$2:$F$500,0))),"⚠"))</f>
        <v/>
      </c>
      <c r="BF18" t="str">
        <f>IF(CK18="","",IFERROR(IF(INDEX(CODIFICACION!$E$2:$E$500,MATCH("D7.28b|"&amp;CK18,CODIFICACION!$F$2:$F$500,0))="sin dato","",INDEX(CODIFICACION!$E$2:$E$500,MATCH("D7.28b|"&amp;CK18,CODIFICACION!$F$2:$F$500,0))),"⚠"))</f>
        <v/>
      </c>
      <c r="BG18" t="str">
        <f t="shared" si="10"/>
        <v/>
      </c>
      <c r="BH18" t="str">
        <f>IF(CM18="","",IFERROR(IF(INDEX(CODIFICACION!$E$2:$E$500,MATCH("D7.26a|"&amp;CM18,CODIFICACION!$F$2:$F$500,0))="sin dato","",INDEX(CODIFICACION!$E$2:$E$500,MATCH("D7.26a|"&amp;CM18,CODIFICACION!$F$2:$F$500,0))),"⚠"))</f>
        <v/>
      </c>
      <c r="BI18" t="str">
        <f>IF(CN18="","",IFERROR(IF(INDEX(CODIFICACION!$E$2:$E$500,MATCH("D7.26b|"&amp;CN18,CODIFICACION!$F$2:$F$500,0))="sin dato","",INDEX(CODIFICACION!$E$2:$E$500,MATCH("D7.26b|"&amp;CN18,CODIFICACION!$F$2:$F$500,0))),"⚠"))</f>
        <v/>
      </c>
      <c r="BJ18" t="str">
        <f t="shared" si="11"/>
        <v/>
      </c>
      <c r="BK18" t="str">
        <f t="shared" si="12"/>
        <v/>
      </c>
      <c r="BL18" t="str">
        <f>IF(CQ18="","",IFERROR(IF(INDEX(CODIFICACION!$E$2:$E$500,MATCH("D8.31|"&amp;CQ18,CODIFICACION!$F$2:$F$500,0))="sin dato","",INDEX(CODIFICACION!$E$2:$E$500,MATCH("D8.31|"&amp;CQ18,CODIFICACION!$F$2:$F$500,0))),"⚠"))</f>
        <v/>
      </c>
      <c r="BM18" t="str">
        <f>IF(CR18="","",IFERROR(IF(INDEX(CODIFICACION!$E$2:$E$500,MATCH("D8.32|"&amp;CR18,CODIFICACION!$F$2:$F$500,0))="sin dato","",INDEX(CODIFICACION!$E$2:$E$500,MATCH("D8.32|"&amp;CR18,CODIFICACION!$F$2:$F$500,0))),"⚠"))</f>
        <v/>
      </c>
      <c r="BN18" t="str">
        <f>IF(CS18="","",IFERROR(IF(INDEX(CODIFICACION!$E$2:$E$500,MATCH("D9.33|"&amp;CS18,CODIFICACION!$F$2:$F$500,0))="sin dato","",INDEX(CODIFICACION!$E$2:$E$500,MATCH("D9.33|"&amp;CS18,CODIFICACION!$F$2:$F$500,0))),"⚠"))</f>
        <v/>
      </c>
      <c r="BO18" t="str">
        <f>IF(CT18="","",IFERROR(IF(INDEX(CODIFICACION!$E$2:$E$500,MATCH("D9.34|"&amp;CT18,CODIFICACION!$F$2:$F$500,0))="sin dato","",INDEX(CODIFICACION!$E$2:$E$500,MATCH("D9.34|"&amp;CT18,CODIFICACION!$F$2:$F$500,0))),"⚠"))</f>
        <v/>
      </c>
      <c r="BP18" t="str">
        <f>IF(CU18="","",IFERROR(IF(INDEX(CODIFICACION!$E$2:$E$500,MATCH("D9.35|"&amp;CU18,CODIFICACION!$F$2:$F$500,0))="sin dato","",INDEX(CODIFICACION!$E$2:$E$500,MATCH("D9.35|"&amp;CU18,CODIFICACION!$F$2:$F$500,0))),"⚠"))</f>
        <v/>
      </c>
      <c r="BQ18" t="str">
        <f>IF(CV18="","",IFERROR(IF(INDEX(CODIFICACION!$E$2:$E$500,MATCH("D10.36|"&amp;CV18,CODIFICACION!$F$2:$F$500,0))="sin dato","",INDEX(CODIFICACION!$E$2:$E$500,MATCH("D10.36|"&amp;CV18,CODIFICACION!$F$2:$F$500,0))),"⚠"))</f>
        <v/>
      </c>
      <c r="BR18" t="str">
        <f>IF(CW18="","",IFERROR(IF(INDEX(CODIFICACION!$E$2:$E$500,MATCH("D10.37|"&amp;CW18,CODIFICACION!$F$2:$F$500,0))="sin dato","",INDEX(CODIFICACION!$E$2:$E$500,MATCH("D10.37|"&amp;CW18,CODIFICACION!$F$2:$F$500,0))),"⚠"))</f>
        <v/>
      </c>
      <c r="BS18" t="str">
        <f>IF(CX18="","",IFERROR(IF(INDEX(CODIFICACION!$E$2:$E$500,MATCH("D10.36a|"&amp;CX18,CODIFICACION!$F$2:$F$500,0))="sin dato","",INDEX(CODIFICACION!$E$2:$E$500,MATCH("D10.36a|"&amp;CX18,CODIFICACION!$F$2:$F$500,0))),"⚠"))</f>
        <v/>
      </c>
      <c r="BT18" t="str">
        <f t="shared" si="13"/>
        <v/>
      </c>
      <c r="BU18" t="str">
        <f>IF(DA18="","",IFERROR(IF(INDEX(CODIFICACION!$E$2:$E$500,MATCH("D11.39a|"&amp;DA18,CODIFICACION!$F$2:$F$500,0))="sin dato","",INDEX(CODIFICACION!$E$2:$E$500,MATCH("D11.39a|"&amp;DA18,CODIFICACION!$F$2:$F$500,0))),"⚠"))</f>
        <v/>
      </c>
      <c r="BV18" t="str">
        <f>IF(DB18="","",IFERROR(IF(INDEX(CODIFICACION!$E$2:$E$500,MATCH("D12.42|"&amp;DB18,CODIFICACION!$F$2:$F$500,0))="sin dato","",INDEX(CODIFICACION!$E$2:$E$500,MATCH("D12.42|"&amp;DB18,CODIFICACION!$F$2:$F$500,0))),"⚠"))</f>
        <v/>
      </c>
      <c r="BW18" t="str">
        <f>IF(DC18="","",IFERROR(IF(INDEX(CODIFICACION!$E$2:$E$500,MATCH("D13.45|"&amp;DC18,CODIFICACION!$F$2:$F$500,0))="sin dato","",INDEX(CODIFICACION!$E$2:$E$500,MATCH("D13.45|"&amp;DC18,CODIFICACION!$F$2:$F$500,0))),"⚠"))</f>
        <v/>
      </c>
      <c r="BX18" t="str">
        <f>IF(DD18="","",IFERROR(IF(INDEX(CODIFICACION!$E$2:$E$500,MATCH("D14.51|"&amp;DD18,CODIFICACION!$F$2:$F$500,0))="sin dato","",INDEX(CODIFICACION!$E$2:$E$500,MATCH("D14.51|"&amp;DD18,CODIFICACION!$F$2:$F$500,0))),"⚠"))</f>
        <v/>
      </c>
      <c r="BY18" t="str">
        <f>IF(DE18="","",IFERROR(IF(INDEX(CODIFICACION!$E$2:$E$500,MATCH("D15.58|"&amp;DE18,CODIFICACION!$F$2:$F$500,0))="sin dato","",INDEX(CODIFICACION!$E$2:$E$500,MATCH("D15.58|"&amp;DE18,CODIFICACION!$F$2:$F$500,0))),"⚠"))</f>
        <v/>
      </c>
      <c r="BZ18" t="str">
        <f>IF(DF18="","",IFERROR(IF(INDEX(CODIFICACION!$E$2:$E$500,MATCH("PP1|"&amp;DF18,CODIFICACION!$F$2:$F$500,0))="sin dato","",INDEX(CODIFICACION!$E$2:$E$500,MATCH("PP1|"&amp;DF18,CODIFICACION!$F$2:$F$500,0))),"⚠"))</f>
        <v/>
      </c>
      <c r="CA18" t="str">
        <f>IF(DG18="","",IFERROR(IF(INDEX(CODIFICACION!$E$2:$E$500,MATCH("PP2|"&amp;DG18,CODIFICACION!$F$2:$F$500,0))="sin dato","",INDEX(CODIFICACION!$E$2:$E$500,MATCH("PP2|"&amp;DG18,CODIFICACION!$F$2:$F$500,0))),"⚠"))</f>
        <v/>
      </c>
      <c r="CB18" t="str">
        <f t="shared" si="14"/>
        <v/>
      </c>
      <c r="CC18" t="str">
        <f t="shared" ca="1" si="15"/>
        <v/>
      </c>
      <c r="CD18" t="str">
        <f t="shared" ca="1" si="16"/>
        <v/>
      </c>
      <c r="CE18" t="str">
        <f t="shared" si="17"/>
        <v/>
      </c>
      <c r="CF18" t="str">
        <f t="shared" si="18"/>
        <v/>
      </c>
      <c r="CG18" t="str">
        <f t="shared" ca="1" si="19"/>
        <v/>
      </c>
      <c r="CH18" t="str">
        <f t="shared" ca="1" si="20"/>
        <v/>
      </c>
      <c r="CI18" t="str">
        <f t="shared" si="21"/>
        <v/>
      </c>
      <c r="CJ18" t="str">
        <f t="shared" si="22"/>
        <v/>
      </c>
      <c r="CK18" t="str">
        <f t="shared" si="23"/>
        <v/>
      </c>
      <c r="CL18" t="str">
        <f t="shared" si="24"/>
        <v/>
      </c>
    </row>
    <row r="19" spans="1:90" x14ac:dyDescent="0.3">
      <c r="A19">
        <f>CAPTURA!A19</f>
        <v>20170142773</v>
      </c>
      <c r="B19">
        <f>CAPTURA!C19</f>
        <v>0</v>
      </c>
      <c r="C19" t="str">
        <f t="shared" si="0"/>
        <v/>
      </c>
      <c r="D19" t="str">
        <f>IF(AE19="","",IFERROR(IF(INDEX(CODIFICACION!$E$2:$E$500,MATCH("P8|"&amp;AE19,CODIFICACION!$F$2:$F$500,0))="sin dato","",INDEX(CODIFICACION!$E$2:$E$500,MATCH("P8|"&amp;AE19,CODIFICACION!$F$2:$F$500,0))),"⚠"))</f>
        <v/>
      </c>
      <c r="E19" t="str">
        <f>IF(AG19="","",IFERROR(IF(INDEX(CODIFICACION!$E$2:$E$500,MATCH("P10|"&amp;AG19,CODIFICACION!$F$2:$F$500,0))="sin dato","",INDEX(CODIFICACION!$E$2:$E$500,MATCH("P10|"&amp;AG19,CODIFICACION!$F$2:$F$500,0))),"⚠"))</f>
        <v/>
      </c>
      <c r="F19" t="str">
        <f>IF(AJ19="","",IFERROR(IF(INDEX(CODIFICACION!$E$2:$E$500,MATCH("P13|"&amp;AJ19,CODIFICACION!$F$2:$F$500,0))="sin dato","",INDEX(CODIFICACION!$E$2:$E$500,MATCH("P13|"&amp;AJ19,CODIFICACION!$F$2:$F$500,0))),"⚠"))</f>
        <v/>
      </c>
      <c r="G19" t="str">
        <f>IF(AK19="","",IFERROR(IF(INDEX(CODIFICACION!$E$2:$E$500,MATCH("P14|"&amp;AK19,CODIFICACION!$F$2:$F$500,0))="sin dato","",INDEX(CODIFICACION!$E$2:$E$500,MATCH("P14|"&amp;AK19,CODIFICACION!$F$2:$F$500,0))),"⚠"))</f>
        <v/>
      </c>
      <c r="H19" t="str">
        <f>IF(AL19="","",IFERROR(IF(INDEX(CODIFICACION!$E$2:$E$500,MATCH("D1.1|"&amp;AL19,CODIFICACION!$F$2:$F$500,0))="sin dato","",INDEX(CODIFICACION!$E$2:$E$500,MATCH("D1.1|"&amp;AL19,CODIFICACION!$F$2:$F$500,0))),"⚠"))</f>
        <v/>
      </c>
      <c r="I19" t="str">
        <f>IF(AN19="","",IFERROR(IF(INDEX(CODIFICACION!$E$2:$E$500,MATCH("D1.3|"&amp;AN19,CODIFICACION!$F$2:$F$500,0))="sin dato","",INDEX(CODIFICACION!$E$2:$E$500,MATCH("D1.3|"&amp;AN19,CODIFICACION!$F$2:$F$500,0))),"⚠"))</f>
        <v/>
      </c>
      <c r="J19" t="str">
        <f>IF(AO19="","",IFERROR(IF(INDEX(CODIFICACION!$E$2:$E$500,MATCH("D1.4|"&amp;AO19,CODIFICACION!$F$2:$F$500,0))="sin dato","",INDEX(CODIFICACION!$E$2:$E$500,MATCH("D1.4|"&amp;AO19,CODIFICACION!$F$2:$F$500,0))),"⚠"))</f>
        <v/>
      </c>
      <c r="K19" t="str">
        <f>IF(AP19="","",IFERROR(IF(INDEX(CODIFICACION!$E$2:$E$500,MATCH("D1.3a|"&amp;AP19,CODIFICACION!$F$2:$F$500,0))="sin dato","",INDEX(CODIFICACION!$E$2:$E$500,MATCH("D1.3a|"&amp;AP19,CODIFICACION!$F$2:$F$500,0))),"⚠"))</f>
        <v/>
      </c>
      <c r="L19" t="str">
        <f t="shared" si="1"/>
        <v/>
      </c>
      <c r="M19" t="str">
        <f t="shared" si="2"/>
        <v/>
      </c>
      <c r="N19" t="str">
        <f t="shared" si="3"/>
        <v/>
      </c>
      <c r="O19" t="str">
        <f>IF(AT19="","",IFERROR(IF(INDEX(CODIFICACION!$E$2:$E$500,MATCH("D2.8|"&amp;AT19,CODIFICACION!$F$2:$F$500,0))="sin dato","",INDEX(CODIFICACION!$E$2:$E$500,MATCH("D2.8|"&amp;AT19,CODIFICACION!$F$2:$F$500,0))),"⚠"))</f>
        <v/>
      </c>
      <c r="P19" t="str">
        <f>IF(AU19="","",IFERROR(IF(INDEX(CODIFICACION!$E$2:$E$500,MATCH("D2.9|"&amp;AU19,CODIFICACION!$F$2:$F$500,0))="sin dato","",INDEX(CODIFICACION!$E$2:$E$500,MATCH("D2.9|"&amp;AU19,CODIFICACION!$F$2:$F$500,0))),"⚠"))</f>
        <v/>
      </c>
      <c r="Q19" t="str">
        <f>IF(AV19="","",IFERROR(IF(INDEX(CODIFICACION!$E$2:$E$500,MATCH("D2.10|"&amp;AV19,CODIFICACION!$F$2:$F$500,0))="sin dato","",INDEX(CODIFICACION!$E$2:$E$500,MATCH("D2.10|"&amp;AV19,CODIFICACION!$F$2:$F$500,0))),"⚠"))</f>
        <v/>
      </c>
      <c r="R19" t="str">
        <f>IF(AW19="","",IFERROR(IF(INDEX(CODIFICACION!$E$2:$E$500,MATCH("D2.5a|"&amp;AW19,CODIFICACION!$F$2:$F$500,0))="sin dato","",INDEX(CODIFICACION!$E$2:$E$500,MATCH("D2.5a|"&amp;AW19,CODIFICACION!$F$2:$F$500,0))),"⚠"))</f>
        <v/>
      </c>
      <c r="S19" t="str">
        <f ca="1">IF(AX19="","",IFERROR(IF(INDEX(CODIFICACION!$E$2:$E$500,MATCH("D2.5b|"&amp;AX19,CODIFICACION!$F$2:$F$500,0))="sin dato","",INDEX(CODIFICACION!$E$2:$E$500,MATCH("D2.5b|"&amp;AX19,CODIFICACION!$F$2:$F$500,0))),"⚠"))</f>
        <v/>
      </c>
      <c r="T19" t="str">
        <f t="shared" ca="1" si="4"/>
        <v/>
      </c>
      <c r="U19" t="str">
        <f>IF(AZ19="","",IFERROR(IF(INDEX(CODIFICACION!$E$2:$E$500,MATCH("D3.12|"&amp;AZ19,CODIFICACION!$F$2:$F$500,0))="sin dato","",INDEX(CODIFICACION!$E$2:$E$500,MATCH("D3.12|"&amp;AZ19,CODIFICACION!$F$2:$F$500,0))),"⚠"))</f>
        <v/>
      </c>
      <c r="V19" t="str">
        <f t="shared" si="5"/>
        <v/>
      </c>
      <c r="W19" t="str">
        <f ca="1">IF(BB19="","",IFERROR(IF(INDEX(CODIFICACION!$E$2:$E$500,MATCH("D3.14|"&amp;BB19,CODIFICACION!$F$2:$F$500,0))="sin dato","",INDEX(CODIFICACION!$E$2:$E$500,MATCH("D3.14|"&amp;BB19,CODIFICACION!$F$2:$F$500,0))),"⚠"))</f>
        <v/>
      </c>
      <c r="X19" t="str">
        <f ca="1">IF(BC19="","",IFERROR(IF(INDEX(CODIFICACION!$E$2:$E$500,MATCH("D3.14a|"&amp;BC19,CODIFICACION!$F$2:$F$500,0))="sin dato","",INDEX(CODIFICACION!$E$2:$E$500,MATCH("D3.14a|"&amp;BC19,CODIFICACION!$F$2:$F$500,0))),"⚠"))</f>
        <v/>
      </c>
      <c r="Y19" t="str">
        <f>IF(BD19="","",IFERROR(IF(INDEX(CODIFICACION!$E$2:$E$500,MATCH("D3.14b|"&amp;BD19,CODIFICACION!$F$2:$F$500,0))="sin dato","",INDEX(CODIFICACION!$E$2:$E$500,MATCH("D3.14b|"&amp;BD19,CODIFICACION!$F$2:$F$500,0))),"⚠"))</f>
        <v/>
      </c>
      <c r="Z19" t="str">
        <f>IF(BE19="","",IFERROR(IF(INDEX(CODIFICACION!$E$2:$E$500,MATCH("D3.14c|"&amp;BE19,CODIFICACION!$F$2:$F$500,0))="sin dato","",INDEX(CODIFICACION!$E$2:$E$500,MATCH("D3.14c|"&amp;BE19,CODIFICACION!$F$2:$F$500,0))),"⚠"))</f>
        <v/>
      </c>
      <c r="AA19" t="str">
        <f>IF(BF19="","",IFERROR(IF(INDEX(CODIFICACION!$E$2:$E$500,MATCH("D3.14d|"&amp;BF19,CODIFICACION!$F$2:$F$500,0))="sin dato","",INDEX(CODIFICACION!$E$2:$E$500,MATCH("D3.14d|"&amp;BF19,CODIFICACION!$F$2:$F$500,0))),"⚠"))</f>
        <v/>
      </c>
      <c r="AB19" t="str">
        <f>IF(BG19="","",IFERROR(IF(INDEX(CODIFICACION!$E$2:$E$500,MATCH("D3.14e|"&amp;BG19,CODIFICACION!$F$2:$F$500,0))="sin dato","",INDEX(CODIFICACION!$E$2:$E$500,MATCH("D3.14e|"&amp;BG19,CODIFICACION!$F$2:$F$500,0))),"⚠"))</f>
        <v/>
      </c>
      <c r="AC19" t="str">
        <f>IF(BH19="","",IFERROR(IF(INDEX(CODIFICACION!$E$2:$E$500,MATCH("D3.14f|"&amp;BH19,CODIFICACION!$F$2:$F$500,0))="sin dato","",INDEX(CODIFICACION!$E$2:$E$500,MATCH("D3.14f|"&amp;BH19,CODIFICACION!$F$2:$F$500,0))),"⚠"))</f>
        <v/>
      </c>
      <c r="AD19" t="str">
        <f>IF(BI19="","",IFERROR(IF(INDEX(CODIFICACION!$E$2:$E$500,MATCH("D3.14g|"&amp;BI19,CODIFICACION!$F$2:$F$500,0))="sin dato","",INDEX(CODIFICACION!$E$2:$E$500,MATCH("D3.14g|"&amp;BI19,CODIFICACION!$F$2:$F$500,0))),"⚠"))</f>
        <v/>
      </c>
      <c r="AE19" t="str">
        <f>IF(BJ19="","",IFERROR(IF(INDEX(CODIFICACION!$E$2:$E$500,MATCH("D3.14h|"&amp;BJ19,CODIFICACION!$F$2:$F$500,0))="sin dato","",INDEX(CODIFICACION!$E$2:$E$500,MATCH("D3.14h|"&amp;BJ19,CODIFICACION!$F$2:$F$500,0))),"⚠"))</f>
        <v/>
      </c>
      <c r="AF19" t="str">
        <f>IF(BK19="","",IFERROR(IF(INDEX(CODIFICACION!$E$2:$E$500,MATCH("D3.14i|"&amp;BK19,CODIFICACION!$F$2:$F$500,0))="sin dato","",INDEX(CODIFICACION!$E$2:$E$500,MATCH("D3.14i|"&amp;BK19,CODIFICACION!$F$2:$F$500,0))),"⚠"))</f>
        <v/>
      </c>
      <c r="AG19" t="str">
        <f>IF(BL19="","",IFERROR(IF(INDEX(CODIFICACION!$E$2:$E$500,MATCH("D4.15|"&amp;BL19,CODIFICACION!$F$2:$F$500,0))="sin dato","",INDEX(CODIFICACION!$E$2:$E$500,MATCH("D4.15|"&amp;BL19,CODIFICACION!$F$2:$F$500,0))),"⚠"))</f>
        <v/>
      </c>
      <c r="AH19" t="str">
        <f t="shared" si="6"/>
        <v/>
      </c>
      <c r="AI19" t="str">
        <f>IF(BN19="","",IFERROR(IF(INDEX(CODIFICACION!$E$2:$E$500,MATCH("D4.17|"&amp;BN19,CODIFICACION!$F$2:$F$500,0))="sin dato","",INDEX(CODIFICACION!$E$2:$E$500,MATCH("D4.17|"&amp;BN19,CODIFICACION!$F$2:$F$500,0))),"⚠"))</f>
        <v/>
      </c>
      <c r="AJ19" t="str">
        <f>IF(BO19="","",IFERROR(IF(INDEX(CODIFICACION!$E$2:$E$500,MATCH("D4.15a|"&amp;BO19,CODIFICACION!$F$2:$F$500,0))="sin dato","",INDEX(CODIFICACION!$E$2:$E$500,MATCH("D4.15a|"&amp;BO19,CODIFICACION!$F$2:$F$500,0))),"⚠"))</f>
        <v/>
      </c>
      <c r="AK19" t="str">
        <f t="shared" si="7"/>
        <v/>
      </c>
      <c r="AL19" t="str">
        <f t="shared" si="8"/>
        <v/>
      </c>
      <c r="AM19" t="str">
        <f>IF(BR19="","",IFERROR(IF(INDEX(CODIFICACION!$E$2:$E$500,MATCH("D5.18b|"&amp;BR19,CODIFICACION!$F$2:$F$500,0))="sin dato","",INDEX(CODIFICACION!$E$2:$E$500,MATCH("D5.18b|"&amp;BR19,CODIFICACION!$F$2:$F$500,0))),"⚠"))</f>
        <v/>
      </c>
      <c r="AN19" t="str">
        <f>IF(BS19="","",IFERROR(IF(INDEX(CODIFICACION!$E$2:$E$500,MATCH("D5.19|"&amp;BS19,CODIFICACION!$F$2:$F$500,0))="sin dato","",INDEX(CODIFICACION!$E$2:$E$500,MATCH("D5.19|"&amp;BS19,CODIFICACION!$F$2:$F$500,0))),"⚠"))</f>
        <v/>
      </c>
      <c r="AO19" t="str">
        <f t="shared" si="9"/>
        <v/>
      </c>
      <c r="AP19" t="str">
        <f>IF(BU19="","",IFERROR(IF(INDEX(CODIFICACION!$E$2:$E$500,MATCH("D5.20|"&amp;BU19,CODIFICACION!$F$2:$F$500,0))="sin dato","",INDEX(CODIFICACION!$E$2:$E$500,MATCH("D5.20|"&amp;BU19,CODIFICACION!$F$2:$F$500,0))),"⚠"))</f>
        <v/>
      </c>
      <c r="AQ19" t="str">
        <f>IF(BV19="","",IFERROR(IF(INDEX(CODIFICACION!$E$2:$E$500,MATCH("D5.21|"&amp;BV19,CODIFICACION!$F$2:$F$500,0))="sin dato","",INDEX(CODIFICACION!$E$2:$E$500,MATCH("D5.21|"&amp;BV19,CODIFICACION!$F$2:$F$500,0))),"⚠"))</f>
        <v/>
      </c>
      <c r="AR19" t="str">
        <f>IF(BW19="","",IFERROR(IF(INDEX(CODIFICACION!$E$2:$E$500,MATCH("D5.21a|"&amp;BW19,CODIFICACION!$F$2:$F$500,0))="sin dato","",INDEX(CODIFICACION!$E$2:$E$500,MATCH("D5.21a|"&amp;BW19,CODIFICACION!$F$2:$F$500,0))),"⚠"))</f>
        <v/>
      </c>
      <c r="AS19" t="str">
        <f>IF(BX19="","",IFERROR(IF(INDEX(CODIFICACION!$E$2:$E$500,MATCH("D5.21b|"&amp;BX19,CODIFICACION!$F$2:$F$500,0))="sin dato","",INDEX(CODIFICACION!$E$2:$E$500,MATCH("D5.21b|"&amp;BX19,CODIFICACION!$F$2:$F$500,0))),"⚠"))</f>
        <v/>
      </c>
      <c r="AT19" t="str">
        <f>IF(BY19="","",IFERROR(IF(INDEX(CODIFICACION!$E$2:$E$500,MATCH("D6.22|"&amp;BY19,CODIFICACION!$F$2:$F$500,0))="sin dato","",INDEX(CODIFICACION!$E$2:$E$500,MATCH("D6.22|"&amp;BY19,CODIFICACION!$F$2:$F$500,0))),"⚠"))</f>
        <v/>
      </c>
      <c r="AU19" t="str">
        <f>IF(BZ19="","",IFERROR(IF(INDEX(CODIFICACION!$E$2:$E$500,MATCH("D6.22a|"&amp;BZ19,CODIFICACION!$F$2:$F$500,0))="sin dato","",INDEX(CODIFICACION!$E$2:$E$500,MATCH("D6.22a|"&amp;BZ19,CODIFICACION!$F$2:$F$500,0))),"⚠"))</f>
        <v/>
      </c>
      <c r="AV19" t="str">
        <f>IF(CA19="","",IFERROR(IF(INDEX(CODIFICACION!$E$2:$E$500,MATCH("D6.22b|"&amp;CA19,CODIFICACION!$F$2:$F$500,0))="sin dato","",INDEX(CODIFICACION!$E$2:$E$500,MATCH("D6.22b|"&amp;CA19,CODIFICACION!$F$2:$F$500,0))),"⚠"))</f>
        <v/>
      </c>
      <c r="AW19" t="str">
        <f>IF(CB19="","",IFERROR(IF(INDEX(CODIFICACION!$E$2:$E$500,MATCH("D6.23|"&amp;CB19,CODIFICACION!$F$2:$F$500,0))="sin dato","",INDEX(CODIFICACION!$E$2:$E$500,MATCH("D6.23|"&amp;CB19,CODIFICACION!$F$2:$F$500,0))),"⚠"))</f>
        <v/>
      </c>
      <c r="AX19" t="str">
        <f ca="1">IF(CC19="","",IFERROR(IF(INDEX(CODIFICACION!$E$2:$E$500,MATCH("D6.24|"&amp;CC19,CODIFICACION!$F$2:$F$500,0))="sin dato","",INDEX(CODIFICACION!$E$2:$E$500,MATCH("D6.24|"&amp;CC19,CODIFICACION!$F$2:$F$500,0))),"⚠"))</f>
        <v/>
      </c>
      <c r="AY19" t="str">
        <f ca="1">IF(CD19="","",IFERROR(IF(INDEX(CODIFICACION!$E$2:$E$500,MATCH("D6.25|"&amp;CD19,CODIFICACION!$F$2:$F$500,0))="sin dato","",INDEX(CODIFICACION!$E$2:$E$500,MATCH("D6.25|"&amp;CD19,CODIFICACION!$F$2:$F$500,0))),"⚠"))</f>
        <v/>
      </c>
      <c r="AZ19" t="str">
        <f>IF(CE19="","",IFERROR(IF(INDEX(CODIFICACION!$E$2:$E$500,MATCH("D6.25a|"&amp;CE19,CODIFICACION!$F$2:$F$500,0))="sin dato","",INDEX(CODIFICACION!$E$2:$E$500,MATCH("D6.25a|"&amp;CE19,CODIFICACION!$F$2:$F$500,0))),"⚠"))</f>
        <v/>
      </c>
      <c r="BA19" t="str">
        <f>IF(CF19="","",IFERROR(IF(INDEX(CODIFICACION!$E$2:$E$500,MATCH("D6.25b|"&amp;CF19,CODIFICACION!$F$2:$F$500,0))="sin dato","",INDEX(CODIFICACION!$E$2:$E$500,MATCH("D6.25b|"&amp;CF19,CODIFICACION!$F$2:$F$500,0))),"⚠"))</f>
        <v/>
      </c>
      <c r="BB19" t="str">
        <f ca="1">IF(CG19="","",IFERROR(IF(INDEX(CODIFICACION!$E$2:$E$500,MATCH("D6.22c|"&amp;CG19,CODIFICACION!$F$2:$F$500,0))="sin dato","",INDEX(CODIFICACION!$E$2:$E$500,MATCH("D6.22c|"&amp;CG19,CODIFICACION!$F$2:$F$500,0))),"⚠"))</f>
        <v/>
      </c>
      <c r="BC19" t="str">
        <f ca="1">IF(CH19="","",IFERROR(IF(INDEX(CODIFICACION!$E$2:$E$500,MATCH("D7.26|"&amp;CH19,CODIFICACION!$F$2:$F$500,0))="sin dato","",INDEX(CODIFICACION!$E$2:$E$500,MATCH("D7.26|"&amp;CH19,CODIFICACION!$F$2:$F$500,0))),"⚠"))</f>
        <v/>
      </c>
      <c r="BD19" t="str">
        <f>IF(CI19="","",IFERROR(IF(INDEX(CODIFICACION!$E$2:$E$500,MATCH("D7.27|"&amp;CI19,CODIFICACION!$F$2:$F$500,0))="sin dato","",INDEX(CODIFICACION!$E$2:$E$500,MATCH("D7.27|"&amp;CI19,CODIFICACION!$F$2:$F$500,0))),"⚠"))</f>
        <v/>
      </c>
      <c r="BE19" t="str">
        <f>IF(CJ19="","",IFERROR(IF(INDEX(CODIFICACION!$E$2:$E$500,MATCH("D7.28|"&amp;CJ19,CODIFICACION!$F$2:$F$500,0))="sin dato","",INDEX(CODIFICACION!$E$2:$E$500,MATCH("D7.28|"&amp;CJ19,CODIFICACION!$F$2:$F$500,0))),"⚠"))</f>
        <v/>
      </c>
      <c r="BF19" t="str">
        <f>IF(CK19="","",IFERROR(IF(INDEX(CODIFICACION!$E$2:$E$500,MATCH("D7.28b|"&amp;CK19,CODIFICACION!$F$2:$F$500,0))="sin dato","",INDEX(CODIFICACION!$E$2:$E$500,MATCH("D7.28b|"&amp;CK19,CODIFICACION!$F$2:$F$500,0))),"⚠"))</f>
        <v/>
      </c>
      <c r="BG19" t="str">
        <f t="shared" si="10"/>
        <v/>
      </c>
      <c r="BH19" t="str">
        <f>IF(CM19="","",IFERROR(IF(INDEX(CODIFICACION!$E$2:$E$500,MATCH("D7.26a|"&amp;CM19,CODIFICACION!$F$2:$F$500,0))="sin dato","",INDEX(CODIFICACION!$E$2:$E$500,MATCH("D7.26a|"&amp;CM19,CODIFICACION!$F$2:$F$500,0))),"⚠"))</f>
        <v/>
      </c>
      <c r="BI19" t="str">
        <f>IF(CN19="","",IFERROR(IF(INDEX(CODIFICACION!$E$2:$E$500,MATCH("D7.26b|"&amp;CN19,CODIFICACION!$F$2:$F$500,0))="sin dato","",INDEX(CODIFICACION!$E$2:$E$500,MATCH("D7.26b|"&amp;CN19,CODIFICACION!$F$2:$F$500,0))),"⚠"))</f>
        <v/>
      </c>
      <c r="BJ19" t="str">
        <f t="shared" si="11"/>
        <v/>
      </c>
      <c r="BK19" t="str">
        <f t="shared" si="12"/>
        <v/>
      </c>
      <c r="BL19" t="str">
        <f>IF(CQ19="","",IFERROR(IF(INDEX(CODIFICACION!$E$2:$E$500,MATCH("D8.31|"&amp;CQ19,CODIFICACION!$F$2:$F$500,0))="sin dato","",INDEX(CODIFICACION!$E$2:$E$500,MATCH("D8.31|"&amp;CQ19,CODIFICACION!$F$2:$F$500,0))),"⚠"))</f>
        <v/>
      </c>
      <c r="BM19" t="str">
        <f>IF(CR19="","",IFERROR(IF(INDEX(CODIFICACION!$E$2:$E$500,MATCH("D8.32|"&amp;CR19,CODIFICACION!$F$2:$F$500,0))="sin dato","",INDEX(CODIFICACION!$E$2:$E$500,MATCH("D8.32|"&amp;CR19,CODIFICACION!$F$2:$F$500,0))),"⚠"))</f>
        <v/>
      </c>
      <c r="BN19" t="str">
        <f>IF(CS19="","",IFERROR(IF(INDEX(CODIFICACION!$E$2:$E$500,MATCH("D9.33|"&amp;CS19,CODIFICACION!$F$2:$F$500,0))="sin dato","",INDEX(CODIFICACION!$E$2:$E$500,MATCH("D9.33|"&amp;CS19,CODIFICACION!$F$2:$F$500,0))),"⚠"))</f>
        <v/>
      </c>
      <c r="BO19" t="str">
        <f>IF(CT19="","",IFERROR(IF(INDEX(CODIFICACION!$E$2:$E$500,MATCH("D9.34|"&amp;CT19,CODIFICACION!$F$2:$F$500,0))="sin dato","",INDEX(CODIFICACION!$E$2:$E$500,MATCH("D9.34|"&amp;CT19,CODIFICACION!$F$2:$F$500,0))),"⚠"))</f>
        <v/>
      </c>
      <c r="BP19" t="str">
        <f>IF(CU19="","",IFERROR(IF(INDEX(CODIFICACION!$E$2:$E$500,MATCH("D9.35|"&amp;CU19,CODIFICACION!$F$2:$F$500,0))="sin dato","",INDEX(CODIFICACION!$E$2:$E$500,MATCH("D9.35|"&amp;CU19,CODIFICACION!$F$2:$F$500,0))),"⚠"))</f>
        <v/>
      </c>
      <c r="BQ19" t="str">
        <f>IF(CV19="","",IFERROR(IF(INDEX(CODIFICACION!$E$2:$E$500,MATCH("D10.36|"&amp;CV19,CODIFICACION!$F$2:$F$500,0))="sin dato","",INDEX(CODIFICACION!$E$2:$E$500,MATCH("D10.36|"&amp;CV19,CODIFICACION!$F$2:$F$500,0))),"⚠"))</f>
        <v/>
      </c>
      <c r="BR19" t="str">
        <f>IF(CW19="","",IFERROR(IF(INDEX(CODIFICACION!$E$2:$E$500,MATCH("D10.37|"&amp;CW19,CODIFICACION!$F$2:$F$500,0))="sin dato","",INDEX(CODIFICACION!$E$2:$E$500,MATCH("D10.37|"&amp;CW19,CODIFICACION!$F$2:$F$500,0))),"⚠"))</f>
        <v/>
      </c>
      <c r="BS19" t="str">
        <f>IF(CX19="","",IFERROR(IF(INDEX(CODIFICACION!$E$2:$E$500,MATCH("D10.36a|"&amp;CX19,CODIFICACION!$F$2:$F$500,0))="sin dato","",INDEX(CODIFICACION!$E$2:$E$500,MATCH("D10.36a|"&amp;CX19,CODIFICACION!$F$2:$F$500,0))),"⚠"))</f>
        <v/>
      </c>
      <c r="BT19" t="str">
        <f t="shared" si="13"/>
        <v/>
      </c>
      <c r="BU19" t="str">
        <f>IF(DA19="","",IFERROR(IF(INDEX(CODIFICACION!$E$2:$E$500,MATCH("D11.39a|"&amp;DA19,CODIFICACION!$F$2:$F$500,0))="sin dato","",INDEX(CODIFICACION!$E$2:$E$500,MATCH("D11.39a|"&amp;DA19,CODIFICACION!$F$2:$F$500,0))),"⚠"))</f>
        <v/>
      </c>
      <c r="BV19" t="str">
        <f>IF(DB19="","",IFERROR(IF(INDEX(CODIFICACION!$E$2:$E$500,MATCH("D12.42|"&amp;DB19,CODIFICACION!$F$2:$F$500,0))="sin dato","",INDEX(CODIFICACION!$E$2:$E$500,MATCH("D12.42|"&amp;DB19,CODIFICACION!$F$2:$F$500,0))),"⚠"))</f>
        <v/>
      </c>
      <c r="BW19" t="str">
        <f>IF(DC19="","",IFERROR(IF(INDEX(CODIFICACION!$E$2:$E$500,MATCH("D13.45|"&amp;DC19,CODIFICACION!$F$2:$F$500,0))="sin dato","",INDEX(CODIFICACION!$E$2:$E$500,MATCH("D13.45|"&amp;DC19,CODIFICACION!$F$2:$F$500,0))),"⚠"))</f>
        <v/>
      </c>
      <c r="BX19" t="str">
        <f>IF(DD19="","",IFERROR(IF(INDEX(CODIFICACION!$E$2:$E$500,MATCH("D14.51|"&amp;DD19,CODIFICACION!$F$2:$F$500,0))="sin dato","",INDEX(CODIFICACION!$E$2:$E$500,MATCH("D14.51|"&amp;DD19,CODIFICACION!$F$2:$F$500,0))),"⚠"))</f>
        <v/>
      </c>
      <c r="BY19" t="str">
        <f>IF(DE19="","",IFERROR(IF(INDEX(CODIFICACION!$E$2:$E$500,MATCH("D15.58|"&amp;DE19,CODIFICACION!$F$2:$F$500,0))="sin dato","",INDEX(CODIFICACION!$E$2:$E$500,MATCH("D15.58|"&amp;DE19,CODIFICACION!$F$2:$F$500,0))),"⚠"))</f>
        <v/>
      </c>
      <c r="BZ19" t="str">
        <f>IF(DF19="","",IFERROR(IF(INDEX(CODIFICACION!$E$2:$E$500,MATCH("PP1|"&amp;DF19,CODIFICACION!$F$2:$F$500,0))="sin dato","",INDEX(CODIFICACION!$E$2:$E$500,MATCH("PP1|"&amp;DF19,CODIFICACION!$F$2:$F$500,0))),"⚠"))</f>
        <v/>
      </c>
      <c r="CA19" t="str">
        <f>IF(DG19="","",IFERROR(IF(INDEX(CODIFICACION!$E$2:$E$500,MATCH("PP2|"&amp;DG19,CODIFICACION!$F$2:$F$500,0))="sin dato","",INDEX(CODIFICACION!$E$2:$E$500,MATCH("PP2|"&amp;DG19,CODIFICACION!$F$2:$F$500,0))),"⚠"))</f>
        <v/>
      </c>
      <c r="CB19" t="str">
        <f t="shared" si="14"/>
        <v/>
      </c>
      <c r="CC19" t="str">
        <f t="shared" ca="1" si="15"/>
        <v/>
      </c>
      <c r="CD19" t="str">
        <f t="shared" ca="1" si="16"/>
        <v/>
      </c>
      <c r="CE19" t="str">
        <f t="shared" si="17"/>
        <v/>
      </c>
      <c r="CF19" t="str">
        <f t="shared" si="18"/>
        <v/>
      </c>
      <c r="CG19" t="str">
        <f t="shared" ca="1" si="19"/>
        <v/>
      </c>
      <c r="CH19" t="str">
        <f t="shared" ca="1" si="20"/>
        <v/>
      </c>
      <c r="CI19" t="str">
        <f t="shared" si="21"/>
        <v/>
      </c>
      <c r="CJ19" t="str">
        <f t="shared" si="22"/>
        <v/>
      </c>
      <c r="CK19" t="str">
        <f t="shared" si="23"/>
        <v/>
      </c>
      <c r="CL19" t="str">
        <f t="shared" si="24"/>
        <v/>
      </c>
    </row>
    <row r="20" spans="1:90" x14ac:dyDescent="0.3">
      <c r="A20">
        <f>CAPTURA!A20</f>
        <v>20200880448</v>
      </c>
      <c r="B20">
        <f>CAPTURA!C20</f>
        <v>0</v>
      </c>
      <c r="C20" t="str">
        <f t="shared" si="0"/>
        <v/>
      </c>
      <c r="D20" t="str">
        <f>IF(AE20="","",IFERROR(IF(INDEX(CODIFICACION!$E$2:$E$500,MATCH("P8|"&amp;AE20,CODIFICACION!$F$2:$F$500,0))="sin dato","",INDEX(CODIFICACION!$E$2:$E$500,MATCH("P8|"&amp;AE20,CODIFICACION!$F$2:$F$500,0))),"⚠"))</f>
        <v/>
      </c>
      <c r="E20" t="str">
        <f>IF(AG20="","",IFERROR(IF(INDEX(CODIFICACION!$E$2:$E$500,MATCH("P10|"&amp;AG20,CODIFICACION!$F$2:$F$500,0))="sin dato","",INDEX(CODIFICACION!$E$2:$E$500,MATCH("P10|"&amp;AG20,CODIFICACION!$F$2:$F$500,0))),"⚠"))</f>
        <v/>
      </c>
      <c r="F20" t="str">
        <f>IF(AJ20="","",IFERROR(IF(INDEX(CODIFICACION!$E$2:$E$500,MATCH("P13|"&amp;AJ20,CODIFICACION!$F$2:$F$500,0))="sin dato","",INDEX(CODIFICACION!$E$2:$E$500,MATCH("P13|"&amp;AJ20,CODIFICACION!$F$2:$F$500,0))),"⚠"))</f>
        <v/>
      </c>
      <c r="G20" t="str">
        <f>IF(AK20="","",IFERROR(IF(INDEX(CODIFICACION!$E$2:$E$500,MATCH("P14|"&amp;AK20,CODIFICACION!$F$2:$F$500,0))="sin dato","",INDEX(CODIFICACION!$E$2:$E$500,MATCH("P14|"&amp;AK20,CODIFICACION!$F$2:$F$500,0))),"⚠"))</f>
        <v/>
      </c>
      <c r="H20" t="str">
        <f>IF(AL20="","",IFERROR(IF(INDEX(CODIFICACION!$E$2:$E$500,MATCH("D1.1|"&amp;AL20,CODIFICACION!$F$2:$F$500,0))="sin dato","",INDEX(CODIFICACION!$E$2:$E$500,MATCH("D1.1|"&amp;AL20,CODIFICACION!$F$2:$F$500,0))),"⚠"))</f>
        <v/>
      </c>
      <c r="I20" t="str">
        <f>IF(AN20="","",IFERROR(IF(INDEX(CODIFICACION!$E$2:$E$500,MATCH("D1.3|"&amp;AN20,CODIFICACION!$F$2:$F$500,0))="sin dato","",INDEX(CODIFICACION!$E$2:$E$500,MATCH("D1.3|"&amp;AN20,CODIFICACION!$F$2:$F$500,0))),"⚠"))</f>
        <v/>
      </c>
      <c r="J20" t="str">
        <f>IF(AO20="","",IFERROR(IF(INDEX(CODIFICACION!$E$2:$E$500,MATCH("D1.4|"&amp;AO20,CODIFICACION!$F$2:$F$500,0))="sin dato","",INDEX(CODIFICACION!$E$2:$E$500,MATCH("D1.4|"&amp;AO20,CODIFICACION!$F$2:$F$500,0))),"⚠"))</f>
        <v/>
      </c>
      <c r="K20" t="str">
        <f>IF(AP20="","",IFERROR(IF(INDEX(CODIFICACION!$E$2:$E$500,MATCH("D1.3a|"&amp;AP20,CODIFICACION!$F$2:$F$500,0))="sin dato","",INDEX(CODIFICACION!$E$2:$E$500,MATCH("D1.3a|"&amp;AP20,CODIFICACION!$F$2:$F$500,0))),"⚠"))</f>
        <v/>
      </c>
      <c r="L20" t="str">
        <f t="shared" si="1"/>
        <v/>
      </c>
      <c r="M20" t="str">
        <f t="shared" si="2"/>
        <v/>
      </c>
      <c r="N20" t="str">
        <f t="shared" si="3"/>
        <v/>
      </c>
      <c r="O20" t="str">
        <f>IF(AT20="","",IFERROR(IF(INDEX(CODIFICACION!$E$2:$E$500,MATCH("D2.8|"&amp;AT20,CODIFICACION!$F$2:$F$500,0))="sin dato","",INDEX(CODIFICACION!$E$2:$E$500,MATCH("D2.8|"&amp;AT20,CODIFICACION!$F$2:$F$500,0))),"⚠"))</f>
        <v/>
      </c>
      <c r="P20" t="str">
        <f>IF(AU20="","",IFERROR(IF(INDEX(CODIFICACION!$E$2:$E$500,MATCH("D2.9|"&amp;AU20,CODIFICACION!$F$2:$F$500,0))="sin dato","",INDEX(CODIFICACION!$E$2:$E$500,MATCH("D2.9|"&amp;AU20,CODIFICACION!$F$2:$F$500,0))),"⚠"))</f>
        <v/>
      </c>
      <c r="Q20" t="str">
        <f>IF(AV20="","",IFERROR(IF(INDEX(CODIFICACION!$E$2:$E$500,MATCH("D2.10|"&amp;AV20,CODIFICACION!$F$2:$F$500,0))="sin dato","",INDEX(CODIFICACION!$E$2:$E$500,MATCH("D2.10|"&amp;AV20,CODIFICACION!$F$2:$F$500,0))),"⚠"))</f>
        <v/>
      </c>
      <c r="R20" t="str">
        <f>IF(AW20="","",IFERROR(IF(INDEX(CODIFICACION!$E$2:$E$500,MATCH("D2.5a|"&amp;AW20,CODIFICACION!$F$2:$F$500,0))="sin dato","",INDEX(CODIFICACION!$E$2:$E$500,MATCH("D2.5a|"&amp;AW20,CODIFICACION!$F$2:$F$500,0))),"⚠"))</f>
        <v/>
      </c>
      <c r="S20" t="str">
        <f ca="1">IF(AX20="","",IFERROR(IF(INDEX(CODIFICACION!$E$2:$E$500,MATCH("D2.5b|"&amp;AX20,CODIFICACION!$F$2:$F$500,0))="sin dato","",INDEX(CODIFICACION!$E$2:$E$500,MATCH("D2.5b|"&amp;AX20,CODIFICACION!$F$2:$F$500,0))),"⚠"))</f>
        <v/>
      </c>
      <c r="T20" t="str">
        <f t="shared" ca="1" si="4"/>
        <v/>
      </c>
      <c r="U20" t="str">
        <f>IF(AZ20="","",IFERROR(IF(INDEX(CODIFICACION!$E$2:$E$500,MATCH("D3.12|"&amp;AZ20,CODIFICACION!$F$2:$F$500,0))="sin dato","",INDEX(CODIFICACION!$E$2:$E$500,MATCH("D3.12|"&amp;AZ20,CODIFICACION!$F$2:$F$500,0))),"⚠"))</f>
        <v/>
      </c>
      <c r="V20" t="str">
        <f t="shared" si="5"/>
        <v/>
      </c>
      <c r="W20" t="str">
        <f ca="1">IF(BB20="","",IFERROR(IF(INDEX(CODIFICACION!$E$2:$E$500,MATCH("D3.14|"&amp;BB20,CODIFICACION!$F$2:$F$500,0))="sin dato","",INDEX(CODIFICACION!$E$2:$E$500,MATCH("D3.14|"&amp;BB20,CODIFICACION!$F$2:$F$500,0))),"⚠"))</f>
        <v/>
      </c>
      <c r="X20" t="str">
        <f ca="1">IF(BC20="","",IFERROR(IF(INDEX(CODIFICACION!$E$2:$E$500,MATCH("D3.14a|"&amp;BC20,CODIFICACION!$F$2:$F$500,0))="sin dato","",INDEX(CODIFICACION!$E$2:$E$500,MATCH("D3.14a|"&amp;BC20,CODIFICACION!$F$2:$F$500,0))),"⚠"))</f>
        <v/>
      </c>
      <c r="Y20" t="str">
        <f>IF(BD20="","",IFERROR(IF(INDEX(CODIFICACION!$E$2:$E$500,MATCH("D3.14b|"&amp;BD20,CODIFICACION!$F$2:$F$500,0))="sin dato","",INDEX(CODIFICACION!$E$2:$E$500,MATCH("D3.14b|"&amp;BD20,CODIFICACION!$F$2:$F$500,0))),"⚠"))</f>
        <v/>
      </c>
      <c r="Z20" t="str">
        <f>IF(BE20="","",IFERROR(IF(INDEX(CODIFICACION!$E$2:$E$500,MATCH("D3.14c|"&amp;BE20,CODIFICACION!$F$2:$F$500,0))="sin dato","",INDEX(CODIFICACION!$E$2:$E$500,MATCH("D3.14c|"&amp;BE20,CODIFICACION!$F$2:$F$500,0))),"⚠"))</f>
        <v/>
      </c>
      <c r="AA20" t="str">
        <f>IF(BF20="","",IFERROR(IF(INDEX(CODIFICACION!$E$2:$E$500,MATCH("D3.14d|"&amp;BF20,CODIFICACION!$F$2:$F$500,0))="sin dato","",INDEX(CODIFICACION!$E$2:$E$500,MATCH("D3.14d|"&amp;BF20,CODIFICACION!$F$2:$F$500,0))),"⚠"))</f>
        <v/>
      </c>
      <c r="AB20" t="str">
        <f>IF(BG20="","",IFERROR(IF(INDEX(CODIFICACION!$E$2:$E$500,MATCH("D3.14e|"&amp;BG20,CODIFICACION!$F$2:$F$500,0))="sin dato","",INDEX(CODIFICACION!$E$2:$E$500,MATCH("D3.14e|"&amp;BG20,CODIFICACION!$F$2:$F$500,0))),"⚠"))</f>
        <v/>
      </c>
      <c r="AC20" t="str">
        <f>IF(BH20="","",IFERROR(IF(INDEX(CODIFICACION!$E$2:$E$500,MATCH("D3.14f|"&amp;BH20,CODIFICACION!$F$2:$F$500,0))="sin dato","",INDEX(CODIFICACION!$E$2:$E$500,MATCH("D3.14f|"&amp;BH20,CODIFICACION!$F$2:$F$500,0))),"⚠"))</f>
        <v/>
      </c>
      <c r="AD20" t="str">
        <f>IF(BI20="","",IFERROR(IF(INDEX(CODIFICACION!$E$2:$E$500,MATCH("D3.14g|"&amp;BI20,CODIFICACION!$F$2:$F$500,0))="sin dato","",INDEX(CODIFICACION!$E$2:$E$500,MATCH("D3.14g|"&amp;BI20,CODIFICACION!$F$2:$F$500,0))),"⚠"))</f>
        <v/>
      </c>
      <c r="AE20" t="str">
        <f>IF(BJ20="","",IFERROR(IF(INDEX(CODIFICACION!$E$2:$E$500,MATCH("D3.14h|"&amp;BJ20,CODIFICACION!$F$2:$F$500,0))="sin dato","",INDEX(CODIFICACION!$E$2:$E$500,MATCH("D3.14h|"&amp;BJ20,CODIFICACION!$F$2:$F$500,0))),"⚠"))</f>
        <v/>
      </c>
      <c r="AF20" t="str">
        <f>IF(BK20="","",IFERROR(IF(INDEX(CODIFICACION!$E$2:$E$500,MATCH("D3.14i|"&amp;BK20,CODIFICACION!$F$2:$F$500,0))="sin dato","",INDEX(CODIFICACION!$E$2:$E$500,MATCH("D3.14i|"&amp;BK20,CODIFICACION!$F$2:$F$500,0))),"⚠"))</f>
        <v/>
      </c>
      <c r="AG20" t="str">
        <f>IF(BL20="","",IFERROR(IF(INDEX(CODIFICACION!$E$2:$E$500,MATCH("D4.15|"&amp;BL20,CODIFICACION!$F$2:$F$500,0))="sin dato","",INDEX(CODIFICACION!$E$2:$E$500,MATCH("D4.15|"&amp;BL20,CODIFICACION!$F$2:$F$500,0))),"⚠"))</f>
        <v/>
      </c>
      <c r="AH20" t="str">
        <f t="shared" si="6"/>
        <v/>
      </c>
      <c r="AI20" t="str">
        <f>IF(BN20="","",IFERROR(IF(INDEX(CODIFICACION!$E$2:$E$500,MATCH("D4.17|"&amp;BN20,CODIFICACION!$F$2:$F$500,0))="sin dato","",INDEX(CODIFICACION!$E$2:$E$500,MATCH("D4.17|"&amp;BN20,CODIFICACION!$F$2:$F$500,0))),"⚠"))</f>
        <v/>
      </c>
      <c r="AJ20" t="str">
        <f>IF(BO20="","",IFERROR(IF(INDEX(CODIFICACION!$E$2:$E$500,MATCH("D4.15a|"&amp;BO20,CODIFICACION!$F$2:$F$500,0))="sin dato","",INDEX(CODIFICACION!$E$2:$E$500,MATCH("D4.15a|"&amp;BO20,CODIFICACION!$F$2:$F$500,0))),"⚠"))</f>
        <v/>
      </c>
      <c r="AK20" t="str">
        <f t="shared" si="7"/>
        <v/>
      </c>
      <c r="AL20" t="str">
        <f t="shared" si="8"/>
        <v/>
      </c>
      <c r="AM20" t="str">
        <f>IF(BR20="","",IFERROR(IF(INDEX(CODIFICACION!$E$2:$E$500,MATCH("D5.18b|"&amp;BR20,CODIFICACION!$F$2:$F$500,0))="sin dato","",INDEX(CODIFICACION!$E$2:$E$500,MATCH("D5.18b|"&amp;BR20,CODIFICACION!$F$2:$F$500,0))),"⚠"))</f>
        <v/>
      </c>
      <c r="AN20" t="str">
        <f>IF(BS20="","",IFERROR(IF(INDEX(CODIFICACION!$E$2:$E$500,MATCH("D5.19|"&amp;BS20,CODIFICACION!$F$2:$F$500,0))="sin dato","",INDEX(CODIFICACION!$E$2:$E$500,MATCH("D5.19|"&amp;BS20,CODIFICACION!$F$2:$F$500,0))),"⚠"))</f>
        <v/>
      </c>
      <c r="AO20" t="str">
        <f t="shared" si="9"/>
        <v/>
      </c>
      <c r="AP20" t="str">
        <f>IF(BU20="","",IFERROR(IF(INDEX(CODIFICACION!$E$2:$E$500,MATCH("D5.20|"&amp;BU20,CODIFICACION!$F$2:$F$500,0))="sin dato","",INDEX(CODIFICACION!$E$2:$E$500,MATCH("D5.20|"&amp;BU20,CODIFICACION!$F$2:$F$500,0))),"⚠"))</f>
        <v/>
      </c>
      <c r="AQ20" t="str">
        <f>IF(BV20="","",IFERROR(IF(INDEX(CODIFICACION!$E$2:$E$500,MATCH("D5.21|"&amp;BV20,CODIFICACION!$F$2:$F$500,0))="sin dato","",INDEX(CODIFICACION!$E$2:$E$500,MATCH("D5.21|"&amp;BV20,CODIFICACION!$F$2:$F$500,0))),"⚠"))</f>
        <v/>
      </c>
      <c r="AR20" t="str">
        <f>IF(BW20="","",IFERROR(IF(INDEX(CODIFICACION!$E$2:$E$500,MATCH("D5.21a|"&amp;BW20,CODIFICACION!$F$2:$F$500,0))="sin dato","",INDEX(CODIFICACION!$E$2:$E$500,MATCH("D5.21a|"&amp;BW20,CODIFICACION!$F$2:$F$500,0))),"⚠"))</f>
        <v/>
      </c>
      <c r="AS20" t="str">
        <f>IF(BX20="","",IFERROR(IF(INDEX(CODIFICACION!$E$2:$E$500,MATCH("D5.21b|"&amp;BX20,CODIFICACION!$F$2:$F$500,0))="sin dato","",INDEX(CODIFICACION!$E$2:$E$500,MATCH("D5.21b|"&amp;BX20,CODIFICACION!$F$2:$F$500,0))),"⚠"))</f>
        <v/>
      </c>
      <c r="AT20" t="str">
        <f>IF(BY20="","",IFERROR(IF(INDEX(CODIFICACION!$E$2:$E$500,MATCH("D6.22|"&amp;BY20,CODIFICACION!$F$2:$F$500,0))="sin dato","",INDEX(CODIFICACION!$E$2:$E$500,MATCH("D6.22|"&amp;BY20,CODIFICACION!$F$2:$F$500,0))),"⚠"))</f>
        <v/>
      </c>
      <c r="AU20" t="str">
        <f>IF(BZ20="","",IFERROR(IF(INDEX(CODIFICACION!$E$2:$E$500,MATCH("D6.22a|"&amp;BZ20,CODIFICACION!$F$2:$F$500,0))="sin dato","",INDEX(CODIFICACION!$E$2:$E$500,MATCH("D6.22a|"&amp;BZ20,CODIFICACION!$F$2:$F$500,0))),"⚠"))</f>
        <v/>
      </c>
      <c r="AV20" t="str">
        <f>IF(CA20="","",IFERROR(IF(INDEX(CODIFICACION!$E$2:$E$500,MATCH("D6.22b|"&amp;CA20,CODIFICACION!$F$2:$F$500,0))="sin dato","",INDEX(CODIFICACION!$E$2:$E$500,MATCH("D6.22b|"&amp;CA20,CODIFICACION!$F$2:$F$500,0))),"⚠"))</f>
        <v/>
      </c>
      <c r="AW20" t="str">
        <f>IF(CB20="","",IFERROR(IF(INDEX(CODIFICACION!$E$2:$E$500,MATCH("D6.23|"&amp;CB20,CODIFICACION!$F$2:$F$500,0))="sin dato","",INDEX(CODIFICACION!$E$2:$E$500,MATCH("D6.23|"&amp;CB20,CODIFICACION!$F$2:$F$500,0))),"⚠"))</f>
        <v/>
      </c>
      <c r="AX20" t="str">
        <f ca="1">IF(CC20="","",IFERROR(IF(INDEX(CODIFICACION!$E$2:$E$500,MATCH("D6.24|"&amp;CC20,CODIFICACION!$F$2:$F$500,0))="sin dato","",INDEX(CODIFICACION!$E$2:$E$500,MATCH("D6.24|"&amp;CC20,CODIFICACION!$F$2:$F$500,0))),"⚠"))</f>
        <v/>
      </c>
      <c r="AY20" t="str">
        <f ca="1">IF(CD20="","",IFERROR(IF(INDEX(CODIFICACION!$E$2:$E$500,MATCH("D6.25|"&amp;CD20,CODIFICACION!$F$2:$F$500,0))="sin dato","",INDEX(CODIFICACION!$E$2:$E$500,MATCH("D6.25|"&amp;CD20,CODIFICACION!$F$2:$F$500,0))),"⚠"))</f>
        <v/>
      </c>
      <c r="AZ20" t="str">
        <f>IF(CE20="","",IFERROR(IF(INDEX(CODIFICACION!$E$2:$E$500,MATCH("D6.25a|"&amp;CE20,CODIFICACION!$F$2:$F$500,0))="sin dato","",INDEX(CODIFICACION!$E$2:$E$500,MATCH("D6.25a|"&amp;CE20,CODIFICACION!$F$2:$F$500,0))),"⚠"))</f>
        <v/>
      </c>
      <c r="BA20" t="str">
        <f>IF(CF20="","",IFERROR(IF(INDEX(CODIFICACION!$E$2:$E$500,MATCH("D6.25b|"&amp;CF20,CODIFICACION!$F$2:$F$500,0))="sin dato","",INDEX(CODIFICACION!$E$2:$E$500,MATCH("D6.25b|"&amp;CF20,CODIFICACION!$F$2:$F$500,0))),"⚠"))</f>
        <v/>
      </c>
      <c r="BB20" t="str">
        <f ca="1">IF(CG20="","",IFERROR(IF(INDEX(CODIFICACION!$E$2:$E$500,MATCH("D6.22c|"&amp;CG20,CODIFICACION!$F$2:$F$500,0))="sin dato","",INDEX(CODIFICACION!$E$2:$E$500,MATCH("D6.22c|"&amp;CG20,CODIFICACION!$F$2:$F$500,0))),"⚠"))</f>
        <v/>
      </c>
      <c r="BC20" t="str">
        <f ca="1">IF(CH20="","",IFERROR(IF(INDEX(CODIFICACION!$E$2:$E$500,MATCH("D7.26|"&amp;CH20,CODIFICACION!$F$2:$F$500,0))="sin dato","",INDEX(CODIFICACION!$E$2:$E$500,MATCH("D7.26|"&amp;CH20,CODIFICACION!$F$2:$F$500,0))),"⚠"))</f>
        <v/>
      </c>
      <c r="BD20" t="str">
        <f>IF(CI20="","",IFERROR(IF(INDEX(CODIFICACION!$E$2:$E$500,MATCH("D7.27|"&amp;CI20,CODIFICACION!$F$2:$F$500,0))="sin dato","",INDEX(CODIFICACION!$E$2:$E$500,MATCH("D7.27|"&amp;CI20,CODIFICACION!$F$2:$F$500,0))),"⚠"))</f>
        <v/>
      </c>
      <c r="BE20" t="str">
        <f>IF(CJ20="","",IFERROR(IF(INDEX(CODIFICACION!$E$2:$E$500,MATCH("D7.28|"&amp;CJ20,CODIFICACION!$F$2:$F$500,0))="sin dato","",INDEX(CODIFICACION!$E$2:$E$500,MATCH("D7.28|"&amp;CJ20,CODIFICACION!$F$2:$F$500,0))),"⚠"))</f>
        <v/>
      </c>
      <c r="BF20" t="str">
        <f>IF(CK20="","",IFERROR(IF(INDEX(CODIFICACION!$E$2:$E$500,MATCH("D7.28b|"&amp;CK20,CODIFICACION!$F$2:$F$500,0))="sin dato","",INDEX(CODIFICACION!$E$2:$E$500,MATCH("D7.28b|"&amp;CK20,CODIFICACION!$F$2:$F$500,0))),"⚠"))</f>
        <v/>
      </c>
      <c r="BG20" t="str">
        <f t="shared" si="10"/>
        <v/>
      </c>
      <c r="BH20" t="str">
        <f>IF(CM20="","",IFERROR(IF(INDEX(CODIFICACION!$E$2:$E$500,MATCH("D7.26a|"&amp;CM20,CODIFICACION!$F$2:$F$500,0))="sin dato","",INDEX(CODIFICACION!$E$2:$E$500,MATCH("D7.26a|"&amp;CM20,CODIFICACION!$F$2:$F$500,0))),"⚠"))</f>
        <v/>
      </c>
      <c r="BI20" t="str">
        <f>IF(CN20="","",IFERROR(IF(INDEX(CODIFICACION!$E$2:$E$500,MATCH("D7.26b|"&amp;CN20,CODIFICACION!$F$2:$F$500,0))="sin dato","",INDEX(CODIFICACION!$E$2:$E$500,MATCH("D7.26b|"&amp;CN20,CODIFICACION!$F$2:$F$500,0))),"⚠"))</f>
        <v/>
      </c>
      <c r="BJ20" t="str">
        <f t="shared" si="11"/>
        <v/>
      </c>
      <c r="BK20" t="str">
        <f t="shared" si="12"/>
        <v/>
      </c>
      <c r="BL20" t="str">
        <f>IF(CQ20="","",IFERROR(IF(INDEX(CODIFICACION!$E$2:$E$500,MATCH("D8.31|"&amp;CQ20,CODIFICACION!$F$2:$F$500,0))="sin dato","",INDEX(CODIFICACION!$E$2:$E$500,MATCH("D8.31|"&amp;CQ20,CODIFICACION!$F$2:$F$500,0))),"⚠"))</f>
        <v/>
      </c>
      <c r="BM20" t="str">
        <f>IF(CR20="","",IFERROR(IF(INDEX(CODIFICACION!$E$2:$E$500,MATCH("D8.32|"&amp;CR20,CODIFICACION!$F$2:$F$500,0))="sin dato","",INDEX(CODIFICACION!$E$2:$E$500,MATCH("D8.32|"&amp;CR20,CODIFICACION!$F$2:$F$500,0))),"⚠"))</f>
        <v/>
      </c>
      <c r="BN20" t="str">
        <f>IF(CS20="","",IFERROR(IF(INDEX(CODIFICACION!$E$2:$E$500,MATCH("D9.33|"&amp;CS20,CODIFICACION!$F$2:$F$500,0))="sin dato","",INDEX(CODIFICACION!$E$2:$E$500,MATCH("D9.33|"&amp;CS20,CODIFICACION!$F$2:$F$500,0))),"⚠"))</f>
        <v/>
      </c>
      <c r="BO20" t="str">
        <f>IF(CT20="","",IFERROR(IF(INDEX(CODIFICACION!$E$2:$E$500,MATCH("D9.34|"&amp;CT20,CODIFICACION!$F$2:$F$500,0))="sin dato","",INDEX(CODIFICACION!$E$2:$E$500,MATCH("D9.34|"&amp;CT20,CODIFICACION!$F$2:$F$500,0))),"⚠"))</f>
        <v/>
      </c>
      <c r="BP20" t="str">
        <f>IF(CU20="","",IFERROR(IF(INDEX(CODIFICACION!$E$2:$E$500,MATCH("D9.35|"&amp;CU20,CODIFICACION!$F$2:$F$500,0))="sin dato","",INDEX(CODIFICACION!$E$2:$E$500,MATCH("D9.35|"&amp;CU20,CODIFICACION!$F$2:$F$500,0))),"⚠"))</f>
        <v/>
      </c>
      <c r="BQ20" t="str">
        <f>IF(CV20="","",IFERROR(IF(INDEX(CODIFICACION!$E$2:$E$500,MATCH("D10.36|"&amp;CV20,CODIFICACION!$F$2:$F$500,0))="sin dato","",INDEX(CODIFICACION!$E$2:$E$500,MATCH("D10.36|"&amp;CV20,CODIFICACION!$F$2:$F$500,0))),"⚠"))</f>
        <v/>
      </c>
      <c r="BR20" t="str">
        <f>IF(CW20="","",IFERROR(IF(INDEX(CODIFICACION!$E$2:$E$500,MATCH("D10.37|"&amp;CW20,CODIFICACION!$F$2:$F$500,0))="sin dato","",INDEX(CODIFICACION!$E$2:$E$500,MATCH("D10.37|"&amp;CW20,CODIFICACION!$F$2:$F$500,0))),"⚠"))</f>
        <v/>
      </c>
      <c r="BS20" t="str">
        <f>IF(CX20="","",IFERROR(IF(INDEX(CODIFICACION!$E$2:$E$500,MATCH("D10.36a|"&amp;CX20,CODIFICACION!$F$2:$F$500,0))="sin dato","",INDEX(CODIFICACION!$E$2:$E$500,MATCH("D10.36a|"&amp;CX20,CODIFICACION!$F$2:$F$500,0))),"⚠"))</f>
        <v/>
      </c>
      <c r="BT20" t="str">
        <f t="shared" si="13"/>
        <v/>
      </c>
      <c r="BU20" t="str">
        <f>IF(DA20="","",IFERROR(IF(INDEX(CODIFICACION!$E$2:$E$500,MATCH("D11.39a|"&amp;DA20,CODIFICACION!$F$2:$F$500,0))="sin dato","",INDEX(CODIFICACION!$E$2:$E$500,MATCH("D11.39a|"&amp;DA20,CODIFICACION!$F$2:$F$500,0))),"⚠"))</f>
        <v/>
      </c>
      <c r="BV20" t="str">
        <f>IF(DB20="","",IFERROR(IF(INDEX(CODIFICACION!$E$2:$E$500,MATCH("D12.42|"&amp;DB20,CODIFICACION!$F$2:$F$500,0))="sin dato","",INDEX(CODIFICACION!$E$2:$E$500,MATCH("D12.42|"&amp;DB20,CODIFICACION!$F$2:$F$500,0))),"⚠"))</f>
        <v/>
      </c>
      <c r="BW20" t="str">
        <f>IF(DC20="","",IFERROR(IF(INDEX(CODIFICACION!$E$2:$E$500,MATCH("D13.45|"&amp;DC20,CODIFICACION!$F$2:$F$500,0))="sin dato","",INDEX(CODIFICACION!$E$2:$E$500,MATCH("D13.45|"&amp;DC20,CODIFICACION!$F$2:$F$500,0))),"⚠"))</f>
        <v/>
      </c>
      <c r="BX20" t="str">
        <f>IF(DD20="","",IFERROR(IF(INDEX(CODIFICACION!$E$2:$E$500,MATCH("D14.51|"&amp;DD20,CODIFICACION!$F$2:$F$500,0))="sin dato","",INDEX(CODIFICACION!$E$2:$E$500,MATCH("D14.51|"&amp;DD20,CODIFICACION!$F$2:$F$500,0))),"⚠"))</f>
        <v/>
      </c>
      <c r="BY20" t="str">
        <f>IF(DE20="","",IFERROR(IF(INDEX(CODIFICACION!$E$2:$E$500,MATCH("D15.58|"&amp;DE20,CODIFICACION!$F$2:$F$500,0))="sin dato","",INDEX(CODIFICACION!$E$2:$E$500,MATCH("D15.58|"&amp;DE20,CODIFICACION!$F$2:$F$500,0))),"⚠"))</f>
        <v/>
      </c>
      <c r="BZ20" t="str">
        <f>IF(DF20="","",IFERROR(IF(INDEX(CODIFICACION!$E$2:$E$500,MATCH("PP1|"&amp;DF20,CODIFICACION!$F$2:$F$500,0))="sin dato","",INDEX(CODIFICACION!$E$2:$E$500,MATCH("PP1|"&amp;DF20,CODIFICACION!$F$2:$F$500,0))),"⚠"))</f>
        <v/>
      </c>
      <c r="CA20" t="str">
        <f>IF(DG20="","",IFERROR(IF(INDEX(CODIFICACION!$E$2:$E$500,MATCH("PP2|"&amp;DG20,CODIFICACION!$F$2:$F$500,0))="sin dato","",INDEX(CODIFICACION!$E$2:$E$500,MATCH("PP2|"&amp;DG20,CODIFICACION!$F$2:$F$500,0))),"⚠"))</f>
        <v/>
      </c>
      <c r="CB20" t="str">
        <f t="shared" si="14"/>
        <v/>
      </c>
      <c r="CC20" t="str">
        <f t="shared" ca="1" si="15"/>
        <v/>
      </c>
      <c r="CD20" t="str">
        <f t="shared" ca="1" si="16"/>
        <v/>
      </c>
      <c r="CE20" t="str">
        <f t="shared" si="17"/>
        <v/>
      </c>
      <c r="CF20" t="str">
        <f t="shared" si="18"/>
        <v/>
      </c>
      <c r="CG20" t="str">
        <f t="shared" ca="1" si="19"/>
        <v/>
      </c>
      <c r="CH20" t="str">
        <f t="shared" ca="1" si="20"/>
        <v/>
      </c>
      <c r="CI20" t="str">
        <f t="shared" si="21"/>
        <v/>
      </c>
      <c r="CJ20" t="str">
        <f t="shared" si="22"/>
        <v/>
      </c>
      <c r="CK20" t="str">
        <f t="shared" si="23"/>
        <v/>
      </c>
      <c r="CL20" t="str">
        <f t="shared" si="24"/>
        <v/>
      </c>
    </row>
    <row r="21" spans="1:90" x14ac:dyDescent="0.3">
      <c r="A21">
        <f>CAPTURA!A21</f>
        <v>20352417018</v>
      </c>
      <c r="B21">
        <f>CAPTURA!C21</f>
        <v>0</v>
      </c>
      <c r="C21" t="str">
        <f t="shared" si="0"/>
        <v/>
      </c>
      <c r="D21" t="str">
        <f>IF(AE21="","",IFERROR(IF(INDEX(CODIFICACION!$E$2:$E$500,MATCH("P8|"&amp;AE21,CODIFICACION!$F$2:$F$500,0))="sin dato","",INDEX(CODIFICACION!$E$2:$E$500,MATCH("P8|"&amp;AE21,CODIFICACION!$F$2:$F$500,0))),"⚠"))</f>
        <v/>
      </c>
      <c r="E21" t="str">
        <f>IF(AG21="","",IFERROR(IF(INDEX(CODIFICACION!$E$2:$E$500,MATCH("P10|"&amp;AG21,CODIFICACION!$F$2:$F$500,0))="sin dato","",INDEX(CODIFICACION!$E$2:$E$500,MATCH("P10|"&amp;AG21,CODIFICACION!$F$2:$F$500,0))),"⚠"))</f>
        <v/>
      </c>
      <c r="F21" t="str">
        <f>IF(AJ21="","",IFERROR(IF(INDEX(CODIFICACION!$E$2:$E$500,MATCH("P13|"&amp;AJ21,CODIFICACION!$F$2:$F$500,0))="sin dato","",INDEX(CODIFICACION!$E$2:$E$500,MATCH("P13|"&amp;AJ21,CODIFICACION!$F$2:$F$500,0))),"⚠"))</f>
        <v/>
      </c>
      <c r="G21" t="str">
        <f>IF(AK21="","",IFERROR(IF(INDEX(CODIFICACION!$E$2:$E$500,MATCH("P14|"&amp;AK21,CODIFICACION!$F$2:$F$500,0))="sin dato","",INDEX(CODIFICACION!$E$2:$E$500,MATCH("P14|"&amp;AK21,CODIFICACION!$F$2:$F$500,0))),"⚠"))</f>
        <v/>
      </c>
      <c r="H21" t="str">
        <f>IF(AL21="","",IFERROR(IF(INDEX(CODIFICACION!$E$2:$E$500,MATCH("D1.1|"&amp;AL21,CODIFICACION!$F$2:$F$500,0))="sin dato","",INDEX(CODIFICACION!$E$2:$E$500,MATCH("D1.1|"&amp;AL21,CODIFICACION!$F$2:$F$500,0))),"⚠"))</f>
        <v/>
      </c>
      <c r="I21" t="str">
        <f>IF(AN21="","",IFERROR(IF(INDEX(CODIFICACION!$E$2:$E$500,MATCH("D1.3|"&amp;AN21,CODIFICACION!$F$2:$F$500,0))="sin dato","",INDEX(CODIFICACION!$E$2:$E$500,MATCH("D1.3|"&amp;AN21,CODIFICACION!$F$2:$F$500,0))),"⚠"))</f>
        <v/>
      </c>
      <c r="J21" t="str">
        <f>IF(AO21="","",IFERROR(IF(INDEX(CODIFICACION!$E$2:$E$500,MATCH("D1.4|"&amp;AO21,CODIFICACION!$F$2:$F$500,0))="sin dato","",INDEX(CODIFICACION!$E$2:$E$500,MATCH("D1.4|"&amp;AO21,CODIFICACION!$F$2:$F$500,0))),"⚠"))</f>
        <v/>
      </c>
      <c r="K21" t="str">
        <f>IF(AP21="","",IFERROR(IF(INDEX(CODIFICACION!$E$2:$E$500,MATCH("D1.3a|"&amp;AP21,CODIFICACION!$F$2:$F$500,0))="sin dato","",INDEX(CODIFICACION!$E$2:$E$500,MATCH("D1.3a|"&amp;AP21,CODIFICACION!$F$2:$F$500,0))),"⚠"))</f>
        <v/>
      </c>
      <c r="L21" t="str">
        <f t="shared" si="1"/>
        <v/>
      </c>
      <c r="M21" t="str">
        <f t="shared" si="2"/>
        <v/>
      </c>
      <c r="N21" t="str">
        <f t="shared" si="3"/>
        <v/>
      </c>
      <c r="O21" t="str">
        <f>IF(AT21="","",IFERROR(IF(INDEX(CODIFICACION!$E$2:$E$500,MATCH("D2.8|"&amp;AT21,CODIFICACION!$F$2:$F$500,0))="sin dato","",INDEX(CODIFICACION!$E$2:$E$500,MATCH("D2.8|"&amp;AT21,CODIFICACION!$F$2:$F$500,0))),"⚠"))</f>
        <v/>
      </c>
      <c r="P21" t="str">
        <f>IF(AU21="","",IFERROR(IF(INDEX(CODIFICACION!$E$2:$E$500,MATCH("D2.9|"&amp;AU21,CODIFICACION!$F$2:$F$500,0))="sin dato","",INDEX(CODIFICACION!$E$2:$E$500,MATCH("D2.9|"&amp;AU21,CODIFICACION!$F$2:$F$500,0))),"⚠"))</f>
        <v/>
      </c>
      <c r="Q21" t="str">
        <f>IF(AV21="","",IFERROR(IF(INDEX(CODIFICACION!$E$2:$E$500,MATCH("D2.10|"&amp;AV21,CODIFICACION!$F$2:$F$500,0))="sin dato","",INDEX(CODIFICACION!$E$2:$E$500,MATCH("D2.10|"&amp;AV21,CODIFICACION!$F$2:$F$500,0))),"⚠"))</f>
        <v/>
      </c>
      <c r="R21" t="str">
        <f>IF(AW21="","",IFERROR(IF(INDEX(CODIFICACION!$E$2:$E$500,MATCH("D2.5a|"&amp;AW21,CODIFICACION!$F$2:$F$500,0))="sin dato","",INDEX(CODIFICACION!$E$2:$E$500,MATCH("D2.5a|"&amp;AW21,CODIFICACION!$F$2:$F$500,0))),"⚠"))</f>
        <v/>
      </c>
      <c r="S21" t="str">
        <f ca="1">IF(AX21="","",IFERROR(IF(INDEX(CODIFICACION!$E$2:$E$500,MATCH("D2.5b|"&amp;AX21,CODIFICACION!$F$2:$F$500,0))="sin dato","",INDEX(CODIFICACION!$E$2:$E$500,MATCH("D2.5b|"&amp;AX21,CODIFICACION!$F$2:$F$500,0))),"⚠"))</f>
        <v/>
      </c>
      <c r="T21" t="str">
        <f t="shared" ca="1" si="4"/>
        <v/>
      </c>
      <c r="U21" t="str">
        <f>IF(AZ21="","",IFERROR(IF(INDEX(CODIFICACION!$E$2:$E$500,MATCH("D3.12|"&amp;AZ21,CODIFICACION!$F$2:$F$500,0))="sin dato","",INDEX(CODIFICACION!$E$2:$E$500,MATCH("D3.12|"&amp;AZ21,CODIFICACION!$F$2:$F$500,0))),"⚠"))</f>
        <v/>
      </c>
      <c r="V21" t="str">
        <f t="shared" si="5"/>
        <v/>
      </c>
      <c r="W21" t="str">
        <f ca="1">IF(BB21="","",IFERROR(IF(INDEX(CODIFICACION!$E$2:$E$500,MATCH("D3.14|"&amp;BB21,CODIFICACION!$F$2:$F$500,0))="sin dato","",INDEX(CODIFICACION!$E$2:$E$500,MATCH("D3.14|"&amp;BB21,CODIFICACION!$F$2:$F$500,0))),"⚠"))</f>
        <v/>
      </c>
      <c r="X21" t="str">
        <f ca="1">IF(BC21="","",IFERROR(IF(INDEX(CODIFICACION!$E$2:$E$500,MATCH("D3.14a|"&amp;BC21,CODIFICACION!$F$2:$F$500,0))="sin dato","",INDEX(CODIFICACION!$E$2:$E$500,MATCH("D3.14a|"&amp;BC21,CODIFICACION!$F$2:$F$500,0))),"⚠"))</f>
        <v/>
      </c>
      <c r="Y21" t="str">
        <f>IF(BD21="","",IFERROR(IF(INDEX(CODIFICACION!$E$2:$E$500,MATCH("D3.14b|"&amp;BD21,CODIFICACION!$F$2:$F$500,0))="sin dato","",INDEX(CODIFICACION!$E$2:$E$500,MATCH("D3.14b|"&amp;BD21,CODIFICACION!$F$2:$F$500,0))),"⚠"))</f>
        <v/>
      </c>
      <c r="Z21" t="str">
        <f>IF(BE21="","",IFERROR(IF(INDEX(CODIFICACION!$E$2:$E$500,MATCH("D3.14c|"&amp;BE21,CODIFICACION!$F$2:$F$500,0))="sin dato","",INDEX(CODIFICACION!$E$2:$E$500,MATCH("D3.14c|"&amp;BE21,CODIFICACION!$F$2:$F$500,0))),"⚠"))</f>
        <v/>
      </c>
      <c r="AA21" t="str">
        <f>IF(BF21="","",IFERROR(IF(INDEX(CODIFICACION!$E$2:$E$500,MATCH("D3.14d|"&amp;BF21,CODIFICACION!$F$2:$F$500,0))="sin dato","",INDEX(CODIFICACION!$E$2:$E$500,MATCH("D3.14d|"&amp;BF21,CODIFICACION!$F$2:$F$500,0))),"⚠"))</f>
        <v/>
      </c>
      <c r="AB21" t="str">
        <f>IF(BG21="","",IFERROR(IF(INDEX(CODIFICACION!$E$2:$E$500,MATCH("D3.14e|"&amp;BG21,CODIFICACION!$F$2:$F$500,0))="sin dato","",INDEX(CODIFICACION!$E$2:$E$500,MATCH("D3.14e|"&amp;BG21,CODIFICACION!$F$2:$F$500,0))),"⚠"))</f>
        <v/>
      </c>
      <c r="AC21" t="str">
        <f>IF(BH21="","",IFERROR(IF(INDEX(CODIFICACION!$E$2:$E$500,MATCH("D3.14f|"&amp;BH21,CODIFICACION!$F$2:$F$500,0))="sin dato","",INDEX(CODIFICACION!$E$2:$E$500,MATCH("D3.14f|"&amp;BH21,CODIFICACION!$F$2:$F$500,0))),"⚠"))</f>
        <v/>
      </c>
      <c r="AD21" t="str">
        <f>IF(BI21="","",IFERROR(IF(INDEX(CODIFICACION!$E$2:$E$500,MATCH("D3.14g|"&amp;BI21,CODIFICACION!$F$2:$F$500,0))="sin dato","",INDEX(CODIFICACION!$E$2:$E$500,MATCH("D3.14g|"&amp;BI21,CODIFICACION!$F$2:$F$500,0))),"⚠"))</f>
        <v/>
      </c>
      <c r="AE21" t="str">
        <f>IF(BJ21="","",IFERROR(IF(INDEX(CODIFICACION!$E$2:$E$500,MATCH("D3.14h|"&amp;BJ21,CODIFICACION!$F$2:$F$500,0))="sin dato","",INDEX(CODIFICACION!$E$2:$E$500,MATCH("D3.14h|"&amp;BJ21,CODIFICACION!$F$2:$F$500,0))),"⚠"))</f>
        <v/>
      </c>
      <c r="AF21" t="str">
        <f>IF(BK21="","",IFERROR(IF(INDEX(CODIFICACION!$E$2:$E$500,MATCH("D3.14i|"&amp;BK21,CODIFICACION!$F$2:$F$500,0))="sin dato","",INDEX(CODIFICACION!$E$2:$E$500,MATCH("D3.14i|"&amp;BK21,CODIFICACION!$F$2:$F$500,0))),"⚠"))</f>
        <v/>
      </c>
      <c r="AG21" t="str">
        <f>IF(BL21="","",IFERROR(IF(INDEX(CODIFICACION!$E$2:$E$500,MATCH("D4.15|"&amp;BL21,CODIFICACION!$F$2:$F$500,0))="sin dato","",INDEX(CODIFICACION!$E$2:$E$500,MATCH("D4.15|"&amp;BL21,CODIFICACION!$F$2:$F$500,0))),"⚠"))</f>
        <v/>
      </c>
      <c r="AH21" t="str">
        <f t="shared" si="6"/>
        <v/>
      </c>
      <c r="AI21" t="str">
        <f>IF(BN21="","",IFERROR(IF(INDEX(CODIFICACION!$E$2:$E$500,MATCH("D4.17|"&amp;BN21,CODIFICACION!$F$2:$F$500,0))="sin dato","",INDEX(CODIFICACION!$E$2:$E$500,MATCH("D4.17|"&amp;BN21,CODIFICACION!$F$2:$F$500,0))),"⚠"))</f>
        <v/>
      </c>
      <c r="AJ21" t="str">
        <f>IF(BO21="","",IFERROR(IF(INDEX(CODIFICACION!$E$2:$E$500,MATCH("D4.15a|"&amp;BO21,CODIFICACION!$F$2:$F$500,0))="sin dato","",INDEX(CODIFICACION!$E$2:$E$500,MATCH("D4.15a|"&amp;BO21,CODIFICACION!$F$2:$F$500,0))),"⚠"))</f>
        <v/>
      </c>
      <c r="AK21" t="str">
        <f t="shared" si="7"/>
        <v/>
      </c>
      <c r="AL21" t="str">
        <f t="shared" si="8"/>
        <v/>
      </c>
      <c r="AM21" t="str">
        <f>IF(BR21="","",IFERROR(IF(INDEX(CODIFICACION!$E$2:$E$500,MATCH("D5.18b|"&amp;BR21,CODIFICACION!$F$2:$F$500,0))="sin dato","",INDEX(CODIFICACION!$E$2:$E$500,MATCH("D5.18b|"&amp;BR21,CODIFICACION!$F$2:$F$500,0))),"⚠"))</f>
        <v/>
      </c>
      <c r="AN21" t="str">
        <f>IF(BS21="","",IFERROR(IF(INDEX(CODIFICACION!$E$2:$E$500,MATCH("D5.19|"&amp;BS21,CODIFICACION!$F$2:$F$500,0))="sin dato","",INDEX(CODIFICACION!$E$2:$E$500,MATCH("D5.19|"&amp;BS21,CODIFICACION!$F$2:$F$500,0))),"⚠"))</f>
        <v/>
      </c>
      <c r="AO21" t="str">
        <f t="shared" si="9"/>
        <v/>
      </c>
      <c r="AP21" t="str">
        <f>IF(BU21="","",IFERROR(IF(INDEX(CODIFICACION!$E$2:$E$500,MATCH("D5.20|"&amp;BU21,CODIFICACION!$F$2:$F$500,0))="sin dato","",INDEX(CODIFICACION!$E$2:$E$500,MATCH("D5.20|"&amp;BU21,CODIFICACION!$F$2:$F$500,0))),"⚠"))</f>
        <v/>
      </c>
      <c r="AQ21" t="str">
        <f>IF(BV21="","",IFERROR(IF(INDEX(CODIFICACION!$E$2:$E$500,MATCH("D5.21|"&amp;BV21,CODIFICACION!$F$2:$F$500,0))="sin dato","",INDEX(CODIFICACION!$E$2:$E$500,MATCH("D5.21|"&amp;BV21,CODIFICACION!$F$2:$F$500,0))),"⚠"))</f>
        <v/>
      </c>
      <c r="AR21" t="str">
        <f>IF(BW21="","",IFERROR(IF(INDEX(CODIFICACION!$E$2:$E$500,MATCH("D5.21a|"&amp;BW21,CODIFICACION!$F$2:$F$500,0))="sin dato","",INDEX(CODIFICACION!$E$2:$E$500,MATCH("D5.21a|"&amp;BW21,CODIFICACION!$F$2:$F$500,0))),"⚠"))</f>
        <v/>
      </c>
      <c r="AS21" t="str">
        <f>IF(BX21="","",IFERROR(IF(INDEX(CODIFICACION!$E$2:$E$500,MATCH("D5.21b|"&amp;BX21,CODIFICACION!$F$2:$F$500,0))="sin dato","",INDEX(CODIFICACION!$E$2:$E$500,MATCH("D5.21b|"&amp;BX21,CODIFICACION!$F$2:$F$500,0))),"⚠"))</f>
        <v/>
      </c>
      <c r="AT21" t="str">
        <f>IF(BY21="","",IFERROR(IF(INDEX(CODIFICACION!$E$2:$E$500,MATCH("D6.22|"&amp;BY21,CODIFICACION!$F$2:$F$500,0))="sin dato","",INDEX(CODIFICACION!$E$2:$E$500,MATCH("D6.22|"&amp;BY21,CODIFICACION!$F$2:$F$500,0))),"⚠"))</f>
        <v/>
      </c>
      <c r="AU21" t="str">
        <f>IF(BZ21="","",IFERROR(IF(INDEX(CODIFICACION!$E$2:$E$500,MATCH("D6.22a|"&amp;BZ21,CODIFICACION!$F$2:$F$500,0))="sin dato","",INDEX(CODIFICACION!$E$2:$E$500,MATCH("D6.22a|"&amp;BZ21,CODIFICACION!$F$2:$F$500,0))),"⚠"))</f>
        <v/>
      </c>
      <c r="AV21" t="str">
        <f>IF(CA21="","",IFERROR(IF(INDEX(CODIFICACION!$E$2:$E$500,MATCH("D6.22b|"&amp;CA21,CODIFICACION!$F$2:$F$500,0))="sin dato","",INDEX(CODIFICACION!$E$2:$E$500,MATCH("D6.22b|"&amp;CA21,CODIFICACION!$F$2:$F$500,0))),"⚠"))</f>
        <v/>
      </c>
      <c r="AW21" t="str">
        <f>IF(CB21="","",IFERROR(IF(INDEX(CODIFICACION!$E$2:$E$500,MATCH("D6.23|"&amp;CB21,CODIFICACION!$F$2:$F$500,0))="sin dato","",INDEX(CODIFICACION!$E$2:$E$500,MATCH("D6.23|"&amp;CB21,CODIFICACION!$F$2:$F$500,0))),"⚠"))</f>
        <v/>
      </c>
      <c r="AX21" t="str">
        <f ca="1">IF(CC21="","",IFERROR(IF(INDEX(CODIFICACION!$E$2:$E$500,MATCH("D6.24|"&amp;CC21,CODIFICACION!$F$2:$F$500,0))="sin dato","",INDEX(CODIFICACION!$E$2:$E$500,MATCH("D6.24|"&amp;CC21,CODIFICACION!$F$2:$F$500,0))),"⚠"))</f>
        <v/>
      </c>
      <c r="AY21" t="str">
        <f ca="1">IF(CD21="","",IFERROR(IF(INDEX(CODIFICACION!$E$2:$E$500,MATCH("D6.25|"&amp;CD21,CODIFICACION!$F$2:$F$500,0))="sin dato","",INDEX(CODIFICACION!$E$2:$E$500,MATCH("D6.25|"&amp;CD21,CODIFICACION!$F$2:$F$500,0))),"⚠"))</f>
        <v/>
      </c>
      <c r="AZ21" t="str">
        <f>IF(CE21="","",IFERROR(IF(INDEX(CODIFICACION!$E$2:$E$500,MATCH("D6.25a|"&amp;CE21,CODIFICACION!$F$2:$F$500,0))="sin dato","",INDEX(CODIFICACION!$E$2:$E$500,MATCH("D6.25a|"&amp;CE21,CODIFICACION!$F$2:$F$500,0))),"⚠"))</f>
        <v/>
      </c>
      <c r="BA21" t="str">
        <f>IF(CF21="","",IFERROR(IF(INDEX(CODIFICACION!$E$2:$E$500,MATCH("D6.25b|"&amp;CF21,CODIFICACION!$F$2:$F$500,0))="sin dato","",INDEX(CODIFICACION!$E$2:$E$500,MATCH("D6.25b|"&amp;CF21,CODIFICACION!$F$2:$F$500,0))),"⚠"))</f>
        <v/>
      </c>
      <c r="BB21" t="str">
        <f ca="1">IF(CG21="","",IFERROR(IF(INDEX(CODIFICACION!$E$2:$E$500,MATCH("D6.22c|"&amp;CG21,CODIFICACION!$F$2:$F$500,0))="sin dato","",INDEX(CODIFICACION!$E$2:$E$500,MATCH("D6.22c|"&amp;CG21,CODIFICACION!$F$2:$F$500,0))),"⚠"))</f>
        <v/>
      </c>
      <c r="BC21" t="str">
        <f ca="1">IF(CH21="","",IFERROR(IF(INDEX(CODIFICACION!$E$2:$E$500,MATCH("D7.26|"&amp;CH21,CODIFICACION!$F$2:$F$500,0))="sin dato","",INDEX(CODIFICACION!$E$2:$E$500,MATCH("D7.26|"&amp;CH21,CODIFICACION!$F$2:$F$500,0))),"⚠"))</f>
        <v/>
      </c>
      <c r="BD21" t="str">
        <f>IF(CI21="","",IFERROR(IF(INDEX(CODIFICACION!$E$2:$E$500,MATCH("D7.27|"&amp;CI21,CODIFICACION!$F$2:$F$500,0))="sin dato","",INDEX(CODIFICACION!$E$2:$E$500,MATCH("D7.27|"&amp;CI21,CODIFICACION!$F$2:$F$500,0))),"⚠"))</f>
        <v/>
      </c>
      <c r="BE21" t="str">
        <f>IF(CJ21="","",IFERROR(IF(INDEX(CODIFICACION!$E$2:$E$500,MATCH("D7.28|"&amp;CJ21,CODIFICACION!$F$2:$F$500,0))="sin dato","",INDEX(CODIFICACION!$E$2:$E$500,MATCH("D7.28|"&amp;CJ21,CODIFICACION!$F$2:$F$500,0))),"⚠"))</f>
        <v/>
      </c>
      <c r="BF21" t="str">
        <f>IF(CK21="","",IFERROR(IF(INDEX(CODIFICACION!$E$2:$E$500,MATCH("D7.28b|"&amp;CK21,CODIFICACION!$F$2:$F$500,0))="sin dato","",INDEX(CODIFICACION!$E$2:$E$500,MATCH("D7.28b|"&amp;CK21,CODIFICACION!$F$2:$F$500,0))),"⚠"))</f>
        <v/>
      </c>
      <c r="BG21" t="str">
        <f t="shared" si="10"/>
        <v/>
      </c>
      <c r="BH21" t="str">
        <f>IF(CM21="","",IFERROR(IF(INDEX(CODIFICACION!$E$2:$E$500,MATCH("D7.26a|"&amp;CM21,CODIFICACION!$F$2:$F$500,0))="sin dato","",INDEX(CODIFICACION!$E$2:$E$500,MATCH("D7.26a|"&amp;CM21,CODIFICACION!$F$2:$F$500,0))),"⚠"))</f>
        <v/>
      </c>
      <c r="BI21" t="str">
        <f>IF(CN21="","",IFERROR(IF(INDEX(CODIFICACION!$E$2:$E$500,MATCH("D7.26b|"&amp;CN21,CODIFICACION!$F$2:$F$500,0))="sin dato","",INDEX(CODIFICACION!$E$2:$E$500,MATCH("D7.26b|"&amp;CN21,CODIFICACION!$F$2:$F$500,0))),"⚠"))</f>
        <v/>
      </c>
      <c r="BJ21" t="str">
        <f t="shared" si="11"/>
        <v/>
      </c>
      <c r="BK21" t="str">
        <f t="shared" si="12"/>
        <v/>
      </c>
      <c r="BL21" t="str">
        <f>IF(CQ21="","",IFERROR(IF(INDEX(CODIFICACION!$E$2:$E$500,MATCH("D8.31|"&amp;CQ21,CODIFICACION!$F$2:$F$500,0))="sin dato","",INDEX(CODIFICACION!$E$2:$E$500,MATCH("D8.31|"&amp;CQ21,CODIFICACION!$F$2:$F$500,0))),"⚠"))</f>
        <v/>
      </c>
      <c r="BM21" t="str">
        <f>IF(CR21="","",IFERROR(IF(INDEX(CODIFICACION!$E$2:$E$500,MATCH("D8.32|"&amp;CR21,CODIFICACION!$F$2:$F$500,0))="sin dato","",INDEX(CODIFICACION!$E$2:$E$500,MATCH("D8.32|"&amp;CR21,CODIFICACION!$F$2:$F$500,0))),"⚠"))</f>
        <v/>
      </c>
      <c r="BN21" t="str">
        <f>IF(CS21="","",IFERROR(IF(INDEX(CODIFICACION!$E$2:$E$500,MATCH("D9.33|"&amp;CS21,CODIFICACION!$F$2:$F$500,0))="sin dato","",INDEX(CODIFICACION!$E$2:$E$500,MATCH("D9.33|"&amp;CS21,CODIFICACION!$F$2:$F$500,0))),"⚠"))</f>
        <v/>
      </c>
      <c r="BO21" t="str">
        <f>IF(CT21="","",IFERROR(IF(INDEX(CODIFICACION!$E$2:$E$500,MATCH("D9.34|"&amp;CT21,CODIFICACION!$F$2:$F$500,0))="sin dato","",INDEX(CODIFICACION!$E$2:$E$500,MATCH("D9.34|"&amp;CT21,CODIFICACION!$F$2:$F$500,0))),"⚠"))</f>
        <v/>
      </c>
      <c r="BP21" t="str">
        <f>IF(CU21="","",IFERROR(IF(INDEX(CODIFICACION!$E$2:$E$500,MATCH("D9.35|"&amp;CU21,CODIFICACION!$F$2:$F$500,0))="sin dato","",INDEX(CODIFICACION!$E$2:$E$500,MATCH("D9.35|"&amp;CU21,CODIFICACION!$F$2:$F$500,0))),"⚠"))</f>
        <v/>
      </c>
      <c r="BQ21" t="str">
        <f>IF(CV21="","",IFERROR(IF(INDEX(CODIFICACION!$E$2:$E$500,MATCH("D10.36|"&amp;CV21,CODIFICACION!$F$2:$F$500,0))="sin dato","",INDEX(CODIFICACION!$E$2:$E$500,MATCH("D10.36|"&amp;CV21,CODIFICACION!$F$2:$F$500,0))),"⚠"))</f>
        <v/>
      </c>
      <c r="BR21" t="str">
        <f>IF(CW21="","",IFERROR(IF(INDEX(CODIFICACION!$E$2:$E$500,MATCH("D10.37|"&amp;CW21,CODIFICACION!$F$2:$F$500,0))="sin dato","",INDEX(CODIFICACION!$E$2:$E$500,MATCH("D10.37|"&amp;CW21,CODIFICACION!$F$2:$F$500,0))),"⚠"))</f>
        <v/>
      </c>
      <c r="BS21" t="str">
        <f>IF(CX21="","",IFERROR(IF(INDEX(CODIFICACION!$E$2:$E$500,MATCH("D10.36a|"&amp;CX21,CODIFICACION!$F$2:$F$500,0))="sin dato","",INDEX(CODIFICACION!$E$2:$E$500,MATCH("D10.36a|"&amp;CX21,CODIFICACION!$F$2:$F$500,0))),"⚠"))</f>
        <v/>
      </c>
      <c r="BT21" t="str">
        <f t="shared" si="13"/>
        <v/>
      </c>
      <c r="BU21" t="str">
        <f>IF(DA21="","",IFERROR(IF(INDEX(CODIFICACION!$E$2:$E$500,MATCH("D11.39a|"&amp;DA21,CODIFICACION!$F$2:$F$500,0))="sin dato","",INDEX(CODIFICACION!$E$2:$E$500,MATCH("D11.39a|"&amp;DA21,CODIFICACION!$F$2:$F$500,0))),"⚠"))</f>
        <v/>
      </c>
      <c r="BV21" t="str">
        <f>IF(DB21="","",IFERROR(IF(INDEX(CODIFICACION!$E$2:$E$500,MATCH("D12.42|"&amp;DB21,CODIFICACION!$F$2:$F$500,0))="sin dato","",INDEX(CODIFICACION!$E$2:$E$500,MATCH("D12.42|"&amp;DB21,CODIFICACION!$F$2:$F$500,0))),"⚠"))</f>
        <v/>
      </c>
      <c r="BW21" t="str">
        <f>IF(DC21="","",IFERROR(IF(INDEX(CODIFICACION!$E$2:$E$500,MATCH("D13.45|"&amp;DC21,CODIFICACION!$F$2:$F$500,0))="sin dato","",INDEX(CODIFICACION!$E$2:$E$500,MATCH("D13.45|"&amp;DC21,CODIFICACION!$F$2:$F$500,0))),"⚠"))</f>
        <v/>
      </c>
      <c r="BX21" t="str">
        <f>IF(DD21="","",IFERROR(IF(INDEX(CODIFICACION!$E$2:$E$500,MATCH("D14.51|"&amp;DD21,CODIFICACION!$F$2:$F$500,0))="sin dato","",INDEX(CODIFICACION!$E$2:$E$500,MATCH("D14.51|"&amp;DD21,CODIFICACION!$F$2:$F$500,0))),"⚠"))</f>
        <v/>
      </c>
      <c r="BY21" t="str">
        <f>IF(DE21="","",IFERROR(IF(INDEX(CODIFICACION!$E$2:$E$500,MATCH("D15.58|"&amp;DE21,CODIFICACION!$F$2:$F$500,0))="sin dato","",INDEX(CODIFICACION!$E$2:$E$500,MATCH("D15.58|"&amp;DE21,CODIFICACION!$F$2:$F$500,0))),"⚠"))</f>
        <v/>
      </c>
      <c r="BZ21" t="str">
        <f>IF(DF21="","",IFERROR(IF(INDEX(CODIFICACION!$E$2:$E$500,MATCH("PP1|"&amp;DF21,CODIFICACION!$F$2:$F$500,0))="sin dato","",INDEX(CODIFICACION!$E$2:$E$500,MATCH("PP1|"&amp;DF21,CODIFICACION!$F$2:$F$500,0))),"⚠"))</f>
        <v/>
      </c>
      <c r="CA21" t="str">
        <f>IF(DG21="","",IFERROR(IF(INDEX(CODIFICACION!$E$2:$E$500,MATCH("PP2|"&amp;DG21,CODIFICACION!$F$2:$F$500,0))="sin dato","",INDEX(CODIFICACION!$E$2:$E$500,MATCH("PP2|"&amp;DG21,CODIFICACION!$F$2:$F$500,0))),"⚠"))</f>
        <v/>
      </c>
      <c r="CB21" t="str">
        <f t="shared" si="14"/>
        <v/>
      </c>
      <c r="CC21" t="str">
        <f t="shared" ca="1" si="15"/>
        <v/>
      </c>
      <c r="CD21" t="str">
        <f t="shared" ca="1" si="16"/>
        <v/>
      </c>
      <c r="CE21" t="str">
        <f t="shared" si="17"/>
        <v/>
      </c>
      <c r="CF21" t="str">
        <f t="shared" si="18"/>
        <v/>
      </c>
      <c r="CG21" t="str">
        <f t="shared" ca="1" si="19"/>
        <v/>
      </c>
      <c r="CH21" t="str">
        <f t="shared" ca="1" si="20"/>
        <v/>
      </c>
      <c r="CI21" t="str">
        <f t="shared" si="21"/>
        <v/>
      </c>
      <c r="CJ21" t="str">
        <f t="shared" si="22"/>
        <v/>
      </c>
      <c r="CK21" t="str">
        <f t="shared" si="23"/>
        <v/>
      </c>
      <c r="CL21" t="str">
        <f t="shared" si="24"/>
        <v/>
      </c>
    </row>
    <row r="22" spans="1:90" x14ac:dyDescent="0.3">
      <c r="A22">
        <f>CAPTURA!A22</f>
        <v>20352423921</v>
      </c>
      <c r="B22">
        <f>CAPTURA!C22</f>
        <v>0</v>
      </c>
      <c r="C22" t="str">
        <f t="shared" si="0"/>
        <v/>
      </c>
      <c r="D22" t="str">
        <f>IF(AE22="","",IFERROR(IF(INDEX(CODIFICACION!$E$2:$E$500,MATCH("P8|"&amp;AE22,CODIFICACION!$F$2:$F$500,0))="sin dato","",INDEX(CODIFICACION!$E$2:$E$500,MATCH("P8|"&amp;AE22,CODIFICACION!$F$2:$F$500,0))),"⚠"))</f>
        <v/>
      </c>
      <c r="E22" t="str">
        <f>IF(AG22="","",IFERROR(IF(INDEX(CODIFICACION!$E$2:$E$500,MATCH("P10|"&amp;AG22,CODIFICACION!$F$2:$F$500,0))="sin dato","",INDEX(CODIFICACION!$E$2:$E$500,MATCH("P10|"&amp;AG22,CODIFICACION!$F$2:$F$500,0))),"⚠"))</f>
        <v/>
      </c>
      <c r="F22" t="str">
        <f>IF(AJ22="","",IFERROR(IF(INDEX(CODIFICACION!$E$2:$E$500,MATCH("P13|"&amp;AJ22,CODIFICACION!$F$2:$F$500,0))="sin dato","",INDEX(CODIFICACION!$E$2:$E$500,MATCH("P13|"&amp;AJ22,CODIFICACION!$F$2:$F$500,0))),"⚠"))</f>
        <v/>
      </c>
      <c r="G22" t="str">
        <f>IF(AK22="","",IFERROR(IF(INDEX(CODIFICACION!$E$2:$E$500,MATCH("P14|"&amp;AK22,CODIFICACION!$F$2:$F$500,0))="sin dato","",INDEX(CODIFICACION!$E$2:$E$500,MATCH("P14|"&amp;AK22,CODIFICACION!$F$2:$F$500,0))),"⚠"))</f>
        <v/>
      </c>
      <c r="H22" t="str">
        <f>IF(AL22="","",IFERROR(IF(INDEX(CODIFICACION!$E$2:$E$500,MATCH("D1.1|"&amp;AL22,CODIFICACION!$F$2:$F$500,0))="sin dato","",INDEX(CODIFICACION!$E$2:$E$500,MATCH("D1.1|"&amp;AL22,CODIFICACION!$F$2:$F$500,0))),"⚠"))</f>
        <v/>
      </c>
      <c r="I22" t="str">
        <f>IF(AN22="","",IFERROR(IF(INDEX(CODIFICACION!$E$2:$E$500,MATCH("D1.3|"&amp;AN22,CODIFICACION!$F$2:$F$500,0))="sin dato","",INDEX(CODIFICACION!$E$2:$E$500,MATCH("D1.3|"&amp;AN22,CODIFICACION!$F$2:$F$500,0))),"⚠"))</f>
        <v/>
      </c>
      <c r="J22" t="str">
        <f>IF(AO22="","",IFERROR(IF(INDEX(CODIFICACION!$E$2:$E$500,MATCH("D1.4|"&amp;AO22,CODIFICACION!$F$2:$F$500,0))="sin dato","",INDEX(CODIFICACION!$E$2:$E$500,MATCH("D1.4|"&amp;AO22,CODIFICACION!$F$2:$F$500,0))),"⚠"))</f>
        <v/>
      </c>
      <c r="K22" t="str">
        <f>IF(AP22="","",IFERROR(IF(INDEX(CODIFICACION!$E$2:$E$500,MATCH("D1.3a|"&amp;AP22,CODIFICACION!$F$2:$F$500,0))="sin dato","",INDEX(CODIFICACION!$E$2:$E$500,MATCH("D1.3a|"&amp;AP22,CODIFICACION!$F$2:$F$500,0))),"⚠"))</f>
        <v/>
      </c>
      <c r="L22" t="str">
        <f t="shared" si="1"/>
        <v/>
      </c>
      <c r="M22" t="str">
        <f t="shared" si="2"/>
        <v/>
      </c>
      <c r="N22" t="str">
        <f t="shared" si="3"/>
        <v/>
      </c>
      <c r="O22" t="str">
        <f>IF(AT22="","",IFERROR(IF(INDEX(CODIFICACION!$E$2:$E$500,MATCH("D2.8|"&amp;AT22,CODIFICACION!$F$2:$F$500,0))="sin dato","",INDEX(CODIFICACION!$E$2:$E$500,MATCH("D2.8|"&amp;AT22,CODIFICACION!$F$2:$F$500,0))),"⚠"))</f>
        <v/>
      </c>
      <c r="P22" t="str">
        <f>IF(AU22="","",IFERROR(IF(INDEX(CODIFICACION!$E$2:$E$500,MATCH("D2.9|"&amp;AU22,CODIFICACION!$F$2:$F$500,0))="sin dato","",INDEX(CODIFICACION!$E$2:$E$500,MATCH("D2.9|"&amp;AU22,CODIFICACION!$F$2:$F$500,0))),"⚠"))</f>
        <v/>
      </c>
      <c r="Q22" t="str">
        <f>IF(AV22="","",IFERROR(IF(INDEX(CODIFICACION!$E$2:$E$500,MATCH("D2.10|"&amp;AV22,CODIFICACION!$F$2:$F$500,0))="sin dato","",INDEX(CODIFICACION!$E$2:$E$500,MATCH("D2.10|"&amp;AV22,CODIFICACION!$F$2:$F$500,0))),"⚠"))</f>
        <v/>
      </c>
      <c r="R22" t="str">
        <f>IF(AW22="","",IFERROR(IF(INDEX(CODIFICACION!$E$2:$E$500,MATCH("D2.5a|"&amp;AW22,CODIFICACION!$F$2:$F$500,0))="sin dato","",INDEX(CODIFICACION!$E$2:$E$500,MATCH("D2.5a|"&amp;AW22,CODIFICACION!$F$2:$F$500,0))),"⚠"))</f>
        <v/>
      </c>
      <c r="S22" t="str">
        <f ca="1">IF(AX22="","",IFERROR(IF(INDEX(CODIFICACION!$E$2:$E$500,MATCH("D2.5b|"&amp;AX22,CODIFICACION!$F$2:$F$500,0))="sin dato","",INDEX(CODIFICACION!$E$2:$E$500,MATCH("D2.5b|"&amp;AX22,CODIFICACION!$F$2:$F$500,0))),"⚠"))</f>
        <v/>
      </c>
      <c r="T22" t="str">
        <f t="shared" ca="1" si="4"/>
        <v/>
      </c>
      <c r="U22" t="str">
        <f>IF(AZ22="","",IFERROR(IF(INDEX(CODIFICACION!$E$2:$E$500,MATCH("D3.12|"&amp;AZ22,CODIFICACION!$F$2:$F$500,0))="sin dato","",INDEX(CODIFICACION!$E$2:$E$500,MATCH("D3.12|"&amp;AZ22,CODIFICACION!$F$2:$F$500,0))),"⚠"))</f>
        <v/>
      </c>
      <c r="V22" t="str">
        <f t="shared" si="5"/>
        <v/>
      </c>
      <c r="W22" t="str">
        <f ca="1">IF(BB22="","",IFERROR(IF(INDEX(CODIFICACION!$E$2:$E$500,MATCH("D3.14|"&amp;BB22,CODIFICACION!$F$2:$F$500,0))="sin dato","",INDEX(CODIFICACION!$E$2:$E$500,MATCH("D3.14|"&amp;BB22,CODIFICACION!$F$2:$F$500,0))),"⚠"))</f>
        <v/>
      </c>
      <c r="X22" t="str">
        <f ca="1">IF(BC22="","",IFERROR(IF(INDEX(CODIFICACION!$E$2:$E$500,MATCH("D3.14a|"&amp;BC22,CODIFICACION!$F$2:$F$500,0))="sin dato","",INDEX(CODIFICACION!$E$2:$E$500,MATCH("D3.14a|"&amp;BC22,CODIFICACION!$F$2:$F$500,0))),"⚠"))</f>
        <v/>
      </c>
      <c r="Y22" t="str">
        <f>IF(BD22="","",IFERROR(IF(INDEX(CODIFICACION!$E$2:$E$500,MATCH("D3.14b|"&amp;BD22,CODIFICACION!$F$2:$F$500,0))="sin dato","",INDEX(CODIFICACION!$E$2:$E$500,MATCH("D3.14b|"&amp;BD22,CODIFICACION!$F$2:$F$500,0))),"⚠"))</f>
        <v/>
      </c>
      <c r="Z22" t="str">
        <f>IF(BE22="","",IFERROR(IF(INDEX(CODIFICACION!$E$2:$E$500,MATCH("D3.14c|"&amp;BE22,CODIFICACION!$F$2:$F$500,0))="sin dato","",INDEX(CODIFICACION!$E$2:$E$500,MATCH("D3.14c|"&amp;BE22,CODIFICACION!$F$2:$F$500,0))),"⚠"))</f>
        <v/>
      </c>
      <c r="AA22" t="str">
        <f>IF(BF22="","",IFERROR(IF(INDEX(CODIFICACION!$E$2:$E$500,MATCH("D3.14d|"&amp;BF22,CODIFICACION!$F$2:$F$500,0))="sin dato","",INDEX(CODIFICACION!$E$2:$E$500,MATCH("D3.14d|"&amp;BF22,CODIFICACION!$F$2:$F$500,0))),"⚠"))</f>
        <v/>
      </c>
      <c r="AB22" t="str">
        <f>IF(BG22="","",IFERROR(IF(INDEX(CODIFICACION!$E$2:$E$500,MATCH("D3.14e|"&amp;BG22,CODIFICACION!$F$2:$F$500,0))="sin dato","",INDEX(CODIFICACION!$E$2:$E$500,MATCH("D3.14e|"&amp;BG22,CODIFICACION!$F$2:$F$500,0))),"⚠"))</f>
        <v/>
      </c>
      <c r="AC22" t="str">
        <f>IF(BH22="","",IFERROR(IF(INDEX(CODIFICACION!$E$2:$E$500,MATCH("D3.14f|"&amp;BH22,CODIFICACION!$F$2:$F$500,0))="sin dato","",INDEX(CODIFICACION!$E$2:$E$500,MATCH("D3.14f|"&amp;BH22,CODIFICACION!$F$2:$F$500,0))),"⚠"))</f>
        <v/>
      </c>
      <c r="AD22" t="str">
        <f>IF(BI22="","",IFERROR(IF(INDEX(CODIFICACION!$E$2:$E$500,MATCH("D3.14g|"&amp;BI22,CODIFICACION!$F$2:$F$500,0))="sin dato","",INDEX(CODIFICACION!$E$2:$E$500,MATCH("D3.14g|"&amp;BI22,CODIFICACION!$F$2:$F$500,0))),"⚠"))</f>
        <v/>
      </c>
      <c r="AE22" t="str">
        <f>IF(BJ22="","",IFERROR(IF(INDEX(CODIFICACION!$E$2:$E$500,MATCH("D3.14h|"&amp;BJ22,CODIFICACION!$F$2:$F$500,0))="sin dato","",INDEX(CODIFICACION!$E$2:$E$500,MATCH("D3.14h|"&amp;BJ22,CODIFICACION!$F$2:$F$500,0))),"⚠"))</f>
        <v/>
      </c>
      <c r="AF22" t="str">
        <f>IF(BK22="","",IFERROR(IF(INDEX(CODIFICACION!$E$2:$E$500,MATCH("D3.14i|"&amp;BK22,CODIFICACION!$F$2:$F$500,0))="sin dato","",INDEX(CODIFICACION!$E$2:$E$500,MATCH("D3.14i|"&amp;BK22,CODIFICACION!$F$2:$F$500,0))),"⚠"))</f>
        <v/>
      </c>
      <c r="AG22" t="str">
        <f>IF(BL22="","",IFERROR(IF(INDEX(CODIFICACION!$E$2:$E$500,MATCH("D4.15|"&amp;BL22,CODIFICACION!$F$2:$F$500,0))="sin dato","",INDEX(CODIFICACION!$E$2:$E$500,MATCH("D4.15|"&amp;BL22,CODIFICACION!$F$2:$F$500,0))),"⚠"))</f>
        <v/>
      </c>
      <c r="AH22" t="str">
        <f t="shared" si="6"/>
        <v/>
      </c>
      <c r="AI22" t="str">
        <f>IF(BN22="","",IFERROR(IF(INDEX(CODIFICACION!$E$2:$E$500,MATCH("D4.17|"&amp;BN22,CODIFICACION!$F$2:$F$500,0))="sin dato","",INDEX(CODIFICACION!$E$2:$E$500,MATCH("D4.17|"&amp;BN22,CODIFICACION!$F$2:$F$500,0))),"⚠"))</f>
        <v/>
      </c>
      <c r="AJ22" t="str">
        <f>IF(BO22="","",IFERROR(IF(INDEX(CODIFICACION!$E$2:$E$500,MATCH("D4.15a|"&amp;BO22,CODIFICACION!$F$2:$F$500,0))="sin dato","",INDEX(CODIFICACION!$E$2:$E$500,MATCH("D4.15a|"&amp;BO22,CODIFICACION!$F$2:$F$500,0))),"⚠"))</f>
        <v/>
      </c>
      <c r="AK22" t="str">
        <f t="shared" si="7"/>
        <v/>
      </c>
      <c r="AL22" t="str">
        <f t="shared" si="8"/>
        <v/>
      </c>
      <c r="AM22" t="str">
        <f>IF(BR22="","",IFERROR(IF(INDEX(CODIFICACION!$E$2:$E$500,MATCH("D5.18b|"&amp;BR22,CODIFICACION!$F$2:$F$500,0))="sin dato","",INDEX(CODIFICACION!$E$2:$E$500,MATCH("D5.18b|"&amp;BR22,CODIFICACION!$F$2:$F$500,0))),"⚠"))</f>
        <v/>
      </c>
      <c r="AN22" t="str">
        <f>IF(BS22="","",IFERROR(IF(INDEX(CODIFICACION!$E$2:$E$500,MATCH("D5.19|"&amp;BS22,CODIFICACION!$F$2:$F$500,0))="sin dato","",INDEX(CODIFICACION!$E$2:$E$500,MATCH("D5.19|"&amp;BS22,CODIFICACION!$F$2:$F$500,0))),"⚠"))</f>
        <v/>
      </c>
      <c r="AO22" t="str">
        <f t="shared" si="9"/>
        <v/>
      </c>
      <c r="AP22" t="str">
        <f>IF(BU22="","",IFERROR(IF(INDEX(CODIFICACION!$E$2:$E$500,MATCH("D5.20|"&amp;BU22,CODIFICACION!$F$2:$F$500,0))="sin dato","",INDEX(CODIFICACION!$E$2:$E$500,MATCH("D5.20|"&amp;BU22,CODIFICACION!$F$2:$F$500,0))),"⚠"))</f>
        <v/>
      </c>
      <c r="AQ22" t="str">
        <f>IF(BV22="","",IFERROR(IF(INDEX(CODIFICACION!$E$2:$E$500,MATCH("D5.21|"&amp;BV22,CODIFICACION!$F$2:$F$500,0))="sin dato","",INDEX(CODIFICACION!$E$2:$E$500,MATCH("D5.21|"&amp;BV22,CODIFICACION!$F$2:$F$500,0))),"⚠"))</f>
        <v/>
      </c>
      <c r="AR22" t="str">
        <f>IF(BW22="","",IFERROR(IF(INDEX(CODIFICACION!$E$2:$E$500,MATCH("D5.21a|"&amp;BW22,CODIFICACION!$F$2:$F$500,0))="sin dato","",INDEX(CODIFICACION!$E$2:$E$500,MATCH("D5.21a|"&amp;BW22,CODIFICACION!$F$2:$F$500,0))),"⚠"))</f>
        <v/>
      </c>
      <c r="AS22" t="str">
        <f>IF(BX22="","",IFERROR(IF(INDEX(CODIFICACION!$E$2:$E$500,MATCH("D5.21b|"&amp;BX22,CODIFICACION!$F$2:$F$500,0))="sin dato","",INDEX(CODIFICACION!$E$2:$E$500,MATCH("D5.21b|"&amp;BX22,CODIFICACION!$F$2:$F$500,0))),"⚠"))</f>
        <v/>
      </c>
      <c r="AT22" t="str">
        <f>IF(BY22="","",IFERROR(IF(INDEX(CODIFICACION!$E$2:$E$500,MATCH("D6.22|"&amp;BY22,CODIFICACION!$F$2:$F$500,0))="sin dato","",INDEX(CODIFICACION!$E$2:$E$500,MATCH("D6.22|"&amp;BY22,CODIFICACION!$F$2:$F$500,0))),"⚠"))</f>
        <v/>
      </c>
      <c r="AU22" t="str">
        <f>IF(BZ22="","",IFERROR(IF(INDEX(CODIFICACION!$E$2:$E$500,MATCH("D6.22a|"&amp;BZ22,CODIFICACION!$F$2:$F$500,0))="sin dato","",INDEX(CODIFICACION!$E$2:$E$500,MATCH("D6.22a|"&amp;BZ22,CODIFICACION!$F$2:$F$500,0))),"⚠"))</f>
        <v/>
      </c>
      <c r="AV22" t="str">
        <f>IF(CA22="","",IFERROR(IF(INDEX(CODIFICACION!$E$2:$E$500,MATCH("D6.22b|"&amp;CA22,CODIFICACION!$F$2:$F$500,0))="sin dato","",INDEX(CODIFICACION!$E$2:$E$500,MATCH("D6.22b|"&amp;CA22,CODIFICACION!$F$2:$F$500,0))),"⚠"))</f>
        <v/>
      </c>
      <c r="AW22" t="str">
        <f>IF(CB22="","",IFERROR(IF(INDEX(CODIFICACION!$E$2:$E$500,MATCH("D6.23|"&amp;CB22,CODIFICACION!$F$2:$F$500,0))="sin dato","",INDEX(CODIFICACION!$E$2:$E$500,MATCH("D6.23|"&amp;CB22,CODIFICACION!$F$2:$F$500,0))),"⚠"))</f>
        <v/>
      </c>
      <c r="AX22" t="str">
        <f ca="1">IF(CC22="","",IFERROR(IF(INDEX(CODIFICACION!$E$2:$E$500,MATCH("D6.24|"&amp;CC22,CODIFICACION!$F$2:$F$500,0))="sin dato","",INDEX(CODIFICACION!$E$2:$E$500,MATCH("D6.24|"&amp;CC22,CODIFICACION!$F$2:$F$500,0))),"⚠"))</f>
        <v/>
      </c>
      <c r="AY22" t="str">
        <f ca="1">IF(CD22="","",IFERROR(IF(INDEX(CODIFICACION!$E$2:$E$500,MATCH("D6.25|"&amp;CD22,CODIFICACION!$F$2:$F$500,0))="sin dato","",INDEX(CODIFICACION!$E$2:$E$500,MATCH("D6.25|"&amp;CD22,CODIFICACION!$F$2:$F$500,0))),"⚠"))</f>
        <v/>
      </c>
      <c r="AZ22" t="str">
        <f>IF(CE22="","",IFERROR(IF(INDEX(CODIFICACION!$E$2:$E$500,MATCH("D6.25a|"&amp;CE22,CODIFICACION!$F$2:$F$500,0))="sin dato","",INDEX(CODIFICACION!$E$2:$E$500,MATCH("D6.25a|"&amp;CE22,CODIFICACION!$F$2:$F$500,0))),"⚠"))</f>
        <v/>
      </c>
      <c r="BA22" t="str">
        <f>IF(CF22="","",IFERROR(IF(INDEX(CODIFICACION!$E$2:$E$500,MATCH("D6.25b|"&amp;CF22,CODIFICACION!$F$2:$F$500,0))="sin dato","",INDEX(CODIFICACION!$E$2:$E$500,MATCH("D6.25b|"&amp;CF22,CODIFICACION!$F$2:$F$500,0))),"⚠"))</f>
        <v/>
      </c>
      <c r="BB22" t="str">
        <f ca="1">IF(CG22="","",IFERROR(IF(INDEX(CODIFICACION!$E$2:$E$500,MATCH("D6.22c|"&amp;CG22,CODIFICACION!$F$2:$F$500,0))="sin dato","",INDEX(CODIFICACION!$E$2:$E$500,MATCH("D6.22c|"&amp;CG22,CODIFICACION!$F$2:$F$500,0))),"⚠"))</f>
        <v/>
      </c>
      <c r="BC22" t="str">
        <f ca="1">IF(CH22="","",IFERROR(IF(INDEX(CODIFICACION!$E$2:$E$500,MATCH("D7.26|"&amp;CH22,CODIFICACION!$F$2:$F$500,0))="sin dato","",INDEX(CODIFICACION!$E$2:$E$500,MATCH("D7.26|"&amp;CH22,CODIFICACION!$F$2:$F$500,0))),"⚠"))</f>
        <v/>
      </c>
      <c r="BD22" t="str">
        <f>IF(CI22="","",IFERROR(IF(INDEX(CODIFICACION!$E$2:$E$500,MATCH("D7.27|"&amp;CI22,CODIFICACION!$F$2:$F$500,0))="sin dato","",INDEX(CODIFICACION!$E$2:$E$500,MATCH("D7.27|"&amp;CI22,CODIFICACION!$F$2:$F$500,0))),"⚠"))</f>
        <v/>
      </c>
      <c r="BE22" t="str">
        <f>IF(CJ22="","",IFERROR(IF(INDEX(CODIFICACION!$E$2:$E$500,MATCH("D7.28|"&amp;CJ22,CODIFICACION!$F$2:$F$500,0))="sin dato","",INDEX(CODIFICACION!$E$2:$E$500,MATCH("D7.28|"&amp;CJ22,CODIFICACION!$F$2:$F$500,0))),"⚠"))</f>
        <v/>
      </c>
      <c r="BF22" t="str">
        <f>IF(CK22="","",IFERROR(IF(INDEX(CODIFICACION!$E$2:$E$500,MATCH("D7.28b|"&amp;CK22,CODIFICACION!$F$2:$F$500,0))="sin dato","",INDEX(CODIFICACION!$E$2:$E$500,MATCH("D7.28b|"&amp;CK22,CODIFICACION!$F$2:$F$500,0))),"⚠"))</f>
        <v/>
      </c>
      <c r="BG22" t="str">
        <f t="shared" si="10"/>
        <v/>
      </c>
      <c r="BH22" t="str">
        <f>IF(CM22="","",IFERROR(IF(INDEX(CODIFICACION!$E$2:$E$500,MATCH("D7.26a|"&amp;CM22,CODIFICACION!$F$2:$F$500,0))="sin dato","",INDEX(CODIFICACION!$E$2:$E$500,MATCH("D7.26a|"&amp;CM22,CODIFICACION!$F$2:$F$500,0))),"⚠"))</f>
        <v/>
      </c>
      <c r="BI22" t="str">
        <f>IF(CN22="","",IFERROR(IF(INDEX(CODIFICACION!$E$2:$E$500,MATCH("D7.26b|"&amp;CN22,CODIFICACION!$F$2:$F$500,0))="sin dato","",INDEX(CODIFICACION!$E$2:$E$500,MATCH("D7.26b|"&amp;CN22,CODIFICACION!$F$2:$F$500,0))),"⚠"))</f>
        <v/>
      </c>
      <c r="BJ22" t="str">
        <f t="shared" si="11"/>
        <v/>
      </c>
      <c r="BK22" t="str">
        <f t="shared" si="12"/>
        <v/>
      </c>
      <c r="BL22" t="str">
        <f>IF(CQ22="","",IFERROR(IF(INDEX(CODIFICACION!$E$2:$E$500,MATCH("D8.31|"&amp;CQ22,CODIFICACION!$F$2:$F$500,0))="sin dato","",INDEX(CODIFICACION!$E$2:$E$500,MATCH("D8.31|"&amp;CQ22,CODIFICACION!$F$2:$F$500,0))),"⚠"))</f>
        <v/>
      </c>
      <c r="BM22" t="str">
        <f>IF(CR22="","",IFERROR(IF(INDEX(CODIFICACION!$E$2:$E$500,MATCH("D8.32|"&amp;CR22,CODIFICACION!$F$2:$F$500,0))="sin dato","",INDEX(CODIFICACION!$E$2:$E$500,MATCH("D8.32|"&amp;CR22,CODIFICACION!$F$2:$F$500,0))),"⚠"))</f>
        <v/>
      </c>
      <c r="BN22" t="str">
        <f>IF(CS22="","",IFERROR(IF(INDEX(CODIFICACION!$E$2:$E$500,MATCH("D9.33|"&amp;CS22,CODIFICACION!$F$2:$F$500,0))="sin dato","",INDEX(CODIFICACION!$E$2:$E$500,MATCH("D9.33|"&amp;CS22,CODIFICACION!$F$2:$F$500,0))),"⚠"))</f>
        <v/>
      </c>
      <c r="BO22" t="str">
        <f>IF(CT22="","",IFERROR(IF(INDEX(CODIFICACION!$E$2:$E$500,MATCH("D9.34|"&amp;CT22,CODIFICACION!$F$2:$F$500,0))="sin dato","",INDEX(CODIFICACION!$E$2:$E$500,MATCH("D9.34|"&amp;CT22,CODIFICACION!$F$2:$F$500,0))),"⚠"))</f>
        <v/>
      </c>
      <c r="BP22" t="str">
        <f>IF(CU22="","",IFERROR(IF(INDEX(CODIFICACION!$E$2:$E$500,MATCH("D9.35|"&amp;CU22,CODIFICACION!$F$2:$F$500,0))="sin dato","",INDEX(CODIFICACION!$E$2:$E$500,MATCH("D9.35|"&amp;CU22,CODIFICACION!$F$2:$F$500,0))),"⚠"))</f>
        <v/>
      </c>
      <c r="BQ22" t="str">
        <f>IF(CV22="","",IFERROR(IF(INDEX(CODIFICACION!$E$2:$E$500,MATCH("D10.36|"&amp;CV22,CODIFICACION!$F$2:$F$500,0))="sin dato","",INDEX(CODIFICACION!$E$2:$E$500,MATCH("D10.36|"&amp;CV22,CODIFICACION!$F$2:$F$500,0))),"⚠"))</f>
        <v/>
      </c>
      <c r="BR22" t="str">
        <f>IF(CW22="","",IFERROR(IF(INDEX(CODIFICACION!$E$2:$E$500,MATCH("D10.37|"&amp;CW22,CODIFICACION!$F$2:$F$500,0))="sin dato","",INDEX(CODIFICACION!$E$2:$E$500,MATCH("D10.37|"&amp;CW22,CODIFICACION!$F$2:$F$500,0))),"⚠"))</f>
        <v/>
      </c>
      <c r="BS22" t="str">
        <f>IF(CX22="","",IFERROR(IF(INDEX(CODIFICACION!$E$2:$E$500,MATCH("D10.36a|"&amp;CX22,CODIFICACION!$F$2:$F$500,0))="sin dato","",INDEX(CODIFICACION!$E$2:$E$500,MATCH("D10.36a|"&amp;CX22,CODIFICACION!$F$2:$F$500,0))),"⚠"))</f>
        <v/>
      </c>
      <c r="BT22" t="str">
        <f t="shared" si="13"/>
        <v/>
      </c>
      <c r="BU22" t="str">
        <f>IF(DA22="","",IFERROR(IF(INDEX(CODIFICACION!$E$2:$E$500,MATCH("D11.39a|"&amp;DA22,CODIFICACION!$F$2:$F$500,0))="sin dato","",INDEX(CODIFICACION!$E$2:$E$500,MATCH("D11.39a|"&amp;DA22,CODIFICACION!$F$2:$F$500,0))),"⚠"))</f>
        <v/>
      </c>
      <c r="BV22" t="str">
        <f>IF(DB22="","",IFERROR(IF(INDEX(CODIFICACION!$E$2:$E$500,MATCH("D12.42|"&amp;DB22,CODIFICACION!$F$2:$F$500,0))="sin dato","",INDEX(CODIFICACION!$E$2:$E$500,MATCH("D12.42|"&amp;DB22,CODIFICACION!$F$2:$F$500,0))),"⚠"))</f>
        <v/>
      </c>
      <c r="BW22" t="str">
        <f>IF(DC22="","",IFERROR(IF(INDEX(CODIFICACION!$E$2:$E$500,MATCH("D13.45|"&amp;DC22,CODIFICACION!$F$2:$F$500,0))="sin dato","",INDEX(CODIFICACION!$E$2:$E$500,MATCH("D13.45|"&amp;DC22,CODIFICACION!$F$2:$F$500,0))),"⚠"))</f>
        <v/>
      </c>
      <c r="BX22" t="str">
        <f>IF(DD22="","",IFERROR(IF(INDEX(CODIFICACION!$E$2:$E$500,MATCH("D14.51|"&amp;DD22,CODIFICACION!$F$2:$F$500,0))="sin dato","",INDEX(CODIFICACION!$E$2:$E$500,MATCH("D14.51|"&amp;DD22,CODIFICACION!$F$2:$F$500,0))),"⚠"))</f>
        <v/>
      </c>
      <c r="BY22" t="str">
        <f>IF(DE22="","",IFERROR(IF(INDEX(CODIFICACION!$E$2:$E$500,MATCH("D15.58|"&amp;DE22,CODIFICACION!$F$2:$F$500,0))="sin dato","",INDEX(CODIFICACION!$E$2:$E$500,MATCH("D15.58|"&amp;DE22,CODIFICACION!$F$2:$F$500,0))),"⚠"))</f>
        <v/>
      </c>
      <c r="BZ22" t="str">
        <f>IF(DF22="","",IFERROR(IF(INDEX(CODIFICACION!$E$2:$E$500,MATCH("PP1|"&amp;DF22,CODIFICACION!$F$2:$F$500,0))="sin dato","",INDEX(CODIFICACION!$E$2:$E$500,MATCH("PP1|"&amp;DF22,CODIFICACION!$F$2:$F$500,0))),"⚠"))</f>
        <v/>
      </c>
      <c r="CA22" t="str">
        <f>IF(DG22="","",IFERROR(IF(INDEX(CODIFICACION!$E$2:$E$500,MATCH("PP2|"&amp;DG22,CODIFICACION!$F$2:$F$500,0))="sin dato","",INDEX(CODIFICACION!$E$2:$E$500,MATCH("PP2|"&amp;DG22,CODIFICACION!$F$2:$F$500,0))),"⚠"))</f>
        <v/>
      </c>
      <c r="CB22" t="str">
        <f t="shared" si="14"/>
        <v/>
      </c>
      <c r="CC22" t="str">
        <f t="shared" ca="1" si="15"/>
        <v/>
      </c>
      <c r="CD22" t="str">
        <f t="shared" ca="1" si="16"/>
        <v/>
      </c>
      <c r="CE22" t="str">
        <f t="shared" si="17"/>
        <v/>
      </c>
      <c r="CF22" t="str">
        <f t="shared" si="18"/>
        <v/>
      </c>
      <c r="CG22" t="str">
        <f t="shared" ca="1" si="19"/>
        <v/>
      </c>
      <c r="CH22" t="str">
        <f t="shared" ca="1" si="20"/>
        <v/>
      </c>
      <c r="CI22" t="str">
        <f t="shared" si="21"/>
        <v/>
      </c>
      <c r="CJ22" t="str">
        <f t="shared" si="22"/>
        <v/>
      </c>
      <c r="CK22" t="str">
        <f t="shared" si="23"/>
        <v/>
      </c>
      <c r="CL22" t="str">
        <f t="shared" si="24"/>
        <v/>
      </c>
    </row>
    <row r="23" spans="1:90" x14ac:dyDescent="0.3">
      <c r="A23">
        <f>CAPTURA!A23</f>
        <v>20393152207</v>
      </c>
      <c r="B23">
        <f>CAPTURA!C23</f>
        <v>0</v>
      </c>
      <c r="C23" t="str">
        <f t="shared" si="0"/>
        <v/>
      </c>
      <c r="D23" t="str">
        <f>IF(AE23="","",IFERROR(IF(INDEX(CODIFICACION!$E$2:$E$500,MATCH("P8|"&amp;AE23,CODIFICACION!$F$2:$F$500,0))="sin dato","",INDEX(CODIFICACION!$E$2:$E$500,MATCH("P8|"&amp;AE23,CODIFICACION!$F$2:$F$500,0))),"⚠"))</f>
        <v/>
      </c>
      <c r="E23" t="str">
        <f>IF(AG23="","",IFERROR(IF(INDEX(CODIFICACION!$E$2:$E$500,MATCH("P10|"&amp;AG23,CODIFICACION!$F$2:$F$500,0))="sin dato","",INDEX(CODIFICACION!$E$2:$E$500,MATCH("P10|"&amp;AG23,CODIFICACION!$F$2:$F$500,0))),"⚠"))</f>
        <v/>
      </c>
      <c r="F23" t="str">
        <f>IF(AJ23="","",IFERROR(IF(INDEX(CODIFICACION!$E$2:$E$500,MATCH("P13|"&amp;AJ23,CODIFICACION!$F$2:$F$500,0))="sin dato","",INDEX(CODIFICACION!$E$2:$E$500,MATCH("P13|"&amp;AJ23,CODIFICACION!$F$2:$F$500,0))),"⚠"))</f>
        <v/>
      </c>
      <c r="G23" t="str">
        <f>IF(AK23="","",IFERROR(IF(INDEX(CODIFICACION!$E$2:$E$500,MATCH("P14|"&amp;AK23,CODIFICACION!$F$2:$F$500,0))="sin dato","",INDEX(CODIFICACION!$E$2:$E$500,MATCH("P14|"&amp;AK23,CODIFICACION!$F$2:$F$500,0))),"⚠"))</f>
        <v/>
      </c>
      <c r="H23" t="str">
        <f>IF(AL23="","",IFERROR(IF(INDEX(CODIFICACION!$E$2:$E$500,MATCH("D1.1|"&amp;AL23,CODIFICACION!$F$2:$F$500,0))="sin dato","",INDEX(CODIFICACION!$E$2:$E$500,MATCH("D1.1|"&amp;AL23,CODIFICACION!$F$2:$F$500,0))),"⚠"))</f>
        <v/>
      </c>
      <c r="I23" t="str">
        <f>IF(AN23="","",IFERROR(IF(INDEX(CODIFICACION!$E$2:$E$500,MATCH("D1.3|"&amp;AN23,CODIFICACION!$F$2:$F$500,0))="sin dato","",INDEX(CODIFICACION!$E$2:$E$500,MATCH("D1.3|"&amp;AN23,CODIFICACION!$F$2:$F$500,0))),"⚠"))</f>
        <v/>
      </c>
      <c r="J23" t="str">
        <f>IF(AO23="","",IFERROR(IF(INDEX(CODIFICACION!$E$2:$E$500,MATCH("D1.4|"&amp;AO23,CODIFICACION!$F$2:$F$500,0))="sin dato","",INDEX(CODIFICACION!$E$2:$E$500,MATCH("D1.4|"&amp;AO23,CODIFICACION!$F$2:$F$500,0))),"⚠"))</f>
        <v/>
      </c>
      <c r="K23" t="str">
        <f>IF(AP23="","",IFERROR(IF(INDEX(CODIFICACION!$E$2:$E$500,MATCH("D1.3a|"&amp;AP23,CODIFICACION!$F$2:$F$500,0))="sin dato","",INDEX(CODIFICACION!$E$2:$E$500,MATCH("D1.3a|"&amp;AP23,CODIFICACION!$F$2:$F$500,0))),"⚠"))</f>
        <v/>
      </c>
      <c r="L23" t="str">
        <f t="shared" si="1"/>
        <v/>
      </c>
      <c r="M23" t="str">
        <f t="shared" si="2"/>
        <v/>
      </c>
      <c r="N23" t="str">
        <f t="shared" si="3"/>
        <v/>
      </c>
      <c r="O23" t="str">
        <f>IF(AT23="","",IFERROR(IF(INDEX(CODIFICACION!$E$2:$E$500,MATCH("D2.8|"&amp;AT23,CODIFICACION!$F$2:$F$500,0))="sin dato","",INDEX(CODIFICACION!$E$2:$E$500,MATCH("D2.8|"&amp;AT23,CODIFICACION!$F$2:$F$500,0))),"⚠"))</f>
        <v/>
      </c>
      <c r="P23" t="str">
        <f>IF(AU23="","",IFERROR(IF(INDEX(CODIFICACION!$E$2:$E$500,MATCH("D2.9|"&amp;AU23,CODIFICACION!$F$2:$F$500,0))="sin dato","",INDEX(CODIFICACION!$E$2:$E$500,MATCH("D2.9|"&amp;AU23,CODIFICACION!$F$2:$F$500,0))),"⚠"))</f>
        <v/>
      </c>
      <c r="Q23" t="str">
        <f>IF(AV23="","",IFERROR(IF(INDEX(CODIFICACION!$E$2:$E$500,MATCH("D2.10|"&amp;AV23,CODIFICACION!$F$2:$F$500,0))="sin dato","",INDEX(CODIFICACION!$E$2:$E$500,MATCH("D2.10|"&amp;AV23,CODIFICACION!$F$2:$F$500,0))),"⚠"))</f>
        <v/>
      </c>
      <c r="R23" t="str">
        <f>IF(AW23="","",IFERROR(IF(INDEX(CODIFICACION!$E$2:$E$500,MATCH("D2.5a|"&amp;AW23,CODIFICACION!$F$2:$F$500,0))="sin dato","",INDEX(CODIFICACION!$E$2:$E$500,MATCH("D2.5a|"&amp;AW23,CODIFICACION!$F$2:$F$500,0))),"⚠"))</f>
        <v/>
      </c>
      <c r="S23" t="str">
        <f ca="1">IF(AX23="","",IFERROR(IF(INDEX(CODIFICACION!$E$2:$E$500,MATCH("D2.5b|"&amp;AX23,CODIFICACION!$F$2:$F$500,0))="sin dato","",INDEX(CODIFICACION!$E$2:$E$500,MATCH("D2.5b|"&amp;AX23,CODIFICACION!$F$2:$F$500,0))),"⚠"))</f>
        <v/>
      </c>
      <c r="T23" t="str">
        <f t="shared" ca="1" si="4"/>
        <v/>
      </c>
      <c r="U23" t="str">
        <f>IF(AZ23="","",IFERROR(IF(INDEX(CODIFICACION!$E$2:$E$500,MATCH("D3.12|"&amp;AZ23,CODIFICACION!$F$2:$F$500,0))="sin dato","",INDEX(CODIFICACION!$E$2:$E$500,MATCH("D3.12|"&amp;AZ23,CODIFICACION!$F$2:$F$500,0))),"⚠"))</f>
        <v/>
      </c>
      <c r="V23" t="str">
        <f t="shared" si="5"/>
        <v/>
      </c>
      <c r="W23" t="str">
        <f ca="1">IF(BB23="","",IFERROR(IF(INDEX(CODIFICACION!$E$2:$E$500,MATCH("D3.14|"&amp;BB23,CODIFICACION!$F$2:$F$500,0))="sin dato","",INDEX(CODIFICACION!$E$2:$E$500,MATCH("D3.14|"&amp;BB23,CODIFICACION!$F$2:$F$500,0))),"⚠"))</f>
        <v/>
      </c>
      <c r="X23" t="str">
        <f ca="1">IF(BC23="","",IFERROR(IF(INDEX(CODIFICACION!$E$2:$E$500,MATCH("D3.14a|"&amp;BC23,CODIFICACION!$F$2:$F$500,0))="sin dato","",INDEX(CODIFICACION!$E$2:$E$500,MATCH("D3.14a|"&amp;BC23,CODIFICACION!$F$2:$F$500,0))),"⚠"))</f>
        <v/>
      </c>
      <c r="Y23" t="str">
        <f>IF(BD23="","",IFERROR(IF(INDEX(CODIFICACION!$E$2:$E$500,MATCH("D3.14b|"&amp;BD23,CODIFICACION!$F$2:$F$500,0))="sin dato","",INDEX(CODIFICACION!$E$2:$E$500,MATCH("D3.14b|"&amp;BD23,CODIFICACION!$F$2:$F$500,0))),"⚠"))</f>
        <v/>
      </c>
      <c r="Z23" t="str">
        <f>IF(BE23="","",IFERROR(IF(INDEX(CODIFICACION!$E$2:$E$500,MATCH("D3.14c|"&amp;BE23,CODIFICACION!$F$2:$F$500,0))="sin dato","",INDEX(CODIFICACION!$E$2:$E$500,MATCH("D3.14c|"&amp;BE23,CODIFICACION!$F$2:$F$500,0))),"⚠"))</f>
        <v/>
      </c>
      <c r="AA23" t="str">
        <f>IF(BF23="","",IFERROR(IF(INDEX(CODIFICACION!$E$2:$E$500,MATCH("D3.14d|"&amp;BF23,CODIFICACION!$F$2:$F$500,0))="sin dato","",INDEX(CODIFICACION!$E$2:$E$500,MATCH("D3.14d|"&amp;BF23,CODIFICACION!$F$2:$F$500,0))),"⚠"))</f>
        <v/>
      </c>
      <c r="AB23" t="str">
        <f>IF(BG23="","",IFERROR(IF(INDEX(CODIFICACION!$E$2:$E$500,MATCH("D3.14e|"&amp;BG23,CODIFICACION!$F$2:$F$500,0))="sin dato","",INDEX(CODIFICACION!$E$2:$E$500,MATCH("D3.14e|"&amp;BG23,CODIFICACION!$F$2:$F$500,0))),"⚠"))</f>
        <v/>
      </c>
      <c r="AC23" t="str">
        <f>IF(BH23="","",IFERROR(IF(INDEX(CODIFICACION!$E$2:$E$500,MATCH("D3.14f|"&amp;BH23,CODIFICACION!$F$2:$F$500,0))="sin dato","",INDEX(CODIFICACION!$E$2:$E$500,MATCH("D3.14f|"&amp;BH23,CODIFICACION!$F$2:$F$500,0))),"⚠"))</f>
        <v/>
      </c>
      <c r="AD23" t="str">
        <f>IF(BI23="","",IFERROR(IF(INDEX(CODIFICACION!$E$2:$E$500,MATCH("D3.14g|"&amp;BI23,CODIFICACION!$F$2:$F$500,0))="sin dato","",INDEX(CODIFICACION!$E$2:$E$500,MATCH("D3.14g|"&amp;BI23,CODIFICACION!$F$2:$F$500,0))),"⚠"))</f>
        <v/>
      </c>
      <c r="AE23" t="str">
        <f>IF(BJ23="","",IFERROR(IF(INDEX(CODIFICACION!$E$2:$E$500,MATCH("D3.14h|"&amp;BJ23,CODIFICACION!$F$2:$F$500,0))="sin dato","",INDEX(CODIFICACION!$E$2:$E$500,MATCH("D3.14h|"&amp;BJ23,CODIFICACION!$F$2:$F$500,0))),"⚠"))</f>
        <v/>
      </c>
      <c r="AF23" t="str">
        <f>IF(BK23="","",IFERROR(IF(INDEX(CODIFICACION!$E$2:$E$500,MATCH("D3.14i|"&amp;BK23,CODIFICACION!$F$2:$F$500,0))="sin dato","",INDEX(CODIFICACION!$E$2:$E$500,MATCH("D3.14i|"&amp;BK23,CODIFICACION!$F$2:$F$500,0))),"⚠"))</f>
        <v/>
      </c>
      <c r="AG23" t="str">
        <f>IF(BL23="","",IFERROR(IF(INDEX(CODIFICACION!$E$2:$E$500,MATCH("D4.15|"&amp;BL23,CODIFICACION!$F$2:$F$500,0))="sin dato","",INDEX(CODIFICACION!$E$2:$E$500,MATCH("D4.15|"&amp;BL23,CODIFICACION!$F$2:$F$500,0))),"⚠"))</f>
        <v/>
      </c>
      <c r="AH23" t="str">
        <f t="shared" si="6"/>
        <v/>
      </c>
      <c r="AI23" t="str">
        <f>IF(BN23="","",IFERROR(IF(INDEX(CODIFICACION!$E$2:$E$500,MATCH("D4.17|"&amp;BN23,CODIFICACION!$F$2:$F$500,0))="sin dato","",INDEX(CODIFICACION!$E$2:$E$500,MATCH("D4.17|"&amp;BN23,CODIFICACION!$F$2:$F$500,0))),"⚠"))</f>
        <v/>
      </c>
      <c r="AJ23" t="str">
        <f>IF(BO23="","",IFERROR(IF(INDEX(CODIFICACION!$E$2:$E$500,MATCH("D4.15a|"&amp;BO23,CODIFICACION!$F$2:$F$500,0))="sin dato","",INDEX(CODIFICACION!$E$2:$E$500,MATCH("D4.15a|"&amp;BO23,CODIFICACION!$F$2:$F$500,0))),"⚠"))</f>
        <v/>
      </c>
      <c r="AK23" t="str">
        <f t="shared" si="7"/>
        <v/>
      </c>
      <c r="AL23" t="str">
        <f t="shared" si="8"/>
        <v/>
      </c>
      <c r="AM23" t="str">
        <f>IF(BR23="","",IFERROR(IF(INDEX(CODIFICACION!$E$2:$E$500,MATCH("D5.18b|"&amp;BR23,CODIFICACION!$F$2:$F$500,0))="sin dato","",INDEX(CODIFICACION!$E$2:$E$500,MATCH("D5.18b|"&amp;BR23,CODIFICACION!$F$2:$F$500,0))),"⚠"))</f>
        <v/>
      </c>
      <c r="AN23" t="str">
        <f>IF(BS23="","",IFERROR(IF(INDEX(CODIFICACION!$E$2:$E$500,MATCH("D5.19|"&amp;BS23,CODIFICACION!$F$2:$F$500,0))="sin dato","",INDEX(CODIFICACION!$E$2:$E$500,MATCH("D5.19|"&amp;BS23,CODIFICACION!$F$2:$F$500,0))),"⚠"))</f>
        <v/>
      </c>
      <c r="AO23" t="str">
        <f t="shared" si="9"/>
        <v/>
      </c>
      <c r="AP23" t="str">
        <f>IF(BU23="","",IFERROR(IF(INDEX(CODIFICACION!$E$2:$E$500,MATCH("D5.20|"&amp;BU23,CODIFICACION!$F$2:$F$500,0))="sin dato","",INDEX(CODIFICACION!$E$2:$E$500,MATCH("D5.20|"&amp;BU23,CODIFICACION!$F$2:$F$500,0))),"⚠"))</f>
        <v/>
      </c>
      <c r="AQ23" t="str">
        <f>IF(BV23="","",IFERROR(IF(INDEX(CODIFICACION!$E$2:$E$500,MATCH("D5.21|"&amp;BV23,CODIFICACION!$F$2:$F$500,0))="sin dato","",INDEX(CODIFICACION!$E$2:$E$500,MATCH("D5.21|"&amp;BV23,CODIFICACION!$F$2:$F$500,0))),"⚠"))</f>
        <v/>
      </c>
      <c r="AR23" t="str">
        <f>IF(BW23="","",IFERROR(IF(INDEX(CODIFICACION!$E$2:$E$500,MATCH("D5.21a|"&amp;BW23,CODIFICACION!$F$2:$F$500,0))="sin dato","",INDEX(CODIFICACION!$E$2:$E$500,MATCH("D5.21a|"&amp;BW23,CODIFICACION!$F$2:$F$500,0))),"⚠"))</f>
        <v/>
      </c>
      <c r="AS23" t="str">
        <f>IF(BX23="","",IFERROR(IF(INDEX(CODIFICACION!$E$2:$E$500,MATCH("D5.21b|"&amp;BX23,CODIFICACION!$F$2:$F$500,0))="sin dato","",INDEX(CODIFICACION!$E$2:$E$500,MATCH("D5.21b|"&amp;BX23,CODIFICACION!$F$2:$F$500,0))),"⚠"))</f>
        <v/>
      </c>
      <c r="AT23" t="str">
        <f>IF(BY23="","",IFERROR(IF(INDEX(CODIFICACION!$E$2:$E$500,MATCH("D6.22|"&amp;BY23,CODIFICACION!$F$2:$F$500,0))="sin dato","",INDEX(CODIFICACION!$E$2:$E$500,MATCH("D6.22|"&amp;BY23,CODIFICACION!$F$2:$F$500,0))),"⚠"))</f>
        <v/>
      </c>
      <c r="AU23" t="str">
        <f>IF(BZ23="","",IFERROR(IF(INDEX(CODIFICACION!$E$2:$E$500,MATCH("D6.22a|"&amp;BZ23,CODIFICACION!$F$2:$F$500,0))="sin dato","",INDEX(CODIFICACION!$E$2:$E$500,MATCH("D6.22a|"&amp;BZ23,CODIFICACION!$F$2:$F$500,0))),"⚠"))</f>
        <v/>
      </c>
      <c r="AV23" t="str">
        <f>IF(CA23="","",IFERROR(IF(INDEX(CODIFICACION!$E$2:$E$500,MATCH("D6.22b|"&amp;CA23,CODIFICACION!$F$2:$F$500,0))="sin dato","",INDEX(CODIFICACION!$E$2:$E$500,MATCH("D6.22b|"&amp;CA23,CODIFICACION!$F$2:$F$500,0))),"⚠"))</f>
        <v/>
      </c>
      <c r="AW23" t="str">
        <f>IF(CB23="","",IFERROR(IF(INDEX(CODIFICACION!$E$2:$E$500,MATCH("D6.23|"&amp;CB23,CODIFICACION!$F$2:$F$500,0))="sin dato","",INDEX(CODIFICACION!$E$2:$E$500,MATCH("D6.23|"&amp;CB23,CODIFICACION!$F$2:$F$500,0))),"⚠"))</f>
        <v/>
      </c>
      <c r="AX23" t="str">
        <f ca="1">IF(CC23="","",IFERROR(IF(INDEX(CODIFICACION!$E$2:$E$500,MATCH("D6.24|"&amp;CC23,CODIFICACION!$F$2:$F$500,0))="sin dato","",INDEX(CODIFICACION!$E$2:$E$500,MATCH("D6.24|"&amp;CC23,CODIFICACION!$F$2:$F$500,0))),"⚠"))</f>
        <v/>
      </c>
      <c r="AY23" t="str">
        <f ca="1">IF(CD23="","",IFERROR(IF(INDEX(CODIFICACION!$E$2:$E$500,MATCH("D6.25|"&amp;CD23,CODIFICACION!$F$2:$F$500,0))="sin dato","",INDEX(CODIFICACION!$E$2:$E$500,MATCH("D6.25|"&amp;CD23,CODIFICACION!$F$2:$F$500,0))),"⚠"))</f>
        <v/>
      </c>
      <c r="AZ23" t="str">
        <f>IF(CE23="","",IFERROR(IF(INDEX(CODIFICACION!$E$2:$E$500,MATCH("D6.25a|"&amp;CE23,CODIFICACION!$F$2:$F$500,0))="sin dato","",INDEX(CODIFICACION!$E$2:$E$500,MATCH("D6.25a|"&amp;CE23,CODIFICACION!$F$2:$F$500,0))),"⚠"))</f>
        <v/>
      </c>
      <c r="BA23" t="str">
        <f>IF(CF23="","",IFERROR(IF(INDEX(CODIFICACION!$E$2:$E$500,MATCH("D6.25b|"&amp;CF23,CODIFICACION!$F$2:$F$500,0))="sin dato","",INDEX(CODIFICACION!$E$2:$E$500,MATCH("D6.25b|"&amp;CF23,CODIFICACION!$F$2:$F$500,0))),"⚠"))</f>
        <v/>
      </c>
      <c r="BB23" t="str">
        <f ca="1">IF(CG23="","",IFERROR(IF(INDEX(CODIFICACION!$E$2:$E$500,MATCH("D6.22c|"&amp;CG23,CODIFICACION!$F$2:$F$500,0))="sin dato","",INDEX(CODIFICACION!$E$2:$E$500,MATCH("D6.22c|"&amp;CG23,CODIFICACION!$F$2:$F$500,0))),"⚠"))</f>
        <v/>
      </c>
      <c r="BC23" t="str">
        <f ca="1">IF(CH23="","",IFERROR(IF(INDEX(CODIFICACION!$E$2:$E$500,MATCH("D7.26|"&amp;CH23,CODIFICACION!$F$2:$F$500,0))="sin dato","",INDEX(CODIFICACION!$E$2:$E$500,MATCH("D7.26|"&amp;CH23,CODIFICACION!$F$2:$F$500,0))),"⚠"))</f>
        <v/>
      </c>
      <c r="BD23" t="str">
        <f>IF(CI23="","",IFERROR(IF(INDEX(CODIFICACION!$E$2:$E$500,MATCH("D7.27|"&amp;CI23,CODIFICACION!$F$2:$F$500,0))="sin dato","",INDEX(CODIFICACION!$E$2:$E$500,MATCH("D7.27|"&amp;CI23,CODIFICACION!$F$2:$F$500,0))),"⚠"))</f>
        <v/>
      </c>
      <c r="BE23" t="str">
        <f>IF(CJ23="","",IFERROR(IF(INDEX(CODIFICACION!$E$2:$E$500,MATCH("D7.28|"&amp;CJ23,CODIFICACION!$F$2:$F$500,0))="sin dato","",INDEX(CODIFICACION!$E$2:$E$500,MATCH("D7.28|"&amp;CJ23,CODIFICACION!$F$2:$F$500,0))),"⚠"))</f>
        <v/>
      </c>
      <c r="BF23" t="str">
        <f>IF(CK23="","",IFERROR(IF(INDEX(CODIFICACION!$E$2:$E$500,MATCH("D7.28b|"&amp;CK23,CODIFICACION!$F$2:$F$500,0))="sin dato","",INDEX(CODIFICACION!$E$2:$E$500,MATCH("D7.28b|"&amp;CK23,CODIFICACION!$F$2:$F$500,0))),"⚠"))</f>
        <v/>
      </c>
      <c r="BG23" t="str">
        <f t="shared" si="10"/>
        <v/>
      </c>
      <c r="BH23" t="str">
        <f>IF(CM23="","",IFERROR(IF(INDEX(CODIFICACION!$E$2:$E$500,MATCH("D7.26a|"&amp;CM23,CODIFICACION!$F$2:$F$500,0))="sin dato","",INDEX(CODIFICACION!$E$2:$E$500,MATCH("D7.26a|"&amp;CM23,CODIFICACION!$F$2:$F$500,0))),"⚠"))</f>
        <v/>
      </c>
      <c r="BI23" t="str">
        <f>IF(CN23="","",IFERROR(IF(INDEX(CODIFICACION!$E$2:$E$500,MATCH("D7.26b|"&amp;CN23,CODIFICACION!$F$2:$F$500,0))="sin dato","",INDEX(CODIFICACION!$E$2:$E$500,MATCH("D7.26b|"&amp;CN23,CODIFICACION!$F$2:$F$500,0))),"⚠"))</f>
        <v/>
      </c>
      <c r="BJ23" t="str">
        <f t="shared" si="11"/>
        <v/>
      </c>
      <c r="BK23" t="str">
        <f t="shared" si="12"/>
        <v/>
      </c>
      <c r="BL23" t="str">
        <f>IF(CQ23="","",IFERROR(IF(INDEX(CODIFICACION!$E$2:$E$500,MATCH("D8.31|"&amp;CQ23,CODIFICACION!$F$2:$F$500,0))="sin dato","",INDEX(CODIFICACION!$E$2:$E$500,MATCH("D8.31|"&amp;CQ23,CODIFICACION!$F$2:$F$500,0))),"⚠"))</f>
        <v/>
      </c>
      <c r="BM23" t="str">
        <f>IF(CR23="","",IFERROR(IF(INDEX(CODIFICACION!$E$2:$E$500,MATCH("D8.32|"&amp;CR23,CODIFICACION!$F$2:$F$500,0))="sin dato","",INDEX(CODIFICACION!$E$2:$E$500,MATCH("D8.32|"&amp;CR23,CODIFICACION!$F$2:$F$500,0))),"⚠"))</f>
        <v/>
      </c>
      <c r="BN23" t="str">
        <f>IF(CS23="","",IFERROR(IF(INDEX(CODIFICACION!$E$2:$E$500,MATCH("D9.33|"&amp;CS23,CODIFICACION!$F$2:$F$500,0))="sin dato","",INDEX(CODIFICACION!$E$2:$E$500,MATCH("D9.33|"&amp;CS23,CODIFICACION!$F$2:$F$500,0))),"⚠"))</f>
        <v/>
      </c>
      <c r="BO23" t="str">
        <f>IF(CT23="","",IFERROR(IF(INDEX(CODIFICACION!$E$2:$E$500,MATCH("D9.34|"&amp;CT23,CODIFICACION!$F$2:$F$500,0))="sin dato","",INDEX(CODIFICACION!$E$2:$E$500,MATCH("D9.34|"&amp;CT23,CODIFICACION!$F$2:$F$500,0))),"⚠"))</f>
        <v/>
      </c>
      <c r="BP23" t="str">
        <f>IF(CU23="","",IFERROR(IF(INDEX(CODIFICACION!$E$2:$E$500,MATCH("D9.35|"&amp;CU23,CODIFICACION!$F$2:$F$500,0))="sin dato","",INDEX(CODIFICACION!$E$2:$E$500,MATCH("D9.35|"&amp;CU23,CODIFICACION!$F$2:$F$500,0))),"⚠"))</f>
        <v/>
      </c>
      <c r="BQ23" t="str">
        <f>IF(CV23="","",IFERROR(IF(INDEX(CODIFICACION!$E$2:$E$500,MATCH("D10.36|"&amp;CV23,CODIFICACION!$F$2:$F$500,0))="sin dato","",INDEX(CODIFICACION!$E$2:$E$500,MATCH("D10.36|"&amp;CV23,CODIFICACION!$F$2:$F$500,0))),"⚠"))</f>
        <v/>
      </c>
      <c r="BR23" t="str">
        <f>IF(CW23="","",IFERROR(IF(INDEX(CODIFICACION!$E$2:$E$500,MATCH("D10.37|"&amp;CW23,CODIFICACION!$F$2:$F$500,0))="sin dato","",INDEX(CODIFICACION!$E$2:$E$500,MATCH("D10.37|"&amp;CW23,CODIFICACION!$F$2:$F$500,0))),"⚠"))</f>
        <v/>
      </c>
      <c r="BS23" t="str">
        <f>IF(CX23="","",IFERROR(IF(INDEX(CODIFICACION!$E$2:$E$500,MATCH("D10.36a|"&amp;CX23,CODIFICACION!$F$2:$F$500,0))="sin dato","",INDEX(CODIFICACION!$E$2:$E$500,MATCH("D10.36a|"&amp;CX23,CODIFICACION!$F$2:$F$500,0))),"⚠"))</f>
        <v/>
      </c>
      <c r="BT23" t="str">
        <f t="shared" si="13"/>
        <v/>
      </c>
      <c r="BU23" t="str">
        <f>IF(DA23="","",IFERROR(IF(INDEX(CODIFICACION!$E$2:$E$500,MATCH("D11.39a|"&amp;DA23,CODIFICACION!$F$2:$F$500,0))="sin dato","",INDEX(CODIFICACION!$E$2:$E$500,MATCH("D11.39a|"&amp;DA23,CODIFICACION!$F$2:$F$500,0))),"⚠"))</f>
        <v/>
      </c>
      <c r="BV23" t="str">
        <f>IF(DB23="","",IFERROR(IF(INDEX(CODIFICACION!$E$2:$E$500,MATCH("D12.42|"&amp;DB23,CODIFICACION!$F$2:$F$500,0))="sin dato","",INDEX(CODIFICACION!$E$2:$E$500,MATCH("D12.42|"&amp;DB23,CODIFICACION!$F$2:$F$500,0))),"⚠"))</f>
        <v/>
      </c>
      <c r="BW23" t="str">
        <f>IF(DC23="","",IFERROR(IF(INDEX(CODIFICACION!$E$2:$E$500,MATCH("D13.45|"&amp;DC23,CODIFICACION!$F$2:$F$500,0))="sin dato","",INDEX(CODIFICACION!$E$2:$E$500,MATCH("D13.45|"&amp;DC23,CODIFICACION!$F$2:$F$500,0))),"⚠"))</f>
        <v/>
      </c>
      <c r="BX23" t="str">
        <f>IF(DD23="","",IFERROR(IF(INDEX(CODIFICACION!$E$2:$E$500,MATCH("D14.51|"&amp;DD23,CODIFICACION!$F$2:$F$500,0))="sin dato","",INDEX(CODIFICACION!$E$2:$E$500,MATCH("D14.51|"&amp;DD23,CODIFICACION!$F$2:$F$500,0))),"⚠"))</f>
        <v/>
      </c>
      <c r="BY23" t="str">
        <f>IF(DE23="","",IFERROR(IF(INDEX(CODIFICACION!$E$2:$E$500,MATCH("D15.58|"&amp;DE23,CODIFICACION!$F$2:$F$500,0))="sin dato","",INDEX(CODIFICACION!$E$2:$E$500,MATCH("D15.58|"&amp;DE23,CODIFICACION!$F$2:$F$500,0))),"⚠"))</f>
        <v/>
      </c>
      <c r="BZ23" t="str">
        <f>IF(DF23="","",IFERROR(IF(INDEX(CODIFICACION!$E$2:$E$500,MATCH("PP1|"&amp;DF23,CODIFICACION!$F$2:$F$500,0))="sin dato","",INDEX(CODIFICACION!$E$2:$E$500,MATCH("PP1|"&amp;DF23,CODIFICACION!$F$2:$F$500,0))),"⚠"))</f>
        <v/>
      </c>
      <c r="CA23" t="str">
        <f>IF(DG23="","",IFERROR(IF(INDEX(CODIFICACION!$E$2:$E$500,MATCH("PP2|"&amp;DG23,CODIFICACION!$F$2:$F$500,0))="sin dato","",INDEX(CODIFICACION!$E$2:$E$500,MATCH("PP2|"&amp;DG23,CODIFICACION!$F$2:$F$500,0))),"⚠"))</f>
        <v/>
      </c>
      <c r="CB23" t="str">
        <f t="shared" si="14"/>
        <v/>
      </c>
      <c r="CC23" t="str">
        <f t="shared" ca="1" si="15"/>
        <v/>
      </c>
      <c r="CD23" t="str">
        <f t="shared" ca="1" si="16"/>
        <v/>
      </c>
      <c r="CE23" t="str">
        <f t="shared" si="17"/>
        <v/>
      </c>
      <c r="CF23" t="str">
        <f t="shared" si="18"/>
        <v/>
      </c>
      <c r="CG23" t="str">
        <f t="shared" ca="1" si="19"/>
        <v/>
      </c>
      <c r="CH23" t="str">
        <f t="shared" ca="1" si="20"/>
        <v/>
      </c>
      <c r="CI23" t="str">
        <f t="shared" si="21"/>
        <v/>
      </c>
      <c r="CJ23" t="str">
        <f t="shared" si="22"/>
        <v/>
      </c>
      <c r="CK23" t="str">
        <f t="shared" si="23"/>
        <v/>
      </c>
      <c r="CL23" t="str">
        <f t="shared" si="24"/>
        <v/>
      </c>
    </row>
    <row r="24" spans="1:90" x14ac:dyDescent="0.3">
      <c r="A24">
        <f>CAPTURA!A24</f>
        <v>20393593670</v>
      </c>
      <c r="B24">
        <f>CAPTURA!C24</f>
        <v>0</v>
      </c>
      <c r="C24" t="str">
        <f t="shared" si="0"/>
        <v/>
      </c>
      <c r="D24" t="str">
        <f>IF(AE24="","",IFERROR(IF(INDEX(CODIFICACION!$E$2:$E$500,MATCH("P8|"&amp;AE24,CODIFICACION!$F$2:$F$500,0))="sin dato","",INDEX(CODIFICACION!$E$2:$E$500,MATCH("P8|"&amp;AE24,CODIFICACION!$F$2:$F$500,0))),"⚠"))</f>
        <v/>
      </c>
      <c r="E24" t="str">
        <f>IF(AG24="","",IFERROR(IF(INDEX(CODIFICACION!$E$2:$E$500,MATCH("P10|"&amp;AG24,CODIFICACION!$F$2:$F$500,0))="sin dato","",INDEX(CODIFICACION!$E$2:$E$500,MATCH("P10|"&amp;AG24,CODIFICACION!$F$2:$F$500,0))),"⚠"))</f>
        <v/>
      </c>
      <c r="F24" t="str">
        <f>IF(AJ24="","",IFERROR(IF(INDEX(CODIFICACION!$E$2:$E$500,MATCH("P13|"&amp;AJ24,CODIFICACION!$F$2:$F$500,0))="sin dato","",INDEX(CODIFICACION!$E$2:$E$500,MATCH("P13|"&amp;AJ24,CODIFICACION!$F$2:$F$500,0))),"⚠"))</f>
        <v/>
      </c>
      <c r="G24" t="str">
        <f>IF(AK24="","",IFERROR(IF(INDEX(CODIFICACION!$E$2:$E$500,MATCH("P14|"&amp;AK24,CODIFICACION!$F$2:$F$500,0))="sin dato","",INDEX(CODIFICACION!$E$2:$E$500,MATCH("P14|"&amp;AK24,CODIFICACION!$F$2:$F$500,0))),"⚠"))</f>
        <v/>
      </c>
      <c r="H24" t="str">
        <f>IF(AL24="","",IFERROR(IF(INDEX(CODIFICACION!$E$2:$E$500,MATCH("D1.1|"&amp;AL24,CODIFICACION!$F$2:$F$500,0))="sin dato","",INDEX(CODIFICACION!$E$2:$E$500,MATCH("D1.1|"&amp;AL24,CODIFICACION!$F$2:$F$500,0))),"⚠"))</f>
        <v/>
      </c>
      <c r="I24" t="str">
        <f>IF(AN24="","",IFERROR(IF(INDEX(CODIFICACION!$E$2:$E$500,MATCH("D1.3|"&amp;AN24,CODIFICACION!$F$2:$F$500,0))="sin dato","",INDEX(CODIFICACION!$E$2:$E$500,MATCH("D1.3|"&amp;AN24,CODIFICACION!$F$2:$F$500,0))),"⚠"))</f>
        <v/>
      </c>
      <c r="J24" t="str">
        <f>IF(AO24="","",IFERROR(IF(INDEX(CODIFICACION!$E$2:$E$500,MATCH("D1.4|"&amp;AO24,CODIFICACION!$F$2:$F$500,0))="sin dato","",INDEX(CODIFICACION!$E$2:$E$500,MATCH("D1.4|"&amp;AO24,CODIFICACION!$F$2:$F$500,0))),"⚠"))</f>
        <v/>
      </c>
      <c r="K24" t="str">
        <f>IF(AP24="","",IFERROR(IF(INDEX(CODIFICACION!$E$2:$E$500,MATCH("D1.3a|"&amp;AP24,CODIFICACION!$F$2:$F$500,0))="sin dato","",INDEX(CODIFICACION!$E$2:$E$500,MATCH("D1.3a|"&amp;AP24,CODIFICACION!$F$2:$F$500,0))),"⚠"))</f>
        <v/>
      </c>
      <c r="L24" t="str">
        <f t="shared" si="1"/>
        <v/>
      </c>
      <c r="M24" t="str">
        <f t="shared" si="2"/>
        <v/>
      </c>
      <c r="N24" t="str">
        <f t="shared" si="3"/>
        <v/>
      </c>
      <c r="O24" t="str">
        <f>IF(AT24="","",IFERROR(IF(INDEX(CODIFICACION!$E$2:$E$500,MATCH("D2.8|"&amp;AT24,CODIFICACION!$F$2:$F$500,0))="sin dato","",INDEX(CODIFICACION!$E$2:$E$500,MATCH("D2.8|"&amp;AT24,CODIFICACION!$F$2:$F$500,0))),"⚠"))</f>
        <v/>
      </c>
      <c r="P24" t="str">
        <f>IF(AU24="","",IFERROR(IF(INDEX(CODIFICACION!$E$2:$E$500,MATCH("D2.9|"&amp;AU24,CODIFICACION!$F$2:$F$500,0))="sin dato","",INDEX(CODIFICACION!$E$2:$E$500,MATCH("D2.9|"&amp;AU24,CODIFICACION!$F$2:$F$500,0))),"⚠"))</f>
        <v/>
      </c>
      <c r="Q24" t="str">
        <f>IF(AV24="","",IFERROR(IF(INDEX(CODIFICACION!$E$2:$E$500,MATCH("D2.10|"&amp;AV24,CODIFICACION!$F$2:$F$500,0))="sin dato","",INDEX(CODIFICACION!$E$2:$E$500,MATCH("D2.10|"&amp;AV24,CODIFICACION!$F$2:$F$500,0))),"⚠"))</f>
        <v/>
      </c>
      <c r="R24" t="str">
        <f>IF(AW24="","",IFERROR(IF(INDEX(CODIFICACION!$E$2:$E$500,MATCH("D2.5a|"&amp;AW24,CODIFICACION!$F$2:$F$500,0))="sin dato","",INDEX(CODIFICACION!$E$2:$E$500,MATCH("D2.5a|"&amp;AW24,CODIFICACION!$F$2:$F$500,0))),"⚠"))</f>
        <v/>
      </c>
      <c r="S24" t="str">
        <f ca="1">IF(AX24="","",IFERROR(IF(INDEX(CODIFICACION!$E$2:$E$500,MATCH("D2.5b|"&amp;AX24,CODIFICACION!$F$2:$F$500,0))="sin dato","",INDEX(CODIFICACION!$E$2:$E$500,MATCH("D2.5b|"&amp;AX24,CODIFICACION!$F$2:$F$500,0))),"⚠"))</f>
        <v/>
      </c>
      <c r="T24" t="str">
        <f t="shared" ca="1" si="4"/>
        <v/>
      </c>
      <c r="U24" t="str">
        <f>IF(AZ24="","",IFERROR(IF(INDEX(CODIFICACION!$E$2:$E$500,MATCH("D3.12|"&amp;AZ24,CODIFICACION!$F$2:$F$500,0))="sin dato","",INDEX(CODIFICACION!$E$2:$E$500,MATCH("D3.12|"&amp;AZ24,CODIFICACION!$F$2:$F$500,0))),"⚠"))</f>
        <v/>
      </c>
      <c r="V24" t="str">
        <f t="shared" si="5"/>
        <v/>
      </c>
      <c r="W24" t="str">
        <f ca="1">IF(BB24="","",IFERROR(IF(INDEX(CODIFICACION!$E$2:$E$500,MATCH("D3.14|"&amp;BB24,CODIFICACION!$F$2:$F$500,0))="sin dato","",INDEX(CODIFICACION!$E$2:$E$500,MATCH("D3.14|"&amp;BB24,CODIFICACION!$F$2:$F$500,0))),"⚠"))</f>
        <v/>
      </c>
      <c r="X24" t="str">
        <f ca="1">IF(BC24="","",IFERROR(IF(INDEX(CODIFICACION!$E$2:$E$500,MATCH("D3.14a|"&amp;BC24,CODIFICACION!$F$2:$F$500,0))="sin dato","",INDEX(CODIFICACION!$E$2:$E$500,MATCH("D3.14a|"&amp;BC24,CODIFICACION!$F$2:$F$500,0))),"⚠"))</f>
        <v/>
      </c>
      <c r="Y24" t="str">
        <f>IF(BD24="","",IFERROR(IF(INDEX(CODIFICACION!$E$2:$E$500,MATCH("D3.14b|"&amp;BD24,CODIFICACION!$F$2:$F$500,0))="sin dato","",INDEX(CODIFICACION!$E$2:$E$500,MATCH("D3.14b|"&amp;BD24,CODIFICACION!$F$2:$F$500,0))),"⚠"))</f>
        <v/>
      </c>
      <c r="Z24" t="str">
        <f>IF(BE24="","",IFERROR(IF(INDEX(CODIFICACION!$E$2:$E$500,MATCH("D3.14c|"&amp;BE24,CODIFICACION!$F$2:$F$500,0))="sin dato","",INDEX(CODIFICACION!$E$2:$E$500,MATCH("D3.14c|"&amp;BE24,CODIFICACION!$F$2:$F$500,0))),"⚠"))</f>
        <v/>
      </c>
      <c r="AA24" t="str">
        <f>IF(BF24="","",IFERROR(IF(INDEX(CODIFICACION!$E$2:$E$500,MATCH("D3.14d|"&amp;BF24,CODIFICACION!$F$2:$F$500,0))="sin dato","",INDEX(CODIFICACION!$E$2:$E$500,MATCH("D3.14d|"&amp;BF24,CODIFICACION!$F$2:$F$500,0))),"⚠"))</f>
        <v/>
      </c>
      <c r="AB24" t="str">
        <f>IF(BG24="","",IFERROR(IF(INDEX(CODIFICACION!$E$2:$E$500,MATCH("D3.14e|"&amp;BG24,CODIFICACION!$F$2:$F$500,0))="sin dato","",INDEX(CODIFICACION!$E$2:$E$500,MATCH("D3.14e|"&amp;BG24,CODIFICACION!$F$2:$F$500,0))),"⚠"))</f>
        <v/>
      </c>
      <c r="AC24" t="str">
        <f>IF(BH24="","",IFERROR(IF(INDEX(CODIFICACION!$E$2:$E$500,MATCH("D3.14f|"&amp;BH24,CODIFICACION!$F$2:$F$500,0))="sin dato","",INDEX(CODIFICACION!$E$2:$E$500,MATCH("D3.14f|"&amp;BH24,CODIFICACION!$F$2:$F$500,0))),"⚠"))</f>
        <v/>
      </c>
      <c r="AD24" t="str">
        <f>IF(BI24="","",IFERROR(IF(INDEX(CODIFICACION!$E$2:$E$500,MATCH("D3.14g|"&amp;BI24,CODIFICACION!$F$2:$F$500,0))="sin dato","",INDEX(CODIFICACION!$E$2:$E$500,MATCH("D3.14g|"&amp;BI24,CODIFICACION!$F$2:$F$500,0))),"⚠"))</f>
        <v/>
      </c>
      <c r="AE24" t="str">
        <f>IF(BJ24="","",IFERROR(IF(INDEX(CODIFICACION!$E$2:$E$500,MATCH("D3.14h|"&amp;BJ24,CODIFICACION!$F$2:$F$500,0))="sin dato","",INDEX(CODIFICACION!$E$2:$E$500,MATCH("D3.14h|"&amp;BJ24,CODIFICACION!$F$2:$F$500,0))),"⚠"))</f>
        <v/>
      </c>
      <c r="AF24" t="str">
        <f>IF(BK24="","",IFERROR(IF(INDEX(CODIFICACION!$E$2:$E$500,MATCH("D3.14i|"&amp;BK24,CODIFICACION!$F$2:$F$500,0))="sin dato","",INDEX(CODIFICACION!$E$2:$E$500,MATCH("D3.14i|"&amp;BK24,CODIFICACION!$F$2:$F$500,0))),"⚠"))</f>
        <v/>
      </c>
      <c r="AG24" t="str">
        <f>IF(BL24="","",IFERROR(IF(INDEX(CODIFICACION!$E$2:$E$500,MATCH("D4.15|"&amp;BL24,CODIFICACION!$F$2:$F$500,0))="sin dato","",INDEX(CODIFICACION!$E$2:$E$500,MATCH("D4.15|"&amp;BL24,CODIFICACION!$F$2:$F$500,0))),"⚠"))</f>
        <v/>
      </c>
      <c r="AH24" t="str">
        <f t="shared" si="6"/>
        <v/>
      </c>
      <c r="AI24" t="str">
        <f>IF(BN24="","",IFERROR(IF(INDEX(CODIFICACION!$E$2:$E$500,MATCH("D4.17|"&amp;BN24,CODIFICACION!$F$2:$F$500,0))="sin dato","",INDEX(CODIFICACION!$E$2:$E$500,MATCH("D4.17|"&amp;BN24,CODIFICACION!$F$2:$F$500,0))),"⚠"))</f>
        <v/>
      </c>
      <c r="AJ24" t="str">
        <f>IF(BO24="","",IFERROR(IF(INDEX(CODIFICACION!$E$2:$E$500,MATCH("D4.15a|"&amp;BO24,CODIFICACION!$F$2:$F$500,0))="sin dato","",INDEX(CODIFICACION!$E$2:$E$500,MATCH("D4.15a|"&amp;BO24,CODIFICACION!$F$2:$F$500,0))),"⚠"))</f>
        <v/>
      </c>
      <c r="AK24" t="str">
        <f t="shared" si="7"/>
        <v/>
      </c>
      <c r="AL24" t="str">
        <f t="shared" si="8"/>
        <v/>
      </c>
      <c r="AM24" t="str">
        <f>IF(BR24="","",IFERROR(IF(INDEX(CODIFICACION!$E$2:$E$500,MATCH("D5.18b|"&amp;BR24,CODIFICACION!$F$2:$F$500,0))="sin dato","",INDEX(CODIFICACION!$E$2:$E$500,MATCH("D5.18b|"&amp;BR24,CODIFICACION!$F$2:$F$500,0))),"⚠"))</f>
        <v/>
      </c>
      <c r="AN24" t="str">
        <f>IF(BS24="","",IFERROR(IF(INDEX(CODIFICACION!$E$2:$E$500,MATCH("D5.19|"&amp;BS24,CODIFICACION!$F$2:$F$500,0))="sin dato","",INDEX(CODIFICACION!$E$2:$E$500,MATCH("D5.19|"&amp;BS24,CODIFICACION!$F$2:$F$500,0))),"⚠"))</f>
        <v/>
      </c>
      <c r="AO24" t="str">
        <f t="shared" si="9"/>
        <v/>
      </c>
      <c r="AP24" t="str">
        <f>IF(BU24="","",IFERROR(IF(INDEX(CODIFICACION!$E$2:$E$500,MATCH("D5.20|"&amp;BU24,CODIFICACION!$F$2:$F$500,0))="sin dato","",INDEX(CODIFICACION!$E$2:$E$500,MATCH("D5.20|"&amp;BU24,CODIFICACION!$F$2:$F$500,0))),"⚠"))</f>
        <v/>
      </c>
      <c r="AQ24" t="str">
        <f>IF(BV24="","",IFERROR(IF(INDEX(CODIFICACION!$E$2:$E$500,MATCH("D5.21|"&amp;BV24,CODIFICACION!$F$2:$F$500,0))="sin dato","",INDEX(CODIFICACION!$E$2:$E$500,MATCH("D5.21|"&amp;BV24,CODIFICACION!$F$2:$F$500,0))),"⚠"))</f>
        <v/>
      </c>
      <c r="AR24" t="str">
        <f>IF(BW24="","",IFERROR(IF(INDEX(CODIFICACION!$E$2:$E$500,MATCH("D5.21a|"&amp;BW24,CODIFICACION!$F$2:$F$500,0))="sin dato","",INDEX(CODIFICACION!$E$2:$E$500,MATCH("D5.21a|"&amp;BW24,CODIFICACION!$F$2:$F$500,0))),"⚠"))</f>
        <v/>
      </c>
      <c r="AS24" t="str">
        <f>IF(BX24="","",IFERROR(IF(INDEX(CODIFICACION!$E$2:$E$500,MATCH("D5.21b|"&amp;BX24,CODIFICACION!$F$2:$F$500,0))="sin dato","",INDEX(CODIFICACION!$E$2:$E$500,MATCH("D5.21b|"&amp;BX24,CODIFICACION!$F$2:$F$500,0))),"⚠"))</f>
        <v/>
      </c>
      <c r="AT24" t="str">
        <f>IF(BY24="","",IFERROR(IF(INDEX(CODIFICACION!$E$2:$E$500,MATCH("D6.22|"&amp;BY24,CODIFICACION!$F$2:$F$500,0))="sin dato","",INDEX(CODIFICACION!$E$2:$E$500,MATCH("D6.22|"&amp;BY24,CODIFICACION!$F$2:$F$500,0))),"⚠"))</f>
        <v/>
      </c>
      <c r="AU24" t="str">
        <f>IF(BZ24="","",IFERROR(IF(INDEX(CODIFICACION!$E$2:$E$500,MATCH("D6.22a|"&amp;BZ24,CODIFICACION!$F$2:$F$500,0))="sin dato","",INDEX(CODIFICACION!$E$2:$E$500,MATCH("D6.22a|"&amp;BZ24,CODIFICACION!$F$2:$F$500,0))),"⚠"))</f>
        <v/>
      </c>
      <c r="AV24" t="str">
        <f>IF(CA24="","",IFERROR(IF(INDEX(CODIFICACION!$E$2:$E$500,MATCH("D6.22b|"&amp;CA24,CODIFICACION!$F$2:$F$500,0))="sin dato","",INDEX(CODIFICACION!$E$2:$E$500,MATCH("D6.22b|"&amp;CA24,CODIFICACION!$F$2:$F$500,0))),"⚠"))</f>
        <v/>
      </c>
      <c r="AW24" t="str">
        <f>IF(CB24="","",IFERROR(IF(INDEX(CODIFICACION!$E$2:$E$500,MATCH("D6.23|"&amp;CB24,CODIFICACION!$F$2:$F$500,0))="sin dato","",INDEX(CODIFICACION!$E$2:$E$500,MATCH("D6.23|"&amp;CB24,CODIFICACION!$F$2:$F$500,0))),"⚠"))</f>
        <v/>
      </c>
      <c r="AX24" t="str">
        <f ca="1">IF(CC24="","",IFERROR(IF(INDEX(CODIFICACION!$E$2:$E$500,MATCH("D6.24|"&amp;CC24,CODIFICACION!$F$2:$F$500,0))="sin dato","",INDEX(CODIFICACION!$E$2:$E$500,MATCH("D6.24|"&amp;CC24,CODIFICACION!$F$2:$F$500,0))),"⚠"))</f>
        <v/>
      </c>
      <c r="AY24" t="str">
        <f ca="1">IF(CD24="","",IFERROR(IF(INDEX(CODIFICACION!$E$2:$E$500,MATCH("D6.25|"&amp;CD24,CODIFICACION!$F$2:$F$500,0))="sin dato","",INDEX(CODIFICACION!$E$2:$E$500,MATCH("D6.25|"&amp;CD24,CODIFICACION!$F$2:$F$500,0))),"⚠"))</f>
        <v/>
      </c>
      <c r="AZ24" t="str">
        <f>IF(CE24="","",IFERROR(IF(INDEX(CODIFICACION!$E$2:$E$500,MATCH("D6.25a|"&amp;CE24,CODIFICACION!$F$2:$F$500,0))="sin dato","",INDEX(CODIFICACION!$E$2:$E$500,MATCH("D6.25a|"&amp;CE24,CODIFICACION!$F$2:$F$500,0))),"⚠"))</f>
        <v/>
      </c>
      <c r="BA24" t="str">
        <f>IF(CF24="","",IFERROR(IF(INDEX(CODIFICACION!$E$2:$E$500,MATCH("D6.25b|"&amp;CF24,CODIFICACION!$F$2:$F$500,0))="sin dato","",INDEX(CODIFICACION!$E$2:$E$500,MATCH("D6.25b|"&amp;CF24,CODIFICACION!$F$2:$F$500,0))),"⚠"))</f>
        <v/>
      </c>
      <c r="BB24" t="str">
        <f ca="1">IF(CG24="","",IFERROR(IF(INDEX(CODIFICACION!$E$2:$E$500,MATCH("D6.22c|"&amp;CG24,CODIFICACION!$F$2:$F$500,0))="sin dato","",INDEX(CODIFICACION!$E$2:$E$500,MATCH("D6.22c|"&amp;CG24,CODIFICACION!$F$2:$F$500,0))),"⚠"))</f>
        <v/>
      </c>
      <c r="BC24" t="str">
        <f ca="1">IF(CH24="","",IFERROR(IF(INDEX(CODIFICACION!$E$2:$E$500,MATCH("D7.26|"&amp;CH24,CODIFICACION!$F$2:$F$500,0))="sin dato","",INDEX(CODIFICACION!$E$2:$E$500,MATCH("D7.26|"&amp;CH24,CODIFICACION!$F$2:$F$500,0))),"⚠"))</f>
        <v/>
      </c>
      <c r="BD24" t="str">
        <f>IF(CI24="","",IFERROR(IF(INDEX(CODIFICACION!$E$2:$E$500,MATCH("D7.27|"&amp;CI24,CODIFICACION!$F$2:$F$500,0))="sin dato","",INDEX(CODIFICACION!$E$2:$E$500,MATCH("D7.27|"&amp;CI24,CODIFICACION!$F$2:$F$500,0))),"⚠"))</f>
        <v/>
      </c>
      <c r="BE24" t="str">
        <f>IF(CJ24="","",IFERROR(IF(INDEX(CODIFICACION!$E$2:$E$500,MATCH("D7.28|"&amp;CJ24,CODIFICACION!$F$2:$F$500,0))="sin dato","",INDEX(CODIFICACION!$E$2:$E$500,MATCH("D7.28|"&amp;CJ24,CODIFICACION!$F$2:$F$500,0))),"⚠"))</f>
        <v/>
      </c>
      <c r="BF24" t="str">
        <f>IF(CK24="","",IFERROR(IF(INDEX(CODIFICACION!$E$2:$E$500,MATCH("D7.28b|"&amp;CK24,CODIFICACION!$F$2:$F$500,0))="sin dato","",INDEX(CODIFICACION!$E$2:$E$500,MATCH("D7.28b|"&amp;CK24,CODIFICACION!$F$2:$F$500,0))),"⚠"))</f>
        <v/>
      </c>
      <c r="BG24" t="str">
        <f t="shared" si="10"/>
        <v/>
      </c>
      <c r="BH24" t="str">
        <f>IF(CM24="","",IFERROR(IF(INDEX(CODIFICACION!$E$2:$E$500,MATCH("D7.26a|"&amp;CM24,CODIFICACION!$F$2:$F$500,0))="sin dato","",INDEX(CODIFICACION!$E$2:$E$500,MATCH("D7.26a|"&amp;CM24,CODIFICACION!$F$2:$F$500,0))),"⚠"))</f>
        <v/>
      </c>
      <c r="BI24" t="str">
        <f>IF(CN24="","",IFERROR(IF(INDEX(CODIFICACION!$E$2:$E$500,MATCH("D7.26b|"&amp;CN24,CODIFICACION!$F$2:$F$500,0))="sin dato","",INDEX(CODIFICACION!$E$2:$E$500,MATCH("D7.26b|"&amp;CN24,CODIFICACION!$F$2:$F$500,0))),"⚠"))</f>
        <v/>
      </c>
      <c r="BJ24" t="str">
        <f t="shared" si="11"/>
        <v/>
      </c>
      <c r="BK24" t="str">
        <f t="shared" si="12"/>
        <v/>
      </c>
      <c r="BL24" t="str">
        <f>IF(CQ24="","",IFERROR(IF(INDEX(CODIFICACION!$E$2:$E$500,MATCH("D8.31|"&amp;CQ24,CODIFICACION!$F$2:$F$500,0))="sin dato","",INDEX(CODIFICACION!$E$2:$E$500,MATCH("D8.31|"&amp;CQ24,CODIFICACION!$F$2:$F$500,0))),"⚠"))</f>
        <v/>
      </c>
      <c r="BM24" t="str">
        <f>IF(CR24="","",IFERROR(IF(INDEX(CODIFICACION!$E$2:$E$500,MATCH("D8.32|"&amp;CR24,CODIFICACION!$F$2:$F$500,0))="sin dato","",INDEX(CODIFICACION!$E$2:$E$500,MATCH("D8.32|"&amp;CR24,CODIFICACION!$F$2:$F$500,0))),"⚠"))</f>
        <v/>
      </c>
      <c r="BN24" t="str">
        <f>IF(CS24="","",IFERROR(IF(INDEX(CODIFICACION!$E$2:$E$500,MATCH("D9.33|"&amp;CS24,CODIFICACION!$F$2:$F$500,0))="sin dato","",INDEX(CODIFICACION!$E$2:$E$500,MATCH("D9.33|"&amp;CS24,CODIFICACION!$F$2:$F$500,0))),"⚠"))</f>
        <v/>
      </c>
      <c r="BO24" t="str">
        <f>IF(CT24="","",IFERROR(IF(INDEX(CODIFICACION!$E$2:$E$500,MATCH("D9.34|"&amp;CT24,CODIFICACION!$F$2:$F$500,0))="sin dato","",INDEX(CODIFICACION!$E$2:$E$500,MATCH("D9.34|"&amp;CT24,CODIFICACION!$F$2:$F$500,0))),"⚠"))</f>
        <v/>
      </c>
      <c r="BP24" t="str">
        <f>IF(CU24="","",IFERROR(IF(INDEX(CODIFICACION!$E$2:$E$500,MATCH("D9.35|"&amp;CU24,CODIFICACION!$F$2:$F$500,0))="sin dato","",INDEX(CODIFICACION!$E$2:$E$500,MATCH("D9.35|"&amp;CU24,CODIFICACION!$F$2:$F$500,0))),"⚠"))</f>
        <v/>
      </c>
      <c r="BQ24" t="str">
        <f>IF(CV24="","",IFERROR(IF(INDEX(CODIFICACION!$E$2:$E$500,MATCH("D10.36|"&amp;CV24,CODIFICACION!$F$2:$F$500,0))="sin dato","",INDEX(CODIFICACION!$E$2:$E$500,MATCH("D10.36|"&amp;CV24,CODIFICACION!$F$2:$F$500,0))),"⚠"))</f>
        <v/>
      </c>
      <c r="BR24" t="str">
        <f>IF(CW24="","",IFERROR(IF(INDEX(CODIFICACION!$E$2:$E$500,MATCH("D10.37|"&amp;CW24,CODIFICACION!$F$2:$F$500,0))="sin dato","",INDEX(CODIFICACION!$E$2:$E$500,MATCH("D10.37|"&amp;CW24,CODIFICACION!$F$2:$F$500,0))),"⚠"))</f>
        <v/>
      </c>
      <c r="BS24" t="str">
        <f>IF(CX24="","",IFERROR(IF(INDEX(CODIFICACION!$E$2:$E$500,MATCH("D10.36a|"&amp;CX24,CODIFICACION!$F$2:$F$500,0))="sin dato","",INDEX(CODIFICACION!$E$2:$E$500,MATCH("D10.36a|"&amp;CX24,CODIFICACION!$F$2:$F$500,0))),"⚠"))</f>
        <v/>
      </c>
      <c r="BT24" t="str">
        <f t="shared" si="13"/>
        <v/>
      </c>
      <c r="BU24" t="str">
        <f>IF(DA24="","",IFERROR(IF(INDEX(CODIFICACION!$E$2:$E$500,MATCH("D11.39a|"&amp;DA24,CODIFICACION!$F$2:$F$500,0))="sin dato","",INDEX(CODIFICACION!$E$2:$E$500,MATCH("D11.39a|"&amp;DA24,CODIFICACION!$F$2:$F$500,0))),"⚠"))</f>
        <v/>
      </c>
      <c r="BV24" t="str">
        <f>IF(DB24="","",IFERROR(IF(INDEX(CODIFICACION!$E$2:$E$500,MATCH("D12.42|"&amp;DB24,CODIFICACION!$F$2:$F$500,0))="sin dato","",INDEX(CODIFICACION!$E$2:$E$500,MATCH("D12.42|"&amp;DB24,CODIFICACION!$F$2:$F$500,0))),"⚠"))</f>
        <v/>
      </c>
      <c r="BW24" t="str">
        <f>IF(DC24="","",IFERROR(IF(INDEX(CODIFICACION!$E$2:$E$500,MATCH("D13.45|"&amp;DC24,CODIFICACION!$F$2:$F$500,0))="sin dato","",INDEX(CODIFICACION!$E$2:$E$500,MATCH("D13.45|"&amp;DC24,CODIFICACION!$F$2:$F$500,0))),"⚠"))</f>
        <v/>
      </c>
      <c r="BX24" t="str">
        <f>IF(DD24="","",IFERROR(IF(INDEX(CODIFICACION!$E$2:$E$500,MATCH("D14.51|"&amp;DD24,CODIFICACION!$F$2:$F$500,0))="sin dato","",INDEX(CODIFICACION!$E$2:$E$500,MATCH("D14.51|"&amp;DD24,CODIFICACION!$F$2:$F$500,0))),"⚠"))</f>
        <v/>
      </c>
      <c r="BY24" t="str">
        <f>IF(DE24="","",IFERROR(IF(INDEX(CODIFICACION!$E$2:$E$500,MATCH("D15.58|"&amp;DE24,CODIFICACION!$F$2:$F$500,0))="sin dato","",INDEX(CODIFICACION!$E$2:$E$500,MATCH("D15.58|"&amp;DE24,CODIFICACION!$F$2:$F$500,0))),"⚠"))</f>
        <v/>
      </c>
      <c r="BZ24" t="str">
        <f>IF(DF24="","",IFERROR(IF(INDEX(CODIFICACION!$E$2:$E$500,MATCH("PP1|"&amp;DF24,CODIFICACION!$F$2:$F$500,0))="sin dato","",INDEX(CODIFICACION!$E$2:$E$500,MATCH("PP1|"&amp;DF24,CODIFICACION!$F$2:$F$500,0))),"⚠"))</f>
        <v/>
      </c>
      <c r="CA24" t="str">
        <f>IF(DG24="","",IFERROR(IF(INDEX(CODIFICACION!$E$2:$E$500,MATCH("PP2|"&amp;DG24,CODIFICACION!$F$2:$F$500,0))="sin dato","",INDEX(CODIFICACION!$E$2:$E$500,MATCH("PP2|"&amp;DG24,CODIFICACION!$F$2:$F$500,0))),"⚠"))</f>
        <v/>
      </c>
      <c r="CB24" t="str">
        <f t="shared" si="14"/>
        <v/>
      </c>
      <c r="CC24" t="str">
        <f t="shared" ca="1" si="15"/>
        <v/>
      </c>
      <c r="CD24" t="str">
        <f t="shared" ca="1" si="16"/>
        <v/>
      </c>
      <c r="CE24" t="str">
        <f t="shared" si="17"/>
        <v/>
      </c>
      <c r="CF24" t="str">
        <f t="shared" si="18"/>
        <v/>
      </c>
      <c r="CG24" t="str">
        <f t="shared" ca="1" si="19"/>
        <v/>
      </c>
      <c r="CH24" t="str">
        <f t="shared" ca="1" si="20"/>
        <v/>
      </c>
      <c r="CI24" t="str">
        <f t="shared" si="21"/>
        <v/>
      </c>
      <c r="CJ24" t="str">
        <f t="shared" si="22"/>
        <v/>
      </c>
      <c r="CK24" t="str">
        <f t="shared" si="23"/>
        <v/>
      </c>
      <c r="CL24" t="str">
        <f t="shared" si="24"/>
        <v/>
      </c>
    </row>
    <row r="25" spans="1:90" x14ac:dyDescent="0.3">
      <c r="A25">
        <f>CAPTURA!A25</f>
        <v>20393692228</v>
      </c>
      <c r="B25">
        <f>CAPTURA!C25</f>
        <v>0</v>
      </c>
      <c r="C25" t="str">
        <f t="shared" si="0"/>
        <v/>
      </c>
      <c r="D25" t="str">
        <f>IF(AE25="","",IFERROR(IF(INDEX(CODIFICACION!$E$2:$E$500,MATCH("P8|"&amp;AE25,CODIFICACION!$F$2:$F$500,0))="sin dato","",INDEX(CODIFICACION!$E$2:$E$500,MATCH("P8|"&amp;AE25,CODIFICACION!$F$2:$F$500,0))),"⚠"))</f>
        <v/>
      </c>
      <c r="E25" t="str">
        <f>IF(AG25="","",IFERROR(IF(INDEX(CODIFICACION!$E$2:$E$500,MATCH("P10|"&amp;AG25,CODIFICACION!$F$2:$F$500,0))="sin dato","",INDEX(CODIFICACION!$E$2:$E$500,MATCH("P10|"&amp;AG25,CODIFICACION!$F$2:$F$500,0))),"⚠"))</f>
        <v/>
      </c>
      <c r="F25" t="str">
        <f>IF(AJ25="","",IFERROR(IF(INDEX(CODIFICACION!$E$2:$E$500,MATCH("P13|"&amp;AJ25,CODIFICACION!$F$2:$F$500,0))="sin dato","",INDEX(CODIFICACION!$E$2:$E$500,MATCH("P13|"&amp;AJ25,CODIFICACION!$F$2:$F$500,0))),"⚠"))</f>
        <v/>
      </c>
      <c r="G25" t="str">
        <f>IF(AK25="","",IFERROR(IF(INDEX(CODIFICACION!$E$2:$E$500,MATCH("P14|"&amp;AK25,CODIFICACION!$F$2:$F$500,0))="sin dato","",INDEX(CODIFICACION!$E$2:$E$500,MATCH("P14|"&amp;AK25,CODIFICACION!$F$2:$F$500,0))),"⚠"))</f>
        <v/>
      </c>
      <c r="H25" t="str">
        <f>IF(AL25="","",IFERROR(IF(INDEX(CODIFICACION!$E$2:$E$500,MATCH("D1.1|"&amp;AL25,CODIFICACION!$F$2:$F$500,0))="sin dato","",INDEX(CODIFICACION!$E$2:$E$500,MATCH("D1.1|"&amp;AL25,CODIFICACION!$F$2:$F$500,0))),"⚠"))</f>
        <v/>
      </c>
      <c r="I25" t="str">
        <f>IF(AN25="","",IFERROR(IF(INDEX(CODIFICACION!$E$2:$E$500,MATCH("D1.3|"&amp;AN25,CODIFICACION!$F$2:$F$500,0))="sin dato","",INDEX(CODIFICACION!$E$2:$E$500,MATCH("D1.3|"&amp;AN25,CODIFICACION!$F$2:$F$500,0))),"⚠"))</f>
        <v/>
      </c>
      <c r="J25" t="str">
        <f>IF(AO25="","",IFERROR(IF(INDEX(CODIFICACION!$E$2:$E$500,MATCH("D1.4|"&amp;AO25,CODIFICACION!$F$2:$F$500,0))="sin dato","",INDEX(CODIFICACION!$E$2:$E$500,MATCH("D1.4|"&amp;AO25,CODIFICACION!$F$2:$F$500,0))),"⚠"))</f>
        <v/>
      </c>
      <c r="K25" t="str">
        <f>IF(AP25="","",IFERROR(IF(INDEX(CODIFICACION!$E$2:$E$500,MATCH("D1.3a|"&amp;AP25,CODIFICACION!$F$2:$F$500,0))="sin dato","",INDEX(CODIFICACION!$E$2:$E$500,MATCH("D1.3a|"&amp;AP25,CODIFICACION!$F$2:$F$500,0))),"⚠"))</f>
        <v/>
      </c>
      <c r="L25" t="str">
        <f t="shared" si="1"/>
        <v/>
      </c>
      <c r="M25" t="str">
        <f t="shared" si="2"/>
        <v/>
      </c>
      <c r="N25" t="str">
        <f t="shared" si="3"/>
        <v/>
      </c>
      <c r="O25" t="str">
        <f>IF(AT25="","",IFERROR(IF(INDEX(CODIFICACION!$E$2:$E$500,MATCH("D2.8|"&amp;AT25,CODIFICACION!$F$2:$F$500,0))="sin dato","",INDEX(CODIFICACION!$E$2:$E$500,MATCH("D2.8|"&amp;AT25,CODIFICACION!$F$2:$F$500,0))),"⚠"))</f>
        <v/>
      </c>
      <c r="P25" t="str">
        <f>IF(AU25="","",IFERROR(IF(INDEX(CODIFICACION!$E$2:$E$500,MATCH("D2.9|"&amp;AU25,CODIFICACION!$F$2:$F$500,0))="sin dato","",INDEX(CODIFICACION!$E$2:$E$500,MATCH("D2.9|"&amp;AU25,CODIFICACION!$F$2:$F$500,0))),"⚠"))</f>
        <v/>
      </c>
      <c r="Q25" t="str">
        <f>IF(AV25="","",IFERROR(IF(INDEX(CODIFICACION!$E$2:$E$500,MATCH("D2.10|"&amp;AV25,CODIFICACION!$F$2:$F$500,0))="sin dato","",INDEX(CODIFICACION!$E$2:$E$500,MATCH("D2.10|"&amp;AV25,CODIFICACION!$F$2:$F$500,0))),"⚠"))</f>
        <v/>
      </c>
      <c r="R25" t="str">
        <f>IF(AW25="","",IFERROR(IF(INDEX(CODIFICACION!$E$2:$E$500,MATCH("D2.5a|"&amp;AW25,CODIFICACION!$F$2:$F$500,0))="sin dato","",INDEX(CODIFICACION!$E$2:$E$500,MATCH("D2.5a|"&amp;AW25,CODIFICACION!$F$2:$F$500,0))),"⚠"))</f>
        <v/>
      </c>
      <c r="S25" t="str">
        <f ca="1">IF(AX25="","",IFERROR(IF(INDEX(CODIFICACION!$E$2:$E$500,MATCH("D2.5b|"&amp;AX25,CODIFICACION!$F$2:$F$500,0))="sin dato","",INDEX(CODIFICACION!$E$2:$E$500,MATCH("D2.5b|"&amp;AX25,CODIFICACION!$F$2:$F$500,0))),"⚠"))</f>
        <v/>
      </c>
      <c r="T25" t="str">
        <f t="shared" ca="1" si="4"/>
        <v/>
      </c>
      <c r="U25" t="str">
        <f>IF(AZ25="","",IFERROR(IF(INDEX(CODIFICACION!$E$2:$E$500,MATCH("D3.12|"&amp;AZ25,CODIFICACION!$F$2:$F$500,0))="sin dato","",INDEX(CODIFICACION!$E$2:$E$500,MATCH("D3.12|"&amp;AZ25,CODIFICACION!$F$2:$F$500,0))),"⚠"))</f>
        <v/>
      </c>
      <c r="V25" t="str">
        <f t="shared" si="5"/>
        <v/>
      </c>
      <c r="W25" t="str">
        <f ca="1">IF(BB25="","",IFERROR(IF(INDEX(CODIFICACION!$E$2:$E$500,MATCH("D3.14|"&amp;BB25,CODIFICACION!$F$2:$F$500,0))="sin dato","",INDEX(CODIFICACION!$E$2:$E$500,MATCH("D3.14|"&amp;BB25,CODIFICACION!$F$2:$F$500,0))),"⚠"))</f>
        <v/>
      </c>
      <c r="X25" t="str">
        <f ca="1">IF(BC25="","",IFERROR(IF(INDEX(CODIFICACION!$E$2:$E$500,MATCH("D3.14a|"&amp;BC25,CODIFICACION!$F$2:$F$500,0))="sin dato","",INDEX(CODIFICACION!$E$2:$E$500,MATCH("D3.14a|"&amp;BC25,CODIFICACION!$F$2:$F$500,0))),"⚠"))</f>
        <v/>
      </c>
      <c r="Y25" t="str">
        <f>IF(BD25="","",IFERROR(IF(INDEX(CODIFICACION!$E$2:$E$500,MATCH("D3.14b|"&amp;BD25,CODIFICACION!$F$2:$F$500,0))="sin dato","",INDEX(CODIFICACION!$E$2:$E$500,MATCH("D3.14b|"&amp;BD25,CODIFICACION!$F$2:$F$500,0))),"⚠"))</f>
        <v/>
      </c>
      <c r="Z25" t="str">
        <f>IF(BE25="","",IFERROR(IF(INDEX(CODIFICACION!$E$2:$E$500,MATCH("D3.14c|"&amp;BE25,CODIFICACION!$F$2:$F$500,0))="sin dato","",INDEX(CODIFICACION!$E$2:$E$500,MATCH("D3.14c|"&amp;BE25,CODIFICACION!$F$2:$F$500,0))),"⚠"))</f>
        <v/>
      </c>
      <c r="AA25" t="str">
        <f>IF(BF25="","",IFERROR(IF(INDEX(CODIFICACION!$E$2:$E$500,MATCH("D3.14d|"&amp;BF25,CODIFICACION!$F$2:$F$500,0))="sin dato","",INDEX(CODIFICACION!$E$2:$E$500,MATCH("D3.14d|"&amp;BF25,CODIFICACION!$F$2:$F$500,0))),"⚠"))</f>
        <v/>
      </c>
      <c r="AB25" t="str">
        <f>IF(BG25="","",IFERROR(IF(INDEX(CODIFICACION!$E$2:$E$500,MATCH("D3.14e|"&amp;BG25,CODIFICACION!$F$2:$F$500,0))="sin dato","",INDEX(CODIFICACION!$E$2:$E$500,MATCH("D3.14e|"&amp;BG25,CODIFICACION!$F$2:$F$500,0))),"⚠"))</f>
        <v/>
      </c>
      <c r="AC25" t="str">
        <f>IF(BH25="","",IFERROR(IF(INDEX(CODIFICACION!$E$2:$E$500,MATCH("D3.14f|"&amp;BH25,CODIFICACION!$F$2:$F$500,0))="sin dato","",INDEX(CODIFICACION!$E$2:$E$500,MATCH("D3.14f|"&amp;BH25,CODIFICACION!$F$2:$F$500,0))),"⚠"))</f>
        <v/>
      </c>
      <c r="AD25" t="str">
        <f>IF(BI25="","",IFERROR(IF(INDEX(CODIFICACION!$E$2:$E$500,MATCH("D3.14g|"&amp;BI25,CODIFICACION!$F$2:$F$500,0))="sin dato","",INDEX(CODIFICACION!$E$2:$E$500,MATCH("D3.14g|"&amp;BI25,CODIFICACION!$F$2:$F$500,0))),"⚠"))</f>
        <v/>
      </c>
      <c r="AE25" t="str">
        <f>IF(BJ25="","",IFERROR(IF(INDEX(CODIFICACION!$E$2:$E$500,MATCH("D3.14h|"&amp;BJ25,CODIFICACION!$F$2:$F$500,0))="sin dato","",INDEX(CODIFICACION!$E$2:$E$500,MATCH("D3.14h|"&amp;BJ25,CODIFICACION!$F$2:$F$500,0))),"⚠"))</f>
        <v/>
      </c>
      <c r="AF25" t="str">
        <f>IF(BK25="","",IFERROR(IF(INDEX(CODIFICACION!$E$2:$E$500,MATCH("D3.14i|"&amp;BK25,CODIFICACION!$F$2:$F$500,0))="sin dato","",INDEX(CODIFICACION!$E$2:$E$500,MATCH("D3.14i|"&amp;BK25,CODIFICACION!$F$2:$F$500,0))),"⚠"))</f>
        <v/>
      </c>
      <c r="AG25" t="str">
        <f>IF(BL25="","",IFERROR(IF(INDEX(CODIFICACION!$E$2:$E$500,MATCH("D4.15|"&amp;BL25,CODIFICACION!$F$2:$F$500,0))="sin dato","",INDEX(CODIFICACION!$E$2:$E$500,MATCH("D4.15|"&amp;BL25,CODIFICACION!$F$2:$F$500,0))),"⚠"))</f>
        <v/>
      </c>
      <c r="AH25" t="str">
        <f t="shared" si="6"/>
        <v/>
      </c>
      <c r="AI25" t="str">
        <f>IF(BN25="","",IFERROR(IF(INDEX(CODIFICACION!$E$2:$E$500,MATCH("D4.17|"&amp;BN25,CODIFICACION!$F$2:$F$500,0))="sin dato","",INDEX(CODIFICACION!$E$2:$E$500,MATCH("D4.17|"&amp;BN25,CODIFICACION!$F$2:$F$500,0))),"⚠"))</f>
        <v/>
      </c>
      <c r="AJ25" t="str">
        <f>IF(BO25="","",IFERROR(IF(INDEX(CODIFICACION!$E$2:$E$500,MATCH("D4.15a|"&amp;BO25,CODIFICACION!$F$2:$F$500,0))="sin dato","",INDEX(CODIFICACION!$E$2:$E$500,MATCH("D4.15a|"&amp;BO25,CODIFICACION!$F$2:$F$500,0))),"⚠"))</f>
        <v/>
      </c>
      <c r="AK25" t="str">
        <f t="shared" si="7"/>
        <v/>
      </c>
      <c r="AL25" t="str">
        <f t="shared" si="8"/>
        <v/>
      </c>
      <c r="AM25" t="str">
        <f>IF(BR25="","",IFERROR(IF(INDEX(CODIFICACION!$E$2:$E$500,MATCH("D5.18b|"&amp;BR25,CODIFICACION!$F$2:$F$500,0))="sin dato","",INDEX(CODIFICACION!$E$2:$E$500,MATCH("D5.18b|"&amp;BR25,CODIFICACION!$F$2:$F$500,0))),"⚠"))</f>
        <v/>
      </c>
      <c r="AN25" t="str">
        <f>IF(BS25="","",IFERROR(IF(INDEX(CODIFICACION!$E$2:$E$500,MATCH("D5.19|"&amp;BS25,CODIFICACION!$F$2:$F$500,0))="sin dato","",INDEX(CODIFICACION!$E$2:$E$500,MATCH("D5.19|"&amp;BS25,CODIFICACION!$F$2:$F$500,0))),"⚠"))</f>
        <v/>
      </c>
      <c r="AO25" t="str">
        <f t="shared" si="9"/>
        <v/>
      </c>
      <c r="AP25" t="str">
        <f>IF(BU25="","",IFERROR(IF(INDEX(CODIFICACION!$E$2:$E$500,MATCH("D5.20|"&amp;BU25,CODIFICACION!$F$2:$F$500,0))="sin dato","",INDEX(CODIFICACION!$E$2:$E$500,MATCH("D5.20|"&amp;BU25,CODIFICACION!$F$2:$F$500,0))),"⚠"))</f>
        <v/>
      </c>
      <c r="AQ25" t="str">
        <f>IF(BV25="","",IFERROR(IF(INDEX(CODIFICACION!$E$2:$E$500,MATCH("D5.21|"&amp;BV25,CODIFICACION!$F$2:$F$500,0))="sin dato","",INDEX(CODIFICACION!$E$2:$E$500,MATCH("D5.21|"&amp;BV25,CODIFICACION!$F$2:$F$500,0))),"⚠"))</f>
        <v/>
      </c>
      <c r="AR25" t="str">
        <f>IF(BW25="","",IFERROR(IF(INDEX(CODIFICACION!$E$2:$E$500,MATCH("D5.21a|"&amp;BW25,CODIFICACION!$F$2:$F$500,0))="sin dato","",INDEX(CODIFICACION!$E$2:$E$500,MATCH("D5.21a|"&amp;BW25,CODIFICACION!$F$2:$F$500,0))),"⚠"))</f>
        <v/>
      </c>
      <c r="AS25" t="str">
        <f>IF(BX25="","",IFERROR(IF(INDEX(CODIFICACION!$E$2:$E$500,MATCH("D5.21b|"&amp;BX25,CODIFICACION!$F$2:$F$500,0))="sin dato","",INDEX(CODIFICACION!$E$2:$E$500,MATCH("D5.21b|"&amp;BX25,CODIFICACION!$F$2:$F$500,0))),"⚠"))</f>
        <v/>
      </c>
      <c r="AT25" t="str">
        <f>IF(BY25="","",IFERROR(IF(INDEX(CODIFICACION!$E$2:$E$500,MATCH("D6.22|"&amp;BY25,CODIFICACION!$F$2:$F$500,0))="sin dato","",INDEX(CODIFICACION!$E$2:$E$500,MATCH("D6.22|"&amp;BY25,CODIFICACION!$F$2:$F$500,0))),"⚠"))</f>
        <v/>
      </c>
      <c r="AU25" t="str">
        <f>IF(BZ25="","",IFERROR(IF(INDEX(CODIFICACION!$E$2:$E$500,MATCH("D6.22a|"&amp;BZ25,CODIFICACION!$F$2:$F$500,0))="sin dato","",INDEX(CODIFICACION!$E$2:$E$500,MATCH("D6.22a|"&amp;BZ25,CODIFICACION!$F$2:$F$500,0))),"⚠"))</f>
        <v/>
      </c>
      <c r="AV25" t="str">
        <f>IF(CA25="","",IFERROR(IF(INDEX(CODIFICACION!$E$2:$E$500,MATCH("D6.22b|"&amp;CA25,CODIFICACION!$F$2:$F$500,0))="sin dato","",INDEX(CODIFICACION!$E$2:$E$500,MATCH("D6.22b|"&amp;CA25,CODIFICACION!$F$2:$F$500,0))),"⚠"))</f>
        <v/>
      </c>
      <c r="AW25" t="str">
        <f>IF(CB25="","",IFERROR(IF(INDEX(CODIFICACION!$E$2:$E$500,MATCH("D6.23|"&amp;CB25,CODIFICACION!$F$2:$F$500,0))="sin dato","",INDEX(CODIFICACION!$E$2:$E$500,MATCH("D6.23|"&amp;CB25,CODIFICACION!$F$2:$F$500,0))),"⚠"))</f>
        <v/>
      </c>
      <c r="AX25" t="str">
        <f ca="1">IF(CC25="","",IFERROR(IF(INDEX(CODIFICACION!$E$2:$E$500,MATCH("D6.24|"&amp;CC25,CODIFICACION!$F$2:$F$500,0))="sin dato","",INDEX(CODIFICACION!$E$2:$E$500,MATCH("D6.24|"&amp;CC25,CODIFICACION!$F$2:$F$500,0))),"⚠"))</f>
        <v/>
      </c>
      <c r="AY25" t="str">
        <f ca="1">IF(CD25="","",IFERROR(IF(INDEX(CODIFICACION!$E$2:$E$500,MATCH("D6.25|"&amp;CD25,CODIFICACION!$F$2:$F$500,0))="sin dato","",INDEX(CODIFICACION!$E$2:$E$500,MATCH("D6.25|"&amp;CD25,CODIFICACION!$F$2:$F$500,0))),"⚠"))</f>
        <v/>
      </c>
      <c r="AZ25" t="str">
        <f>IF(CE25="","",IFERROR(IF(INDEX(CODIFICACION!$E$2:$E$500,MATCH("D6.25a|"&amp;CE25,CODIFICACION!$F$2:$F$500,0))="sin dato","",INDEX(CODIFICACION!$E$2:$E$500,MATCH("D6.25a|"&amp;CE25,CODIFICACION!$F$2:$F$500,0))),"⚠"))</f>
        <v/>
      </c>
      <c r="BA25" t="str">
        <f>IF(CF25="","",IFERROR(IF(INDEX(CODIFICACION!$E$2:$E$500,MATCH("D6.25b|"&amp;CF25,CODIFICACION!$F$2:$F$500,0))="sin dato","",INDEX(CODIFICACION!$E$2:$E$500,MATCH("D6.25b|"&amp;CF25,CODIFICACION!$F$2:$F$500,0))),"⚠"))</f>
        <v/>
      </c>
      <c r="BB25" t="str">
        <f ca="1">IF(CG25="","",IFERROR(IF(INDEX(CODIFICACION!$E$2:$E$500,MATCH("D6.22c|"&amp;CG25,CODIFICACION!$F$2:$F$500,0))="sin dato","",INDEX(CODIFICACION!$E$2:$E$500,MATCH("D6.22c|"&amp;CG25,CODIFICACION!$F$2:$F$500,0))),"⚠"))</f>
        <v/>
      </c>
      <c r="BC25" t="str">
        <f ca="1">IF(CH25="","",IFERROR(IF(INDEX(CODIFICACION!$E$2:$E$500,MATCH("D7.26|"&amp;CH25,CODIFICACION!$F$2:$F$500,0))="sin dato","",INDEX(CODIFICACION!$E$2:$E$500,MATCH("D7.26|"&amp;CH25,CODIFICACION!$F$2:$F$500,0))),"⚠"))</f>
        <v/>
      </c>
      <c r="BD25" t="str">
        <f>IF(CI25="","",IFERROR(IF(INDEX(CODIFICACION!$E$2:$E$500,MATCH("D7.27|"&amp;CI25,CODIFICACION!$F$2:$F$500,0))="sin dato","",INDEX(CODIFICACION!$E$2:$E$500,MATCH("D7.27|"&amp;CI25,CODIFICACION!$F$2:$F$500,0))),"⚠"))</f>
        <v/>
      </c>
      <c r="BE25" t="str">
        <f>IF(CJ25="","",IFERROR(IF(INDEX(CODIFICACION!$E$2:$E$500,MATCH("D7.28|"&amp;CJ25,CODIFICACION!$F$2:$F$500,0))="sin dato","",INDEX(CODIFICACION!$E$2:$E$500,MATCH("D7.28|"&amp;CJ25,CODIFICACION!$F$2:$F$500,0))),"⚠"))</f>
        <v/>
      </c>
      <c r="BF25" t="str">
        <f>IF(CK25="","",IFERROR(IF(INDEX(CODIFICACION!$E$2:$E$500,MATCH("D7.28b|"&amp;CK25,CODIFICACION!$F$2:$F$500,0))="sin dato","",INDEX(CODIFICACION!$E$2:$E$500,MATCH("D7.28b|"&amp;CK25,CODIFICACION!$F$2:$F$500,0))),"⚠"))</f>
        <v/>
      </c>
      <c r="BG25" t="str">
        <f t="shared" si="10"/>
        <v/>
      </c>
      <c r="BH25" t="str">
        <f>IF(CM25="","",IFERROR(IF(INDEX(CODIFICACION!$E$2:$E$500,MATCH("D7.26a|"&amp;CM25,CODIFICACION!$F$2:$F$500,0))="sin dato","",INDEX(CODIFICACION!$E$2:$E$500,MATCH("D7.26a|"&amp;CM25,CODIFICACION!$F$2:$F$500,0))),"⚠"))</f>
        <v/>
      </c>
      <c r="BI25" t="str">
        <f>IF(CN25="","",IFERROR(IF(INDEX(CODIFICACION!$E$2:$E$500,MATCH("D7.26b|"&amp;CN25,CODIFICACION!$F$2:$F$500,0))="sin dato","",INDEX(CODIFICACION!$E$2:$E$500,MATCH("D7.26b|"&amp;CN25,CODIFICACION!$F$2:$F$500,0))),"⚠"))</f>
        <v/>
      </c>
      <c r="BJ25" t="str">
        <f t="shared" si="11"/>
        <v/>
      </c>
      <c r="BK25" t="str">
        <f t="shared" si="12"/>
        <v/>
      </c>
      <c r="BL25" t="str">
        <f>IF(CQ25="","",IFERROR(IF(INDEX(CODIFICACION!$E$2:$E$500,MATCH("D8.31|"&amp;CQ25,CODIFICACION!$F$2:$F$500,0))="sin dato","",INDEX(CODIFICACION!$E$2:$E$500,MATCH("D8.31|"&amp;CQ25,CODIFICACION!$F$2:$F$500,0))),"⚠"))</f>
        <v/>
      </c>
      <c r="BM25" t="str">
        <f>IF(CR25="","",IFERROR(IF(INDEX(CODIFICACION!$E$2:$E$500,MATCH("D8.32|"&amp;CR25,CODIFICACION!$F$2:$F$500,0))="sin dato","",INDEX(CODIFICACION!$E$2:$E$500,MATCH("D8.32|"&amp;CR25,CODIFICACION!$F$2:$F$500,0))),"⚠"))</f>
        <v/>
      </c>
      <c r="BN25" t="str">
        <f>IF(CS25="","",IFERROR(IF(INDEX(CODIFICACION!$E$2:$E$500,MATCH("D9.33|"&amp;CS25,CODIFICACION!$F$2:$F$500,0))="sin dato","",INDEX(CODIFICACION!$E$2:$E$500,MATCH("D9.33|"&amp;CS25,CODIFICACION!$F$2:$F$500,0))),"⚠"))</f>
        <v/>
      </c>
      <c r="BO25" t="str">
        <f>IF(CT25="","",IFERROR(IF(INDEX(CODIFICACION!$E$2:$E$500,MATCH("D9.34|"&amp;CT25,CODIFICACION!$F$2:$F$500,0))="sin dato","",INDEX(CODIFICACION!$E$2:$E$500,MATCH("D9.34|"&amp;CT25,CODIFICACION!$F$2:$F$500,0))),"⚠"))</f>
        <v/>
      </c>
      <c r="BP25" t="str">
        <f>IF(CU25="","",IFERROR(IF(INDEX(CODIFICACION!$E$2:$E$500,MATCH("D9.35|"&amp;CU25,CODIFICACION!$F$2:$F$500,0))="sin dato","",INDEX(CODIFICACION!$E$2:$E$500,MATCH("D9.35|"&amp;CU25,CODIFICACION!$F$2:$F$500,0))),"⚠"))</f>
        <v/>
      </c>
      <c r="BQ25" t="str">
        <f>IF(CV25="","",IFERROR(IF(INDEX(CODIFICACION!$E$2:$E$500,MATCH("D10.36|"&amp;CV25,CODIFICACION!$F$2:$F$500,0))="sin dato","",INDEX(CODIFICACION!$E$2:$E$500,MATCH("D10.36|"&amp;CV25,CODIFICACION!$F$2:$F$500,0))),"⚠"))</f>
        <v/>
      </c>
      <c r="BR25" t="str">
        <f>IF(CW25="","",IFERROR(IF(INDEX(CODIFICACION!$E$2:$E$500,MATCH("D10.37|"&amp;CW25,CODIFICACION!$F$2:$F$500,0))="sin dato","",INDEX(CODIFICACION!$E$2:$E$500,MATCH("D10.37|"&amp;CW25,CODIFICACION!$F$2:$F$500,0))),"⚠"))</f>
        <v/>
      </c>
      <c r="BS25" t="str">
        <f>IF(CX25="","",IFERROR(IF(INDEX(CODIFICACION!$E$2:$E$500,MATCH("D10.36a|"&amp;CX25,CODIFICACION!$F$2:$F$500,0))="sin dato","",INDEX(CODIFICACION!$E$2:$E$500,MATCH("D10.36a|"&amp;CX25,CODIFICACION!$F$2:$F$500,0))),"⚠"))</f>
        <v/>
      </c>
      <c r="BT25" t="str">
        <f t="shared" si="13"/>
        <v/>
      </c>
      <c r="BU25" t="str">
        <f>IF(DA25="","",IFERROR(IF(INDEX(CODIFICACION!$E$2:$E$500,MATCH("D11.39a|"&amp;DA25,CODIFICACION!$F$2:$F$500,0))="sin dato","",INDEX(CODIFICACION!$E$2:$E$500,MATCH("D11.39a|"&amp;DA25,CODIFICACION!$F$2:$F$500,0))),"⚠"))</f>
        <v/>
      </c>
      <c r="BV25" t="str">
        <f>IF(DB25="","",IFERROR(IF(INDEX(CODIFICACION!$E$2:$E$500,MATCH("D12.42|"&amp;DB25,CODIFICACION!$F$2:$F$500,0))="sin dato","",INDEX(CODIFICACION!$E$2:$E$500,MATCH("D12.42|"&amp;DB25,CODIFICACION!$F$2:$F$500,0))),"⚠"))</f>
        <v/>
      </c>
      <c r="BW25" t="str">
        <f>IF(DC25="","",IFERROR(IF(INDEX(CODIFICACION!$E$2:$E$500,MATCH("D13.45|"&amp;DC25,CODIFICACION!$F$2:$F$500,0))="sin dato","",INDEX(CODIFICACION!$E$2:$E$500,MATCH("D13.45|"&amp;DC25,CODIFICACION!$F$2:$F$500,0))),"⚠"))</f>
        <v/>
      </c>
      <c r="BX25" t="str">
        <f>IF(DD25="","",IFERROR(IF(INDEX(CODIFICACION!$E$2:$E$500,MATCH("D14.51|"&amp;DD25,CODIFICACION!$F$2:$F$500,0))="sin dato","",INDEX(CODIFICACION!$E$2:$E$500,MATCH("D14.51|"&amp;DD25,CODIFICACION!$F$2:$F$500,0))),"⚠"))</f>
        <v/>
      </c>
      <c r="BY25" t="str">
        <f>IF(DE25="","",IFERROR(IF(INDEX(CODIFICACION!$E$2:$E$500,MATCH("D15.58|"&amp;DE25,CODIFICACION!$F$2:$F$500,0))="sin dato","",INDEX(CODIFICACION!$E$2:$E$500,MATCH("D15.58|"&amp;DE25,CODIFICACION!$F$2:$F$500,0))),"⚠"))</f>
        <v/>
      </c>
      <c r="BZ25" t="str">
        <f>IF(DF25="","",IFERROR(IF(INDEX(CODIFICACION!$E$2:$E$500,MATCH("PP1|"&amp;DF25,CODIFICACION!$F$2:$F$500,0))="sin dato","",INDEX(CODIFICACION!$E$2:$E$500,MATCH("PP1|"&amp;DF25,CODIFICACION!$F$2:$F$500,0))),"⚠"))</f>
        <v/>
      </c>
      <c r="CA25" t="str">
        <f>IF(DG25="","",IFERROR(IF(INDEX(CODIFICACION!$E$2:$E$500,MATCH("PP2|"&amp;DG25,CODIFICACION!$F$2:$F$500,0))="sin dato","",INDEX(CODIFICACION!$E$2:$E$500,MATCH("PP2|"&amp;DG25,CODIFICACION!$F$2:$F$500,0))),"⚠"))</f>
        <v/>
      </c>
      <c r="CB25" t="str">
        <f t="shared" si="14"/>
        <v/>
      </c>
      <c r="CC25" t="str">
        <f t="shared" ca="1" si="15"/>
        <v/>
      </c>
      <c r="CD25" t="str">
        <f t="shared" ca="1" si="16"/>
        <v/>
      </c>
      <c r="CE25" t="str">
        <f t="shared" si="17"/>
        <v/>
      </c>
      <c r="CF25" t="str">
        <f t="shared" si="18"/>
        <v/>
      </c>
      <c r="CG25" t="str">
        <f t="shared" ca="1" si="19"/>
        <v/>
      </c>
      <c r="CH25" t="str">
        <f t="shared" ca="1" si="20"/>
        <v/>
      </c>
      <c r="CI25" t="str">
        <f t="shared" si="21"/>
        <v/>
      </c>
      <c r="CJ25" t="str">
        <f t="shared" si="22"/>
        <v/>
      </c>
      <c r="CK25" t="str">
        <f t="shared" si="23"/>
        <v/>
      </c>
      <c r="CL25" t="str">
        <f t="shared" si="24"/>
        <v/>
      </c>
    </row>
    <row r="26" spans="1:90" x14ac:dyDescent="0.3">
      <c r="A26">
        <f>CAPTURA!A26</f>
        <v>20393786044</v>
      </c>
      <c r="B26">
        <f>CAPTURA!C26</f>
        <v>0</v>
      </c>
      <c r="C26" t="str">
        <f t="shared" si="0"/>
        <v/>
      </c>
      <c r="D26" t="str">
        <f>IF(AE26="","",IFERROR(IF(INDEX(CODIFICACION!$E$2:$E$500,MATCH("P8|"&amp;AE26,CODIFICACION!$F$2:$F$500,0))="sin dato","",INDEX(CODIFICACION!$E$2:$E$500,MATCH("P8|"&amp;AE26,CODIFICACION!$F$2:$F$500,0))),"⚠"))</f>
        <v/>
      </c>
      <c r="E26" t="str">
        <f>IF(AG26="","",IFERROR(IF(INDEX(CODIFICACION!$E$2:$E$500,MATCH("P10|"&amp;AG26,CODIFICACION!$F$2:$F$500,0))="sin dato","",INDEX(CODIFICACION!$E$2:$E$500,MATCH("P10|"&amp;AG26,CODIFICACION!$F$2:$F$500,0))),"⚠"))</f>
        <v/>
      </c>
      <c r="F26" t="str">
        <f>IF(AJ26="","",IFERROR(IF(INDEX(CODIFICACION!$E$2:$E$500,MATCH("P13|"&amp;AJ26,CODIFICACION!$F$2:$F$500,0))="sin dato","",INDEX(CODIFICACION!$E$2:$E$500,MATCH("P13|"&amp;AJ26,CODIFICACION!$F$2:$F$500,0))),"⚠"))</f>
        <v/>
      </c>
      <c r="G26" t="str">
        <f>IF(AK26="","",IFERROR(IF(INDEX(CODIFICACION!$E$2:$E$500,MATCH("P14|"&amp;AK26,CODIFICACION!$F$2:$F$500,0))="sin dato","",INDEX(CODIFICACION!$E$2:$E$500,MATCH("P14|"&amp;AK26,CODIFICACION!$F$2:$F$500,0))),"⚠"))</f>
        <v/>
      </c>
      <c r="H26" t="str">
        <f>IF(AL26="","",IFERROR(IF(INDEX(CODIFICACION!$E$2:$E$500,MATCH("D1.1|"&amp;AL26,CODIFICACION!$F$2:$F$500,0))="sin dato","",INDEX(CODIFICACION!$E$2:$E$500,MATCH("D1.1|"&amp;AL26,CODIFICACION!$F$2:$F$500,0))),"⚠"))</f>
        <v/>
      </c>
      <c r="I26" t="str">
        <f>IF(AN26="","",IFERROR(IF(INDEX(CODIFICACION!$E$2:$E$500,MATCH("D1.3|"&amp;AN26,CODIFICACION!$F$2:$F$500,0))="sin dato","",INDEX(CODIFICACION!$E$2:$E$500,MATCH("D1.3|"&amp;AN26,CODIFICACION!$F$2:$F$500,0))),"⚠"))</f>
        <v/>
      </c>
      <c r="J26" t="str">
        <f>IF(AO26="","",IFERROR(IF(INDEX(CODIFICACION!$E$2:$E$500,MATCH("D1.4|"&amp;AO26,CODIFICACION!$F$2:$F$500,0))="sin dato","",INDEX(CODIFICACION!$E$2:$E$500,MATCH("D1.4|"&amp;AO26,CODIFICACION!$F$2:$F$500,0))),"⚠"))</f>
        <v/>
      </c>
      <c r="K26" t="str">
        <f>IF(AP26="","",IFERROR(IF(INDEX(CODIFICACION!$E$2:$E$500,MATCH("D1.3a|"&amp;AP26,CODIFICACION!$F$2:$F$500,0))="sin dato","",INDEX(CODIFICACION!$E$2:$E$500,MATCH("D1.3a|"&amp;AP26,CODIFICACION!$F$2:$F$500,0))),"⚠"))</f>
        <v/>
      </c>
      <c r="L26" t="str">
        <f t="shared" si="1"/>
        <v/>
      </c>
      <c r="M26" t="str">
        <f t="shared" si="2"/>
        <v/>
      </c>
      <c r="N26" t="str">
        <f t="shared" si="3"/>
        <v/>
      </c>
      <c r="O26" t="str">
        <f>IF(AT26="","",IFERROR(IF(INDEX(CODIFICACION!$E$2:$E$500,MATCH("D2.8|"&amp;AT26,CODIFICACION!$F$2:$F$500,0))="sin dato","",INDEX(CODIFICACION!$E$2:$E$500,MATCH("D2.8|"&amp;AT26,CODIFICACION!$F$2:$F$500,0))),"⚠"))</f>
        <v/>
      </c>
      <c r="P26" t="str">
        <f>IF(AU26="","",IFERROR(IF(INDEX(CODIFICACION!$E$2:$E$500,MATCH("D2.9|"&amp;AU26,CODIFICACION!$F$2:$F$500,0))="sin dato","",INDEX(CODIFICACION!$E$2:$E$500,MATCH("D2.9|"&amp;AU26,CODIFICACION!$F$2:$F$500,0))),"⚠"))</f>
        <v/>
      </c>
      <c r="Q26" t="str">
        <f>IF(AV26="","",IFERROR(IF(INDEX(CODIFICACION!$E$2:$E$500,MATCH("D2.10|"&amp;AV26,CODIFICACION!$F$2:$F$500,0))="sin dato","",INDEX(CODIFICACION!$E$2:$E$500,MATCH("D2.10|"&amp;AV26,CODIFICACION!$F$2:$F$500,0))),"⚠"))</f>
        <v/>
      </c>
      <c r="R26" t="str">
        <f>IF(AW26="","",IFERROR(IF(INDEX(CODIFICACION!$E$2:$E$500,MATCH("D2.5a|"&amp;AW26,CODIFICACION!$F$2:$F$500,0))="sin dato","",INDEX(CODIFICACION!$E$2:$E$500,MATCH("D2.5a|"&amp;AW26,CODIFICACION!$F$2:$F$500,0))),"⚠"))</f>
        <v/>
      </c>
      <c r="S26" t="str">
        <f ca="1">IF(AX26="","",IFERROR(IF(INDEX(CODIFICACION!$E$2:$E$500,MATCH("D2.5b|"&amp;AX26,CODIFICACION!$F$2:$F$500,0))="sin dato","",INDEX(CODIFICACION!$E$2:$E$500,MATCH("D2.5b|"&amp;AX26,CODIFICACION!$F$2:$F$500,0))),"⚠"))</f>
        <v/>
      </c>
      <c r="T26" t="str">
        <f t="shared" ca="1" si="4"/>
        <v/>
      </c>
      <c r="U26" t="str">
        <f>IF(AZ26="","",IFERROR(IF(INDEX(CODIFICACION!$E$2:$E$500,MATCH("D3.12|"&amp;AZ26,CODIFICACION!$F$2:$F$500,0))="sin dato","",INDEX(CODIFICACION!$E$2:$E$500,MATCH("D3.12|"&amp;AZ26,CODIFICACION!$F$2:$F$500,0))),"⚠"))</f>
        <v/>
      </c>
      <c r="V26" t="str">
        <f t="shared" si="5"/>
        <v/>
      </c>
      <c r="W26" t="str">
        <f ca="1">IF(BB26="","",IFERROR(IF(INDEX(CODIFICACION!$E$2:$E$500,MATCH("D3.14|"&amp;BB26,CODIFICACION!$F$2:$F$500,0))="sin dato","",INDEX(CODIFICACION!$E$2:$E$500,MATCH("D3.14|"&amp;BB26,CODIFICACION!$F$2:$F$500,0))),"⚠"))</f>
        <v/>
      </c>
      <c r="X26" t="str">
        <f ca="1">IF(BC26="","",IFERROR(IF(INDEX(CODIFICACION!$E$2:$E$500,MATCH("D3.14a|"&amp;BC26,CODIFICACION!$F$2:$F$500,0))="sin dato","",INDEX(CODIFICACION!$E$2:$E$500,MATCH("D3.14a|"&amp;BC26,CODIFICACION!$F$2:$F$500,0))),"⚠"))</f>
        <v/>
      </c>
      <c r="Y26" t="str">
        <f>IF(BD26="","",IFERROR(IF(INDEX(CODIFICACION!$E$2:$E$500,MATCH("D3.14b|"&amp;BD26,CODIFICACION!$F$2:$F$500,0))="sin dato","",INDEX(CODIFICACION!$E$2:$E$500,MATCH("D3.14b|"&amp;BD26,CODIFICACION!$F$2:$F$500,0))),"⚠"))</f>
        <v/>
      </c>
      <c r="Z26" t="str">
        <f>IF(BE26="","",IFERROR(IF(INDEX(CODIFICACION!$E$2:$E$500,MATCH("D3.14c|"&amp;BE26,CODIFICACION!$F$2:$F$500,0))="sin dato","",INDEX(CODIFICACION!$E$2:$E$500,MATCH("D3.14c|"&amp;BE26,CODIFICACION!$F$2:$F$500,0))),"⚠"))</f>
        <v/>
      </c>
      <c r="AA26" t="str">
        <f>IF(BF26="","",IFERROR(IF(INDEX(CODIFICACION!$E$2:$E$500,MATCH("D3.14d|"&amp;BF26,CODIFICACION!$F$2:$F$500,0))="sin dato","",INDEX(CODIFICACION!$E$2:$E$500,MATCH("D3.14d|"&amp;BF26,CODIFICACION!$F$2:$F$500,0))),"⚠"))</f>
        <v/>
      </c>
      <c r="AB26" t="str">
        <f>IF(BG26="","",IFERROR(IF(INDEX(CODIFICACION!$E$2:$E$500,MATCH("D3.14e|"&amp;BG26,CODIFICACION!$F$2:$F$500,0))="sin dato","",INDEX(CODIFICACION!$E$2:$E$500,MATCH("D3.14e|"&amp;BG26,CODIFICACION!$F$2:$F$500,0))),"⚠"))</f>
        <v/>
      </c>
      <c r="AC26" t="str">
        <f>IF(BH26="","",IFERROR(IF(INDEX(CODIFICACION!$E$2:$E$500,MATCH("D3.14f|"&amp;BH26,CODIFICACION!$F$2:$F$500,0))="sin dato","",INDEX(CODIFICACION!$E$2:$E$500,MATCH("D3.14f|"&amp;BH26,CODIFICACION!$F$2:$F$500,0))),"⚠"))</f>
        <v/>
      </c>
      <c r="AD26" t="str">
        <f>IF(BI26="","",IFERROR(IF(INDEX(CODIFICACION!$E$2:$E$500,MATCH("D3.14g|"&amp;BI26,CODIFICACION!$F$2:$F$500,0))="sin dato","",INDEX(CODIFICACION!$E$2:$E$500,MATCH("D3.14g|"&amp;BI26,CODIFICACION!$F$2:$F$500,0))),"⚠"))</f>
        <v/>
      </c>
      <c r="AE26" t="str">
        <f>IF(BJ26="","",IFERROR(IF(INDEX(CODIFICACION!$E$2:$E$500,MATCH("D3.14h|"&amp;BJ26,CODIFICACION!$F$2:$F$500,0))="sin dato","",INDEX(CODIFICACION!$E$2:$E$500,MATCH("D3.14h|"&amp;BJ26,CODIFICACION!$F$2:$F$500,0))),"⚠"))</f>
        <v/>
      </c>
      <c r="AF26" t="str">
        <f>IF(BK26="","",IFERROR(IF(INDEX(CODIFICACION!$E$2:$E$500,MATCH("D3.14i|"&amp;BK26,CODIFICACION!$F$2:$F$500,0))="sin dato","",INDEX(CODIFICACION!$E$2:$E$500,MATCH("D3.14i|"&amp;BK26,CODIFICACION!$F$2:$F$500,0))),"⚠"))</f>
        <v/>
      </c>
      <c r="AG26" t="str">
        <f>IF(BL26="","",IFERROR(IF(INDEX(CODIFICACION!$E$2:$E$500,MATCH("D4.15|"&amp;BL26,CODIFICACION!$F$2:$F$500,0))="sin dato","",INDEX(CODIFICACION!$E$2:$E$500,MATCH("D4.15|"&amp;BL26,CODIFICACION!$F$2:$F$500,0))),"⚠"))</f>
        <v/>
      </c>
      <c r="AH26" t="str">
        <f t="shared" si="6"/>
        <v/>
      </c>
      <c r="AI26" t="str">
        <f>IF(BN26="","",IFERROR(IF(INDEX(CODIFICACION!$E$2:$E$500,MATCH("D4.17|"&amp;BN26,CODIFICACION!$F$2:$F$500,0))="sin dato","",INDEX(CODIFICACION!$E$2:$E$500,MATCH("D4.17|"&amp;BN26,CODIFICACION!$F$2:$F$500,0))),"⚠"))</f>
        <v/>
      </c>
      <c r="AJ26" t="str">
        <f>IF(BO26="","",IFERROR(IF(INDEX(CODIFICACION!$E$2:$E$500,MATCH("D4.15a|"&amp;BO26,CODIFICACION!$F$2:$F$500,0))="sin dato","",INDEX(CODIFICACION!$E$2:$E$500,MATCH("D4.15a|"&amp;BO26,CODIFICACION!$F$2:$F$500,0))),"⚠"))</f>
        <v/>
      </c>
      <c r="AK26" t="str">
        <f t="shared" si="7"/>
        <v/>
      </c>
      <c r="AL26" t="str">
        <f t="shared" si="8"/>
        <v/>
      </c>
      <c r="AM26" t="str">
        <f>IF(BR26="","",IFERROR(IF(INDEX(CODIFICACION!$E$2:$E$500,MATCH("D5.18b|"&amp;BR26,CODIFICACION!$F$2:$F$500,0))="sin dato","",INDEX(CODIFICACION!$E$2:$E$500,MATCH("D5.18b|"&amp;BR26,CODIFICACION!$F$2:$F$500,0))),"⚠"))</f>
        <v/>
      </c>
      <c r="AN26" t="str">
        <f>IF(BS26="","",IFERROR(IF(INDEX(CODIFICACION!$E$2:$E$500,MATCH("D5.19|"&amp;BS26,CODIFICACION!$F$2:$F$500,0))="sin dato","",INDEX(CODIFICACION!$E$2:$E$500,MATCH("D5.19|"&amp;BS26,CODIFICACION!$F$2:$F$500,0))),"⚠"))</f>
        <v/>
      </c>
      <c r="AO26" t="str">
        <f t="shared" si="9"/>
        <v/>
      </c>
      <c r="AP26" t="str">
        <f>IF(BU26="","",IFERROR(IF(INDEX(CODIFICACION!$E$2:$E$500,MATCH("D5.20|"&amp;BU26,CODIFICACION!$F$2:$F$500,0))="sin dato","",INDEX(CODIFICACION!$E$2:$E$500,MATCH("D5.20|"&amp;BU26,CODIFICACION!$F$2:$F$500,0))),"⚠"))</f>
        <v/>
      </c>
      <c r="AQ26" t="str">
        <f>IF(BV26="","",IFERROR(IF(INDEX(CODIFICACION!$E$2:$E$500,MATCH("D5.21|"&amp;BV26,CODIFICACION!$F$2:$F$500,0))="sin dato","",INDEX(CODIFICACION!$E$2:$E$500,MATCH("D5.21|"&amp;BV26,CODIFICACION!$F$2:$F$500,0))),"⚠"))</f>
        <v/>
      </c>
      <c r="AR26" t="str">
        <f>IF(BW26="","",IFERROR(IF(INDEX(CODIFICACION!$E$2:$E$500,MATCH("D5.21a|"&amp;BW26,CODIFICACION!$F$2:$F$500,0))="sin dato","",INDEX(CODIFICACION!$E$2:$E$500,MATCH("D5.21a|"&amp;BW26,CODIFICACION!$F$2:$F$500,0))),"⚠"))</f>
        <v/>
      </c>
      <c r="AS26" t="str">
        <f>IF(BX26="","",IFERROR(IF(INDEX(CODIFICACION!$E$2:$E$500,MATCH("D5.21b|"&amp;BX26,CODIFICACION!$F$2:$F$500,0))="sin dato","",INDEX(CODIFICACION!$E$2:$E$500,MATCH("D5.21b|"&amp;BX26,CODIFICACION!$F$2:$F$500,0))),"⚠"))</f>
        <v/>
      </c>
      <c r="AT26" t="str">
        <f>IF(BY26="","",IFERROR(IF(INDEX(CODIFICACION!$E$2:$E$500,MATCH("D6.22|"&amp;BY26,CODIFICACION!$F$2:$F$500,0))="sin dato","",INDEX(CODIFICACION!$E$2:$E$500,MATCH("D6.22|"&amp;BY26,CODIFICACION!$F$2:$F$500,0))),"⚠"))</f>
        <v/>
      </c>
      <c r="AU26" t="str">
        <f>IF(BZ26="","",IFERROR(IF(INDEX(CODIFICACION!$E$2:$E$500,MATCH("D6.22a|"&amp;BZ26,CODIFICACION!$F$2:$F$500,0))="sin dato","",INDEX(CODIFICACION!$E$2:$E$500,MATCH("D6.22a|"&amp;BZ26,CODIFICACION!$F$2:$F$500,0))),"⚠"))</f>
        <v/>
      </c>
      <c r="AV26" t="str">
        <f>IF(CA26="","",IFERROR(IF(INDEX(CODIFICACION!$E$2:$E$500,MATCH("D6.22b|"&amp;CA26,CODIFICACION!$F$2:$F$500,0))="sin dato","",INDEX(CODIFICACION!$E$2:$E$500,MATCH("D6.22b|"&amp;CA26,CODIFICACION!$F$2:$F$500,0))),"⚠"))</f>
        <v/>
      </c>
      <c r="AW26" t="str">
        <f>IF(CB26="","",IFERROR(IF(INDEX(CODIFICACION!$E$2:$E$500,MATCH("D6.23|"&amp;CB26,CODIFICACION!$F$2:$F$500,0))="sin dato","",INDEX(CODIFICACION!$E$2:$E$500,MATCH("D6.23|"&amp;CB26,CODIFICACION!$F$2:$F$500,0))),"⚠"))</f>
        <v/>
      </c>
      <c r="AX26" t="str">
        <f ca="1">IF(CC26="","",IFERROR(IF(INDEX(CODIFICACION!$E$2:$E$500,MATCH("D6.24|"&amp;CC26,CODIFICACION!$F$2:$F$500,0))="sin dato","",INDEX(CODIFICACION!$E$2:$E$500,MATCH("D6.24|"&amp;CC26,CODIFICACION!$F$2:$F$500,0))),"⚠"))</f>
        <v/>
      </c>
      <c r="AY26" t="str">
        <f ca="1">IF(CD26="","",IFERROR(IF(INDEX(CODIFICACION!$E$2:$E$500,MATCH("D6.25|"&amp;CD26,CODIFICACION!$F$2:$F$500,0))="sin dato","",INDEX(CODIFICACION!$E$2:$E$500,MATCH("D6.25|"&amp;CD26,CODIFICACION!$F$2:$F$500,0))),"⚠"))</f>
        <v/>
      </c>
      <c r="AZ26" t="str">
        <f>IF(CE26="","",IFERROR(IF(INDEX(CODIFICACION!$E$2:$E$500,MATCH("D6.25a|"&amp;CE26,CODIFICACION!$F$2:$F$500,0))="sin dato","",INDEX(CODIFICACION!$E$2:$E$500,MATCH("D6.25a|"&amp;CE26,CODIFICACION!$F$2:$F$500,0))),"⚠"))</f>
        <v/>
      </c>
      <c r="BA26" t="str">
        <f>IF(CF26="","",IFERROR(IF(INDEX(CODIFICACION!$E$2:$E$500,MATCH("D6.25b|"&amp;CF26,CODIFICACION!$F$2:$F$500,0))="sin dato","",INDEX(CODIFICACION!$E$2:$E$500,MATCH("D6.25b|"&amp;CF26,CODIFICACION!$F$2:$F$500,0))),"⚠"))</f>
        <v/>
      </c>
      <c r="BB26" t="str">
        <f ca="1">IF(CG26="","",IFERROR(IF(INDEX(CODIFICACION!$E$2:$E$500,MATCH("D6.22c|"&amp;CG26,CODIFICACION!$F$2:$F$500,0))="sin dato","",INDEX(CODIFICACION!$E$2:$E$500,MATCH("D6.22c|"&amp;CG26,CODIFICACION!$F$2:$F$500,0))),"⚠"))</f>
        <v/>
      </c>
      <c r="BC26" t="str">
        <f ca="1">IF(CH26="","",IFERROR(IF(INDEX(CODIFICACION!$E$2:$E$500,MATCH("D7.26|"&amp;CH26,CODIFICACION!$F$2:$F$500,0))="sin dato","",INDEX(CODIFICACION!$E$2:$E$500,MATCH("D7.26|"&amp;CH26,CODIFICACION!$F$2:$F$500,0))),"⚠"))</f>
        <v/>
      </c>
      <c r="BD26" t="str">
        <f>IF(CI26="","",IFERROR(IF(INDEX(CODIFICACION!$E$2:$E$500,MATCH("D7.27|"&amp;CI26,CODIFICACION!$F$2:$F$500,0))="sin dato","",INDEX(CODIFICACION!$E$2:$E$500,MATCH("D7.27|"&amp;CI26,CODIFICACION!$F$2:$F$500,0))),"⚠"))</f>
        <v/>
      </c>
      <c r="BE26" t="str">
        <f>IF(CJ26="","",IFERROR(IF(INDEX(CODIFICACION!$E$2:$E$500,MATCH("D7.28|"&amp;CJ26,CODIFICACION!$F$2:$F$500,0))="sin dato","",INDEX(CODIFICACION!$E$2:$E$500,MATCH("D7.28|"&amp;CJ26,CODIFICACION!$F$2:$F$500,0))),"⚠"))</f>
        <v/>
      </c>
      <c r="BF26" t="str">
        <f>IF(CK26="","",IFERROR(IF(INDEX(CODIFICACION!$E$2:$E$500,MATCH("D7.28b|"&amp;CK26,CODIFICACION!$F$2:$F$500,0))="sin dato","",INDEX(CODIFICACION!$E$2:$E$500,MATCH("D7.28b|"&amp;CK26,CODIFICACION!$F$2:$F$500,0))),"⚠"))</f>
        <v/>
      </c>
      <c r="BG26" t="str">
        <f t="shared" si="10"/>
        <v/>
      </c>
      <c r="BH26" t="str">
        <f>IF(CM26="","",IFERROR(IF(INDEX(CODIFICACION!$E$2:$E$500,MATCH("D7.26a|"&amp;CM26,CODIFICACION!$F$2:$F$500,0))="sin dato","",INDEX(CODIFICACION!$E$2:$E$500,MATCH("D7.26a|"&amp;CM26,CODIFICACION!$F$2:$F$500,0))),"⚠"))</f>
        <v/>
      </c>
      <c r="BI26" t="str">
        <f>IF(CN26="","",IFERROR(IF(INDEX(CODIFICACION!$E$2:$E$500,MATCH("D7.26b|"&amp;CN26,CODIFICACION!$F$2:$F$500,0))="sin dato","",INDEX(CODIFICACION!$E$2:$E$500,MATCH("D7.26b|"&amp;CN26,CODIFICACION!$F$2:$F$500,0))),"⚠"))</f>
        <v/>
      </c>
      <c r="BJ26" t="str">
        <f t="shared" si="11"/>
        <v/>
      </c>
      <c r="BK26" t="str">
        <f t="shared" si="12"/>
        <v/>
      </c>
      <c r="BL26" t="str">
        <f>IF(CQ26="","",IFERROR(IF(INDEX(CODIFICACION!$E$2:$E$500,MATCH("D8.31|"&amp;CQ26,CODIFICACION!$F$2:$F$500,0))="sin dato","",INDEX(CODIFICACION!$E$2:$E$500,MATCH("D8.31|"&amp;CQ26,CODIFICACION!$F$2:$F$500,0))),"⚠"))</f>
        <v/>
      </c>
      <c r="BM26" t="str">
        <f>IF(CR26="","",IFERROR(IF(INDEX(CODIFICACION!$E$2:$E$500,MATCH("D8.32|"&amp;CR26,CODIFICACION!$F$2:$F$500,0))="sin dato","",INDEX(CODIFICACION!$E$2:$E$500,MATCH("D8.32|"&amp;CR26,CODIFICACION!$F$2:$F$500,0))),"⚠"))</f>
        <v/>
      </c>
      <c r="BN26" t="str">
        <f>IF(CS26="","",IFERROR(IF(INDEX(CODIFICACION!$E$2:$E$500,MATCH("D9.33|"&amp;CS26,CODIFICACION!$F$2:$F$500,0))="sin dato","",INDEX(CODIFICACION!$E$2:$E$500,MATCH("D9.33|"&amp;CS26,CODIFICACION!$F$2:$F$500,0))),"⚠"))</f>
        <v/>
      </c>
      <c r="BO26" t="str">
        <f>IF(CT26="","",IFERROR(IF(INDEX(CODIFICACION!$E$2:$E$500,MATCH("D9.34|"&amp;CT26,CODIFICACION!$F$2:$F$500,0))="sin dato","",INDEX(CODIFICACION!$E$2:$E$500,MATCH("D9.34|"&amp;CT26,CODIFICACION!$F$2:$F$500,0))),"⚠"))</f>
        <v/>
      </c>
      <c r="BP26" t="str">
        <f>IF(CU26="","",IFERROR(IF(INDEX(CODIFICACION!$E$2:$E$500,MATCH("D9.35|"&amp;CU26,CODIFICACION!$F$2:$F$500,0))="sin dato","",INDEX(CODIFICACION!$E$2:$E$500,MATCH("D9.35|"&amp;CU26,CODIFICACION!$F$2:$F$500,0))),"⚠"))</f>
        <v/>
      </c>
      <c r="BQ26" t="str">
        <f>IF(CV26="","",IFERROR(IF(INDEX(CODIFICACION!$E$2:$E$500,MATCH("D10.36|"&amp;CV26,CODIFICACION!$F$2:$F$500,0))="sin dato","",INDEX(CODIFICACION!$E$2:$E$500,MATCH("D10.36|"&amp;CV26,CODIFICACION!$F$2:$F$500,0))),"⚠"))</f>
        <v/>
      </c>
      <c r="BR26" t="str">
        <f>IF(CW26="","",IFERROR(IF(INDEX(CODIFICACION!$E$2:$E$500,MATCH("D10.37|"&amp;CW26,CODIFICACION!$F$2:$F$500,0))="sin dato","",INDEX(CODIFICACION!$E$2:$E$500,MATCH("D10.37|"&amp;CW26,CODIFICACION!$F$2:$F$500,0))),"⚠"))</f>
        <v/>
      </c>
      <c r="BS26" t="str">
        <f>IF(CX26="","",IFERROR(IF(INDEX(CODIFICACION!$E$2:$E$500,MATCH("D10.36a|"&amp;CX26,CODIFICACION!$F$2:$F$500,0))="sin dato","",INDEX(CODIFICACION!$E$2:$E$500,MATCH("D10.36a|"&amp;CX26,CODIFICACION!$F$2:$F$500,0))),"⚠"))</f>
        <v/>
      </c>
      <c r="BT26" t="str">
        <f t="shared" si="13"/>
        <v/>
      </c>
      <c r="BU26" t="str">
        <f>IF(DA26="","",IFERROR(IF(INDEX(CODIFICACION!$E$2:$E$500,MATCH("D11.39a|"&amp;DA26,CODIFICACION!$F$2:$F$500,0))="sin dato","",INDEX(CODIFICACION!$E$2:$E$500,MATCH("D11.39a|"&amp;DA26,CODIFICACION!$F$2:$F$500,0))),"⚠"))</f>
        <v/>
      </c>
      <c r="BV26" t="str">
        <f>IF(DB26="","",IFERROR(IF(INDEX(CODIFICACION!$E$2:$E$500,MATCH("D12.42|"&amp;DB26,CODIFICACION!$F$2:$F$500,0))="sin dato","",INDEX(CODIFICACION!$E$2:$E$500,MATCH("D12.42|"&amp;DB26,CODIFICACION!$F$2:$F$500,0))),"⚠"))</f>
        <v/>
      </c>
      <c r="BW26" t="str">
        <f>IF(DC26="","",IFERROR(IF(INDEX(CODIFICACION!$E$2:$E$500,MATCH("D13.45|"&amp;DC26,CODIFICACION!$F$2:$F$500,0))="sin dato","",INDEX(CODIFICACION!$E$2:$E$500,MATCH("D13.45|"&amp;DC26,CODIFICACION!$F$2:$F$500,0))),"⚠"))</f>
        <v/>
      </c>
      <c r="BX26" t="str">
        <f>IF(DD26="","",IFERROR(IF(INDEX(CODIFICACION!$E$2:$E$500,MATCH("D14.51|"&amp;DD26,CODIFICACION!$F$2:$F$500,0))="sin dato","",INDEX(CODIFICACION!$E$2:$E$500,MATCH("D14.51|"&amp;DD26,CODIFICACION!$F$2:$F$500,0))),"⚠"))</f>
        <v/>
      </c>
      <c r="BY26" t="str">
        <f>IF(DE26="","",IFERROR(IF(INDEX(CODIFICACION!$E$2:$E$500,MATCH("D15.58|"&amp;DE26,CODIFICACION!$F$2:$F$500,0))="sin dato","",INDEX(CODIFICACION!$E$2:$E$500,MATCH("D15.58|"&amp;DE26,CODIFICACION!$F$2:$F$500,0))),"⚠"))</f>
        <v/>
      </c>
      <c r="BZ26" t="str">
        <f>IF(DF26="","",IFERROR(IF(INDEX(CODIFICACION!$E$2:$E$500,MATCH("PP1|"&amp;DF26,CODIFICACION!$F$2:$F$500,0))="sin dato","",INDEX(CODIFICACION!$E$2:$E$500,MATCH("PP1|"&amp;DF26,CODIFICACION!$F$2:$F$500,0))),"⚠"))</f>
        <v/>
      </c>
      <c r="CA26" t="str">
        <f>IF(DG26="","",IFERROR(IF(INDEX(CODIFICACION!$E$2:$E$500,MATCH("PP2|"&amp;DG26,CODIFICACION!$F$2:$F$500,0))="sin dato","",INDEX(CODIFICACION!$E$2:$E$500,MATCH("PP2|"&amp;DG26,CODIFICACION!$F$2:$F$500,0))),"⚠"))</f>
        <v/>
      </c>
      <c r="CB26" t="str">
        <f t="shared" si="14"/>
        <v/>
      </c>
      <c r="CC26" t="str">
        <f t="shared" ca="1" si="15"/>
        <v/>
      </c>
      <c r="CD26" t="str">
        <f t="shared" ca="1" si="16"/>
        <v/>
      </c>
      <c r="CE26" t="str">
        <f t="shared" si="17"/>
        <v/>
      </c>
      <c r="CF26" t="str">
        <f t="shared" si="18"/>
        <v/>
      </c>
      <c r="CG26" t="str">
        <f t="shared" ca="1" si="19"/>
        <v/>
      </c>
      <c r="CH26" t="str">
        <f t="shared" ca="1" si="20"/>
        <v/>
      </c>
      <c r="CI26" t="str">
        <f t="shared" si="21"/>
        <v/>
      </c>
      <c r="CJ26" t="str">
        <f t="shared" si="22"/>
        <v/>
      </c>
      <c r="CK26" t="str">
        <f t="shared" si="23"/>
        <v/>
      </c>
      <c r="CL26" t="str">
        <f t="shared" si="24"/>
        <v/>
      </c>
    </row>
    <row r="27" spans="1:90" x14ac:dyDescent="0.3">
      <c r="A27">
        <f>CAPTURA!A27</f>
        <v>20393816211</v>
      </c>
      <c r="B27">
        <f>CAPTURA!C27</f>
        <v>0</v>
      </c>
      <c r="C27" t="str">
        <f t="shared" si="0"/>
        <v/>
      </c>
      <c r="D27" t="str">
        <f>IF(AE27="","",IFERROR(IF(INDEX(CODIFICACION!$E$2:$E$500,MATCH("P8|"&amp;AE27,CODIFICACION!$F$2:$F$500,0))="sin dato","",INDEX(CODIFICACION!$E$2:$E$500,MATCH("P8|"&amp;AE27,CODIFICACION!$F$2:$F$500,0))),"⚠"))</f>
        <v/>
      </c>
      <c r="E27" t="str">
        <f>IF(AG27="","",IFERROR(IF(INDEX(CODIFICACION!$E$2:$E$500,MATCH("P10|"&amp;AG27,CODIFICACION!$F$2:$F$500,0))="sin dato","",INDEX(CODIFICACION!$E$2:$E$500,MATCH("P10|"&amp;AG27,CODIFICACION!$F$2:$F$500,0))),"⚠"))</f>
        <v/>
      </c>
      <c r="F27" t="str">
        <f>IF(AJ27="","",IFERROR(IF(INDEX(CODIFICACION!$E$2:$E$500,MATCH("P13|"&amp;AJ27,CODIFICACION!$F$2:$F$500,0))="sin dato","",INDEX(CODIFICACION!$E$2:$E$500,MATCH("P13|"&amp;AJ27,CODIFICACION!$F$2:$F$500,0))),"⚠"))</f>
        <v/>
      </c>
      <c r="G27" t="str">
        <f>IF(AK27="","",IFERROR(IF(INDEX(CODIFICACION!$E$2:$E$500,MATCH("P14|"&amp;AK27,CODIFICACION!$F$2:$F$500,0))="sin dato","",INDEX(CODIFICACION!$E$2:$E$500,MATCH("P14|"&amp;AK27,CODIFICACION!$F$2:$F$500,0))),"⚠"))</f>
        <v/>
      </c>
      <c r="H27" t="str">
        <f>IF(AL27="","",IFERROR(IF(INDEX(CODIFICACION!$E$2:$E$500,MATCH("D1.1|"&amp;AL27,CODIFICACION!$F$2:$F$500,0))="sin dato","",INDEX(CODIFICACION!$E$2:$E$500,MATCH("D1.1|"&amp;AL27,CODIFICACION!$F$2:$F$500,0))),"⚠"))</f>
        <v/>
      </c>
      <c r="I27" t="str">
        <f>IF(AN27="","",IFERROR(IF(INDEX(CODIFICACION!$E$2:$E$500,MATCH("D1.3|"&amp;AN27,CODIFICACION!$F$2:$F$500,0))="sin dato","",INDEX(CODIFICACION!$E$2:$E$500,MATCH("D1.3|"&amp;AN27,CODIFICACION!$F$2:$F$500,0))),"⚠"))</f>
        <v/>
      </c>
      <c r="J27" t="str">
        <f>IF(AO27="","",IFERROR(IF(INDEX(CODIFICACION!$E$2:$E$500,MATCH("D1.4|"&amp;AO27,CODIFICACION!$F$2:$F$500,0))="sin dato","",INDEX(CODIFICACION!$E$2:$E$500,MATCH("D1.4|"&amp;AO27,CODIFICACION!$F$2:$F$500,0))),"⚠"))</f>
        <v/>
      </c>
      <c r="K27" t="str">
        <f>IF(AP27="","",IFERROR(IF(INDEX(CODIFICACION!$E$2:$E$500,MATCH("D1.3a|"&amp;AP27,CODIFICACION!$F$2:$F$500,0))="sin dato","",INDEX(CODIFICACION!$E$2:$E$500,MATCH("D1.3a|"&amp;AP27,CODIFICACION!$F$2:$F$500,0))),"⚠"))</f>
        <v/>
      </c>
      <c r="L27" t="str">
        <f t="shared" si="1"/>
        <v/>
      </c>
      <c r="M27" t="str">
        <f t="shared" si="2"/>
        <v/>
      </c>
      <c r="N27" t="str">
        <f t="shared" si="3"/>
        <v/>
      </c>
      <c r="O27" t="str">
        <f>IF(AT27="","",IFERROR(IF(INDEX(CODIFICACION!$E$2:$E$500,MATCH("D2.8|"&amp;AT27,CODIFICACION!$F$2:$F$500,0))="sin dato","",INDEX(CODIFICACION!$E$2:$E$500,MATCH("D2.8|"&amp;AT27,CODIFICACION!$F$2:$F$500,0))),"⚠"))</f>
        <v/>
      </c>
      <c r="P27" t="str">
        <f>IF(AU27="","",IFERROR(IF(INDEX(CODIFICACION!$E$2:$E$500,MATCH("D2.9|"&amp;AU27,CODIFICACION!$F$2:$F$500,0))="sin dato","",INDEX(CODIFICACION!$E$2:$E$500,MATCH("D2.9|"&amp;AU27,CODIFICACION!$F$2:$F$500,0))),"⚠"))</f>
        <v/>
      </c>
      <c r="Q27" t="str">
        <f>IF(AV27="","",IFERROR(IF(INDEX(CODIFICACION!$E$2:$E$500,MATCH("D2.10|"&amp;AV27,CODIFICACION!$F$2:$F$500,0))="sin dato","",INDEX(CODIFICACION!$E$2:$E$500,MATCH("D2.10|"&amp;AV27,CODIFICACION!$F$2:$F$500,0))),"⚠"))</f>
        <v/>
      </c>
      <c r="R27" t="str">
        <f>IF(AW27="","",IFERROR(IF(INDEX(CODIFICACION!$E$2:$E$500,MATCH("D2.5a|"&amp;AW27,CODIFICACION!$F$2:$F$500,0))="sin dato","",INDEX(CODIFICACION!$E$2:$E$500,MATCH("D2.5a|"&amp;AW27,CODIFICACION!$F$2:$F$500,0))),"⚠"))</f>
        <v/>
      </c>
      <c r="S27" t="str">
        <f ca="1">IF(AX27="","",IFERROR(IF(INDEX(CODIFICACION!$E$2:$E$500,MATCH("D2.5b|"&amp;AX27,CODIFICACION!$F$2:$F$500,0))="sin dato","",INDEX(CODIFICACION!$E$2:$E$500,MATCH("D2.5b|"&amp;AX27,CODIFICACION!$F$2:$F$500,0))),"⚠"))</f>
        <v/>
      </c>
      <c r="T27" t="str">
        <f t="shared" ca="1" si="4"/>
        <v/>
      </c>
      <c r="U27" t="str">
        <f>IF(AZ27="","",IFERROR(IF(INDEX(CODIFICACION!$E$2:$E$500,MATCH("D3.12|"&amp;AZ27,CODIFICACION!$F$2:$F$500,0))="sin dato","",INDEX(CODIFICACION!$E$2:$E$500,MATCH("D3.12|"&amp;AZ27,CODIFICACION!$F$2:$F$500,0))),"⚠"))</f>
        <v/>
      </c>
      <c r="V27" t="str">
        <f t="shared" si="5"/>
        <v/>
      </c>
      <c r="W27" t="str">
        <f ca="1">IF(BB27="","",IFERROR(IF(INDEX(CODIFICACION!$E$2:$E$500,MATCH("D3.14|"&amp;BB27,CODIFICACION!$F$2:$F$500,0))="sin dato","",INDEX(CODIFICACION!$E$2:$E$500,MATCH("D3.14|"&amp;BB27,CODIFICACION!$F$2:$F$500,0))),"⚠"))</f>
        <v/>
      </c>
      <c r="X27" t="str">
        <f ca="1">IF(BC27="","",IFERROR(IF(INDEX(CODIFICACION!$E$2:$E$500,MATCH("D3.14a|"&amp;BC27,CODIFICACION!$F$2:$F$500,0))="sin dato","",INDEX(CODIFICACION!$E$2:$E$500,MATCH("D3.14a|"&amp;BC27,CODIFICACION!$F$2:$F$500,0))),"⚠"))</f>
        <v/>
      </c>
      <c r="Y27" t="str">
        <f>IF(BD27="","",IFERROR(IF(INDEX(CODIFICACION!$E$2:$E$500,MATCH("D3.14b|"&amp;BD27,CODIFICACION!$F$2:$F$500,0))="sin dato","",INDEX(CODIFICACION!$E$2:$E$500,MATCH("D3.14b|"&amp;BD27,CODIFICACION!$F$2:$F$500,0))),"⚠"))</f>
        <v/>
      </c>
      <c r="Z27" t="str">
        <f>IF(BE27="","",IFERROR(IF(INDEX(CODIFICACION!$E$2:$E$500,MATCH("D3.14c|"&amp;BE27,CODIFICACION!$F$2:$F$500,0))="sin dato","",INDEX(CODIFICACION!$E$2:$E$500,MATCH("D3.14c|"&amp;BE27,CODIFICACION!$F$2:$F$500,0))),"⚠"))</f>
        <v/>
      </c>
      <c r="AA27" t="str">
        <f>IF(BF27="","",IFERROR(IF(INDEX(CODIFICACION!$E$2:$E$500,MATCH("D3.14d|"&amp;BF27,CODIFICACION!$F$2:$F$500,0))="sin dato","",INDEX(CODIFICACION!$E$2:$E$500,MATCH("D3.14d|"&amp;BF27,CODIFICACION!$F$2:$F$500,0))),"⚠"))</f>
        <v/>
      </c>
      <c r="AB27" t="str">
        <f>IF(BG27="","",IFERROR(IF(INDEX(CODIFICACION!$E$2:$E$500,MATCH("D3.14e|"&amp;BG27,CODIFICACION!$F$2:$F$500,0))="sin dato","",INDEX(CODIFICACION!$E$2:$E$500,MATCH("D3.14e|"&amp;BG27,CODIFICACION!$F$2:$F$500,0))),"⚠"))</f>
        <v/>
      </c>
      <c r="AC27" t="str">
        <f>IF(BH27="","",IFERROR(IF(INDEX(CODIFICACION!$E$2:$E$500,MATCH("D3.14f|"&amp;BH27,CODIFICACION!$F$2:$F$500,0))="sin dato","",INDEX(CODIFICACION!$E$2:$E$500,MATCH("D3.14f|"&amp;BH27,CODIFICACION!$F$2:$F$500,0))),"⚠"))</f>
        <v/>
      </c>
      <c r="AD27" t="str">
        <f>IF(BI27="","",IFERROR(IF(INDEX(CODIFICACION!$E$2:$E$500,MATCH("D3.14g|"&amp;BI27,CODIFICACION!$F$2:$F$500,0))="sin dato","",INDEX(CODIFICACION!$E$2:$E$500,MATCH("D3.14g|"&amp;BI27,CODIFICACION!$F$2:$F$500,0))),"⚠"))</f>
        <v/>
      </c>
      <c r="AE27" t="str">
        <f>IF(BJ27="","",IFERROR(IF(INDEX(CODIFICACION!$E$2:$E$500,MATCH("D3.14h|"&amp;BJ27,CODIFICACION!$F$2:$F$500,0))="sin dato","",INDEX(CODIFICACION!$E$2:$E$500,MATCH("D3.14h|"&amp;BJ27,CODIFICACION!$F$2:$F$500,0))),"⚠"))</f>
        <v/>
      </c>
      <c r="AF27" t="str">
        <f>IF(BK27="","",IFERROR(IF(INDEX(CODIFICACION!$E$2:$E$500,MATCH("D3.14i|"&amp;BK27,CODIFICACION!$F$2:$F$500,0))="sin dato","",INDEX(CODIFICACION!$E$2:$E$500,MATCH("D3.14i|"&amp;BK27,CODIFICACION!$F$2:$F$500,0))),"⚠"))</f>
        <v/>
      </c>
      <c r="AG27" t="str">
        <f>IF(BL27="","",IFERROR(IF(INDEX(CODIFICACION!$E$2:$E$500,MATCH("D4.15|"&amp;BL27,CODIFICACION!$F$2:$F$500,0))="sin dato","",INDEX(CODIFICACION!$E$2:$E$500,MATCH("D4.15|"&amp;BL27,CODIFICACION!$F$2:$F$500,0))),"⚠"))</f>
        <v/>
      </c>
      <c r="AH27" t="str">
        <f t="shared" si="6"/>
        <v/>
      </c>
      <c r="AI27" t="str">
        <f>IF(BN27="","",IFERROR(IF(INDEX(CODIFICACION!$E$2:$E$500,MATCH("D4.17|"&amp;BN27,CODIFICACION!$F$2:$F$500,0))="sin dato","",INDEX(CODIFICACION!$E$2:$E$500,MATCH("D4.17|"&amp;BN27,CODIFICACION!$F$2:$F$500,0))),"⚠"))</f>
        <v/>
      </c>
      <c r="AJ27" t="str">
        <f>IF(BO27="","",IFERROR(IF(INDEX(CODIFICACION!$E$2:$E$500,MATCH("D4.15a|"&amp;BO27,CODIFICACION!$F$2:$F$500,0))="sin dato","",INDEX(CODIFICACION!$E$2:$E$500,MATCH("D4.15a|"&amp;BO27,CODIFICACION!$F$2:$F$500,0))),"⚠"))</f>
        <v/>
      </c>
      <c r="AK27" t="str">
        <f t="shared" si="7"/>
        <v/>
      </c>
      <c r="AL27" t="str">
        <f t="shared" si="8"/>
        <v/>
      </c>
      <c r="AM27" t="str">
        <f>IF(BR27="","",IFERROR(IF(INDEX(CODIFICACION!$E$2:$E$500,MATCH("D5.18b|"&amp;BR27,CODIFICACION!$F$2:$F$500,0))="sin dato","",INDEX(CODIFICACION!$E$2:$E$500,MATCH("D5.18b|"&amp;BR27,CODIFICACION!$F$2:$F$500,0))),"⚠"))</f>
        <v/>
      </c>
      <c r="AN27" t="str">
        <f>IF(BS27="","",IFERROR(IF(INDEX(CODIFICACION!$E$2:$E$500,MATCH("D5.19|"&amp;BS27,CODIFICACION!$F$2:$F$500,0))="sin dato","",INDEX(CODIFICACION!$E$2:$E$500,MATCH("D5.19|"&amp;BS27,CODIFICACION!$F$2:$F$500,0))),"⚠"))</f>
        <v/>
      </c>
      <c r="AO27" t="str">
        <f t="shared" si="9"/>
        <v/>
      </c>
      <c r="AP27" t="str">
        <f>IF(BU27="","",IFERROR(IF(INDEX(CODIFICACION!$E$2:$E$500,MATCH("D5.20|"&amp;BU27,CODIFICACION!$F$2:$F$500,0))="sin dato","",INDEX(CODIFICACION!$E$2:$E$500,MATCH("D5.20|"&amp;BU27,CODIFICACION!$F$2:$F$500,0))),"⚠"))</f>
        <v/>
      </c>
      <c r="AQ27" t="str">
        <f>IF(BV27="","",IFERROR(IF(INDEX(CODIFICACION!$E$2:$E$500,MATCH("D5.21|"&amp;BV27,CODIFICACION!$F$2:$F$500,0))="sin dato","",INDEX(CODIFICACION!$E$2:$E$500,MATCH("D5.21|"&amp;BV27,CODIFICACION!$F$2:$F$500,0))),"⚠"))</f>
        <v/>
      </c>
      <c r="AR27" t="str">
        <f>IF(BW27="","",IFERROR(IF(INDEX(CODIFICACION!$E$2:$E$500,MATCH("D5.21a|"&amp;BW27,CODIFICACION!$F$2:$F$500,0))="sin dato","",INDEX(CODIFICACION!$E$2:$E$500,MATCH("D5.21a|"&amp;BW27,CODIFICACION!$F$2:$F$500,0))),"⚠"))</f>
        <v/>
      </c>
      <c r="AS27" t="str">
        <f>IF(BX27="","",IFERROR(IF(INDEX(CODIFICACION!$E$2:$E$500,MATCH("D5.21b|"&amp;BX27,CODIFICACION!$F$2:$F$500,0))="sin dato","",INDEX(CODIFICACION!$E$2:$E$500,MATCH("D5.21b|"&amp;BX27,CODIFICACION!$F$2:$F$500,0))),"⚠"))</f>
        <v/>
      </c>
      <c r="AT27" t="str">
        <f>IF(BY27="","",IFERROR(IF(INDEX(CODIFICACION!$E$2:$E$500,MATCH("D6.22|"&amp;BY27,CODIFICACION!$F$2:$F$500,0))="sin dato","",INDEX(CODIFICACION!$E$2:$E$500,MATCH("D6.22|"&amp;BY27,CODIFICACION!$F$2:$F$500,0))),"⚠"))</f>
        <v/>
      </c>
      <c r="AU27" t="str">
        <f>IF(BZ27="","",IFERROR(IF(INDEX(CODIFICACION!$E$2:$E$500,MATCH("D6.22a|"&amp;BZ27,CODIFICACION!$F$2:$F$500,0))="sin dato","",INDEX(CODIFICACION!$E$2:$E$500,MATCH("D6.22a|"&amp;BZ27,CODIFICACION!$F$2:$F$500,0))),"⚠"))</f>
        <v/>
      </c>
      <c r="AV27" t="str">
        <f>IF(CA27="","",IFERROR(IF(INDEX(CODIFICACION!$E$2:$E$500,MATCH("D6.22b|"&amp;CA27,CODIFICACION!$F$2:$F$500,0))="sin dato","",INDEX(CODIFICACION!$E$2:$E$500,MATCH("D6.22b|"&amp;CA27,CODIFICACION!$F$2:$F$500,0))),"⚠"))</f>
        <v/>
      </c>
      <c r="AW27" t="str">
        <f>IF(CB27="","",IFERROR(IF(INDEX(CODIFICACION!$E$2:$E$500,MATCH("D6.23|"&amp;CB27,CODIFICACION!$F$2:$F$500,0))="sin dato","",INDEX(CODIFICACION!$E$2:$E$500,MATCH("D6.23|"&amp;CB27,CODIFICACION!$F$2:$F$500,0))),"⚠"))</f>
        <v/>
      </c>
      <c r="AX27" t="str">
        <f ca="1">IF(CC27="","",IFERROR(IF(INDEX(CODIFICACION!$E$2:$E$500,MATCH("D6.24|"&amp;CC27,CODIFICACION!$F$2:$F$500,0))="sin dato","",INDEX(CODIFICACION!$E$2:$E$500,MATCH("D6.24|"&amp;CC27,CODIFICACION!$F$2:$F$500,0))),"⚠"))</f>
        <v/>
      </c>
      <c r="AY27" t="str">
        <f ca="1">IF(CD27="","",IFERROR(IF(INDEX(CODIFICACION!$E$2:$E$500,MATCH("D6.25|"&amp;CD27,CODIFICACION!$F$2:$F$500,0))="sin dato","",INDEX(CODIFICACION!$E$2:$E$500,MATCH("D6.25|"&amp;CD27,CODIFICACION!$F$2:$F$500,0))),"⚠"))</f>
        <v/>
      </c>
      <c r="AZ27" t="str">
        <f>IF(CE27="","",IFERROR(IF(INDEX(CODIFICACION!$E$2:$E$500,MATCH("D6.25a|"&amp;CE27,CODIFICACION!$F$2:$F$500,0))="sin dato","",INDEX(CODIFICACION!$E$2:$E$500,MATCH("D6.25a|"&amp;CE27,CODIFICACION!$F$2:$F$500,0))),"⚠"))</f>
        <v/>
      </c>
      <c r="BA27" t="str">
        <f>IF(CF27="","",IFERROR(IF(INDEX(CODIFICACION!$E$2:$E$500,MATCH("D6.25b|"&amp;CF27,CODIFICACION!$F$2:$F$500,0))="sin dato","",INDEX(CODIFICACION!$E$2:$E$500,MATCH("D6.25b|"&amp;CF27,CODIFICACION!$F$2:$F$500,0))),"⚠"))</f>
        <v/>
      </c>
      <c r="BB27" t="str">
        <f ca="1">IF(CG27="","",IFERROR(IF(INDEX(CODIFICACION!$E$2:$E$500,MATCH("D6.22c|"&amp;CG27,CODIFICACION!$F$2:$F$500,0))="sin dato","",INDEX(CODIFICACION!$E$2:$E$500,MATCH("D6.22c|"&amp;CG27,CODIFICACION!$F$2:$F$500,0))),"⚠"))</f>
        <v/>
      </c>
      <c r="BC27" t="str">
        <f ca="1">IF(CH27="","",IFERROR(IF(INDEX(CODIFICACION!$E$2:$E$500,MATCH("D7.26|"&amp;CH27,CODIFICACION!$F$2:$F$500,0))="sin dato","",INDEX(CODIFICACION!$E$2:$E$500,MATCH("D7.26|"&amp;CH27,CODIFICACION!$F$2:$F$500,0))),"⚠"))</f>
        <v/>
      </c>
      <c r="BD27" t="str">
        <f>IF(CI27="","",IFERROR(IF(INDEX(CODIFICACION!$E$2:$E$500,MATCH("D7.27|"&amp;CI27,CODIFICACION!$F$2:$F$500,0))="sin dato","",INDEX(CODIFICACION!$E$2:$E$500,MATCH("D7.27|"&amp;CI27,CODIFICACION!$F$2:$F$500,0))),"⚠"))</f>
        <v/>
      </c>
      <c r="BE27" t="str">
        <f>IF(CJ27="","",IFERROR(IF(INDEX(CODIFICACION!$E$2:$E$500,MATCH("D7.28|"&amp;CJ27,CODIFICACION!$F$2:$F$500,0))="sin dato","",INDEX(CODIFICACION!$E$2:$E$500,MATCH("D7.28|"&amp;CJ27,CODIFICACION!$F$2:$F$500,0))),"⚠"))</f>
        <v/>
      </c>
      <c r="BF27" t="str">
        <f>IF(CK27="","",IFERROR(IF(INDEX(CODIFICACION!$E$2:$E$500,MATCH("D7.28b|"&amp;CK27,CODIFICACION!$F$2:$F$500,0))="sin dato","",INDEX(CODIFICACION!$E$2:$E$500,MATCH("D7.28b|"&amp;CK27,CODIFICACION!$F$2:$F$500,0))),"⚠"))</f>
        <v/>
      </c>
      <c r="BG27" t="str">
        <f t="shared" si="10"/>
        <v/>
      </c>
      <c r="BH27" t="str">
        <f>IF(CM27="","",IFERROR(IF(INDEX(CODIFICACION!$E$2:$E$500,MATCH("D7.26a|"&amp;CM27,CODIFICACION!$F$2:$F$500,0))="sin dato","",INDEX(CODIFICACION!$E$2:$E$500,MATCH("D7.26a|"&amp;CM27,CODIFICACION!$F$2:$F$500,0))),"⚠"))</f>
        <v/>
      </c>
      <c r="BI27" t="str">
        <f>IF(CN27="","",IFERROR(IF(INDEX(CODIFICACION!$E$2:$E$500,MATCH("D7.26b|"&amp;CN27,CODIFICACION!$F$2:$F$500,0))="sin dato","",INDEX(CODIFICACION!$E$2:$E$500,MATCH("D7.26b|"&amp;CN27,CODIFICACION!$F$2:$F$500,0))),"⚠"))</f>
        <v/>
      </c>
      <c r="BJ27" t="str">
        <f t="shared" si="11"/>
        <v/>
      </c>
      <c r="BK27" t="str">
        <f t="shared" si="12"/>
        <v/>
      </c>
      <c r="BL27" t="str">
        <f>IF(CQ27="","",IFERROR(IF(INDEX(CODIFICACION!$E$2:$E$500,MATCH("D8.31|"&amp;CQ27,CODIFICACION!$F$2:$F$500,0))="sin dato","",INDEX(CODIFICACION!$E$2:$E$500,MATCH("D8.31|"&amp;CQ27,CODIFICACION!$F$2:$F$500,0))),"⚠"))</f>
        <v/>
      </c>
      <c r="BM27" t="str">
        <f>IF(CR27="","",IFERROR(IF(INDEX(CODIFICACION!$E$2:$E$500,MATCH("D8.32|"&amp;CR27,CODIFICACION!$F$2:$F$500,0))="sin dato","",INDEX(CODIFICACION!$E$2:$E$500,MATCH("D8.32|"&amp;CR27,CODIFICACION!$F$2:$F$500,0))),"⚠"))</f>
        <v/>
      </c>
      <c r="BN27" t="str">
        <f>IF(CS27="","",IFERROR(IF(INDEX(CODIFICACION!$E$2:$E$500,MATCH("D9.33|"&amp;CS27,CODIFICACION!$F$2:$F$500,0))="sin dato","",INDEX(CODIFICACION!$E$2:$E$500,MATCH("D9.33|"&amp;CS27,CODIFICACION!$F$2:$F$500,0))),"⚠"))</f>
        <v/>
      </c>
      <c r="BO27" t="str">
        <f>IF(CT27="","",IFERROR(IF(INDEX(CODIFICACION!$E$2:$E$500,MATCH("D9.34|"&amp;CT27,CODIFICACION!$F$2:$F$500,0))="sin dato","",INDEX(CODIFICACION!$E$2:$E$500,MATCH("D9.34|"&amp;CT27,CODIFICACION!$F$2:$F$500,0))),"⚠"))</f>
        <v/>
      </c>
      <c r="BP27" t="str">
        <f>IF(CU27="","",IFERROR(IF(INDEX(CODIFICACION!$E$2:$E$500,MATCH("D9.35|"&amp;CU27,CODIFICACION!$F$2:$F$500,0))="sin dato","",INDEX(CODIFICACION!$E$2:$E$500,MATCH("D9.35|"&amp;CU27,CODIFICACION!$F$2:$F$500,0))),"⚠"))</f>
        <v/>
      </c>
      <c r="BQ27" t="str">
        <f>IF(CV27="","",IFERROR(IF(INDEX(CODIFICACION!$E$2:$E$500,MATCH("D10.36|"&amp;CV27,CODIFICACION!$F$2:$F$500,0))="sin dato","",INDEX(CODIFICACION!$E$2:$E$500,MATCH("D10.36|"&amp;CV27,CODIFICACION!$F$2:$F$500,0))),"⚠"))</f>
        <v/>
      </c>
      <c r="BR27" t="str">
        <f>IF(CW27="","",IFERROR(IF(INDEX(CODIFICACION!$E$2:$E$500,MATCH("D10.37|"&amp;CW27,CODIFICACION!$F$2:$F$500,0))="sin dato","",INDEX(CODIFICACION!$E$2:$E$500,MATCH("D10.37|"&amp;CW27,CODIFICACION!$F$2:$F$500,0))),"⚠"))</f>
        <v/>
      </c>
      <c r="BS27" t="str">
        <f>IF(CX27="","",IFERROR(IF(INDEX(CODIFICACION!$E$2:$E$500,MATCH("D10.36a|"&amp;CX27,CODIFICACION!$F$2:$F$500,0))="sin dato","",INDEX(CODIFICACION!$E$2:$E$500,MATCH("D10.36a|"&amp;CX27,CODIFICACION!$F$2:$F$500,0))),"⚠"))</f>
        <v/>
      </c>
      <c r="BT27" t="str">
        <f t="shared" si="13"/>
        <v/>
      </c>
      <c r="BU27" t="str">
        <f>IF(DA27="","",IFERROR(IF(INDEX(CODIFICACION!$E$2:$E$500,MATCH("D11.39a|"&amp;DA27,CODIFICACION!$F$2:$F$500,0))="sin dato","",INDEX(CODIFICACION!$E$2:$E$500,MATCH("D11.39a|"&amp;DA27,CODIFICACION!$F$2:$F$500,0))),"⚠"))</f>
        <v/>
      </c>
      <c r="BV27" t="str">
        <f>IF(DB27="","",IFERROR(IF(INDEX(CODIFICACION!$E$2:$E$500,MATCH("D12.42|"&amp;DB27,CODIFICACION!$F$2:$F$500,0))="sin dato","",INDEX(CODIFICACION!$E$2:$E$500,MATCH("D12.42|"&amp;DB27,CODIFICACION!$F$2:$F$500,0))),"⚠"))</f>
        <v/>
      </c>
      <c r="BW27" t="str">
        <f>IF(DC27="","",IFERROR(IF(INDEX(CODIFICACION!$E$2:$E$500,MATCH("D13.45|"&amp;DC27,CODIFICACION!$F$2:$F$500,0))="sin dato","",INDEX(CODIFICACION!$E$2:$E$500,MATCH("D13.45|"&amp;DC27,CODIFICACION!$F$2:$F$500,0))),"⚠"))</f>
        <v/>
      </c>
      <c r="BX27" t="str">
        <f>IF(DD27="","",IFERROR(IF(INDEX(CODIFICACION!$E$2:$E$500,MATCH("D14.51|"&amp;DD27,CODIFICACION!$F$2:$F$500,0))="sin dato","",INDEX(CODIFICACION!$E$2:$E$500,MATCH("D14.51|"&amp;DD27,CODIFICACION!$F$2:$F$500,0))),"⚠"))</f>
        <v/>
      </c>
      <c r="BY27" t="str">
        <f>IF(DE27="","",IFERROR(IF(INDEX(CODIFICACION!$E$2:$E$500,MATCH("D15.58|"&amp;DE27,CODIFICACION!$F$2:$F$500,0))="sin dato","",INDEX(CODIFICACION!$E$2:$E$500,MATCH("D15.58|"&amp;DE27,CODIFICACION!$F$2:$F$500,0))),"⚠"))</f>
        <v/>
      </c>
      <c r="BZ27" t="str">
        <f>IF(DF27="","",IFERROR(IF(INDEX(CODIFICACION!$E$2:$E$500,MATCH("PP1|"&amp;DF27,CODIFICACION!$F$2:$F$500,0))="sin dato","",INDEX(CODIFICACION!$E$2:$E$500,MATCH("PP1|"&amp;DF27,CODIFICACION!$F$2:$F$500,0))),"⚠"))</f>
        <v/>
      </c>
      <c r="CA27" t="str">
        <f>IF(DG27="","",IFERROR(IF(INDEX(CODIFICACION!$E$2:$E$500,MATCH("PP2|"&amp;DG27,CODIFICACION!$F$2:$F$500,0))="sin dato","",INDEX(CODIFICACION!$E$2:$E$500,MATCH("PP2|"&amp;DG27,CODIFICACION!$F$2:$F$500,0))),"⚠"))</f>
        <v/>
      </c>
      <c r="CB27" t="str">
        <f t="shared" si="14"/>
        <v/>
      </c>
      <c r="CC27" t="str">
        <f t="shared" ca="1" si="15"/>
        <v/>
      </c>
      <c r="CD27" t="str">
        <f t="shared" ca="1" si="16"/>
        <v/>
      </c>
      <c r="CE27" t="str">
        <f t="shared" si="17"/>
        <v/>
      </c>
      <c r="CF27" t="str">
        <f t="shared" si="18"/>
        <v/>
      </c>
      <c r="CG27" t="str">
        <f t="shared" ca="1" si="19"/>
        <v/>
      </c>
      <c r="CH27" t="str">
        <f t="shared" ca="1" si="20"/>
        <v/>
      </c>
      <c r="CI27" t="str">
        <f t="shared" si="21"/>
        <v/>
      </c>
      <c r="CJ27" t="str">
        <f t="shared" si="22"/>
        <v/>
      </c>
      <c r="CK27" t="str">
        <f t="shared" si="23"/>
        <v/>
      </c>
      <c r="CL27" t="str">
        <f t="shared" si="24"/>
        <v/>
      </c>
    </row>
    <row r="28" spans="1:90" x14ac:dyDescent="0.3">
      <c r="A28">
        <f>CAPTURA!A28</f>
        <v>20393882868</v>
      </c>
      <c r="B28">
        <f>CAPTURA!C28</f>
        <v>0</v>
      </c>
      <c r="C28" t="str">
        <f t="shared" si="0"/>
        <v/>
      </c>
      <c r="D28" t="str">
        <f>IF(AE28="","",IFERROR(IF(INDEX(CODIFICACION!$E$2:$E$500,MATCH("P8|"&amp;AE28,CODIFICACION!$F$2:$F$500,0))="sin dato","",INDEX(CODIFICACION!$E$2:$E$500,MATCH("P8|"&amp;AE28,CODIFICACION!$F$2:$F$500,0))),"⚠"))</f>
        <v/>
      </c>
      <c r="E28" t="str">
        <f>IF(AG28="","",IFERROR(IF(INDEX(CODIFICACION!$E$2:$E$500,MATCH("P10|"&amp;AG28,CODIFICACION!$F$2:$F$500,0))="sin dato","",INDEX(CODIFICACION!$E$2:$E$500,MATCH("P10|"&amp;AG28,CODIFICACION!$F$2:$F$500,0))),"⚠"))</f>
        <v/>
      </c>
      <c r="F28" t="str">
        <f>IF(AJ28="","",IFERROR(IF(INDEX(CODIFICACION!$E$2:$E$500,MATCH("P13|"&amp;AJ28,CODIFICACION!$F$2:$F$500,0))="sin dato","",INDEX(CODIFICACION!$E$2:$E$500,MATCH("P13|"&amp;AJ28,CODIFICACION!$F$2:$F$500,0))),"⚠"))</f>
        <v/>
      </c>
      <c r="G28" t="str">
        <f>IF(AK28="","",IFERROR(IF(INDEX(CODIFICACION!$E$2:$E$500,MATCH("P14|"&amp;AK28,CODIFICACION!$F$2:$F$500,0))="sin dato","",INDEX(CODIFICACION!$E$2:$E$500,MATCH("P14|"&amp;AK28,CODIFICACION!$F$2:$F$500,0))),"⚠"))</f>
        <v/>
      </c>
      <c r="H28" t="str">
        <f>IF(AL28="","",IFERROR(IF(INDEX(CODIFICACION!$E$2:$E$500,MATCH("D1.1|"&amp;AL28,CODIFICACION!$F$2:$F$500,0))="sin dato","",INDEX(CODIFICACION!$E$2:$E$500,MATCH("D1.1|"&amp;AL28,CODIFICACION!$F$2:$F$500,0))),"⚠"))</f>
        <v/>
      </c>
      <c r="I28" t="str">
        <f>IF(AN28="","",IFERROR(IF(INDEX(CODIFICACION!$E$2:$E$500,MATCH("D1.3|"&amp;AN28,CODIFICACION!$F$2:$F$500,0))="sin dato","",INDEX(CODIFICACION!$E$2:$E$500,MATCH("D1.3|"&amp;AN28,CODIFICACION!$F$2:$F$500,0))),"⚠"))</f>
        <v/>
      </c>
      <c r="J28" t="str">
        <f>IF(AO28="","",IFERROR(IF(INDEX(CODIFICACION!$E$2:$E$500,MATCH("D1.4|"&amp;AO28,CODIFICACION!$F$2:$F$500,0))="sin dato","",INDEX(CODIFICACION!$E$2:$E$500,MATCH("D1.4|"&amp;AO28,CODIFICACION!$F$2:$F$500,0))),"⚠"))</f>
        <v/>
      </c>
      <c r="K28" t="str">
        <f>IF(AP28="","",IFERROR(IF(INDEX(CODIFICACION!$E$2:$E$500,MATCH("D1.3a|"&amp;AP28,CODIFICACION!$F$2:$F$500,0))="sin dato","",INDEX(CODIFICACION!$E$2:$E$500,MATCH("D1.3a|"&amp;AP28,CODIFICACION!$F$2:$F$500,0))),"⚠"))</f>
        <v/>
      </c>
      <c r="L28" t="str">
        <f t="shared" si="1"/>
        <v/>
      </c>
      <c r="M28" t="str">
        <f t="shared" si="2"/>
        <v/>
      </c>
      <c r="N28" t="str">
        <f t="shared" si="3"/>
        <v/>
      </c>
      <c r="O28" t="str">
        <f>IF(AT28="","",IFERROR(IF(INDEX(CODIFICACION!$E$2:$E$500,MATCH("D2.8|"&amp;AT28,CODIFICACION!$F$2:$F$500,0))="sin dato","",INDEX(CODIFICACION!$E$2:$E$500,MATCH("D2.8|"&amp;AT28,CODIFICACION!$F$2:$F$500,0))),"⚠"))</f>
        <v/>
      </c>
      <c r="P28" t="str">
        <f>IF(AU28="","",IFERROR(IF(INDEX(CODIFICACION!$E$2:$E$500,MATCH("D2.9|"&amp;AU28,CODIFICACION!$F$2:$F$500,0))="sin dato","",INDEX(CODIFICACION!$E$2:$E$500,MATCH("D2.9|"&amp;AU28,CODIFICACION!$F$2:$F$500,0))),"⚠"))</f>
        <v/>
      </c>
      <c r="Q28" t="str">
        <f>IF(AV28="","",IFERROR(IF(INDEX(CODIFICACION!$E$2:$E$500,MATCH("D2.10|"&amp;AV28,CODIFICACION!$F$2:$F$500,0))="sin dato","",INDEX(CODIFICACION!$E$2:$E$500,MATCH("D2.10|"&amp;AV28,CODIFICACION!$F$2:$F$500,0))),"⚠"))</f>
        <v/>
      </c>
      <c r="R28" t="str">
        <f>IF(AW28="","",IFERROR(IF(INDEX(CODIFICACION!$E$2:$E$500,MATCH("D2.5a|"&amp;AW28,CODIFICACION!$F$2:$F$500,0))="sin dato","",INDEX(CODIFICACION!$E$2:$E$500,MATCH("D2.5a|"&amp;AW28,CODIFICACION!$F$2:$F$500,0))),"⚠"))</f>
        <v/>
      </c>
      <c r="S28" t="str">
        <f ca="1">IF(AX28="","",IFERROR(IF(INDEX(CODIFICACION!$E$2:$E$500,MATCH("D2.5b|"&amp;AX28,CODIFICACION!$F$2:$F$500,0))="sin dato","",INDEX(CODIFICACION!$E$2:$E$500,MATCH("D2.5b|"&amp;AX28,CODIFICACION!$F$2:$F$500,0))),"⚠"))</f>
        <v/>
      </c>
      <c r="T28" t="str">
        <f t="shared" ca="1" si="4"/>
        <v/>
      </c>
      <c r="U28" t="str">
        <f>IF(AZ28="","",IFERROR(IF(INDEX(CODIFICACION!$E$2:$E$500,MATCH("D3.12|"&amp;AZ28,CODIFICACION!$F$2:$F$500,0))="sin dato","",INDEX(CODIFICACION!$E$2:$E$500,MATCH("D3.12|"&amp;AZ28,CODIFICACION!$F$2:$F$500,0))),"⚠"))</f>
        <v/>
      </c>
      <c r="V28" t="str">
        <f t="shared" si="5"/>
        <v/>
      </c>
      <c r="W28" t="str">
        <f ca="1">IF(BB28="","",IFERROR(IF(INDEX(CODIFICACION!$E$2:$E$500,MATCH("D3.14|"&amp;BB28,CODIFICACION!$F$2:$F$500,0))="sin dato","",INDEX(CODIFICACION!$E$2:$E$500,MATCH("D3.14|"&amp;BB28,CODIFICACION!$F$2:$F$500,0))),"⚠"))</f>
        <v/>
      </c>
      <c r="X28" t="str">
        <f ca="1">IF(BC28="","",IFERROR(IF(INDEX(CODIFICACION!$E$2:$E$500,MATCH("D3.14a|"&amp;BC28,CODIFICACION!$F$2:$F$500,0))="sin dato","",INDEX(CODIFICACION!$E$2:$E$500,MATCH("D3.14a|"&amp;BC28,CODIFICACION!$F$2:$F$500,0))),"⚠"))</f>
        <v/>
      </c>
      <c r="Y28" t="str">
        <f>IF(BD28="","",IFERROR(IF(INDEX(CODIFICACION!$E$2:$E$500,MATCH("D3.14b|"&amp;BD28,CODIFICACION!$F$2:$F$500,0))="sin dato","",INDEX(CODIFICACION!$E$2:$E$500,MATCH("D3.14b|"&amp;BD28,CODIFICACION!$F$2:$F$500,0))),"⚠"))</f>
        <v/>
      </c>
      <c r="Z28" t="str">
        <f>IF(BE28="","",IFERROR(IF(INDEX(CODIFICACION!$E$2:$E$500,MATCH("D3.14c|"&amp;BE28,CODIFICACION!$F$2:$F$500,0))="sin dato","",INDEX(CODIFICACION!$E$2:$E$500,MATCH("D3.14c|"&amp;BE28,CODIFICACION!$F$2:$F$500,0))),"⚠"))</f>
        <v/>
      </c>
      <c r="AA28" t="str">
        <f>IF(BF28="","",IFERROR(IF(INDEX(CODIFICACION!$E$2:$E$500,MATCH("D3.14d|"&amp;BF28,CODIFICACION!$F$2:$F$500,0))="sin dato","",INDEX(CODIFICACION!$E$2:$E$500,MATCH("D3.14d|"&amp;BF28,CODIFICACION!$F$2:$F$500,0))),"⚠"))</f>
        <v/>
      </c>
      <c r="AB28" t="str">
        <f>IF(BG28="","",IFERROR(IF(INDEX(CODIFICACION!$E$2:$E$500,MATCH("D3.14e|"&amp;BG28,CODIFICACION!$F$2:$F$500,0))="sin dato","",INDEX(CODIFICACION!$E$2:$E$500,MATCH("D3.14e|"&amp;BG28,CODIFICACION!$F$2:$F$500,0))),"⚠"))</f>
        <v/>
      </c>
      <c r="AC28" t="str">
        <f>IF(BH28="","",IFERROR(IF(INDEX(CODIFICACION!$E$2:$E$500,MATCH("D3.14f|"&amp;BH28,CODIFICACION!$F$2:$F$500,0))="sin dato","",INDEX(CODIFICACION!$E$2:$E$500,MATCH("D3.14f|"&amp;BH28,CODIFICACION!$F$2:$F$500,0))),"⚠"))</f>
        <v/>
      </c>
      <c r="AD28" t="str">
        <f>IF(BI28="","",IFERROR(IF(INDEX(CODIFICACION!$E$2:$E$500,MATCH("D3.14g|"&amp;BI28,CODIFICACION!$F$2:$F$500,0))="sin dato","",INDEX(CODIFICACION!$E$2:$E$500,MATCH("D3.14g|"&amp;BI28,CODIFICACION!$F$2:$F$500,0))),"⚠"))</f>
        <v/>
      </c>
      <c r="AE28" t="str">
        <f>IF(BJ28="","",IFERROR(IF(INDEX(CODIFICACION!$E$2:$E$500,MATCH("D3.14h|"&amp;BJ28,CODIFICACION!$F$2:$F$500,0))="sin dato","",INDEX(CODIFICACION!$E$2:$E$500,MATCH("D3.14h|"&amp;BJ28,CODIFICACION!$F$2:$F$500,0))),"⚠"))</f>
        <v/>
      </c>
      <c r="AF28" t="str">
        <f>IF(BK28="","",IFERROR(IF(INDEX(CODIFICACION!$E$2:$E$500,MATCH("D3.14i|"&amp;BK28,CODIFICACION!$F$2:$F$500,0))="sin dato","",INDEX(CODIFICACION!$E$2:$E$500,MATCH("D3.14i|"&amp;BK28,CODIFICACION!$F$2:$F$500,0))),"⚠"))</f>
        <v/>
      </c>
      <c r="AG28" t="str">
        <f>IF(BL28="","",IFERROR(IF(INDEX(CODIFICACION!$E$2:$E$500,MATCH("D4.15|"&amp;BL28,CODIFICACION!$F$2:$F$500,0))="sin dato","",INDEX(CODIFICACION!$E$2:$E$500,MATCH("D4.15|"&amp;BL28,CODIFICACION!$F$2:$F$500,0))),"⚠"))</f>
        <v/>
      </c>
      <c r="AH28" t="str">
        <f t="shared" si="6"/>
        <v/>
      </c>
      <c r="AI28" t="str">
        <f>IF(BN28="","",IFERROR(IF(INDEX(CODIFICACION!$E$2:$E$500,MATCH("D4.17|"&amp;BN28,CODIFICACION!$F$2:$F$500,0))="sin dato","",INDEX(CODIFICACION!$E$2:$E$500,MATCH("D4.17|"&amp;BN28,CODIFICACION!$F$2:$F$500,0))),"⚠"))</f>
        <v/>
      </c>
      <c r="AJ28" t="str">
        <f>IF(BO28="","",IFERROR(IF(INDEX(CODIFICACION!$E$2:$E$500,MATCH("D4.15a|"&amp;BO28,CODIFICACION!$F$2:$F$500,0))="sin dato","",INDEX(CODIFICACION!$E$2:$E$500,MATCH("D4.15a|"&amp;BO28,CODIFICACION!$F$2:$F$500,0))),"⚠"))</f>
        <v/>
      </c>
      <c r="AK28" t="str">
        <f t="shared" si="7"/>
        <v/>
      </c>
      <c r="AL28" t="str">
        <f t="shared" si="8"/>
        <v/>
      </c>
      <c r="AM28" t="str">
        <f>IF(BR28="","",IFERROR(IF(INDEX(CODIFICACION!$E$2:$E$500,MATCH("D5.18b|"&amp;BR28,CODIFICACION!$F$2:$F$500,0))="sin dato","",INDEX(CODIFICACION!$E$2:$E$500,MATCH("D5.18b|"&amp;BR28,CODIFICACION!$F$2:$F$500,0))),"⚠"))</f>
        <v/>
      </c>
      <c r="AN28" t="str">
        <f>IF(BS28="","",IFERROR(IF(INDEX(CODIFICACION!$E$2:$E$500,MATCH("D5.19|"&amp;BS28,CODIFICACION!$F$2:$F$500,0))="sin dato","",INDEX(CODIFICACION!$E$2:$E$500,MATCH("D5.19|"&amp;BS28,CODIFICACION!$F$2:$F$500,0))),"⚠"))</f>
        <v/>
      </c>
      <c r="AO28" t="str">
        <f t="shared" si="9"/>
        <v/>
      </c>
      <c r="AP28" t="str">
        <f>IF(BU28="","",IFERROR(IF(INDEX(CODIFICACION!$E$2:$E$500,MATCH("D5.20|"&amp;BU28,CODIFICACION!$F$2:$F$500,0))="sin dato","",INDEX(CODIFICACION!$E$2:$E$500,MATCH("D5.20|"&amp;BU28,CODIFICACION!$F$2:$F$500,0))),"⚠"))</f>
        <v/>
      </c>
      <c r="AQ28" t="str">
        <f>IF(BV28="","",IFERROR(IF(INDEX(CODIFICACION!$E$2:$E$500,MATCH("D5.21|"&amp;BV28,CODIFICACION!$F$2:$F$500,0))="sin dato","",INDEX(CODIFICACION!$E$2:$E$500,MATCH("D5.21|"&amp;BV28,CODIFICACION!$F$2:$F$500,0))),"⚠"))</f>
        <v/>
      </c>
      <c r="AR28" t="str">
        <f>IF(BW28="","",IFERROR(IF(INDEX(CODIFICACION!$E$2:$E$500,MATCH("D5.21a|"&amp;BW28,CODIFICACION!$F$2:$F$500,0))="sin dato","",INDEX(CODIFICACION!$E$2:$E$500,MATCH("D5.21a|"&amp;BW28,CODIFICACION!$F$2:$F$500,0))),"⚠"))</f>
        <v/>
      </c>
      <c r="AS28" t="str">
        <f>IF(BX28="","",IFERROR(IF(INDEX(CODIFICACION!$E$2:$E$500,MATCH("D5.21b|"&amp;BX28,CODIFICACION!$F$2:$F$500,0))="sin dato","",INDEX(CODIFICACION!$E$2:$E$500,MATCH("D5.21b|"&amp;BX28,CODIFICACION!$F$2:$F$500,0))),"⚠"))</f>
        <v/>
      </c>
      <c r="AT28" t="str">
        <f>IF(BY28="","",IFERROR(IF(INDEX(CODIFICACION!$E$2:$E$500,MATCH("D6.22|"&amp;BY28,CODIFICACION!$F$2:$F$500,0))="sin dato","",INDEX(CODIFICACION!$E$2:$E$500,MATCH("D6.22|"&amp;BY28,CODIFICACION!$F$2:$F$500,0))),"⚠"))</f>
        <v/>
      </c>
      <c r="AU28" t="str">
        <f>IF(BZ28="","",IFERROR(IF(INDEX(CODIFICACION!$E$2:$E$500,MATCH("D6.22a|"&amp;BZ28,CODIFICACION!$F$2:$F$500,0))="sin dato","",INDEX(CODIFICACION!$E$2:$E$500,MATCH("D6.22a|"&amp;BZ28,CODIFICACION!$F$2:$F$500,0))),"⚠"))</f>
        <v/>
      </c>
      <c r="AV28" t="str">
        <f>IF(CA28="","",IFERROR(IF(INDEX(CODIFICACION!$E$2:$E$500,MATCH("D6.22b|"&amp;CA28,CODIFICACION!$F$2:$F$500,0))="sin dato","",INDEX(CODIFICACION!$E$2:$E$500,MATCH("D6.22b|"&amp;CA28,CODIFICACION!$F$2:$F$500,0))),"⚠"))</f>
        <v/>
      </c>
      <c r="AW28" t="str">
        <f>IF(CB28="","",IFERROR(IF(INDEX(CODIFICACION!$E$2:$E$500,MATCH("D6.23|"&amp;CB28,CODIFICACION!$F$2:$F$500,0))="sin dato","",INDEX(CODIFICACION!$E$2:$E$500,MATCH("D6.23|"&amp;CB28,CODIFICACION!$F$2:$F$500,0))),"⚠"))</f>
        <v/>
      </c>
      <c r="AX28" t="str">
        <f ca="1">IF(CC28="","",IFERROR(IF(INDEX(CODIFICACION!$E$2:$E$500,MATCH("D6.24|"&amp;CC28,CODIFICACION!$F$2:$F$500,0))="sin dato","",INDEX(CODIFICACION!$E$2:$E$500,MATCH("D6.24|"&amp;CC28,CODIFICACION!$F$2:$F$500,0))),"⚠"))</f>
        <v/>
      </c>
      <c r="AY28" t="str">
        <f ca="1">IF(CD28="","",IFERROR(IF(INDEX(CODIFICACION!$E$2:$E$500,MATCH("D6.25|"&amp;CD28,CODIFICACION!$F$2:$F$500,0))="sin dato","",INDEX(CODIFICACION!$E$2:$E$500,MATCH("D6.25|"&amp;CD28,CODIFICACION!$F$2:$F$500,0))),"⚠"))</f>
        <v/>
      </c>
      <c r="AZ28" t="str">
        <f>IF(CE28="","",IFERROR(IF(INDEX(CODIFICACION!$E$2:$E$500,MATCH("D6.25a|"&amp;CE28,CODIFICACION!$F$2:$F$500,0))="sin dato","",INDEX(CODIFICACION!$E$2:$E$500,MATCH("D6.25a|"&amp;CE28,CODIFICACION!$F$2:$F$500,0))),"⚠"))</f>
        <v/>
      </c>
      <c r="BA28" t="str">
        <f>IF(CF28="","",IFERROR(IF(INDEX(CODIFICACION!$E$2:$E$500,MATCH("D6.25b|"&amp;CF28,CODIFICACION!$F$2:$F$500,0))="sin dato","",INDEX(CODIFICACION!$E$2:$E$500,MATCH("D6.25b|"&amp;CF28,CODIFICACION!$F$2:$F$500,0))),"⚠"))</f>
        <v/>
      </c>
      <c r="BB28" t="str">
        <f ca="1">IF(CG28="","",IFERROR(IF(INDEX(CODIFICACION!$E$2:$E$500,MATCH("D6.22c|"&amp;CG28,CODIFICACION!$F$2:$F$500,0))="sin dato","",INDEX(CODIFICACION!$E$2:$E$500,MATCH("D6.22c|"&amp;CG28,CODIFICACION!$F$2:$F$500,0))),"⚠"))</f>
        <v/>
      </c>
      <c r="BC28" t="str">
        <f ca="1">IF(CH28="","",IFERROR(IF(INDEX(CODIFICACION!$E$2:$E$500,MATCH("D7.26|"&amp;CH28,CODIFICACION!$F$2:$F$500,0))="sin dato","",INDEX(CODIFICACION!$E$2:$E$500,MATCH("D7.26|"&amp;CH28,CODIFICACION!$F$2:$F$500,0))),"⚠"))</f>
        <v/>
      </c>
      <c r="BD28" t="str">
        <f>IF(CI28="","",IFERROR(IF(INDEX(CODIFICACION!$E$2:$E$500,MATCH("D7.27|"&amp;CI28,CODIFICACION!$F$2:$F$500,0))="sin dato","",INDEX(CODIFICACION!$E$2:$E$500,MATCH("D7.27|"&amp;CI28,CODIFICACION!$F$2:$F$500,0))),"⚠"))</f>
        <v/>
      </c>
      <c r="BE28" t="str">
        <f>IF(CJ28="","",IFERROR(IF(INDEX(CODIFICACION!$E$2:$E$500,MATCH("D7.28|"&amp;CJ28,CODIFICACION!$F$2:$F$500,0))="sin dato","",INDEX(CODIFICACION!$E$2:$E$500,MATCH("D7.28|"&amp;CJ28,CODIFICACION!$F$2:$F$500,0))),"⚠"))</f>
        <v/>
      </c>
      <c r="BF28" t="str">
        <f>IF(CK28="","",IFERROR(IF(INDEX(CODIFICACION!$E$2:$E$500,MATCH("D7.28b|"&amp;CK28,CODIFICACION!$F$2:$F$500,0))="sin dato","",INDEX(CODIFICACION!$E$2:$E$500,MATCH("D7.28b|"&amp;CK28,CODIFICACION!$F$2:$F$500,0))),"⚠"))</f>
        <v/>
      </c>
      <c r="BG28" t="str">
        <f t="shared" si="10"/>
        <v/>
      </c>
      <c r="BH28" t="str">
        <f>IF(CM28="","",IFERROR(IF(INDEX(CODIFICACION!$E$2:$E$500,MATCH("D7.26a|"&amp;CM28,CODIFICACION!$F$2:$F$500,0))="sin dato","",INDEX(CODIFICACION!$E$2:$E$500,MATCH("D7.26a|"&amp;CM28,CODIFICACION!$F$2:$F$500,0))),"⚠"))</f>
        <v/>
      </c>
      <c r="BI28" t="str">
        <f>IF(CN28="","",IFERROR(IF(INDEX(CODIFICACION!$E$2:$E$500,MATCH("D7.26b|"&amp;CN28,CODIFICACION!$F$2:$F$500,0))="sin dato","",INDEX(CODIFICACION!$E$2:$E$500,MATCH("D7.26b|"&amp;CN28,CODIFICACION!$F$2:$F$500,0))),"⚠"))</f>
        <v/>
      </c>
      <c r="BJ28" t="str">
        <f t="shared" si="11"/>
        <v/>
      </c>
      <c r="BK28" t="str">
        <f t="shared" si="12"/>
        <v/>
      </c>
      <c r="BL28" t="str">
        <f>IF(CQ28="","",IFERROR(IF(INDEX(CODIFICACION!$E$2:$E$500,MATCH("D8.31|"&amp;CQ28,CODIFICACION!$F$2:$F$500,0))="sin dato","",INDEX(CODIFICACION!$E$2:$E$500,MATCH("D8.31|"&amp;CQ28,CODIFICACION!$F$2:$F$500,0))),"⚠"))</f>
        <v/>
      </c>
      <c r="BM28" t="str">
        <f>IF(CR28="","",IFERROR(IF(INDEX(CODIFICACION!$E$2:$E$500,MATCH("D8.32|"&amp;CR28,CODIFICACION!$F$2:$F$500,0))="sin dato","",INDEX(CODIFICACION!$E$2:$E$500,MATCH("D8.32|"&amp;CR28,CODIFICACION!$F$2:$F$500,0))),"⚠"))</f>
        <v/>
      </c>
      <c r="BN28" t="str">
        <f>IF(CS28="","",IFERROR(IF(INDEX(CODIFICACION!$E$2:$E$500,MATCH("D9.33|"&amp;CS28,CODIFICACION!$F$2:$F$500,0))="sin dato","",INDEX(CODIFICACION!$E$2:$E$500,MATCH("D9.33|"&amp;CS28,CODIFICACION!$F$2:$F$500,0))),"⚠"))</f>
        <v/>
      </c>
      <c r="BO28" t="str">
        <f>IF(CT28="","",IFERROR(IF(INDEX(CODIFICACION!$E$2:$E$500,MATCH("D9.34|"&amp;CT28,CODIFICACION!$F$2:$F$500,0))="sin dato","",INDEX(CODIFICACION!$E$2:$E$500,MATCH("D9.34|"&amp;CT28,CODIFICACION!$F$2:$F$500,0))),"⚠"))</f>
        <v/>
      </c>
      <c r="BP28" t="str">
        <f>IF(CU28="","",IFERROR(IF(INDEX(CODIFICACION!$E$2:$E$500,MATCH("D9.35|"&amp;CU28,CODIFICACION!$F$2:$F$500,0))="sin dato","",INDEX(CODIFICACION!$E$2:$E$500,MATCH("D9.35|"&amp;CU28,CODIFICACION!$F$2:$F$500,0))),"⚠"))</f>
        <v/>
      </c>
      <c r="BQ28" t="str">
        <f>IF(CV28="","",IFERROR(IF(INDEX(CODIFICACION!$E$2:$E$500,MATCH("D10.36|"&amp;CV28,CODIFICACION!$F$2:$F$500,0))="sin dato","",INDEX(CODIFICACION!$E$2:$E$500,MATCH("D10.36|"&amp;CV28,CODIFICACION!$F$2:$F$500,0))),"⚠"))</f>
        <v/>
      </c>
      <c r="BR28" t="str">
        <f>IF(CW28="","",IFERROR(IF(INDEX(CODIFICACION!$E$2:$E$500,MATCH("D10.37|"&amp;CW28,CODIFICACION!$F$2:$F$500,0))="sin dato","",INDEX(CODIFICACION!$E$2:$E$500,MATCH("D10.37|"&amp;CW28,CODIFICACION!$F$2:$F$500,0))),"⚠"))</f>
        <v/>
      </c>
      <c r="BS28" t="str">
        <f>IF(CX28="","",IFERROR(IF(INDEX(CODIFICACION!$E$2:$E$500,MATCH("D10.36a|"&amp;CX28,CODIFICACION!$F$2:$F$500,0))="sin dato","",INDEX(CODIFICACION!$E$2:$E$500,MATCH("D10.36a|"&amp;CX28,CODIFICACION!$F$2:$F$500,0))),"⚠"))</f>
        <v/>
      </c>
      <c r="BT28" t="str">
        <f t="shared" si="13"/>
        <v/>
      </c>
      <c r="BU28" t="str">
        <f>IF(DA28="","",IFERROR(IF(INDEX(CODIFICACION!$E$2:$E$500,MATCH("D11.39a|"&amp;DA28,CODIFICACION!$F$2:$F$500,0))="sin dato","",INDEX(CODIFICACION!$E$2:$E$500,MATCH("D11.39a|"&amp;DA28,CODIFICACION!$F$2:$F$500,0))),"⚠"))</f>
        <v/>
      </c>
      <c r="BV28" t="str">
        <f>IF(DB28="","",IFERROR(IF(INDEX(CODIFICACION!$E$2:$E$500,MATCH("D12.42|"&amp;DB28,CODIFICACION!$F$2:$F$500,0))="sin dato","",INDEX(CODIFICACION!$E$2:$E$500,MATCH("D12.42|"&amp;DB28,CODIFICACION!$F$2:$F$500,0))),"⚠"))</f>
        <v/>
      </c>
      <c r="BW28" t="str">
        <f>IF(DC28="","",IFERROR(IF(INDEX(CODIFICACION!$E$2:$E$500,MATCH("D13.45|"&amp;DC28,CODIFICACION!$F$2:$F$500,0))="sin dato","",INDEX(CODIFICACION!$E$2:$E$500,MATCH("D13.45|"&amp;DC28,CODIFICACION!$F$2:$F$500,0))),"⚠"))</f>
        <v/>
      </c>
      <c r="BX28" t="str">
        <f>IF(DD28="","",IFERROR(IF(INDEX(CODIFICACION!$E$2:$E$500,MATCH("D14.51|"&amp;DD28,CODIFICACION!$F$2:$F$500,0))="sin dato","",INDEX(CODIFICACION!$E$2:$E$500,MATCH("D14.51|"&amp;DD28,CODIFICACION!$F$2:$F$500,0))),"⚠"))</f>
        <v/>
      </c>
      <c r="BY28" t="str">
        <f>IF(DE28="","",IFERROR(IF(INDEX(CODIFICACION!$E$2:$E$500,MATCH("D15.58|"&amp;DE28,CODIFICACION!$F$2:$F$500,0))="sin dato","",INDEX(CODIFICACION!$E$2:$E$500,MATCH("D15.58|"&amp;DE28,CODIFICACION!$F$2:$F$500,0))),"⚠"))</f>
        <v/>
      </c>
      <c r="BZ28" t="str">
        <f>IF(DF28="","",IFERROR(IF(INDEX(CODIFICACION!$E$2:$E$500,MATCH("PP1|"&amp;DF28,CODIFICACION!$F$2:$F$500,0))="sin dato","",INDEX(CODIFICACION!$E$2:$E$500,MATCH("PP1|"&amp;DF28,CODIFICACION!$F$2:$F$500,0))),"⚠"))</f>
        <v/>
      </c>
      <c r="CA28" t="str">
        <f>IF(DG28="","",IFERROR(IF(INDEX(CODIFICACION!$E$2:$E$500,MATCH("PP2|"&amp;DG28,CODIFICACION!$F$2:$F$500,0))="sin dato","",INDEX(CODIFICACION!$E$2:$E$500,MATCH("PP2|"&amp;DG28,CODIFICACION!$F$2:$F$500,0))),"⚠"))</f>
        <v/>
      </c>
      <c r="CB28" t="str">
        <f t="shared" si="14"/>
        <v/>
      </c>
      <c r="CC28" t="str">
        <f t="shared" ca="1" si="15"/>
        <v/>
      </c>
      <c r="CD28" t="str">
        <f t="shared" ca="1" si="16"/>
        <v/>
      </c>
      <c r="CE28" t="str">
        <f t="shared" si="17"/>
        <v/>
      </c>
      <c r="CF28" t="str">
        <f t="shared" si="18"/>
        <v/>
      </c>
      <c r="CG28" t="str">
        <f t="shared" ca="1" si="19"/>
        <v/>
      </c>
      <c r="CH28" t="str">
        <f t="shared" ca="1" si="20"/>
        <v/>
      </c>
      <c r="CI28" t="str">
        <f t="shared" si="21"/>
        <v/>
      </c>
      <c r="CJ28" t="str">
        <f t="shared" si="22"/>
        <v/>
      </c>
      <c r="CK28" t="str">
        <f t="shared" si="23"/>
        <v/>
      </c>
      <c r="CL28" t="str">
        <f t="shared" si="24"/>
        <v/>
      </c>
    </row>
    <row r="29" spans="1:90" x14ac:dyDescent="0.3">
      <c r="A29">
        <f>CAPTURA!A29</f>
        <v>20393972000</v>
      </c>
      <c r="B29">
        <f>CAPTURA!C29</f>
        <v>0</v>
      </c>
      <c r="C29" t="str">
        <f t="shared" si="0"/>
        <v/>
      </c>
      <c r="D29" t="str">
        <f>IF(AE29="","",IFERROR(IF(INDEX(CODIFICACION!$E$2:$E$500,MATCH("P8|"&amp;AE29,CODIFICACION!$F$2:$F$500,0))="sin dato","",INDEX(CODIFICACION!$E$2:$E$500,MATCH("P8|"&amp;AE29,CODIFICACION!$F$2:$F$500,0))),"⚠"))</f>
        <v/>
      </c>
      <c r="E29" t="str">
        <f>IF(AG29="","",IFERROR(IF(INDEX(CODIFICACION!$E$2:$E$500,MATCH("P10|"&amp;AG29,CODIFICACION!$F$2:$F$500,0))="sin dato","",INDEX(CODIFICACION!$E$2:$E$500,MATCH("P10|"&amp;AG29,CODIFICACION!$F$2:$F$500,0))),"⚠"))</f>
        <v/>
      </c>
      <c r="F29" t="str">
        <f>IF(AJ29="","",IFERROR(IF(INDEX(CODIFICACION!$E$2:$E$500,MATCH("P13|"&amp;AJ29,CODIFICACION!$F$2:$F$500,0))="sin dato","",INDEX(CODIFICACION!$E$2:$E$500,MATCH("P13|"&amp;AJ29,CODIFICACION!$F$2:$F$500,0))),"⚠"))</f>
        <v/>
      </c>
      <c r="G29" t="str">
        <f>IF(AK29="","",IFERROR(IF(INDEX(CODIFICACION!$E$2:$E$500,MATCH("P14|"&amp;AK29,CODIFICACION!$F$2:$F$500,0))="sin dato","",INDEX(CODIFICACION!$E$2:$E$500,MATCH("P14|"&amp;AK29,CODIFICACION!$F$2:$F$500,0))),"⚠"))</f>
        <v/>
      </c>
      <c r="H29" t="str">
        <f>IF(AL29="","",IFERROR(IF(INDEX(CODIFICACION!$E$2:$E$500,MATCH("D1.1|"&amp;AL29,CODIFICACION!$F$2:$F$500,0))="sin dato","",INDEX(CODIFICACION!$E$2:$E$500,MATCH("D1.1|"&amp;AL29,CODIFICACION!$F$2:$F$500,0))),"⚠"))</f>
        <v/>
      </c>
      <c r="I29" t="str">
        <f>IF(AN29="","",IFERROR(IF(INDEX(CODIFICACION!$E$2:$E$500,MATCH("D1.3|"&amp;AN29,CODIFICACION!$F$2:$F$500,0))="sin dato","",INDEX(CODIFICACION!$E$2:$E$500,MATCH("D1.3|"&amp;AN29,CODIFICACION!$F$2:$F$500,0))),"⚠"))</f>
        <v/>
      </c>
      <c r="J29" t="str">
        <f>IF(AO29="","",IFERROR(IF(INDEX(CODIFICACION!$E$2:$E$500,MATCH("D1.4|"&amp;AO29,CODIFICACION!$F$2:$F$500,0))="sin dato","",INDEX(CODIFICACION!$E$2:$E$500,MATCH("D1.4|"&amp;AO29,CODIFICACION!$F$2:$F$500,0))),"⚠"))</f>
        <v/>
      </c>
      <c r="K29" t="str">
        <f>IF(AP29="","",IFERROR(IF(INDEX(CODIFICACION!$E$2:$E$500,MATCH("D1.3a|"&amp;AP29,CODIFICACION!$F$2:$F$500,0))="sin dato","",INDEX(CODIFICACION!$E$2:$E$500,MATCH("D1.3a|"&amp;AP29,CODIFICACION!$F$2:$F$500,0))),"⚠"))</f>
        <v/>
      </c>
      <c r="L29" t="str">
        <f t="shared" si="1"/>
        <v/>
      </c>
      <c r="M29" t="str">
        <f t="shared" si="2"/>
        <v/>
      </c>
      <c r="N29" t="str">
        <f t="shared" si="3"/>
        <v/>
      </c>
      <c r="O29" t="str">
        <f>IF(AT29="","",IFERROR(IF(INDEX(CODIFICACION!$E$2:$E$500,MATCH("D2.8|"&amp;AT29,CODIFICACION!$F$2:$F$500,0))="sin dato","",INDEX(CODIFICACION!$E$2:$E$500,MATCH("D2.8|"&amp;AT29,CODIFICACION!$F$2:$F$500,0))),"⚠"))</f>
        <v/>
      </c>
      <c r="P29" t="str">
        <f>IF(AU29="","",IFERROR(IF(INDEX(CODIFICACION!$E$2:$E$500,MATCH("D2.9|"&amp;AU29,CODIFICACION!$F$2:$F$500,0))="sin dato","",INDEX(CODIFICACION!$E$2:$E$500,MATCH("D2.9|"&amp;AU29,CODIFICACION!$F$2:$F$500,0))),"⚠"))</f>
        <v/>
      </c>
      <c r="Q29" t="str">
        <f>IF(AV29="","",IFERROR(IF(INDEX(CODIFICACION!$E$2:$E$500,MATCH("D2.10|"&amp;AV29,CODIFICACION!$F$2:$F$500,0))="sin dato","",INDEX(CODIFICACION!$E$2:$E$500,MATCH("D2.10|"&amp;AV29,CODIFICACION!$F$2:$F$500,0))),"⚠"))</f>
        <v/>
      </c>
      <c r="R29" t="str">
        <f>IF(AW29="","",IFERROR(IF(INDEX(CODIFICACION!$E$2:$E$500,MATCH("D2.5a|"&amp;AW29,CODIFICACION!$F$2:$F$500,0))="sin dato","",INDEX(CODIFICACION!$E$2:$E$500,MATCH("D2.5a|"&amp;AW29,CODIFICACION!$F$2:$F$500,0))),"⚠"))</f>
        <v/>
      </c>
      <c r="S29" t="str">
        <f ca="1">IF(AX29="","",IFERROR(IF(INDEX(CODIFICACION!$E$2:$E$500,MATCH("D2.5b|"&amp;AX29,CODIFICACION!$F$2:$F$500,0))="sin dato","",INDEX(CODIFICACION!$E$2:$E$500,MATCH("D2.5b|"&amp;AX29,CODIFICACION!$F$2:$F$500,0))),"⚠"))</f>
        <v/>
      </c>
      <c r="T29" t="str">
        <f t="shared" ca="1" si="4"/>
        <v/>
      </c>
      <c r="U29" t="str">
        <f>IF(AZ29="","",IFERROR(IF(INDEX(CODIFICACION!$E$2:$E$500,MATCH("D3.12|"&amp;AZ29,CODIFICACION!$F$2:$F$500,0))="sin dato","",INDEX(CODIFICACION!$E$2:$E$500,MATCH("D3.12|"&amp;AZ29,CODIFICACION!$F$2:$F$500,0))),"⚠"))</f>
        <v/>
      </c>
      <c r="V29" t="str">
        <f t="shared" si="5"/>
        <v/>
      </c>
      <c r="W29" t="str">
        <f ca="1">IF(BB29="","",IFERROR(IF(INDEX(CODIFICACION!$E$2:$E$500,MATCH("D3.14|"&amp;BB29,CODIFICACION!$F$2:$F$500,0))="sin dato","",INDEX(CODIFICACION!$E$2:$E$500,MATCH("D3.14|"&amp;BB29,CODIFICACION!$F$2:$F$500,0))),"⚠"))</f>
        <v/>
      </c>
      <c r="X29" t="str">
        <f ca="1">IF(BC29="","",IFERROR(IF(INDEX(CODIFICACION!$E$2:$E$500,MATCH("D3.14a|"&amp;BC29,CODIFICACION!$F$2:$F$500,0))="sin dato","",INDEX(CODIFICACION!$E$2:$E$500,MATCH("D3.14a|"&amp;BC29,CODIFICACION!$F$2:$F$500,0))),"⚠"))</f>
        <v/>
      </c>
      <c r="Y29" t="str">
        <f>IF(BD29="","",IFERROR(IF(INDEX(CODIFICACION!$E$2:$E$500,MATCH("D3.14b|"&amp;BD29,CODIFICACION!$F$2:$F$500,0))="sin dato","",INDEX(CODIFICACION!$E$2:$E$500,MATCH("D3.14b|"&amp;BD29,CODIFICACION!$F$2:$F$500,0))),"⚠"))</f>
        <v/>
      </c>
      <c r="Z29" t="str">
        <f>IF(BE29="","",IFERROR(IF(INDEX(CODIFICACION!$E$2:$E$500,MATCH("D3.14c|"&amp;BE29,CODIFICACION!$F$2:$F$500,0))="sin dato","",INDEX(CODIFICACION!$E$2:$E$500,MATCH("D3.14c|"&amp;BE29,CODIFICACION!$F$2:$F$500,0))),"⚠"))</f>
        <v/>
      </c>
      <c r="AA29" t="str">
        <f>IF(BF29="","",IFERROR(IF(INDEX(CODIFICACION!$E$2:$E$500,MATCH("D3.14d|"&amp;BF29,CODIFICACION!$F$2:$F$500,0))="sin dato","",INDEX(CODIFICACION!$E$2:$E$500,MATCH("D3.14d|"&amp;BF29,CODIFICACION!$F$2:$F$500,0))),"⚠"))</f>
        <v/>
      </c>
      <c r="AB29" t="str">
        <f>IF(BG29="","",IFERROR(IF(INDEX(CODIFICACION!$E$2:$E$500,MATCH("D3.14e|"&amp;BG29,CODIFICACION!$F$2:$F$500,0))="sin dato","",INDEX(CODIFICACION!$E$2:$E$500,MATCH("D3.14e|"&amp;BG29,CODIFICACION!$F$2:$F$500,0))),"⚠"))</f>
        <v/>
      </c>
      <c r="AC29" t="str">
        <f>IF(BH29="","",IFERROR(IF(INDEX(CODIFICACION!$E$2:$E$500,MATCH("D3.14f|"&amp;BH29,CODIFICACION!$F$2:$F$500,0))="sin dato","",INDEX(CODIFICACION!$E$2:$E$500,MATCH("D3.14f|"&amp;BH29,CODIFICACION!$F$2:$F$500,0))),"⚠"))</f>
        <v/>
      </c>
      <c r="AD29" t="str">
        <f>IF(BI29="","",IFERROR(IF(INDEX(CODIFICACION!$E$2:$E$500,MATCH("D3.14g|"&amp;BI29,CODIFICACION!$F$2:$F$500,0))="sin dato","",INDEX(CODIFICACION!$E$2:$E$500,MATCH("D3.14g|"&amp;BI29,CODIFICACION!$F$2:$F$500,0))),"⚠"))</f>
        <v/>
      </c>
      <c r="AE29" t="str">
        <f>IF(BJ29="","",IFERROR(IF(INDEX(CODIFICACION!$E$2:$E$500,MATCH("D3.14h|"&amp;BJ29,CODIFICACION!$F$2:$F$500,0))="sin dato","",INDEX(CODIFICACION!$E$2:$E$500,MATCH("D3.14h|"&amp;BJ29,CODIFICACION!$F$2:$F$500,0))),"⚠"))</f>
        <v/>
      </c>
      <c r="AF29" t="str">
        <f>IF(BK29="","",IFERROR(IF(INDEX(CODIFICACION!$E$2:$E$500,MATCH("D3.14i|"&amp;BK29,CODIFICACION!$F$2:$F$500,0))="sin dato","",INDEX(CODIFICACION!$E$2:$E$500,MATCH("D3.14i|"&amp;BK29,CODIFICACION!$F$2:$F$500,0))),"⚠"))</f>
        <v/>
      </c>
      <c r="AG29" t="str">
        <f>IF(BL29="","",IFERROR(IF(INDEX(CODIFICACION!$E$2:$E$500,MATCH("D4.15|"&amp;BL29,CODIFICACION!$F$2:$F$500,0))="sin dato","",INDEX(CODIFICACION!$E$2:$E$500,MATCH("D4.15|"&amp;BL29,CODIFICACION!$F$2:$F$500,0))),"⚠"))</f>
        <v/>
      </c>
      <c r="AH29" t="str">
        <f t="shared" si="6"/>
        <v/>
      </c>
      <c r="AI29" t="str">
        <f>IF(BN29="","",IFERROR(IF(INDEX(CODIFICACION!$E$2:$E$500,MATCH("D4.17|"&amp;BN29,CODIFICACION!$F$2:$F$500,0))="sin dato","",INDEX(CODIFICACION!$E$2:$E$500,MATCH("D4.17|"&amp;BN29,CODIFICACION!$F$2:$F$500,0))),"⚠"))</f>
        <v/>
      </c>
      <c r="AJ29" t="str">
        <f>IF(BO29="","",IFERROR(IF(INDEX(CODIFICACION!$E$2:$E$500,MATCH("D4.15a|"&amp;BO29,CODIFICACION!$F$2:$F$500,0))="sin dato","",INDEX(CODIFICACION!$E$2:$E$500,MATCH("D4.15a|"&amp;BO29,CODIFICACION!$F$2:$F$500,0))),"⚠"))</f>
        <v/>
      </c>
      <c r="AK29" t="str">
        <f t="shared" si="7"/>
        <v/>
      </c>
      <c r="AL29" t="str">
        <f t="shared" si="8"/>
        <v/>
      </c>
      <c r="AM29" t="str">
        <f>IF(BR29="","",IFERROR(IF(INDEX(CODIFICACION!$E$2:$E$500,MATCH("D5.18b|"&amp;BR29,CODIFICACION!$F$2:$F$500,0))="sin dato","",INDEX(CODIFICACION!$E$2:$E$500,MATCH("D5.18b|"&amp;BR29,CODIFICACION!$F$2:$F$500,0))),"⚠"))</f>
        <v/>
      </c>
      <c r="AN29" t="str">
        <f>IF(BS29="","",IFERROR(IF(INDEX(CODIFICACION!$E$2:$E$500,MATCH("D5.19|"&amp;BS29,CODIFICACION!$F$2:$F$500,0))="sin dato","",INDEX(CODIFICACION!$E$2:$E$500,MATCH("D5.19|"&amp;BS29,CODIFICACION!$F$2:$F$500,0))),"⚠"))</f>
        <v/>
      </c>
      <c r="AO29" t="str">
        <f t="shared" si="9"/>
        <v/>
      </c>
      <c r="AP29" t="str">
        <f>IF(BU29="","",IFERROR(IF(INDEX(CODIFICACION!$E$2:$E$500,MATCH("D5.20|"&amp;BU29,CODIFICACION!$F$2:$F$500,0))="sin dato","",INDEX(CODIFICACION!$E$2:$E$500,MATCH("D5.20|"&amp;BU29,CODIFICACION!$F$2:$F$500,0))),"⚠"))</f>
        <v/>
      </c>
      <c r="AQ29" t="str">
        <f>IF(BV29="","",IFERROR(IF(INDEX(CODIFICACION!$E$2:$E$500,MATCH("D5.21|"&amp;BV29,CODIFICACION!$F$2:$F$500,0))="sin dato","",INDEX(CODIFICACION!$E$2:$E$500,MATCH("D5.21|"&amp;BV29,CODIFICACION!$F$2:$F$500,0))),"⚠"))</f>
        <v/>
      </c>
      <c r="AR29" t="str">
        <f>IF(BW29="","",IFERROR(IF(INDEX(CODIFICACION!$E$2:$E$500,MATCH("D5.21a|"&amp;BW29,CODIFICACION!$F$2:$F$500,0))="sin dato","",INDEX(CODIFICACION!$E$2:$E$500,MATCH("D5.21a|"&amp;BW29,CODIFICACION!$F$2:$F$500,0))),"⚠"))</f>
        <v/>
      </c>
      <c r="AS29" t="str">
        <f>IF(BX29="","",IFERROR(IF(INDEX(CODIFICACION!$E$2:$E$500,MATCH("D5.21b|"&amp;BX29,CODIFICACION!$F$2:$F$500,0))="sin dato","",INDEX(CODIFICACION!$E$2:$E$500,MATCH("D5.21b|"&amp;BX29,CODIFICACION!$F$2:$F$500,0))),"⚠"))</f>
        <v/>
      </c>
      <c r="AT29" t="str">
        <f>IF(BY29="","",IFERROR(IF(INDEX(CODIFICACION!$E$2:$E$500,MATCH("D6.22|"&amp;BY29,CODIFICACION!$F$2:$F$500,0))="sin dato","",INDEX(CODIFICACION!$E$2:$E$500,MATCH("D6.22|"&amp;BY29,CODIFICACION!$F$2:$F$500,0))),"⚠"))</f>
        <v/>
      </c>
      <c r="AU29" t="str">
        <f>IF(BZ29="","",IFERROR(IF(INDEX(CODIFICACION!$E$2:$E$500,MATCH("D6.22a|"&amp;BZ29,CODIFICACION!$F$2:$F$500,0))="sin dato","",INDEX(CODIFICACION!$E$2:$E$500,MATCH("D6.22a|"&amp;BZ29,CODIFICACION!$F$2:$F$500,0))),"⚠"))</f>
        <v/>
      </c>
      <c r="AV29" t="str">
        <f>IF(CA29="","",IFERROR(IF(INDEX(CODIFICACION!$E$2:$E$500,MATCH("D6.22b|"&amp;CA29,CODIFICACION!$F$2:$F$500,0))="sin dato","",INDEX(CODIFICACION!$E$2:$E$500,MATCH("D6.22b|"&amp;CA29,CODIFICACION!$F$2:$F$500,0))),"⚠"))</f>
        <v/>
      </c>
      <c r="AW29" t="str">
        <f>IF(CB29="","",IFERROR(IF(INDEX(CODIFICACION!$E$2:$E$500,MATCH("D6.23|"&amp;CB29,CODIFICACION!$F$2:$F$500,0))="sin dato","",INDEX(CODIFICACION!$E$2:$E$500,MATCH("D6.23|"&amp;CB29,CODIFICACION!$F$2:$F$500,0))),"⚠"))</f>
        <v/>
      </c>
      <c r="AX29" t="str">
        <f ca="1">IF(CC29="","",IFERROR(IF(INDEX(CODIFICACION!$E$2:$E$500,MATCH("D6.24|"&amp;CC29,CODIFICACION!$F$2:$F$500,0))="sin dato","",INDEX(CODIFICACION!$E$2:$E$500,MATCH("D6.24|"&amp;CC29,CODIFICACION!$F$2:$F$500,0))),"⚠"))</f>
        <v/>
      </c>
      <c r="AY29" t="str">
        <f ca="1">IF(CD29="","",IFERROR(IF(INDEX(CODIFICACION!$E$2:$E$500,MATCH("D6.25|"&amp;CD29,CODIFICACION!$F$2:$F$500,0))="sin dato","",INDEX(CODIFICACION!$E$2:$E$500,MATCH("D6.25|"&amp;CD29,CODIFICACION!$F$2:$F$500,0))),"⚠"))</f>
        <v/>
      </c>
      <c r="AZ29" t="str">
        <f>IF(CE29="","",IFERROR(IF(INDEX(CODIFICACION!$E$2:$E$500,MATCH("D6.25a|"&amp;CE29,CODIFICACION!$F$2:$F$500,0))="sin dato","",INDEX(CODIFICACION!$E$2:$E$500,MATCH("D6.25a|"&amp;CE29,CODIFICACION!$F$2:$F$500,0))),"⚠"))</f>
        <v/>
      </c>
      <c r="BA29" t="str">
        <f>IF(CF29="","",IFERROR(IF(INDEX(CODIFICACION!$E$2:$E$500,MATCH("D6.25b|"&amp;CF29,CODIFICACION!$F$2:$F$500,0))="sin dato","",INDEX(CODIFICACION!$E$2:$E$500,MATCH("D6.25b|"&amp;CF29,CODIFICACION!$F$2:$F$500,0))),"⚠"))</f>
        <v/>
      </c>
      <c r="BB29" t="str">
        <f ca="1">IF(CG29="","",IFERROR(IF(INDEX(CODIFICACION!$E$2:$E$500,MATCH("D6.22c|"&amp;CG29,CODIFICACION!$F$2:$F$500,0))="sin dato","",INDEX(CODIFICACION!$E$2:$E$500,MATCH("D6.22c|"&amp;CG29,CODIFICACION!$F$2:$F$500,0))),"⚠"))</f>
        <v/>
      </c>
      <c r="BC29" t="str">
        <f ca="1">IF(CH29="","",IFERROR(IF(INDEX(CODIFICACION!$E$2:$E$500,MATCH("D7.26|"&amp;CH29,CODIFICACION!$F$2:$F$500,0))="sin dato","",INDEX(CODIFICACION!$E$2:$E$500,MATCH("D7.26|"&amp;CH29,CODIFICACION!$F$2:$F$500,0))),"⚠"))</f>
        <v/>
      </c>
      <c r="BD29" t="str">
        <f>IF(CI29="","",IFERROR(IF(INDEX(CODIFICACION!$E$2:$E$500,MATCH("D7.27|"&amp;CI29,CODIFICACION!$F$2:$F$500,0))="sin dato","",INDEX(CODIFICACION!$E$2:$E$500,MATCH("D7.27|"&amp;CI29,CODIFICACION!$F$2:$F$500,0))),"⚠"))</f>
        <v/>
      </c>
      <c r="BE29" t="str">
        <f>IF(CJ29="","",IFERROR(IF(INDEX(CODIFICACION!$E$2:$E$500,MATCH("D7.28|"&amp;CJ29,CODIFICACION!$F$2:$F$500,0))="sin dato","",INDEX(CODIFICACION!$E$2:$E$500,MATCH("D7.28|"&amp;CJ29,CODIFICACION!$F$2:$F$500,0))),"⚠"))</f>
        <v/>
      </c>
      <c r="BF29" t="str">
        <f>IF(CK29="","",IFERROR(IF(INDEX(CODIFICACION!$E$2:$E$500,MATCH("D7.28b|"&amp;CK29,CODIFICACION!$F$2:$F$500,0))="sin dato","",INDEX(CODIFICACION!$E$2:$E$500,MATCH("D7.28b|"&amp;CK29,CODIFICACION!$F$2:$F$500,0))),"⚠"))</f>
        <v/>
      </c>
      <c r="BG29" t="str">
        <f t="shared" si="10"/>
        <v/>
      </c>
      <c r="BH29" t="str">
        <f>IF(CM29="","",IFERROR(IF(INDEX(CODIFICACION!$E$2:$E$500,MATCH("D7.26a|"&amp;CM29,CODIFICACION!$F$2:$F$500,0))="sin dato","",INDEX(CODIFICACION!$E$2:$E$500,MATCH("D7.26a|"&amp;CM29,CODIFICACION!$F$2:$F$500,0))),"⚠"))</f>
        <v/>
      </c>
      <c r="BI29" t="str">
        <f>IF(CN29="","",IFERROR(IF(INDEX(CODIFICACION!$E$2:$E$500,MATCH("D7.26b|"&amp;CN29,CODIFICACION!$F$2:$F$500,0))="sin dato","",INDEX(CODIFICACION!$E$2:$E$500,MATCH("D7.26b|"&amp;CN29,CODIFICACION!$F$2:$F$500,0))),"⚠"))</f>
        <v/>
      </c>
      <c r="BJ29" t="str">
        <f t="shared" si="11"/>
        <v/>
      </c>
      <c r="BK29" t="str">
        <f t="shared" si="12"/>
        <v/>
      </c>
      <c r="BL29" t="str">
        <f>IF(CQ29="","",IFERROR(IF(INDEX(CODIFICACION!$E$2:$E$500,MATCH("D8.31|"&amp;CQ29,CODIFICACION!$F$2:$F$500,0))="sin dato","",INDEX(CODIFICACION!$E$2:$E$500,MATCH("D8.31|"&amp;CQ29,CODIFICACION!$F$2:$F$500,0))),"⚠"))</f>
        <v/>
      </c>
      <c r="BM29" t="str">
        <f>IF(CR29="","",IFERROR(IF(INDEX(CODIFICACION!$E$2:$E$500,MATCH("D8.32|"&amp;CR29,CODIFICACION!$F$2:$F$500,0))="sin dato","",INDEX(CODIFICACION!$E$2:$E$500,MATCH("D8.32|"&amp;CR29,CODIFICACION!$F$2:$F$500,0))),"⚠"))</f>
        <v/>
      </c>
      <c r="BN29" t="str">
        <f>IF(CS29="","",IFERROR(IF(INDEX(CODIFICACION!$E$2:$E$500,MATCH("D9.33|"&amp;CS29,CODIFICACION!$F$2:$F$500,0))="sin dato","",INDEX(CODIFICACION!$E$2:$E$500,MATCH("D9.33|"&amp;CS29,CODIFICACION!$F$2:$F$500,0))),"⚠"))</f>
        <v/>
      </c>
      <c r="BO29" t="str">
        <f>IF(CT29="","",IFERROR(IF(INDEX(CODIFICACION!$E$2:$E$500,MATCH("D9.34|"&amp;CT29,CODIFICACION!$F$2:$F$500,0))="sin dato","",INDEX(CODIFICACION!$E$2:$E$500,MATCH("D9.34|"&amp;CT29,CODIFICACION!$F$2:$F$500,0))),"⚠"))</f>
        <v/>
      </c>
      <c r="BP29" t="str">
        <f>IF(CU29="","",IFERROR(IF(INDEX(CODIFICACION!$E$2:$E$500,MATCH("D9.35|"&amp;CU29,CODIFICACION!$F$2:$F$500,0))="sin dato","",INDEX(CODIFICACION!$E$2:$E$500,MATCH("D9.35|"&amp;CU29,CODIFICACION!$F$2:$F$500,0))),"⚠"))</f>
        <v/>
      </c>
      <c r="BQ29" t="str">
        <f>IF(CV29="","",IFERROR(IF(INDEX(CODIFICACION!$E$2:$E$500,MATCH("D10.36|"&amp;CV29,CODIFICACION!$F$2:$F$500,0))="sin dato","",INDEX(CODIFICACION!$E$2:$E$500,MATCH("D10.36|"&amp;CV29,CODIFICACION!$F$2:$F$500,0))),"⚠"))</f>
        <v/>
      </c>
      <c r="BR29" t="str">
        <f>IF(CW29="","",IFERROR(IF(INDEX(CODIFICACION!$E$2:$E$500,MATCH("D10.37|"&amp;CW29,CODIFICACION!$F$2:$F$500,0))="sin dato","",INDEX(CODIFICACION!$E$2:$E$500,MATCH("D10.37|"&amp;CW29,CODIFICACION!$F$2:$F$500,0))),"⚠"))</f>
        <v/>
      </c>
      <c r="BS29" t="str">
        <f>IF(CX29="","",IFERROR(IF(INDEX(CODIFICACION!$E$2:$E$500,MATCH("D10.36a|"&amp;CX29,CODIFICACION!$F$2:$F$500,0))="sin dato","",INDEX(CODIFICACION!$E$2:$E$500,MATCH("D10.36a|"&amp;CX29,CODIFICACION!$F$2:$F$500,0))),"⚠"))</f>
        <v/>
      </c>
      <c r="BT29" t="str">
        <f t="shared" si="13"/>
        <v/>
      </c>
      <c r="BU29" t="str">
        <f>IF(DA29="","",IFERROR(IF(INDEX(CODIFICACION!$E$2:$E$500,MATCH("D11.39a|"&amp;DA29,CODIFICACION!$F$2:$F$500,0))="sin dato","",INDEX(CODIFICACION!$E$2:$E$500,MATCH("D11.39a|"&amp;DA29,CODIFICACION!$F$2:$F$500,0))),"⚠"))</f>
        <v/>
      </c>
      <c r="BV29" t="str">
        <f>IF(DB29="","",IFERROR(IF(INDEX(CODIFICACION!$E$2:$E$500,MATCH("D12.42|"&amp;DB29,CODIFICACION!$F$2:$F$500,0))="sin dato","",INDEX(CODIFICACION!$E$2:$E$500,MATCH("D12.42|"&amp;DB29,CODIFICACION!$F$2:$F$500,0))),"⚠"))</f>
        <v/>
      </c>
      <c r="BW29" t="str">
        <f>IF(DC29="","",IFERROR(IF(INDEX(CODIFICACION!$E$2:$E$500,MATCH("D13.45|"&amp;DC29,CODIFICACION!$F$2:$F$500,0))="sin dato","",INDEX(CODIFICACION!$E$2:$E$500,MATCH("D13.45|"&amp;DC29,CODIFICACION!$F$2:$F$500,0))),"⚠"))</f>
        <v/>
      </c>
      <c r="BX29" t="str">
        <f>IF(DD29="","",IFERROR(IF(INDEX(CODIFICACION!$E$2:$E$500,MATCH("D14.51|"&amp;DD29,CODIFICACION!$F$2:$F$500,0))="sin dato","",INDEX(CODIFICACION!$E$2:$E$500,MATCH("D14.51|"&amp;DD29,CODIFICACION!$F$2:$F$500,0))),"⚠"))</f>
        <v/>
      </c>
      <c r="BY29" t="str">
        <f>IF(DE29="","",IFERROR(IF(INDEX(CODIFICACION!$E$2:$E$500,MATCH("D15.58|"&amp;DE29,CODIFICACION!$F$2:$F$500,0))="sin dato","",INDEX(CODIFICACION!$E$2:$E$500,MATCH("D15.58|"&amp;DE29,CODIFICACION!$F$2:$F$500,0))),"⚠"))</f>
        <v/>
      </c>
      <c r="BZ29" t="str">
        <f>IF(DF29="","",IFERROR(IF(INDEX(CODIFICACION!$E$2:$E$500,MATCH("PP1|"&amp;DF29,CODIFICACION!$F$2:$F$500,0))="sin dato","",INDEX(CODIFICACION!$E$2:$E$500,MATCH("PP1|"&amp;DF29,CODIFICACION!$F$2:$F$500,0))),"⚠"))</f>
        <v/>
      </c>
      <c r="CA29" t="str">
        <f>IF(DG29="","",IFERROR(IF(INDEX(CODIFICACION!$E$2:$E$500,MATCH("PP2|"&amp;DG29,CODIFICACION!$F$2:$F$500,0))="sin dato","",INDEX(CODIFICACION!$E$2:$E$500,MATCH("PP2|"&amp;DG29,CODIFICACION!$F$2:$F$500,0))),"⚠"))</f>
        <v/>
      </c>
      <c r="CB29" t="str">
        <f t="shared" si="14"/>
        <v/>
      </c>
      <c r="CC29" t="str">
        <f t="shared" ca="1" si="15"/>
        <v/>
      </c>
      <c r="CD29" t="str">
        <f t="shared" ca="1" si="16"/>
        <v/>
      </c>
      <c r="CE29" t="str">
        <f t="shared" si="17"/>
        <v/>
      </c>
      <c r="CF29" t="str">
        <f t="shared" si="18"/>
        <v/>
      </c>
      <c r="CG29" t="str">
        <f t="shared" ca="1" si="19"/>
        <v/>
      </c>
      <c r="CH29" t="str">
        <f t="shared" ca="1" si="20"/>
        <v/>
      </c>
      <c r="CI29" t="str">
        <f t="shared" si="21"/>
        <v/>
      </c>
      <c r="CJ29" t="str">
        <f t="shared" si="22"/>
        <v/>
      </c>
      <c r="CK29" t="str">
        <f t="shared" si="23"/>
        <v/>
      </c>
      <c r="CL29" t="str">
        <f t="shared" si="24"/>
        <v/>
      </c>
    </row>
    <row r="30" spans="1:90" x14ac:dyDescent="0.3">
      <c r="A30">
        <f>CAPTURA!A30</f>
        <v>20447888701</v>
      </c>
      <c r="B30">
        <f>CAPTURA!C30</f>
        <v>0</v>
      </c>
      <c r="C30" t="str">
        <f t="shared" si="0"/>
        <v/>
      </c>
      <c r="D30" t="str">
        <f>IF(AE30="","",IFERROR(IF(INDEX(CODIFICACION!$E$2:$E$500,MATCH("P8|"&amp;AE30,CODIFICACION!$F$2:$F$500,0))="sin dato","",INDEX(CODIFICACION!$E$2:$E$500,MATCH("P8|"&amp;AE30,CODIFICACION!$F$2:$F$500,0))),"⚠"))</f>
        <v/>
      </c>
      <c r="E30" t="str">
        <f>IF(AG30="","",IFERROR(IF(INDEX(CODIFICACION!$E$2:$E$500,MATCH("P10|"&amp;AG30,CODIFICACION!$F$2:$F$500,0))="sin dato","",INDEX(CODIFICACION!$E$2:$E$500,MATCH("P10|"&amp;AG30,CODIFICACION!$F$2:$F$500,0))),"⚠"))</f>
        <v/>
      </c>
      <c r="F30" t="str">
        <f>IF(AJ30="","",IFERROR(IF(INDEX(CODIFICACION!$E$2:$E$500,MATCH("P13|"&amp;AJ30,CODIFICACION!$F$2:$F$500,0))="sin dato","",INDEX(CODIFICACION!$E$2:$E$500,MATCH("P13|"&amp;AJ30,CODIFICACION!$F$2:$F$500,0))),"⚠"))</f>
        <v/>
      </c>
      <c r="G30" t="str">
        <f>IF(AK30="","",IFERROR(IF(INDEX(CODIFICACION!$E$2:$E$500,MATCH("P14|"&amp;AK30,CODIFICACION!$F$2:$F$500,0))="sin dato","",INDEX(CODIFICACION!$E$2:$E$500,MATCH("P14|"&amp;AK30,CODIFICACION!$F$2:$F$500,0))),"⚠"))</f>
        <v/>
      </c>
      <c r="H30" t="str">
        <f>IF(AL30="","",IFERROR(IF(INDEX(CODIFICACION!$E$2:$E$500,MATCH("D1.1|"&amp;AL30,CODIFICACION!$F$2:$F$500,0))="sin dato","",INDEX(CODIFICACION!$E$2:$E$500,MATCH("D1.1|"&amp;AL30,CODIFICACION!$F$2:$F$500,0))),"⚠"))</f>
        <v/>
      </c>
      <c r="I30" t="str">
        <f>IF(AN30="","",IFERROR(IF(INDEX(CODIFICACION!$E$2:$E$500,MATCH("D1.3|"&amp;AN30,CODIFICACION!$F$2:$F$500,0))="sin dato","",INDEX(CODIFICACION!$E$2:$E$500,MATCH("D1.3|"&amp;AN30,CODIFICACION!$F$2:$F$500,0))),"⚠"))</f>
        <v/>
      </c>
      <c r="J30" t="str">
        <f>IF(AO30="","",IFERROR(IF(INDEX(CODIFICACION!$E$2:$E$500,MATCH("D1.4|"&amp;AO30,CODIFICACION!$F$2:$F$500,0))="sin dato","",INDEX(CODIFICACION!$E$2:$E$500,MATCH("D1.4|"&amp;AO30,CODIFICACION!$F$2:$F$500,0))),"⚠"))</f>
        <v/>
      </c>
      <c r="K30" t="str">
        <f>IF(AP30="","",IFERROR(IF(INDEX(CODIFICACION!$E$2:$E$500,MATCH("D1.3a|"&amp;AP30,CODIFICACION!$F$2:$F$500,0))="sin dato","",INDEX(CODIFICACION!$E$2:$E$500,MATCH("D1.3a|"&amp;AP30,CODIFICACION!$F$2:$F$500,0))),"⚠"))</f>
        <v/>
      </c>
      <c r="L30" t="str">
        <f t="shared" si="1"/>
        <v/>
      </c>
      <c r="M30" t="str">
        <f t="shared" si="2"/>
        <v/>
      </c>
      <c r="N30" t="str">
        <f t="shared" si="3"/>
        <v/>
      </c>
      <c r="O30" t="str">
        <f>IF(AT30="","",IFERROR(IF(INDEX(CODIFICACION!$E$2:$E$500,MATCH("D2.8|"&amp;AT30,CODIFICACION!$F$2:$F$500,0))="sin dato","",INDEX(CODIFICACION!$E$2:$E$500,MATCH("D2.8|"&amp;AT30,CODIFICACION!$F$2:$F$500,0))),"⚠"))</f>
        <v/>
      </c>
      <c r="P30" t="str">
        <f>IF(AU30="","",IFERROR(IF(INDEX(CODIFICACION!$E$2:$E$500,MATCH("D2.9|"&amp;AU30,CODIFICACION!$F$2:$F$500,0))="sin dato","",INDEX(CODIFICACION!$E$2:$E$500,MATCH("D2.9|"&amp;AU30,CODIFICACION!$F$2:$F$500,0))),"⚠"))</f>
        <v/>
      </c>
      <c r="Q30" t="str">
        <f>IF(AV30="","",IFERROR(IF(INDEX(CODIFICACION!$E$2:$E$500,MATCH("D2.10|"&amp;AV30,CODIFICACION!$F$2:$F$500,0))="sin dato","",INDEX(CODIFICACION!$E$2:$E$500,MATCH("D2.10|"&amp;AV30,CODIFICACION!$F$2:$F$500,0))),"⚠"))</f>
        <v/>
      </c>
      <c r="R30" t="str">
        <f>IF(AW30="","",IFERROR(IF(INDEX(CODIFICACION!$E$2:$E$500,MATCH("D2.5a|"&amp;AW30,CODIFICACION!$F$2:$F$500,0))="sin dato","",INDEX(CODIFICACION!$E$2:$E$500,MATCH("D2.5a|"&amp;AW30,CODIFICACION!$F$2:$F$500,0))),"⚠"))</f>
        <v/>
      </c>
      <c r="S30" t="str">
        <f ca="1">IF(AX30="","",IFERROR(IF(INDEX(CODIFICACION!$E$2:$E$500,MATCH("D2.5b|"&amp;AX30,CODIFICACION!$F$2:$F$500,0))="sin dato","",INDEX(CODIFICACION!$E$2:$E$500,MATCH("D2.5b|"&amp;AX30,CODIFICACION!$F$2:$F$500,0))),"⚠"))</f>
        <v/>
      </c>
      <c r="T30" t="str">
        <f t="shared" ca="1" si="4"/>
        <v/>
      </c>
      <c r="U30" t="str">
        <f>IF(AZ30="","",IFERROR(IF(INDEX(CODIFICACION!$E$2:$E$500,MATCH("D3.12|"&amp;AZ30,CODIFICACION!$F$2:$F$500,0))="sin dato","",INDEX(CODIFICACION!$E$2:$E$500,MATCH("D3.12|"&amp;AZ30,CODIFICACION!$F$2:$F$500,0))),"⚠"))</f>
        <v/>
      </c>
      <c r="V30" t="str">
        <f t="shared" si="5"/>
        <v/>
      </c>
      <c r="W30" t="str">
        <f ca="1">IF(BB30="","",IFERROR(IF(INDEX(CODIFICACION!$E$2:$E$500,MATCH("D3.14|"&amp;BB30,CODIFICACION!$F$2:$F$500,0))="sin dato","",INDEX(CODIFICACION!$E$2:$E$500,MATCH("D3.14|"&amp;BB30,CODIFICACION!$F$2:$F$500,0))),"⚠"))</f>
        <v/>
      </c>
      <c r="X30" t="str">
        <f ca="1">IF(BC30="","",IFERROR(IF(INDEX(CODIFICACION!$E$2:$E$500,MATCH("D3.14a|"&amp;BC30,CODIFICACION!$F$2:$F$500,0))="sin dato","",INDEX(CODIFICACION!$E$2:$E$500,MATCH("D3.14a|"&amp;BC30,CODIFICACION!$F$2:$F$500,0))),"⚠"))</f>
        <v/>
      </c>
      <c r="Y30" t="str">
        <f>IF(BD30="","",IFERROR(IF(INDEX(CODIFICACION!$E$2:$E$500,MATCH("D3.14b|"&amp;BD30,CODIFICACION!$F$2:$F$500,0))="sin dato","",INDEX(CODIFICACION!$E$2:$E$500,MATCH("D3.14b|"&amp;BD30,CODIFICACION!$F$2:$F$500,0))),"⚠"))</f>
        <v/>
      </c>
      <c r="Z30" t="str">
        <f>IF(BE30="","",IFERROR(IF(INDEX(CODIFICACION!$E$2:$E$500,MATCH("D3.14c|"&amp;BE30,CODIFICACION!$F$2:$F$500,0))="sin dato","",INDEX(CODIFICACION!$E$2:$E$500,MATCH("D3.14c|"&amp;BE30,CODIFICACION!$F$2:$F$500,0))),"⚠"))</f>
        <v/>
      </c>
      <c r="AA30" t="str">
        <f>IF(BF30="","",IFERROR(IF(INDEX(CODIFICACION!$E$2:$E$500,MATCH("D3.14d|"&amp;BF30,CODIFICACION!$F$2:$F$500,0))="sin dato","",INDEX(CODIFICACION!$E$2:$E$500,MATCH("D3.14d|"&amp;BF30,CODIFICACION!$F$2:$F$500,0))),"⚠"))</f>
        <v/>
      </c>
      <c r="AB30" t="str">
        <f>IF(BG30="","",IFERROR(IF(INDEX(CODIFICACION!$E$2:$E$500,MATCH("D3.14e|"&amp;BG30,CODIFICACION!$F$2:$F$500,0))="sin dato","",INDEX(CODIFICACION!$E$2:$E$500,MATCH("D3.14e|"&amp;BG30,CODIFICACION!$F$2:$F$500,0))),"⚠"))</f>
        <v/>
      </c>
      <c r="AC30" t="str">
        <f>IF(BH30="","",IFERROR(IF(INDEX(CODIFICACION!$E$2:$E$500,MATCH("D3.14f|"&amp;BH30,CODIFICACION!$F$2:$F$500,0))="sin dato","",INDEX(CODIFICACION!$E$2:$E$500,MATCH("D3.14f|"&amp;BH30,CODIFICACION!$F$2:$F$500,0))),"⚠"))</f>
        <v/>
      </c>
      <c r="AD30" t="str">
        <f>IF(BI30="","",IFERROR(IF(INDEX(CODIFICACION!$E$2:$E$500,MATCH("D3.14g|"&amp;BI30,CODIFICACION!$F$2:$F$500,0))="sin dato","",INDEX(CODIFICACION!$E$2:$E$500,MATCH("D3.14g|"&amp;BI30,CODIFICACION!$F$2:$F$500,0))),"⚠"))</f>
        <v/>
      </c>
      <c r="AE30" t="str">
        <f>IF(BJ30="","",IFERROR(IF(INDEX(CODIFICACION!$E$2:$E$500,MATCH("D3.14h|"&amp;BJ30,CODIFICACION!$F$2:$F$500,0))="sin dato","",INDEX(CODIFICACION!$E$2:$E$500,MATCH("D3.14h|"&amp;BJ30,CODIFICACION!$F$2:$F$500,0))),"⚠"))</f>
        <v/>
      </c>
      <c r="AF30" t="str">
        <f>IF(BK30="","",IFERROR(IF(INDEX(CODIFICACION!$E$2:$E$500,MATCH("D3.14i|"&amp;BK30,CODIFICACION!$F$2:$F$500,0))="sin dato","",INDEX(CODIFICACION!$E$2:$E$500,MATCH("D3.14i|"&amp;BK30,CODIFICACION!$F$2:$F$500,0))),"⚠"))</f>
        <v/>
      </c>
      <c r="AG30" t="str">
        <f>IF(BL30="","",IFERROR(IF(INDEX(CODIFICACION!$E$2:$E$500,MATCH("D4.15|"&amp;BL30,CODIFICACION!$F$2:$F$500,0))="sin dato","",INDEX(CODIFICACION!$E$2:$E$500,MATCH("D4.15|"&amp;BL30,CODIFICACION!$F$2:$F$500,0))),"⚠"))</f>
        <v/>
      </c>
      <c r="AH30" t="str">
        <f t="shared" si="6"/>
        <v/>
      </c>
      <c r="AI30" t="str">
        <f>IF(BN30="","",IFERROR(IF(INDEX(CODIFICACION!$E$2:$E$500,MATCH("D4.17|"&amp;BN30,CODIFICACION!$F$2:$F$500,0))="sin dato","",INDEX(CODIFICACION!$E$2:$E$500,MATCH("D4.17|"&amp;BN30,CODIFICACION!$F$2:$F$500,0))),"⚠"))</f>
        <v/>
      </c>
      <c r="AJ30" t="str">
        <f>IF(BO30="","",IFERROR(IF(INDEX(CODIFICACION!$E$2:$E$500,MATCH("D4.15a|"&amp;BO30,CODIFICACION!$F$2:$F$500,0))="sin dato","",INDEX(CODIFICACION!$E$2:$E$500,MATCH("D4.15a|"&amp;BO30,CODIFICACION!$F$2:$F$500,0))),"⚠"))</f>
        <v/>
      </c>
      <c r="AK30" t="str">
        <f t="shared" si="7"/>
        <v/>
      </c>
      <c r="AL30" t="str">
        <f t="shared" si="8"/>
        <v/>
      </c>
      <c r="AM30" t="str">
        <f>IF(BR30="","",IFERROR(IF(INDEX(CODIFICACION!$E$2:$E$500,MATCH("D5.18b|"&amp;BR30,CODIFICACION!$F$2:$F$500,0))="sin dato","",INDEX(CODIFICACION!$E$2:$E$500,MATCH("D5.18b|"&amp;BR30,CODIFICACION!$F$2:$F$500,0))),"⚠"))</f>
        <v/>
      </c>
      <c r="AN30" t="str">
        <f>IF(BS30="","",IFERROR(IF(INDEX(CODIFICACION!$E$2:$E$500,MATCH("D5.19|"&amp;BS30,CODIFICACION!$F$2:$F$500,0))="sin dato","",INDEX(CODIFICACION!$E$2:$E$500,MATCH("D5.19|"&amp;BS30,CODIFICACION!$F$2:$F$500,0))),"⚠"))</f>
        <v/>
      </c>
      <c r="AO30" t="str">
        <f t="shared" si="9"/>
        <v/>
      </c>
      <c r="AP30" t="str">
        <f>IF(BU30="","",IFERROR(IF(INDEX(CODIFICACION!$E$2:$E$500,MATCH("D5.20|"&amp;BU30,CODIFICACION!$F$2:$F$500,0))="sin dato","",INDEX(CODIFICACION!$E$2:$E$500,MATCH("D5.20|"&amp;BU30,CODIFICACION!$F$2:$F$500,0))),"⚠"))</f>
        <v/>
      </c>
      <c r="AQ30" t="str">
        <f>IF(BV30="","",IFERROR(IF(INDEX(CODIFICACION!$E$2:$E$500,MATCH("D5.21|"&amp;BV30,CODIFICACION!$F$2:$F$500,0))="sin dato","",INDEX(CODIFICACION!$E$2:$E$500,MATCH("D5.21|"&amp;BV30,CODIFICACION!$F$2:$F$500,0))),"⚠"))</f>
        <v/>
      </c>
      <c r="AR30" t="str">
        <f>IF(BW30="","",IFERROR(IF(INDEX(CODIFICACION!$E$2:$E$500,MATCH("D5.21a|"&amp;BW30,CODIFICACION!$F$2:$F$500,0))="sin dato","",INDEX(CODIFICACION!$E$2:$E$500,MATCH("D5.21a|"&amp;BW30,CODIFICACION!$F$2:$F$500,0))),"⚠"))</f>
        <v/>
      </c>
      <c r="AS30" t="str">
        <f>IF(BX30="","",IFERROR(IF(INDEX(CODIFICACION!$E$2:$E$500,MATCH("D5.21b|"&amp;BX30,CODIFICACION!$F$2:$F$500,0))="sin dato","",INDEX(CODIFICACION!$E$2:$E$500,MATCH("D5.21b|"&amp;BX30,CODIFICACION!$F$2:$F$500,0))),"⚠"))</f>
        <v/>
      </c>
      <c r="AT30" t="str">
        <f>IF(BY30="","",IFERROR(IF(INDEX(CODIFICACION!$E$2:$E$500,MATCH("D6.22|"&amp;BY30,CODIFICACION!$F$2:$F$500,0))="sin dato","",INDEX(CODIFICACION!$E$2:$E$500,MATCH("D6.22|"&amp;BY30,CODIFICACION!$F$2:$F$500,0))),"⚠"))</f>
        <v/>
      </c>
      <c r="AU30" t="str">
        <f>IF(BZ30="","",IFERROR(IF(INDEX(CODIFICACION!$E$2:$E$500,MATCH("D6.22a|"&amp;BZ30,CODIFICACION!$F$2:$F$500,0))="sin dato","",INDEX(CODIFICACION!$E$2:$E$500,MATCH("D6.22a|"&amp;BZ30,CODIFICACION!$F$2:$F$500,0))),"⚠"))</f>
        <v/>
      </c>
      <c r="AV30" t="str">
        <f>IF(CA30="","",IFERROR(IF(INDEX(CODIFICACION!$E$2:$E$500,MATCH("D6.22b|"&amp;CA30,CODIFICACION!$F$2:$F$500,0))="sin dato","",INDEX(CODIFICACION!$E$2:$E$500,MATCH("D6.22b|"&amp;CA30,CODIFICACION!$F$2:$F$500,0))),"⚠"))</f>
        <v/>
      </c>
      <c r="AW30" t="str">
        <f>IF(CB30="","",IFERROR(IF(INDEX(CODIFICACION!$E$2:$E$500,MATCH("D6.23|"&amp;CB30,CODIFICACION!$F$2:$F$500,0))="sin dato","",INDEX(CODIFICACION!$E$2:$E$500,MATCH("D6.23|"&amp;CB30,CODIFICACION!$F$2:$F$500,0))),"⚠"))</f>
        <v/>
      </c>
      <c r="AX30" t="str">
        <f ca="1">IF(CC30="","",IFERROR(IF(INDEX(CODIFICACION!$E$2:$E$500,MATCH("D6.24|"&amp;CC30,CODIFICACION!$F$2:$F$500,0))="sin dato","",INDEX(CODIFICACION!$E$2:$E$500,MATCH("D6.24|"&amp;CC30,CODIFICACION!$F$2:$F$500,0))),"⚠"))</f>
        <v/>
      </c>
      <c r="AY30" t="str">
        <f ca="1">IF(CD30="","",IFERROR(IF(INDEX(CODIFICACION!$E$2:$E$500,MATCH("D6.25|"&amp;CD30,CODIFICACION!$F$2:$F$500,0))="sin dato","",INDEX(CODIFICACION!$E$2:$E$500,MATCH("D6.25|"&amp;CD30,CODIFICACION!$F$2:$F$500,0))),"⚠"))</f>
        <v/>
      </c>
      <c r="AZ30" t="str">
        <f>IF(CE30="","",IFERROR(IF(INDEX(CODIFICACION!$E$2:$E$500,MATCH("D6.25a|"&amp;CE30,CODIFICACION!$F$2:$F$500,0))="sin dato","",INDEX(CODIFICACION!$E$2:$E$500,MATCH("D6.25a|"&amp;CE30,CODIFICACION!$F$2:$F$500,0))),"⚠"))</f>
        <v/>
      </c>
      <c r="BA30" t="str">
        <f>IF(CF30="","",IFERROR(IF(INDEX(CODIFICACION!$E$2:$E$500,MATCH("D6.25b|"&amp;CF30,CODIFICACION!$F$2:$F$500,0))="sin dato","",INDEX(CODIFICACION!$E$2:$E$500,MATCH("D6.25b|"&amp;CF30,CODIFICACION!$F$2:$F$500,0))),"⚠"))</f>
        <v/>
      </c>
      <c r="BB30" t="str">
        <f ca="1">IF(CG30="","",IFERROR(IF(INDEX(CODIFICACION!$E$2:$E$500,MATCH("D6.22c|"&amp;CG30,CODIFICACION!$F$2:$F$500,0))="sin dato","",INDEX(CODIFICACION!$E$2:$E$500,MATCH("D6.22c|"&amp;CG30,CODIFICACION!$F$2:$F$500,0))),"⚠"))</f>
        <v/>
      </c>
      <c r="BC30" t="str">
        <f ca="1">IF(CH30="","",IFERROR(IF(INDEX(CODIFICACION!$E$2:$E$500,MATCH("D7.26|"&amp;CH30,CODIFICACION!$F$2:$F$500,0))="sin dato","",INDEX(CODIFICACION!$E$2:$E$500,MATCH("D7.26|"&amp;CH30,CODIFICACION!$F$2:$F$500,0))),"⚠"))</f>
        <v/>
      </c>
      <c r="BD30" t="str">
        <f>IF(CI30="","",IFERROR(IF(INDEX(CODIFICACION!$E$2:$E$500,MATCH("D7.27|"&amp;CI30,CODIFICACION!$F$2:$F$500,0))="sin dato","",INDEX(CODIFICACION!$E$2:$E$500,MATCH("D7.27|"&amp;CI30,CODIFICACION!$F$2:$F$500,0))),"⚠"))</f>
        <v/>
      </c>
      <c r="BE30" t="str">
        <f>IF(CJ30="","",IFERROR(IF(INDEX(CODIFICACION!$E$2:$E$500,MATCH("D7.28|"&amp;CJ30,CODIFICACION!$F$2:$F$500,0))="sin dato","",INDEX(CODIFICACION!$E$2:$E$500,MATCH("D7.28|"&amp;CJ30,CODIFICACION!$F$2:$F$500,0))),"⚠"))</f>
        <v/>
      </c>
      <c r="BF30" t="str">
        <f>IF(CK30="","",IFERROR(IF(INDEX(CODIFICACION!$E$2:$E$500,MATCH("D7.28b|"&amp;CK30,CODIFICACION!$F$2:$F$500,0))="sin dato","",INDEX(CODIFICACION!$E$2:$E$500,MATCH("D7.28b|"&amp;CK30,CODIFICACION!$F$2:$F$500,0))),"⚠"))</f>
        <v/>
      </c>
      <c r="BG30" t="str">
        <f t="shared" si="10"/>
        <v/>
      </c>
      <c r="BH30" t="str">
        <f>IF(CM30="","",IFERROR(IF(INDEX(CODIFICACION!$E$2:$E$500,MATCH("D7.26a|"&amp;CM30,CODIFICACION!$F$2:$F$500,0))="sin dato","",INDEX(CODIFICACION!$E$2:$E$500,MATCH("D7.26a|"&amp;CM30,CODIFICACION!$F$2:$F$500,0))),"⚠"))</f>
        <v/>
      </c>
      <c r="BI30" t="str">
        <f>IF(CN30="","",IFERROR(IF(INDEX(CODIFICACION!$E$2:$E$500,MATCH("D7.26b|"&amp;CN30,CODIFICACION!$F$2:$F$500,0))="sin dato","",INDEX(CODIFICACION!$E$2:$E$500,MATCH("D7.26b|"&amp;CN30,CODIFICACION!$F$2:$F$500,0))),"⚠"))</f>
        <v/>
      </c>
      <c r="BJ30" t="str">
        <f t="shared" si="11"/>
        <v/>
      </c>
      <c r="BK30" t="str">
        <f t="shared" si="12"/>
        <v/>
      </c>
      <c r="BL30" t="str">
        <f>IF(CQ30="","",IFERROR(IF(INDEX(CODIFICACION!$E$2:$E$500,MATCH("D8.31|"&amp;CQ30,CODIFICACION!$F$2:$F$500,0))="sin dato","",INDEX(CODIFICACION!$E$2:$E$500,MATCH("D8.31|"&amp;CQ30,CODIFICACION!$F$2:$F$500,0))),"⚠"))</f>
        <v/>
      </c>
      <c r="BM30" t="str">
        <f>IF(CR30="","",IFERROR(IF(INDEX(CODIFICACION!$E$2:$E$500,MATCH("D8.32|"&amp;CR30,CODIFICACION!$F$2:$F$500,0))="sin dato","",INDEX(CODIFICACION!$E$2:$E$500,MATCH("D8.32|"&amp;CR30,CODIFICACION!$F$2:$F$500,0))),"⚠"))</f>
        <v/>
      </c>
      <c r="BN30" t="str">
        <f>IF(CS30="","",IFERROR(IF(INDEX(CODIFICACION!$E$2:$E$500,MATCH("D9.33|"&amp;CS30,CODIFICACION!$F$2:$F$500,0))="sin dato","",INDEX(CODIFICACION!$E$2:$E$500,MATCH("D9.33|"&amp;CS30,CODIFICACION!$F$2:$F$500,0))),"⚠"))</f>
        <v/>
      </c>
      <c r="BO30" t="str">
        <f>IF(CT30="","",IFERROR(IF(INDEX(CODIFICACION!$E$2:$E$500,MATCH("D9.34|"&amp;CT30,CODIFICACION!$F$2:$F$500,0))="sin dato","",INDEX(CODIFICACION!$E$2:$E$500,MATCH("D9.34|"&amp;CT30,CODIFICACION!$F$2:$F$500,0))),"⚠"))</f>
        <v/>
      </c>
      <c r="BP30" t="str">
        <f>IF(CU30="","",IFERROR(IF(INDEX(CODIFICACION!$E$2:$E$500,MATCH("D9.35|"&amp;CU30,CODIFICACION!$F$2:$F$500,0))="sin dato","",INDEX(CODIFICACION!$E$2:$E$500,MATCH("D9.35|"&amp;CU30,CODIFICACION!$F$2:$F$500,0))),"⚠"))</f>
        <v/>
      </c>
      <c r="BQ30" t="str">
        <f>IF(CV30="","",IFERROR(IF(INDEX(CODIFICACION!$E$2:$E$500,MATCH("D10.36|"&amp;CV30,CODIFICACION!$F$2:$F$500,0))="sin dato","",INDEX(CODIFICACION!$E$2:$E$500,MATCH("D10.36|"&amp;CV30,CODIFICACION!$F$2:$F$500,0))),"⚠"))</f>
        <v/>
      </c>
      <c r="BR30" t="str">
        <f>IF(CW30="","",IFERROR(IF(INDEX(CODIFICACION!$E$2:$E$500,MATCH("D10.37|"&amp;CW30,CODIFICACION!$F$2:$F$500,0))="sin dato","",INDEX(CODIFICACION!$E$2:$E$500,MATCH("D10.37|"&amp;CW30,CODIFICACION!$F$2:$F$500,0))),"⚠"))</f>
        <v/>
      </c>
      <c r="BS30" t="str">
        <f>IF(CX30="","",IFERROR(IF(INDEX(CODIFICACION!$E$2:$E$500,MATCH("D10.36a|"&amp;CX30,CODIFICACION!$F$2:$F$500,0))="sin dato","",INDEX(CODIFICACION!$E$2:$E$500,MATCH("D10.36a|"&amp;CX30,CODIFICACION!$F$2:$F$500,0))),"⚠"))</f>
        <v/>
      </c>
      <c r="BT30" t="str">
        <f t="shared" si="13"/>
        <v/>
      </c>
      <c r="BU30" t="str">
        <f>IF(DA30="","",IFERROR(IF(INDEX(CODIFICACION!$E$2:$E$500,MATCH("D11.39a|"&amp;DA30,CODIFICACION!$F$2:$F$500,0))="sin dato","",INDEX(CODIFICACION!$E$2:$E$500,MATCH("D11.39a|"&amp;DA30,CODIFICACION!$F$2:$F$500,0))),"⚠"))</f>
        <v/>
      </c>
      <c r="BV30" t="str">
        <f>IF(DB30="","",IFERROR(IF(INDEX(CODIFICACION!$E$2:$E$500,MATCH("D12.42|"&amp;DB30,CODIFICACION!$F$2:$F$500,0))="sin dato","",INDEX(CODIFICACION!$E$2:$E$500,MATCH("D12.42|"&amp;DB30,CODIFICACION!$F$2:$F$500,0))),"⚠"))</f>
        <v/>
      </c>
      <c r="BW30" t="str">
        <f>IF(DC30="","",IFERROR(IF(INDEX(CODIFICACION!$E$2:$E$500,MATCH("D13.45|"&amp;DC30,CODIFICACION!$F$2:$F$500,0))="sin dato","",INDEX(CODIFICACION!$E$2:$E$500,MATCH("D13.45|"&amp;DC30,CODIFICACION!$F$2:$F$500,0))),"⚠"))</f>
        <v/>
      </c>
      <c r="BX30" t="str">
        <f>IF(DD30="","",IFERROR(IF(INDEX(CODIFICACION!$E$2:$E$500,MATCH("D14.51|"&amp;DD30,CODIFICACION!$F$2:$F$500,0))="sin dato","",INDEX(CODIFICACION!$E$2:$E$500,MATCH("D14.51|"&amp;DD30,CODIFICACION!$F$2:$F$500,0))),"⚠"))</f>
        <v/>
      </c>
      <c r="BY30" t="str">
        <f>IF(DE30="","",IFERROR(IF(INDEX(CODIFICACION!$E$2:$E$500,MATCH("D15.58|"&amp;DE30,CODIFICACION!$F$2:$F$500,0))="sin dato","",INDEX(CODIFICACION!$E$2:$E$500,MATCH("D15.58|"&amp;DE30,CODIFICACION!$F$2:$F$500,0))),"⚠"))</f>
        <v/>
      </c>
      <c r="BZ30" t="str">
        <f>IF(DF30="","",IFERROR(IF(INDEX(CODIFICACION!$E$2:$E$500,MATCH("PP1|"&amp;DF30,CODIFICACION!$F$2:$F$500,0))="sin dato","",INDEX(CODIFICACION!$E$2:$E$500,MATCH("PP1|"&amp;DF30,CODIFICACION!$F$2:$F$500,0))),"⚠"))</f>
        <v/>
      </c>
      <c r="CA30" t="str">
        <f>IF(DG30="","",IFERROR(IF(INDEX(CODIFICACION!$E$2:$E$500,MATCH("PP2|"&amp;DG30,CODIFICACION!$F$2:$F$500,0))="sin dato","",INDEX(CODIFICACION!$E$2:$E$500,MATCH("PP2|"&amp;DG30,CODIFICACION!$F$2:$F$500,0))),"⚠"))</f>
        <v/>
      </c>
      <c r="CB30" t="str">
        <f t="shared" si="14"/>
        <v/>
      </c>
      <c r="CC30" t="str">
        <f t="shared" ca="1" si="15"/>
        <v/>
      </c>
      <c r="CD30" t="str">
        <f t="shared" ca="1" si="16"/>
        <v/>
      </c>
      <c r="CE30" t="str">
        <f t="shared" si="17"/>
        <v/>
      </c>
      <c r="CF30" t="str">
        <f t="shared" si="18"/>
        <v/>
      </c>
      <c r="CG30" t="str">
        <f t="shared" ca="1" si="19"/>
        <v/>
      </c>
      <c r="CH30" t="str">
        <f t="shared" ca="1" si="20"/>
        <v/>
      </c>
      <c r="CI30" t="str">
        <f t="shared" si="21"/>
        <v/>
      </c>
      <c r="CJ30" t="str">
        <f t="shared" si="22"/>
        <v/>
      </c>
      <c r="CK30" t="str">
        <f t="shared" si="23"/>
        <v/>
      </c>
      <c r="CL30" t="str">
        <f t="shared" si="24"/>
        <v/>
      </c>
    </row>
    <row r="31" spans="1:90" x14ac:dyDescent="0.3">
      <c r="A31">
        <f>CAPTURA!A31</f>
        <v>20450189201</v>
      </c>
      <c r="B31">
        <f>CAPTURA!C31</f>
        <v>0</v>
      </c>
      <c r="C31" t="str">
        <f t="shared" si="0"/>
        <v/>
      </c>
      <c r="D31" t="str">
        <f>IF(AE31="","",IFERROR(IF(INDEX(CODIFICACION!$E$2:$E$500,MATCH("P8|"&amp;AE31,CODIFICACION!$F$2:$F$500,0))="sin dato","",INDEX(CODIFICACION!$E$2:$E$500,MATCH("P8|"&amp;AE31,CODIFICACION!$F$2:$F$500,0))),"⚠"))</f>
        <v/>
      </c>
      <c r="E31" t="str">
        <f>IF(AG31="","",IFERROR(IF(INDEX(CODIFICACION!$E$2:$E$500,MATCH("P10|"&amp;AG31,CODIFICACION!$F$2:$F$500,0))="sin dato","",INDEX(CODIFICACION!$E$2:$E$500,MATCH("P10|"&amp;AG31,CODIFICACION!$F$2:$F$500,0))),"⚠"))</f>
        <v/>
      </c>
      <c r="F31" t="str">
        <f>IF(AJ31="","",IFERROR(IF(INDEX(CODIFICACION!$E$2:$E$500,MATCH("P13|"&amp;AJ31,CODIFICACION!$F$2:$F$500,0))="sin dato","",INDEX(CODIFICACION!$E$2:$E$500,MATCH("P13|"&amp;AJ31,CODIFICACION!$F$2:$F$500,0))),"⚠"))</f>
        <v/>
      </c>
      <c r="G31" t="str">
        <f>IF(AK31="","",IFERROR(IF(INDEX(CODIFICACION!$E$2:$E$500,MATCH("P14|"&amp;AK31,CODIFICACION!$F$2:$F$500,0))="sin dato","",INDEX(CODIFICACION!$E$2:$E$500,MATCH("P14|"&amp;AK31,CODIFICACION!$F$2:$F$500,0))),"⚠"))</f>
        <v/>
      </c>
      <c r="H31" t="str">
        <f>IF(AL31="","",IFERROR(IF(INDEX(CODIFICACION!$E$2:$E$500,MATCH("D1.1|"&amp;AL31,CODIFICACION!$F$2:$F$500,0))="sin dato","",INDEX(CODIFICACION!$E$2:$E$500,MATCH("D1.1|"&amp;AL31,CODIFICACION!$F$2:$F$500,0))),"⚠"))</f>
        <v/>
      </c>
      <c r="I31" t="str">
        <f>IF(AN31="","",IFERROR(IF(INDEX(CODIFICACION!$E$2:$E$500,MATCH("D1.3|"&amp;AN31,CODIFICACION!$F$2:$F$500,0))="sin dato","",INDEX(CODIFICACION!$E$2:$E$500,MATCH("D1.3|"&amp;AN31,CODIFICACION!$F$2:$F$500,0))),"⚠"))</f>
        <v/>
      </c>
      <c r="J31" t="str">
        <f>IF(AO31="","",IFERROR(IF(INDEX(CODIFICACION!$E$2:$E$500,MATCH("D1.4|"&amp;AO31,CODIFICACION!$F$2:$F$500,0))="sin dato","",INDEX(CODIFICACION!$E$2:$E$500,MATCH("D1.4|"&amp;AO31,CODIFICACION!$F$2:$F$500,0))),"⚠"))</f>
        <v/>
      </c>
      <c r="K31" t="str">
        <f>IF(AP31="","",IFERROR(IF(INDEX(CODIFICACION!$E$2:$E$500,MATCH("D1.3a|"&amp;AP31,CODIFICACION!$F$2:$F$500,0))="sin dato","",INDEX(CODIFICACION!$E$2:$E$500,MATCH("D1.3a|"&amp;AP31,CODIFICACION!$F$2:$F$500,0))),"⚠"))</f>
        <v/>
      </c>
      <c r="L31" t="str">
        <f t="shared" si="1"/>
        <v/>
      </c>
      <c r="M31" t="str">
        <f t="shared" si="2"/>
        <v/>
      </c>
      <c r="N31" t="str">
        <f t="shared" si="3"/>
        <v/>
      </c>
      <c r="O31" t="str">
        <f>IF(AT31="","",IFERROR(IF(INDEX(CODIFICACION!$E$2:$E$500,MATCH("D2.8|"&amp;AT31,CODIFICACION!$F$2:$F$500,0))="sin dato","",INDEX(CODIFICACION!$E$2:$E$500,MATCH("D2.8|"&amp;AT31,CODIFICACION!$F$2:$F$500,0))),"⚠"))</f>
        <v/>
      </c>
      <c r="P31" t="str">
        <f>IF(AU31="","",IFERROR(IF(INDEX(CODIFICACION!$E$2:$E$500,MATCH("D2.9|"&amp;AU31,CODIFICACION!$F$2:$F$500,0))="sin dato","",INDEX(CODIFICACION!$E$2:$E$500,MATCH("D2.9|"&amp;AU31,CODIFICACION!$F$2:$F$500,0))),"⚠"))</f>
        <v/>
      </c>
      <c r="Q31" t="str">
        <f>IF(AV31="","",IFERROR(IF(INDEX(CODIFICACION!$E$2:$E$500,MATCH("D2.10|"&amp;AV31,CODIFICACION!$F$2:$F$500,0))="sin dato","",INDEX(CODIFICACION!$E$2:$E$500,MATCH("D2.10|"&amp;AV31,CODIFICACION!$F$2:$F$500,0))),"⚠"))</f>
        <v/>
      </c>
      <c r="R31" t="str">
        <f>IF(AW31="","",IFERROR(IF(INDEX(CODIFICACION!$E$2:$E$500,MATCH("D2.5a|"&amp;AW31,CODIFICACION!$F$2:$F$500,0))="sin dato","",INDEX(CODIFICACION!$E$2:$E$500,MATCH("D2.5a|"&amp;AW31,CODIFICACION!$F$2:$F$500,0))),"⚠"))</f>
        <v/>
      </c>
      <c r="S31" t="str">
        <f ca="1">IF(AX31="","",IFERROR(IF(INDEX(CODIFICACION!$E$2:$E$500,MATCH("D2.5b|"&amp;AX31,CODIFICACION!$F$2:$F$500,0))="sin dato","",INDEX(CODIFICACION!$E$2:$E$500,MATCH("D2.5b|"&amp;AX31,CODIFICACION!$F$2:$F$500,0))),"⚠"))</f>
        <v/>
      </c>
      <c r="T31" t="str">
        <f t="shared" ca="1" si="4"/>
        <v/>
      </c>
      <c r="U31" t="str">
        <f>IF(AZ31="","",IFERROR(IF(INDEX(CODIFICACION!$E$2:$E$500,MATCH("D3.12|"&amp;AZ31,CODIFICACION!$F$2:$F$500,0))="sin dato","",INDEX(CODIFICACION!$E$2:$E$500,MATCH("D3.12|"&amp;AZ31,CODIFICACION!$F$2:$F$500,0))),"⚠"))</f>
        <v/>
      </c>
      <c r="V31" t="str">
        <f t="shared" si="5"/>
        <v/>
      </c>
      <c r="W31" t="str">
        <f ca="1">IF(BB31="","",IFERROR(IF(INDEX(CODIFICACION!$E$2:$E$500,MATCH("D3.14|"&amp;BB31,CODIFICACION!$F$2:$F$500,0))="sin dato","",INDEX(CODIFICACION!$E$2:$E$500,MATCH("D3.14|"&amp;BB31,CODIFICACION!$F$2:$F$500,0))),"⚠"))</f>
        <v/>
      </c>
      <c r="X31" t="str">
        <f ca="1">IF(BC31="","",IFERROR(IF(INDEX(CODIFICACION!$E$2:$E$500,MATCH("D3.14a|"&amp;BC31,CODIFICACION!$F$2:$F$500,0))="sin dato","",INDEX(CODIFICACION!$E$2:$E$500,MATCH("D3.14a|"&amp;BC31,CODIFICACION!$F$2:$F$500,0))),"⚠"))</f>
        <v/>
      </c>
      <c r="Y31" t="str">
        <f>IF(BD31="","",IFERROR(IF(INDEX(CODIFICACION!$E$2:$E$500,MATCH("D3.14b|"&amp;BD31,CODIFICACION!$F$2:$F$500,0))="sin dato","",INDEX(CODIFICACION!$E$2:$E$500,MATCH("D3.14b|"&amp;BD31,CODIFICACION!$F$2:$F$500,0))),"⚠"))</f>
        <v/>
      </c>
      <c r="Z31" t="str">
        <f>IF(BE31="","",IFERROR(IF(INDEX(CODIFICACION!$E$2:$E$500,MATCH("D3.14c|"&amp;BE31,CODIFICACION!$F$2:$F$500,0))="sin dato","",INDEX(CODIFICACION!$E$2:$E$500,MATCH("D3.14c|"&amp;BE31,CODIFICACION!$F$2:$F$500,0))),"⚠"))</f>
        <v/>
      </c>
      <c r="AA31" t="str">
        <f>IF(BF31="","",IFERROR(IF(INDEX(CODIFICACION!$E$2:$E$500,MATCH("D3.14d|"&amp;BF31,CODIFICACION!$F$2:$F$500,0))="sin dato","",INDEX(CODIFICACION!$E$2:$E$500,MATCH("D3.14d|"&amp;BF31,CODIFICACION!$F$2:$F$500,0))),"⚠"))</f>
        <v/>
      </c>
      <c r="AB31" t="str">
        <f>IF(BG31="","",IFERROR(IF(INDEX(CODIFICACION!$E$2:$E$500,MATCH("D3.14e|"&amp;BG31,CODIFICACION!$F$2:$F$500,0))="sin dato","",INDEX(CODIFICACION!$E$2:$E$500,MATCH("D3.14e|"&amp;BG31,CODIFICACION!$F$2:$F$500,0))),"⚠"))</f>
        <v/>
      </c>
      <c r="AC31" t="str">
        <f>IF(BH31="","",IFERROR(IF(INDEX(CODIFICACION!$E$2:$E$500,MATCH("D3.14f|"&amp;BH31,CODIFICACION!$F$2:$F$500,0))="sin dato","",INDEX(CODIFICACION!$E$2:$E$500,MATCH("D3.14f|"&amp;BH31,CODIFICACION!$F$2:$F$500,0))),"⚠"))</f>
        <v/>
      </c>
      <c r="AD31" t="str">
        <f>IF(BI31="","",IFERROR(IF(INDEX(CODIFICACION!$E$2:$E$500,MATCH("D3.14g|"&amp;BI31,CODIFICACION!$F$2:$F$500,0))="sin dato","",INDEX(CODIFICACION!$E$2:$E$500,MATCH("D3.14g|"&amp;BI31,CODIFICACION!$F$2:$F$500,0))),"⚠"))</f>
        <v/>
      </c>
      <c r="AE31" t="str">
        <f>IF(BJ31="","",IFERROR(IF(INDEX(CODIFICACION!$E$2:$E$500,MATCH("D3.14h|"&amp;BJ31,CODIFICACION!$F$2:$F$500,0))="sin dato","",INDEX(CODIFICACION!$E$2:$E$500,MATCH("D3.14h|"&amp;BJ31,CODIFICACION!$F$2:$F$500,0))),"⚠"))</f>
        <v/>
      </c>
      <c r="AF31" t="str">
        <f>IF(BK31="","",IFERROR(IF(INDEX(CODIFICACION!$E$2:$E$500,MATCH("D3.14i|"&amp;BK31,CODIFICACION!$F$2:$F$500,0))="sin dato","",INDEX(CODIFICACION!$E$2:$E$500,MATCH("D3.14i|"&amp;BK31,CODIFICACION!$F$2:$F$500,0))),"⚠"))</f>
        <v/>
      </c>
      <c r="AG31" t="str">
        <f>IF(BL31="","",IFERROR(IF(INDEX(CODIFICACION!$E$2:$E$500,MATCH("D4.15|"&amp;BL31,CODIFICACION!$F$2:$F$500,0))="sin dato","",INDEX(CODIFICACION!$E$2:$E$500,MATCH("D4.15|"&amp;BL31,CODIFICACION!$F$2:$F$500,0))),"⚠"))</f>
        <v/>
      </c>
      <c r="AH31" t="str">
        <f t="shared" si="6"/>
        <v/>
      </c>
      <c r="AI31" t="str">
        <f>IF(BN31="","",IFERROR(IF(INDEX(CODIFICACION!$E$2:$E$500,MATCH("D4.17|"&amp;BN31,CODIFICACION!$F$2:$F$500,0))="sin dato","",INDEX(CODIFICACION!$E$2:$E$500,MATCH("D4.17|"&amp;BN31,CODIFICACION!$F$2:$F$500,0))),"⚠"))</f>
        <v/>
      </c>
      <c r="AJ31" t="str">
        <f>IF(BO31="","",IFERROR(IF(INDEX(CODIFICACION!$E$2:$E$500,MATCH("D4.15a|"&amp;BO31,CODIFICACION!$F$2:$F$500,0))="sin dato","",INDEX(CODIFICACION!$E$2:$E$500,MATCH("D4.15a|"&amp;BO31,CODIFICACION!$F$2:$F$500,0))),"⚠"))</f>
        <v/>
      </c>
      <c r="AK31" t="str">
        <f t="shared" si="7"/>
        <v/>
      </c>
      <c r="AL31" t="str">
        <f t="shared" si="8"/>
        <v/>
      </c>
      <c r="AM31" t="str">
        <f>IF(BR31="","",IFERROR(IF(INDEX(CODIFICACION!$E$2:$E$500,MATCH("D5.18b|"&amp;BR31,CODIFICACION!$F$2:$F$500,0))="sin dato","",INDEX(CODIFICACION!$E$2:$E$500,MATCH("D5.18b|"&amp;BR31,CODIFICACION!$F$2:$F$500,0))),"⚠"))</f>
        <v/>
      </c>
      <c r="AN31" t="str">
        <f>IF(BS31="","",IFERROR(IF(INDEX(CODIFICACION!$E$2:$E$500,MATCH("D5.19|"&amp;BS31,CODIFICACION!$F$2:$F$500,0))="sin dato","",INDEX(CODIFICACION!$E$2:$E$500,MATCH("D5.19|"&amp;BS31,CODIFICACION!$F$2:$F$500,0))),"⚠"))</f>
        <v/>
      </c>
      <c r="AO31" t="str">
        <f t="shared" si="9"/>
        <v/>
      </c>
      <c r="AP31" t="str">
        <f>IF(BU31="","",IFERROR(IF(INDEX(CODIFICACION!$E$2:$E$500,MATCH("D5.20|"&amp;BU31,CODIFICACION!$F$2:$F$500,0))="sin dato","",INDEX(CODIFICACION!$E$2:$E$500,MATCH("D5.20|"&amp;BU31,CODIFICACION!$F$2:$F$500,0))),"⚠"))</f>
        <v/>
      </c>
      <c r="AQ31" t="str">
        <f>IF(BV31="","",IFERROR(IF(INDEX(CODIFICACION!$E$2:$E$500,MATCH("D5.21|"&amp;BV31,CODIFICACION!$F$2:$F$500,0))="sin dato","",INDEX(CODIFICACION!$E$2:$E$500,MATCH("D5.21|"&amp;BV31,CODIFICACION!$F$2:$F$500,0))),"⚠"))</f>
        <v/>
      </c>
      <c r="AR31" t="str">
        <f>IF(BW31="","",IFERROR(IF(INDEX(CODIFICACION!$E$2:$E$500,MATCH("D5.21a|"&amp;BW31,CODIFICACION!$F$2:$F$500,0))="sin dato","",INDEX(CODIFICACION!$E$2:$E$500,MATCH("D5.21a|"&amp;BW31,CODIFICACION!$F$2:$F$500,0))),"⚠"))</f>
        <v/>
      </c>
      <c r="AS31" t="str">
        <f>IF(BX31="","",IFERROR(IF(INDEX(CODIFICACION!$E$2:$E$500,MATCH("D5.21b|"&amp;BX31,CODIFICACION!$F$2:$F$500,0))="sin dato","",INDEX(CODIFICACION!$E$2:$E$500,MATCH("D5.21b|"&amp;BX31,CODIFICACION!$F$2:$F$500,0))),"⚠"))</f>
        <v/>
      </c>
      <c r="AT31" t="str">
        <f>IF(BY31="","",IFERROR(IF(INDEX(CODIFICACION!$E$2:$E$500,MATCH("D6.22|"&amp;BY31,CODIFICACION!$F$2:$F$500,0))="sin dato","",INDEX(CODIFICACION!$E$2:$E$500,MATCH("D6.22|"&amp;BY31,CODIFICACION!$F$2:$F$500,0))),"⚠"))</f>
        <v/>
      </c>
      <c r="AU31" t="str">
        <f>IF(BZ31="","",IFERROR(IF(INDEX(CODIFICACION!$E$2:$E$500,MATCH("D6.22a|"&amp;BZ31,CODIFICACION!$F$2:$F$500,0))="sin dato","",INDEX(CODIFICACION!$E$2:$E$500,MATCH("D6.22a|"&amp;BZ31,CODIFICACION!$F$2:$F$500,0))),"⚠"))</f>
        <v/>
      </c>
      <c r="AV31" t="str">
        <f>IF(CA31="","",IFERROR(IF(INDEX(CODIFICACION!$E$2:$E$500,MATCH("D6.22b|"&amp;CA31,CODIFICACION!$F$2:$F$500,0))="sin dato","",INDEX(CODIFICACION!$E$2:$E$500,MATCH("D6.22b|"&amp;CA31,CODIFICACION!$F$2:$F$500,0))),"⚠"))</f>
        <v/>
      </c>
      <c r="AW31" t="str">
        <f>IF(CB31="","",IFERROR(IF(INDEX(CODIFICACION!$E$2:$E$500,MATCH("D6.23|"&amp;CB31,CODIFICACION!$F$2:$F$500,0))="sin dato","",INDEX(CODIFICACION!$E$2:$E$500,MATCH("D6.23|"&amp;CB31,CODIFICACION!$F$2:$F$500,0))),"⚠"))</f>
        <v/>
      </c>
      <c r="AX31" t="str">
        <f ca="1">IF(CC31="","",IFERROR(IF(INDEX(CODIFICACION!$E$2:$E$500,MATCH("D6.24|"&amp;CC31,CODIFICACION!$F$2:$F$500,0))="sin dato","",INDEX(CODIFICACION!$E$2:$E$500,MATCH("D6.24|"&amp;CC31,CODIFICACION!$F$2:$F$500,0))),"⚠"))</f>
        <v/>
      </c>
      <c r="AY31" t="str">
        <f ca="1">IF(CD31="","",IFERROR(IF(INDEX(CODIFICACION!$E$2:$E$500,MATCH("D6.25|"&amp;CD31,CODIFICACION!$F$2:$F$500,0))="sin dato","",INDEX(CODIFICACION!$E$2:$E$500,MATCH("D6.25|"&amp;CD31,CODIFICACION!$F$2:$F$500,0))),"⚠"))</f>
        <v/>
      </c>
      <c r="AZ31" t="str">
        <f>IF(CE31="","",IFERROR(IF(INDEX(CODIFICACION!$E$2:$E$500,MATCH("D6.25a|"&amp;CE31,CODIFICACION!$F$2:$F$500,0))="sin dato","",INDEX(CODIFICACION!$E$2:$E$500,MATCH("D6.25a|"&amp;CE31,CODIFICACION!$F$2:$F$500,0))),"⚠"))</f>
        <v/>
      </c>
      <c r="BA31" t="str">
        <f>IF(CF31="","",IFERROR(IF(INDEX(CODIFICACION!$E$2:$E$500,MATCH("D6.25b|"&amp;CF31,CODIFICACION!$F$2:$F$500,0))="sin dato","",INDEX(CODIFICACION!$E$2:$E$500,MATCH("D6.25b|"&amp;CF31,CODIFICACION!$F$2:$F$500,0))),"⚠"))</f>
        <v/>
      </c>
      <c r="BB31" t="str">
        <f ca="1">IF(CG31="","",IFERROR(IF(INDEX(CODIFICACION!$E$2:$E$500,MATCH("D6.22c|"&amp;CG31,CODIFICACION!$F$2:$F$500,0))="sin dato","",INDEX(CODIFICACION!$E$2:$E$500,MATCH("D6.22c|"&amp;CG31,CODIFICACION!$F$2:$F$500,0))),"⚠"))</f>
        <v/>
      </c>
      <c r="BC31" t="str">
        <f ca="1">IF(CH31="","",IFERROR(IF(INDEX(CODIFICACION!$E$2:$E$500,MATCH("D7.26|"&amp;CH31,CODIFICACION!$F$2:$F$500,0))="sin dato","",INDEX(CODIFICACION!$E$2:$E$500,MATCH("D7.26|"&amp;CH31,CODIFICACION!$F$2:$F$500,0))),"⚠"))</f>
        <v/>
      </c>
      <c r="BD31" t="str">
        <f>IF(CI31="","",IFERROR(IF(INDEX(CODIFICACION!$E$2:$E$500,MATCH("D7.27|"&amp;CI31,CODIFICACION!$F$2:$F$500,0))="sin dato","",INDEX(CODIFICACION!$E$2:$E$500,MATCH("D7.27|"&amp;CI31,CODIFICACION!$F$2:$F$500,0))),"⚠"))</f>
        <v/>
      </c>
      <c r="BE31" t="str">
        <f>IF(CJ31="","",IFERROR(IF(INDEX(CODIFICACION!$E$2:$E$500,MATCH("D7.28|"&amp;CJ31,CODIFICACION!$F$2:$F$500,0))="sin dato","",INDEX(CODIFICACION!$E$2:$E$500,MATCH("D7.28|"&amp;CJ31,CODIFICACION!$F$2:$F$500,0))),"⚠"))</f>
        <v/>
      </c>
      <c r="BF31" t="str">
        <f>IF(CK31="","",IFERROR(IF(INDEX(CODIFICACION!$E$2:$E$500,MATCH("D7.28b|"&amp;CK31,CODIFICACION!$F$2:$F$500,0))="sin dato","",INDEX(CODIFICACION!$E$2:$E$500,MATCH("D7.28b|"&amp;CK31,CODIFICACION!$F$2:$F$500,0))),"⚠"))</f>
        <v/>
      </c>
      <c r="BG31" t="str">
        <f t="shared" si="10"/>
        <v/>
      </c>
      <c r="BH31" t="str">
        <f>IF(CM31="","",IFERROR(IF(INDEX(CODIFICACION!$E$2:$E$500,MATCH("D7.26a|"&amp;CM31,CODIFICACION!$F$2:$F$500,0))="sin dato","",INDEX(CODIFICACION!$E$2:$E$500,MATCH("D7.26a|"&amp;CM31,CODIFICACION!$F$2:$F$500,0))),"⚠"))</f>
        <v/>
      </c>
      <c r="BI31" t="str">
        <f>IF(CN31="","",IFERROR(IF(INDEX(CODIFICACION!$E$2:$E$500,MATCH("D7.26b|"&amp;CN31,CODIFICACION!$F$2:$F$500,0))="sin dato","",INDEX(CODIFICACION!$E$2:$E$500,MATCH("D7.26b|"&amp;CN31,CODIFICACION!$F$2:$F$500,0))),"⚠"))</f>
        <v/>
      </c>
      <c r="BJ31" t="str">
        <f t="shared" si="11"/>
        <v/>
      </c>
      <c r="BK31" t="str">
        <f t="shared" si="12"/>
        <v/>
      </c>
      <c r="BL31" t="str">
        <f>IF(CQ31="","",IFERROR(IF(INDEX(CODIFICACION!$E$2:$E$500,MATCH("D8.31|"&amp;CQ31,CODIFICACION!$F$2:$F$500,0))="sin dato","",INDEX(CODIFICACION!$E$2:$E$500,MATCH("D8.31|"&amp;CQ31,CODIFICACION!$F$2:$F$500,0))),"⚠"))</f>
        <v/>
      </c>
      <c r="BM31" t="str">
        <f>IF(CR31="","",IFERROR(IF(INDEX(CODIFICACION!$E$2:$E$500,MATCH("D8.32|"&amp;CR31,CODIFICACION!$F$2:$F$500,0))="sin dato","",INDEX(CODIFICACION!$E$2:$E$500,MATCH("D8.32|"&amp;CR31,CODIFICACION!$F$2:$F$500,0))),"⚠"))</f>
        <v/>
      </c>
      <c r="BN31" t="str">
        <f>IF(CS31="","",IFERROR(IF(INDEX(CODIFICACION!$E$2:$E$500,MATCH("D9.33|"&amp;CS31,CODIFICACION!$F$2:$F$500,0))="sin dato","",INDEX(CODIFICACION!$E$2:$E$500,MATCH("D9.33|"&amp;CS31,CODIFICACION!$F$2:$F$500,0))),"⚠"))</f>
        <v/>
      </c>
      <c r="BO31" t="str">
        <f>IF(CT31="","",IFERROR(IF(INDEX(CODIFICACION!$E$2:$E$500,MATCH("D9.34|"&amp;CT31,CODIFICACION!$F$2:$F$500,0))="sin dato","",INDEX(CODIFICACION!$E$2:$E$500,MATCH("D9.34|"&amp;CT31,CODIFICACION!$F$2:$F$500,0))),"⚠"))</f>
        <v/>
      </c>
      <c r="BP31" t="str">
        <f>IF(CU31="","",IFERROR(IF(INDEX(CODIFICACION!$E$2:$E$500,MATCH("D9.35|"&amp;CU31,CODIFICACION!$F$2:$F$500,0))="sin dato","",INDEX(CODIFICACION!$E$2:$E$500,MATCH("D9.35|"&amp;CU31,CODIFICACION!$F$2:$F$500,0))),"⚠"))</f>
        <v/>
      </c>
      <c r="BQ31" t="str">
        <f>IF(CV31="","",IFERROR(IF(INDEX(CODIFICACION!$E$2:$E$500,MATCH("D10.36|"&amp;CV31,CODIFICACION!$F$2:$F$500,0))="sin dato","",INDEX(CODIFICACION!$E$2:$E$500,MATCH("D10.36|"&amp;CV31,CODIFICACION!$F$2:$F$500,0))),"⚠"))</f>
        <v/>
      </c>
      <c r="BR31" t="str">
        <f>IF(CW31="","",IFERROR(IF(INDEX(CODIFICACION!$E$2:$E$500,MATCH("D10.37|"&amp;CW31,CODIFICACION!$F$2:$F$500,0))="sin dato","",INDEX(CODIFICACION!$E$2:$E$500,MATCH("D10.37|"&amp;CW31,CODIFICACION!$F$2:$F$500,0))),"⚠"))</f>
        <v/>
      </c>
      <c r="BS31" t="str">
        <f>IF(CX31="","",IFERROR(IF(INDEX(CODIFICACION!$E$2:$E$500,MATCH("D10.36a|"&amp;CX31,CODIFICACION!$F$2:$F$500,0))="sin dato","",INDEX(CODIFICACION!$E$2:$E$500,MATCH("D10.36a|"&amp;CX31,CODIFICACION!$F$2:$F$500,0))),"⚠"))</f>
        <v/>
      </c>
      <c r="BT31" t="str">
        <f t="shared" si="13"/>
        <v/>
      </c>
      <c r="BU31" t="str">
        <f>IF(DA31="","",IFERROR(IF(INDEX(CODIFICACION!$E$2:$E$500,MATCH("D11.39a|"&amp;DA31,CODIFICACION!$F$2:$F$500,0))="sin dato","",INDEX(CODIFICACION!$E$2:$E$500,MATCH("D11.39a|"&amp;DA31,CODIFICACION!$F$2:$F$500,0))),"⚠"))</f>
        <v/>
      </c>
      <c r="BV31" t="str">
        <f>IF(DB31="","",IFERROR(IF(INDEX(CODIFICACION!$E$2:$E$500,MATCH("D12.42|"&amp;DB31,CODIFICACION!$F$2:$F$500,0))="sin dato","",INDEX(CODIFICACION!$E$2:$E$500,MATCH("D12.42|"&amp;DB31,CODIFICACION!$F$2:$F$500,0))),"⚠"))</f>
        <v/>
      </c>
      <c r="BW31" t="str">
        <f>IF(DC31="","",IFERROR(IF(INDEX(CODIFICACION!$E$2:$E$500,MATCH("D13.45|"&amp;DC31,CODIFICACION!$F$2:$F$500,0))="sin dato","",INDEX(CODIFICACION!$E$2:$E$500,MATCH("D13.45|"&amp;DC31,CODIFICACION!$F$2:$F$500,0))),"⚠"))</f>
        <v/>
      </c>
      <c r="BX31" t="str">
        <f>IF(DD31="","",IFERROR(IF(INDEX(CODIFICACION!$E$2:$E$500,MATCH("D14.51|"&amp;DD31,CODIFICACION!$F$2:$F$500,0))="sin dato","",INDEX(CODIFICACION!$E$2:$E$500,MATCH("D14.51|"&amp;DD31,CODIFICACION!$F$2:$F$500,0))),"⚠"))</f>
        <v/>
      </c>
      <c r="BY31" t="str">
        <f>IF(DE31="","",IFERROR(IF(INDEX(CODIFICACION!$E$2:$E$500,MATCH("D15.58|"&amp;DE31,CODIFICACION!$F$2:$F$500,0))="sin dato","",INDEX(CODIFICACION!$E$2:$E$500,MATCH("D15.58|"&amp;DE31,CODIFICACION!$F$2:$F$500,0))),"⚠"))</f>
        <v/>
      </c>
      <c r="BZ31" t="str">
        <f>IF(DF31="","",IFERROR(IF(INDEX(CODIFICACION!$E$2:$E$500,MATCH("PP1|"&amp;DF31,CODIFICACION!$F$2:$F$500,0))="sin dato","",INDEX(CODIFICACION!$E$2:$E$500,MATCH("PP1|"&amp;DF31,CODIFICACION!$F$2:$F$500,0))),"⚠"))</f>
        <v/>
      </c>
      <c r="CA31" t="str">
        <f>IF(DG31="","",IFERROR(IF(INDEX(CODIFICACION!$E$2:$E$500,MATCH("PP2|"&amp;DG31,CODIFICACION!$F$2:$F$500,0))="sin dato","",INDEX(CODIFICACION!$E$2:$E$500,MATCH("PP2|"&amp;DG31,CODIFICACION!$F$2:$F$500,0))),"⚠"))</f>
        <v/>
      </c>
      <c r="CB31" t="str">
        <f t="shared" si="14"/>
        <v/>
      </c>
      <c r="CC31" t="str">
        <f t="shared" ca="1" si="15"/>
        <v/>
      </c>
      <c r="CD31" t="str">
        <f t="shared" ca="1" si="16"/>
        <v/>
      </c>
      <c r="CE31" t="str">
        <f t="shared" si="17"/>
        <v/>
      </c>
      <c r="CF31" t="str">
        <f t="shared" si="18"/>
        <v/>
      </c>
      <c r="CG31" t="str">
        <f t="shared" ca="1" si="19"/>
        <v/>
      </c>
      <c r="CH31" t="str">
        <f t="shared" ca="1" si="20"/>
        <v/>
      </c>
      <c r="CI31" t="str">
        <f t="shared" si="21"/>
        <v/>
      </c>
      <c r="CJ31" t="str">
        <f t="shared" si="22"/>
        <v/>
      </c>
      <c r="CK31" t="str">
        <f t="shared" si="23"/>
        <v/>
      </c>
      <c r="CL31" t="str">
        <f t="shared" si="24"/>
        <v/>
      </c>
    </row>
    <row r="32" spans="1:90" x14ac:dyDescent="0.3">
      <c r="A32">
        <f>CAPTURA!A32</f>
        <v>20450207544</v>
      </c>
      <c r="B32">
        <f>CAPTURA!C32</f>
        <v>0</v>
      </c>
      <c r="C32" t="str">
        <f t="shared" si="0"/>
        <v/>
      </c>
      <c r="D32" t="str">
        <f>IF(AE32="","",IFERROR(IF(INDEX(CODIFICACION!$E$2:$E$500,MATCH("P8|"&amp;AE32,CODIFICACION!$F$2:$F$500,0))="sin dato","",INDEX(CODIFICACION!$E$2:$E$500,MATCH("P8|"&amp;AE32,CODIFICACION!$F$2:$F$500,0))),"⚠"))</f>
        <v/>
      </c>
      <c r="E32" t="str">
        <f>IF(AG32="","",IFERROR(IF(INDEX(CODIFICACION!$E$2:$E$500,MATCH("P10|"&amp;AG32,CODIFICACION!$F$2:$F$500,0))="sin dato","",INDEX(CODIFICACION!$E$2:$E$500,MATCH("P10|"&amp;AG32,CODIFICACION!$F$2:$F$500,0))),"⚠"))</f>
        <v/>
      </c>
      <c r="F32" t="str">
        <f>IF(AJ32="","",IFERROR(IF(INDEX(CODIFICACION!$E$2:$E$500,MATCH("P13|"&amp;AJ32,CODIFICACION!$F$2:$F$500,0))="sin dato","",INDEX(CODIFICACION!$E$2:$E$500,MATCH("P13|"&amp;AJ32,CODIFICACION!$F$2:$F$500,0))),"⚠"))</f>
        <v/>
      </c>
      <c r="G32" t="str">
        <f>IF(AK32="","",IFERROR(IF(INDEX(CODIFICACION!$E$2:$E$500,MATCH("P14|"&amp;AK32,CODIFICACION!$F$2:$F$500,0))="sin dato","",INDEX(CODIFICACION!$E$2:$E$500,MATCH("P14|"&amp;AK32,CODIFICACION!$F$2:$F$500,0))),"⚠"))</f>
        <v/>
      </c>
      <c r="H32" t="str">
        <f>IF(AL32="","",IFERROR(IF(INDEX(CODIFICACION!$E$2:$E$500,MATCH("D1.1|"&amp;AL32,CODIFICACION!$F$2:$F$500,0))="sin dato","",INDEX(CODIFICACION!$E$2:$E$500,MATCH("D1.1|"&amp;AL32,CODIFICACION!$F$2:$F$500,0))),"⚠"))</f>
        <v/>
      </c>
      <c r="I32" t="str">
        <f>IF(AN32="","",IFERROR(IF(INDEX(CODIFICACION!$E$2:$E$500,MATCH("D1.3|"&amp;AN32,CODIFICACION!$F$2:$F$500,0))="sin dato","",INDEX(CODIFICACION!$E$2:$E$500,MATCH("D1.3|"&amp;AN32,CODIFICACION!$F$2:$F$500,0))),"⚠"))</f>
        <v/>
      </c>
      <c r="J32" t="str">
        <f>IF(AO32="","",IFERROR(IF(INDEX(CODIFICACION!$E$2:$E$500,MATCH("D1.4|"&amp;AO32,CODIFICACION!$F$2:$F$500,0))="sin dato","",INDEX(CODIFICACION!$E$2:$E$500,MATCH("D1.4|"&amp;AO32,CODIFICACION!$F$2:$F$500,0))),"⚠"))</f>
        <v/>
      </c>
      <c r="K32" t="str">
        <f>IF(AP32="","",IFERROR(IF(INDEX(CODIFICACION!$E$2:$E$500,MATCH("D1.3a|"&amp;AP32,CODIFICACION!$F$2:$F$500,0))="sin dato","",INDEX(CODIFICACION!$E$2:$E$500,MATCH("D1.3a|"&amp;AP32,CODIFICACION!$F$2:$F$500,0))),"⚠"))</f>
        <v/>
      </c>
      <c r="L32" t="str">
        <f t="shared" si="1"/>
        <v/>
      </c>
      <c r="M32" t="str">
        <f t="shared" si="2"/>
        <v/>
      </c>
      <c r="N32" t="str">
        <f t="shared" si="3"/>
        <v/>
      </c>
      <c r="O32" t="str">
        <f>IF(AT32="","",IFERROR(IF(INDEX(CODIFICACION!$E$2:$E$500,MATCH("D2.8|"&amp;AT32,CODIFICACION!$F$2:$F$500,0))="sin dato","",INDEX(CODIFICACION!$E$2:$E$500,MATCH("D2.8|"&amp;AT32,CODIFICACION!$F$2:$F$500,0))),"⚠"))</f>
        <v/>
      </c>
      <c r="P32" t="str">
        <f>IF(AU32="","",IFERROR(IF(INDEX(CODIFICACION!$E$2:$E$500,MATCH("D2.9|"&amp;AU32,CODIFICACION!$F$2:$F$500,0))="sin dato","",INDEX(CODIFICACION!$E$2:$E$500,MATCH("D2.9|"&amp;AU32,CODIFICACION!$F$2:$F$500,0))),"⚠"))</f>
        <v/>
      </c>
      <c r="Q32" t="str">
        <f>IF(AV32="","",IFERROR(IF(INDEX(CODIFICACION!$E$2:$E$500,MATCH("D2.10|"&amp;AV32,CODIFICACION!$F$2:$F$500,0))="sin dato","",INDEX(CODIFICACION!$E$2:$E$500,MATCH("D2.10|"&amp;AV32,CODIFICACION!$F$2:$F$500,0))),"⚠"))</f>
        <v/>
      </c>
      <c r="R32" t="str">
        <f>IF(AW32="","",IFERROR(IF(INDEX(CODIFICACION!$E$2:$E$500,MATCH("D2.5a|"&amp;AW32,CODIFICACION!$F$2:$F$500,0))="sin dato","",INDEX(CODIFICACION!$E$2:$E$500,MATCH("D2.5a|"&amp;AW32,CODIFICACION!$F$2:$F$500,0))),"⚠"))</f>
        <v/>
      </c>
      <c r="S32" t="str">
        <f ca="1">IF(AX32="","",IFERROR(IF(INDEX(CODIFICACION!$E$2:$E$500,MATCH("D2.5b|"&amp;AX32,CODIFICACION!$F$2:$F$500,0))="sin dato","",INDEX(CODIFICACION!$E$2:$E$500,MATCH("D2.5b|"&amp;AX32,CODIFICACION!$F$2:$F$500,0))),"⚠"))</f>
        <v/>
      </c>
      <c r="T32" t="str">
        <f t="shared" ca="1" si="4"/>
        <v/>
      </c>
      <c r="U32" t="str">
        <f>IF(AZ32="","",IFERROR(IF(INDEX(CODIFICACION!$E$2:$E$500,MATCH("D3.12|"&amp;AZ32,CODIFICACION!$F$2:$F$500,0))="sin dato","",INDEX(CODIFICACION!$E$2:$E$500,MATCH("D3.12|"&amp;AZ32,CODIFICACION!$F$2:$F$500,0))),"⚠"))</f>
        <v/>
      </c>
      <c r="V32" t="str">
        <f t="shared" si="5"/>
        <v/>
      </c>
      <c r="W32" t="str">
        <f ca="1">IF(BB32="","",IFERROR(IF(INDEX(CODIFICACION!$E$2:$E$500,MATCH("D3.14|"&amp;BB32,CODIFICACION!$F$2:$F$500,0))="sin dato","",INDEX(CODIFICACION!$E$2:$E$500,MATCH("D3.14|"&amp;BB32,CODIFICACION!$F$2:$F$500,0))),"⚠"))</f>
        <v/>
      </c>
      <c r="X32" t="str">
        <f ca="1">IF(BC32="","",IFERROR(IF(INDEX(CODIFICACION!$E$2:$E$500,MATCH("D3.14a|"&amp;BC32,CODIFICACION!$F$2:$F$500,0))="sin dato","",INDEX(CODIFICACION!$E$2:$E$500,MATCH("D3.14a|"&amp;BC32,CODIFICACION!$F$2:$F$500,0))),"⚠"))</f>
        <v/>
      </c>
      <c r="Y32" t="str">
        <f>IF(BD32="","",IFERROR(IF(INDEX(CODIFICACION!$E$2:$E$500,MATCH("D3.14b|"&amp;BD32,CODIFICACION!$F$2:$F$500,0))="sin dato","",INDEX(CODIFICACION!$E$2:$E$500,MATCH("D3.14b|"&amp;BD32,CODIFICACION!$F$2:$F$500,0))),"⚠"))</f>
        <v/>
      </c>
      <c r="Z32" t="str">
        <f>IF(BE32="","",IFERROR(IF(INDEX(CODIFICACION!$E$2:$E$500,MATCH("D3.14c|"&amp;BE32,CODIFICACION!$F$2:$F$500,0))="sin dato","",INDEX(CODIFICACION!$E$2:$E$500,MATCH("D3.14c|"&amp;BE32,CODIFICACION!$F$2:$F$500,0))),"⚠"))</f>
        <v/>
      </c>
      <c r="AA32" t="str">
        <f>IF(BF32="","",IFERROR(IF(INDEX(CODIFICACION!$E$2:$E$500,MATCH("D3.14d|"&amp;BF32,CODIFICACION!$F$2:$F$500,0))="sin dato","",INDEX(CODIFICACION!$E$2:$E$500,MATCH("D3.14d|"&amp;BF32,CODIFICACION!$F$2:$F$500,0))),"⚠"))</f>
        <v/>
      </c>
      <c r="AB32" t="str">
        <f>IF(BG32="","",IFERROR(IF(INDEX(CODIFICACION!$E$2:$E$500,MATCH("D3.14e|"&amp;BG32,CODIFICACION!$F$2:$F$500,0))="sin dato","",INDEX(CODIFICACION!$E$2:$E$500,MATCH("D3.14e|"&amp;BG32,CODIFICACION!$F$2:$F$500,0))),"⚠"))</f>
        <v/>
      </c>
      <c r="AC32" t="str">
        <f>IF(BH32="","",IFERROR(IF(INDEX(CODIFICACION!$E$2:$E$500,MATCH("D3.14f|"&amp;BH32,CODIFICACION!$F$2:$F$500,0))="sin dato","",INDEX(CODIFICACION!$E$2:$E$500,MATCH("D3.14f|"&amp;BH32,CODIFICACION!$F$2:$F$500,0))),"⚠"))</f>
        <v/>
      </c>
      <c r="AD32" t="str">
        <f>IF(BI32="","",IFERROR(IF(INDEX(CODIFICACION!$E$2:$E$500,MATCH("D3.14g|"&amp;BI32,CODIFICACION!$F$2:$F$500,0))="sin dato","",INDEX(CODIFICACION!$E$2:$E$500,MATCH("D3.14g|"&amp;BI32,CODIFICACION!$F$2:$F$500,0))),"⚠"))</f>
        <v/>
      </c>
      <c r="AE32" t="str">
        <f>IF(BJ32="","",IFERROR(IF(INDEX(CODIFICACION!$E$2:$E$500,MATCH("D3.14h|"&amp;BJ32,CODIFICACION!$F$2:$F$500,0))="sin dato","",INDEX(CODIFICACION!$E$2:$E$500,MATCH("D3.14h|"&amp;BJ32,CODIFICACION!$F$2:$F$500,0))),"⚠"))</f>
        <v/>
      </c>
      <c r="AF32" t="str">
        <f>IF(BK32="","",IFERROR(IF(INDEX(CODIFICACION!$E$2:$E$500,MATCH("D3.14i|"&amp;BK32,CODIFICACION!$F$2:$F$500,0))="sin dato","",INDEX(CODIFICACION!$E$2:$E$500,MATCH("D3.14i|"&amp;BK32,CODIFICACION!$F$2:$F$500,0))),"⚠"))</f>
        <v/>
      </c>
      <c r="AG32" t="str">
        <f>IF(BL32="","",IFERROR(IF(INDEX(CODIFICACION!$E$2:$E$500,MATCH("D4.15|"&amp;BL32,CODIFICACION!$F$2:$F$500,0))="sin dato","",INDEX(CODIFICACION!$E$2:$E$500,MATCH("D4.15|"&amp;BL32,CODIFICACION!$F$2:$F$500,0))),"⚠"))</f>
        <v/>
      </c>
      <c r="AH32" t="str">
        <f t="shared" si="6"/>
        <v/>
      </c>
      <c r="AI32" t="str">
        <f>IF(BN32="","",IFERROR(IF(INDEX(CODIFICACION!$E$2:$E$500,MATCH("D4.17|"&amp;BN32,CODIFICACION!$F$2:$F$500,0))="sin dato","",INDEX(CODIFICACION!$E$2:$E$500,MATCH("D4.17|"&amp;BN32,CODIFICACION!$F$2:$F$500,0))),"⚠"))</f>
        <v/>
      </c>
      <c r="AJ32" t="str">
        <f>IF(BO32="","",IFERROR(IF(INDEX(CODIFICACION!$E$2:$E$500,MATCH("D4.15a|"&amp;BO32,CODIFICACION!$F$2:$F$500,0))="sin dato","",INDEX(CODIFICACION!$E$2:$E$500,MATCH("D4.15a|"&amp;BO32,CODIFICACION!$F$2:$F$500,0))),"⚠"))</f>
        <v/>
      </c>
      <c r="AK32" t="str">
        <f t="shared" si="7"/>
        <v/>
      </c>
      <c r="AL32" t="str">
        <f t="shared" si="8"/>
        <v/>
      </c>
      <c r="AM32" t="str">
        <f>IF(BR32="","",IFERROR(IF(INDEX(CODIFICACION!$E$2:$E$500,MATCH("D5.18b|"&amp;BR32,CODIFICACION!$F$2:$F$500,0))="sin dato","",INDEX(CODIFICACION!$E$2:$E$500,MATCH("D5.18b|"&amp;BR32,CODIFICACION!$F$2:$F$500,0))),"⚠"))</f>
        <v/>
      </c>
      <c r="AN32" t="str">
        <f>IF(BS32="","",IFERROR(IF(INDEX(CODIFICACION!$E$2:$E$500,MATCH("D5.19|"&amp;BS32,CODIFICACION!$F$2:$F$500,0))="sin dato","",INDEX(CODIFICACION!$E$2:$E$500,MATCH("D5.19|"&amp;BS32,CODIFICACION!$F$2:$F$500,0))),"⚠"))</f>
        <v/>
      </c>
      <c r="AO32" t="str">
        <f t="shared" si="9"/>
        <v/>
      </c>
      <c r="AP32" t="str">
        <f>IF(BU32="","",IFERROR(IF(INDEX(CODIFICACION!$E$2:$E$500,MATCH("D5.20|"&amp;BU32,CODIFICACION!$F$2:$F$500,0))="sin dato","",INDEX(CODIFICACION!$E$2:$E$500,MATCH("D5.20|"&amp;BU32,CODIFICACION!$F$2:$F$500,0))),"⚠"))</f>
        <v/>
      </c>
      <c r="AQ32" t="str">
        <f>IF(BV32="","",IFERROR(IF(INDEX(CODIFICACION!$E$2:$E$500,MATCH("D5.21|"&amp;BV32,CODIFICACION!$F$2:$F$500,0))="sin dato","",INDEX(CODIFICACION!$E$2:$E$500,MATCH("D5.21|"&amp;BV32,CODIFICACION!$F$2:$F$500,0))),"⚠"))</f>
        <v/>
      </c>
      <c r="AR32" t="str">
        <f>IF(BW32="","",IFERROR(IF(INDEX(CODIFICACION!$E$2:$E$500,MATCH("D5.21a|"&amp;BW32,CODIFICACION!$F$2:$F$500,0))="sin dato","",INDEX(CODIFICACION!$E$2:$E$500,MATCH("D5.21a|"&amp;BW32,CODIFICACION!$F$2:$F$500,0))),"⚠"))</f>
        <v/>
      </c>
      <c r="AS32" t="str">
        <f>IF(BX32="","",IFERROR(IF(INDEX(CODIFICACION!$E$2:$E$500,MATCH("D5.21b|"&amp;BX32,CODIFICACION!$F$2:$F$500,0))="sin dato","",INDEX(CODIFICACION!$E$2:$E$500,MATCH("D5.21b|"&amp;BX32,CODIFICACION!$F$2:$F$500,0))),"⚠"))</f>
        <v/>
      </c>
      <c r="AT32" t="str">
        <f>IF(BY32="","",IFERROR(IF(INDEX(CODIFICACION!$E$2:$E$500,MATCH("D6.22|"&amp;BY32,CODIFICACION!$F$2:$F$500,0))="sin dato","",INDEX(CODIFICACION!$E$2:$E$500,MATCH("D6.22|"&amp;BY32,CODIFICACION!$F$2:$F$500,0))),"⚠"))</f>
        <v/>
      </c>
      <c r="AU32" t="str">
        <f>IF(BZ32="","",IFERROR(IF(INDEX(CODIFICACION!$E$2:$E$500,MATCH("D6.22a|"&amp;BZ32,CODIFICACION!$F$2:$F$500,0))="sin dato","",INDEX(CODIFICACION!$E$2:$E$500,MATCH("D6.22a|"&amp;BZ32,CODIFICACION!$F$2:$F$500,0))),"⚠"))</f>
        <v/>
      </c>
      <c r="AV32" t="str">
        <f>IF(CA32="","",IFERROR(IF(INDEX(CODIFICACION!$E$2:$E$500,MATCH("D6.22b|"&amp;CA32,CODIFICACION!$F$2:$F$500,0))="sin dato","",INDEX(CODIFICACION!$E$2:$E$500,MATCH("D6.22b|"&amp;CA32,CODIFICACION!$F$2:$F$500,0))),"⚠"))</f>
        <v/>
      </c>
      <c r="AW32" t="str">
        <f>IF(CB32="","",IFERROR(IF(INDEX(CODIFICACION!$E$2:$E$500,MATCH("D6.23|"&amp;CB32,CODIFICACION!$F$2:$F$500,0))="sin dato","",INDEX(CODIFICACION!$E$2:$E$500,MATCH("D6.23|"&amp;CB32,CODIFICACION!$F$2:$F$500,0))),"⚠"))</f>
        <v/>
      </c>
      <c r="AX32" t="str">
        <f ca="1">IF(CC32="","",IFERROR(IF(INDEX(CODIFICACION!$E$2:$E$500,MATCH("D6.24|"&amp;CC32,CODIFICACION!$F$2:$F$500,0))="sin dato","",INDEX(CODIFICACION!$E$2:$E$500,MATCH("D6.24|"&amp;CC32,CODIFICACION!$F$2:$F$500,0))),"⚠"))</f>
        <v/>
      </c>
      <c r="AY32" t="str">
        <f ca="1">IF(CD32="","",IFERROR(IF(INDEX(CODIFICACION!$E$2:$E$500,MATCH("D6.25|"&amp;CD32,CODIFICACION!$F$2:$F$500,0))="sin dato","",INDEX(CODIFICACION!$E$2:$E$500,MATCH("D6.25|"&amp;CD32,CODIFICACION!$F$2:$F$500,0))),"⚠"))</f>
        <v/>
      </c>
      <c r="AZ32" t="str">
        <f>IF(CE32="","",IFERROR(IF(INDEX(CODIFICACION!$E$2:$E$500,MATCH("D6.25a|"&amp;CE32,CODIFICACION!$F$2:$F$500,0))="sin dato","",INDEX(CODIFICACION!$E$2:$E$500,MATCH("D6.25a|"&amp;CE32,CODIFICACION!$F$2:$F$500,0))),"⚠"))</f>
        <v/>
      </c>
      <c r="BA32" t="str">
        <f>IF(CF32="","",IFERROR(IF(INDEX(CODIFICACION!$E$2:$E$500,MATCH("D6.25b|"&amp;CF32,CODIFICACION!$F$2:$F$500,0))="sin dato","",INDEX(CODIFICACION!$E$2:$E$500,MATCH("D6.25b|"&amp;CF32,CODIFICACION!$F$2:$F$500,0))),"⚠"))</f>
        <v/>
      </c>
      <c r="BB32" t="str">
        <f ca="1">IF(CG32="","",IFERROR(IF(INDEX(CODIFICACION!$E$2:$E$500,MATCH("D6.22c|"&amp;CG32,CODIFICACION!$F$2:$F$500,0))="sin dato","",INDEX(CODIFICACION!$E$2:$E$500,MATCH("D6.22c|"&amp;CG32,CODIFICACION!$F$2:$F$500,0))),"⚠"))</f>
        <v/>
      </c>
      <c r="BC32" t="str">
        <f ca="1">IF(CH32="","",IFERROR(IF(INDEX(CODIFICACION!$E$2:$E$500,MATCH("D7.26|"&amp;CH32,CODIFICACION!$F$2:$F$500,0))="sin dato","",INDEX(CODIFICACION!$E$2:$E$500,MATCH("D7.26|"&amp;CH32,CODIFICACION!$F$2:$F$500,0))),"⚠"))</f>
        <v/>
      </c>
      <c r="BD32" t="str">
        <f>IF(CI32="","",IFERROR(IF(INDEX(CODIFICACION!$E$2:$E$500,MATCH("D7.27|"&amp;CI32,CODIFICACION!$F$2:$F$500,0))="sin dato","",INDEX(CODIFICACION!$E$2:$E$500,MATCH("D7.27|"&amp;CI32,CODIFICACION!$F$2:$F$500,0))),"⚠"))</f>
        <v/>
      </c>
      <c r="BE32" t="str">
        <f>IF(CJ32="","",IFERROR(IF(INDEX(CODIFICACION!$E$2:$E$500,MATCH("D7.28|"&amp;CJ32,CODIFICACION!$F$2:$F$500,0))="sin dato","",INDEX(CODIFICACION!$E$2:$E$500,MATCH("D7.28|"&amp;CJ32,CODIFICACION!$F$2:$F$500,0))),"⚠"))</f>
        <v/>
      </c>
      <c r="BF32" t="str">
        <f>IF(CK32="","",IFERROR(IF(INDEX(CODIFICACION!$E$2:$E$500,MATCH("D7.28b|"&amp;CK32,CODIFICACION!$F$2:$F$500,0))="sin dato","",INDEX(CODIFICACION!$E$2:$E$500,MATCH("D7.28b|"&amp;CK32,CODIFICACION!$F$2:$F$500,0))),"⚠"))</f>
        <v/>
      </c>
      <c r="BG32" t="str">
        <f t="shared" si="10"/>
        <v/>
      </c>
      <c r="BH32" t="str">
        <f>IF(CM32="","",IFERROR(IF(INDEX(CODIFICACION!$E$2:$E$500,MATCH("D7.26a|"&amp;CM32,CODIFICACION!$F$2:$F$500,0))="sin dato","",INDEX(CODIFICACION!$E$2:$E$500,MATCH("D7.26a|"&amp;CM32,CODIFICACION!$F$2:$F$500,0))),"⚠"))</f>
        <v/>
      </c>
      <c r="BI32" t="str">
        <f>IF(CN32="","",IFERROR(IF(INDEX(CODIFICACION!$E$2:$E$500,MATCH("D7.26b|"&amp;CN32,CODIFICACION!$F$2:$F$500,0))="sin dato","",INDEX(CODIFICACION!$E$2:$E$500,MATCH("D7.26b|"&amp;CN32,CODIFICACION!$F$2:$F$500,0))),"⚠"))</f>
        <v/>
      </c>
      <c r="BJ32" t="str">
        <f t="shared" si="11"/>
        <v/>
      </c>
      <c r="BK32" t="str">
        <f t="shared" si="12"/>
        <v/>
      </c>
      <c r="BL32" t="str">
        <f>IF(CQ32="","",IFERROR(IF(INDEX(CODIFICACION!$E$2:$E$500,MATCH("D8.31|"&amp;CQ32,CODIFICACION!$F$2:$F$500,0))="sin dato","",INDEX(CODIFICACION!$E$2:$E$500,MATCH("D8.31|"&amp;CQ32,CODIFICACION!$F$2:$F$500,0))),"⚠"))</f>
        <v/>
      </c>
      <c r="BM32" t="str">
        <f>IF(CR32="","",IFERROR(IF(INDEX(CODIFICACION!$E$2:$E$500,MATCH("D8.32|"&amp;CR32,CODIFICACION!$F$2:$F$500,0))="sin dato","",INDEX(CODIFICACION!$E$2:$E$500,MATCH("D8.32|"&amp;CR32,CODIFICACION!$F$2:$F$500,0))),"⚠"))</f>
        <v/>
      </c>
      <c r="BN32" t="str">
        <f>IF(CS32="","",IFERROR(IF(INDEX(CODIFICACION!$E$2:$E$500,MATCH("D9.33|"&amp;CS32,CODIFICACION!$F$2:$F$500,0))="sin dato","",INDEX(CODIFICACION!$E$2:$E$500,MATCH("D9.33|"&amp;CS32,CODIFICACION!$F$2:$F$500,0))),"⚠"))</f>
        <v/>
      </c>
      <c r="BO32" t="str">
        <f>IF(CT32="","",IFERROR(IF(INDEX(CODIFICACION!$E$2:$E$500,MATCH("D9.34|"&amp;CT32,CODIFICACION!$F$2:$F$500,0))="sin dato","",INDEX(CODIFICACION!$E$2:$E$500,MATCH("D9.34|"&amp;CT32,CODIFICACION!$F$2:$F$500,0))),"⚠"))</f>
        <v/>
      </c>
      <c r="BP32" t="str">
        <f>IF(CU32="","",IFERROR(IF(INDEX(CODIFICACION!$E$2:$E$500,MATCH("D9.35|"&amp;CU32,CODIFICACION!$F$2:$F$500,0))="sin dato","",INDEX(CODIFICACION!$E$2:$E$500,MATCH("D9.35|"&amp;CU32,CODIFICACION!$F$2:$F$500,0))),"⚠"))</f>
        <v/>
      </c>
      <c r="BQ32" t="str">
        <f>IF(CV32="","",IFERROR(IF(INDEX(CODIFICACION!$E$2:$E$500,MATCH("D10.36|"&amp;CV32,CODIFICACION!$F$2:$F$500,0))="sin dato","",INDEX(CODIFICACION!$E$2:$E$500,MATCH("D10.36|"&amp;CV32,CODIFICACION!$F$2:$F$500,0))),"⚠"))</f>
        <v/>
      </c>
      <c r="BR32" t="str">
        <f>IF(CW32="","",IFERROR(IF(INDEX(CODIFICACION!$E$2:$E$500,MATCH("D10.37|"&amp;CW32,CODIFICACION!$F$2:$F$500,0))="sin dato","",INDEX(CODIFICACION!$E$2:$E$500,MATCH("D10.37|"&amp;CW32,CODIFICACION!$F$2:$F$500,0))),"⚠"))</f>
        <v/>
      </c>
      <c r="BS32" t="str">
        <f>IF(CX32="","",IFERROR(IF(INDEX(CODIFICACION!$E$2:$E$500,MATCH("D10.36a|"&amp;CX32,CODIFICACION!$F$2:$F$500,0))="sin dato","",INDEX(CODIFICACION!$E$2:$E$500,MATCH("D10.36a|"&amp;CX32,CODIFICACION!$F$2:$F$500,0))),"⚠"))</f>
        <v/>
      </c>
      <c r="BT32" t="str">
        <f t="shared" si="13"/>
        <v/>
      </c>
      <c r="BU32" t="str">
        <f>IF(DA32="","",IFERROR(IF(INDEX(CODIFICACION!$E$2:$E$500,MATCH("D11.39a|"&amp;DA32,CODIFICACION!$F$2:$F$500,0))="sin dato","",INDEX(CODIFICACION!$E$2:$E$500,MATCH("D11.39a|"&amp;DA32,CODIFICACION!$F$2:$F$500,0))),"⚠"))</f>
        <v/>
      </c>
      <c r="BV32" t="str">
        <f>IF(DB32="","",IFERROR(IF(INDEX(CODIFICACION!$E$2:$E$500,MATCH("D12.42|"&amp;DB32,CODIFICACION!$F$2:$F$500,0))="sin dato","",INDEX(CODIFICACION!$E$2:$E$500,MATCH("D12.42|"&amp;DB32,CODIFICACION!$F$2:$F$500,0))),"⚠"))</f>
        <v/>
      </c>
      <c r="BW32" t="str">
        <f>IF(DC32="","",IFERROR(IF(INDEX(CODIFICACION!$E$2:$E$500,MATCH("D13.45|"&amp;DC32,CODIFICACION!$F$2:$F$500,0))="sin dato","",INDEX(CODIFICACION!$E$2:$E$500,MATCH("D13.45|"&amp;DC32,CODIFICACION!$F$2:$F$500,0))),"⚠"))</f>
        <v/>
      </c>
      <c r="BX32" t="str">
        <f>IF(DD32="","",IFERROR(IF(INDEX(CODIFICACION!$E$2:$E$500,MATCH("D14.51|"&amp;DD32,CODIFICACION!$F$2:$F$500,0))="sin dato","",INDEX(CODIFICACION!$E$2:$E$500,MATCH("D14.51|"&amp;DD32,CODIFICACION!$F$2:$F$500,0))),"⚠"))</f>
        <v/>
      </c>
      <c r="BY32" t="str">
        <f>IF(DE32="","",IFERROR(IF(INDEX(CODIFICACION!$E$2:$E$500,MATCH("D15.58|"&amp;DE32,CODIFICACION!$F$2:$F$500,0))="sin dato","",INDEX(CODIFICACION!$E$2:$E$500,MATCH("D15.58|"&amp;DE32,CODIFICACION!$F$2:$F$500,0))),"⚠"))</f>
        <v/>
      </c>
      <c r="BZ32" t="str">
        <f>IF(DF32="","",IFERROR(IF(INDEX(CODIFICACION!$E$2:$E$500,MATCH("PP1|"&amp;DF32,CODIFICACION!$F$2:$F$500,0))="sin dato","",INDEX(CODIFICACION!$E$2:$E$500,MATCH("PP1|"&amp;DF32,CODIFICACION!$F$2:$F$500,0))),"⚠"))</f>
        <v/>
      </c>
      <c r="CA32" t="str">
        <f>IF(DG32="","",IFERROR(IF(INDEX(CODIFICACION!$E$2:$E$500,MATCH("PP2|"&amp;DG32,CODIFICACION!$F$2:$F$500,0))="sin dato","",INDEX(CODIFICACION!$E$2:$E$500,MATCH("PP2|"&amp;DG32,CODIFICACION!$F$2:$F$500,0))),"⚠"))</f>
        <v/>
      </c>
      <c r="CB32" t="str">
        <f t="shared" si="14"/>
        <v/>
      </c>
      <c r="CC32" t="str">
        <f t="shared" ca="1" si="15"/>
        <v/>
      </c>
      <c r="CD32" t="str">
        <f t="shared" ca="1" si="16"/>
        <v/>
      </c>
      <c r="CE32" t="str">
        <f t="shared" si="17"/>
        <v/>
      </c>
      <c r="CF32" t="str">
        <f t="shared" si="18"/>
        <v/>
      </c>
      <c r="CG32" t="str">
        <f t="shared" ca="1" si="19"/>
        <v/>
      </c>
      <c r="CH32" t="str">
        <f t="shared" ca="1" si="20"/>
        <v/>
      </c>
      <c r="CI32" t="str">
        <f t="shared" si="21"/>
        <v/>
      </c>
      <c r="CJ32" t="str">
        <f t="shared" si="22"/>
        <v/>
      </c>
      <c r="CK32" t="str">
        <f t="shared" si="23"/>
        <v/>
      </c>
      <c r="CL32" t="str">
        <f t="shared" si="24"/>
        <v/>
      </c>
    </row>
    <row r="33" spans="1:90" x14ac:dyDescent="0.3">
      <c r="A33">
        <f>CAPTURA!A33</f>
        <v>20450242021</v>
      </c>
      <c r="B33">
        <f>CAPTURA!C33</f>
        <v>0</v>
      </c>
      <c r="C33" t="str">
        <f t="shared" si="0"/>
        <v/>
      </c>
      <c r="D33" t="str">
        <f>IF(AE33="","",IFERROR(IF(INDEX(CODIFICACION!$E$2:$E$500,MATCH("P8|"&amp;AE33,CODIFICACION!$F$2:$F$500,0))="sin dato","",INDEX(CODIFICACION!$E$2:$E$500,MATCH("P8|"&amp;AE33,CODIFICACION!$F$2:$F$500,0))),"⚠"))</f>
        <v/>
      </c>
      <c r="E33" t="str">
        <f>IF(AG33="","",IFERROR(IF(INDEX(CODIFICACION!$E$2:$E$500,MATCH("P10|"&amp;AG33,CODIFICACION!$F$2:$F$500,0))="sin dato","",INDEX(CODIFICACION!$E$2:$E$500,MATCH("P10|"&amp;AG33,CODIFICACION!$F$2:$F$500,0))),"⚠"))</f>
        <v/>
      </c>
      <c r="F33" t="str">
        <f>IF(AJ33="","",IFERROR(IF(INDEX(CODIFICACION!$E$2:$E$500,MATCH("P13|"&amp;AJ33,CODIFICACION!$F$2:$F$500,0))="sin dato","",INDEX(CODIFICACION!$E$2:$E$500,MATCH("P13|"&amp;AJ33,CODIFICACION!$F$2:$F$500,0))),"⚠"))</f>
        <v/>
      </c>
      <c r="G33" t="str">
        <f>IF(AK33="","",IFERROR(IF(INDEX(CODIFICACION!$E$2:$E$500,MATCH("P14|"&amp;AK33,CODIFICACION!$F$2:$F$500,0))="sin dato","",INDEX(CODIFICACION!$E$2:$E$500,MATCH("P14|"&amp;AK33,CODIFICACION!$F$2:$F$500,0))),"⚠"))</f>
        <v/>
      </c>
      <c r="H33" t="str">
        <f>IF(AL33="","",IFERROR(IF(INDEX(CODIFICACION!$E$2:$E$500,MATCH("D1.1|"&amp;AL33,CODIFICACION!$F$2:$F$500,0))="sin dato","",INDEX(CODIFICACION!$E$2:$E$500,MATCH("D1.1|"&amp;AL33,CODIFICACION!$F$2:$F$500,0))),"⚠"))</f>
        <v/>
      </c>
      <c r="I33" t="str">
        <f>IF(AN33="","",IFERROR(IF(INDEX(CODIFICACION!$E$2:$E$500,MATCH("D1.3|"&amp;AN33,CODIFICACION!$F$2:$F$500,0))="sin dato","",INDEX(CODIFICACION!$E$2:$E$500,MATCH("D1.3|"&amp;AN33,CODIFICACION!$F$2:$F$500,0))),"⚠"))</f>
        <v/>
      </c>
      <c r="J33" t="str">
        <f>IF(AO33="","",IFERROR(IF(INDEX(CODIFICACION!$E$2:$E$500,MATCH("D1.4|"&amp;AO33,CODIFICACION!$F$2:$F$500,0))="sin dato","",INDEX(CODIFICACION!$E$2:$E$500,MATCH("D1.4|"&amp;AO33,CODIFICACION!$F$2:$F$500,0))),"⚠"))</f>
        <v/>
      </c>
      <c r="K33" t="str">
        <f>IF(AP33="","",IFERROR(IF(INDEX(CODIFICACION!$E$2:$E$500,MATCH("D1.3a|"&amp;AP33,CODIFICACION!$F$2:$F$500,0))="sin dato","",INDEX(CODIFICACION!$E$2:$E$500,MATCH("D1.3a|"&amp;AP33,CODIFICACION!$F$2:$F$500,0))),"⚠"))</f>
        <v/>
      </c>
      <c r="L33" t="str">
        <f t="shared" si="1"/>
        <v/>
      </c>
      <c r="M33" t="str">
        <f t="shared" si="2"/>
        <v/>
      </c>
      <c r="N33" t="str">
        <f t="shared" si="3"/>
        <v/>
      </c>
      <c r="O33" t="str">
        <f>IF(AT33="","",IFERROR(IF(INDEX(CODIFICACION!$E$2:$E$500,MATCH("D2.8|"&amp;AT33,CODIFICACION!$F$2:$F$500,0))="sin dato","",INDEX(CODIFICACION!$E$2:$E$500,MATCH("D2.8|"&amp;AT33,CODIFICACION!$F$2:$F$500,0))),"⚠"))</f>
        <v/>
      </c>
      <c r="P33" t="str">
        <f>IF(AU33="","",IFERROR(IF(INDEX(CODIFICACION!$E$2:$E$500,MATCH("D2.9|"&amp;AU33,CODIFICACION!$F$2:$F$500,0))="sin dato","",INDEX(CODIFICACION!$E$2:$E$500,MATCH("D2.9|"&amp;AU33,CODIFICACION!$F$2:$F$500,0))),"⚠"))</f>
        <v/>
      </c>
      <c r="Q33" t="str">
        <f>IF(AV33="","",IFERROR(IF(INDEX(CODIFICACION!$E$2:$E$500,MATCH("D2.10|"&amp;AV33,CODIFICACION!$F$2:$F$500,0))="sin dato","",INDEX(CODIFICACION!$E$2:$E$500,MATCH("D2.10|"&amp;AV33,CODIFICACION!$F$2:$F$500,0))),"⚠"))</f>
        <v/>
      </c>
      <c r="R33" t="str">
        <f>IF(AW33="","",IFERROR(IF(INDEX(CODIFICACION!$E$2:$E$500,MATCH("D2.5a|"&amp;AW33,CODIFICACION!$F$2:$F$500,0))="sin dato","",INDEX(CODIFICACION!$E$2:$E$500,MATCH("D2.5a|"&amp;AW33,CODIFICACION!$F$2:$F$500,0))),"⚠"))</f>
        <v/>
      </c>
      <c r="S33" t="str">
        <f ca="1">IF(AX33="","",IFERROR(IF(INDEX(CODIFICACION!$E$2:$E$500,MATCH("D2.5b|"&amp;AX33,CODIFICACION!$F$2:$F$500,0))="sin dato","",INDEX(CODIFICACION!$E$2:$E$500,MATCH("D2.5b|"&amp;AX33,CODIFICACION!$F$2:$F$500,0))),"⚠"))</f>
        <v/>
      </c>
      <c r="T33" t="str">
        <f t="shared" ca="1" si="4"/>
        <v/>
      </c>
      <c r="U33" t="str">
        <f>IF(AZ33="","",IFERROR(IF(INDEX(CODIFICACION!$E$2:$E$500,MATCH("D3.12|"&amp;AZ33,CODIFICACION!$F$2:$F$500,0))="sin dato","",INDEX(CODIFICACION!$E$2:$E$500,MATCH("D3.12|"&amp;AZ33,CODIFICACION!$F$2:$F$500,0))),"⚠"))</f>
        <v/>
      </c>
      <c r="V33" t="str">
        <f t="shared" si="5"/>
        <v/>
      </c>
      <c r="W33" t="str">
        <f ca="1">IF(BB33="","",IFERROR(IF(INDEX(CODIFICACION!$E$2:$E$500,MATCH("D3.14|"&amp;BB33,CODIFICACION!$F$2:$F$500,0))="sin dato","",INDEX(CODIFICACION!$E$2:$E$500,MATCH("D3.14|"&amp;BB33,CODIFICACION!$F$2:$F$500,0))),"⚠"))</f>
        <v/>
      </c>
      <c r="X33" t="str">
        <f ca="1">IF(BC33="","",IFERROR(IF(INDEX(CODIFICACION!$E$2:$E$500,MATCH("D3.14a|"&amp;BC33,CODIFICACION!$F$2:$F$500,0))="sin dato","",INDEX(CODIFICACION!$E$2:$E$500,MATCH("D3.14a|"&amp;BC33,CODIFICACION!$F$2:$F$500,0))),"⚠"))</f>
        <v/>
      </c>
      <c r="Y33" t="str">
        <f>IF(BD33="","",IFERROR(IF(INDEX(CODIFICACION!$E$2:$E$500,MATCH("D3.14b|"&amp;BD33,CODIFICACION!$F$2:$F$500,0))="sin dato","",INDEX(CODIFICACION!$E$2:$E$500,MATCH("D3.14b|"&amp;BD33,CODIFICACION!$F$2:$F$500,0))),"⚠"))</f>
        <v/>
      </c>
      <c r="Z33" t="str">
        <f>IF(BE33="","",IFERROR(IF(INDEX(CODIFICACION!$E$2:$E$500,MATCH("D3.14c|"&amp;BE33,CODIFICACION!$F$2:$F$500,0))="sin dato","",INDEX(CODIFICACION!$E$2:$E$500,MATCH("D3.14c|"&amp;BE33,CODIFICACION!$F$2:$F$500,0))),"⚠"))</f>
        <v/>
      </c>
      <c r="AA33" t="str">
        <f>IF(BF33="","",IFERROR(IF(INDEX(CODIFICACION!$E$2:$E$500,MATCH("D3.14d|"&amp;BF33,CODIFICACION!$F$2:$F$500,0))="sin dato","",INDEX(CODIFICACION!$E$2:$E$500,MATCH("D3.14d|"&amp;BF33,CODIFICACION!$F$2:$F$500,0))),"⚠"))</f>
        <v/>
      </c>
      <c r="AB33" t="str">
        <f>IF(BG33="","",IFERROR(IF(INDEX(CODIFICACION!$E$2:$E$500,MATCH("D3.14e|"&amp;BG33,CODIFICACION!$F$2:$F$500,0))="sin dato","",INDEX(CODIFICACION!$E$2:$E$500,MATCH("D3.14e|"&amp;BG33,CODIFICACION!$F$2:$F$500,0))),"⚠"))</f>
        <v/>
      </c>
      <c r="AC33" t="str">
        <f>IF(BH33="","",IFERROR(IF(INDEX(CODIFICACION!$E$2:$E$500,MATCH("D3.14f|"&amp;BH33,CODIFICACION!$F$2:$F$500,0))="sin dato","",INDEX(CODIFICACION!$E$2:$E$500,MATCH("D3.14f|"&amp;BH33,CODIFICACION!$F$2:$F$500,0))),"⚠"))</f>
        <v/>
      </c>
      <c r="AD33" t="str">
        <f>IF(BI33="","",IFERROR(IF(INDEX(CODIFICACION!$E$2:$E$500,MATCH("D3.14g|"&amp;BI33,CODIFICACION!$F$2:$F$500,0))="sin dato","",INDEX(CODIFICACION!$E$2:$E$500,MATCH("D3.14g|"&amp;BI33,CODIFICACION!$F$2:$F$500,0))),"⚠"))</f>
        <v/>
      </c>
      <c r="AE33" t="str">
        <f>IF(BJ33="","",IFERROR(IF(INDEX(CODIFICACION!$E$2:$E$500,MATCH("D3.14h|"&amp;BJ33,CODIFICACION!$F$2:$F$500,0))="sin dato","",INDEX(CODIFICACION!$E$2:$E$500,MATCH("D3.14h|"&amp;BJ33,CODIFICACION!$F$2:$F$500,0))),"⚠"))</f>
        <v/>
      </c>
      <c r="AF33" t="str">
        <f>IF(BK33="","",IFERROR(IF(INDEX(CODIFICACION!$E$2:$E$500,MATCH("D3.14i|"&amp;BK33,CODIFICACION!$F$2:$F$500,0))="sin dato","",INDEX(CODIFICACION!$E$2:$E$500,MATCH("D3.14i|"&amp;BK33,CODIFICACION!$F$2:$F$500,0))),"⚠"))</f>
        <v/>
      </c>
      <c r="AG33" t="str">
        <f>IF(BL33="","",IFERROR(IF(INDEX(CODIFICACION!$E$2:$E$500,MATCH("D4.15|"&amp;BL33,CODIFICACION!$F$2:$F$500,0))="sin dato","",INDEX(CODIFICACION!$E$2:$E$500,MATCH("D4.15|"&amp;BL33,CODIFICACION!$F$2:$F$500,0))),"⚠"))</f>
        <v/>
      </c>
      <c r="AH33" t="str">
        <f t="shared" si="6"/>
        <v/>
      </c>
      <c r="AI33" t="str">
        <f>IF(BN33="","",IFERROR(IF(INDEX(CODIFICACION!$E$2:$E$500,MATCH("D4.17|"&amp;BN33,CODIFICACION!$F$2:$F$500,0))="sin dato","",INDEX(CODIFICACION!$E$2:$E$500,MATCH("D4.17|"&amp;BN33,CODIFICACION!$F$2:$F$500,0))),"⚠"))</f>
        <v/>
      </c>
      <c r="AJ33" t="str">
        <f>IF(BO33="","",IFERROR(IF(INDEX(CODIFICACION!$E$2:$E$500,MATCH("D4.15a|"&amp;BO33,CODIFICACION!$F$2:$F$500,0))="sin dato","",INDEX(CODIFICACION!$E$2:$E$500,MATCH("D4.15a|"&amp;BO33,CODIFICACION!$F$2:$F$500,0))),"⚠"))</f>
        <v/>
      </c>
      <c r="AK33" t="str">
        <f t="shared" si="7"/>
        <v/>
      </c>
      <c r="AL33" t="str">
        <f t="shared" si="8"/>
        <v/>
      </c>
      <c r="AM33" t="str">
        <f>IF(BR33="","",IFERROR(IF(INDEX(CODIFICACION!$E$2:$E$500,MATCH("D5.18b|"&amp;BR33,CODIFICACION!$F$2:$F$500,0))="sin dato","",INDEX(CODIFICACION!$E$2:$E$500,MATCH("D5.18b|"&amp;BR33,CODIFICACION!$F$2:$F$500,0))),"⚠"))</f>
        <v/>
      </c>
      <c r="AN33" t="str">
        <f>IF(BS33="","",IFERROR(IF(INDEX(CODIFICACION!$E$2:$E$500,MATCH("D5.19|"&amp;BS33,CODIFICACION!$F$2:$F$500,0))="sin dato","",INDEX(CODIFICACION!$E$2:$E$500,MATCH("D5.19|"&amp;BS33,CODIFICACION!$F$2:$F$500,0))),"⚠"))</f>
        <v/>
      </c>
      <c r="AO33" t="str">
        <f t="shared" si="9"/>
        <v/>
      </c>
      <c r="AP33" t="str">
        <f>IF(BU33="","",IFERROR(IF(INDEX(CODIFICACION!$E$2:$E$500,MATCH("D5.20|"&amp;BU33,CODIFICACION!$F$2:$F$500,0))="sin dato","",INDEX(CODIFICACION!$E$2:$E$500,MATCH("D5.20|"&amp;BU33,CODIFICACION!$F$2:$F$500,0))),"⚠"))</f>
        <v/>
      </c>
      <c r="AQ33" t="str">
        <f>IF(BV33="","",IFERROR(IF(INDEX(CODIFICACION!$E$2:$E$500,MATCH("D5.21|"&amp;BV33,CODIFICACION!$F$2:$F$500,0))="sin dato","",INDEX(CODIFICACION!$E$2:$E$500,MATCH("D5.21|"&amp;BV33,CODIFICACION!$F$2:$F$500,0))),"⚠"))</f>
        <v/>
      </c>
      <c r="AR33" t="str">
        <f>IF(BW33="","",IFERROR(IF(INDEX(CODIFICACION!$E$2:$E$500,MATCH("D5.21a|"&amp;BW33,CODIFICACION!$F$2:$F$500,0))="sin dato","",INDEX(CODIFICACION!$E$2:$E$500,MATCH("D5.21a|"&amp;BW33,CODIFICACION!$F$2:$F$500,0))),"⚠"))</f>
        <v/>
      </c>
      <c r="AS33" t="str">
        <f>IF(BX33="","",IFERROR(IF(INDEX(CODIFICACION!$E$2:$E$500,MATCH("D5.21b|"&amp;BX33,CODIFICACION!$F$2:$F$500,0))="sin dato","",INDEX(CODIFICACION!$E$2:$E$500,MATCH("D5.21b|"&amp;BX33,CODIFICACION!$F$2:$F$500,0))),"⚠"))</f>
        <v/>
      </c>
      <c r="AT33" t="str">
        <f>IF(BY33="","",IFERROR(IF(INDEX(CODIFICACION!$E$2:$E$500,MATCH("D6.22|"&amp;BY33,CODIFICACION!$F$2:$F$500,0))="sin dato","",INDEX(CODIFICACION!$E$2:$E$500,MATCH("D6.22|"&amp;BY33,CODIFICACION!$F$2:$F$500,0))),"⚠"))</f>
        <v/>
      </c>
      <c r="AU33" t="str">
        <f>IF(BZ33="","",IFERROR(IF(INDEX(CODIFICACION!$E$2:$E$500,MATCH("D6.22a|"&amp;BZ33,CODIFICACION!$F$2:$F$500,0))="sin dato","",INDEX(CODIFICACION!$E$2:$E$500,MATCH("D6.22a|"&amp;BZ33,CODIFICACION!$F$2:$F$500,0))),"⚠"))</f>
        <v/>
      </c>
      <c r="AV33" t="str">
        <f>IF(CA33="","",IFERROR(IF(INDEX(CODIFICACION!$E$2:$E$500,MATCH("D6.22b|"&amp;CA33,CODIFICACION!$F$2:$F$500,0))="sin dato","",INDEX(CODIFICACION!$E$2:$E$500,MATCH("D6.22b|"&amp;CA33,CODIFICACION!$F$2:$F$500,0))),"⚠"))</f>
        <v/>
      </c>
      <c r="AW33" t="str">
        <f>IF(CB33="","",IFERROR(IF(INDEX(CODIFICACION!$E$2:$E$500,MATCH("D6.23|"&amp;CB33,CODIFICACION!$F$2:$F$500,0))="sin dato","",INDEX(CODIFICACION!$E$2:$E$500,MATCH("D6.23|"&amp;CB33,CODIFICACION!$F$2:$F$500,0))),"⚠"))</f>
        <v/>
      </c>
      <c r="AX33" t="str">
        <f ca="1">IF(CC33="","",IFERROR(IF(INDEX(CODIFICACION!$E$2:$E$500,MATCH("D6.24|"&amp;CC33,CODIFICACION!$F$2:$F$500,0))="sin dato","",INDEX(CODIFICACION!$E$2:$E$500,MATCH("D6.24|"&amp;CC33,CODIFICACION!$F$2:$F$500,0))),"⚠"))</f>
        <v/>
      </c>
      <c r="AY33" t="str">
        <f ca="1">IF(CD33="","",IFERROR(IF(INDEX(CODIFICACION!$E$2:$E$500,MATCH("D6.25|"&amp;CD33,CODIFICACION!$F$2:$F$500,0))="sin dato","",INDEX(CODIFICACION!$E$2:$E$500,MATCH("D6.25|"&amp;CD33,CODIFICACION!$F$2:$F$500,0))),"⚠"))</f>
        <v/>
      </c>
      <c r="AZ33" t="str">
        <f>IF(CE33="","",IFERROR(IF(INDEX(CODIFICACION!$E$2:$E$500,MATCH("D6.25a|"&amp;CE33,CODIFICACION!$F$2:$F$500,0))="sin dato","",INDEX(CODIFICACION!$E$2:$E$500,MATCH("D6.25a|"&amp;CE33,CODIFICACION!$F$2:$F$500,0))),"⚠"))</f>
        <v/>
      </c>
      <c r="BA33" t="str">
        <f>IF(CF33="","",IFERROR(IF(INDEX(CODIFICACION!$E$2:$E$500,MATCH("D6.25b|"&amp;CF33,CODIFICACION!$F$2:$F$500,0))="sin dato","",INDEX(CODIFICACION!$E$2:$E$500,MATCH("D6.25b|"&amp;CF33,CODIFICACION!$F$2:$F$500,0))),"⚠"))</f>
        <v/>
      </c>
      <c r="BB33" t="str">
        <f ca="1">IF(CG33="","",IFERROR(IF(INDEX(CODIFICACION!$E$2:$E$500,MATCH("D6.22c|"&amp;CG33,CODIFICACION!$F$2:$F$500,0))="sin dato","",INDEX(CODIFICACION!$E$2:$E$500,MATCH("D6.22c|"&amp;CG33,CODIFICACION!$F$2:$F$500,0))),"⚠"))</f>
        <v/>
      </c>
      <c r="BC33" t="str">
        <f ca="1">IF(CH33="","",IFERROR(IF(INDEX(CODIFICACION!$E$2:$E$500,MATCH("D7.26|"&amp;CH33,CODIFICACION!$F$2:$F$500,0))="sin dato","",INDEX(CODIFICACION!$E$2:$E$500,MATCH("D7.26|"&amp;CH33,CODIFICACION!$F$2:$F$500,0))),"⚠"))</f>
        <v/>
      </c>
      <c r="BD33" t="str">
        <f>IF(CI33="","",IFERROR(IF(INDEX(CODIFICACION!$E$2:$E$500,MATCH("D7.27|"&amp;CI33,CODIFICACION!$F$2:$F$500,0))="sin dato","",INDEX(CODIFICACION!$E$2:$E$500,MATCH("D7.27|"&amp;CI33,CODIFICACION!$F$2:$F$500,0))),"⚠"))</f>
        <v/>
      </c>
      <c r="BE33" t="str">
        <f>IF(CJ33="","",IFERROR(IF(INDEX(CODIFICACION!$E$2:$E$500,MATCH("D7.28|"&amp;CJ33,CODIFICACION!$F$2:$F$500,0))="sin dato","",INDEX(CODIFICACION!$E$2:$E$500,MATCH("D7.28|"&amp;CJ33,CODIFICACION!$F$2:$F$500,0))),"⚠"))</f>
        <v/>
      </c>
      <c r="BF33" t="str">
        <f>IF(CK33="","",IFERROR(IF(INDEX(CODIFICACION!$E$2:$E$500,MATCH("D7.28b|"&amp;CK33,CODIFICACION!$F$2:$F$500,0))="sin dato","",INDEX(CODIFICACION!$E$2:$E$500,MATCH("D7.28b|"&amp;CK33,CODIFICACION!$F$2:$F$500,0))),"⚠"))</f>
        <v/>
      </c>
      <c r="BG33" t="str">
        <f t="shared" si="10"/>
        <v/>
      </c>
      <c r="BH33" t="str">
        <f>IF(CM33="","",IFERROR(IF(INDEX(CODIFICACION!$E$2:$E$500,MATCH("D7.26a|"&amp;CM33,CODIFICACION!$F$2:$F$500,0))="sin dato","",INDEX(CODIFICACION!$E$2:$E$500,MATCH("D7.26a|"&amp;CM33,CODIFICACION!$F$2:$F$500,0))),"⚠"))</f>
        <v/>
      </c>
      <c r="BI33" t="str">
        <f>IF(CN33="","",IFERROR(IF(INDEX(CODIFICACION!$E$2:$E$500,MATCH("D7.26b|"&amp;CN33,CODIFICACION!$F$2:$F$500,0))="sin dato","",INDEX(CODIFICACION!$E$2:$E$500,MATCH("D7.26b|"&amp;CN33,CODIFICACION!$F$2:$F$500,0))),"⚠"))</f>
        <v/>
      </c>
      <c r="BJ33" t="str">
        <f t="shared" si="11"/>
        <v/>
      </c>
      <c r="BK33" t="str">
        <f t="shared" si="12"/>
        <v/>
      </c>
      <c r="BL33" t="str">
        <f>IF(CQ33="","",IFERROR(IF(INDEX(CODIFICACION!$E$2:$E$500,MATCH("D8.31|"&amp;CQ33,CODIFICACION!$F$2:$F$500,0))="sin dato","",INDEX(CODIFICACION!$E$2:$E$500,MATCH("D8.31|"&amp;CQ33,CODIFICACION!$F$2:$F$500,0))),"⚠"))</f>
        <v/>
      </c>
      <c r="BM33" t="str">
        <f>IF(CR33="","",IFERROR(IF(INDEX(CODIFICACION!$E$2:$E$500,MATCH("D8.32|"&amp;CR33,CODIFICACION!$F$2:$F$500,0))="sin dato","",INDEX(CODIFICACION!$E$2:$E$500,MATCH("D8.32|"&amp;CR33,CODIFICACION!$F$2:$F$500,0))),"⚠"))</f>
        <v/>
      </c>
      <c r="BN33" t="str">
        <f>IF(CS33="","",IFERROR(IF(INDEX(CODIFICACION!$E$2:$E$500,MATCH("D9.33|"&amp;CS33,CODIFICACION!$F$2:$F$500,0))="sin dato","",INDEX(CODIFICACION!$E$2:$E$500,MATCH("D9.33|"&amp;CS33,CODIFICACION!$F$2:$F$500,0))),"⚠"))</f>
        <v/>
      </c>
      <c r="BO33" t="str">
        <f>IF(CT33="","",IFERROR(IF(INDEX(CODIFICACION!$E$2:$E$500,MATCH("D9.34|"&amp;CT33,CODIFICACION!$F$2:$F$500,0))="sin dato","",INDEX(CODIFICACION!$E$2:$E$500,MATCH("D9.34|"&amp;CT33,CODIFICACION!$F$2:$F$500,0))),"⚠"))</f>
        <v/>
      </c>
      <c r="BP33" t="str">
        <f>IF(CU33="","",IFERROR(IF(INDEX(CODIFICACION!$E$2:$E$500,MATCH("D9.35|"&amp;CU33,CODIFICACION!$F$2:$F$500,0))="sin dato","",INDEX(CODIFICACION!$E$2:$E$500,MATCH("D9.35|"&amp;CU33,CODIFICACION!$F$2:$F$500,0))),"⚠"))</f>
        <v/>
      </c>
      <c r="BQ33" t="str">
        <f>IF(CV33="","",IFERROR(IF(INDEX(CODIFICACION!$E$2:$E$500,MATCH("D10.36|"&amp;CV33,CODIFICACION!$F$2:$F$500,0))="sin dato","",INDEX(CODIFICACION!$E$2:$E$500,MATCH("D10.36|"&amp;CV33,CODIFICACION!$F$2:$F$500,0))),"⚠"))</f>
        <v/>
      </c>
      <c r="BR33" t="str">
        <f>IF(CW33="","",IFERROR(IF(INDEX(CODIFICACION!$E$2:$E$500,MATCH("D10.37|"&amp;CW33,CODIFICACION!$F$2:$F$500,0))="sin dato","",INDEX(CODIFICACION!$E$2:$E$500,MATCH("D10.37|"&amp;CW33,CODIFICACION!$F$2:$F$500,0))),"⚠"))</f>
        <v/>
      </c>
      <c r="BS33" t="str">
        <f>IF(CX33="","",IFERROR(IF(INDEX(CODIFICACION!$E$2:$E$500,MATCH("D10.36a|"&amp;CX33,CODIFICACION!$F$2:$F$500,0))="sin dato","",INDEX(CODIFICACION!$E$2:$E$500,MATCH("D10.36a|"&amp;CX33,CODIFICACION!$F$2:$F$500,0))),"⚠"))</f>
        <v/>
      </c>
      <c r="BT33" t="str">
        <f t="shared" si="13"/>
        <v/>
      </c>
      <c r="BU33" t="str">
        <f>IF(DA33="","",IFERROR(IF(INDEX(CODIFICACION!$E$2:$E$500,MATCH("D11.39a|"&amp;DA33,CODIFICACION!$F$2:$F$500,0))="sin dato","",INDEX(CODIFICACION!$E$2:$E$500,MATCH("D11.39a|"&amp;DA33,CODIFICACION!$F$2:$F$500,0))),"⚠"))</f>
        <v/>
      </c>
      <c r="BV33" t="str">
        <f>IF(DB33="","",IFERROR(IF(INDEX(CODIFICACION!$E$2:$E$500,MATCH("D12.42|"&amp;DB33,CODIFICACION!$F$2:$F$500,0))="sin dato","",INDEX(CODIFICACION!$E$2:$E$500,MATCH("D12.42|"&amp;DB33,CODIFICACION!$F$2:$F$500,0))),"⚠"))</f>
        <v/>
      </c>
      <c r="BW33" t="str">
        <f>IF(DC33="","",IFERROR(IF(INDEX(CODIFICACION!$E$2:$E$500,MATCH("D13.45|"&amp;DC33,CODIFICACION!$F$2:$F$500,0))="sin dato","",INDEX(CODIFICACION!$E$2:$E$500,MATCH("D13.45|"&amp;DC33,CODIFICACION!$F$2:$F$500,0))),"⚠"))</f>
        <v/>
      </c>
      <c r="BX33" t="str">
        <f>IF(DD33="","",IFERROR(IF(INDEX(CODIFICACION!$E$2:$E$500,MATCH("D14.51|"&amp;DD33,CODIFICACION!$F$2:$F$500,0))="sin dato","",INDEX(CODIFICACION!$E$2:$E$500,MATCH("D14.51|"&amp;DD33,CODIFICACION!$F$2:$F$500,0))),"⚠"))</f>
        <v/>
      </c>
      <c r="BY33" t="str">
        <f>IF(DE33="","",IFERROR(IF(INDEX(CODIFICACION!$E$2:$E$500,MATCH("D15.58|"&amp;DE33,CODIFICACION!$F$2:$F$500,0))="sin dato","",INDEX(CODIFICACION!$E$2:$E$500,MATCH("D15.58|"&amp;DE33,CODIFICACION!$F$2:$F$500,0))),"⚠"))</f>
        <v/>
      </c>
      <c r="BZ33" t="str">
        <f>IF(DF33="","",IFERROR(IF(INDEX(CODIFICACION!$E$2:$E$500,MATCH("PP1|"&amp;DF33,CODIFICACION!$F$2:$F$500,0))="sin dato","",INDEX(CODIFICACION!$E$2:$E$500,MATCH("PP1|"&amp;DF33,CODIFICACION!$F$2:$F$500,0))),"⚠"))</f>
        <v/>
      </c>
      <c r="CA33" t="str">
        <f>IF(DG33="","",IFERROR(IF(INDEX(CODIFICACION!$E$2:$E$500,MATCH("PP2|"&amp;DG33,CODIFICACION!$F$2:$F$500,0))="sin dato","",INDEX(CODIFICACION!$E$2:$E$500,MATCH("PP2|"&amp;DG33,CODIFICACION!$F$2:$F$500,0))),"⚠"))</f>
        <v/>
      </c>
      <c r="CB33" t="str">
        <f t="shared" si="14"/>
        <v/>
      </c>
      <c r="CC33" t="str">
        <f t="shared" ca="1" si="15"/>
        <v/>
      </c>
      <c r="CD33" t="str">
        <f t="shared" ca="1" si="16"/>
        <v/>
      </c>
      <c r="CE33" t="str">
        <f t="shared" si="17"/>
        <v/>
      </c>
      <c r="CF33" t="str">
        <f t="shared" si="18"/>
        <v/>
      </c>
      <c r="CG33" t="str">
        <f t="shared" ca="1" si="19"/>
        <v/>
      </c>
      <c r="CH33" t="str">
        <f t="shared" ca="1" si="20"/>
        <v/>
      </c>
      <c r="CI33" t="str">
        <f t="shared" si="21"/>
        <v/>
      </c>
      <c r="CJ33" t="str">
        <f t="shared" si="22"/>
        <v/>
      </c>
      <c r="CK33" t="str">
        <f t="shared" si="23"/>
        <v/>
      </c>
      <c r="CL33" t="str">
        <f t="shared" si="24"/>
        <v/>
      </c>
    </row>
    <row r="34" spans="1:90" x14ac:dyDescent="0.3">
      <c r="A34">
        <f>CAPTURA!A34</f>
        <v>20450319423</v>
      </c>
      <c r="B34">
        <f>CAPTURA!C34</f>
        <v>0</v>
      </c>
      <c r="C34" t="str">
        <f t="shared" si="0"/>
        <v/>
      </c>
      <c r="D34" t="str">
        <f>IF(AE34="","",IFERROR(IF(INDEX(CODIFICACION!$E$2:$E$500,MATCH("P8|"&amp;AE34,CODIFICACION!$F$2:$F$500,0))="sin dato","",INDEX(CODIFICACION!$E$2:$E$500,MATCH("P8|"&amp;AE34,CODIFICACION!$F$2:$F$500,0))),"⚠"))</f>
        <v/>
      </c>
      <c r="E34" t="str">
        <f>IF(AG34="","",IFERROR(IF(INDEX(CODIFICACION!$E$2:$E$500,MATCH("P10|"&amp;AG34,CODIFICACION!$F$2:$F$500,0))="sin dato","",INDEX(CODIFICACION!$E$2:$E$500,MATCH("P10|"&amp;AG34,CODIFICACION!$F$2:$F$500,0))),"⚠"))</f>
        <v/>
      </c>
      <c r="F34" t="str">
        <f>IF(AJ34="","",IFERROR(IF(INDEX(CODIFICACION!$E$2:$E$500,MATCH("P13|"&amp;AJ34,CODIFICACION!$F$2:$F$500,0))="sin dato","",INDEX(CODIFICACION!$E$2:$E$500,MATCH("P13|"&amp;AJ34,CODIFICACION!$F$2:$F$500,0))),"⚠"))</f>
        <v/>
      </c>
      <c r="G34" t="str">
        <f>IF(AK34="","",IFERROR(IF(INDEX(CODIFICACION!$E$2:$E$500,MATCH("P14|"&amp;AK34,CODIFICACION!$F$2:$F$500,0))="sin dato","",INDEX(CODIFICACION!$E$2:$E$500,MATCH("P14|"&amp;AK34,CODIFICACION!$F$2:$F$500,0))),"⚠"))</f>
        <v/>
      </c>
      <c r="H34" t="str">
        <f>IF(AL34="","",IFERROR(IF(INDEX(CODIFICACION!$E$2:$E$500,MATCH("D1.1|"&amp;AL34,CODIFICACION!$F$2:$F$500,0))="sin dato","",INDEX(CODIFICACION!$E$2:$E$500,MATCH("D1.1|"&amp;AL34,CODIFICACION!$F$2:$F$500,0))),"⚠"))</f>
        <v/>
      </c>
      <c r="I34" t="str">
        <f>IF(AN34="","",IFERROR(IF(INDEX(CODIFICACION!$E$2:$E$500,MATCH("D1.3|"&amp;AN34,CODIFICACION!$F$2:$F$500,0))="sin dato","",INDEX(CODIFICACION!$E$2:$E$500,MATCH("D1.3|"&amp;AN34,CODIFICACION!$F$2:$F$500,0))),"⚠"))</f>
        <v/>
      </c>
      <c r="J34" t="str">
        <f>IF(AO34="","",IFERROR(IF(INDEX(CODIFICACION!$E$2:$E$500,MATCH("D1.4|"&amp;AO34,CODIFICACION!$F$2:$F$500,0))="sin dato","",INDEX(CODIFICACION!$E$2:$E$500,MATCH("D1.4|"&amp;AO34,CODIFICACION!$F$2:$F$500,0))),"⚠"))</f>
        <v/>
      </c>
      <c r="K34" t="str">
        <f>IF(AP34="","",IFERROR(IF(INDEX(CODIFICACION!$E$2:$E$500,MATCH("D1.3a|"&amp;AP34,CODIFICACION!$F$2:$F$500,0))="sin dato","",INDEX(CODIFICACION!$E$2:$E$500,MATCH("D1.3a|"&amp;AP34,CODIFICACION!$F$2:$F$500,0))),"⚠"))</f>
        <v/>
      </c>
      <c r="L34" t="str">
        <f t="shared" si="1"/>
        <v/>
      </c>
      <c r="M34" t="str">
        <f t="shared" si="2"/>
        <v/>
      </c>
      <c r="N34" t="str">
        <f t="shared" si="3"/>
        <v/>
      </c>
      <c r="O34" t="str">
        <f>IF(AT34="","",IFERROR(IF(INDEX(CODIFICACION!$E$2:$E$500,MATCH("D2.8|"&amp;AT34,CODIFICACION!$F$2:$F$500,0))="sin dato","",INDEX(CODIFICACION!$E$2:$E$500,MATCH("D2.8|"&amp;AT34,CODIFICACION!$F$2:$F$500,0))),"⚠"))</f>
        <v/>
      </c>
      <c r="P34" t="str">
        <f>IF(AU34="","",IFERROR(IF(INDEX(CODIFICACION!$E$2:$E$500,MATCH("D2.9|"&amp;AU34,CODIFICACION!$F$2:$F$500,0))="sin dato","",INDEX(CODIFICACION!$E$2:$E$500,MATCH("D2.9|"&amp;AU34,CODIFICACION!$F$2:$F$500,0))),"⚠"))</f>
        <v/>
      </c>
      <c r="Q34" t="str">
        <f>IF(AV34="","",IFERROR(IF(INDEX(CODIFICACION!$E$2:$E$500,MATCH("D2.10|"&amp;AV34,CODIFICACION!$F$2:$F$500,0))="sin dato","",INDEX(CODIFICACION!$E$2:$E$500,MATCH("D2.10|"&amp;AV34,CODIFICACION!$F$2:$F$500,0))),"⚠"))</f>
        <v/>
      </c>
      <c r="R34" t="str">
        <f>IF(AW34="","",IFERROR(IF(INDEX(CODIFICACION!$E$2:$E$500,MATCH("D2.5a|"&amp;AW34,CODIFICACION!$F$2:$F$500,0))="sin dato","",INDEX(CODIFICACION!$E$2:$E$500,MATCH("D2.5a|"&amp;AW34,CODIFICACION!$F$2:$F$500,0))),"⚠"))</f>
        <v/>
      </c>
      <c r="S34" t="str">
        <f ca="1">IF(AX34="","",IFERROR(IF(INDEX(CODIFICACION!$E$2:$E$500,MATCH("D2.5b|"&amp;AX34,CODIFICACION!$F$2:$F$500,0))="sin dato","",INDEX(CODIFICACION!$E$2:$E$500,MATCH("D2.5b|"&amp;AX34,CODIFICACION!$F$2:$F$500,0))),"⚠"))</f>
        <v/>
      </c>
      <c r="T34" t="str">
        <f t="shared" ca="1" si="4"/>
        <v/>
      </c>
      <c r="U34" t="str">
        <f>IF(AZ34="","",IFERROR(IF(INDEX(CODIFICACION!$E$2:$E$500,MATCH("D3.12|"&amp;AZ34,CODIFICACION!$F$2:$F$500,0))="sin dato","",INDEX(CODIFICACION!$E$2:$E$500,MATCH("D3.12|"&amp;AZ34,CODIFICACION!$F$2:$F$500,0))),"⚠"))</f>
        <v/>
      </c>
      <c r="V34" t="str">
        <f t="shared" si="5"/>
        <v/>
      </c>
      <c r="W34" t="str">
        <f ca="1">IF(BB34="","",IFERROR(IF(INDEX(CODIFICACION!$E$2:$E$500,MATCH("D3.14|"&amp;BB34,CODIFICACION!$F$2:$F$500,0))="sin dato","",INDEX(CODIFICACION!$E$2:$E$500,MATCH("D3.14|"&amp;BB34,CODIFICACION!$F$2:$F$500,0))),"⚠"))</f>
        <v/>
      </c>
      <c r="X34" t="str">
        <f ca="1">IF(BC34="","",IFERROR(IF(INDEX(CODIFICACION!$E$2:$E$500,MATCH("D3.14a|"&amp;BC34,CODIFICACION!$F$2:$F$500,0))="sin dato","",INDEX(CODIFICACION!$E$2:$E$500,MATCH("D3.14a|"&amp;BC34,CODIFICACION!$F$2:$F$500,0))),"⚠"))</f>
        <v/>
      </c>
      <c r="Y34" t="str">
        <f>IF(BD34="","",IFERROR(IF(INDEX(CODIFICACION!$E$2:$E$500,MATCH("D3.14b|"&amp;BD34,CODIFICACION!$F$2:$F$500,0))="sin dato","",INDEX(CODIFICACION!$E$2:$E$500,MATCH("D3.14b|"&amp;BD34,CODIFICACION!$F$2:$F$500,0))),"⚠"))</f>
        <v/>
      </c>
      <c r="Z34" t="str">
        <f>IF(BE34="","",IFERROR(IF(INDEX(CODIFICACION!$E$2:$E$500,MATCH("D3.14c|"&amp;BE34,CODIFICACION!$F$2:$F$500,0))="sin dato","",INDEX(CODIFICACION!$E$2:$E$500,MATCH("D3.14c|"&amp;BE34,CODIFICACION!$F$2:$F$500,0))),"⚠"))</f>
        <v/>
      </c>
      <c r="AA34" t="str">
        <f>IF(BF34="","",IFERROR(IF(INDEX(CODIFICACION!$E$2:$E$500,MATCH("D3.14d|"&amp;BF34,CODIFICACION!$F$2:$F$500,0))="sin dato","",INDEX(CODIFICACION!$E$2:$E$500,MATCH("D3.14d|"&amp;BF34,CODIFICACION!$F$2:$F$500,0))),"⚠"))</f>
        <v/>
      </c>
      <c r="AB34" t="str">
        <f>IF(BG34="","",IFERROR(IF(INDEX(CODIFICACION!$E$2:$E$500,MATCH("D3.14e|"&amp;BG34,CODIFICACION!$F$2:$F$500,0))="sin dato","",INDEX(CODIFICACION!$E$2:$E$500,MATCH("D3.14e|"&amp;BG34,CODIFICACION!$F$2:$F$500,0))),"⚠"))</f>
        <v/>
      </c>
      <c r="AC34" t="str">
        <f>IF(BH34="","",IFERROR(IF(INDEX(CODIFICACION!$E$2:$E$500,MATCH("D3.14f|"&amp;BH34,CODIFICACION!$F$2:$F$500,0))="sin dato","",INDEX(CODIFICACION!$E$2:$E$500,MATCH("D3.14f|"&amp;BH34,CODIFICACION!$F$2:$F$500,0))),"⚠"))</f>
        <v/>
      </c>
      <c r="AD34" t="str">
        <f>IF(BI34="","",IFERROR(IF(INDEX(CODIFICACION!$E$2:$E$500,MATCH("D3.14g|"&amp;BI34,CODIFICACION!$F$2:$F$500,0))="sin dato","",INDEX(CODIFICACION!$E$2:$E$500,MATCH("D3.14g|"&amp;BI34,CODIFICACION!$F$2:$F$500,0))),"⚠"))</f>
        <v/>
      </c>
      <c r="AE34" t="str">
        <f>IF(BJ34="","",IFERROR(IF(INDEX(CODIFICACION!$E$2:$E$500,MATCH("D3.14h|"&amp;BJ34,CODIFICACION!$F$2:$F$500,0))="sin dato","",INDEX(CODIFICACION!$E$2:$E$500,MATCH("D3.14h|"&amp;BJ34,CODIFICACION!$F$2:$F$500,0))),"⚠"))</f>
        <v/>
      </c>
      <c r="AF34" t="str">
        <f>IF(BK34="","",IFERROR(IF(INDEX(CODIFICACION!$E$2:$E$500,MATCH("D3.14i|"&amp;BK34,CODIFICACION!$F$2:$F$500,0))="sin dato","",INDEX(CODIFICACION!$E$2:$E$500,MATCH("D3.14i|"&amp;BK34,CODIFICACION!$F$2:$F$500,0))),"⚠"))</f>
        <v/>
      </c>
      <c r="AG34" t="str">
        <f>IF(BL34="","",IFERROR(IF(INDEX(CODIFICACION!$E$2:$E$500,MATCH("D4.15|"&amp;BL34,CODIFICACION!$F$2:$F$500,0))="sin dato","",INDEX(CODIFICACION!$E$2:$E$500,MATCH("D4.15|"&amp;BL34,CODIFICACION!$F$2:$F$500,0))),"⚠"))</f>
        <v/>
      </c>
      <c r="AH34" t="str">
        <f t="shared" si="6"/>
        <v/>
      </c>
      <c r="AI34" t="str">
        <f>IF(BN34="","",IFERROR(IF(INDEX(CODIFICACION!$E$2:$E$500,MATCH("D4.17|"&amp;BN34,CODIFICACION!$F$2:$F$500,0))="sin dato","",INDEX(CODIFICACION!$E$2:$E$500,MATCH("D4.17|"&amp;BN34,CODIFICACION!$F$2:$F$500,0))),"⚠"))</f>
        <v/>
      </c>
      <c r="AJ34" t="str">
        <f>IF(BO34="","",IFERROR(IF(INDEX(CODIFICACION!$E$2:$E$500,MATCH("D4.15a|"&amp;BO34,CODIFICACION!$F$2:$F$500,0))="sin dato","",INDEX(CODIFICACION!$E$2:$E$500,MATCH("D4.15a|"&amp;BO34,CODIFICACION!$F$2:$F$500,0))),"⚠"))</f>
        <v/>
      </c>
      <c r="AK34" t="str">
        <f t="shared" si="7"/>
        <v/>
      </c>
      <c r="AL34" t="str">
        <f t="shared" si="8"/>
        <v/>
      </c>
      <c r="AM34" t="str">
        <f>IF(BR34="","",IFERROR(IF(INDEX(CODIFICACION!$E$2:$E$500,MATCH("D5.18b|"&amp;BR34,CODIFICACION!$F$2:$F$500,0))="sin dato","",INDEX(CODIFICACION!$E$2:$E$500,MATCH("D5.18b|"&amp;BR34,CODIFICACION!$F$2:$F$500,0))),"⚠"))</f>
        <v/>
      </c>
      <c r="AN34" t="str">
        <f>IF(BS34="","",IFERROR(IF(INDEX(CODIFICACION!$E$2:$E$500,MATCH("D5.19|"&amp;BS34,CODIFICACION!$F$2:$F$500,0))="sin dato","",INDEX(CODIFICACION!$E$2:$E$500,MATCH("D5.19|"&amp;BS34,CODIFICACION!$F$2:$F$500,0))),"⚠"))</f>
        <v/>
      </c>
      <c r="AO34" t="str">
        <f t="shared" si="9"/>
        <v/>
      </c>
      <c r="AP34" t="str">
        <f>IF(BU34="","",IFERROR(IF(INDEX(CODIFICACION!$E$2:$E$500,MATCH("D5.20|"&amp;BU34,CODIFICACION!$F$2:$F$500,0))="sin dato","",INDEX(CODIFICACION!$E$2:$E$500,MATCH("D5.20|"&amp;BU34,CODIFICACION!$F$2:$F$500,0))),"⚠"))</f>
        <v/>
      </c>
      <c r="AQ34" t="str">
        <f>IF(BV34="","",IFERROR(IF(INDEX(CODIFICACION!$E$2:$E$500,MATCH("D5.21|"&amp;BV34,CODIFICACION!$F$2:$F$500,0))="sin dato","",INDEX(CODIFICACION!$E$2:$E$500,MATCH("D5.21|"&amp;BV34,CODIFICACION!$F$2:$F$500,0))),"⚠"))</f>
        <v/>
      </c>
      <c r="AR34" t="str">
        <f>IF(BW34="","",IFERROR(IF(INDEX(CODIFICACION!$E$2:$E$500,MATCH("D5.21a|"&amp;BW34,CODIFICACION!$F$2:$F$500,0))="sin dato","",INDEX(CODIFICACION!$E$2:$E$500,MATCH("D5.21a|"&amp;BW34,CODIFICACION!$F$2:$F$500,0))),"⚠"))</f>
        <v/>
      </c>
      <c r="AS34" t="str">
        <f>IF(BX34="","",IFERROR(IF(INDEX(CODIFICACION!$E$2:$E$500,MATCH("D5.21b|"&amp;BX34,CODIFICACION!$F$2:$F$500,0))="sin dato","",INDEX(CODIFICACION!$E$2:$E$500,MATCH("D5.21b|"&amp;BX34,CODIFICACION!$F$2:$F$500,0))),"⚠"))</f>
        <v/>
      </c>
      <c r="AT34" t="str">
        <f>IF(BY34="","",IFERROR(IF(INDEX(CODIFICACION!$E$2:$E$500,MATCH("D6.22|"&amp;BY34,CODIFICACION!$F$2:$F$500,0))="sin dato","",INDEX(CODIFICACION!$E$2:$E$500,MATCH("D6.22|"&amp;BY34,CODIFICACION!$F$2:$F$500,0))),"⚠"))</f>
        <v/>
      </c>
      <c r="AU34" t="str">
        <f>IF(BZ34="","",IFERROR(IF(INDEX(CODIFICACION!$E$2:$E$500,MATCH("D6.22a|"&amp;BZ34,CODIFICACION!$F$2:$F$500,0))="sin dato","",INDEX(CODIFICACION!$E$2:$E$500,MATCH("D6.22a|"&amp;BZ34,CODIFICACION!$F$2:$F$500,0))),"⚠"))</f>
        <v/>
      </c>
      <c r="AV34" t="str">
        <f>IF(CA34="","",IFERROR(IF(INDEX(CODIFICACION!$E$2:$E$500,MATCH("D6.22b|"&amp;CA34,CODIFICACION!$F$2:$F$500,0))="sin dato","",INDEX(CODIFICACION!$E$2:$E$500,MATCH("D6.22b|"&amp;CA34,CODIFICACION!$F$2:$F$500,0))),"⚠"))</f>
        <v/>
      </c>
      <c r="AW34" t="str">
        <f>IF(CB34="","",IFERROR(IF(INDEX(CODIFICACION!$E$2:$E$500,MATCH("D6.23|"&amp;CB34,CODIFICACION!$F$2:$F$500,0))="sin dato","",INDEX(CODIFICACION!$E$2:$E$500,MATCH("D6.23|"&amp;CB34,CODIFICACION!$F$2:$F$500,0))),"⚠"))</f>
        <v/>
      </c>
      <c r="AX34" t="str">
        <f ca="1">IF(CC34="","",IFERROR(IF(INDEX(CODIFICACION!$E$2:$E$500,MATCH("D6.24|"&amp;CC34,CODIFICACION!$F$2:$F$500,0))="sin dato","",INDEX(CODIFICACION!$E$2:$E$500,MATCH("D6.24|"&amp;CC34,CODIFICACION!$F$2:$F$500,0))),"⚠"))</f>
        <v/>
      </c>
      <c r="AY34" t="str">
        <f ca="1">IF(CD34="","",IFERROR(IF(INDEX(CODIFICACION!$E$2:$E$500,MATCH("D6.25|"&amp;CD34,CODIFICACION!$F$2:$F$500,0))="sin dato","",INDEX(CODIFICACION!$E$2:$E$500,MATCH("D6.25|"&amp;CD34,CODIFICACION!$F$2:$F$500,0))),"⚠"))</f>
        <v/>
      </c>
      <c r="AZ34" t="str">
        <f>IF(CE34="","",IFERROR(IF(INDEX(CODIFICACION!$E$2:$E$500,MATCH("D6.25a|"&amp;CE34,CODIFICACION!$F$2:$F$500,0))="sin dato","",INDEX(CODIFICACION!$E$2:$E$500,MATCH("D6.25a|"&amp;CE34,CODIFICACION!$F$2:$F$500,0))),"⚠"))</f>
        <v/>
      </c>
      <c r="BA34" t="str">
        <f>IF(CF34="","",IFERROR(IF(INDEX(CODIFICACION!$E$2:$E$500,MATCH("D6.25b|"&amp;CF34,CODIFICACION!$F$2:$F$500,0))="sin dato","",INDEX(CODIFICACION!$E$2:$E$500,MATCH("D6.25b|"&amp;CF34,CODIFICACION!$F$2:$F$500,0))),"⚠"))</f>
        <v/>
      </c>
      <c r="BB34" t="str">
        <f ca="1">IF(CG34="","",IFERROR(IF(INDEX(CODIFICACION!$E$2:$E$500,MATCH("D6.22c|"&amp;CG34,CODIFICACION!$F$2:$F$500,0))="sin dato","",INDEX(CODIFICACION!$E$2:$E$500,MATCH("D6.22c|"&amp;CG34,CODIFICACION!$F$2:$F$500,0))),"⚠"))</f>
        <v/>
      </c>
      <c r="BC34" t="str">
        <f ca="1">IF(CH34="","",IFERROR(IF(INDEX(CODIFICACION!$E$2:$E$500,MATCH("D7.26|"&amp;CH34,CODIFICACION!$F$2:$F$500,0))="sin dato","",INDEX(CODIFICACION!$E$2:$E$500,MATCH("D7.26|"&amp;CH34,CODIFICACION!$F$2:$F$500,0))),"⚠"))</f>
        <v/>
      </c>
      <c r="BD34" t="str">
        <f>IF(CI34="","",IFERROR(IF(INDEX(CODIFICACION!$E$2:$E$500,MATCH("D7.27|"&amp;CI34,CODIFICACION!$F$2:$F$500,0))="sin dato","",INDEX(CODIFICACION!$E$2:$E$500,MATCH("D7.27|"&amp;CI34,CODIFICACION!$F$2:$F$500,0))),"⚠"))</f>
        <v/>
      </c>
      <c r="BE34" t="str">
        <f>IF(CJ34="","",IFERROR(IF(INDEX(CODIFICACION!$E$2:$E$500,MATCH("D7.28|"&amp;CJ34,CODIFICACION!$F$2:$F$500,0))="sin dato","",INDEX(CODIFICACION!$E$2:$E$500,MATCH("D7.28|"&amp;CJ34,CODIFICACION!$F$2:$F$500,0))),"⚠"))</f>
        <v/>
      </c>
      <c r="BF34" t="str">
        <f>IF(CK34="","",IFERROR(IF(INDEX(CODIFICACION!$E$2:$E$500,MATCH("D7.28b|"&amp;CK34,CODIFICACION!$F$2:$F$500,0))="sin dato","",INDEX(CODIFICACION!$E$2:$E$500,MATCH("D7.28b|"&amp;CK34,CODIFICACION!$F$2:$F$500,0))),"⚠"))</f>
        <v/>
      </c>
      <c r="BG34" t="str">
        <f t="shared" si="10"/>
        <v/>
      </c>
      <c r="BH34" t="str">
        <f>IF(CM34="","",IFERROR(IF(INDEX(CODIFICACION!$E$2:$E$500,MATCH("D7.26a|"&amp;CM34,CODIFICACION!$F$2:$F$500,0))="sin dato","",INDEX(CODIFICACION!$E$2:$E$500,MATCH("D7.26a|"&amp;CM34,CODIFICACION!$F$2:$F$500,0))),"⚠"))</f>
        <v/>
      </c>
      <c r="BI34" t="str">
        <f>IF(CN34="","",IFERROR(IF(INDEX(CODIFICACION!$E$2:$E$500,MATCH("D7.26b|"&amp;CN34,CODIFICACION!$F$2:$F$500,0))="sin dato","",INDEX(CODIFICACION!$E$2:$E$500,MATCH("D7.26b|"&amp;CN34,CODIFICACION!$F$2:$F$500,0))),"⚠"))</f>
        <v/>
      </c>
      <c r="BJ34" t="str">
        <f t="shared" si="11"/>
        <v/>
      </c>
      <c r="BK34" t="str">
        <f t="shared" si="12"/>
        <v/>
      </c>
      <c r="BL34" t="str">
        <f>IF(CQ34="","",IFERROR(IF(INDEX(CODIFICACION!$E$2:$E$500,MATCH("D8.31|"&amp;CQ34,CODIFICACION!$F$2:$F$500,0))="sin dato","",INDEX(CODIFICACION!$E$2:$E$500,MATCH("D8.31|"&amp;CQ34,CODIFICACION!$F$2:$F$500,0))),"⚠"))</f>
        <v/>
      </c>
      <c r="BM34" t="str">
        <f>IF(CR34="","",IFERROR(IF(INDEX(CODIFICACION!$E$2:$E$500,MATCH("D8.32|"&amp;CR34,CODIFICACION!$F$2:$F$500,0))="sin dato","",INDEX(CODIFICACION!$E$2:$E$500,MATCH("D8.32|"&amp;CR34,CODIFICACION!$F$2:$F$500,0))),"⚠"))</f>
        <v/>
      </c>
      <c r="BN34" t="str">
        <f>IF(CS34="","",IFERROR(IF(INDEX(CODIFICACION!$E$2:$E$500,MATCH("D9.33|"&amp;CS34,CODIFICACION!$F$2:$F$500,0))="sin dato","",INDEX(CODIFICACION!$E$2:$E$500,MATCH("D9.33|"&amp;CS34,CODIFICACION!$F$2:$F$500,0))),"⚠"))</f>
        <v/>
      </c>
      <c r="BO34" t="str">
        <f>IF(CT34="","",IFERROR(IF(INDEX(CODIFICACION!$E$2:$E$500,MATCH("D9.34|"&amp;CT34,CODIFICACION!$F$2:$F$500,0))="sin dato","",INDEX(CODIFICACION!$E$2:$E$500,MATCH("D9.34|"&amp;CT34,CODIFICACION!$F$2:$F$500,0))),"⚠"))</f>
        <v/>
      </c>
      <c r="BP34" t="str">
        <f>IF(CU34="","",IFERROR(IF(INDEX(CODIFICACION!$E$2:$E$500,MATCH("D9.35|"&amp;CU34,CODIFICACION!$F$2:$F$500,0))="sin dato","",INDEX(CODIFICACION!$E$2:$E$500,MATCH("D9.35|"&amp;CU34,CODIFICACION!$F$2:$F$500,0))),"⚠"))</f>
        <v/>
      </c>
      <c r="BQ34" t="str">
        <f>IF(CV34="","",IFERROR(IF(INDEX(CODIFICACION!$E$2:$E$500,MATCH("D10.36|"&amp;CV34,CODIFICACION!$F$2:$F$500,0))="sin dato","",INDEX(CODIFICACION!$E$2:$E$500,MATCH("D10.36|"&amp;CV34,CODIFICACION!$F$2:$F$500,0))),"⚠"))</f>
        <v/>
      </c>
      <c r="BR34" t="str">
        <f>IF(CW34="","",IFERROR(IF(INDEX(CODIFICACION!$E$2:$E$500,MATCH("D10.37|"&amp;CW34,CODIFICACION!$F$2:$F$500,0))="sin dato","",INDEX(CODIFICACION!$E$2:$E$500,MATCH("D10.37|"&amp;CW34,CODIFICACION!$F$2:$F$500,0))),"⚠"))</f>
        <v/>
      </c>
      <c r="BS34" t="str">
        <f>IF(CX34="","",IFERROR(IF(INDEX(CODIFICACION!$E$2:$E$500,MATCH("D10.36a|"&amp;CX34,CODIFICACION!$F$2:$F$500,0))="sin dato","",INDEX(CODIFICACION!$E$2:$E$500,MATCH("D10.36a|"&amp;CX34,CODIFICACION!$F$2:$F$500,0))),"⚠"))</f>
        <v/>
      </c>
      <c r="BT34" t="str">
        <f t="shared" si="13"/>
        <v/>
      </c>
      <c r="BU34" t="str">
        <f>IF(DA34="","",IFERROR(IF(INDEX(CODIFICACION!$E$2:$E$500,MATCH("D11.39a|"&amp;DA34,CODIFICACION!$F$2:$F$500,0))="sin dato","",INDEX(CODIFICACION!$E$2:$E$500,MATCH("D11.39a|"&amp;DA34,CODIFICACION!$F$2:$F$500,0))),"⚠"))</f>
        <v/>
      </c>
      <c r="BV34" t="str">
        <f>IF(DB34="","",IFERROR(IF(INDEX(CODIFICACION!$E$2:$E$500,MATCH("D12.42|"&amp;DB34,CODIFICACION!$F$2:$F$500,0))="sin dato","",INDEX(CODIFICACION!$E$2:$E$500,MATCH("D12.42|"&amp;DB34,CODIFICACION!$F$2:$F$500,0))),"⚠"))</f>
        <v/>
      </c>
      <c r="BW34" t="str">
        <f>IF(DC34="","",IFERROR(IF(INDEX(CODIFICACION!$E$2:$E$500,MATCH("D13.45|"&amp;DC34,CODIFICACION!$F$2:$F$500,0))="sin dato","",INDEX(CODIFICACION!$E$2:$E$500,MATCH("D13.45|"&amp;DC34,CODIFICACION!$F$2:$F$500,0))),"⚠"))</f>
        <v/>
      </c>
      <c r="BX34" t="str">
        <f>IF(DD34="","",IFERROR(IF(INDEX(CODIFICACION!$E$2:$E$500,MATCH("D14.51|"&amp;DD34,CODIFICACION!$F$2:$F$500,0))="sin dato","",INDEX(CODIFICACION!$E$2:$E$500,MATCH("D14.51|"&amp;DD34,CODIFICACION!$F$2:$F$500,0))),"⚠"))</f>
        <v/>
      </c>
      <c r="BY34" t="str">
        <f>IF(DE34="","",IFERROR(IF(INDEX(CODIFICACION!$E$2:$E$500,MATCH("D15.58|"&amp;DE34,CODIFICACION!$F$2:$F$500,0))="sin dato","",INDEX(CODIFICACION!$E$2:$E$500,MATCH("D15.58|"&amp;DE34,CODIFICACION!$F$2:$F$500,0))),"⚠"))</f>
        <v/>
      </c>
      <c r="BZ34" t="str">
        <f>IF(DF34="","",IFERROR(IF(INDEX(CODIFICACION!$E$2:$E$500,MATCH("PP1|"&amp;DF34,CODIFICACION!$F$2:$F$500,0))="sin dato","",INDEX(CODIFICACION!$E$2:$E$500,MATCH("PP1|"&amp;DF34,CODIFICACION!$F$2:$F$500,0))),"⚠"))</f>
        <v/>
      </c>
      <c r="CA34" t="str">
        <f>IF(DG34="","",IFERROR(IF(INDEX(CODIFICACION!$E$2:$E$500,MATCH("PP2|"&amp;DG34,CODIFICACION!$F$2:$F$500,0))="sin dato","",INDEX(CODIFICACION!$E$2:$E$500,MATCH("PP2|"&amp;DG34,CODIFICACION!$F$2:$F$500,0))),"⚠"))</f>
        <v/>
      </c>
      <c r="CB34" t="str">
        <f t="shared" si="14"/>
        <v/>
      </c>
      <c r="CC34" t="str">
        <f t="shared" ca="1" si="15"/>
        <v/>
      </c>
      <c r="CD34" t="str">
        <f t="shared" ca="1" si="16"/>
        <v/>
      </c>
      <c r="CE34" t="str">
        <f t="shared" si="17"/>
        <v/>
      </c>
      <c r="CF34" t="str">
        <f t="shared" si="18"/>
        <v/>
      </c>
      <c r="CG34" t="str">
        <f t="shared" ca="1" si="19"/>
        <v/>
      </c>
      <c r="CH34" t="str">
        <f t="shared" ca="1" si="20"/>
        <v/>
      </c>
      <c r="CI34" t="str">
        <f t="shared" si="21"/>
        <v/>
      </c>
      <c r="CJ34" t="str">
        <f t="shared" si="22"/>
        <v/>
      </c>
      <c r="CK34" t="str">
        <f t="shared" si="23"/>
        <v/>
      </c>
      <c r="CL34" t="str">
        <f t="shared" si="24"/>
        <v/>
      </c>
    </row>
    <row r="35" spans="1:90" x14ac:dyDescent="0.3">
      <c r="A35">
        <f>CAPTURA!A35</f>
        <v>20452774705</v>
      </c>
      <c r="B35">
        <f>CAPTURA!C35</f>
        <v>0</v>
      </c>
      <c r="C35" t="str">
        <f t="shared" ref="C35:C66" si="25">IF(M35="","",ROUND((ISNUMBER(SEARCH("Alemania",M35))+ISNUMBER(SEARCH("Bélgica",M35))+ISNUMBER(SEARCH("Países Bajos",M35))+ISNUMBER(SEARCH("Francia",M35))+ISNUMBER(SEARCH("Italia",M35))+ISNUMBER(SEARCH("España",M35))+ISNUMBER(SEARCH("Suecia",M35))+ISNUMBER(SEARCH("Dinamarca",M35)))/((LEN(M35)-LEN(SUBSTITUTE(M35,";","")))+1)*100,1))</f>
        <v/>
      </c>
      <c r="D35" t="str">
        <f>IF(AE35="","",IFERROR(IF(INDEX(CODIFICACION!$E$2:$E$500,MATCH("P8|"&amp;AE35,CODIFICACION!$F$2:$F$500,0))="sin dato","",INDEX(CODIFICACION!$E$2:$E$500,MATCH("P8|"&amp;AE35,CODIFICACION!$F$2:$F$500,0))),"⚠"))</f>
        <v/>
      </c>
      <c r="E35" t="str">
        <f>IF(AG35="","",IFERROR(IF(INDEX(CODIFICACION!$E$2:$E$500,MATCH("P10|"&amp;AG35,CODIFICACION!$F$2:$F$500,0))="sin dato","",INDEX(CODIFICACION!$E$2:$E$500,MATCH("P10|"&amp;AG35,CODIFICACION!$F$2:$F$500,0))),"⚠"))</f>
        <v/>
      </c>
      <c r="F35" t="str">
        <f>IF(AJ35="","",IFERROR(IF(INDEX(CODIFICACION!$E$2:$E$500,MATCH("P13|"&amp;AJ35,CODIFICACION!$F$2:$F$500,0))="sin dato","",INDEX(CODIFICACION!$E$2:$E$500,MATCH("P13|"&amp;AJ35,CODIFICACION!$F$2:$F$500,0))),"⚠"))</f>
        <v/>
      </c>
      <c r="G35" t="str">
        <f>IF(AK35="","",IFERROR(IF(INDEX(CODIFICACION!$E$2:$E$500,MATCH("P14|"&amp;AK35,CODIFICACION!$F$2:$F$500,0))="sin dato","",INDEX(CODIFICACION!$E$2:$E$500,MATCH("P14|"&amp;AK35,CODIFICACION!$F$2:$F$500,0))),"⚠"))</f>
        <v/>
      </c>
      <c r="H35" t="str">
        <f>IF(AL35="","",IFERROR(IF(INDEX(CODIFICACION!$E$2:$E$500,MATCH("D1.1|"&amp;AL35,CODIFICACION!$F$2:$F$500,0))="sin dato","",INDEX(CODIFICACION!$E$2:$E$500,MATCH("D1.1|"&amp;AL35,CODIFICACION!$F$2:$F$500,0))),"⚠"))</f>
        <v/>
      </c>
      <c r="I35" t="str">
        <f>IF(AN35="","",IFERROR(IF(INDEX(CODIFICACION!$E$2:$E$500,MATCH("D1.3|"&amp;AN35,CODIFICACION!$F$2:$F$500,0))="sin dato","",INDEX(CODIFICACION!$E$2:$E$500,MATCH("D1.3|"&amp;AN35,CODIFICACION!$F$2:$F$500,0))),"⚠"))</f>
        <v/>
      </c>
      <c r="J35" t="str">
        <f>IF(AO35="","",IFERROR(IF(INDEX(CODIFICACION!$E$2:$E$500,MATCH("D1.4|"&amp;AO35,CODIFICACION!$F$2:$F$500,0))="sin dato","",INDEX(CODIFICACION!$E$2:$E$500,MATCH("D1.4|"&amp;AO35,CODIFICACION!$F$2:$F$500,0))),"⚠"))</f>
        <v/>
      </c>
      <c r="K35" t="str">
        <f>IF(AP35="","",IFERROR(IF(INDEX(CODIFICACION!$E$2:$E$500,MATCH("D1.3a|"&amp;AP35,CODIFICACION!$F$2:$F$500,0))="sin dato","",INDEX(CODIFICACION!$E$2:$E$500,MATCH("D1.3a|"&amp;AP35,CODIFICACION!$F$2:$F$500,0))),"⚠"))</f>
        <v/>
      </c>
      <c r="L35" t="str">
        <f t="shared" ref="L35:L66" si="26">IF(AQ35="","",IF(AND(ISNUMBER(AQ35),AQ35&gt;=0,AQ35&lt;=4),AQ35*25,"⚠"))</f>
        <v/>
      </c>
      <c r="M35" t="str">
        <f t="shared" ref="M35:M66" si="27">IF(AR35="","",IF(ISNUMBER(AR35),MAX(0,MIN(100,AR35)),"⚠"))</f>
        <v/>
      </c>
      <c r="N35" t="str">
        <f t="shared" ref="N35:N66" si="28">IF(AS35="","",IF(AND(ISNUMBER(AS35),AS35&gt;=0,AS35&lt;=4),AS35*25,"⚠"))</f>
        <v/>
      </c>
      <c r="O35" t="str">
        <f>IF(AT35="","",IFERROR(IF(INDEX(CODIFICACION!$E$2:$E$500,MATCH("D2.8|"&amp;AT35,CODIFICACION!$F$2:$F$500,0))="sin dato","",INDEX(CODIFICACION!$E$2:$E$500,MATCH("D2.8|"&amp;AT35,CODIFICACION!$F$2:$F$500,0))),"⚠"))</f>
        <v/>
      </c>
      <c r="P35" t="str">
        <f>IF(AU35="","",IFERROR(IF(INDEX(CODIFICACION!$E$2:$E$500,MATCH("D2.9|"&amp;AU35,CODIFICACION!$F$2:$F$500,0))="sin dato","",INDEX(CODIFICACION!$E$2:$E$500,MATCH("D2.9|"&amp;AU35,CODIFICACION!$F$2:$F$500,0))),"⚠"))</f>
        <v/>
      </c>
      <c r="Q35" t="str">
        <f>IF(AV35="","",IFERROR(IF(INDEX(CODIFICACION!$E$2:$E$500,MATCH("D2.10|"&amp;AV35,CODIFICACION!$F$2:$F$500,0))="sin dato","",INDEX(CODIFICACION!$E$2:$E$500,MATCH("D2.10|"&amp;AV35,CODIFICACION!$F$2:$F$500,0))),"⚠"))</f>
        <v/>
      </c>
      <c r="R35" t="str">
        <f>IF(AW35="","",IFERROR(IF(INDEX(CODIFICACION!$E$2:$E$500,MATCH("D2.5a|"&amp;AW35,CODIFICACION!$F$2:$F$500,0))="sin dato","",INDEX(CODIFICACION!$E$2:$E$500,MATCH("D2.5a|"&amp;AW35,CODIFICACION!$F$2:$F$500,0))),"⚠"))</f>
        <v/>
      </c>
      <c r="S35" t="str">
        <f ca="1">IF(AX35="","",IFERROR(IF(INDEX(CODIFICACION!$E$2:$E$500,MATCH("D2.5b|"&amp;AX35,CODIFICACION!$F$2:$F$500,0))="sin dato","",INDEX(CODIFICACION!$E$2:$E$500,MATCH("D2.5b|"&amp;AX35,CODIFICACION!$F$2:$F$500,0))),"⚠"))</f>
        <v/>
      </c>
      <c r="T35" t="str">
        <f t="shared" ref="T35:T66" ca="1" si="29">IF(AY35="","",IF(ISNUMBER(AY35),MAX(0,MIN(100,AY35)),"⚠"))</f>
        <v/>
      </c>
      <c r="U35" t="str">
        <f>IF(AZ35="","",IFERROR(IF(INDEX(CODIFICACION!$E$2:$E$500,MATCH("D3.12|"&amp;AZ35,CODIFICACION!$F$2:$F$500,0))="sin dato","",INDEX(CODIFICACION!$E$2:$E$500,MATCH("D3.12|"&amp;AZ35,CODIFICACION!$F$2:$F$500,0))),"⚠"))</f>
        <v/>
      </c>
      <c r="V35" t="str">
        <f t="shared" ref="V35:V66" si="30">IF(BA35="","",IF(AND(ISNUMBER(BA35),BA35&gt;=0,BA35&lt;=4),BA35*25,"⚠"))</f>
        <v/>
      </c>
      <c r="W35" t="str">
        <f ca="1">IF(BB35="","",IFERROR(IF(INDEX(CODIFICACION!$E$2:$E$500,MATCH("D3.14|"&amp;BB35,CODIFICACION!$F$2:$F$500,0))="sin dato","",INDEX(CODIFICACION!$E$2:$E$500,MATCH("D3.14|"&amp;BB35,CODIFICACION!$F$2:$F$500,0))),"⚠"))</f>
        <v/>
      </c>
      <c r="X35" t="str">
        <f ca="1">IF(BC35="","",IFERROR(IF(INDEX(CODIFICACION!$E$2:$E$500,MATCH("D3.14a|"&amp;BC35,CODIFICACION!$F$2:$F$500,0))="sin dato","",INDEX(CODIFICACION!$E$2:$E$500,MATCH("D3.14a|"&amp;BC35,CODIFICACION!$F$2:$F$500,0))),"⚠"))</f>
        <v/>
      </c>
      <c r="Y35" t="str">
        <f>IF(BD35="","",IFERROR(IF(INDEX(CODIFICACION!$E$2:$E$500,MATCH("D3.14b|"&amp;BD35,CODIFICACION!$F$2:$F$500,0))="sin dato","",INDEX(CODIFICACION!$E$2:$E$500,MATCH("D3.14b|"&amp;BD35,CODIFICACION!$F$2:$F$500,0))),"⚠"))</f>
        <v/>
      </c>
      <c r="Z35" t="str">
        <f>IF(BE35="","",IFERROR(IF(INDEX(CODIFICACION!$E$2:$E$500,MATCH("D3.14c|"&amp;BE35,CODIFICACION!$F$2:$F$500,0))="sin dato","",INDEX(CODIFICACION!$E$2:$E$500,MATCH("D3.14c|"&amp;BE35,CODIFICACION!$F$2:$F$500,0))),"⚠"))</f>
        <v/>
      </c>
      <c r="AA35" t="str">
        <f>IF(BF35="","",IFERROR(IF(INDEX(CODIFICACION!$E$2:$E$500,MATCH("D3.14d|"&amp;BF35,CODIFICACION!$F$2:$F$500,0))="sin dato","",INDEX(CODIFICACION!$E$2:$E$500,MATCH("D3.14d|"&amp;BF35,CODIFICACION!$F$2:$F$500,0))),"⚠"))</f>
        <v/>
      </c>
      <c r="AB35" t="str">
        <f>IF(BG35="","",IFERROR(IF(INDEX(CODIFICACION!$E$2:$E$500,MATCH("D3.14e|"&amp;BG35,CODIFICACION!$F$2:$F$500,0))="sin dato","",INDEX(CODIFICACION!$E$2:$E$500,MATCH("D3.14e|"&amp;BG35,CODIFICACION!$F$2:$F$500,0))),"⚠"))</f>
        <v/>
      </c>
      <c r="AC35" t="str">
        <f>IF(BH35="","",IFERROR(IF(INDEX(CODIFICACION!$E$2:$E$500,MATCH("D3.14f|"&amp;BH35,CODIFICACION!$F$2:$F$500,0))="sin dato","",INDEX(CODIFICACION!$E$2:$E$500,MATCH("D3.14f|"&amp;BH35,CODIFICACION!$F$2:$F$500,0))),"⚠"))</f>
        <v/>
      </c>
      <c r="AD35" t="str">
        <f>IF(BI35="","",IFERROR(IF(INDEX(CODIFICACION!$E$2:$E$500,MATCH("D3.14g|"&amp;BI35,CODIFICACION!$F$2:$F$500,0))="sin dato","",INDEX(CODIFICACION!$E$2:$E$500,MATCH("D3.14g|"&amp;BI35,CODIFICACION!$F$2:$F$500,0))),"⚠"))</f>
        <v/>
      </c>
      <c r="AE35" t="str">
        <f>IF(BJ35="","",IFERROR(IF(INDEX(CODIFICACION!$E$2:$E$500,MATCH("D3.14h|"&amp;BJ35,CODIFICACION!$F$2:$F$500,0))="sin dato","",INDEX(CODIFICACION!$E$2:$E$500,MATCH("D3.14h|"&amp;BJ35,CODIFICACION!$F$2:$F$500,0))),"⚠"))</f>
        <v/>
      </c>
      <c r="AF35" t="str">
        <f>IF(BK35="","",IFERROR(IF(INDEX(CODIFICACION!$E$2:$E$500,MATCH("D3.14i|"&amp;BK35,CODIFICACION!$F$2:$F$500,0))="sin dato","",INDEX(CODIFICACION!$E$2:$E$500,MATCH("D3.14i|"&amp;BK35,CODIFICACION!$F$2:$F$500,0))),"⚠"))</f>
        <v/>
      </c>
      <c r="AG35" t="str">
        <f>IF(BL35="","",IFERROR(IF(INDEX(CODIFICACION!$E$2:$E$500,MATCH("D4.15|"&amp;BL35,CODIFICACION!$F$2:$F$500,0))="sin dato","",INDEX(CODIFICACION!$E$2:$E$500,MATCH("D4.15|"&amp;BL35,CODIFICACION!$F$2:$F$500,0))),"⚠"))</f>
        <v/>
      </c>
      <c r="AH35" t="str">
        <f t="shared" ref="AH35:AH66" si="31">IF(BM35="","",IF(AND(ISNUMBER(BM35),BM35&gt;=0,BM35&lt;=4),BM35*25,"⚠"))</f>
        <v/>
      </c>
      <c r="AI35" t="str">
        <f>IF(BN35="","",IFERROR(IF(INDEX(CODIFICACION!$E$2:$E$500,MATCH("D4.17|"&amp;BN35,CODIFICACION!$F$2:$F$500,0))="sin dato","",INDEX(CODIFICACION!$E$2:$E$500,MATCH("D4.17|"&amp;BN35,CODIFICACION!$F$2:$F$500,0))),"⚠"))</f>
        <v/>
      </c>
      <c r="AJ35" t="str">
        <f>IF(BO35="","",IFERROR(IF(INDEX(CODIFICACION!$E$2:$E$500,MATCH("D4.15a|"&amp;BO35,CODIFICACION!$F$2:$F$500,0))="sin dato","",INDEX(CODIFICACION!$E$2:$E$500,MATCH("D4.15a|"&amp;BO35,CODIFICACION!$F$2:$F$500,0))),"⚠"))</f>
        <v/>
      </c>
      <c r="AK35" t="str">
        <f t="shared" ref="AK35:AK66" si="32">IF(BP35="","",IF(AND(ISNUMBER(BP35),BP35&gt;=0,BP35&lt;=4),BP35*25,"⚠"))</f>
        <v/>
      </c>
      <c r="AL35" t="str">
        <f t="shared" ref="AL35:AL66" si="33">IF(BQ35="","",IF(AND(ISNUMBER(BQ35),BQ35&gt;=0,BQ35&lt;=4),BQ35*25,"⚠"))</f>
        <v/>
      </c>
      <c r="AM35" t="str">
        <f>IF(BR35="","",IFERROR(IF(INDEX(CODIFICACION!$E$2:$E$500,MATCH("D5.18b|"&amp;BR35,CODIFICACION!$F$2:$F$500,0))="sin dato","",INDEX(CODIFICACION!$E$2:$E$500,MATCH("D5.18b|"&amp;BR35,CODIFICACION!$F$2:$F$500,0))),"⚠"))</f>
        <v/>
      </c>
      <c r="AN35" t="str">
        <f>IF(BS35="","",IFERROR(IF(INDEX(CODIFICACION!$E$2:$E$500,MATCH("D5.19|"&amp;BS35,CODIFICACION!$F$2:$F$500,0))="sin dato","",INDEX(CODIFICACION!$E$2:$E$500,MATCH("D5.19|"&amp;BS35,CODIFICACION!$F$2:$F$500,0))),"⚠"))</f>
        <v/>
      </c>
      <c r="AO35" t="str">
        <f t="shared" ref="AO35:AO66" si="34">IF(BT35="","",ROUND((LEN(BT35)-LEN(SUBSTITUTE(BT35,";",""))+1)/7*100,1))</f>
        <v/>
      </c>
      <c r="AP35" t="str">
        <f>IF(BU35="","",IFERROR(IF(INDEX(CODIFICACION!$E$2:$E$500,MATCH("D5.20|"&amp;BU35,CODIFICACION!$F$2:$F$500,0))="sin dato","",INDEX(CODIFICACION!$E$2:$E$500,MATCH("D5.20|"&amp;BU35,CODIFICACION!$F$2:$F$500,0))),"⚠"))</f>
        <v/>
      </c>
      <c r="AQ35" t="str">
        <f>IF(BV35="","",IFERROR(IF(INDEX(CODIFICACION!$E$2:$E$500,MATCH("D5.21|"&amp;BV35,CODIFICACION!$F$2:$F$500,0))="sin dato","",INDEX(CODIFICACION!$E$2:$E$500,MATCH("D5.21|"&amp;BV35,CODIFICACION!$F$2:$F$500,0))),"⚠"))</f>
        <v/>
      </c>
      <c r="AR35" t="str">
        <f>IF(BW35="","",IFERROR(IF(INDEX(CODIFICACION!$E$2:$E$500,MATCH("D5.21a|"&amp;BW35,CODIFICACION!$F$2:$F$500,0))="sin dato","",INDEX(CODIFICACION!$E$2:$E$500,MATCH("D5.21a|"&amp;BW35,CODIFICACION!$F$2:$F$500,0))),"⚠"))</f>
        <v/>
      </c>
      <c r="AS35" t="str">
        <f>IF(BX35="","",IFERROR(IF(INDEX(CODIFICACION!$E$2:$E$500,MATCH("D5.21b|"&amp;BX35,CODIFICACION!$F$2:$F$500,0))="sin dato","",INDEX(CODIFICACION!$E$2:$E$500,MATCH("D5.21b|"&amp;BX35,CODIFICACION!$F$2:$F$500,0))),"⚠"))</f>
        <v/>
      </c>
      <c r="AT35" t="str">
        <f>IF(BY35="","",IFERROR(IF(INDEX(CODIFICACION!$E$2:$E$500,MATCH("D6.22|"&amp;BY35,CODIFICACION!$F$2:$F$500,0))="sin dato","",INDEX(CODIFICACION!$E$2:$E$500,MATCH("D6.22|"&amp;BY35,CODIFICACION!$F$2:$F$500,0))),"⚠"))</f>
        <v/>
      </c>
      <c r="AU35" t="str">
        <f>IF(BZ35="","",IFERROR(IF(INDEX(CODIFICACION!$E$2:$E$500,MATCH("D6.22a|"&amp;BZ35,CODIFICACION!$F$2:$F$500,0))="sin dato","",INDEX(CODIFICACION!$E$2:$E$500,MATCH("D6.22a|"&amp;BZ35,CODIFICACION!$F$2:$F$500,0))),"⚠"))</f>
        <v/>
      </c>
      <c r="AV35" t="str">
        <f>IF(CA35="","",IFERROR(IF(INDEX(CODIFICACION!$E$2:$E$500,MATCH("D6.22b|"&amp;CA35,CODIFICACION!$F$2:$F$500,0))="sin dato","",INDEX(CODIFICACION!$E$2:$E$500,MATCH("D6.22b|"&amp;CA35,CODIFICACION!$F$2:$F$500,0))),"⚠"))</f>
        <v/>
      </c>
      <c r="AW35" t="str">
        <f>IF(CB35="","",IFERROR(IF(INDEX(CODIFICACION!$E$2:$E$500,MATCH("D6.23|"&amp;CB35,CODIFICACION!$F$2:$F$500,0))="sin dato","",INDEX(CODIFICACION!$E$2:$E$500,MATCH("D6.23|"&amp;CB35,CODIFICACION!$F$2:$F$500,0))),"⚠"))</f>
        <v/>
      </c>
      <c r="AX35" t="str">
        <f ca="1">IF(CC35="","",IFERROR(IF(INDEX(CODIFICACION!$E$2:$E$500,MATCH("D6.24|"&amp;CC35,CODIFICACION!$F$2:$F$500,0))="sin dato","",INDEX(CODIFICACION!$E$2:$E$500,MATCH("D6.24|"&amp;CC35,CODIFICACION!$F$2:$F$500,0))),"⚠"))</f>
        <v/>
      </c>
      <c r="AY35" t="str">
        <f ca="1">IF(CD35="","",IFERROR(IF(INDEX(CODIFICACION!$E$2:$E$500,MATCH("D6.25|"&amp;CD35,CODIFICACION!$F$2:$F$500,0))="sin dato","",INDEX(CODIFICACION!$E$2:$E$500,MATCH("D6.25|"&amp;CD35,CODIFICACION!$F$2:$F$500,0))),"⚠"))</f>
        <v/>
      </c>
      <c r="AZ35" t="str">
        <f>IF(CE35="","",IFERROR(IF(INDEX(CODIFICACION!$E$2:$E$500,MATCH("D6.25a|"&amp;CE35,CODIFICACION!$F$2:$F$500,0))="sin dato","",INDEX(CODIFICACION!$E$2:$E$500,MATCH("D6.25a|"&amp;CE35,CODIFICACION!$F$2:$F$500,0))),"⚠"))</f>
        <v/>
      </c>
      <c r="BA35" t="str">
        <f>IF(CF35="","",IFERROR(IF(INDEX(CODIFICACION!$E$2:$E$500,MATCH("D6.25b|"&amp;CF35,CODIFICACION!$F$2:$F$500,0))="sin dato","",INDEX(CODIFICACION!$E$2:$E$500,MATCH("D6.25b|"&amp;CF35,CODIFICACION!$F$2:$F$500,0))),"⚠"))</f>
        <v/>
      </c>
      <c r="BB35" t="str">
        <f ca="1">IF(CG35="","",IFERROR(IF(INDEX(CODIFICACION!$E$2:$E$500,MATCH("D6.22c|"&amp;CG35,CODIFICACION!$F$2:$F$500,0))="sin dato","",INDEX(CODIFICACION!$E$2:$E$500,MATCH("D6.22c|"&amp;CG35,CODIFICACION!$F$2:$F$500,0))),"⚠"))</f>
        <v/>
      </c>
      <c r="BC35" t="str">
        <f ca="1">IF(CH35="","",IFERROR(IF(INDEX(CODIFICACION!$E$2:$E$500,MATCH("D7.26|"&amp;CH35,CODIFICACION!$F$2:$F$500,0))="sin dato","",INDEX(CODIFICACION!$E$2:$E$500,MATCH("D7.26|"&amp;CH35,CODIFICACION!$F$2:$F$500,0))),"⚠"))</f>
        <v/>
      </c>
      <c r="BD35" t="str">
        <f>IF(CI35="","",IFERROR(IF(INDEX(CODIFICACION!$E$2:$E$500,MATCH("D7.27|"&amp;CI35,CODIFICACION!$F$2:$F$500,0))="sin dato","",INDEX(CODIFICACION!$E$2:$E$500,MATCH("D7.27|"&amp;CI35,CODIFICACION!$F$2:$F$500,0))),"⚠"))</f>
        <v/>
      </c>
      <c r="BE35" t="str">
        <f>IF(CJ35="","",IFERROR(IF(INDEX(CODIFICACION!$E$2:$E$500,MATCH("D7.28|"&amp;CJ35,CODIFICACION!$F$2:$F$500,0))="sin dato","",INDEX(CODIFICACION!$E$2:$E$500,MATCH("D7.28|"&amp;CJ35,CODIFICACION!$F$2:$F$500,0))),"⚠"))</f>
        <v/>
      </c>
      <c r="BF35" t="str">
        <f>IF(CK35="","",IFERROR(IF(INDEX(CODIFICACION!$E$2:$E$500,MATCH("D7.28b|"&amp;CK35,CODIFICACION!$F$2:$F$500,0))="sin dato","",INDEX(CODIFICACION!$E$2:$E$500,MATCH("D7.28b|"&amp;CK35,CODIFICACION!$F$2:$F$500,0))),"⚠"))</f>
        <v/>
      </c>
      <c r="BG35" t="str">
        <f t="shared" ref="BG35:BG66" si="35">IF(CL35="","",ROUND((LEN(CL35)-LEN(SUBSTITUTE(CL35,";",""))+1)/8*100,1))</f>
        <v/>
      </c>
      <c r="BH35" t="str">
        <f>IF(CM35="","",IFERROR(IF(INDEX(CODIFICACION!$E$2:$E$500,MATCH("D7.26a|"&amp;CM35,CODIFICACION!$F$2:$F$500,0))="sin dato","",INDEX(CODIFICACION!$E$2:$E$500,MATCH("D7.26a|"&amp;CM35,CODIFICACION!$F$2:$F$500,0))),"⚠"))</f>
        <v/>
      </c>
      <c r="BI35" t="str">
        <f>IF(CN35="","",IFERROR(IF(INDEX(CODIFICACION!$E$2:$E$500,MATCH("D7.26b|"&amp;CN35,CODIFICACION!$F$2:$F$500,0))="sin dato","",INDEX(CODIFICACION!$E$2:$E$500,MATCH("D7.26b|"&amp;CN35,CODIFICACION!$F$2:$F$500,0))),"⚠"))</f>
        <v/>
      </c>
      <c r="BJ35" t="str">
        <f t="shared" ref="BJ35:BJ66" si="36">IF(CO35="","",IF(AND(ISNUMBER(CO35),CO35&gt;=0,CO35&lt;=4),CO35*25,"⚠"))</f>
        <v/>
      </c>
      <c r="BK35" t="str">
        <f t="shared" ref="BK35:BK66" si="37">IF(CP35="","",IF(ISNUMBER(CP35),MAX(0,MIN(100,CP35)),"⚠"))</f>
        <v/>
      </c>
      <c r="BL35" t="str">
        <f>IF(CQ35="","",IFERROR(IF(INDEX(CODIFICACION!$E$2:$E$500,MATCH("D8.31|"&amp;CQ35,CODIFICACION!$F$2:$F$500,0))="sin dato","",INDEX(CODIFICACION!$E$2:$E$500,MATCH("D8.31|"&amp;CQ35,CODIFICACION!$F$2:$F$500,0))),"⚠"))</f>
        <v/>
      </c>
      <c r="BM35" t="str">
        <f>IF(CR35="","",IFERROR(IF(INDEX(CODIFICACION!$E$2:$E$500,MATCH("D8.32|"&amp;CR35,CODIFICACION!$F$2:$F$500,0))="sin dato","",INDEX(CODIFICACION!$E$2:$E$500,MATCH("D8.32|"&amp;CR35,CODIFICACION!$F$2:$F$500,0))),"⚠"))</f>
        <v/>
      </c>
      <c r="BN35" t="str">
        <f>IF(CS35="","",IFERROR(IF(INDEX(CODIFICACION!$E$2:$E$500,MATCH("D9.33|"&amp;CS35,CODIFICACION!$F$2:$F$500,0))="sin dato","",INDEX(CODIFICACION!$E$2:$E$500,MATCH("D9.33|"&amp;CS35,CODIFICACION!$F$2:$F$500,0))),"⚠"))</f>
        <v/>
      </c>
      <c r="BO35" t="str">
        <f>IF(CT35="","",IFERROR(IF(INDEX(CODIFICACION!$E$2:$E$500,MATCH("D9.34|"&amp;CT35,CODIFICACION!$F$2:$F$500,0))="sin dato","",INDEX(CODIFICACION!$E$2:$E$500,MATCH("D9.34|"&amp;CT35,CODIFICACION!$F$2:$F$500,0))),"⚠"))</f>
        <v/>
      </c>
      <c r="BP35" t="str">
        <f>IF(CU35="","",IFERROR(IF(INDEX(CODIFICACION!$E$2:$E$500,MATCH("D9.35|"&amp;CU35,CODIFICACION!$F$2:$F$500,0))="sin dato","",INDEX(CODIFICACION!$E$2:$E$500,MATCH("D9.35|"&amp;CU35,CODIFICACION!$F$2:$F$500,0))),"⚠"))</f>
        <v/>
      </c>
      <c r="BQ35" t="str">
        <f>IF(CV35="","",IFERROR(IF(INDEX(CODIFICACION!$E$2:$E$500,MATCH("D10.36|"&amp;CV35,CODIFICACION!$F$2:$F$500,0))="sin dato","",INDEX(CODIFICACION!$E$2:$E$500,MATCH("D10.36|"&amp;CV35,CODIFICACION!$F$2:$F$500,0))),"⚠"))</f>
        <v/>
      </c>
      <c r="BR35" t="str">
        <f>IF(CW35="","",IFERROR(IF(INDEX(CODIFICACION!$E$2:$E$500,MATCH("D10.37|"&amp;CW35,CODIFICACION!$F$2:$F$500,0))="sin dato","",INDEX(CODIFICACION!$E$2:$E$500,MATCH("D10.37|"&amp;CW35,CODIFICACION!$F$2:$F$500,0))),"⚠"))</f>
        <v/>
      </c>
      <c r="BS35" t="str">
        <f>IF(CX35="","",IFERROR(IF(INDEX(CODIFICACION!$E$2:$E$500,MATCH("D10.36a|"&amp;CX35,CODIFICACION!$F$2:$F$500,0))="sin dato","",INDEX(CODIFICACION!$E$2:$E$500,MATCH("D10.36a|"&amp;CX35,CODIFICACION!$F$2:$F$500,0))),"⚠"))</f>
        <v/>
      </c>
      <c r="BT35" t="str">
        <f t="shared" ref="BT35:BT66" si="38">IF(CY35="","",IF(ISNUMBER(SEARCH("Ninguno",CY35)),0,ROUND((LEN(CY35)-LEN(SUBSTITUTE(CY35,";",""))+1)/6*100,1)))</f>
        <v/>
      </c>
      <c r="BU35" t="str">
        <f>IF(DA35="","",IFERROR(IF(INDEX(CODIFICACION!$E$2:$E$500,MATCH("D11.39a|"&amp;DA35,CODIFICACION!$F$2:$F$500,0))="sin dato","",INDEX(CODIFICACION!$E$2:$E$500,MATCH("D11.39a|"&amp;DA35,CODIFICACION!$F$2:$F$500,0))),"⚠"))</f>
        <v/>
      </c>
      <c r="BV35" t="str">
        <f>IF(DB35="","",IFERROR(IF(INDEX(CODIFICACION!$E$2:$E$500,MATCH("D12.42|"&amp;DB35,CODIFICACION!$F$2:$F$500,0))="sin dato","",INDEX(CODIFICACION!$E$2:$E$500,MATCH("D12.42|"&amp;DB35,CODIFICACION!$F$2:$F$500,0))),"⚠"))</f>
        <v/>
      </c>
      <c r="BW35" t="str">
        <f>IF(DC35="","",IFERROR(IF(INDEX(CODIFICACION!$E$2:$E$500,MATCH("D13.45|"&amp;DC35,CODIFICACION!$F$2:$F$500,0))="sin dato","",INDEX(CODIFICACION!$E$2:$E$500,MATCH("D13.45|"&amp;DC35,CODIFICACION!$F$2:$F$500,0))),"⚠"))</f>
        <v/>
      </c>
      <c r="BX35" t="str">
        <f>IF(DD35="","",IFERROR(IF(INDEX(CODIFICACION!$E$2:$E$500,MATCH("D14.51|"&amp;DD35,CODIFICACION!$F$2:$F$500,0))="sin dato","",INDEX(CODIFICACION!$E$2:$E$500,MATCH("D14.51|"&amp;DD35,CODIFICACION!$F$2:$F$500,0))),"⚠"))</f>
        <v/>
      </c>
      <c r="BY35" t="str">
        <f>IF(DE35="","",IFERROR(IF(INDEX(CODIFICACION!$E$2:$E$500,MATCH("D15.58|"&amp;DE35,CODIFICACION!$F$2:$F$500,0))="sin dato","",INDEX(CODIFICACION!$E$2:$E$500,MATCH("D15.58|"&amp;DE35,CODIFICACION!$F$2:$F$500,0))),"⚠"))</f>
        <v/>
      </c>
      <c r="BZ35" t="str">
        <f>IF(DF35="","",IFERROR(IF(INDEX(CODIFICACION!$E$2:$E$500,MATCH("PP1|"&amp;DF35,CODIFICACION!$F$2:$F$500,0))="sin dato","",INDEX(CODIFICACION!$E$2:$E$500,MATCH("PP1|"&amp;DF35,CODIFICACION!$F$2:$F$500,0))),"⚠"))</f>
        <v/>
      </c>
      <c r="CA35" t="str">
        <f>IF(DG35="","",IFERROR(IF(INDEX(CODIFICACION!$E$2:$E$500,MATCH("PP2|"&amp;DG35,CODIFICACION!$F$2:$F$500,0))="sin dato","",INDEX(CODIFICACION!$E$2:$E$500,MATCH("PP2|"&amp;DG35,CODIFICACION!$F$2:$F$500,0))),"⚠"))</f>
        <v/>
      </c>
      <c r="CB35" t="str">
        <f t="shared" ref="CB35:CB66" si="39">IFERROR(AVERAGE(H35,I35,J35,K35),"")</f>
        <v/>
      </c>
      <c r="CC35" t="str">
        <f t="shared" ref="CC35:CC66" ca="1" si="40">IFERROR(AVERAGE(L35,M35,N35,O35,P35,Q35,R35,S35),"")</f>
        <v/>
      </c>
      <c r="CD35" t="str">
        <f t="shared" ref="CD35:CD66" ca="1" si="41">IFERROR(AVERAGE(T35,U35,V35,W35,X35,Y35,Z35,AA35,AB35,AC35,AD35,AE35,AF35),"")</f>
        <v/>
      </c>
      <c r="CE35" t="str">
        <f t="shared" ref="CE35:CE66" si="42">IFERROR(AVERAGE(AG35,AH35,AI35,AJ35),"")</f>
        <v/>
      </c>
      <c r="CF35" t="str">
        <f t="shared" ref="CF35:CF66" si="43">IFERROR(AVERAGE(D35,AK35,AL35,AM35,AN35,AO35,AP35,AQ35,AR35,AS35),"")</f>
        <v/>
      </c>
      <c r="CG35" t="str">
        <f t="shared" ref="CG35:CG66" ca="1" si="44">IFERROR(AVERAGE(AT35,AU35,AV35,BB35,AW35,AX35,AY35,AZ35,BA35),"")</f>
        <v/>
      </c>
      <c r="CH35" t="str">
        <f t="shared" ref="CH35:CH66" ca="1" si="45">IFERROR(AVERAGE(C35,E35,F35,BC35,BH35,BI35,BD35,BE35,BF35,BG35),"")</f>
        <v/>
      </c>
      <c r="CI35" t="str">
        <f t="shared" ref="CI35:CI66" si="46">IFERROR(AVERAGE(BJ35,BK35,BL35,BM35),"")</f>
        <v/>
      </c>
      <c r="CJ35" t="str">
        <f t="shared" ref="CJ35:CJ66" si="47">IFERROR(AVERAGE(G35,BN35,BO35,BP35),"")</f>
        <v/>
      </c>
      <c r="CK35" t="str">
        <f t="shared" ref="CK35:CK66" si="48">IFERROR(AVERAGE(BQ35,BS35,BR35),"")</f>
        <v/>
      </c>
      <c r="CL35" t="str">
        <f t="shared" ref="CL35:CL66" si="49">IFERROR(AVERAGE(BT35,BU35),"")</f>
        <v/>
      </c>
    </row>
    <row r="36" spans="1:90" x14ac:dyDescent="0.3">
      <c r="A36">
        <f>CAPTURA!A36</f>
        <v>20479595276</v>
      </c>
      <c r="B36">
        <f>CAPTURA!C36</f>
        <v>0</v>
      </c>
      <c r="C36" t="str">
        <f t="shared" si="25"/>
        <v/>
      </c>
      <c r="D36" t="str">
        <f>IF(AE36="","",IFERROR(IF(INDEX(CODIFICACION!$E$2:$E$500,MATCH("P8|"&amp;AE36,CODIFICACION!$F$2:$F$500,0))="sin dato","",INDEX(CODIFICACION!$E$2:$E$500,MATCH("P8|"&amp;AE36,CODIFICACION!$F$2:$F$500,0))),"⚠"))</f>
        <v/>
      </c>
      <c r="E36" t="str">
        <f>IF(AG36="","",IFERROR(IF(INDEX(CODIFICACION!$E$2:$E$500,MATCH("P10|"&amp;AG36,CODIFICACION!$F$2:$F$500,0))="sin dato","",INDEX(CODIFICACION!$E$2:$E$500,MATCH("P10|"&amp;AG36,CODIFICACION!$F$2:$F$500,0))),"⚠"))</f>
        <v/>
      </c>
      <c r="F36" t="str">
        <f>IF(AJ36="","",IFERROR(IF(INDEX(CODIFICACION!$E$2:$E$500,MATCH("P13|"&amp;AJ36,CODIFICACION!$F$2:$F$500,0))="sin dato","",INDEX(CODIFICACION!$E$2:$E$500,MATCH("P13|"&amp;AJ36,CODIFICACION!$F$2:$F$500,0))),"⚠"))</f>
        <v/>
      </c>
      <c r="G36" t="str">
        <f>IF(AK36="","",IFERROR(IF(INDEX(CODIFICACION!$E$2:$E$500,MATCH("P14|"&amp;AK36,CODIFICACION!$F$2:$F$500,0))="sin dato","",INDEX(CODIFICACION!$E$2:$E$500,MATCH("P14|"&amp;AK36,CODIFICACION!$F$2:$F$500,0))),"⚠"))</f>
        <v/>
      </c>
      <c r="H36" t="str">
        <f>IF(AL36="","",IFERROR(IF(INDEX(CODIFICACION!$E$2:$E$500,MATCH("D1.1|"&amp;AL36,CODIFICACION!$F$2:$F$500,0))="sin dato","",INDEX(CODIFICACION!$E$2:$E$500,MATCH("D1.1|"&amp;AL36,CODIFICACION!$F$2:$F$500,0))),"⚠"))</f>
        <v/>
      </c>
      <c r="I36" t="str">
        <f>IF(AN36="","",IFERROR(IF(INDEX(CODIFICACION!$E$2:$E$500,MATCH("D1.3|"&amp;AN36,CODIFICACION!$F$2:$F$500,0))="sin dato","",INDEX(CODIFICACION!$E$2:$E$500,MATCH("D1.3|"&amp;AN36,CODIFICACION!$F$2:$F$500,0))),"⚠"))</f>
        <v/>
      </c>
      <c r="J36" t="str">
        <f>IF(AO36="","",IFERROR(IF(INDEX(CODIFICACION!$E$2:$E$500,MATCH("D1.4|"&amp;AO36,CODIFICACION!$F$2:$F$500,0))="sin dato","",INDEX(CODIFICACION!$E$2:$E$500,MATCH("D1.4|"&amp;AO36,CODIFICACION!$F$2:$F$500,0))),"⚠"))</f>
        <v/>
      </c>
      <c r="K36" t="str">
        <f>IF(AP36="","",IFERROR(IF(INDEX(CODIFICACION!$E$2:$E$500,MATCH("D1.3a|"&amp;AP36,CODIFICACION!$F$2:$F$500,0))="sin dato","",INDEX(CODIFICACION!$E$2:$E$500,MATCH("D1.3a|"&amp;AP36,CODIFICACION!$F$2:$F$500,0))),"⚠"))</f>
        <v/>
      </c>
      <c r="L36" t="str">
        <f t="shared" si="26"/>
        <v/>
      </c>
      <c r="M36" t="str">
        <f t="shared" si="27"/>
        <v/>
      </c>
      <c r="N36" t="str">
        <f t="shared" si="28"/>
        <v/>
      </c>
      <c r="O36" t="str">
        <f>IF(AT36="","",IFERROR(IF(INDEX(CODIFICACION!$E$2:$E$500,MATCH("D2.8|"&amp;AT36,CODIFICACION!$F$2:$F$500,0))="sin dato","",INDEX(CODIFICACION!$E$2:$E$500,MATCH("D2.8|"&amp;AT36,CODIFICACION!$F$2:$F$500,0))),"⚠"))</f>
        <v/>
      </c>
      <c r="P36" t="str">
        <f>IF(AU36="","",IFERROR(IF(INDEX(CODIFICACION!$E$2:$E$500,MATCH("D2.9|"&amp;AU36,CODIFICACION!$F$2:$F$500,0))="sin dato","",INDEX(CODIFICACION!$E$2:$E$500,MATCH("D2.9|"&amp;AU36,CODIFICACION!$F$2:$F$500,0))),"⚠"))</f>
        <v/>
      </c>
      <c r="Q36" t="str">
        <f>IF(AV36="","",IFERROR(IF(INDEX(CODIFICACION!$E$2:$E$500,MATCH("D2.10|"&amp;AV36,CODIFICACION!$F$2:$F$500,0))="sin dato","",INDEX(CODIFICACION!$E$2:$E$500,MATCH("D2.10|"&amp;AV36,CODIFICACION!$F$2:$F$500,0))),"⚠"))</f>
        <v/>
      </c>
      <c r="R36" t="str">
        <f>IF(AW36="","",IFERROR(IF(INDEX(CODIFICACION!$E$2:$E$500,MATCH("D2.5a|"&amp;AW36,CODIFICACION!$F$2:$F$500,0))="sin dato","",INDEX(CODIFICACION!$E$2:$E$500,MATCH("D2.5a|"&amp;AW36,CODIFICACION!$F$2:$F$500,0))),"⚠"))</f>
        <v/>
      </c>
      <c r="S36" t="str">
        <f ca="1">IF(AX36="","",IFERROR(IF(INDEX(CODIFICACION!$E$2:$E$500,MATCH("D2.5b|"&amp;AX36,CODIFICACION!$F$2:$F$500,0))="sin dato","",INDEX(CODIFICACION!$E$2:$E$500,MATCH("D2.5b|"&amp;AX36,CODIFICACION!$F$2:$F$500,0))),"⚠"))</f>
        <v/>
      </c>
      <c r="T36" t="str">
        <f t="shared" ca="1" si="29"/>
        <v/>
      </c>
      <c r="U36" t="str">
        <f>IF(AZ36="","",IFERROR(IF(INDEX(CODIFICACION!$E$2:$E$500,MATCH("D3.12|"&amp;AZ36,CODIFICACION!$F$2:$F$500,0))="sin dato","",INDEX(CODIFICACION!$E$2:$E$500,MATCH("D3.12|"&amp;AZ36,CODIFICACION!$F$2:$F$500,0))),"⚠"))</f>
        <v/>
      </c>
      <c r="V36" t="str">
        <f t="shared" si="30"/>
        <v/>
      </c>
      <c r="W36" t="str">
        <f ca="1">IF(BB36="","",IFERROR(IF(INDEX(CODIFICACION!$E$2:$E$500,MATCH("D3.14|"&amp;BB36,CODIFICACION!$F$2:$F$500,0))="sin dato","",INDEX(CODIFICACION!$E$2:$E$500,MATCH("D3.14|"&amp;BB36,CODIFICACION!$F$2:$F$500,0))),"⚠"))</f>
        <v/>
      </c>
      <c r="X36" t="str">
        <f ca="1">IF(BC36="","",IFERROR(IF(INDEX(CODIFICACION!$E$2:$E$500,MATCH("D3.14a|"&amp;BC36,CODIFICACION!$F$2:$F$500,0))="sin dato","",INDEX(CODIFICACION!$E$2:$E$500,MATCH("D3.14a|"&amp;BC36,CODIFICACION!$F$2:$F$500,0))),"⚠"))</f>
        <v/>
      </c>
      <c r="Y36" t="str">
        <f>IF(BD36="","",IFERROR(IF(INDEX(CODIFICACION!$E$2:$E$500,MATCH("D3.14b|"&amp;BD36,CODIFICACION!$F$2:$F$500,0))="sin dato","",INDEX(CODIFICACION!$E$2:$E$500,MATCH("D3.14b|"&amp;BD36,CODIFICACION!$F$2:$F$500,0))),"⚠"))</f>
        <v/>
      </c>
      <c r="Z36" t="str">
        <f>IF(BE36="","",IFERROR(IF(INDEX(CODIFICACION!$E$2:$E$500,MATCH("D3.14c|"&amp;BE36,CODIFICACION!$F$2:$F$500,0))="sin dato","",INDEX(CODIFICACION!$E$2:$E$500,MATCH("D3.14c|"&amp;BE36,CODIFICACION!$F$2:$F$500,0))),"⚠"))</f>
        <v/>
      </c>
      <c r="AA36" t="str">
        <f>IF(BF36="","",IFERROR(IF(INDEX(CODIFICACION!$E$2:$E$500,MATCH("D3.14d|"&amp;BF36,CODIFICACION!$F$2:$F$500,0))="sin dato","",INDEX(CODIFICACION!$E$2:$E$500,MATCH("D3.14d|"&amp;BF36,CODIFICACION!$F$2:$F$500,0))),"⚠"))</f>
        <v/>
      </c>
      <c r="AB36" t="str">
        <f>IF(BG36="","",IFERROR(IF(INDEX(CODIFICACION!$E$2:$E$500,MATCH("D3.14e|"&amp;BG36,CODIFICACION!$F$2:$F$500,0))="sin dato","",INDEX(CODIFICACION!$E$2:$E$500,MATCH("D3.14e|"&amp;BG36,CODIFICACION!$F$2:$F$500,0))),"⚠"))</f>
        <v/>
      </c>
      <c r="AC36" t="str">
        <f>IF(BH36="","",IFERROR(IF(INDEX(CODIFICACION!$E$2:$E$500,MATCH("D3.14f|"&amp;BH36,CODIFICACION!$F$2:$F$500,0))="sin dato","",INDEX(CODIFICACION!$E$2:$E$500,MATCH("D3.14f|"&amp;BH36,CODIFICACION!$F$2:$F$500,0))),"⚠"))</f>
        <v/>
      </c>
      <c r="AD36" t="str">
        <f>IF(BI36="","",IFERROR(IF(INDEX(CODIFICACION!$E$2:$E$500,MATCH("D3.14g|"&amp;BI36,CODIFICACION!$F$2:$F$500,0))="sin dato","",INDEX(CODIFICACION!$E$2:$E$500,MATCH("D3.14g|"&amp;BI36,CODIFICACION!$F$2:$F$500,0))),"⚠"))</f>
        <v/>
      </c>
      <c r="AE36" t="str">
        <f>IF(BJ36="","",IFERROR(IF(INDEX(CODIFICACION!$E$2:$E$500,MATCH("D3.14h|"&amp;BJ36,CODIFICACION!$F$2:$F$500,0))="sin dato","",INDEX(CODIFICACION!$E$2:$E$500,MATCH("D3.14h|"&amp;BJ36,CODIFICACION!$F$2:$F$500,0))),"⚠"))</f>
        <v/>
      </c>
      <c r="AF36" t="str">
        <f>IF(BK36="","",IFERROR(IF(INDEX(CODIFICACION!$E$2:$E$500,MATCH("D3.14i|"&amp;BK36,CODIFICACION!$F$2:$F$500,0))="sin dato","",INDEX(CODIFICACION!$E$2:$E$500,MATCH("D3.14i|"&amp;BK36,CODIFICACION!$F$2:$F$500,0))),"⚠"))</f>
        <v/>
      </c>
      <c r="AG36" t="str">
        <f>IF(BL36="","",IFERROR(IF(INDEX(CODIFICACION!$E$2:$E$500,MATCH("D4.15|"&amp;BL36,CODIFICACION!$F$2:$F$500,0))="sin dato","",INDEX(CODIFICACION!$E$2:$E$500,MATCH("D4.15|"&amp;BL36,CODIFICACION!$F$2:$F$500,0))),"⚠"))</f>
        <v/>
      </c>
      <c r="AH36" t="str">
        <f t="shared" si="31"/>
        <v/>
      </c>
      <c r="AI36" t="str">
        <f>IF(BN36="","",IFERROR(IF(INDEX(CODIFICACION!$E$2:$E$500,MATCH("D4.17|"&amp;BN36,CODIFICACION!$F$2:$F$500,0))="sin dato","",INDEX(CODIFICACION!$E$2:$E$500,MATCH("D4.17|"&amp;BN36,CODIFICACION!$F$2:$F$500,0))),"⚠"))</f>
        <v/>
      </c>
      <c r="AJ36" t="str">
        <f>IF(BO36="","",IFERROR(IF(INDEX(CODIFICACION!$E$2:$E$500,MATCH("D4.15a|"&amp;BO36,CODIFICACION!$F$2:$F$500,0))="sin dato","",INDEX(CODIFICACION!$E$2:$E$500,MATCH("D4.15a|"&amp;BO36,CODIFICACION!$F$2:$F$500,0))),"⚠"))</f>
        <v/>
      </c>
      <c r="AK36" t="str">
        <f t="shared" si="32"/>
        <v/>
      </c>
      <c r="AL36" t="str">
        <f t="shared" si="33"/>
        <v/>
      </c>
      <c r="AM36" t="str">
        <f>IF(BR36="","",IFERROR(IF(INDEX(CODIFICACION!$E$2:$E$500,MATCH("D5.18b|"&amp;BR36,CODIFICACION!$F$2:$F$500,0))="sin dato","",INDEX(CODIFICACION!$E$2:$E$500,MATCH("D5.18b|"&amp;BR36,CODIFICACION!$F$2:$F$500,0))),"⚠"))</f>
        <v/>
      </c>
      <c r="AN36" t="str">
        <f>IF(BS36="","",IFERROR(IF(INDEX(CODIFICACION!$E$2:$E$500,MATCH("D5.19|"&amp;BS36,CODIFICACION!$F$2:$F$500,0))="sin dato","",INDEX(CODIFICACION!$E$2:$E$500,MATCH("D5.19|"&amp;BS36,CODIFICACION!$F$2:$F$500,0))),"⚠"))</f>
        <v/>
      </c>
      <c r="AO36" t="str">
        <f t="shared" si="34"/>
        <v/>
      </c>
      <c r="AP36" t="str">
        <f>IF(BU36="","",IFERROR(IF(INDEX(CODIFICACION!$E$2:$E$500,MATCH("D5.20|"&amp;BU36,CODIFICACION!$F$2:$F$500,0))="sin dato","",INDEX(CODIFICACION!$E$2:$E$500,MATCH("D5.20|"&amp;BU36,CODIFICACION!$F$2:$F$500,0))),"⚠"))</f>
        <v/>
      </c>
      <c r="AQ36" t="str">
        <f>IF(BV36="","",IFERROR(IF(INDEX(CODIFICACION!$E$2:$E$500,MATCH("D5.21|"&amp;BV36,CODIFICACION!$F$2:$F$500,0))="sin dato","",INDEX(CODIFICACION!$E$2:$E$500,MATCH("D5.21|"&amp;BV36,CODIFICACION!$F$2:$F$500,0))),"⚠"))</f>
        <v/>
      </c>
      <c r="AR36" t="str">
        <f>IF(BW36="","",IFERROR(IF(INDEX(CODIFICACION!$E$2:$E$500,MATCH("D5.21a|"&amp;BW36,CODIFICACION!$F$2:$F$500,0))="sin dato","",INDEX(CODIFICACION!$E$2:$E$500,MATCH("D5.21a|"&amp;BW36,CODIFICACION!$F$2:$F$500,0))),"⚠"))</f>
        <v/>
      </c>
      <c r="AS36" t="str">
        <f>IF(BX36="","",IFERROR(IF(INDEX(CODIFICACION!$E$2:$E$500,MATCH("D5.21b|"&amp;BX36,CODIFICACION!$F$2:$F$500,0))="sin dato","",INDEX(CODIFICACION!$E$2:$E$500,MATCH("D5.21b|"&amp;BX36,CODIFICACION!$F$2:$F$500,0))),"⚠"))</f>
        <v/>
      </c>
      <c r="AT36" t="str">
        <f>IF(BY36="","",IFERROR(IF(INDEX(CODIFICACION!$E$2:$E$500,MATCH("D6.22|"&amp;BY36,CODIFICACION!$F$2:$F$500,0))="sin dato","",INDEX(CODIFICACION!$E$2:$E$500,MATCH("D6.22|"&amp;BY36,CODIFICACION!$F$2:$F$500,0))),"⚠"))</f>
        <v/>
      </c>
      <c r="AU36" t="str">
        <f>IF(BZ36="","",IFERROR(IF(INDEX(CODIFICACION!$E$2:$E$500,MATCH("D6.22a|"&amp;BZ36,CODIFICACION!$F$2:$F$500,0))="sin dato","",INDEX(CODIFICACION!$E$2:$E$500,MATCH("D6.22a|"&amp;BZ36,CODIFICACION!$F$2:$F$500,0))),"⚠"))</f>
        <v/>
      </c>
      <c r="AV36" t="str">
        <f>IF(CA36="","",IFERROR(IF(INDEX(CODIFICACION!$E$2:$E$500,MATCH("D6.22b|"&amp;CA36,CODIFICACION!$F$2:$F$500,0))="sin dato","",INDEX(CODIFICACION!$E$2:$E$500,MATCH("D6.22b|"&amp;CA36,CODIFICACION!$F$2:$F$500,0))),"⚠"))</f>
        <v/>
      </c>
      <c r="AW36" t="str">
        <f>IF(CB36="","",IFERROR(IF(INDEX(CODIFICACION!$E$2:$E$500,MATCH("D6.23|"&amp;CB36,CODIFICACION!$F$2:$F$500,0))="sin dato","",INDEX(CODIFICACION!$E$2:$E$500,MATCH("D6.23|"&amp;CB36,CODIFICACION!$F$2:$F$500,0))),"⚠"))</f>
        <v/>
      </c>
      <c r="AX36" t="str">
        <f ca="1">IF(CC36="","",IFERROR(IF(INDEX(CODIFICACION!$E$2:$E$500,MATCH("D6.24|"&amp;CC36,CODIFICACION!$F$2:$F$500,0))="sin dato","",INDEX(CODIFICACION!$E$2:$E$500,MATCH("D6.24|"&amp;CC36,CODIFICACION!$F$2:$F$500,0))),"⚠"))</f>
        <v/>
      </c>
      <c r="AY36" t="str">
        <f ca="1">IF(CD36="","",IFERROR(IF(INDEX(CODIFICACION!$E$2:$E$500,MATCH("D6.25|"&amp;CD36,CODIFICACION!$F$2:$F$500,0))="sin dato","",INDEX(CODIFICACION!$E$2:$E$500,MATCH("D6.25|"&amp;CD36,CODIFICACION!$F$2:$F$500,0))),"⚠"))</f>
        <v/>
      </c>
      <c r="AZ36" t="str">
        <f>IF(CE36="","",IFERROR(IF(INDEX(CODIFICACION!$E$2:$E$500,MATCH("D6.25a|"&amp;CE36,CODIFICACION!$F$2:$F$500,0))="sin dato","",INDEX(CODIFICACION!$E$2:$E$500,MATCH("D6.25a|"&amp;CE36,CODIFICACION!$F$2:$F$500,0))),"⚠"))</f>
        <v/>
      </c>
      <c r="BA36" t="str">
        <f>IF(CF36="","",IFERROR(IF(INDEX(CODIFICACION!$E$2:$E$500,MATCH("D6.25b|"&amp;CF36,CODIFICACION!$F$2:$F$500,0))="sin dato","",INDEX(CODIFICACION!$E$2:$E$500,MATCH("D6.25b|"&amp;CF36,CODIFICACION!$F$2:$F$500,0))),"⚠"))</f>
        <v/>
      </c>
      <c r="BB36" t="str">
        <f ca="1">IF(CG36="","",IFERROR(IF(INDEX(CODIFICACION!$E$2:$E$500,MATCH("D6.22c|"&amp;CG36,CODIFICACION!$F$2:$F$500,0))="sin dato","",INDEX(CODIFICACION!$E$2:$E$500,MATCH("D6.22c|"&amp;CG36,CODIFICACION!$F$2:$F$500,0))),"⚠"))</f>
        <v/>
      </c>
      <c r="BC36" t="str">
        <f ca="1">IF(CH36="","",IFERROR(IF(INDEX(CODIFICACION!$E$2:$E$500,MATCH("D7.26|"&amp;CH36,CODIFICACION!$F$2:$F$500,0))="sin dato","",INDEX(CODIFICACION!$E$2:$E$500,MATCH("D7.26|"&amp;CH36,CODIFICACION!$F$2:$F$500,0))),"⚠"))</f>
        <v/>
      </c>
      <c r="BD36" t="str">
        <f>IF(CI36="","",IFERROR(IF(INDEX(CODIFICACION!$E$2:$E$500,MATCH("D7.27|"&amp;CI36,CODIFICACION!$F$2:$F$500,0))="sin dato","",INDEX(CODIFICACION!$E$2:$E$500,MATCH("D7.27|"&amp;CI36,CODIFICACION!$F$2:$F$500,0))),"⚠"))</f>
        <v/>
      </c>
      <c r="BE36" t="str">
        <f>IF(CJ36="","",IFERROR(IF(INDEX(CODIFICACION!$E$2:$E$500,MATCH("D7.28|"&amp;CJ36,CODIFICACION!$F$2:$F$500,0))="sin dato","",INDEX(CODIFICACION!$E$2:$E$500,MATCH("D7.28|"&amp;CJ36,CODIFICACION!$F$2:$F$500,0))),"⚠"))</f>
        <v/>
      </c>
      <c r="BF36" t="str">
        <f>IF(CK36="","",IFERROR(IF(INDEX(CODIFICACION!$E$2:$E$500,MATCH("D7.28b|"&amp;CK36,CODIFICACION!$F$2:$F$500,0))="sin dato","",INDEX(CODIFICACION!$E$2:$E$500,MATCH("D7.28b|"&amp;CK36,CODIFICACION!$F$2:$F$500,0))),"⚠"))</f>
        <v/>
      </c>
      <c r="BG36" t="str">
        <f t="shared" si="35"/>
        <v/>
      </c>
      <c r="BH36" t="str">
        <f>IF(CM36="","",IFERROR(IF(INDEX(CODIFICACION!$E$2:$E$500,MATCH("D7.26a|"&amp;CM36,CODIFICACION!$F$2:$F$500,0))="sin dato","",INDEX(CODIFICACION!$E$2:$E$500,MATCH("D7.26a|"&amp;CM36,CODIFICACION!$F$2:$F$500,0))),"⚠"))</f>
        <v/>
      </c>
      <c r="BI36" t="str">
        <f>IF(CN36="","",IFERROR(IF(INDEX(CODIFICACION!$E$2:$E$500,MATCH("D7.26b|"&amp;CN36,CODIFICACION!$F$2:$F$500,0))="sin dato","",INDEX(CODIFICACION!$E$2:$E$500,MATCH("D7.26b|"&amp;CN36,CODIFICACION!$F$2:$F$500,0))),"⚠"))</f>
        <v/>
      </c>
      <c r="BJ36" t="str">
        <f t="shared" si="36"/>
        <v/>
      </c>
      <c r="BK36" t="str">
        <f t="shared" si="37"/>
        <v/>
      </c>
      <c r="BL36" t="str">
        <f>IF(CQ36="","",IFERROR(IF(INDEX(CODIFICACION!$E$2:$E$500,MATCH("D8.31|"&amp;CQ36,CODIFICACION!$F$2:$F$500,0))="sin dato","",INDEX(CODIFICACION!$E$2:$E$500,MATCH("D8.31|"&amp;CQ36,CODIFICACION!$F$2:$F$500,0))),"⚠"))</f>
        <v/>
      </c>
      <c r="BM36" t="str">
        <f>IF(CR36="","",IFERROR(IF(INDEX(CODIFICACION!$E$2:$E$500,MATCH("D8.32|"&amp;CR36,CODIFICACION!$F$2:$F$500,0))="sin dato","",INDEX(CODIFICACION!$E$2:$E$500,MATCH("D8.32|"&amp;CR36,CODIFICACION!$F$2:$F$500,0))),"⚠"))</f>
        <v/>
      </c>
      <c r="BN36" t="str">
        <f>IF(CS36="","",IFERROR(IF(INDEX(CODIFICACION!$E$2:$E$500,MATCH("D9.33|"&amp;CS36,CODIFICACION!$F$2:$F$500,0))="sin dato","",INDEX(CODIFICACION!$E$2:$E$500,MATCH("D9.33|"&amp;CS36,CODIFICACION!$F$2:$F$500,0))),"⚠"))</f>
        <v/>
      </c>
      <c r="BO36" t="str">
        <f>IF(CT36="","",IFERROR(IF(INDEX(CODIFICACION!$E$2:$E$500,MATCH("D9.34|"&amp;CT36,CODIFICACION!$F$2:$F$500,0))="sin dato","",INDEX(CODIFICACION!$E$2:$E$500,MATCH("D9.34|"&amp;CT36,CODIFICACION!$F$2:$F$500,0))),"⚠"))</f>
        <v/>
      </c>
      <c r="BP36" t="str">
        <f>IF(CU36="","",IFERROR(IF(INDEX(CODIFICACION!$E$2:$E$500,MATCH("D9.35|"&amp;CU36,CODIFICACION!$F$2:$F$500,0))="sin dato","",INDEX(CODIFICACION!$E$2:$E$500,MATCH("D9.35|"&amp;CU36,CODIFICACION!$F$2:$F$500,0))),"⚠"))</f>
        <v/>
      </c>
      <c r="BQ36" t="str">
        <f>IF(CV36="","",IFERROR(IF(INDEX(CODIFICACION!$E$2:$E$500,MATCH("D10.36|"&amp;CV36,CODIFICACION!$F$2:$F$500,0))="sin dato","",INDEX(CODIFICACION!$E$2:$E$500,MATCH("D10.36|"&amp;CV36,CODIFICACION!$F$2:$F$500,0))),"⚠"))</f>
        <v/>
      </c>
      <c r="BR36" t="str">
        <f>IF(CW36="","",IFERROR(IF(INDEX(CODIFICACION!$E$2:$E$500,MATCH("D10.37|"&amp;CW36,CODIFICACION!$F$2:$F$500,0))="sin dato","",INDEX(CODIFICACION!$E$2:$E$500,MATCH("D10.37|"&amp;CW36,CODIFICACION!$F$2:$F$500,0))),"⚠"))</f>
        <v/>
      </c>
      <c r="BS36" t="str">
        <f>IF(CX36="","",IFERROR(IF(INDEX(CODIFICACION!$E$2:$E$500,MATCH("D10.36a|"&amp;CX36,CODIFICACION!$F$2:$F$500,0))="sin dato","",INDEX(CODIFICACION!$E$2:$E$500,MATCH("D10.36a|"&amp;CX36,CODIFICACION!$F$2:$F$500,0))),"⚠"))</f>
        <v/>
      </c>
      <c r="BT36" t="str">
        <f t="shared" si="38"/>
        <v/>
      </c>
      <c r="BU36" t="str">
        <f>IF(DA36="","",IFERROR(IF(INDEX(CODIFICACION!$E$2:$E$500,MATCH("D11.39a|"&amp;DA36,CODIFICACION!$F$2:$F$500,0))="sin dato","",INDEX(CODIFICACION!$E$2:$E$500,MATCH("D11.39a|"&amp;DA36,CODIFICACION!$F$2:$F$500,0))),"⚠"))</f>
        <v/>
      </c>
      <c r="BV36" t="str">
        <f>IF(DB36="","",IFERROR(IF(INDEX(CODIFICACION!$E$2:$E$500,MATCH("D12.42|"&amp;DB36,CODIFICACION!$F$2:$F$500,0))="sin dato","",INDEX(CODIFICACION!$E$2:$E$500,MATCH("D12.42|"&amp;DB36,CODIFICACION!$F$2:$F$500,0))),"⚠"))</f>
        <v/>
      </c>
      <c r="BW36" t="str">
        <f>IF(DC36="","",IFERROR(IF(INDEX(CODIFICACION!$E$2:$E$500,MATCH("D13.45|"&amp;DC36,CODIFICACION!$F$2:$F$500,0))="sin dato","",INDEX(CODIFICACION!$E$2:$E$500,MATCH("D13.45|"&amp;DC36,CODIFICACION!$F$2:$F$500,0))),"⚠"))</f>
        <v/>
      </c>
      <c r="BX36" t="str">
        <f>IF(DD36="","",IFERROR(IF(INDEX(CODIFICACION!$E$2:$E$500,MATCH("D14.51|"&amp;DD36,CODIFICACION!$F$2:$F$500,0))="sin dato","",INDEX(CODIFICACION!$E$2:$E$500,MATCH("D14.51|"&amp;DD36,CODIFICACION!$F$2:$F$500,0))),"⚠"))</f>
        <v/>
      </c>
      <c r="BY36" t="str">
        <f>IF(DE36="","",IFERROR(IF(INDEX(CODIFICACION!$E$2:$E$500,MATCH("D15.58|"&amp;DE36,CODIFICACION!$F$2:$F$500,0))="sin dato","",INDEX(CODIFICACION!$E$2:$E$500,MATCH("D15.58|"&amp;DE36,CODIFICACION!$F$2:$F$500,0))),"⚠"))</f>
        <v/>
      </c>
      <c r="BZ36" t="str">
        <f>IF(DF36="","",IFERROR(IF(INDEX(CODIFICACION!$E$2:$E$500,MATCH("PP1|"&amp;DF36,CODIFICACION!$F$2:$F$500,0))="sin dato","",INDEX(CODIFICACION!$E$2:$E$500,MATCH("PP1|"&amp;DF36,CODIFICACION!$F$2:$F$500,0))),"⚠"))</f>
        <v/>
      </c>
      <c r="CA36" t="str">
        <f>IF(DG36="","",IFERROR(IF(INDEX(CODIFICACION!$E$2:$E$500,MATCH("PP2|"&amp;DG36,CODIFICACION!$F$2:$F$500,0))="sin dato","",INDEX(CODIFICACION!$E$2:$E$500,MATCH("PP2|"&amp;DG36,CODIFICACION!$F$2:$F$500,0))),"⚠"))</f>
        <v/>
      </c>
      <c r="CB36" t="str">
        <f t="shared" si="39"/>
        <v/>
      </c>
      <c r="CC36" t="str">
        <f t="shared" ca="1" si="40"/>
        <v/>
      </c>
      <c r="CD36" t="str">
        <f t="shared" ca="1" si="41"/>
        <v/>
      </c>
      <c r="CE36" t="str">
        <f t="shared" si="42"/>
        <v/>
      </c>
      <c r="CF36" t="str">
        <f t="shared" si="43"/>
        <v/>
      </c>
      <c r="CG36" t="str">
        <f t="shared" ca="1" si="44"/>
        <v/>
      </c>
      <c r="CH36" t="str">
        <f t="shared" ca="1" si="45"/>
        <v/>
      </c>
      <c r="CI36" t="str">
        <f t="shared" si="46"/>
        <v/>
      </c>
      <c r="CJ36" t="str">
        <f t="shared" si="47"/>
        <v/>
      </c>
      <c r="CK36" t="str">
        <f t="shared" si="48"/>
        <v/>
      </c>
      <c r="CL36" t="str">
        <f t="shared" si="49"/>
        <v/>
      </c>
    </row>
    <row r="37" spans="1:90" x14ac:dyDescent="0.3">
      <c r="A37">
        <f>CAPTURA!A37</f>
        <v>20479622699</v>
      </c>
      <c r="B37">
        <f>CAPTURA!C37</f>
        <v>0</v>
      </c>
      <c r="C37" t="str">
        <f t="shared" si="25"/>
        <v/>
      </c>
      <c r="D37" t="str">
        <f>IF(AE37="","",IFERROR(IF(INDEX(CODIFICACION!$E$2:$E$500,MATCH("P8|"&amp;AE37,CODIFICACION!$F$2:$F$500,0))="sin dato","",INDEX(CODIFICACION!$E$2:$E$500,MATCH("P8|"&amp;AE37,CODIFICACION!$F$2:$F$500,0))),"⚠"))</f>
        <v/>
      </c>
      <c r="E37" t="str">
        <f>IF(AG37="","",IFERROR(IF(INDEX(CODIFICACION!$E$2:$E$500,MATCH("P10|"&amp;AG37,CODIFICACION!$F$2:$F$500,0))="sin dato","",INDEX(CODIFICACION!$E$2:$E$500,MATCH("P10|"&amp;AG37,CODIFICACION!$F$2:$F$500,0))),"⚠"))</f>
        <v/>
      </c>
      <c r="F37" t="str">
        <f>IF(AJ37="","",IFERROR(IF(INDEX(CODIFICACION!$E$2:$E$500,MATCH("P13|"&amp;AJ37,CODIFICACION!$F$2:$F$500,0))="sin dato","",INDEX(CODIFICACION!$E$2:$E$500,MATCH("P13|"&amp;AJ37,CODIFICACION!$F$2:$F$500,0))),"⚠"))</f>
        <v/>
      </c>
      <c r="G37" t="str">
        <f>IF(AK37="","",IFERROR(IF(INDEX(CODIFICACION!$E$2:$E$500,MATCH("P14|"&amp;AK37,CODIFICACION!$F$2:$F$500,0))="sin dato","",INDEX(CODIFICACION!$E$2:$E$500,MATCH("P14|"&amp;AK37,CODIFICACION!$F$2:$F$500,0))),"⚠"))</f>
        <v/>
      </c>
      <c r="H37" t="str">
        <f>IF(AL37="","",IFERROR(IF(INDEX(CODIFICACION!$E$2:$E$500,MATCH("D1.1|"&amp;AL37,CODIFICACION!$F$2:$F$500,0))="sin dato","",INDEX(CODIFICACION!$E$2:$E$500,MATCH("D1.1|"&amp;AL37,CODIFICACION!$F$2:$F$500,0))),"⚠"))</f>
        <v/>
      </c>
      <c r="I37" t="str">
        <f>IF(AN37="","",IFERROR(IF(INDEX(CODIFICACION!$E$2:$E$500,MATCH("D1.3|"&amp;AN37,CODIFICACION!$F$2:$F$500,0))="sin dato","",INDEX(CODIFICACION!$E$2:$E$500,MATCH("D1.3|"&amp;AN37,CODIFICACION!$F$2:$F$500,0))),"⚠"))</f>
        <v/>
      </c>
      <c r="J37" t="str">
        <f>IF(AO37="","",IFERROR(IF(INDEX(CODIFICACION!$E$2:$E$500,MATCH("D1.4|"&amp;AO37,CODIFICACION!$F$2:$F$500,0))="sin dato","",INDEX(CODIFICACION!$E$2:$E$500,MATCH("D1.4|"&amp;AO37,CODIFICACION!$F$2:$F$500,0))),"⚠"))</f>
        <v/>
      </c>
      <c r="K37" t="str">
        <f>IF(AP37="","",IFERROR(IF(INDEX(CODIFICACION!$E$2:$E$500,MATCH("D1.3a|"&amp;AP37,CODIFICACION!$F$2:$F$500,0))="sin dato","",INDEX(CODIFICACION!$E$2:$E$500,MATCH("D1.3a|"&amp;AP37,CODIFICACION!$F$2:$F$500,0))),"⚠"))</f>
        <v/>
      </c>
      <c r="L37" t="str">
        <f t="shared" si="26"/>
        <v/>
      </c>
      <c r="M37" t="str">
        <f t="shared" si="27"/>
        <v/>
      </c>
      <c r="N37" t="str">
        <f t="shared" si="28"/>
        <v/>
      </c>
      <c r="O37" t="str">
        <f>IF(AT37="","",IFERROR(IF(INDEX(CODIFICACION!$E$2:$E$500,MATCH("D2.8|"&amp;AT37,CODIFICACION!$F$2:$F$500,0))="sin dato","",INDEX(CODIFICACION!$E$2:$E$500,MATCH("D2.8|"&amp;AT37,CODIFICACION!$F$2:$F$500,0))),"⚠"))</f>
        <v/>
      </c>
      <c r="P37" t="str">
        <f>IF(AU37="","",IFERROR(IF(INDEX(CODIFICACION!$E$2:$E$500,MATCH("D2.9|"&amp;AU37,CODIFICACION!$F$2:$F$500,0))="sin dato","",INDEX(CODIFICACION!$E$2:$E$500,MATCH("D2.9|"&amp;AU37,CODIFICACION!$F$2:$F$500,0))),"⚠"))</f>
        <v/>
      </c>
      <c r="Q37" t="str">
        <f>IF(AV37="","",IFERROR(IF(INDEX(CODIFICACION!$E$2:$E$500,MATCH("D2.10|"&amp;AV37,CODIFICACION!$F$2:$F$500,0))="sin dato","",INDEX(CODIFICACION!$E$2:$E$500,MATCH("D2.10|"&amp;AV37,CODIFICACION!$F$2:$F$500,0))),"⚠"))</f>
        <v/>
      </c>
      <c r="R37" t="str">
        <f>IF(AW37="","",IFERROR(IF(INDEX(CODIFICACION!$E$2:$E$500,MATCH("D2.5a|"&amp;AW37,CODIFICACION!$F$2:$F$500,0))="sin dato","",INDEX(CODIFICACION!$E$2:$E$500,MATCH("D2.5a|"&amp;AW37,CODIFICACION!$F$2:$F$500,0))),"⚠"))</f>
        <v/>
      </c>
      <c r="S37" t="str">
        <f ca="1">IF(AX37="","",IFERROR(IF(INDEX(CODIFICACION!$E$2:$E$500,MATCH("D2.5b|"&amp;AX37,CODIFICACION!$F$2:$F$500,0))="sin dato","",INDEX(CODIFICACION!$E$2:$E$500,MATCH("D2.5b|"&amp;AX37,CODIFICACION!$F$2:$F$500,0))),"⚠"))</f>
        <v/>
      </c>
      <c r="T37" t="str">
        <f t="shared" ca="1" si="29"/>
        <v/>
      </c>
      <c r="U37" t="str">
        <f>IF(AZ37="","",IFERROR(IF(INDEX(CODIFICACION!$E$2:$E$500,MATCH("D3.12|"&amp;AZ37,CODIFICACION!$F$2:$F$500,0))="sin dato","",INDEX(CODIFICACION!$E$2:$E$500,MATCH("D3.12|"&amp;AZ37,CODIFICACION!$F$2:$F$500,0))),"⚠"))</f>
        <v/>
      </c>
      <c r="V37" t="str">
        <f t="shared" si="30"/>
        <v/>
      </c>
      <c r="W37" t="str">
        <f ca="1">IF(BB37="","",IFERROR(IF(INDEX(CODIFICACION!$E$2:$E$500,MATCH("D3.14|"&amp;BB37,CODIFICACION!$F$2:$F$500,0))="sin dato","",INDEX(CODIFICACION!$E$2:$E$500,MATCH("D3.14|"&amp;BB37,CODIFICACION!$F$2:$F$500,0))),"⚠"))</f>
        <v/>
      </c>
      <c r="X37" t="str">
        <f ca="1">IF(BC37="","",IFERROR(IF(INDEX(CODIFICACION!$E$2:$E$500,MATCH("D3.14a|"&amp;BC37,CODIFICACION!$F$2:$F$500,0))="sin dato","",INDEX(CODIFICACION!$E$2:$E$500,MATCH("D3.14a|"&amp;BC37,CODIFICACION!$F$2:$F$500,0))),"⚠"))</f>
        <v/>
      </c>
      <c r="Y37" t="str">
        <f>IF(BD37="","",IFERROR(IF(INDEX(CODIFICACION!$E$2:$E$500,MATCH("D3.14b|"&amp;BD37,CODIFICACION!$F$2:$F$500,0))="sin dato","",INDEX(CODIFICACION!$E$2:$E$500,MATCH("D3.14b|"&amp;BD37,CODIFICACION!$F$2:$F$500,0))),"⚠"))</f>
        <v/>
      </c>
      <c r="Z37" t="str">
        <f>IF(BE37="","",IFERROR(IF(INDEX(CODIFICACION!$E$2:$E$500,MATCH("D3.14c|"&amp;BE37,CODIFICACION!$F$2:$F$500,0))="sin dato","",INDEX(CODIFICACION!$E$2:$E$500,MATCH("D3.14c|"&amp;BE37,CODIFICACION!$F$2:$F$500,0))),"⚠"))</f>
        <v/>
      </c>
      <c r="AA37" t="str">
        <f>IF(BF37="","",IFERROR(IF(INDEX(CODIFICACION!$E$2:$E$500,MATCH("D3.14d|"&amp;BF37,CODIFICACION!$F$2:$F$500,0))="sin dato","",INDEX(CODIFICACION!$E$2:$E$500,MATCH("D3.14d|"&amp;BF37,CODIFICACION!$F$2:$F$500,0))),"⚠"))</f>
        <v/>
      </c>
      <c r="AB37" t="str">
        <f>IF(BG37="","",IFERROR(IF(INDEX(CODIFICACION!$E$2:$E$500,MATCH("D3.14e|"&amp;BG37,CODIFICACION!$F$2:$F$500,0))="sin dato","",INDEX(CODIFICACION!$E$2:$E$500,MATCH("D3.14e|"&amp;BG37,CODIFICACION!$F$2:$F$500,0))),"⚠"))</f>
        <v/>
      </c>
      <c r="AC37" t="str">
        <f>IF(BH37="","",IFERROR(IF(INDEX(CODIFICACION!$E$2:$E$500,MATCH("D3.14f|"&amp;BH37,CODIFICACION!$F$2:$F$500,0))="sin dato","",INDEX(CODIFICACION!$E$2:$E$500,MATCH("D3.14f|"&amp;BH37,CODIFICACION!$F$2:$F$500,0))),"⚠"))</f>
        <v/>
      </c>
      <c r="AD37" t="str">
        <f>IF(BI37="","",IFERROR(IF(INDEX(CODIFICACION!$E$2:$E$500,MATCH("D3.14g|"&amp;BI37,CODIFICACION!$F$2:$F$500,0))="sin dato","",INDEX(CODIFICACION!$E$2:$E$500,MATCH("D3.14g|"&amp;BI37,CODIFICACION!$F$2:$F$500,0))),"⚠"))</f>
        <v/>
      </c>
      <c r="AE37" t="str">
        <f>IF(BJ37="","",IFERROR(IF(INDEX(CODIFICACION!$E$2:$E$500,MATCH("D3.14h|"&amp;BJ37,CODIFICACION!$F$2:$F$500,0))="sin dato","",INDEX(CODIFICACION!$E$2:$E$500,MATCH("D3.14h|"&amp;BJ37,CODIFICACION!$F$2:$F$500,0))),"⚠"))</f>
        <v/>
      </c>
      <c r="AF37" t="str">
        <f>IF(BK37="","",IFERROR(IF(INDEX(CODIFICACION!$E$2:$E$500,MATCH("D3.14i|"&amp;BK37,CODIFICACION!$F$2:$F$500,0))="sin dato","",INDEX(CODIFICACION!$E$2:$E$500,MATCH("D3.14i|"&amp;BK37,CODIFICACION!$F$2:$F$500,0))),"⚠"))</f>
        <v/>
      </c>
      <c r="AG37" t="str">
        <f>IF(BL37="","",IFERROR(IF(INDEX(CODIFICACION!$E$2:$E$500,MATCH("D4.15|"&amp;BL37,CODIFICACION!$F$2:$F$500,0))="sin dato","",INDEX(CODIFICACION!$E$2:$E$500,MATCH("D4.15|"&amp;BL37,CODIFICACION!$F$2:$F$500,0))),"⚠"))</f>
        <v/>
      </c>
      <c r="AH37" t="str">
        <f t="shared" si="31"/>
        <v/>
      </c>
      <c r="AI37" t="str">
        <f>IF(BN37="","",IFERROR(IF(INDEX(CODIFICACION!$E$2:$E$500,MATCH("D4.17|"&amp;BN37,CODIFICACION!$F$2:$F$500,0))="sin dato","",INDEX(CODIFICACION!$E$2:$E$500,MATCH("D4.17|"&amp;BN37,CODIFICACION!$F$2:$F$500,0))),"⚠"))</f>
        <v/>
      </c>
      <c r="AJ37" t="str">
        <f>IF(BO37="","",IFERROR(IF(INDEX(CODIFICACION!$E$2:$E$500,MATCH("D4.15a|"&amp;BO37,CODIFICACION!$F$2:$F$500,0))="sin dato","",INDEX(CODIFICACION!$E$2:$E$500,MATCH("D4.15a|"&amp;BO37,CODIFICACION!$F$2:$F$500,0))),"⚠"))</f>
        <v/>
      </c>
      <c r="AK37" t="str">
        <f t="shared" si="32"/>
        <v/>
      </c>
      <c r="AL37" t="str">
        <f t="shared" si="33"/>
        <v/>
      </c>
      <c r="AM37" t="str">
        <f>IF(BR37="","",IFERROR(IF(INDEX(CODIFICACION!$E$2:$E$500,MATCH("D5.18b|"&amp;BR37,CODIFICACION!$F$2:$F$500,0))="sin dato","",INDEX(CODIFICACION!$E$2:$E$500,MATCH("D5.18b|"&amp;BR37,CODIFICACION!$F$2:$F$500,0))),"⚠"))</f>
        <v/>
      </c>
      <c r="AN37" t="str">
        <f>IF(BS37="","",IFERROR(IF(INDEX(CODIFICACION!$E$2:$E$500,MATCH("D5.19|"&amp;BS37,CODIFICACION!$F$2:$F$500,0))="sin dato","",INDEX(CODIFICACION!$E$2:$E$500,MATCH("D5.19|"&amp;BS37,CODIFICACION!$F$2:$F$500,0))),"⚠"))</f>
        <v/>
      </c>
      <c r="AO37" t="str">
        <f t="shared" si="34"/>
        <v/>
      </c>
      <c r="AP37" t="str">
        <f>IF(BU37="","",IFERROR(IF(INDEX(CODIFICACION!$E$2:$E$500,MATCH("D5.20|"&amp;BU37,CODIFICACION!$F$2:$F$500,0))="sin dato","",INDEX(CODIFICACION!$E$2:$E$500,MATCH("D5.20|"&amp;BU37,CODIFICACION!$F$2:$F$500,0))),"⚠"))</f>
        <v/>
      </c>
      <c r="AQ37" t="str">
        <f>IF(BV37="","",IFERROR(IF(INDEX(CODIFICACION!$E$2:$E$500,MATCH("D5.21|"&amp;BV37,CODIFICACION!$F$2:$F$500,0))="sin dato","",INDEX(CODIFICACION!$E$2:$E$500,MATCH("D5.21|"&amp;BV37,CODIFICACION!$F$2:$F$500,0))),"⚠"))</f>
        <v/>
      </c>
      <c r="AR37" t="str">
        <f>IF(BW37="","",IFERROR(IF(INDEX(CODIFICACION!$E$2:$E$500,MATCH("D5.21a|"&amp;BW37,CODIFICACION!$F$2:$F$500,0))="sin dato","",INDEX(CODIFICACION!$E$2:$E$500,MATCH("D5.21a|"&amp;BW37,CODIFICACION!$F$2:$F$500,0))),"⚠"))</f>
        <v/>
      </c>
      <c r="AS37" t="str">
        <f>IF(BX37="","",IFERROR(IF(INDEX(CODIFICACION!$E$2:$E$500,MATCH("D5.21b|"&amp;BX37,CODIFICACION!$F$2:$F$500,0))="sin dato","",INDEX(CODIFICACION!$E$2:$E$500,MATCH("D5.21b|"&amp;BX37,CODIFICACION!$F$2:$F$500,0))),"⚠"))</f>
        <v/>
      </c>
      <c r="AT37" t="str">
        <f>IF(BY37="","",IFERROR(IF(INDEX(CODIFICACION!$E$2:$E$500,MATCH("D6.22|"&amp;BY37,CODIFICACION!$F$2:$F$500,0))="sin dato","",INDEX(CODIFICACION!$E$2:$E$500,MATCH("D6.22|"&amp;BY37,CODIFICACION!$F$2:$F$500,0))),"⚠"))</f>
        <v/>
      </c>
      <c r="AU37" t="str">
        <f>IF(BZ37="","",IFERROR(IF(INDEX(CODIFICACION!$E$2:$E$500,MATCH("D6.22a|"&amp;BZ37,CODIFICACION!$F$2:$F$500,0))="sin dato","",INDEX(CODIFICACION!$E$2:$E$500,MATCH("D6.22a|"&amp;BZ37,CODIFICACION!$F$2:$F$500,0))),"⚠"))</f>
        <v/>
      </c>
      <c r="AV37" t="str">
        <f>IF(CA37="","",IFERROR(IF(INDEX(CODIFICACION!$E$2:$E$500,MATCH("D6.22b|"&amp;CA37,CODIFICACION!$F$2:$F$500,0))="sin dato","",INDEX(CODIFICACION!$E$2:$E$500,MATCH("D6.22b|"&amp;CA37,CODIFICACION!$F$2:$F$500,0))),"⚠"))</f>
        <v/>
      </c>
      <c r="AW37" t="str">
        <f>IF(CB37="","",IFERROR(IF(INDEX(CODIFICACION!$E$2:$E$500,MATCH("D6.23|"&amp;CB37,CODIFICACION!$F$2:$F$500,0))="sin dato","",INDEX(CODIFICACION!$E$2:$E$500,MATCH("D6.23|"&amp;CB37,CODIFICACION!$F$2:$F$500,0))),"⚠"))</f>
        <v/>
      </c>
      <c r="AX37" t="str">
        <f ca="1">IF(CC37="","",IFERROR(IF(INDEX(CODIFICACION!$E$2:$E$500,MATCH("D6.24|"&amp;CC37,CODIFICACION!$F$2:$F$500,0))="sin dato","",INDEX(CODIFICACION!$E$2:$E$500,MATCH("D6.24|"&amp;CC37,CODIFICACION!$F$2:$F$500,0))),"⚠"))</f>
        <v/>
      </c>
      <c r="AY37" t="str">
        <f ca="1">IF(CD37="","",IFERROR(IF(INDEX(CODIFICACION!$E$2:$E$500,MATCH("D6.25|"&amp;CD37,CODIFICACION!$F$2:$F$500,0))="sin dato","",INDEX(CODIFICACION!$E$2:$E$500,MATCH("D6.25|"&amp;CD37,CODIFICACION!$F$2:$F$500,0))),"⚠"))</f>
        <v/>
      </c>
      <c r="AZ37" t="str">
        <f>IF(CE37="","",IFERROR(IF(INDEX(CODIFICACION!$E$2:$E$500,MATCH("D6.25a|"&amp;CE37,CODIFICACION!$F$2:$F$500,0))="sin dato","",INDEX(CODIFICACION!$E$2:$E$500,MATCH("D6.25a|"&amp;CE37,CODIFICACION!$F$2:$F$500,0))),"⚠"))</f>
        <v/>
      </c>
      <c r="BA37" t="str">
        <f>IF(CF37="","",IFERROR(IF(INDEX(CODIFICACION!$E$2:$E$500,MATCH("D6.25b|"&amp;CF37,CODIFICACION!$F$2:$F$500,0))="sin dato","",INDEX(CODIFICACION!$E$2:$E$500,MATCH("D6.25b|"&amp;CF37,CODIFICACION!$F$2:$F$500,0))),"⚠"))</f>
        <v/>
      </c>
      <c r="BB37" t="str">
        <f ca="1">IF(CG37="","",IFERROR(IF(INDEX(CODIFICACION!$E$2:$E$500,MATCH("D6.22c|"&amp;CG37,CODIFICACION!$F$2:$F$500,0))="sin dato","",INDEX(CODIFICACION!$E$2:$E$500,MATCH("D6.22c|"&amp;CG37,CODIFICACION!$F$2:$F$500,0))),"⚠"))</f>
        <v/>
      </c>
      <c r="BC37" t="str">
        <f ca="1">IF(CH37="","",IFERROR(IF(INDEX(CODIFICACION!$E$2:$E$500,MATCH("D7.26|"&amp;CH37,CODIFICACION!$F$2:$F$500,0))="sin dato","",INDEX(CODIFICACION!$E$2:$E$500,MATCH("D7.26|"&amp;CH37,CODIFICACION!$F$2:$F$500,0))),"⚠"))</f>
        <v/>
      </c>
      <c r="BD37" t="str">
        <f>IF(CI37="","",IFERROR(IF(INDEX(CODIFICACION!$E$2:$E$500,MATCH("D7.27|"&amp;CI37,CODIFICACION!$F$2:$F$500,0))="sin dato","",INDEX(CODIFICACION!$E$2:$E$500,MATCH("D7.27|"&amp;CI37,CODIFICACION!$F$2:$F$500,0))),"⚠"))</f>
        <v/>
      </c>
      <c r="BE37" t="str">
        <f>IF(CJ37="","",IFERROR(IF(INDEX(CODIFICACION!$E$2:$E$500,MATCH("D7.28|"&amp;CJ37,CODIFICACION!$F$2:$F$500,0))="sin dato","",INDEX(CODIFICACION!$E$2:$E$500,MATCH("D7.28|"&amp;CJ37,CODIFICACION!$F$2:$F$500,0))),"⚠"))</f>
        <v/>
      </c>
      <c r="BF37" t="str">
        <f>IF(CK37="","",IFERROR(IF(INDEX(CODIFICACION!$E$2:$E$500,MATCH("D7.28b|"&amp;CK37,CODIFICACION!$F$2:$F$500,0))="sin dato","",INDEX(CODIFICACION!$E$2:$E$500,MATCH("D7.28b|"&amp;CK37,CODIFICACION!$F$2:$F$500,0))),"⚠"))</f>
        <v/>
      </c>
      <c r="BG37" t="str">
        <f t="shared" si="35"/>
        <v/>
      </c>
      <c r="BH37" t="str">
        <f>IF(CM37="","",IFERROR(IF(INDEX(CODIFICACION!$E$2:$E$500,MATCH("D7.26a|"&amp;CM37,CODIFICACION!$F$2:$F$500,0))="sin dato","",INDEX(CODIFICACION!$E$2:$E$500,MATCH("D7.26a|"&amp;CM37,CODIFICACION!$F$2:$F$500,0))),"⚠"))</f>
        <v/>
      </c>
      <c r="BI37" t="str">
        <f>IF(CN37="","",IFERROR(IF(INDEX(CODIFICACION!$E$2:$E$500,MATCH("D7.26b|"&amp;CN37,CODIFICACION!$F$2:$F$500,0))="sin dato","",INDEX(CODIFICACION!$E$2:$E$500,MATCH("D7.26b|"&amp;CN37,CODIFICACION!$F$2:$F$500,0))),"⚠"))</f>
        <v/>
      </c>
      <c r="BJ37" t="str">
        <f t="shared" si="36"/>
        <v/>
      </c>
      <c r="BK37" t="str">
        <f t="shared" si="37"/>
        <v/>
      </c>
      <c r="BL37" t="str">
        <f>IF(CQ37="","",IFERROR(IF(INDEX(CODIFICACION!$E$2:$E$500,MATCH("D8.31|"&amp;CQ37,CODIFICACION!$F$2:$F$500,0))="sin dato","",INDEX(CODIFICACION!$E$2:$E$500,MATCH("D8.31|"&amp;CQ37,CODIFICACION!$F$2:$F$500,0))),"⚠"))</f>
        <v/>
      </c>
      <c r="BM37" t="str">
        <f>IF(CR37="","",IFERROR(IF(INDEX(CODIFICACION!$E$2:$E$500,MATCH("D8.32|"&amp;CR37,CODIFICACION!$F$2:$F$500,0))="sin dato","",INDEX(CODIFICACION!$E$2:$E$500,MATCH("D8.32|"&amp;CR37,CODIFICACION!$F$2:$F$500,0))),"⚠"))</f>
        <v/>
      </c>
      <c r="BN37" t="str">
        <f>IF(CS37="","",IFERROR(IF(INDEX(CODIFICACION!$E$2:$E$500,MATCH("D9.33|"&amp;CS37,CODIFICACION!$F$2:$F$500,0))="sin dato","",INDEX(CODIFICACION!$E$2:$E$500,MATCH("D9.33|"&amp;CS37,CODIFICACION!$F$2:$F$500,0))),"⚠"))</f>
        <v/>
      </c>
      <c r="BO37" t="str">
        <f>IF(CT37="","",IFERROR(IF(INDEX(CODIFICACION!$E$2:$E$500,MATCH("D9.34|"&amp;CT37,CODIFICACION!$F$2:$F$500,0))="sin dato","",INDEX(CODIFICACION!$E$2:$E$500,MATCH("D9.34|"&amp;CT37,CODIFICACION!$F$2:$F$500,0))),"⚠"))</f>
        <v/>
      </c>
      <c r="BP37" t="str">
        <f>IF(CU37="","",IFERROR(IF(INDEX(CODIFICACION!$E$2:$E$500,MATCH("D9.35|"&amp;CU37,CODIFICACION!$F$2:$F$500,0))="sin dato","",INDEX(CODIFICACION!$E$2:$E$500,MATCH("D9.35|"&amp;CU37,CODIFICACION!$F$2:$F$500,0))),"⚠"))</f>
        <v/>
      </c>
      <c r="BQ37" t="str">
        <f>IF(CV37="","",IFERROR(IF(INDEX(CODIFICACION!$E$2:$E$500,MATCH("D10.36|"&amp;CV37,CODIFICACION!$F$2:$F$500,0))="sin dato","",INDEX(CODIFICACION!$E$2:$E$500,MATCH("D10.36|"&amp;CV37,CODIFICACION!$F$2:$F$500,0))),"⚠"))</f>
        <v/>
      </c>
      <c r="BR37" t="str">
        <f>IF(CW37="","",IFERROR(IF(INDEX(CODIFICACION!$E$2:$E$500,MATCH("D10.37|"&amp;CW37,CODIFICACION!$F$2:$F$500,0))="sin dato","",INDEX(CODIFICACION!$E$2:$E$500,MATCH("D10.37|"&amp;CW37,CODIFICACION!$F$2:$F$500,0))),"⚠"))</f>
        <v/>
      </c>
      <c r="BS37" t="str">
        <f>IF(CX37="","",IFERROR(IF(INDEX(CODIFICACION!$E$2:$E$500,MATCH("D10.36a|"&amp;CX37,CODIFICACION!$F$2:$F$500,0))="sin dato","",INDEX(CODIFICACION!$E$2:$E$500,MATCH("D10.36a|"&amp;CX37,CODIFICACION!$F$2:$F$500,0))),"⚠"))</f>
        <v/>
      </c>
      <c r="BT37" t="str">
        <f t="shared" si="38"/>
        <v/>
      </c>
      <c r="BU37" t="str">
        <f>IF(DA37="","",IFERROR(IF(INDEX(CODIFICACION!$E$2:$E$500,MATCH("D11.39a|"&amp;DA37,CODIFICACION!$F$2:$F$500,0))="sin dato","",INDEX(CODIFICACION!$E$2:$E$500,MATCH("D11.39a|"&amp;DA37,CODIFICACION!$F$2:$F$500,0))),"⚠"))</f>
        <v/>
      </c>
      <c r="BV37" t="str">
        <f>IF(DB37="","",IFERROR(IF(INDEX(CODIFICACION!$E$2:$E$500,MATCH("D12.42|"&amp;DB37,CODIFICACION!$F$2:$F$500,0))="sin dato","",INDEX(CODIFICACION!$E$2:$E$500,MATCH("D12.42|"&amp;DB37,CODIFICACION!$F$2:$F$500,0))),"⚠"))</f>
        <v/>
      </c>
      <c r="BW37" t="str">
        <f>IF(DC37="","",IFERROR(IF(INDEX(CODIFICACION!$E$2:$E$500,MATCH("D13.45|"&amp;DC37,CODIFICACION!$F$2:$F$500,0))="sin dato","",INDEX(CODIFICACION!$E$2:$E$500,MATCH("D13.45|"&amp;DC37,CODIFICACION!$F$2:$F$500,0))),"⚠"))</f>
        <v/>
      </c>
      <c r="BX37" t="str">
        <f>IF(DD37="","",IFERROR(IF(INDEX(CODIFICACION!$E$2:$E$500,MATCH("D14.51|"&amp;DD37,CODIFICACION!$F$2:$F$500,0))="sin dato","",INDEX(CODIFICACION!$E$2:$E$500,MATCH("D14.51|"&amp;DD37,CODIFICACION!$F$2:$F$500,0))),"⚠"))</f>
        <v/>
      </c>
      <c r="BY37" t="str">
        <f>IF(DE37="","",IFERROR(IF(INDEX(CODIFICACION!$E$2:$E$500,MATCH("D15.58|"&amp;DE37,CODIFICACION!$F$2:$F$500,0))="sin dato","",INDEX(CODIFICACION!$E$2:$E$500,MATCH("D15.58|"&amp;DE37,CODIFICACION!$F$2:$F$500,0))),"⚠"))</f>
        <v/>
      </c>
      <c r="BZ37" t="str">
        <f>IF(DF37="","",IFERROR(IF(INDEX(CODIFICACION!$E$2:$E$500,MATCH("PP1|"&amp;DF37,CODIFICACION!$F$2:$F$500,0))="sin dato","",INDEX(CODIFICACION!$E$2:$E$500,MATCH("PP1|"&amp;DF37,CODIFICACION!$F$2:$F$500,0))),"⚠"))</f>
        <v/>
      </c>
      <c r="CA37" t="str">
        <f>IF(DG37="","",IFERROR(IF(INDEX(CODIFICACION!$E$2:$E$500,MATCH("PP2|"&amp;DG37,CODIFICACION!$F$2:$F$500,0))="sin dato","",INDEX(CODIFICACION!$E$2:$E$500,MATCH("PP2|"&amp;DG37,CODIFICACION!$F$2:$F$500,0))),"⚠"))</f>
        <v/>
      </c>
      <c r="CB37" t="str">
        <f t="shared" si="39"/>
        <v/>
      </c>
      <c r="CC37" t="str">
        <f t="shared" ca="1" si="40"/>
        <v/>
      </c>
      <c r="CD37" t="str">
        <f t="shared" ca="1" si="41"/>
        <v/>
      </c>
      <c r="CE37" t="str">
        <f t="shared" si="42"/>
        <v/>
      </c>
      <c r="CF37" t="str">
        <f t="shared" si="43"/>
        <v/>
      </c>
      <c r="CG37" t="str">
        <f t="shared" ca="1" si="44"/>
        <v/>
      </c>
      <c r="CH37" t="str">
        <f t="shared" ca="1" si="45"/>
        <v/>
      </c>
      <c r="CI37" t="str">
        <f t="shared" si="46"/>
        <v/>
      </c>
      <c r="CJ37" t="str">
        <f t="shared" si="47"/>
        <v/>
      </c>
      <c r="CK37" t="str">
        <f t="shared" si="48"/>
        <v/>
      </c>
      <c r="CL37" t="str">
        <f t="shared" si="49"/>
        <v/>
      </c>
    </row>
    <row r="38" spans="1:90" x14ac:dyDescent="0.3">
      <c r="A38">
        <f>CAPTURA!A38</f>
        <v>20479856258</v>
      </c>
      <c r="B38">
        <f>CAPTURA!C38</f>
        <v>0</v>
      </c>
      <c r="C38" t="str">
        <f t="shared" si="25"/>
        <v/>
      </c>
      <c r="D38" t="str">
        <f>IF(AE38="","",IFERROR(IF(INDEX(CODIFICACION!$E$2:$E$500,MATCH("P8|"&amp;AE38,CODIFICACION!$F$2:$F$500,0))="sin dato","",INDEX(CODIFICACION!$E$2:$E$500,MATCH("P8|"&amp;AE38,CODIFICACION!$F$2:$F$500,0))),"⚠"))</f>
        <v/>
      </c>
      <c r="E38" t="str">
        <f>IF(AG38="","",IFERROR(IF(INDEX(CODIFICACION!$E$2:$E$500,MATCH("P10|"&amp;AG38,CODIFICACION!$F$2:$F$500,0))="sin dato","",INDEX(CODIFICACION!$E$2:$E$500,MATCH("P10|"&amp;AG38,CODIFICACION!$F$2:$F$500,0))),"⚠"))</f>
        <v/>
      </c>
      <c r="F38" t="str">
        <f>IF(AJ38="","",IFERROR(IF(INDEX(CODIFICACION!$E$2:$E$500,MATCH("P13|"&amp;AJ38,CODIFICACION!$F$2:$F$500,0))="sin dato","",INDEX(CODIFICACION!$E$2:$E$500,MATCH("P13|"&amp;AJ38,CODIFICACION!$F$2:$F$500,0))),"⚠"))</f>
        <v/>
      </c>
      <c r="G38" t="str">
        <f>IF(AK38="","",IFERROR(IF(INDEX(CODIFICACION!$E$2:$E$500,MATCH("P14|"&amp;AK38,CODIFICACION!$F$2:$F$500,0))="sin dato","",INDEX(CODIFICACION!$E$2:$E$500,MATCH("P14|"&amp;AK38,CODIFICACION!$F$2:$F$500,0))),"⚠"))</f>
        <v/>
      </c>
      <c r="H38" t="str">
        <f>IF(AL38="","",IFERROR(IF(INDEX(CODIFICACION!$E$2:$E$500,MATCH("D1.1|"&amp;AL38,CODIFICACION!$F$2:$F$500,0))="sin dato","",INDEX(CODIFICACION!$E$2:$E$500,MATCH("D1.1|"&amp;AL38,CODIFICACION!$F$2:$F$500,0))),"⚠"))</f>
        <v/>
      </c>
      <c r="I38" t="str">
        <f>IF(AN38="","",IFERROR(IF(INDEX(CODIFICACION!$E$2:$E$500,MATCH("D1.3|"&amp;AN38,CODIFICACION!$F$2:$F$500,0))="sin dato","",INDEX(CODIFICACION!$E$2:$E$500,MATCH("D1.3|"&amp;AN38,CODIFICACION!$F$2:$F$500,0))),"⚠"))</f>
        <v/>
      </c>
      <c r="J38" t="str">
        <f>IF(AO38="","",IFERROR(IF(INDEX(CODIFICACION!$E$2:$E$500,MATCH("D1.4|"&amp;AO38,CODIFICACION!$F$2:$F$500,0))="sin dato","",INDEX(CODIFICACION!$E$2:$E$500,MATCH("D1.4|"&amp;AO38,CODIFICACION!$F$2:$F$500,0))),"⚠"))</f>
        <v/>
      </c>
      <c r="K38" t="str">
        <f>IF(AP38="","",IFERROR(IF(INDEX(CODIFICACION!$E$2:$E$500,MATCH("D1.3a|"&amp;AP38,CODIFICACION!$F$2:$F$500,0))="sin dato","",INDEX(CODIFICACION!$E$2:$E$500,MATCH("D1.3a|"&amp;AP38,CODIFICACION!$F$2:$F$500,0))),"⚠"))</f>
        <v/>
      </c>
      <c r="L38" t="str">
        <f t="shared" si="26"/>
        <v/>
      </c>
      <c r="M38" t="str">
        <f t="shared" si="27"/>
        <v/>
      </c>
      <c r="N38" t="str">
        <f t="shared" si="28"/>
        <v/>
      </c>
      <c r="O38" t="str">
        <f>IF(AT38="","",IFERROR(IF(INDEX(CODIFICACION!$E$2:$E$500,MATCH("D2.8|"&amp;AT38,CODIFICACION!$F$2:$F$500,0))="sin dato","",INDEX(CODIFICACION!$E$2:$E$500,MATCH("D2.8|"&amp;AT38,CODIFICACION!$F$2:$F$500,0))),"⚠"))</f>
        <v/>
      </c>
      <c r="P38" t="str">
        <f>IF(AU38="","",IFERROR(IF(INDEX(CODIFICACION!$E$2:$E$500,MATCH("D2.9|"&amp;AU38,CODIFICACION!$F$2:$F$500,0))="sin dato","",INDEX(CODIFICACION!$E$2:$E$500,MATCH("D2.9|"&amp;AU38,CODIFICACION!$F$2:$F$500,0))),"⚠"))</f>
        <v/>
      </c>
      <c r="Q38" t="str">
        <f>IF(AV38="","",IFERROR(IF(INDEX(CODIFICACION!$E$2:$E$500,MATCH("D2.10|"&amp;AV38,CODIFICACION!$F$2:$F$500,0))="sin dato","",INDEX(CODIFICACION!$E$2:$E$500,MATCH("D2.10|"&amp;AV38,CODIFICACION!$F$2:$F$500,0))),"⚠"))</f>
        <v/>
      </c>
      <c r="R38" t="str">
        <f>IF(AW38="","",IFERROR(IF(INDEX(CODIFICACION!$E$2:$E$500,MATCH("D2.5a|"&amp;AW38,CODIFICACION!$F$2:$F$500,0))="sin dato","",INDEX(CODIFICACION!$E$2:$E$500,MATCH("D2.5a|"&amp;AW38,CODIFICACION!$F$2:$F$500,0))),"⚠"))</f>
        <v/>
      </c>
      <c r="S38" t="str">
        <f ca="1">IF(AX38="","",IFERROR(IF(INDEX(CODIFICACION!$E$2:$E$500,MATCH("D2.5b|"&amp;AX38,CODIFICACION!$F$2:$F$500,0))="sin dato","",INDEX(CODIFICACION!$E$2:$E$500,MATCH("D2.5b|"&amp;AX38,CODIFICACION!$F$2:$F$500,0))),"⚠"))</f>
        <v/>
      </c>
      <c r="T38" t="str">
        <f t="shared" ca="1" si="29"/>
        <v/>
      </c>
      <c r="U38" t="str">
        <f>IF(AZ38="","",IFERROR(IF(INDEX(CODIFICACION!$E$2:$E$500,MATCH("D3.12|"&amp;AZ38,CODIFICACION!$F$2:$F$500,0))="sin dato","",INDEX(CODIFICACION!$E$2:$E$500,MATCH("D3.12|"&amp;AZ38,CODIFICACION!$F$2:$F$500,0))),"⚠"))</f>
        <v/>
      </c>
      <c r="V38" t="str">
        <f t="shared" si="30"/>
        <v/>
      </c>
      <c r="W38" t="str">
        <f ca="1">IF(BB38="","",IFERROR(IF(INDEX(CODIFICACION!$E$2:$E$500,MATCH("D3.14|"&amp;BB38,CODIFICACION!$F$2:$F$500,0))="sin dato","",INDEX(CODIFICACION!$E$2:$E$500,MATCH("D3.14|"&amp;BB38,CODIFICACION!$F$2:$F$500,0))),"⚠"))</f>
        <v/>
      </c>
      <c r="X38" t="str">
        <f ca="1">IF(BC38="","",IFERROR(IF(INDEX(CODIFICACION!$E$2:$E$500,MATCH("D3.14a|"&amp;BC38,CODIFICACION!$F$2:$F$500,0))="sin dato","",INDEX(CODIFICACION!$E$2:$E$500,MATCH("D3.14a|"&amp;BC38,CODIFICACION!$F$2:$F$500,0))),"⚠"))</f>
        <v/>
      </c>
      <c r="Y38" t="str">
        <f>IF(BD38="","",IFERROR(IF(INDEX(CODIFICACION!$E$2:$E$500,MATCH("D3.14b|"&amp;BD38,CODIFICACION!$F$2:$F$500,0))="sin dato","",INDEX(CODIFICACION!$E$2:$E$500,MATCH("D3.14b|"&amp;BD38,CODIFICACION!$F$2:$F$500,0))),"⚠"))</f>
        <v/>
      </c>
      <c r="Z38" t="str">
        <f>IF(BE38="","",IFERROR(IF(INDEX(CODIFICACION!$E$2:$E$500,MATCH("D3.14c|"&amp;BE38,CODIFICACION!$F$2:$F$500,0))="sin dato","",INDEX(CODIFICACION!$E$2:$E$500,MATCH("D3.14c|"&amp;BE38,CODIFICACION!$F$2:$F$500,0))),"⚠"))</f>
        <v/>
      </c>
      <c r="AA38" t="str">
        <f>IF(BF38="","",IFERROR(IF(INDEX(CODIFICACION!$E$2:$E$500,MATCH("D3.14d|"&amp;BF38,CODIFICACION!$F$2:$F$500,0))="sin dato","",INDEX(CODIFICACION!$E$2:$E$500,MATCH("D3.14d|"&amp;BF38,CODIFICACION!$F$2:$F$500,0))),"⚠"))</f>
        <v/>
      </c>
      <c r="AB38" t="str">
        <f>IF(BG38="","",IFERROR(IF(INDEX(CODIFICACION!$E$2:$E$500,MATCH("D3.14e|"&amp;BG38,CODIFICACION!$F$2:$F$500,0))="sin dato","",INDEX(CODIFICACION!$E$2:$E$500,MATCH("D3.14e|"&amp;BG38,CODIFICACION!$F$2:$F$500,0))),"⚠"))</f>
        <v/>
      </c>
      <c r="AC38" t="str">
        <f>IF(BH38="","",IFERROR(IF(INDEX(CODIFICACION!$E$2:$E$500,MATCH("D3.14f|"&amp;BH38,CODIFICACION!$F$2:$F$500,0))="sin dato","",INDEX(CODIFICACION!$E$2:$E$500,MATCH("D3.14f|"&amp;BH38,CODIFICACION!$F$2:$F$500,0))),"⚠"))</f>
        <v/>
      </c>
      <c r="AD38" t="str">
        <f>IF(BI38="","",IFERROR(IF(INDEX(CODIFICACION!$E$2:$E$500,MATCH("D3.14g|"&amp;BI38,CODIFICACION!$F$2:$F$500,0))="sin dato","",INDEX(CODIFICACION!$E$2:$E$500,MATCH("D3.14g|"&amp;BI38,CODIFICACION!$F$2:$F$500,0))),"⚠"))</f>
        <v/>
      </c>
      <c r="AE38" t="str">
        <f>IF(BJ38="","",IFERROR(IF(INDEX(CODIFICACION!$E$2:$E$500,MATCH("D3.14h|"&amp;BJ38,CODIFICACION!$F$2:$F$500,0))="sin dato","",INDEX(CODIFICACION!$E$2:$E$500,MATCH("D3.14h|"&amp;BJ38,CODIFICACION!$F$2:$F$500,0))),"⚠"))</f>
        <v/>
      </c>
      <c r="AF38" t="str">
        <f>IF(BK38="","",IFERROR(IF(INDEX(CODIFICACION!$E$2:$E$500,MATCH("D3.14i|"&amp;BK38,CODIFICACION!$F$2:$F$500,0))="sin dato","",INDEX(CODIFICACION!$E$2:$E$500,MATCH("D3.14i|"&amp;BK38,CODIFICACION!$F$2:$F$500,0))),"⚠"))</f>
        <v/>
      </c>
      <c r="AG38" t="str">
        <f>IF(BL38="","",IFERROR(IF(INDEX(CODIFICACION!$E$2:$E$500,MATCH("D4.15|"&amp;BL38,CODIFICACION!$F$2:$F$500,0))="sin dato","",INDEX(CODIFICACION!$E$2:$E$500,MATCH("D4.15|"&amp;BL38,CODIFICACION!$F$2:$F$500,0))),"⚠"))</f>
        <v/>
      </c>
      <c r="AH38" t="str">
        <f t="shared" si="31"/>
        <v/>
      </c>
      <c r="AI38" t="str">
        <f>IF(BN38="","",IFERROR(IF(INDEX(CODIFICACION!$E$2:$E$500,MATCH("D4.17|"&amp;BN38,CODIFICACION!$F$2:$F$500,0))="sin dato","",INDEX(CODIFICACION!$E$2:$E$500,MATCH("D4.17|"&amp;BN38,CODIFICACION!$F$2:$F$500,0))),"⚠"))</f>
        <v/>
      </c>
      <c r="AJ38" t="str">
        <f>IF(BO38="","",IFERROR(IF(INDEX(CODIFICACION!$E$2:$E$500,MATCH("D4.15a|"&amp;BO38,CODIFICACION!$F$2:$F$500,0))="sin dato","",INDEX(CODIFICACION!$E$2:$E$500,MATCH("D4.15a|"&amp;BO38,CODIFICACION!$F$2:$F$500,0))),"⚠"))</f>
        <v/>
      </c>
      <c r="AK38" t="str">
        <f t="shared" si="32"/>
        <v/>
      </c>
      <c r="AL38" t="str">
        <f t="shared" si="33"/>
        <v/>
      </c>
      <c r="AM38" t="str">
        <f>IF(BR38="","",IFERROR(IF(INDEX(CODIFICACION!$E$2:$E$500,MATCH("D5.18b|"&amp;BR38,CODIFICACION!$F$2:$F$500,0))="sin dato","",INDEX(CODIFICACION!$E$2:$E$500,MATCH("D5.18b|"&amp;BR38,CODIFICACION!$F$2:$F$500,0))),"⚠"))</f>
        <v/>
      </c>
      <c r="AN38" t="str">
        <f>IF(BS38="","",IFERROR(IF(INDEX(CODIFICACION!$E$2:$E$500,MATCH("D5.19|"&amp;BS38,CODIFICACION!$F$2:$F$500,0))="sin dato","",INDEX(CODIFICACION!$E$2:$E$500,MATCH("D5.19|"&amp;BS38,CODIFICACION!$F$2:$F$500,0))),"⚠"))</f>
        <v/>
      </c>
      <c r="AO38" t="str">
        <f t="shared" si="34"/>
        <v/>
      </c>
      <c r="AP38" t="str">
        <f>IF(BU38="","",IFERROR(IF(INDEX(CODIFICACION!$E$2:$E$500,MATCH("D5.20|"&amp;BU38,CODIFICACION!$F$2:$F$500,0))="sin dato","",INDEX(CODIFICACION!$E$2:$E$500,MATCH("D5.20|"&amp;BU38,CODIFICACION!$F$2:$F$500,0))),"⚠"))</f>
        <v/>
      </c>
      <c r="AQ38" t="str">
        <f>IF(BV38="","",IFERROR(IF(INDEX(CODIFICACION!$E$2:$E$500,MATCH("D5.21|"&amp;BV38,CODIFICACION!$F$2:$F$500,0))="sin dato","",INDEX(CODIFICACION!$E$2:$E$500,MATCH("D5.21|"&amp;BV38,CODIFICACION!$F$2:$F$500,0))),"⚠"))</f>
        <v/>
      </c>
      <c r="AR38" t="str">
        <f>IF(BW38="","",IFERROR(IF(INDEX(CODIFICACION!$E$2:$E$500,MATCH("D5.21a|"&amp;BW38,CODIFICACION!$F$2:$F$500,0))="sin dato","",INDEX(CODIFICACION!$E$2:$E$500,MATCH("D5.21a|"&amp;BW38,CODIFICACION!$F$2:$F$500,0))),"⚠"))</f>
        <v/>
      </c>
      <c r="AS38" t="str">
        <f>IF(BX38="","",IFERROR(IF(INDEX(CODIFICACION!$E$2:$E$500,MATCH("D5.21b|"&amp;BX38,CODIFICACION!$F$2:$F$500,0))="sin dato","",INDEX(CODIFICACION!$E$2:$E$500,MATCH("D5.21b|"&amp;BX38,CODIFICACION!$F$2:$F$500,0))),"⚠"))</f>
        <v/>
      </c>
      <c r="AT38" t="str">
        <f>IF(BY38="","",IFERROR(IF(INDEX(CODIFICACION!$E$2:$E$500,MATCH("D6.22|"&amp;BY38,CODIFICACION!$F$2:$F$500,0))="sin dato","",INDEX(CODIFICACION!$E$2:$E$500,MATCH("D6.22|"&amp;BY38,CODIFICACION!$F$2:$F$500,0))),"⚠"))</f>
        <v/>
      </c>
      <c r="AU38" t="str">
        <f>IF(BZ38="","",IFERROR(IF(INDEX(CODIFICACION!$E$2:$E$500,MATCH("D6.22a|"&amp;BZ38,CODIFICACION!$F$2:$F$500,0))="sin dato","",INDEX(CODIFICACION!$E$2:$E$500,MATCH("D6.22a|"&amp;BZ38,CODIFICACION!$F$2:$F$500,0))),"⚠"))</f>
        <v/>
      </c>
      <c r="AV38" t="str">
        <f>IF(CA38="","",IFERROR(IF(INDEX(CODIFICACION!$E$2:$E$500,MATCH("D6.22b|"&amp;CA38,CODIFICACION!$F$2:$F$500,0))="sin dato","",INDEX(CODIFICACION!$E$2:$E$500,MATCH("D6.22b|"&amp;CA38,CODIFICACION!$F$2:$F$500,0))),"⚠"))</f>
        <v/>
      </c>
      <c r="AW38" t="str">
        <f>IF(CB38="","",IFERROR(IF(INDEX(CODIFICACION!$E$2:$E$500,MATCH("D6.23|"&amp;CB38,CODIFICACION!$F$2:$F$500,0))="sin dato","",INDEX(CODIFICACION!$E$2:$E$500,MATCH("D6.23|"&amp;CB38,CODIFICACION!$F$2:$F$500,0))),"⚠"))</f>
        <v/>
      </c>
      <c r="AX38" t="str">
        <f ca="1">IF(CC38="","",IFERROR(IF(INDEX(CODIFICACION!$E$2:$E$500,MATCH("D6.24|"&amp;CC38,CODIFICACION!$F$2:$F$500,0))="sin dato","",INDEX(CODIFICACION!$E$2:$E$500,MATCH("D6.24|"&amp;CC38,CODIFICACION!$F$2:$F$500,0))),"⚠"))</f>
        <v/>
      </c>
      <c r="AY38" t="str">
        <f ca="1">IF(CD38="","",IFERROR(IF(INDEX(CODIFICACION!$E$2:$E$500,MATCH("D6.25|"&amp;CD38,CODIFICACION!$F$2:$F$500,0))="sin dato","",INDEX(CODIFICACION!$E$2:$E$500,MATCH("D6.25|"&amp;CD38,CODIFICACION!$F$2:$F$500,0))),"⚠"))</f>
        <v/>
      </c>
      <c r="AZ38" t="str">
        <f>IF(CE38="","",IFERROR(IF(INDEX(CODIFICACION!$E$2:$E$500,MATCH("D6.25a|"&amp;CE38,CODIFICACION!$F$2:$F$500,0))="sin dato","",INDEX(CODIFICACION!$E$2:$E$500,MATCH("D6.25a|"&amp;CE38,CODIFICACION!$F$2:$F$500,0))),"⚠"))</f>
        <v/>
      </c>
      <c r="BA38" t="str">
        <f>IF(CF38="","",IFERROR(IF(INDEX(CODIFICACION!$E$2:$E$500,MATCH("D6.25b|"&amp;CF38,CODIFICACION!$F$2:$F$500,0))="sin dato","",INDEX(CODIFICACION!$E$2:$E$500,MATCH("D6.25b|"&amp;CF38,CODIFICACION!$F$2:$F$500,0))),"⚠"))</f>
        <v/>
      </c>
      <c r="BB38" t="str">
        <f ca="1">IF(CG38="","",IFERROR(IF(INDEX(CODIFICACION!$E$2:$E$500,MATCH("D6.22c|"&amp;CG38,CODIFICACION!$F$2:$F$500,0))="sin dato","",INDEX(CODIFICACION!$E$2:$E$500,MATCH("D6.22c|"&amp;CG38,CODIFICACION!$F$2:$F$500,0))),"⚠"))</f>
        <v/>
      </c>
      <c r="BC38" t="str">
        <f ca="1">IF(CH38="","",IFERROR(IF(INDEX(CODIFICACION!$E$2:$E$500,MATCH("D7.26|"&amp;CH38,CODIFICACION!$F$2:$F$500,0))="sin dato","",INDEX(CODIFICACION!$E$2:$E$500,MATCH("D7.26|"&amp;CH38,CODIFICACION!$F$2:$F$500,0))),"⚠"))</f>
        <v/>
      </c>
      <c r="BD38" t="str">
        <f>IF(CI38="","",IFERROR(IF(INDEX(CODIFICACION!$E$2:$E$500,MATCH("D7.27|"&amp;CI38,CODIFICACION!$F$2:$F$500,0))="sin dato","",INDEX(CODIFICACION!$E$2:$E$500,MATCH("D7.27|"&amp;CI38,CODIFICACION!$F$2:$F$500,0))),"⚠"))</f>
        <v/>
      </c>
      <c r="BE38" t="str">
        <f>IF(CJ38="","",IFERROR(IF(INDEX(CODIFICACION!$E$2:$E$500,MATCH("D7.28|"&amp;CJ38,CODIFICACION!$F$2:$F$500,0))="sin dato","",INDEX(CODIFICACION!$E$2:$E$500,MATCH("D7.28|"&amp;CJ38,CODIFICACION!$F$2:$F$500,0))),"⚠"))</f>
        <v/>
      </c>
      <c r="BF38" t="str">
        <f>IF(CK38="","",IFERROR(IF(INDEX(CODIFICACION!$E$2:$E$500,MATCH("D7.28b|"&amp;CK38,CODIFICACION!$F$2:$F$500,0))="sin dato","",INDEX(CODIFICACION!$E$2:$E$500,MATCH("D7.28b|"&amp;CK38,CODIFICACION!$F$2:$F$500,0))),"⚠"))</f>
        <v/>
      </c>
      <c r="BG38" t="str">
        <f t="shared" si="35"/>
        <v/>
      </c>
      <c r="BH38" t="str">
        <f>IF(CM38="","",IFERROR(IF(INDEX(CODIFICACION!$E$2:$E$500,MATCH("D7.26a|"&amp;CM38,CODIFICACION!$F$2:$F$500,0))="sin dato","",INDEX(CODIFICACION!$E$2:$E$500,MATCH("D7.26a|"&amp;CM38,CODIFICACION!$F$2:$F$500,0))),"⚠"))</f>
        <v/>
      </c>
      <c r="BI38" t="str">
        <f>IF(CN38="","",IFERROR(IF(INDEX(CODIFICACION!$E$2:$E$500,MATCH("D7.26b|"&amp;CN38,CODIFICACION!$F$2:$F$500,0))="sin dato","",INDEX(CODIFICACION!$E$2:$E$500,MATCH("D7.26b|"&amp;CN38,CODIFICACION!$F$2:$F$500,0))),"⚠"))</f>
        <v/>
      </c>
      <c r="BJ38" t="str">
        <f t="shared" si="36"/>
        <v/>
      </c>
      <c r="BK38" t="str">
        <f t="shared" si="37"/>
        <v/>
      </c>
      <c r="BL38" t="str">
        <f>IF(CQ38="","",IFERROR(IF(INDEX(CODIFICACION!$E$2:$E$500,MATCH("D8.31|"&amp;CQ38,CODIFICACION!$F$2:$F$500,0))="sin dato","",INDEX(CODIFICACION!$E$2:$E$500,MATCH("D8.31|"&amp;CQ38,CODIFICACION!$F$2:$F$500,0))),"⚠"))</f>
        <v/>
      </c>
      <c r="BM38" t="str">
        <f>IF(CR38="","",IFERROR(IF(INDEX(CODIFICACION!$E$2:$E$500,MATCH("D8.32|"&amp;CR38,CODIFICACION!$F$2:$F$500,0))="sin dato","",INDEX(CODIFICACION!$E$2:$E$500,MATCH("D8.32|"&amp;CR38,CODIFICACION!$F$2:$F$500,0))),"⚠"))</f>
        <v/>
      </c>
      <c r="BN38" t="str">
        <f>IF(CS38="","",IFERROR(IF(INDEX(CODIFICACION!$E$2:$E$500,MATCH("D9.33|"&amp;CS38,CODIFICACION!$F$2:$F$500,0))="sin dato","",INDEX(CODIFICACION!$E$2:$E$500,MATCH("D9.33|"&amp;CS38,CODIFICACION!$F$2:$F$500,0))),"⚠"))</f>
        <v/>
      </c>
      <c r="BO38" t="str">
        <f>IF(CT38="","",IFERROR(IF(INDEX(CODIFICACION!$E$2:$E$500,MATCH("D9.34|"&amp;CT38,CODIFICACION!$F$2:$F$500,0))="sin dato","",INDEX(CODIFICACION!$E$2:$E$500,MATCH("D9.34|"&amp;CT38,CODIFICACION!$F$2:$F$500,0))),"⚠"))</f>
        <v/>
      </c>
      <c r="BP38" t="str">
        <f>IF(CU38="","",IFERROR(IF(INDEX(CODIFICACION!$E$2:$E$500,MATCH("D9.35|"&amp;CU38,CODIFICACION!$F$2:$F$500,0))="sin dato","",INDEX(CODIFICACION!$E$2:$E$500,MATCH("D9.35|"&amp;CU38,CODIFICACION!$F$2:$F$500,0))),"⚠"))</f>
        <v/>
      </c>
      <c r="BQ38" t="str">
        <f>IF(CV38="","",IFERROR(IF(INDEX(CODIFICACION!$E$2:$E$500,MATCH("D10.36|"&amp;CV38,CODIFICACION!$F$2:$F$500,0))="sin dato","",INDEX(CODIFICACION!$E$2:$E$500,MATCH("D10.36|"&amp;CV38,CODIFICACION!$F$2:$F$500,0))),"⚠"))</f>
        <v/>
      </c>
      <c r="BR38" t="str">
        <f>IF(CW38="","",IFERROR(IF(INDEX(CODIFICACION!$E$2:$E$500,MATCH("D10.37|"&amp;CW38,CODIFICACION!$F$2:$F$500,0))="sin dato","",INDEX(CODIFICACION!$E$2:$E$500,MATCH("D10.37|"&amp;CW38,CODIFICACION!$F$2:$F$500,0))),"⚠"))</f>
        <v/>
      </c>
      <c r="BS38" t="str">
        <f>IF(CX38="","",IFERROR(IF(INDEX(CODIFICACION!$E$2:$E$500,MATCH("D10.36a|"&amp;CX38,CODIFICACION!$F$2:$F$500,0))="sin dato","",INDEX(CODIFICACION!$E$2:$E$500,MATCH("D10.36a|"&amp;CX38,CODIFICACION!$F$2:$F$500,0))),"⚠"))</f>
        <v/>
      </c>
      <c r="BT38" t="str">
        <f t="shared" si="38"/>
        <v/>
      </c>
      <c r="BU38" t="str">
        <f>IF(DA38="","",IFERROR(IF(INDEX(CODIFICACION!$E$2:$E$500,MATCH("D11.39a|"&amp;DA38,CODIFICACION!$F$2:$F$500,0))="sin dato","",INDEX(CODIFICACION!$E$2:$E$500,MATCH("D11.39a|"&amp;DA38,CODIFICACION!$F$2:$F$500,0))),"⚠"))</f>
        <v/>
      </c>
      <c r="BV38" t="str">
        <f>IF(DB38="","",IFERROR(IF(INDEX(CODIFICACION!$E$2:$E$500,MATCH("D12.42|"&amp;DB38,CODIFICACION!$F$2:$F$500,0))="sin dato","",INDEX(CODIFICACION!$E$2:$E$500,MATCH("D12.42|"&amp;DB38,CODIFICACION!$F$2:$F$500,0))),"⚠"))</f>
        <v/>
      </c>
      <c r="BW38" t="str">
        <f>IF(DC38="","",IFERROR(IF(INDEX(CODIFICACION!$E$2:$E$500,MATCH("D13.45|"&amp;DC38,CODIFICACION!$F$2:$F$500,0))="sin dato","",INDEX(CODIFICACION!$E$2:$E$500,MATCH("D13.45|"&amp;DC38,CODIFICACION!$F$2:$F$500,0))),"⚠"))</f>
        <v/>
      </c>
      <c r="BX38" t="str">
        <f>IF(DD38="","",IFERROR(IF(INDEX(CODIFICACION!$E$2:$E$500,MATCH("D14.51|"&amp;DD38,CODIFICACION!$F$2:$F$500,0))="sin dato","",INDEX(CODIFICACION!$E$2:$E$500,MATCH("D14.51|"&amp;DD38,CODIFICACION!$F$2:$F$500,0))),"⚠"))</f>
        <v/>
      </c>
      <c r="BY38" t="str">
        <f>IF(DE38="","",IFERROR(IF(INDEX(CODIFICACION!$E$2:$E$500,MATCH("D15.58|"&amp;DE38,CODIFICACION!$F$2:$F$500,0))="sin dato","",INDEX(CODIFICACION!$E$2:$E$500,MATCH("D15.58|"&amp;DE38,CODIFICACION!$F$2:$F$500,0))),"⚠"))</f>
        <v/>
      </c>
      <c r="BZ38" t="str">
        <f>IF(DF38="","",IFERROR(IF(INDEX(CODIFICACION!$E$2:$E$500,MATCH("PP1|"&amp;DF38,CODIFICACION!$F$2:$F$500,0))="sin dato","",INDEX(CODIFICACION!$E$2:$E$500,MATCH("PP1|"&amp;DF38,CODIFICACION!$F$2:$F$500,0))),"⚠"))</f>
        <v/>
      </c>
      <c r="CA38" t="str">
        <f>IF(DG38="","",IFERROR(IF(INDEX(CODIFICACION!$E$2:$E$500,MATCH("PP2|"&amp;DG38,CODIFICACION!$F$2:$F$500,0))="sin dato","",INDEX(CODIFICACION!$E$2:$E$500,MATCH("PP2|"&amp;DG38,CODIFICACION!$F$2:$F$500,0))),"⚠"))</f>
        <v/>
      </c>
      <c r="CB38" t="str">
        <f t="shared" si="39"/>
        <v/>
      </c>
      <c r="CC38" t="str">
        <f t="shared" ca="1" si="40"/>
        <v/>
      </c>
      <c r="CD38" t="str">
        <f t="shared" ca="1" si="41"/>
        <v/>
      </c>
      <c r="CE38" t="str">
        <f t="shared" si="42"/>
        <v/>
      </c>
      <c r="CF38" t="str">
        <f t="shared" si="43"/>
        <v/>
      </c>
      <c r="CG38" t="str">
        <f t="shared" ca="1" si="44"/>
        <v/>
      </c>
      <c r="CH38" t="str">
        <f t="shared" ca="1" si="45"/>
        <v/>
      </c>
      <c r="CI38" t="str">
        <f t="shared" si="46"/>
        <v/>
      </c>
      <c r="CJ38" t="str">
        <f t="shared" si="47"/>
        <v/>
      </c>
      <c r="CK38" t="str">
        <f t="shared" si="48"/>
        <v/>
      </c>
      <c r="CL38" t="str">
        <f t="shared" si="49"/>
        <v/>
      </c>
    </row>
    <row r="39" spans="1:90" x14ac:dyDescent="0.3">
      <c r="A39">
        <f>CAPTURA!A39</f>
        <v>20479917141</v>
      </c>
      <c r="B39">
        <f>CAPTURA!C39</f>
        <v>0</v>
      </c>
      <c r="C39" t="str">
        <f t="shared" si="25"/>
        <v/>
      </c>
      <c r="D39" t="str">
        <f>IF(AE39="","",IFERROR(IF(INDEX(CODIFICACION!$E$2:$E$500,MATCH("P8|"&amp;AE39,CODIFICACION!$F$2:$F$500,0))="sin dato","",INDEX(CODIFICACION!$E$2:$E$500,MATCH("P8|"&amp;AE39,CODIFICACION!$F$2:$F$500,0))),"⚠"))</f>
        <v/>
      </c>
      <c r="E39" t="str">
        <f>IF(AG39="","",IFERROR(IF(INDEX(CODIFICACION!$E$2:$E$500,MATCH("P10|"&amp;AG39,CODIFICACION!$F$2:$F$500,0))="sin dato","",INDEX(CODIFICACION!$E$2:$E$500,MATCH("P10|"&amp;AG39,CODIFICACION!$F$2:$F$500,0))),"⚠"))</f>
        <v/>
      </c>
      <c r="F39" t="str">
        <f>IF(AJ39="","",IFERROR(IF(INDEX(CODIFICACION!$E$2:$E$500,MATCH("P13|"&amp;AJ39,CODIFICACION!$F$2:$F$500,0))="sin dato","",INDEX(CODIFICACION!$E$2:$E$500,MATCH("P13|"&amp;AJ39,CODIFICACION!$F$2:$F$500,0))),"⚠"))</f>
        <v/>
      </c>
      <c r="G39" t="str">
        <f>IF(AK39="","",IFERROR(IF(INDEX(CODIFICACION!$E$2:$E$500,MATCH("P14|"&amp;AK39,CODIFICACION!$F$2:$F$500,0))="sin dato","",INDEX(CODIFICACION!$E$2:$E$500,MATCH("P14|"&amp;AK39,CODIFICACION!$F$2:$F$500,0))),"⚠"))</f>
        <v/>
      </c>
      <c r="H39" t="str">
        <f>IF(AL39="","",IFERROR(IF(INDEX(CODIFICACION!$E$2:$E$500,MATCH("D1.1|"&amp;AL39,CODIFICACION!$F$2:$F$500,0))="sin dato","",INDEX(CODIFICACION!$E$2:$E$500,MATCH("D1.1|"&amp;AL39,CODIFICACION!$F$2:$F$500,0))),"⚠"))</f>
        <v/>
      </c>
      <c r="I39" t="str">
        <f>IF(AN39="","",IFERROR(IF(INDEX(CODIFICACION!$E$2:$E$500,MATCH("D1.3|"&amp;AN39,CODIFICACION!$F$2:$F$500,0))="sin dato","",INDEX(CODIFICACION!$E$2:$E$500,MATCH("D1.3|"&amp;AN39,CODIFICACION!$F$2:$F$500,0))),"⚠"))</f>
        <v/>
      </c>
      <c r="J39" t="str">
        <f>IF(AO39="","",IFERROR(IF(INDEX(CODIFICACION!$E$2:$E$500,MATCH("D1.4|"&amp;AO39,CODIFICACION!$F$2:$F$500,0))="sin dato","",INDEX(CODIFICACION!$E$2:$E$500,MATCH("D1.4|"&amp;AO39,CODIFICACION!$F$2:$F$500,0))),"⚠"))</f>
        <v/>
      </c>
      <c r="K39" t="str">
        <f>IF(AP39="","",IFERROR(IF(INDEX(CODIFICACION!$E$2:$E$500,MATCH("D1.3a|"&amp;AP39,CODIFICACION!$F$2:$F$500,0))="sin dato","",INDEX(CODIFICACION!$E$2:$E$500,MATCH("D1.3a|"&amp;AP39,CODIFICACION!$F$2:$F$500,0))),"⚠"))</f>
        <v/>
      </c>
      <c r="L39" t="str">
        <f t="shared" si="26"/>
        <v/>
      </c>
      <c r="M39" t="str">
        <f t="shared" si="27"/>
        <v/>
      </c>
      <c r="N39" t="str">
        <f t="shared" si="28"/>
        <v/>
      </c>
      <c r="O39" t="str">
        <f>IF(AT39="","",IFERROR(IF(INDEX(CODIFICACION!$E$2:$E$500,MATCH("D2.8|"&amp;AT39,CODIFICACION!$F$2:$F$500,0))="sin dato","",INDEX(CODIFICACION!$E$2:$E$500,MATCH("D2.8|"&amp;AT39,CODIFICACION!$F$2:$F$500,0))),"⚠"))</f>
        <v/>
      </c>
      <c r="P39" t="str">
        <f>IF(AU39="","",IFERROR(IF(INDEX(CODIFICACION!$E$2:$E$500,MATCH("D2.9|"&amp;AU39,CODIFICACION!$F$2:$F$500,0))="sin dato","",INDEX(CODIFICACION!$E$2:$E$500,MATCH("D2.9|"&amp;AU39,CODIFICACION!$F$2:$F$500,0))),"⚠"))</f>
        <v/>
      </c>
      <c r="Q39" t="str">
        <f>IF(AV39="","",IFERROR(IF(INDEX(CODIFICACION!$E$2:$E$500,MATCH("D2.10|"&amp;AV39,CODIFICACION!$F$2:$F$500,0))="sin dato","",INDEX(CODIFICACION!$E$2:$E$500,MATCH("D2.10|"&amp;AV39,CODIFICACION!$F$2:$F$500,0))),"⚠"))</f>
        <v/>
      </c>
      <c r="R39" t="str">
        <f>IF(AW39="","",IFERROR(IF(INDEX(CODIFICACION!$E$2:$E$500,MATCH("D2.5a|"&amp;AW39,CODIFICACION!$F$2:$F$500,0))="sin dato","",INDEX(CODIFICACION!$E$2:$E$500,MATCH("D2.5a|"&amp;AW39,CODIFICACION!$F$2:$F$500,0))),"⚠"))</f>
        <v/>
      </c>
      <c r="S39" t="str">
        <f ca="1">IF(AX39="","",IFERROR(IF(INDEX(CODIFICACION!$E$2:$E$500,MATCH("D2.5b|"&amp;AX39,CODIFICACION!$F$2:$F$500,0))="sin dato","",INDEX(CODIFICACION!$E$2:$E$500,MATCH("D2.5b|"&amp;AX39,CODIFICACION!$F$2:$F$500,0))),"⚠"))</f>
        <v/>
      </c>
      <c r="T39" t="str">
        <f t="shared" ca="1" si="29"/>
        <v/>
      </c>
      <c r="U39" t="str">
        <f>IF(AZ39="","",IFERROR(IF(INDEX(CODIFICACION!$E$2:$E$500,MATCH("D3.12|"&amp;AZ39,CODIFICACION!$F$2:$F$500,0))="sin dato","",INDEX(CODIFICACION!$E$2:$E$500,MATCH("D3.12|"&amp;AZ39,CODIFICACION!$F$2:$F$500,0))),"⚠"))</f>
        <v/>
      </c>
      <c r="V39" t="str">
        <f t="shared" si="30"/>
        <v/>
      </c>
      <c r="W39" t="str">
        <f ca="1">IF(BB39="","",IFERROR(IF(INDEX(CODIFICACION!$E$2:$E$500,MATCH("D3.14|"&amp;BB39,CODIFICACION!$F$2:$F$500,0))="sin dato","",INDEX(CODIFICACION!$E$2:$E$500,MATCH("D3.14|"&amp;BB39,CODIFICACION!$F$2:$F$500,0))),"⚠"))</f>
        <v/>
      </c>
      <c r="X39" t="str">
        <f ca="1">IF(BC39="","",IFERROR(IF(INDEX(CODIFICACION!$E$2:$E$500,MATCH("D3.14a|"&amp;BC39,CODIFICACION!$F$2:$F$500,0))="sin dato","",INDEX(CODIFICACION!$E$2:$E$500,MATCH("D3.14a|"&amp;BC39,CODIFICACION!$F$2:$F$500,0))),"⚠"))</f>
        <v/>
      </c>
      <c r="Y39" t="str">
        <f>IF(BD39="","",IFERROR(IF(INDEX(CODIFICACION!$E$2:$E$500,MATCH("D3.14b|"&amp;BD39,CODIFICACION!$F$2:$F$500,0))="sin dato","",INDEX(CODIFICACION!$E$2:$E$500,MATCH("D3.14b|"&amp;BD39,CODIFICACION!$F$2:$F$500,0))),"⚠"))</f>
        <v/>
      </c>
      <c r="Z39" t="str">
        <f>IF(BE39="","",IFERROR(IF(INDEX(CODIFICACION!$E$2:$E$500,MATCH("D3.14c|"&amp;BE39,CODIFICACION!$F$2:$F$500,0))="sin dato","",INDEX(CODIFICACION!$E$2:$E$500,MATCH("D3.14c|"&amp;BE39,CODIFICACION!$F$2:$F$500,0))),"⚠"))</f>
        <v/>
      </c>
      <c r="AA39" t="str">
        <f>IF(BF39="","",IFERROR(IF(INDEX(CODIFICACION!$E$2:$E$500,MATCH("D3.14d|"&amp;BF39,CODIFICACION!$F$2:$F$500,0))="sin dato","",INDEX(CODIFICACION!$E$2:$E$500,MATCH("D3.14d|"&amp;BF39,CODIFICACION!$F$2:$F$500,0))),"⚠"))</f>
        <v/>
      </c>
      <c r="AB39" t="str">
        <f>IF(BG39="","",IFERROR(IF(INDEX(CODIFICACION!$E$2:$E$500,MATCH("D3.14e|"&amp;BG39,CODIFICACION!$F$2:$F$500,0))="sin dato","",INDEX(CODIFICACION!$E$2:$E$500,MATCH("D3.14e|"&amp;BG39,CODIFICACION!$F$2:$F$500,0))),"⚠"))</f>
        <v/>
      </c>
      <c r="AC39" t="str">
        <f>IF(BH39="","",IFERROR(IF(INDEX(CODIFICACION!$E$2:$E$500,MATCH("D3.14f|"&amp;BH39,CODIFICACION!$F$2:$F$500,0))="sin dato","",INDEX(CODIFICACION!$E$2:$E$500,MATCH("D3.14f|"&amp;BH39,CODIFICACION!$F$2:$F$500,0))),"⚠"))</f>
        <v/>
      </c>
      <c r="AD39" t="str">
        <f>IF(BI39="","",IFERROR(IF(INDEX(CODIFICACION!$E$2:$E$500,MATCH("D3.14g|"&amp;BI39,CODIFICACION!$F$2:$F$500,0))="sin dato","",INDEX(CODIFICACION!$E$2:$E$500,MATCH("D3.14g|"&amp;BI39,CODIFICACION!$F$2:$F$500,0))),"⚠"))</f>
        <v/>
      </c>
      <c r="AE39" t="str">
        <f>IF(BJ39="","",IFERROR(IF(INDEX(CODIFICACION!$E$2:$E$500,MATCH("D3.14h|"&amp;BJ39,CODIFICACION!$F$2:$F$500,0))="sin dato","",INDEX(CODIFICACION!$E$2:$E$500,MATCH("D3.14h|"&amp;BJ39,CODIFICACION!$F$2:$F$500,0))),"⚠"))</f>
        <v/>
      </c>
      <c r="AF39" t="str">
        <f>IF(BK39="","",IFERROR(IF(INDEX(CODIFICACION!$E$2:$E$500,MATCH("D3.14i|"&amp;BK39,CODIFICACION!$F$2:$F$500,0))="sin dato","",INDEX(CODIFICACION!$E$2:$E$500,MATCH("D3.14i|"&amp;BK39,CODIFICACION!$F$2:$F$500,0))),"⚠"))</f>
        <v/>
      </c>
      <c r="AG39" t="str">
        <f>IF(BL39="","",IFERROR(IF(INDEX(CODIFICACION!$E$2:$E$500,MATCH("D4.15|"&amp;BL39,CODIFICACION!$F$2:$F$500,0))="sin dato","",INDEX(CODIFICACION!$E$2:$E$500,MATCH("D4.15|"&amp;BL39,CODIFICACION!$F$2:$F$500,0))),"⚠"))</f>
        <v/>
      </c>
      <c r="AH39" t="str">
        <f t="shared" si="31"/>
        <v/>
      </c>
      <c r="AI39" t="str">
        <f>IF(BN39="","",IFERROR(IF(INDEX(CODIFICACION!$E$2:$E$500,MATCH("D4.17|"&amp;BN39,CODIFICACION!$F$2:$F$500,0))="sin dato","",INDEX(CODIFICACION!$E$2:$E$500,MATCH("D4.17|"&amp;BN39,CODIFICACION!$F$2:$F$500,0))),"⚠"))</f>
        <v/>
      </c>
      <c r="AJ39" t="str">
        <f>IF(BO39="","",IFERROR(IF(INDEX(CODIFICACION!$E$2:$E$500,MATCH("D4.15a|"&amp;BO39,CODIFICACION!$F$2:$F$500,0))="sin dato","",INDEX(CODIFICACION!$E$2:$E$500,MATCH("D4.15a|"&amp;BO39,CODIFICACION!$F$2:$F$500,0))),"⚠"))</f>
        <v/>
      </c>
      <c r="AK39" t="str">
        <f t="shared" si="32"/>
        <v/>
      </c>
      <c r="AL39" t="str">
        <f t="shared" si="33"/>
        <v/>
      </c>
      <c r="AM39" t="str">
        <f>IF(BR39="","",IFERROR(IF(INDEX(CODIFICACION!$E$2:$E$500,MATCH("D5.18b|"&amp;BR39,CODIFICACION!$F$2:$F$500,0))="sin dato","",INDEX(CODIFICACION!$E$2:$E$500,MATCH("D5.18b|"&amp;BR39,CODIFICACION!$F$2:$F$500,0))),"⚠"))</f>
        <v/>
      </c>
      <c r="AN39" t="str">
        <f>IF(BS39="","",IFERROR(IF(INDEX(CODIFICACION!$E$2:$E$500,MATCH("D5.19|"&amp;BS39,CODIFICACION!$F$2:$F$500,0))="sin dato","",INDEX(CODIFICACION!$E$2:$E$500,MATCH("D5.19|"&amp;BS39,CODIFICACION!$F$2:$F$500,0))),"⚠"))</f>
        <v/>
      </c>
      <c r="AO39" t="str">
        <f t="shared" si="34"/>
        <v/>
      </c>
      <c r="AP39" t="str">
        <f>IF(BU39="","",IFERROR(IF(INDEX(CODIFICACION!$E$2:$E$500,MATCH("D5.20|"&amp;BU39,CODIFICACION!$F$2:$F$500,0))="sin dato","",INDEX(CODIFICACION!$E$2:$E$500,MATCH("D5.20|"&amp;BU39,CODIFICACION!$F$2:$F$500,0))),"⚠"))</f>
        <v/>
      </c>
      <c r="AQ39" t="str">
        <f>IF(BV39="","",IFERROR(IF(INDEX(CODIFICACION!$E$2:$E$500,MATCH("D5.21|"&amp;BV39,CODIFICACION!$F$2:$F$500,0))="sin dato","",INDEX(CODIFICACION!$E$2:$E$500,MATCH("D5.21|"&amp;BV39,CODIFICACION!$F$2:$F$500,0))),"⚠"))</f>
        <v/>
      </c>
      <c r="AR39" t="str">
        <f>IF(BW39="","",IFERROR(IF(INDEX(CODIFICACION!$E$2:$E$500,MATCH("D5.21a|"&amp;BW39,CODIFICACION!$F$2:$F$500,0))="sin dato","",INDEX(CODIFICACION!$E$2:$E$500,MATCH("D5.21a|"&amp;BW39,CODIFICACION!$F$2:$F$500,0))),"⚠"))</f>
        <v/>
      </c>
      <c r="AS39" t="str">
        <f>IF(BX39="","",IFERROR(IF(INDEX(CODIFICACION!$E$2:$E$500,MATCH("D5.21b|"&amp;BX39,CODIFICACION!$F$2:$F$500,0))="sin dato","",INDEX(CODIFICACION!$E$2:$E$500,MATCH("D5.21b|"&amp;BX39,CODIFICACION!$F$2:$F$500,0))),"⚠"))</f>
        <v/>
      </c>
      <c r="AT39" t="str">
        <f>IF(BY39="","",IFERROR(IF(INDEX(CODIFICACION!$E$2:$E$500,MATCH("D6.22|"&amp;BY39,CODIFICACION!$F$2:$F$500,0))="sin dato","",INDEX(CODIFICACION!$E$2:$E$500,MATCH("D6.22|"&amp;BY39,CODIFICACION!$F$2:$F$500,0))),"⚠"))</f>
        <v/>
      </c>
      <c r="AU39" t="str">
        <f>IF(BZ39="","",IFERROR(IF(INDEX(CODIFICACION!$E$2:$E$500,MATCH("D6.22a|"&amp;BZ39,CODIFICACION!$F$2:$F$500,0))="sin dato","",INDEX(CODIFICACION!$E$2:$E$500,MATCH("D6.22a|"&amp;BZ39,CODIFICACION!$F$2:$F$500,0))),"⚠"))</f>
        <v/>
      </c>
      <c r="AV39" t="str">
        <f>IF(CA39="","",IFERROR(IF(INDEX(CODIFICACION!$E$2:$E$500,MATCH("D6.22b|"&amp;CA39,CODIFICACION!$F$2:$F$500,0))="sin dato","",INDEX(CODIFICACION!$E$2:$E$500,MATCH("D6.22b|"&amp;CA39,CODIFICACION!$F$2:$F$500,0))),"⚠"))</f>
        <v/>
      </c>
      <c r="AW39" t="str">
        <f>IF(CB39="","",IFERROR(IF(INDEX(CODIFICACION!$E$2:$E$500,MATCH("D6.23|"&amp;CB39,CODIFICACION!$F$2:$F$500,0))="sin dato","",INDEX(CODIFICACION!$E$2:$E$500,MATCH("D6.23|"&amp;CB39,CODIFICACION!$F$2:$F$500,0))),"⚠"))</f>
        <v/>
      </c>
      <c r="AX39" t="str">
        <f ca="1">IF(CC39="","",IFERROR(IF(INDEX(CODIFICACION!$E$2:$E$500,MATCH("D6.24|"&amp;CC39,CODIFICACION!$F$2:$F$500,0))="sin dato","",INDEX(CODIFICACION!$E$2:$E$500,MATCH("D6.24|"&amp;CC39,CODIFICACION!$F$2:$F$500,0))),"⚠"))</f>
        <v/>
      </c>
      <c r="AY39" t="str">
        <f ca="1">IF(CD39="","",IFERROR(IF(INDEX(CODIFICACION!$E$2:$E$500,MATCH("D6.25|"&amp;CD39,CODIFICACION!$F$2:$F$500,0))="sin dato","",INDEX(CODIFICACION!$E$2:$E$500,MATCH("D6.25|"&amp;CD39,CODIFICACION!$F$2:$F$500,0))),"⚠"))</f>
        <v/>
      </c>
      <c r="AZ39" t="str">
        <f>IF(CE39="","",IFERROR(IF(INDEX(CODIFICACION!$E$2:$E$500,MATCH("D6.25a|"&amp;CE39,CODIFICACION!$F$2:$F$500,0))="sin dato","",INDEX(CODIFICACION!$E$2:$E$500,MATCH("D6.25a|"&amp;CE39,CODIFICACION!$F$2:$F$500,0))),"⚠"))</f>
        <v/>
      </c>
      <c r="BA39" t="str">
        <f>IF(CF39="","",IFERROR(IF(INDEX(CODIFICACION!$E$2:$E$500,MATCH("D6.25b|"&amp;CF39,CODIFICACION!$F$2:$F$500,0))="sin dato","",INDEX(CODIFICACION!$E$2:$E$500,MATCH("D6.25b|"&amp;CF39,CODIFICACION!$F$2:$F$500,0))),"⚠"))</f>
        <v/>
      </c>
      <c r="BB39" t="str">
        <f ca="1">IF(CG39="","",IFERROR(IF(INDEX(CODIFICACION!$E$2:$E$500,MATCH("D6.22c|"&amp;CG39,CODIFICACION!$F$2:$F$500,0))="sin dato","",INDEX(CODIFICACION!$E$2:$E$500,MATCH("D6.22c|"&amp;CG39,CODIFICACION!$F$2:$F$500,0))),"⚠"))</f>
        <v/>
      </c>
      <c r="BC39" t="str">
        <f ca="1">IF(CH39="","",IFERROR(IF(INDEX(CODIFICACION!$E$2:$E$500,MATCH("D7.26|"&amp;CH39,CODIFICACION!$F$2:$F$500,0))="sin dato","",INDEX(CODIFICACION!$E$2:$E$500,MATCH("D7.26|"&amp;CH39,CODIFICACION!$F$2:$F$500,0))),"⚠"))</f>
        <v/>
      </c>
      <c r="BD39" t="str">
        <f>IF(CI39="","",IFERROR(IF(INDEX(CODIFICACION!$E$2:$E$500,MATCH("D7.27|"&amp;CI39,CODIFICACION!$F$2:$F$500,0))="sin dato","",INDEX(CODIFICACION!$E$2:$E$500,MATCH("D7.27|"&amp;CI39,CODIFICACION!$F$2:$F$500,0))),"⚠"))</f>
        <v/>
      </c>
      <c r="BE39" t="str">
        <f>IF(CJ39="","",IFERROR(IF(INDEX(CODIFICACION!$E$2:$E$500,MATCH("D7.28|"&amp;CJ39,CODIFICACION!$F$2:$F$500,0))="sin dato","",INDEX(CODIFICACION!$E$2:$E$500,MATCH("D7.28|"&amp;CJ39,CODIFICACION!$F$2:$F$500,0))),"⚠"))</f>
        <v/>
      </c>
      <c r="BF39" t="str">
        <f>IF(CK39="","",IFERROR(IF(INDEX(CODIFICACION!$E$2:$E$500,MATCH("D7.28b|"&amp;CK39,CODIFICACION!$F$2:$F$500,0))="sin dato","",INDEX(CODIFICACION!$E$2:$E$500,MATCH("D7.28b|"&amp;CK39,CODIFICACION!$F$2:$F$500,0))),"⚠"))</f>
        <v/>
      </c>
      <c r="BG39" t="str">
        <f t="shared" si="35"/>
        <v/>
      </c>
      <c r="BH39" t="str">
        <f>IF(CM39="","",IFERROR(IF(INDEX(CODIFICACION!$E$2:$E$500,MATCH("D7.26a|"&amp;CM39,CODIFICACION!$F$2:$F$500,0))="sin dato","",INDEX(CODIFICACION!$E$2:$E$500,MATCH("D7.26a|"&amp;CM39,CODIFICACION!$F$2:$F$500,0))),"⚠"))</f>
        <v/>
      </c>
      <c r="BI39" t="str">
        <f>IF(CN39="","",IFERROR(IF(INDEX(CODIFICACION!$E$2:$E$500,MATCH("D7.26b|"&amp;CN39,CODIFICACION!$F$2:$F$500,0))="sin dato","",INDEX(CODIFICACION!$E$2:$E$500,MATCH("D7.26b|"&amp;CN39,CODIFICACION!$F$2:$F$500,0))),"⚠"))</f>
        <v/>
      </c>
      <c r="BJ39" t="str">
        <f t="shared" si="36"/>
        <v/>
      </c>
      <c r="BK39" t="str">
        <f t="shared" si="37"/>
        <v/>
      </c>
      <c r="BL39" t="str">
        <f>IF(CQ39="","",IFERROR(IF(INDEX(CODIFICACION!$E$2:$E$500,MATCH("D8.31|"&amp;CQ39,CODIFICACION!$F$2:$F$500,0))="sin dato","",INDEX(CODIFICACION!$E$2:$E$500,MATCH("D8.31|"&amp;CQ39,CODIFICACION!$F$2:$F$500,0))),"⚠"))</f>
        <v/>
      </c>
      <c r="BM39" t="str">
        <f>IF(CR39="","",IFERROR(IF(INDEX(CODIFICACION!$E$2:$E$500,MATCH("D8.32|"&amp;CR39,CODIFICACION!$F$2:$F$500,0))="sin dato","",INDEX(CODIFICACION!$E$2:$E$500,MATCH("D8.32|"&amp;CR39,CODIFICACION!$F$2:$F$500,0))),"⚠"))</f>
        <v/>
      </c>
      <c r="BN39" t="str">
        <f>IF(CS39="","",IFERROR(IF(INDEX(CODIFICACION!$E$2:$E$500,MATCH("D9.33|"&amp;CS39,CODIFICACION!$F$2:$F$500,0))="sin dato","",INDEX(CODIFICACION!$E$2:$E$500,MATCH("D9.33|"&amp;CS39,CODIFICACION!$F$2:$F$500,0))),"⚠"))</f>
        <v/>
      </c>
      <c r="BO39" t="str">
        <f>IF(CT39="","",IFERROR(IF(INDEX(CODIFICACION!$E$2:$E$500,MATCH("D9.34|"&amp;CT39,CODIFICACION!$F$2:$F$500,0))="sin dato","",INDEX(CODIFICACION!$E$2:$E$500,MATCH("D9.34|"&amp;CT39,CODIFICACION!$F$2:$F$500,0))),"⚠"))</f>
        <v/>
      </c>
      <c r="BP39" t="str">
        <f>IF(CU39="","",IFERROR(IF(INDEX(CODIFICACION!$E$2:$E$500,MATCH("D9.35|"&amp;CU39,CODIFICACION!$F$2:$F$500,0))="sin dato","",INDEX(CODIFICACION!$E$2:$E$500,MATCH("D9.35|"&amp;CU39,CODIFICACION!$F$2:$F$500,0))),"⚠"))</f>
        <v/>
      </c>
      <c r="BQ39" t="str">
        <f>IF(CV39="","",IFERROR(IF(INDEX(CODIFICACION!$E$2:$E$500,MATCH("D10.36|"&amp;CV39,CODIFICACION!$F$2:$F$500,0))="sin dato","",INDEX(CODIFICACION!$E$2:$E$500,MATCH("D10.36|"&amp;CV39,CODIFICACION!$F$2:$F$500,0))),"⚠"))</f>
        <v/>
      </c>
      <c r="BR39" t="str">
        <f>IF(CW39="","",IFERROR(IF(INDEX(CODIFICACION!$E$2:$E$500,MATCH("D10.37|"&amp;CW39,CODIFICACION!$F$2:$F$500,0))="sin dato","",INDEX(CODIFICACION!$E$2:$E$500,MATCH("D10.37|"&amp;CW39,CODIFICACION!$F$2:$F$500,0))),"⚠"))</f>
        <v/>
      </c>
      <c r="BS39" t="str">
        <f>IF(CX39="","",IFERROR(IF(INDEX(CODIFICACION!$E$2:$E$500,MATCH("D10.36a|"&amp;CX39,CODIFICACION!$F$2:$F$500,0))="sin dato","",INDEX(CODIFICACION!$E$2:$E$500,MATCH("D10.36a|"&amp;CX39,CODIFICACION!$F$2:$F$500,0))),"⚠"))</f>
        <v/>
      </c>
      <c r="BT39" t="str">
        <f t="shared" si="38"/>
        <v/>
      </c>
      <c r="BU39" t="str">
        <f>IF(DA39="","",IFERROR(IF(INDEX(CODIFICACION!$E$2:$E$500,MATCH("D11.39a|"&amp;DA39,CODIFICACION!$F$2:$F$500,0))="sin dato","",INDEX(CODIFICACION!$E$2:$E$500,MATCH("D11.39a|"&amp;DA39,CODIFICACION!$F$2:$F$500,0))),"⚠"))</f>
        <v/>
      </c>
      <c r="BV39" t="str">
        <f>IF(DB39="","",IFERROR(IF(INDEX(CODIFICACION!$E$2:$E$500,MATCH("D12.42|"&amp;DB39,CODIFICACION!$F$2:$F$500,0))="sin dato","",INDEX(CODIFICACION!$E$2:$E$500,MATCH("D12.42|"&amp;DB39,CODIFICACION!$F$2:$F$500,0))),"⚠"))</f>
        <v/>
      </c>
      <c r="BW39" t="str">
        <f>IF(DC39="","",IFERROR(IF(INDEX(CODIFICACION!$E$2:$E$500,MATCH("D13.45|"&amp;DC39,CODIFICACION!$F$2:$F$500,0))="sin dato","",INDEX(CODIFICACION!$E$2:$E$500,MATCH("D13.45|"&amp;DC39,CODIFICACION!$F$2:$F$500,0))),"⚠"))</f>
        <v/>
      </c>
      <c r="BX39" t="str">
        <f>IF(DD39="","",IFERROR(IF(INDEX(CODIFICACION!$E$2:$E$500,MATCH("D14.51|"&amp;DD39,CODIFICACION!$F$2:$F$500,0))="sin dato","",INDEX(CODIFICACION!$E$2:$E$500,MATCH("D14.51|"&amp;DD39,CODIFICACION!$F$2:$F$500,0))),"⚠"))</f>
        <v/>
      </c>
      <c r="BY39" t="str">
        <f>IF(DE39="","",IFERROR(IF(INDEX(CODIFICACION!$E$2:$E$500,MATCH("D15.58|"&amp;DE39,CODIFICACION!$F$2:$F$500,0))="sin dato","",INDEX(CODIFICACION!$E$2:$E$500,MATCH("D15.58|"&amp;DE39,CODIFICACION!$F$2:$F$500,0))),"⚠"))</f>
        <v/>
      </c>
      <c r="BZ39" t="str">
        <f>IF(DF39="","",IFERROR(IF(INDEX(CODIFICACION!$E$2:$E$500,MATCH("PP1|"&amp;DF39,CODIFICACION!$F$2:$F$500,0))="sin dato","",INDEX(CODIFICACION!$E$2:$E$500,MATCH("PP1|"&amp;DF39,CODIFICACION!$F$2:$F$500,0))),"⚠"))</f>
        <v/>
      </c>
      <c r="CA39" t="str">
        <f>IF(DG39="","",IFERROR(IF(INDEX(CODIFICACION!$E$2:$E$500,MATCH("PP2|"&amp;DG39,CODIFICACION!$F$2:$F$500,0))="sin dato","",INDEX(CODIFICACION!$E$2:$E$500,MATCH("PP2|"&amp;DG39,CODIFICACION!$F$2:$F$500,0))),"⚠"))</f>
        <v/>
      </c>
      <c r="CB39" t="str">
        <f t="shared" si="39"/>
        <v/>
      </c>
      <c r="CC39" t="str">
        <f t="shared" ca="1" si="40"/>
        <v/>
      </c>
      <c r="CD39" t="str">
        <f t="shared" ca="1" si="41"/>
        <v/>
      </c>
      <c r="CE39" t="str">
        <f t="shared" si="42"/>
        <v/>
      </c>
      <c r="CF39" t="str">
        <f t="shared" si="43"/>
        <v/>
      </c>
      <c r="CG39" t="str">
        <f t="shared" ca="1" si="44"/>
        <v/>
      </c>
      <c r="CH39" t="str">
        <f t="shared" ca="1" si="45"/>
        <v/>
      </c>
      <c r="CI39" t="str">
        <f t="shared" si="46"/>
        <v/>
      </c>
      <c r="CJ39" t="str">
        <f t="shared" si="47"/>
        <v/>
      </c>
      <c r="CK39" t="str">
        <f t="shared" si="48"/>
        <v/>
      </c>
      <c r="CL39" t="str">
        <f t="shared" si="49"/>
        <v/>
      </c>
    </row>
    <row r="40" spans="1:90" x14ac:dyDescent="0.3">
      <c r="A40">
        <f>CAPTURA!A40</f>
        <v>20480458550</v>
      </c>
      <c r="B40">
        <f>CAPTURA!C40</f>
        <v>0</v>
      </c>
      <c r="C40" t="str">
        <f t="shared" si="25"/>
        <v/>
      </c>
      <c r="D40" t="str">
        <f>IF(AE40="","",IFERROR(IF(INDEX(CODIFICACION!$E$2:$E$500,MATCH("P8|"&amp;AE40,CODIFICACION!$F$2:$F$500,0))="sin dato","",INDEX(CODIFICACION!$E$2:$E$500,MATCH("P8|"&amp;AE40,CODIFICACION!$F$2:$F$500,0))),"⚠"))</f>
        <v/>
      </c>
      <c r="E40" t="str">
        <f>IF(AG40="","",IFERROR(IF(INDEX(CODIFICACION!$E$2:$E$500,MATCH("P10|"&amp;AG40,CODIFICACION!$F$2:$F$500,0))="sin dato","",INDEX(CODIFICACION!$E$2:$E$500,MATCH("P10|"&amp;AG40,CODIFICACION!$F$2:$F$500,0))),"⚠"))</f>
        <v/>
      </c>
      <c r="F40" t="str">
        <f>IF(AJ40="","",IFERROR(IF(INDEX(CODIFICACION!$E$2:$E$500,MATCH("P13|"&amp;AJ40,CODIFICACION!$F$2:$F$500,0))="sin dato","",INDEX(CODIFICACION!$E$2:$E$500,MATCH("P13|"&amp;AJ40,CODIFICACION!$F$2:$F$500,0))),"⚠"))</f>
        <v/>
      </c>
      <c r="G40" t="str">
        <f>IF(AK40="","",IFERROR(IF(INDEX(CODIFICACION!$E$2:$E$500,MATCH("P14|"&amp;AK40,CODIFICACION!$F$2:$F$500,0))="sin dato","",INDEX(CODIFICACION!$E$2:$E$500,MATCH("P14|"&amp;AK40,CODIFICACION!$F$2:$F$500,0))),"⚠"))</f>
        <v/>
      </c>
      <c r="H40" t="str">
        <f>IF(AL40="","",IFERROR(IF(INDEX(CODIFICACION!$E$2:$E$500,MATCH("D1.1|"&amp;AL40,CODIFICACION!$F$2:$F$500,0))="sin dato","",INDEX(CODIFICACION!$E$2:$E$500,MATCH("D1.1|"&amp;AL40,CODIFICACION!$F$2:$F$500,0))),"⚠"))</f>
        <v/>
      </c>
      <c r="I40" t="str">
        <f>IF(AN40="","",IFERROR(IF(INDEX(CODIFICACION!$E$2:$E$500,MATCH("D1.3|"&amp;AN40,CODIFICACION!$F$2:$F$500,0))="sin dato","",INDEX(CODIFICACION!$E$2:$E$500,MATCH("D1.3|"&amp;AN40,CODIFICACION!$F$2:$F$500,0))),"⚠"))</f>
        <v/>
      </c>
      <c r="J40" t="str">
        <f>IF(AO40="","",IFERROR(IF(INDEX(CODIFICACION!$E$2:$E$500,MATCH("D1.4|"&amp;AO40,CODIFICACION!$F$2:$F$500,0))="sin dato","",INDEX(CODIFICACION!$E$2:$E$500,MATCH("D1.4|"&amp;AO40,CODIFICACION!$F$2:$F$500,0))),"⚠"))</f>
        <v/>
      </c>
      <c r="K40" t="str">
        <f>IF(AP40="","",IFERROR(IF(INDEX(CODIFICACION!$E$2:$E$500,MATCH("D1.3a|"&amp;AP40,CODIFICACION!$F$2:$F$500,0))="sin dato","",INDEX(CODIFICACION!$E$2:$E$500,MATCH("D1.3a|"&amp;AP40,CODIFICACION!$F$2:$F$500,0))),"⚠"))</f>
        <v/>
      </c>
      <c r="L40" t="str">
        <f t="shared" si="26"/>
        <v/>
      </c>
      <c r="M40" t="str">
        <f t="shared" si="27"/>
        <v/>
      </c>
      <c r="N40" t="str">
        <f t="shared" si="28"/>
        <v/>
      </c>
      <c r="O40" t="str">
        <f>IF(AT40="","",IFERROR(IF(INDEX(CODIFICACION!$E$2:$E$500,MATCH("D2.8|"&amp;AT40,CODIFICACION!$F$2:$F$500,0))="sin dato","",INDEX(CODIFICACION!$E$2:$E$500,MATCH("D2.8|"&amp;AT40,CODIFICACION!$F$2:$F$500,0))),"⚠"))</f>
        <v/>
      </c>
      <c r="P40" t="str">
        <f>IF(AU40="","",IFERROR(IF(INDEX(CODIFICACION!$E$2:$E$500,MATCH("D2.9|"&amp;AU40,CODIFICACION!$F$2:$F$500,0))="sin dato","",INDEX(CODIFICACION!$E$2:$E$500,MATCH("D2.9|"&amp;AU40,CODIFICACION!$F$2:$F$500,0))),"⚠"))</f>
        <v/>
      </c>
      <c r="Q40" t="str">
        <f>IF(AV40="","",IFERROR(IF(INDEX(CODIFICACION!$E$2:$E$500,MATCH("D2.10|"&amp;AV40,CODIFICACION!$F$2:$F$500,0))="sin dato","",INDEX(CODIFICACION!$E$2:$E$500,MATCH("D2.10|"&amp;AV40,CODIFICACION!$F$2:$F$500,0))),"⚠"))</f>
        <v/>
      </c>
      <c r="R40" t="str">
        <f>IF(AW40="","",IFERROR(IF(INDEX(CODIFICACION!$E$2:$E$500,MATCH("D2.5a|"&amp;AW40,CODIFICACION!$F$2:$F$500,0))="sin dato","",INDEX(CODIFICACION!$E$2:$E$500,MATCH("D2.5a|"&amp;AW40,CODIFICACION!$F$2:$F$500,0))),"⚠"))</f>
        <v/>
      </c>
      <c r="S40" t="str">
        <f ca="1">IF(AX40="","",IFERROR(IF(INDEX(CODIFICACION!$E$2:$E$500,MATCH("D2.5b|"&amp;AX40,CODIFICACION!$F$2:$F$500,0))="sin dato","",INDEX(CODIFICACION!$E$2:$E$500,MATCH("D2.5b|"&amp;AX40,CODIFICACION!$F$2:$F$500,0))),"⚠"))</f>
        <v/>
      </c>
      <c r="T40" t="str">
        <f t="shared" ca="1" si="29"/>
        <v/>
      </c>
      <c r="U40" t="str">
        <f>IF(AZ40="","",IFERROR(IF(INDEX(CODIFICACION!$E$2:$E$500,MATCH("D3.12|"&amp;AZ40,CODIFICACION!$F$2:$F$500,0))="sin dato","",INDEX(CODIFICACION!$E$2:$E$500,MATCH("D3.12|"&amp;AZ40,CODIFICACION!$F$2:$F$500,0))),"⚠"))</f>
        <v/>
      </c>
      <c r="V40" t="str">
        <f t="shared" si="30"/>
        <v/>
      </c>
      <c r="W40" t="str">
        <f ca="1">IF(BB40="","",IFERROR(IF(INDEX(CODIFICACION!$E$2:$E$500,MATCH("D3.14|"&amp;BB40,CODIFICACION!$F$2:$F$500,0))="sin dato","",INDEX(CODIFICACION!$E$2:$E$500,MATCH("D3.14|"&amp;BB40,CODIFICACION!$F$2:$F$500,0))),"⚠"))</f>
        <v/>
      </c>
      <c r="X40" t="str">
        <f ca="1">IF(BC40="","",IFERROR(IF(INDEX(CODIFICACION!$E$2:$E$500,MATCH("D3.14a|"&amp;BC40,CODIFICACION!$F$2:$F$500,0))="sin dato","",INDEX(CODIFICACION!$E$2:$E$500,MATCH("D3.14a|"&amp;BC40,CODIFICACION!$F$2:$F$500,0))),"⚠"))</f>
        <v/>
      </c>
      <c r="Y40" t="str">
        <f>IF(BD40="","",IFERROR(IF(INDEX(CODIFICACION!$E$2:$E$500,MATCH("D3.14b|"&amp;BD40,CODIFICACION!$F$2:$F$500,0))="sin dato","",INDEX(CODIFICACION!$E$2:$E$500,MATCH("D3.14b|"&amp;BD40,CODIFICACION!$F$2:$F$500,0))),"⚠"))</f>
        <v/>
      </c>
      <c r="Z40" t="str">
        <f>IF(BE40="","",IFERROR(IF(INDEX(CODIFICACION!$E$2:$E$500,MATCH("D3.14c|"&amp;BE40,CODIFICACION!$F$2:$F$500,0))="sin dato","",INDEX(CODIFICACION!$E$2:$E$500,MATCH("D3.14c|"&amp;BE40,CODIFICACION!$F$2:$F$500,0))),"⚠"))</f>
        <v/>
      </c>
      <c r="AA40" t="str">
        <f>IF(BF40="","",IFERROR(IF(INDEX(CODIFICACION!$E$2:$E$500,MATCH("D3.14d|"&amp;BF40,CODIFICACION!$F$2:$F$500,0))="sin dato","",INDEX(CODIFICACION!$E$2:$E$500,MATCH("D3.14d|"&amp;BF40,CODIFICACION!$F$2:$F$500,0))),"⚠"))</f>
        <v/>
      </c>
      <c r="AB40" t="str">
        <f>IF(BG40="","",IFERROR(IF(INDEX(CODIFICACION!$E$2:$E$500,MATCH("D3.14e|"&amp;BG40,CODIFICACION!$F$2:$F$500,0))="sin dato","",INDEX(CODIFICACION!$E$2:$E$500,MATCH("D3.14e|"&amp;BG40,CODIFICACION!$F$2:$F$500,0))),"⚠"))</f>
        <v/>
      </c>
      <c r="AC40" t="str">
        <f>IF(BH40="","",IFERROR(IF(INDEX(CODIFICACION!$E$2:$E$500,MATCH("D3.14f|"&amp;BH40,CODIFICACION!$F$2:$F$500,0))="sin dato","",INDEX(CODIFICACION!$E$2:$E$500,MATCH("D3.14f|"&amp;BH40,CODIFICACION!$F$2:$F$500,0))),"⚠"))</f>
        <v/>
      </c>
      <c r="AD40" t="str">
        <f>IF(BI40="","",IFERROR(IF(INDEX(CODIFICACION!$E$2:$E$500,MATCH("D3.14g|"&amp;BI40,CODIFICACION!$F$2:$F$500,0))="sin dato","",INDEX(CODIFICACION!$E$2:$E$500,MATCH("D3.14g|"&amp;BI40,CODIFICACION!$F$2:$F$500,0))),"⚠"))</f>
        <v/>
      </c>
      <c r="AE40" t="str">
        <f>IF(BJ40="","",IFERROR(IF(INDEX(CODIFICACION!$E$2:$E$500,MATCH("D3.14h|"&amp;BJ40,CODIFICACION!$F$2:$F$500,0))="sin dato","",INDEX(CODIFICACION!$E$2:$E$500,MATCH("D3.14h|"&amp;BJ40,CODIFICACION!$F$2:$F$500,0))),"⚠"))</f>
        <v/>
      </c>
      <c r="AF40" t="str">
        <f>IF(BK40="","",IFERROR(IF(INDEX(CODIFICACION!$E$2:$E$500,MATCH("D3.14i|"&amp;BK40,CODIFICACION!$F$2:$F$500,0))="sin dato","",INDEX(CODIFICACION!$E$2:$E$500,MATCH("D3.14i|"&amp;BK40,CODIFICACION!$F$2:$F$500,0))),"⚠"))</f>
        <v/>
      </c>
      <c r="AG40" t="str">
        <f>IF(BL40="","",IFERROR(IF(INDEX(CODIFICACION!$E$2:$E$500,MATCH("D4.15|"&amp;BL40,CODIFICACION!$F$2:$F$500,0))="sin dato","",INDEX(CODIFICACION!$E$2:$E$500,MATCH("D4.15|"&amp;BL40,CODIFICACION!$F$2:$F$500,0))),"⚠"))</f>
        <v/>
      </c>
      <c r="AH40" t="str">
        <f t="shared" si="31"/>
        <v/>
      </c>
      <c r="AI40" t="str">
        <f>IF(BN40="","",IFERROR(IF(INDEX(CODIFICACION!$E$2:$E$500,MATCH("D4.17|"&amp;BN40,CODIFICACION!$F$2:$F$500,0))="sin dato","",INDEX(CODIFICACION!$E$2:$E$500,MATCH("D4.17|"&amp;BN40,CODIFICACION!$F$2:$F$500,0))),"⚠"))</f>
        <v/>
      </c>
      <c r="AJ40" t="str">
        <f>IF(BO40="","",IFERROR(IF(INDEX(CODIFICACION!$E$2:$E$500,MATCH("D4.15a|"&amp;BO40,CODIFICACION!$F$2:$F$500,0))="sin dato","",INDEX(CODIFICACION!$E$2:$E$500,MATCH("D4.15a|"&amp;BO40,CODIFICACION!$F$2:$F$500,0))),"⚠"))</f>
        <v/>
      </c>
      <c r="AK40" t="str">
        <f t="shared" si="32"/>
        <v/>
      </c>
      <c r="AL40" t="str">
        <f t="shared" si="33"/>
        <v/>
      </c>
      <c r="AM40" t="str">
        <f>IF(BR40="","",IFERROR(IF(INDEX(CODIFICACION!$E$2:$E$500,MATCH("D5.18b|"&amp;BR40,CODIFICACION!$F$2:$F$500,0))="sin dato","",INDEX(CODIFICACION!$E$2:$E$500,MATCH("D5.18b|"&amp;BR40,CODIFICACION!$F$2:$F$500,0))),"⚠"))</f>
        <v/>
      </c>
      <c r="AN40" t="str">
        <f>IF(BS40="","",IFERROR(IF(INDEX(CODIFICACION!$E$2:$E$500,MATCH("D5.19|"&amp;BS40,CODIFICACION!$F$2:$F$500,0))="sin dato","",INDEX(CODIFICACION!$E$2:$E$500,MATCH("D5.19|"&amp;BS40,CODIFICACION!$F$2:$F$500,0))),"⚠"))</f>
        <v/>
      </c>
      <c r="AO40" t="str">
        <f t="shared" si="34"/>
        <v/>
      </c>
      <c r="AP40" t="str">
        <f>IF(BU40="","",IFERROR(IF(INDEX(CODIFICACION!$E$2:$E$500,MATCH("D5.20|"&amp;BU40,CODIFICACION!$F$2:$F$500,0))="sin dato","",INDEX(CODIFICACION!$E$2:$E$500,MATCH("D5.20|"&amp;BU40,CODIFICACION!$F$2:$F$500,0))),"⚠"))</f>
        <v/>
      </c>
      <c r="AQ40" t="str">
        <f>IF(BV40="","",IFERROR(IF(INDEX(CODIFICACION!$E$2:$E$500,MATCH("D5.21|"&amp;BV40,CODIFICACION!$F$2:$F$500,0))="sin dato","",INDEX(CODIFICACION!$E$2:$E$500,MATCH("D5.21|"&amp;BV40,CODIFICACION!$F$2:$F$500,0))),"⚠"))</f>
        <v/>
      </c>
      <c r="AR40" t="str">
        <f>IF(BW40="","",IFERROR(IF(INDEX(CODIFICACION!$E$2:$E$500,MATCH("D5.21a|"&amp;BW40,CODIFICACION!$F$2:$F$500,0))="sin dato","",INDEX(CODIFICACION!$E$2:$E$500,MATCH("D5.21a|"&amp;BW40,CODIFICACION!$F$2:$F$500,0))),"⚠"))</f>
        <v/>
      </c>
      <c r="AS40" t="str">
        <f>IF(BX40="","",IFERROR(IF(INDEX(CODIFICACION!$E$2:$E$500,MATCH("D5.21b|"&amp;BX40,CODIFICACION!$F$2:$F$500,0))="sin dato","",INDEX(CODIFICACION!$E$2:$E$500,MATCH("D5.21b|"&amp;BX40,CODIFICACION!$F$2:$F$500,0))),"⚠"))</f>
        <v/>
      </c>
      <c r="AT40" t="str">
        <f>IF(BY40="","",IFERROR(IF(INDEX(CODIFICACION!$E$2:$E$500,MATCH("D6.22|"&amp;BY40,CODIFICACION!$F$2:$F$500,0))="sin dato","",INDEX(CODIFICACION!$E$2:$E$500,MATCH("D6.22|"&amp;BY40,CODIFICACION!$F$2:$F$500,0))),"⚠"))</f>
        <v/>
      </c>
      <c r="AU40" t="str">
        <f>IF(BZ40="","",IFERROR(IF(INDEX(CODIFICACION!$E$2:$E$500,MATCH("D6.22a|"&amp;BZ40,CODIFICACION!$F$2:$F$500,0))="sin dato","",INDEX(CODIFICACION!$E$2:$E$500,MATCH("D6.22a|"&amp;BZ40,CODIFICACION!$F$2:$F$500,0))),"⚠"))</f>
        <v/>
      </c>
      <c r="AV40" t="str">
        <f>IF(CA40="","",IFERROR(IF(INDEX(CODIFICACION!$E$2:$E$500,MATCH("D6.22b|"&amp;CA40,CODIFICACION!$F$2:$F$500,0))="sin dato","",INDEX(CODIFICACION!$E$2:$E$500,MATCH("D6.22b|"&amp;CA40,CODIFICACION!$F$2:$F$500,0))),"⚠"))</f>
        <v/>
      </c>
      <c r="AW40" t="str">
        <f>IF(CB40="","",IFERROR(IF(INDEX(CODIFICACION!$E$2:$E$500,MATCH("D6.23|"&amp;CB40,CODIFICACION!$F$2:$F$500,0))="sin dato","",INDEX(CODIFICACION!$E$2:$E$500,MATCH("D6.23|"&amp;CB40,CODIFICACION!$F$2:$F$500,0))),"⚠"))</f>
        <v/>
      </c>
      <c r="AX40" t="str">
        <f ca="1">IF(CC40="","",IFERROR(IF(INDEX(CODIFICACION!$E$2:$E$500,MATCH("D6.24|"&amp;CC40,CODIFICACION!$F$2:$F$500,0))="sin dato","",INDEX(CODIFICACION!$E$2:$E$500,MATCH("D6.24|"&amp;CC40,CODIFICACION!$F$2:$F$500,0))),"⚠"))</f>
        <v/>
      </c>
      <c r="AY40" t="str">
        <f ca="1">IF(CD40="","",IFERROR(IF(INDEX(CODIFICACION!$E$2:$E$500,MATCH("D6.25|"&amp;CD40,CODIFICACION!$F$2:$F$500,0))="sin dato","",INDEX(CODIFICACION!$E$2:$E$500,MATCH("D6.25|"&amp;CD40,CODIFICACION!$F$2:$F$500,0))),"⚠"))</f>
        <v/>
      </c>
      <c r="AZ40" t="str">
        <f>IF(CE40="","",IFERROR(IF(INDEX(CODIFICACION!$E$2:$E$500,MATCH("D6.25a|"&amp;CE40,CODIFICACION!$F$2:$F$500,0))="sin dato","",INDEX(CODIFICACION!$E$2:$E$500,MATCH("D6.25a|"&amp;CE40,CODIFICACION!$F$2:$F$500,0))),"⚠"))</f>
        <v/>
      </c>
      <c r="BA40" t="str">
        <f>IF(CF40="","",IFERROR(IF(INDEX(CODIFICACION!$E$2:$E$500,MATCH("D6.25b|"&amp;CF40,CODIFICACION!$F$2:$F$500,0))="sin dato","",INDEX(CODIFICACION!$E$2:$E$500,MATCH("D6.25b|"&amp;CF40,CODIFICACION!$F$2:$F$500,0))),"⚠"))</f>
        <v/>
      </c>
      <c r="BB40" t="str">
        <f ca="1">IF(CG40="","",IFERROR(IF(INDEX(CODIFICACION!$E$2:$E$500,MATCH("D6.22c|"&amp;CG40,CODIFICACION!$F$2:$F$500,0))="sin dato","",INDEX(CODIFICACION!$E$2:$E$500,MATCH("D6.22c|"&amp;CG40,CODIFICACION!$F$2:$F$500,0))),"⚠"))</f>
        <v/>
      </c>
      <c r="BC40" t="str">
        <f ca="1">IF(CH40="","",IFERROR(IF(INDEX(CODIFICACION!$E$2:$E$500,MATCH("D7.26|"&amp;CH40,CODIFICACION!$F$2:$F$500,0))="sin dato","",INDEX(CODIFICACION!$E$2:$E$500,MATCH("D7.26|"&amp;CH40,CODIFICACION!$F$2:$F$500,0))),"⚠"))</f>
        <v/>
      </c>
      <c r="BD40" t="str">
        <f>IF(CI40="","",IFERROR(IF(INDEX(CODIFICACION!$E$2:$E$500,MATCH("D7.27|"&amp;CI40,CODIFICACION!$F$2:$F$500,0))="sin dato","",INDEX(CODIFICACION!$E$2:$E$500,MATCH("D7.27|"&amp;CI40,CODIFICACION!$F$2:$F$500,0))),"⚠"))</f>
        <v/>
      </c>
      <c r="BE40" t="str">
        <f>IF(CJ40="","",IFERROR(IF(INDEX(CODIFICACION!$E$2:$E$500,MATCH("D7.28|"&amp;CJ40,CODIFICACION!$F$2:$F$500,0))="sin dato","",INDEX(CODIFICACION!$E$2:$E$500,MATCH("D7.28|"&amp;CJ40,CODIFICACION!$F$2:$F$500,0))),"⚠"))</f>
        <v/>
      </c>
      <c r="BF40" t="str">
        <f>IF(CK40="","",IFERROR(IF(INDEX(CODIFICACION!$E$2:$E$500,MATCH("D7.28b|"&amp;CK40,CODIFICACION!$F$2:$F$500,0))="sin dato","",INDEX(CODIFICACION!$E$2:$E$500,MATCH("D7.28b|"&amp;CK40,CODIFICACION!$F$2:$F$500,0))),"⚠"))</f>
        <v/>
      </c>
      <c r="BG40" t="str">
        <f t="shared" si="35"/>
        <v/>
      </c>
      <c r="BH40" t="str">
        <f>IF(CM40="","",IFERROR(IF(INDEX(CODIFICACION!$E$2:$E$500,MATCH("D7.26a|"&amp;CM40,CODIFICACION!$F$2:$F$500,0))="sin dato","",INDEX(CODIFICACION!$E$2:$E$500,MATCH("D7.26a|"&amp;CM40,CODIFICACION!$F$2:$F$500,0))),"⚠"))</f>
        <v/>
      </c>
      <c r="BI40" t="str">
        <f>IF(CN40="","",IFERROR(IF(INDEX(CODIFICACION!$E$2:$E$500,MATCH("D7.26b|"&amp;CN40,CODIFICACION!$F$2:$F$500,0))="sin dato","",INDEX(CODIFICACION!$E$2:$E$500,MATCH("D7.26b|"&amp;CN40,CODIFICACION!$F$2:$F$500,0))),"⚠"))</f>
        <v/>
      </c>
      <c r="BJ40" t="str">
        <f t="shared" si="36"/>
        <v/>
      </c>
      <c r="BK40" t="str">
        <f t="shared" si="37"/>
        <v/>
      </c>
      <c r="BL40" t="str">
        <f>IF(CQ40="","",IFERROR(IF(INDEX(CODIFICACION!$E$2:$E$500,MATCH("D8.31|"&amp;CQ40,CODIFICACION!$F$2:$F$500,0))="sin dato","",INDEX(CODIFICACION!$E$2:$E$500,MATCH("D8.31|"&amp;CQ40,CODIFICACION!$F$2:$F$500,0))),"⚠"))</f>
        <v/>
      </c>
      <c r="BM40" t="str">
        <f>IF(CR40="","",IFERROR(IF(INDEX(CODIFICACION!$E$2:$E$500,MATCH("D8.32|"&amp;CR40,CODIFICACION!$F$2:$F$500,0))="sin dato","",INDEX(CODIFICACION!$E$2:$E$500,MATCH("D8.32|"&amp;CR40,CODIFICACION!$F$2:$F$500,0))),"⚠"))</f>
        <v/>
      </c>
      <c r="BN40" t="str">
        <f>IF(CS40="","",IFERROR(IF(INDEX(CODIFICACION!$E$2:$E$500,MATCH("D9.33|"&amp;CS40,CODIFICACION!$F$2:$F$500,0))="sin dato","",INDEX(CODIFICACION!$E$2:$E$500,MATCH("D9.33|"&amp;CS40,CODIFICACION!$F$2:$F$500,0))),"⚠"))</f>
        <v/>
      </c>
      <c r="BO40" t="str">
        <f>IF(CT40="","",IFERROR(IF(INDEX(CODIFICACION!$E$2:$E$500,MATCH("D9.34|"&amp;CT40,CODIFICACION!$F$2:$F$500,0))="sin dato","",INDEX(CODIFICACION!$E$2:$E$500,MATCH("D9.34|"&amp;CT40,CODIFICACION!$F$2:$F$500,0))),"⚠"))</f>
        <v/>
      </c>
      <c r="BP40" t="str">
        <f>IF(CU40="","",IFERROR(IF(INDEX(CODIFICACION!$E$2:$E$500,MATCH("D9.35|"&amp;CU40,CODIFICACION!$F$2:$F$500,0))="sin dato","",INDEX(CODIFICACION!$E$2:$E$500,MATCH("D9.35|"&amp;CU40,CODIFICACION!$F$2:$F$500,0))),"⚠"))</f>
        <v/>
      </c>
      <c r="BQ40" t="str">
        <f>IF(CV40="","",IFERROR(IF(INDEX(CODIFICACION!$E$2:$E$500,MATCH("D10.36|"&amp;CV40,CODIFICACION!$F$2:$F$500,0))="sin dato","",INDEX(CODIFICACION!$E$2:$E$500,MATCH("D10.36|"&amp;CV40,CODIFICACION!$F$2:$F$500,0))),"⚠"))</f>
        <v/>
      </c>
      <c r="BR40" t="str">
        <f>IF(CW40="","",IFERROR(IF(INDEX(CODIFICACION!$E$2:$E$500,MATCH("D10.37|"&amp;CW40,CODIFICACION!$F$2:$F$500,0))="sin dato","",INDEX(CODIFICACION!$E$2:$E$500,MATCH("D10.37|"&amp;CW40,CODIFICACION!$F$2:$F$500,0))),"⚠"))</f>
        <v/>
      </c>
      <c r="BS40" t="str">
        <f>IF(CX40="","",IFERROR(IF(INDEX(CODIFICACION!$E$2:$E$500,MATCH("D10.36a|"&amp;CX40,CODIFICACION!$F$2:$F$500,0))="sin dato","",INDEX(CODIFICACION!$E$2:$E$500,MATCH("D10.36a|"&amp;CX40,CODIFICACION!$F$2:$F$500,0))),"⚠"))</f>
        <v/>
      </c>
      <c r="BT40" t="str">
        <f t="shared" si="38"/>
        <v/>
      </c>
      <c r="BU40" t="str">
        <f>IF(DA40="","",IFERROR(IF(INDEX(CODIFICACION!$E$2:$E$500,MATCH("D11.39a|"&amp;DA40,CODIFICACION!$F$2:$F$500,0))="sin dato","",INDEX(CODIFICACION!$E$2:$E$500,MATCH("D11.39a|"&amp;DA40,CODIFICACION!$F$2:$F$500,0))),"⚠"))</f>
        <v/>
      </c>
      <c r="BV40" t="str">
        <f>IF(DB40="","",IFERROR(IF(INDEX(CODIFICACION!$E$2:$E$500,MATCH("D12.42|"&amp;DB40,CODIFICACION!$F$2:$F$500,0))="sin dato","",INDEX(CODIFICACION!$E$2:$E$500,MATCH("D12.42|"&amp;DB40,CODIFICACION!$F$2:$F$500,0))),"⚠"))</f>
        <v/>
      </c>
      <c r="BW40" t="str">
        <f>IF(DC40="","",IFERROR(IF(INDEX(CODIFICACION!$E$2:$E$500,MATCH("D13.45|"&amp;DC40,CODIFICACION!$F$2:$F$500,0))="sin dato","",INDEX(CODIFICACION!$E$2:$E$500,MATCH("D13.45|"&amp;DC40,CODIFICACION!$F$2:$F$500,0))),"⚠"))</f>
        <v/>
      </c>
      <c r="BX40" t="str">
        <f>IF(DD40="","",IFERROR(IF(INDEX(CODIFICACION!$E$2:$E$500,MATCH("D14.51|"&amp;DD40,CODIFICACION!$F$2:$F$500,0))="sin dato","",INDEX(CODIFICACION!$E$2:$E$500,MATCH("D14.51|"&amp;DD40,CODIFICACION!$F$2:$F$500,0))),"⚠"))</f>
        <v/>
      </c>
      <c r="BY40" t="str">
        <f>IF(DE40="","",IFERROR(IF(INDEX(CODIFICACION!$E$2:$E$500,MATCH("D15.58|"&amp;DE40,CODIFICACION!$F$2:$F$500,0))="sin dato","",INDEX(CODIFICACION!$E$2:$E$500,MATCH("D15.58|"&amp;DE40,CODIFICACION!$F$2:$F$500,0))),"⚠"))</f>
        <v/>
      </c>
      <c r="BZ40" t="str">
        <f>IF(DF40="","",IFERROR(IF(INDEX(CODIFICACION!$E$2:$E$500,MATCH("PP1|"&amp;DF40,CODIFICACION!$F$2:$F$500,0))="sin dato","",INDEX(CODIFICACION!$E$2:$E$500,MATCH("PP1|"&amp;DF40,CODIFICACION!$F$2:$F$500,0))),"⚠"))</f>
        <v/>
      </c>
      <c r="CA40" t="str">
        <f>IF(DG40="","",IFERROR(IF(INDEX(CODIFICACION!$E$2:$E$500,MATCH("PP2|"&amp;DG40,CODIFICACION!$F$2:$F$500,0))="sin dato","",INDEX(CODIFICACION!$E$2:$E$500,MATCH("PP2|"&amp;DG40,CODIFICACION!$F$2:$F$500,0))),"⚠"))</f>
        <v/>
      </c>
      <c r="CB40" t="str">
        <f t="shared" si="39"/>
        <v/>
      </c>
      <c r="CC40" t="str">
        <f t="shared" ca="1" si="40"/>
        <v/>
      </c>
      <c r="CD40" t="str">
        <f t="shared" ca="1" si="41"/>
        <v/>
      </c>
      <c r="CE40" t="str">
        <f t="shared" si="42"/>
        <v/>
      </c>
      <c r="CF40" t="str">
        <f t="shared" si="43"/>
        <v/>
      </c>
      <c r="CG40" t="str">
        <f t="shared" ca="1" si="44"/>
        <v/>
      </c>
      <c r="CH40" t="str">
        <f t="shared" ca="1" si="45"/>
        <v/>
      </c>
      <c r="CI40" t="str">
        <f t="shared" si="46"/>
        <v/>
      </c>
      <c r="CJ40" t="str">
        <f t="shared" si="47"/>
        <v/>
      </c>
      <c r="CK40" t="str">
        <f t="shared" si="48"/>
        <v/>
      </c>
      <c r="CL40" t="str">
        <f t="shared" si="49"/>
        <v/>
      </c>
    </row>
    <row r="41" spans="1:90" x14ac:dyDescent="0.3">
      <c r="A41">
        <f>CAPTURA!A41</f>
        <v>20480762895</v>
      </c>
      <c r="B41">
        <f>CAPTURA!C41</f>
        <v>0</v>
      </c>
      <c r="C41" t="str">
        <f t="shared" si="25"/>
        <v/>
      </c>
      <c r="D41" t="str">
        <f>IF(AE41="","",IFERROR(IF(INDEX(CODIFICACION!$E$2:$E$500,MATCH("P8|"&amp;AE41,CODIFICACION!$F$2:$F$500,0))="sin dato","",INDEX(CODIFICACION!$E$2:$E$500,MATCH("P8|"&amp;AE41,CODIFICACION!$F$2:$F$500,0))),"⚠"))</f>
        <v/>
      </c>
      <c r="E41" t="str">
        <f>IF(AG41="","",IFERROR(IF(INDEX(CODIFICACION!$E$2:$E$500,MATCH("P10|"&amp;AG41,CODIFICACION!$F$2:$F$500,0))="sin dato","",INDEX(CODIFICACION!$E$2:$E$500,MATCH("P10|"&amp;AG41,CODIFICACION!$F$2:$F$500,0))),"⚠"))</f>
        <v/>
      </c>
      <c r="F41" t="str">
        <f>IF(AJ41="","",IFERROR(IF(INDEX(CODIFICACION!$E$2:$E$500,MATCH("P13|"&amp;AJ41,CODIFICACION!$F$2:$F$500,0))="sin dato","",INDEX(CODIFICACION!$E$2:$E$500,MATCH("P13|"&amp;AJ41,CODIFICACION!$F$2:$F$500,0))),"⚠"))</f>
        <v/>
      </c>
      <c r="G41" t="str">
        <f>IF(AK41="","",IFERROR(IF(INDEX(CODIFICACION!$E$2:$E$500,MATCH("P14|"&amp;AK41,CODIFICACION!$F$2:$F$500,0))="sin dato","",INDEX(CODIFICACION!$E$2:$E$500,MATCH("P14|"&amp;AK41,CODIFICACION!$F$2:$F$500,0))),"⚠"))</f>
        <v/>
      </c>
      <c r="H41" t="str">
        <f>IF(AL41="","",IFERROR(IF(INDEX(CODIFICACION!$E$2:$E$500,MATCH("D1.1|"&amp;AL41,CODIFICACION!$F$2:$F$500,0))="sin dato","",INDEX(CODIFICACION!$E$2:$E$500,MATCH("D1.1|"&amp;AL41,CODIFICACION!$F$2:$F$500,0))),"⚠"))</f>
        <v/>
      </c>
      <c r="I41" t="str">
        <f>IF(AN41="","",IFERROR(IF(INDEX(CODIFICACION!$E$2:$E$500,MATCH("D1.3|"&amp;AN41,CODIFICACION!$F$2:$F$500,0))="sin dato","",INDEX(CODIFICACION!$E$2:$E$500,MATCH("D1.3|"&amp;AN41,CODIFICACION!$F$2:$F$500,0))),"⚠"))</f>
        <v/>
      </c>
      <c r="J41" t="str">
        <f>IF(AO41="","",IFERROR(IF(INDEX(CODIFICACION!$E$2:$E$500,MATCH("D1.4|"&amp;AO41,CODIFICACION!$F$2:$F$500,0))="sin dato","",INDEX(CODIFICACION!$E$2:$E$500,MATCH("D1.4|"&amp;AO41,CODIFICACION!$F$2:$F$500,0))),"⚠"))</f>
        <v/>
      </c>
      <c r="K41" t="str">
        <f>IF(AP41="","",IFERROR(IF(INDEX(CODIFICACION!$E$2:$E$500,MATCH("D1.3a|"&amp;AP41,CODIFICACION!$F$2:$F$500,0))="sin dato","",INDEX(CODIFICACION!$E$2:$E$500,MATCH("D1.3a|"&amp;AP41,CODIFICACION!$F$2:$F$500,0))),"⚠"))</f>
        <v/>
      </c>
      <c r="L41" t="str">
        <f t="shared" si="26"/>
        <v/>
      </c>
      <c r="M41" t="str">
        <f t="shared" si="27"/>
        <v/>
      </c>
      <c r="N41" t="str">
        <f t="shared" si="28"/>
        <v/>
      </c>
      <c r="O41" t="str">
        <f>IF(AT41="","",IFERROR(IF(INDEX(CODIFICACION!$E$2:$E$500,MATCH("D2.8|"&amp;AT41,CODIFICACION!$F$2:$F$500,0))="sin dato","",INDEX(CODIFICACION!$E$2:$E$500,MATCH("D2.8|"&amp;AT41,CODIFICACION!$F$2:$F$500,0))),"⚠"))</f>
        <v/>
      </c>
      <c r="P41" t="str">
        <f>IF(AU41="","",IFERROR(IF(INDEX(CODIFICACION!$E$2:$E$500,MATCH("D2.9|"&amp;AU41,CODIFICACION!$F$2:$F$500,0))="sin dato","",INDEX(CODIFICACION!$E$2:$E$500,MATCH("D2.9|"&amp;AU41,CODIFICACION!$F$2:$F$500,0))),"⚠"))</f>
        <v/>
      </c>
      <c r="Q41" t="str">
        <f>IF(AV41="","",IFERROR(IF(INDEX(CODIFICACION!$E$2:$E$500,MATCH("D2.10|"&amp;AV41,CODIFICACION!$F$2:$F$500,0))="sin dato","",INDEX(CODIFICACION!$E$2:$E$500,MATCH("D2.10|"&amp;AV41,CODIFICACION!$F$2:$F$500,0))),"⚠"))</f>
        <v/>
      </c>
      <c r="R41" t="str">
        <f>IF(AW41="","",IFERROR(IF(INDEX(CODIFICACION!$E$2:$E$500,MATCH("D2.5a|"&amp;AW41,CODIFICACION!$F$2:$F$500,0))="sin dato","",INDEX(CODIFICACION!$E$2:$E$500,MATCH("D2.5a|"&amp;AW41,CODIFICACION!$F$2:$F$500,0))),"⚠"))</f>
        <v/>
      </c>
      <c r="S41" t="str">
        <f ca="1">IF(AX41="","",IFERROR(IF(INDEX(CODIFICACION!$E$2:$E$500,MATCH("D2.5b|"&amp;AX41,CODIFICACION!$F$2:$F$500,0))="sin dato","",INDEX(CODIFICACION!$E$2:$E$500,MATCH("D2.5b|"&amp;AX41,CODIFICACION!$F$2:$F$500,0))),"⚠"))</f>
        <v/>
      </c>
      <c r="T41" t="str">
        <f t="shared" ca="1" si="29"/>
        <v/>
      </c>
      <c r="U41" t="str">
        <f>IF(AZ41="","",IFERROR(IF(INDEX(CODIFICACION!$E$2:$E$500,MATCH("D3.12|"&amp;AZ41,CODIFICACION!$F$2:$F$500,0))="sin dato","",INDEX(CODIFICACION!$E$2:$E$500,MATCH("D3.12|"&amp;AZ41,CODIFICACION!$F$2:$F$500,0))),"⚠"))</f>
        <v/>
      </c>
      <c r="V41" t="str">
        <f t="shared" si="30"/>
        <v/>
      </c>
      <c r="W41" t="str">
        <f ca="1">IF(BB41="","",IFERROR(IF(INDEX(CODIFICACION!$E$2:$E$500,MATCH("D3.14|"&amp;BB41,CODIFICACION!$F$2:$F$500,0))="sin dato","",INDEX(CODIFICACION!$E$2:$E$500,MATCH("D3.14|"&amp;BB41,CODIFICACION!$F$2:$F$500,0))),"⚠"))</f>
        <v/>
      </c>
      <c r="X41" t="str">
        <f ca="1">IF(BC41="","",IFERROR(IF(INDEX(CODIFICACION!$E$2:$E$500,MATCH("D3.14a|"&amp;BC41,CODIFICACION!$F$2:$F$500,0))="sin dato","",INDEX(CODIFICACION!$E$2:$E$500,MATCH("D3.14a|"&amp;BC41,CODIFICACION!$F$2:$F$500,0))),"⚠"))</f>
        <v/>
      </c>
      <c r="Y41" t="str">
        <f>IF(BD41="","",IFERROR(IF(INDEX(CODIFICACION!$E$2:$E$500,MATCH("D3.14b|"&amp;BD41,CODIFICACION!$F$2:$F$500,0))="sin dato","",INDEX(CODIFICACION!$E$2:$E$500,MATCH("D3.14b|"&amp;BD41,CODIFICACION!$F$2:$F$500,0))),"⚠"))</f>
        <v/>
      </c>
      <c r="Z41" t="str">
        <f>IF(BE41="","",IFERROR(IF(INDEX(CODIFICACION!$E$2:$E$500,MATCH("D3.14c|"&amp;BE41,CODIFICACION!$F$2:$F$500,0))="sin dato","",INDEX(CODIFICACION!$E$2:$E$500,MATCH("D3.14c|"&amp;BE41,CODIFICACION!$F$2:$F$500,0))),"⚠"))</f>
        <v/>
      </c>
      <c r="AA41" t="str">
        <f>IF(BF41="","",IFERROR(IF(INDEX(CODIFICACION!$E$2:$E$500,MATCH("D3.14d|"&amp;BF41,CODIFICACION!$F$2:$F$500,0))="sin dato","",INDEX(CODIFICACION!$E$2:$E$500,MATCH("D3.14d|"&amp;BF41,CODIFICACION!$F$2:$F$500,0))),"⚠"))</f>
        <v/>
      </c>
      <c r="AB41" t="str">
        <f>IF(BG41="","",IFERROR(IF(INDEX(CODIFICACION!$E$2:$E$500,MATCH("D3.14e|"&amp;BG41,CODIFICACION!$F$2:$F$500,0))="sin dato","",INDEX(CODIFICACION!$E$2:$E$500,MATCH("D3.14e|"&amp;BG41,CODIFICACION!$F$2:$F$500,0))),"⚠"))</f>
        <v/>
      </c>
      <c r="AC41" t="str">
        <f>IF(BH41="","",IFERROR(IF(INDEX(CODIFICACION!$E$2:$E$500,MATCH("D3.14f|"&amp;BH41,CODIFICACION!$F$2:$F$500,0))="sin dato","",INDEX(CODIFICACION!$E$2:$E$500,MATCH("D3.14f|"&amp;BH41,CODIFICACION!$F$2:$F$500,0))),"⚠"))</f>
        <v/>
      </c>
      <c r="AD41" t="str">
        <f>IF(BI41="","",IFERROR(IF(INDEX(CODIFICACION!$E$2:$E$500,MATCH("D3.14g|"&amp;BI41,CODIFICACION!$F$2:$F$500,0))="sin dato","",INDEX(CODIFICACION!$E$2:$E$500,MATCH("D3.14g|"&amp;BI41,CODIFICACION!$F$2:$F$500,0))),"⚠"))</f>
        <v/>
      </c>
      <c r="AE41" t="str">
        <f>IF(BJ41="","",IFERROR(IF(INDEX(CODIFICACION!$E$2:$E$500,MATCH("D3.14h|"&amp;BJ41,CODIFICACION!$F$2:$F$500,0))="sin dato","",INDEX(CODIFICACION!$E$2:$E$500,MATCH("D3.14h|"&amp;BJ41,CODIFICACION!$F$2:$F$500,0))),"⚠"))</f>
        <v/>
      </c>
      <c r="AF41" t="str">
        <f>IF(BK41="","",IFERROR(IF(INDEX(CODIFICACION!$E$2:$E$500,MATCH("D3.14i|"&amp;BK41,CODIFICACION!$F$2:$F$500,0))="sin dato","",INDEX(CODIFICACION!$E$2:$E$500,MATCH("D3.14i|"&amp;BK41,CODIFICACION!$F$2:$F$500,0))),"⚠"))</f>
        <v/>
      </c>
      <c r="AG41" t="str">
        <f>IF(BL41="","",IFERROR(IF(INDEX(CODIFICACION!$E$2:$E$500,MATCH("D4.15|"&amp;BL41,CODIFICACION!$F$2:$F$500,0))="sin dato","",INDEX(CODIFICACION!$E$2:$E$500,MATCH("D4.15|"&amp;BL41,CODIFICACION!$F$2:$F$500,0))),"⚠"))</f>
        <v/>
      </c>
      <c r="AH41" t="str">
        <f t="shared" si="31"/>
        <v/>
      </c>
      <c r="AI41" t="str">
        <f>IF(BN41="","",IFERROR(IF(INDEX(CODIFICACION!$E$2:$E$500,MATCH("D4.17|"&amp;BN41,CODIFICACION!$F$2:$F$500,0))="sin dato","",INDEX(CODIFICACION!$E$2:$E$500,MATCH("D4.17|"&amp;BN41,CODIFICACION!$F$2:$F$500,0))),"⚠"))</f>
        <v/>
      </c>
      <c r="AJ41" t="str">
        <f>IF(BO41="","",IFERROR(IF(INDEX(CODIFICACION!$E$2:$E$500,MATCH("D4.15a|"&amp;BO41,CODIFICACION!$F$2:$F$500,0))="sin dato","",INDEX(CODIFICACION!$E$2:$E$500,MATCH("D4.15a|"&amp;BO41,CODIFICACION!$F$2:$F$500,0))),"⚠"))</f>
        <v/>
      </c>
      <c r="AK41" t="str">
        <f t="shared" si="32"/>
        <v/>
      </c>
      <c r="AL41" t="str">
        <f t="shared" si="33"/>
        <v/>
      </c>
      <c r="AM41" t="str">
        <f>IF(BR41="","",IFERROR(IF(INDEX(CODIFICACION!$E$2:$E$500,MATCH("D5.18b|"&amp;BR41,CODIFICACION!$F$2:$F$500,0))="sin dato","",INDEX(CODIFICACION!$E$2:$E$500,MATCH("D5.18b|"&amp;BR41,CODIFICACION!$F$2:$F$500,0))),"⚠"))</f>
        <v/>
      </c>
      <c r="AN41" t="str">
        <f>IF(BS41="","",IFERROR(IF(INDEX(CODIFICACION!$E$2:$E$500,MATCH("D5.19|"&amp;BS41,CODIFICACION!$F$2:$F$500,0))="sin dato","",INDEX(CODIFICACION!$E$2:$E$500,MATCH("D5.19|"&amp;BS41,CODIFICACION!$F$2:$F$500,0))),"⚠"))</f>
        <v/>
      </c>
      <c r="AO41" t="str">
        <f t="shared" si="34"/>
        <v/>
      </c>
      <c r="AP41" t="str">
        <f>IF(BU41="","",IFERROR(IF(INDEX(CODIFICACION!$E$2:$E$500,MATCH("D5.20|"&amp;BU41,CODIFICACION!$F$2:$F$500,0))="sin dato","",INDEX(CODIFICACION!$E$2:$E$500,MATCH("D5.20|"&amp;BU41,CODIFICACION!$F$2:$F$500,0))),"⚠"))</f>
        <v/>
      </c>
      <c r="AQ41" t="str">
        <f>IF(BV41="","",IFERROR(IF(INDEX(CODIFICACION!$E$2:$E$500,MATCH("D5.21|"&amp;BV41,CODIFICACION!$F$2:$F$500,0))="sin dato","",INDEX(CODIFICACION!$E$2:$E$500,MATCH("D5.21|"&amp;BV41,CODIFICACION!$F$2:$F$500,0))),"⚠"))</f>
        <v/>
      </c>
      <c r="AR41" t="str">
        <f>IF(BW41="","",IFERROR(IF(INDEX(CODIFICACION!$E$2:$E$500,MATCH("D5.21a|"&amp;BW41,CODIFICACION!$F$2:$F$500,0))="sin dato","",INDEX(CODIFICACION!$E$2:$E$500,MATCH("D5.21a|"&amp;BW41,CODIFICACION!$F$2:$F$500,0))),"⚠"))</f>
        <v/>
      </c>
      <c r="AS41" t="str">
        <f>IF(BX41="","",IFERROR(IF(INDEX(CODIFICACION!$E$2:$E$500,MATCH("D5.21b|"&amp;BX41,CODIFICACION!$F$2:$F$500,0))="sin dato","",INDEX(CODIFICACION!$E$2:$E$500,MATCH("D5.21b|"&amp;BX41,CODIFICACION!$F$2:$F$500,0))),"⚠"))</f>
        <v/>
      </c>
      <c r="AT41" t="str">
        <f>IF(BY41="","",IFERROR(IF(INDEX(CODIFICACION!$E$2:$E$500,MATCH("D6.22|"&amp;BY41,CODIFICACION!$F$2:$F$500,0))="sin dato","",INDEX(CODIFICACION!$E$2:$E$500,MATCH("D6.22|"&amp;BY41,CODIFICACION!$F$2:$F$500,0))),"⚠"))</f>
        <v/>
      </c>
      <c r="AU41" t="str">
        <f>IF(BZ41="","",IFERROR(IF(INDEX(CODIFICACION!$E$2:$E$500,MATCH("D6.22a|"&amp;BZ41,CODIFICACION!$F$2:$F$500,0))="sin dato","",INDEX(CODIFICACION!$E$2:$E$500,MATCH("D6.22a|"&amp;BZ41,CODIFICACION!$F$2:$F$500,0))),"⚠"))</f>
        <v/>
      </c>
      <c r="AV41" t="str">
        <f>IF(CA41="","",IFERROR(IF(INDEX(CODIFICACION!$E$2:$E$500,MATCH("D6.22b|"&amp;CA41,CODIFICACION!$F$2:$F$500,0))="sin dato","",INDEX(CODIFICACION!$E$2:$E$500,MATCH("D6.22b|"&amp;CA41,CODIFICACION!$F$2:$F$500,0))),"⚠"))</f>
        <v/>
      </c>
      <c r="AW41" t="str">
        <f>IF(CB41="","",IFERROR(IF(INDEX(CODIFICACION!$E$2:$E$500,MATCH("D6.23|"&amp;CB41,CODIFICACION!$F$2:$F$500,0))="sin dato","",INDEX(CODIFICACION!$E$2:$E$500,MATCH("D6.23|"&amp;CB41,CODIFICACION!$F$2:$F$500,0))),"⚠"))</f>
        <v/>
      </c>
      <c r="AX41" t="str">
        <f ca="1">IF(CC41="","",IFERROR(IF(INDEX(CODIFICACION!$E$2:$E$500,MATCH("D6.24|"&amp;CC41,CODIFICACION!$F$2:$F$500,0))="sin dato","",INDEX(CODIFICACION!$E$2:$E$500,MATCH("D6.24|"&amp;CC41,CODIFICACION!$F$2:$F$500,0))),"⚠"))</f>
        <v/>
      </c>
      <c r="AY41" t="str">
        <f ca="1">IF(CD41="","",IFERROR(IF(INDEX(CODIFICACION!$E$2:$E$500,MATCH("D6.25|"&amp;CD41,CODIFICACION!$F$2:$F$500,0))="sin dato","",INDEX(CODIFICACION!$E$2:$E$500,MATCH("D6.25|"&amp;CD41,CODIFICACION!$F$2:$F$500,0))),"⚠"))</f>
        <v/>
      </c>
      <c r="AZ41" t="str">
        <f>IF(CE41="","",IFERROR(IF(INDEX(CODIFICACION!$E$2:$E$500,MATCH("D6.25a|"&amp;CE41,CODIFICACION!$F$2:$F$500,0))="sin dato","",INDEX(CODIFICACION!$E$2:$E$500,MATCH("D6.25a|"&amp;CE41,CODIFICACION!$F$2:$F$500,0))),"⚠"))</f>
        <v/>
      </c>
      <c r="BA41" t="str">
        <f>IF(CF41="","",IFERROR(IF(INDEX(CODIFICACION!$E$2:$E$500,MATCH("D6.25b|"&amp;CF41,CODIFICACION!$F$2:$F$500,0))="sin dato","",INDEX(CODIFICACION!$E$2:$E$500,MATCH("D6.25b|"&amp;CF41,CODIFICACION!$F$2:$F$500,0))),"⚠"))</f>
        <v/>
      </c>
      <c r="BB41" t="str">
        <f ca="1">IF(CG41="","",IFERROR(IF(INDEX(CODIFICACION!$E$2:$E$500,MATCH("D6.22c|"&amp;CG41,CODIFICACION!$F$2:$F$500,0))="sin dato","",INDEX(CODIFICACION!$E$2:$E$500,MATCH("D6.22c|"&amp;CG41,CODIFICACION!$F$2:$F$500,0))),"⚠"))</f>
        <v/>
      </c>
      <c r="BC41" t="str">
        <f ca="1">IF(CH41="","",IFERROR(IF(INDEX(CODIFICACION!$E$2:$E$500,MATCH("D7.26|"&amp;CH41,CODIFICACION!$F$2:$F$500,0))="sin dato","",INDEX(CODIFICACION!$E$2:$E$500,MATCH("D7.26|"&amp;CH41,CODIFICACION!$F$2:$F$500,0))),"⚠"))</f>
        <v/>
      </c>
      <c r="BD41" t="str">
        <f>IF(CI41="","",IFERROR(IF(INDEX(CODIFICACION!$E$2:$E$500,MATCH("D7.27|"&amp;CI41,CODIFICACION!$F$2:$F$500,0))="sin dato","",INDEX(CODIFICACION!$E$2:$E$500,MATCH("D7.27|"&amp;CI41,CODIFICACION!$F$2:$F$500,0))),"⚠"))</f>
        <v/>
      </c>
      <c r="BE41" t="str">
        <f>IF(CJ41="","",IFERROR(IF(INDEX(CODIFICACION!$E$2:$E$500,MATCH("D7.28|"&amp;CJ41,CODIFICACION!$F$2:$F$500,0))="sin dato","",INDEX(CODIFICACION!$E$2:$E$500,MATCH("D7.28|"&amp;CJ41,CODIFICACION!$F$2:$F$500,0))),"⚠"))</f>
        <v/>
      </c>
      <c r="BF41" t="str">
        <f>IF(CK41="","",IFERROR(IF(INDEX(CODIFICACION!$E$2:$E$500,MATCH("D7.28b|"&amp;CK41,CODIFICACION!$F$2:$F$500,0))="sin dato","",INDEX(CODIFICACION!$E$2:$E$500,MATCH("D7.28b|"&amp;CK41,CODIFICACION!$F$2:$F$500,0))),"⚠"))</f>
        <v/>
      </c>
      <c r="BG41" t="str">
        <f t="shared" si="35"/>
        <v/>
      </c>
      <c r="BH41" t="str">
        <f>IF(CM41="","",IFERROR(IF(INDEX(CODIFICACION!$E$2:$E$500,MATCH("D7.26a|"&amp;CM41,CODIFICACION!$F$2:$F$500,0))="sin dato","",INDEX(CODIFICACION!$E$2:$E$500,MATCH("D7.26a|"&amp;CM41,CODIFICACION!$F$2:$F$500,0))),"⚠"))</f>
        <v/>
      </c>
      <c r="BI41" t="str">
        <f>IF(CN41="","",IFERROR(IF(INDEX(CODIFICACION!$E$2:$E$500,MATCH("D7.26b|"&amp;CN41,CODIFICACION!$F$2:$F$500,0))="sin dato","",INDEX(CODIFICACION!$E$2:$E$500,MATCH("D7.26b|"&amp;CN41,CODIFICACION!$F$2:$F$500,0))),"⚠"))</f>
        <v/>
      </c>
      <c r="BJ41" t="str">
        <f t="shared" si="36"/>
        <v/>
      </c>
      <c r="BK41" t="str">
        <f t="shared" si="37"/>
        <v/>
      </c>
      <c r="BL41" t="str">
        <f>IF(CQ41="","",IFERROR(IF(INDEX(CODIFICACION!$E$2:$E$500,MATCH("D8.31|"&amp;CQ41,CODIFICACION!$F$2:$F$500,0))="sin dato","",INDEX(CODIFICACION!$E$2:$E$500,MATCH("D8.31|"&amp;CQ41,CODIFICACION!$F$2:$F$500,0))),"⚠"))</f>
        <v/>
      </c>
      <c r="BM41" t="str">
        <f>IF(CR41="","",IFERROR(IF(INDEX(CODIFICACION!$E$2:$E$500,MATCH("D8.32|"&amp;CR41,CODIFICACION!$F$2:$F$500,0))="sin dato","",INDEX(CODIFICACION!$E$2:$E$500,MATCH("D8.32|"&amp;CR41,CODIFICACION!$F$2:$F$500,0))),"⚠"))</f>
        <v/>
      </c>
      <c r="BN41" t="str">
        <f>IF(CS41="","",IFERROR(IF(INDEX(CODIFICACION!$E$2:$E$500,MATCH("D9.33|"&amp;CS41,CODIFICACION!$F$2:$F$500,0))="sin dato","",INDEX(CODIFICACION!$E$2:$E$500,MATCH("D9.33|"&amp;CS41,CODIFICACION!$F$2:$F$500,0))),"⚠"))</f>
        <v/>
      </c>
      <c r="BO41" t="str">
        <f>IF(CT41="","",IFERROR(IF(INDEX(CODIFICACION!$E$2:$E$500,MATCH("D9.34|"&amp;CT41,CODIFICACION!$F$2:$F$500,0))="sin dato","",INDEX(CODIFICACION!$E$2:$E$500,MATCH("D9.34|"&amp;CT41,CODIFICACION!$F$2:$F$500,0))),"⚠"))</f>
        <v/>
      </c>
      <c r="BP41" t="str">
        <f>IF(CU41="","",IFERROR(IF(INDEX(CODIFICACION!$E$2:$E$500,MATCH("D9.35|"&amp;CU41,CODIFICACION!$F$2:$F$500,0))="sin dato","",INDEX(CODIFICACION!$E$2:$E$500,MATCH("D9.35|"&amp;CU41,CODIFICACION!$F$2:$F$500,0))),"⚠"))</f>
        <v/>
      </c>
      <c r="BQ41" t="str">
        <f>IF(CV41="","",IFERROR(IF(INDEX(CODIFICACION!$E$2:$E$500,MATCH("D10.36|"&amp;CV41,CODIFICACION!$F$2:$F$500,0))="sin dato","",INDEX(CODIFICACION!$E$2:$E$500,MATCH("D10.36|"&amp;CV41,CODIFICACION!$F$2:$F$500,0))),"⚠"))</f>
        <v/>
      </c>
      <c r="BR41" t="str">
        <f>IF(CW41="","",IFERROR(IF(INDEX(CODIFICACION!$E$2:$E$500,MATCH("D10.37|"&amp;CW41,CODIFICACION!$F$2:$F$500,0))="sin dato","",INDEX(CODIFICACION!$E$2:$E$500,MATCH("D10.37|"&amp;CW41,CODIFICACION!$F$2:$F$500,0))),"⚠"))</f>
        <v/>
      </c>
      <c r="BS41" t="str">
        <f>IF(CX41="","",IFERROR(IF(INDEX(CODIFICACION!$E$2:$E$500,MATCH("D10.36a|"&amp;CX41,CODIFICACION!$F$2:$F$500,0))="sin dato","",INDEX(CODIFICACION!$E$2:$E$500,MATCH("D10.36a|"&amp;CX41,CODIFICACION!$F$2:$F$500,0))),"⚠"))</f>
        <v/>
      </c>
      <c r="BT41" t="str">
        <f t="shared" si="38"/>
        <v/>
      </c>
      <c r="BU41" t="str">
        <f>IF(DA41="","",IFERROR(IF(INDEX(CODIFICACION!$E$2:$E$500,MATCH("D11.39a|"&amp;DA41,CODIFICACION!$F$2:$F$500,0))="sin dato","",INDEX(CODIFICACION!$E$2:$E$500,MATCH("D11.39a|"&amp;DA41,CODIFICACION!$F$2:$F$500,0))),"⚠"))</f>
        <v/>
      </c>
      <c r="BV41" t="str">
        <f>IF(DB41="","",IFERROR(IF(INDEX(CODIFICACION!$E$2:$E$500,MATCH("D12.42|"&amp;DB41,CODIFICACION!$F$2:$F$500,0))="sin dato","",INDEX(CODIFICACION!$E$2:$E$500,MATCH("D12.42|"&amp;DB41,CODIFICACION!$F$2:$F$500,0))),"⚠"))</f>
        <v/>
      </c>
      <c r="BW41" t="str">
        <f>IF(DC41="","",IFERROR(IF(INDEX(CODIFICACION!$E$2:$E$500,MATCH("D13.45|"&amp;DC41,CODIFICACION!$F$2:$F$500,0))="sin dato","",INDEX(CODIFICACION!$E$2:$E$500,MATCH("D13.45|"&amp;DC41,CODIFICACION!$F$2:$F$500,0))),"⚠"))</f>
        <v/>
      </c>
      <c r="BX41" t="str">
        <f>IF(DD41="","",IFERROR(IF(INDEX(CODIFICACION!$E$2:$E$500,MATCH("D14.51|"&amp;DD41,CODIFICACION!$F$2:$F$500,0))="sin dato","",INDEX(CODIFICACION!$E$2:$E$500,MATCH("D14.51|"&amp;DD41,CODIFICACION!$F$2:$F$500,0))),"⚠"))</f>
        <v/>
      </c>
      <c r="BY41" t="str">
        <f>IF(DE41="","",IFERROR(IF(INDEX(CODIFICACION!$E$2:$E$500,MATCH("D15.58|"&amp;DE41,CODIFICACION!$F$2:$F$500,0))="sin dato","",INDEX(CODIFICACION!$E$2:$E$500,MATCH("D15.58|"&amp;DE41,CODIFICACION!$F$2:$F$500,0))),"⚠"))</f>
        <v/>
      </c>
      <c r="BZ41" t="str">
        <f>IF(DF41="","",IFERROR(IF(INDEX(CODIFICACION!$E$2:$E$500,MATCH("PP1|"&amp;DF41,CODIFICACION!$F$2:$F$500,0))="sin dato","",INDEX(CODIFICACION!$E$2:$E$500,MATCH("PP1|"&amp;DF41,CODIFICACION!$F$2:$F$500,0))),"⚠"))</f>
        <v/>
      </c>
      <c r="CA41" t="str">
        <f>IF(DG41="","",IFERROR(IF(INDEX(CODIFICACION!$E$2:$E$500,MATCH("PP2|"&amp;DG41,CODIFICACION!$F$2:$F$500,0))="sin dato","",INDEX(CODIFICACION!$E$2:$E$500,MATCH("PP2|"&amp;DG41,CODIFICACION!$F$2:$F$500,0))),"⚠"))</f>
        <v/>
      </c>
      <c r="CB41" t="str">
        <f t="shared" si="39"/>
        <v/>
      </c>
      <c r="CC41" t="str">
        <f t="shared" ca="1" si="40"/>
        <v/>
      </c>
      <c r="CD41" t="str">
        <f t="shared" ca="1" si="41"/>
        <v/>
      </c>
      <c r="CE41" t="str">
        <f t="shared" si="42"/>
        <v/>
      </c>
      <c r="CF41" t="str">
        <f t="shared" si="43"/>
        <v/>
      </c>
      <c r="CG41" t="str">
        <f t="shared" ca="1" si="44"/>
        <v/>
      </c>
      <c r="CH41" t="str">
        <f t="shared" ca="1" si="45"/>
        <v/>
      </c>
      <c r="CI41" t="str">
        <f t="shared" si="46"/>
        <v/>
      </c>
      <c r="CJ41" t="str">
        <f t="shared" si="47"/>
        <v/>
      </c>
      <c r="CK41" t="str">
        <f t="shared" si="48"/>
        <v/>
      </c>
      <c r="CL41" t="str">
        <f t="shared" si="49"/>
        <v/>
      </c>
    </row>
    <row r="42" spans="1:90" x14ac:dyDescent="0.3">
      <c r="A42">
        <f>CAPTURA!A42</f>
        <v>20484163902</v>
      </c>
      <c r="B42">
        <f>CAPTURA!C42</f>
        <v>0</v>
      </c>
      <c r="C42" t="str">
        <f t="shared" si="25"/>
        <v/>
      </c>
      <c r="D42" t="str">
        <f>IF(AE42="","",IFERROR(IF(INDEX(CODIFICACION!$E$2:$E$500,MATCH("P8|"&amp;AE42,CODIFICACION!$F$2:$F$500,0))="sin dato","",INDEX(CODIFICACION!$E$2:$E$500,MATCH("P8|"&amp;AE42,CODIFICACION!$F$2:$F$500,0))),"⚠"))</f>
        <v/>
      </c>
      <c r="E42" t="str">
        <f>IF(AG42="","",IFERROR(IF(INDEX(CODIFICACION!$E$2:$E$500,MATCH("P10|"&amp;AG42,CODIFICACION!$F$2:$F$500,0))="sin dato","",INDEX(CODIFICACION!$E$2:$E$500,MATCH("P10|"&amp;AG42,CODIFICACION!$F$2:$F$500,0))),"⚠"))</f>
        <v/>
      </c>
      <c r="F42" t="str">
        <f>IF(AJ42="","",IFERROR(IF(INDEX(CODIFICACION!$E$2:$E$500,MATCH("P13|"&amp;AJ42,CODIFICACION!$F$2:$F$500,0))="sin dato","",INDEX(CODIFICACION!$E$2:$E$500,MATCH("P13|"&amp;AJ42,CODIFICACION!$F$2:$F$500,0))),"⚠"))</f>
        <v/>
      </c>
      <c r="G42" t="str">
        <f>IF(AK42="","",IFERROR(IF(INDEX(CODIFICACION!$E$2:$E$500,MATCH("P14|"&amp;AK42,CODIFICACION!$F$2:$F$500,0))="sin dato","",INDEX(CODIFICACION!$E$2:$E$500,MATCH("P14|"&amp;AK42,CODIFICACION!$F$2:$F$500,0))),"⚠"))</f>
        <v/>
      </c>
      <c r="H42" t="str">
        <f>IF(AL42="","",IFERROR(IF(INDEX(CODIFICACION!$E$2:$E$500,MATCH("D1.1|"&amp;AL42,CODIFICACION!$F$2:$F$500,0))="sin dato","",INDEX(CODIFICACION!$E$2:$E$500,MATCH("D1.1|"&amp;AL42,CODIFICACION!$F$2:$F$500,0))),"⚠"))</f>
        <v/>
      </c>
      <c r="I42" t="str">
        <f>IF(AN42="","",IFERROR(IF(INDEX(CODIFICACION!$E$2:$E$500,MATCH("D1.3|"&amp;AN42,CODIFICACION!$F$2:$F$500,0))="sin dato","",INDEX(CODIFICACION!$E$2:$E$500,MATCH("D1.3|"&amp;AN42,CODIFICACION!$F$2:$F$500,0))),"⚠"))</f>
        <v/>
      </c>
      <c r="J42" t="str">
        <f>IF(AO42="","",IFERROR(IF(INDEX(CODIFICACION!$E$2:$E$500,MATCH("D1.4|"&amp;AO42,CODIFICACION!$F$2:$F$500,0))="sin dato","",INDEX(CODIFICACION!$E$2:$E$500,MATCH("D1.4|"&amp;AO42,CODIFICACION!$F$2:$F$500,0))),"⚠"))</f>
        <v/>
      </c>
      <c r="K42" t="str">
        <f>IF(AP42="","",IFERROR(IF(INDEX(CODIFICACION!$E$2:$E$500,MATCH("D1.3a|"&amp;AP42,CODIFICACION!$F$2:$F$500,0))="sin dato","",INDEX(CODIFICACION!$E$2:$E$500,MATCH("D1.3a|"&amp;AP42,CODIFICACION!$F$2:$F$500,0))),"⚠"))</f>
        <v/>
      </c>
      <c r="L42" t="str">
        <f t="shared" si="26"/>
        <v/>
      </c>
      <c r="M42" t="str">
        <f t="shared" si="27"/>
        <v/>
      </c>
      <c r="N42" t="str">
        <f t="shared" si="28"/>
        <v/>
      </c>
      <c r="O42" t="str">
        <f>IF(AT42="","",IFERROR(IF(INDEX(CODIFICACION!$E$2:$E$500,MATCH("D2.8|"&amp;AT42,CODIFICACION!$F$2:$F$500,0))="sin dato","",INDEX(CODIFICACION!$E$2:$E$500,MATCH("D2.8|"&amp;AT42,CODIFICACION!$F$2:$F$500,0))),"⚠"))</f>
        <v/>
      </c>
      <c r="P42" t="str">
        <f>IF(AU42="","",IFERROR(IF(INDEX(CODIFICACION!$E$2:$E$500,MATCH("D2.9|"&amp;AU42,CODIFICACION!$F$2:$F$500,0))="sin dato","",INDEX(CODIFICACION!$E$2:$E$500,MATCH("D2.9|"&amp;AU42,CODIFICACION!$F$2:$F$500,0))),"⚠"))</f>
        <v/>
      </c>
      <c r="Q42" t="str">
        <f>IF(AV42="","",IFERROR(IF(INDEX(CODIFICACION!$E$2:$E$500,MATCH("D2.10|"&amp;AV42,CODIFICACION!$F$2:$F$500,0))="sin dato","",INDEX(CODIFICACION!$E$2:$E$500,MATCH("D2.10|"&amp;AV42,CODIFICACION!$F$2:$F$500,0))),"⚠"))</f>
        <v/>
      </c>
      <c r="R42" t="str">
        <f>IF(AW42="","",IFERROR(IF(INDEX(CODIFICACION!$E$2:$E$500,MATCH("D2.5a|"&amp;AW42,CODIFICACION!$F$2:$F$500,0))="sin dato","",INDEX(CODIFICACION!$E$2:$E$500,MATCH("D2.5a|"&amp;AW42,CODIFICACION!$F$2:$F$500,0))),"⚠"))</f>
        <v/>
      </c>
      <c r="S42" t="str">
        <f ca="1">IF(AX42="","",IFERROR(IF(INDEX(CODIFICACION!$E$2:$E$500,MATCH("D2.5b|"&amp;AX42,CODIFICACION!$F$2:$F$500,0))="sin dato","",INDEX(CODIFICACION!$E$2:$E$500,MATCH("D2.5b|"&amp;AX42,CODIFICACION!$F$2:$F$500,0))),"⚠"))</f>
        <v/>
      </c>
      <c r="T42" t="str">
        <f t="shared" ca="1" si="29"/>
        <v/>
      </c>
      <c r="U42" t="str">
        <f>IF(AZ42="","",IFERROR(IF(INDEX(CODIFICACION!$E$2:$E$500,MATCH("D3.12|"&amp;AZ42,CODIFICACION!$F$2:$F$500,0))="sin dato","",INDEX(CODIFICACION!$E$2:$E$500,MATCH("D3.12|"&amp;AZ42,CODIFICACION!$F$2:$F$500,0))),"⚠"))</f>
        <v/>
      </c>
      <c r="V42" t="str">
        <f t="shared" si="30"/>
        <v/>
      </c>
      <c r="W42" t="str">
        <f ca="1">IF(BB42="","",IFERROR(IF(INDEX(CODIFICACION!$E$2:$E$500,MATCH("D3.14|"&amp;BB42,CODIFICACION!$F$2:$F$500,0))="sin dato","",INDEX(CODIFICACION!$E$2:$E$500,MATCH("D3.14|"&amp;BB42,CODIFICACION!$F$2:$F$500,0))),"⚠"))</f>
        <v/>
      </c>
      <c r="X42" t="str">
        <f ca="1">IF(BC42="","",IFERROR(IF(INDEX(CODIFICACION!$E$2:$E$500,MATCH("D3.14a|"&amp;BC42,CODIFICACION!$F$2:$F$500,0))="sin dato","",INDEX(CODIFICACION!$E$2:$E$500,MATCH("D3.14a|"&amp;BC42,CODIFICACION!$F$2:$F$500,0))),"⚠"))</f>
        <v/>
      </c>
      <c r="Y42" t="str">
        <f>IF(BD42="","",IFERROR(IF(INDEX(CODIFICACION!$E$2:$E$500,MATCH("D3.14b|"&amp;BD42,CODIFICACION!$F$2:$F$500,0))="sin dato","",INDEX(CODIFICACION!$E$2:$E$500,MATCH("D3.14b|"&amp;BD42,CODIFICACION!$F$2:$F$500,0))),"⚠"))</f>
        <v/>
      </c>
      <c r="Z42" t="str">
        <f>IF(BE42="","",IFERROR(IF(INDEX(CODIFICACION!$E$2:$E$500,MATCH("D3.14c|"&amp;BE42,CODIFICACION!$F$2:$F$500,0))="sin dato","",INDEX(CODIFICACION!$E$2:$E$500,MATCH("D3.14c|"&amp;BE42,CODIFICACION!$F$2:$F$500,0))),"⚠"))</f>
        <v/>
      </c>
      <c r="AA42" t="str">
        <f>IF(BF42="","",IFERROR(IF(INDEX(CODIFICACION!$E$2:$E$500,MATCH("D3.14d|"&amp;BF42,CODIFICACION!$F$2:$F$500,0))="sin dato","",INDEX(CODIFICACION!$E$2:$E$500,MATCH("D3.14d|"&amp;BF42,CODIFICACION!$F$2:$F$500,0))),"⚠"))</f>
        <v/>
      </c>
      <c r="AB42" t="str">
        <f>IF(BG42="","",IFERROR(IF(INDEX(CODIFICACION!$E$2:$E$500,MATCH("D3.14e|"&amp;BG42,CODIFICACION!$F$2:$F$500,0))="sin dato","",INDEX(CODIFICACION!$E$2:$E$500,MATCH("D3.14e|"&amp;BG42,CODIFICACION!$F$2:$F$500,0))),"⚠"))</f>
        <v/>
      </c>
      <c r="AC42" t="str">
        <f>IF(BH42="","",IFERROR(IF(INDEX(CODIFICACION!$E$2:$E$500,MATCH("D3.14f|"&amp;BH42,CODIFICACION!$F$2:$F$500,0))="sin dato","",INDEX(CODIFICACION!$E$2:$E$500,MATCH("D3.14f|"&amp;BH42,CODIFICACION!$F$2:$F$500,0))),"⚠"))</f>
        <v/>
      </c>
      <c r="AD42" t="str">
        <f>IF(BI42="","",IFERROR(IF(INDEX(CODIFICACION!$E$2:$E$500,MATCH("D3.14g|"&amp;BI42,CODIFICACION!$F$2:$F$500,0))="sin dato","",INDEX(CODIFICACION!$E$2:$E$500,MATCH("D3.14g|"&amp;BI42,CODIFICACION!$F$2:$F$500,0))),"⚠"))</f>
        <v/>
      </c>
      <c r="AE42" t="str">
        <f>IF(BJ42="","",IFERROR(IF(INDEX(CODIFICACION!$E$2:$E$500,MATCH("D3.14h|"&amp;BJ42,CODIFICACION!$F$2:$F$500,0))="sin dato","",INDEX(CODIFICACION!$E$2:$E$500,MATCH("D3.14h|"&amp;BJ42,CODIFICACION!$F$2:$F$500,0))),"⚠"))</f>
        <v/>
      </c>
      <c r="AF42" t="str">
        <f>IF(BK42="","",IFERROR(IF(INDEX(CODIFICACION!$E$2:$E$500,MATCH("D3.14i|"&amp;BK42,CODIFICACION!$F$2:$F$500,0))="sin dato","",INDEX(CODIFICACION!$E$2:$E$500,MATCH("D3.14i|"&amp;BK42,CODIFICACION!$F$2:$F$500,0))),"⚠"))</f>
        <v/>
      </c>
      <c r="AG42" t="str">
        <f>IF(BL42="","",IFERROR(IF(INDEX(CODIFICACION!$E$2:$E$500,MATCH("D4.15|"&amp;BL42,CODIFICACION!$F$2:$F$500,0))="sin dato","",INDEX(CODIFICACION!$E$2:$E$500,MATCH("D4.15|"&amp;BL42,CODIFICACION!$F$2:$F$500,0))),"⚠"))</f>
        <v/>
      </c>
      <c r="AH42" t="str">
        <f t="shared" si="31"/>
        <v/>
      </c>
      <c r="AI42" t="str">
        <f>IF(BN42="","",IFERROR(IF(INDEX(CODIFICACION!$E$2:$E$500,MATCH("D4.17|"&amp;BN42,CODIFICACION!$F$2:$F$500,0))="sin dato","",INDEX(CODIFICACION!$E$2:$E$500,MATCH("D4.17|"&amp;BN42,CODIFICACION!$F$2:$F$500,0))),"⚠"))</f>
        <v/>
      </c>
      <c r="AJ42" t="str">
        <f>IF(BO42="","",IFERROR(IF(INDEX(CODIFICACION!$E$2:$E$500,MATCH("D4.15a|"&amp;BO42,CODIFICACION!$F$2:$F$500,0))="sin dato","",INDEX(CODIFICACION!$E$2:$E$500,MATCH("D4.15a|"&amp;BO42,CODIFICACION!$F$2:$F$500,0))),"⚠"))</f>
        <v/>
      </c>
      <c r="AK42" t="str">
        <f t="shared" si="32"/>
        <v/>
      </c>
      <c r="AL42" t="str">
        <f t="shared" si="33"/>
        <v/>
      </c>
      <c r="AM42" t="str">
        <f>IF(BR42="","",IFERROR(IF(INDEX(CODIFICACION!$E$2:$E$500,MATCH("D5.18b|"&amp;BR42,CODIFICACION!$F$2:$F$500,0))="sin dato","",INDEX(CODIFICACION!$E$2:$E$500,MATCH("D5.18b|"&amp;BR42,CODIFICACION!$F$2:$F$500,0))),"⚠"))</f>
        <v/>
      </c>
      <c r="AN42" t="str">
        <f>IF(BS42="","",IFERROR(IF(INDEX(CODIFICACION!$E$2:$E$500,MATCH("D5.19|"&amp;BS42,CODIFICACION!$F$2:$F$500,0))="sin dato","",INDEX(CODIFICACION!$E$2:$E$500,MATCH("D5.19|"&amp;BS42,CODIFICACION!$F$2:$F$500,0))),"⚠"))</f>
        <v/>
      </c>
      <c r="AO42" t="str">
        <f t="shared" si="34"/>
        <v/>
      </c>
      <c r="AP42" t="str">
        <f>IF(BU42="","",IFERROR(IF(INDEX(CODIFICACION!$E$2:$E$500,MATCH("D5.20|"&amp;BU42,CODIFICACION!$F$2:$F$500,0))="sin dato","",INDEX(CODIFICACION!$E$2:$E$500,MATCH("D5.20|"&amp;BU42,CODIFICACION!$F$2:$F$500,0))),"⚠"))</f>
        <v/>
      </c>
      <c r="AQ42" t="str">
        <f>IF(BV42="","",IFERROR(IF(INDEX(CODIFICACION!$E$2:$E$500,MATCH("D5.21|"&amp;BV42,CODIFICACION!$F$2:$F$500,0))="sin dato","",INDEX(CODIFICACION!$E$2:$E$500,MATCH("D5.21|"&amp;BV42,CODIFICACION!$F$2:$F$500,0))),"⚠"))</f>
        <v/>
      </c>
      <c r="AR42" t="str">
        <f>IF(BW42="","",IFERROR(IF(INDEX(CODIFICACION!$E$2:$E$500,MATCH("D5.21a|"&amp;BW42,CODIFICACION!$F$2:$F$500,0))="sin dato","",INDEX(CODIFICACION!$E$2:$E$500,MATCH("D5.21a|"&amp;BW42,CODIFICACION!$F$2:$F$500,0))),"⚠"))</f>
        <v/>
      </c>
      <c r="AS42" t="str">
        <f>IF(BX42="","",IFERROR(IF(INDEX(CODIFICACION!$E$2:$E$500,MATCH("D5.21b|"&amp;BX42,CODIFICACION!$F$2:$F$500,0))="sin dato","",INDEX(CODIFICACION!$E$2:$E$500,MATCH("D5.21b|"&amp;BX42,CODIFICACION!$F$2:$F$500,0))),"⚠"))</f>
        <v/>
      </c>
      <c r="AT42" t="str">
        <f>IF(BY42="","",IFERROR(IF(INDEX(CODIFICACION!$E$2:$E$500,MATCH("D6.22|"&amp;BY42,CODIFICACION!$F$2:$F$500,0))="sin dato","",INDEX(CODIFICACION!$E$2:$E$500,MATCH("D6.22|"&amp;BY42,CODIFICACION!$F$2:$F$500,0))),"⚠"))</f>
        <v/>
      </c>
      <c r="AU42" t="str">
        <f>IF(BZ42="","",IFERROR(IF(INDEX(CODIFICACION!$E$2:$E$500,MATCH("D6.22a|"&amp;BZ42,CODIFICACION!$F$2:$F$500,0))="sin dato","",INDEX(CODIFICACION!$E$2:$E$500,MATCH("D6.22a|"&amp;BZ42,CODIFICACION!$F$2:$F$500,0))),"⚠"))</f>
        <v/>
      </c>
      <c r="AV42" t="str">
        <f>IF(CA42="","",IFERROR(IF(INDEX(CODIFICACION!$E$2:$E$500,MATCH("D6.22b|"&amp;CA42,CODIFICACION!$F$2:$F$500,0))="sin dato","",INDEX(CODIFICACION!$E$2:$E$500,MATCH("D6.22b|"&amp;CA42,CODIFICACION!$F$2:$F$500,0))),"⚠"))</f>
        <v/>
      </c>
      <c r="AW42" t="str">
        <f>IF(CB42="","",IFERROR(IF(INDEX(CODIFICACION!$E$2:$E$500,MATCH("D6.23|"&amp;CB42,CODIFICACION!$F$2:$F$500,0))="sin dato","",INDEX(CODIFICACION!$E$2:$E$500,MATCH("D6.23|"&amp;CB42,CODIFICACION!$F$2:$F$500,0))),"⚠"))</f>
        <v/>
      </c>
      <c r="AX42" t="str">
        <f ca="1">IF(CC42="","",IFERROR(IF(INDEX(CODIFICACION!$E$2:$E$500,MATCH("D6.24|"&amp;CC42,CODIFICACION!$F$2:$F$500,0))="sin dato","",INDEX(CODIFICACION!$E$2:$E$500,MATCH("D6.24|"&amp;CC42,CODIFICACION!$F$2:$F$500,0))),"⚠"))</f>
        <v/>
      </c>
      <c r="AY42" t="str">
        <f ca="1">IF(CD42="","",IFERROR(IF(INDEX(CODIFICACION!$E$2:$E$500,MATCH("D6.25|"&amp;CD42,CODIFICACION!$F$2:$F$500,0))="sin dato","",INDEX(CODIFICACION!$E$2:$E$500,MATCH("D6.25|"&amp;CD42,CODIFICACION!$F$2:$F$500,0))),"⚠"))</f>
        <v/>
      </c>
      <c r="AZ42" t="str">
        <f>IF(CE42="","",IFERROR(IF(INDEX(CODIFICACION!$E$2:$E$500,MATCH("D6.25a|"&amp;CE42,CODIFICACION!$F$2:$F$500,0))="sin dato","",INDEX(CODIFICACION!$E$2:$E$500,MATCH("D6.25a|"&amp;CE42,CODIFICACION!$F$2:$F$500,0))),"⚠"))</f>
        <v/>
      </c>
      <c r="BA42" t="str">
        <f>IF(CF42="","",IFERROR(IF(INDEX(CODIFICACION!$E$2:$E$500,MATCH("D6.25b|"&amp;CF42,CODIFICACION!$F$2:$F$500,0))="sin dato","",INDEX(CODIFICACION!$E$2:$E$500,MATCH("D6.25b|"&amp;CF42,CODIFICACION!$F$2:$F$500,0))),"⚠"))</f>
        <v/>
      </c>
      <c r="BB42" t="str">
        <f ca="1">IF(CG42="","",IFERROR(IF(INDEX(CODIFICACION!$E$2:$E$500,MATCH("D6.22c|"&amp;CG42,CODIFICACION!$F$2:$F$500,0))="sin dato","",INDEX(CODIFICACION!$E$2:$E$500,MATCH("D6.22c|"&amp;CG42,CODIFICACION!$F$2:$F$500,0))),"⚠"))</f>
        <v/>
      </c>
      <c r="BC42" t="str">
        <f ca="1">IF(CH42="","",IFERROR(IF(INDEX(CODIFICACION!$E$2:$E$500,MATCH("D7.26|"&amp;CH42,CODIFICACION!$F$2:$F$500,0))="sin dato","",INDEX(CODIFICACION!$E$2:$E$500,MATCH("D7.26|"&amp;CH42,CODIFICACION!$F$2:$F$500,0))),"⚠"))</f>
        <v/>
      </c>
      <c r="BD42" t="str">
        <f>IF(CI42="","",IFERROR(IF(INDEX(CODIFICACION!$E$2:$E$500,MATCH("D7.27|"&amp;CI42,CODIFICACION!$F$2:$F$500,0))="sin dato","",INDEX(CODIFICACION!$E$2:$E$500,MATCH("D7.27|"&amp;CI42,CODIFICACION!$F$2:$F$500,0))),"⚠"))</f>
        <v/>
      </c>
      <c r="BE42" t="str">
        <f>IF(CJ42="","",IFERROR(IF(INDEX(CODIFICACION!$E$2:$E$500,MATCH("D7.28|"&amp;CJ42,CODIFICACION!$F$2:$F$500,0))="sin dato","",INDEX(CODIFICACION!$E$2:$E$500,MATCH("D7.28|"&amp;CJ42,CODIFICACION!$F$2:$F$500,0))),"⚠"))</f>
        <v/>
      </c>
      <c r="BF42" t="str">
        <f>IF(CK42="","",IFERROR(IF(INDEX(CODIFICACION!$E$2:$E$500,MATCH("D7.28b|"&amp;CK42,CODIFICACION!$F$2:$F$500,0))="sin dato","",INDEX(CODIFICACION!$E$2:$E$500,MATCH("D7.28b|"&amp;CK42,CODIFICACION!$F$2:$F$500,0))),"⚠"))</f>
        <v/>
      </c>
      <c r="BG42" t="str">
        <f t="shared" si="35"/>
        <v/>
      </c>
      <c r="BH42" t="str">
        <f>IF(CM42="","",IFERROR(IF(INDEX(CODIFICACION!$E$2:$E$500,MATCH("D7.26a|"&amp;CM42,CODIFICACION!$F$2:$F$500,0))="sin dato","",INDEX(CODIFICACION!$E$2:$E$500,MATCH("D7.26a|"&amp;CM42,CODIFICACION!$F$2:$F$500,0))),"⚠"))</f>
        <v/>
      </c>
      <c r="BI42" t="str">
        <f>IF(CN42="","",IFERROR(IF(INDEX(CODIFICACION!$E$2:$E$500,MATCH("D7.26b|"&amp;CN42,CODIFICACION!$F$2:$F$500,0))="sin dato","",INDEX(CODIFICACION!$E$2:$E$500,MATCH("D7.26b|"&amp;CN42,CODIFICACION!$F$2:$F$500,0))),"⚠"))</f>
        <v/>
      </c>
      <c r="BJ42" t="str">
        <f t="shared" si="36"/>
        <v/>
      </c>
      <c r="BK42" t="str">
        <f t="shared" si="37"/>
        <v/>
      </c>
      <c r="BL42" t="str">
        <f>IF(CQ42="","",IFERROR(IF(INDEX(CODIFICACION!$E$2:$E$500,MATCH("D8.31|"&amp;CQ42,CODIFICACION!$F$2:$F$500,0))="sin dato","",INDEX(CODIFICACION!$E$2:$E$500,MATCH("D8.31|"&amp;CQ42,CODIFICACION!$F$2:$F$500,0))),"⚠"))</f>
        <v/>
      </c>
      <c r="BM42" t="str">
        <f>IF(CR42="","",IFERROR(IF(INDEX(CODIFICACION!$E$2:$E$500,MATCH("D8.32|"&amp;CR42,CODIFICACION!$F$2:$F$500,0))="sin dato","",INDEX(CODIFICACION!$E$2:$E$500,MATCH("D8.32|"&amp;CR42,CODIFICACION!$F$2:$F$500,0))),"⚠"))</f>
        <v/>
      </c>
      <c r="BN42" t="str">
        <f>IF(CS42="","",IFERROR(IF(INDEX(CODIFICACION!$E$2:$E$500,MATCH("D9.33|"&amp;CS42,CODIFICACION!$F$2:$F$500,0))="sin dato","",INDEX(CODIFICACION!$E$2:$E$500,MATCH("D9.33|"&amp;CS42,CODIFICACION!$F$2:$F$500,0))),"⚠"))</f>
        <v/>
      </c>
      <c r="BO42" t="str">
        <f>IF(CT42="","",IFERROR(IF(INDEX(CODIFICACION!$E$2:$E$500,MATCH("D9.34|"&amp;CT42,CODIFICACION!$F$2:$F$500,0))="sin dato","",INDEX(CODIFICACION!$E$2:$E$500,MATCH("D9.34|"&amp;CT42,CODIFICACION!$F$2:$F$500,0))),"⚠"))</f>
        <v/>
      </c>
      <c r="BP42" t="str">
        <f>IF(CU42="","",IFERROR(IF(INDEX(CODIFICACION!$E$2:$E$500,MATCH("D9.35|"&amp;CU42,CODIFICACION!$F$2:$F$500,0))="sin dato","",INDEX(CODIFICACION!$E$2:$E$500,MATCH("D9.35|"&amp;CU42,CODIFICACION!$F$2:$F$500,0))),"⚠"))</f>
        <v/>
      </c>
      <c r="BQ42" t="str">
        <f>IF(CV42="","",IFERROR(IF(INDEX(CODIFICACION!$E$2:$E$500,MATCH("D10.36|"&amp;CV42,CODIFICACION!$F$2:$F$500,0))="sin dato","",INDEX(CODIFICACION!$E$2:$E$500,MATCH("D10.36|"&amp;CV42,CODIFICACION!$F$2:$F$500,0))),"⚠"))</f>
        <v/>
      </c>
      <c r="BR42" t="str">
        <f>IF(CW42="","",IFERROR(IF(INDEX(CODIFICACION!$E$2:$E$500,MATCH("D10.37|"&amp;CW42,CODIFICACION!$F$2:$F$500,0))="sin dato","",INDEX(CODIFICACION!$E$2:$E$500,MATCH("D10.37|"&amp;CW42,CODIFICACION!$F$2:$F$500,0))),"⚠"))</f>
        <v/>
      </c>
      <c r="BS42" t="str">
        <f>IF(CX42="","",IFERROR(IF(INDEX(CODIFICACION!$E$2:$E$500,MATCH("D10.36a|"&amp;CX42,CODIFICACION!$F$2:$F$500,0))="sin dato","",INDEX(CODIFICACION!$E$2:$E$500,MATCH("D10.36a|"&amp;CX42,CODIFICACION!$F$2:$F$500,0))),"⚠"))</f>
        <v/>
      </c>
      <c r="BT42" t="str">
        <f t="shared" si="38"/>
        <v/>
      </c>
      <c r="BU42" t="str">
        <f>IF(DA42="","",IFERROR(IF(INDEX(CODIFICACION!$E$2:$E$500,MATCH("D11.39a|"&amp;DA42,CODIFICACION!$F$2:$F$500,0))="sin dato","",INDEX(CODIFICACION!$E$2:$E$500,MATCH("D11.39a|"&amp;DA42,CODIFICACION!$F$2:$F$500,0))),"⚠"))</f>
        <v/>
      </c>
      <c r="BV42" t="str">
        <f>IF(DB42="","",IFERROR(IF(INDEX(CODIFICACION!$E$2:$E$500,MATCH("D12.42|"&amp;DB42,CODIFICACION!$F$2:$F$500,0))="sin dato","",INDEX(CODIFICACION!$E$2:$E$500,MATCH("D12.42|"&amp;DB42,CODIFICACION!$F$2:$F$500,0))),"⚠"))</f>
        <v/>
      </c>
      <c r="BW42" t="str">
        <f>IF(DC42="","",IFERROR(IF(INDEX(CODIFICACION!$E$2:$E$500,MATCH("D13.45|"&amp;DC42,CODIFICACION!$F$2:$F$500,0))="sin dato","",INDEX(CODIFICACION!$E$2:$E$500,MATCH("D13.45|"&amp;DC42,CODIFICACION!$F$2:$F$500,0))),"⚠"))</f>
        <v/>
      </c>
      <c r="BX42" t="str">
        <f>IF(DD42="","",IFERROR(IF(INDEX(CODIFICACION!$E$2:$E$500,MATCH("D14.51|"&amp;DD42,CODIFICACION!$F$2:$F$500,0))="sin dato","",INDEX(CODIFICACION!$E$2:$E$500,MATCH("D14.51|"&amp;DD42,CODIFICACION!$F$2:$F$500,0))),"⚠"))</f>
        <v/>
      </c>
      <c r="BY42" t="str">
        <f>IF(DE42="","",IFERROR(IF(INDEX(CODIFICACION!$E$2:$E$500,MATCH("D15.58|"&amp;DE42,CODIFICACION!$F$2:$F$500,0))="sin dato","",INDEX(CODIFICACION!$E$2:$E$500,MATCH("D15.58|"&amp;DE42,CODIFICACION!$F$2:$F$500,0))),"⚠"))</f>
        <v/>
      </c>
      <c r="BZ42" t="str">
        <f>IF(DF42="","",IFERROR(IF(INDEX(CODIFICACION!$E$2:$E$500,MATCH("PP1|"&amp;DF42,CODIFICACION!$F$2:$F$500,0))="sin dato","",INDEX(CODIFICACION!$E$2:$E$500,MATCH("PP1|"&amp;DF42,CODIFICACION!$F$2:$F$500,0))),"⚠"))</f>
        <v/>
      </c>
      <c r="CA42" t="str">
        <f>IF(DG42="","",IFERROR(IF(INDEX(CODIFICACION!$E$2:$E$500,MATCH("PP2|"&amp;DG42,CODIFICACION!$F$2:$F$500,0))="sin dato","",INDEX(CODIFICACION!$E$2:$E$500,MATCH("PP2|"&amp;DG42,CODIFICACION!$F$2:$F$500,0))),"⚠"))</f>
        <v/>
      </c>
      <c r="CB42" t="str">
        <f t="shared" si="39"/>
        <v/>
      </c>
      <c r="CC42" t="str">
        <f t="shared" ca="1" si="40"/>
        <v/>
      </c>
      <c r="CD42" t="str">
        <f t="shared" ca="1" si="41"/>
        <v/>
      </c>
      <c r="CE42" t="str">
        <f t="shared" si="42"/>
        <v/>
      </c>
      <c r="CF42" t="str">
        <f t="shared" si="43"/>
        <v/>
      </c>
      <c r="CG42" t="str">
        <f t="shared" ca="1" si="44"/>
        <v/>
      </c>
      <c r="CH42" t="str">
        <f t="shared" ca="1" si="45"/>
        <v/>
      </c>
      <c r="CI42" t="str">
        <f t="shared" si="46"/>
        <v/>
      </c>
      <c r="CJ42" t="str">
        <f t="shared" si="47"/>
        <v/>
      </c>
      <c r="CK42" t="str">
        <f t="shared" si="48"/>
        <v/>
      </c>
      <c r="CL42" t="str">
        <f t="shared" si="49"/>
        <v/>
      </c>
    </row>
    <row r="43" spans="1:90" x14ac:dyDescent="0.3">
      <c r="A43">
        <f>CAPTURA!A43</f>
        <v>20485945815</v>
      </c>
      <c r="B43">
        <f>CAPTURA!C43</f>
        <v>0</v>
      </c>
      <c r="C43" t="str">
        <f t="shared" si="25"/>
        <v/>
      </c>
      <c r="D43" t="str">
        <f>IF(AE43="","",IFERROR(IF(INDEX(CODIFICACION!$E$2:$E$500,MATCH("P8|"&amp;AE43,CODIFICACION!$F$2:$F$500,0))="sin dato","",INDEX(CODIFICACION!$E$2:$E$500,MATCH("P8|"&amp;AE43,CODIFICACION!$F$2:$F$500,0))),"⚠"))</f>
        <v/>
      </c>
      <c r="E43" t="str">
        <f>IF(AG43="","",IFERROR(IF(INDEX(CODIFICACION!$E$2:$E$500,MATCH("P10|"&amp;AG43,CODIFICACION!$F$2:$F$500,0))="sin dato","",INDEX(CODIFICACION!$E$2:$E$500,MATCH("P10|"&amp;AG43,CODIFICACION!$F$2:$F$500,0))),"⚠"))</f>
        <v/>
      </c>
      <c r="F43" t="str">
        <f>IF(AJ43="","",IFERROR(IF(INDEX(CODIFICACION!$E$2:$E$500,MATCH("P13|"&amp;AJ43,CODIFICACION!$F$2:$F$500,0))="sin dato","",INDEX(CODIFICACION!$E$2:$E$500,MATCH("P13|"&amp;AJ43,CODIFICACION!$F$2:$F$500,0))),"⚠"))</f>
        <v/>
      </c>
      <c r="G43" t="str">
        <f>IF(AK43="","",IFERROR(IF(INDEX(CODIFICACION!$E$2:$E$500,MATCH("P14|"&amp;AK43,CODIFICACION!$F$2:$F$500,0))="sin dato","",INDEX(CODIFICACION!$E$2:$E$500,MATCH("P14|"&amp;AK43,CODIFICACION!$F$2:$F$500,0))),"⚠"))</f>
        <v/>
      </c>
      <c r="H43" t="str">
        <f>IF(AL43="","",IFERROR(IF(INDEX(CODIFICACION!$E$2:$E$500,MATCH("D1.1|"&amp;AL43,CODIFICACION!$F$2:$F$500,0))="sin dato","",INDEX(CODIFICACION!$E$2:$E$500,MATCH("D1.1|"&amp;AL43,CODIFICACION!$F$2:$F$500,0))),"⚠"))</f>
        <v/>
      </c>
      <c r="I43" t="str">
        <f>IF(AN43="","",IFERROR(IF(INDEX(CODIFICACION!$E$2:$E$500,MATCH("D1.3|"&amp;AN43,CODIFICACION!$F$2:$F$500,0))="sin dato","",INDEX(CODIFICACION!$E$2:$E$500,MATCH("D1.3|"&amp;AN43,CODIFICACION!$F$2:$F$500,0))),"⚠"))</f>
        <v/>
      </c>
      <c r="J43" t="str">
        <f>IF(AO43="","",IFERROR(IF(INDEX(CODIFICACION!$E$2:$E$500,MATCH("D1.4|"&amp;AO43,CODIFICACION!$F$2:$F$500,0))="sin dato","",INDEX(CODIFICACION!$E$2:$E$500,MATCH("D1.4|"&amp;AO43,CODIFICACION!$F$2:$F$500,0))),"⚠"))</f>
        <v/>
      </c>
      <c r="K43" t="str">
        <f>IF(AP43="","",IFERROR(IF(INDEX(CODIFICACION!$E$2:$E$500,MATCH("D1.3a|"&amp;AP43,CODIFICACION!$F$2:$F$500,0))="sin dato","",INDEX(CODIFICACION!$E$2:$E$500,MATCH("D1.3a|"&amp;AP43,CODIFICACION!$F$2:$F$500,0))),"⚠"))</f>
        <v/>
      </c>
      <c r="L43" t="str">
        <f t="shared" si="26"/>
        <v/>
      </c>
      <c r="M43" t="str">
        <f t="shared" si="27"/>
        <v/>
      </c>
      <c r="N43" t="str">
        <f t="shared" si="28"/>
        <v/>
      </c>
      <c r="O43" t="str">
        <f>IF(AT43="","",IFERROR(IF(INDEX(CODIFICACION!$E$2:$E$500,MATCH("D2.8|"&amp;AT43,CODIFICACION!$F$2:$F$500,0))="sin dato","",INDEX(CODIFICACION!$E$2:$E$500,MATCH("D2.8|"&amp;AT43,CODIFICACION!$F$2:$F$500,0))),"⚠"))</f>
        <v/>
      </c>
      <c r="P43" t="str">
        <f>IF(AU43="","",IFERROR(IF(INDEX(CODIFICACION!$E$2:$E$500,MATCH("D2.9|"&amp;AU43,CODIFICACION!$F$2:$F$500,0))="sin dato","",INDEX(CODIFICACION!$E$2:$E$500,MATCH("D2.9|"&amp;AU43,CODIFICACION!$F$2:$F$500,0))),"⚠"))</f>
        <v/>
      </c>
      <c r="Q43" t="str">
        <f>IF(AV43="","",IFERROR(IF(INDEX(CODIFICACION!$E$2:$E$500,MATCH("D2.10|"&amp;AV43,CODIFICACION!$F$2:$F$500,0))="sin dato","",INDEX(CODIFICACION!$E$2:$E$500,MATCH("D2.10|"&amp;AV43,CODIFICACION!$F$2:$F$500,0))),"⚠"))</f>
        <v/>
      </c>
      <c r="R43" t="str">
        <f>IF(AW43="","",IFERROR(IF(INDEX(CODIFICACION!$E$2:$E$500,MATCH("D2.5a|"&amp;AW43,CODIFICACION!$F$2:$F$500,0))="sin dato","",INDEX(CODIFICACION!$E$2:$E$500,MATCH("D2.5a|"&amp;AW43,CODIFICACION!$F$2:$F$500,0))),"⚠"))</f>
        <v/>
      </c>
      <c r="S43" t="str">
        <f ca="1">IF(AX43="","",IFERROR(IF(INDEX(CODIFICACION!$E$2:$E$500,MATCH("D2.5b|"&amp;AX43,CODIFICACION!$F$2:$F$500,0))="sin dato","",INDEX(CODIFICACION!$E$2:$E$500,MATCH("D2.5b|"&amp;AX43,CODIFICACION!$F$2:$F$500,0))),"⚠"))</f>
        <v/>
      </c>
      <c r="T43" t="str">
        <f t="shared" ca="1" si="29"/>
        <v/>
      </c>
      <c r="U43" t="str">
        <f>IF(AZ43="","",IFERROR(IF(INDEX(CODIFICACION!$E$2:$E$500,MATCH("D3.12|"&amp;AZ43,CODIFICACION!$F$2:$F$500,0))="sin dato","",INDEX(CODIFICACION!$E$2:$E$500,MATCH("D3.12|"&amp;AZ43,CODIFICACION!$F$2:$F$500,0))),"⚠"))</f>
        <v/>
      </c>
      <c r="V43" t="str">
        <f t="shared" si="30"/>
        <v/>
      </c>
      <c r="W43" t="str">
        <f ca="1">IF(BB43="","",IFERROR(IF(INDEX(CODIFICACION!$E$2:$E$500,MATCH("D3.14|"&amp;BB43,CODIFICACION!$F$2:$F$500,0))="sin dato","",INDEX(CODIFICACION!$E$2:$E$500,MATCH("D3.14|"&amp;BB43,CODIFICACION!$F$2:$F$500,0))),"⚠"))</f>
        <v/>
      </c>
      <c r="X43" t="str">
        <f ca="1">IF(BC43="","",IFERROR(IF(INDEX(CODIFICACION!$E$2:$E$500,MATCH("D3.14a|"&amp;BC43,CODIFICACION!$F$2:$F$500,0))="sin dato","",INDEX(CODIFICACION!$E$2:$E$500,MATCH("D3.14a|"&amp;BC43,CODIFICACION!$F$2:$F$500,0))),"⚠"))</f>
        <v/>
      </c>
      <c r="Y43" t="str">
        <f>IF(BD43="","",IFERROR(IF(INDEX(CODIFICACION!$E$2:$E$500,MATCH("D3.14b|"&amp;BD43,CODIFICACION!$F$2:$F$500,0))="sin dato","",INDEX(CODIFICACION!$E$2:$E$500,MATCH("D3.14b|"&amp;BD43,CODIFICACION!$F$2:$F$500,0))),"⚠"))</f>
        <v/>
      </c>
      <c r="Z43" t="str">
        <f>IF(BE43="","",IFERROR(IF(INDEX(CODIFICACION!$E$2:$E$500,MATCH("D3.14c|"&amp;BE43,CODIFICACION!$F$2:$F$500,0))="sin dato","",INDEX(CODIFICACION!$E$2:$E$500,MATCH("D3.14c|"&amp;BE43,CODIFICACION!$F$2:$F$500,0))),"⚠"))</f>
        <v/>
      </c>
      <c r="AA43" t="str">
        <f>IF(BF43="","",IFERROR(IF(INDEX(CODIFICACION!$E$2:$E$500,MATCH("D3.14d|"&amp;BF43,CODIFICACION!$F$2:$F$500,0))="sin dato","",INDEX(CODIFICACION!$E$2:$E$500,MATCH("D3.14d|"&amp;BF43,CODIFICACION!$F$2:$F$500,0))),"⚠"))</f>
        <v/>
      </c>
      <c r="AB43" t="str">
        <f>IF(BG43="","",IFERROR(IF(INDEX(CODIFICACION!$E$2:$E$500,MATCH("D3.14e|"&amp;BG43,CODIFICACION!$F$2:$F$500,0))="sin dato","",INDEX(CODIFICACION!$E$2:$E$500,MATCH("D3.14e|"&amp;BG43,CODIFICACION!$F$2:$F$500,0))),"⚠"))</f>
        <v/>
      </c>
      <c r="AC43" t="str">
        <f>IF(BH43="","",IFERROR(IF(INDEX(CODIFICACION!$E$2:$E$500,MATCH("D3.14f|"&amp;BH43,CODIFICACION!$F$2:$F$500,0))="sin dato","",INDEX(CODIFICACION!$E$2:$E$500,MATCH("D3.14f|"&amp;BH43,CODIFICACION!$F$2:$F$500,0))),"⚠"))</f>
        <v/>
      </c>
      <c r="AD43" t="str">
        <f>IF(BI43="","",IFERROR(IF(INDEX(CODIFICACION!$E$2:$E$500,MATCH("D3.14g|"&amp;BI43,CODIFICACION!$F$2:$F$500,0))="sin dato","",INDEX(CODIFICACION!$E$2:$E$500,MATCH("D3.14g|"&amp;BI43,CODIFICACION!$F$2:$F$500,0))),"⚠"))</f>
        <v/>
      </c>
      <c r="AE43" t="str">
        <f>IF(BJ43="","",IFERROR(IF(INDEX(CODIFICACION!$E$2:$E$500,MATCH("D3.14h|"&amp;BJ43,CODIFICACION!$F$2:$F$500,0))="sin dato","",INDEX(CODIFICACION!$E$2:$E$500,MATCH("D3.14h|"&amp;BJ43,CODIFICACION!$F$2:$F$500,0))),"⚠"))</f>
        <v/>
      </c>
      <c r="AF43" t="str">
        <f>IF(BK43="","",IFERROR(IF(INDEX(CODIFICACION!$E$2:$E$500,MATCH("D3.14i|"&amp;BK43,CODIFICACION!$F$2:$F$500,0))="sin dato","",INDEX(CODIFICACION!$E$2:$E$500,MATCH("D3.14i|"&amp;BK43,CODIFICACION!$F$2:$F$500,0))),"⚠"))</f>
        <v/>
      </c>
      <c r="AG43" t="str">
        <f>IF(BL43="","",IFERROR(IF(INDEX(CODIFICACION!$E$2:$E$500,MATCH("D4.15|"&amp;BL43,CODIFICACION!$F$2:$F$500,0))="sin dato","",INDEX(CODIFICACION!$E$2:$E$500,MATCH("D4.15|"&amp;BL43,CODIFICACION!$F$2:$F$500,0))),"⚠"))</f>
        <v/>
      </c>
      <c r="AH43" t="str">
        <f t="shared" si="31"/>
        <v/>
      </c>
      <c r="AI43" t="str">
        <f>IF(BN43="","",IFERROR(IF(INDEX(CODIFICACION!$E$2:$E$500,MATCH("D4.17|"&amp;BN43,CODIFICACION!$F$2:$F$500,0))="sin dato","",INDEX(CODIFICACION!$E$2:$E$500,MATCH("D4.17|"&amp;BN43,CODIFICACION!$F$2:$F$500,0))),"⚠"))</f>
        <v/>
      </c>
      <c r="AJ43" t="str">
        <f>IF(BO43="","",IFERROR(IF(INDEX(CODIFICACION!$E$2:$E$500,MATCH("D4.15a|"&amp;BO43,CODIFICACION!$F$2:$F$500,0))="sin dato","",INDEX(CODIFICACION!$E$2:$E$500,MATCH("D4.15a|"&amp;BO43,CODIFICACION!$F$2:$F$500,0))),"⚠"))</f>
        <v/>
      </c>
      <c r="AK43" t="str">
        <f t="shared" si="32"/>
        <v/>
      </c>
      <c r="AL43" t="str">
        <f t="shared" si="33"/>
        <v/>
      </c>
      <c r="AM43" t="str">
        <f>IF(BR43="","",IFERROR(IF(INDEX(CODIFICACION!$E$2:$E$500,MATCH("D5.18b|"&amp;BR43,CODIFICACION!$F$2:$F$500,0))="sin dato","",INDEX(CODIFICACION!$E$2:$E$500,MATCH("D5.18b|"&amp;BR43,CODIFICACION!$F$2:$F$500,0))),"⚠"))</f>
        <v/>
      </c>
      <c r="AN43" t="str">
        <f>IF(BS43="","",IFERROR(IF(INDEX(CODIFICACION!$E$2:$E$500,MATCH("D5.19|"&amp;BS43,CODIFICACION!$F$2:$F$500,0))="sin dato","",INDEX(CODIFICACION!$E$2:$E$500,MATCH("D5.19|"&amp;BS43,CODIFICACION!$F$2:$F$500,0))),"⚠"))</f>
        <v/>
      </c>
      <c r="AO43" t="str">
        <f t="shared" si="34"/>
        <v/>
      </c>
      <c r="AP43" t="str">
        <f>IF(BU43="","",IFERROR(IF(INDEX(CODIFICACION!$E$2:$E$500,MATCH("D5.20|"&amp;BU43,CODIFICACION!$F$2:$F$500,0))="sin dato","",INDEX(CODIFICACION!$E$2:$E$500,MATCH("D5.20|"&amp;BU43,CODIFICACION!$F$2:$F$500,0))),"⚠"))</f>
        <v/>
      </c>
      <c r="AQ43" t="str">
        <f>IF(BV43="","",IFERROR(IF(INDEX(CODIFICACION!$E$2:$E$500,MATCH("D5.21|"&amp;BV43,CODIFICACION!$F$2:$F$500,0))="sin dato","",INDEX(CODIFICACION!$E$2:$E$500,MATCH("D5.21|"&amp;BV43,CODIFICACION!$F$2:$F$500,0))),"⚠"))</f>
        <v/>
      </c>
      <c r="AR43" t="str">
        <f>IF(BW43="","",IFERROR(IF(INDEX(CODIFICACION!$E$2:$E$500,MATCH("D5.21a|"&amp;BW43,CODIFICACION!$F$2:$F$500,0))="sin dato","",INDEX(CODIFICACION!$E$2:$E$500,MATCH("D5.21a|"&amp;BW43,CODIFICACION!$F$2:$F$500,0))),"⚠"))</f>
        <v/>
      </c>
      <c r="AS43" t="str">
        <f>IF(BX43="","",IFERROR(IF(INDEX(CODIFICACION!$E$2:$E$500,MATCH("D5.21b|"&amp;BX43,CODIFICACION!$F$2:$F$500,0))="sin dato","",INDEX(CODIFICACION!$E$2:$E$500,MATCH("D5.21b|"&amp;BX43,CODIFICACION!$F$2:$F$500,0))),"⚠"))</f>
        <v/>
      </c>
      <c r="AT43" t="str">
        <f>IF(BY43="","",IFERROR(IF(INDEX(CODIFICACION!$E$2:$E$500,MATCH("D6.22|"&amp;BY43,CODIFICACION!$F$2:$F$500,0))="sin dato","",INDEX(CODIFICACION!$E$2:$E$500,MATCH("D6.22|"&amp;BY43,CODIFICACION!$F$2:$F$500,0))),"⚠"))</f>
        <v/>
      </c>
      <c r="AU43" t="str">
        <f>IF(BZ43="","",IFERROR(IF(INDEX(CODIFICACION!$E$2:$E$500,MATCH("D6.22a|"&amp;BZ43,CODIFICACION!$F$2:$F$500,0))="sin dato","",INDEX(CODIFICACION!$E$2:$E$500,MATCH("D6.22a|"&amp;BZ43,CODIFICACION!$F$2:$F$500,0))),"⚠"))</f>
        <v/>
      </c>
      <c r="AV43" t="str">
        <f>IF(CA43="","",IFERROR(IF(INDEX(CODIFICACION!$E$2:$E$500,MATCH("D6.22b|"&amp;CA43,CODIFICACION!$F$2:$F$500,0))="sin dato","",INDEX(CODIFICACION!$E$2:$E$500,MATCH("D6.22b|"&amp;CA43,CODIFICACION!$F$2:$F$500,0))),"⚠"))</f>
        <v/>
      </c>
      <c r="AW43" t="str">
        <f>IF(CB43="","",IFERROR(IF(INDEX(CODIFICACION!$E$2:$E$500,MATCH("D6.23|"&amp;CB43,CODIFICACION!$F$2:$F$500,0))="sin dato","",INDEX(CODIFICACION!$E$2:$E$500,MATCH("D6.23|"&amp;CB43,CODIFICACION!$F$2:$F$500,0))),"⚠"))</f>
        <v/>
      </c>
      <c r="AX43" t="str">
        <f ca="1">IF(CC43="","",IFERROR(IF(INDEX(CODIFICACION!$E$2:$E$500,MATCH("D6.24|"&amp;CC43,CODIFICACION!$F$2:$F$500,0))="sin dato","",INDEX(CODIFICACION!$E$2:$E$500,MATCH("D6.24|"&amp;CC43,CODIFICACION!$F$2:$F$500,0))),"⚠"))</f>
        <v/>
      </c>
      <c r="AY43" t="str">
        <f ca="1">IF(CD43="","",IFERROR(IF(INDEX(CODIFICACION!$E$2:$E$500,MATCH("D6.25|"&amp;CD43,CODIFICACION!$F$2:$F$500,0))="sin dato","",INDEX(CODIFICACION!$E$2:$E$500,MATCH("D6.25|"&amp;CD43,CODIFICACION!$F$2:$F$500,0))),"⚠"))</f>
        <v/>
      </c>
      <c r="AZ43" t="str">
        <f>IF(CE43="","",IFERROR(IF(INDEX(CODIFICACION!$E$2:$E$500,MATCH("D6.25a|"&amp;CE43,CODIFICACION!$F$2:$F$500,0))="sin dato","",INDEX(CODIFICACION!$E$2:$E$500,MATCH("D6.25a|"&amp;CE43,CODIFICACION!$F$2:$F$500,0))),"⚠"))</f>
        <v/>
      </c>
      <c r="BA43" t="str">
        <f>IF(CF43="","",IFERROR(IF(INDEX(CODIFICACION!$E$2:$E$500,MATCH("D6.25b|"&amp;CF43,CODIFICACION!$F$2:$F$500,0))="sin dato","",INDEX(CODIFICACION!$E$2:$E$500,MATCH("D6.25b|"&amp;CF43,CODIFICACION!$F$2:$F$500,0))),"⚠"))</f>
        <v/>
      </c>
      <c r="BB43" t="str">
        <f ca="1">IF(CG43="","",IFERROR(IF(INDEX(CODIFICACION!$E$2:$E$500,MATCH("D6.22c|"&amp;CG43,CODIFICACION!$F$2:$F$500,0))="sin dato","",INDEX(CODIFICACION!$E$2:$E$500,MATCH("D6.22c|"&amp;CG43,CODIFICACION!$F$2:$F$500,0))),"⚠"))</f>
        <v/>
      </c>
      <c r="BC43" t="str">
        <f ca="1">IF(CH43="","",IFERROR(IF(INDEX(CODIFICACION!$E$2:$E$500,MATCH("D7.26|"&amp;CH43,CODIFICACION!$F$2:$F$500,0))="sin dato","",INDEX(CODIFICACION!$E$2:$E$500,MATCH("D7.26|"&amp;CH43,CODIFICACION!$F$2:$F$500,0))),"⚠"))</f>
        <v/>
      </c>
      <c r="BD43" t="str">
        <f>IF(CI43="","",IFERROR(IF(INDEX(CODIFICACION!$E$2:$E$500,MATCH("D7.27|"&amp;CI43,CODIFICACION!$F$2:$F$500,0))="sin dato","",INDEX(CODIFICACION!$E$2:$E$500,MATCH("D7.27|"&amp;CI43,CODIFICACION!$F$2:$F$500,0))),"⚠"))</f>
        <v/>
      </c>
      <c r="BE43" t="str">
        <f>IF(CJ43="","",IFERROR(IF(INDEX(CODIFICACION!$E$2:$E$500,MATCH("D7.28|"&amp;CJ43,CODIFICACION!$F$2:$F$500,0))="sin dato","",INDEX(CODIFICACION!$E$2:$E$500,MATCH("D7.28|"&amp;CJ43,CODIFICACION!$F$2:$F$500,0))),"⚠"))</f>
        <v/>
      </c>
      <c r="BF43" t="str">
        <f>IF(CK43="","",IFERROR(IF(INDEX(CODIFICACION!$E$2:$E$500,MATCH("D7.28b|"&amp;CK43,CODIFICACION!$F$2:$F$500,0))="sin dato","",INDEX(CODIFICACION!$E$2:$E$500,MATCH("D7.28b|"&amp;CK43,CODIFICACION!$F$2:$F$500,0))),"⚠"))</f>
        <v/>
      </c>
      <c r="BG43" t="str">
        <f t="shared" si="35"/>
        <v/>
      </c>
      <c r="BH43" t="str">
        <f>IF(CM43="","",IFERROR(IF(INDEX(CODIFICACION!$E$2:$E$500,MATCH("D7.26a|"&amp;CM43,CODIFICACION!$F$2:$F$500,0))="sin dato","",INDEX(CODIFICACION!$E$2:$E$500,MATCH("D7.26a|"&amp;CM43,CODIFICACION!$F$2:$F$500,0))),"⚠"))</f>
        <v/>
      </c>
      <c r="BI43" t="str">
        <f>IF(CN43="","",IFERROR(IF(INDEX(CODIFICACION!$E$2:$E$500,MATCH("D7.26b|"&amp;CN43,CODIFICACION!$F$2:$F$500,0))="sin dato","",INDEX(CODIFICACION!$E$2:$E$500,MATCH("D7.26b|"&amp;CN43,CODIFICACION!$F$2:$F$500,0))),"⚠"))</f>
        <v/>
      </c>
      <c r="BJ43" t="str">
        <f t="shared" si="36"/>
        <v/>
      </c>
      <c r="BK43" t="str">
        <f t="shared" si="37"/>
        <v/>
      </c>
      <c r="BL43" t="str">
        <f>IF(CQ43="","",IFERROR(IF(INDEX(CODIFICACION!$E$2:$E$500,MATCH("D8.31|"&amp;CQ43,CODIFICACION!$F$2:$F$500,0))="sin dato","",INDEX(CODIFICACION!$E$2:$E$500,MATCH("D8.31|"&amp;CQ43,CODIFICACION!$F$2:$F$500,0))),"⚠"))</f>
        <v/>
      </c>
      <c r="BM43" t="str">
        <f>IF(CR43="","",IFERROR(IF(INDEX(CODIFICACION!$E$2:$E$500,MATCH("D8.32|"&amp;CR43,CODIFICACION!$F$2:$F$500,0))="sin dato","",INDEX(CODIFICACION!$E$2:$E$500,MATCH("D8.32|"&amp;CR43,CODIFICACION!$F$2:$F$500,0))),"⚠"))</f>
        <v/>
      </c>
      <c r="BN43" t="str">
        <f>IF(CS43="","",IFERROR(IF(INDEX(CODIFICACION!$E$2:$E$500,MATCH("D9.33|"&amp;CS43,CODIFICACION!$F$2:$F$500,0))="sin dato","",INDEX(CODIFICACION!$E$2:$E$500,MATCH("D9.33|"&amp;CS43,CODIFICACION!$F$2:$F$500,0))),"⚠"))</f>
        <v/>
      </c>
      <c r="BO43" t="str">
        <f>IF(CT43="","",IFERROR(IF(INDEX(CODIFICACION!$E$2:$E$500,MATCH("D9.34|"&amp;CT43,CODIFICACION!$F$2:$F$500,0))="sin dato","",INDEX(CODIFICACION!$E$2:$E$500,MATCH("D9.34|"&amp;CT43,CODIFICACION!$F$2:$F$500,0))),"⚠"))</f>
        <v/>
      </c>
      <c r="BP43" t="str">
        <f>IF(CU43="","",IFERROR(IF(INDEX(CODIFICACION!$E$2:$E$500,MATCH("D9.35|"&amp;CU43,CODIFICACION!$F$2:$F$500,0))="sin dato","",INDEX(CODIFICACION!$E$2:$E$500,MATCH("D9.35|"&amp;CU43,CODIFICACION!$F$2:$F$500,0))),"⚠"))</f>
        <v/>
      </c>
      <c r="BQ43" t="str">
        <f>IF(CV43="","",IFERROR(IF(INDEX(CODIFICACION!$E$2:$E$500,MATCH("D10.36|"&amp;CV43,CODIFICACION!$F$2:$F$500,0))="sin dato","",INDEX(CODIFICACION!$E$2:$E$500,MATCH("D10.36|"&amp;CV43,CODIFICACION!$F$2:$F$500,0))),"⚠"))</f>
        <v/>
      </c>
      <c r="BR43" t="str">
        <f>IF(CW43="","",IFERROR(IF(INDEX(CODIFICACION!$E$2:$E$500,MATCH("D10.37|"&amp;CW43,CODIFICACION!$F$2:$F$500,0))="sin dato","",INDEX(CODIFICACION!$E$2:$E$500,MATCH("D10.37|"&amp;CW43,CODIFICACION!$F$2:$F$500,0))),"⚠"))</f>
        <v/>
      </c>
      <c r="BS43" t="str">
        <f>IF(CX43="","",IFERROR(IF(INDEX(CODIFICACION!$E$2:$E$500,MATCH("D10.36a|"&amp;CX43,CODIFICACION!$F$2:$F$500,0))="sin dato","",INDEX(CODIFICACION!$E$2:$E$500,MATCH("D10.36a|"&amp;CX43,CODIFICACION!$F$2:$F$500,0))),"⚠"))</f>
        <v/>
      </c>
      <c r="BT43" t="str">
        <f t="shared" si="38"/>
        <v/>
      </c>
      <c r="BU43" t="str">
        <f>IF(DA43="","",IFERROR(IF(INDEX(CODIFICACION!$E$2:$E$500,MATCH("D11.39a|"&amp;DA43,CODIFICACION!$F$2:$F$500,0))="sin dato","",INDEX(CODIFICACION!$E$2:$E$500,MATCH("D11.39a|"&amp;DA43,CODIFICACION!$F$2:$F$500,0))),"⚠"))</f>
        <v/>
      </c>
      <c r="BV43" t="str">
        <f>IF(DB43="","",IFERROR(IF(INDEX(CODIFICACION!$E$2:$E$500,MATCH("D12.42|"&amp;DB43,CODIFICACION!$F$2:$F$500,0))="sin dato","",INDEX(CODIFICACION!$E$2:$E$500,MATCH("D12.42|"&amp;DB43,CODIFICACION!$F$2:$F$500,0))),"⚠"))</f>
        <v/>
      </c>
      <c r="BW43" t="str">
        <f>IF(DC43="","",IFERROR(IF(INDEX(CODIFICACION!$E$2:$E$500,MATCH("D13.45|"&amp;DC43,CODIFICACION!$F$2:$F$500,0))="sin dato","",INDEX(CODIFICACION!$E$2:$E$500,MATCH("D13.45|"&amp;DC43,CODIFICACION!$F$2:$F$500,0))),"⚠"))</f>
        <v/>
      </c>
      <c r="BX43" t="str">
        <f>IF(DD43="","",IFERROR(IF(INDEX(CODIFICACION!$E$2:$E$500,MATCH("D14.51|"&amp;DD43,CODIFICACION!$F$2:$F$500,0))="sin dato","",INDEX(CODIFICACION!$E$2:$E$500,MATCH("D14.51|"&amp;DD43,CODIFICACION!$F$2:$F$500,0))),"⚠"))</f>
        <v/>
      </c>
      <c r="BY43" t="str">
        <f>IF(DE43="","",IFERROR(IF(INDEX(CODIFICACION!$E$2:$E$500,MATCH("D15.58|"&amp;DE43,CODIFICACION!$F$2:$F$500,0))="sin dato","",INDEX(CODIFICACION!$E$2:$E$500,MATCH("D15.58|"&amp;DE43,CODIFICACION!$F$2:$F$500,0))),"⚠"))</f>
        <v/>
      </c>
      <c r="BZ43" t="str">
        <f>IF(DF43="","",IFERROR(IF(INDEX(CODIFICACION!$E$2:$E$500,MATCH("PP1|"&amp;DF43,CODIFICACION!$F$2:$F$500,0))="sin dato","",INDEX(CODIFICACION!$E$2:$E$500,MATCH("PP1|"&amp;DF43,CODIFICACION!$F$2:$F$500,0))),"⚠"))</f>
        <v/>
      </c>
      <c r="CA43" t="str">
        <f>IF(DG43="","",IFERROR(IF(INDEX(CODIFICACION!$E$2:$E$500,MATCH("PP2|"&amp;DG43,CODIFICACION!$F$2:$F$500,0))="sin dato","",INDEX(CODIFICACION!$E$2:$E$500,MATCH("PP2|"&amp;DG43,CODIFICACION!$F$2:$F$500,0))),"⚠"))</f>
        <v/>
      </c>
      <c r="CB43" t="str">
        <f t="shared" si="39"/>
        <v/>
      </c>
      <c r="CC43" t="str">
        <f t="shared" ca="1" si="40"/>
        <v/>
      </c>
      <c r="CD43" t="str">
        <f t="shared" ca="1" si="41"/>
        <v/>
      </c>
      <c r="CE43" t="str">
        <f t="shared" si="42"/>
        <v/>
      </c>
      <c r="CF43" t="str">
        <f t="shared" si="43"/>
        <v/>
      </c>
      <c r="CG43" t="str">
        <f t="shared" ca="1" si="44"/>
        <v/>
      </c>
      <c r="CH43" t="str">
        <f t="shared" ca="1" si="45"/>
        <v/>
      </c>
      <c r="CI43" t="str">
        <f t="shared" si="46"/>
        <v/>
      </c>
      <c r="CJ43" t="str">
        <f t="shared" si="47"/>
        <v/>
      </c>
      <c r="CK43" t="str">
        <f t="shared" si="48"/>
        <v/>
      </c>
      <c r="CL43" t="str">
        <f t="shared" si="49"/>
        <v/>
      </c>
    </row>
    <row r="44" spans="1:90" x14ac:dyDescent="0.3">
      <c r="A44">
        <f>CAPTURA!A44</f>
        <v>20486094657</v>
      </c>
      <c r="B44">
        <f>CAPTURA!C44</f>
        <v>0</v>
      </c>
      <c r="C44" t="str">
        <f t="shared" si="25"/>
        <v/>
      </c>
      <c r="D44" t="str">
        <f>IF(AE44="","",IFERROR(IF(INDEX(CODIFICACION!$E$2:$E$500,MATCH("P8|"&amp;AE44,CODIFICACION!$F$2:$F$500,0))="sin dato","",INDEX(CODIFICACION!$E$2:$E$500,MATCH("P8|"&amp;AE44,CODIFICACION!$F$2:$F$500,0))),"⚠"))</f>
        <v/>
      </c>
      <c r="E44" t="str">
        <f>IF(AG44="","",IFERROR(IF(INDEX(CODIFICACION!$E$2:$E$500,MATCH("P10|"&amp;AG44,CODIFICACION!$F$2:$F$500,0))="sin dato","",INDEX(CODIFICACION!$E$2:$E$500,MATCH("P10|"&amp;AG44,CODIFICACION!$F$2:$F$500,0))),"⚠"))</f>
        <v/>
      </c>
      <c r="F44" t="str">
        <f>IF(AJ44="","",IFERROR(IF(INDEX(CODIFICACION!$E$2:$E$500,MATCH("P13|"&amp;AJ44,CODIFICACION!$F$2:$F$500,0))="sin dato","",INDEX(CODIFICACION!$E$2:$E$500,MATCH("P13|"&amp;AJ44,CODIFICACION!$F$2:$F$500,0))),"⚠"))</f>
        <v/>
      </c>
      <c r="G44" t="str">
        <f>IF(AK44="","",IFERROR(IF(INDEX(CODIFICACION!$E$2:$E$500,MATCH("P14|"&amp;AK44,CODIFICACION!$F$2:$F$500,0))="sin dato","",INDEX(CODIFICACION!$E$2:$E$500,MATCH("P14|"&amp;AK44,CODIFICACION!$F$2:$F$500,0))),"⚠"))</f>
        <v/>
      </c>
      <c r="H44" t="str">
        <f>IF(AL44="","",IFERROR(IF(INDEX(CODIFICACION!$E$2:$E$500,MATCH("D1.1|"&amp;AL44,CODIFICACION!$F$2:$F$500,0))="sin dato","",INDEX(CODIFICACION!$E$2:$E$500,MATCH("D1.1|"&amp;AL44,CODIFICACION!$F$2:$F$500,0))),"⚠"))</f>
        <v/>
      </c>
      <c r="I44" t="str">
        <f>IF(AN44="","",IFERROR(IF(INDEX(CODIFICACION!$E$2:$E$500,MATCH("D1.3|"&amp;AN44,CODIFICACION!$F$2:$F$500,0))="sin dato","",INDEX(CODIFICACION!$E$2:$E$500,MATCH("D1.3|"&amp;AN44,CODIFICACION!$F$2:$F$500,0))),"⚠"))</f>
        <v/>
      </c>
      <c r="J44" t="str">
        <f>IF(AO44="","",IFERROR(IF(INDEX(CODIFICACION!$E$2:$E$500,MATCH("D1.4|"&amp;AO44,CODIFICACION!$F$2:$F$500,0))="sin dato","",INDEX(CODIFICACION!$E$2:$E$500,MATCH("D1.4|"&amp;AO44,CODIFICACION!$F$2:$F$500,0))),"⚠"))</f>
        <v/>
      </c>
      <c r="K44" t="str">
        <f>IF(AP44="","",IFERROR(IF(INDEX(CODIFICACION!$E$2:$E$500,MATCH("D1.3a|"&amp;AP44,CODIFICACION!$F$2:$F$500,0))="sin dato","",INDEX(CODIFICACION!$E$2:$E$500,MATCH("D1.3a|"&amp;AP44,CODIFICACION!$F$2:$F$500,0))),"⚠"))</f>
        <v/>
      </c>
      <c r="L44" t="str">
        <f t="shared" si="26"/>
        <v/>
      </c>
      <c r="M44" t="str">
        <f t="shared" si="27"/>
        <v/>
      </c>
      <c r="N44" t="str">
        <f t="shared" si="28"/>
        <v/>
      </c>
      <c r="O44" t="str">
        <f>IF(AT44="","",IFERROR(IF(INDEX(CODIFICACION!$E$2:$E$500,MATCH("D2.8|"&amp;AT44,CODIFICACION!$F$2:$F$500,0))="sin dato","",INDEX(CODIFICACION!$E$2:$E$500,MATCH("D2.8|"&amp;AT44,CODIFICACION!$F$2:$F$500,0))),"⚠"))</f>
        <v/>
      </c>
      <c r="P44" t="str">
        <f>IF(AU44="","",IFERROR(IF(INDEX(CODIFICACION!$E$2:$E$500,MATCH("D2.9|"&amp;AU44,CODIFICACION!$F$2:$F$500,0))="sin dato","",INDEX(CODIFICACION!$E$2:$E$500,MATCH("D2.9|"&amp;AU44,CODIFICACION!$F$2:$F$500,0))),"⚠"))</f>
        <v/>
      </c>
      <c r="Q44" t="str">
        <f>IF(AV44="","",IFERROR(IF(INDEX(CODIFICACION!$E$2:$E$500,MATCH("D2.10|"&amp;AV44,CODIFICACION!$F$2:$F$500,0))="sin dato","",INDEX(CODIFICACION!$E$2:$E$500,MATCH("D2.10|"&amp;AV44,CODIFICACION!$F$2:$F$500,0))),"⚠"))</f>
        <v/>
      </c>
      <c r="R44" t="str">
        <f>IF(AW44="","",IFERROR(IF(INDEX(CODIFICACION!$E$2:$E$500,MATCH("D2.5a|"&amp;AW44,CODIFICACION!$F$2:$F$500,0))="sin dato","",INDEX(CODIFICACION!$E$2:$E$500,MATCH("D2.5a|"&amp;AW44,CODIFICACION!$F$2:$F$500,0))),"⚠"))</f>
        <v/>
      </c>
      <c r="S44" t="str">
        <f ca="1">IF(AX44="","",IFERROR(IF(INDEX(CODIFICACION!$E$2:$E$500,MATCH("D2.5b|"&amp;AX44,CODIFICACION!$F$2:$F$500,0))="sin dato","",INDEX(CODIFICACION!$E$2:$E$500,MATCH("D2.5b|"&amp;AX44,CODIFICACION!$F$2:$F$500,0))),"⚠"))</f>
        <v/>
      </c>
      <c r="T44" t="str">
        <f t="shared" ca="1" si="29"/>
        <v/>
      </c>
      <c r="U44" t="str">
        <f>IF(AZ44="","",IFERROR(IF(INDEX(CODIFICACION!$E$2:$E$500,MATCH("D3.12|"&amp;AZ44,CODIFICACION!$F$2:$F$500,0))="sin dato","",INDEX(CODIFICACION!$E$2:$E$500,MATCH("D3.12|"&amp;AZ44,CODIFICACION!$F$2:$F$500,0))),"⚠"))</f>
        <v/>
      </c>
      <c r="V44" t="str">
        <f t="shared" si="30"/>
        <v/>
      </c>
      <c r="W44" t="str">
        <f ca="1">IF(BB44="","",IFERROR(IF(INDEX(CODIFICACION!$E$2:$E$500,MATCH("D3.14|"&amp;BB44,CODIFICACION!$F$2:$F$500,0))="sin dato","",INDEX(CODIFICACION!$E$2:$E$500,MATCH("D3.14|"&amp;BB44,CODIFICACION!$F$2:$F$500,0))),"⚠"))</f>
        <v/>
      </c>
      <c r="X44" t="str">
        <f ca="1">IF(BC44="","",IFERROR(IF(INDEX(CODIFICACION!$E$2:$E$500,MATCH("D3.14a|"&amp;BC44,CODIFICACION!$F$2:$F$500,0))="sin dato","",INDEX(CODIFICACION!$E$2:$E$500,MATCH("D3.14a|"&amp;BC44,CODIFICACION!$F$2:$F$500,0))),"⚠"))</f>
        <v/>
      </c>
      <c r="Y44" t="str">
        <f>IF(BD44="","",IFERROR(IF(INDEX(CODIFICACION!$E$2:$E$500,MATCH("D3.14b|"&amp;BD44,CODIFICACION!$F$2:$F$500,0))="sin dato","",INDEX(CODIFICACION!$E$2:$E$500,MATCH("D3.14b|"&amp;BD44,CODIFICACION!$F$2:$F$500,0))),"⚠"))</f>
        <v/>
      </c>
      <c r="Z44" t="str">
        <f>IF(BE44="","",IFERROR(IF(INDEX(CODIFICACION!$E$2:$E$500,MATCH("D3.14c|"&amp;BE44,CODIFICACION!$F$2:$F$500,0))="sin dato","",INDEX(CODIFICACION!$E$2:$E$500,MATCH("D3.14c|"&amp;BE44,CODIFICACION!$F$2:$F$500,0))),"⚠"))</f>
        <v/>
      </c>
      <c r="AA44" t="str">
        <f>IF(BF44="","",IFERROR(IF(INDEX(CODIFICACION!$E$2:$E$500,MATCH("D3.14d|"&amp;BF44,CODIFICACION!$F$2:$F$500,0))="sin dato","",INDEX(CODIFICACION!$E$2:$E$500,MATCH("D3.14d|"&amp;BF44,CODIFICACION!$F$2:$F$500,0))),"⚠"))</f>
        <v/>
      </c>
      <c r="AB44" t="str">
        <f>IF(BG44="","",IFERROR(IF(INDEX(CODIFICACION!$E$2:$E$500,MATCH("D3.14e|"&amp;BG44,CODIFICACION!$F$2:$F$500,0))="sin dato","",INDEX(CODIFICACION!$E$2:$E$500,MATCH("D3.14e|"&amp;BG44,CODIFICACION!$F$2:$F$500,0))),"⚠"))</f>
        <v/>
      </c>
      <c r="AC44" t="str">
        <f>IF(BH44="","",IFERROR(IF(INDEX(CODIFICACION!$E$2:$E$500,MATCH("D3.14f|"&amp;BH44,CODIFICACION!$F$2:$F$500,0))="sin dato","",INDEX(CODIFICACION!$E$2:$E$500,MATCH("D3.14f|"&amp;BH44,CODIFICACION!$F$2:$F$500,0))),"⚠"))</f>
        <v/>
      </c>
      <c r="AD44" t="str">
        <f>IF(BI44="","",IFERROR(IF(INDEX(CODIFICACION!$E$2:$E$500,MATCH("D3.14g|"&amp;BI44,CODIFICACION!$F$2:$F$500,0))="sin dato","",INDEX(CODIFICACION!$E$2:$E$500,MATCH("D3.14g|"&amp;BI44,CODIFICACION!$F$2:$F$500,0))),"⚠"))</f>
        <v/>
      </c>
      <c r="AE44" t="str">
        <f>IF(BJ44="","",IFERROR(IF(INDEX(CODIFICACION!$E$2:$E$500,MATCH("D3.14h|"&amp;BJ44,CODIFICACION!$F$2:$F$500,0))="sin dato","",INDEX(CODIFICACION!$E$2:$E$500,MATCH("D3.14h|"&amp;BJ44,CODIFICACION!$F$2:$F$500,0))),"⚠"))</f>
        <v/>
      </c>
      <c r="AF44" t="str">
        <f>IF(BK44="","",IFERROR(IF(INDEX(CODIFICACION!$E$2:$E$500,MATCH("D3.14i|"&amp;BK44,CODIFICACION!$F$2:$F$500,0))="sin dato","",INDEX(CODIFICACION!$E$2:$E$500,MATCH("D3.14i|"&amp;BK44,CODIFICACION!$F$2:$F$500,0))),"⚠"))</f>
        <v/>
      </c>
      <c r="AG44" t="str">
        <f>IF(BL44="","",IFERROR(IF(INDEX(CODIFICACION!$E$2:$E$500,MATCH("D4.15|"&amp;BL44,CODIFICACION!$F$2:$F$500,0))="sin dato","",INDEX(CODIFICACION!$E$2:$E$500,MATCH("D4.15|"&amp;BL44,CODIFICACION!$F$2:$F$500,0))),"⚠"))</f>
        <v/>
      </c>
      <c r="AH44" t="str">
        <f t="shared" si="31"/>
        <v/>
      </c>
      <c r="AI44" t="str">
        <f>IF(BN44="","",IFERROR(IF(INDEX(CODIFICACION!$E$2:$E$500,MATCH("D4.17|"&amp;BN44,CODIFICACION!$F$2:$F$500,0))="sin dato","",INDEX(CODIFICACION!$E$2:$E$500,MATCH("D4.17|"&amp;BN44,CODIFICACION!$F$2:$F$500,0))),"⚠"))</f>
        <v/>
      </c>
      <c r="AJ44" t="str">
        <f>IF(BO44="","",IFERROR(IF(INDEX(CODIFICACION!$E$2:$E$500,MATCH("D4.15a|"&amp;BO44,CODIFICACION!$F$2:$F$500,0))="sin dato","",INDEX(CODIFICACION!$E$2:$E$500,MATCH("D4.15a|"&amp;BO44,CODIFICACION!$F$2:$F$500,0))),"⚠"))</f>
        <v/>
      </c>
      <c r="AK44" t="str">
        <f t="shared" si="32"/>
        <v/>
      </c>
      <c r="AL44" t="str">
        <f t="shared" si="33"/>
        <v/>
      </c>
      <c r="AM44" t="str">
        <f>IF(BR44="","",IFERROR(IF(INDEX(CODIFICACION!$E$2:$E$500,MATCH("D5.18b|"&amp;BR44,CODIFICACION!$F$2:$F$500,0))="sin dato","",INDEX(CODIFICACION!$E$2:$E$500,MATCH("D5.18b|"&amp;BR44,CODIFICACION!$F$2:$F$500,0))),"⚠"))</f>
        <v/>
      </c>
      <c r="AN44" t="str">
        <f>IF(BS44="","",IFERROR(IF(INDEX(CODIFICACION!$E$2:$E$500,MATCH("D5.19|"&amp;BS44,CODIFICACION!$F$2:$F$500,0))="sin dato","",INDEX(CODIFICACION!$E$2:$E$500,MATCH("D5.19|"&amp;BS44,CODIFICACION!$F$2:$F$500,0))),"⚠"))</f>
        <v/>
      </c>
      <c r="AO44" t="str">
        <f t="shared" si="34"/>
        <v/>
      </c>
      <c r="AP44" t="str">
        <f>IF(BU44="","",IFERROR(IF(INDEX(CODIFICACION!$E$2:$E$500,MATCH("D5.20|"&amp;BU44,CODIFICACION!$F$2:$F$500,0))="sin dato","",INDEX(CODIFICACION!$E$2:$E$500,MATCH("D5.20|"&amp;BU44,CODIFICACION!$F$2:$F$500,0))),"⚠"))</f>
        <v/>
      </c>
      <c r="AQ44" t="str">
        <f>IF(BV44="","",IFERROR(IF(INDEX(CODIFICACION!$E$2:$E$500,MATCH("D5.21|"&amp;BV44,CODIFICACION!$F$2:$F$500,0))="sin dato","",INDEX(CODIFICACION!$E$2:$E$500,MATCH("D5.21|"&amp;BV44,CODIFICACION!$F$2:$F$500,0))),"⚠"))</f>
        <v/>
      </c>
      <c r="AR44" t="str">
        <f>IF(BW44="","",IFERROR(IF(INDEX(CODIFICACION!$E$2:$E$500,MATCH("D5.21a|"&amp;BW44,CODIFICACION!$F$2:$F$500,0))="sin dato","",INDEX(CODIFICACION!$E$2:$E$500,MATCH("D5.21a|"&amp;BW44,CODIFICACION!$F$2:$F$500,0))),"⚠"))</f>
        <v/>
      </c>
      <c r="AS44" t="str">
        <f>IF(BX44="","",IFERROR(IF(INDEX(CODIFICACION!$E$2:$E$500,MATCH("D5.21b|"&amp;BX44,CODIFICACION!$F$2:$F$500,0))="sin dato","",INDEX(CODIFICACION!$E$2:$E$500,MATCH("D5.21b|"&amp;BX44,CODIFICACION!$F$2:$F$500,0))),"⚠"))</f>
        <v/>
      </c>
      <c r="AT44" t="str">
        <f>IF(BY44="","",IFERROR(IF(INDEX(CODIFICACION!$E$2:$E$500,MATCH("D6.22|"&amp;BY44,CODIFICACION!$F$2:$F$500,0))="sin dato","",INDEX(CODIFICACION!$E$2:$E$500,MATCH("D6.22|"&amp;BY44,CODIFICACION!$F$2:$F$500,0))),"⚠"))</f>
        <v/>
      </c>
      <c r="AU44" t="str">
        <f>IF(BZ44="","",IFERROR(IF(INDEX(CODIFICACION!$E$2:$E$500,MATCH("D6.22a|"&amp;BZ44,CODIFICACION!$F$2:$F$500,0))="sin dato","",INDEX(CODIFICACION!$E$2:$E$500,MATCH("D6.22a|"&amp;BZ44,CODIFICACION!$F$2:$F$500,0))),"⚠"))</f>
        <v/>
      </c>
      <c r="AV44" t="str">
        <f>IF(CA44="","",IFERROR(IF(INDEX(CODIFICACION!$E$2:$E$500,MATCH("D6.22b|"&amp;CA44,CODIFICACION!$F$2:$F$500,0))="sin dato","",INDEX(CODIFICACION!$E$2:$E$500,MATCH("D6.22b|"&amp;CA44,CODIFICACION!$F$2:$F$500,0))),"⚠"))</f>
        <v/>
      </c>
      <c r="AW44" t="str">
        <f>IF(CB44="","",IFERROR(IF(INDEX(CODIFICACION!$E$2:$E$500,MATCH("D6.23|"&amp;CB44,CODIFICACION!$F$2:$F$500,0))="sin dato","",INDEX(CODIFICACION!$E$2:$E$500,MATCH("D6.23|"&amp;CB44,CODIFICACION!$F$2:$F$500,0))),"⚠"))</f>
        <v/>
      </c>
      <c r="AX44" t="str">
        <f ca="1">IF(CC44="","",IFERROR(IF(INDEX(CODIFICACION!$E$2:$E$500,MATCH("D6.24|"&amp;CC44,CODIFICACION!$F$2:$F$500,0))="sin dato","",INDEX(CODIFICACION!$E$2:$E$500,MATCH("D6.24|"&amp;CC44,CODIFICACION!$F$2:$F$500,0))),"⚠"))</f>
        <v/>
      </c>
      <c r="AY44" t="str">
        <f ca="1">IF(CD44="","",IFERROR(IF(INDEX(CODIFICACION!$E$2:$E$500,MATCH("D6.25|"&amp;CD44,CODIFICACION!$F$2:$F$500,0))="sin dato","",INDEX(CODIFICACION!$E$2:$E$500,MATCH("D6.25|"&amp;CD44,CODIFICACION!$F$2:$F$500,0))),"⚠"))</f>
        <v/>
      </c>
      <c r="AZ44" t="str">
        <f>IF(CE44="","",IFERROR(IF(INDEX(CODIFICACION!$E$2:$E$500,MATCH("D6.25a|"&amp;CE44,CODIFICACION!$F$2:$F$500,0))="sin dato","",INDEX(CODIFICACION!$E$2:$E$500,MATCH("D6.25a|"&amp;CE44,CODIFICACION!$F$2:$F$500,0))),"⚠"))</f>
        <v/>
      </c>
      <c r="BA44" t="str">
        <f>IF(CF44="","",IFERROR(IF(INDEX(CODIFICACION!$E$2:$E$500,MATCH("D6.25b|"&amp;CF44,CODIFICACION!$F$2:$F$500,0))="sin dato","",INDEX(CODIFICACION!$E$2:$E$500,MATCH("D6.25b|"&amp;CF44,CODIFICACION!$F$2:$F$500,0))),"⚠"))</f>
        <v/>
      </c>
      <c r="BB44" t="str">
        <f ca="1">IF(CG44="","",IFERROR(IF(INDEX(CODIFICACION!$E$2:$E$500,MATCH("D6.22c|"&amp;CG44,CODIFICACION!$F$2:$F$500,0))="sin dato","",INDEX(CODIFICACION!$E$2:$E$500,MATCH("D6.22c|"&amp;CG44,CODIFICACION!$F$2:$F$500,0))),"⚠"))</f>
        <v/>
      </c>
      <c r="BC44" t="str">
        <f ca="1">IF(CH44="","",IFERROR(IF(INDEX(CODIFICACION!$E$2:$E$500,MATCH("D7.26|"&amp;CH44,CODIFICACION!$F$2:$F$500,0))="sin dato","",INDEX(CODIFICACION!$E$2:$E$500,MATCH("D7.26|"&amp;CH44,CODIFICACION!$F$2:$F$500,0))),"⚠"))</f>
        <v/>
      </c>
      <c r="BD44" t="str">
        <f>IF(CI44="","",IFERROR(IF(INDEX(CODIFICACION!$E$2:$E$500,MATCH("D7.27|"&amp;CI44,CODIFICACION!$F$2:$F$500,0))="sin dato","",INDEX(CODIFICACION!$E$2:$E$500,MATCH("D7.27|"&amp;CI44,CODIFICACION!$F$2:$F$500,0))),"⚠"))</f>
        <v/>
      </c>
      <c r="BE44" t="str">
        <f>IF(CJ44="","",IFERROR(IF(INDEX(CODIFICACION!$E$2:$E$500,MATCH("D7.28|"&amp;CJ44,CODIFICACION!$F$2:$F$500,0))="sin dato","",INDEX(CODIFICACION!$E$2:$E$500,MATCH("D7.28|"&amp;CJ44,CODIFICACION!$F$2:$F$500,0))),"⚠"))</f>
        <v/>
      </c>
      <c r="BF44" t="str">
        <f>IF(CK44="","",IFERROR(IF(INDEX(CODIFICACION!$E$2:$E$500,MATCH("D7.28b|"&amp;CK44,CODIFICACION!$F$2:$F$500,0))="sin dato","",INDEX(CODIFICACION!$E$2:$E$500,MATCH("D7.28b|"&amp;CK44,CODIFICACION!$F$2:$F$500,0))),"⚠"))</f>
        <v/>
      </c>
      <c r="BG44" t="str">
        <f t="shared" si="35"/>
        <v/>
      </c>
      <c r="BH44" t="str">
        <f>IF(CM44="","",IFERROR(IF(INDEX(CODIFICACION!$E$2:$E$500,MATCH("D7.26a|"&amp;CM44,CODIFICACION!$F$2:$F$500,0))="sin dato","",INDEX(CODIFICACION!$E$2:$E$500,MATCH("D7.26a|"&amp;CM44,CODIFICACION!$F$2:$F$500,0))),"⚠"))</f>
        <v/>
      </c>
      <c r="BI44" t="str">
        <f>IF(CN44="","",IFERROR(IF(INDEX(CODIFICACION!$E$2:$E$500,MATCH("D7.26b|"&amp;CN44,CODIFICACION!$F$2:$F$500,0))="sin dato","",INDEX(CODIFICACION!$E$2:$E$500,MATCH("D7.26b|"&amp;CN44,CODIFICACION!$F$2:$F$500,0))),"⚠"))</f>
        <v/>
      </c>
      <c r="BJ44" t="str">
        <f t="shared" si="36"/>
        <v/>
      </c>
      <c r="BK44" t="str">
        <f t="shared" si="37"/>
        <v/>
      </c>
      <c r="BL44" t="str">
        <f>IF(CQ44="","",IFERROR(IF(INDEX(CODIFICACION!$E$2:$E$500,MATCH("D8.31|"&amp;CQ44,CODIFICACION!$F$2:$F$500,0))="sin dato","",INDEX(CODIFICACION!$E$2:$E$500,MATCH("D8.31|"&amp;CQ44,CODIFICACION!$F$2:$F$500,0))),"⚠"))</f>
        <v/>
      </c>
      <c r="BM44" t="str">
        <f>IF(CR44="","",IFERROR(IF(INDEX(CODIFICACION!$E$2:$E$500,MATCH("D8.32|"&amp;CR44,CODIFICACION!$F$2:$F$500,0))="sin dato","",INDEX(CODIFICACION!$E$2:$E$500,MATCH("D8.32|"&amp;CR44,CODIFICACION!$F$2:$F$500,0))),"⚠"))</f>
        <v/>
      </c>
      <c r="BN44" t="str">
        <f>IF(CS44="","",IFERROR(IF(INDEX(CODIFICACION!$E$2:$E$500,MATCH("D9.33|"&amp;CS44,CODIFICACION!$F$2:$F$500,0))="sin dato","",INDEX(CODIFICACION!$E$2:$E$500,MATCH("D9.33|"&amp;CS44,CODIFICACION!$F$2:$F$500,0))),"⚠"))</f>
        <v/>
      </c>
      <c r="BO44" t="str">
        <f>IF(CT44="","",IFERROR(IF(INDEX(CODIFICACION!$E$2:$E$500,MATCH("D9.34|"&amp;CT44,CODIFICACION!$F$2:$F$500,0))="sin dato","",INDEX(CODIFICACION!$E$2:$E$500,MATCH("D9.34|"&amp;CT44,CODIFICACION!$F$2:$F$500,0))),"⚠"))</f>
        <v/>
      </c>
      <c r="BP44" t="str">
        <f>IF(CU44="","",IFERROR(IF(INDEX(CODIFICACION!$E$2:$E$500,MATCH("D9.35|"&amp;CU44,CODIFICACION!$F$2:$F$500,0))="sin dato","",INDEX(CODIFICACION!$E$2:$E$500,MATCH("D9.35|"&amp;CU44,CODIFICACION!$F$2:$F$500,0))),"⚠"))</f>
        <v/>
      </c>
      <c r="BQ44" t="str">
        <f>IF(CV44="","",IFERROR(IF(INDEX(CODIFICACION!$E$2:$E$500,MATCH("D10.36|"&amp;CV44,CODIFICACION!$F$2:$F$500,0))="sin dato","",INDEX(CODIFICACION!$E$2:$E$500,MATCH("D10.36|"&amp;CV44,CODIFICACION!$F$2:$F$500,0))),"⚠"))</f>
        <v/>
      </c>
      <c r="BR44" t="str">
        <f>IF(CW44="","",IFERROR(IF(INDEX(CODIFICACION!$E$2:$E$500,MATCH("D10.37|"&amp;CW44,CODIFICACION!$F$2:$F$500,0))="sin dato","",INDEX(CODIFICACION!$E$2:$E$500,MATCH("D10.37|"&amp;CW44,CODIFICACION!$F$2:$F$500,0))),"⚠"))</f>
        <v/>
      </c>
      <c r="BS44" t="str">
        <f>IF(CX44="","",IFERROR(IF(INDEX(CODIFICACION!$E$2:$E$500,MATCH("D10.36a|"&amp;CX44,CODIFICACION!$F$2:$F$500,0))="sin dato","",INDEX(CODIFICACION!$E$2:$E$500,MATCH("D10.36a|"&amp;CX44,CODIFICACION!$F$2:$F$500,0))),"⚠"))</f>
        <v/>
      </c>
      <c r="BT44" t="str">
        <f t="shared" si="38"/>
        <v/>
      </c>
      <c r="BU44" t="str">
        <f>IF(DA44="","",IFERROR(IF(INDEX(CODIFICACION!$E$2:$E$500,MATCH("D11.39a|"&amp;DA44,CODIFICACION!$F$2:$F$500,0))="sin dato","",INDEX(CODIFICACION!$E$2:$E$500,MATCH("D11.39a|"&amp;DA44,CODIFICACION!$F$2:$F$500,0))),"⚠"))</f>
        <v/>
      </c>
      <c r="BV44" t="str">
        <f>IF(DB44="","",IFERROR(IF(INDEX(CODIFICACION!$E$2:$E$500,MATCH("D12.42|"&amp;DB44,CODIFICACION!$F$2:$F$500,0))="sin dato","",INDEX(CODIFICACION!$E$2:$E$500,MATCH("D12.42|"&amp;DB44,CODIFICACION!$F$2:$F$500,0))),"⚠"))</f>
        <v/>
      </c>
      <c r="BW44" t="str">
        <f>IF(DC44="","",IFERROR(IF(INDEX(CODIFICACION!$E$2:$E$500,MATCH("D13.45|"&amp;DC44,CODIFICACION!$F$2:$F$500,0))="sin dato","",INDEX(CODIFICACION!$E$2:$E$500,MATCH("D13.45|"&amp;DC44,CODIFICACION!$F$2:$F$500,0))),"⚠"))</f>
        <v/>
      </c>
      <c r="BX44" t="str">
        <f>IF(DD44="","",IFERROR(IF(INDEX(CODIFICACION!$E$2:$E$500,MATCH("D14.51|"&amp;DD44,CODIFICACION!$F$2:$F$500,0))="sin dato","",INDEX(CODIFICACION!$E$2:$E$500,MATCH("D14.51|"&amp;DD44,CODIFICACION!$F$2:$F$500,0))),"⚠"))</f>
        <v/>
      </c>
      <c r="BY44" t="str">
        <f>IF(DE44="","",IFERROR(IF(INDEX(CODIFICACION!$E$2:$E$500,MATCH("D15.58|"&amp;DE44,CODIFICACION!$F$2:$F$500,0))="sin dato","",INDEX(CODIFICACION!$E$2:$E$500,MATCH("D15.58|"&amp;DE44,CODIFICACION!$F$2:$F$500,0))),"⚠"))</f>
        <v/>
      </c>
      <c r="BZ44" t="str">
        <f>IF(DF44="","",IFERROR(IF(INDEX(CODIFICACION!$E$2:$E$500,MATCH("PP1|"&amp;DF44,CODIFICACION!$F$2:$F$500,0))="sin dato","",INDEX(CODIFICACION!$E$2:$E$500,MATCH("PP1|"&amp;DF44,CODIFICACION!$F$2:$F$500,0))),"⚠"))</f>
        <v/>
      </c>
      <c r="CA44" t="str">
        <f>IF(DG44="","",IFERROR(IF(INDEX(CODIFICACION!$E$2:$E$500,MATCH("PP2|"&amp;DG44,CODIFICACION!$F$2:$F$500,0))="sin dato","",INDEX(CODIFICACION!$E$2:$E$500,MATCH("PP2|"&amp;DG44,CODIFICACION!$F$2:$F$500,0))),"⚠"))</f>
        <v/>
      </c>
      <c r="CB44" t="str">
        <f t="shared" si="39"/>
        <v/>
      </c>
      <c r="CC44" t="str">
        <f t="shared" ca="1" si="40"/>
        <v/>
      </c>
      <c r="CD44" t="str">
        <f t="shared" ca="1" si="41"/>
        <v/>
      </c>
      <c r="CE44" t="str">
        <f t="shared" si="42"/>
        <v/>
      </c>
      <c r="CF44" t="str">
        <f t="shared" si="43"/>
        <v/>
      </c>
      <c r="CG44" t="str">
        <f t="shared" ca="1" si="44"/>
        <v/>
      </c>
      <c r="CH44" t="str">
        <f t="shared" ca="1" si="45"/>
        <v/>
      </c>
      <c r="CI44" t="str">
        <f t="shared" si="46"/>
        <v/>
      </c>
      <c r="CJ44" t="str">
        <f t="shared" si="47"/>
        <v/>
      </c>
      <c r="CK44" t="str">
        <f t="shared" si="48"/>
        <v/>
      </c>
      <c r="CL44" t="str">
        <f t="shared" si="49"/>
        <v/>
      </c>
    </row>
    <row r="45" spans="1:90" x14ac:dyDescent="0.3">
      <c r="A45">
        <f>CAPTURA!A45</f>
        <v>20486255090</v>
      </c>
      <c r="B45">
        <f>CAPTURA!C45</f>
        <v>0</v>
      </c>
      <c r="C45" t="str">
        <f t="shared" si="25"/>
        <v/>
      </c>
      <c r="D45" t="str">
        <f>IF(AE45="","",IFERROR(IF(INDEX(CODIFICACION!$E$2:$E$500,MATCH("P8|"&amp;AE45,CODIFICACION!$F$2:$F$500,0))="sin dato","",INDEX(CODIFICACION!$E$2:$E$500,MATCH("P8|"&amp;AE45,CODIFICACION!$F$2:$F$500,0))),"⚠"))</f>
        <v/>
      </c>
      <c r="E45" t="str">
        <f>IF(AG45="","",IFERROR(IF(INDEX(CODIFICACION!$E$2:$E$500,MATCH("P10|"&amp;AG45,CODIFICACION!$F$2:$F$500,0))="sin dato","",INDEX(CODIFICACION!$E$2:$E$500,MATCH("P10|"&amp;AG45,CODIFICACION!$F$2:$F$500,0))),"⚠"))</f>
        <v/>
      </c>
      <c r="F45" t="str">
        <f>IF(AJ45="","",IFERROR(IF(INDEX(CODIFICACION!$E$2:$E$500,MATCH("P13|"&amp;AJ45,CODIFICACION!$F$2:$F$500,0))="sin dato","",INDEX(CODIFICACION!$E$2:$E$500,MATCH("P13|"&amp;AJ45,CODIFICACION!$F$2:$F$500,0))),"⚠"))</f>
        <v/>
      </c>
      <c r="G45" t="str">
        <f>IF(AK45="","",IFERROR(IF(INDEX(CODIFICACION!$E$2:$E$500,MATCH("P14|"&amp;AK45,CODIFICACION!$F$2:$F$500,0))="sin dato","",INDEX(CODIFICACION!$E$2:$E$500,MATCH("P14|"&amp;AK45,CODIFICACION!$F$2:$F$500,0))),"⚠"))</f>
        <v/>
      </c>
      <c r="H45" t="str">
        <f>IF(AL45="","",IFERROR(IF(INDEX(CODIFICACION!$E$2:$E$500,MATCH("D1.1|"&amp;AL45,CODIFICACION!$F$2:$F$500,0))="sin dato","",INDEX(CODIFICACION!$E$2:$E$500,MATCH("D1.1|"&amp;AL45,CODIFICACION!$F$2:$F$500,0))),"⚠"))</f>
        <v/>
      </c>
      <c r="I45" t="str">
        <f>IF(AN45="","",IFERROR(IF(INDEX(CODIFICACION!$E$2:$E$500,MATCH("D1.3|"&amp;AN45,CODIFICACION!$F$2:$F$500,0))="sin dato","",INDEX(CODIFICACION!$E$2:$E$500,MATCH("D1.3|"&amp;AN45,CODIFICACION!$F$2:$F$500,0))),"⚠"))</f>
        <v/>
      </c>
      <c r="J45" t="str">
        <f>IF(AO45="","",IFERROR(IF(INDEX(CODIFICACION!$E$2:$E$500,MATCH("D1.4|"&amp;AO45,CODIFICACION!$F$2:$F$500,0))="sin dato","",INDEX(CODIFICACION!$E$2:$E$500,MATCH("D1.4|"&amp;AO45,CODIFICACION!$F$2:$F$500,0))),"⚠"))</f>
        <v/>
      </c>
      <c r="K45" t="str">
        <f>IF(AP45="","",IFERROR(IF(INDEX(CODIFICACION!$E$2:$E$500,MATCH("D1.3a|"&amp;AP45,CODIFICACION!$F$2:$F$500,0))="sin dato","",INDEX(CODIFICACION!$E$2:$E$500,MATCH("D1.3a|"&amp;AP45,CODIFICACION!$F$2:$F$500,0))),"⚠"))</f>
        <v/>
      </c>
      <c r="L45" t="str">
        <f t="shared" si="26"/>
        <v/>
      </c>
      <c r="M45" t="str">
        <f t="shared" si="27"/>
        <v/>
      </c>
      <c r="N45" t="str">
        <f t="shared" si="28"/>
        <v/>
      </c>
      <c r="O45" t="str">
        <f>IF(AT45="","",IFERROR(IF(INDEX(CODIFICACION!$E$2:$E$500,MATCH("D2.8|"&amp;AT45,CODIFICACION!$F$2:$F$500,0))="sin dato","",INDEX(CODIFICACION!$E$2:$E$500,MATCH("D2.8|"&amp;AT45,CODIFICACION!$F$2:$F$500,0))),"⚠"))</f>
        <v/>
      </c>
      <c r="P45" t="str">
        <f>IF(AU45="","",IFERROR(IF(INDEX(CODIFICACION!$E$2:$E$500,MATCH("D2.9|"&amp;AU45,CODIFICACION!$F$2:$F$500,0))="sin dato","",INDEX(CODIFICACION!$E$2:$E$500,MATCH("D2.9|"&amp;AU45,CODIFICACION!$F$2:$F$500,0))),"⚠"))</f>
        <v/>
      </c>
      <c r="Q45" t="str">
        <f>IF(AV45="","",IFERROR(IF(INDEX(CODIFICACION!$E$2:$E$500,MATCH("D2.10|"&amp;AV45,CODIFICACION!$F$2:$F$500,0))="sin dato","",INDEX(CODIFICACION!$E$2:$E$500,MATCH("D2.10|"&amp;AV45,CODIFICACION!$F$2:$F$500,0))),"⚠"))</f>
        <v/>
      </c>
      <c r="R45" t="str">
        <f>IF(AW45="","",IFERROR(IF(INDEX(CODIFICACION!$E$2:$E$500,MATCH("D2.5a|"&amp;AW45,CODIFICACION!$F$2:$F$500,0))="sin dato","",INDEX(CODIFICACION!$E$2:$E$500,MATCH("D2.5a|"&amp;AW45,CODIFICACION!$F$2:$F$500,0))),"⚠"))</f>
        <v/>
      </c>
      <c r="S45" t="str">
        <f ca="1">IF(AX45="","",IFERROR(IF(INDEX(CODIFICACION!$E$2:$E$500,MATCH("D2.5b|"&amp;AX45,CODIFICACION!$F$2:$F$500,0))="sin dato","",INDEX(CODIFICACION!$E$2:$E$500,MATCH("D2.5b|"&amp;AX45,CODIFICACION!$F$2:$F$500,0))),"⚠"))</f>
        <v/>
      </c>
      <c r="T45" t="str">
        <f t="shared" ca="1" si="29"/>
        <v/>
      </c>
      <c r="U45" t="str">
        <f>IF(AZ45="","",IFERROR(IF(INDEX(CODIFICACION!$E$2:$E$500,MATCH("D3.12|"&amp;AZ45,CODIFICACION!$F$2:$F$500,0))="sin dato","",INDEX(CODIFICACION!$E$2:$E$500,MATCH("D3.12|"&amp;AZ45,CODIFICACION!$F$2:$F$500,0))),"⚠"))</f>
        <v/>
      </c>
      <c r="V45" t="str">
        <f t="shared" si="30"/>
        <v/>
      </c>
      <c r="W45" t="str">
        <f ca="1">IF(BB45="","",IFERROR(IF(INDEX(CODIFICACION!$E$2:$E$500,MATCH("D3.14|"&amp;BB45,CODIFICACION!$F$2:$F$500,0))="sin dato","",INDEX(CODIFICACION!$E$2:$E$500,MATCH("D3.14|"&amp;BB45,CODIFICACION!$F$2:$F$500,0))),"⚠"))</f>
        <v/>
      </c>
      <c r="X45" t="str">
        <f ca="1">IF(BC45="","",IFERROR(IF(INDEX(CODIFICACION!$E$2:$E$500,MATCH("D3.14a|"&amp;BC45,CODIFICACION!$F$2:$F$500,0))="sin dato","",INDEX(CODIFICACION!$E$2:$E$500,MATCH("D3.14a|"&amp;BC45,CODIFICACION!$F$2:$F$500,0))),"⚠"))</f>
        <v/>
      </c>
      <c r="Y45" t="str">
        <f>IF(BD45="","",IFERROR(IF(INDEX(CODIFICACION!$E$2:$E$500,MATCH("D3.14b|"&amp;BD45,CODIFICACION!$F$2:$F$500,0))="sin dato","",INDEX(CODIFICACION!$E$2:$E$500,MATCH("D3.14b|"&amp;BD45,CODIFICACION!$F$2:$F$500,0))),"⚠"))</f>
        <v/>
      </c>
      <c r="Z45" t="str">
        <f>IF(BE45="","",IFERROR(IF(INDEX(CODIFICACION!$E$2:$E$500,MATCH("D3.14c|"&amp;BE45,CODIFICACION!$F$2:$F$500,0))="sin dato","",INDEX(CODIFICACION!$E$2:$E$500,MATCH("D3.14c|"&amp;BE45,CODIFICACION!$F$2:$F$500,0))),"⚠"))</f>
        <v/>
      </c>
      <c r="AA45" t="str">
        <f>IF(BF45="","",IFERROR(IF(INDEX(CODIFICACION!$E$2:$E$500,MATCH("D3.14d|"&amp;BF45,CODIFICACION!$F$2:$F$500,0))="sin dato","",INDEX(CODIFICACION!$E$2:$E$500,MATCH("D3.14d|"&amp;BF45,CODIFICACION!$F$2:$F$500,0))),"⚠"))</f>
        <v/>
      </c>
      <c r="AB45" t="str">
        <f>IF(BG45="","",IFERROR(IF(INDEX(CODIFICACION!$E$2:$E$500,MATCH("D3.14e|"&amp;BG45,CODIFICACION!$F$2:$F$500,0))="sin dato","",INDEX(CODIFICACION!$E$2:$E$500,MATCH("D3.14e|"&amp;BG45,CODIFICACION!$F$2:$F$500,0))),"⚠"))</f>
        <v/>
      </c>
      <c r="AC45" t="str">
        <f>IF(BH45="","",IFERROR(IF(INDEX(CODIFICACION!$E$2:$E$500,MATCH("D3.14f|"&amp;BH45,CODIFICACION!$F$2:$F$500,0))="sin dato","",INDEX(CODIFICACION!$E$2:$E$500,MATCH("D3.14f|"&amp;BH45,CODIFICACION!$F$2:$F$500,0))),"⚠"))</f>
        <v/>
      </c>
      <c r="AD45" t="str">
        <f>IF(BI45="","",IFERROR(IF(INDEX(CODIFICACION!$E$2:$E$500,MATCH("D3.14g|"&amp;BI45,CODIFICACION!$F$2:$F$500,0))="sin dato","",INDEX(CODIFICACION!$E$2:$E$500,MATCH("D3.14g|"&amp;BI45,CODIFICACION!$F$2:$F$500,0))),"⚠"))</f>
        <v/>
      </c>
      <c r="AE45" t="str">
        <f>IF(BJ45="","",IFERROR(IF(INDEX(CODIFICACION!$E$2:$E$500,MATCH("D3.14h|"&amp;BJ45,CODIFICACION!$F$2:$F$500,0))="sin dato","",INDEX(CODIFICACION!$E$2:$E$500,MATCH("D3.14h|"&amp;BJ45,CODIFICACION!$F$2:$F$500,0))),"⚠"))</f>
        <v/>
      </c>
      <c r="AF45" t="str">
        <f>IF(BK45="","",IFERROR(IF(INDEX(CODIFICACION!$E$2:$E$500,MATCH("D3.14i|"&amp;BK45,CODIFICACION!$F$2:$F$500,0))="sin dato","",INDEX(CODIFICACION!$E$2:$E$500,MATCH("D3.14i|"&amp;BK45,CODIFICACION!$F$2:$F$500,0))),"⚠"))</f>
        <v/>
      </c>
      <c r="AG45" t="str">
        <f>IF(BL45="","",IFERROR(IF(INDEX(CODIFICACION!$E$2:$E$500,MATCH("D4.15|"&amp;BL45,CODIFICACION!$F$2:$F$500,0))="sin dato","",INDEX(CODIFICACION!$E$2:$E$500,MATCH("D4.15|"&amp;BL45,CODIFICACION!$F$2:$F$500,0))),"⚠"))</f>
        <v/>
      </c>
      <c r="AH45" t="str">
        <f t="shared" si="31"/>
        <v/>
      </c>
      <c r="AI45" t="str">
        <f>IF(BN45="","",IFERROR(IF(INDEX(CODIFICACION!$E$2:$E$500,MATCH("D4.17|"&amp;BN45,CODIFICACION!$F$2:$F$500,0))="sin dato","",INDEX(CODIFICACION!$E$2:$E$500,MATCH("D4.17|"&amp;BN45,CODIFICACION!$F$2:$F$500,0))),"⚠"))</f>
        <v/>
      </c>
      <c r="AJ45" t="str">
        <f>IF(BO45="","",IFERROR(IF(INDEX(CODIFICACION!$E$2:$E$500,MATCH("D4.15a|"&amp;BO45,CODIFICACION!$F$2:$F$500,0))="sin dato","",INDEX(CODIFICACION!$E$2:$E$500,MATCH("D4.15a|"&amp;BO45,CODIFICACION!$F$2:$F$500,0))),"⚠"))</f>
        <v/>
      </c>
      <c r="AK45" t="str">
        <f t="shared" si="32"/>
        <v/>
      </c>
      <c r="AL45" t="str">
        <f t="shared" si="33"/>
        <v/>
      </c>
      <c r="AM45" t="str">
        <f>IF(BR45="","",IFERROR(IF(INDEX(CODIFICACION!$E$2:$E$500,MATCH("D5.18b|"&amp;BR45,CODIFICACION!$F$2:$F$500,0))="sin dato","",INDEX(CODIFICACION!$E$2:$E$500,MATCH("D5.18b|"&amp;BR45,CODIFICACION!$F$2:$F$500,0))),"⚠"))</f>
        <v/>
      </c>
      <c r="AN45" t="str">
        <f>IF(BS45="","",IFERROR(IF(INDEX(CODIFICACION!$E$2:$E$500,MATCH("D5.19|"&amp;BS45,CODIFICACION!$F$2:$F$500,0))="sin dato","",INDEX(CODIFICACION!$E$2:$E$500,MATCH("D5.19|"&amp;BS45,CODIFICACION!$F$2:$F$500,0))),"⚠"))</f>
        <v/>
      </c>
      <c r="AO45" t="str">
        <f t="shared" si="34"/>
        <v/>
      </c>
      <c r="AP45" t="str">
        <f>IF(BU45="","",IFERROR(IF(INDEX(CODIFICACION!$E$2:$E$500,MATCH("D5.20|"&amp;BU45,CODIFICACION!$F$2:$F$500,0))="sin dato","",INDEX(CODIFICACION!$E$2:$E$500,MATCH("D5.20|"&amp;BU45,CODIFICACION!$F$2:$F$500,0))),"⚠"))</f>
        <v/>
      </c>
      <c r="AQ45" t="str">
        <f>IF(BV45="","",IFERROR(IF(INDEX(CODIFICACION!$E$2:$E$500,MATCH("D5.21|"&amp;BV45,CODIFICACION!$F$2:$F$500,0))="sin dato","",INDEX(CODIFICACION!$E$2:$E$500,MATCH("D5.21|"&amp;BV45,CODIFICACION!$F$2:$F$500,0))),"⚠"))</f>
        <v/>
      </c>
      <c r="AR45" t="str">
        <f>IF(BW45="","",IFERROR(IF(INDEX(CODIFICACION!$E$2:$E$500,MATCH("D5.21a|"&amp;BW45,CODIFICACION!$F$2:$F$500,0))="sin dato","",INDEX(CODIFICACION!$E$2:$E$500,MATCH("D5.21a|"&amp;BW45,CODIFICACION!$F$2:$F$500,0))),"⚠"))</f>
        <v/>
      </c>
      <c r="AS45" t="str">
        <f>IF(BX45="","",IFERROR(IF(INDEX(CODIFICACION!$E$2:$E$500,MATCH("D5.21b|"&amp;BX45,CODIFICACION!$F$2:$F$500,0))="sin dato","",INDEX(CODIFICACION!$E$2:$E$500,MATCH("D5.21b|"&amp;BX45,CODIFICACION!$F$2:$F$500,0))),"⚠"))</f>
        <v/>
      </c>
      <c r="AT45" t="str">
        <f>IF(BY45="","",IFERROR(IF(INDEX(CODIFICACION!$E$2:$E$500,MATCH("D6.22|"&amp;BY45,CODIFICACION!$F$2:$F$500,0))="sin dato","",INDEX(CODIFICACION!$E$2:$E$500,MATCH("D6.22|"&amp;BY45,CODIFICACION!$F$2:$F$500,0))),"⚠"))</f>
        <v/>
      </c>
      <c r="AU45" t="str">
        <f>IF(BZ45="","",IFERROR(IF(INDEX(CODIFICACION!$E$2:$E$500,MATCH("D6.22a|"&amp;BZ45,CODIFICACION!$F$2:$F$500,0))="sin dato","",INDEX(CODIFICACION!$E$2:$E$500,MATCH("D6.22a|"&amp;BZ45,CODIFICACION!$F$2:$F$500,0))),"⚠"))</f>
        <v/>
      </c>
      <c r="AV45" t="str">
        <f>IF(CA45="","",IFERROR(IF(INDEX(CODIFICACION!$E$2:$E$500,MATCH("D6.22b|"&amp;CA45,CODIFICACION!$F$2:$F$500,0))="sin dato","",INDEX(CODIFICACION!$E$2:$E$500,MATCH("D6.22b|"&amp;CA45,CODIFICACION!$F$2:$F$500,0))),"⚠"))</f>
        <v/>
      </c>
      <c r="AW45" t="str">
        <f>IF(CB45="","",IFERROR(IF(INDEX(CODIFICACION!$E$2:$E$500,MATCH("D6.23|"&amp;CB45,CODIFICACION!$F$2:$F$500,0))="sin dato","",INDEX(CODIFICACION!$E$2:$E$500,MATCH("D6.23|"&amp;CB45,CODIFICACION!$F$2:$F$500,0))),"⚠"))</f>
        <v/>
      </c>
      <c r="AX45" t="str">
        <f ca="1">IF(CC45="","",IFERROR(IF(INDEX(CODIFICACION!$E$2:$E$500,MATCH("D6.24|"&amp;CC45,CODIFICACION!$F$2:$F$500,0))="sin dato","",INDEX(CODIFICACION!$E$2:$E$500,MATCH("D6.24|"&amp;CC45,CODIFICACION!$F$2:$F$500,0))),"⚠"))</f>
        <v/>
      </c>
      <c r="AY45" t="str">
        <f ca="1">IF(CD45="","",IFERROR(IF(INDEX(CODIFICACION!$E$2:$E$500,MATCH("D6.25|"&amp;CD45,CODIFICACION!$F$2:$F$500,0))="sin dato","",INDEX(CODIFICACION!$E$2:$E$500,MATCH("D6.25|"&amp;CD45,CODIFICACION!$F$2:$F$500,0))),"⚠"))</f>
        <v/>
      </c>
      <c r="AZ45" t="str">
        <f>IF(CE45="","",IFERROR(IF(INDEX(CODIFICACION!$E$2:$E$500,MATCH("D6.25a|"&amp;CE45,CODIFICACION!$F$2:$F$500,0))="sin dato","",INDEX(CODIFICACION!$E$2:$E$500,MATCH("D6.25a|"&amp;CE45,CODIFICACION!$F$2:$F$500,0))),"⚠"))</f>
        <v/>
      </c>
      <c r="BA45" t="str">
        <f>IF(CF45="","",IFERROR(IF(INDEX(CODIFICACION!$E$2:$E$500,MATCH("D6.25b|"&amp;CF45,CODIFICACION!$F$2:$F$500,0))="sin dato","",INDEX(CODIFICACION!$E$2:$E$500,MATCH("D6.25b|"&amp;CF45,CODIFICACION!$F$2:$F$500,0))),"⚠"))</f>
        <v/>
      </c>
      <c r="BB45" t="str">
        <f ca="1">IF(CG45="","",IFERROR(IF(INDEX(CODIFICACION!$E$2:$E$500,MATCH("D6.22c|"&amp;CG45,CODIFICACION!$F$2:$F$500,0))="sin dato","",INDEX(CODIFICACION!$E$2:$E$500,MATCH("D6.22c|"&amp;CG45,CODIFICACION!$F$2:$F$500,0))),"⚠"))</f>
        <v/>
      </c>
      <c r="BC45" t="str">
        <f ca="1">IF(CH45="","",IFERROR(IF(INDEX(CODIFICACION!$E$2:$E$500,MATCH("D7.26|"&amp;CH45,CODIFICACION!$F$2:$F$500,0))="sin dato","",INDEX(CODIFICACION!$E$2:$E$500,MATCH("D7.26|"&amp;CH45,CODIFICACION!$F$2:$F$500,0))),"⚠"))</f>
        <v/>
      </c>
      <c r="BD45" t="str">
        <f>IF(CI45="","",IFERROR(IF(INDEX(CODIFICACION!$E$2:$E$500,MATCH("D7.27|"&amp;CI45,CODIFICACION!$F$2:$F$500,0))="sin dato","",INDEX(CODIFICACION!$E$2:$E$500,MATCH("D7.27|"&amp;CI45,CODIFICACION!$F$2:$F$500,0))),"⚠"))</f>
        <v/>
      </c>
      <c r="BE45" t="str">
        <f>IF(CJ45="","",IFERROR(IF(INDEX(CODIFICACION!$E$2:$E$500,MATCH("D7.28|"&amp;CJ45,CODIFICACION!$F$2:$F$500,0))="sin dato","",INDEX(CODIFICACION!$E$2:$E$500,MATCH("D7.28|"&amp;CJ45,CODIFICACION!$F$2:$F$500,0))),"⚠"))</f>
        <v/>
      </c>
      <c r="BF45" t="str">
        <f>IF(CK45="","",IFERROR(IF(INDEX(CODIFICACION!$E$2:$E$500,MATCH("D7.28b|"&amp;CK45,CODIFICACION!$F$2:$F$500,0))="sin dato","",INDEX(CODIFICACION!$E$2:$E$500,MATCH("D7.28b|"&amp;CK45,CODIFICACION!$F$2:$F$500,0))),"⚠"))</f>
        <v/>
      </c>
      <c r="BG45" t="str">
        <f t="shared" si="35"/>
        <v/>
      </c>
      <c r="BH45" t="str">
        <f>IF(CM45="","",IFERROR(IF(INDEX(CODIFICACION!$E$2:$E$500,MATCH("D7.26a|"&amp;CM45,CODIFICACION!$F$2:$F$500,0))="sin dato","",INDEX(CODIFICACION!$E$2:$E$500,MATCH("D7.26a|"&amp;CM45,CODIFICACION!$F$2:$F$500,0))),"⚠"))</f>
        <v/>
      </c>
      <c r="BI45" t="str">
        <f>IF(CN45="","",IFERROR(IF(INDEX(CODIFICACION!$E$2:$E$500,MATCH("D7.26b|"&amp;CN45,CODIFICACION!$F$2:$F$500,0))="sin dato","",INDEX(CODIFICACION!$E$2:$E$500,MATCH("D7.26b|"&amp;CN45,CODIFICACION!$F$2:$F$500,0))),"⚠"))</f>
        <v/>
      </c>
      <c r="BJ45" t="str">
        <f t="shared" si="36"/>
        <v/>
      </c>
      <c r="BK45" t="str">
        <f t="shared" si="37"/>
        <v/>
      </c>
      <c r="BL45" t="str">
        <f>IF(CQ45="","",IFERROR(IF(INDEX(CODIFICACION!$E$2:$E$500,MATCH("D8.31|"&amp;CQ45,CODIFICACION!$F$2:$F$500,0))="sin dato","",INDEX(CODIFICACION!$E$2:$E$500,MATCH("D8.31|"&amp;CQ45,CODIFICACION!$F$2:$F$500,0))),"⚠"))</f>
        <v/>
      </c>
      <c r="BM45" t="str">
        <f>IF(CR45="","",IFERROR(IF(INDEX(CODIFICACION!$E$2:$E$500,MATCH("D8.32|"&amp;CR45,CODIFICACION!$F$2:$F$500,0))="sin dato","",INDEX(CODIFICACION!$E$2:$E$500,MATCH("D8.32|"&amp;CR45,CODIFICACION!$F$2:$F$500,0))),"⚠"))</f>
        <v/>
      </c>
      <c r="BN45" t="str">
        <f>IF(CS45="","",IFERROR(IF(INDEX(CODIFICACION!$E$2:$E$500,MATCH("D9.33|"&amp;CS45,CODIFICACION!$F$2:$F$500,0))="sin dato","",INDEX(CODIFICACION!$E$2:$E$500,MATCH("D9.33|"&amp;CS45,CODIFICACION!$F$2:$F$500,0))),"⚠"))</f>
        <v/>
      </c>
      <c r="BO45" t="str">
        <f>IF(CT45="","",IFERROR(IF(INDEX(CODIFICACION!$E$2:$E$500,MATCH("D9.34|"&amp;CT45,CODIFICACION!$F$2:$F$500,0))="sin dato","",INDEX(CODIFICACION!$E$2:$E$500,MATCH("D9.34|"&amp;CT45,CODIFICACION!$F$2:$F$500,0))),"⚠"))</f>
        <v/>
      </c>
      <c r="BP45" t="str">
        <f>IF(CU45="","",IFERROR(IF(INDEX(CODIFICACION!$E$2:$E$500,MATCH("D9.35|"&amp;CU45,CODIFICACION!$F$2:$F$500,0))="sin dato","",INDEX(CODIFICACION!$E$2:$E$500,MATCH("D9.35|"&amp;CU45,CODIFICACION!$F$2:$F$500,0))),"⚠"))</f>
        <v/>
      </c>
      <c r="BQ45" t="str">
        <f>IF(CV45="","",IFERROR(IF(INDEX(CODIFICACION!$E$2:$E$500,MATCH("D10.36|"&amp;CV45,CODIFICACION!$F$2:$F$500,0))="sin dato","",INDEX(CODIFICACION!$E$2:$E$500,MATCH("D10.36|"&amp;CV45,CODIFICACION!$F$2:$F$500,0))),"⚠"))</f>
        <v/>
      </c>
      <c r="BR45" t="str">
        <f>IF(CW45="","",IFERROR(IF(INDEX(CODIFICACION!$E$2:$E$500,MATCH("D10.37|"&amp;CW45,CODIFICACION!$F$2:$F$500,0))="sin dato","",INDEX(CODIFICACION!$E$2:$E$500,MATCH("D10.37|"&amp;CW45,CODIFICACION!$F$2:$F$500,0))),"⚠"))</f>
        <v/>
      </c>
      <c r="BS45" t="str">
        <f>IF(CX45="","",IFERROR(IF(INDEX(CODIFICACION!$E$2:$E$500,MATCH("D10.36a|"&amp;CX45,CODIFICACION!$F$2:$F$500,0))="sin dato","",INDEX(CODIFICACION!$E$2:$E$500,MATCH("D10.36a|"&amp;CX45,CODIFICACION!$F$2:$F$500,0))),"⚠"))</f>
        <v/>
      </c>
      <c r="BT45" t="str">
        <f t="shared" si="38"/>
        <v/>
      </c>
      <c r="BU45" t="str">
        <f>IF(DA45="","",IFERROR(IF(INDEX(CODIFICACION!$E$2:$E$500,MATCH("D11.39a|"&amp;DA45,CODIFICACION!$F$2:$F$500,0))="sin dato","",INDEX(CODIFICACION!$E$2:$E$500,MATCH("D11.39a|"&amp;DA45,CODIFICACION!$F$2:$F$500,0))),"⚠"))</f>
        <v/>
      </c>
      <c r="BV45" t="str">
        <f>IF(DB45="","",IFERROR(IF(INDEX(CODIFICACION!$E$2:$E$500,MATCH("D12.42|"&amp;DB45,CODIFICACION!$F$2:$F$500,0))="sin dato","",INDEX(CODIFICACION!$E$2:$E$500,MATCH("D12.42|"&amp;DB45,CODIFICACION!$F$2:$F$500,0))),"⚠"))</f>
        <v/>
      </c>
      <c r="BW45" t="str">
        <f>IF(DC45="","",IFERROR(IF(INDEX(CODIFICACION!$E$2:$E$500,MATCH("D13.45|"&amp;DC45,CODIFICACION!$F$2:$F$500,0))="sin dato","",INDEX(CODIFICACION!$E$2:$E$500,MATCH("D13.45|"&amp;DC45,CODIFICACION!$F$2:$F$500,0))),"⚠"))</f>
        <v/>
      </c>
      <c r="BX45" t="str">
        <f>IF(DD45="","",IFERROR(IF(INDEX(CODIFICACION!$E$2:$E$500,MATCH("D14.51|"&amp;DD45,CODIFICACION!$F$2:$F$500,0))="sin dato","",INDEX(CODIFICACION!$E$2:$E$500,MATCH("D14.51|"&amp;DD45,CODIFICACION!$F$2:$F$500,0))),"⚠"))</f>
        <v/>
      </c>
      <c r="BY45" t="str">
        <f>IF(DE45="","",IFERROR(IF(INDEX(CODIFICACION!$E$2:$E$500,MATCH("D15.58|"&amp;DE45,CODIFICACION!$F$2:$F$500,0))="sin dato","",INDEX(CODIFICACION!$E$2:$E$500,MATCH("D15.58|"&amp;DE45,CODIFICACION!$F$2:$F$500,0))),"⚠"))</f>
        <v/>
      </c>
      <c r="BZ45" t="str">
        <f>IF(DF45="","",IFERROR(IF(INDEX(CODIFICACION!$E$2:$E$500,MATCH("PP1|"&amp;DF45,CODIFICACION!$F$2:$F$500,0))="sin dato","",INDEX(CODIFICACION!$E$2:$E$500,MATCH("PP1|"&amp;DF45,CODIFICACION!$F$2:$F$500,0))),"⚠"))</f>
        <v/>
      </c>
      <c r="CA45" t="str">
        <f>IF(DG45="","",IFERROR(IF(INDEX(CODIFICACION!$E$2:$E$500,MATCH("PP2|"&amp;DG45,CODIFICACION!$F$2:$F$500,0))="sin dato","",INDEX(CODIFICACION!$E$2:$E$500,MATCH("PP2|"&amp;DG45,CODIFICACION!$F$2:$F$500,0))),"⚠"))</f>
        <v/>
      </c>
      <c r="CB45" t="str">
        <f t="shared" si="39"/>
        <v/>
      </c>
      <c r="CC45" t="str">
        <f t="shared" ca="1" si="40"/>
        <v/>
      </c>
      <c r="CD45" t="str">
        <f t="shared" ca="1" si="41"/>
        <v/>
      </c>
      <c r="CE45" t="str">
        <f t="shared" si="42"/>
        <v/>
      </c>
      <c r="CF45" t="str">
        <f t="shared" si="43"/>
        <v/>
      </c>
      <c r="CG45" t="str">
        <f t="shared" ca="1" si="44"/>
        <v/>
      </c>
      <c r="CH45" t="str">
        <f t="shared" ca="1" si="45"/>
        <v/>
      </c>
      <c r="CI45" t="str">
        <f t="shared" si="46"/>
        <v/>
      </c>
      <c r="CJ45" t="str">
        <f t="shared" si="47"/>
        <v/>
      </c>
      <c r="CK45" t="str">
        <f t="shared" si="48"/>
        <v/>
      </c>
      <c r="CL45" t="str">
        <f t="shared" si="49"/>
        <v/>
      </c>
    </row>
    <row r="46" spans="1:90" x14ac:dyDescent="0.3">
      <c r="A46">
        <f>CAPTURA!A46</f>
        <v>20486668335</v>
      </c>
      <c r="B46">
        <f>CAPTURA!C46</f>
        <v>0</v>
      </c>
      <c r="C46" t="str">
        <f t="shared" si="25"/>
        <v/>
      </c>
      <c r="D46" t="str">
        <f>IF(AE46="","",IFERROR(IF(INDEX(CODIFICACION!$E$2:$E$500,MATCH("P8|"&amp;AE46,CODIFICACION!$F$2:$F$500,0))="sin dato","",INDEX(CODIFICACION!$E$2:$E$500,MATCH("P8|"&amp;AE46,CODIFICACION!$F$2:$F$500,0))),"⚠"))</f>
        <v/>
      </c>
      <c r="E46" t="str">
        <f>IF(AG46="","",IFERROR(IF(INDEX(CODIFICACION!$E$2:$E$500,MATCH("P10|"&amp;AG46,CODIFICACION!$F$2:$F$500,0))="sin dato","",INDEX(CODIFICACION!$E$2:$E$500,MATCH("P10|"&amp;AG46,CODIFICACION!$F$2:$F$500,0))),"⚠"))</f>
        <v/>
      </c>
      <c r="F46" t="str">
        <f>IF(AJ46="","",IFERROR(IF(INDEX(CODIFICACION!$E$2:$E$500,MATCH("P13|"&amp;AJ46,CODIFICACION!$F$2:$F$500,0))="sin dato","",INDEX(CODIFICACION!$E$2:$E$500,MATCH("P13|"&amp;AJ46,CODIFICACION!$F$2:$F$500,0))),"⚠"))</f>
        <v/>
      </c>
      <c r="G46" t="str">
        <f>IF(AK46="","",IFERROR(IF(INDEX(CODIFICACION!$E$2:$E$500,MATCH("P14|"&amp;AK46,CODIFICACION!$F$2:$F$500,0))="sin dato","",INDEX(CODIFICACION!$E$2:$E$500,MATCH("P14|"&amp;AK46,CODIFICACION!$F$2:$F$500,0))),"⚠"))</f>
        <v/>
      </c>
      <c r="H46" t="str">
        <f>IF(AL46="","",IFERROR(IF(INDEX(CODIFICACION!$E$2:$E$500,MATCH("D1.1|"&amp;AL46,CODIFICACION!$F$2:$F$500,0))="sin dato","",INDEX(CODIFICACION!$E$2:$E$500,MATCH("D1.1|"&amp;AL46,CODIFICACION!$F$2:$F$500,0))),"⚠"))</f>
        <v/>
      </c>
      <c r="I46" t="str">
        <f>IF(AN46="","",IFERROR(IF(INDEX(CODIFICACION!$E$2:$E$500,MATCH("D1.3|"&amp;AN46,CODIFICACION!$F$2:$F$500,0))="sin dato","",INDEX(CODIFICACION!$E$2:$E$500,MATCH("D1.3|"&amp;AN46,CODIFICACION!$F$2:$F$500,0))),"⚠"))</f>
        <v/>
      </c>
      <c r="J46" t="str">
        <f>IF(AO46="","",IFERROR(IF(INDEX(CODIFICACION!$E$2:$E$500,MATCH("D1.4|"&amp;AO46,CODIFICACION!$F$2:$F$500,0))="sin dato","",INDEX(CODIFICACION!$E$2:$E$500,MATCH("D1.4|"&amp;AO46,CODIFICACION!$F$2:$F$500,0))),"⚠"))</f>
        <v/>
      </c>
      <c r="K46" t="str">
        <f>IF(AP46="","",IFERROR(IF(INDEX(CODIFICACION!$E$2:$E$500,MATCH("D1.3a|"&amp;AP46,CODIFICACION!$F$2:$F$500,0))="sin dato","",INDEX(CODIFICACION!$E$2:$E$500,MATCH("D1.3a|"&amp;AP46,CODIFICACION!$F$2:$F$500,0))),"⚠"))</f>
        <v/>
      </c>
      <c r="L46" t="str">
        <f t="shared" si="26"/>
        <v/>
      </c>
      <c r="M46" t="str">
        <f t="shared" si="27"/>
        <v/>
      </c>
      <c r="N46" t="str">
        <f t="shared" si="28"/>
        <v/>
      </c>
      <c r="O46" t="str">
        <f>IF(AT46="","",IFERROR(IF(INDEX(CODIFICACION!$E$2:$E$500,MATCH("D2.8|"&amp;AT46,CODIFICACION!$F$2:$F$500,0))="sin dato","",INDEX(CODIFICACION!$E$2:$E$500,MATCH("D2.8|"&amp;AT46,CODIFICACION!$F$2:$F$500,0))),"⚠"))</f>
        <v/>
      </c>
      <c r="P46" t="str">
        <f>IF(AU46="","",IFERROR(IF(INDEX(CODIFICACION!$E$2:$E$500,MATCH("D2.9|"&amp;AU46,CODIFICACION!$F$2:$F$500,0))="sin dato","",INDEX(CODIFICACION!$E$2:$E$500,MATCH("D2.9|"&amp;AU46,CODIFICACION!$F$2:$F$500,0))),"⚠"))</f>
        <v/>
      </c>
      <c r="Q46" t="str">
        <f>IF(AV46="","",IFERROR(IF(INDEX(CODIFICACION!$E$2:$E$500,MATCH("D2.10|"&amp;AV46,CODIFICACION!$F$2:$F$500,0))="sin dato","",INDEX(CODIFICACION!$E$2:$E$500,MATCH("D2.10|"&amp;AV46,CODIFICACION!$F$2:$F$500,0))),"⚠"))</f>
        <v/>
      </c>
      <c r="R46" t="str">
        <f>IF(AW46="","",IFERROR(IF(INDEX(CODIFICACION!$E$2:$E$500,MATCH("D2.5a|"&amp;AW46,CODIFICACION!$F$2:$F$500,0))="sin dato","",INDEX(CODIFICACION!$E$2:$E$500,MATCH("D2.5a|"&amp;AW46,CODIFICACION!$F$2:$F$500,0))),"⚠"))</f>
        <v/>
      </c>
      <c r="S46" t="str">
        <f ca="1">IF(AX46="","",IFERROR(IF(INDEX(CODIFICACION!$E$2:$E$500,MATCH("D2.5b|"&amp;AX46,CODIFICACION!$F$2:$F$500,0))="sin dato","",INDEX(CODIFICACION!$E$2:$E$500,MATCH("D2.5b|"&amp;AX46,CODIFICACION!$F$2:$F$500,0))),"⚠"))</f>
        <v/>
      </c>
      <c r="T46" t="str">
        <f t="shared" ca="1" si="29"/>
        <v/>
      </c>
      <c r="U46" t="str">
        <f>IF(AZ46="","",IFERROR(IF(INDEX(CODIFICACION!$E$2:$E$500,MATCH("D3.12|"&amp;AZ46,CODIFICACION!$F$2:$F$500,0))="sin dato","",INDEX(CODIFICACION!$E$2:$E$500,MATCH("D3.12|"&amp;AZ46,CODIFICACION!$F$2:$F$500,0))),"⚠"))</f>
        <v/>
      </c>
      <c r="V46" t="str">
        <f t="shared" si="30"/>
        <v/>
      </c>
      <c r="W46" t="str">
        <f ca="1">IF(BB46="","",IFERROR(IF(INDEX(CODIFICACION!$E$2:$E$500,MATCH("D3.14|"&amp;BB46,CODIFICACION!$F$2:$F$500,0))="sin dato","",INDEX(CODIFICACION!$E$2:$E$500,MATCH("D3.14|"&amp;BB46,CODIFICACION!$F$2:$F$500,0))),"⚠"))</f>
        <v/>
      </c>
      <c r="X46" t="str">
        <f ca="1">IF(BC46="","",IFERROR(IF(INDEX(CODIFICACION!$E$2:$E$500,MATCH("D3.14a|"&amp;BC46,CODIFICACION!$F$2:$F$500,0))="sin dato","",INDEX(CODIFICACION!$E$2:$E$500,MATCH("D3.14a|"&amp;BC46,CODIFICACION!$F$2:$F$500,0))),"⚠"))</f>
        <v/>
      </c>
      <c r="Y46" t="str">
        <f>IF(BD46="","",IFERROR(IF(INDEX(CODIFICACION!$E$2:$E$500,MATCH("D3.14b|"&amp;BD46,CODIFICACION!$F$2:$F$500,0))="sin dato","",INDEX(CODIFICACION!$E$2:$E$500,MATCH("D3.14b|"&amp;BD46,CODIFICACION!$F$2:$F$500,0))),"⚠"))</f>
        <v/>
      </c>
      <c r="Z46" t="str">
        <f>IF(BE46="","",IFERROR(IF(INDEX(CODIFICACION!$E$2:$E$500,MATCH("D3.14c|"&amp;BE46,CODIFICACION!$F$2:$F$500,0))="sin dato","",INDEX(CODIFICACION!$E$2:$E$500,MATCH("D3.14c|"&amp;BE46,CODIFICACION!$F$2:$F$500,0))),"⚠"))</f>
        <v/>
      </c>
      <c r="AA46" t="str">
        <f>IF(BF46="","",IFERROR(IF(INDEX(CODIFICACION!$E$2:$E$500,MATCH("D3.14d|"&amp;BF46,CODIFICACION!$F$2:$F$500,0))="sin dato","",INDEX(CODIFICACION!$E$2:$E$500,MATCH("D3.14d|"&amp;BF46,CODIFICACION!$F$2:$F$500,0))),"⚠"))</f>
        <v/>
      </c>
      <c r="AB46" t="str">
        <f>IF(BG46="","",IFERROR(IF(INDEX(CODIFICACION!$E$2:$E$500,MATCH("D3.14e|"&amp;BG46,CODIFICACION!$F$2:$F$500,0))="sin dato","",INDEX(CODIFICACION!$E$2:$E$500,MATCH("D3.14e|"&amp;BG46,CODIFICACION!$F$2:$F$500,0))),"⚠"))</f>
        <v/>
      </c>
      <c r="AC46" t="str">
        <f>IF(BH46="","",IFERROR(IF(INDEX(CODIFICACION!$E$2:$E$500,MATCH("D3.14f|"&amp;BH46,CODIFICACION!$F$2:$F$500,0))="sin dato","",INDEX(CODIFICACION!$E$2:$E$500,MATCH("D3.14f|"&amp;BH46,CODIFICACION!$F$2:$F$500,0))),"⚠"))</f>
        <v/>
      </c>
      <c r="AD46" t="str">
        <f>IF(BI46="","",IFERROR(IF(INDEX(CODIFICACION!$E$2:$E$500,MATCH("D3.14g|"&amp;BI46,CODIFICACION!$F$2:$F$500,0))="sin dato","",INDEX(CODIFICACION!$E$2:$E$500,MATCH("D3.14g|"&amp;BI46,CODIFICACION!$F$2:$F$500,0))),"⚠"))</f>
        <v/>
      </c>
      <c r="AE46" t="str">
        <f>IF(BJ46="","",IFERROR(IF(INDEX(CODIFICACION!$E$2:$E$500,MATCH("D3.14h|"&amp;BJ46,CODIFICACION!$F$2:$F$500,0))="sin dato","",INDEX(CODIFICACION!$E$2:$E$500,MATCH("D3.14h|"&amp;BJ46,CODIFICACION!$F$2:$F$500,0))),"⚠"))</f>
        <v/>
      </c>
      <c r="AF46" t="str">
        <f>IF(BK46="","",IFERROR(IF(INDEX(CODIFICACION!$E$2:$E$500,MATCH("D3.14i|"&amp;BK46,CODIFICACION!$F$2:$F$500,0))="sin dato","",INDEX(CODIFICACION!$E$2:$E$500,MATCH("D3.14i|"&amp;BK46,CODIFICACION!$F$2:$F$500,0))),"⚠"))</f>
        <v/>
      </c>
      <c r="AG46" t="str">
        <f>IF(BL46="","",IFERROR(IF(INDEX(CODIFICACION!$E$2:$E$500,MATCH("D4.15|"&amp;BL46,CODIFICACION!$F$2:$F$500,0))="sin dato","",INDEX(CODIFICACION!$E$2:$E$500,MATCH("D4.15|"&amp;BL46,CODIFICACION!$F$2:$F$500,0))),"⚠"))</f>
        <v/>
      </c>
      <c r="AH46" t="str">
        <f t="shared" si="31"/>
        <v/>
      </c>
      <c r="AI46" t="str">
        <f>IF(BN46="","",IFERROR(IF(INDEX(CODIFICACION!$E$2:$E$500,MATCH("D4.17|"&amp;BN46,CODIFICACION!$F$2:$F$500,0))="sin dato","",INDEX(CODIFICACION!$E$2:$E$500,MATCH("D4.17|"&amp;BN46,CODIFICACION!$F$2:$F$500,0))),"⚠"))</f>
        <v/>
      </c>
      <c r="AJ46" t="str">
        <f>IF(BO46="","",IFERROR(IF(INDEX(CODIFICACION!$E$2:$E$500,MATCH("D4.15a|"&amp;BO46,CODIFICACION!$F$2:$F$500,0))="sin dato","",INDEX(CODIFICACION!$E$2:$E$500,MATCH("D4.15a|"&amp;BO46,CODIFICACION!$F$2:$F$500,0))),"⚠"))</f>
        <v/>
      </c>
      <c r="AK46" t="str">
        <f t="shared" si="32"/>
        <v/>
      </c>
      <c r="AL46" t="str">
        <f t="shared" si="33"/>
        <v/>
      </c>
      <c r="AM46" t="str">
        <f>IF(BR46="","",IFERROR(IF(INDEX(CODIFICACION!$E$2:$E$500,MATCH("D5.18b|"&amp;BR46,CODIFICACION!$F$2:$F$500,0))="sin dato","",INDEX(CODIFICACION!$E$2:$E$500,MATCH("D5.18b|"&amp;BR46,CODIFICACION!$F$2:$F$500,0))),"⚠"))</f>
        <v/>
      </c>
      <c r="AN46" t="str">
        <f>IF(BS46="","",IFERROR(IF(INDEX(CODIFICACION!$E$2:$E$500,MATCH("D5.19|"&amp;BS46,CODIFICACION!$F$2:$F$500,0))="sin dato","",INDEX(CODIFICACION!$E$2:$E$500,MATCH("D5.19|"&amp;BS46,CODIFICACION!$F$2:$F$500,0))),"⚠"))</f>
        <v/>
      </c>
      <c r="AO46" t="str">
        <f t="shared" si="34"/>
        <v/>
      </c>
      <c r="AP46" t="str">
        <f>IF(BU46="","",IFERROR(IF(INDEX(CODIFICACION!$E$2:$E$500,MATCH("D5.20|"&amp;BU46,CODIFICACION!$F$2:$F$500,0))="sin dato","",INDEX(CODIFICACION!$E$2:$E$500,MATCH("D5.20|"&amp;BU46,CODIFICACION!$F$2:$F$500,0))),"⚠"))</f>
        <v/>
      </c>
      <c r="AQ46" t="str">
        <f>IF(BV46="","",IFERROR(IF(INDEX(CODIFICACION!$E$2:$E$500,MATCH("D5.21|"&amp;BV46,CODIFICACION!$F$2:$F$500,0))="sin dato","",INDEX(CODIFICACION!$E$2:$E$500,MATCH("D5.21|"&amp;BV46,CODIFICACION!$F$2:$F$500,0))),"⚠"))</f>
        <v/>
      </c>
      <c r="AR46" t="str">
        <f>IF(BW46="","",IFERROR(IF(INDEX(CODIFICACION!$E$2:$E$500,MATCH("D5.21a|"&amp;BW46,CODIFICACION!$F$2:$F$500,0))="sin dato","",INDEX(CODIFICACION!$E$2:$E$500,MATCH("D5.21a|"&amp;BW46,CODIFICACION!$F$2:$F$500,0))),"⚠"))</f>
        <v/>
      </c>
      <c r="AS46" t="str">
        <f>IF(BX46="","",IFERROR(IF(INDEX(CODIFICACION!$E$2:$E$500,MATCH("D5.21b|"&amp;BX46,CODIFICACION!$F$2:$F$500,0))="sin dato","",INDEX(CODIFICACION!$E$2:$E$500,MATCH("D5.21b|"&amp;BX46,CODIFICACION!$F$2:$F$500,0))),"⚠"))</f>
        <v/>
      </c>
      <c r="AT46" t="str">
        <f>IF(BY46="","",IFERROR(IF(INDEX(CODIFICACION!$E$2:$E$500,MATCH("D6.22|"&amp;BY46,CODIFICACION!$F$2:$F$500,0))="sin dato","",INDEX(CODIFICACION!$E$2:$E$500,MATCH("D6.22|"&amp;BY46,CODIFICACION!$F$2:$F$500,0))),"⚠"))</f>
        <v/>
      </c>
      <c r="AU46" t="str">
        <f>IF(BZ46="","",IFERROR(IF(INDEX(CODIFICACION!$E$2:$E$500,MATCH("D6.22a|"&amp;BZ46,CODIFICACION!$F$2:$F$500,0))="sin dato","",INDEX(CODIFICACION!$E$2:$E$500,MATCH("D6.22a|"&amp;BZ46,CODIFICACION!$F$2:$F$500,0))),"⚠"))</f>
        <v/>
      </c>
      <c r="AV46" t="str">
        <f>IF(CA46="","",IFERROR(IF(INDEX(CODIFICACION!$E$2:$E$500,MATCH("D6.22b|"&amp;CA46,CODIFICACION!$F$2:$F$500,0))="sin dato","",INDEX(CODIFICACION!$E$2:$E$500,MATCH("D6.22b|"&amp;CA46,CODIFICACION!$F$2:$F$500,0))),"⚠"))</f>
        <v/>
      </c>
      <c r="AW46" t="str">
        <f>IF(CB46="","",IFERROR(IF(INDEX(CODIFICACION!$E$2:$E$500,MATCH("D6.23|"&amp;CB46,CODIFICACION!$F$2:$F$500,0))="sin dato","",INDEX(CODIFICACION!$E$2:$E$500,MATCH("D6.23|"&amp;CB46,CODIFICACION!$F$2:$F$500,0))),"⚠"))</f>
        <v/>
      </c>
      <c r="AX46" t="str">
        <f ca="1">IF(CC46="","",IFERROR(IF(INDEX(CODIFICACION!$E$2:$E$500,MATCH("D6.24|"&amp;CC46,CODIFICACION!$F$2:$F$500,0))="sin dato","",INDEX(CODIFICACION!$E$2:$E$500,MATCH("D6.24|"&amp;CC46,CODIFICACION!$F$2:$F$500,0))),"⚠"))</f>
        <v/>
      </c>
      <c r="AY46" t="str">
        <f ca="1">IF(CD46="","",IFERROR(IF(INDEX(CODIFICACION!$E$2:$E$500,MATCH("D6.25|"&amp;CD46,CODIFICACION!$F$2:$F$500,0))="sin dato","",INDEX(CODIFICACION!$E$2:$E$500,MATCH("D6.25|"&amp;CD46,CODIFICACION!$F$2:$F$500,0))),"⚠"))</f>
        <v/>
      </c>
      <c r="AZ46" t="str">
        <f>IF(CE46="","",IFERROR(IF(INDEX(CODIFICACION!$E$2:$E$500,MATCH("D6.25a|"&amp;CE46,CODIFICACION!$F$2:$F$500,0))="sin dato","",INDEX(CODIFICACION!$E$2:$E$500,MATCH("D6.25a|"&amp;CE46,CODIFICACION!$F$2:$F$500,0))),"⚠"))</f>
        <v/>
      </c>
      <c r="BA46" t="str">
        <f>IF(CF46="","",IFERROR(IF(INDEX(CODIFICACION!$E$2:$E$500,MATCH("D6.25b|"&amp;CF46,CODIFICACION!$F$2:$F$500,0))="sin dato","",INDEX(CODIFICACION!$E$2:$E$500,MATCH("D6.25b|"&amp;CF46,CODIFICACION!$F$2:$F$500,0))),"⚠"))</f>
        <v/>
      </c>
      <c r="BB46" t="str">
        <f ca="1">IF(CG46="","",IFERROR(IF(INDEX(CODIFICACION!$E$2:$E$500,MATCH("D6.22c|"&amp;CG46,CODIFICACION!$F$2:$F$500,0))="sin dato","",INDEX(CODIFICACION!$E$2:$E$500,MATCH("D6.22c|"&amp;CG46,CODIFICACION!$F$2:$F$500,0))),"⚠"))</f>
        <v/>
      </c>
      <c r="BC46" t="str">
        <f ca="1">IF(CH46="","",IFERROR(IF(INDEX(CODIFICACION!$E$2:$E$500,MATCH("D7.26|"&amp;CH46,CODIFICACION!$F$2:$F$500,0))="sin dato","",INDEX(CODIFICACION!$E$2:$E$500,MATCH("D7.26|"&amp;CH46,CODIFICACION!$F$2:$F$500,0))),"⚠"))</f>
        <v/>
      </c>
      <c r="BD46" t="str">
        <f>IF(CI46="","",IFERROR(IF(INDEX(CODIFICACION!$E$2:$E$500,MATCH("D7.27|"&amp;CI46,CODIFICACION!$F$2:$F$500,0))="sin dato","",INDEX(CODIFICACION!$E$2:$E$500,MATCH("D7.27|"&amp;CI46,CODIFICACION!$F$2:$F$500,0))),"⚠"))</f>
        <v/>
      </c>
      <c r="BE46" t="str">
        <f>IF(CJ46="","",IFERROR(IF(INDEX(CODIFICACION!$E$2:$E$500,MATCH("D7.28|"&amp;CJ46,CODIFICACION!$F$2:$F$500,0))="sin dato","",INDEX(CODIFICACION!$E$2:$E$500,MATCH("D7.28|"&amp;CJ46,CODIFICACION!$F$2:$F$500,0))),"⚠"))</f>
        <v/>
      </c>
      <c r="BF46" t="str">
        <f>IF(CK46="","",IFERROR(IF(INDEX(CODIFICACION!$E$2:$E$500,MATCH("D7.28b|"&amp;CK46,CODIFICACION!$F$2:$F$500,0))="sin dato","",INDEX(CODIFICACION!$E$2:$E$500,MATCH("D7.28b|"&amp;CK46,CODIFICACION!$F$2:$F$500,0))),"⚠"))</f>
        <v/>
      </c>
      <c r="BG46" t="str">
        <f t="shared" si="35"/>
        <v/>
      </c>
      <c r="BH46" t="str">
        <f>IF(CM46="","",IFERROR(IF(INDEX(CODIFICACION!$E$2:$E$500,MATCH("D7.26a|"&amp;CM46,CODIFICACION!$F$2:$F$500,0))="sin dato","",INDEX(CODIFICACION!$E$2:$E$500,MATCH("D7.26a|"&amp;CM46,CODIFICACION!$F$2:$F$500,0))),"⚠"))</f>
        <v/>
      </c>
      <c r="BI46" t="str">
        <f>IF(CN46="","",IFERROR(IF(INDEX(CODIFICACION!$E$2:$E$500,MATCH("D7.26b|"&amp;CN46,CODIFICACION!$F$2:$F$500,0))="sin dato","",INDEX(CODIFICACION!$E$2:$E$500,MATCH("D7.26b|"&amp;CN46,CODIFICACION!$F$2:$F$500,0))),"⚠"))</f>
        <v/>
      </c>
      <c r="BJ46" t="str">
        <f t="shared" si="36"/>
        <v/>
      </c>
      <c r="BK46" t="str">
        <f t="shared" si="37"/>
        <v/>
      </c>
      <c r="BL46" t="str">
        <f>IF(CQ46="","",IFERROR(IF(INDEX(CODIFICACION!$E$2:$E$500,MATCH("D8.31|"&amp;CQ46,CODIFICACION!$F$2:$F$500,0))="sin dato","",INDEX(CODIFICACION!$E$2:$E$500,MATCH("D8.31|"&amp;CQ46,CODIFICACION!$F$2:$F$500,0))),"⚠"))</f>
        <v/>
      </c>
      <c r="BM46" t="str">
        <f>IF(CR46="","",IFERROR(IF(INDEX(CODIFICACION!$E$2:$E$500,MATCH("D8.32|"&amp;CR46,CODIFICACION!$F$2:$F$500,0))="sin dato","",INDEX(CODIFICACION!$E$2:$E$500,MATCH("D8.32|"&amp;CR46,CODIFICACION!$F$2:$F$500,0))),"⚠"))</f>
        <v/>
      </c>
      <c r="BN46" t="str">
        <f>IF(CS46="","",IFERROR(IF(INDEX(CODIFICACION!$E$2:$E$500,MATCH("D9.33|"&amp;CS46,CODIFICACION!$F$2:$F$500,0))="sin dato","",INDEX(CODIFICACION!$E$2:$E$500,MATCH("D9.33|"&amp;CS46,CODIFICACION!$F$2:$F$500,0))),"⚠"))</f>
        <v/>
      </c>
      <c r="BO46" t="str">
        <f>IF(CT46="","",IFERROR(IF(INDEX(CODIFICACION!$E$2:$E$500,MATCH("D9.34|"&amp;CT46,CODIFICACION!$F$2:$F$500,0))="sin dato","",INDEX(CODIFICACION!$E$2:$E$500,MATCH("D9.34|"&amp;CT46,CODIFICACION!$F$2:$F$500,0))),"⚠"))</f>
        <v/>
      </c>
      <c r="BP46" t="str">
        <f>IF(CU46="","",IFERROR(IF(INDEX(CODIFICACION!$E$2:$E$500,MATCH("D9.35|"&amp;CU46,CODIFICACION!$F$2:$F$500,0))="sin dato","",INDEX(CODIFICACION!$E$2:$E$500,MATCH("D9.35|"&amp;CU46,CODIFICACION!$F$2:$F$500,0))),"⚠"))</f>
        <v/>
      </c>
      <c r="BQ46" t="str">
        <f>IF(CV46="","",IFERROR(IF(INDEX(CODIFICACION!$E$2:$E$500,MATCH("D10.36|"&amp;CV46,CODIFICACION!$F$2:$F$500,0))="sin dato","",INDEX(CODIFICACION!$E$2:$E$500,MATCH("D10.36|"&amp;CV46,CODIFICACION!$F$2:$F$500,0))),"⚠"))</f>
        <v/>
      </c>
      <c r="BR46" t="str">
        <f>IF(CW46="","",IFERROR(IF(INDEX(CODIFICACION!$E$2:$E$500,MATCH("D10.37|"&amp;CW46,CODIFICACION!$F$2:$F$500,0))="sin dato","",INDEX(CODIFICACION!$E$2:$E$500,MATCH("D10.37|"&amp;CW46,CODIFICACION!$F$2:$F$500,0))),"⚠"))</f>
        <v/>
      </c>
      <c r="BS46" t="str">
        <f>IF(CX46="","",IFERROR(IF(INDEX(CODIFICACION!$E$2:$E$500,MATCH("D10.36a|"&amp;CX46,CODIFICACION!$F$2:$F$500,0))="sin dato","",INDEX(CODIFICACION!$E$2:$E$500,MATCH("D10.36a|"&amp;CX46,CODIFICACION!$F$2:$F$500,0))),"⚠"))</f>
        <v/>
      </c>
      <c r="BT46" t="str">
        <f t="shared" si="38"/>
        <v/>
      </c>
      <c r="BU46" t="str">
        <f>IF(DA46="","",IFERROR(IF(INDEX(CODIFICACION!$E$2:$E$500,MATCH("D11.39a|"&amp;DA46,CODIFICACION!$F$2:$F$500,0))="sin dato","",INDEX(CODIFICACION!$E$2:$E$500,MATCH("D11.39a|"&amp;DA46,CODIFICACION!$F$2:$F$500,0))),"⚠"))</f>
        <v/>
      </c>
      <c r="BV46" t="str">
        <f>IF(DB46="","",IFERROR(IF(INDEX(CODIFICACION!$E$2:$E$500,MATCH("D12.42|"&amp;DB46,CODIFICACION!$F$2:$F$500,0))="sin dato","",INDEX(CODIFICACION!$E$2:$E$500,MATCH("D12.42|"&amp;DB46,CODIFICACION!$F$2:$F$500,0))),"⚠"))</f>
        <v/>
      </c>
      <c r="BW46" t="str">
        <f>IF(DC46="","",IFERROR(IF(INDEX(CODIFICACION!$E$2:$E$500,MATCH("D13.45|"&amp;DC46,CODIFICACION!$F$2:$F$500,0))="sin dato","",INDEX(CODIFICACION!$E$2:$E$500,MATCH("D13.45|"&amp;DC46,CODIFICACION!$F$2:$F$500,0))),"⚠"))</f>
        <v/>
      </c>
      <c r="BX46" t="str">
        <f>IF(DD46="","",IFERROR(IF(INDEX(CODIFICACION!$E$2:$E$500,MATCH("D14.51|"&amp;DD46,CODIFICACION!$F$2:$F$500,0))="sin dato","",INDEX(CODIFICACION!$E$2:$E$500,MATCH("D14.51|"&amp;DD46,CODIFICACION!$F$2:$F$500,0))),"⚠"))</f>
        <v/>
      </c>
      <c r="BY46" t="str">
        <f>IF(DE46="","",IFERROR(IF(INDEX(CODIFICACION!$E$2:$E$500,MATCH("D15.58|"&amp;DE46,CODIFICACION!$F$2:$F$500,0))="sin dato","",INDEX(CODIFICACION!$E$2:$E$500,MATCH("D15.58|"&amp;DE46,CODIFICACION!$F$2:$F$500,0))),"⚠"))</f>
        <v/>
      </c>
      <c r="BZ46" t="str">
        <f>IF(DF46="","",IFERROR(IF(INDEX(CODIFICACION!$E$2:$E$500,MATCH("PP1|"&amp;DF46,CODIFICACION!$F$2:$F$500,0))="sin dato","",INDEX(CODIFICACION!$E$2:$E$500,MATCH("PP1|"&amp;DF46,CODIFICACION!$F$2:$F$500,0))),"⚠"))</f>
        <v/>
      </c>
      <c r="CA46" t="str">
        <f>IF(DG46="","",IFERROR(IF(INDEX(CODIFICACION!$E$2:$E$500,MATCH("PP2|"&amp;DG46,CODIFICACION!$F$2:$F$500,0))="sin dato","",INDEX(CODIFICACION!$E$2:$E$500,MATCH("PP2|"&amp;DG46,CODIFICACION!$F$2:$F$500,0))),"⚠"))</f>
        <v/>
      </c>
      <c r="CB46" t="str">
        <f t="shared" si="39"/>
        <v/>
      </c>
      <c r="CC46" t="str">
        <f t="shared" ca="1" si="40"/>
        <v/>
      </c>
      <c r="CD46" t="str">
        <f t="shared" ca="1" si="41"/>
        <v/>
      </c>
      <c r="CE46" t="str">
        <f t="shared" si="42"/>
        <v/>
      </c>
      <c r="CF46" t="str">
        <f t="shared" si="43"/>
        <v/>
      </c>
      <c r="CG46" t="str">
        <f t="shared" ca="1" si="44"/>
        <v/>
      </c>
      <c r="CH46" t="str">
        <f t="shared" ca="1" si="45"/>
        <v/>
      </c>
      <c r="CI46" t="str">
        <f t="shared" si="46"/>
        <v/>
      </c>
      <c r="CJ46" t="str">
        <f t="shared" si="47"/>
        <v/>
      </c>
      <c r="CK46" t="str">
        <f t="shared" si="48"/>
        <v/>
      </c>
      <c r="CL46" t="str">
        <f t="shared" si="49"/>
        <v/>
      </c>
    </row>
    <row r="47" spans="1:90" x14ac:dyDescent="0.3">
      <c r="A47">
        <f>CAPTURA!A47</f>
        <v>20486876019</v>
      </c>
      <c r="B47">
        <f>CAPTURA!C47</f>
        <v>0</v>
      </c>
      <c r="C47" t="str">
        <f t="shared" si="25"/>
        <v/>
      </c>
      <c r="D47" t="str">
        <f>IF(AE47="","",IFERROR(IF(INDEX(CODIFICACION!$E$2:$E$500,MATCH("P8|"&amp;AE47,CODIFICACION!$F$2:$F$500,0))="sin dato","",INDEX(CODIFICACION!$E$2:$E$500,MATCH("P8|"&amp;AE47,CODIFICACION!$F$2:$F$500,0))),"⚠"))</f>
        <v/>
      </c>
      <c r="E47" t="str">
        <f>IF(AG47="","",IFERROR(IF(INDEX(CODIFICACION!$E$2:$E$500,MATCH("P10|"&amp;AG47,CODIFICACION!$F$2:$F$500,0))="sin dato","",INDEX(CODIFICACION!$E$2:$E$500,MATCH("P10|"&amp;AG47,CODIFICACION!$F$2:$F$500,0))),"⚠"))</f>
        <v/>
      </c>
      <c r="F47" t="str">
        <f>IF(AJ47="","",IFERROR(IF(INDEX(CODIFICACION!$E$2:$E$500,MATCH("P13|"&amp;AJ47,CODIFICACION!$F$2:$F$500,0))="sin dato","",INDEX(CODIFICACION!$E$2:$E$500,MATCH("P13|"&amp;AJ47,CODIFICACION!$F$2:$F$500,0))),"⚠"))</f>
        <v/>
      </c>
      <c r="G47" t="str">
        <f>IF(AK47="","",IFERROR(IF(INDEX(CODIFICACION!$E$2:$E$500,MATCH("P14|"&amp;AK47,CODIFICACION!$F$2:$F$500,0))="sin dato","",INDEX(CODIFICACION!$E$2:$E$500,MATCH("P14|"&amp;AK47,CODIFICACION!$F$2:$F$500,0))),"⚠"))</f>
        <v/>
      </c>
      <c r="H47" t="str">
        <f>IF(AL47="","",IFERROR(IF(INDEX(CODIFICACION!$E$2:$E$500,MATCH("D1.1|"&amp;AL47,CODIFICACION!$F$2:$F$500,0))="sin dato","",INDEX(CODIFICACION!$E$2:$E$500,MATCH("D1.1|"&amp;AL47,CODIFICACION!$F$2:$F$500,0))),"⚠"))</f>
        <v/>
      </c>
      <c r="I47" t="str">
        <f>IF(AN47="","",IFERROR(IF(INDEX(CODIFICACION!$E$2:$E$500,MATCH("D1.3|"&amp;AN47,CODIFICACION!$F$2:$F$500,0))="sin dato","",INDEX(CODIFICACION!$E$2:$E$500,MATCH("D1.3|"&amp;AN47,CODIFICACION!$F$2:$F$500,0))),"⚠"))</f>
        <v/>
      </c>
      <c r="J47" t="str">
        <f>IF(AO47="","",IFERROR(IF(INDEX(CODIFICACION!$E$2:$E$500,MATCH("D1.4|"&amp;AO47,CODIFICACION!$F$2:$F$500,0))="sin dato","",INDEX(CODIFICACION!$E$2:$E$500,MATCH("D1.4|"&amp;AO47,CODIFICACION!$F$2:$F$500,0))),"⚠"))</f>
        <v/>
      </c>
      <c r="K47" t="str">
        <f>IF(AP47="","",IFERROR(IF(INDEX(CODIFICACION!$E$2:$E$500,MATCH("D1.3a|"&amp;AP47,CODIFICACION!$F$2:$F$500,0))="sin dato","",INDEX(CODIFICACION!$E$2:$E$500,MATCH("D1.3a|"&amp;AP47,CODIFICACION!$F$2:$F$500,0))),"⚠"))</f>
        <v/>
      </c>
      <c r="L47" t="str">
        <f t="shared" si="26"/>
        <v/>
      </c>
      <c r="M47" t="str">
        <f t="shared" si="27"/>
        <v/>
      </c>
      <c r="N47" t="str">
        <f t="shared" si="28"/>
        <v/>
      </c>
      <c r="O47" t="str">
        <f>IF(AT47="","",IFERROR(IF(INDEX(CODIFICACION!$E$2:$E$500,MATCH("D2.8|"&amp;AT47,CODIFICACION!$F$2:$F$500,0))="sin dato","",INDEX(CODIFICACION!$E$2:$E$500,MATCH("D2.8|"&amp;AT47,CODIFICACION!$F$2:$F$500,0))),"⚠"))</f>
        <v/>
      </c>
      <c r="P47" t="str">
        <f>IF(AU47="","",IFERROR(IF(INDEX(CODIFICACION!$E$2:$E$500,MATCH("D2.9|"&amp;AU47,CODIFICACION!$F$2:$F$500,0))="sin dato","",INDEX(CODIFICACION!$E$2:$E$500,MATCH("D2.9|"&amp;AU47,CODIFICACION!$F$2:$F$500,0))),"⚠"))</f>
        <v/>
      </c>
      <c r="Q47" t="str">
        <f>IF(AV47="","",IFERROR(IF(INDEX(CODIFICACION!$E$2:$E$500,MATCH("D2.10|"&amp;AV47,CODIFICACION!$F$2:$F$500,0))="sin dato","",INDEX(CODIFICACION!$E$2:$E$500,MATCH("D2.10|"&amp;AV47,CODIFICACION!$F$2:$F$500,0))),"⚠"))</f>
        <v/>
      </c>
      <c r="R47" t="str">
        <f>IF(AW47="","",IFERROR(IF(INDEX(CODIFICACION!$E$2:$E$500,MATCH("D2.5a|"&amp;AW47,CODIFICACION!$F$2:$F$500,0))="sin dato","",INDEX(CODIFICACION!$E$2:$E$500,MATCH("D2.5a|"&amp;AW47,CODIFICACION!$F$2:$F$500,0))),"⚠"))</f>
        <v/>
      </c>
      <c r="S47" t="str">
        <f ca="1">IF(AX47="","",IFERROR(IF(INDEX(CODIFICACION!$E$2:$E$500,MATCH("D2.5b|"&amp;AX47,CODIFICACION!$F$2:$F$500,0))="sin dato","",INDEX(CODIFICACION!$E$2:$E$500,MATCH("D2.5b|"&amp;AX47,CODIFICACION!$F$2:$F$500,0))),"⚠"))</f>
        <v/>
      </c>
      <c r="T47" t="str">
        <f t="shared" ca="1" si="29"/>
        <v/>
      </c>
      <c r="U47" t="str">
        <f>IF(AZ47="","",IFERROR(IF(INDEX(CODIFICACION!$E$2:$E$500,MATCH("D3.12|"&amp;AZ47,CODIFICACION!$F$2:$F$500,0))="sin dato","",INDEX(CODIFICACION!$E$2:$E$500,MATCH("D3.12|"&amp;AZ47,CODIFICACION!$F$2:$F$500,0))),"⚠"))</f>
        <v/>
      </c>
      <c r="V47" t="str">
        <f t="shared" si="30"/>
        <v/>
      </c>
      <c r="W47" t="str">
        <f ca="1">IF(BB47="","",IFERROR(IF(INDEX(CODIFICACION!$E$2:$E$500,MATCH("D3.14|"&amp;BB47,CODIFICACION!$F$2:$F$500,0))="sin dato","",INDEX(CODIFICACION!$E$2:$E$500,MATCH("D3.14|"&amp;BB47,CODIFICACION!$F$2:$F$500,0))),"⚠"))</f>
        <v/>
      </c>
      <c r="X47" t="str">
        <f ca="1">IF(BC47="","",IFERROR(IF(INDEX(CODIFICACION!$E$2:$E$500,MATCH("D3.14a|"&amp;BC47,CODIFICACION!$F$2:$F$500,0))="sin dato","",INDEX(CODIFICACION!$E$2:$E$500,MATCH("D3.14a|"&amp;BC47,CODIFICACION!$F$2:$F$500,0))),"⚠"))</f>
        <v/>
      </c>
      <c r="Y47" t="str">
        <f>IF(BD47="","",IFERROR(IF(INDEX(CODIFICACION!$E$2:$E$500,MATCH("D3.14b|"&amp;BD47,CODIFICACION!$F$2:$F$500,0))="sin dato","",INDEX(CODIFICACION!$E$2:$E$500,MATCH("D3.14b|"&amp;BD47,CODIFICACION!$F$2:$F$500,0))),"⚠"))</f>
        <v/>
      </c>
      <c r="Z47" t="str">
        <f>IF(BE47="","",IFERROR(IF(INDEX(CODIFICACION!$E$2:$E$500,MATCH("D3.14c|"&amp;BE47,CODIFICACION!$F$2:$F$500,0))="sin dato","",INDEX(CODIFICACION!$E$2:$E$500,MATCH("D3.14c|"&amp;BE47,CODIFICACION!$F$2:$F$500,0))),"⚠"))</f>
        <v/>
      </c>
      <c r="AA47" t="str">
        <f>IF(BF47="","",IFERROR(IF(INDEX(CODIFICACION!$E$2:$E$500,MATCH("D3.14d|"&amp;BF47,CODIFICACION!$F$2:$F$500,0))="sin dato","",INDEX(CODIFICACION!$E$2:$E$500,MATCH("D3.14d|"&amp;BF47,CODIFICACION!$F$2:$F$500,0))),"⚠"))</f>
        <v/>
      </c>
      <c r="AB47" t="str">
        <f>IF(BG47="","",IFERROR(IF(INDEX(CODIFICACION!$E$2:$E$500,MATCH("D3.14e|"&amp;BG47,CODIFICACION!$F$2:$F$500,0))="sin dato","",INDEX(CODIFICACION!$E$2:$E$500,MATCH("D3.14e|"&amp;BG47,CODIFICACION!$F$2:$F$500,0))),"⚠"))</f>
        <v/>
      </c>
      <c r="AC47" t="str">
        <f>IF(BH47="","",IFERROR(IF(INDEX(CODIFICACION!$E$2:$E$500,MATCH("D3.14f|"&amp;BH47,CODIFICACION!$F$2:$F$500,0))="sin dato","",INDEX(CODIFICACION!$E$2:$E$500,MATCH("D3.14f|"&amp;BH47,CODIFICACION!$F$2:$F$500,0))),"⚠"))</f>
        <v/>
      </c>
      <c r="AD47" t="str">
        <f>IF(BI47="","",IFERROR(IF(INDEX(CODIFICACION!$E$2:$E$500,MATCH("D3.14g|"&amp;BI47,CODIFICACION!$F$2:$F$500,0))="sin dato","",INDEX(CODIFICACION!$E$2:$E$500,MATCH("D3.14g|"&amp;BI47,CODIFICACION!$F$2:$F$500,0))),"⚠"))</f>
        <v/>
      </c>
      <c r="AE47" t="str">
        <f>IF(BJ47="","",IFERROR(IF(INDEX(CODIFICACION!$E$2:$E$500,MATCH("D3.14h|"&amp;BJ47,CODIFICACION!$F$2:$F$500,0))="sin dato","",INDEX(CODIFICACION!$E$2:$E$500,MATCH("D3.14h|"&amp;BJ47,CODIFICACION!$F$2:$F$500,0))),"⚠"))</f>
        <v/>
      </c>
      <c r="AF47" t="str">
        <f>IF(BK47="","",IFERROR(IF(INDEX(CODIFICACION!$E$2:$E$500,MATCH("D3.14i|"&amp;BK47,CODIFICACION!$F$2:$F$500,0))="sin dato","",INDEX(CODIFICACION!$E$2:$E$500,MATCH("D3.14i|"&amp;BK47,CODIFICACION!$F$2:$F$500,0))),"⚠"))</f>
        <v/>
      </c>
      <c r="AG47" t="str">
        <f>IF(BL47="","",IFERROR(IF(INDEX(CODIFICACION!$E$2:$E$500,MATCH("D4.15|"&amp;BL47,CODIFICACION!$F$2:$F$500,0))="sin dato","",INDEX(CODIFICACION!$E$2:$E$500,MATCH("D4.15|"&amp;BL47,CODIFICACION!$F$2:$F$500,0))),"⚠"))</f>
        <v/>
      </c>
      <c r="AH47" t="str">
        <f t="shared" si="31"/>
        <v/>
      </c>
      <c r="AI47" t="str">
        <f>IF(BN47="","",IFERROR(IF(INDEX(CODIFICACION!$E$2:$E$500,MATCH("D4.17|"&amp;BN47,CODIFICACION!$F$2:$F$500,0))="sin dato","",INDEX(CODIFICACION!$E$2:$E$500,MATCH("D4.17|"&amp;BN47,CODIFICACION!$F$2:$F$500,0))),"⚠"))</f>
        <v/>
      </c>
      <c r="AJ47" t="str">
        <f>IF(BO47="","",IFERROR(IF(INDEX(CODIFICACION!$E$2:$E$500,MATCH("D4.15a|"&amp;BO47,CODIFICACION!$F$2:$F$500,0))="sin dato","",INDEX(CODIFICACION!$E$2:$E$500,MATCH("D4.15a|"&amp;BO47,CODIFICACION!$F$2:$F$500,0))),"⚠"))</f>
        <v/>
      </c>
      <c r="AK47" t="str">
        <f t="shared" si="32"/>
        <v/>
      </c>
      <c r="AL47" t="str">
        <f t="shared" si="33"/>
        <v/>
      </c>
      <c r="AM47" t="str">
        <f>IF(BR47="","",IFERROR(IF(INDEX(CODIFICACION!$E$2:$E$500,MATCH("D5.18b|"&amp;BR47,CODIFICACION!$F$2:$F$500,0))="sin dato","",INDEX(CODIFICACION!$E$2:$E$500,MATCH("D5.18b|"&amp;BR47,CODIFICACION!$F$2:$F$500,0))),"⚠"))</f>
        <v/>
      </c>
      <c r="AN47" t="str">
        <f>IF(BS47="","",IFERROR(IF(INDEX(CODIFICACION!$E$2:$E$500,MATCH("D5.19|"&amp;BS47,CODIFICACION!$F$2:$F$500,0))="sin dato","",INDEX(CODIFICACION!$E$2:$E$500,MATCH("D5.19|"&amp;BS47,CODIFICACION!$F$2:$F$500,0))),"⚠"))</f>
        <v/>
      </c>
      <c r="AO47" t="str">
        <f t="shared" si="34"/>
        <v/>
      </c>
      <c r="AP47" t="str">
        <f>IF(BU47="","",IFERROR(IF(INDEX(CODIFICACION!$E$2:$E$500,MATCH("D5.20|"&amp;BU47,CODIFICACION!$F$2:$F$500,0))="sin dato","",INDEX(CODIFICACION!$E$2:$E$500,MATCH("D5.20|"&amp;BU47,CODIFICACION!$F$2:$F$500,0))),"⚠"))</f>
        <v/>
      </c>
      <c r="AQ47" t="str">
        <f>IF(BV47="","",IFERROR(IF(INDEX(CODIFICACION!$E$2:$E$500,MATCH("D5.21|"&amp;BV47,CODIFICACION!$F$2:$F$500,0))="sin dato","",INDEX(CODIFICACION!$E$2:$E$500,MATCH("D5.21|"&amp;BV47,CODIFICACION!$F$2:$F$500,0))),"⚠"))</f>
        <v/>
      </c>
      <c r="AR47" t="str">
        <f>IF(BW47="","",IFERROR(IF(INDEX(CODIFICACION!$E$2:$E$500,MATCH("D5.21a|"&amp;BW47,CODIFICACION!$F$2:$F$500,0))="sin dato","",INDEX(CODIFICACION!$E$2:$E$500,MATCH("D5.21a|"&amp;BW47,CODIFICACION!$F$2:$F$500,0))),"⚠"))</f>
        <v/>
      </c>
      <c r="AS47" t="str">
        <f>IF(BX47="","",IFERROR(IF(INDEX(CODIFICACION!$E$2:$E$500,MATCH("D5.21b|"&amp;BX47,CODIFICACION!$F$2:$F$500,0))="sin dato","",INDEX(CODIFICACION!$E$2:$E$500,MATCH("D5.21b|"&amp;BX47,CODIFICACION!$F$2:$F$500,0))),"⚠"))</f>
        <v/>
      </c>
      <c r="AT47" t="str">
        <f>IF(BY47="","",IFERROR(IF(INDEX(CODIFICACION!$E$2:$E$500,MATCH("D6.22|"&amp;BY47,CODIFICACION!$F$2:$F$500,0))="sin dato","",INDEX(CODIFICACION!$E$2:$E$500,MATCH("D6.22|"&amp;BY47,CODIFICACION!$F$2:$F$500,0))),"⚠"))</f>
        <v/>
      </c>
      <c r="AU47" t="str">
        <f>IF(BZ47="","",IFERROR(IF(INDEX(CODIFICACION!$E$2:$E$500,MATCH("D6.22a|"&amp;BZ47,CODIFICACION!$F$2:$F$500,0))="sin dato","",INDEX(CODIFICACION!$E$2:$E$500,MATCH("D6.22a|"&amp;BZ47,CODIFICACION!$F$2:$F$500,0))),"⚠"))</f>
        <v/>
      </c>
      <c r="AV47" t="str">
        <f>IF(CA47="","",IFERROR(IF(INDEX(CODIFICACION!$E$2:$E$500,MATCH("D6.22b|"&amp;CA47,CODIFICACION!$F$2:$F$500,0))="sin dato","",INDEX(CODIFICACION!$E$2:$E$500,MATCH("D6.22b|"&amp;CA47,CODIFICACION!$F$2:$F$500,0))),"⚠"))</f>
        <v/>
      </c>
      <c r="AW47" t="str">
        <f>IF(CB47="","",IFERROR(IF(INDEX(CODIFICACION!$E$2:$E$500,MATCH("D6.23|"&amp;CB47,CODIFICACION!$F$2:$F$500,0))="sin dato","",INDEX(CODIFICACION!$E$2:$E$500,MATCH("D6.23|"&amp;CB47,CODIFICACION!$F$2:$F$500,0))),"⚠"))</f>
        <v/>
      </c>
      <c r="AX47" t="str">
        <f ca="1">IF(CC47="","",IFERROR(IF(INDEX(CODIFICACION!$E$2:$E$500,MATCH("D6.24|"&amp;CC47,CODIFICACION!$F$2:$F$500,0))="sin dato","",INDEX(CODIFICACION!$E$2:$E$500,MATCH("D6.24|"&amp;CC47,CODIFICACION!$F$2:$F$500,0))),"⚠"))</f>
        <v/>
      </c>
      <c r="AY47" t="str">
        <f ca="1">IF(CD47="","",IFERROR(IF(INDEX(CODIFICACION!$E$2:$E$500,MATCH("D6.25|"&amp;CD47,CODIFICACION!$F$2:$F$500,0))="sin dato","",INDEX(CODIFICACION!$E$2:$E$500,MATCH("D6.25|"&amp;CD47,CODIFICACION!$F$2:$F$500,0))),"⚠"))</f>
        <v/>
      </c>
      <c r="AZ47" t="str">
        <f>IF(CE47="","",IFERROR(IF(INDEX(CODIFICACION!$E$2:$E$500,MATCH("D6.25a|"&amp;CE47,CODIFICACION!$F$2:$F$500,0))="sin dato","",INDEX(CODIFICACION!$E$2:$E$500,MATCH("D6.25a|"&amp;CE47,CODIFICACION!$F$2:$F$500,0))),"⚠"))</f>
        <v/>
      </c>
      <c r="BA47" t="str">
        <f>IF(CF47="","",IFERROR(IF(INDEX(CODIFICACION!$E$2:$E$500,MATCH("D6.25b|"&amp;CF47,CODIFICACION!$F$2:$F$500,0))="sin dato","",INDEX(CODIFICACION!$E$2:$E$500,MATCH("D6.25b|"&amp;CF47,CODIFICACION!$F$2:$F$500,0))),"⚠"))</f>
        <v/>
      </c>
      <c r="BB47" t="str">
        <f ca="1">IF(CG47="","",IFERROR(IF(INDEX(CODIFICACION!$E$2:$E$500,MATCH("D6.22c|"&amp;CG47,CODIFICACION!$F$2:$F$500,0))="sin dato","",INDEX(CODIFICACION!$E$2:$E$500,MATCH("D6.22c|"&amp;CG47,CODIFICACION!$F$2:$F$500,0))),"⚠"))</f>
        <v/>
      </c>
      <c r="BC47" t="str">
        <f ca="1">IF(CH47="","",IFERROR(IF(INDEX(CODIFICACION!$E$2:$E$500,MATCH("D7.26|"&amp;CH47,CODIFICACION!$F$2:$F$500,0))="sin dato","",INDEX(CODIFICACION!$E$2:$E$500,MATCH("D7.26|"&amp;CH47,CODIFICACION!$F$2:$F$500,0))),"⚠"))</f>
        <v/>
      </c>
      <c r="BD47" t="str">
        <f>IF(CI47="","",IFERROR(IF(INDEX(CODIFICACION!$E$2:$E$500,MATCH("D7.27|"&amp;CI47,CODIFICACION!$F$2:$F$500,0))="sin dato","",INDEX(CODIFICACION!$E$2:$E$500,MATCH("D7.27|"&amp;CI47,CODIFICACION!$F$2:$F$500,0))),"⚠"))</f>
        <v/>
      </c>
      <c r="BE47" t="str">
        <f>IF(CJ47="","",IFERROR(IF(INDEX(CODIFICACION!$E$2:$E$500,MATCH("D7.28|"&amp;CJ47,CODIFICACION!$F$2:$F$500,0))="sin dato","",INDEX(CODIFICACION!$E$2:$E$500,MATCH("D7.28|"&amp;CJ47,CODIFICACION!$F$2:$F$500,0))),"⚠"))</f>
        <v/>
      </c>
      <c r="BF47" t="str">
        <f>IF(CK47="","",IFERROR(IF(INDEX(CODIFICACION!$E$2:$E$500,MATCH("D7.28b|"&amp;CK47,CODIFICACION!$F$2:$F$500,0))="sin dato","",INDEX(CODIFICACION!$E$2:$E$500,MATCH("D7.28b|"&amp;CK47,CODIFICACION!$F$2:$F$500,0))),"⚠"))</f>
        <v/>
      </c>
      <c r="BG47" t="str">
        <f t="shared" si="35"/>
        <v/>
      </c>
      <c r="BH47" t="str">
        <f>IF(CM47="","",IFERROR(IF(INDEX(CODIFICACION!$E$2:$E$500,MATCH("D7.26a|"&amp;CM47,CODIFICACION!$F$2:$F$500,0))="sin dato","",INDEX(CODIFICACION!$E$2:$E$500,MATCH("D7.26a|"&amp;CM47,CODIFICACION!$F$2:$F$500,0))),"⚠"))</f>
        <v/>
      </c>
      <c r="BI47" t="str">
        <f>IF(CN47="","",IFERROR(IF(INDEX(CODIFICACION!$E$2:$E$500,MATCH("D7.26b|"&amp;CN47,CODIFICACION!$F$2:$F$500,0))="sin dato","",INDEX(CODIFICACION!$E$2:$E$500,MATCH("D7.26b|"&amp;CN47,CODIFICACION!$F$2:$F$500,0))),"⚠"))</f>
        <v/>
      </c>
      <c r="BJ47" t="str">
        <f t="shared" si="36"/>
        <v/>
      </c>
      <c r="BK47" t="str">
        <f t="shared" si="37"/>
        <v/>
      </c>
      <c r="BL47" t="str">
        <f>IF(CQ47="","",IFERROR(IF(INDEX(CODIFICACION!$E$2:$E$500,MATCH("D8.31|"&amp;CQ47,CODIFICACION!$F$2:$F$500,0))="sin dato","",INDEX(CODIFICACION!$E$2:$E$500,MATCH("D8.31|"&amp;CQ47,CODIFICACION!$F$2:$F$500,0))),"⚠"))</f>
        <v/>
      </c>
      <c r="BM47" t="str">
        <f>IF(CR47="","",IFERROR(IF(INDEX(CODIFICACION!$E$2:$E$500,MATCH("D8.32|"&amp;CR47,CODIFICACION!$F$2:$F$500,0))="sin dato","",INDEX(CODIFICACION!$E$2:$E$500,MATCH("D8.32|"&amp;CR47,CODIFICACION!$F$2:$F$500,0))),"⚠"))</f>
        <v/>
      </c>
      <c r="BN47" t="str">
        <f>IF(CS47="","",IFERROR(IF(INDEX(CODIFICACION!$E$2:$E$500,MATCH("D9.33|"&amp;CS47,CODIFICACION!$F$2:$F$500,0))="sin dato","",INDEX(CODIFICACION!$E$2:$E$500,MATCH("D9.33|"&amp;CS47,CODIFICACION!$F$2:$F$500,0))),"⚠"))</f>
        <v/>
      </c>
      <c r="BO47" t="str">
        <f>IF(CT47="","",IFERROR(IF(INDEX(CODIFICACION!$E$2:$E$500,MATCH("D9.34|"&amp;CT47,CODIFICACION!$F$2:$F$500,0))="sin dato","",INDEX(CODIFICACION!$E$2:$E$500,MATCH("D9.34|"&amp;CT47,CODIFICACION!$F$2:$F$500,0))),"⚠"))</f>
        <v/>
      </c>
      <c r="BP47" t="str">
        <f>IF(CU47="","",IFERROR(IF(INDEX(CODIFICACION!$E$2:$E$500,MATCH("D9.35|"&amp;CU47,CODIFICACION!$F$2:$F$500,0))="sin dato","",INDEX(CODIFICACION!$E$2:$E$500,MATCH("D9.35|"&amp;CU47,CODIFICACION!$F$2:$F$500,0))),"⚠"))</f>
        <v/>
      </c>
      <c r="BQ47" t="str">
        <f>IF(CV47="","",IFERROR(IF(INDEX(CODIFICACION!$E$2:$E$500,MATCH("D10.36|"&amp;CV47,CODIFICACION!$F$2:$F$500,0))="sin dato","",INDEX(CODIFICACION!$E$2:$E$500,MATCH("D10.36|"&amp;CV47,CODIFICACION!$F$2:$F$500,0))),"⚠"))</f>
        <v/>
      </c>
      <c r="BR47" t="str">
        <f>IF(CW47="","",IFERROR(IF(INDEX(CODIFICACION!$E$2:$E$500,MATCH("D10.37|"&amp;CW47,CODIFICACION!$F$2:$F$500,0))="sin dato","",INDEX(CODIFICACION!$E$2:$E$500,MATCH("D10.37|"&amp;CW47,CODIFICACION!$F$2:$F$500,0))),"⚠"))</f>
        <v/>
      </c>
      <c r="BS47" t="str">
        <f>IF(CX47="","",IFERROR(IF(INDEX(CODIFICACION!$E$2:$E$500,MATCH("D10.36a|"&amp;CX47,CODIFICACION!$F$2:$F$500,0))="sin dato","",INDEX(CODIFICACION!$E$2:$E$500,MATCH("D10.36a|"&amp;CX47,CODIFICACION!$F$2:$F$500,0))),"⚠"))</f>
        <v/>
      </c>
      <c r="BT47" t="str">
        <f t="shared" si="38"/>
        <v/>
      </c>
      <c r="BU47" t="str">
        <f>IF(DA47="","",IFERROR(IF(INDEX(CODIFICACION!$E$2:$E$500,MATCH("D11.39a|"&amp;DA47,CODIFICACION!$F$2:$F$500,0))="sin dato","",INDEX(CODIFICACION!$E$2:$E$500,MATCH("D11.39a|"&amp;DA47,CODIFICACION!$F$2:$F$500,0))),"⚠"))</f>
        <v/>
      </c>
      <c r="BV47" t="str">
        <f>IF(DB47="","",IFERROR(IF(INDEX(CODIFICACION!$E$2:$E$500,MATCH("D12.42|"&amp;DB47,CODIFICACION!$F$2:$F$500,0))="sin dato","",INDEX(CODIFICACION!$E$2:$E$500,MATCH("D12.42|"&amp;DB47,CODIFICACION!$F$2:$F$500,0))),"⚠"))</f>
        <v/>
      </c>
      <c r="BW47" t="str">
        <f>IF(DC47="","",IFERROR(IF(INDEX(CODIFICACION!$E$2:$E$500,MATCH("D13.45|"&amp;DC47,CODIFICACION!$F$2:$F$500,0))="sin dato","",INDEX(CODIFICACION!$E$2:$E$500,MATCH("D13.45|"&amp;DC47,CODIFICACION!$F$2:$F$500,0))),"⚠"))</f>
        <v/>
      </c>
      <c r="BX47" t="str">
        <f>IF(DD47="","",IFERROR(IF(INDEX(CODIFICACION!$E$2:$E$500,MATCH("D14.51|"&amp;DD47,CODIFICACION!$F$2:$F$500,0))="sin dato","",INDEX(CODIFICACION!$E$2:$E$500,MATCH("D14.51|"&amp;DD47,CODIFICACION!$F$2:$F$500,0))),"⚠"))</f>
        <v/>
      </c>
      <c r="BY47" t="str">
        <f>IF(DE47="","",IFERROR(IF(INDEX(CODIFICACION!$E$2:$E$500,MATCH("D15.58|"&amp;DE47,CODIFICACION!$F$2:$F$500,0))="sin dato","",INDEX(CODIFICACION!$E$2:$E$500,MATCH("D15.58|"&amp;DE47,CODIFICACION!$F$2:$F$500,0))),"⚠"))</f>
        <v/>
      </c>
      <c r="BZ47" t="str">
        <f>IF(DF47="","",IFERROR(IF(INDEX(CODIFICACION!$E$2:$E$500,MATCH("PP1|"&amp;DF47,CODIFICACION!$F$2:$F$500,0))="sin dato","",INDEX(CODIFICACION!$E$2:$E$500,MATCH("PP1|"&amp;DF47,CODIFICACION!$F$2:$F$500,0))),"⚠"))</f>
        <v/>
      </c>
      <c r="CA47" t="str">
        <f>IF(DG47="","",IFERROR(IF(INDEX(CODIFICACION!$E$2:$E$500,MATCH("PP2|"&amp;DG47,CODIFICACION!$F$2:$F$500,0))="sin dato","",INDEX(CODIFICACION!$E$2:$E$500,MATCH("PP2|"&amp;DG47,CODIFICACION!$F$2:$F$500,0))),"⚠"))</f>
        <v/>
      </c>
      <c r="CB47" t="str">
        <f t="shared" si="39"/>
        <v/>
      </c>
      <c r="CC47" t="str">
        <f t="shared" ca="1" si="40"/>
        <v/>
      </c>
      <c r="CD47" t="str">
        <f t="shared" ca="1" si="41"/>
        <v/>
      </c>
      <c r="CE47" t="str">
        <f t="shared" si="42"/>
        <v/>
      </c>
      <c r="CF47" t="str">
        <f t="shared" si="43"/>
        <v/>
      </c>
      <c r="CG47" t="str">
        <f t="shared" ca="1" si="44"/>
        <v/>
      </c>
      <c r="CH47" t="str">
        <f t="shared" ca="1" si="45"/>
        <v/>
      </c>
      <c r="CI47" t="str">
        <f t="shared" si="46"/>
        <v/>
      </c>
      <c r="CJ47" t="str">
        <f t="shared" si="47"/>
        <v/>
      </c>
      <c r="CK47" t="str">
        <f t="shared" si="48"/>
        <v/>
      </c>
      <c r="CL47" t="str">
        <f t="shared" si="49"/>
        <v/>
      </c>
    </row>
    <row r="48" spans="1:90" x14ac:dyDescent="0.3">
      <c r="A48">
        <f>CAPTURA!A48</f>
        <v>20486973219</v>
      </c>
      <c r="B48">
        <f>CAPTURA!C48</f>
        <v>0</v>
      </c>
      <c r="C48" t="str">
        <f t="shared" si="25"/>
        <v/>
      </c>
      <c r="D48" t="str">
        <f>IF(AE48="","",IFERROR(IF(INDEX(CODIFICACION!$E$2:$E$500,MATCH("P8|"&amp;AE48,CODIFICACION!$F$2:$F$500,0))="sin dato","",INDEX(CODIFICACION!$E$2:$E$500,MATCH("P8|"&amp;AE48,CODIFICACION!$F$2:$F$500,0))),"⚠"))</f>
        <v/>
      </c>
      <c r="E48" t="str">
        <f>IF(AG48="","",IFERROR(IF(INDEX(CODIFICACION!$E$2:$E$500,MATCH("P10|"&amp;AG48,CODIFICACION!$F$2:$F$500,0))="sin dato","",INDEX(CODIFICACION!$E$2:$E$500,MATCH("P10|"&amp;AG48,CODIFICACION!$F$2:$F$500,0))),"⚠"))</f>
        <v/>
      </c>
      <c r="F48" t="str">
        <f>IF(AJ48="","",IFERROR(IF(INDEX(CODIFICACION!$E$2:$E$500,MATCH("P13|"&amp;AJ48,CODIFICACION!$F$2:$F$500,0))="sin dato","",INDEX(CODIFICACION!$E$2:$E$500,MATCH("P13|"&amp;AJ48,CODIFICACION!$F$2:$F$500,0))),"⚠"))</f>
        <v/>
      </c>
      <c r="G48" t="str">
        <f>IF(AK48="","",IFERROR(IF(INDEX(CODIFICACION!$E$2:$E$500,MATCH("P14|"&amp;AK48,CODIFICACION!$F$2:$F$500,0))="sin dato","",INDEX(CODIFICACION!$E$2:$E$500,MATCH("P14|"&amp;AK48,CODIFICACION!$F$2:$F$500,0))),"⚠"))</f>
        <v/>
      </c>
      <c r="H48" t="str">
        <f>IF(AL48="","",IFERROR(IF(INDEX(CODIFICACION!$E$2:$E$500,MATCH("D1.1|"&amp;AL48,CODIFICACION!$F$2:$F$500,0))="sin dato","",INDEX(CODIFICACION!$E$2:$E$500,MATCH("D1.1|"&amp;AL48,CODIFICACION!$F$2:$F$500,0))),"⚠"))</f>
        <v/>
      </c>
      <c r="I48" t="str">
        <f>IF(AN48="","",IFERROR(IF(INDEX(CODIFICACION!$E$2:$E$500,MATCH("D1.3|"&amp;AN48,CODIFICACION!$F$2:$F$500,0))="sin dato","",INDEX(CODIFICACION!$E$2:$E$500,MATCH("D1.3|"&amp;AN48,CODIFICACION!$F$2:$F$500,0))),"⚠"))</f>
        <v/>
      </c>
      <c r="J48" t="str">
        <f>IF(AO48="","",IFERROR(IF(INDEX(CODIFICACION!$E$2:$E$500,MATCH("D1.4|"&amp;AO48,CODIFICACION!$F$2:$F$500,0))="sin dato","",INDEX(CODIFICACION!$E$2:$E$500,MATCH("D1.4|"&amp;AO48,CODIFICACION!$F$2:$F$500,0))),"⚠"))</f>
        <v/>
      </c>
      <c r="K48" t="str">
        <f>IF(AP48="","",IFERROR(IF(INDEX(CODIFICACION!$E$2:$E$500,MATCH("D1.3a|"&amp;AP48,CODIFICACION!$F$2:$F$500,0))="sin dato","",INDEX(CODIFICACION!$E$2:$E$500,MATCH("D1.3a|"&amp;AP48,CODIFICACION!$F$2:$F$500,0))),"⚠"))</f>
        <v/>
      </c>
      <c r="L48" t="str">
        <f t="shared" si="26"/>
        <v/>
      </c>
      <c r="M48" t="str">
        <f t="shared" si="27"/>
        <v/>
      </c>
      <c r="N48" t="str">
        <f t="shared" si="28"/>
        <v/>
      </c>
      <c r="O48" t="str">
        <f>IF(AT48="","",IFERROR(IF(INDEX(CODIFICACION!$E$2:$E$500,MATCH("D2.8|"&amp;AT48,CODIFICACION!$F$2:$F$500,0))="sin dato","",INDEX(CODIFICACION!$E$2:$E$500,MATCH("D2.8|"&amp;AT48,CODIFICACION!$F$2:$F$500,0))),"⚠"))</f>
        <v/>
      </c>
      <c r="P48" t="str">
        <f>IF(AU48="","",IFERROR(IF(INDEX(CODIFICACION!$E$2:$E$500,MATCH("D2.9|"&amp;AU48,CODIFICACION!$F$2:$F$500,0))="sin dato","",INDEX(CODIFICACION!$E$2:$E$500,MATCH("D2.9|"&amp;AU48,CODIFICACION!$F$2:$F$500,0))),"⚠"))</f>
        <v/>
      </c>
      <c r="Q48" t="str">
        <f>IF(AV48="","",IFERROR(IF(INDEX(CODIFICACION!$E$2:$E$500,MATCH("D2.10|"&amp;AV48,CODIFICACION!$F$2:$F$500,0))="sin dato","",INDEX(CODIFICACION!$E$2:$E$500,MATCH("D2.10|"&amp;AV48,CODIFICACION!$F$2:$F$500,0))),"⚠"))</f>
        <v/>
      </c>
      <c r="R48" t="str">
        <f>IF(AW48="","",IFERROR(IF(INDEX(CODIFICACION!$E$2:$E$500,MATCH("D2.5a|"&amp;AW48,CODIFICACION!$F$2:$F$500,0))="sin dato","",INDEX(CODIFICACION!$E$2:$E$500,MATCH("D2.5a|"&amp;AW48,CODIFICACION!$F$2:$F$500,0))),"⚠"))</f>
        <v/>
      </c>
      <c r="S48" t="str">
        <f ca="1">IF(AX48="","",IFERROR(IF(INDEX(CODIFICACION!$E$2:$E$500,MATCH("D2.5b|"&amp;AX48,CODIFICACION!$F$2:$F$500,0))="sin dato","",INDEX(CODIFICACION!$E$2:$E$500,MATCH("D2.5b|"&amp;AX48,CODIFICACION!$F$2:$F$500,0))),"⚠"))</f>
        <v/>
      </c>
      <c r="T48" t="str">
        <f t="shared" ca="1" si="29"/>
        <v/>
      </c>
      <c r="U48" t="str">
        <f>IF(AZ48="","",IFERROR(IF(INDEX(CODIFICACION!$E$2:$E$500,MATCH("D3.12|"&amp;AZ48,CODIFICACION!$F$2:$F$500,0))="sin dato","",INDEX(CODIFICACION!$E$2:$E$500,MATCH("D3.12|"&amp;AZ48,CODIFICACION!$F$2:$F$500,0))),"⚠"))</f>
        <v/>
      </c>
      <c r="V48" t="str">
        <f t="shared" si="30"/>
        <v/>
      </c>
      <c r="W48" t="str">
        <f ca="1">IF(BB48="","",IFERROR(IF(INDEX(CODIFICACION!$E$2:$E$500,MATCH("D3.14|"&amp;BB48,CODIFICACION!$F$2:$F$500,0))="sin dato","",INDEX(CODIFICACION!$E$2:$E$500,MATCH("D3.14|"&amp;BB48,CODIFICACION!$F$2:$F$500,0))),"⚠"))</f>
        <v/>
      </c>
      <c r="X48" t="str">
        <f ca="1">IF(BC48="","",IFERROR(IF(INDEX(CODIFICACION!$E$2:$E$500,MATCH("D3.14a|"&amp;BC48,CODIFICACION!$F$2:$F$500,0))="sin dato","",INDEX(CODIFICACION!$E$2:$E$500,MATCH("D3.14a|"&amp;BC48,CODIFICACION!$F$2:$F$500,0))),"⚠"))</f>
        <v/>
      </c>
      <c r="Y48" t="str">
        <f>IF(BD48="","",IFERROR(IF(INDEX(CODIFICACION!$E$2:$E$500,MATCH("D3.14b|"&amp;BD48,CODIFICACION!$F$2:$F$500,0))="sin dato","",INDEX(CODIFICACION!$E$2:$E$500,MATCH("D3.14b|"&amp;BD48,CODIFICACION!$F$2:$F$500,0))),"⚠"))</f>
        <v/>
      </c>
      <c r="Z48" t="str">
        <f>IF(BE48="","",IFERROR(IF(INDEX(CODIFICACION!$E$2:$E$500,MATCH("D3.14c|"&amp;BE48,CODIFICACION!$F$2:$F$500,0))="sin dato","",INDEX(CODIFICACION!$E$2:$E$500,MATCH("D3.14c|"&amp;BE48,CODIFICACION!$F$2:$F$500,0))),"⚠"))</f>
        <v/>
      </c>
      <c r="AA48" t="str">
        <f>IF(BF48="","",IFERROR(IF(INDEX(CODIFICACION!$E$2:$E$500,MATCH("D3.14d|"&amp;BF48,CODIFICACION!$F$2:$F$500,0))="sin dato","",INDEX(CODIFICACION!$E$2:$E$500,MATCH("D3.14d|"&amp;BF48,CODIFICACION!$F$2:$F$500,0))),"⚠"))</f>
        <v/>
      </c>
      <c r="AB48" t="str">
        <f>IF(BG48="","",IFERROR(IF(INDEX(CODIFICACION!$E$2:$E$500,MATCH("D3.14e|"&amp;BG48,CODIFICACION!$F$2:$F$500,0))="sin dato","",INDEX(CODIFICACION!$E$2:$E$500,MATCH("D3.14e|"&amp;BG48,CODIFICACION!$F$2:$F$500,0))),"⚠"))</f>
        <v/>
      </c>
      <c r="AC48" t="str">
        <f>IF(BH48="","",IFERROR(IF(INDEX(CODIFICACION!$E$2:$E$500,MATCH("D3.14f|"&amp;BH48,CODIFICACION!$F$2:$F$500,0))="sin dato","",INDEX(CODIFICACION!$E$2:$E$500,MATCH("D3.14f|"&amp;BH48,CODIFICACION!$F$2:$F$500,0))),"⚠"))</f>
        <v/>
      </c>
      <c r="AD48" t="str">
        <f>IF(BI48="","",IFERROR(IF(INDEX(CODIFICACION!$E$2:$E$500,MATCH("D3.14g|"&amp;BI48,CODIFICACION!$F$2:$F$500,0))="sin dato","",INDEX(CODIFICACION!$E$2:$E$500,MATCH("D3.14g|"&amp;BI48,CODIFICACION!$F$2:$F$500,0))),"⚠"))</f>
        <v/>
      </c>
      <c r="AE48" t="str">
        <f>IF(BJ48="","",IFERROR(IF(INDEX(CODIFICACION!$E$2:$E$500,MATCH("D3.14h|"&amp;BJ48,CODIFICACION!$F$2:$F$500,0))="sin dato","",INDEX(CODIFICACION!$E$2:$E$500,MATCH("D3.14h|"&amp;BJ48,CODIFICACION!$F$2:$F$500,0))),"⚠"))</f>
        <v/>
      </c>
      <c r="AF48" t="str">
        <f>IF(BK48="","",IFERROR(IF(INDEX(CODIFICACION!$E$2:$E$500,MATCH("D3.14i|"&amp;BK48,CODIFICACION!$F$2:$F$500,0))="sin dato","",INDEX(CODIFICACION!$E$2:$E$500,MATCH("D3.14i|"&amp;BK48,CODIFICACION!$F$2:$F$500,0))),"⚠"))</f>
        <v/>
      </c>
      <c r="AG48" t="str">
        <f>IF(BL48="","",IFERROR(IF(INDEX(CODIFICACION!$E$2:$E$500,MATCH("D4.15|"&amp;BL48,CODIFICACION!$F$2:$F$500,0))="sin dato","",INDEX(CODIFICACION!$E$2:$E$500,MATCH("D4.15|"&amp;BL48,CODIFICACION!$F$2:$F$500,0))),"⚠"))</f>
        <v/>
      </c>
      <c r="AH48" t="str">
        <f t="shared" si="31"/>
        <v/>
      </c>
      <c r="AI48" t="str">
        <f>IF(BN48="","",IFERROR(IF(INDEX(CODIFICACION!$E$2:$E$500,MATCH("D4.17|"&amp;BN48,CODIFICACION!$F$2:$F$500,0))="sin dato","",INDEX(CODIFICACION!$E$2:$E$500,MATCH("D4.17|"&amp;BN48,CODIFICACION!$F$2:$F$500,0))),"⚠"))</f>
        <v/>
      </c>
      <c r="AJ48" t="str">
        <f>IF(BO48="","",IFERROR(IF(INDEX(CODIFICACION!$E$2:$E$500,MATCH("D4.15a|"&amp;BO48,CODIFICACION!$F$2:$F$500,0))="sin dato","",INDEX(CODIFICACION!$E$2:$E$500,MATCH("D4.15a|"&amp;BO48,CODIFICACION!$F$2:$F$500,0))),"⚠"))</f>
        <v/>
      </c>
      <c r="AK48" t="str">
        <f t="shared" si="32"/>
        <v/>
      </c>
      <c r="AL48" t="str">
        <f t="shared" si="33"/>
        <v/>
      </c>
      <c r="AM48" t="str">
        <f>IF(BR48="","",IFERROR(IF(INDEX(CODIFICACION!$E$2:$E$500,MATCH("D5.18b|"&amp;BR48,CODIFICACION!$F$2:$F$500,0))="sin dato","",INDEX(CODIFICACION!$E$2:$E$500,MATCH("D5.18b|"&amp;BR48,CODIFICACION!$F$2:$F$500,0))),"⚠"))</f>
        <v/>
      </c>
      <c r="AN48" t="str">
        <f>IF(BS48="","",IFERROR(IF(INDEX(CODIFICACION!$E$2:$E$500,MATCH("D5.19|"&amp;BS48,CODIFICACION!$F$2:$F$500,0))="sin dato","",INDEX(CODIFICACION!$E$2:$E$500,MATCH("D5.19|"&amp;BS48,CODIFICACION!$F$2:$F$500,0))),"⚠"))</f>
        <v/>
      </c>
      <c r="AO48" t="str">
        <f t="shared" si="34"/>
        <v/>
      </c>
      <c r="AP48" t="str">
        <f>IF(BU48="","",IFERROR(IF(INDEX(CODIFICACION!$E$2:$E$500,MATCH("D5.20|"&amp;BU48,CODIFICACION!$F$2:$F$500,0))="sin dato","",INDEX(CODIFICACION!$E$2:$E$500,MATCH("D5.20|"&amp;BU48,CODIFICACION!$F$2:$F$500,0))),"⚠"))</f>
        <v/>
      </c>
      <c r="AQ48" t="str">
        <f>IF(BV48="","",IFERROR(IF(INDEX(CODIFICACION!$E$2:$E$500,MATCH("D5.21|"&amp;BV48,CODIFICACION!$F$2:$F$500,0))="sin dato","",INDEX(CODIFICACION!$E$2:$E$500,MATCH("D5.21|"&amp;BV48,CODIFICACION!$F$2:$F$500,0))),"⚠"))</f>
        <v/>
      </c>
      <c r="AR48" t="str">
        <f>IF(BW48="","",IFERROR(IF(INDEX(CODIFICACION!$E$2:$E$500,MATCH("D5.21a|"&amp;BW48,CODIFICACION!$F$2:$F$500,0))="sin dato","",INDEX(CODIFICACION!$E$2:$E$500,MATCH("D5.21a|"&amp;BW48,CODIFICACION!$F$2:$F$500,0))),"⚠"))</f>
        <v/>
      </c>
      <c r="AS48" t="str">
        <f>IF(BX48="","",IFERROR(IF(INDEX(CODIFICACION!$E$2:$E$500,MATCH("D5.21b|"&amp;BX48,CODIFICACION!$F$2:$F$500,0))="sin dato","",INDEX(CODIFICACION!$E$2:$E$500,MATCH("D5.21b|"&amp;BX48,CODIFICACION!$F$2:$F$500,0))),"⚠"))</f>
        <v/>
      </c>
      <c r="AT48" t="str">
        <f>IF(BY48="","",IFERROR(IF(INDEX(CODIFICACION!$E$2:$E$500,MATCH("D6.22|"&amp;BY48,CODIFICACION!$F$2:$F$500,0))="sin dato","",INDEX(CODIFICACION!$E$2:$E$500,MATCH("D6.22|"&amp;BY48,CODIFICACION!$F$2:$F$500,0))),"⚠"))</f>
        <v/>
      </c>
      <c r="AU48" t="str">
        <f>IF(BZ48="","",IFERROR(IF(INDEX(CODIFICACION!$E$2:$E$500,MATCH("D6.22a|"&amp;BZ48,CODIFICACION!$F$2:$F$500,0))="sin dato","",INDEX(CODIFICACION!$E$2:$E$500,MATCH("D6.22a|"&amp;BZ48,CODIFICACION!$F$2:$F$500,0))),"⚠"))</f>
        <v/>
      </c>
      <c r="AV48" t="str">
        <f>IF(CA48="","",IFERROR(IF(INDEX(CODIFICACION!$E$2:$E$500,MATCH("D6.22b|"&amp;CA48,CODIFICACION!$F$2:$F$500,0))="sin dato","",INDEX(CODIFICACION!$E$2:$E$500,MATCH("D6.22b|"&amp;CA48,CODIFICACION!$F$2:$F$500,0))),"⚠"))</f>
        <v/>
      </c>
      <c r="AW48" t="str">
        <f>IF(CB48="","",IFERROR(IF(INDEX(CODIFICACION!$E$2:$E$500,MATCH("D6.23|"&amp;CB48,CODIFICACION!$F$2:$F$500,0))="sin dato","",INDEX(CODIFICACION!$E$2:$E$500,MATCH("D6.23|"&amp;CB48,CODIFICACION!$F$2:$F$500,0))),"⚠"))</f>
        <v/>
      </c>
      <c r="AX48" t="str">
        <f ca="1">IF(CC48="","",IFERROR(IF(INDEX(CODIFICACION!$E$2:$E$500,MATCH("D6.24|"&amp;CC48,CODIFICACION!$F$2:$F$500,0))="sin dato","",INDEX(CODIFICACION!$E$2:$E$500,MATCH("D6.24|"&amp;CC48,CODIFICACION!$F$2:$F$500,0))),"⚠"))</f>
        <v/>
      </c>
      <c r="AY48" t="str">
        <f ca="1">IF(CD48="","",IFERROR(IF(INDEX(CODIFICACION!$E$2:$E$500,MATCH("D6.25|"&amp;CD48,CODIFICACION!$F$2:$F$500,0))="sin dato","",INDEX(CODIFICACION!$E$2:$E$500,MATCH("D6.25|"&amp;CD48,CODIFICACION!$F$2:$F$500,0))),"⚠"))</f>
        <v/>
      </c>
      <c r="AZ48" t="str">
        <f>IF(CE48="","",IFERROR(IF(INDEX(CODIFICACION!$E$2:$E$500,MATCH("D6.25a|"&amp;CE48,CODIFICACION!$F$2:$F$500,0))="sin dato","",INDEX(CODIFICACION!$E$2:$E$500,MATCH("D6.25a|"&amp;CE48,CODIFICACION!$F$2:$F$500,0))),"⚠"))</f>
        <v/>
      </c>
      <c r="BA48" t="str">
        <f>IF(CF48="","",IFERROR(IF(INDEX(CODIFICACION!$E$2:$E$500,MATCH("D6.25b|"&amp;CF48,CODIFICACION!$F$2:$F$500,0))="sin dato","",INDEX(CODIFICACION!$E$2:$E$500,MATCH("D6.25b|"&amp;CF48,CODIFICACION!$F$2:$F$500,0))),"⚠"))</f>
        <v/>
      </c>
      <c r="BB48" t="str">
        <f ca="1">IF(CG48="","",IFERROR(IF(INDEX(CODIFICACION!$E$2:$E$500,MATCH("D6.22c|"&amp;CG48,CODIFICACION!$F$2:$F$500,0))="sin dato","",INDEX(CODIFICACION!$E$2:$E$500,MATCH("D6.22c|"&amp;CG48,CODIFICACION!$F$2:$F$500,0))),"⚠"))</f>
        <v/>
      </c>
      <c r="BC48" t="str">
        <f ca="1">IF(CH48="","",IFERROR(IF(INDEX(CODIFICACION!$E$2:$E$500,MATCH("D7.26|"&amp;CH48,CODIFICACION!$F$2:$F$500,0))="sin dato","",INDEX(CODIFICACION!$E$2:$E$500,MATCH("D7.26|"&amp;CH48,CODIFICACION!$F$2:$F$500,0))),"⚠"))</f>
        <v/>
      </c>
      <c r="BD48" t="str">
        <f>IF(CI48="","",IFERROR(IF(INDEX(CODIFICACION!$E$2:$E$500,MATCH("D7.27|"&amp;CI48,CODIFICACION!$F$2:$F$500,0))="sin dato","",INDEX(CODIFICACION!$E$2:$E$500,MATCH("D7.27|"&amp;CI48,CODIFICACION!$F$2:$F$500,0))),"⚠"))</f>
        <v/>
      </c>
      <c r="BE48" t="str">
        <f>IF(CJ48="","",IFERROR(IF(INDEX(CODIFICACION!$E$2:$E$500,MATCH("D7.28|"&amp;CJ48,CODIFICACION!$F$2:$F$500,0))="sin dato","",INDEX(CODIFICACION!$E$2:$E$500,MATCH("D7.28|"&amp;CJ48,CODIFICACION!$F$2:$F$500,0))),"⚠"))</f>
        <v/>
      </c>
      <c r="BF48" t="str">
        <f>IF(CK48="","",IFERROR(IF(INDEX(CODIFICACION!$E$2:$E$500,MATCH("D7.28b|"&amp;CK48,CODIFICACION!$F$2:$F$500,0))="sin dato","",INDEX(CODIFICACION!$E$2:$E$500,MATCH("D7.28b|"&amp;CK48,CODIFICACION!$F$2:$F$500,0))),"⚠"))</f>
        <v/>
      </c>
      <c r="BG48" t="str">
        <f t="shared" si="35"/>
        <v/>
      </c>
      <c r="BH48" t="str">
        <f>IF(CM48="","",IFERROR(IF(INDEX(CODIFICACION!$E$2:$E$500,MATCH("D7.26a|"&amp;CM48,CODIFICACION!$F$2:$F$500,0))="sin dato","",INDEX(CODIFICACION!$E$2:$E$500,MATCH("D7.26a|"&amp;CM48,CODIFICACION!$F$2:$F$500,0))),"⚠"))</f>
        <v/>
      </c>
      <c r="BI48" t="str">
        <f>IF(CN48="","",IFERROR(IF(INDEX(CODIFICACION!$E$2:$E$500,MATCH("D7.26b|"&amp;CN48,CODIFICACION!$F$2:$F$500,0))="sin dato","",INDEX(CODIFICACION!$E$2:$E$500,MATCH("D7.26b|"&amp;CN48,CODIFICACION!$F$2:$F$500,0))),"⚠"))</f>
        <v/>
      </c>
      <c r="BJ48" t="str">
        <f t="shared" si="36"/>
        <v/>
      </c>
      <c r="BK48" t="str">
        <f t="shared" si="37"/>
        <v/>
      </c>
      <c r="BL48" t="str">
        <f>IF(CQ48="","",IFERROR(IF(INDEX(CODIFICACION!$E$2:$E$500,MATCH("D8.31|"&amp;CQ48,CODIFICACION!$F$2:$F$500,0))="sin dato","",INDEX(CODIFICACION!$E$2:$E$500,MATCH("D8.31|"&amp;CQ48,CODIFICACION!$F$2:$F$500,0))),"⚠"))</f>
        <v/>
      </c>
      <c r="BM48" t="str">
        <f>IF(CR48="","",IFERROR(IF(INDEX(CODIFICACION!$E$2:$E$500,MATCH("D8.32|"&amp;CR48,CODIFICACION!$F$2:$F$500,0))="sin dato","",INDEX(CODIFICACION!$E$2:$E$500,MATCH("D8.32|"&amp;CR48,CODIFICACION!$F$2:$F$500,0))),"⚠"))</f>
        <v/>
      </c>
      <c r="BN48" t="str">
        <f>IF(CS48="","",IFERROR(IF(INDEX(CODIFICACION!$E$2:$E$500,MATCH("D9.33|"&amp;CS48,CODIFICACION!$F$2:$F$500,0))="sin dato","",INDEX(CODIFICACION!$E$2:$E$500,MATCH("D9.33|"&amp;CS48,CODIFICACION!$F$2:$F$500,0))),"⚠"))</f>
        <v/>
      </c>
      <c r="BO48" t="str">
        <f>IF(CT48="","",IFERROR(IF(INDEX(CODIFICACION!$E$2:$E$500,MATCH("D9.34|"&amp;CT48,CODIFICACION!$F$2:$F$500,0))="sin dato","",INDEX(CODIFICACION!$E$2:$E$500,MATCH("D9.34|"&amp;CT48,CODIFICACION!$F$2:$F$500,0))),"⚠"))</f>
        <v/>
      </c>
      <c r="BP48" t="str">
        <f>IF(CU48="","",IFERROR(IF(INDEX(CODIFICACION!$E$2:$E$500,MATCH("D9.35|"&amp;CU48,CODIFICACION!$F$2:$F$500,0))="sin dato","",INDEX(CODIFICACION!$E$2:$E$500,MATCH("D9.35|"&amp;CU48,CODIFICACION!$F$2:$F$500,0))),"⚠"))</f>
        <v/>
      </c>
      <c r="BQ48" t="str">
        <f>IF(CV48="","",IFERROR(IF(INDEX(CODIFICACION!$E$2:$E$500,MATCH("D10.36|"&amp;CV48,CODIFICACION!$F$2:$F$500,0))="sin dato","",INDEX(CODIFICACION!$E$2:$E$500,MATCH("D10.36|"&amp;CV48,CODIFICACION!$F$2:$F$500,0))),"⚠"))</f>
        <v/>
      </c>
      <c r="BR48" t="str">
        <f>IF(CW48="","",IFERROR(IF(INDEX(CODIFICACION!$E$2:$E$500,MATCH("D10.37|"&amp;CW48,CODIFICACION!$F$2:$F$500,0))="sin dato","",INDEX(CODIFICACION!$E$2:$E$500,MATCH("D10.37|"&amp;CW48,CODIFICACION!$F$2:$F$500,0))),"⚠"))</f>
        <v/>
      </c>
      <c r="BS48" t="str">
        <f>IF(CX48="","",IFERROR(IF(INDEX(CODIFICACION!$E$2:$E$500,MATCH("D10.36a|"&amp;CX48,CODIFICACION!$F$2:$F$500,0))="sin dato","",INDEX(CODIFICACION!$E$2:$E$500,MATCH("D10.36a|"&amp;CX48,CODIFICACION!$F$2:$F$500,0))),"⚠"))</f>
        <v/>
      </c>
      <c r="BT48" t="str">
        <f t="shared" si="38"/>
        <v/>
      </c>
      <c r="BU48" t="str">
        <f>IF(DA48="","",IFERROR(IF(INDEX(CODIFICACION!$E$2:$E$500,MATCH("D11.39a|"&amp;DA48,CODIFICACION!$F$2:$F$500,0))="sin dato","",INDEX(CODIFICACION!$E$2:$E$500,MATCH("D11.39a|"&amp;DA48,CODIFICACION!$F$2:$F$500,0))),"⚠"))</f>
        <v/>
      </c>
      <c r="BV48" t="str">
        <f>IF(DB48="","",IFERROR(IF(INDEX(CODIFICACION!$E$2:$E$500,MATCH("D12.42|"&amp;DB48,CODIFICACION!$F$2:$F$500,0))="sin dato","",INDEX(CODIFICACION!$E$2:$E$500,MATCH("D12.42|"&amp;DB48,CODIFICACION!$F$2:$F$500,0))),"⚠"))</f>
        <v/>
      </c>
      <c r="BW48" t="str">
        <f>IF(DC48="","",IFERROR(IF(INDEX(CODIFICACION!$E$2:$E$500,MATCH("D13.45|"&amp;DC48,CODIFICACION!$F$2:$F$500,0))="sin dato","",INDEX(CODIFICACION!$E$2:$E$500,MATCH("D13.45|"&amp;DC48,CODIFICACION!$F$2:$F$500,0))),"⚠"))</f>
        <v/>
      </c>
      <c r="BX48" t="str">
        <f>IF(DD48="","",IFERROR(IF(INDEX(CODIFICACION!$E$2:$E$500,MATCH("D14.51|"&amp;DD48,CODIFICACION!$F$2:$F$500,0))="sin dato","",INDEX(CODIFICACION!$E$2:$E$500,MATCH("D14.51|"&amp;DD48,CODIFICACION!$F$2:$F$500,0))),"⚠"))</f>
        <v/>
      </c>
      <c r="BY48" t="str">
        <f>IF(DE48="","",IFERROR(IF(INDEX(CODIFICACION!$E$2:$E$500,MATCH("D15.58|"&amp;DE48,CODIFICACION!$F$2:$F$500,0))="sin dato","",INDEX(CODIFICACION!$E$2:$E$500,MATCH("D15.58|"&amp;DE48,CODIFICACION!$F$2:$F$500,0))),"⚠"))</f>
        <v/>
      </c>
      <c r="BZ48" t="str">
        <f>IF(DF48="","",IFERROR(IF(INDEX(CODIFICACION!$E$2:$E$500,MATCH("PP1|"&amp;DF48,CODIFICACION!$F$2:$F$500,0))="sin dato","",INDEX(CODIFICACION!$E$2:$E$500,MATCH("PP1|"&amp;DF48,CODIFICACION!$F$2:$F$500,0))),"⚠"))</f>
        <v/>
      </c>
      <c r="CA48" t="str">
        <f>IF(DG48="","",IFERROR(IF(INDEX(CODIFICACION!$E$2:$E$500,MATCH("PP2|"&amp;DG48,CODIFICACION!$F$2:$F$500,0))="sin dato","",INDEX(CODIFICACION!$E$2:$E$500,MATCH("PP2|"&amp;DG48,CODIFICACION!$F$2:$F$500,0))),"⚠"))</f>
        <v/>
      </c>
      <c r="CB48" t="str">
        <f t="shared" si="39"/>
        <v/>
      </c>
      <c r="CC48" t="str">
        <f t="shared" ca="1" si="40"/>
        <v/>
      </c>
      <c r="CD48" t="str">
        <f t="shared" ca="1" si="41"/>
        <v/>
      </c>
      <c r="CE48" t="str">
        <f t="shared" si="42"/>
        <v/>
      </c>
      <c r="CF48" t="str">
        <f t="shared" si="43"/>
        <v/>
      </c>
      <c r="CG48" t="str">
        <f t="shared" ca="1" si="44"/>
        <v/>
      </c>
      <c r="CH48" t="str">
        <f t="shared" ca="1" si="45"/>
        <v/>
      </c>
      <c r="CI48" t="str">
        <f t="shared" si="46"/>
        <v/>
      </c>
      <c r="CJ48" t="str">
        <f t="shared" si="47"/>
        <v/>
      </c>
      <c r="CK48" t="str">
        <f t="shared" si="48"/>
        <v/>
      </c>
      <c r="CL48" t="str">
        <f t="shared" si="49"/>
        <v/>
      </c>
    </row>
    <row r="49" spans="1:90" x14ac:dyDescent="0.3">
      <c r="A49">
        <f>CAPTURA!A49</f>
        <v>20487242994</v>
      </c>
      <c r="B49">
        <f>CAPTURA!C49</f>
        <v>0</v>
      </c>
      <c r="C49" t="str">
        <f t="shared" si="25"/>
        <v/>
      </c>
      <c r="D49" t="str">
        <f>IF(AE49="","",IFERROR(IF(INDEX(CODIFICACION!$E$2:$E$500,MATCH("P8|"&amp;AE49,CODIFICACION!$F$2:$F$500,0))="sin dato","",INDEX(CODIFICACION!$E$2:$E$500,MATCH("P8|"&amp;AE49,CODIFICACION!$F$2:$F$500,0))),"⚠"))</f>
        <v/>
      </c>
      <c r="E49" t="str">
        <f>IF(AG49="","",IFERROR(IF(INDEX(CODIFICACION!$E$2:$E$500,MATCH("P10|"&amp;AG49,CODIFICACION!$F$2:$F$500,0))="sin dato","",INDEX(CODIFICACION!$E$2:$E$500,MATCH("P10|"&amp;AG49,CODIFICACION!$F$2:$F$500,0))),"⚠"))</f>
        <v/>
      </c>
      <c r="F49" t="str">
        <f>IF(AJ49="","",IFERROR(IF(INDEX(CODIFICACION!$E$2:$E$500,MATCH("P13|"&amp;AJ49,CODIFICACION!$F$2:$F$500,0))="sin dato","",INDEX(CODIFICACION!$E$2:$E$500,MATCH("P13|"&amp;AJ49,CODIFICACION!$F$2:$F$500,0))),"⚠"))</f>
        <v/>
      </c>
      <c r="G49" t="str">
        <f>IF(AK49="","",IFERROR(IF(INDEX(CODIFICACION!$E$2:$E$500,MATCH("P14|"&amp;AK49,CODIFICACION!$F$2:$F$500,0))="sin dato","",INDEX(CODIFICACION!$E$2:$E$500,MATCH("P14|"&amp;AK49,CODIFICACION!$F$2:$F$500,0))),"⚠"))</f>
        <v/>
      </c>
      <c r="H49" t="str">
        <f>IF(AL49="","",IFERROR(IF(INDEX(CODIFICACION!$E$2:$E$500,MATCH("D1.1|"&amp;AL49,CODIFICACION!$F$2:$F$500,0))="sin dato","",INDEX(CODIFICACION!$E$2:$E$500,MATCH("D1.1|"&amp;AL49,CODIFICACION!$F$2:$F$500,0))),"⚠"))</f>
        <v/>
      </c>
      <c r="I49" t="str">
        <f>IF(AN49="","",IFERROR(IF(INDEX(CODIFICACION!$E$2:$E$500,MATCH("D1.3|"&amp;AN49,CODIFICACION!$F$2:$F$500,0))="sin dato","",INDEX(CODIFICACION!$E$2:$E$500,MATCH("D1.3|"&amp;AN49,CODIFICACION!$F$2:$F$500,0))),"⚠"))</f>
        <v/>
      </c>
      <c r="J49" t="str">
        <f>IF(AO49="","",IFERROR(IF(INDEX(CODIFICACION!$E$2:$E$500,MATCH("D1.4|"&amp;AO49,CODIFICACION!$F$2:$F$500,0))="sin dato","",INDEX(CODIFICACION!$E$2:$E$500,MATCH("D1.4|"&amp;AO49,CODIFICACION!$F$2:$F$500,0))),"⚠"))</f>
        <v/>
      </c>
      <c r="K49" t="str">
        <f>IF(AP49="","",IFERROR(IF(INDEX(CODIFICACION!$E$2:$E$500,MATCH("D1.3a|"&amp;AP49,CODIFICACION!$F$2:$F$500,0))="sin dato","",INDEX(CODIFICACION!$E$2:$E$500,MATCH("D1.3a|"&amp;AP49,CODIFICACION!$F$2:$F$500,0))),"⚠"))</f>
        <v/>
      </c>
      <c r="L49" t="str">
        <f t="shared" si="26"/>
        <v/>
      </c>
      <c r="M49" t="str">
        <f t="shared" si="27"/>
        <v/>
      </c>
      <c r="N49" t="str">
        <f t="shared" si="28"/>
        <v/>
      </c>
      <c r="O49" t="str">
        <f>IF(AT49="","",IFERROR(IF(INDEX(CODIFICACION!$E$2:$E$500,MATCH("D2.8|"&amp;AT49,CODIFICACION!$F$2:$F$500,0))="sin dato","",INDEX(CODIFICACION!$E$2:$E$500,MATCH("D2.8|"&amp;AT49,CODIFICACION!$F$2:$F$500,0))),"⚠"))</f>
        <v/>
      </c>
      <c r="P49" t="str">
        <f>IF(AU49="","",IFERROR(IF(INDEX(CODIFICACION!$E$2:$E$500,MATCH("D2.9|"&amp;AU49,CODIFICACION!$F$2:$F$500,0))="sin dato","",INDEX(CODIFICACION!$E$2:$E$500,MATCH("D2.9|"&amp;AU49,CODIFICACION!$F$2:$F$500,0))),"⚠"))</f>
        <v/>
      </c>
      <c r="Q49" t="str">
        <f>IF(AV49="","",IFERROR(IF(INDEX(CODIFICACION!$E$2:$E$500,MATCH("D2.10|"&amp;AV49,CODIFICACION!$F$2:$F$500,0))="sin dato","",INDEX(CODIFICACION!$E$2:$E$500,MATCH("D2.10|"&amp;AV49,CODIFICACION!$F$2:$F$500,0))),"⚠"))</f>
        <v/>
      </c>
      <c r="R49" t="str">
        <f>IF(AW49="","",IFERROR(IF(INDEX(CODIFICACION!$E$2:$E$500,MATCH("D2.5a|"&amp;AW49,CODIFICACION!$F$2:$F$500,0))="sin dato","",INDEX(CODIFICACION!$E$2:$E$500,MATCH("D2.5a|"&amp;AW49,CODIFICACION!$F$2:$F$500,0))),"⚠"))</f>
        <v/>
      </c>
      <c r="S49" t="str">
        <f ca="1">IF(AX49="","",IFERROR(IF(INDEX(CODIFICACION!$E$2:$E$500,MATCH("D2.5b|"&amp;AX49,CODIFICACION!$F$2:$F$500,0))="sin dato","",INDEX(CODIFICACION!$E$2:$E$500,MATCH("D2.5b|"&amp;AX49,CODIFICACION!$F$2:$F$500,0))),"⚠"))</f>
        <v/>
      </c>
      <c r="T49" t="str">
        <f t="shared" ca="1" si="29"/>
        <v/>
      </c>
      <c r="U49" t="str">
        <f>IF(AZ49="","",IFERROR(IF(INDEX(CODIFICACION!$E$2:$E$500,MATCH("D3.12|"&amp;AZ49,CODIFICACION!$F$2:$F$500,0))="sin dato","",INDEX(CODIFICACION!$E$2:$E$500,MATCH("D3.12|"&amp;AZ49,CODIFICACION!$F$2:$F$500,0))),"⚠"))</f>
        <v/>
      </c>
      <c r="V49" t="str">
        <f t="shared" si="30"/>
        <v/>
      </c>
      <c r="W49" t="str">
        <f ca="1">IF(BB49="","",IFERROR(IF(INDEX(CODIFICACION!$E$2:$E$500,MATCH("D3.14|"&amp;BB49,CODIFICACION!$F$2:$F$500,0))="sin dato","",INDEX(CODIFICACION!$E$2:$E$500,MATCH("D3.14|"&amp;BB49,CODIFICACION!$F$2:$F$500,0))),"⚠"))</f>
        <v/>
      </c>
      <c r="X49" t="str">
        <f ca="1">IF(BC49="","",IFERROR(IF(INDEX(CODIFICACION!$E$2:$E$500,MATCH("D3.14a|"&amp;BC49,CODIFICACION!$F$2:$F$500,0))="sin dato","",INDEX(CODIFICACION!$E$2:$E$500,MATCH("D3.14a|"&amp;BC49,CODIFICACION!$F$2:$F$500,0))),"⚠"))</f>
        <v/>
      </c>
      <c r="Y49" t="str">
        <f>IF(BD49="","",IFERROR(IF(INDEX(CODIFICACION!$E$2:$E$500,MATCH("D3.14b|"&amp;BD49,CODIFICACION!$F$2:$F$500,0))="sin dato","",INDEX(CODIFICACION!$E$2:$E$500,MATCH("D3.14b|"&amp;BD49,CODIFICACION!$F$2:$F$500,0))),"⚠"))</f>
        <v/>
      </c>
      <c r="Z49" t="str">
        <f>IF(BE49="","",IFERROR(IF(INDEX(CODIFICACION!$E$2:$E$500,MATCH("D3.14c|"&amp;BE49,CODIFICACION!$F$2:$F$500,0))="sin dato","",INDEX(CODIFICACION!$E$2:$E$500,MATCH("D3.14c|"&amp;BE49,CODIFICACION!$F$2:$F$500,0))),"⚠"))</f>
        <v/>
      </c>
      <c r="AA49" t="str">
        <f>IF(BF49="","",IFERROR(IF(INDEX(CODIFICACION!$E$2:$E$500,MATCH("D3.14d|"&amp;BF49,CODIFICACION!$F$2:$F$500,0))="sin dato","",INDEX(CODIFICACION!$E$2:$E$500,MATCH("D3.14d|"&amp;BF49,CODIFICACION!$F$2:$F$500,0))),"⚠"))</f>
        <v/>
      </c>
      <c r="AB49" t="str">
        <f>IF(BG49="","",IFERROR(IF(INDEX(CODIFICACION!$E$2:$E$500,MATCH("D3.14e|"&amp;BG49,CODIFICACION!$F$2:$F$500,0))="sin dato","",INDEX(CODIFICACION!$E$2:$E$500,MATCH("D3.14e|"&amp;BG49,CODIFICACION!$F$2:$F$500,0))),"⚠"))</f>
        <v/>
      </c>
      <c r="AC49" t="str">
        <f>IF(BH49="","",IFERROR(IF(INDEX(CODIFICACION!$E$2:$E$500,MATCH("D3.14f|"&amp;BH49,CODIFICACION!$F$2:$F$500,0))="sin dato","",INDEX(CODIFICACION!$E$2:$E$500,MATCH("D3.14f|"&amp;BH49,CODIFICACION!$F$2:$F$500,0))),"⚠"))</f>
        <v/>
      </c>
      <c r="AD49" t="str">
        <f>IF(BI49="","",IFERROR(IF(INDEX(CODIFICACION!$E$2:$E$500,MATCH("D3.14g|"&amp;BI49,CODIFICACION!$F$2:$F$500,0))="sin dato","",INDEX(CODIFICACION!$E$2:$E$500,MATCH("D3.14g|"&amp;BI49,CODIFICACION!$F$2:$F$500,0))),"⚠"))</f>
        <v/>
      </c>
      <c r="AE49" t="str">
        <f>IF(BJ49="","",IFERROR(IF(INDEX(CODIFICACION!$E$2:$E$500,MATCH("D3.14h|"&amp;BJ49,CODIFICACION!$F$2:$F$500,0))="sin dato","",INDEX(CODIFICACION!$E$2:$E$500,MATCH("D3.14h|"&amp;BJ49,CODIFICACION!$F$2:$F$500,0))),"⚠"))</f>
        <v/>
      </c>
      <c r="AF49" t="str">
        <f>IF(BK49="","",IFERROR(IF(INDEX(CODIFICACION!$E$2:$E$500,MATCH("D3.14i|"&amp;BK49,CODIFICACION!$F$2:$F$500,0))="sin dato","",INDEX(CODIFICACION!$E$2:$E$500,MATCH("D3.14i|"&amp;BK49,CODIFICACION!$F$2:$F$500,0))),"⚠"))</f>
        <v/>
      </c>
      <c r="AG49" t="str">
        <f>IF(BL49="","",IFERROR(IF(INDEX(CODIFICACION!$E$2:$E$500,MATCH("D4.15|"&amp;BL49,CODIFICACION!$F$2:$F$500,0))="sin dato","",INDEX(CODIFICACION!$E$2:$E$500,MATCH("D4.15|"&amp;BL49,CODIFICACION!$F$2:$F$500,0))),"⚠"))</f>
        <v/>
      </c>
      <c r="AH49" t="str">
        <f t="shared" si="31"/>
        <v/>
      </c>
      <c r="AI49" t="str">
        <f>IF(BN49="","",IFERROR(IF(INDEX(CODIFICACION!$E$2:$E$500,MATCH("D4.17|"&amp;BN49,CODIFICACION!$F$2:$F$500,0))="sin dato","",INDEX(CODIFICACION!$E$2:$E$500,MATCH("D4.17|"&amp;BN49,CODIFICACION!$F$2:$F$500,0))),"⚠"))</f>
        <v/>
      </c>
      <c r="AJ49" t="str">
        <f>IF(BO49="","",IFERROR(IF(INDEX(CODIFICACION!$E$2:$E$500,MATCH("D4.15a|"&amp;BO49,CODIFICACION!$F$2:$F$500,0))="sin dato","",INDEX(CODIFICACION!$E$2:$E$500,MATCH("D4.15a|"&amp;BO49,CODIFICACION!$F$2:$F$500,0))),"⚠"))</f>
        <v/>
      </c>
      <c r="AK49" t="str">
        <f t="shared" si="32"/>
        <v/>
      </c>
      <c r="AL49" t="str">
        <f t="shared" si="33"/>
        <v/>
      </c>
      <c r="AM49" t="str">
        <f>IF(BR49="","",IFERROR(IF(INDEX(CODIFICACION!$E$2:$E$500,MATCH("D5.18b|"&amp;BR49,CODIFICACION!$F$2:$F$500,0))="sin dato","",INDEX(CODIFICACION!$E$2:$E$500,MATCH("D5.18b|"&amp;BR49,CODIFICACION!$F$2:$F$500,0))),"⚠"))</f>
        <v/>
      </c>
      <c r="AN49" t="str">
        <f>IF(BS49="","",IFERROR(IF(INDEX(CODIFICACION!$E$2:$E$500,MATCH("D5.19|"&amp;BS49,CODIFICACION!$F$2:$F$500,0))="sin dato","",INDEX(CODIFICACION!$E$2:$E$500,MATCH("D5.19|"&amp;BS49,CODIFICACION!$F$2:$F$500,0))),"⚠"))</f>
        <v/>
      </c>
      <c r="AO49" t="str">
        <f t="shared" si="34"/>
        <v/>
      </c>
      <c r="AP49" t="str">
        <f>IF(BU49="","",IFERROR(IF(INDEX(CODIFICACION!$E$2:$E$500,MATCH("D5.20|"&amp;BU49,CODIFICACION!$F$2:$F$500,0))="sin dato","",INDEX(CODIFICACION!$E$2:$E$500,MATCH("D5.20|"&amp;BU49,CODIFICACION!$F$2:$F$500,0))),"⚠"))</f>
        <v/>
      </c>
      <c r="AQ49" t="str">
        <f>IF(BV49="","",IFERROR(IF(INDEX(CODIFICACION!$E$2:$E$500,MATCH("D5.21|"&amp;BV49,CODIFICACION!$F$2:$F$500,0))="sin dato","",INDEX(CODIFICACION!$E$2:$E$500,MATCH("D5.21|"&amp;BV49,CODIFICACION!$F$2:$F$500,0))),"⚠"))</f>
        <v/>
      </c>
      <c r="AR49" t="str">
        <f>IF(BW49="","",IFERROR(IF(INDEX(CODIFICACION!$E$2:$E$500,MATCH("D5.21a|"&amp;BW49,CODIFICACION!$F$2:$F$500,0))="sin dato","",INDEX(CODIFICACION!$E$2:$E$500,MATCH("D5.21a|"&amp;BW49,CODIFICACION!$F$2:$F$500,0))),"⚠"))</f>
        <v/>
      </c>
      <c r="AS49" t="str">
        <f>IF(BX49="","",IFERROR(IF(INDEX(CODIFICACION!$E$2:$E$500,MATCH("D5.21b|"&amp;BX49,CODIFICACION!$F$2:$F$500,0))="sin dato","",INDEX(CODIFICACION!$E$2:$E$500,MATCH("D5.21b|"&amp;BX49,CODIFICACION!$F$2:$F$500,0))),"⚠"))</f>
        <v/>
      </c>
      <c r="AT49" t="str">
        <f>IF(BY49="","",IFERROR(IF(INDEX(CODIFICACION!$E$2:$E$500,MATCH("D6.22|"&amp;BY49,CODIFICACION!$F$2:$F$500,0))="sin dato","",INDEX(CODIFICACION!$E$2:$E$500,MATCH("D6.22|"&amp;BY49,CODIFICACION!$F$2:$F$500,0))),"⚠"))</f>
        <v/>
      </c>
      <c r="AU49" t="str">
        <f>IF(BZ49="","",IFERROR(IF(INDEX(CODIFICACION!$E$2:$E$500,MATCH("D6.22a|"&amp;BZ49,CODIFICACION!$F$2:$F$500,0))="sin dato","",INDEX(CODIFICACION!$E$2:$E$500,MATCH("D6.22a|"&amp;BZ49,CODIFICACION!$F$2:$F$500,0))),"⚠"))</f>
        <v/>
      </c>
      <c r="AV49" t="str">
        <f>IF(CA49="","",IFERROR(IF(INDEX(CODIFICACION!$E$2:$E$500,MATCH("D6.22b|"&amp;CA49,CODIFICACION!$F$2:$F$500,0))="sin dato","",INDEX(CODIFICACION!$E$2:$E$500,MATCH("D6.22b|"&amp;CA49,CODIFICACION!$F$2:$F$500,0))),"⚠"))</f>
        <v/>
      </c>
      <c r="AW49" t="str">
        <f>IF(CB49="","",IFERROR(IF(INDEX(CODIFICACION!$E$2:$E$500,MATCH("D6.23|"&amp;CB49,CODIFICACION!$F$2:$F$500,0))="sin dato","",INDEX(CODIFICACION!$E$2:$E$500,MATCH("D6.23|"&amp;CB49,CODIFICACION!$F$2:$F$500,0))),"⚠"))</f>
        <v/>
      </c>
      <c r="AX49" t="str">
        <f ca="1">IF(CC49="","",IFERROR(IF(INDEX(CODIFICACION!$E$2:$E$500,MATCH("D6.24|"&amp;CC49,CODIFICACION!$F$2:$F$500,0))="sin dato","",INDEX(CODIFICACION!$E$2:$E$500,MATCH("D6.24|"&amp;CC49,CODIFICACION!$F$2:$F$500,0))),"⚠"))</f>
        <v/>
      </c>
      <c r="AY49" t="str">
        <f ca="1">IF(CD49="","",IFERROR(IF(INDEX(CODIFICACION!$E$2:$E$500,MATCH("D6.25|"&amp;CD49,CODIFICACION!$F$2:$F$500,0))="sin dato","",INDEX(CODIFICACION!$E$2:$E$500,MATCH("D6.25|"&amp;CD49,CODIFICACION!$F$2:$F$500,0))),"⚠"))</f>
        <v/>
      </c>
      <c r="AZ49" t="str">
        <f>IF(CE49="","",IFERROR(IF(INDEX(CODIFICACION!$E$2:$E$500,MATCH("D6.25a|"&amp;CE49,CODIFICACION!$F$2:$F$500,0))="sin dato","",INDEX(CODIFICACION!$E$2:$E$500,MATCH("D6.25a|"&amp;CE49,CODIFICACION!$F$2:$F$500,0))),"⚠"))</f>
        <v/>
      </c>
      <c r="BA49" t="str">
        <f>IF(CF49="","",IFERROR(IF(INDEX(CODIFICACION!$E$2:$E$500,MATCH("D6.25b|"&amp;CF49,CODIFICACION!$F$2:$F$500,0))="sin dato","",INDEX(CODIFICACION!$E$2:$E$500,MATCH("D6.25b|"&amp;CF49,CODIFICACION!$F$2:$F$500,0))),"⚠"))</f>
        <v/>
      </c>
      <c r="BB49" t="str">
        <f ca="1">IF(CG49="","",IFERROR(IF(INDEX(CODIFICACION!$E$2:$E$500,MATCH("D6.22c|"&amp;CG49,CODIFICACION!$F$2:$F$500,0))="sin dato","",INDEX(CODIFICACION!$E$2:$E$500,MATCH("D6.22c|"&amp;CG49,CODIFICACION!$F$2:$F$500,0))),"⚠"))</f>
        <v/>
      </c>
      <c r="BC49" t="str">
        <f ca="1">IF(CH49="","",IFERROR(IF(INDEX(CODIFICACION!$E$2:$E$500,MATCH("D7.26|"&amp;CH49,CODIFICACION!$F$2:$F$500,0))="sin dato","",INDEX(CODIFICACION!$E$2:$E$500,MATCH("D7.26|"&amp;CH49,CODIFICACION!$F$2:$F$500,0))),"⚠"))</f>
        <v/>
      </c>
      <c r="BD49" t="str">
        <f>IF(CI49="","",IFERROR(IF(INDEX(CODIFICACION!$E$2:$E$500,MATCH("D7.27|"&amp;CI49,CODIFICACION!$F$2:$F$500,0))="sin dato","",INDEX(CODIFICACION!$E$2:$E$500,MATCH("D7.27|"&amp;CI49,CODIFICACION!$F$2:$F$500,0))),"⚠"))</f>
        <v/>
      </c>
      <c r="BE49" t="str">
        <f>IF(CJ49="","",IFERROR(IF(INDEX(CODIFICACION!$E$2:$E$500,MATCH("D7.28|"&amp;CJ49,CODIFICACION!$F$2:$F$500,0))="sin dato","",INDEX(CODIFICACION!$E$2:$E$500,MATCH("D7.28|"&amp;CJ49,CODIFICACION!$F$2:$F$500,0))),"⚠"))</f>
        <v/>
      </c>
      <c r="BF49" t="str">
        <f>IF(CK49="","",IFERROR(IF(INDEX(CODIFICACION!$E$2:$E$500,MATCH("D7.28b|"&amp;CK49,CODIFICACION!$F$2:$F$500,0))="sin dato","",INDEX(CODIFICACION!$E$2:$E$500,MATCH("D7.28b|"&amp;CK49,CODIFICACION!$F$2:$F$500,0))),"⚠"))</f>
        <v/>
      </c>
      <c r="BG49" t="str">
        <f t="shared" si="35"/>
        <v/>
      </c>
      <c r="BH49" t="str">
        <f>IF(CM49="","",IFERROR(IF(INDEX(CODIFICACION!$E$2:$E$500,MATCH("D7.26a|"&amp;CM49,CODIFICACION!$F$2:$F$500,0))="sin dato","",INDEX(CODIFICACION!$E$2:$E$500,MATCH("D7.26a|"&amp;CM49,CODIFICACION!$F$2:$F$500,0))),"⚠"))</f>
        <v/>
      </c>
      <c r="BI49" t="str">
        <f>IF(CN49="","",IFERROR(IF(INDEX(CODIFICACION!$E$2:$E$500,MATCH("D7.26b|"&amp;CN49,CODIFICACION!$F$2:$F$500,0))="sin dato","",INDEX(CODIFICACION!$E$2:$E$500,MATCH("D7.26b|"&amp;CN49,CODIFICACION!$F$2:$F$500,0))),"⚠"))</f>
        <v/>
      </c>
      <c r="BJ49" t="str">
        <f t="shared" si="36"/>
        <v/>
      </c>
      <c r="BK49" t="str">
        <f t="shared" si="37"/>
        <v/>
      </c>
      <c r="BL49" t="str">
        <f>IF(CQ49="","",IFERROR(IF(INDEX(CODIFICACION!$E$2:$E$500,MATCH("D8.31|"&amp;CQ49,CODIFICACION!$F$2:$F$500,0))="sin dato","",INDEX(CODIFICACION!$E$2:$E$500,MATCH("D8.31|"&amp;CQ49,CODIFICACION!$F$2:$F$500,0))),"⚠"))</f>
        <v/>
      </c>
      <c r="BM49" t="str">
        <f>IF(CR49="","",IFERROR(IF(INDEX(CODIFICACION!$E$2:$E$500,MATCH("D8.32|"&amp;CR49,CODIFICACION!$F$2:$F$500,0))="sin dato","",INDEX(CODIFICACION!$E$2:$E$500,MATCH("D8.32|"&amp;CR49,CODIFICACION!$F$2:$F$500,0))),"⚠"))</f>
        <v/>
      </c>
      <c r="BN49" t="str">
        <f>IF(CS49="","",IFERROR(IF(INDEX(CODIFICACION!$E$2:$E$500,MATCH("D9.33|"&amp;CS49,CODIFICACION!$F$2:$F$500,0))="sin dato","",INDEX(CODIFICACION!$E$2:$E$500,MATCH("D9.33|"&amp;CS49,CODIFICACION!$F$2:$F$500,0))),"⚠"))</f>
        <v/>
      </c>
      <c r="BO49" t="str">
        <f>IF(CT49="","",IFERROR(IF(INDEX(CODIFICACION!$E$2:$E$500,MATCH("D9.34|"&amp;CT49,CODIFICACION!$F$2:$F$500,0))="sin dato","",INDEX(CODIFICACION!$E$2:$E$500,MATCH("D9.34|"&amp;CT49,CODIFICACION!$F$2:$F$500,0))),"⚠"))</f>
        <v/>
      </c>
      <c r="BP49" t="str">
        <f>IF(CU49="","",IFERROR(IF(INDEX(CODIFICACION!$E$2:$E$500,MATCH("D9.35|"&amp;CU49,CODIFICACION!$F$2:$F$500,0))="sin dato","",INDEX(CODIFICACION!$E$2:$E$500,MATCH("D9.35|"&amp;CU49,CODIFICACION!$F$2:$F$500,0))),"⚠"))</f>
        <v/>
      </c>
      <c r="BQ49" t="str">
        <f>IF(CV49="","",IFERROR(IF(INDEX(CODIFICACION!$E$2:$E$500,MATCH("D10.36|"&amp;CV49,CODIFICACION!$F$2:$F$500,0))="sin dato","",INDEX(CODIFICACION!$E$2:$E$500,MATCH("D10.36|"&amp;CV49,CODIFICACION!$F$2:$F$500,0))),"⚠"))</f>
        <v/>
      </c>
      <c r="BR49" t="str">
        <f>IF(CW49="","",IFERROR(IF(INDEX(CODIFICACION!$E$2:$E$500,MATCH("D10.37|"&amp;CW49,CODIFICACION!$F$2:$F$500,0))="sin dato","",INDEX(CODIFICACION!$E$2:$E$500,MATCH("D10.37|"&amp;CW49,CODIFICACION!$F$2:$F$500,0))),"⚠"))</f>
        <v/>
      </c>
      <c r="BS49" t="str">
        <f>IF(CX49="","",IFERROR(IF(INDEX(CODIFICACION!$E$2:$E$500,MATCH("D10.36a|"&amp;CX49,CODIFICACION!$F$2:$F$500,0))="sin dato","",INDEX(CODIFICACION!$E$2:$E$500,MATCH("D10.36a|"&amp;CX49,CODIFICACION!$F$2:$F$500,0))),"⚠"))</f>
        <v/>
      </c>
      <c r="BT49" t="str">
        <f t="shared" si="38"/>
        <v/>
      </c>
      <c r="BU49" t="str">
        <f>IF(DA49="","",IFERROR(IF(INDEX(CODIFICACION!$E$2:$E$500,MATCH("D11.39a|"&amp;DA49,CODIFICACION!$F$2:$F$500,0))="sin dato","",INDEX(CODIFICACION!$E$2:$E$500,MATCH("D11.39a|"&amp;DA49,CODIFICACION!$F$2:$F$500,0))),"⚠"))</f>
        <v/>
      </c>
      <c r="BV49" t="str">
        <f>IF(DB49="","",IFERROR(IF(INDEX(CODIFICACION!$E$2:$E$500,MATCH("D12.42|"&amp;DB49,CODIFICACION!$F$2:$F$500,0))="sin dato","",INDEX(CODIFICACION!$E$2:$E$500,MATCH("D12.42|"&amp;DB49,CODIFICACION!$F$2:$F$500,0))),"⚠"))</f>
        <v/>
      </c>
      <c r="BW49" t="str">
        <f>IF(DC49="","",IFERROR(IF(INDEX(CODIFICACION!$E$2:$E$500,MATCH("D13.45|"&amp;DC49,CODIFICACION!$F$2:$F$500,0))="sin dato","",INDEX(CODIFICACION!$E$2:$E$500,MATCH("D13.45|"&amp;DC49,CODIFICACION!$F$2:$F$500,0))),"⚠"))</f>
        <v/>
      </c>
      <c r="BX49" t="str">
        <f>IF(DD49="","",IFERROR(IF(INDEX(CODIFICACION!$E$2:$E$500,MATCH("D14.51|"&amp;DD49,CODIFICACION!$F$2:$F$500,0))="sin dato","",INDEX(CODIFICACION!$E$2:$E$500,MATCH("D14.51|"&amp;DD49,CODIFICACION!$F$2:$F$500,0))),"⚠"))</f>
        <v/>
      </c>
      <c r="BY49" t="str">
        <f>IF(DE49="","",IFERROR(IF(INDEX(CODIFICACION!$E$2:$E$500,MATCH("D15.58|"&amp;DE49,CODIFICACION!$F$2:$F$500,0))="sin dato","",INDEX(CODIFICACION!$E$2:$E$500,MATCH("D15.58|"&amp;DE49,CODIFICACION!$F$2:$F$500,0))),"⚠"))</f>
        <v/>
      </c>
      <c r="BZ49" t="str">
        <f>IF(DF49="","",IFERROR(IF(INDEX(CODIFICACION!$E$2:$E$500,MATCH("PP1|"&amp;DF49,CODIFICACION!$F$2:$F$500,0))="sin dato","",INDEX(CODIFICACION!$E$2:$E$500,MATCH("PP1|"&amp;DF49,CODIFICACION!$F$2:$F$500,0))),"⚠"))</f>
        <v/>
      </c>
      <c r="CA49" t="str">
        <f>IF(DG49="","",IFERROR(IF(INDEX(CODIFICACION!$E$2:$E$500,MATCH("PP2|"&amp;DG49,CODIFICACION!$F$2:$F$500,0))="sin dato","",INDEX(CODIFICACION!$E$2:$E$500,MATCH("PP2|"&amp;DG49,CODIFICACION!$F$2:$F$500,0))),"⚠"))</f>
        <v/>
      </c>
      <c r="CB49" t="str">
        <f t="shared" si="39"/>
        <v/>
      </c>
      <c r="CC49" t="str">
        <f t="shared" ca="1" si="40"/>
        <v/>
      </c>
      <c r="CD49" t="str">
        <f t="shared" ca="1" si="41"/>
        <v/>
      </c>
      <c r="CE49" t="str">
        <f t="shared" si="42"/>
        <v/>
      </c>
      <c r="CF49" t="str">
        <f t="shared" si="43"/>
        <v/>
      </c>
      <c r="CG49" t="str">
        <f t="shared" ca="1" si="44"/>
        <v/>
      </c>
      <c r="CH49" t="str">
        <f t="shared" ca="1" si="45"/>
        <v/>
      </c>
      <c r="CI49" t="str">
        <f t="shared" si="46"/>
        <v/>
      </c>
      <c r="CJ49" t="str">
        <f t="shared" si="47"/>
        <v/>
      </c>
      <c r="CK49" t="str">
        <f t="shared" si="48"/>
        <v/>
      </c>
      <c r="CL49" t="str">
        <f t="shared" si="49"/>
        <v/>
      </c>
    </row>
    <row r="50" spans="1:90" x14ac:dyDescent="0.3">
      <c r="A50">
        <f>CAPTURA!A50</f>
        <v>20487351343</v>
      </c>
      <c r="B50">
        <f>CAPTURA!C50</f>
        <v>0</v>
      </c>
      <c r="C50" t="str">
        <f t="shared" si="25"/>
        <v/>
      </c>
      <c r="D50" t="str">
        <f>IF(AE50="","",IFERROR(IF(INDEX(CODIFICACION!$E$2:$E$500,MATCH("P8|"&amp;AE50,CODIFICACION!$F$2:$F$500,0))="sin dato","",INDEX(CODIFICACION!$E$2:$E$500,MATCH("P8|"&amp;AE50,CODIFICACION!$F$2:$F$500,0))),"⚠"))</f>
        <v/>
      </c>
      <c r="E50" t="str">
        <f>IF(AG50="","",IFERROR(IF(INDEX(CODIFICACION!$E$2:$E$500,MATCH("P10|"&amp;AG50,CODIFICACION!$F$2:$F$500,0))="sin dato","",INDEX(CODIFICACION!$E$2:$E$500,MATCH("P10|"&amp;AG50,CODIFICACION!$F$2:$F$500,0))),"⚠"))</f>
        <v/>
      </c>
      <c r="F50" t="str">
        <f>IF(AJ50="","",IFERROR(IF(INDEX(CODIFICACION!$E$2:$E$500,MATCH("P13|"&amp;AJ50,CODIFICACION!$F$2:$F$500,0))="sin dato","",INDEX(CODIFICACION!$E$2:$E$500,MATCH("P13|"&amp;AJ50,CODIFICACION!$F$2:$F$500,0))),"⚠"))</f>
        <v/>
      </c>
      <c r="G50" t="str">
        <f>IF(AK50="","",IFERROR(IF(INDEX(CODIFICACION!$E$2:$E$500,MATCH("P14|"&amp;AK50,CODIFICACION!$F$2:$F$500,0))="sin dato","",INDEX(CODIFICACION!$E$2:$E$500,MATCH("P14|"&amp;AK50,CODIFICACION!$F$2:$F$500,0))),"⚠"))</f>
        <v/>
      </c>
      <c r="H50" t="str">
        <f>IF(AL50="","",IFERROR(IF(INDEX(CODIFICACION!$E$2:$E$500,MATCH("D1.1|"&amp;AL50,CODIFICACION!$F$2:$F$500,0))="sin dato","",INDEX(CODIFICACION!$E$2:$E$500,MATCH("D1.1|"&amp;AL50,CODIFICACION!$F$2:$F$500,0))),"⚠"))</f>
        <v/>
      </c>
      <c r="I50" t="str">
        <f>IF(AN50="","",IFERROR(IF(INDEX(CODIFICACION!$E$2:$E$500,MATCH("D1.3|"&amp;AN50,CODIFICACION!$F$2:$F$500,0))="sin dato","",INDEX(CODIFICACION!$E$2:$E$500,MATCH("D1.3|"&amp;AN50,CODIFICACION!$F$2:$F$500,0))),"⚠"))</f>
        <v/>
      </c>
      <c r="J50" t="str">
        <f>IF(AO50="","",IFERROR(IF(INDEX(CODIFICACION!$E$2:$E$500,MATCH("D1.4|"&amp;AO50,CODIFICACION!$F$2:$F$500,0))="sin dato","",INDEX(CODIFICACION!$E$2:$E$500,MATCH("D1.4|"&amp;AO50,CODIFICACION!$F$2:$F$500,0))),"⚠"))</f>
        <v/>
      </c>
      <c r="K50" t="str">
        <f>IF(AP50="","",IFERROR(IF(INDEX(CODIFICACION!$E$2:$E$500,MATCH("D1.3a|"&amp;AP50,CODIFICACION!$F$2:$F$500,0))="sin dato","",INDEX(CODIFICACION!$E$2:$E$500,MATCH("D1.3a|"&amp;AP50,CODIFICACION!$F$2:$F$500,0))),"⚠"))</f>
        <v/>
      </c>
      <c r="L50" t="str">
        <f t="shared" si="26"/>
        <v/>
      </c>
      <c r="M50" t="str">
        <f t="shared" si="27"/>
        <v/>
      </c>
      <c r="N50" t="str">
        <f t="shared" si="28"/>
        <v/>
      </c>
      <c r="O50" t="str">
        <f>IF(AT50="","",IFERROR(IF(INDEX(CODIFICACION!$E$2:$E$500,MATCH("D2.8|"&amp;AT50,CODIFICACION!$F$2:$F$500,0))="sin dato","",INDEX(CODIFICACION!$E$2:$E$500,MATCH("D2.8|"&amp;AT50,CODIFICACION!$F$2:$F$500,0))),"⚠"))</f>
        <v/>
      </c>
      <c r="P50" t="str">
        <f>IF(AU50="","",IFERROR(IF(INDEX(CODIFICACION!$E$2:$E$500,MATCH("D2.9|"&amp;AU50,CODIFICACION!$F$2:$F$500,0))="sin dato","",INDEX(CODIFICACION!$E$2:$E$500,MATCH("D2.9|"&amp;AU50,CODIFICACION!$F$2:$F$500,0))),"⚠"))</f>
        <v/>
      </c>
      <c r="Q50" t="str">
        <f>IF(AV50="","",IFERROR(IF(INDEX(CODIFICACION!$E$2:$E$500,MATCH("D2.10|"&amp;AV50,CODIFICACION!$F$2:$F$500,0))="sin dato","",INDEX(CODIFICACION!$E$2:$E$500,MATCH("D2.10|"&amp;AV50,CODIFICACION!$F$2:$F$500,0))),"⚠"))</f>
        <v/>
      </c>
      <c r="R50" t="str">
        <f>IF(AW50="","",IFERROR(IF(INDEX(CODIFICACION!$E$2:$E$500,MATCH("D2.5a|"&amp;AW50,CODIFICACION!$F$2:$F$500,0))="sin dato","",INDEX(CODIFICACION!$E$2:$E$500,MATCH("D2.5a|"&amp;AW50,CODIFICACION!$F$2:$F$500,0))),"⚠"))</f>
        <v/>
      </c>
      <c r="S50" t="str">
        <f ca="1">IF(AX50="","",IFERROR(IF(INDEX(CODIFICACION!$E$2:$E$500,MATCH("D2.5b|"&amp;AX50,CODIFICACION!$F$2:$F$500,0))="sin dato","",INDEX(CODIFICACION!$E$2:$E$500,MATCH("D2.5b|"&amp;AX50,CODIFICACION!$F$2:$F$500,0))),"⚠"))</f>
        <v/>
      </c>
      <c r="T50" t="str">
        <f t="shared" ca="1" si="29"/>
        <v/>
      </c>
      <c r="U50" t="str">
        <f>IF(AZ50="","",IFERROR(IF(INDEX(CODIFICACION!$E$2:$E$500,MATCH("D3.12|"&amp;AZ50,CODIFICACION!$F$2:$F$500,0))="sin dato","",INDEX(CODIFICACION!$E$2:$E$500,MATCH("D3.12|"&amp;AZ50,CODIFICACION!$F$2:$F$500,0))),"⚠"))</f>
        <v/>
      </c>
      <c r="V50" t="str">
        <f t="shared" si="30"/>
        <v/>
      </c>
      <c r="W50" t="str">
        <f ca="1">IF(BB50="","",IFERROR(IF(INDEX(CODIFICACION!$E$2:$E$500,MATCH("D3.14|"&amp;BB50,CODIFICACION!$F$2:$F$500,0))="sin dato","",INDEX(CODIFICACION!$E$2:$E$500,MATCH("D3.14|"&amp;BB50,CODIFICACION!$F$2:$F$500,0))),"⚠"))</f>
        <v/>
      </c>
      <c r="X50" t="str">
        <f ca="1">IF(BC50="","",IFERROR(IF(INDEX(CODIFICACION!$E$2:$E$500,MATCH("D3.14a|"&amp;BC50,CODIFICACION!$F$2:$F$500,0))="sin dato","",INDEX(CODIFICACION!$E$2:$E$500,MATCH("D3.14a|"&amp;BC50,CODIFICACION!$F$2:$F$500,0))),"⚠"))</f>
        <v/>
      </c>
      <c r="Y50" t="str">
        <f>IF(BD50="","",IFERROR(IF(INDEX(CODIFICACION!$E$2:$E$500,MATCH("D3.14b|"&amp;BD50,CODIFICACION!$F$2:$F$500,0))="sin dato","",INDEX(CODIFICACION!$E$2:$E$500,MATCH("D3.14b|"&amp;BD50,CODIFICACION!$F$2:$F$500,0))),"⚠"))</f>
        <v/>
      </c>
      <c r="Z50" t="str">
        <f>IF(BE50="","",IFERROR(IF(INDEX(CODIFICACION!$E$2:$E$500,MATCH("D3.14c|"&amp;BE50,CODIFICACION!$F$2:$F$500,0))="sin dato","",INDEX(CODIFICACION!$E$2:$E$500,MATCH("D3.14c|"&amp;BE50,CODIFICACION!$F$2:$F$500,0))),"⚠"))</f>
        <v/>
      </c>
      <c r="AA50" t="str">
        <f>IF(BF50="","",IFERROR(IF(INDEX(CODIFICACION!$E$2:$E$500,MATCH("D3.14d|"&amp;BF50,CODIFICACION!$F$2:$F$500,0))="sin dato","",INDEX(CODIFICACION!$E$2:$E$500,MATCH("D3.14d|"&amp;BF50,CODIFICACION!$F$2:$F$500,0))),"⚠"))</f>
        <v/>
      </c>
      <c r="AB50" t="str">
        <f>IF(BG50="","",IFERROR(IF(INDEX(CODIFICACION!$E$2:$E$500,MATCH("D3.14e|"&amp;BG50,CODIFICACION!$F$2:$F$500,0))="sin dato","",INDEX(CODIFICACION!$E$2:$E$500,MATCH("D3.14e|"&amp;BG50,CODIFICACION!$F$2:$F$500,0))),"⚠"))</f>
        <v/>
      </c>
      <c r="AC50" t="str">
        <f>IF(BH50="","",IFERROR(IF(INDEX(CODIFICACION!$E$2:$E$500,MATCH("D3.14f|"&amp;BH50,CODIFICACION!$F$2:$F$500,0))="sin dato","",INDEX(CODIFICACION!$E$2:$E$500,MATCH("D3.14f|"&amp;BH50,CODIFICACION!$F$2:$F$500,0))),"⚠"))</f>
        <v/>
      </c>
      <c r="AD50" t="str">
        <f>IF(BI50="","",IFERROR(IF(INDEX(CODIFICACION!$E$2:$E$500,MATCH("D3.14g|"&amp;BI50,CODIFICACION!$F$2:$F$500,0))="sin dato","",INDEX(CODIFICACION!$E$2:$E$500,MATCH("D3.14g|"&amp;BI50,CODIFICACION!$F$2:$F$500,0))),"⚠"))</f>
        <v/>
      </c>
      <c r="AE50" t="str">
        <f>IF(BJ50="","",IFERROR(IF(INDEX(CODIFICACION!$E$2:$E$500,MATCH("D3.14h|"&amp;BJ50,CODIFICACION!$F$2:$F$500,0))="sin dato","",INDEX(CODIFICACION!$E$2:$E$500,MATCH("D3.14h|"&amp;BJ50,CODIFICACION!$F$2:$F$500,0))),"⚠"))</f>
        <v/>
      </c>
      <c r="AF50" t="str">
        <f>IF(BK50="","",IFERROR(IF(INDEX(CODIFICACION!$E$2:$E$500,MATCH("D3.14i|"&amp;BK50,CODIFICACION!$F$2:$F$500,0))="sin dato","",INDEX(CODIFICACION!$E$2:$E$500,MATCH("D3.14i|"&amp;BK50,CODIFICACION!$F$2:$F$500,0))),"⚠"))</f>
        <v/>
      </c>
      <c r="AG50" t="str">
        <f>IF(BL50="","",IFERROR(IF(INDEX(CODIFICACION!$E$2:$E$500,MATCH("D4.15|"&amp;BL50,CODIFICACION!$F$2:$F$500,0))="sin dato","",INDEX(CODIFICACION!$E$2:$E$500,MATCH("D4.15|"&amp;BL50,CODIFICACION!$F$2:$F$500,0))),"⚠"))</f>
        <v/>
      </c>
      <c r="AH50" t="str">
        <f t="shared" si="31"/>
        <v/>
      </c>
      <c r="AI50" t="str">
        <f>IF(BN50="","",IFERROR(IF(INDEX(CODIFICACION!$E$2:$E$500,MATCH("D4.17|"&amp;BN50,CODIFICACION!$F$2:$F$500,0))="sin dato","",INDEX(CODIFICACION!$E$2:$E$500,MATCH("D4.17|"&amp;BN50,CODIFICACION!$F$2:$F$500,0))),"⚠"))</f>
        <v/>
      </c>
      <c r="AJ50" t="str">
        <f>IF(BO50="","",IFERROR(IF(INDEX(CODIFICACION!$E$2:$E$500,MATCH("D4.15a|"&amp;BO50,CODIFICACION!$F$2:$F$500,0))="sin dato","",INDEX(CODIFICACION!$E$2:$E$500,MATCH("D4.15a|"&amp;BO50,CODIFICACION!$F$2:$F$500,0))),"⚠"))</f>
        <v/>
      </c>
      <c r="AK50" t="str">
        <f t="shared" si="32"/>
        <v/>
      </c>
      <c r="AL50" t="str">
        <f t="shared" si="33"/>
        <v/>
      </c>
      <c r="AM50" t="str">
        <f>IF(BR50="","",IFERROR(IF(INDEX(CODIFICACION!$E$2:$E$500,MATCH("D5.18b|"&amp;BR50,CODIFICACION!$F$2:$F$500,0))="sin dato","",INDEX(CODIFICACION!$E$2:$E$500,MATCH("D5.18b|"&amp;BR50,CODIFICACION!$F$2:$F$500,0))),"⚠"))</f>
        <v/>
      </c>
      <c r="AN50" t="str">
        <f>IF(BS50="","",IFERROR(IF(INDEX(CODIFICACION!$E$2:$E$500,MATCH("D5.19|"&amp;BS50,CODIFICACION!$F$2:$F$500,0))="sin dato","",INDEX(CODIFICACION!$E$2:$E$500,MATCH("D5.19|"&amp;BS50,CODIFICACION!$F$2:$F$500,0))),"⚠"))</f>
        <v/>
      </c>
      <c r="AO50" t="str">
        <f t="shared" si="34"/>
        <v/>
      </c>
      <c r="AP50" t="str">
        <f>IF(BU50="","",IFERROR(IF(INDEX(CODIFICACION!$E$2:$E$500,MATCH("D5.20|"&amp;BU50,CODIFICACION!$F$2:$F$500,0))="sin dato","",INDEX(CODIFICACION!$E$2:$E$500,MATCH("D5.20|"&amp;BU50,CODIFICACION!$F$2:$F$500,0))),"⚠"))</f>
        <v/>
      </c>
      <c r="AQ50" t="str">
        <f>IF(BV50="","",IFERROR(IF(INDEX(CODIFICACION!$E$2:$E$500,MATCH("D5.21|"&amp;BV50,CODIFICACION!$F$2:$F$500,0))="sin dato","",INDEX(CODIFICACION!$E$2:$E$500,MATCH("D5.21|"&amp;BV50,CODIFICACION!$F$2:$F$500,0))),"⚠"))</f>
        <v/>
      </c>
      <c r="AR50" t="str">
        <f>IF(BW50="","",IFERROR(IF(INDEX(CODIFICACION!$E$2:$E$500,MATCH("D5.21a|"&amp;BW50,CODIFICACION!$F$2:$F$500,0))="sin dato","",INDEX(CODIFICACION!$E$2:$E$500,MATCH("D5.21a|"&amp;BW50,CODIFICACION!$F$2:$F$500,0))),"⚠"))</f>
        <v/>
      </c>
      <c r="AS50" t="str">
        <f>IF(BX50="","",IFERROR(IF(INDEX(CODIFICACION!$E$2:$E$500,MATCH("D5.21b|"&amp;BX50,CODIFICACION!$F$2:$F$500,0))="sin dato","",INDEX(CODIFICACION!$E$2:$E$500,MATCH("D5.21b|"&amp;BX50,CODIFICACION!$F$2:$F$500,0))),"⚠"))</f>
        <v/>
      </c>
      <c r="AT50" t="str">
        <f>IF(BY50="","",IFERROR(IF(INDEX(CODIFICACION!$E$2:$E$500,MATCH("D6.22|"&amp;BY50,CODIFICACION!$F$2:$F$500,0))="sin dato","",INDEX(CODIFICACION!$E$2:$E$500,MATCH("D6.22|"&amp;BY50,CODIFICACION!$F$2:$F$500,0))),"⚠"))</f>
        <v/>
      </c>
      <c r="AU50" t="str">
        <f>IF(BZ50="","",IFERROR(IF(INDEX(CODIFICACION!$E$2:$E$500,MATCH("D6.22a|"&amp;BZ50,CODIFICACION!$F$2:$F$500,0))="sin dato","",INDEX(CODIFICACION!$E$2:$E$500,MATCH("D6.22a|"&amp;BZ50,CODIFICACION!$F$2:$F$500,0))),"⚠"))</f>
        <v/>
      </c>
      <c r="AV50" t="str">
        <f>IF(CA50="","",IFERROR(IF(INDEX(CODIFICACION!$E$2:$E$500,MATCH("D6.22b|"&amp;CA50,CODIFICACION!$F$2:$F$500,0))="sin dato","",INDEX(CODIFICACION!$E$2:$E$500,MATCH("D6.22b|"&amp;CA50,CODIFICACION!$F$2:$F$500,0))),"⚠"))</f>
        <v/>
      </c>
      <c r="AW50" t="str">
        <f>IF(CB50="","",IFERROR(IF(INDEX(CODIFICACION!$E$2:$E$500,MATCH("D6.23|"&amp;CB50,CODIFICACION!$F$2:$F$500,0))="sin dato","",INDEX(CODIFICACION!$E$2:$E$500,MATCH("D6.23|"&amp;CB50,CODIFICACION!$F$2:$F$500,0))),"⚠"))</f>
        <v/>
      </c>
      <c r="AX50" t="str">
        <f ca="1">IF(CC50="","",IFERROR(IF(INDEX(CODIFICACION!$E$2:$E$500,MATCH("D6.24|"&amp;CC50,CODIFICACION!$F$2:$F$500,0))="sin dato","",INDEX(CODIFICACION!$E$2:$E$500,MATCH("D6.24|"&amp;CC50,CODIFICACION!$F$2:$F$500,0))),"⚠"))</f>
        <v/>
      </c>
      <c r="AY50" t="str">
        <f ca="1">IF(CD50="","",IFERROR(IF(INDEX(CODIFICACION!$E$2:$E$500,MATCH("D6.25|"&amp;CD50,CODIFICACION!$F$2:$F$500,0))="sin dato","",INDEX(CODIFICACION!$E$2:$E$500,MATCH("D6.25|"&amp;CD50,CODIFICACION!$F$2:$F$500,0))),"⚠"))</f>
        <v/>
      </c>
      <c r="AZ50" t="str">
        <f>IF(CE50="","",IFERROR(IF(INDEX(CODIFICACION!$E$2:$E$500,MATCH("D6.25a|"&amp;CE50,CODIFICACION!$F$2:$F$500,0))="sin dato","",INDEX(CODIFICACION!$E$2:$E$500,MATCH("D6.25a|"&amp;CE50,CODIFICACION!$F$2:$F$500,0))),"⚠"))</f>
        <v/>
      </c>
      <c r="BA50" t="str">
        <f>IF(CF50="","",IFERROR(IF(INDEX(CODIFICACION!$E$2:$E$500,MATCH("D6.25b|"&amp;CF50,CODIFICACION!$F$2:$F$500,0))="sin dato","",INDEX(CODIFICACION!$E$2:$E$500,MATCH("D6.25b|"&amp;CF50,CODIFICACION!$F$2:$F$500,0))),"⚠"))</f>
        <v/>
      </c>
      <c r="BB50" t="str">
        <f ca="1">IF(CG50="","",IFERROR(IF(INDEX(CODIFICACION!$E$2:$E$500,MATCH("D6.22c|"&amp;CG50,CODIFICACION!$F$2:$F$500,0))="sin dato","",INDEX(CODIFICACION!$E$2:$E$500,MATCH("D6.22c|"&amp;CG50,CODIFICACION!$F$2:$F$500,0))),"⚠"))</f>
        <v/>
      </c>
      <c r="BC50" t="str">
        <f ca="1">IF(CH50="","",IFERROR(IF(INDEX(CODIFICACION!$E$2:$E$500,MATCH("D7.26|"&amp;CH50,CODIFICACION!$F$2:$F$500,0))="sin dato","",INDEX(CODIFICACION!$E$2:$E$500,MATCH("D7.26|"&amp;CH50,CODIFICACION!$F$2:$F$500,0))),"⚠"))</f>
        <v/>
      </c>
      <c r="BD50" t="str">
        <f>IF(CI50="","",IFERROR(IF(INDEX(CODIFICACION!$E$2:$E$500,MATCH("D7.27|"&amp;CI50,CODIFICACION!$F$2:$F$500,0))="sin dato","",INDEX(CODIFICACION!$E$2:$E$500,MATCH("D7.27|"&amp;CI50,CODIFICACION!$F$2:$F$500,0))),"⚠"))</f>
        <v/>
      </c>
      <c r="BE50" t="str">
        <f>IF(CJ50="","",IFERROR(IF(INDEX(CODIFICACION!$E$2:$E$500,MATCH("D7.28|"&amp;CJ50,CODIFICACION!$F$2:$F$500,0))="sin dato","",INDEX(CODIFICACION!$E$2:$E$500,MATCH("D7.28|"&amp;CJ50,CODIFICACION!$F$2:$F$500,0))),"⚠"))</f>
        <v/>
      </c>
      <c r="BF50" t="str">
        <f>IF(CK50="","",IFERROR(IF(INDEX(CODIFICACION!$E$2:$E$500,MATCH("D7.28b|"&amp;CK50,CODIFICACION!$F$2:$F$500,0))="sin dato","",INDEX(CODIFICACION!$E$2:$E$500,MATCH("D7.28b|"&amp;CK50,CODIFICACION!$F$2:$F$500,0))),"⚠"))</f>
        <v/>
      </c>
      <c r="BG50" t="str">
        <f t="shared" si="35"/>
        <v/>
      </c>
      <c r="BH50" t="str">
        <f>IF(CM50="","",IFERROR(IF(INDEX(CODIFICACION!$E$2:$E$500,MATCH("D7.26a|"&amp;CM50,CODIFICACION!$F$2:$F$500,0))="sin dato","",INDEX(CODIFICACION!$E$2:$E$500,MATCH("D7.26a|"&amp;CM50,CODIFICACION!$F$2:$F$500,0))),"⚠"))</f>
        <v/>
      </c>
      <c r="BI50" t="str">
        <f>IF(CN50="","",IFERROR(IF(INDEX(CODIFICACION!$E$2:$E$500,MATCH("D7.26b|"&amp;CN50,CODIFICACION!$F$2:$F$500,0))="sin dato","",INDEX(CODIFICACION!$E$2:$E$500,MATCH("D7.26b|"&amp;CN50,CODIFICACION!$F$2:$F$500,0))),"⚠"))</f>
        <v/>
      </c>
      <c r="BJ50" t="str">
        <f t="shared" si="36"/>
        <v/>
      </c>
      <c r="BK50" t="str">
        <f t="shared" si="37"/>
        <v/>
      </c>
      <c r="BL50" t="str">
        <f>IF(CQ50="","",IFERROR(IF(INDEX(CODIFICACION!$E$2:$E$500,MATCH("D8.31|"&amp;CQ50,CODIFICACION!$F$2:$F$500,0))="sin dato","",INDEX(CODIFICACION!$E$2:$E$500,MATCH("D8.31|"&amp;CQ50,CODIFICACION!$F$2:$F$500,0))),"⚠"))</f>
        <v/>
      </c>
      <c r="BM50" t="str">
        <f>IF(CR50="","",IFERROR(IF(INDEX(CODIFICACION!$E$2:$E$500,MATCH("D8.32|"&amp;CR50,CODIFICACION!$F$2:$F$500,0))="sin dato","",INDEX(CODIFICACION!$E$2:$E$500,MATCH("D8.32|"&amp;CR50,CODIFICACION!$F$2:$F$500,0))),"⚠"))</f>
        <v/>
      </c>
      <c r="BN50" t="str">
        <f>IF(CS50="","",IFERROR(IF(INDEX(CODIFICACION!$E$2:$E$500,MATCH("D9.33|"&amp;CS50,CODIFICACION!$F$2:$F$500,0))="sin dato","",INDEX(CODIFICACION!$E$2:$E$500,MATCH("D9.33|"&amp;CS50,CODIFICACION!$F$2:$F$500,0))),"⚠"))</f>
        <v/>
      </c>
      <c r="BO50" t="str">
        <f>IF(CT50="","",IFERROR(IF(INDEX(CODIFICACION!$E$2:$E$500,MATCH("D9.34|"&amp;CT50,CODIFICACION!$F$2:$F$500,0))="sin dato","",INDEX(CODIFICACION!$E$2:$E$500,MATCH("D9.34|"&amp;CT50,CODIFICACION!$F$2:$F$500,0))),"⚠"))</f>
        <v/>
      </c>
      <c r="BP50" t="str">
        <f>IF(CU50="","",IFERROR(IF(INDEX(CODIFICACION!$E$2:$E$500,MATCH("D9.35|"&amp;CU50,CODIFICACION!$F$2:$F$500,0))="sin dato","",INDEX(CODIFICACION!$E$2:$E$500,MATCH("D9.35|"&amp;CU50,CODIFICACION!$F$2:$F$500,0))),"⚠"))</f>
        <v/>
      </c>
      <c r="BQ50" t="str">
        <f>IF(CV50="","",IFERROR(IF(INDEX(CODIFICACION!$E$2:$E$500,MATCH("D10.36|"&amp;CV50,CODIFICACION!$F$2:$F$500,0))="sin dato","",INDEX(CODIFICACION!$E$2:$E$500,MATCH("D10.36|"&amp;CV50,CODIFICACION!$F$2:$F$500,0))),"⚠"))</f>
        <v/>
      </c>
      <c r="BR50" t="str">
        <f>IF(CW50="","",IFERROR(IF(INDEX(CODIFICACION!$E$2:$E$500,MATCH("D10.37|"&amp;CW50,CODIFICACION!$F$2:$F$500,0))="sin dato","",INDEX(CODIFICACION!$E$2:$E$500,MATCH("D10.37|"&amp;CW50,CODIFICACION!$F$2:$F$500,0))),"⚠"))</f>
        <v/>
      </c>
      <c r="BS50" t="str">
        <f>IF(CX50="","",IFERROR(IF(INDEX(CODIFICACION!$E$2:$E$500,MATCH("D10.36a|"&amp;CX50,CODIFICACION!$F$2:$F$500,0))="sin dato","",INDEX(CODIFICACION!$E$2:$E$500,MATCH("D10.36a|"&amp;CX50,CODIFICACION!$F$2:$F$500,0))),"⚠"))</f>
        <v/>
      </c>
      <c r="BT50" t="str">
        <f t="shared" si="38"/>
        <v/>
      </c>
      <c r="BU50" t="str">
        <f>IF(DA50="","",IFERROR(IF(INDEX(CODIFICACION!$E$2:$E$500,MATCH("D11.39a|"&amp;DA50,CODIFICACION!$F$2:$F$500,0))="sin dato","",INDEX(CODIFICACION!$E$2:$E$500,MATCH("D11.39a|"&amp;DA50,CODIFICACION!$F$2:$F$500,0))),"⚠"))</f>
        <v/>
      </c>
      <c r="BV50" t="str">
        <f>IF(DB50="","",IFERROR(IF(INDEX(CODIFICACION!$E$2:$E$500,MATCH("D12.42|"&amp;DB50,CODIFICACION!$F$2:$F$500,0))="sin dato","",INDEX(CODIFICACION!$E$2:$E$500,MATCH("D12.42|"&amp;DB50,CODIFICACION!$F$2:$F$500,0))),"⚠"))</f>
        <v/>
      </c>
      <c r="BW50" t="str">
        <f>IF(DC50="","",IFERROR(IF(INDEX(CODIFICACION!$E$2:$E$500,MATCH("D13.45|"&amp;DC50,CODIFICACION!$F$2:$F$500,0))="sin dato","",INDEX(CODIFICACION!$E$2:$E$500,MATCH("D13.45|"&amp;DC50,CODIFICACION!$F$2:$F$500,0))),"⚠"))</f>
        <v/>
      </c>
      <c r="BX50" t="str">
        <f>IF(DD50="","",IFERROR(IF(INDEX(CODIFICACION!$E$2:$E$500,MATCH("D14.51|"&amp;DD50,CODIFICACION!$F$2:$F$500,0))="sin dato","",INDEX(CODIFICACION!$E$2:$E$500,MATCH("D14.51|"&amp;DD50,CODIFICACION!$F$2:$F$500,0))),"⚠"))</f>
        <v/>
      </c>
      <c r="BY50" t="str">
        <f>IF(DE50="","",IFERROR(IF(INDEX(CODIFICACION!$E$2:$E$500,MATCH("D15.58|"&amp;DE50,CODIFICACION!$F$2:$F$500,0))="sin dato","",INDEX(CODIFICACION!$E$2:$E$500,MATCH("D15.58|"&amp;DE50,CODIFICACION!$F$2:$F$500,0))),"⚠"))</f>
        <v/>
      </c>
      <c r="BZ50" t="str">
        <f>IF(DF50="","",IFERROR(IF(INDEX(CODIFICACION!$E$2:$E$500,MATCH("PP1|"&amp;DF50,CODIFICACION!$F$2:$F$500,0))="sin dato","",INDEX(CODIFICACION!$E$2:$E$500,MATCH("PP1|"&amp;DF50,CODIFICACION!$F$2:$F$500,0))),"⚠"))</f>
        <v/>
      </c>
      <c r="CA50" t="str">
        <f>IF(DG50="","",IFERROR(IF(INDEX(CODIFICACION!$E$2:$E$500,MATCH("PP2|"&amp;DG50,CODIFICACION!$F$2:$F$500,0))="sin dato","",INDEX(CODIFICACION!$E$2:$E$500,MATCH("PP2|"&amp;DG50,CODIFICACION!$F$2:$F$500,0))),"⚠"))</f>
        <v/>
      </c>
      <c r="CB50" t="str">
        <f t="shared" si="39"/>
        <v/>
      </c>
      <c r="CC50" t="str">
        <f t="shared" ca="1" si="40"/>
        <v/>
      </c>
      <c r="CD50" t="str">
        <f t="shared" ca="1" si="41"/>
        <v/>
      </c>
      <c r="CE50" t="str">
        <f t="shared" si="42"/>
        <v/>
      </c>
      <c r="CF50" t="str">
        <f t="shared" si="43"/>
        <v/>
      </c>
      <c r="CG50" t="str">
        <f t="shared" ca="1" si="44"/>
        <v/>
      </c>
      <c r="CH50" t="str">
        <f t="shared" ca="1" si="45"/>
        <v/>
      </c>
      <c r="CI50" t="str">
        <f t="shared" si="46"/>
        <v/>
      </c>
      <c r="CJ50" t="str">
        <f t="shared" si="47"/>
        <v/>
      </c>
      <c r="CK50" t="str">
        <f t="shared" si="48"/>
        <v/>
      </c>
      <c r="CL50" t="str">
        <f t="shared" si="49"/>
        <v/>
      </c>
    </row>
    <row r="51" spans="1:90" x14ac:dyDescent="0.3">
      <c r="A51">
        <f>CAPTURA!A51</f>
        <v>20487661539</v>
      </c>
      <c r="B51">
        <f>CAPTURA!C51</f>
        <v>0</v>
      </c>
      <c r="C51" t="str">
        <f t="shared" si="25"/>
        <v/>
      </c>
      <c r="D51" t="str">
        <f>IF(AE51="","",IFERROR(IF(INDEX(CODIFICACION!$E$2:$E$500,MATCH("P8|"&amp;AE51,CODIFICACION!$F$2:$F$500,0))="sin dato","",INDEX(CODIFICACION!$E$2:$E$500,MATCH("P8|"&amp;AE51,CODIFICACION!$F$2:$F$500,0))),"⚠"))</f>
        <v/>
      </c>
      <c r="E51" t="str">
        <f>IF(AG51="","",IFERROR(IF(INDEX(CODIFICACION!$E$2:$E$500,MATCH("P10|"&amp;AG51,CODIFICACION!$F$2:$F$500,0))="sin dato","",INDEX(CODIFICACION!$E$2:$E$500,MATCH("P10|"&amp;AG51,CODIFICACION!$F$2:$F$500,0))),"⚠"))</f>
        <v/>
      </c>
      <c r="F51" t="str">
        <f>IF(AJ51="","",IFERROR(IF(INDEX(CODIFICACION!$E$2:$E$500,MATCH("P13|"&amp;AJ51,CODIFICACION!$F$2:$F$500,0))="sin dato","",INDEX(CODIFICACION!$E$2:$E$500,MATCH("P13|"&amp;AJ51,CODIFICACION!$F$2:$F$500,0))),"⚠"))</f>
        <v/>
      </c>
      <c r="G51" t="str">
        <f>IF(AK51="","",IFERROR(IF(INDEX(CODIFICACION!$E$2:$E$500,MATCH("P14|"&amp;AK51,CODIFICACION!$F$2:$F$500,0))="sin dato","",INDEX(CODIFICACION!$E$2:$E$500,MATCH("P14|"&amp;AK51,CODIFICACION!$F$2:$F$500,0))),"⚠"))</f>
        <v/>
      </c>
      <c r="H51" t="str">
        <f>IF(AL51="","",IFERROR(IF(INDEX(CODIFICACION!$E$2:$E$500,MATCH("D1.1|"&amp;AL51,CODIFICACION!$F$2:$F$500,0))="sin dato","",INDEX(CODIFICACION!$E$2:$E$500,MATCH("D1.1|"&amp;AL51,CODIFICACION!$F$2:$F$500,0))),"⚠"))</f>
        <v/>
      </c>
      <c r="I51" t="str">
        <f>IF(AN51="","",IFERROR(IF(INDEX(CODIFICACION!$E$2:$E$500,MATCH("D1.3|"&amp;AN51,CODIFICACION!$F$2:$F$500,0))="sin dato","",INDEX(CODIFICACION!$E$2:$E$500,MATCH("D1.3|"&amp;AN51,CODIFICACION!$F$2:$F$500,0))),"⚠"))</f>
        <v/>
      </c>
      <c r="J51" t="str">
        <f>IF(AO51="","",IFERROR(IF(INDEX(CODIFICACION!$E$2:$E$500,MATCH("D1.4|"&amp;AO51,CODIFICACION!$F$2:$F$500,0))="sin dato","",INDEX(CODIFICACION!$E$2:$E$500,MATCH("D1.4|"&amp;AO51,CODIFICACION!$F$2:$F$500,0))),"⚠"))</f>
        <v/>
      </c>
      <c r="K51" t="str">
        <f>IF(AP51="","",IFERROR(IF(INDEX(CODIFICACION!$E$2:$E$500,MATCH("D1.3a|"&amp;AP51,CODIFICACION!$F$2:$F$500,0))="sin dato","",INDEX(CODIFICACION!$E$2:$E$500,MATCH("D1.3a|"&amp;AP51,CODIFICACION!$F$2:$F$500,0))),"⚠"))</f>
        <v/>
      </c>
      <c r="L51" t="str">
        <f t="shared" si="26"/>
        <v/>
      </c>
      <c r="M51" t="str">
        <f t="shared" si="27"/>
        <v/>
      </c>
      <c r="N51" t="str">
        <f t="shared" si="28"/>
        <v/>
      </c>
      <c r="O51" t="str">
        <f>IF(AT51="","",IFERROR(IF(INDEX(CODIFICACION!$E$2:$E$500,MATCH("D2.8|"&amp;AT51,CODIFICACION!$F$2:$F$500,0))="sin dato","",INDEX(CODIFICACION!$E$2:$E$500,MATCH("D2.8|"&amp;AT51,CODIFICACION!$F$2:$F$500,0))),"⚠"))</f>
        <v/>
      </c>
      <c r="P51" t="str">
        <f>IF(AU51="","",IFERROR(IF(INDEX(CODIFICACION!$E$2:$E$500,MATCH("D2.9|"&amp;AU51,CODIFICACION!$F$2:$F$500,0))="sin dato","",INDEX(CODIFICACION!$E$2:$E$500,MATCH("D2.9|"&amp;AU51,CODIFICACION!$F$2:$F$500,0))),"⚠"))</f>
        <v/>
      </c>
      <c r="Q51" t="str">
        <f>IF(AV51="","",IFERROR(IF(INDEX(CODIFICACION!$E$2:$E$500,MATCH("D2.10|"&amp;AV51,CODIFICACION!$F$2:$F$500,0))="sin dato","",INDEX(CODIFICACION!$E$2:$E$500,MATCH("D2.10|"&amp;AV51,CODIFICACION!$F$2:$F$500,0))),"⚠"))</f>
        <v/>
      </c>
      <c r="R51" t="str">
        <f>IF(AW51="","",IFERROR(IF(INDEX(CODIFICACION!$E$2:$E$500,MATCH("D2.5a|"&amp;AW51,CODIFICACION!$F$2:$F$500,0))="sin dato","",INDEX(CODIFICACION!$E$2:$E$500,MATCH("D2.5a|"&amp;AW51,CODIFICACION!$F$2:$F$500,0))),"⚠"))</f>
        <v/>
      </c>
      <c r="S51" t="str">
        <f ca="1">IF(AX51="","",IFERROR(IF(INDEX(CODIFICACION!$E$2:$E$500,MATCH("D2.5b|"&amp;AX51,CODIFICACION!$F$2:$F$500,0))="sin dato","",INDEX(CODIFICACION!$E$2:$E$500,MATCH("D2.5b|"&amp;AX51,CODIFICACION!$F$2:$F$500,0))),"⚠"))</f>
        <v/>
      </c>
      <c r="T51" t="str">
        <f t="shared" ca="1" si="29"/>
        <v/>
      </c>
      <c r="U51" t="str">
        <f>IF(AZ51="","",IFERROR(IF(INDEX(CODIFICACION!$E$2:$E$500,MATCH("D3.12|"&amp;AZ51,CODIFICACION!$F$2:$F$500,0))="sin dato","",INDEX(CODIFICACION!$E$2:$E$500,MATCH("D3.12|"&amp;AZ51,CODIFICACION!$F$2:$F$500,0))),"⚠"))</f>
        <v/>
      </c>
      <c r="V51" t="str">
        <f t="shared" si="30"/>
        <v/>
      </c>
      <c r="W51" t="str">
        <f ca="1">IF(BB51="","",IFERROR(IF(INDEX(CODIFICACION!$E$2:$E$500,MATCH("D3.14|"&amp;BB51,CODIFICACION!$F$2:$F$500,0))="sin dato","",INDEX(CODIFICACION!$E$2:$E$500,MATCH("D3.14|"&amp;BB51,CODIFICACION!$F$2:$F$500,0))),"⚠"))</f>
        <v/>
      </c>
      <c r="X51" t="str">
        <f ca="1">IF(BC51="","",IFERROR(IF(INDEX(CODIFICACION!$E$2:$E$500,MATCH("D3.14a|"&amp;BC51,CODIFICACION!$F$2:$F$500,0))="sin dato","",INDEX(CODIFICACION!$E$2:$E$500,MATCH("D3.14a|"&amp;BC51,CODIFICACION!$F$2:$F$500,0))),"⚠"))</f>
        <v/>
      </c>
      <c r="Y51" t="str">
        <f>IF(BD51="","",IFERROR(IF(INDEX(CODIFICACION!$E$2:$E$500,MATCH("D3.14b|"&amp;BD51,CODIFICACION!$F$2:$F$500,0))="sin dato","",INDEX(CODIFICACION!$E$2:$E$500,MATCH("D3.14b|"&amp;BD51,CODIFICACION!$F$2:$F$500,0))),"⚠"))</f>
        <v/>
      </c>
      <c r="Z51" t="str">
        <f>IF(BE51="","",IFERROR(IF(INDEX(CODIFICACION!$E$2:$E$500,MATCH("D3.14c|"&amp;BE51,CODIFICACION!$F$2:$F$500,0))="sin dato","",INDEX(CODIFICACION!$E$2:$E$500,MATCH("D3.14c|"&amp;BE51,CODIFICACION!$F$2:$F$500,0))),"⚠"))</f>
        <v/>
      </c>
      <c r="AA51" t="str">
        <f>IF(BF51="","",IFERROR(IF(INDEX(CODIFICACION!$E$2:$E$500,MATCH("D3.14d|"&amp;BF51,CODIFICACION!$F$2:$F$500,0))="sin dato","",INDEX(CODIFICACION!$E$2:$E$500,MATCH("D3.14d|"&amp;BF51,CODIFICACION!$F$2:$F$500,0))),"⚠"))</f>
        <v/>
      </c>
      <c r="AB51" t="str">
        <f>IF(BG51="","",IFERROR(IF(INDEX(CODIFICACION!$E$2:$E$500,MATCH("D3.14e|"&amp;BG51,CODIFICACION!$F$2:$F$500,0))="sin dato","",INDEX(CODIFICACION!$E$2:$E$500,MATCH("D3.14e|"&amp;BG51,CODIFICACION!$F$2:$F$500,0))),"⚠"))</f>
        <v/>
      </c>
      <c r="AC51" t="str">
        <f>IF(BH51="","",IFERROR(IF(INDEX(CODIFICACION!$E$2:$E$500,MATCH("D3.14f|"&amp;BH51,CODIFICACION!$F$2:$F$500,0))="sin dato","",INDEX(CODIFICACION!$E$2:$E$500,MATCH("D3.14f|"&amp;BH51,CODIFICACION!$F$2:$F$500,0))),"⚠"))</f>
        <v/>
      </c>
      <c r="AD51" t="str">
        <f>IF(BI51="","",IFERROR(IF(INDEX(CODIFICACION!$E$2:$E$500,MATCH("D3.14g|"&amp;BI51,CODIFICACION!$F$2:$F$500,0))="sin dato","",INDEX(CODIFICACION!$E$2:$E$500,MATCH("D3.14g|"&amp;BI51,CODIFICACION!$F$2:$F$500,0))),"⚠"))</f>
        <v/>
      </c>
      <c r="AE51" t="str">
        <f>IF(BJ51="","",IFERROR(IF(INDEX(CODIFICACION!$E$2:$E$500,MATCH("D3.14h|"&amp;BJ51,CODIFICACION!$F$2:$F$500,0))="sin dato","",INDEX(CODIFICACION!$E$2:$E$500,MATCH("D3.14h|"&amp;BJ51,CODIFICACION!$F$2:$F$500,0))),"⚠"))</f>
        <v/>
      </c>
      <c r="AF51" t="str">
        <f>IF(BK51="","",IFERROR(IF(INDEX(CODIFICACION!$E$2:$E$500,MATCH("D3.14i|"&amp;BK51,CODIFICACION!$F$2:$F$500,0))="sin dato","",INDEX(CODIFICACION!$E$2:$E$500,MATCH("D3.14i|"&amp;BK51,CODIFICACION!$F$2:$F$500,0))),"⚠"))</f>
        <v/>
      </c>
      <c r="AG51" t="str">
        <f>IF(BL51="","",IFERROR(IF(INDEX(CODIFICACION!$E$2:$E$500,MATCH("D4.15|"&amp;BL51,CODIFICACION!$F$2:$F$500,0))="sin dato","",INDEX(CODIFICACION!$E$2:$E$500,MATCH("D4.15|"&amp;BL51,CODIFICACION!$F$2:$F$500,0))),"⚠"))</f>
        <v/>
      </c>
      <c r="AH51" t="str">
        <f t="shared" si="31"/>
        <v/>
      </c>
      <c r="AI51" t="str">
        <f>IF(BN51="","",IFERROR(IF(INDEX(CODIFICACION!$E$2:$E$500,MATCH("D4.17|"&amp;BN51,CODIFICACION!$F$2:$F$500,0))="sin dato","",INDEX(CODIFICACION!$E$2:$E$500,MATCH("D4.17|"&amp;BN51,CODIFICACION!$F$2:$F$500,0))),"⚠"))</f>
        <v/>
      </c>
      <c r="AJ51" t="str">
        <f>IF(BO51="","",IFERROR(IF(INDEX(CODIFICACION!$E$2:$E$500,MATCH("D4.15a|"&amp;BO51,CODIFICACION!$F$2:$F$500,0))="sin dato","",INDEX(CODIFICACION!$E$2:$E$500,MATCH("D4.15a|"&amp;BO51,CODIFICACION!$F$2:$F$500,0))),"⚠"))</f>
        <v/>
      </c>
      <c r="AK51" t="str">
        <f t="shared" si="32"/>
        <v/>
      </c>
      <c r="AL51" t="str">
        <f t="shared" si="33"/>
        <v/>
      </c>
      <c r="AM51" t="str">
        <f>IF(BR51="","",IFERROR(IF(INDEX(CODIFICACION!$E$2:$E$500,MATCH("D5.18b|"&amp;BR51,CODIFICACION!$F$2:$F$500,0))="sin dato","",INDEX(CODIFICACION!$E$2:$E$500,MATCH("D5.18b|"&amp;BR51,CODIFICACION!$F$2:$F$500,0))),"⚠"))</f>
        <v/>
      </c>
      <c r="AN51" t="str">
        <f>IF(BS51="","",IFERROR(IF(INDEX(CODIFICACION!$E$2:$E$500,MATCH("D5.19|"&amp;BS51,CODIFICACION!$F$2:$F$500,0))="sin dato","",INDEX(CODIFICACION!$E$2:$E$500,MATCH("D5.19|"&amp;BS51,CODIFICACION!$F$2:$F$500,0))),"⚠"))</f>
        <v/>
      </c>
      <c r="AO51" t="str">
        <f t="shared" si="34"/>
        <v/>
      </c>
      <c r="AP51" t="str">
        <f>IF(BU51="","",IFERROR(IF(INDEX(CODIFICACION!$E$2:$E$500,MATCH("D5.20|"&amp;BU51,CODIFICACION!$F$2:$F$500,0))="sin dato","",INDEX(CODIFICACION!$E$2:$E$500,MATCH("D5.20|"&amp;BU51,CODIFICACION!$F$2:$F$500,0))),"⚠"))</f>
        <v/>
      </c>
      <c r="AQ51" t="str">
        <f>IF(BV51="","",IFERROR(IF(INDEX(CODIFICACION!$E$2:$E$500,MATCH("D5.21|"&amp;BV51,CODIFICACION!$F$2:$F$500,0))="sin dato","",INDEX(CODIFICACION!$E$2:$E$500,MATCH("D5.21|"&amp;BV51,CODIFICACION!$F$2:$F$500,0))),"⚠"))</f>
        <v/>
      </c>
      <c r="AR51" t="str">
        <f>IF(BW51="","",IFERROR(IF(INDEX(CODIFICACION!$E$2:$E$500,MATCH("D5.21a|"&amp;BW51,CODIFICACION!$F$2:$F$500,0))="sin dato","",INDEX(CODIFICACION!$E$2:$E$500,MATCH("D5.21a|"&amp;BW51,CODIFICACION!$F$2:$F$500,0))),"⚠"))</f>
        <v/>
      </c>
      <c r="AS51" t="str">
        <f>IF(BX51="","",IFERROR(IF(INDEX(CODIFICACION!$E$2:$E$500,MATCH("D5.21b|"&amp;BX51,CODIFICACION!$F$2:$F$500,0))="sin dato","",INDEX(CODIFICACION!$E$2:$E$500,MATCH("D5.21b|"&amp;BX51,CODIFICACION!$F$2:$F$500,0))),"⚠"))</f>
        <v/>
      </c>
      <c r="AT51" t="str">
        <f>IF(BY51="","",IFERROR(IF(INDEX(CODIFICACION!$E$2:$E$500,MATCH("D6.22|"&amp;BY51,CODIFICACION!$F$2:$F$500,0))="sin dato","",INDEX(CODIFICACION!$E$2:$E$500,MATCH("D6.22|"&amp;BY51,CODIFICACION!$F$2:$F$500,0))),"⚠"))</f>
        <v/>
      </c>
      <c r="AU51" t="str">
        <f>IF(BZ51="","",IFERROR(IF(INDEX(CODIFICACION!$E$2:$E$500,MATCH("D6.22a|"&amp;BZ51,CODIFICACION!$F$2:$F$500,0))="sin dato","",INDEX(CODIFICACION!$E$2:$E$500,MATCH("D6.22a|"&amp;BZ51,CODIFICACION!$F$2:$F$500,0))),"⚠"))</f>
        <v/>
      </c>
      <c r="AV51" t="str">
        <f>IF(CA51="","",IFERROR(IF(INDEX(CODIFICACION!$E$2:$E$500,MATCH("D6.22b|"&amp;CA51,CODIFICACION!$F$2:$F$500,0))="sin dato","",INDEX(CODIFICACION!$E$2:$E$500,MATCH("D6.22b|"&amp;CA51,CODIFICACION!$F$2:$F$500,0))),"⚠"))</f>
        <v/>
      </c>
      <c r="AW51" t="str">
        <f>IF(CB51="","",IFERROR(IF(INDEX(CODIFICACION!$E$2:$E$500,MATCH("D6.23|"&amp;CB51,CODIFICACION!$F$2:$F$500,0))="sin dato","",INDEX(CODIFICACION!$E$2:$E$500,MATCH("D6.23|"&amp;CB51,CODIFICACION!$F$2:$F$500,0))),"⚠"))</f>
        <v/>
      </c>
      <c r="AX51" t="str">
        <f ca="1">IF(CC51="","",IFERROR(IF(INDEX(CODIFICACION!$E$2:$E$500,MATCH("D6.24|"&amp;CC51,CODIFICACION!$F$2:$F$500,0))="sin dato","",INDEX(CODIFICACION!$E$2:$E$500,MATCH("D6.24|"&amp;CC51,CODIFICACION!$F$2:$F$500,0))),"⚠"))</f>
        <v/>
      </c>
      <c r="AY51" t="str">
        <f ca="1">IF(CD51="","",IFERROR(IF(INDEX(CODIFICACION!$E$2:$E$500,MATCH("D6.25|"&amp;CD51,CODIFICACION!$F$2:$F$500,0))="sin dato","",INDEX(CODIFICACION!$E$2:$E$500,MATCH("D6.25|"&amp;CD51,CODIFICACION!$F$2:$F$500,0))),"⚠"))</f>
        <v/>
      </c>
      <c r="AZ51" t="str">
        <f>IF(CE51="","",IFERROR(IF(INDEX(CODIFICACION!$E$2:$E$500,MATCH("D6.25a|"&amp;CE51,CODIFICACION!$F$2:$F$500,0))="sin dato","",INDEX(CODIFICACION!$E$2:$E$500,MATCH("D6.25a|"&amp;CE51,CODIFICACION!$F$2:$F$500,0))),"⚠"))</f>
        <v/>
      </c>
      <c r="BA51" t="str">
        <f>IF(CF51="","",IFERROR(IF(INDEX(CODIFICACION!$E$2:$E$500,MATCH("D6.25b|"&amp;CF51,CODIFICACION!$F$2:$F$500,0))="sin dato","",INDEX(CODIFICACION!$E$2:$E$500,MATCH("D6.25b|"&amp;CF51,CODIFICACION!$F$2:$F$500,0))),"⚠"))</f>
        <v/>
      </c>
      <c r="BB51" t="str">
        <f ca="1">IF(CG51="","",IFERROR(IF(INDEX(CODIFICACION!$E$2:$E$500,MATCH("D6.22c|"&amp;CG51,CODIFICACION!$F$2:$F$500,0))="sin dato","",INDEX(CODIFICACION!$E$2:$E$500,MATCH("D6.22c|"&amp;CG51,CODIFICACION!$F$2:$F$500,0))),"⚠"))</f>
        <v/>
      </c>
      <c r="BC51" t="str">
        <f ca="1">IF(CH51="","",IFERROR(IF(INDEX(CODIFICACION!$E$2:$E$500,MATCH("D7.26|"&amp;CH51,CODIFICACION!$F$2:$F$500,0))="sin dato","",INDEX(CODIFICACION!$E$2:$E$500,MATCH("D7.26|"&amp;CH51,CODIFICACION!$F$2:$F$500,0))),"⚠"))</f>
        <v/>
      </c>
      <c r="BD51" t="str">
        <f>IF(CI51="","",IFERROR(IF(INDEX(CODIFICACION!$E$2:$E$500,MATCH("D7.27|"&amp;CI51,CODIFICACION!$F$2:$F$500,0))="sin dato","",INDEX(CODIFICACION!$E$2:$E$500,MATCH("D7.27|"&amp;CI51,CODIFICACION!$F$2:$F$500,0))),"⚠"))</f>
        <v/>
      </c>
      <c r="BE51" t="str">
        <f>IF(CJ51="","",IFERROR(IF(INDEX(CODIFICACION!$E$2:$E$500,MATCH("D7.28|"&amp;CJ51,CODIFICACION!$F$2:$F$500,0))="sin dato","",INDEX(CODIFICACION!$E$2:$E$500,MATCH("D7.28|"&amp;CJ51,CODIFICACION!$F$2:$F$500,0))),"⚠"))</f>
        <v/>
      </c>
      <c r="BF51" t="str">
        <f>IF(CK51="","",IFERROR(IF(INDEX(CODIFICACION!$E$2:$E$500,MATCH("D7.28b|"&amp;CK51,CODIFICACION!$F$2:$F$500,0))="sin dato","",INDEX(CODIFICACION!$E$2:$E$500,MATCH("D7.28b|"&amp;CK51,CODIFICACION!$F$2:$F$500,0))),"⚠"))</f>
        <v/>
      </c>
      <c r="BG51" t="str">
        <f t="shared" si="35"/>
        <v/>
      </c>
      <c r="BH51" t="str">
        <f>IF(CM51="","",IFERROR(IF(INDEX(CODIFICACION!$E$2:$E$500,MATCH("D7.26a|"&amp;CM51,CODIFICACION!$F$2:$F$500,0))="sin dato","",INDEX(CODIFICACION!$E$2:$E$500,MATCH("D7.26a|"&amp;CM51,CODIFICACION!$F$2:$F$500,0))),"⚠"))</f>
        <v/>
      </c>
      <c r="BI51" t="str">
        <f>IF(CN51="","",IFERROR(IF(INDEX(CODIFICACION!$E$2:$E$500,MATCH("D7.26b|"&amp;CN51,CODIFICACION!$F$2:$F$500,0))="sin dato","",INDEX(CODIFICACION!$E$2:$E$500,MATCH("D7.26b|"&amp;CN51,CODIFICACION!$F$2:$F$500,0))),"⚠"))</f>
        <v/>
      </c>
      <c r="BJ51" t="str">
        <f t="shared" si="36"/>
        <v/>
      </c>
      <c r="BK51" t="str">
        <f t="shared" si="37"/>
        <v/>
      </c>
      <c r="BL51" t="str">
        <f>IF(CQ51="","",IFERROR(IF(INDEX(CODIFICACION!$E$2:$E$500,MATCH("D8.31|"&amp;CQ51,CODIFICACION!$F$2:$F$500,0))="sin dato","",INDEX(CODIFICACION!$E$2:$E$500,MATCH("D8.31|"&amp;CQ51,CODIFICACION!$F$2:$F$500,0))),"⚠"))</f>
        <v/>
      </c>
      <c r="BM51" t="str">
        <f>IF(CR51="","",IFERROR(IF(INDEX(CODIFICACION!$E$2:$E$500,MATCH("D8.32|"&amp;CR51,CODIFICACION!$F$2:$F$500,0))="sin dato","",INDEX(CODIFICACION!$E$2:$E$500,MATCH("D8.32|"&amp;CR51,CODIFICACION!$F$2:$F$500,0))),"⚠"))</f>
        <v/>
      </c>
      <c r="BN51" t="str">
        <f>IF(CS51="","",IFERROR(IF(INDEX(CODIFICACION!$E$2:$E$500,MATCH("D9.33|"&amp;CS51,CODIFICACION!$F$2:$F$500,0))="sin dato","",INDEX(CODIFICACION!$E$2:$E$500,MATCH("D9.33|"&amp;CS51,CODIFICACION!$F$2:$F$500,0))),"⚠"))</f>
        <v/>
      </c>
      <c r="BO51" t="str">
        <f>IF(CT51="","",IFERROR(IF(INDEX(CODIFICACION!$E$2:$E$500,MATCH("D9.34|"&amp;CT51,CODIFICACION!$F$2:$F$500,0))="sin dato","",INDEX(CODIFICACION!$E$2:$E$500,MATCH("D9.34|"&amp;CT51,CODIFICACION!$F$2:$F$500,0))),"⚠"))</f>
        <v/>
      </c>
      <c r="BP51" t="str">
        <f>IF(CU51="","",IFERROR(IF(INDEX(CODIFICACION!$E$2:$E$500,MATCH("D9.35|"&amp;CU51,CODIFICACION!$F$2:$F$500,0))="sin dato","",INDEX(CODIFICACION!$E$2:$E$500,MATCH("D9.35|"&amp;CU51,CODIFICACION!$F$2:$F$500,0))),"⚠"))</f>
        <v/>
      </c>
      <c r="BQ51" t="str">
        <f>IF(CV51="","",IFERROR(IF(INDEX(CODIFICACION!$E$2:$E$500,MATCH("D10.36|"&amp;CV51,CODIFICACION!$F$2:$F$500,0))="sin dato","",INDEX(CODIFICACION!$E$2:$E$500,MATCH("D10.36|"&amp;CV51,CODIFICACION!$F$2:$F$500,0))),"⚠"))</f>
        <v/>
      </c>
      <c r="BR51" t="str">
        <f>IF(CW51="","",IFERROR(IF(INDEX(CODIFICACION!$E$2:$E$500,MATCH("D10.37|"&amp;CW51,CODIFICACION!$F$2:$F$500,0))="sin dato","",INDEX(CODIFICACION!$E$2:$E$500,MATCH("D10.37|"&amp;CW51,CODIFICACION!$F$2:$F$500,0))),"⚠"))</f>
        <v/>
      </c>
      <c r="BS51" t="str">
        <f>IF(CX51="","",IFERROR(IF(INDEX(CODIFICACION!$E$2:$E$500,MATCH("D10.36a|"&amp;CX51,CODIFICACION!$F$2:$F$500,0))="sin dato","",INDEX(CODIFICACION!$E$2:$E$500,MATCH("D10.36a|"&amp;CX51,CODIFICACION!$F$2:$F$500,0))),"⚠"))</f>
        <v/>
      </c>
      <c r="BT51" t="str">
        <f t="shared" si="38"/>
        <v/>
      </c>
      <c r="BU51" t="str">
        <f>IF(DA51="","",IFERROR(IF(INDEX(CODIFICACION!$E$2:$E$500,MATCH("D11.39a|"&amp;DA51,CODIFICACION!$F$2:$F$500,0))="sin dato","",INDEX(CODIFICACION!$E$2:$E$500,MATCH("D11.39a|"&amp;DA51,CODIFICACION!$F$2:$F$500,0))),"⚠"))</f>
        <v/>
      </c>
      <c r="BV51" t="str">
        <f>IF(DB51="","",IFERROR(IF(INDEX(CODIFICACION!$E$2:$E$500,MATCH("D12.42|"&amp;DB51,CODIFICACION!$F$2:$F$500,0))="sin dato","",INDEX(CODIFICACION!$E$2:$E$500,MATCH("D12.42|"&amp;DB51,CODIFICACION!$F$2:$F$500,0))),"⚠"))</f>
        <v/>
      </c>
      <c r="BW51" t="str">
        <f>IF(DC51="","",IFERROR(IF(INDEX(CODIFICACION!$E$2:$E$500,MATCH("D13.45|"&amp;DC51,CODIFICACION!$F$2:$F$500,0))="sin dato","",INDEX(CODIFICACION!$E$2:$E$500,MATCH("D13.45|"&amp;DC51,CODIFICACION!$F$2:$F$500,0))),"⚠"))</f>
        <v/>
      </c>
      <c r="BX51" t="str">
        <f>IF(DD51="","",IFERROR(IF(INDEX(CODIFICACION!$E$2:$E$500,MATCH("D14.51|"&amp;DD51,CODIFICACION!$F$2:$F$500,0))="sin dato","",INDEX(CODIFICACION!$E$2:$E$500,MATCH("D14.51|"&amp;DD51,CODIFICACION!$F$2:$F$500,0))),"⚠"))</f>
        <v/>
      </c>
      <c r="BY51" t="str">
        <f>IF(DE51="","",IFERROR(IF(INDEX(CODIFICACION!$E$2:$E$500,MATCH("D15.58|"&amp;DE51,CODIFICACION!$F$2:$F$500,0))="sin dato","",INDEX(CODIFICACION!$E$2:$E$500,MATCH("D15.58|"&amp;DE51,CODIFICACION!$F$2:$F$500,0))),"⚠"))</f>
        <v/>
      </c>
      <c r="BZ51" t="str">
        <f>IF(DF51="","",IFERROR(IF(INDEX(CODIFICACION!$E$2:$E$500,MATCH("PP1|"&amp;DF51,CODIFICACION!$F$2:$F$500,0))="sin dato","",INDEX(CODIFICACION!$E$2:$E$500,MATCH("PP1|"&amp;DF51,CODIFICACION!$F$2:$F$500,0))),"⚠"))</f>
        <v/>
      </c>
      <c r="CA51" t="str">
        <f>IF(DG51="","",IFERROR(IF(INDEX(CODIFICACION!$E$2:$E$500,MATCH("PP2|"&amp;DG51,CODIFICACION!$F$2:$F$500,0))="sin dato","",INDEX(CODIFICACION!$E$2:$E$500,MATCH("PP2|"&amp;DG51,CODIFICACION!$F$2:$F$500,0))),"⚠"))</f>
        <v/>
      </c>
      <c r="CB51" t="str">
        <f t="shared" si="39"/>
        <v/>
      </c>
      <c r="CC51" t="str">
        <f t="shared" ca="1" si="40"/>
        <v/>
      </c>
      <c r="CD51" t="str">
        <f t="shared" ca="1" si="41"/>
        <v/>
      </c>
      <c r="CE51" t="str">
        <f t="shared" si="42"/>
        <v/>
      </c>
      <c r="CF51" t="str">
        <f t="shared" si="43"/>
        <v/>
      </c>
      <c r="CG51" t="str">
        <f t="shared" ca="1" si="44"/>
        <v/>
      </c>
      <c r="CH51" t="str">
        <f t="shared" ca="1" si="45"/>
        <v/>
      </c>
      <c r="CI51" t="str">
        <f t="shared" si="46"/>
        <v/>
      </c>
      <c r="CJ51" t="str">
        <f t="shared" si="47"/>
        <v/>
      </c>
      <c r="CK51" t="str">
        <f t="shared" si="48"/>
        <v/>
      </c>
      <c r="CL51" t="str">
        <f t="shared" si="49"/>
        <v/>
      </c>
    </row>
    <row r="52" spans="1:90" x14ac:dyDescent="0.3">
      <c r="A52">
        <f>CAPTURA!A52</f>
        <v>20490726196</v>
      </c>
      <c r="B52">
        <f>CAPTURA!C52</f>
        <v>0</v>
      </c>
      <c r="C52" t="str">
        <f t="shared" si="25"/>
        <v/>
      </c>
      <c r="D52" t="str">
        <f>IF(AE52="","",IFERROR(IF(INDEX(CODIFICACION!$E$2:$E$500,MATCH("P8|"&amp;AE52,CODIFICACION!$F$2:$F$500,0))="sin dato","",INDEX(CODIFICACION!$E$2:$E$500,MATCH("P8|"&amp;AE52,CODIFICACION!$F$2:$F$500,0))),"⚠"))</f>
        <v/>
      </c>
      <c r="E52" t="str">
        <f>IF(AG52="","",IFERROR(IF(INDEX(CODIFICACION!$E$2:$E$500,MATCH("P10|"&amp;AG52,CODIFICACION!$F$2:$F$500,0))="sin dato","",INDEX(CODIFICACION!$E$2:$E$500,MATCH("P10|"&amp;AG52,CODIFICACION!$F$2:$F$500,0))),"⚠"))</f>
        <v/>
      </c>
      <c r="F52" t="str">
        <f>IF(AJ52="","",IFERROR(IF(INDEX(CODIFICACION!$E$2:$E$500,MATCH("P13|"&amp;AJ52,CODIFICACION!$F$2:$F$500,0))="sin dato","",INDEX(CODIFICACION!$E$2:$E$500,MATCH("P13|"&amp;AJ52,CODIFICACION!$F$2:$F$500,0))),"⚠"))</f>
        <v/>
      </c>
      <c r="G52" t="str">
        <f>IF(AK52="","",IFERROR(IF(INDEX(CODIFICACION!$E$2:$E$500,MATCH("P14|"&amp;AK52,CODIFICACION!$F$2:$F$500,0))="sin dato","",INDEX(CODIFICACION!$E$2:$E$500,MATCH("P14|"&amp;AK52,CODIFICACION!$F$2:$F$500,0))),"⚠"))</f>
        <v/>
      </c>
      <c r="H52" t="str">
        <f>IF(AL52="","",IFERROR(IF(INDEX(CODIFICACION!$E$2:$E$500,MATCH("D1.1|"&amp;AL52,CODIFICACION!$F$2:$F$500,0))="sin dato","",INDEX(CODIFICACION!$E$2:$E$500,MATCH("D1.1|"&amp;AL52,CODIFICACION!$F$2:$F$500,0))),"⚠"))</f>
        <v/>
      </c>
      <c r="I52" t="str">
        <f>IF(AN52="","",IFERROR(IF(INDEX(CODIFICACION!$E$2:$E$500,MATCH("D1.3|"&amp;AN52,CODIFICACION!$F$2:$F$500,0))="sin dato","",INDEX(CODIFICACION!$E$2:$E$500,MATCH("D1.3|"&amp;AN52,CODIFICACION!$F$2:$F$500,0))),"⚠"))</f>
        <v/>
      </c>
      <c r="J52" t="str">
        <f>IF(AO52="","",IFERROR(IF(INDEX(CODIFICACION!$E$2:$E$500,MATCH("D1.4|"&amp;AO52,CODIFICACION!$F$2:$F$500,0))="sin dato","",INDEX(CODIFICACION!$E$2:$E$500,MATCH("D1.4|"&amp;AO52,CODIFICACION!$F$2:$F$500,0))),"⚠"))</f>
        <v/>
      </c>
      <c r="K52" t="str">
        <f>IF(AP52="","",IFERROR(IF(INDEX(CODIFICACION!$E$2:$E$500,MATCH("D1.3a|"&amp;AP52,CODIFICACION!$F$2:$F$500,0))="sin dato","",INDEX(CODIFICACION!$E$2:$E$500,MATCH("D1.3a|"&amp;AP52,CODIFICACION!$F$2:$F$500,0))),"⚠"))</f>
        <v/>
      </c>
      <c r="L52" t="str">
        <f t="shared" si="26"/>
        <v/>
      </c>
      <c r="M52" t="str">
        <f t="shared" si="27"/>
        <v/>
      </c>
      <c r="N52" t="str">
        <f t="shared" si="28"/>
        <v/>
      </c>
      <c r="O52" t="str">
        <f>IF(AT52="","",IFERROR(IF(INDEX(CODIFICACION!$E$2:$E$500,MATCH("D2.8|"&amp;AT52,CODIFICACION!$F$2:$F$500,0))="sin dato","",INDEX(CODIFICACION!$E$2:$E$500,MATCH("D2.8|"&amp;AT52,CODIFICACION!$F$2:$F$500,0))),"⚠"))</f>
        <v/>
      </c>
      <c r="P52" t="str">
        <f>IF(AU52="","",IFERROR(IF(INDEX(CODIFICACION!$E$2:$E$500,MATCH("D2.9|"&amp;AU52,CODIFICACION!$F$2:$F$500,0))="sin dato","",INDEX(CODIFICACION!$E$2:$E$500,MATCH("D2.9|"&amp;AU52,CODIFICACION!$F$2:$F$500,0))),"⚠"))</f>
        <v/>
      </c>
      <c r="Q52" t="str">
        <f>IF(AV52="","",IFERROR(IF(INDEX(CODIFICACION!$E$2:$E$500,MATCH("D2.10|"&amp;AV52,CODIFICACION!$F$2:$F$500,0))="sin dato","",INDEX(CODIFICACION!$E$2:$E$500,MATCH("D2.10|"&amp;AV52,CODIFICACION!$F$2:$F$500,0))),"⚠"))</f>
        <v/>
      </c>
      <c r="R52" t="str">
        <f>IF(AW52="","",IFERROR(IF(INDEX(CODIFICACION!$E$2:$E$500,MATCH("D2.5a|"&amp;AW52,CODIFICACION!$F$2:$F$500,0))="sin dato","",INDEX(CODIFICACION!$E$2:$E$500,MATCH("D2.5a|"&amp;AW52,CODIFICACION!$F$2:$F$500,0))),"⚠"))</f>
        <v/>
      </c>
      <c r="S52" t="str">
        <f ca="1">IF(AX52="","",IFERROR(IF(INDEX(CODIFICACION!$E$2:$E$500,MATCH("D2.5b|"&amp;AX52,CODIFICACION!$F$2:$F$500,0))="sin dato","",INDEX(CODIFICACION!$E$2:$E$500,MATCH("D2.5b|"&amp;AX52,CODIFICACION!$F$2:$F$500,0))),"⚠"))</f>
        <v/>
      </c>
      <c r="T52" t="str">
        <f t="shared" ca="1" si="29"/>
        <v/>
      </c>
      <c r="U52" t="str">
        <f>IF(AZ52="","",IFERROR(IF(INDEX(CODIFICACION!$E$2:$E$500,MATCH("D3.12|"&amp;AZ52,CODIFICACION!$F$2:$F$500,0))="sin dato","",INDEX(CODIFICACION!$E$2:$E$500,MATCH("D3.12|"&amp;AZ52,CODIFICACION!$F$2:$F$500,0))),"⚠"))</f>
        <v/>
      </c>
      <c r="V52" t="str">
        <f t="shared" si="30"/>
        <v/>
      </c>
      <c r="W52" t="str">
        <f ca="1">IF(BB52="","",IFERROR(IF(INDEX(CODIFICACION!$E$2:$E$500,MATCH("D3.14|"&amp;BB52,CODIFICACION!$F$2:$F$500,0))="sin dato","",INDEX(CODIFICACION!$E$2:$E$500,MATCH("D3.14|"&amp;BB52,CODIFICACION!$F$2:$F$500,0))),"⚠"))</f>
        <v/>
      </c>
      <c r="X52" t="str">
        <f ca="1">IF(BC52="","",IFERROR(IF(INDEX(CODIFICACION!$E$2:$E$500,MATCH("D3.14a|"&amp;BC52,CODIFICACION!$F$2:$F$500,0))="sin dato","",INDEX(CODIFICACION!$E$2:$E$500,MATCH("D3.14a|"&amp;BC52,CODIFICACION!$F$2:$F$500,0))),"⚠"))</f>
        <v/>
      </c>
      <c r="Y52" t="str">
        <f>IF(BD52="","",IFERROR(IF(INDEX(CODIFICACION!$E$2:$E$500,MATCH("D3.14b|"&amp;BD52,CODIFICACION!$F$2:$F$500,0))="sin dato","",INDEX(CODIFICACION!$E$2:$E$500,MATCH("D3.14b|"&amp;BD52,CODIFICACION!$F$2:$F$500,0))),"⚠"))</f>
        <v/>
      </c>
      <c r="Z52" t="str">
        <f>IF(BE52="","",IFERROR(IF(INDEX(CODIFICACION!$E$2:$E$500,MATCH("D3.14c|"&amp;BE52,CODIFICACION!$F$2:$F$500,0))="sin dato","",INDEX(CODIFICACION!$E$2:$E$500,MATCH("D3.14c|"&amp;BE52,CODIFICACION!$F$2:$F$500,0))),"⚠"))</f>
        <v/>
      </c>
      <c r="AA52" t="str">
        <f>IF(BF52="","",IFERROR(IF(INDEX(CODIFICACION!$E$2:$E$500,MATCH("D3.14d|"&amp;BF52,CODIFICACION!$F$2:$F$500,0))="sin dato","",INDEX(CODIFICACION!$E$2:$E$500,MATCH("D3.14d|"&amp;BF52,CODIFICACION!$F$2:$F$500,0))),"⚠"))</f>
        <v/>
      </c>
      <c r="AB52" t="str">
        <f>IF(BG52="","",IFERROR(IF(INDEX(CODIFICACION!$E$2:$E$500,MATCH("D3.14e|"&amp;BG52,CODIFICACION!$F$2:$F$500,0))="sin dato","",INDEX(CODIFICACION!$E$2:$E$500,MATCH("D3.14e|"&amp;BG52,CODIFICACION!$F$2:$F$500,0))),"⚠"))</f>
        <v/>
      </c>
      <c r="AC52" t="str">
        <f>IF(BH52="","",IFERROR(IF(INDEX(CODIFICACION!$E$2:$E$500,MATCH("D3.14f|"&amp;BH52,CODIFICACION!$F$2:$F$500,0))="sin dato","",INDEX(CODIFICACION!$E$2:$E$500,MATCH("D3.14f|"&amp;BH52,CODIFICACION!$F$2:$F$500,0))),"⚠"))</f>
        <v/>
      </c>
      <c r="AD52" t="str">
        <f>IF(BI52="","",IFERROR(IF(INDEX(CODIFICACION!$E$2:$E$500,MATCH("D3.14g|"&amp;BI52,CODIFICACION!$F$2:$F$500,0))="sin dato","",INDEX(CODIFICACION!$E$2:$E$500,MATCH("D3.14g|"&amp;BI52,CODIFICACION!$F$2:$F$500,0))),"⚠"))</f>
        <v/>
      </c>
      <c r="AE52" t="str">
        <f>IF(BJ52="","",IFERROR(IF(INDEX(CODIFICACION!$E$2:$E$500,MATCH("D3.14h|"&amp;BJ52,CODIFICACION!$F$2:$F$500,0))="sin dato","",INDEX(CODIFICACION!$E$2:$E$500,MATCH("D3.14h|"&amp;BJ52,CODIFICACION!$F$2:$F$500,0))),"⚠"))</f>
        <v/>
      </c>
      <c r="AF52" t="str">
        <f>IF(BK52="","",IFERROR(IF(INDEX(CODIFICACION!$E$2:$E$500,MATCH("D3.14i|"&amp;BK52,CODIFICACION!$F$2:$F$500,0))="sin dato","",INDEX(CODIFICACION!$E$2:$E$500,MATCH("D3.14i|"&amp;BK52,CODIFICACION!$F$2:$F$500,0))),"⚠"))</f>
        <v/>
      </c>
      <c r="AG52" t="str">
        <f>IF(BL52="","",IFERROR(IF(INDEX(CODIFICACION!$E$2:$E$500,MATCH("D4.15|"&amp;BL52,CODIFICACION!$F$2:$F$500,0))="sin dato","",INDEX(CODIFICACION!$E$2:$E$500,MATCH("D4.15|"&amp;BL52,CODIFICACION!$F$2:$F$500,0))),"⚠"))</f>
        <v/>
      </c>
      <c r="AH52" t="str">
        <f t="shared" si="31"/>
        <v/>
      </c>
      <c r="AI52" t="str">
        <f>IF(BN52="","",IFERROR(IF(INDEX(CODIFICACION!$E$2:$E$500,MATCH("D4.17|"&amp;BN52,CODIFICACION!$F$2:$F$500,0))="sin dato","",INDEX(CODIFICACION!$E$2:$E$500,MATCH("D4.17|"&amp;BN52,CODIFICACION!$F$2:$F$500,0))),"⚠"))</f>
        <v/>
      </c>
      <c r="AJ52" t="str">
        <f>IF(BO52="","",IFERROR(IF(INDEX(CODIFICACION!$E$2:$E$500,MATCH("D4.15a|"&amp;BO52,CODIFICACION!$F$2:$F$500,0))="sin dato","",INDEX(CODIFICACION!$E$2:$E$500,MATCH("D4.15a|"&amp;BO52,CODIFICACION!$F$2:$F$500,0))),"⚠"))</f>
        <v/>
      </c>
      <c r="AK52" t="str">
        <f t="shared" si="32"/>
        <v/>
      </c>
      <c r="AL52" t="str">
        <f t="shared" si="33"/>
        <v/>
      </c>
      <c r="AM52" t="str">
        <f>IF(BR52="","",IFERROR(IF(INDEX(CODIFICACION!$E$2:$E$500,MATCH("D5.18b|"&amp;BR52,CODIFICACION!$F$2:$F$500,0))="sin dato","",INDEX(CODIFICACION!$E$2:$E$500,MATCH("D5.18b|"&amp;BR52,CODIFICACION!$F$2:$F$500,0))),"⚠"))</f>
        <v/>
      </c>
      <c r="AN52" t="str">
        <f>IF(BS52="","",IFERROR(IF(INDEX(CODIFICACION!$E$2:$E$500,MATCH("D5.19|"&amp;BS52,CODIFICACION!$F$2:$F$500,0))="sin dato","",INDEX(CODIFICACION!$E$2:$E$500,MATCH("D5.19|"&amp;BS52,CODIFICACION!$F$2:$F$500,0))),"⚠"))</f>
        <v/>
      </c>
      <c r="AO52" t="str">
        <f t="shared" si="34"/>
        <v/>
      </c>
      <c r="AP52" t="str">
        <f>IF(BU52="","",IFERROR(IF(INDEX(CODIFICACION!$E$2:$E$500,MATCH("D5.20|"&amp;BU52,CODIFICACION!$F$2:$F$500,0))="sin dato","",INDEX(CODIFICACION!$E$2:$E$500,MATCH("D5.20|"&amp;BU52,CODIFICACION!$F$2:$F$500,0))),"⚠"))</f>
        <v/>
      </c>
      <c r="AQ52" t="str">
        <f>IF(BV52="","",IFERROR(IF(INDEX(CODIFICACION!$E$2:$E$500,MATCH("D5.21|"&amp;BV52,CODIFICACION!$F$2:$F$500,0))="sin dato","",INDEX(CODIFICACION!$E$2:$E$500,MATCH("D5.21|"&amp;BV52,CODIFICACION!$F$2:$F$500,0))),"⚠"))</f>
        <v/>
      </c>
      <c r="AR52" t="str">
        <f>IF(BW52="","",IFERROR(IF(INDEX(CODIFICACION!$E$2:$E$500,MATCH("D5.21a|"&amp;BW52,CODIFICACION!$F$2:$F$500,0))="sin dato","",INDEX(CODIFICACION!$E$2:$E$500,MATCH("D5.21a|"&amp;BW52,CODIFICACION!$F$2:$F$500,0))),"⚠"))</f>
        <v/>
      </c>
      <c r="AS52" t="str">
        <f>IF(BX52="","",IFERROR(IF(INDEX(CODIFICACION!$E$2:$E$500,MATCH("D5.21b|"&amp;BX52,CODIFICACION!$F$2:$F$500,0))="sin dato","",INDEX(CODIFICACION!$E$2:$E$500,MATCH("D5.21b|"&amp;BX52,CODIFICACION!$F$2:$F$500,0))),"⚠"))</f>
        <v/>
      </c>
      <c r="AT52" t="str">
        <f>IF(BY52="","",IFERROR(IF(INDEX(CODIFICACION!$E$2:$E$500,MATCH("D6.22|"&amp;BY52,CODIFICACION!$F$2:$F$500,0))="sin dato","",INDEX(CODIFICACION!$E$2:$E$500,MATCH("D6.22|"&amp;BY52,CODIFICACION!$F$2:$F$500,0))),"⚠"))</f>
        <v/>
      </c>
      <c r="AU52" t="str">
        <f>IF(BZ52="","",IFERROR(IF(INDEX(CODIFICACION!$E$2:$E$500,MATCH("D6.22a|"&amp;BZ52,CODIFICACION!$F$2:$F$500,0))="sin dato","",INDEX(CODIFICACION!$E$2:$E$500,MATCH("D6.22a|"&amp;BZ52,CODIFICACION!$F$2:$F$500,0))),"⚠"))</f>
        <v/>
      </c>
      <c r="AV52" t="str">
        <f>IF(CA52="","",IFERROR(IF(INDEX(CODIFICACION!$E$2:$E$500,MATCH("D6.22b|"&amp;CA52,CODIFICACION!$F$2:$F$500,0))="sin dato","",INDEX(CODIFICACION!$E$2:$E$500,MATCH("D6.22b|"&amp;CA52,CODIFICACION!$F$2:$F$500,0))),"⚠"))</f>
        <v/>
      </c>
      <c r="AW52" t="str">
        <f>IF(CB52="","",IFERROR(IF(INDEX(CODIFICACION!$E$2:$E$500,MATCH("D6.23|"&amp;CB52,CODIFICACION!$F$2:$F$500,0))="sin dato","",INDEX(CODIFICACION!$E$2:$E$500,MATCH("D6.23|"&amp;CB52,CODIFICACION!$F$2:$F$500,0))),"⚠"))</f>
        <v/>
      </c>
      <c r="AX52" t="str">
        <f ca="1">IF(CC52="","",IFERROR(IF(INDEX(CODIFICACION!$E$2:$E$500,MATCH("D6.24|"&amp;CC52,CODIFICACION!$F$2:$F$500,0))="sin dato","",INDEX(CODIFICACION!$E$2:$E$500,MATCH("D6.24|"&amp;CC52,CODIFICACION!$F$2:$F$500,0))),"⚠"))</f>
        <v/>
      </c>
      <c r="AY52" t="str">
        <f ca="1">IF(CD52="","",IFERROR(IF(INDEX(CODIFICACION!$E$2:$E$500,MATCH("D6.25|"&amp;CD52,CODIFICACION!$F$2:$F$500,0))="sin dato","",INDEX(CODIFICACION!$E$2:$E$500,MATCH("D6.25|"&amp;CD52,CODIFICACION!$F$2:$F$500,0))),"⚠"))</f>
        <v/>
      </c>
      <c r="AZ52" t="str">
        <f>IF(CE52="","",IFERROR(IF(INDEX(CODIFICACION!$E$2:$E$500,MATCH("D6.25a|"&amp;CE52,CODIFICACION!$F$2:$F$500,0))="sin dato","",INDEX(CODIFICACION!$E$2:$E$500,MATCH("D6.25a|"&amp;CE52,CODIFICACION!$F$2:$F$500,0))),"⚠"))</f>
        <v/>
      </c>
      <c r="BA52" t="str">
        <f>IF(CF52="","",IFERROR(IF(INDEX(CODIFICACION!$E$2:$E$500,MATCH("D6.25b|"&amp;CF52,CODIFICACION!$F$2:$F$500,0))="sin dato","",INDEX(CODIFICACION!$E$2:$E$500,MATCH("D6.25b|"&amp;CF52,CODIFICACION!$F$2:$F$500,0))),"⚠"))</f>
        <v/>
      </c>
      <c r="BB52" t="str">
        <f ca="1">IF(CG52="","",IFERROR(IF(INDEX(CODIFICACION!$E$2:$E$500,MATCH("D6.22c|"&amp;CG52,CODIFICACION!$F$2:$F$500,0))="sin dato","",INDEX(CODIFICACION!$E$2:$E$500,MATCH("D6.22c|"&amp;CG52,CODIFICACION!$F$2:$F$500,0))),"⚠"))</f>
        <v/>
      </c>
      <c r="BC52" t="str">
        <f ca="1">IF(CH52="","",IFERROR(IF(INDEX(CODIFICACION!$E$2:$E$500,MATCH("D7.26|"&amp;CH52,CODIFICACION!$F$2:$F$500,0))="sin dato","",INDEX(CODIFICACION!$E$2:$E$500,MATCH("D7.26|"&amp;CH52,CODIFICACION!$F$2:$F$500,0))),"⚠"))</f>
        <v/>
      </c>
      <c r="BD52" t="str">
        <f>IF(CI52="","",IFERROR(IF(INDEX(CODIFICACION!$E$2:$E$500,MATCH("D7.27|"&amp;CI52,CODIFICACION!$F$2:$F$500,0))="sin dato","",INDEX(CODIFICACION!$E$2:$E$500,MATCH("D7.27|"&amp;CI52,CODIFICACION!$F$2:$F$500,0))),"⚠"))</f>
        <v/>
      </c>
      <c r="BE52" t="str">
        <f>IF(CJ52="","",IFERROR(IF(INDEX(CODIFICACION!$E$2:$E$500,MATCH("D7.28|"&amp;CJ52,CODIFICACION!$F$2:$F$500,0))="sin dato","",INDEX(CODIFICACION!$E$2:$E$500,MATCH("D7.28|"&amp;CJ52,CODIFICACION!$F$2:$F$500,0))),"⚠"))</f>
        <v/>
      </c>
      <c r="BF52" t="str">
        <f>IF(CK52="","",IFERROR(IF(INDEX(CODIFICACION!$E$2:$E$500,MATCH("D7.28b|"&amp;CK52,CODIFICACION!$F$2:$F$500,0))="sin dato","",INDEX(CODIFICACION!$E$2:$E$500,MATCH("D7.28b|"&amp;CK52,CODIFICACION!$F$2:$F$500,0))),"⚠"))</f>
        <v/>
      </c>
      <c r="BG52" t="str">
        <f t="shared" si="35"/>
        <v/>
      </c>
      <c r="BH52" t="str">
        <f>IF(CM52="","",IFERROR(IF(INDEX(CODIFICACION!$E$2:$E$500,MATCH("D7.26a|"&amp;CM52,CODIFICACION!$F$2:$F$500,0))="sin dato","",INDEX(CODIFICACION!$E$2:$E$500,MATCH("D7.26a|"&amp;CM52,CODIFICACION!$F$2:$F$500,0))),"⚠"))</f>
        <v/>
      </c>
      <c r="BI52" t="str">
        <f>IF(CN52="","",IFERROR(IF(INDEX(CODIFICACION!$E$2:$E$500,MATCH("D7.26b|"&amp;CN52,CODIFICACION!$F$2:$F$500,0))="sin dato","",INDEX(CODIFICACION!$E$2:$E$500,MATCH("D7.26b|"&amp;CN52,CODIFICACION!$F$2:$F$500,0))),"⚠"))</f>
        <v/>
      </c>
      <c r="BJ52" t="str">
        <f t="shared" si="36"/>
        <v/>
      </c>
      <c r="BK52" t="str">
        <f t="shared" si="37"/>
        <v/>
      </c>
      <c r="BL52" t="str">
        <f>IF(CQ52="","",IFERROR(IF(INDEX(CODIFICACION!$E$2:$E$500,MATCH("D8.31|"&amp;CQ52,CODIFICACION!$F$2:$F$500,0))="sin dato","",INDEX(CODIFICACION!$E$2:$E$500,MATCH("D8.31|"&amp;CQ52,CODIFICACION!$F$2:$F$500,0))),"⚠"))</f>
        <v/>
      </c>
      <c r="BM52" t="str">
        <f>IF(CR52="","",IFERROR(IF(INDEX(CODIFICACION!$E$2:$E$500,MATCH("D8.32|"&amp;CR52,CODIFICACION!$F$2:$F$500,0))="sin dato","",INDEX(CODIFICACION!$E$2:$E$500,MATCH("D8.32|"&amp;CR52,CODIFICACION!$F$2:$F$500,0))),"⚠"))</f>
        <v/>
      </c>
      <c r="BN52" t="str">
        <f>IF(CS52="","",IFERROR(IF(INDEX(CODIFICACION!$E$2:$E$500,MATCH("D9.33|"&amp;CS52,CODIFICACION!$F$2:$F$500,0))="sin dato","",INDEX(CODIFICACION!$E$2:$E$500,MATCH("D9.33|"&amp;CS52,CODIFICACION!$F$2:$F$500,0))),"⚠"))</f>
        <v/>
      </c>
      <c r="BO52" t="str">
        <f>IF(CT52="","",IFERROR(IF(INDEX(CODIFICACION!$E$2:$E$500,MATCH("D9.34|"&amp;CT52,CODIFICACION!$F$2:$F$500,0))="sin dato","",INDEX(CODIFICACION!$E$2:$E$500,MATCH("D9.34|"&amp;CT52,CODIFICACION!$F$2:$F$500,0))),"⚠"))</f>
        <v/>
      </c>
      <c r="BP52" t="str">
        <f>IF(CU52="","",IFERROR(IF(INDEX(CODIFICACION!$E$2:$E$500,MATCH("D9.35|"&amp;CU52,CODIFICACION!$F$2:$F$500,0))="sin dato","",INDEX(CODIFICACION!$E$2:$E$500,MATCH("D9.35|"&amp;CU52,CODIFICACION!$F$2:$F$500,0))),"⚠"))</f>
        <v/>
      </c>
      <c r="BQ52" t="str">
        <f>IF(CV52="","",IFERROR(IF(INDEX(CODIFICACION!$E$2:$E$500,MATCH("D10.36|"&amp;CV52,CODIFICACION!$F$2:$F$500,0))="sin dato","",INDEX(CODIFICACION!$E$2:$E$500,MATCH("D10.36|"&amp;CV52,CODIFICACION!$F$2:$F$500,0))),"⚠"))</f>
        <v/>
      </c>
      <c r="BR52" t="str">
        <f>IF(CW52="","",IFERROR(IF(INDEX(CODIFICACION!$E$2:$E$500,MATCH("D10.37|"&amp;CW52,CODIFICACION!$F$2:$F$500,0))="sin dato","",INDEX(CODIFICACION!$E$2:$E$500,MATCH("D10.37|"&amp;CW52,CODIFICACION!$F$2:$F$500,0))),"⚠"))</f>
        <v/>
      </c>
      <c r="BS52" t="str">
        <f>IF(CX52="","",IFERROR(IF(INDEX(CODIFICACION!$E$2:$E$500,MATCH("D10.36a|"&amp;CX52,CODIFICACION!$F$2:$F$500,0))="sin dato","",INDEX(CODIFICACION!$E$2:$E$500,MATCH("D10.36a|"&amp;CX52,CODIFICACION!$F$2:$F$500,0))),"⚠"))</f>
        <v/>
      </c>
      <c r="BT52" t="str">
        <f t="shared" si="38"/>
        <v/>
      </c>
      <c r="BU52" t="str">
        <f>IF(DA52="","",IFERROR(IF(INDEX(CODIFICACION!$E$2:$E$500,MATCH("D11.39a|"&amp;DA52,CODIFICACION!$F$2:$F$500,0))="sin dato","",INDEX(CODIFICACION!$E$2:$E$500,MATCH("D11.39a|"&amp;DA52,CODIFICACION!$F$2:$F$500,0))),"⚠"))</f>
        <v/>
      </c>
      <c r="BV52" t="str">
        <f>IF(DB52="","",IFERROR(IF(INDEX(CODIFICACION!$E$2:$E$500,MATCH("D12.42|"&amp;DB52,CODIFICACION!$F$2:$F$500,0))="sin dato","",INDEX(CODIFICACION!$E$2:$E$500,MATCH("D12.42|"&amp;DB52,CODIFICACION!$F$2:$F$500,0))),"⚠"))</f>
        <v/>
      </c>
      <c r="BW52" t="str">
        <f>IF(DC52="","",IFERROR(IF(INDEX(CODIFICACION!$E$2:$E$500,MATCH("D13.45|"&amp;DC52,CODIFICACION!$F$2:$F$500,0))="sin dato","",INDEX(CODIFICACION!$E$2:$E$500,MATCH("D13.45|"&amp;DC52,CODIFICACION!$F$2:$F$500,0))),"⚠"))</f>
        <v/>
      </c>
      <c r="BX52" t="str">
        <f>IF(DD52="","",IFERROR(IF(INDEX(CODIFICACION!$E$2:$E$500,MATCH("D14.51|"&amp;DD52,CODIFICACION!$F$2:$F$500,0))="sin dato","",INDEX(CODIFICACION!$E$2:$E$500,MATCH("D14.51|"&amp;DD52,CODIFICACION!$F$2:$F$500,0))),"⚠"))</f>
        <v/>
      </c>
      <c r="BY52" t="str">
        <f>IF(DE52="","",IFERROR(IF(INDEX(CODIFICACION!$E$2:$E$500,MATCH("D15.58|"&amp;DE52,CODIFICACION!$F$2:$F$500,0))="sin dato","",INDEX(CODIFICACION!$E$2:$E$500,MATCH("D15.58|"&amp;DE52,CODIFICACION!$F$2:$F$500,0))),"⚠"))</f>
        <v/>
      </c>
      <c r="BZ52" t="str">
        <f>IF(DF52="","",IFERROR(IF(INDEX(CODIFICACION!$E$2:$E$500,MATCH("PP1|"&amp;DF52,CODIFICACION!$F$2:$F$500,0))="sin dato","",INDEX(CODIFICACION!$E$2:$E$500,MATCH("PP1|"&amp;DF52,CODIFICACION!$F$2:$F$500,0))),"⚠"))</f>
        <v/>
      </c>
      <c r="CA52" t="str">
        <f>IF(DG52="","",IFERROR(IF(INDEX(CODIFICACION!$E$2:$E$500,MATCH("PP2|"&amp;DG52,CODIFICACION!$F$2:$F$500,0))="sin dato","",INDEX(CODIFICACION!$E$2:$E$500,MATCH("PP2|"&amp;DG52,CODIFICACION!$F$2:$F$500,0))),"⚠"))</f>
        <v/>
      </c>
      <c r="CB52" t="str">
        <f t="shared" si="39"/>
        <v/>
      </c>
      <c r="CC52" t="str">
        <f t="shared" ca="1" si="40"/>
        <v/>
      </c>
      <c r="CD52" t="str">
        <f t="shared" ca="1" si="41"/>
        <v/>
      </c>
      <c r="CE52" t="str">
        <f t="shared" si="42"/>
        <v/>
      </c>
      <c r="CF52" t="str">
        <f t="shared" si="43"/>
        <v/>
      </c>
      <c r="CG52" t="str">
        <f t="shared" ca="1" si="44"/>
        <v/>
      </c>
      <c r="CH52" t="str">
        <f t="shared" ca="1" si="45"/>
        <v/>
      </c>
      <c r="CI52" t="str">
        <f t="shared" si="46"/>
        <v/>
      </c>
      <c r="CJ52" t="str">
        <f t="shared" si="47"/>
        <v/>
      </c>
      <c r="CK52" t="str">
        <f t="shared" si="48"/>
        <v/>
      </c>
      <c r="CL52" t="str">
        <f t="shared" si="49"/>
        <v/>
      </c>
    </row>
    <row r="53" spans="1:90" x14ac:dyDescent="0.3">
      <c r="A53">
        <f>CAPTURA!A53</f>
        <v>20493934822</v>
      </c>
      <c r="B53">
        <f>CAPTURA!C53</f>
        <v>0</v>
      </c>
      <c r="C53" t="str">
        <f t="shared" si="25"/>
        <v/>
      </c>
      <c r="D53" t="str">
        <f>IF(AE53="","",IFERROR(IF(INDEX(CODIFICACION!$E$2:$E$500,MATCH("P8|"&amp;AE53,CODIFICACION!$F$2:$F$500,0))="sin dato","",INDEX(CODIFICACION!$E$2:$E$500,MATCH("P8|"&amp;AE53,CODIFICACION!$F$2:$F$500,0))),"⚠"))</f>
        <v/>
      </c>
      <c r="E53" t="str">
        <f>IF(AG53="","",IFERROR(IF(INDEX(CODIFICACION!$E$2:$E$500,MATCH("P10|"&amp;AG53,CODIFICACION!$F$2:$F$500,0))="sin dato","",INDEX(CODIFICACION!$E$2:$E$500,MATCH("P10|"&amp;AG53,CODIFICACION!$F$2:$F$500,0))),"⚠"))</f>
        <v/>
      </c>
      <c r="F53" t="str">
        <f>IF(AJ53="","",IFERROR(IF(INDEX(CODIFICACION!$E$2:$E$500,MATCH("P13|"&amp;AJ53,CODIFICACION!$F$2:$F$500,0))="sin dato","",INDEX(CODIFICACION!$E$2:$E$500,MATCH("P13|"&amp;AJ53,CODIFICACION!$F$2:$F$500,0))),"⚠"))</f>
        <v/>
      </c>
      <c r="G53" t="str">
        <f>IF(AK53="","",IFERROR(IF(INDEX(CODIFICACION!$E$2:$E$500,MATCH("P14|"&amp;AK53,CODIFICACION!$F$2:$F$500,0))="sin dato","",INDEX(CODIFICACION!$E$2:$E$500,MATCH("P14|"&amp;AK53,CODIFICACION!$F$2:$F$500,0))),"⚠"))</f>
        <v/>
      </c>
      <c r="H53" t="str">
        <f>IF(AL53="","",IFERROR(IF(INDEX(CODIFICACION!$E$2:$E$500,MATCH("D1.1|"&amp;AL53,CODIFICACION!$F$2:$F$500,0))="sin dato","",INDEX(CODIFICACION!$E$2:$E$500,MATCH("D1.1|"&amp;AL53,CODIFICACION!$F$2:$F$500,0))),"⚠"))</f>
        <v/>
      </c>
      <c r="I53" t="str">
        <f>IF(AN53="","",IFERROR(IF(INDEX(CODIFICACION!$E$2:$E$500,MATCH("D1.3|"&amp;AN53,CODIFICACION!$F$2:$F$500,0))="sin dato","",INDEX(CODIFICACION!$E$2:$E$500,MATCH("D1.3|"&amp;AN53,CODIFICACION!$F$2:$F$500,0))),"⚠"))</f>
        <v/>
      </c>
      <c r="J53" t="str">
        <f>IF(AO53="","",IFERROR(IF(INDEX(CODIFICACION!$E$2:$E$500,MATCH("D1.4|"&amp;AO53,CODIFICACION!$F$2:$F$500,0))="sin dato","",INDEX(CODIFICACION!$E$2:$E$500,MATCH("D1.4|"&amp;AO53,CODIFICACION!$F$2:$F$500,0))),"⚠"))</f>
        <v/>
      </c>
      <c r="K53" t="str">
        <f>IF(AP53="","",IFERROR(IF(INDEX(CODIFICACION!$E$2:$E$500,MATCH("D1.3a|"&amp;AP53,CODIFICACION!$F$2:$F$500,0))="sin dato","",INDEX(CODIFICACION!$E$2:$E$500,MATCH("D1.3a|"&amp;AP53,CODIFICACION!$F$2:$F$500,0))),"⚠"))</f>
        <v/>
      </c>
      <c r="L53" t="str">
        <f t="shared" si="26"/>
        <v/>
      </c>
      <c r="M53" t="str">
        <f t="shared" si="27"/>
        <v/>
      </c>
      <c r="N53" t="str">
        <f t="shared" si="28"/>
        <v/>
      </c>
      <c r="O53" t="str">
        <f>IF(AT53="","",IFERROR(IF(INDEX(CODIFICACION!$E$2:$E$500,MATCH("D2.8|"&amp;AT53,CODIFICACION!$F$2:$F$500,0))="sin dato","",INDEX(CODIFICACION!$E$2:$E$500,MATCH("D2.8|"&amp;AT53,CODIFICACION!$F$2:$F$500,0))),"⚠"))</f>
        <v/>
      </c>
      <c r="P53" t="str">
        <f>IF(AU53="","",IFERROR(IF(INDEX(CODIFICACION!$E$2:$E$500,MATCH("D2.9|"&amp;AU53,CODIFICACION!$F$2:$F$500,0))="sin dato","",INDEX(CODIFICACION!$E$2:$E$500,MATCH("D2.9|"&amp;AU53,CODIFICACION!$F$2:$F$500,0))),"⚠"))</f>
        <v/>
      </c>
      <c r="Q53" t="str">
        <f>IF(AV53="","",IFERROR(IF(INDEX(CODIFICACION!$E$2:$E$500,MATCH("D2.10|"&amp;AV53,CODIFICACION!$F$2:$F$500,0))="sin dato","",INDEX(CODIFICACION!$E$2:$E$500,MATCH("D2.10|"&amp;AV53,CODIFICACION!$F$2:$F$500,0))),"⚠"))</f>
        <v/>
      </c>
      <c r="R53" t="str">
        <f>IF(AW53="","",IFERROR(IF(INDEX(CODIFICACION!$E$2:$E$500,MATCH("D2.5a|"&amp;AW53,CODIFICACION!$F$2:$F$500,0))="sin dato","",INDEX(CODIFICACION!$E$2:$E$500,MATCH("D2.5a|"&amp;AW53,CODIFICACION!$F$2:$F$500,0))),"⚠"))</f>
        <v/>
      </c>
      <c r="S53" t="str">
        <f ca="1">IF(AX53="","",IFERROR(IF(INDEX(CODIFICACION!$E$2:$E$500,MATCH("D2.5b|"&amp;AX53,CODIFICACION!$F$2:$F$500,0))="sin dato","",INDEX(CODIFICACION!$E$2:$E$500,MATCH("D2.5b|"&amp;AX53,CODIFICACION!$F$2:$F$500,0))),"⚠"))</f>
        <v/>
      </c>
      <c r="T53" t="str">
        <f t="shared" ca="1" si="29"/>
        <v/>
      </c>
      <c r="U53" t="str">
        <f>IF(AZ53="","",IFERROR(IF(INDEX(CODIFICACION!$E$2:$E$500,MATCH("D3.12|"&amp;AZ53,CODIFICACION!$F$2:$F$500,0))="sin dato","",INDEX(CODIFICACION!$E$2:$E$500,MATCH("D3.12|"&amp;AZ53,CODIFICACION!$F$2:$F$500,0))),"⚠"))</f>
        <v/>
      </c>
      <c r="V53" t="str">
        <f t="shared" si="30"/>
        <v/>
      </c>
      <c r="W53" t="str">
        <f ca="1">IF(BB53="","",IFERROR(IF(INDEX(CODIFICACION!$E$2:$E$500,MATCH("D3.14|"&amp;BB53,CODIFICACION!$F$2:$F$500,0))="sin dato","",INDEX(CODIFICACION!$E$2:$E$500,MATCH("D3.14|"&amp;BB53,CODIFICACION!$F$2:$F$500,0))),"⚠"))</f>
        <v/>
      </c>
      <c r="X53" t="str">
        <f ca="1">IF(BC53="","",IFERROR(IF(INDEX(CODIFICACION!$E$2:$E$500,MATCH("D3.14a|"&amp;BC53,CODIFICACION!$F$2:$F$500,0))="sin dato","",INDEX(CODIFICACION!$E$2:$E$500,MATCH("D3.14a|"&amp;BC53,CODIFICACION!$F$2:$F$500,0))),"⚠"))</f>
        <v/>
      </c>
      <c r="Y53" t="str">
        <f>IF(BD53="","",IFERROR(IF(INDEX(CODIFICACION!$E$2:$E$500,MATCH("D3.14b|"&amp;BD53,CODIFICACION!$F$2:$F$500,0))="sin dato","",INDEX(CODIFICACION!$E$2:$E$500,MATCH("D3.14b|"&amp;BD53,CODIFICACION!$F$2:$F$500,0))),"⚠"))</f>
        <v/>
      </c>
      <c r="Z53" t="str">
        <f>IF(BE53="","",IFERROR(IF(INDEX(CODIFICACION!$E$2:$E$500,MATCH("D3.14c|"&amp;BE53,CODIFICACION!$F$2:$F$500,0))="sin dato","",INDEX(CODIFICACION!$E$2:$E$500,MATCH("D3.14c|"&amp;BE53,CODIFICACION!$F$2:$F$500,0))),"⚠"))</f>
        <v/>
      </c>
      <c r="AA53" t="str">
        <f>IF(BF53="","",IFERROR(IF(INDEX(CODIFICACION!$E$2:$E$500,MATCH("D3.14d|"&amp;BF53,CODIFICACION!$F$2:$F$500,0))="sin dato","",INDEX(CODIFICACION!$E$2:$E$500,MATCH("D3.14d|"&amp;BF53,CODIFICACION!$F$2:$F$500,0))),"⚠"))</f>
        <v/>
      </c>
      <c r="AB53" t="str">
        <f>IF(BG53="","",IFERROR(IF(INDEX(CODIFICACION!$E$2:$E$500,MATCH("D3.14e|"&amp;BG53,CODIFICACION!$F$2:$F$500,0))="sin dato","",INDEX(CODIFICACION!$E$2:$E$500,MATCH("D3.14e|"&amp;BG53,CODIFICACION!$F$2:$F$500,0))),"⚠"))</f>
        <v/>
      </c>
      <c r="AC53" t="str">
        <f>IF(BH53="","",IFERROR(IF(INDEX(CODIFICACION!$E$2:$E$500,MATCH("D3.14f|"&amp;BH53,CODIFICACION!$F$2:$F$500,0))="sin dato","",INDEX(CODIFICACION!$E$2:$E$500,MATCH("D3.14f|"&amp;BH53,CODIFICACION!$F$2:$F$500,0))),"⚠"))</f>
        <v/>
      </c>
      <c r="AD53" t="str">
        <f>IF(BI53="","",IFERROR(IF(INDEX(CODIFICACION!$E$2:$E$500,MATCH("D3.14g|"&amp;BI53,CODIFICACION!$F$2:$F$500,0))="sin dato","",INDEX(CODIFICACION!$E$2:$E$500,MATCH("D3.14g|"&amp;BI53,CODIFICACION!$F$2:$F$500,0))),"⚠"))</f>
        <v/>
      </c>
      <c r="AE53" t="str">
        <f>IF(BJ53="","",IFERROR(IF(INDEX(CODIFICACION!$E$2:$E$500,MATCH("D3.14h|"&amp;BJ53,CODIFICACION!$F$2:$F$500,0))="sin dato","",INDEX(CODIFICACION!$E$2:$E$500,MATCH("D3.14h|"&amp;BJ53,CODIFICACION!$F$2:$F$500,0))),"⚠"))</f>
        <v/>
      </c>
      <c r="AF53" t="str">
        <f>IF(BK53="","",IFERROR(IF(INDEX(CODIFICACION!$E$2:$E$500,MATCH("D3.14i|"&amp;BK53,CODIFICACION!$F$2:$F$500,0))="sin dato","",INDEX(CODIFICACION!$E$2:$E$500,MATCH("D3.14i|"&amp;BK53,CODIFICACION!$F$2:$F$500,0))),"⚠"))</f>
        <v/>
      </c>
      <c r="AG53" t="str">
        <f>IF(BL53="","",IFERROR(IF(INDEX(CODIFICACION!$E$2:$E$500,MATCH("D4.15|"&amp;BL53,CODIFICACION!$F$2:$F$500,0))="sin dato","",INDEX(CODIFICACION!$E$2:$E$500,MATCH("D4.15|"&amp;BL53,CODIFICACION!$F$2:$F$500,0))),"⚠"))</f>
        <v/>
      </c>
      <c r="AH53" t="str">
        <f t="shared" si="31"/>
        <v/>
      </c>
      <c r="AI53" t="str">
        <f>IF(BN53="","",IFERROR(IF(INDEX(CODIFICACION!$E$2:$E$500,MATCH("D4.17|"&amp;BN53,CODIFICACION!$F$2:$F$500,0))="sin dato","",INDEX(CODIFICACION!$E$2:$E$500,MATCH("D4.17|"&amp;BN53,CODIFICACION!$F$2:$F$500,0))),"⚠"))</f>
        <v/>
      </c>
      <c r="AJ53" t="str">
        <f>IF(BO53="","",IFERROR(IF(INDEX(CODIFICACION!$E$2:$E$500,MATCH("D4.15a|"&amp;BO53,CODIFICACION!$F$2:$F$500,0))="sin dato","",INDEX(CODIFICACION!$E$2:$E$500,MATCH("D4.15a|"&amp;BO53,CODIFICACION!$F$2:$F$500,0))),"⚠"))</f>
        <v/>
      </c>
      <c r="AK53" t="str">
        <f t="shared" si="32"/>
        <v/>
      </c>
      <c r="AL53" t="str">
        <f t="shared" si="33"/>
        <v/>
      </c>
      <c r="AM53" t="str">
        <f>IF(BR53="","",IFERROR(IF(INDEX(CODIFICACION!$E$2:$E$500,MATCH("D5.18b|"&amp;BR53,CODIFICACION!$F$2:$F$500,0))="sin dato","",INDEX(CODIFICACION!$E$2:$E$500,MATCH("D5.18b|"&amp;BR53,CODIFICACION!$F$2:$F$500,0))),"⚠"))</f>
        <v/>
      </c>
      <c r="AN53" t="str">
        <f>IF(BS53="","",IFERROR(IF(INDEX(CODIFICACION!$E$2:$E$500,MATCH("D5.19|"&amp;BS53,CODIFICACION!$F$2:$F$500,0))="sin dato","",INDEX(CODIFICACION!$E$2:$E$500,MATCH("D5.19|"&amp;BS53,CODIFICACION!$F$2:$F$500,0))),"⚠"))</f>
        <v/>
      </c>
      <c r="AO53" t="str">
        <f t="shared" si="34"/>
        <v/>
      </c>
      <c r="AP53" t="str">
        <f>IF(BU53="","",IFERROR(IF(INDEX(CODIFICACION!$E$2:$E$500,MATCH("D5.20|"&amp;BU53,CODIFICACION!$F$2:$F$500,0))="sin dato","",INDEX(CODIFICACION!$E$2:$E$500,MATCH("D5.20|"&amp;BU53,CODIFICACION!$F$2:$F$500,0))),"⚠"))</f>
        <v/>
      </c>
      <c r="AQ53" t="str">
        <f>IF(BV53="","",IFERROR(IF(INDEX(CODIFICACION!$E$2:$E$500,MATCH("D5.21|"&amp;BV53,CODIFICACION!$F$2:$F$500,0))="sin dato","",INDEX(CODIFICACION!$E$2:$E$500,MATCH("D5.21|"&amp;BV53,CODIFICACION!$F$2:$F$500,0))),"⚠"))</f>
        <v/>
      </c>
      <c r="AR53" t="str">
        <f>IF(BW53="","",IFERROR(IF(INDEX(CODIFICACION!$E$2:$E$500,MATCH("D5.21a|"&amp;BW53,CODIFICACION!$F$2:$F$500,0))="sin dato","",INDEX(CODIFICACION!$E$2:$E$500,MATCH("D5.21a|"&amp;BW53,CODIFICACION!$F$2:$F$500,0))),"⚠"))</f>
        <v/>
      </c>
      <c r="AS53" t="str">
        <f>IF(BX53="","",IFERROR(IF(INDEX(CODIFICACION!$E$2:$E$500,MATCH("D5.21b|"&amp;BX53,CODIFICACION!$F$2:$F$500,0))="sin dato","",INDEX(CODIFICACION!$E$2:$E$500,MATCH("D5.21b|"&amp;BX53,CODIFICACION!$F$2:$F$500,0))),"⚠"))</f>
        <v/>
      </c>
      <c r="AT53" t="str">
        <f>IF(BY53="","",IFERROR(IF(INDEX(CODIFICACION!$E$2:$E$500,MATCH("D6.22|"&amp;BY53,CODIFICACION!$F$2:$F$500,0))="sin dato","",INDEX(CODIFICACION!$E$2:$E$500,MATCH("D6.22|"&amp;BY53,CODIFICACION!$F$2:$F$500,0))),"⚠"))</f>
        <v/>
      </c>
      <c r="AU53" t="str">
        <f>IF(BZ53="","",IFERROR(IF(INDEX(CODIFICACION!$E$2:$E$500,MATCH("D6.22a|"&amp;BZ53,CODIFICACION!$F$2:$F$500,0))="sin dato","",INDEX(CODIFICACION!$E$2:$E$500,MATCH("D6.22a|"&amp;BZ53,CODIFICACION!$F$2:$F$500,0))),"⚠"))</f>
        <v/>
      </c>
      <c r="AV53" t="str">
        <f>IF(CA53="","",IFERROR(IF(INDEX(CODIFICACION!$E$2:$E$500,MATCH("D6.22b|"&amp;CA53,CODIFICACION!$F$2:$F$500,0))="sin dato","",INDEX(CODIFICACION!$E$2:$E$500,MATCH("D6.22b|"&amp;CA53,CODIFICACION!$F$2:$F$500,0))),"⚠"))</f>
        <v/>
      </c>
      <c r="AW53" t="str">
        <f>IF(CB53="","",IFERROR(IF(INDEX(CODIFICACION!$E$2:$E$500,MATCH("D6.23|"&amp;CB53,CODIFICACION!$F$2:$F$500,0))="sin dato","",INDEX(CODIFICACION!$E$2:$E$500,MATCH("D6.23|"&amp;CB53,CODIFICACION!$F$2:$F$500,0))),"⚠"))</f>
        <v/>
      </c>
      <c r="AX53" t="str">
        <f ca="1">IF(CC53="","",IFERROR(IF(INDEX(CODIFICACION!$E$2:$E$500,MATCH("D6.24|"&amp;CC53,CODIFICACION!$F$2:$F$500,0))="sin dato","",INDEX(CODIFICACION!$E$2:$E$500,MATCH("D6.24|"&amp;CC53,CODIFICACION!$F$2:$F$500,0))),"⚠"))</f>
        <v/>
      </c>
      <c r="AY53" t="str">
        <f ca="1">IF(CD53="","",IFERROR(IF(INDEX(CODIFICACION!$E$2:$E$500,MATCH("D6.25|"&amp;CD53,CODIFICACION!$F$2:$F$500,0))="sin dato","",INDEX(CODIFICACION!$E$2:$E$500,MATCH("D6.25|"&amp;CD53,CODIFICACION!$F$2:$F$500,0))),"⚠"))</f>
        <v/>
      </c>
      <c r="AZ53" t="str">
        <f>IF(CE53="","",IFERROR(IF(INDEX(CODIFICACION!$E$2:$E$500,MATCH("D6.25a|"&amp;CE53,CODIFICACION!$F$2:$F$500,0))="sin dato","",INDEX(CODIFICACION!$E$2:$E$500,MATCH("D6.25a|"&amp;CE53,CODIFICACION!$F$2:$F$500,0))),"⚠"))</f>
        <v/>
      </c>
      <c r="BA53" t="str">
        <f>IF(CF53="","",IFERROR(IF(INDEX(CODIFICACION!$E$2:$E$500,MATCH("D6.25b|"&amp;CF53,CODIFICACION!$F$2:$F$500,0))="sin dato","",INDEX(CODIFICACION!$E$2:$E$500,MATCH("D6.25b|"&amp;CF53,CODIFICACION!$F$2:$F$500,0))),"⚠"))</f>
        <v/>
      </c>
      <c r="BB53" t="str">
        <f ca="1">IF(CG53="","",IFERROR(IF(INDEX(CODIFICACION!$E$2:$E$500,MATCH("D6.22c|"&amp;CG53,CODIFICACION!$F$2:$F$500,0))="sin dato","",INDEX(CODIFICACION!$E$2:$E$500,MATCH("D6.22c|"&amp;CG53,CODIFICACION!$F$2:$F$500,0))),"⚠"))</f>
        <v/>
      </c>
      <c r="BC53" t="str">
        <f ca="1">IF(CH53="","",IFERROR(IF(INDEX(CODIFICACION!$E$2:$E$500,MATCH("D7.26|"&amp;CH53,CODIFICACION!$F$2:$F$500,0))="sin dato","",INDEX(CODIFICACION!$E$2:$E$500,MATCH("D7.26|"&amp;CH53,CODIFICACION!$F$2:$F$500,0))),"⚠"))</f>
        <v/>
      </c>
      <c r="BD53" t="str">
        <f>IF(CI53="","",IFERROR(IF(INDEX(CODIFICACION!$E$2:$E$500,MATCH("D7.27|"&amp;CI53,CODIFICACION!$F$2:$F$500,0))="sin dato","",INDEX(CODIFICACION!$E$2:$E$500,MATCH("D7.27|"&amp;CI53,CODIFICACION!$F$2:$F$500,0))),"⚠"))</f>
        <v/>
      </c>
      <c r="BE53" t="str">
        <f>IF(CJ53="","",IFERROR(IF(INDEX(CODIFICACION!$E$2:$E$500,MATCH("D7.28|"&amp;CJ53,CODIFICACION!$F$2:$F$500,0))="sin dato","",INDEX(CODIFICACION!$E$2:$E$500,MATCH("D7.28|"&amp;CJ53,CODIFICACION!$F$2:$F$500,0))),"⚠"))</f>
        <v/>
      </c>
      <c r="BF53" t="str">
        <f>IF(CK53="","",IFERROR(IF(INDEX(CODIFICACION!$E$2:$E$500,MATCH("D7.28b|"&amp;CK53,CODIFICACION!$F$2:$F$500,0))="sin dato","",INDEX(CODIFICACION!$E$2:$E$500,MATCH("D7.28b|"&amp;CK53,CODIFICACION!$F$2:$F$500,0))),"⚠"))</f>
        <v/>
      </c>
      <c r="BG53" t="str">
        <f t="shared" si="35"/>
        <v/>
      </c>
      <c r="BH53" t="str">
        <f>IF(CM53="","",IFERROR(IF(INDEX(CODIFICACION!$E$2:$E$500,MATCH("D7.26a|"&amp;CM53,CODIFICACION!$F$2:$F$500,0))="sin dato","",INDEX(CODIFICACION!$E$2:$E$500,MATCH("D7.26a|"&amp;CM53,CODIFICACION!$F$2:$F$500,0))),"⚠"))</f>
        <v/>
      </c>
      <c r="BI53" t="str">
        <f>IF(CN53="","",IFERROR(IF(INDEX(CODIFICACION!$E$2:$E$500,MATCH("D7.26b|"&amp;CN53,CODIFICACION!$F$2:$F$500,0))="sin dato","",INDEX(CODIFICACION!$E$2:$E$500,MATCH("D7.26b|"&amp;CN53,CODIFICACION!$F$2:$F$500,0))),"⚠"))</f>
        <v/>
      </c>
      <c r="BJ53" t="str">
        <f t="shared" si="36"/>
        <v/>
      </c>
      <c r="BK53" t="str">
        <f t="shared" si="37"/>
        <v/>
      </c>
      <c r="BL53" t="str">
        <f>IF(CQ53="","",IFERROR(IF(INDEX(CODIFICACION!$E$2:$E$500,MATCH("D8.31|"&amp;CQ53,CODIFICACION!$F$2:$F$500,0))="sin dato","",INDEX(CODIFICACION!$E$2:$E$500,MATCH("D8.31|"&amp;CQ53,CODIFICACION!$F$2:$F$500,0))),"⚠"))</f>
        <v/>
      </c>
      <c r="BM53" t="str">
        <f>IF(CR53="","",IFERROR(IF(INDEX(CODIFICACION!$E$2:$E$500,MATCH("D8.32|"&amp;CR53,CODIFICACION!$F$2:$F$500,0))="sin dato","",INDEX(CODIFICACION!$E$2:$E$500,MATCH("D8.32|"&amp;CR53,CODIFICACION!$F$2:$F$500,0))),"⚠"))</f>
        <v/>
      </c>
      <c r="BN53" t="str">
        <f>IF(CS53="","",IFERROR(IF(INDEX(CODIFICACION!$E$2:$E$500,MATCH("D9.33|"&amp;CS53,CODIFICACION!$F$2:$F$500,0))="sin dato","",INDEX(CODIFICACION!$E$2:$E$500,MATCH("D9.33|"&amp;CS53,CODIFICACION!$F$2:$F$500,0))),"⚠"))</f>
        <v/>
      </c>
      <c r="BO53" t="str">
        <f>IF(CT53="","",IFERROR(IF(INDEX(CODIFICACION!$E$2:$E$500,MATCH("D9.34|"&amp;CT53,CODIFICACION!$F$2:$F$500,0))="sin dato","",INDEX(CODIFICACION!$E$2:$E$500,MATCH("D9.34|"&amp;CT53,CODIFICACION!$F$2:$F$500,0))),"⚠"))</f>
        <v/>
      </c>
      <c r="BP53" t="str">
        <f>IF(CU53="","",IFERROR(IF(INDEX(CODIFICACION!$E$2:$E$500,MATCH("D9.35|"&amp;CU53,CODIFICACION!$F$2:$F$500,0))="sin dato","",INDEX(CODIFICACION!$E$2:$E$500,MATCH("D9.35|"&amp;CU53,CODIFICACION!$F$2:$F$500,0))),"⚠"))</f>
        <v/>
      </c>
      <c r="BQ53" t="str">
        <f>IF(CV53="","",IFERROR(IF(INDEX(CODIFICACION!$E$2:$E$500,MATCH("D10.36|"&amp;CV53,CODIFICACION!$F$2:$F$500,0))="sin dato","",INDEX(CODIFICACION!$E$2:$E$500,MATCH("D10.36|"&amp;CV53,CODIFICACION!$F$2:$F$500,0))),"⚠"))</f>
        <v/>
      </c>
      <c r="BR53" t="str">
        <f>IF(CW53="","",IFERROR(IF(INDEX(CODIFICACION!$E$2:$E$500,MATCH("D10.37|"&amp;CW53,CODIFICACION!$F$2:$F$500,0))="sin dato","",INDEX(CODIFICACION!$E$2:$E$500,MATCH("D10.37|"&amp;CW53,CODIFICACION!$F$2:$F$500,0))),"⚠"))</f>
        <v/>
      </c>
      <c r="BS53" t="str">
        <f>IF(CX53="","",IFERROR(IF(INDEX(CODIFICACION!$E$2:$E$500,MATCH("D10.36a|"&amp;CX53,CODIFICACION!$F$2:$F$500,0))="sin dato","",INDEX(CODIFICACION!$E$2:$E$500,MATCH("D10.36a|"&amp;CX53,CODIFICACION!$F$2:$F$500,0))),"⚠"))</f>
        <v/>
      </c>
      <c r="BT53" t="str">
        <f t="shared" si="38"/>
        <v/>
      </c>
      <c r="BU53" t="str">
        <f>IF(DA53="","",IFERROR(IF(INDEX(CODIFICACION!$E$2:$E$500,MATCH("D11.39a|"&amp;DA53,CODIFICACION!$F$2:$F$500,0))="sin dato","",INDEX(CODIFICACION!$E$2:$E$500,MATCH("D11.39a|"&amp;DA53,CODIFICACION!$F$2:$F$500,0))),"⚠"))</f>
        <v/>
      </c>
      <c r="BV53" t="str">
        <f>IF(DB53="","",IFERROR(IF(INDEX(CODIFICACION!$E$2:$E$500,MATCH("D12.42|"&amp;DB53,CODIFICACION!$F$2:$F$500,0))="sin dato","",INDEX(CODIFICACION!$E$2:$E$500,MATCH("D12.42|"&amp;DB53,CODIFICACION!$F$2:$F$500,0))),"⚠"))</f>
        <v/>
      </c>
      <c r="BW53" t="str">
        <f>IF(DC53="","",IFERROR(IF(INDEX(CODIFICACION!$E$2:$E$500,MATCH("D13.45|"&amp;DC53,CODIFICACION!$F$2:$F$500,0))="sin dato","",INDEX(CODIFICACION!$E$2:$E$500,MATCH("D13.45|"&amp;DC53,CODIFICACION!$F$2:$F$500,0))),"⚠"))</f>
        <v/>
      </c>
      <c r="BX53" t="str">
        <f>IF(DD53="","",IFERROR(IF(INDEX(CODIFICACION!$E$2:$E$500,MATCH("D14.51|"&amp;DD53,CODIFICACION!$F$2:$F$500,0))="sin dato","",INDEX(CODIFICACION!$E$2:$E$500,MATCH("D14.51|"&amp;DD53,CODIFICACION!$F$2:$F$500,0))),"⚠"))</f>
        <v/>
      </c>
      <c r="BY53" t="str">
        <f>IF(DE53="","",IFERROR(IF(INDEX(CODIFICACION!$E$2:$E$500,MATCH("D15.58|"&amp;DE53,CODIFICACION!$F$2:$F$500,0))="sin dato","",INDEX(CODIFICACION!$E$2:$E$500,MATCH("D15.58|"&amp;DE53,CODIFICACION!$F$2:$F$500,0))),"⚠"))</f>
        <v/>
      </c>
      <c r="BZ53" t="str">
        <f>IF(DF53="","",IFERROR(IF(INDEX(CODIFICACION!$E$2:$E$500,MATCH("PP1|"&amp;DF53,CODIFICACION!$F$2:$F$500,0))="sin dato","",INDEX(CODIFICACION!$E$2:$E$500,MATCH("PP1|"&amp;DF53,CODIFICACION!$F$2:$F$500,0))),"⚠"))</f>
        <v/>
      </c>
      <c r="CA53" t="str">
        <f>IF(DG53="","",IFERROR(IF(INDEX(CODIFICACION!$E$2:$E$500,MATCH("PP2|"&amp;DG53,CODIFICACION!$F$2:$F$500,0))="sin dato","",INDEX(CODIFICACION!$E$2:$E$500,MATCH("PP2|"&amp;DG53,CODIFICACION!$F$2:$F$500,0))),"⚠"))</f>
        <v/>
      </c>
      <c r="CB53" t="str">
        <f t="shared" si="39"/>
        <v/>
      </c>
      <c r="CC53" t="str">
        <f t="shared" ca="1" si="40"/>
        <v/>
      </c>
      <c r="CD53" t="str">
        <f t="shared" ca="1" si="41"/>
        <v/>
      </c>
      <c r="CE53" t="str">
        <f t="shared" si="42"/>
        <v/>
      </c>
      <c r="CF53" t="str">
        <f t="shared" si="43"/>
        <v/>
      </c>
      <c r="CG53" t="str">
        <f t="shared" ca="1" si="44"/>
        <v/>
      </c>
      <c r="CH53" t="str">
        <f t="shared" ca="1" si="45"/>
        <v/>
      </c>
      <c r="CI53" t="str">
        <f t="shared" si="46"/>
        <v/>
      </c>
      <c r="CJ53" t="str">
        <f t="shared" si="47"/>
        <v/>
      </c>
      <c r="CK53" t="str">
        <f t="shared" si="48"/>
        <v/>
      </c>
      <c r="CL53" t="str">
        <f t="shared" si="49"/>
        <v/>
      </c>
    </row>
    <row r="54" spans="1:90" x14ac:dyDescent="0.3">
      <c r="A54">
        <f>CAPTURA!A54</f>
        <v>20493959574</v>
      </c>
      <c r="B54">
        <f>CAPTURA!C54</f>
        <v>0</v>
      </c>
      <c r="C54" t="str">
        <f t="shared" si="25"/>
        <v/>
      </c>
      <c r="D54" t="str">
        <f>IF(AE54="","",IFERROR(IF(INDEX(CODIFICACION!$E$2:$E$500,MATCH("P8|"&amp;AE54,CODIFICACION!$F$2:$F$500,0))="sin dato","",INDEX(CODIFICACION!$E$2:$E$500,MATCH("P8|"&amp;AE54,CODIFICACION!$F$2:$F$500,0))),"⚠"))</f>
        <v/>
      </c>
      <c r="E54" t="str">
        <f>IF(AG54="","",IFERROR(IF(INDEX(CODIFICACION!$E$2:$E$500,MATCH("P10|"&amp;AG54,CODIFICACION!$F$2:$F$500,0))="sin dato","",INDEX(CODIFICACION!$E$2:$E$500,MATCH("P10|"&amp;AG54,CODIFICACION!$F$2:$F$500,0))),"⚠"))</f>
        <v/>
      </c>
      <c r="F54" t="str">
        <f>IF(AJ54="","",IFERROR(IF(INDEX(CODIFICACION!$E$2:$E$500,MATCH("P13|"&amp;AJ54,CODIFICACION!$F$2:$F$500,0))="sin dato","",INDEX(CODIFICACION!$E$2:$E$500,MATCH("P13|"&amp;AJ54,CODIFICACION!$F$2:$F$500,0))),"⚠"))</f>
        <v/>
      </c>
      <c r="G54" t="str">
        <f>IF(AK54="","",IFERROR(IF(INDEX(CODIFICACION!$E$2:$E$500,MATCH("P14|"&amp;AK54,CODIFICACION!$F$2:$F$500,0))="sin dato","",INDEX(CODIFICACION!$E$2:$E$500,MATCH("P14|"&amp;AK54,CODIFICACION!$F$2:$F$500,0))),"⚠"))</f>
        <v/>
      </c>
      <c r="H54" t="str">
        <f>IF(AL54="","",IFERROR(IF(INDEX(CODIFICACION!$E$2:$E$500,MATCH("D1.1|"&amp;AL54,CODIFICACION!$F$2:$F$500,0))="sin dato","",INDEX(CODIFICACION!$E$2:$E$500,MATCH("D1.1|"&amp;AL54,CODIFICACION!$F$2:$F$500,0))),"⚠"))</f>
        <v/>
      </c>
      <c r="I54" t="str">
        <f>IF(AN54="","",IFERROR(IF(INDEX(CODIFICACION!$E$2:$E$500,MATCH("D1.3|"&amp;AN54,CODIFICACION!$F$2:$F$500,0))="sin dato","",INDEX(CODIFICACION!$E$2:$E$500,MATCH("D1.3|"&amp;AN54,CODIFICACION!$F$2:$F$500,0))),"⚠"))</f>
        <v/>
      </c>
      <c r="J54" t="str">
        <f>IF(AO54="","",IFERROR(IF(INDEX(CODIFICACION!$E$2:$E$500,MATCH("D1.4|"&amp;AO54,CODIFICACION!$F$2:$F$500,0))="sin dato","",INDEX(CODIFICACION!$E$2:$E$500,MATCH("D1.4|"&amp;AO54,CODIFICACION!$F$2:$F$500,0))),"⚠"))</f>
        <v/>
      </c>
      <c r="K54" t="str">
        <f>IF(AP54="","",IFERROR(IF(INDEX(CODIFICACION!$E$2:$E$500,MATCH("D1.3a|"&amp;AP54,CODIFICACION!$F$2:$F$500,0))="sin dato","",INDEX(CODIFICACION!$E$2:$E$500,MATCH("D1.3a|"&amp;AP54,CODIFICACION!$F$2:$F$500,0))),"⚠"))</f>
        <v/>
      </c>
      <c r="L54" t="str">
        <f t="shared" si="26"/>
        <v/>
      </c>
      <c r="M54" t="str">
        <f t="shared" si="27"/>
        <v/>
      </c>
      <c r="N54" t="str">
        <f t="shared" si="28"/>
        <v/>
      </c>
      <c r="O54" t="str">
        <f>IF(AT54="","",IFERROR(IF(INDEX(CODIFICACION!$E$2:$E$500,MATCH("D2.8|"&amp;AT54,CODIFICACION!$F$2:$F$500,0))="sin dato","",INDEX(CODIFICACION!$E$2:$E$500,MATCH("D2.8|"&amp;AT54,CODIFICACION!$F$2:$F$500,0))),"⚠"))</f>
        <v/>
      </c>
      <c r="P54" t="str">
        <f>IF(AU54="","",IFERROR(IF(INDEX(CODIFICACION!$E$2:$E$500,MATCH("D2.9|"&amp;AU54,CODIFICACION!$F$2:$F$500,0))="sin dato","",INDEX(CODIFICACION!$E$2:$E$500,MATCH("D2.9|"&amp;AU54,CODIFICACION!$F$2:$F$500,0))),"⚠"))</f>
        <v/>
      </c>
      <c r="Q54" t="str">
        <f>IF(AV54="","",IFERROR(IF(INDEX(CODIFICACION!$E$2:$E$500,MATCH("D2.10|"&amp;AV54,CODIFICACION!$F$2:$F$500,0))="sin dato","",INDEX(CODIFICACION!$E$2:$E$500,MATCH("D2.10|"&amp;AV54,CODIFICACION!$F$2:$F$500,0))),"⚠"))</f>
        <v/>
      </c>
      <c r="R54" t="str">
        <f>IF(AW54="","",IFERROR(IF(INDEX(CODIFICACION!$E$2:$E$500,MATCH("D2.5a|"&amp;AW54,CODIFICACION!$F$2:$F$500,0))="sin dato","",INDEX(CODIFICACION!$E$2:$E$500,MATCH("D2.5a|"&amp;AW54,CODIFICACION!$F$2:$F$500,0))),"⚠"))</f>
        <v/>
      </c>
      <c r="S54" t="str">
        <f ca="1">IF(AX54="","",IFERROR(IF(INDEX(CODIFICACION!$E$2:$E$500,MATCH("D2.5b|"&amp;AX54,CODIFICACION!$F$2:$F$500,0))="sin dato","",INDEX(CODIFICACION!$E$2:$E$500,MATCH("D2.5b|"&amp;AX54,CODIFICACION!$F$2:$F$500,0))),"⚠"))</f>
        <v/>
      </c>
      <c r="T54" t="str">
        <f t="shared" ca="1" si="29"/>
        <v/>
      </c>
      <c r="U54" t="str">
        <f>IF(AZ54="","",IFERROR(IF(INDEX(CODIFICACION!$E$2:$E$500,MATCH("D3.12|"&amp;AZ54,CODIFICACION!$F$2:$F$500,0))="sin dato","",INDEX(CODIFICACION!$E$2:$E$500,MATCH("D3.12|"&amp;AZ54,CODIFICACION!$F$2:$F$500,0))),"⚠"))</f>
        <v/>
      </c>
      <c r="V54" t="str">
        <f t="shared" si="30"/>
        <v/>
      </c>
      <c r="W54" t="str">
        <f ca="1">IF(BB54="","",IFERROR(IF(INDEX(CODIFICACION!$E$2:$E$500,MATCH("D3.14|"&amp;BB54,CODIFICACION!$F$2:$F$500,0))="sin dato","",INDEX(CODIFICACION!$E$2:$E$500,MATCH("D3.14|"&amp;BB54,CODIFICACION!$F$2:$F$500,0))),"⚠"))</f>
        <v/>
      </c>
      <c r="X54" t="str">
        <f ca="1">IF(BC54="","",IFERROR(IF(INDEX(CODIFICACION!$E$2:$E$500,MATCH("D3.14a|"&amp;BC54,CODIFICACION!$F$2:$F$500,0))="sin dato","",INDEX(CODIFICACION!$E$2:$E$500,MATCH("D3.14a|"&amp;BC54,CODIFICACION!$F$2:$F$500,0))),"⚠"))</f>
        <v/>
      </c>
      <c r="Y54" t="str">
        <f>IF(BD54="","",IFERROR(IF(INDEX(CODIFICACION!$E$2:$E$500,MATCH("D3.14b|"&amp;BD54,CODIFICACION!$F$2:$F$500,0))="sin dato","",INDEX(CODIFICACION!$E$2:$E$500,MATCH("D3.14b|"&amp;BD54,CODIFICACION!$F$2:$F$500,0))),"⚠"))</f>
        <v/>
      </c>
      <c r="Z54" t="str">
        <f>IF(BE54="","",IFERROR(IF(INDEX(CODIFICACION!$E$2:$E$500,MATCH("D3.14c|"&amp;BE54,CODIFICACION!$F$2:$F$500,0))="sin dato","",INDEX(CODIFICACION!$E$2:$E$500,MATCH("D3.14c|"&amp;BE54,CODIFICACION!$F$2:$F$500,0))),"⚠"))</f>
        <v/>
      </c>
      <c r="AA54" t="str">
        <f>IF(BF54="","",IFERROR(IF(INDEX(CODIFICACION!$E$2:$E$500,MATCH("D3.14d|"&amp;BF54,CODIFICACION!$F$2:$F$500,0))="sin dato","",INDEX(CODIFICACION!$E$2:$E$500,MATCH("D3.14d|"&amp;BF54,CODIFICACION!$F$2:$F$500,0))),"⚠"))</f>
        <v/>
      </c>
      <c r="AB54" t="str">
        <f>IF(BG54="","",IFERROR(IF(INDEX(CODIFICACION!$E$2:$E$500,MATCH("D3.14e|"&amp;BG54,CODIFICACION!$F$2:$F$500,0))="sin dato","",INDEX(CODIFICACION!$E$2:$E$500,MATCH("D3.14e|"&amp;BG54,CODIFICACION!$F$2:$F$500,0))),"⚠"))</f>
        <v/>
      </c>
      <c r="AC54" t="str">
        <f>IF(BH54="","",IFERROR(IF(INDEX(CODIFICACION!$E$2:$E$500,MATCH("D3.14f|"&amp;BH54,CODIFICACION!$F$2:$F$500,0))="sin dato","",INDEX(CODIFICACION!$E$2:$E$500,MATCH("D3.14f|"&amp;BH54,CODIFICACION!$F$2:$F$500,0))),"⚠"))</f>
        <v/>
      </c>
      <c r="AD54" t="str">
        <f>IF(BI54="","",IFERROR(IF(INDEX(CODIFICACION!$E$2:$E$500,MATCH("D3.14g|"&amp;BI54,CODIFICACION!$F$2:$F$500,0))="sin dato","",INDEX(CODIFICACION!$E$2:$E$500,MATCH("D3.14g|"&amp;BI54,CODIFICACION!$F$2:$F$500,0))),"⚠"))</f>
        <v/>
      </c>
      <c r="AE54" t="str">
        <f>IF(BJ54="","",IFERROR(IF(INDEX(CODIFICACION!$E$2:$E$500,MATCH("D3.14h|"&amp;BJ54,CODIFICACION!$F$2:$F$500,0))="sin dato","",INDEX(CODIFICACION!$E$2:$E$500,MATCH("D3.14h|"&amp;BJ54,CODIFICACION!$F$2:$F$500,0))),"⚠"))</f>
        <v/>
      </c>
      <c r="AF54" t="str">
        <f>IF(BK54="","",IFERROR(IF(INDEX(CODIFICACION!$E$2:$E$500,MATCH("D3.14i|"&amp;BK54,CODIFICACION!$F$2:$F$500,0))="sin dato","",INDEX(CODIFICACION!$E$2:$E$500,MATCH("D3.14i|"&amp;BK54,CODIFICACION!$F$2:$F$500,0))),"⚠"))</f>
        <v/>
      </c>
      <c r="AG54" t="str">
        <f>IF(BL54="","",IFERROR(IF(INDEX(CODIFICACION!$E$2:$E$500,MATCH("D4.15|"&amp;BL54,CODIFICACION!$F$2:$F$500,0))="sin dato","",INDEX(CODIFICACION!$E$2:$E$500,MATCH("D4.15|"&amp;BL54,CODIFICACION!$F$2:$F$500,0))),"⚠"))</f>
        <v/>
      </c>
      <c r="AH54" t="str">
        <f t="shared" si="31"/>
        <v/>
      </c>
      <c r="AI54" t="str">
        <f>IF(BN54="","",IFERROR(IF(INDEX(CODIFICACION!$E$2:$E$500,MATCH("D4.17|"&amp;BN54,CODIFICACION!$F$2:$F$500,0))="sin dato","",INDEX(CODIFICACION!$E$2:$E$500,MATCH("D4.17|"&amp;BN54,CODIFICACION!$F$2:$F$500,0))),"⚠"))</f>
        <v/>
      </c>
      <c r="AJ54" t="str">
        <f>IF(BO54="","",IFERROR(IF(INDEX(CODIFICACION!$E$2:$E$500,MATCH("D4.15a|"&amp;BO54,CODIFICACION!$F$2:$F$500,0))="sin dato","",INDEX(CODIFICACION!$E$2:$E$500,MATCH("D4.15a|"&amp;BO54,CODIFICACION!$F$2:$F$500,0))),"⚠"))</f>
        <v/>
      </c>
      <c r="AK54" t="str">
        <f t="shared" si="32"/>
        <v/>
      </c>
      <c r="AL54" t="str">
        <f t="shared" si="33"/>
        <v/>
      </c>
      <c r="AM54" t="str">
        <f>IF(BR54="","",IFERROR(IF(INDEX(CODIFICACION!$E$2:$E$500,MATCH("D5.18b|"&amp;BR54,CODIFICACION!$F$2:$F$500,0))="sin dato","",INDEX(CODIFICACION!$E$2:$E$500,MATCH("D5.18b|"&amp;BR54,CODIFICACION!$F$2:$F$500,0))),"⚠"))</f>
        <v/>
      </c>
      <c r="AN54" t="str">
        <f>IF(BS54="","",IFERROR(IF(INDEX(CODIFICACION!$E$2:$E$500,MATCH("D5.19|"&amp;BS54,CODIFICACION!$F$2:$F$500,0))="sin dato","",INDEX(CODIFICACION!$E$2:$E$500,MATCH("D5.19|"&amp;BS54,CODIFICACION!$F$2:$F$500,0))),"⚠"))</f>
        <v/>
      </c>
      <c r="AO54" t="str">
        <f t="shared" si="34"/>
        <v/>
      </c>
      <c r="AP54" t="str">
        <f>IF(BU54="","",IFERROR(IF(INDEX(CODIFICACION!$E$2:$E$500,MATCH("D5.20|"&amp;BU54,CODIFICACION!$F$2:$F$500,0))="sin dato","",INDEX(CODIFICACION!$E$2:$E$500,MATCH("D5.20|"&amp;BU54,CODIFICACION!$F$2:$F$500,0))),"⚠"))</f>
        <v/>
      </c>
      <c r="AQ54" t="str">
        <f>IF(BV54="","",IFERROR(IF(INDEX(CODIFICACION!$E$2:$E$500,MATCH("D5.21|"&amp;BV54,CODIFICACION!$F$2:$F$500,0))="sin dato","",INDEX(CODIFICACION!$E$2:$E$500,MATCH("D5.21|"&amp;BV54,CODIFICACION!$F$2:$F$500,0))),"⚠"))</f>
        <v/>
      </c>
      <c r="AR54" t="str">
        <f>IF(BW54="","",IFERROR(IF(INDEX(CODIFICACION!$E$2:$E$500,MATCH("D5.21a|"&amp;BW54,CODIFICACION!$F$2:$F$500,0))="sin dato","",INDEX(CODIFICACION!$E$2:$E$500,MATCH("D5.21a|"&amp;BW54,CODIFICACION!$F$2:$F$500,0))),"⚠"))</f>
        <v/>
      </c>
      <c r="AS54" t="str">
        <f>IF(BX54="","",IFERROR(IF(INDEX(CODIFICACION!$E$2:$E$500,MATCH("D5.21b|"&amp;BX54,CODIFICACION!$F$2:$F$500,0))="sin dato","",INDEX(CODIFICACION!$E$2:$E$500,MATCH("D5.21b|"&amp;BX54,CODIFICACION!$F$2:$F$500,0))),"⚠"))</f>
        <v/>
      </c>
      <c r="AT54" t="str">
        <f>IF(BY54="","",IFERROR(IF(INDEX(CODIFICACION!$E$2:$E$500,MATCH("D6.22|"&amp;BY54,CODIFICACION!$F$2:$F$500,0))="sin dato","",INDEX(CODIFICACION!$E$2:$E$500,MATCH("D6.22|"&amp;BY54,CODIFICACION!$F$2:$F$500,0))),"⚠"))</f>
        <v/>
      </c>
      <c r="AU54" t="str">
        <f>IF(BZ54="","",IFERROR(IF(INDEX(CODIFICACION!$E$2:$E$500,MATCH("D6.22a|"&amp;BZ54,CODIFICACION!$F$2:$F$500,0))="sin dato","",INDEX(CODIFICACION!$E$2:$E$500,MATCH("D6.22a|"&amp;BZ54,CODIFICACION!$F$2:$F$500,0))),"⚠"))</f>
        <v/>
      </c>
      <c r="AV54" t="str">
        <f>IF(CA54="","",IFERROR(IF(INDEX(CODIFICACION!$E$2:$E$500,MATCH("D6.22b|"&amp;CA54,CODIFICACION!$F$2:$F$500,0))="sin dato","",INDEX(CODIFICACION!$E$2:$E$500,MATCH("D6.22b|"&amp;CA54,CODIFICACION!$F$2:$F$500,0))),"⚠"))</f>
        <v/>
      </c>
      <c r="AW54" t="str">
        <f>IF(CB54="","",IFERROR(IF(INDEX(CODIFICACION!$E$2:$E$500,MATCH("D6.23|"&amp;CB54,CODIFICACION!$F$2:$F$500,0))="sin dato","",INDEX(CODIFICACION!$E$2:$E$500,MATCH("D6.23|"&amp;CB54,CODIFICACION!$F$2:$F$500,0))),"⚠"))</f>
        <v/>
      </c>
      <c r="AX54" t="str">
        <f ca="1">IF(CC54="","",IFERROR(IF(INDEX(CODIFICACION!$E$2:$E$500,MATCH("D6.24|"&amp;CC54,CODIFICACION!$F$2:$F$500,0))="sin dato","",INDEX(CODIFICACION!$E$2:$E$500,MATCH("D6.24|"&amp;CC54,CODIFICACION!$F$2:$F$500,0))),"⚠"))</f>
        <v/>
      </c>
      <c r="AY54" t="str">
        <f ca="1">IF(CD54="","",IFERROR(IF(INDEX(CODIFICACION!$E$2:$E$500,MATCH("D6.25|"&amp;CD54,CODIFICACION!$F$2:$F$500,0))="sin dato","",INDEX(CODIFICACION!$E$2:$E$500,MATCH("D6.25|"&amp;CD54,CODIFICACION!$F$2:$F$500,0))),"⚠"))</f>
        <v/>
      </c>
      <c r="AZ54" t="str">
        <f>IF(CE54="","",IFERROR(IF(INDEX(CODIFICACION!$E$2:$E$500,MATCH("D6.25a|"&amp;CE54,CODIFICACION!$F$2:$F$500,0))="sin dato","",INDEX(CODIFICACION!$E$2:$E$500,MATCH("D6.25a|"&amp;CE54,CODIFICACION!$F$2:$F$500,0))),"⚠"))</f>
        <v/>
      </c>
      <c r="BA54" t="str">
        <f>IF(CF54="","",IFERROR(IF(INDEX(CODIFICACION!$E$2:$E$500,MATCH("D6.25b|"&amp;CF54,CODIFICACION!$F$2:$F$500,0))="sin dato","",INDEX(CODIFICACION!$E$2:$E$500,MATCH("D6.25b|"&amp;CF54,CODIFICACION!$F$2:$F$500,0))),"⚠"))</f>
        <v/>
      </c>
      <c r="BB54" t="str">
        <f ca="1">IF(CG54="","",IFERROR(IF(INDEX(CODIFICACION!$E$2:$E$500,MATCH("D6.22c|"&amp;CG54,CODIFICACION!$F$2:$F$500,0))="sin dato","",INDEX(CODIFICACION!$E$2:$E$500,MATCH("D6.22c|"&amp;CG54,CODIFICACION!$F$2:$F$500,0))),"⚠"))</f>
        <v/>
      </c>
      <c r="BC54" t="str">
        <f ca="1">IF(CH54="","",IFERROR(IF(INDEX(CODIFICACION!$E$2:$E$500,MATCH("D7.26|"&amp;CH54,CODIFICACION!$F$2:$F$500,0))="sin dato","",INDEX(CODIFICACION!$E$2:$E$500,MATCH("D7.26|"&amp;CH54,CODIFICACION!$F$2:$F$500,0))),"⚠"))</f>
        <v/>
      </c>
      <c r="BD54" t="str">
        <f>IF(CI54="","",IFERROR(IF(INDEX(CODIFICACION!$E$2:$E$500,MATCH("D7.27|"&amp;CI54,CODIFICACION!$F$2:$F$500,0))="sin dato","",INDEX(CODIFICACION!$E$2:$E$500,MATCH("D7.27|"&amp;CI54,CODIFICACION!$F$2:$F$500,0))),"⚠"))</f>
        <v/>
      </c>
      <c r="BE54" t="str">
        <f>IF(CJ54="","",IFERROR(IF(INDEX(CODIFICACION!$E$2:$E$500,MATCH("D7.28|"&amp;CJ54,CODIFICACION!$F$2:$F$500,0))="sin dato","",INDEX(CODIFICACION!$E$2:$E$500,MATCH("D7.28|"&amp;CJ54,CODIFICACION!$F$2:$F$500,0))),"⚠"))</f>
        <v/>
      </c>
      <c r="BF54" t="str">
        <f>IF(CK54="","",IFERROR(IF(INDEX(CODIFICACION!$E$2:$E$500,MATCH("D7.28b|"&amp;CK54,CODIFICACION!$F$2:$F$500,0))="sin dato","",INDEX(CODIFICACION!$E$2:$E$500,MATCH("D7.28b|"&amp;CK54,CODIFICACION!$F$2:$F$500,0))),"⚠"))</f>
        <v/>
      </c>
      <c r="BG54" t="str">
        <f t="shared" si="35"/>
        <v/>
      </c>
      <c r="BH54" t="str">
        <f>IF(CM54="","",IFERROR(IF(INDEX(CODIFICACION!$E$2:$E$500,MATCH("D7.26a|"&amp;CM54,CODIFICACION!$F$2:$F$500,0))="sin dato","",INDEX(CODIFICACION!$E$2:$E$500,MATCH("D7.26a|"&amp;CM54,CODIFICACION!$F$2:$F$500,0))),"⚠"))</f>
        <v/>
      </c>
      <c r="BI54" t="str">
        <f>IF(CN54="","",IFERROR(IF(INDEX(CODIFICACION!$E$2:$E$500,MATCH("D7.26b|"&amp;CN54,CODIFICACION!$F$2:$F$500,0))="sin dato","",INDEX(CODIFICACION!$E$2:$E$500,MATCH("D7.26b|"&amp;CN54,CODIFICACION!$F$2:$F$500,0))),"⚠"))</f>
        <v/>
      </c>
      <c r="BJ54" t="str">
        <f t="shared" si="36"/>
        <v/>
      </c>
      <c r="BK54" t="str">
        <f t="shared" si="37"/>
        <v/>
      </c>
      <c r="BL54" t="str">
        <f>IF(CQ54="","",IFERROR(IF(INDEX(CODIFICACION!$E$2:$E$500,MATCH("D8.31|"&amp;CQ54,CODIFICACION!$F$2:$F$500,0))="sin dato","",INDEX(CODIFICACION!$E$2:$E$500,MATCH("D8.31|"&amp;CQ54,CODIFICACION!$F$2:$F$500,0))),"⚠"))</f>
        <v/>
      </c>
      <c r="BM54" t="str">
        <f>IF(CR54="","",IFERROR(IF(INDEX(CODIFICACION!$E$2:$E$500,MATCH("D8.32|"&amp;CR54,CODIFICACION!$F$2:$F$500,0))="sin dato","",INDEX(CODIFICACION!$E$2:$E$500,MATCH("D8.32|"&amp;CR54,CODIFICACION!$F$2:$F$500,0))),"⚠"))</f>
        <v/>
      </c>
      <c r="BN54" t="str">
        <f>IF(CS54="","",IFERROR(IF(INDEX(CODIFICACION!$E$2:$E$500,MATCH("D9.33|"&amp;CS54,CODIFICACION!$F$2:$F$500,0))="sin dato","",INDEX(CODIFICACION!$E$2:$E$500,MATCH("D9.33|"&amp;CS54,CODIFICACION!$F$2:$F$500,0))),"⚠"))</f>
        <v/>
      </c>
      <c r="BO54" t="str">
        <f>IF(CT54="","",IFERROR(IF(INDEX(CODIFICACION!$E$2:$E$500,MATCH("D9.34|"&amp;CT54,CODIFICACION!$F$2:$F$500,0))="sin dato","",INDEX(CODIFICACION!$E$2:$E$500,MATCH("D9.34|"&amp;CT54,CODIFICACION!$F$2:$F$500,0))),"⚠"))</f>
        <v/>
      </c>
      <c r="BP54" t="str">
        <f>IF(CU54="","",IFERROR(IF(INDEX(CODIFICACION!$E$2:$E$500,MATCH("D9.35|"&amp;CU54,CODIFICACION!$F$2:$F$500,0))="sin dato","",INDEX(CODIFICACION!$E$2:$E$500,MATCH("D9.35|"&amp;CU54,CODIFICACION!$F$2:$F$500,0))),"⚠"))</f>
        <v/>
      </c>
      <c r="BQ54" t="str">
        <f>IF(CV54="","",IFERROR(IF(INDEX(CODIFICACION!$E$2:$E$500,MATCH("D10.36|"&amp;CV54,CODIFICACION!$F$2:$F$500,0))="sin dato","",INDEX(CODIFICACION!$E$2:$E$500,MATCH("D10.36|"&amp;CV54,CODIFICACION!$F$2:$F$500,0))),"⚠"))</f>
        <v/>
      </c>
      <c r="BR54" t="str">
        <f>IF(CW54="","",IFERROR(IF(INDEX(CODIFICACION!$E$2:$E$500,MATCH("D10.37|"&amp;CW54,CODIFICACION!$F$2:$F$500,0))="sin dato","",INDEX(CODIFICACION!$E$2:$E$500,MATCH("D10.37|"&amp;CW54,CODIFICACION!$F$2:$F$500,0))),"⚠"))</f>
        <v/>
      </c>
      <c r="BS54" t="str">
        <f>IF(CX54="","",IFERROR(IF(INDEX(CODIFICACION!$E$2:$E$500,MATCH("D10.36a|"&amp;CX54,CODIFICACION!$F$2:$F$500,0))="sin dato","",INDEX(CODIFICACION!$E$2:$E$500,MATCH("D10.36a|"&amp;CX54,CODIFICACION!$F$2:$F$500,0))),"⚠"))</f>
        <v/>
      </c>
      <c r="BT54" t="str">
        <f t="shared" si="38"/>
        <v/>
      </c>
      <c r="BU54" t="str">
        <f>IF(DA54="","",IFERROR(IF(INDEX(CODIFICACION!$E$2:$E$500,MATCH("D11.39a|"&amp;DA54,CODIFICACION!$F$2:$F$500,0))="sin dato","",INDEX(CODIFICACION!$E$2:$E$500,MATCH("D11.39a|"&amp;DA54,CODIFICACION!$F$2:$F$500,0))),"⚠"))</f>
        <v/>
      </c>
      <c r="BV54" t="str">
        <f>IF(DB54="","",IFERROR(IF(INDEX(CODIFICACION!$E$2:$E$500,MATCH("D12.42|"&amp;DB54,CODIFICACION!$F$2:$F$500,0))="sin dato","",INDEX(CODIFICACION!$E$2:$E$500,MATCH("D12.42|"&amp;DB54,CODIFICACION!$F$2:$F$500,0))),"⚠"))</f>
        <v/>
      </c>
      <c r="BW54" t="str">
        <f>IF(DC54="","",IFERROR(IF(INDEX(CODIFICACION!$E$2:$E$500,MATCH("D13.45|"&amp;DC54,CODIFICACION!$F$2:$F$500,0))="sin dato","",INDEX(CODIFICACION!$E$2:$E$500,MATCH("D13.45|"&amp;DC54,CODIFICACION!$F$2:$F$500,0))),"⚠"))</f>
        <v/>
      </c>
      <c r="BX54" t="str">
        <f>IF(DD54="","",IFERROR(IF(INDEX(CODIFICACION!$E$2:$E$500,MATCH("D14.51|"&amp;DD54,CODIFICACION!$F$2:$F$500,0))="sin dato","",INDEX(CODIFICACION!$E$2:$E$500,MATCH("D14.51|"&amp;DD54,CODIFICACION!$F$2:$F$500,0))),"⚠"))</f>
        <v/>
      </c>
      <c r="BY54" t="str">
        <f>IF(DE54="","",IFERROR(IF(INDEX(CODIFICACION!$E$2:$E$500,MATCH("D15.58|"&amp;DE54,CODIFICACION!$F$2:$F$500,0))="sin dato","",INDEX(CODIFICACION!$E$2:$E$500,MATCH("D15.58|"&amp;DE54,CODIFICACION!$F$2:$F$500,0))),"⚠"))</f>
        <v/>
      </c>
      <c r="BZ54" t="str">
        <f>IF(DF54="","",IFERROR(IF(INDEX(CODIFICACION!$E$2:$E$500,MATCH("PP1|"&amp;DF54,CODIFICACION!$F$2:$F$500,0))="sin dato","",INDEX(CODIFICACION!$E$2:$E$500,MATCH("PP1|"&amp;DF54,CODIFICACION!$F$2:$F$500,0))),"⚠"))</f>
        <v/>
      </c>
      <c r="CA54" t="str">
        <f>IF(DG54="","",IFERROR(IF(INDEX(CODIFICACION!$E$2:$E$500,MATCH("PP2|"&amp;DG54,CODIFICACION!$F$2:$F$500,0))="sin dato","",INDEX(CODIFICACION!$E$2:$E$500,MATCH("PP2|"&amp;DG54,CODIFICACION!$F$2:$F$500,0))),"⚠"))</f>
        <v/>
      </c>
      <c r="CB54" t="str">
        <f t="shared" si="39"/>
        <v/>
      </c>
      <c r="CC54" t="str">
        <f t="shared" ca="1" si="40"/>
        <v/>
      </c>
      <c r="CD54" t="str">
        <f t="shared" ca="1" si="41"/>
        <v/>
      </c>
      <c r="CE54" t="str">
        <f t="shared" si="42"/>
        <v/>
      </c>
      <c r="CF54" t="str">
        <f t="shared" si="43"/>
        <v/>
      </c>
      <c r="CG54" t="str">
        <f t="shared" ca="1" si="44"/>
        <v/>
      </c>
      <c r="CH54" t="str">
        <f t="shared" ca="1" si="45"/>
        <v/>
      </c>
      <c r="CI54" t="str">
        <f t="shared" si="46"/>
        <v/>
      </c>
      <c r="CJ54" t="str">
        <f t="shared" si="47"/>
        <v/>
      </c>
      <c r="CK54" t="str">
        <f t="shared" si="48"/>
        <v/>
      </c>
      <c r="CL54" t="str">
        <f t="shared" si="49"/>
        <v/>
      </c>
    </row>
    <row r="55" spans="1:90" x14ac:dyDescent="0.3">
      <c r="A55">
        <f>CAPTURA!A55</f>
        <v>20494126819</v>
      </c>
      <c r="B55">
        <f>CAPTURA!C55</f>
        <v>0</v>
      </c>
      <c r="C55" t="str">
        <f t="shared" si="25"/>
        <v/>
      </c>
      <c r="D55" t="str">
        <f>IF(AE55="","",IFERROR(IF(INDEX(CODIFICACION!$E$2:$E$500,MATCH("P8|"&amp;AE55,CODIFICACION!$F$2:$F$500,0))="sin dato","",INDEX(CODIFICACION!$E$2:$E$500,MATCH("P8|"&amp;AE55,CODIFICACION!$F$2:$F$500,0))),"⚠"))</f>
        <v/>
      </c>
      <c r="E55" t="str">
        <f>IF(AG55="","",IFERROR(IF(INDEX(CODIFICACION!$E$2:$E$500,MATCH("P10|"&amp;AG55,CODIFICACION!$F$2:$F$500,0))="sin dato","",INDEX(CODIFICACION!$E$2:$E$500,MATCH("P10|"&amp;AG55,CODIFICACION!$F$2:$F$500,0))),"⚠"))</f>
        <v/>
      </c>
      <c r="F55" t="str">
        <f>IF(AJ55="","",IFERROR(IF(INDEX(CODIFICACION!$E$2:$E$500,MATCH("P13|"&amp;AJ55,CODIFICACION!$F$2:$F$500,0))="sin dato","",INDEX(CODIFICACION!$E$2:$E$500,MATCH("P13|"&amp;AJ55,CODIFICACION!$F$2:$F$500,0))),"⚠"))</f>
        <v/>
      </c>
      <c r="G55" t="str">
        <f>IF(AK55="","",IFERROR(IF(INDEX(CODIFICACION!$E$2:$E$500,MATCH("P14|"&amp;AK55,CODIFICACION!$F$2:$F$500,0))="sin dato","",INDEX(CODIFICACION!$E$2:$E$500,MATCH("P14|"&amp;AK55,CODIFICACION!$F$2:$F$500,0))),"⚠"))</f>
        <v/>
      </c>
      <c r="H55" t="str">
        <f>IF(AL55="","",IFERROR(IF(INDEX(CODIFICACION!$E$2:$E$500,MATCH("D1.1|"&amp;AL55,CODIFICACION!$F$2:$F$500,0))="sin dato","",INDEX(CODIFICACION!$E$2:$E$500,MATCH("D1.1|"&amp;AL55,CODIFICACION!$F$2:$F$500,0))),"⚠"))</f>
        <v/>
      </c>
      <c r="I55" t="str">
        <f>IF(AN55="","",IFERROR(IF(INDEX(CODIFICACION!$E$2:$E$500,MATCH("D1.3|"&amp;AN55,CODIFICACION!$F$2:$F$500,0))="sin dato","",INDEX(CODIFICACION!$E$2:$E$500,MATCH("D1.3|"&amp;AN55,CODIFICACION!$F$2:$F$500,0))),"⚠"))</f>
        <v/>
      </c>
      <c r="J55" t="str">
        <f>IF(AO55="","",IFERROR(IF(INDEX(CODIFICACION!$E$2:$E$500,MATCH("D1.4|"&amp;AO55,CODIFICACION!$F$2:$F$500,0))="sin dato","",INDEX(CODIFICACION!$E$2:$E$500,MATCH("D1.4|"&amp;AO55,CODIFICACION!$F$2:$F$500,0))),"⚠"))</f>
        <v/>
      </c>
      <c r="K55" t="str">
        <f>IF(AP55="","",IFERROR(IF(INDEX(CODIFICACION!$E$2:$E$500,MATCH("D1.3a|"&amp;AP55,CODIFICACION!$F$2:$F$500,0))="sin dato","",INDEX(CODIFICACION!$E$2:$E$500,MATCH("D1.3a|"&amp;AP55,CODIFICACION!$F$2:$F$500,0))),"⚠"))</f>
        <v/>
      </c>
      <c r="L55" t="str">
        <f t="shared" si="26"/>
        <v/>
      </c>
      <c r="M55" t="str">
        <f t="shared" si="27"/>
        <v/>
      </c>
      <c r="N55" t="str">
        <f t="shared" si="28"/>
        <v/>
      </c>
      <c r="O55" t="str">
        <f>IF(AT55="","",IFERROR(IF(INDEX(CODIFICACION!$E$2:$E$500,MATCH("D2.8|"&amp;AT55,CODIFICACION!$F$2:$F$500,0))="sin dato","",INDEX(CODIFICACION!$E$2:$E$500,MATCH("D2.8|"&amp;AT55,CODIFICACION!$F$2:$F$500,0))),"⚠"))</f>
        <v/>
      </c>
      <c r="P55" t="str">
        <f>IF(AU55="","",IFERROR(IF(INDEX(CODIFICACION!$E$2:$E$500,MATCH("D2.9|"&amp;AU55,CODIFICACION!$F$2:$F$500,0))="sin dato","",INDEX(CODIFICACION!$E$2:$E$500,MATCH("D2.9|"&amp;AU55,CODIFICACION!$F$2:$F$500,0))),"⚠"))</f>
        <v/>
      </c>
      <c r="Q55" t="str">
        <f>IF(AV55="","",IFERROR(IF(INDEX(CODIFICACION!$E$2:$E$500,MATCH("D2.10|"&amp;AV55,CODIFICACION!$F$2:$F$500,0))="sin dato","",INDEX(CODIFICACION!$E$2:$E$500,MATCH("D2.10|"&amp;AV55,CODIFICACION!$F$2:$F$500,0))),"⚠"))</f>
        <v/>
      </c>
      <c r="R55" t="str">
        <f>IF(AW55="","",IFERROR(IF(INDEX(CODIFICACION!$E$2:$E$500,MATCH("D2.5a|"&amp;AW55,CODIFICACION!$F$2:$F$500,0))="sin dato","",INDEX(CODIFICACION!$E$2:$E$500,MATCH("D2.5a|"&amp;AW55,CODIFICACION!$F$2:$F$500,0))),"⚠"))</f>
        <v/>
      </c>
      <c r="S55" t="str">
        <f ca="1">IF(AX55="","",IFERROR(IF(INDEX(CODIFICACION!$E$2:$E$500,MATCH("D2.5b|"&amp;AX55,CODIFICACION!$F$2:$F$500,0))="sin dato","",INDEX(CODIFICACION!$E$2:$E$500,MATCH("D2.5b|"&amp;AX55,CODIFICACION!$F$2:$F$500,0))),"⚠"))</f>
        <v/>
      </c>
      <c r="T55" t="str">
        <f t="shared" ca="1" si="29"/>
        <v/>
      </c>
      <c r="U55" t="str">
        <f>IF(AZ55="","",IFERROR(IF(INDEX(CODIFICACION!$E$2:$E$500,MATCH("D3.12|"&amp;AZ55,CODIFICACION!$F$2:$F$500,0))="sin dato","",INDEX(CODIFICACION!$E$2:$E$500,MATCH("D3.12|"&amp;AZ55,CODIFICACION!$F$2:$F$500,0))),"⚠"))</f>
        <v/>
      </c>
      <c r="V55" t="str">
        <f t="shared" si="30"/>
        <v/>
      </c>
      <c r="W55" t="str">
        <f ca="1">IF(BB55="","",IFERROR(IF(INDEX(CODIFICACION!$E$2:$E$500,MATCH("D3.14|"&amp;BB55,CODIFICACION!$F$2:$F$500,0))="sin dato","",INDEX(CODIFICACION!$E$2:$E$500,MATCH("D3.14|"&amp;BB55,CODIFICACION!$F$2:$F$500,0))),"⚠"))</f>
        <v/>
      </c>
      <c r="X55" t="str">
        <f ca="1">IF(BC55="","",IFERROR(IF(INDEX(CODIFICACION!$E$2:$E$500,MATCH("D3.14a|"&amp;BC55,CODIFICACION!$F$2:$F$500,0))="sin dato","",INDEX(CODIFICACION!$E$2:$E$500,MATCH("D3.14a|"&amp;BC55,CODIFICACION!$F$2:$F$500,0))),"⚠"))</f>
        <v/>
      </c>
      <c r="Y55" t="str">
        <f>IF(BD55="","",IFERROR(IF(INDEX(CODIFICACION!$E$2:$E$500,MATCH("D3.14b|"&amp;BD55,CODIFICACION!$F$2:$F$500,0))="sin dato","",INDEX(CODIFICACION!$E$2:$E$500,MATCH("D3.14b|"&amp;BD55,CODIFICACION!$F$2:$F$500,0))),"⚠"))</f>
        <v/>
      </c>
      <c r="Z55" t="str">
        <f>IF(BE55="","",IFERROR(IF(INDEX(CODIFICACION!$E$2:$E$500,MATCH("D3.14c|"&amp;BE55,CODIFICACION!$F$2:$F$500,0))="sin dato","",INDEX(CODIFICACION!$E$2:$E$500,MATCH("D3.14c|"&amp;BE55,CODIFICACION!$F$2:$F$500,0))),"⚠"))</f>
        <v/>
      </c>
      <c r="AA55" t="str">
        <f>IF(BF55="","",IFERROR(IF(INDEX(CODIFICACION!$E$2:$E$500,MATCH("D3.14d|"&amp;BF55,CODIFICACION!$F$2:$F$500,0))="sin dato","",INDEX(CODIFICACION!$E$2:$E$500,MATCH("D3.14d|"&amp;BF55,CODIFICACION!$F$2:$F$500,0))),"⚠"))</f>
        <v/>
      </c>
      <c r="AB55" t="str">
        <f>IF(BG55="","",IFERROR(IF(INDEX(CODIFICACION!$E$2:$E$500,MATCH("D3.14e|"&amp;BG55,CODIFICACION!$F$2:$F$500,0))="sin dato","",INDEX(CODIFICACION!$E$2:$E$500,MATCH("D3.14e|"&amp;BG55,CODIFICACION!$F$2:$F$500,0))),"⚠"))</f>
        <v/>
      </c>
      <c r="AC55" t="str">
        <f>IF(BH55="","",IFERROR(IF(INDEX(CODIFICACION!$E$2:$E$500,MATCH("D3.14f|"&amp;BH55,CODIFICACION!$F$2:$F$500,0))="sin dato","",INDEX(CODIFICACION!$E$2:$E$500,MATCH("D3.14f|"&amp;BH55,CODIFICACION!$F$2:$F$500,0))),"⚠"))</f>
        <v/>
      </c>
      <c r="AD55" t="str">
        <f>IF(BI55="","",IFERROR(IF(INDEX(CODIFICACION!$E$2:$E$500,MATCH("D3.14g|"&amp;BI55,CODIFICACION!$F$2:$F$500,0))="sin dato","",INDEX(CODIFICACION!$E$2:$E$500,MATCH("D3.14g|"&amp;BI55,CODIFICACION!$F$2:$F$500,0))),"⚠"))</f>
        <v/>
      </c>
      <c r="AE55" t="str">
        <f>IF(BJ55="","",IFERROR(IF(INDEX(CODIFICACION!$E$2:$E$500,MATCH("D3.14h|"&amp;BJ55,CODIFICACION!$F$2:$F$500,0))="sin dato","",INDEX(CODIFICACION!$E$2:$E$500,MATCH("D3.14h|"&amp;BJ55,CODIFICACION!$F$2:$F$500,0))),"⚠"))</f>
        <v/>
      </c>
      <c r="AF55" t="str">
        <f>IF(BK55="","",IFERROR(IF(INDEX(CODIFICACION!$E$2:$E$500,MATCH("D3.14i|"&amp;BK55,CODIFICACION!$F$2:$F$500,0))="sin dato","",INDEX(CODIFICACION!$E$2:$E$500,MATCH("D3.14i|"&amp;BK55,CODIFICACION!$F$2:$F$500,0))),"⚠"))</f>
        <v/>
      </c>
      <c r="AG55" t="str">
        <f>IF(BL55="","",IFERROR(IF(INDEX(CODIFICACION!$E$2:$E$500,MATCH("D4.15|"&amp;BL55,CODIFICACION!$F$2:$F$500,0))="sin dato","",INDEX(CODIFICACION!$E$2:$E$500,MATCH("D4.15|"&amp;BL55,CODIFICACION!$F$2:$F$500,0))),"⚠"))</f>
        <v/>
      </c>
      <c r="AH55" t="str">
        <f t="shared" si="31"/>
        <v/>
      </c>
      <c r="AI55" t="str">
        <f>IF(BN55="","",IFERROR(IF(INDEX(CODIFICACION!$E$2:$E$500,MATCH("D4.17|"&amp;BN55,CODIFICACION!$F$2:$F$500,0))="sin dato","",INDEX(CODIFICACION!$E$2:$E$500,MATCH("D4.17|"&amp;BN55,CODIFICACION!$F$2:$F$500,0))),"⚠"))</f>
        <v/>
      </c>
      <c r="AJ55" t="str">
        <f>IF(BO55="","",IFERROR(IF(INDEX(CODIFICACION!$E$2:$E$500,MATCH("D4.15a|"&amp;BO55,CODIFICACION!$F$2:$F$500,0))="sin dato","",INDEX(CODIFICACION!$E$2:$E$500,MATCH("D4.15a|"&amp;BO55,CODIFICACION!$F$2:$F$500,0))),"⚠"))</f>
        <v/>
      </c>
      <c r="AK55" t="str">
        <f t="shared" si="32"/>
        <v/>
      </c>
      <c r="AL55" t="str">
        <f t="shared" si="33"/>
        <v/>
      </c>
      <c r="AM55" t="str">
        <f>IF(BR55="","",IFERROR(IF(INDEX(CODIFICACION!$E$2:$E$500,MATCH("D5.18b|"&amp;BR55,CODIFICACION!$F$2:$F$500,0))="sin dato","",INDEX(CODIFICACION!$E$2:$E$500,MATCH("D5.18b|"&amp;BR55,CODIFICACION!$F$2:$F$500,0))),"⚠"))</f>
        <v/>
      </c>
      <c r="AN55" t="str">
        <f>IF(BS55="","",IFERROR(IF(INDEX(CODIFICACION!$E$2:$E$500,MATCH("D5.19|"&amp;BS55,CODIFICACION!$F$2:$F$500,0))="sin dato","",INDEX(CODIFICACION!$E$2:$E$500,MATCH("D5.19|"&amp;BS55,CODIFICACION!$F$2:$F$500,0))),"⚠"))</f>
        <v/>
      </c>
      <c r="AO55" t="str">
        <f t="shared" si="34"/>
        <v/>
      </c>
      <c r="AP55" t="str">
        <f>IF(BU55="","",IFERROR(IF(INDEX(CODIFICACION!$E$2:$E$500,MATCH("D5.20|"&amp;BU55,CODIFICACION!$F$2:$F$500,0))="sin dato","",INDEX(CODIFICACION!$E$2:$E$500,MATCH("D5.20|"&amp;BU55,CODIFICACION!$F$2:$F$500,0))),"⚠"))</f>
        <v/>
      </c>
      <c r="AQ55" t="str">
        <f>IF(BV55="","",IFERROR(IF(INDEX(CODIFICACION!$E$2:$E$500,MATCH("D5.21|"&amp;BV55,CODIFICACION!$F$2:$F$500,0))="sin dato","",INDEX(CODIFICACION!$E$2:$E$500,MATCH("D5.21|"&amp;BV55,CODIFICACION!$F$2:$F$500,0))),"⚠"))</f>
        <v/>
      </c>
      <c r="AR55" t="str">
        <f>IF(BW55="","",IFERROR(IF(INDEX(CODIFICACION!$E$2:$E$500,MATCH("D5.21a|"&amp;BW55,CODIFICACION!$F$2:$F$500,0))="sin dato","",INDEX(CODIFICACION!$E$2:$E$500,MATCH("D5.21a|"&amp;BW55,CODIFICACION!$F$2:$F$500,0))),"⚠"))</f>
        <v/>
      </c>
      <c r="AS55" t="str">
        <f>IF(BX55="","",IFERROR(IF(INDEX(CODIFICACION!$E$2:$E$500,MATCH("D5.21b|"&amp;BX55,CODIFICACION!$F$2:$F$500,0))="sin dato","",INDEX(CODIFICACION!$E$2:$E$500,MATCH("D5.21b|"&amp;BX55,CODIFICACION!$F$2:$F$500,0))),"⚠"))</f>
        <v/>
      </c>
      <c r="AT55" t="str">
        <f>IF(BY55="","",IFERROR(IF(INDEX(CODIFICACION!$E$2:$E$500,MATCH("D6.22|"&amp;BY55,CODIFICACION!$F$2:$F$500,0))="sin dato","",INDEX(CODIFICACION!$E$2:$E$500,MATCH("D6.22|"&amp;BY55,CODIFICACION!$F$2:$F$500,0))),"⚠"))</f>
        <v/>
      </c>
      <c r="AU55" t="str">
        <f>IF(BZ55="","",IFERROR(IF(INDEX(CODIFICACION!$E$2:$E$500,MATCH("D6.22a|"&amp;BZ55,CODIFICACION!$F$2:$F$500,0))="sin dato","",INDEX(CODIFICACION!$E$2:$E$500,MATCH("D6.22a|"&amp;BZ55,CODIFICACION!$F$2:$F$500,0))),"⚠"))</f>
        <v/>
      </c>
      <c r="AV55" t="str">
        <f>IF(CA55="","",IFERROR(IF(INDEX(CODIFICACION!$E$2:$E$500,MATCH("D6.22b|"&amp;CA55,CODIFICACION!$F$2:$F$500,0))="sin dato","",INDEX(CODIFICACION!$E$2:$E$500,MATCH("D6.22b|"&amp;CA55,CODIFICACION!$F$2:$F$500,0))),"⚠"))</f>
        <v/>
      </c>
      <c r="AW55" t="str">
        <f>IF(CB55="","",IFERROR(IF(INDEX(CODIFICACION!$E$2:$E$500,MATCH("D6.23|"&amp;CB55,CODIFICACION!$F$2:$F$500,0))="sin dato","",INDEX(CODIFICACION!$E$2:$E$500,MATCH("D6.23|"&amp;CB55,CODIFICACION!$F$2:$F$500,0))),"⚠"))</f>
        <v/>
      </c>
      <c r="AX55" t="str">
        <f ca="1">IF(CC55="","",IFERROR(IF(INDEX(CODIFICACION!$E$2:$E$500,MATCH("D6.24|"&amp;CC55,CODIFICACION!$F$2:$F$500,0))="sin dato","",INDEX(CODIFICACION!$E$2:$E$500,MATCH("D6.24|"&amp;CC55,CODIFICACION!$F$2:$F$500,0))),"⚠"))</f>
        <v/>
      </c>
      <c r="AY55" t="str">
        <f ca="1">IF(CD55="","",IFERROR(IF(INDEX(CODIFICACION!$E$2:$E$500,MATCH("D6.25|"&amp;CD55,CODIFICACION!$F$2:$F$500,0))="sin dato","",INDEX(CODIFICACION!$E$2:$E$500,MATCH("D6.25|"&amp;CD55,CODIFICACION!$F$2:$F$500,0))),"⚠"))</f>
        <v/>
      </c>
      <c r="AZ55" t="str">
        <f>IF(CE55="","",IFERROR(IF(INDEX(CODIFICACION!$E$2:$E$500,MATCH("D6.25a|"&amp;CE55,CODIFICACION!$F$2:$F$500,0))="sin dato","",INDEX(CODIFICACION!$E$2:$E$500,MATCH("D6.25a|"&amp;CE55,CODIFICACION!$F$2:$F$500,0))),"⚠"))</f>
        <v/>
      </c>
      <c r="BA55" t="str">
        <f>IF(CF55="","",IFERROR(IF(INDEX(CODIFICACION!$E$2:$E$500,MATCH("D6.25b|"&amp;CF55,CODIFICACION!$F$2:$F$500,0))="sin dato","",INDEX(CODIFICACION!$E$2:$E$500,MATCH("D6.25b|"&amp;CF55,CODIFICACION!$F$2:$F$500,0))),"⚠"))</f>
        <v/>
      </c>
      <c r="BB55" t="str">
        <f ca="1">IF(CG55="","",IFERROR(IF(INDEX(CODIFICACION!$E$2:$E$500,MATCH("D6.22c|"&amp;CG55,CODIFICACION!$F$2:$F$500,0))="sin dato","",INDEX(CODIFICACION!$E$2:$E$500,MATCH("D6.22c|"&amp;CG55,CODIFICACION!$F$2:$F$500,0))),"⚠"))</f>
        <v/>
      </c>
      <c r="BC55" t="str">
        <f ca="1">IF(CH55="","",IFERROR(IF(INDEX(CODIFICACION!$E$2:$E$500,MATCH("D7.26|"&amp;CH55,CODIFICACION!$F$2:$F$500,0))="sin dato","",INDEX(CODIFICACION!$E$2:$E$500,MATCH("D7.26|"&amp;CH55,CODIFICACION!$F$2:$F$500,0))),"⚠"))</f>
        <v/>
      </c>
      <c r="BD55" t="str">
        <f>IF(CI55="","",IFERROR(IF(INDEX(CODIFICACION!$E$2:$E$500,MATCH("D7.27|"&amp;CI55,CODIFICACION!$F$2:$F$500,0))="sin dato","",INDEX(CODIFICACION!$E$2:$E$500,MATCH("D7.27|"&amp;CI55,CODIFICACION!$F$2:$F$500,0))),"⚠"))</f>
        <v/>
      </c>
      <c r="BE55" t="str">
        <f>IF(CJ55="","",IFERROR(IF(INDEX(CODIFICACION!$E$2:$E$500,MATCH("D7.28|"&amp;CJ55,CODIFICACION!$F$2:$F$500,0))="sin dato","",INDEX(CODIFICACION!$E$2:$E$500,MATCH("D7.28|"&amp;CJ55,CODIFICACION!$F$2:$F$500,0))),"⚠"))</f>
        <v/>
      </c>
      <c r="BF55" t="str">
        <f>IF(CK55="","",IFERROR(IF(INDEX(CODIFICACION!$E$2:$E$500,MATCH("D7.28b|"&amp;CK55,CODIFICACION!$F$2:$F$500,0))="sin dato","",INDEX(CODIFICACION!$E$2:$E$500,MATCH("D7.28b|"&amp;CK55,CODIFICACION!$F$2:$F$500,0))),"⚠"))</f>
        <v/>
      </c>
      <c r="BG55" t="str">
        <f t="shared" si="35"/>
        <v/>
      </c>
      <c r="BH55" t="str">
        <f>IF(CM55="","",IFERROR(IF(INDEX(CODIFICACION!$E$2:$E$500,MATCH("D7.26a|"&amp;CM55,CODIFICACION!$F$2:$F$500,0))="sin dato","",INDEX(CODIFICACION!$E$2:$E$500,MATCH("D7.26a|"&amp;CM55,CODIFICACION!$F$2:$F$500,0))),"⚠"))</f>
        <v/>
      </c>
      <c r="BI55" t="str">
        <f>IF(CN55="","",IFERROR(IF(INDEX(CODIFICACION!$E$2:$E$500,MATCH("D7.26b|"&amp;CN55,CODIFICACION!$F$2:$F$500,0))="sin dato","",INDEX(CODIFICACION!$E$2:$E$500,MATCH("D7.26b|"&amp;CN55,CODIFICACION!$F$2:$F$500,0))),"⚠"))</f>
        <v/>
      </c>
      <c r="BJ55" t="str">
        <f t="shared" si="36"/>
        <v/>
      </c>
      <c r="BK55" t="str">
        <f t="shared" si="37"/>
        <v/>
      </c>
      <c r="BL55" t="str">
        <f>IF(CQ55="","",IFERROR(IF(INDEX(CODIFICACION!$E$2:$E$500,MATCH("D8.31|"&amp;CQ55,CODIFICACION!$F$2:$F$500,0))="sin dato","",INDEX(CODIFICACION!$E$2:$E$500,MATCH("D8.31|"&amp;CQ55,CODIFICACION!$F$2:$F$500,0))),"⚠"))</f>
        <v/>
      </c>
      <c r="BM55" t="str">
        <f>IF(CR55="","",IFERROR(IF(INDEX(CODIFICACION!$E$2:$E$500,MATCH("D8.32|"&amp;CR55,CODIFICACION!$F$2:$F$500,0))="sin dato","",INDEX(CODIFICACION!$E$2:$E$500,MATCH("D8.32|"&amp;CR55,CODIFICACION!$F$2:$F$500,0))),"⚠"))</f>
        <v/>
      </c>
      <c r="BN55" t="str">
        <f>IF(CS55="","",IFERROR(IF(INDEX(CODIFICACION!$E$2:$E$500,MATCH("D9.33|"&amp;CS55,CODIFICACION!$F$2:$F$500,0))="sin dato","",INDEX(CODIFICACION!$E$2:$E$500,MATCH("D9.33|"&amp;CS55,CODIFICACION!$F$2:$F$500,0))),"⚠"))</f>
        <v/>
      </c>
      <c r="BO55" t="str">
        <f>IF(CT55="","",IFERROR(IF(INDEX(CODIFICACION!$E$2:$E$500,MATCH("D9.34|"&amp;CT55,CODIFICACION!$F$2:$F$500,0))="sin dato","",INDEX(CODIFICACION!$E$2:$E$500,MATCH("D9.34|"&amp;CT55,CODIFICACION!$F$2:$F$500,0))),"⚠"))</f>
        <v/>
      </c>
      <c r="BP55" t="str">
        <f>IF(CU55="","",IFERROR(IF(INDEX(CODIFICACION!$E$2:$E$500,MATCH("D9.35|"&amp;CU55,CODIFICACION!$F$2:$F$500,0))="sin dato","",INDEX(CODIFICACION!$E$2:$E$500,MATCH("D9.35|"&amp;CU55,CODIFICACION!$F$2:$F$500,0))),"⚠"))</f>
        <v/>
      </c>
      <c r="BQ55" t="str">
        <f>IF(CV55="","",IFERROR(IF(INDEX(CODIFICACION!$E$2:$E$500,MATCH("D10.36|"&amp;CV55,CODIFICACION!$F$2:$F$500,0))="sin dato","",INDEX(CODIFICACION!$E$2:$E$500,MATCH("D10.36|"&amp;CV55,CODIFICACION!$F$2:$F$500,0))),"⚠"))</f>
        <v/>
      </c>
      <c r="BR55" t="str">
        <f>IF(CW55="","",IFERROR(IF(INDEX(CODIFICACION!$E$2:$E$500,MATCH("D10.37|"&amp;CW55,CODIFICACION!$F$2:$F$500,0))="sin dato","",INDEX(CODIFICACION!$E$2:$E$500,MATCH("D10.37|"&amp;CW55,CODIFICACION!$F$2:$F$500,0))),"⚠"))</f>
        <v/>
      </c>
      <c r="BS55" t="str">
        <f>IF(CX55="","",IFERROR(IF(INDEX(CODIFICACION!$E$2:$E$500,MATCH("D10.36a|"&amp;CX55,CODIFICACION!$F$2:$F$500,0))="sin dato","",INDEX(CODIFICACION!$E$2:$E$500,MATCH("D10.36a|"&amp;CX55,CODIFICACION!$F$2:$F$500,0))),"⚠"))</f>
        <v/>
      </c>
      <c r="BT55" t="str">
        <f t="shared" si="38"/>
        <v/>
      </c>
      <c r="BU55" t="str">
        <f>IF(DA55="","",IFERROR(IF(INDEX(CODIFICACION!$E$2:$E$500,MATCH("D11.39a|"&amp;DA55,CODIFICACION!$F$2:$F$500,0))="sin dato","",INDEX(CODIFICACION!$E$2:$E$500,MATCH("D11.39a|"&amp;DA55,CODIFICACION!$F$2:$F$500,0))),"⚠"))</f>
        <v/>
      </c>
      <c r="BV55" t="str">
        <f>IF(DB55="","",IFERROR(IF(INDEX(CODIFICACION!$E$2:$E$500,MATCH("D12.42|"&amp;DB55,CODIFICACION!$F$2:$F$500,0))="sin dato","",INDEX(CODIFICACION!$E$2:$E$500,MATCH("D12.42|"&amp;DB55,CODIFICACION!$F$2:$F$500,0))),"⚠"))</f>
        <v/>
      </c>
      <c r="BW55" t="str">
        <f>IF(DC55="","",IFERROR(IF(INDEX(CODIFICACION!$E$2:$E$500,MATCH("D13.45|"&amp;DC55,CODIFICACION!$F$2:$F$500,0))="sin dato","",INDEX(CODIFICACION!$E$2:$E$500,MATCH("D13.45|"&amp;DC55,CODIFICACION!$F$2:$F$500,0))),"⚠"))</f>
        <v/>
      </c>
      <c r="BX55" t="str">
        <f>IF(DD55="","",IFERROR(IF(INDEX(CODIFICACION!$E$2:$E$500,MATCH("D14.51|"&amp;DD55,CODIFICACION!$F$2:$F$500,0))="sin dato","",INDEX(CODIFICACION!$E$2:$E$500,MATCH("D14.51|"&amp;DD55,CODIFICACION!$F$2:$F$500,0))),"⚠"))</f>
        <v/>
      </c>
      <c r="BY55" t="str">
        <f>IF(DE55="","",IFERROR(IF(INDEX(CODIFICACION!$E$2:$E$500,MATCH("D15.58|"&amp;DE55,CODIFICACION!$F$2:$F$500,0))="sin dato","",INDEX(CODIFICACION!$E$2:$E$500,MATCH("D15.58|"&amp;DE55,CODIFICACION!$F$2:$F$500,0))),"⚠"))</f>
        <v/>
      </c>
      <c r="BZ55" t="str">
        <f>IF(DF55="","",IFERROR(IF(INDEX(CODIFICACION!$E$2:$E$500,MATCH("PP1|"&amp;DF55,CODIFICACION!$F$2:$F$500,0))="sin dato","",INDEX(CODIFICACION!$E$2:$E$500,MATCH("PP1|"&amp;DF55,CODIFICACION!$F$2:$F$500,0))),"⚠"))</f>
        <v/>
      </c>
      <c r="CA55" t="str">
        <f>IF(DG55="","",IFERROR(IF(INDEX(CODIFICACION!$E$2:$E$500,MATCH("PP2|"&amp;DG55,CODIFICACION!$F$2:$F$500,0))="sin dato","",INDEX(CODIFICACION!$E$2:$E$500,MATCH("PP2|"&amp;DG55,CODIFICACION!$F$2:$F$500,0))),"⚠"))</f>
        <v/>
      </c>
      <c r="CB55" t="str">
        <f t="shared" si="39"/>
        <v/>
      </c>
      <c r="CC55" t="str">
        <f t="shared" ca="1" si="40"/>
        <v/>
      </c>
      <c r="CD55" t="str">
        <f t="shared" ca="1" si="41"/>
        <v/>
      </c>
      <c r="CE55" t="str">
        <f t="shared" si="42"/>
        <v/>
      </c>
      <c r="CF55" t="str">
        <f t="shared" si="43"/>
        <v/>
      </c>
      <c r="CG55" t="str">
        <f t="shared" ca="1" si="44"/>
        <v/>
      </c>
      <c r="CH55" t="str">
        <f t="shared" ca="1" si="45"/>
        <v/>
      </c>
      <c r="CI55" t="str">
        <f t="shared" si="46"/>
        <v/>
      </c>
      <c r="CJ55" t="str">
        <f t="shared" si="47"/>
        <v/>
      </c>
      <c r="CK55" t="str">
        <f t="shared" si="48"/>
        <v/>
      </c>
      <c r="CL55" t="str">
        <f t="shared" si="49"/>
        <v/>
      </c>
    </row>
    <row r="56" spans="1:90" x14ac:dyDescent="0.3">
      <c r="A56">
        <f>CAPTURA!A56</f>
        <v>20494145791</v>
      </c>
      <c r="B56">
        <f>CAPTURA!C56</f>
        <v>0</v>
      </c>
      <c r="C56" t="str">
        <f t="shared" si="25"/>
        <v/>
      </c>
      <c r="D56" t="str">
        <f>IF(AE56="","",IFERROR(IF(INDEX(CODIFICACION!$E$2:$E$500,MATCH("P8|"&amp;AE56,CODIFICACION!$F$2:$F$500,0))="sin dato","",INDEX(CODIFICACION!$E$2:$E$500,MATCH("P8|"&amp;AE56,CODIFICACION!$F$2:$F$500,0))),"⚠"))</f>
        <v/>
      </c>
      <c r="E56" t="str">
        <f>IF(AG56="","",IFERROR(IF(INDEX(CODIFICACION!$E$2:$E$500,MATCH("P10|"&amp;AG56,CODIFICACION!$F$2:$F$500,0))="sin dato","",INDEX(CODIFICACION!$E$2:$E$500,MATCH("P10|"&amp;AG56,CODIFICACION!$F$2:$F$500,0))),"⚠"))</f>
        <v/>
      </c>
      <c r="F56" t="str">
        <f>IF(AJ56="","",IFERROR(IF(INDEX(CODIFICACION!$E$2:$E$500,MATCH("P13|"&amp;AJ56,CODIFICACION!$F$2:$F$500,0))="sin dato","",INDEX(CODIFICACION!$E$2:$E$500,MATCH("P13|"&amp;AJ56,CODIFICACION!$F$2:$F$500,0))),"⚠"))</f>
        <v/>
      </c>
      <c r="G56" t="str">
        <f>IF(AK56="","",IFERROR(IF(INDEX(CODIFICACION!$E$2:$E$500,MATCH("P14|"&amp;AK56,CODIFICACION!$F$2:$F$500,0))="sin dato","",INDEX(CODIFICACION!$E$2:$E$500,MATCH("P14|"&amp;AK56,CODIFICACION!$F$2:$F$500,0))),"⚠"))</f>
        <v/>
      </c>
      <c r="H56" t="str">
        <f>IF(AL56="","",IFERROR(IF(INDEX(CODIFICACION!$E$2:$E$500,MATCH("D1.1|"&amp;AL56,CODIFICACION!$F$2:$F$500,0))="sin dato","",INDEX(CODIFICACION!$E$2:$E$500,MATCH("D1.1|"&amp;AL56,CODIFICACION!$F$2:$F$500,0))),"⚠"))</f>
        <v/>
      </c>
      <c r="I56" t="str">
        <f>IF(AN56="","",IFERROR(IF(INDEX(CODIFICACION!$E$2:$E$500,MATCH("D1.3|"&amp;AN56,CODIFICACION!$F$2:$F$500,0))="sin dato","",INDEX(CODIFICACION!$E$2:$E$500,MATCH("D1.3|"&amp;AN56,CODIFICACION!$F$2:$F$500,0))),"⚠"))</f>
        <v/>
      </c>
      <c r="J56" t="str">
        <f>IF(AO56="","",IFERROR(IF(INDEX(CODIFICACION!$E$2:$E$500,MATCH("D1.4|"&amp;AO56,CODIFICACION!$F$2:$F$500,0))="sin dato","",INDEX(CODIFICACION!$E$2:$E$500,MATCH("D1.4|"&amp;AO56,CODIFICACION!$F$2:$F$500,0))),"⚠"))</f>
        <v/>
      </c>
      <c r="K56" t="str">
        <f>IF(AP56="","",IFERROR(IF(INDEX(CODIFICACION!$E$2:$E$500,MATCH("D1.3a|"&amp;AP56,CODIFICACION!$F$2:$F$500,0))="sin dato","",INDEX(CODIFICACION!$E$2:$E$500,MATCH("D1.3a|"&amp;AP56,CODIFICACION!$F$2:$F$500,0))),"⚠"))</f>
        <v/>
      </c>
      <c r="L56" t="str">
        <f t="shared" si="26"/>
        <v/>
      </c>
      <c r="M56" t="str">
        <f t="shared" si="27"/>
        <v/>
      </c>
      <c r="N56" t="str">
        <f t="shared" si="28"/>
        <v/>
      </c>
      <c r="O56" t="str">
        <f>IF(AT56="","",IFERROR(IF(INDEX(CODIFICACION!$E$2:$E$500,MATCH("D2.8|"&amp;AT56,CODIFICACION!$F$2:$F$500,0))="sin dato","",INDEX(CODIFICACION!$E$2:$E$500,MATCH("D2.8|"&amp;AT56,CODIFICACION!$F$2:$F$500,0))),"⚠"))</f>
        <v/>
      </c>
      <c r="P56" t="str">
        <f>IF(AU56="","",IFERROR(IF(INDEX(CODIFICACION!$E$2:$E$500,MATCH("D2.9|"&amp;AU56,CODIFICACION!$F$2:$F$500,0))="sin dato","",INDEX(CODIFICACION!$E$2:$E$500,MATCH("D2.9|"&amp;AU56,CODIFICACION!$F$2:$F$500,0))),"⚠"))</f>
        <v/>
      </c>
      <c r="Q56" t="str">
        <f>IF(AV56="","",IFERROR(IF(INDEX(CODIFICACION!$E$2:$E$500,MATCH("D2.10|"&amp;AV56,CODIFICACION!$F$2:$F$500,0))="sin dato","",INDEX(CODIFICACION!$E$2:$E$500,MATCH("D2.10|"&amp;AV56,CODIFICACION!$F$2:$F$500,0))),"⚠"))</f>
        <v/>
      </c>
      <c r="R56" t="str">
        <f>IF(AW56="","",IFERROR(IF(INDEX(CODIFICACION!$E$2:$E$500,MATCH("D2.5a|"&amp;AW56,CODIFICACION!$F$2:$F$500,0))="sin dato","",INDEX(CODIFICACION!$E$2:$E$500,MATCH("D2.5a|"&amp;AW56,CODIFICACION!$F$2:$F$500,0))),"⚠"))</f>
        <v/>
      </c>
      <c r="S56" t="str">
        <f ca="1">IF(AX56="","",IFERROR(IF(INDEX(CODIFICACION!$E$2:$E$500,MATCH("D2.5b|"&amp;AX56,CODIFICACION!$F$2:$F$500,0))="sin dato","",INDEX(CODIFICACION!$E$2:$E$500,MATCH("D2.5b|"&amp;AX56,CODIFICACION!$F$2:$F$500,0))),"⚠"))</f>
        <v/>
      </c>
      <c r="T56" t="str">
        <f t="shared" ca="1" si="29"/>
        <v/>
      </c>
      <c r="U56" t="str">
        <f>IF(AZ56="","",IFERROR(IF(INDEX(CODIFICACION!$E$2:$E$500,MATCH("D3.12|"&amp;AZ56,CODIFICACION!$F$2:$F$500,0))="sin dato","",INDEX(CODIFICACION!$E$2:$E$500,MATCH("D3.12|"&amp;AZ56,CODIFICACION!$F$2:$F$500,0))),"⚠"))</f>
        <v/>
      </c>
      <c r="V56" t="str">
        <f t="shared" si="30"/>
        <v/>
      </c>
      <c r="W56" t="str">
        <f ca="1">IF(BB56="","",IFERROR(IF(INDEX(CODIFICACION!$E$2:$E$500,MATCH("D3.14|"&amp;BB56,CODIFICACION!$F$2:$F$500,0))="sin dato","",INDEX(CODIFICACION!$E$2:$E$500,MATCH("D3.14|"&amp;BB56,CODIFICACION!$F$2:$F$500,0))),"⚠"))</f>
        <v/>
      </c>
      <c r="X56" t="str">
        <f ca="1">IF(BC56="","",IFERROR(IF(INDEX(CODIFICACION!$E$2:$E$500,MATCH("D3.14a|"&amp;BC56,CODIFICACION!$F$2:$F$500,0))="sin dato","",INDEX(CODIFICACION!$E$2:$E$500,MATCH("D3.14a|"&amp;BC56,CODIFICACION!$F$2:$F$500,0))),"⚠"))</f>
        <v/>
      </c>
      <c r="Y56" t="str">
        <f>IF(BD56="","",IFERROR(IF(INDEX(CODIFICACION!$E$2:$E$500,MATCH("D3.14b|"&amp;BD56,CODIFICACION!$F$2:$F$500,0))="sin dato","",INDEX(CODIFICACION!$E$2:$E$500,MATCH("D3.14b|"&amp;BD56,CODIFICACION!$F$2:$F$500,0))),"⚠"))</f>
        <v/>
      </c>
      <c r="Z56" t="str">
        <f>IF(BE56="","",IFERROR(IF(INDEX(CODIFICACION!$E$2:$E$500,MATCH("D3.14c|"&amp;BE56,CODIFICACION!$F$2:$F$500,0))="sin dato","",INDEX(CODIFICACION!$E$2:$E$500,MATCH("D3.14c|"&amp;BE56,CODIFICACION!$F$2:$F$500,0))),"⚠"))</f>
        <v/>
      </c>
      <c r="AA56" t="str">
        <f>IF(BF56="","",IFERROR(IF(INDEX(CODIFICACION!$E$2:$E$500,MATCH("D3.14d|"&amp;BF56,CODIFICACION!$F$2:$F$500,0))="sin dato","",INDEX(CODIFICACION!$E$2:$E$500,MATCH("D3.14d|"&amp;BF56,CODIFICACION!$F$2:$F$500,0))),"⚠"))</f>
        <v/>
      </c>
      <c r="AB56" t="str">
        <f>IF(BG56="","",IFERROR(IF(INDEX(CODIFICACION!$E$2:$E$500,MATCH("D3.14e|"&amp;BG56,CODIFICACION!$F$2:$F$500,0))="sin dato","",INDEX(CODIFICACION!$E$2:$E$500,MATCH("D3.14e|"&amp;BG56,CODIFICACION!$F$2:$F$500,0))),"⚠"))</f>
        <v/>
      </c>
      <c r="AC56" t="str">
        <f>IF(BH56="","",IFERROR(IF(INDEX(CODIFICACION!$E$2:$E$500,MATCH("D3.14f|"&amp;BH56,CODIFICACION!$F$2:$F$500,0))="sin dato","",INDEX(CODIFICACION!$E$2:$E$500,MATCH("D3.14f|"&amp;BH56,CODIFICACION!$F$2:$F$500,0))),"⚠"))</f>
        <v/>
      </c>
      <c r="AD56" t="str">
        <f>IF(BI56="","",IFERROR(IF(INDEX(CODIFICACION!$E$2:$E$500,MATCH("D3.14g|"&amp;BI56,CODIFICACION!$F$2:$F$500,0))="sin dato","",INDEX(CODIFICACION!$E$2:$E$500,MATCH("D3.14g|"&amp;BI56,CODIFICACION!$F$2:$F$500,0))),"⚠"))</f>
        <v/>
      </c>
      <c r="AE56" t="str">
        <f>IF(BJ56="","",IFERROR(IF(INDEX(CODIFICACION!$E$2:$E$500,MATCH("D3.14h|"&amp;BJ56,CODIFICACION!$F$2:$F$500,0))="sin dato","",INDEX(CODIFICACION!$E$2:$E$500,MATCH("D3.14h|"&amp;BJ56,CODIFICACION!$F$2:$F$500,0))),"⚠"))</f>
        <v/>
      </c>
      <c r="AF56" t="str">
        <f>IF(BK56="","",IFERROR(IF(INDEX(CODIFICACION!$E$2:$E$500,MATCH("D3.14i|"&amp;BK56,CODIFICACION!$F$2:$F$500,0))="sin dato","",INDEX(CODIFICACION!$E$2:$E$500,MATCH("D3.14i|"&amp;BK56,CODIFICACION!$F$2:$F$500,0))),"⚠"))</f>
        <v/>
      </c>
      <c r="AG56" t="str">
        <f>IF(BL56="","",IFERROR(IF(INDEX(CODIFICACION!$E$2:$E$500,MATCH("D4.15|"&amp;BL56,CODIFICACION!$F$2:$F$500,0))="sin dato","",INDEX(CODIFICACION!$E$2:$E$500,MATCH("D4.15|"&amp;BL56,CODIFICACION!$F$2:$F$500,0))),"⚠"))</f>
        <v/>
      </c>
      <c r="AH56" t="str">
        <f t="shared" si="31"/>
        <v/>
      </c>
      <c r="AI56" t="str">
        <f>IF(BN56="","",IFERROR(IF(INDEX(CODIFICACION!$E$2:$E$500,MATCH("D4.17|"&amp;BN56,CODIFICACION!$F$2:$F$500,0))="sin dato","",INDEX(CODIFICACION!$E$2:$E$500,MATCH("D4.17|"&amp;BN56,CODIFICACION!$F$2:$F$500,0))),"⚠"))</f>
        <v/>
      </c>
      <c r="AJ56" t="str">
        <f>IF(BO56="","",IFERROR(IF(INDEX(CODIFICACION!$E$2:$E$500,MATCH("D4.15a|"&amp;BO56,CODIFICACION!$F$2:$F$500,0))="sin dato","",INDEX(CODIFICACION!$E$2:$E$500,MATCH("D4.15a|"&amp;BO56,CODIFICACION!$F$2:$F$500,0))),"⚠"))</f>
        <v/>
      </c>
      <c r="AK56" t="str">
        <f t="shared" si="32"/>
        <v/>
      </c>
      <c r="AL56" t="str">
        <f t="shared" si="33"/>
        <v/>
      </c>
      <c r="AM56" t="str">
        <f>IF(BR56="","",IFERROR(IF(INDEX(CODIFICACION!$E$2:$E$500,MATCH("D5.18b|"&amp;BR56,CODIFICACION!$F$2:$F$500,0))="sin dato","",INDEX(CODIFICACION!$E$2:$E$500,MATCH("D5.18b|"&amp;BR56,CODIFICACION!$F$2:$F$500,0))),"⚠"))</f>
        <v/>
      </c>
      <c r="AN56" t="str">
        <f>IF(BS56="","",IFERROR(IF(INDEX(CODIFICACION!$E$2:$E$500,MATCH("D5.19|"&amp;BS56,CODIFICACION!$F$2:$F$500,0))="sin dato","",INDEX(CODIFICACION!$E$2:$E$500,MATCH("D5.19|"&amp;BS56,CODIFICACION!$F$2:$F$500,0))),"⚠"))</f>
        <v/>
      </c>
      <c r="AO56" t="str">
        <f t="shared" si="34"/>
        <v/>
      </c>
      <c r="AP56" t="str">
        <f>IF(BU56="","",IFERROR(IF(INDEX(CODIFICACION!$E$2:$E$500,MATCH("D5.20|"&amp;BU56,CODIFICACION!$F$2:$F$500,0))="sin dato","",INDEX(CODIFICACION!$E$2:$E$500,MATCH("D5.20|"&amp;BU56,CODIFICACION!$F$2:$F$500,0))),"⚠"))</f>
        <v/>
      </c>
      <c r="AQ56" t="str">
        <f>IF(BV56="","",IFERROR(IF(INDEX(CODIFICACION!$E$2:$E$500,MATCH("D5.21|"&amp;BV56,CODIFICACION!$F$2:$F$500,0))="sin dato","",INDEX(CODIFICACION!$E$2:$E$500,MATCH("D5.21|"&amp;BV56,CODIFICACION!$F$2:$F$500,0))),"⚠"))</f>
        <v/>
      </c>
      <c r="AR56" t="str">
        <f>IF(BW56="","",IFERROR(IF(INDEX(CODIFICACION!$E$2:$E$500,MATCH("D5.21a|"&amp;BW56,CODIFICACION!$F$2:$F$500,0))="sin dato","",INDEX(CODIFICACION!$E$2:$E$500,MATCH("D5.21a|"&amp;BW56,CODIFICACION!$F$2:$F$500,0))),"⚠"))</f>
        <v/>
      </c>
      <c r="AS56" t="str">
        <f>IF(BX56="","",IFERROR(IF(INDEX(CODIFICACION!$E$2:$E$500,MATCH("D5.21b|"&amp;BX56,CODIFICACION!$F$2:$F$500,0))="sin dato","",INDEX(CODIFICACION!$E$2:$E$500,MATCH("D5.21b|"&amp;BX56,CODIFICACION!$F$2:$F$500,0))),"⚠"))</f>
        <v/>
      </c>
      <c r="AT56" t="str">
        <f>IF(BY56="","",IFERROR(IF(INDEX(CODIFICACION!$E$2:$E$500,MATCH("D6.22|"&amp;BY56,CODIFICACION!$F$2:$F$500,0))="sin dato","",INDEX(CODIFICACION!$E$2:$E$500,MATCH("D6.22|"&amp;BY56,CODIFICACION!$F$2:$F$500,0))),"⚠"))</f>
        <v/>
      </c>
      <c r="AU56" t="str">
        <f>IF(BZ56="","",IFERROR(IF(INDEX(CODIFICACION!$E$2:$E$500,MATCH("D6.22a|"&amp;BZ56,CODIFICACION!$F$2:$F$500,0))="sin dato","",INDEX(CODIFICACION!$E$2:$E$500,MATCH("D6.22a|"&amp;BZ56,CODIFICACION!$F$2:$F$500,0))),"⚠"))</f>
        <v/>
      </c>
      <c r="AV56" t="str">
        <f>IF(CA56="","",IFERROR(IF(INDEX(CODIFICACION!$E$2:$E$500,MATCH("D6.22b|"&amp;CA56,CODIFICACION!$F$2:$F$500,0))="sin dato","",INDEX(CODIFICACION!$E$2:$E$500,MATCH("D6.22b|"&amp;CA56,CODIFICACION!$F$2:$F$500,0))),"⚠"))</f>
        <v/>
      </c>
      <c r="AW56" t="str">
        <f>IF(CB56="","",IFERROR(IF(INDEX(CODIFICACION!$E$2:$E$500,MATCH("D6.23|"&amp;CB56,CODIFICACION!$F$2:$F$500,0))="sin dato","",INDEX(CODIFICACION!$E$2:$E$500,MATCH("D6.23|"&amp;CB56,CODIFICACION!$F$2:$F$500,0))),"⚠"))</f>
        <v/>
      </c>
      <c r="AX56" t="str">
        <f ca="1">IF(CC56="","",IFERROR(IF(INDEX(CODIFICACION!$E$2:$E$500,MATCH("D6.24|"&amp;CC56,CODIFICACION!$F$2:$F$500,0))="sin dato","",INDEX(CODIFICACION!$E$2:$E$500,MATCH("D6.24|"&amp;CC56,CODIFICACION!$F$2:$F$500,0))),"⚠"))</f>
        <v/>
      </c>
      <c r="AY56" t="str">
        <f ca="1">IF(CD56="","",IFERROR(IF(INDEX(CODIFICACION!$E$2:$E$500,MATCH("D6.25|"&amp;CD56,CODIFICACION!$F$2:$F$500,0))="sin dato","",INDEX(CODIFICACION!$E$2:$E$500,MATCH("D6.25|"&amp;CD56,CODIFICACION!$F$2:$F$500,0))),"⚠"))</f>
        <v/>
      </c>
      <c r="AZ56" t="str">
        <f>IF(CE56="","",IFERROR(IF(INDEX(CODIFICACION!$E$2:$E$500,MATCH("D6.25a|"&amp;CE56,CODIFICACION!$F$2:$F$500,0))="sin dato","",INDEX(CODIFICACION!$E$2:$E$500,MATCH("D6.25a|"&amp;CE56,CODIFICACION!$F$2:$F$500,0))),"⚠"))</f>
        <v/>
      </c>
      <c r="BA56" t="str">
        <f>IF(CF56="","",IFERROR(IF(INDEX(CODIFICACION!$E$2:$E$500,MATCH("D6.25b|"&amp;CF56,CODIFICACION!$F$2:$F$500,0))="sin dato","",INDEX(CODIFICACION!$E$2:$E$500,MATCH("D6.25b|"&amp;CF56,CODIFICACION!$F$2:$F$500,0))),"⚠"))</f>
        <v/>
      </c>
      <c r="BB56" t="str">
        <f ca="1">IF(CG56="","",IFERROR(IF(INDEX(CODIFICACION!$E$2:$E$500,MATCH("D6.22c|"&amp;CG56,CODIFICACION!$F$2:$F$500,0))="sin dato","",INDEX(CODIFICACION!$E$2:$E$500,MATCH("D6.22c|"&amp;CG56,CODIFICACION!$F$2:$F$500,0))),"⚠"))</f>
        <v/>
      </c>
      <c r="BC56" t="str">
        <f ca="1">IF(CH56="","",IFERROR(IF(INDEX(CODIFICACION!$E$2:$E$500,MATCH("D7.26|"&amp;CH56,CODIFICACION!$F$2:$F$500,0))="sin dato","",INDEX(CODIFICACION!$E$2:$E$500,MATCH("D7.26|"&amp;CH56,CODIFICACION!$F$2:$F$500,0))),"⚠"))</f>
        <v/>
      </c>
      <c r="BD56" t="str">
        <f>IF(CI56="","",IFERROR(IF(INDEX(CODIFICACION!$E$2:$E$500,MATCH("D7.27|"&amp;CI56,CODIFICACION!$F$2:$F$500,0))="sin dato","",INDEX(CODIFICACION!$E$2:$E$500,MATCH("D7.27|"&amp;CI56,CODIFICACION!$F$2:$F$500,0))),"⚠"))</f>
        <v/>
      </c>
      <c r="BE56" t="str">
        <f>IF(CJ56="","",IFERROR(IF(INDEX(CODIFICACION!$E$2:$E$500,MATCH("D7.28|"&amp;CJ56,CODIFICACION!$F$2:$F$500,0))="sin dato","",INDEX(CODIFICACION!$E$2:$E$500,MATCH("D7.28|"&amp;CJ56,CODIFICACION!$F$2:$F$500,0))),"⚠"))</f>
        <v/>
      </c>
      <c r="BF56" t="str">
        <f>IF(CK56="","",IFERROR(IF(INDEX(CODIFICACION!$E$2:$E$500,MATCH("D7.28b|"&amp;CK56,CODIFICACION!$F$2:$F$500,0))="sin dato","",INDEX(CODIFICACION!$E$2:$E$500,MATCH("D7.28b|"&amp;CK56,CODIFICACION!$F$2:$F$500,0))),"⚠"))</f>
        <v/>
      </c>
      <c r="BG56" t="str">
        <f t="shared" si="35"/>
        <v/>
      </c>
      <c r="BH56" t="str">
        <f>IF(CM56="","",IFERROR(IF(INDEX(CODIFICACION!$E$2:$E$500,MATCH("D7.26a|"&amp;CM56,CODIFICACION!$F$2:$F$500,0))="sin dato","",INDEX(CODIFICACION!$E$2:$E$500,MATCH("D7.26a|"&amp;CM56,CODIFICACION!$F$2:$F$500,0))),"⚠"))</f>
        <v/>
      </c>
      <c r="BI56" t="str">
        <f>IF(CN56="","",IFERROR(IF(INDEX(CODIFICACION!$E$2:$E$500,MATCH("D7.26b|"&amp;CN56,CODIFICACION!$F$2:$F$500,0))="sin dato","",INDEX(CODIFICACION!$E$2:$E$500,MATCH("D7.26b|"&amp;CN56,CODIFICACION!$F$2:$F$500,0))),"⚠"))</f>
        <v/>
      </c>
      <c r="BJ56" t="str">
        <f t="shared" si="36"/>
        <v/>
      </c>
      <c r="BK56" t="str">
        <f t="shared" si="37"/>
        <v/>
      </c>
      <c r="BL56" t="str">
        <f>IF(CQ56="","",IFERROR(IF(INDEX(CODIFICACION!$E$2:$E$500,MATCH("D8.31|"&amp;CQ56,CODIFICACION!$F$2:$F$500,0))="sin dato","",INDEX(CODIFICACION!$E$2:$E$500,MATCH("D8.31|"&amp;CQ56,CODIFICACION!$F$2:$F$500,0))),"⚠"))</f>
        <v/>
      </c>
      <c r="BM56" t="str">
        <f>IF(CR56="","",IFERROR(IF(INDEX(CODIFICACION!$E$2:$E$500,MATCH("D8.32|"&amp;CR56,CODIFICACION!$F$2:$F$500,0))="sin dato","",INDEX(CODIFICACION!$E$2:$E$500,MATCH("D8.32|"&amp;CR56,CODIFICACION!$F$2:$F$500,0))),"⚠"))</f>
        <v/>
      </c>
      <c r="BN56" t="str">
        <f>IF(CS56="","",IFERROR(IF(INDEX(CODIFICACION!$E$2:$E$500,MATCH("D9.33|"&amp;CS56,CODIFICACION!$F$2:$F$500,0))="sin dato","",INDEX(CODIFICACION!$E$2:$E$500,MATCH("D9.33|"&amp;CS56,CODIFICACION!$F$2:$F$500,0))),"⚠"))</f>
        <v/>
      </c>
      <c r="BO56" t="str">
        <f>IF(CT56="","",IFERROR(IF(INDEX(CODIFICACION!$E$2:$E$500,MATCH("D9.34|"&amp;CT56,CODIFICACION!$F$2:$F$500,0))="sin dato","",INDEX(CODIFICACION!$E$2:$E$500,MATCH("D9.34|"&amp;CT56,CODIFICACION!$F$2:$F$500,0))),"⚠"))</f>
        <v/>
      </c>
      <c r="BP56" t="str">
        <f>IF(CU56="","",IFERROR(IF(INDEX(CODIFICACION!$E$2:$E$500,MATCH("D9.35|"&amp;CU56,CODIFICACION!$F$2:$F$500,0))="sin dato","",INDEX(CODIFICACION!$E$2:$E$500,MATCH("D9.35|"&amp;CU56,CODIFICACION!$F$2:$F$500,0))),"⚠"))</f>
        <v/>
      </c>
      <c r="BQ56" t="str">
        <f>IF(CV56="","",IFERROR(IF(INDEX(CODIFICACION!$E$2:$E$500,MATCH("D10.36|"&amp;CV56,CODIFICACION!$F$2:$F$500,0))="sin dato","",INDEX(CODIFICACION!$E$2:$E$500,MATCH("D10.36|"&amp;CV56,CODIFICACION!$F$2:$F$500,0))),"⚠"))</f>
        <v/>
      </c>
      <c r="BR56" t="str">
        <f>IF(CW56="","",IFERROR(IF(INDEX(CODIFICACION!$E$2:$E$500,MATCH("D10.37|"&amp;CW56,CODIFICACION!$F$2:$F$500,0))="sin dato","",INDEX(CODIFICACION!$E$2:$E$500,MATCH("D10.37|"&amp;CW56,CODIFICACION!$F$2:$F$500,0))),"⚠"))</f>
        <v/>
      </c>
      <c r="BS56" t="str">
        <f>IF(CX56="","",IFERROR(IF(INDEX(CODIFICACION!$E$2:$E$500,MATCH("D10.36a|"&amp;CX56,CODIFICACION!$F$2:$F$500,0))="sin dato","",INDEX(CODIFICACION!$E$2:$E$500,MATCH("D10.36a|"&amp;CX56,CODIFICACION!$F$2:$F$500,0))),"⚠"))</f>
        <v/>
      </c>
      <c r="BT56" t="str">
        <f t="shared" si="38"/>
        <v/>
      </c>
      <c r="BU56" t="str">
        <f>IF(DA56="","",IFERROR(IF(INDEX(CODIFICACION!$E$2:$E$500,MATCH("D11.39a|"&amp;DA56,CODIFICACION!$F$2:$F$500,0))="sin dato","",INDEX(CODIFICACION!$E$2:$E$500,MATCH("D11.39a|"&amp;DA56,CODIFICACION!$F$2:$F$500,0))),"⚠"))</f>
        <v/>
      </c>
      <c r="BV56" t="str">
        <f>IF(DB56="","",IFERROR(IF(INDEX(CODIFICACION!$E$2:$E$500,MATCH("D12.42|"&amp;DB56,CODIFICACION!$F$2:$F$500,0))="sin dato","",INDEX(CODIFICACION!$E$2:$E$500,MATCH("D12.42|"&amp;DB56,CODIFICACION!$F$2:$F$500,0))),"⚠"))</f>
        <v/>
      </c>
      <c r="BW56" t="str">
        <f>IF(DC56="","",IFERROR(IF(INDEX(CODIFICACION!$E$2:$E$500,MATCH("D13.45|"&amp;DC56,CODIFICACION!$F$2:$F$500,0))="sin dato","",INDEX(CODIFICACION!$E$2:$E$500,MATCH("D13.45|"&amp;DC56,CODIFICACION!$F$2:$F$500,0))),"⚠"))</f>
        <v/>
      </c>
      <c r="BX56" t="str">
        <f>IF(DD56="","",IFERROR(IF(INDEX(CODIFICACION!$E$2:$E$500,MATCH("D14.51|"&amp;DD56,CODIFICACION!$F$2:$F$500,0))="sin dato","",INDEX(CODIFICACION!$E$2:$E$500,MATCH("D14.51|"&amp;DD56,CODIFICACION!$F$2:$F$500,0))),"⚠"))</f>
        <v/>
      </c>
      <c r="BY56" t="str">
        <f>IF(DE56="","",IFERROR(IF(INDEX(CODIFICACION!$E$2:$E$500,MATCH("D15.58|"&amp;DE56,CODIFICACION!$F$2:$F$500,0))="sin dato","",INDEX(CODIFICACION!$E$2:$E$500,MATCH("D15.58|"&amp;DE56,CODIFICACION!$F$2:$F$500,0))),"⚠"))</f>
        <v/>
      </c>
      <c r="BZ56" t="str">
        <f>IF(DF56="","",IFERROR(IF(INDEX(CODIFICACION!$E$2:$E$500,MATCH("PP1|"&amp;DF56,CODIFICACION!$F$2:$F$500,0))="sin dato","",INDEX(CODIFICACION!$E$2:$E$500,MATCH("PP1|"&amp;DF56,CODIFICACION!$F$2:$F$500,0))),"⚠"))</f>
        <v/>
      </c>
      <c r="CA56" t="str">
        <f>IF(DG56="","",IFERROR(IF(INDEX(CODIFICACION!$E$2:$E$500,MATCH("PP2|"&amp;DG56,CODIFICACION!$F$2:$F$500,0))="sin dato","",INDEX(CODIFICACION!$E$2:$E$500,MATCH("PP2|"&amp;DG56,CODIFICACION!$F$2:$F$500,0))),"⚠"))</f>
        <v/>
      </c>
      <c r="CB56" t="str">
        <f t="shared" si="39"/>
        <v/>
      </c>
      <c r="CC56" t="str">
        <f t="shared" ca="1" si="40"/>
        <v/>
      </c>
      <c r="CD56" t="str">
        <f t="shared" ca="1" si="41"/>
        <v/>
      </c>
      <c r="CE56" t="str">
        <f t="shared" si="42"/>
        <v/>
      </c>
      <c r="CF56" t="str">
        <f t="shared" si="43"/>
        <v/>
      </c>
      <c r="CG56" t="str">
        <f t="shared" ca="1" si="44"/>
        <v/>
      </c>
      <c r="CH56" t="str">
        <f t="shared" ca="1" si="45"/>
        <v/>
      </c>
      <c r="CI56" t="str">
        <f t="shared" si="46"/>
        <v/>
      </c>
      <c r="CJ56" t="str">
        <f t="shared" si="47"/>
        <v/>
      </c>
      <c r="CK56" t="str">
        <f t="shared" si="48"/>
        <v/>
      </c>
      <c r="CL56" t="str">
        <f t="shared" si="49"/>
        <v/>
      </c>
    </row>
    <row r="57" spans="1:90" x14ac:dyDescent="0.3">
      <c r="A57">
        <f>CAPTURA!A57</f>
        <v>20494699690</v>
      </c>
      <c r="B57">
        <f>CAPTURA!C57</f>
        <v>0</v>
      </c>
      <c r="C57" t="str">
        <f t="shared" si="25"/>
        <v/>
      </c>
      <c r="D57" t="str">
        <f>IF(AE57="","",IFERROR(IF(INDEX(CODIFICACION!$E$2:$E$500,MATCH("P8|"&amp;AE57,CODIFICACION!$F$2:$F$500,0))="sin dato","",INDEX(CODIFICACION!$E$2:$E$500,MATCH("P8|"&amp;AE57,CODIFICACION!$F$2:$F$500,0))),"⚠"))</f>
        <v/>
      </c>
      <c r="E57" t="str">
        <f>IF(AG57="","",IFERROR(IF(INDEX(CODIFICACION!$E$2:$E$500,MATCH("P10|"&amp;AG57,CODIFICACION!$F$2:$F$500,0))="sin dato","",INDEX(CODIFICACION!$E$2:$E$500,MATCH("P10|"&amp;AG57,CODIFICACION!$F$2:$F$500,0))),"⚠"))</f>
        <v/>
      </c>
      <c r="F57" t="str">
        <f>IF(AJ57="","",IFERROR(IF(INDEX(CODIFICACION!$E$2:$E$500,MATCH("P13|"&amp;AJ57,CODIFICACION!$F$2:$F$500,0))="sin dato","",INDEX(CODIFICACION!$E$2:$E$500,MATCH("P13|"&amp;AJ57,CODIFICACION!$F$2:$F$500,0))),"⚠"))</f>
        <v/>
      </c>
      <c r="G57" t="str">
        <f>IF(AK57="","",IFERROR(IF(INDEX(CODIFICACION!$E$2:$E$500,MATCH("P14|"&amp;AK57,CODIFICACION!$F$2:$F$500,0))="sin dato","",INDEX(CODIFICACION!$E$2:$E$500,MATCH("P14|"&amp;AK57,CODIFICACION!$F$2:$F$500,0))),"⚠"))</f>
        <v/>
      </c>
      <c r="H57" t="str">
        <f>IF(AL57="","",IFERROR(IF(INDEX(CODIFICACION!$E$2:$E$500,MATCH("D1.1|"&amp;AL57,CODIFICACION!$F$2:$F$500,0))="sin dato","",INDEX(CODIFICACION!$E$2:$E$500,MATCH("D1.1|"&amp;AL57,CODIFICACION!$F$2:$F$500,0))),"⚠"))</f>
        <v/>
      </c>
      <c r="I57" t="str">
        <f>IF(AN57="","",IFERROR(IF(INDEX(CODIFICACION!$E$2:$E$500,MATCH("D1.3|"&amp;AN57,CODIFICACION!$F$2:$F$500,0))="sin dato","",INDEX(CODIFICACION!$E$2:$E$500,MATCH("D1.3|"&amp;AN57,CODIFICACION!$F$2:$F$500,0))),"⚠"))</f>
        <v/>
      </c>
      <c r="J57" t="str">
        <f>IF(AO57="","",IFERROR(IF(INDEX(CODIFICACION!$E$2:$E$500,MATCH("D1.4|"&amp;AO57,CODIFICACION!$F$2:$F$500,0))="sin dato","",INDEX(CODIFICACION!$E$2:$E$500,MATCH("D1.4|"&amp;AO57,CODIFICACION!$F$2:$F$500,0))),"⚠"))</f>
        <v/>
      </c>
      <c r="K57" t="str">
        <f>IF(AP57="","",IFERROR(IF(INDEX(CODIFICACION!$E$2:$E$500,MATCH("D1.3a|"&amp;AP57,CODIFICACION!$F$2:$F$500,0))="sin dato","",INDEX(CODIFICACION!$E$2:$E$500,MATCH("D1.3a|"&amp;AP57,CODIFICACION!$F$2:$F$500,0))),"⚠"))</f>
        <v/>
      </c>
      <c r="L57" t="str">
        <f t="shared" si="26"/>
        <v/>
      </c>
      <c r="M57" t="str">
        <f t="shared" si="27"/>
        <v/>
      </c>
      <c r="N57" t="str">
        <f t="shared" si="28"/>
        <v/>
      </c>
      <c r="O57" t="str">
        <f>IF(AT57="","",IFERROR(IF(INDEX(CODIFICACION!$E$2:$E$500,MATCH("D2.8|"&amp;AT57,CODIFICACION!$F$2:$F$500,0))="sin dato","",INDEX(CODIFICACION!$E$2:$E$500,MATCH("D2.8|"&amp;AT57,CODIFICACION!$F$2:$F$500,0))),"⚠"))</f>
        <v/>
      </c>
      <c r="P57" t="str">
        <f>IF(AU57="","",IFERROR(IF(INDEX(CODIFICACION!$E$2:$E$500,MATCH("D2.9|"&amp;AU57,CODIFICACION!$F$2:$F$500,0))="sin dato","",INDEX(CODIFICACION!$E$2:$E$500,MATCH("D2.9|"&amp;AU57,CODIFICACION!$F$2:$F$500,0))),"⚠"))</f>
        <v/>
      </c>
      <c r="Q57" t="str">
        <f>IF(AV57="","",IFERROR(IF(INDEX(CODIFICACION!$E$2:$E$500,MATCH("D2.10|"&amp;AV57,CODIFICACION!$F$2:$F$500,0))="sin dato","",INDEX(CODIFICACION!$E$2:$E$500,MATCH("D2.10|"&amp;AV57,CODIFICACION!$F$2:$F$500,0))),"⚠"))</f>
        <v/>
      </c>
      <c r="R57" t="str">
        <f>IF(AW57="","",IFERROR(IF(INDEX(CODIFICACION!$E$2:$E$500,MATCH("D2.5a|"&amp;AW57,CODIFICACION!$F$2:$F$500,0))="sin dato","",INDEX(CODIFICACION!$E$2:$E$500,MATCH("D2.5a|"&amp;AW57,CODIFICACION!$F$2:$F$500,0))),"⚠"))</f>
        <v/>
      </c>
      <c r="S57" t="str">
        <f ca="1">IF(AX57="","",IFERROR(IF(INDEX(CODIFICACION!$E$2:$E$500,MATCH("D2.5b|"&amp;AX57,CODIFICACION!$F$2:$F$500,0))="sin dato","",INDEX(CODIFICACION!$E$2:$E$500,MATCH("D2.5b|"&amp;AX57,CODIFICACION!$F$2:$F$500,0))),"⚠"))</f>
        <v/>
      </c>
      <c r="T57" t="str">
        <f t="shared" ca="1" si="29"/>
        <v/>
      </c>
      <c r="U57" t="str">
        <f>IF(AZ57="","",IFERROR(IF(INDEX(CODIFICACION!$E$2:$E$500,MATCH("D3.12|"&amp;AZ57,CODIFICACION!$F$2:$F$500,0))="sin dato","",INDEX(CODIFICACION!$E$2:$E$500,MATCH("D3.12|"&amp;AZ57,CODIFICACION!$F$2:$F$500,0))),"⚠"))</f>
        <v/>
      </c>
      <c r="V57" t="str">
        <f t="shared" si="30"/>
        <v/>
      </c>
      <c r="W57" t="str">
        <f ca="1">IF(BB57="","",IFERROR(IF(INDEX(CODIFICACION!$E$2:$E$500,MATCH("D3.14|"&amp;BB57,CODIFICACION!$F$2:$F$500,0))="sin dato","",INDEX(CODIFICACION!$E$2:$E$500,MATCH("D3.14|"&amp;BB57,CODIFICACION!$F$2:$F$500,0))),"⚠"))</f>
        <v/>
      </c>
      <c r="X57" t="str">
        <f ca="1">IF(BC57="","",IFERROR(IF(INDEX(CODIFICACION!$E$2:$E$500,MATCH("D3.14a|"&amp;BC57,CODIFICACION!$F$2:$F$500,0))="sin dato","",INDEX(CODIFICACION!$E$2:$E$500,MATCH("D3.14a|"&amp;BC57,CODIFICACION!$F$2:$F$500,0))),"⚠"))</f>
        <v/>
      </c>
      <c r="Y57" t="str">
        <f>IF(BD57="","",IFERROR(IF(INDEX(CODIFICACION!$E$2:$E$500,MATCH("D3.14b|"&amp;BD57,CODIFICACION!$F$2:$F$500,0))="sin dato","",INDEX(CODIFICACION!$E$2:$E$500,MATCH("D3.14b|"&amp;BD57,CODIFICACION!$F$2:$F$500,0))),"⚠"))</f>
        <v/>
      </c>
      <c r="Z57" t="str">
        <f>IF(BE57="","",IFERROR(IF(INDEX(CODIFICACION!$E$2:$E$500,MATCH("D3.14c|"&amp;BE57,CODIFICACION!$F$2:$F$500,0))="sin dato","",INDEX(CODIFICACION!$E$2:$E$500,MATCH("D3.14c|"&amp;BE57,CODIFICACION!$F$2:$F$500,0))),"⚠"))</f>
        <v/>
      </c>
      <c r="AA57" t="str">
        <f>IF(BF57="","",IFERROR(IF(INDEX(CODIFICACION!$E$2:$E$500,MATCH("D3.14d|"&amp;BF57,CODIFICACION!$F$2:$F$500,0))="sin dato","",INDEX(CODIFICACION!$E$2:$E$500,MATCH("D3.14d|"&amp;BF57,CODIFICACION!$F$2:$F$500,0))),"⚠"))</f>
        <v/>
      </c>
      <c r="AB57" t="str">
        <f>IF(BG57="","",IFERROR(IF(INDEX(CODIFICACION!$E$2:$E$500,MATCH("D3.14e|"&amp;BG57,CODIFICACION!$F$2:$F$500,0))="sin dato","",INDEX(CODIFICACION!$E$2:$E$500,MATCH("D3.14e|"&amp;BG57,CODIFICACION!$F$2:$F$500,0))),"⚠"))</f>
        <v/>
      </c>
      <c r="AC57" t="str">
        <f>IF(BH57="","",IFERROR(IF(INDEX(CODIFICACION!$E$2:$E$500,MATCH("D3.14f|"&amp;BH57,CODIFICACION!$F$2:$F$500,0))="sin dato","",INDEX(CODIFICACION!$E$2:$E$500,MATCH("D3.14f|"&amp;BH57,CODIFICACION!$F$2:$F$500,0))),"⚠"))</f>
        <v/>
      </c>
      <c r="AD57" t="str">
        <f>IF(BI57="","",IFERROR(IF(INDEX(CODIFICACION!$E$2:$E$500,MATCH("D3.14g|"&amp;BI57,CODIFICACION!$F$2:$F$500,0))="sin dato","",INDEX(CODIFICACION!$E$2:$E$500,MATCH("D3.14g|"&amp;BI57,CODIFICACION!$F$2:$F$500,0))),"⚠"))</f>
        <v/>
      </c>
      <c r="AE57" t="str">
        <f>IF(BJ57="","",IFERROR(IF(INDEX(CODIFICACION!$E$2:$E$500,MATCH("D3.14h|"&amp;BJ57,CODIFICACION!$F$2:$F$500,0))="sin dato","",INDEX(CODIFICACION!$E$2:$E$500,MATCH("D3.14h|"&amp;BJ57,CODIFICACION!$F$2:$F$500,0))),"⚠"))</f>
        <v/>
      </c>
      <c r="AF57" t="str">
        <f>IF(BK57="","",IFERROR(IF(INDEX(CODIFICACION!$E$2:$E$500,MATCH("D3.14i|"&amp;BK57,CODIFICACION!$F$2:$F$500,0))="sin dato","",INDEX(CODIFICACION!$E$2:$E$500,MATCH("D3.14i|"&amp;BK57,CODIFICACION!$F$2:$F$500,0))),"⚠"))</f>
        <v/>
      </c>
      <c r="AG57" t="str">
        <f>IF(BL57="","",IFERROR(IF(INDEX(CODIFICACION!$E$2:$E$500,MATCH("D4.15|"&amp;BL57,CODIFICACION!$F$2:$F$500,0))="sin dato","",INDEX(CODIFICACION!$E$2:$E$500,MATCH("D4.15|"&amp;BL57,CODIFICACION!$F$2:$F$500,0))),"⚠"))</f>
        <v/>
      </c>
      <c r="AH57" t="str">
        <f t="shared" si="31"/>
        <v/>
      </c>
      <c r="AI57" t="str">
        <f>IF(BN57="","",IFERROR(IF(INDEX(CODIFICACION!$E$2:$E$500,MATCH("D4.17|"&amp;BN57,CODIFICACION!$F$2:$F$500,0))="sin dato","",INDEX(CODIFICACION!$E$2:$E$500,MATCH("D4.17|"&amp;BN57,CODIFICACION!$F$2:$F$500,0))),"⚠"))</f>
        <v/>
      </c>
      <c r="AJ57" t="str">
        <f>IF(BO57="","",IFERROR(IF(INDEX(CODIFICACION!$E$2:$E$500,MATCH("D4.15a|"&amp;BO57,CODIFICACION!$F$2:$F$500,0))="sin dato","",INDEX(CODIFICACION!$E$2:$E$500,MATCH("D4.15a|"&amp;BO57,CODIFICACION!$F$2:$F$500,0))),"⚠"))</f>
        <v/>
      </c>
      <c r="AK57" t="str">
        <f t="shared" si="32"/>
        <v/>
      </c>
      <c r="AL57" t="str">
        <f t="shared" si="33"/>
        <v/>
      </c>
      <c r="AM57" t="str">
        <f>IF(BR57="","",IFERROR(IF(INDEX(CODIFICACION!$E$2:$E$500,MATCH("D5.18b|"&amp;BR57,CODIFICACION!$F$2:$F$500,0))="sin dato","",INDEX(CODIFICACION!$E$2:$E$500,MATCH("D5.18b|"&amp;BR57,CODIFICACION!$F$2:$F$500,0))),"⚠"))</f>
        <v/>
      </c>
      <c r="AN57" t="str">
        <f>IF(BS57="","",IFERROR(IF(INDEX(CODIFICACION!$E$2:$E$500,MATCH("D5.19|"&amp;BS57,CODIFICACION!$F$2:$F$500,0))="sin dato","",INDEX(CODIFICACION!$E$2:$E$500,MATCH("D5.19|"&amp;BS57,CODIFICACION!$F$2:$F$500,0))),"⚠"))</f>
        <v/>
      </c>
      <c r="AO57" t="str">
        <f t="shared" si="34"/>
        <v/>
      </c>
      <c r="AP57" t="str">
        <f>IF(BU57="","",IFERROR(IF(INDEX(CODIFICACION!$E$2:$E$500,MATCH("D5.20|"&amp;BU57,CODIFICACION!$F$2:$F$500,0))="sin dato","",INDEX(CODIFICACION!$E$2:$E$500,MATCH("D5.20|"&amp;BU57,CODIFICACION!$F$2:$F$500,0))),"⚠"))</f>
        <v/>
      </c>
      <c r="AQ57" t="str">
        <f>IF(BV57="","",IFERROR(IF(INDEX(CODIFICACION!$E$2:$E$500,MATCH("D5.21|"&amp;BV57,CODIFICACION!$F$2:$F$500,0))="sin dato","",INDEX(CODIFICACION!$E$2:$E$500,MATCH("D5.21|"&amp;BV57,CODIFICACION!$F$2:$F$500,0))),"⚠"))</f>
        <v/>
      </c>
      <c r="AR57" t="str">
        <f>IF(BW57="","",IFERROR(IF(INDEX(CODIFICACION!$E$2:$E$500,MATCH("D5.21a|"&amp;BW57,CODIFICACION!$F$2:$F$500,0))="sin dato","",INDEX(CODIFICACION!$E$2:$E$500,MATCH("D5.21a|"&amp;BW57,CODIFICACION!$F$2:$F$500,0))),"⚠"))</f>
        <v/>
      </c>
      <c r="AS57" t="str">
        <f>IF(BX57="","",IFERROR(IF(INDEX(CODIFICACION!$E$2:$E$500,MATCH("D5.21b|"&amp;BX57,CODIFICACION!$F$2:$F$500,0))="sin dato","",INDEX(CODIFICACION!$E$2:$E$500,MATCH("D5.21b|"&amp;BX57,CODIFICACION!$F$2:$F$500,0))),"⚠"))</f>
        <v/>
      </c>
      <c r="AT57" t="str">
        <f>IF(BY57="","",IFERROR(IF(INDEX(CODIFICACION!$E$2:$E$500,MATCH("D6.22|"&amp;BY57,CODIFICACION!$F$2:$F$500,0))="sin dato","",INDEX(CODIFICACION!$E$2:$E$500,MATCH("D6.22|"&amp;BY57,CODIFICACION!$F$2:$F$500,0))),"⚠"))</f>
        <v/>
      </c>
      <c r="AU57" t="str">
        <f>IF(BZ57="","",IFERROR(IF(INDEX(CODIFICACION!$E$2:$E$500,MATCH("D6.22a|"&amp;BZ57,CODIFICACION!$F$2:$F$500,0))="sin dato","",INDEX(CODIFICACION!$E$2:$E$500,MATCH("D6.22a|"&amp;BZ57,CODIFICACION!$F$2:$F$500,0))),"⚠"))</f>
        <v/>
      </c>
      <c r="AV57" t="str">
        <f>IF(CA57="","",IFERROR(IF(INDEX(CODIFICACION!$E$2:$E$500,MATCH("D6.22b|"&amp;CA57,CODIFICACION!$F$2:$F$500,0))="sin dato","",INDEX(CODIFICACION!$E$2:$E$500,MATCH("D6.22b|"&amp;CA57,CODIFICACION!$F$2:$F$500,0))),"⚠"))</f>
        <v/>
      </c>
      <c r="AW57" t="str">
        <f>IF(CB57="","",IFERROR(IF(INDEX(CODIFICACION!$E$2:$E$500,MATCH("D6.23|"&amp;CB57,CODIFICACION!$F$2:$F$500,0))="sin dato","",INDEX(CODIFICACION!$E$2:$E$500,MATCH("D6.23|"&amp;CB57,CODIFICACION!$F$2:$F$500,0))),"⚠"))</f>
        <v/>
      </c>
      <c r="AX57" t="str">
        <f ca="1">IF(CC57="","",IFERROR(IF(INDEX(CODIFICACION!$E$2:$E$500,MATCH("D6.24|"&amp;CC57,CODIFICACION!$F$2:$F$500,0))="sin dato","",INDEX(CODIFICACION!$E$2:$E$500,MATCH("D6.24|"&amp;CC57,CODIFICACION!$F$2:$F$500,0))),"⚠"))</f>
        <v/>
      </c>
      <c r="AY57" t="str">
        <f ca="1">IF(CD57="","",IFERROR(IF(INDEX(CODIFICACION!$E$2:$E$500,MATCH("D6.25|"&amp;CD57,CODIFICACION!$F$2:$F$500,0))="sin dato","",INDEX(CODIFICACION!$E$2:$E$500,MATCH("D6.25|"&amp;CD57,CODIFICACION!$F$2:$F$500,0))),"⚠"))</f>
        <v/>
      </c>
      <c r="AZ57" t="str">
        <f>IF(CE57="","",IFERROR(IF(INDEX(CODIFICACION!$E$2:$E$500,MATCH("D6.25a|"&amp;CE57,CODIFICACION!$F$2:$F$500,0))="sin dato","",INDEX(CODIFICACION!$E$2:$E$500,MATCH("D6.25a|"&amp;CE57,CODIFICACION!$F$2:$F$500,0))),"⚠"))</f>
        <v/>
      </c>
      <c r="BA57" t="str">
        <f>IF(CF57="","",IFERROR(IF(INDEX(CODIFICACION!$E$2:$E$500,MATCH("D6.25b|"&amp;CF57,CODIFICACION!$F$2:$F$500,0))="sin dato","",INDEX(CODIFICACION!$E$2:$E$500,MATCH("D6.25b|"&amp;CF57,CODIFICACION!$F$2:$F$500,0))),"⚠"))</f>
        <v/>
      </c>
      <c r="BB57" t="str">
        <f ca="1">IF(CG57="","",IFERROR(IF(INDEX(CODIFICACION!$E$2:$E$500,MATCH("D6.22c|"&amp;CG57,CODIFICACION!$F$2:$F$500,0))="sin dato","",INDEX(CODIFICACION!$E$2:$E$500,MATCH("D6.22c|"&amp;CG57,CODIFICACION!$F$2:$F$500,0))),"⚠"))</f>
        <v/>
      </c>
      <c r="BC57" t="str">
        <f ca="1">IF(CH57="","",IFERROR(IF(INDEX(CODIFICACION!$E$2:$E$500,MATCH("D7.26|"&amp;CH57,CODIFICACION!$F$2:$F$500,0))="sin dato","",INDEX(CODIFICACION!$E$2:$E$500,MATCH("D7.26|"&amp;CH57,CODIFICACION!$F$2:$F$500,0))),"⚠"))</f>
        <v/>
      </c>
      <c r="BD57" t="str">
        <f>IF(CI57="","",IFERROR(IF(INDEX(CODIFICACION!$E$2:$E$500,MATCH("D7.27|"&amp;CI57,CODIFICACION!$F$2:$F$500,0))="sin dato","",INDEX(CODIFICACION!$E$2:$E$500,MATCH("D7.27|"&amp;CI57,CODIFICACION!$F$2:$F$500,0))),"⚠"))</f>
        <v/>
      </c>
      <c r="BE57" t="str">
        <f>IF(CJ57="","",IFERROR(IF(INDEX(CODIFICACION!$E$2:$E$500,MATCH("D7.28|"&amp;CJ57,CODIFICACION!$F$2:$F$500,0))="sin dato","",INDEX(CODIFICACION!$E$2:$E$500,MATCH("D7.28|"&amp;CJ57,CODIFICACION!$F$2:$F$500,0))),"⚠"))</f>
        <v/>
      </c>
      <c r="BF57" t="str">
        <f>IF(CK57="","",IFERROR(IF(INDEX(CODIFICACION!$E$2:$E$500,MATCH("D7.28b|"&amp;CK57,CODIFICACION!$F$2:$F$500,0))="sin dato","",INDEX(CODIFICACION!$E$2:$E$500,MATCH("D7.28b|"&amp;CK57,CODIFICACION!$F$2:$F$500,0))),"⚠"))</f>
        <v/>
      </c>
      <c r="BG57" t="str">
        <f t="shared" si="35"/>
        <v/>
      </c>
      <c r="BH57" t="str">
        <f>IF(CM57="","",IFERROR(IF(INDEX(CODIFICACION!$E$2:$E$500,MATCH("D7.26a|"&amp;CM57,CODIFICACION!$F$2:$F$500,0))="sin dato","",INDEX(CODIFICACION!$E$2:$E$500,MATCH("D7.26a|"&amp;CM57,CODIFICACION!$F$2:$F$500,0))),"⚠"))</f>
        <v/>
      </c>
      <c r="BI57" t="str">
        <f>IF(CN57="","",IFERROR(IF(INDEX(CODIFICACION!$E$2:$E$500,MATCH("D7.26b|"&amp;CN57,CODIFICACION!$F$2:$F$500,0))="sin dato","",INDEX(CODIFICACION!$E$2:$E$500,MATCH("D7.26b|"&amp;CN57,CODIFICACION!$F$2:$F$500,0))),"⚠"))</f>
        <v/>
      </c>
      <c r="BJ57" t="str">
        <f t="shared" si="36"/>
        <v/>
      </c>
      <c r="BK57" t="str">
        <f t="shared" si="37"/>
        <v/>
      </c>
      <c r="BL57" t="str">
        <f>IF(CQ57="","",IFERROR(IF(INDEX(CODIFICACION!$E$2:$E$500,MATCH("D8.31|"&amp;CQ57,CODIFICACION!$F$2:$F$500,0))="sin dato","",INDEX(CODIFICACION!$E$2:$E$500,MATCH("D8.31|"&amp;CQ57,CODIFICACION!$F$2:$F$500,0))),"⚠"))</f>
        <v/>
      </c>
      <c r="BM57" t="str">
        <f>IF(CR57="","",IFERROR(IF(INDEX(CODIFICACION!$E$2:$E$500,MATCH("D8.32|"&amp;CR57,CODIFICACION!$F$2:$F$500,0))="sin dato","",INDEX(CODIFICACION!$E$2:$E$500,MATCH("D8.32|"&amp;CR57,CODIFICACION!$F$2:$F$500,0))),"⚠"))</f>
        <v/>
      </c>
      <c r="BN57" t="str">
        <f>IF(CS57="","",IFERROR(IF(INDEX(CODIFICACION!$E$2:$E$500,MATCH("D9.33|"&amp;CS57,CODIFICACION!$F$2:$F$500,0))="sin dato","",INDEX(CODIFICACION!$E$2:$E$500,MATCH("D9.33|"&amp;CS57,CODIFICACION!$F$2:$F$500,0))),"⚠"))</f>
        <v/>
      </c>
      <c r="BO57" t="str">
        <f>IF(CT57="","",IFERROR(IF(INDEX(CODIFICACION!$E$2:$E$500,MATCH("D9.34|"&amp;CT57,CODIFICACION!$F$2:$F$500,0))="sin dato","",INDEX(CODIFICACION!$E$2:$E$500,MATCH("D9.34|"&amp;CT57,CODIFICACION!$F$2:$F$500,0))),"⚠"))</f>
        <v/>
      </c>
      <c r="BP57" t="str">
        <f>IF(CU57="","",IFERROR(IF(INDEX(CODIFICACION!$E$2:$E$500,MATCH("D9.35|"&amp;CU57,CODIFICACION!$F$2:$F$500,0))="sin dato","",INDEX(CODIFICACION!$E$2:$E$500,MATCH("D9.35|"&amp;CU57,CODIFICACION!$F$2:$F$500,0))),"⚠"))</f>
        <v/>
      </c>
      <c r="BQ57" t="str">
        <f>IF(CV57="","",IFERROR(IF(INDEX(CODIFICACION!$E$2:$E$500,MATCH("D10.36|"&amp;CV57,CODIFICACION!$F$2:$F$500,0))="sin dato","",INDEX(CODIFICACION!$E$2:$E$500,MATCH("D10.36|"&amp;CV57,CODIFICACION!$F$2:$F$500,0))),"⚠"))</f>
        <v/>
      </c>
      <c r="BR57" t="str">
        <f>IF(CW57="","",IFERROR(IF(INDEX(CODIFICACION!$E$2:$E$500,MATCH("D10.37|"&amp;CW57,CODIFICACION!$F$2:$F$500,0))="sin dato","",INDEX(CODIFICACION!$E$2:$E$500,MATCH("D10.37|"&amp;CW57,CODIFICACION!$F$2:$F$500,0))),"⚠"))</f>
        <v/>
      </c>
      <c r="BS57" t="str">
        <f>IF(CX57="","",IFERROR(IF(INDEX(CODIFICACION!$E$2:$E$500,MATCH("D10.36a|"&amp;CX57,CODIFICACION!$F$2:$F$500,0))="sin dato","",INDEX(CODIFICACION!$E$2:$E$500,MATCH("D10.36a|"&amp;CX57,CODIFICACION!$F$2:$F$500,0))),"⚠"))</f>
        <v/>
      </c>
      <c r="BT57" t="str">
        <f t="shared" si="38"/>
        <v/>
      </c>
      <c r="BU57" t="str">
        <f>IF(DA57="","",IFERROR(IF(INDEX(CODIFICACION!$E$2:$E$500,MATCH("D11.39a|"&amp;DA57,CODIFICACION!$F$2:$F$500,0))="sin dato","",INDEX(CODIFICACION!$E$2:$E$500,MATCH("D11.39a|"&amp;DA57,CODIFICACION!$F$2:$F$500,0))),"⚠"))</f>
        <v/>
      </c>
      <c r="BV57" t="str">
        <f>IF(DB57="","",IFERROR(IF(INDEX(CODIFICACION!$E$2:$E$500,MATCH("D12.42|"&amp;DB57,CODIFICACION!$F$2:$F$500,0))="sin dato","",INDEX(CODIFICACION!$E$2:$E$500,MATCH("D12.42|"&amp;DB57,CODIFICACION!$F$2:$F$500,0))),"⚠"))</f>
        <v/>
      </c>
      <c r="BW57" t="str">
        <f>IF(DC57="","",IFERROR(IF(INDEX(CODIFICACION!$E$2:$E$500,MATCH("D13.45|"&amp;DC57,CODIFICACION!$F$2:$F$500,0))="sin dato","",INDEX(CODIFICACION!$E$2:$E$500,MATCH("D13.45|"&amp;DC57,CODIFICACION!$F$2:$F$500,0))),"⚠"))</f>
        <v/>
      </c>
      <c r="BX57" t="str">
        <f>IF(DD57="","",IFERROR(IF(INDEX(CODIFICACION!$E$2:$E$500,MATCH("D14.51|"&amp;DD57,CODIFICACION!$F$2:$F$500,0))="sin dato","",INDEX(CODIFICACION!$E$2:$E$500,MATCH("D14.51|"&amp;DD57,CODIFICACION!$F$2:$F$500,0))),"⚠"))</f>
        <v/>
      </c>
      <c r="BY57" t="str">
        <f>IF(DE57="","",IFERROR(IF(INDEX(CODIFICACION!$E$2:$E$500,MATCH("D15.58|"&amp;DE57,CODIFICACION!$F$2:$F$500,0))="sin dato","",INDEX(CODIFICACION!$E$2:$E$500,MATCH("D15.58|"&amp;DE57,CODIFICACION!$F$2:$F$500,0))),"⚠"))</f>
        <v/>
      </c>
      <c r="BZ57" t="str">
        <f>IF(DF57="","",IFERROR(IF(INDEX(CODIFICACION!$E$2:$E$500,MATCH("PP1|"&amp;DF57,CODIFICACION!$F$2:$F$500,0))="sin dato","",INDEX(CODIFICACION!$E$2:$E$500,MATCH("PP1|"&amp;DF57,CODIFICACION!$F$2:$F$500,0))),"⚠"))</f>
        <v/>
      </c>
      <c r="CA57" t="str">
        <f>IF(DG57="","",IFERROR(IF(INDEX(CODIFICACION!$E$2:$E$500,MATCH("PP2|"&amp;DG57,CODIFICACION!$F$2:$F$500,0))="sin dato","",INDEX(CODIFICACION!$E$2:$E$500,MATCH("PP2|"&amp;DG57,CODIFICACION!$F$2:$F$500,0))),"⚠"))</f>
        <v/>
      </c>
      <c r="CB57" t="str">
        <f t="shared" si="39"/>
        <v/>
      </c>
      <c r="CC57" t="str">
        <f t="shared" ca="1" si="40"/>
        <v/>
      </c>
      <c r="CD57" t="str">
        <f t="shared" ca="1" si="41"/>
        <v/>
      </c>
      <c r="CE57" t="str">
        <f t="shared" si="42"/>
        <v/>
      </c>
      <c r="CF57" t="str">
        <f t="shared" si="43"/>
        <v/>
      </c>
      <c r="CG57" t="str">
        <f t="shared" ca="1" si="44"/>
        <v/>
      </c>
      <c r="CH57" t="str">
        <f t="shared" ca="1" si="45"/>
        <v/>
      </c>
      <c r="CI57" t="str">
        <f t="shared" si="46"/>
        <v/>
      </c>
      <c r="CJ57" t="str">
        <f t="shared" si="47"/>
        <v/>
      </c>
      <c r="CK57" t="str">
        <f t="shared" si="48"/>
        <v/>
      </c>
      <c r="CL57" t="str">
        <f t="shared" si="49"/>
        <v/>
      </c>
    </row>
    <row r="58" spans="1:90" x14ac:dyDescent="0.3">
      <c r="A58">
        <f>CAPTURA!A58</f>
        <v>20525969551</v>
      </c>
      <c r="B58">
        <f>CAPTURA!C58</f>
        <v>0</v>
      </c>
      <c r="C58" t="str">
        <f t="shared" si="25"/>
        <v/>
      </c>
      <c r="D58" t="str">
        <f>IF(AE58="","",IFERROR(IF(INDEX(CODIFICACION!$E$2:$E$500,MATCH("P8|"&amp;AE58,CODIFICACION!$F$2:$F$500,0))="sin dato","",INDEX(CODIFICACION!$E$2:$E$500,MATCH("P8|"&amp;AE58,CODIFICACION!$F$2:$F$500,0))),"⚠"))</f>
        <v/>
      </c>
      <c r="E58" t="str">
        <f>IF(AG58="","",IFERROR(IF(INDEX(CODIFICACION!$E$2:$E$500,MATCH("P10|"&amp;AG58,CODIFICACION!$F$2:$F$500,0))="sin dato","",INDEX(CODIFICACION!$E$2:$E$500,MATCH("P10|"&amp;AG58,CODIFICACION!$F$2:$F$500,0))),"⚠"))</f>
        <v/>
      </c>
      <c r="F58" t="str">
        <f>IF(AJ58="","",IFERROR(IF(INDEX(CODIFICACION!$E$2:$E$500,MATCH("P13|"&amp;AJ58,CODIFICACION!$F$2:$F$500,0))="sin dato","",INDEX(CODIFICACION!$E$2:$E$500,MATCH("P13|"&amp;AJ58,CODIFICACION!$F$2:$F$500,0))),"⚠"))</f>
        <v/>
      </c>
      <c r="G58" t="str">
        <f>IF(AK58="","",IFERROR(IF(INDEX(CODIFICACION!$E$2:$E$500,MATCH("P14|"&amp;AK58,CODIFICACION!$F$2:$F$500,0))="sin dato","",INDEX(CODIFICACION!$E$2:$E$500,MATCH("P14|"&amp;AK58,CODIFICACION!$F$2:$F$500,0))),"⚠"))</f>
        <v/>
      </c>
      <c r="H58" t="str">
        <f>IF(AL58="","",IFERROR(IF(INDEX(CODIFICACION!$E$2:$E$500,MATCH("D1.1|"&amp;AL58,CODIFICACION!$F$2:$F$500,0))="sin dato","",INDEX(CODIFICACION!$E$2:$E$500,MATCH("D1.1|"&amp;AL58,CODIFICACION!$F$2:$F$500,0))),"⚠"))</f>
        <v/>
      </c>
      <c r="I58" t="str">
        <f>IF(AN58="","",IFERROR(IF(INDEX(CODIFICACION!$E$2:$E$500,MATCH("D1.3|"&amp;AN58,CODIFICACION!$F$2:$F$500,0))="sin dato","",INDEX(CODIFICACION!$E$2:$E$500,MATCH("D1.3|"&amp;AN58,CODIFICACION!$F$2:$F$500,0))),"⚠"))</f>
        <v/>
      </c>
      <c r="J58" t="str">
        <f>IF(AO58="","",IFERROR(IF(INDEX(CODIFICACION!$E$2:$E$500,MATCH("D1.4|"&amp;AO58,CODIFICACION!$F$2:$F$500,0))="sin dato","",INDEX(CODIFICACION!$E$2:$E$500,MATCH("D1.4|"&amp;AO58,CODIFICACION!$F$2:$F$500,0))),"⚠"))</f>
        <v/>
      </c>
      <c r="K58" t="str">
        <f>IF(AP58="","",IFERROR(IF(INDEX(CODIFICACION!$E$2:$E$500,MATCH("D1.3a|"&amp;AP58,CODIFICACION!$F$2:$F$500,0))="sin dato","",INDEX(CODIFICACION!$E$2:$E$500,MATCH("D1.3a|"&amp;AP58,CODIFICACION!$F$2:$F$500,0))),"⚠"))</f>
        <v/>
      </c>
      <c r="L58" t="str">
        <f t="shared" si="26"/>
        <v/>
      </c>
      <c r="M58" t="str">
        <f t="shared" si="27"/>
        <v/>
      </c>
      <c r="N58" t="str">
        <f t="shared" si="28"/>
        <v/>
      </c>
      <c r="O58" t="str">
        <f>IF(AT58="","",IFERROR(IF(INDEX(CODIFICACION!$E$2:$E$500,MATCH("D2.8|"&amp;AT58,CODIFICACION!$F$2:$F$500,0))="sin dato","",INDEX(CODIFICACION!$E$2:$E$500,MATCH("D2.8|"&amp;AT58,CODIFICACION!$F$2:$F$500,0))),"⚠"))</f>
        <v/>
      </c>
      <c r="P58" t="str">
        <f>IF(AU58="","",IFERROR(IF(INDEX(CODIFICACION!$E$2:$E$500,MATCH("D2.9|"&amp;AU58,CODIFICACION!$F$2:$F$500,0))="sin dato","",INDEX(CODIFICACION!$E$2:$E$500,MATCH("D2.9|"&amp;AU58,CODIFICACION!$F$2:$F$500,0))),"⚠"))</f>
        <v/>
      </c>
      <c r="Q58" t="str">
        <f>IF(AV58="","",IFERROR(IF(INDEX(CODIFICACION!$E$2:$E$500,MATCH("D2.10|"&amp;AV58,CODIFICACION!$F$2:$F$500,0))="sin dato","",INDEX(CODIFICACION!$E$2:$E$500,MATCH("D2.10|"&amp;AV58,CODIFICACION!$F$2:$F$500,0))),"⚠"))</f>
        <v/>
      </c>
      <c r="R58" t="str">
        <f>IF(AW58="","",IFERROR(IF(INDEX(CODIFICACION!$E$2:$E$500,MATCH("D2.5a|"&amp;AW58,CODIFICACION!$F$2:$F$500,0))="sin dato","",INDEX(CODIFICACION!$E$2:$E$500,MATCH("D2.5a|"&amp;AW58,CODIFICACION!$F$2:$F$500,0))),"⚠"))</f>
        <v/>
      </c>
      <c r="S58" t="str">
        <f ca="1">IF(AX58="","",IFERROR(IF(INDEX(CODIFICACION!$E$2:$E$500,MATCH("D2.5b|"&amp;AX58,CODIFICACION!$F$2:$F$500,0))="sin dato","",INDEX(CODIFICACION!$E$2:$E$500,MATCH("D2.5b|"&amp;AX58,CODIFICACION!$F$2:$F$500,0))),"⚠"))</f>
        <v/>
      </c>
      <c r="T58" t="str">
        <f t="shared" ca="1" si="29"/>
        <v/>
      </c>
      <c r="U58" t="str">
        <f>IF(AZ58="","",IFERROR(IF(INDEX(CODIFICACION!$E$2:$E$500,MATCH("D3.12|"&amp;AZ58,CODIFICACION!$F$2:$F$500,0))="sin dato","",INDEX(CODIFICACION!$E$2:$E$500,MATCH("D3.12|"&amp;AZ58,CODIFICACION!$F$2:$F$500,0))),"⚠"))</f>
        <v/>
      </c>
      <c r="V58" t="str">
        <f t="shared" si="30"/>
        <v/>
      </c>
      <c r="W58" t="str">
        <f ca="1">IF(BB58="","",IFERROR(IF(INDEX(CODIFICACION!$E$2:$E$500,MATCH("D3.14|"&amp;BB58,CODIFICACION!$F$2:$F$500,0))="sin dato","",INDEX(CODIFICACION!$E$2:$E$500,MATCH("D3.14|"&amp;BB58,CODIFICACION!$F$2:$F$500,0))),"⚠"))</f>
        <v/>
      </c>
      <c r="X58" t="str">
        <f ca="1">IF(BC58="","",IFERROR(IF(INDEX(CODIFICACION!$E$2:$E$500,MATCH("D3.14a|"&amp;BC58,CODIFICACION!$F$2:$F$500,0))="sin dato","",INDEX(CODIFICACION!$E$2:$E$500,MATCH("D3.14a|"&amp;BC58,CODIFICACION!$F$2:$F$500,0))),"⚠"))</f>
        <v/>
      </c>
      <c r="Y58" t="str">
        <f>IF(BD58="","",IFERROR(IF(INDEX(CODIFICACION!$E$2:$E$500,MATCH("D3.14b|"&amp;BD58,CODIFICACION!$F$2:$F$500,0))="sin dato","",INDEX(CODIFICACION!$E$2:$E$500,MATCH("D3.14b|"&amp;BD58,CODIFICACION!$F$2:$F$500,0))),"⚠"))</f>
        <v/>
      </c>
      <c r="Z58" t="str">
        <f>IF(BE58="","",IFERROR(IF(INDEX(CODIFICACION!$E$2:$E$500,MATCH("D3.14c|"&amp;BE58,CODIFICACION!$F$2:$F$500,0))="sin dato","",INDEX(CODIFICACION!$E$2:$E$500,MATCH("D3.14c|"&amp;BE58,CODIFICACION!$F$2:$F$500,0))),"⚠"))</f>
        <v/>
      </c>
      <c r="AA58" t="str">
        <f>IF(BF58="","",IFERROR(IF(INDEX(CODIFICACION!$E$2:$E$500,MATCH("D3.14d|"&amp;BF58,CODIFICACION!$F$2:$F$500,0))="sin dato","",INDEX(CODIFICACION!$E$2:$E$500,MATCH("D3.14d|"&amp;BF58,CODIFICACION!$F$2:$F$500,0))),"⚠"))</f>
        <v/>
      </c>
      <c r="AB58" t="str">
        <f>IF(BG58="","",IFERROR(IF(INDEX(CODIFICACION!$E$2:$E$500,MATCH("D3.14e|"&amp;BG58,CODIFICACION!$F$2:$F$500,0))="sin dato","",INDEX(CODIFICACION!$E$2:$E$500,MATCH("D3.14e|"&amp;BG58,CODIFICACION!$F$2:$F$500,0))),"⚠"))</f>
        <v/>
      </c>
      <c r="AC58" t="str">
        <f>IF(BH58="","",IFERROR(IF(INDEX(CODIFICACION!$E$2:$E$500,MATCH("D3.14f|"&amp;BH58,CODIFICACION!$F$2:$F$500,0))="sin dato","",INDEX(CODIFICACION!$E$2:$E$500,MATCH("D3.14f|"&amp;BH58,CODIFICACION!$F$2:$F$500,0))),"⚠"))</f>
        <v/>
      </c>
      <c r="AD58" t="str">
        <f>IF(BI58="","",IFERROR(IF(INDEX(CODIFICACION!$E$2:$E$500,MATCH("D3.14g|"&amp;BI58,CODIFICACION!$F$2:$F$500,0))="sin dato","",INDEX(CODIFICACION!$E$2:$E$500,MATCH("D3.14g|"&amp;BI58,CODIFICACION!$F$2:$F$500,0))),"⚠"))</f>
        <v/>
      </c>
      <c r="AE58" t="str">
        <f>IF(BJ58="","",IFERROR(IF(INDEX(CODIFICACION!$E$2:$E$500,MATCH("D3.14h|"&amp;BJ58,CODIFICACION!$F$2:$F$500,0))="sin dato","",INDEX(CODIFICACION!$E$2:$E$500,MATCH("D3.14h|"&amp;BJ58,CODIFICACION!$F$2:$F$500,0))),"⚠"))</f>
        <v/>
      </c>
      <c r="AF58" t="str">
        <f>IF(BK58="","",IFERROR(IF(INDEX(CODIFICACION!$E$2:$E$500,MATCH("D3.14i|"&amp;BK58,CODIFICACION!$F$2:$F$500,0))="sin dato","",INDEX(CODIFICACION!$E$2:$E$500,MATCH("D3.14i|"&amp;BK58,CODIFICACION!$F$2:$F$500,0))),"⚠"))</f>
        <v/>
      </c>
      <c r="AG58" t="str">
        <f>IF(BL58="","",IFERROR(IF(INDEX(CODIFICACION!$E$2:$E$500,MATCH("D4.15|"&amp;BL58,CODIFICACION!$F$2:$F$500,0))="sin dato","",INDEX(CODIFICACION!$E$2:$E$500,MATCH("D4.15|"&amp;BL58,CODIFICACION!$F$2:$F$500,0))),"⚠"))</f>
        <v/>
      </c>
      <c r="AH58" t="str">
        <f t="shared" si="31"/>
        <v/>
      </c>
      <c r="AI58" t="str">
        <f>IF(BN58="","",IFERROR(IF(INDEX(CODIFICACION!$E$2:$E$500,MATCH("D4.17|"&amp;BN58,CODIFICACION!$F$2:$F$500,0))="sin dato","",INDEX(CODIFICACION!$E$2:$E$500,MATCH("D4.17|"&amp;BN58,CODIFICACION!$F$2:$F$500,0))),"⚠"))</f>
        <v/>
      </c>
      <c r="AJ58" t="str">
        <f>IF(BO58="","",IFERROR(IF(INDEX(CODIFICACION!$E$2:$E$500,MATCH("D4.15a|"&amp;BO58,CODIFICACION!$F$2:$F$500,0))="sin dato","",INDEX(CODIFICACION!$E$2:$E$500,MATCH("D4.15a|"&amp;BO58,CODIFICACION!$F$2:$F$500,0))),"⚠"))</f>
        <v/>
      </c>
      <c r="AK58" t="str">
        <f t="shared" si="32"/>
        <v/>
      </c>
      <c r="AL58" t="str">
        <f t="shared" si="33"/>
        <v/>
      </c>
      <c r="AM58" t="str">
        <f>IF(BR58="","",IFERROR(IF(INDEX(CODIFICACION!$E$2:$E$500,MATCH("D5.18b|"&amp;BR58,CODIFICACION!$F$2:$F$500,0))="sin dato","",INDEX(CODIFICACION!$E$2:$E$500,MATCH("D5.18b|"&amp;BR58,CODIFICACION!$F$2:$F$500,0))),"⚠"))</f>
        <v/>
      </c>
      <c r="AN58" t="str">
        <f>IF(BS58="","",IFERROR(IF(INDEX(CODIFICACION!$E$2:$E$500,MATCH("D5.19|"&amp;BS58,CODIFICACION!$F$2:$F$500,0))="sin dato","",INDEX(CODIFICACION!$E$2:$E$500,MATCH("D5.19|"&amp;BS58,CODIFICACION!$F$2:$F$500,0))),"⚠"))</f>
        <v/>
      </c>
      <c r="AO58" t="str">
        <f t="shared" si="34"/>
        <v/>
      </c>
      <c r="AP58" t="str">
        <f>IF(BU58="","",IFERROR(IF(INDEX(CODIFICACION!$E$2:$E$500,MATCH("D5.20|"&amp;BU58,CODIFICACION!$F$2:$F$500,0))="sin dato","",INDEX(CODIFICACION!$E$2:$E$500,MATCH("D5.20|"&amp;BU58,CODIFICACION!$F$2:$F$500,0))),"⚠"))</f>
        <v/>
      </c>
      <c r="AQ58" t="str">
        <f>IF(BV58="","",IFERROR(IF(INDEX(CODIFICACION!$E$2:$E$500,MATCH("D5.21|"&amp;BV58,CODIFICACION!$F$2:$F$500,0))="sin dato","",INDEX(CODIFICACION!$E$2:$E$500,MATCH("D5.21|"&amp;BV58,CODIFICACION!$F$2:$F$500,0))),"⚠"))</f>
        <v/>
      </c>
      <c r="AR58" t="str">
        <f>IF(BW58="","",IFERROR(IF(INDEX(CODIFICACION!$E$2:$E$500,MATCH("D5.21a|"&amp;BW58,CODIFICACION!$F$2:$F$500,0))="sin dato","",INDEX(CODIFICACION!$E$2:$E$500,MATCH("D5.21a|"&amp;BW58,CODIFICACION!$F$2:$F$500,0))),"⚠"))</f>
        <v/>
      </c>
      <c r="AS58" t="str">
        <f>IF(BX58="","",IFERROR(IF(INDEX(CODIFICACION!$E$2:$E$500,MATCH("D5.21b|"&amp;BX58,CODIFICACION!$F$2:$F$500,0))="sin dato","",INDEX(CODIFICACION!$E$2:$E$500,MATCH("D5.21b|"&amp;BX58,CODIFICACION!$F$2:$F$500,0))),"⚠"))</f>
        <v/>
      </c>
      <c r="AT58" t="str">
        <f>IF(BY58="","",IFERROR(IF(INDEX(CODIFICACION!$E$2:$E$500,MATCH("D6.22|"&amp;BY58,CODIFICACION!$F$2:$F$500,0))="sin dato","",INDEX(CODIFICACION!$E$2:$E$500,MATCH("D6.22|"&amp;BY58,CODIFICACION!$F$2:$F$500,0))),"⚠"))</f>
        <v/>
      </c>
      <c r="AU58" t="str">
        <f>IF(BZ58="","",IFERROR(IF(INDEX(CODIFICACION!$E$2:$E$500,MATCH("D6.22a|"&amp;BZ58,CODIFICACION!$F$2:$F$500,0))="sin dato","",INDEX(CODIFICACION!$E$2:$E$500,MATCH("D6.22a|"&amp;BZ58,CODIFICACION!$F$2:$F$500,0))),"⚠"))</f>
        <v/>
      </c>
      <c r="AV58" t="str">
        <f>IF(CA58="","",IFERROR(IF(INDEX(CODIFICACION!$E$2:$E$500,MATCH("D6.22b|"&amp;CA58,CODIFICACION!$F$2:$F$500,0))="sin dato","",INDEX(CODIFICACION!$E$2:$E$500,MATCH("D6.22b|"&amp;CA58,CODIFICACION!$F$2:$F$500,0))),"⚠"))</f>
        <v/>
      </c>
      <c r="AW58" t="str">
        <f>IF(CB58="","",IFERROR(IF(INDEX(CODIFICACION!$E$2:$E$500,MATCH("D6.23|"&amp;CB58,CODIFICACION!$F$2:$F$500,0))="sin dato","",INDEX(CODIFICACION!$E$2:$E$500,MATCH("D6.23|"&amp;CB58,CODIFICACION!$F$2:$F$500,0))),"⚠"))</f>
        <v/>
      </c>
      <c r="AX58" t="str">
        <f ca="1">IF(CC58="","",IFERROR(IF(INDEX(CODIFICACION!$E$2:$E$500,MATCH("D6.24|"&amp;CC58,CODIFICACION!$F$2:$F$500,0))="sin dato","",INDEX(CODIFICACION!$E$2:$E$500,MATCH("D6.24|"&amp;CC58,CODIFICACION!$F$2:$F$500,0))),"⚠"))</f>
        <v/>
      </c>
      <c r="AY58" t="str">
        <f ca="1">IF(CD58="","",IFERROR(IF(INDEX(CODIFICACION!$E$2:$E$500,MATCH("D6.25|"&amp;CD58,CODIFICACION!$F$2:$F$500,0))="sin dato","",INDEX(CODIFICACION!$E$2:$E$500,MATCH("D6.25|"&amp;CD58,CODIFICACION!$F$2:$F$500,0))),"⚠"))</f>
        <v/>
      </c>
      <c r="AZ58" t="str">
        <f>IF(CE58="","",IFERROR(IF(INDEX(CODIFICACION!$E$2:$E$500,MATCH("D6.25a|"&amp;CE58,CODIFICACION!$F$2:$F$500,0))="sin dato","",INDEX(CODIFICACION!$E$2:$E$500,MATCH("D6.25a|"&amp;CE58,CODIFICACION!$F$2:$F$500,0))),"⚠"))</f>
        <v/>
      </c>
      <c r="BA58" t="str">
        <f>IF(CF58="","",IFERROR(IF(INDEX(CODIFICACION!$E$2:$E$500,MATCH("D6.25b|"&amp;CF58,CODIFICACION!$F$2:$F$500,0))="sin dato","",INDEX(CODIFICACION!$E$2:$E$500,MATCH("D6.25b|"&amp;CF58,CODIFICACION!$F$2:$F$500,0))),"⚠"))</f>
        <v/>
      </c>
      <c r="BB58" t="str">
        <f ca="1">IF(CG58="","",IFERROR(IF(INDEX(CODIFICACION!$E$2:$E$500,MATCH("D6.22c|"&amp;CG58,CODIFICACION!$F$2:$F$500,0))="sin dato","",INDEX(CODIFICACION!$E$2:$E$500,MATCH("D6.22c|"&amp;CG58,CODIFICACION!$F$2:$F$500,0))),"⚠"))</f>
        <v/>
      </c>
      <c r="BC58" t="str">
        <f ca="1">IF(CH58="","",IFERROR(IF(INDEX(CODIFICACION!$E$2:$E$500,MATCH("D7.26|"&amp;CH58,CODIFICACION!$F$2:$F$500,0))="sin dato","",INDEX(CODIFICACION!$E$2:$E$500,MATCH("D7.26|"&amp;CH58,CODIFICACION!$F$2:$F$500,0))),"⚠"))</f>
        <v/>
      </c>
      <c r="BD58" t="str">
        <f>IF(CI58="","",IFERROR(IF(INDEX(CODIFICACION!$E$2:$E$500,MATCH("D7.27|"&amp;CI58,CODIFICACION!$F$2:$F$500,0))="sin dato","",INDEX(CODIFICACION!$E$2:$E$500,MATCH("D7.27|"&amp;CI58,CODIFICACION!$F$2:$F$500,0))),"⚠"))</f>
        <v/>
      </c>
      <c r="BE58" t="str">
        <f>IF(CJ58="","",IFERROR(IF(INDEX(CODIFICACION!$E$2:$E$500,MATCH("D7.28|"&amp;CJ58,CODIFICACION!$F$2:$F$500,0))="sin dato","",INDEX(CODIFICACION!$E$2:$E$500,MATCH("D7.28|"&amp;CJ58,CODIFICACION!$F$2:$F$500,0))),"⚠"))</f>
        <v/>
      </c>
      <c r="BF58" t="str">
        <f>IF(CK58="","",IFERROR(IF(INDEX(CODIFICACION!$E$2:$E$500,MATCH("D7.28b|"&amp;CK58,CODIFICACION!$F$2:$F$500,0))="sin dato","",INDEX(CODIFICACION!$E$2:$E$500,MATCH("D7.28b|"&amp;CK58,CODIFICACION!$F$2:$F$500,0))),"⚠"))</f>
        <v/>
      </c>
      <c r="BG58" t="str">
        <f t="shared" si="35"/>
        <v/>
      </c>
      <c r="BH58" t="str">
        <f>IF(CM58="","",IFERROR(IF(INDEX(CODIFICACION!$E$2:$E$500,MATCH("D7.26a|"&amp;CM58,CODIFICACION!$F$2:$F$500,0))="sin dato","",INDEX(CODIFICACION!$E$2:$E$500,MATCH("D7.26a|"&amp;CM58,CODIFICACION!$F$2:$F$500,0))),"⚠"))</f>
        <v/>
      </c>
      <c r="BI58" t="str">
        <f>IF(CN58="","",IFERROR(IF(INDEX(CODIFICACION!$E$2:$E$500,MATCH("D7.26b|"&amp;CN58,CODIFICACION!$F$2:$F$500,0))="sin dato","",INDEX(CODIFICACION!$E$2:$E$500,MATCH("D7.26b|"&amp;CN58,CODIFICACION!$F$2:$F$500,0))),"⚠"))</f>
        <v/>
      </c>
      <c r="BJ58" t="str">
        <f t="shared" si="36"/>
        <v/>
      </c>
      <c r="BK58" t="str">
        <f t="shared" si="37"/>
        <v/>
      </c>
      <c r="BL58" t="str">
        <f>IF(CQ58="","",IFERROR(IF(INDEX(CODIFICACION!$E$2:$E$500,MATCH("D8.31|"&amp;CQ58,CODIFICACION!$F$2:$F$500,0))="sin dato","",INDEX(CODIFICACION!$E$2:$E$500,MATCH("D8.31|"&amp;CQ58,CODIFICACION!$F$2:$F$500,0))),"⚠"))</f>
        <v/>
      </c>
      <c r="BM58" t="str">
        <f>IF(CR58="","",IFERROR(IF(INDEX(CODIFICACION!$E$2:$E$500,MATCH("D8.32|"&amp;CR58,CODIFICACION!$F$2:$F$500,0))="sin dato","",INDEX(CODIFICACION!$E$2:$E$500,MATCH("D8.32|"&amp;CR58,CODIFICACION!$F$2:$F$500,0))),"⚠"))</f>
        <v/>
      </c>
      <c r="BN58" t="str">
        <f>IF(CS58="","",IFERROR(IF(INDEX(CODIFICACION!$E$2:$E$500,MATCH("D9.33|"&amp;CS58,CODIFICACION!$F$2:$F$500,0))="sin dato","",INDEX(CODIFICACION!$E$2:$E$500,MATCH("D9.33|"&amp;CS58,CODIFICACION!$F$2:$F$500,0))),"⚠"))</f>
        <v/>
      </c>
      <c r="BO58" t="str">
        <f>IF(CT58="","",IFERROR(IF(INDEX(CODIFICACION!$E$2:$E$500,MATCH("D9.34|"&amp;CT58,CODIFICACION!$F$2:$F$500,0))="sin dato","",INDEX(CODIFICACION!$E$2:$E$500,MATCH("D9.34|"&amp;CT58,CODIFICACION!$F$2:$F$500,0))),"⚠"))</f>
        <v/>
      </c>
      <c r="BP58" t="str">
        <f>IF(CU58="","",IFERROR(IF(INDEX(CODIFICACION!$E$2:$E$500,MATCH("D9.35|"&amp;CU58,CODIFICACION!$F$2:$F$500,0))="sin dato","",INDEX(CODIFICACION!$E$2:$E$500,MATCH("D9.35|"&amp;CU58,CODIFICACION!$F$2:$F$500,0))),"⚠"))</f>
        <v/>
      </c>
      <c r="BQ58" t="str">
        <f>IF(CV58="","",IFERROR(IF(INDEX(CODIFICACION!$E$2:$E$500,MATCH("D10.36|"&amp;CV58,CODIFICACION!$F$2:$F$500,0))="sin dato","",INDEX(CODIFICACION!$E$2:$E$500,MATCH("D10.36|"&amp;CV58,CODIFICACION!$F$2:$F$500,0))),"⚠"))</f>
        <v/>
      </c>
      <c r="BR58" t="str">
        <f>IF(CW58="","",IFERROR(IF(INDEX(CODIFICACION!$E$2:$E$500,MATCH("D10.37|"&amp;CW58,CODIFICACION!$F$2:$F$500,0))="sin dato","",INDEX(CODIFICACION!$E$2:$E$500,MATCH("D10.37|"&amp;CW58,CODIFICACION!$F$2:$F$500,0))),"⚠"))</f>
        <v/>
      </c>
      <c r="BS58" t="str">
        <f>IF(CX58="","",IFERROR(IF(INDEX(CODIFICACION!$E$2:$E$500,MATCH("D10.36a|"&amp;CX58,CODIFICACION!$F$2:$F$500,0))="sin dato","",INDEX(CODIFICACION!$E$2:$E$500,MATCH("D10.36a|"&amp;CX58,CODIFICACION!$F$2:$F$500,0))),"⚠"))</f>
        <v/>
      </c>
      <c r="BT58" t="str">
        <f t="shared" si="38"/>
        <v/>
      </c>
      <c r="BU58" t="str">
        <f>IF(DA58="","",IFERROR(IF(INDEX(CODIFICACION!$E$2:$E$500,MATCH("D11.39a|"&amp;DA58,CODIFICACION!$F$2:$F$500,0))="sin dato","",INDEX(CODIFICACION!$E$2:$E$500,MATCH("D11.39a|"&amp;DA58,CODIFICACION!$F$2:$F$500,0))),"⚠"))</f>
        <v/>
      </c>
      <c r="BV58" t="str">
        <f>IF(DB58="","",IFERROR(IF(INDEX(CODIFICACION!$E$2:$E$500,MATCH("D12.42|"&amp;DB58,CODIFICACION!$F$2:$F$500,0))="sin dato","",INDEX(CODIFICACION!$E$2:$E$500,MATCH("D12.42|"&amp;DB58,CODIFICACION!$F$2:$F$500,0))),"⚠"))</f>
        <v/>
      </c>
      <c r="BW58" t="str">
        <f>IF(DC58="","",IFERROR(IF(INDEX(CODIFICACION!$E$2:$E$500,MATCH("D13.45|"&amp;DC58,CODIFICACION!$F$2:$F$500,0))="sin dato","",INDEX(CODIFICACION!$E$2:$E$500,MATCH("D13.45|"&amp;DC58,CODIFICACION!$F$2:$F$500,0))),"⚠"))</f>
        <v/>
      </c>
      <c r="BX58" t="str">
        <f>IF(DD58="","",IFERROR(IF(INDEX(CODIFICACION!$E$2:$E$500,MATCH("D14.51|"&amp;DD58,CODIFICACION!$F$2:$F$500,0))="sin dato","",INDEX(CODIFICACION!$E$2:$E$500,MATCH("D14.51|"&amp;DD58,CODIFICACION!$F$2:$F$500,0))),"⚠"))</f>
        <v/>
      </c>
      <c r="BY58" t="str">
        <f>IF(DE58="","",IFERROR(IF(INDEX(CODIFICACION!$E$2:$E$500,MATCH("D15.58|"&amp;DE58,CODIFICACION!$F$2:$F$500,0))="sin dato","",INDEX(CODIFICACION!$E$2:$E$500,MATCH("D15.58|"&amp;DE58,CODIFICACION!$F$2:$F$500,0))),"⚠"))</f>
        <v/>
      </c>
      <c r="BZ58" t="str">
        <f>IF(DF58="","",IFERROR(IF(INDEX(CODIFICACION!$E$2:$E$500,MATCH("PP1|"&amp;DF58,CODIFICACION!$F$2:$F$500,0))="sin dato","",INDEX(CODIFICACION!$E$2:$E$500,MATCH("PP1|"&amp;DF58,CODIFICACION!$F$2:$F$500,0))),"⚠"))</f>
        <v/>
      </c>
      <c r="CA58" t="str">
        <f>IF(DG58="","",IFERROR(IF(INDEX(CODIFICACION!$E$2:$E$500,MATCH("PP2|"&amp;DG58,CODIFICACION!$F$2:$F$500,0))="sin dato","",INDEX(CODIFICACION!$E$2:$E$500,MATCH("PP2|"&amp;DG58,CODIFICACION!$F$2:$F$500,0))),"⚠"))</f>
        <v/>
      </c>
      <c r="CB58" t="str">
        <f t="shared" si="39"/>
        <v/>
      </c>
      <c r="CC58" t="str">
        <f t="shared" ca="1" si="40"/>
        <v/>
      </c>
      <c r="CD58" t="str">
        <f t="shared" ca="1" si="41"/>
        <v/>
      </c>
      <c r="CE58" t="str">
        <f t="shared" si="42"/>
        <v/>
      </c>
      <c r="CF58" t="str">
        <f t="shared" si="43"/>
        <v/>
      </c>
      <c r="CG58" t="str">
        <f t="shared" ca="1" si="44"/>
        <v/>
      </c>
      <c r="CH58" t="str">
        <f t="shared" ca="1" si="45"/>
        <v/>
      </c>
      <c r="CI58" t="str">
        <f t="shared" si="46"/>
        <v/>
      </c>
      <c r="CJ58" t="str">
        <f t="shared" si="47"/>
        <v/>
      </c>
      <c r="CK58" t="str">
        <f t="shared" si="48"/>
        <v/>
      </c>
      <c r="CL58" t="str">
        <f t="shared" si="49"/>
        <v/>
      </c>
    </row>
    <row r="59" spans="1:90" x14ac:dyDescent="0.3">
      <c r="A59">
        <f>CAPTURA!A59</f>
        <v>20526514689</v>
      </c>
      <c r="B59">
        <f>CAPTURA!C59</f>
        <v>0</v>
      </c>
      <c r="C59" t="str">
        <f t="shared" si="25"/>
        <v/>
      </c>
      <c r="D59" t="str">
        <f>IF(AE59="","",IFERROR(IF(INDEX(CODIFICACION!$E$2:$E$500,MATCH("P8|"&amp;AE59,CODIFICACION!$F$2:$F$500,0))="sin dato","",INDEX(CODIFICACION!$E$2:$E$500,MATCH("P8|"&amp;AE59,CODIFICACION!$F$2:$F$500,0))),"⚠"))</f>
        <v/>
      </c>
      <c r="E59" t="str">
        <f>IF(AG59="","",IFERROR(IF(INDEX(CODIFICACION!$E$2:$E$500,MATCH("P10|"&amp;AG59,CODIFICACION!$F$2:$F$500,0))="sin dato","",INDEX(CODIFICACION!$E$2:$E$500,MATCH("P10|"&amp;AG59,CODIFICACION!$F$2:$F$500,0))),"⚠"))</f>
        <v/>
      </c>
      <c r="F59" t="str">
        <f>IF(AJ59="","",IFERROR(IF(INDEX(CODIFICACION!$E$2:$E$500,MATCH("P13|"&amp;AJ59,CODIFICACION!$F$2:$F$500,0))="sin dato","",INDEX(CODIFICACION!$E$2:$E$500,MATCH("P13|"&amp;AJ59,CODIFICACION!$F$2:$F$500,0))),"⚠"))</f>
        <v/>
      </c>
      <c r="G59" t="str">
        <f>IF(AK59="","",IFERROR(IF(INDEX(CODIFICACION!$E$2:$E$500,MATCH("P14|"&amp;AK59,CODIFICACION!$F$2:$F$500,0))="sin dato","",INDEX(CODIFICACION!$E$2:$E$500,MATCH("P14|"&amp;AK59,CODIFICACION!$F$2:$F$500,0))),"⚠"))</f>
        <v/>
      </c>
      <c r="H59" t="str">
        <f>IF(AL59="","",IFERROR(IF(INDEX(CODIFICACION!$E$2:$E$500,MATCH("D1.1|"&amp;AL59,CODIFICACION!$F$2:$F$500,0))="sin dato","",INDEX(CODIFICACION!$E$2:$E$500,MATCH("D1.1|"&amp;AL59,CODIFICACION!$F$2:$F$500,0))),"⚠"))</f>
        <v/>
      </c>
      <c r="I59" t="str">
        <f>IF(AN59="","",IFERROR(IF(INDEX(CODIFICACION!$E$2:$E$500,MATCH("D1.3|"&amp;AN59,CODIFICACION!$F$2:$F$500,0))="sin dato","",INDEX(CODIFICACION!$E$2:$E$500,MATCH("D1.3|"&amp;AN59,CODIFICACION!$F$2:$F$500,0))),"⚠"))</f>
        <v/>
      </c>
      <c r="J59" t="str">
        <f>IF(AO59="","",IFERROR(IF(INDEX(CODIFICACION!$E$2:$E$500,MATCH("D1.4|"&amp;AO59,CODIFICACION!$F$2:$F$500,0))="sin dato","",INDEX(CODIFICACION!$E$2:$E$500,MATCH("D1.4|"&amp;AO59,CODIFICACION!$F$2:$F$500,0))),"⚠"))</f>
        <v/>
      </c>
      <c r="K59" t="str">
        <f>IF(AP59="","",IFERROR(IF(INDEX(CODIFICACION!$E$2:$E$500,MATCH("D1.3a|"&amp;AP59,CODIFICACION!$F$2:$F$500,0))="sin dato","",INDEX(CODIFICACION!$E$2:$E$500,MATCH("D1.3a|"&amp;AP59,CODIFICACION!$F$2:$F$500,0))),"⚠"))</f>
        <v/>
      </c>
      <c r="L59" t="str">
        <f t="shared" si="26"/>
        <v/>
      </c>
      <c r="M59" t="str">
        <f t="shared" si="27"/>
        <v/>
      </c>
      <c r="N59" t="str">
        <f t="shared" si="28"/>
        <v/>
      </c>
      <c r="O59" t="str">
        <f>IF(AT59="","",IFERROR(IF(INDEX(CODIFICACION!$E$2:$E$500,MATCH("D2.8|"&amp;AT59,CODIFICACION!$F$2:$F$500,0))="sin dato","",INDEX(CODIFICACION!$E$2:$E$500,MATCH("D2.8|"&amp;AT59,CODIFICACION!$F$2:$F$500,0))),"⚠"))</f>
        <v/>
      </c>
      <c r="P59" t="str">
        <f>IF(AU59="","",IFERROR(IF(INDEX(CODIFICACION!$E$2:$E$500,MATCH("D2.9|"&amp;AU59,CODIFICACION!$F$2:$F$500,0))="sin dato","",INDEX(CODIFICACION!$E$2:$E$500,MATCH("D2.9|"&amp;AU59,CODIFICACION!$F$2:$F$500,0))),"⚠"))</f>
        <v/>
      </c>
      <c r="Q59" t="str">
        <f>IF(AV59="","",IFERROR(IF(INDEX(CODIFICACION!$E$2:$E$500,MATCH("D2.10|"&amp;AV59,CODIFICACION!$F$2:$F$500,0))="sin dato","",INDEX(CODIFICACION!$E$2:$E$500,MATCH("D2.10|"&amp;AV59,CODIFICACION!$F$2:$F$500,0))),"⚠"))</f>
        <v/>
      </c>
      <c r="R59" t="str">
        <f>IF(AW59="","",IFERROR(IF(INDEX(CODIFICACION!$E$2:$E$500,MATCH("D2.5a|"&amp;AW59,CODIFICACION!$F$2:$F$500,0))="sin dato","",INDEX(CODIFICACION!$E$2:$E$500,MATCH("D2.5a|"&amp;AW59,CODIFICACION!$F$2:$F$500,0))),"⚠"))</f>
        <v/>
      </c>
      <c r="S59" t="str">
        <f ca="1">IF(AX59="","",IFERROR(IF(INDEX(CODIFICACION!$E$2:$E$500,MATCH("D2.5b|"&amp;AX59,CODIFICACION!$F$2:$F$500,0))="sin dato","",INDEX(CODIFICACION!$E$2:$E$500,MATCH("D2.5b|"&amp;AX59,CODIFICACION!$F$2:$F$500,0))),"⚠"))</f>
        <v/>
      </c>
      <c r="T59" t="str">
        <f t="shared" ca="1" si="29"/>
        <v/>
      </c>
      <c r="U59" t="str">
        <f>IF(AZ59="","",IFERROR(IF(INDEX(CODIFICACION!$E$2:$E$500,MATCH("D3.12|"&amp;AZ59,CODIFICACION!$F$2:$F$500,0))="sin dato","",INDEX(CODIFICACION!$E$2:$E$500,MATCH("D3.12|"&amp;AZ59,CODIFICACION!$F$2:$F$500,0))),"⚠"))</f>
        <v/>
      </c>
      <c r="V59" t="str">
        <f t="shared" si="30"/>
        <v/>
      </c>
      <c r="W59" t="str">
        <f ca="1">IF(BB59="","",IFERROR(IF(INDEX(CODIFICACION!$E$2:$E$500,MATCH("D3.14|"&amp;BB59,CODIFICACION!$F$2:$F$500,0))="sin dato","",INDEX(CODIFICACION!$E$2:$E$500,MATCH("D3.14|"&amp;BB59,CODIFICACION!$F$2:$F$500,0))),"⚠"))</f>
        <v/>
      </c>
      <c r="X59" t="str">
        <f ca="1">IF(BC59="","",IFERROR(IF(INDEX(CODIFICACION!$E$2:$E$500,MATCH("D3.14a|"&amp;BC59,CODIFICACION!$F$2:$F$500,0))="sin dato","",INDEX(CODIFICACION!$E$2:$E$500,MATCH("D3.14a|"&amp;BC59,CODIFICACION!$F$2:$F$500,0))),"⚠"))</f>
        <v/>
      </c>
      <c r="Y59" t="str">
        <f>IF(BD59="","",IFERROR(IF(INDEX(CODIFICACION!$E$2:$E$500,MATCH("D3.14b|"&amp;BD59,CODIFICACION!$F$2:$F$500,0))="sin dato","",INDEX(CODIFICACION!$E$2:$E$500,MATCH("D3.14b|"&amp;BD59,CODIFICACION!$F$2:$F$500,0))),"⚠"))</f>
        <v/>
      </c>
      <c r="Z59" t="str">
        <f>IF(BE59="","",IFERROR(IF(INDEX(CODIFICACION!$E$2:$E$500,MATCH("D3.14c|"&amp;BE59,CODIFICACION!$F$2:$F$500,0))="sin dato","",INDEX(CODIFICACION!$E$2:$E$500,MATCH("D3.14c|"&amp;BE59,CODIFICACION!$F$2:$F$500,0))),"⚠"))</f>
        <v/>
      </c>
      <c r="AA59" t="str">
        <f>IF(BF59="","",IFERROR(IF(INDEX(CODIFICACION!$E$2:$E$500,MATCH("D3.14d|"&amp;BF59,CODIFICACION!$F$2:$F$500,0))="sin dato","",INDEX(CODIFICACION!$E$2:$E$500,MATCH("D3.14d|"&amp;BF59,CODIFICACION!$F$2:$F$500,0))),"⚠"))</f>
        <v/>
      </c>
      <c r="AB59" t="str">
        <f>IF(BG59="","",IFERROR(IF(INDEX(CODIFICACION!$E$2:$E$500,MATCH("D3.14e|"&amp;BG59,CODIFICACION!$F$2:$F$500,0))="sin dato","",INDEX(CODIFICACION!$E$2:$E$500,MATCH("D3.14e|"&amp;BG59,CODIFICACION!$F$2:$F$500,0))),"⚠"))</f>
        <v/>
      </c>
      <c r="AC59" t="str">
        <f>IF(BH59="","",IFERROR(IF(INDEX(CODIFICACION!$E$2:$E$500,MATCH("D3.14f|"&amp;BH59,CODIFICACION!$F$2:$F$500,0))="sin dato","",INDEX(CODIFICACION!$E$2:$E$500,MATCH("D3.14f|"&amp;BH59,CODIFICACION!$F$2:$F$500,0))),"⚠"))</f>
        <v/>
      </c>
      <c r="AD59" t="str">
        <f>IF(BI59="","",IFERROR(IF(INDEX(CODIFICACION!$E$2:$E$500,MATCH("D3.14g|"&amp;BI59,CODIFICACION!$F$2:$F$500,0))="sin dato","",INDEX(CODIFICACION!$E$2:$E$500,MATCH("D3.14g|"&amp;BI59,CODIFICACION!$F$2:$F$500,0))),"⚠"))</f>
        <v/>
      </c>
      <c r="AE59" t="str">
        <f>IF(BJ59="","",IFERROR(IF(INDEX(CODIFICACION!$E$2:$E$500,MATCH("D3.14h|"&amp;BJ59,CODIFICACION!$F$2:$F$500,0))="sin dato","",INDEX(CODIFICACION!$E$2:$E$500,MATCH("D3.14h|"&amp;BJ59,CODIFICACION!$F$2:$F$500,0))),"⚠"))</f>
        <v/>
      </c>
      <c r="AF59" t="str">
        <f>IF(BK59="","",IFERROR(IF(INDEX(CODIFICACION!$E$2:$E$500,MATCH("D3.14i|"&amp;BK59,CODIFICACION!$F$2:$F$500,0))="sin dato","",INDEX(CODIFICACION!$E$2:$E$500,MATCH("D3.14i|"&amp;BK59,CODIFICACION!$F$2:$F$500,0))),"⚠"))</f>
        <v/>
      </c>
      <c r="AG59" t="str">
        <f>IF(BL59="","",IFERROR(IF(INDEX(CODIFICACION!$E$2:$E$500,MATCH("D4.15|"&amp;BL59,CODIFICACION!$F$2:$F$500,0))="sin dato","",INDEX(CODIFICACION!$E$2:$E$500,MATCH("D4.15|"&amp;BL59,CODIFICACION!$F$2:$F$500,0))),"⚠"))</f>
        <v/>
      </c>
      <c r="AH59" t="str">
        <f t="shared" si="31"/>
        <v/>
      </c>
      <c r="AI59" t="str">
        <f>IF(BN59="","",IFERROR(IF(INDEX(CODIFICACION!$E$2:$E$500,MATCH("D4.17|"&amp;BN59,CODIFICACION!$F$2:$F$500,0))="sin dato","",INDEX(CODIFICACION!$E$2:$E$500,MATCH("D4.17|"&amp;BN59,CODIFICACION!$F$2:$F$500,0))),"⚠"))</f>
        <v/>
      </c>
      <c r="AJ59" t="str">
        <f>IF(BO59="","",IFERROR(IF(INDEX(CODIFICACION!$E$2:$E$500,MATCH("D4.15a|"&amp;BO59,CODIFICACION!$F$2:$F$500,0))="sin dato","",INDEX(CODIFICACION!$E$2:$E$500,MATCH("D4.15a|"&amp;BO59,CODIFICACION!$F$2:$F$500,0))),"⚠"))</f>
        <v/>
      </c>
      <c r="AK59" t="str">
        <f t="shared" si="32"/>
        <v/>
      </c>
      <c r="AL59" t="str">
        <f t="shared" si="33"/>
        <v/>
      </c>
      <c r="AM59" t="str">
        <f>IF(BR59="","",IFERROR(IF(INDEX(CODIFICACION!$E$2:$E$500,MATCH("D5.18b|"&amp;BR59,CODIFICACION!$F$2:$F$500,0))="sin dato","",INDEX(CODIFICACION!$E$2:$E$500,MATCH("D5.18b|"&amp;BR59,CODIFICACION!$F$2:$F$500,0))),"⚠"))</f>
        <v/>
      </c>
      <c r="AN59" t="str">
        <f>IF(BS59="","",IFERROR(IF(INDEX(CODIFICACION!$E$2:$E$500,MATCH("D5.19|"&amp;BS59,CODIFICACION!$F$2:$F$500,0))="sin dato","",INDEX(CODIFICACION!$E$2:$E$500,MATCH("D5.19|"&amp;BS59,CODIFICACION!$F$2:$F$500,0))),"⚠"))</f>
        <v/>
      </c>
      <c r="AO59" t="str">
        <f t="shared" si="34"/>
        <v/>
      </c>
      <c r="AP59" t="str">
        <f>IF(BU59="","",IFERROR(IF(INDEX(CODIFICACION!$E$2:$E$500,MATCH("D5.20|"&amp;BU59,CODIFICACION!$F$2:$F$500,0))="sin dato","",INDEX(CODIFICACION!$E$2:$E$500,MATCH("D5.20|"&amp;BU59,CODIFICACION!$F$2:$F$500,0))),"⚠"))</f>
        <v/>
      </c>
      <c r="AQ59" t="str">
        <f>IF(BV59="","",IFERROR(IF(INDEX(CODIFICACION!$E$2:$E$500,MATCH("D5.21|"&amp;BV59,CODIFICACION!$F$2:$F$500,0))="sin dato","",INDEX(CODIFICACION!$E$2:$E$500,MATCH("D5.21|"&amp;BV59,CODIFICACION!$F$2:$F$500,0))),"⚠"))</f>
        <v/>
      </c>
      <c r="AR59" t="str">
        <f>IF(BW59="","",IFERROR(IF(INDEX(CODIFICACION!$E$2:$E$500,MATCH("D5.21a|"&amp;BW59,CODIFICACION!$F$2:$F$500,0))="sin dato","",INDEX(CODIFICACION!$E$2:$E$500,MATCH("D5.21a|"&amp;BW59,CODIFICACION!$F$2:$F$500,0))),"⚠"))</f>
        <v/>
      </c>
      <c r="AS59" t="str">
        <f>IF(BX59="","",IFERROR(IF(INDEX(CODIFICACION!$E$2:$E$500,MATCH("D5.21b|"&amp;BX59,CODIFICACION!$F$2:$F$500,0))="sin dato","",INDEX(CODIFICACION!$E$2:$E$500,MATCH("D5.21b|"&amp;BX59,CODIFICACION!$F$2:$F$500,0))),"⚠"))</f>
        <v/>
      </c>
      <c r="AT59" t="str">
        <f>IF(BY59="","",IFERROR(IF(INDEX(CODIFICACION!$E$2:$E$500,MATCH("D6.22|"&amp;BY59,CODIFICACION!$F$2:$F$500,0))="sin dato","",INDEX(CODIFICACION!$E$2:$E$500,MATCH("D6.22|"&amp;BY59,CODIFICACION!$F$2:$F$500,0))),"⚠"))</f>
        <v/>
      </c>
      <c r="AU59" t="str">
        <f>IF(BZ59="","",IFERROR(IF(INDEX(CODIFICACION!$E$2:$E$500,MATCH("D6.22a|"&amp;BZ59,CODIFICACION!$F$2:$F$500,0))="sin dato","",INDEX(CODIFICACION!$E$2:$E$500,MATCH("D6.22a|"&amp;BZ59,CODIFICACION!$F$2:$F$500,0))),"⚠"))</f>
        <v/>
      </c>
      <c r="AV59" t="str">
        <f>IF(CA59="","",IFERROR(IF(INDEX(CODIFICACION!$E$2:$E$500,MATCH("D6.22b|"&amp;CA59,CODIFICACION!$F$2:$F$500,0))="sin dato","",INDEX(CODIFICACION!$E$2:$E$500,MATCH("D6.22b|"&amp;CA59,CODIFICACION!$F$2:$F$500,0))),"⚠"))</f>
        <v/>
      </c>
      <c r="AW59" t="str">
        <f>IF(CB59="","",IFERROR(IF(INDEX(CODIFICACION!$E$2:$E$500,MATCH("D6.23|"&amp;CB59,CODIFICACION!$F$2:$F$500,0))="sin dato","",INDEX(CODIFICACION!$E$2:$E$500,MATCH("D6.23|"&amp;CB59,CODIFICACION!$F$2:$F$500,0))),"⚠"))</f>
        <v/>
      </c>
      <c r="AX59" t="str">
        <f ca="1">IF(CC59="","",IFERROR(IF(INDEX(CODIFICACION!$E$2:$E$500,MATCH("D6.24|"&amp;CC59,CODIFICACION!$F$2:$F$500,0))="sin dato","",INDEX(CODIFICACION!$E$2:$E$500,MATCH("D6.24|"&amp;CC59,CODIFICACION!$F$2:$F$500,0))),"⚠"))</f>
        <v/>
      </c>
      <c r="AY59" t="str">
        <f ca="1">IF(CD59="","",IFERROR(IF(INDEX(CODIFICACION!$E$2:$E$500,MATCH("D6.25|"&amp;CD59,CODIFICACION!$F$2:$F$500,0))="sin dato","",INDEX(CODIFICACION!$E$2:$E$500,MATCH("D6.25|"&amp;CD59,CODIFICACION!$F$2:$F$500,0))),"⚠"))</f>
        <v/>
      </c>
      <c r="AZ59" t="str">
        <f>IF(CE59="","",IFERROR(IF(INDEX(CODIFICACION!$E$2:$E$500,MATCH("D6.25a|"&amp;CE59,CODIFICACION!$F$2:$F$500,0))="sin dato","",INDEX(CODIFICACION!$E$2:$E$500,MATCH("D6.25a|"&amp;CE59,CODIFICACION!$F$2:$F$500,0))),"⚠"))</f>
        <v/>
      </c>
      <c r="BA59" t="str">
        <f>IF(CF59="","",IFERROR(IF(INDEX(CODIFICACION!$E$2:$E$500,MATCH("D6.25b|"&amp;CF59,CODIFICACION!$F$2:$F$500,0))="sin dato","",INDEX(CODIFICACION!$E$2:$E$500,MATCH("D6.25b|"&amp;CF59,CODIFICACION!$F$2:$F$500,0))),"⚠"))</f>
        <v/>
      </c>
      <c r="BB59" t="str">
        <f ca="1">IF(CG59="","",IFERROR(IF(INDEX(CODIFICACION!$E$2:$E$500,MATCH("D6.22c|"&amp;CG59,CODIFICACION!$F$2:$F$500,0))="sin dato","",INDEX(CODIFICACION!$E$2:$E$500,MATCH("D6.22c|"&amp;CG59,CODIFICACION!$F$2:$F$500,0))),"⚠"))</f>
        <v/>
      </c>
      <c r="BC59" t="str">
        <f ca="1">IF(CH59="","",IFERROR(IF(INDEX(CODIFICACION!$E$2:$E$500,MATCH("D7.26|"&amp;CH59,CODIFICACION!$F$2:$F$500,0))="sin dato","",INDEX(CODIFICACION!$E$2:$E$500,MATCH("D7.26|"&amp;CH59,CODIFICACION!$F$2:$F$500,0))),"⚠"))</f>
        <v/>
      </c>
      <c r="BD59" t="str">
        <f>IF(CI59="","",IFERROR(IF(INDEX(CODIFICACION!$E$2:$E$500,MATCH("D7.27|"&amp;CI59,CODIFICACION!$F$2:$F$500,0))="sin dato","",INDEX(CODIFICACION!$E$2:$E$500,MATCH("D7.27|"&amp;CI59,CODIFICACION!$F$2:$F$500,0))),"⚠"))</f>
        <v/>
      </c>
      <c r="BE59" t="str">
        <f>IF(CJ59="","",IFERROR(IF(INDEX(CODIFICACION!$E$2:$E$500,MATCH("D7.28|"&amp;CJ59,CODIFICACION!$F$2:$F$500,0))="sin dato","",INDEX(CODIFICACION!$E$2:$E$500,MATCH("D7.28|"&amp;CJ59,CODIFICACION!$F$2:$F$500,0))),"⚠"))</f>
        <v/>
      </c>
      <c r="BF59" t="str">
        <f>IF(CK59="","",IFERROR(IF(INDEX(CODIFICACION!$E$2:$E$500,MATCH("D7.28b|"&amp;CK59,CODIFICACION!$F$2:$F$500,0))="sin dato","",INDEX(CODIFICACION!$E$2:$E$500,MATCH("D7.28b|"&amp;CK59,CODIFICACION!$F$2:$F$500,0))),"⚠"))</f>
        <v/>
      </c>
      <c r="BG59" t="str">
        <f t="shared" si="35"/>
        <v/>
      </c>
      <c r="BH59" t="str">
        <f>IF(CM59="","",IFERROR(IF(INDEX(CODIFICACION!$E$2:$E$500,MATCH("D7.26a|"&amp;CM59,CODIFICACION!$F$2:$F$500,0))="sin dato","",INDEX(CODIFICACION!$E$2:$E$500,MATCH("D7.26a|"&amp;CM59,CODIFICACION!$F$2:$F$500,0))),"⚠"))</f>
        <v/>
      </c>
      <c r="BI59" t="str">
        <f>IF(CN59="","",IFERROR(IF(INDEX(CODIFICACION!$E$2:$E$500,MATCH("D7.26b|"&amp;CN59,CODIFICACION!$F$2:$F$500,0))="sin dato","",INDEX(CODIFICACION!$E$2:$E$500,MATCH("D7.26b|"&amp;CN59,CODIFICACION!$F$2:$F$500,0))),"⚠"))</f>
        <v/>
      </c>
      <c r="BJ59" t="str">
        <f t="shared" si="36"/>
        <v/>
      </c>
      <c r="BK59" t="str">
        <f t="shared" si="37"/>
        <v/>
      </c>
      <c r="BL59" t="str">
        <f>IF(CQ59="","",IFERROR(IF(INDEX(CODIFICACION!$E$2:$E$500,MATCH("D8.31|"&amp;CQ59,CODIFICACION!$F$2:$F$500,0))="sin dato","",INDEX(CODIFICACION!$E$2:$E$500,MATCH("D8.31|"&amp;CQ59,CODIFICACION!$F$2:$F$500,0))),"⚠"))</f>
        <v/>
      </c>
      <c r="BM59" t="str">
        <f>IF(CR59="","",IFERROR(IF(INDEX(CODIFICACION!$E$2:$E$500,MATCH("D8.32|"&amp;CR59,CODIFICACION!$F$2:$F$500,0))="sin dato","",INDEX(CODIFICACION!$E$2:$E$500,MATCH("D8.32|"&amp;CR59,CODIFICACION!$F$2:$F$500,0))),"⚠"))</f>
        <v/>
      </c>
      <c r="BN59" t="str">
        <f>IF(CS59="","",IFERROR(IF(INDEX(CODIFICACION!$E$2:$E$500,MATCH("D9.33|"&amp;CS59,CODIFICACION!$F$2:$F$500,0))="sin dato","",INDEX(CODIFICACION!$E$2:$E$500,MATCH("D9.33|"&amp;CS59,CODIFICACION!$F$2:$F$500,0))),"⚠"))</f>
        <v/>
      </c>
      <c r="BO59" t="str">
        <f>IF(CT59="","",IFERROR(IF(INDEX(CODIFICACION!$E$2:$E$500,MATCH("D9.34|"&amp;CT59,CODIFICACION!$F$2:$F$500,0))="sin dato","",INDEX(CODIFICACION!$E$2:$E$500,MATCH("D9.34|"&amp;CT59,CODIFICACION!$F$2:$F$500,0))),"⚠"))</f>
        <v/>
      </c>
      <c r="BP59" t="str">
        <f>IF(CU59="","",IFERROR(IF(INDEX(CODIFICACION!$E$2:$E$500,MATCH("D9.35|"&amp;CU59,CODIFICACION!$F$2:$F$500,0))="sin dato","",INDEX(CODIFICACION!$E$2:$E$500,MATCH("D9.35|"&amp;CU59,CODIFICACION!$F$2:$F$500,0))),"⚠"))</f>
        <v/>
      </c>
      <c r="BQ59" t="str">
        <f>IF(CV59="","",IFERROR(IF(INDEX(CODIFICACION!$E$2:$E$500,MATCH("D10.36|"&amp;CV59,CODIFICACION!$F$2:$F$500,0))="sin dato","",INDEX(CODIFICACION!$E$2:$E$500,MATCH("D10.36|"&amp;CV59,CODIFICACION!$F$2:$F$500,0))),"⚠"))</f>
        <v/>
      </c>
      <c r="BR59" t="str">
        <f>IF(CW59="","",IFERROR(IF(INDEX(CODIFICACION!$E$2:$E$500,MATCH("D10.37|"&amp;CW59,CODIFICACION!$F$2:$F$500,0))="sin dato","",INDEX(CODIFICACION!$E$2:$E$500,MATCH("D10.37|"&amp;CW59,CODIFICACION!$F$2:$F$500,0))),"⚠"))</f>
        <v/>
      </c>
      <c r="BS59" t="str">
        <f>IF(CX59="","",IFERROR(IF(INDEX(CODIFICACION!$E$2:$E$500,MATCH("D10.36a|"&amp;CX59,CODIFICACION!$F$2:$F$500,0))="sin dato","",INDEX(CODIFICACION!$E$2:$E$500,MATCH("D10.36a|"&amp;CX59,CODIFICACION!$F$2:$F$500,0))),"⚠"))</f>
        <v/>
      </c>
      <c r="BT59" t="str">
        <f t="shared" si="38"/>
        <v/>
      </c>
      <c r="BU59" t="str">
        <f>IF(DA59="","",IFERROR(IF(INDEX(CODIFICACION!$E$2:$E$500,MATCH("D11.39a|"&amp;DA59,CODIFICACION!$F$2:$F$500,0))="sin dato","",INDEX(CODIFICACION!$E$2:$E$500,MATCH("D11.39a|"&amp;DA59,CODIFICACION!$F$2:$F$500,0))),"⚠"))</f>
        <v/>
      </c>
      <c r="BV59" t="str">
        <f>IF(DB59="","",IFERROR(IF(INDEX(CODIFICACION!$E$2:$E$500,MATCH("D12.42|"&amp;DB59,CODIFICACION!$F$2:$F$500,0))="sin dato","",INDEX(CODIFICACION!$E$2:$E$500,MATCH("D12.42|"&amp;DB59,CODIFICACION!$F$2:$F$500,0))),"⚠"))</f>
        <v/>
      </c>
      <c r="BW59" t="str">
        <f>IF(DC59="","",IFERROR(IF(INDEX(CODIFICACION!$E$2:$E$500,MATCH("D13.45|"&amp;DC59,CODIFICACION!$F$2:$F$500,0))="sin dato","",INDEX(CODIFICACION!$E$2:$E$500,MATCH("D13.45|"&amp;DC59,CODIFICACION!$F$2:$F$500,0))),"⚠"))</f>
        <v/>
      </c>
      <c r="BX59" t="str">
        <f>IF(DD59="","",IFERROR(IF(INDEX(CODIFICACION!$E$2:$E$500,MATCH("D14.51|"&amp;DD59,CODIFICACION!$F$2:$F$500,0))="sin dato","",INDEX(CODIFICACION!$E$2:$E$500,MATCH("D14.51|"&amp;DD59,CODIFICACION!$F$2:$F$500,0))),"⚠"))</f>
        <v/>
      </c>
      <c r="BY59" t="str">
        <f>IF(DE59="","",IFERROR(IF(INDEX(CODIFICACION!$E$2:$E$500,MATCH("D15.58|"&amp;DE59,CODIFICACION!$F$2:$F$500,0))="sin dato","",INDEX(CODIFICACION!$E$2:$E$500,MATCH("D15.58|"&amp;DE59,CODIFICACION!$F$2:$F$500,0))),"⚠"))</f>
        <v/>
      </c>
      <c r="BZ59" t="str">
        <f>IF(DF59="","",IFERROR(IF(INDEX(CODIFICACION!$E$2:$E$500,MATCH("PP1|"&amp;DF59,CODIFICACION!$F$2:$F$500,0))="sin dato","",INDEX(CODIFICACION!$E$2:$E$500,MATCH("PP1|"&amp;DF59,CODIFICACION!$F$2:$F$500,0))),"⚠"))</f>
        <v/>
      </c>
      <c r="CA59" t="str">
        <f>IF(DG59="","",IFERROR(IF(INDEX(CODIFICACION!$E$2:$E$500,MATCH("PP2|"&amp;DG59,CODIFICACION!$F$2:$F$500,0))="sin dato","",INDEX(CODIFICACION!$E$2:$E$500,MATCH("PP2|"&amp;DG59,CODIFICACION!$F$2:$F$500,0))),"⚠"))</f>
        <v/>
      </c>
      <c r="CB59" t="str">
        <f t="shared" si="39"/>
        <v/>
      </c>
      <c r="CC59" t="str">
        <f t="shared" ca="1" si="40"/>
        <v/>
      </c>
      <c r="CD59" t="str">
        <f t="shared" ca="1" si="41"/>
        <v/>
      </c>
      <c r="CE59" t="str">
        <f t="shared" si="42"/>
        <v/>
      </c>
      <c r="CF59" t="str">
        <f t="shared" si="43"/>
        <v/>
      </c>
      <c r="CG59" t="str">
        <f t="shared" ca="1" si="44"/>
        <v/>
      </c>
      <c r="CH59" t="str">
        <f t="shared" ca="1" si="45"/>
        <v/>
      </c>
      <c r="CI59" t="str">
        <f t="shared" si="46"/>
        <v/>
      </c>
      <c r="CJ59" t="str">
        <f t="shared" si="47"/>
        <v/>
      </c>
      <c r="CK59" t="str">
        <f t="shared" si="48"/>
        <v/>
      </c>
      <c r="CL59" t="str">
        <f t="shared" si="49"/>
        <v/>
      </c>
    </row>
    <row r="60" spans="1:90" x14ac:dyDescent="0.3">
      <c r="A60">
        <f>CAPTURA!A60</f>
        <v>20527565376</v>
      </c>
      <c r="B60">
        <f>CAPTURA!C60</f>
        <v>0</v>
      </c>
      <c r="C60" t="str">
        <f t="shared" si="25"/>
        <v/>
      </c>
      <c r="D60" t="str">
        <f>IF(AE60="","",IFERROR(IF(INDEX(CODIFICACION!$E$2:$E$500,MATCH("P8|"&amp;AE60,CODIFICACION!$F$2:$F$500,0))="sin dato","",INDEX(CODIFICACION!$E$2:$E$500,MATCH("P8|"&amp;AE60,CODIFICACION!$F$2:$F$500,0))),"⚠"))</f>
        <v/>
      </c>
      <c r="E60" t="str">
        <f>IF(AG60="","",IFERROR(IF(INDEX(CODIFICACION!$E$2:$E$500,MATCH("P10|"&amp;AG60,CODIFICACION!$F$2:$F$500,0))="sin dato","",INDEX(CODIFICACION!$E$2:$E$500,MATCH("P10|"&amp;AG60,CODIFICACION!$F$2:$F$500,0))),"⚠"))</f>
        <v/>
      </c>
      <c r="F60" t="str">
        <f>IF(AJ60="","",IFERROR(IF(INDEX(CODIFICACION!$E$2:$E$500,MATCH("P13|"&amp;AJ60,CODIFICACION!$F$2:$F$500,0))="sin dato","",INDEX(CODIFICACION!$E$2:$E$500,MATCH("P13|"&amp;AJ60,CODIFICACION!$F$2:$F$500,0))),"⚠"))</f>
        <v/>
      </c>
      <c r="G60" t="str">
        <f>IF(AK60="","",IFERROR(IF(INDEX(CODIFICACION!$E$2:$E$500,MATCH("P14|"&amp;AK60,CODIFICACION!$F$2:$F$500,0))="sin dato","",INDEX(CODIFICACION!$E$2:$E$500,MATCH("P14|"&amp;AK60,CODIFICACION!$F$2:$F$500,0))),"⚠"))</f>
        <v/>
      </c>
      <c r="H60" t="str">
        <f>IF(AL60="","",IFERROR(IF(INDEX(CODIFICACION!$E$2:$E$500,MATCH("D1.1|"&amp;AL60,CODIFICACION!$F$2:$F$500,0))="sin dato","",INDEX(CODIFICACION!$E$2:$E$500,MATCH("D1.1|"&amp;AL60,CODIFICACION!$F$2:$F$500,0))),"⚠"))</f>
        <v/>
      </c>
      <c r="I60" t="str">
        <f>IF(AN60="","",IFERROR(IF(INDEX(CODIFICACION!$E$2:$E$500,MATCH("D1.3|"&amp;AN60,CODIFICACION!$F$2:$F$500,0))="sin dato","",INDEX(CODIFICACION!$E$2:$E$500,MATCH("D1.3|"&amp;AN60,CODIFICACION!$F$2:$F$500,0))),"⚠"))</f>
        <v/>
      </c>
      <c r="J60" t="str">
        <f>IF(AO60="","",IFERROR(IF(INDEX(CODIFICACION!$E$2:$E$500,MATCH("D1.4|"&amp;AO60,CODIFICACION!$F$2:$F$500,0))="sin dato","",INDEX(CODIFICACION!$E$2:$E$500,MATCH("D1.4|"&amp;AO60,CODIFICACION!$F$2:$F$500,0))),"⚠"))</f>
        <v/>
      </c>
      <c r="K60" t="str">
        <f>IF(AP60="","",IFERROR(IF(INDEX(CODIFICACION!$E$2:$E$500,MATCH("D1.3a|"&amp;AP60,CODIFICACION!$F$2:$F$500,0))="sin dato","",INDEX(CODIFICACION!$E$2:$E$500,MATCH("D1.3a|"&amp;AP60,CODIFICACION!$F$2:$F$500,0))),"⚠"))</f>
        <v/>
      </c>
      <c r="L60" t="str">
        <f t="shared" si="26"/>
        <v/>
      </c>
      <c r="M60" t="str">
        <f t="shared" si="27"/>
        <v/>
      </c>
      <c r="N60" t="str">
        <f t="shared" si="28"/>
        <v/>
      </c>
      <c r="O60" t="str">
        <f>IF(AT60="","",IFERROR(IF(INDEX(CODIFICACION!$E$2:$E$500,MATCH("D2.8|"&amp;AT60,CODIFICACION!$F$2:$F$500,0))="sin dato","",INDEX(CODIFICACION!$E$2:$E$500,MATCH("D2.8|"&amp;AT60,CODIFICACION!$F$2:$F$500,0))),"⚠"))</f>
        <v/>
      </c>
      <c r="P60" t="str">
        <f>IF(AU60="","",IFERROR(IF(INDEX(CODIFICACION!$E$2:$E$500,MATCH("D2.9|"&amp;AU60,CODIFICACION!$F$2:$F$500,0))="sin dato","",INDEX(CODIFICACION!$E$2:$E$500,MATCH("D2.9|"&amp;AU60,CODIFICACION!$F$2:$F$500,0))),"⚠"))</f>
        <v/>
      </c>
      <c r="Q60" t="str">
        <f>IF(AV60="","",IFERROR(IF(INDEX(CODIFICACION!$E$2:$E$500,MATCH("D2.10|"&amp;AV60,CODIFICACION!$F$2:$F$500,0))="sin dato","",INDEX(CODIFICACION!$E$2:$E$500,MATCH("D2.10|"&amp;AV60,CODIFICACION!$F$2:$F$500,0))),"⚠"))</f>
        <v/>
      </c>
      <c r="R60" t="str">
        <f>IF(AW60="","",IFERROR(IF(INDEX(CODIFICACION!$E$2:$E$500,MATCH("D2.5a|"&amp;AW60,CODIFICACION!$F$2:$F$500,0))="sin dato","",INDEX(CODIFICACION!$E$2:$E$500,MATCH("D2.5a|"&amp;AW60,CODIFICACION!$F$2:$F$500,0))),"⚠"))</f>
        <v/>
      </c>
      <c r="S60" t="str">
        <f ca="1">IF(AX60="","",IFERROR(IF(INDEX(CODIFICACION!$E$2:$E$500,MATCH("D2.5b|"&amp;AX60,CODIFICACION!$F$2:$F$500,0))="sin dato","",INDEX(CODIFICACION!$E$2:$E$500,MATCH("D2.5b|"&amp;AX60,CODIFICACION!$F$2:$F$500,0))),"⚠"))</f>
        <v/>
      </c>
      <c r="T60" t="str">
        <f t="shared" ca="1" si="29"/>
        <v/>
      </c>
      <c r="U60" t="str">
        <f>IF(AZ60="","",IFERROR(IF(INDEX(CODIFICACION!$E$2:$E$500,MATCH("D3.12|"&amp;AZ60,CODIFICACION!$F$2:$F$500,0))="sin dato","",INDEX(CODIFICACION!$E$2:$E$500,MATCH("D3.12|"&amp;AZ60,CODIFICACION!$F$2:$F$500,0))),"⚠"))</f>
        <v/>
      </c>
      <c r="V60" t="str">
        <f t="shared" si="30"/>
        <v/>
      </c>
      <c r="W60" t="str">
        <f ca="1">IF(BB60="","",IFERROR(IF(INDEX(CODIFICACION!$E$2:$E$500,MATCH("D3.14|"&amp;BB60,CODIFICACION!$F$2:$F$500,0))="sin dato","",INDEX(CODIFICACION!$E$2:$E$500,MATCH("D3.14|"&amp;BB60,CODIFICACION!$F$2:$F$500,0))),"⚠"))</f>
        <v/>
      </c>
      <c r="X60" t="str">
        <f ca="1">IF(BC60="","",IFERROR(IF(INDEX(CODIFICACION!$E$2:$E$500,MATCH("D3.14a|"&amp;BC60,CODIFICACION!$F$2:$F$500,0))="sin dato","",INDEX(CODIFICACION!$E$2:$E$500,MATCH("D3.14a|"&amp;BC60,CODIFICACION!$F$2:$F$500,0))),"⚠"))</f>
        <v/>
      </c>
      <c r="Y60" t="str">
        <f>IF(BD60="","",IFERROR(IF(INDEX(CODIFICACION!$E$2:$E$500,MATCH("D3.14b|"&amp;BD60,CODIFICACION!$F$2:$F$500,0))="sin dato","",INDEX(CODIFICACION!$E$2:$E$500,MATCH("D3.14b|"&amp;BD60,CODIFICACION!$F$2:$F$500,0))),"⚠"))</f>
        <v/>
      </c>
      <c r="Z60" t="str">
        <f>IF(BE60="","",IFERROR(IF(INDEX(CODIFICACION!$E$2:$E$500,MATCH("D3.14c|"&amp;BE60,CODIFICACION!$F$2:$F$500,0))="sin dato","",INDEX(CODIFICACION!$E$2:$E$500,MATCH("D3.14c|"&amp;BE60,CODIFICACION!$F$2:$F$500,0))),"⚠"))</f>
        <v/>
      </c>
      <c r="AA60" t="str">
        <f>IF(BF60="","",IFERROR(IF(INDEX(CODIFICACION!$E$2:$E$500,MATCH("D3.14d|"&amp;BF60,CODIFICACION!$F$2:$F$500,0))="sin dato","",INDEX(CODIFICACION!$E$2:$E$500,MATCH("D3.14d|"&amp;BF60,CODIFICACION!$F$2:$F$500,0))),"⚠"))</f>
        <v/>
      </c>
      <c r="AB60" t="str">
        <f>IF(BG60="","",IFERROR(IF(INDEX(CODIFICACION!$E$2:$E$500,MATCH("D3.14e|"&amp;BG60,CODIFICACION!$F$2:$F$500,0))="sin dato","",INDEX(CODIFICACION!$E$2:$E$500,MATCH("D3.14e|"&amp;BG60,CODIFICACION!$F$2:$F$500,0))),"⚠"))</f>
        <v/>
      </c>
      <c r="AC60" t="str">
        <f>IF(BH60="","",IFERROR(IF(INDEX(CODIFICACION!$E$2:$E$500,MATCH("D3.14f|"&amp;BH60,CODIFICACION!$F$2:$F$500,0))="sin dato","",INDEX(CODIFICACION!$E$2:$E$500,MATCH("D3.14f|"&amp;BH60,CODIFICACION!$F$2:$F$500,0))),"⚠"))</f>
        <v/>
      </c>
      <c r="AD60" t="str">
        <f>IF(BI60="","",IFERROR(IF(INDEX(CODIFICACION!$E$2:$E$500,MATCH("D3.14g|"&amp;BI60,CODIFICACION!$F$2:$F$500,0))="sin dato","",INDEX(CODIFICACION!$E$2:$E$500,MATCH("D3.14g|"&amp;BI60,CODIFICACION!$F$2:$F$500,0))),"⚠"))</f>
        <v/>
      </c>
      <c r="AE60" t="str">
        <f>IF(BJ60="","",IFERROR(IF(INDEX(CODIFICACION!$E$2:$E$500,MATCH("D3.14h|"&amp;BJ60,CODIFICACION!$F$2:$F$500,0))="sin dato","",INDEX(CODIFICACION!$E$2:$E$500,MATCH("D3.14h|"&amp;BJ60,CODIFICACION!$F$2:$F$500,0))),"⚠"))</f>
        <v/>
      </c>
      <c r="AF60" t="str">
        <f>IF(BK60="","",IFERROR(IF(INDEX(CODIFICACION!$E$2:$E$500,MATCH("D3.14i|"&amp;BK60,CODIFICACION!$F$2:$F$500,0))="sin dato","",INDEX(CODIFICACION!$E$2:$E$500,MATCH("D3.14i|"&amp;BK60,CODIFICACION!$F$2:$F$500,0))),"⚠"))</f>
        <v/>
      </c>
      <c r="AG60" t="str">
        <f>IF(BL60="","",IFERROR(IF(INDEX(CODIFICACION!$E$2:$E$500,MATCH("D4.15|"&amp;BL60,CODIFICACION!$F$2:$F$500,0))="sin dato","",INDEX(CODIFICACION!$E$2:$E$500,MATCH("D4.15|"&amp;BL60,CODIFICACION!$F$2:$F$500,0))),"⚠"))</f>
        <v/>
      </c>
      <c r="AH60" t="str">
        <f t="shared" si="31"/>
        <v/>
      </c>
      <c r="AI60" t="str">
        <f>IF(BN60="","",IFERROR(IF(INDEX(CODIFICACION!$E$2:$E$500,MATCH("D4.17|"&amp;BN60,CODIFICACION!$F$2:$F$500,0))="sin dato","",INDEX(CODIFICACION!$E$2:$E$500,MATCH("D4.17|"&amp;BN60,CODIFICACION!$F$2:$F$500,0))),"⚠"))</f>
        <v/>
      </c>
      <c r="AJ60" t="str">
        <f>IF(BO60="","",IFERROR(IF(INDEX(CODIFICACION!$E$2:$E$500,MATCH("D4.15a|"&amp;BO60,CODIFICACION!$F$2:$F$500,0))="sin dato","",INDEX(CODIFICACION!$E$2:$E$500,MATCH("D4.15a|"&amp;BO60,CODIFICACION!$F$2:$F$500,0))),"⚠"))</f>
        <v/>
      </c>
      <c r="AK60" t="str">
        <f t="shared" si="32"/>
        <v/>
      </c>
      <c r="AL60" t="str">
        <f t="shared" si="33"/>
        <v/>
      </c>
      <c r="AM60" t="str">
        <f>IF(BR60="","",IFERROR(IF(INDEX(CODIFICACION!$E$2:$E$500,MATCH("D5.18b|"&amp;BR60,CODIFICACION!$F$2:$F$500,0))="sin dato","",INDEX(CODIFICACION!$E$2:$E$500,MATCH("D5.18b|"&amp;BR60,CODIFICACION!$F$2:$F$500,0))),"⚠"))</f>
        <v/>
      </c>
      <c r="AN60" t="str">
        <f>IF(BS60="","",IFERROR(IF(INDEX(CODIFICACION!$E$2:$E$500,MATCH("D5.19|"&amp;BS60,CODIFICACION!$F$2:$F$500,0))="sin dato","",INDEX(CODIFICACION!$E$2:$E$500,MATCH("D5.19|"&amp;BS60,CODIFICACION!$F$2:$F$500,0))),"⚠"))</f>
        <v/>
      </c>
      <c r="AO60" t="str">
        <f t="shared" si="34"/>
        <v/>
      </c>
      <c r="AP60" t="str">
        <f>IF(BU60="","",IFERROR(IF(INDEX(CODIFICACION!$E$2:$E$500,MATCH("D5.20|"&amp;BU60,CODIFICACION!$F$2:$F$500,0))="sin dato","",INDEX(CODIFICACION!$E$2:$E$500,MATCH("D5.20|"&amp;BU60,CODIFICACION!$F$2:$F$500,0))),"⚠"))</f>
        <v/>
      </c>
      <c r="AQ60" t="str">
        <f>IF(BV60="","",IFERROR(IF(INDEX(CODIFICACION!$E$2:$E$500,MATCH("D5.21|"&amp;BV60,CODIFICACION!$F$2:$F$500,0))="sin dato","",INDEX(CODIFICACION!$E$2:$E$500,MATCH("D5.21|"&amp;BV60,CODIFICACION!$F$2:$F$500,0))),"⚠"))</f>
        <v/>
      </c>
      <c r="AR60" t="str">
        <f>IF(BW60="","",IFERROR(IF(INDEX(CODIFICACION!$E$2:$E$500,MATCH("D5.21a|"&amp;BW60,CODIFICACION!$F$2:$F$500,0))="sin dato","",INDEX(CODIFICACION!$E$2:$E$500,MATCH("D5.21a|"&amp;BW60,CODIFICACION!$F$2:$F$500,0))),"⚠"))</f>
        <v/>
      </c>
      <c r="AS60" t="str">
        <f>IF(BX60="","",IFERROR(IF(INDEX(CODIFICACION!$E$2:$E$500,MATCH("D5.21b|"&amp;BX60,CODIFICACION!$F$2:$F$500,0))="sin dato","",INDEX(CODIFICACION!$E$2:$E$500,MATCH("D5.21b|"&amp;BX60,CODIFICACION!$F$2:$F$500,0))),"⚠"))</f>
        <v/>
      </c>
      <c r="AT60" t="str">
        <f>IF(BY60="","",IFERROR(IF(INDEX(CODIFICACION!$E$2:$E$500,MATCH("D6.22|"&amp;BY60,CODIFICACION!$F$2:$F$500,0))="sin dato","",INDEX(CODIFICACION!$E$2:$E$500,MATCH("D6.22|"&amp;BY60,CODIFICACION!$F$2:$F$500,0))),"⚠"))</f>
        <v/>
      </c>
      <c r="AU60" t="str">
        <f>IF(BZ60="","",IFERROR(IF(INDEX(CODIFICACION!$E$2:$E$500,MATCH("D6.22a|"&amp;BZ60,CODIFICACION!$F$2:$F$500,0))="sin dato","",INDEX(CODIFICACION!$E$2:$E$500,MATCH("D6.22a|"&amp;BZ60,CODIFICACION!$F$2:$F$500,0))),"⚠"))</f>
        <v/>
      </c>
      <c r="AV60" t="str">
        <f>IF(CA60="","",IFERROR(IF(INDEX(CODIFICACION!$E$2:$E$500,MATCH("D6.22b|"&amp;CA60,CODIFICACION!$F$2:$F$500,0))="sin dato","",INDEX(CODIFICACION!$E$2:$E$500,MATCH("D6.22b|"&amp;CA60,CODIFICACION!$F$2:$F$500,0))),"⚠"))</f>
        <v/>
      </c>
      <c r="AW60" t="str">
        <f>IF(CB60="","",IFERROR(IF(INDEX(CODIFICACION!$E$2:$E$500,MATCH("D6.23|"&amp;CB60,CODIFICACION!$F$2:$F$500,0))="sin dato","",INDEX(CODIFICACION!$E$2:$E$500,MATCH("D6.23|"&amp;CB60,CODIFICACION!$F$2:$F$500,0))),"⚠"))</f>
        <v/>
      </c>
      <c r="AX60" t="str">
        <f ca="1">IF(CC60="","",IFERROR(IF(INDEX(CODIFICACION!$E$2:$E$500,MATCH("D6.24|"&amp;CC60,CODIFICACION!$F$2:$F$500,0))="sin dato","",INDEX(CODIFICACION!$E$2:$E$500,MATCH("D6.24|"&amp;CC60,CODIFICACION!$F$2:$F$500,0))),"⚠"))</f>
        <v/>
      </c>
      <c r="AY60" t="str">
        <f ca="1">IF(CD60="","",IFERROR(IF(INDEX(CODIFICACION!$E$2:$E$500,MATCH("D6.25|"&amp;CD60,CODIFICACION!$F$2:$F$500,0))="sin dato","",INDEX(CODIFICACION!$E$2:$E$500,MATCH("D6.25|"&amp;CD60,CODIFICACION!$F$2:$F$500,0))),"⚠"))</f>
        <v/>
      </c>
      <c r="AZ60" t="str">
        <f>IF(CE60="","",IFERROR(IF(INDEX(CODIFICACION!$E$2:$E$500,MATCH("D6.25a|"&amp;CE60,CODIFICACION!$F$2:$F$500,0))="sin dato","",INDEX(CODIFICACION!$E$2:$E$500,MATCH("D6.25a|"&amp;CE60,CODIFICACION!$F$2:$F$500,0))),"⚠"))</f>
        <v/>
      </c>
      <c r="BA60" t="str">
        <f>IF(CF60="","",IFERROR(IF(INDEX(CODIFICACION!$E$2:$E$500,MATCH("D6.25b|"&amp;CF60,CODIFICACION!$F$2:$F$500,0))="sin dato","",INDEX(CODIFICACION!$E$2:$E$500,MATCH("D6.25b|"&amp;CF60,CODIFICACION!$F$2:$F$500,0))),"⚠"))</f>
        <v/>
      </c>
      <c r="BB60" t="str">
        <f ca="1">IF(CG60="","",IFERROR(IF(INDEX(CODIFICACION!$E$2:$E$500,MATCH("D6.22c|"&amp;CG60,CODIFICACION!$F$2:$F$500,0))="sin dato","",INDEX(CODIFICACION!$E$2:$E$500,MATCH("D6.22c|"&amp;CG60,CODIFICACION!$F$2:$F$500,0))),"⚠"))</f>
        <v/>
      </c>
      <c r="BC60" t="str">
        <f ca="1">IF(CH60="","",IFERROR(IF(INDEX(CODIFICACION!$E$2:$E$500,MATCH("D7.26|"&amp;CH60,CODIFICACION!$F$2:$F$500,0))="sin dato","",INDEX(CODIFICACION!$E$2:$E$500,MATCH("D7.26|"&amp;CH60,CODIFICACION!$F$2:$F$500,0))),"⚠"))</f>
        <v/>
      </c>
      <c r="BD60" t="str">
        <f>IF(CI60="","",IFERROR(IF(INDEX(CODIFICACION!$E$2:$E$500,MATCH("D7.27|"&amp;CI60,CODIFICACION!$F$2:$F$500,0))="sin dato","",INDEX(CODIFICACION!$E$2:$E$500,MATCH("D7.27|"&amp;CI60,CODIFICACION!$F$2:$F$500,0))),"⚠"))</f>
        <v/>
      </c>
      <c r="BE60" t="str">
        <f>IF(CJ60="","",IFERROR(IF(INDEX(CODIFICACION!$E$2:$E$500,MATCH("D7.28|"&amp;CJ60,CODIFICACION!$F$2:$F$500,0))="sin dato","",INDEX(CODIFICACION!$E$2:$E$500,MATCH("D7.28|"&amp;CJ60,CODIFICACION!$F$2:$F$500,0))),"⚠"))</f>
        <v/>
      </c>
      <c r="BF60" t="str">
        <f>IF(CK60="","",IFERROR(IF(INDEX(CODIFICACION!$E$2:$E$500,MATCH("D7.28b|"&amp;CK60,CODIFICACION!$F$2:$F$500,0))="sin dato","",INDEX(CODIFICACION!$E$2:$E$500,MATCH("D7.28b|"&amp;CK60,CODIFICACION!$F$2:$F$500,0))),"⚠"))</f>
        <v/>
      </c>
      <c r="BG60" t="str">
        <f t="shared" si="35"/>
        <v/>
      </c>
      <c r="BH60" t="str">
        <f>IF(CM60="","",IFERROR(IF(INDEX(CODIFICACION!$E$2:$E$500,MATCH("D7.26a|"&amp;CM60,CODIFICACION!$F$2:$F$500,0))="sin dato","",INDEX(CODIFICACION!$E$2:$E$500,MATCH("D7.26a|"&amp;CM60,CODIFICACION!$F$2:$F$500,0))),"⚠"))</f>
        <v/>
      </c>
      <c r="BI60" t="str">
        <f>IF(CN60="","",IFERROR(IF(INDEX(CODIFICACION!$E$2:$E$500,MATCH("D7.26b|"&amp;CN60,CODIFICACION!$F$2:$F$500,0))="sin dato","",INDEX(CODIFICACION!$E$2:$E$500,MATCH("D7.26b|"&amp;CN60,CODIFICACION!$F$2:$F$500,0))),"⚠"))</f>
        <v/>
      </c>
      <c r="BJ60" t="str">
        <f t="shared" si="36"/>
        <v/>
      </c>
      <c r="BK60" t="str">
        <f t="shared" si="37"/>
        <v/>
      </c>
      <c r="BL60" t="str">
        <f>IF(CQ60="","",IFERROR(IF(INDEX(CODIFICACION!$E$2:$E$500,MATCH("D8.31|"&amp;CQ60,CODIFICACION!$F$2:$F$500,0))="sin dato","",INDEX(CODIFICACION!$E$2:$E$500,MATCH("D8.31|"&amp;CQ60,CODIFICACION!$F$2:$F$500,0))),"⚠"))</f>
        <v/>
      </c>
      <c r="BM60" t="str">
        <f>IF(CR60="","",IFERROR(IF(INDEX(CODIFICACION!$E$2:$E$500,MATCH("D8.32|"&amp;CR60,CODIFICACION!$F$2:$F$500,0))="sin dato","",INDEX(CODIFICACION!$E$2:$E$500,MATCH("D8.32|"&amp;CR60,CODIFICACION!$F$2:$F$500,0))),"⚠"))</f>
        <v/>
      </c>
      <c r="BN60" t="str">
        <f>IF(CS60="","",IFERROR(IF(INDEX(CODIFICACION!$E$2:$E$500,MATCH("D9.33|"&amp;CS60,CODIFICACION!$F$2:$F$500,0))="sin dato","",INDEX(CODIFICACION!$E$2:$E$500,MATCH("D9.33|"&amp;CS60,CODIFICACION!$F$2:$F$500,0))),"⚠"))</f>
        <v/>
      </c>
      <c r="BO60" t="str">
        <f>IF(CT60="","",IFERROR(IF(INDEX(CODIFICACION!$E$2:$E$500,MATCH("D9.34|"&amp;CT60,CODIFICACION!$F$2:$F$500,0))="sin dato","",INDEX(CODIFICACION!$E$2:$E$500,MATCH("D9.34|"&amp;CT60,CODIFICACION!$F$2:$F$500,0))),"⚠"))</f>
        <v/>
      </c>
      <c r="BP60" t="str">
        <f>IF(CU60="","",IFERROR(IF(INDEX(CODIFICACION!$E$2:$E$500,MATCH("D9.35|"&amp;CU60,CODIFICACION!$F$2:$F$500,0))="sin dato","",INDEX(CODIFICACION!$E$2:$E$500,MATCH("D9.35|"&amp;CU60,CODIFICACION!$F$2:$F$500,0))),"⚠"))</f>
        <v/>
      </c>
      <c r="BQ60" t="str">
        <f>IF(CV60="","",IFERROR(IF(INDEX(CODIFICACION!$E$2:$E$500,MATCH("D10.36|"&amp;CV60,CODIFICACION!$F$2:$F$500,0))="sin dato","",INDEX(CODIFICACION!$E$2:$E$500,MATCH("D10.36|"&amp;CV60,CODIFICACION!$F$2:$F$500,0))),"⚠"))</f>
        <v/>
      </c>
      <c r="BR60" t="str">
        <f>IF(CW60="","",IFERROR(IF(INDEX(CODIFICACION!$E$2:$E$500,MATCH("D10.37|"&amp;CW60,CODIFICACION!$F$2:$F$500,0))="sin dato","",INDEX(CODIFICACION!$E$2:$E$500,MATCH("D10.37|"&amp;CW60,CODIFICACION!$F$2:$F$500,0))),"⚠"))</f>
        <v/>
      </c>
      <c r="BS60" t="str">
        <f>IF(CX60="","",IFERROR(IF(INDEX(CODIFICACION!$E$2:$E$500,MATCH("D10.36a|"&amp;CX60,CODIFICACION!$F$2:$F$500,0))="sin dato","",INDEX(CODIFICACION!$E$2:$E$500,MATCH("D10.36a|"&amp;CX60,CODIFICACION!$F$2:$F$500,0))),"⚠"))</f>
        <v/>
      </c>
      <c r="BT60" t="str">
        <f t="shared" si="38"/>
        <v/>
      </c>
      <c r="BU60" t="str">
        <f>IF(DA60="","",IFERROR(IF(INDEX(CODIFICACION!$E$2:$E$500,MATCH("D11.39a|"&amp;DA60,CODIFICACION!$F$2:$F$500,0))="sin dato","",INDEX(CODIFICACION!$E$2:$E$500,MATCH("D11.39a|"&amp;DA60,CODIFICACION!$F$2:$F$500,0))),"⚠"))</f>
        <v/>
      </c>
      <c r="BV60" t="str">
        <f>IF(DB60="","",IFERROR(IF(INDEX(CODIFICACION!$E$2:$E$500,MATCH("D12.42|"&amp;DB60,CODIFICACION!$F$2:$F$500,0))="sin dato","",INDEX(CODIFICACION!$E$2:$E$500,MATCH("D12.42|"&amp;DB60,CODIFICACION!$F$2:$F$500,0))),"⚠"))</f>
        <v/>
      </c>
      <c r="BW60" t="str">
        <f>IF(DC60="","",IFERROR(IF(INDEX(CODIFICACION!$E$2:$E$500,MATCH("D13.45|"&amp;DC60,CODIFICACION!$F$2:$F$500,0))="sin dato","",INDEX(CODIFICACION!$E$2:$E$500,MATCH("D13.45|"&amp;DC60,CODIFICACION!$F$2:$F$500,0))),"⚠"))</f>
        <v/>
      </c>
      <c r="BX60" t="str">
        <f>IF(DD60="","",IFERROR(IF(INDEX(CODIFICACION!$E$2:$E$500,MATCH("D14.51|"&amp;DD60,CODIFICACION!$F$2:$F$500,0))="sin dato","",INDEX(CODIFICACION!$E$2:$E$500,MATCH("D14.51|"&amp;DD60,CODIFICACION!$F$2:$F$500,0))),"⚠"))</f>
        <v/>
      </c>
      <c r="BY60" t="str">
        <f>IF(DE60="","",IFERROR(IF(INDEX(CODIFICACION!$E$2:$E$500,MATCH("D15.58|"&amp;DE60,CODIFICACION!$F$2:$F$500,0))="sin dato","",INDEX(CODIFICACION!$E$2:$E$500,MATCH("D15.58|"&amp;DE60,CODIFICACION!$F$2:$F$500,0))),"⚠"))</f>
        <v/>
      </c>
      <c r="BZ60" t="str">
        <f>IF(DF60="","",IFERROR(IF(INDEX(CODIFICACION!$E$2:$E$500,MATCH("PP1|"&amp;DF60,CODIFICACION!$F$2:$F$500,0))="sin dato","",INDEX(CODIFICACION!$E$2:$E$500,MATCH("PP1|"&amp;DF60,CODIFICACION!$F$2:$F$500,0))),"⚠"))</f>
        <v/>
      </c>
      <c r="CA60" t="str">
        <f>IF(DG60="","",IFERROR(IF(INDEX(CODIFICACION!$E$2:$E$500,MATCH("PP2|"&amp;DG60,CODIFICACION!$F$2:$F$500,0))="sin dato","",INDEX(CODIFICACION!$E$2:$E$500,MATCH("PP2|"&amp;DG60,CODIFICACION!$F$2:$F$500,0))),"⚠"))</f>
        <v/>
      </c>
      <c r="CB60" t="str">
        <f t="shared" si="39"/>
        <v/>
      </c>
      <c r="CC60" t="str">
        <f t="shared" ca="1" si="40"/>
        <v/>
      </c>
      <c r="CD60" t="str">
        <f t="shared" ca="1" si="41"/>
        <v/>
      </c>
      <c r="CE60" t="str">
        <f t="shared" si="42"/>
        <v/>
      </c>
      <c r="CF60" t="str">
        <f t="shared" si="43"/>
        <v/>
      </c>
      <c r="CG60" t="str">
        <f t="shared" ca="1" si="44"/>
        <v/>
      </c>
      <c r="CH60" t="str">
        <f t="shared" ca="1" si="45"/>
        <v/>
      </c>
      <c r="CI60" t="str">
        <f t="shared" si="46"/>
        <v/>
      </c>
      <c r="CJ60" t="str">
        <f t="shared" si="47"/>
        <v/>
      </c>
      <c r="CK60" t="str">
        <f t="shared" si="48"/>
        <v/>
      </c>
      <c r="CL60" t="str">
        <f t="shared" si="49"/>
        <v/>
      </c>
    </row>
    <row r="61" spans="1:90" x14ac:dyDescent="0.3">
      <c r="A61">
        <f>CAPTURA!A61</f>
        <v>20528996214</v>
      </c>
      <c r="B61">
        <f>CAPTURA!C61</f>
        <v>0</v>
      </c>
      <c r="C61" t="str">
        <f t="shared" si="25"/>
        <v/>
      </c>
      <c r="D61" t="str">
        <f>IF(AE61="","",IFERROR(IF(INDEX(CODIFICACION!$E$2:$E$500,MATCH("P8|"&amp;AE61,CODIFICACION!$F$2:$F$500,0))="sin dato","",INDEX(CODIFICACION!$E$2:$E$500,MATCH("P8|"&amp;AE61,CODIFICACION!$F$2:$F$500,0))),"⚠"))</f>
        <v/>
      </c>
      <c r="E61" t="str">
        <f>IF(AG61="","",IFERROR(IF(INDEX(CODIFICACION!$E$2:$E$500,MATCH("P10|"&amp;AG61,CODIFICACION!$F$2:$F$500,0))="sin dato","",INDEX(CODIFICACION!$E$2:$E$500,MATCH("P10|"&amp;AG61,CODIFICACION!$F$2:$F$500,0))),"⚠"))</f>
        <v/>
      </c>
      <c r="F61" t="str">
        <f>IF(AJ61="","",IFERROR(IF(INDEX(CODIFICACION!$E$2:$E$500,MATCH("P13|"&amp;AJ61,CODIFICACION!$F$2:$F$500,0))="sin dato","",INDEX(CODIFICACION!$E$2:$E$500,MATCH("P13|"&amp;AJ61,CODIFICACION!$F$2:$F$500,0))),"⚠"))</f>
        <v/>
      </c>
      <c r="G61" t="str">
        <f>IF(AK61="","",IFERROR(IF(INDEX(CODIFICACION!$E$2:$E$500,MATCH("P14|"&amp;AK61,CODIFICACION!$F$2:$F$500,0))="sin dato","",INDEX(CODIFICACION!$E$2:$E$500,MATCH("P14|"&amp;AK61,CODIFICACION!$F$2:$F$500,0))),"⚠"))</f>
        <v/>
      </c>
      <c r="H61" t="str">
        <f>IF(AL61="","",IFERROR(IF(INDEX(CODIFICACION!$E$2:$E$500,MATCH("D1.1|"&amp;AL61,CODIFICACION!$F$2:$F$500,0))="sin dato","",INDEX(CODIFICACION!$E$2:$E$500,MATCH("D1.1|"&amp;AL61,CODIFICACION!$F$2:$F$500,0))),"⚠"))</f>
        <v/>
      </c>
      <c r="I61" t="str">
        <f>IF(AN61="","",IFERROR(IF(INDEX(CODIFICACION!$E$2:$E$500,MATCH("D1.3|"&amp;AN61,CODIFICACION!$F$2:$F$500,0))="sin dato","",INDEX(CODIFICACION!$E$2:$E$500,MATCH("D1.3|"&amp;AN61,CODIFICACION!$F$2:$F$500,0))),"⚠"))</f>
        <v/>
      </c>
      <c r="J61" t="str">
        <f>IF(AO61="","",IFERROR(IF(INDEX(CODIFICACION!$E$2:$E$500,MATCH("D1.4|"&amp;AO61,CODIFICACION!$F$2:$F$500,0))="sin dato","",INDEX(CODIFICACION!$E$2:$E$500,MATCH("D1.4|"&amp;AO61,CODIFICACION!$F$2:$F$500,0))),"⚠"))</f>
        <v/>
      </c>
      <c r="K61" t="str">
        <f>IF(AP61="","",IFERROR(IF(INDEX(CODIFICACION!$E$2:$E$500,MATCH("D1.3a|"&amp;AP61,CODIFICACION!$F$2:$F$500,0))="sin dato","",INDEX(CODIFICACION!$E$2:$E$500,MATCH("D1.3a|"&amp;AP61,CODIFICACION!$F$2:$F$500,0))),"⚠"))</f>
        <v/>
      </c>
      <c r="L61" t="str">
        <f t="shared" si="26"/>
        <v/>
      </c>
      <c r="M61" t="str">
        <f t="shared" si="27"/>
        <v/>
      </c>
      <c r="N61" t="str">
        <f t="shared" si="28"/>
        <v/>
      </c>
      <c r="O61" t="str">
        <f>IF(AT61="","",IFERROR(IF(INDEX(CODIFICACION!$E$2:$E$500,MATCH("D2.8|"&amp;AT61,CODIFICACION!$F$2:$F$500,0))="sin dato","",INDEX(CODIFICACION!$E$2:$E$500,MATCH("D2.8|"&amp;AT61,CODIFICACION!$F$2:$F$500,0))),"⚠"))</f>
        <v/>
      </c>
      <c r="P61" t="str">
        <f>IF(AU61="","",IFERROR(IF(INDEX(CODIFICACION!$E$2:$E$500,MATCH("D2.9|"&amp;AU61,CODIFICACION!$F$2:$F$500,0))="sin dato","",INDEX(CODIFICACION!$E$2:$E$500,MATCH("D2.9|"&amp;AU61,CODIFICACION!$F$2:$F$500,0))),"⚠"))</f>
        <v/>
      </c>
      <c r="Q61" t="str">
        <f>IF(AV61="","",IFERROR(IF(INDEX(CODIFICACION!$E$2:$E$500,MATCH("D2.10|"&amp;AV61,CODIFICACION!$F$2:$F$500,0))="sin dato","",INDEX(CODIFICACION!$E$2:$E$500,MATCH("D2.10|"&amp;AV61,CODIFICACION!$F$2:$F$500,0))),"⚠"))</f>
        <v/>
      </c>
      <c r="R61" t="str">
        <f>IF(AW61="","",IFERROR(IF(INDEX(CODIFICACION!$E$2:$E$500,MATCH("D2.5a|"&amp;AW61,CODIFICACION!$F$2:$F$500,0))="sin dato","",INDEX(CODIFICACION!$E$2:$E$500,MATCH("D2.5a|"&amp;AW61,CODIFICACION!$F$2:$F$500,0))),"⚠"))</f>
        <v/>
      </c>
      <c r="S61" t="str">
        <f ca="1">IF(AX61="","",IFERROR(IF(INDEX(CODIFICACION!$E$2:$E$500,MATCH("D2.5b|"&amp;AX61,CODIFICACION!$F$2:$F$500,0))="sin dato","",INDEX(CODIFICACION!$E$2:$E$500,MATCH("D2.5b|"&amp;AX61,CODIFICACION!$F$2:$F$500,0))),"⚠"))</f>
        <v/>
      </c>
      <c r="T61" t="str">
        <f t="shared" ca="1" si="29"/>
        <v/>
      </c>
      <c r="U61" t="str">
        <f>IF(AZ61="","",IFERROR(IF(INDEX(CODIFICACION!$E$2:$E$500,MATCH("D3.12|"&amp;AZ61,CODIFICACION!$F$2:$F$500,0))="sin dato","",INDEX(CODIFICACION!$E$2:$E$500,MATCH("D3.12|"&amp;AZ61,CODIFICACION!$F$2:$F$500,0))),"⚠"))</f>
        <v/>
      </c>
      <c r="V61" t="str">
        <f t="shared" si="30"/>
        <v/>
      </c>
      <c r="W61" t="str">
        <f ca="1">IF(BB61="","",IFERROR(IF(INDEX(CODIFICACION!$E$2:$E$500,MATCH("D3.14|"&amp;BB61,CODIFICACION!$F$2:$F$500,0))="sin dato","",INDEX(CODIFICACION!$E$2:$E$500,MATCH("D3.14|"&amp;BB61,CODIFICACION!$F$2:$F$500,0))),"⚠"))</f>
        <v/>
      </c>
      <c r="X61" t="str">
        <f ca="1">IF(BC61="","",IFERROR(IF(INDEX(CODIFICACION!$E$2:$E$500,MATCH("D3.14a|"&amp;BC61,CODIFICACION!$F$2:$F$500,0))="sin dato","",INDEX(CODIFICACION!$E$2:$E$500,MATCH("D3.14a|"&amp;BC61,CODIFICACION!$F$2:$F$500,0))),"⚠"))</f>
        <v/>
      </c>
      <c r="Y61" t="str">
        <f>IF(BD61="","",IFERROR(IF(INDEX(CODIFICACION!$E$2:$E$500,MATCH("D3.14b|"&amp;BD61,CODIFICACION!$F$2:$F$500,0))="sin dato","",INDEX(CODIFICACION!$E$2:$E$500,MATCH("D3.14b|"&amp;BD61,CODIFICACION!$F$2:$F$500,0))),"⚠"))</f>
        <v/>
      </c>
      <c r="Z61" t="str">
        <f>IF(BE61="","",IFERROR(IF(INDEX(CODIFICACION!$E$2:$E$500,MATCH("D3.14c|"&amp;BE61,CODIFICACION!$F$2:$F$500,0))="sin dato","",INDEX(CODIFICACION!$E$2:$E$500,MATCH("D3.14c|"&amp;BE61,CODIFICACION!$F$2:$F$500,0))),"⚠"))</f>
        <v/>
      </c>
      <c r="AA61" t="str">
        <f>IF(BF61="","",IFERROR(IF(INDEX(CODIFICACION!$E$2:$E$500,MATCH("D3.14d|"&amp;BF61,CODIFICACION!$F$2:$F$500,0))="sin dato","",INDEX(CODIFICACION!$E$2:$E$500,MATCH("D3.14d|"&amp;BF61,CODIFICACION!$F$2:$F$500,0))),"⚠"))</f>
        <v/>
      </c>
      <c r="AB61" t="str">
        <f>IF(BG61="","",IFERROR(IF(INDEX(CODIFICACION!$E$2:$E$500,MATCH("D3.14e|"&amp;BG61,CODIFICACION!$F$2:$F$500,0))="sin dato","",INDEX(CODIFICACION!$E$2:$E$500,MATCH("D3.14e|"&amp;BG61,CODIFICACION!$F$2:$F$500,0))),"⚠"))</f>
        <v/>
      </c>
      <c r="AC61" t="str">
        <f>IF(BH61="","",IFERROR(IF(INDEX(CODIFICACION!$E$2:$E$500,MATCH("D3.14f|"&amp;BH61,CODIFICACION!$F$2:$F$500,0))="sin dato","",INDEX(CODIFICACION!$E$2:$E$500,MATCH("D3.14f|"&amp;BH61,CODIFICACION!$F$2:$F$500,0))),"⚠"))</f>
        <v/>
      </c>
      <c r="AD61" t="str">
        <f>IF(BI61="","",IFERROR(IF(INDEX(CODIFICACION!$E$2:$E$500,MATCH("D3.14g|"&amp;BI61,CODIFICACION!$F$2:$F$500,0))="sin dato","",INDEX(CODIFICACION!$E$2:$E$500,MATCH("D3.14g|"&amp;BI61,CODIFICACION!$F$2:$F$500,0))),"⚠"))</f>
        <v/>
      </c>
      <c r="AE61" t="str">
        <f>IF(BJ61="","",IFERROR(IF(INDEX(CODIFICACION!$E$2:$E$500,MATCH("D3.14h|"&amp;BJ61,CODIFICACION!$F$2:$F$500,0))="sin dato","",INDEX(CODIFICACION!$E$2:$E$500,MATCH("D3.14h|"&amp;BJ61,CODIFICACION!$F$2:$F$500,0))),"⚠"))</f>
        <v/>
      </c>
      <c r="AF61" t="str">
        <f>IF(BK61="","",IFERROR(IF(INDEX(CODIFICACION!$E$2:$E$500,MATCH("D3.14i|"&amp;BK61,CODIFICACION!$F$2:$F$500,0))="sin dato","",INDEX(CODIFICACION!$E$2:$E$500,MATCH("D3.14i|"&amp;BK61,CODIFICACION!$F$2:$F$500,0))),"⚠"))</f>
        <v/>
      </c>
      <c r="AG61" t="str">
        <f>IF(BL61="","",IFERROR(IF(INDEX(CODIFICACION!$E$2:$E$500,MATCH("D4.15|"&amp;BL61,CODIFICACION!$F$2:$F$500,0))="sin dato","",INDEX(CODIFICACION!$E$2:$E$500,MATCH("D4.15|"&amp;BL61,CODIFICACION!$F$2:$F$500,0))),"⚠"))</f>
        <v/>
      </c>
      <c r="AH61" t="str">
        <f t="shared" si="31"/>
        <v/>
      </c>
      <c r="AI61" t="str">
        <f>IF(BN61="","",IFERROR(IF(INDEX(CODIFICACION!$E$2:$E$500,MATCH("D4.17|"&amp;BN61,CODIFICACION!$F$2:$F$500,0))="sin dato","",INDEX(CODIFICACION!$E$2:$E$500,MATCH("D4.17|"&amp;BN61,CODIFICACION!$F$2:$F$500,0))),"⚠"))</f>
        <v/>
      </c>
      <c r="AJ61" t="str">
        <f>IF(BO61="","",IFERROR(IF(INDEX(CODIFICACION!$E$2:$E$500,MATCH("D4.15a|"&amp;BO61,CODIFICACION!$F$2:$F$500,0))="sin dato","",INDEX(CODIFICACION!$E$2:$E$500,MATCH("D4.15a|"&amp;BO61,CODIFICACION!$F$2:$F$500,0))),"⚠"))</f>
        <v/>
      </c>
      <c r="AK61" t="str">
        <f t="shared" si="32"/>
        <v/>
      </c>
      <c r="AL61" t="str">
        <f t="shared" si="33"/>
        <v/>
      </c>
      <c r="AM61" t="str">
        <f>IF(BR61="","",IFERROR(IF(INDEX(CODIFICACION!$E$2:$E$500,MATCH("D5.18b|"&amp;BR61,CODIFICACION!$F$2:$F$500,0))="sin dato","",INDEX(CODIFICACION!$E$2:$E$500,MATCH("D5.18b|"&amp;BR61,CODIFICACION!$F$2:$F$500,0))),"⚠"))</f>
        <v/>
      </c>
      <c r="AN61" t="str">
        <f>IF(BS61="","",IFERROR(IF(INDEX(CODIFICACION!$E$2:$E$500,MATCH("D5.19|"&amp;BS61,CODIFICACION!$F$2:$F$500,0))="sin dato","",INDEX(CODIFICACION!$E$2:$E$500,MATCH("D5.19|"&amp;BS61,CODIFICACION!$F$2:$F$500,0))),"⚠"))</f>
        <v/>
      </c>
      <c r="AO61" t="str">
        <f t="shared" si="34"/>
        <v/>
      </c>
      <c r="AP61" t="str">
        <f>IF(BU61="","",IFERROR(IF(INDEX(CODIFICACION!$E$2:$E$500,MATCH("D5.20|"&amp;BU61,CODIFICACION!$F$2:$F$500,0))="sin dato","",INDEX(CODIFICACION!$E$2:$E$500,MATCH("D5.20|"&amp;BU61,CODIFICACION!$F$2:$F$500,0))),"⚠"))</f>
        <v/>
      </c>
      <c r="AQ61" t="str">
        <f>IF(BV61="","",IFERROR(IF(INDEX(CODIFICACION!$E$2:$E$500,MATCH("D5.21|"&amp;BV61,CODIFICACION!$F$2:$F$500,0))="sin dato","",INDEX(CODIFICACION!$E$2:$E$500,MATCH("D5.21|"&amp;BV61,CODIFICACION!$F$2:$F$500,0))),"⚠"))</f>
        <v/>
      </c>
      <c r="AR61" t="str">
        <f>IF(BW61="","",IFERROR(IF(INDEX(CODIFICACION!$E$2:$E$500,MATCH("D5.21a|"&amp;BW61,CODIFICACION!$F$2:$F$500,0))="sin dato","",INDEX(CODIFICACION!$E$2:$E$500,MATCH("D5.21a|"&amp;BW61,CODIFICACION!$F$2:$F$500,0))),"⚠"))</f>
        <v/>
      </c>
      <c r="AS61" t="str">
        <f>IF(BX61="","",IFERROR(IF(INDEX(CODIFICACION!$E$2:$E$500,MATCH("D5.21b|"&amp;BX61,CODIFICACION!$F$2:$F$500,0))="sin dato","",INDEX(CODIFICACION!$E$2:$E$500,MATCH("D5.21b|"&amp;BX61,CODIFICACION!$F$2:$F$500,0))),"⚠"))</f>
        <v/>
      </c>
      <c r="AT61" t="str">
        <f>IF(BY61="","",IFERROR(IF(INDEX(CODIFICACION!$E$2:$E$500,MATCH("D6.22|"&amp;BY61,CODIFICACION!$F$2:$F$500,0))="sin dato","",INDEX(CODIFICACION!$E$2:$E$500,MATCH("D6.22|"&amp;BY61,CODIFICACION!$F$2:$F$500,0))),"⚠"))</f>
        <v/>
      </c>
      <c r="AU61" t="str">
        <f>IF(BZ61="","",IFERROR(IF(INDEX(CODIFICACION!$E$2:$E$500,MATCH("D6.22a|"&amp;BZ61,CODIFICACION!$F$2:$F$500,0))="sin dato","",INDEX(CODIFICACION!$E$2:$E$500,MATCH("D6.22a|"&amp;BZ61,CODIFICACION!$F$2:$F$500,0))),"⚠"))</f>
        <v/>
      </c>
      <c r="AV61" t="str">
        <f>IF(CA61="","",IFERROR(IF(INDEX(CODIFICACION!$E$2:$E$500,MATCH("D6.22b|"&amp;CA61,CODIFICACION!$F$2:$F$500,0))="sin dato","",INDEX(CODIFICACION!$E$2:$E$500,MATCH("D6.22b|"&amp;CA61,CODIFICACION!$F$2:$F$500,0))),"⚠"))</f>
        <v/>
      </c>
      <c r="AW61" t="str">
        <f>IF(CB61="","",IFERROR(IF(INDEX(CODIFICACION!$E$2:$E$500,MATCH("D6.23|"&amp;CB61,CODIFICACION!$F$2:$F$500,0))="sin dato","",INDEX(CODIFICACION!$E$2:$E$500,MATCH("D6.23|"&amp;CB61,CODIFICACION!$F$2:$F$500,0))),"⚠"))</f>
        <v/>
      </c>
      <c r="AX61" t="str">
        <f ca="1">IF(CC61="","",IFERROR(IF(INDEX(CODIFICACION!$E$2:$E$500,MATCH("D6.24|"&amp;CC61,CODIFICACION!$F$2:$F$500,0))="sin dato","",INDEX(CODIFICACION!$E$2:$E$500,MATCH("D6.24|"&amp;CC61,CODIFICACION!$F$2:$F$500,0))),"⚠"))</f>
        <v/>
      </c>
      <c r="AY61" t="str">
        <f ca="1">IF(CD61="","",IFERROR(IF(INDEX(CODIFICACION!$E$2:$E$500,MATCH("D6.25|"&amp;CD61,CODIFICACION!$F$2:$F$500,0))="sin dato","",INDEX(CODIFICACION!$E$2:$E$500,MATCH("D6.25|"&amp;CD61,CODIFICACION!$F$2:$F$500,0))),"⚠"))</f>
        <v/>
      </c>
      <c r="AZ61" t="str">
        <f>IF(CE61="","",IFERROR(IF(INDEX(CODIFICACION!$E$2:$E$500,MATCH("D6.25a|"&amp;CE61,CODIFICACION!$F$2:$F$500,0))="sin dato","",INDEX(CODIFICACION!$E$2:$E$500,MATCH("D6.25a|"&amp;CE61,CODIFICACION!$F$2:$F$500,0))),"⚠"))</f>
        <v/>
      </c>
      <c r="BA61" t="str">
        <f>IF(CF61="","",IFERROR(IF(INDEX(CODIFICACION!$E$2:$E$500,MATCH("D6.25b|"&amp;CF61,CODIFICACION!$F$2:$F$500,0))="sin dato","",INDEX(CODIFICACION!$E$2:$E$500,MATCH("D6.25b|"&amp;CF61,CODIFICACION!$F$2:$F$500,0))),"⚠"))</f>
        <v/>
      </c>
      <c r="BB61" t="str">
        <f ca="1">IF(CG61="","",IFERROR(IF(INDEX(CODIFICACION!$E$2:$E$500,MATCH("D6.22c|"&amp;CG61,CODIFICACION!$F$2:$F$500,0))="sin dato","",INDEX(CODIFICACION!$E$2:$E$500,MATCH("D6.22c|"&amp;CG61,CODIFICACION!$F$2:$F$500,0))),"⚠"))</f>
        <v/>
      </c>
      <c r="BC61" t="str">
        <f ca="1">IF(CH61="","",IFERROR(IF(INDEX(CODIFICACION!$E$2:$E$500,MATCH("D7.26|"&amp;CH61,CODIFICACION!$F$2:$F$500,0))="sin dato","",INDEX(CODIFICACION!$E$2:$E$500,MATCH("D7.26|"&amp;CH61,CODIFICACION!$F$2:$F$500,0))),"⚠"))</f>
        <v/>
      </c>
      <c r="BD61" t="str">
        <f>IF(CI61="","",IFERROR(IF(INDEX(CODIFICACION!$E$2:$E$500,MATCH("D7.27|"&amp;CI61,CODIFICACION!$F$2:$F$500,0))="sin dato","",INDEX(CODIFICACION!$E$2:$E$500,MATCH("D7.27|"&amp;CI61,CODIFICACION!$F$2:$F$500,0))),"⚠"))</f>
        <v/>
      </c>
      <c r="BE61" t="str">
        <f>IF(CJ61="","",IFERROR(IF(INDEX(CODIFICACION!$E$2:$E$500,MATCH("D7.28|"&amp;CJ61,CODIFICACION!$F$2:$F$500,0))="sin dato","",INDEX(CODIFICACION!$E$2:$E$500,MATCH("D7.28|"&amp;CJ61,CODIFICACION!$F$2:$F$500,0))),"⚠"))</f>
        <v/>
      </c>
      <c r="BF61" t="str">
        <f>IF(CK61="","",IFERROR(IF(INDEX(CODIFICACION!$E$2:$E$500,MATCH("D7.28b|"&amp;CK61,CODIFICACION!$F$2:$F$500,0))="sin dato","",INDEX(CODIFICACION!$E$2:$E$500,MATCH("D7.28b|"&amp;CK61,CODIFICACION!$F$2:$F$500,0))),"⚠"))</f>
        <v/>
      </c>
      <c r="BG61" t="str">
        <f t="shared" si="35"/>
        <v/>
      </c>
      <c r="BH61" t="str">
        <f>IF(CM61="","",IFERROR(IF(INDEX(CODIFICACION!$E$2:$E$500,MATCH("D7.26a|"&amp;CM61,CODIFICACION!$F$2:$F$500,0))="sin dato","",INDEX(CODIFICACION!$E$2:$E$500,MATCH("D7.26a|"&amp;CM61,CODIFICACION!$F$2:$F$500,0))),"⚠"))</f>
        <v/>
      </c>
      <c r="BI61" t="str">
        <f>IF(CN61="","",IFERROR(IF(INDEX(CODIFICACION!$E$2:$E$500,MATCH("D7.26b|"&amp;CN61,CODIFICACION!$F$2:$F$500,0))="sin dato","",INDEX(CODIFICACION!$E$2:$E$500,MATCH("D7.26b|"&amp;CN61,CODIFICACION!$F$2:$F$500,0))),"⚠"))</f>
        <v/>
      </c>
      <c r="BJ61" t="str">
        <f t="shared" si="36"/>
        <v/>
      </c>
      <c r="BK61" t="str">
        <f t="shared" si="37"/>
        <v/>
      </c>
      <c r="BL61" t="str">
        <f>IF(CQ61="","",IFERROR(IF(INDEX(CODIFICACION!$E$2:$E$500,MATCH("D8.31|"&amp;CQ61,CODIFICACION!$F$2:$F$500,0))="sin dato","",INDEX(CODIFICACION!$E$2:$E$500,MATCH("D8.31|"&amp;CQ61,CODIFICACION!$F$2:$F$500,0))),"⚠"))</f>
        <v/>
      </c>
      <c r="BM61" t="str">
        <f>IF(CR61="","",IFERROR(IF(INDEX(CODIFICACION!$E$2:$E$500,MATCH("D8.32|"&amp;CR61,CODIFICACION!$F$2:$F$500,0))="sin dato","",INDEX(CODIFICACION!$E$2:$E$500,MATCH("D8.32|"&amp;CR61,CODIFICACION!$F$2:$F$500,0))),"⚠"))</f>
        <v/>
      </c>
      <c r="BN61" t="str">
        <f>IF(CS61="","",IFERROR(IF(INDEX(CODIFICACION!$E$2:$E$500,MATCH("D9.33|"&amp;CS61,CODIFICACION!$F$2:$F$500,0))="sin dato","",INDEX(CODIFICACION!$E$2:$E$500,MATCH("D9.33|"&amp;CS61,CODIFICACION!$F$2:$F$500,0))),"⚠"))</f>
        <v/>
      </c>
      <c r="BO61" t="str">
        <f>IF(CT61="","",IFERROR(IF(INDEX(CODIFICACION!$E$2:$E$500,MATCH("D9.34|"&amp;CT61,CODIFICACION!$F$2:$F$500,0))="sin dato","",INDEX(CODIFICACION!$E$2:$E$500,MATCH("D9.34|"&amp;CT61,CODIFICACION!$F$2:$F$500,0))),"⚠"))</f>
        <v/>
      </c>
      <c r="BP61" t="str">
        <f>IF(CU61="","",IFERROR(IF(INDEX(CODIFICACION!$E$2:$E$500,MATCH("D9.35|"&amp;CU61,CODIFICACION!$F$2:$F$500,0))="sin dato","",INDEX(CODIFICACION!$E$2:$E$500,MATCH("D9.35|"&amp;CU61,CODIFICACION!$F$2:$F$500,0))),"⚠"))</f>
        <v/>
      </c>
      <c r="BQ61" t="str">
        <f>IF(CV61="","",IFERROR(IF(INDEX(CODIFICACION!$E$2:$E$500,MATCH("D10.36|"&amp;CV61,CODIFICACION!$F$2:$F$500,0))="sin dato","",INDEX(CODIFICACION!$E$2:$E$500,MATCH("D10.36|"&amp;CV61,CODIFICACION!$F$2:$F$500,0))),"⚠"))</f>
        <v/>
      </c>
      <c r="BR61" t="str">
        <f>IF(CW61="","",IFERROR(IF(INDEX(CODIFICACION!$E$2:$E$500,MATCH("D10.37|"&amp;CW61,CODIFICACION!$F$2:$F$500,0))="sin dato","",INDEX(CODIFICACION!$E$2:$E$500,MATCH("D10.37|"&amp;CW61,CODIFICACION!$F$2:$F$500,0))),"⚠"))</f>
        <v/>
      </c>
      <c r="BS61" t="str">
        <f>IF(CX61="","",IFERROR(IF(INDEX(CODIFICACION!$E$2:$E$500,MATCH("D10.36a|"&amp;CX61,CODIFICACION!$F$2:$F$500,0))="sin dato","",INDEX(CODIFICACION!$E$2:$E$500,MATCH("D10.36a|"&amp;CX61,CODIFICACION!$F$2:$F$500,0))),"⚠"))</f>
        <v/>
      </c>
      <c r="BT61" t="str">
        <f t="shared" si="38"/>
        <v/>
      </c>
      <c r="BU61" t="str">
        <f>IF(DA61="","",IFERROR(IF(INDEX(CODIFICACION!$E$2:$E$500,MATCH("D11.39a|"&amp;DA61,CODIFICACION!$F$2:$F$500,0))="sin dato","",INDEX(CODIFICACION!$E$2:$E$500,MATCH("D11.39a|"&amp;DA61,CODIFICACION!$F$2:$F$500,0))),"⚠"))</f>
        <v/>
      </c>
      <c r="BV61" t="str">
        <f>IF(DB61="","",IFERROR(IF(INDEX(CODIFICACION!$E$2:$E$500,MATCH("D12.42|"&amp;DB61,CODIFICACION!$F$2:$F$500,0))="sin dato","",INDEX(CODIFICACION!$E$2:$E$500,MATCH("D12.42|"&amp;DB61,CODIFICACION!$F$2:$F$500,0))),"⚠"))</f>
        <v/>
      </c>
      <c r="BW61" t="str">
        <f>IF(DC61="","",IFERROR(IF(INDEX(CODIFICACION!$E$2:$E$500,MATCH("D13.45|"&amp;DC61,CODIFICACION!$F$2:$F$500,0))="sin dato","",INDEX(CODIFICACION!$E$2:$E$500,MATCH("D13.45|"&amp;DC61,CODIFICACION!$F$2:$F$500,0))),"⚠"))</f>
        <v/>
      </c>
      <c r="BX61" t="str">
        <f>IF(DD61="","",IFERROR(IF(INDEX(CODIFICACION!$E$2:$E$500,MATCH("D14.51|"&amp;DD61,CODIFICACION!$F$2:$F$500,0))="sin dato","",INDEX(CODIFICACION!$E$2:$E$500,MATCH("D14.51|"&amp;DD61,CODIFICACION!$F$2:$F$500,0))),"⚠"))</f>
        <v/>
      </c>
      <c r="BY61" t="str">
        <f>IF(DE61="","",IFERROR(IF(INDEX(CODIFICACION!$E$2:$E$500,MATCH("D15.58|"&amp;DE61,CODIFICACION!$F$2:$F$500,0))="sin dato","",INDEX(CODIFICACION!$E$2:$E$500,MATCH("D15.58|"&amp;DE61,CODIFICACION!$F$2:$F$500,0))),"⚠"))</f>
        <v/>
      </c>
      <c r="BZ61" t="str">
        <f>IF(DF61="","",IFERROR(IF(INDEX(CODIFICACION!$E$2:$E$500,MATCH("PP1|"&amp;DF61,CODIFICACION!$F$2:$F$500,0))="sin dato","",INDEX(CODIFICACION!$E$2:$E$500,MATCH("PP1|"&amp;DF61,CODIFICACION!$F$2:$F$500,0))),"⚠"))</f>
        <v/>
      </c>
      <c r="CA61" t="str">
        <f>IF(DG61="","",IFERROR(IF(INDEX(CODIFICACION!$E$2:$E$500,MATCH("PP2|"&amp;DG61,CODIFICACION!$F$2:$F$500,0))="sin dato","",INDEX(CODIFICACION!$E$2:$E$500,MATCH("PP2|"&amp;DG61,CODIFICACION!$F$2:$F$500,0))),"⚠"))</f>
        <v/>
      </c>
      <c r="CB61" t="str">
        <f t="shared" si="39"/>
        <v/>
      </c>
      <c r="CC61" t="str">
        <f t="shared" ca="1" si="40"/>
        <v/>
      </c>
      <c r="CD61" t="str">
        <f t="shared" ca="1" si="41"/>
        <v/>
      </c>
      <c r="CE61" t="str">
        <f t="shared" si="42"/>
        <v/>
      </c>
      <c r="CF61" t="str">
        <f t="shared" si="43"/>
        <v/>
      </c>
      <c r="CG61" t="str">
        <f t="shared" ca="1" si="44"/>
        <v/>
      </c>
      <c r="CH61" t="str">
        <f t="shared" ca="1" si="45"/>
        <v/>
      </c>
      <c r="CI61" t="str">
        <f t="shared" si="46"/>
        <v/>
      </c>
      <c r="CJ61" t="str">
        <f t="shared" si="47"/>
        <v/>
      </c>
      <c r="CK61" t="str">
        <f t="shared" si="48"/>
        <v/>
      </c>
      <c r="CL61" t="str">
        <f t="shared" si="49"/>
        <v/>
      </c>
    </row>
    <row r="62" spans="1:90" x14ac:dyDescent="0.3">
      <c r="A62">
        <f>CAPTURA!A62</f>
        <v>20529801433</v>
      </c>
      <c r="B62">
        <f>CAPTURA!C62</f>
        <v>0</v>
      </c>
      <c r="C62" t="str">
        <f t="shared" si="25"/>
        <v/>
      </c>
      <c r="D62" t="str">
        <f>IF(AE62="","",IFERROR(IF(INDEX(CODIFICACION!$E$2:$E$500,MATCH("P8|"&amp;AE62,CODIFICACION!$F$2:$F$500,0))="sin dato","",INDEX(CODIFICACION!$E$2:$E$500,MATCH("P8|"&amp;AE62,CODIFICACION!$F$2:$F$500,0))),"⚠"))</f>
        <v/>
      </c>
      <c r="E62" t="str">
        <f>IF(AG62="","",IFERROR(IF(INDEX(CODIFICACION!$E$2:$E$500,MATCH("P10|"&amp;AG62,CODIFICACION!$F$2:$F$500,0))="sin dato","",INDEX(CODIFICACION!$E$2:$E$500,MATCH("P10|"&amp;AG62,CODIFICACION!$F$2:$F$500,0))),"⚠"))</f>
        <v/>
      </c>
      <c r="F62" t="str">
        <f>IF(AJ62="","",IFERROR(IF(INDEX(CODIFICACION!$E$2:$E$500,MATCH("P13|"&amp;AJ62,CODIFICACION!$F$2:$F$500,0))="sin dato","",INDEX(CODIFICACION!$E$2:$E$500,MATCH("P13|"&amp;AJ62,CODIFICACION!$F$2:$F$500,0))),"⚠"))</f>
        <v/>
      </c>
      <c r="G62" t="str">
        <f>IF(AK62="","",IFERROR(IF(INDEX(CODIFICACION!$E$2:$E$500,MATCH("P14|"&amp;AK62,CODIFICACION!$F$2:$F$500,0))="sin dato","",INDEX(CODIFICACION!$E$2:$E$500,MATCH("P14|"&amp;AK62,CODIFICACION!$F$2:$F$500,0))),"⚠"))</f>
        <v/>
      </c>
      <c r="H62" t="str">
        <f>IF(AL62="","",IFERROR(IF(INDEX(CODIFICACION!$E$2:$E$500,MATCH("D1.1|"&amp;AL62,CODIFICACION!$F$2:$F$500,0))="sin dato","",INDEX(CODIFICACION!$E$2:$E$500,MATCH("D1.1|"&amp;AL62,CODIFICACION!$F$2:$F$500,0))),"⚠"))</f>
        <v/>
      </c>
      <c r="I62" t="str">
        <f>IF(AN62="","",IFERROR(IF(INDEX(CODIFICACION!$E$2:$E$500,MATCH("D1.3|"&amp;AN62,CODIFICACION!$F$2:$F$500,0))="sin dato","",INDEX(CODIFICACION!$E$2:$E$500,MATCH("D1.3|"&amp;AN62,CODIFICACION!$F$2:$F$500,0))),"⚠"))</f>
        <v/>
      </c>
      <c r="J62" t="str">
        <f>IF(AO62="","",IFERROR(IF(INDEX(CODIFICACION!$E$2:$E$500,MATCH("D1.4|"&amp;AO62,CODIFICACION!$F$2:$F$500,0))="sin dato","",INDEX(CODIFICACION!$E$2:$E$500,MATCH("D1.4|"&amp;AO62,CODIFICACION!$F$2:$F$500,0))),"⚠"))</f>
        <v/>
      </c>
      <c r="K62" t="str">
        <f>IF(AP62="","",IFERROR(IF(INDEX(CODIFICACION!$E$2:$E$500,MATCH("D1.3a|"&amp;AP62,CODIFICACION!$F$2:$F$500,0))="sin dato","",INDEX(CODIFICACION!$E$2:$E$500,MATCH("D1.3a|"&amp;AP62,CODIFICACION!$F$2:$F$500,0))),"⚠"))</f>
        <v/>
      </c>
      <c r="L62" t="str">
        <f t="shared" si="26"/>
        <v/>
      </c>
      <c r="M62" t="str">
        <f t="shared" si="27"/>
        <v/>
      </c>
      <c r="N62" t="str">
        <f t="shared" si="28"/>
        <v/>
      </c>
      <c r="O62" t="str">
        <f>IF(AT62="","",IFERROR(IF(INDEX(CODIFICACION!$E$2:$E$500,MATCH("D2.8|"&amp;AT62,CODIFICACION!$F$2:$F$500,0))="sin dato","",INDEX(CODIFICACION!$E$2:$E$500,MATCH("D2.8|"&amp;AT62,CODIFICACION!$F$2:$F$500,0))),"⚠"))</f>
        <v/>
      </c>
      <c r="P62" t="str">
        <f>IF(AU62="","",IFERROR(IF(INDEX(CODIFICACION!$E$2:$E$500,MATCH("D2.9|"&amp;AU62,CODIFICACION!$F$2:$F$500,0))="sin dato","",INDEX(CODIFICACION!$E$2:$E$500,MATCH("D2.9|"&amp;AU62,CODIFICACION!$F$2:$F$500,0))),"⚠"))</f>
        <v/>
      </c>
      <c r="Q62" t="str">
        <f>IF(AV62="","",IFERROR(IF(INDEX(CODIFICACION!$E$2:$E$500,MATCH("D2.10|"&amp;AV62,CODIFICACION!$F$2:$F$500,0))="sin dato","",INDEX(CODIFICACION!$E$2:$E$500,MATCH("D2.10|"&amp;AV62,CODIFICACION!$F$2:$F$500,0))),"⚠"))</f>
        <v/>
      </c>
      <c r="R62" t="str">
        <f>IF(AW62="","",IFERROR(IF(INDEX(CODIFICACION!$E$2:$E$500,MATCH("D2.5a|"&amp;AW62,CODIFICACION!$F$2:$F$500,0))="sin dato","",INDEX(CODIFICACION!$E$2:$E$500,MATCH("D2.5a|"&amp;AW62,CODIFICACION!$F$2:$F$500,0))),"⚠"))</f>
        <v/>
      </c>
      <c r="S62" t="str">
        <f ca="1">IF(AX62="","",IFERROR(IF(INDEX(CODIFICACION!$E$2:$E$500,MATCH("D2.5b|"&amp;AX62,CODIFICACION!$F$2:$F$500,0))="sin dato","",INDEX(CODIFICACION!$E$2:$E$500,MATCH("D2.5b|"&amp;AX62,CODIFICACION!$F$2:$F$500,0))),"⚠"))</f>
        <v/>
      </c>
      <c r="T62" t="str">
        <f t="shared" ca="1" si="29"/>
        <v/>
      </c>
      <c r="U62" t="str">
        <f>IF(AZ62="","",IFERROR(IF(INDEX(CODIFICACION!$E$2:$E$500,MATCH("D3.12|"&amp;AZ62,CODIFICACION!$F$2:$F$500,0))="sin dato","",INDEX(CODIFICACION!$E$2:$E$500,MATCH("D3.12|"&amp;AZ62,CODIFICACION!$F$2:$F$500,0))),"⚠"))</f>
        <v/>
      </c>
      <c r="V62" t="str">
        <f t="shared" si="30"/>
        <v/>
      </c>
      <c r="W62" t="str">
        <f ca="1">IF(BB62="","",IFERROR(IF(INDEX(CODIFICACION!$E$2:$E$500,MATCH("D3.14|"&amp;BB62,CODIFICACION!$F$2:$F$500,0))="sin dato","",INDEX(CODIFICACION!$E$2:$E$500,MATCH("D3.14|"&amp;BB62,CODIFICACION!$F$2:$F$500,0))),"⚠"))</f>
        <v/>
      </c>
      <c r="X62" t="str">
        <f ca="1">IF(BC62="","",IFERROR(IF(INDEX(CODIFICACION!$E$2:$E$500,MATCH("D3.14a|"&amp;BC62,CODIFICACION!$F$2:$F$500,0))="sin dato","",INDEX(CODIFICACION!$E$2:$E$500,MATCH("D3.14a|"&amp;BC62,CODIFICACION!$F$2:$F$500,0))),"⚠"))</f>
        <v/>
      </c>
      <c r="Y62" t="str">
        <f>IF(BD62="","",IFERROR(IF(INDEX(CODIFICACION!$E$2:$E$500,MATCH("D3.14b|"&amp;BD62,CODIFICACION!$F$2:$F$500,0))="sin dato","",INDEX(CODIFICACION!$E$2:$E$500,MATCH("D3.14b|"&amp;BD62,CODIFICACION!$F$2:$F$500,0))),"⚠"))</f>
        <v/>
      </c>
      <c r="Z62" t="str">
        <f>IF(BE62="","",IFERROR(IF(INDEX(CODIFICACION!$E$2:$E$500,MATCH("D3.14c|"&amp;BE62,CODIFICACION!$F$2:$F$500,0))="sin dato","",INDEX(CODIFICACION!$E$2:$E$500,MATCH("D3.14c|"&amp;BE62,CODIFICACION!$F$2:$F$500,0))),"⚠"))</f>
        <v/>
      </c>
      <c r="AA62" t="str">
        <f>IF(BF62="","",IFERROR(IF(INDEX(CODIFICACION!$E$2:$E$500,MATCH("D3.14d|"&amp;BF62,CODIFICACION!$F$2:$F$500,0))="sin dato","",INDEX(CODIFICACION!$E$2:$E$500,MATCH("D3.14d|"&amp;BF62,CODIFICACION!$F$2:$F$500,0))),"⚠"))</f>
        <v/>
      </c>
      <c r="AB62" t="str">
        <f>IF(BG62="","",IFERROR(IF(INDEX(CODIFICACION!$E$2:$E$500,MATCH("D3.14e|"&amp;BG62,CODIFICACION!$F$2:$F$500,0))="sin dato","",INDEX(CODIFICACION!$E$2:$E$500,MATCH("D3.14e|"&amp;BG62,CODIFICACION!$F$2:$F$500,0))),"⚠"))</f>
        <v/>
      </c>
      <c r="AC62" t="str">
        <f>IF(BH62="","",IFERROR(IF(INDEX(CODIFICACION!$E$2:$E$500,MATCH("D3.14f|"&amp;BH62,CODIFICACION!$F$2:$F$500,0))="sin dato","",INDEX(CODIFICACION!$E$2:$E$500,MATCH("D3.14f|"&amp;BH62,CODIFICACION!$F$2:$F$500,0))),"⚠"))</f>
        <v/>
      </c>
      <c r="AD62" t="str">
        <f>IF(BI62="","",IFERROR(IF(INDEX(CODIFICACION!$E$2:$E$500,MATCH("D3.14g|"&amp;BI62,CODIFICACION!$F$2:$F$500,0))="sin dato","",INDEX(CODIFICACION!$E$2:$E$500,MATCH("D3.14g|"&amp;BI62,CODIFICACION!$F$2:$F$500,0))),"⚠"))</f>
        <v/>
      </c>
      <c r="AE62" t="str">
        <f>IF(BJ62="","",IFERROR(IF(INDEX(CODIFICACION!$E$2:$E$500,MATCH("D3.14h|"&amp;BJ62,CODIFICACION!$F$2:$F$500,0))="sin dato","",INDEX(CODIFICACION!$E$2:$E$500,MATCH("D3.14h|"&amp;BJ62,CODIFICACION!$F$2:$F$500,0))),"⚠"))</f>
        <v/>
      </c>
      <c r="AF62" t="str">
        <f>IF(BK62="","",IFERROR(IF(INDEX(CODIFICACION!$E$2:$E$500,MATCH("D3.14i|"&amp;BK62,CODIFICACION!$F$2:$F$500,0))="sin dato","",INDEX(CODIFICACION!$E$2:$E$500,MATCH("D3.14i|"&amp;BK62,CODIFICACION!$F$2:$F$500,0))),"⚠"))</f>
        <v/>
      </c>
      <c r="AG62" t="str">
        <f>IF(BL62="","",IFERROR(IF(INDEX(CODIFICACION!$E$2:$E$500,MATCH("D4.15|"&amp;BL62,CODIFICACION!$F$2:$F$500,0))="sin dato","",INDEX(CODIFICACION!$E$2:$E$500,MATCH("D4.15|"&amp;BL62,CODIFICACION!$F$2:$F$500,0))),"⚠"))</f>
        <v/>
      </c>
      <c r="AH62" t="str">
        <f t="shared" si="31"/>
        <v/>
      </c>
      <c r="AI62" t="str">
        <f>IF(BN62="","",IFERROR(IF(INDEX(CODIFICACION!$E$2:$E$500,MATCH("D4.17|"&amp;BN62,CODIFICACION!$F$2:$F$500,0))="sin dato","",INDEX(CODIFICACION!$E$2:$E$500,MATCH("D4.17|"&amp;BN62,CODIFICACION!$F$2:$F$500,0))),"⚠"))</f>
        <v/>
      </c>
      <c r="AJ62" t="str">
        <f>IF(BO62="","",IFERROR(IF(INDEX(CODIFICACION!$E$2:$E$500,MATCH("D4.15a|"&amp;BO62,CODIFICACION!$F$2:$F$500,0))="sin dato","",INDEX(CODIFICACION!$E$2:$E$500,MATCH("D4.15a|"&amp;BO62,CODIFICACION!$F$2:$F$500,0))),"⚠"))</f>
        <v/>
      </c>
      <c r="AK62" t="str">
        <f t="shared" si="32"/>
        <v/>
      </c>
      <c r="AL62" t="str">
        <f t="shared" si="33"/>
        <v/>
      </c>
      <c r="AM62" t="str">
        <f>IF(BR62="","",IFERROR(IF(INDEX(CODIFICACION!$E$2:$E$500,MATCH("D5.18b|"&amp;BR62,CODIFICACION!$F$2:$F$500,0))="sin dato","",INDEX(CODIFICACION!$E$2:$E$500,MATCH("D5.18b|"&amp;BR62,CODIFICACION!$F$2:$F$500,0))),"⚠"))</f>
        <v/>
      </c>
      <c r="AN62" t="str">
        <f>IF(BS62="","",IFERROR(IF(INDEX(CODIFICACION!$E$2:$E$500,MATCH("D5.19|"&amp;BS62,CODIFICACION!$F$2:$F$500,0))="sin dato","",INDEX(CODIFICACION!$E$2:$E$500,MATCH("D5.19|"&amp;BS62,CODIFICACION!$F$2:$F$500,0))),"⚠"))</f>
        <v/>
      </c>
      <c r="AO62" t="str">
        <f t="shared" si="34"/>
        <v/>
      </c>
      <c r="AP62" t="str">
        <f>IF(BU62="","",IFERROR(IF(INDEX(CODIFICACION!$E$2:$E$500,MATCH("D5.20|"&amp;BU62,CODIFICACION!$F$2:$F$500,0))="sin dato","",INDEX(CODIFICACION!$E$2:$E$500,MATCH("D5.20|"&amp;BU62,CODIFICACION!$F$2:$F$500,0))),"⚠"))</f>
        <v/>
      </c>
      <c r="AQ62" t="str">
        <f>IF(BV62="","",IFERROR(IF(INDEX(CODIFICACION!$E$2:$E$500,MATCH("D5.21|"&amp;BV62,CODIFICACION!$F$2:$F$500,0))="sin dato","",INDEX(CODIFICACION!$E$2:$E$500,MATCH("D5.21|"&amp;BV62,CODIFICACION!$F$2:$F$500,0))),"⚠"))</f>
        <v/>
      </c>
      <c r="AR62" t="str">
        <f>IF(BW62="","",IFERROR(IF(INDEX(CODIFICACION!$E$2:$E$500,MATCH("D5.21a|"&amp;BW62,CODIFICACION!$F$2:$F$500,0))="sin dato","",INDEX(CODIFICACION!$E$2:$E$500,MATCH("D5.21a|"&amp;BW62,CODIFICACION!$F$2:$F$500,0))),"⚠"))</f>
        <v/>
      </c>
      <c r="AS62" t="str">
        <f>IF(BX62="","",IFERROR(IF(INDEX(CODIFICACION!$E$2:$E$500,MATCH("D5.21b|"&amp;BX62,CODIFICACION!$F$2:$F$500,0))="sin dato","",INDEX(CODIFICACION!$E$2:$E$500,MATCH("D5.21b|"&amp;BX62,CODIFICACION!$F$2:$F$500,0))),"⚠"))</f>
        <v/>
      </c>
      <c r="AT62" t="str">
        <f>IF(BY62="","",IFERROR(IF(INDEX(CODIFICACION!$E$2:$E$500,MATCH("D6.22|"&amp;BY62,CODIFICACION!$F$2:$F$500,0))="sin dato","",INDEX(CODIFICACION!$E$2:$E$500,MATCH("D6.22|"&amp;BY62,CODIFICACION!$F$2:$F$500,0))),"⚠"))</f>
        <v/>
      </c>
      <c r="AU62" t="str">
        <f>IF(BZ62="","",IFERROR(IF(INDEX(CODIFICACION!$E$2:$E$500,MATCH("D6.22a|"&amp;BZ62,CODIFICACION!$F$2:$F$500,0))="sin dato","",INDEX(CODIFICACION!$E$2:$E$500,MATCH("D6.22a|"&amp;BZ62,CODIFICACION!$F$2:$F$500,0))),"⚠"))</f>
        <v/>
      </c>
      <c r="AV62" t="str">
        <f>IF(CA62="","",IFERROR(IF(INDEX(CODIFICACION!$E$2:$E$500,MATCH("D6.22b|"&amp;CA62,CODIFICACION!$F$2:$F$500,0))="sin dato","",INDEX(CODIFICACION!$E$2:$E$500,MATCH("D6.22b|"&amp;CA62,CODIFICACION!$F$2:$F$500,0))),"⚠"))</f>
        <v/>
      </c>
      <c r="AW62" t="str">
        <f>IF(CB62="","",IFERROR(IF(INDEX(CODIFICACION!$E$2:$E$500,MATCH("D6.23|"&amp;CB62,CODIFICACION!$F$2:$F$500,0))="sin dato","",INDEX(CODIFICACION!$E$2:$E$500,MATCH("D6.23|"&amp;CB62,CODIFICACION!$F$2:$F$500,0))),"⚠"))</f>
        <v/>
      </c>
      <c r="AX62" t="str">
        <f ca="1">IF(CC62="","",IFERROR(IF(INDEX(CODIFICACION!$E$2:$E$500,MATCH("D6.24|"&amp;CC62,CODIFICACION!$F$2:$F$500,0))="sin dato","",INDEX(CODIFICACION!$E$2:$E$500,MATCH("D6.24|"&amp;CC62,CODIFICACION!$F$2:$F$500,0))),"⚠"))</f>
        <v/>
      </c>
      <c r="AY62" t="str">
        <f ca="1">IF(CD62="","",IFERROR(IF(INDEX(CODIFICACION!$E$2:$E$500,MATCH("D6.25|"&amp;CD62,CODIFICACION!$F$2:$F$500,0))="sin dato","",INDEX(CODIFICACION!$E$2:$E$500,MATCH("D6.25|"&amp;CD62,CODIFICACION!$F$2:$F$500,0))),"⚠"))</f>
        <v/>
      </c>
      <c r="AZ62" t="str">
        <f>IF(CE62="","",IFERROR(IF(INDEX(CODIFICACION!$E$2:$E$500,MATCH("D6.25a|"&amp;CE62,CODIFICACION!$F$2:$F$500,0))="sin dato","",INDEX(CODIFICACION!$E$2:$E$500,MATCH("D6.25a|"&amp;CE62,CODIFICACION!$F$2:$F$500,0))),"⚠"))</f>
        <v/>
      </c>
      <c r="BA62" t="str">
        <f>IF(CF62="","",IFERROR(IF(INDEX(CODIFICACION!$E$2:$E$500,MATCH("D6.25b|"&amp;CF62,CODIFICACION!$F$2:$F$500,0))="sin dato","",INDEX(CODIFICACION!$E$2:$E$500,MATCH("D6.25b|"&amp;CF62,CODIFICACION!$F$2:$F$500,0))),"⚠"))</f>
        <v/>
      </c>
      <c r="BB62" t="str">
        <f ca="1">IF(CG62="","",IFERROR(IF(INDEX(CODIFICACION!$E$2:$E$500,MATCH("D6.22c|"&amp;CG62,CODIFICACION!$F$2:$F$500,0))="sin dato","",INDEX(CODIFICACION!$E$2:$E$500,MATCH("D6.22c|"&amp;CG62,CODIFICACION!$F$2:$F$500,0))),"⚠"))</f>
        <v/>
      </c>
      <c r="BC62" t="str">
        <f ca="1">IF(CH62="","",IFERROR(IF(INDEX(CODIFICACION!$E$2:$E$500,MATCH("D7.26|"&amp;CH62,CODIFICACION!$F$2:$F$500,0))="sin dato","",INDEX(CODIFICACION!$E$2:$E$500,MATCH("D7.26|"&amp;CH62,CODIFICACION!$F$2:$F$500,0))),"⚠"))</f>
        <v/>
      </c>
      <c r="BD62" t="str">
        <f>IF(CI62="","",IFERROR(IF(INDEX(CODIFICACION!$E$2:$E$500,MATCH("D7.27|"&amp;CI62,CODIFICACION!$F$2:$F$500,0))="sin dato","",INDEX(CODIFICACION!$E$2:$E$500,MATCH("D7.27|"&amp;CI62,CODIFICACION!$F$2:$F$500,0))),"⚠"))</f>
        <v/>
      </c>
      <c r="BE62" t="str">
        <f>IF(CJ62="","",IFERROR(IF(INDEX(CODIFICACION!$E$2:$E$500,MATCH("D7.28|"&amp;CJ62,CODIFICACION!$F$2:$F$500,0))="sin dato","",INDEX(CODIFICACION!$E$2:$E$500,MATCH("D7.28|"&amp;CJ62,CODIFICACION!$F$2:$F$500,0))),"⚠"))</f>
        <v/>
      </c>
      <c r="BF62" t="str">
        <f>IF(CK62="","",IFERROR(IF(INDEX(CODIFICACION!$E$2:$E$500,MATCH("D7.28b|"&amp;CK62,CODIFICACION!$F$2:$F$500,0))="sin dato","",INDEX(CODIFICACION!$E$2:$E$500,MATCH("D7.28b|"&amp;CK62,CODIFICACION!$F$2:$F$500,0))),"⚠"))</f>
        <v/>
      </c>
      <c r="BG62" t="str">
        <f t="shared" si="35"/>
        <v/>
      </c>
      <c r="BH62" t="str">
        <f>IF(CM62="","",IFERROR(IF(INDEX(CODIFICACION!$E$2:$E$500,MATCH("D7.26a|"&amp;CM62,CODIFICACION!$F$2:$F$500,0))="sin dato","",INDEX(CODIFICACION!$E$2:$E$500,MATCH("D7.26a|"&amp;CM62,CODIFICACION!$F$2:$F$500,0))),"⚠"))</f>
        <v/>
      </c>
      <c r="BI62" t="str">
        <f>IF(CN62="","",IFERROR(IF(INDEX(CODIFICACION!$E$2:$E$500,MATCH("D7.26b|"&amp;CN62,CODIFICACION!$F$2:$F$500,0))="sin dato","",INDEX(CODIFICACION!$E$2:$E$500,MATCH("D7.26b|"&amp;CN62,CODIFICACION!$F$2:$F$500,0))),"⚠"))</f>
        <v/>
      </c>
      <c r="BJ62" t="str">
        <f t="shared" si="36"/>
        <v/>
      </c>
      <c r="BK62" t="str">
        <f t="shared" si="37"/>
        <v/>
      </c>
      <c r="BL62" t="str">
        <f>IF(CQ62="","",IFERROR(IF(INDEX(CODIFICACION!$E$2:$E$500,MATCH("D8.31|"&amp;CQ62,CODIFICACION!$F$2:$F$500,0))="sin dato","",INDEX(CODIFICACION!$E$2:$E$500,MATCH("D8.31|"&amp;CQ62,CODIFICACION!$F$2:$F$500,0))),"⚠"))</f>
        <v/>
      </c>
      <c r="BM62" t="str">
        <f>IF(CR62="","",IFERROR(IF(INDEX(CODIFICACION!$E$2:$E$500,MATCH("D8.32|"&amp;CR62,CODIFICACION!$F$2:$F$500,0))="sin dato","",INDEX(CODIFICACION!$E$2:$E$500,MATCH("D8.32|"&amp;CR62,CODIFICACION!$F$2:$F$500,0))),"⚠"))</f>
        <v/>
      </c>
      <c r="BN62" t="str">
        <f>IF(CS62="","",IFERROR(IF(INDEX(CODIFICACION!$E$2:$E$500,MATCH("D9.33|"&amp;CS62,CODIFICACION!$F$2:$F$500,0))="sin dato","",INDEX(CODIFICACION!$E$2:$E$500,MATCH("D9.33|"&amp;CS62,CODIFICACION!$F$2:$F$500,0))),"⚠"))</f>
        <v/>
      </c>
      <c r="BO62" t="str">
        <f>IF(CT62="","",IFERROR(IF(INDEX(CODIFICACION!$E$2:$E$500,MATCH("D9.34|"&amp;CT62,CODIFICACION!$F$2:$F$500,0))="sin dato","",INDEX(CODIFICACION!$E$2:$E$500,MATCH("D9.34|"&amp;CT62,CODIFICACION!$F$2:$F$500,0))),"⚠"))</f>
        <v/>
      </c>
      <c r="BP62" t="str">
        <f>IF(CU62="","",IFERROR(IF(INDEX(CODIFICACION!$E$2:$E$500,MATCH("D9.35|"&amp;CU62,CODIFICACION!$F$2:$F$500,0))="sin dato","",INDEX(CODIFICACION!$E$2:$E$500,MATCH("D9.35|"&amp;CU62,CODIFICACION!$F$2:$F$500,0))),"⚠"))</f>
        <v/>
      </c>
      <c r="BQ62" t="str">
        <f>IF(CV62="","",IFERROR(IF(INDEX(CODIFICACION!$E$2:$E$500,MATCH("D10.36|"&amp;CV62,CODIFICACION!$F$2:$F$500,0))="sin dato","",INDEX(CODIFICACION!$E$2:$E$500,MATCH("D10.36|"&amp;CV62,CODIFICACION!$F$2:$F$500,0))),"⚠"))</f>
        <v/>
      </c>
      <c r="BR62" t="str">
        <f>IF(CW62="","",IFERROR(IF(INDEX(CODIFICACION!$E$2:$E$500,MATCH("D10.37|"&amp;CW62,CODIFICACION!$F$2:$F$500,0))="sin dato","",INDEX(CODIFICACION!$E$2:$E$500,MATCH("D10.37|"&amp;CW62,CODIFICACION!$F$2:$F$500,0))),"⚠"))</f>
        <v/>
      </c>
      <c r="BS62" t="str">
        <f>IF(CX62="","",IFERROR(IF(INDEX(CODIFICACION!$E$2:$E$500,MATCH("D10.36a|"&amp;CX62,CODIFICACION!$F$2:$F$500,0))="sin dato","",INDEX(CODIFICACION!$E$2:$E$500,MATCH("D10.36a|"&amp;CX62,CODIFICACION!$F$2:$F$500,0))),"⚠"))</f>
        <v/>
      </c>
      <c r="BT62" t="str">
        <f t="shared" si="38"/>
        <v/>
      </c>
      <c r="BU62" t="str">
        <f>IF(DA62="","",IFERROR(IF(INDEX(CODIFICACION!$E$2:$E$500,MATCH("D11.39a|"&amp;DA62,CODIFICACION!$F$2:$F$500,0))="sin dato","",INDEX(CODIFICACION!$E$2:$E$500,MATCH("D11.39a|"&amp;DA62,CODIFICACION!$F$2:$F$500,0))),"⚠"))</f>
        <v/>
      </c>
      <c r="BV62" t="str">
        <f>IF(DB62="","",IFERROR(IF(INDEX(CODIFICACION!$E$2:$E$500,MATCH("D12.42|"&amp;DB62,CODIFICACION!$F$2:$F$500,0))="sin dato","",INDEX(CODIFICACION!$E$2:$E$500,MATCH("D12.42|"&amp;DB62,CODIFICACION!$F$2:$F$500,0))),"⚠"))</f>
        <v/>
      </c>
      <c r="BW62" t="str">
        <f>IF(DC62="","",IFERROR(IF(INDEX(CODIFICACION!$E$2:$E$500,MATCH("D13.45|"&amp;DC62,CODIFICACION!$F$2:$F$500,0))="sin dato","",INDEX(CODIFICACION!$E$2:$E$500,MATCH("D13.45|"&amp;DC62,CODIFICACION!$F$2:$F$500,0))),"⚠"))</f>
        <v/>
      </c>
      <c r="BX62" t="str">
        <f>IF(DD62="","",IFERROR(IF(INDEX(CODIFICACION!$E$2:$E$500,MATCH("D14.51|"&amp;DD62,CODIFICACION!$F$2:$F$500,0))="sin dato","",INDEX(CODIFICACION!$E$2:$E$500,MATCH("D14.51|"&amp;DD62,CODIFICACION!$F$2:$F$500,0))),"⚠"))</f>
        <v/>
      </c>
      <c r="BY62" t="str">
        <f>IF(DE62="","",IFERROR(IF(INDEX(CODIFICACION!$E$2:$E$500,MATCH("D15.58|"&amp;DE62,CODIFICACION!$F$2:$F$500,0))="sin dato","",INDEX(CODIFICACION!$E$2:$E$500,MATCH("D15.58|"&amp;DE62,CODIFICACION!$F$2:$F$500,0))),"⚠"))</f>
        <v/>
      </c>
      <c r="BZ62" t="str">
        <f>IF(DF62="","",IFERROR(IF(INDEX(CODIFICACION!$E$2:$E$500,MATCH("PP1|"&amp;DF62,CODIFICACION!$F$2:$F$500,0))="sin dato","",INDEX(CODIFICACION!$E$2:$E$500,MATCH("PP1|"&amp;DF62,CODIFICACION!$F$2:$F$500,0))),"⚠"))</f>
        <v/>
      </c>
      <c r="CA62" t="str">
        <f>IF(DG62="","",IFERROR(IF(INDEX(CODIFICACION!$E$2:$E$500,MATCH("PP2|"&amp;DG62,CODIFICACION!$F$2:$F$500,0))="sin dato","",INDEX(CODIFICACION!$E$2:$E$500,MATCH("PP2|"&amp;DG62,CODIFICACION!$F$2:$F$500,0))),"⚠"))</f>
        <v/>
      </c>
      <c r="CB62" t="str">
        <f t="shared" si="39"/>
        <v/>
      </c>
      <c r="CC62" t="str">
        <f t="shared" ca="1" si="40"/>
        <v/>
      </c>
      <c r="CD62" t="str">
        <f t="shared" ca="1" si="41"/>
        <v/>
      </c>
      <c r="CE62" t="str">
        <f t="shared" si="42"/>
        <v/>
      </c>
      <c r="CF62" t="str">
        <f t="shared" si="43"/>
        <v/>
      </c>
      <c r="CG62" t="str">
        <f t="shared" ca="1" si="44"/>
        <v/>
      </c>
      <c r="CH62" t="str">
        <f t="shared" ca="1" si="45"/>
        <v/>
      </c>
      <c r="CI62" t="str">
        <f t="shared" si="46"/>
        <v/>
      </c>
      <c r="CJ62" t="str">
        <f t="shared" si="47"/>
        <v/>
      </c>
      <c r="CK62" t="str">
        <f t="shared" si="48"/>
        <v/>
      </c>
      <c r="CL62" t="str">
        <f t="shared" si="49"/>
        <v/>
      </c>
    </row>
    <row r="63" spans="1:90" x14ac:dyDescent="0.3">
      <c r="A63">
        <f>CAPTURA!A63</f>
        <v>20529822350</v>
      </c>
      <c r="B63">
        <f>CAPTURA!C63</f>
        <v>0</v>
      </c>
      <c r="C63" t="str">
        <f t="shared" si="25"/>
        <v/>
      </c>
      <c r="D63" t="str">
        <f>IF(AE63="","",IFERROR(IF(INDEX(CODIFICACION!$E$2:$E$500,MATCH("P8|"&amp;AE63,CODIFICACION!$F$2:$F$500,0))="sin dato","",INDEX(CODIFICACION!$E$2:$E$500,MATCH("P8|"&amp;AE63,CODIFICACION!$F$2:$F$500,0))),"⚠"))</f>
        <v/>
      </c>
      <c r="E63" t="str">
        <f>IF(AG63="","",IFERROR(IF(INDEX(CODIFICACION!$E$2:$E$500,MATCH("P10|"&amp;AG63,CODIFICACION!$F$2:$F$500,0))="sin dato","",INDEX(CODIFICACION!$E$2:$E$500,MATCH("P10|"&amp;AG63,CODIFICACION!$F$2:$F$500,0))),"⚠"))</f>
        <v/>
      </c>
      <c r="F63" t="str">
        <f>IF(AJ63="","",IFERROR(IF(INDEX(CODIFICACION!$E$2:$E$500,MATCH("P13|"&amp;AJ63,CODIFICACION!$F$2:$F$500,0))="sin dato","",INDEX(CODIFICACION!$E$2:$E$500,MATCH("P13|"&amp;AJ63,CODIFICACION!$F$2:$F$500,0))),"⚠"))</f>
        <v/>
      </c>
      <c r="G63" t="str">
        <f>IF(AK63="","",IFERROR(IF(INDEX(CODIFICACION!$E$2:$E$500,MATCH("P14|"&amp;AK63,CODIFICACION!$F$2:$F$500,0))="sin dato","",INDEX(CODIFICACION!$E$2:$E$500,MATCH("P14|"&amp;AK63,CODIFICACION!$F$2:$F$500,0))),"⚠"))</f>
        <v/>
      </c>
      <c r="H63" t="str">
        <f>IF(AL63="","",IFERROR(IF(INDEX(CODIFICACION!$E$2:$E$500,MATCH("D1.1|"&amp;AL63,CODIFICACION!$F$2:$F$500,0))="sin dato","",INDEX(CODIFICACION!$E$2:$E$500,MATCH("D1.1|"&amp;AL63,CODIFICACION!$F$2:$F$500,0))),"⚠"))</f>
        <v/>
      </c>
      <c r="I63" t="str">
        <f>IF(AN63="","",IFERROR(IF(INDEX(CODIFICACION!$E$2:$E$500,MATCH("D1.3|"&amp;AN63,CODIFICACION!$F$2:$F$500,0))="sin dato","",INDEX(CODIFICACION!$E$2:$E$500,MATCH("D1.3|"&amp;AN63,CODIFICACION!$F$2:$F$500,0))),"⚠"))</f>
        <v/>
      </c>
      <c r="J63" t="str">
        <f>IF(AO63="","",IFERROR(IF(INDEX(CODIFICACION!$E$2:$E$500,MATCH("D1.4|"&amp;AO63,CODIFICACION!$F$2:$F$500,0))="sin dato","",INDEX(CODIFICACION!$E$2:$E$500,MATCH("D1.4|"&amp;AO63,CODIFICACION!$F$2:$F$500,0))),"⚠"))</f>
        <v/>
      </c>
      <c r="K63" t="str">
        <f>IF(AP63="","",IFERROR(IF(INDEX(CODIFICACION!$E$2:$E$500,MATCH("D1.3a|"&amp;AP63,CODIFICACION!$F$2:$F$500,0))="sin dato","",INDEX(CODIFICACION!$E$2:$E$500,MATCH("D1.3a|"&amp;AP63,CODIFICACION!$F$2:$F$500,0))),"⚠"))</f>
        <v/>
      </c>
      <c r="L63" t="str">
        <f t="shared" si="26"/>
        <v/>
      </c>
      <c r="M63" t="str">
        <f t="shared" si="27"/>
        <v/>
      </c>
      <c r="N63" t="str">
        <f t="shared" si="28"/>
        <v/>
      </c>
      <c r="O63" t="str">
        <f>IF(AT63="","",IFERROR(IF(INDEX(CODIFICACION!$E$2:$E$500,MATCH("D2.8|"&amp;AT63,CODIFICACION!$F$2:$F$500,0))="sin dato","",INDEX(CODIFICACION!$E$2:$E$500,MATCH("D2.8|"&amp;AT63,CODIFICACION!$F$2:$F$500,0))),"⚠"))</f>
        <v/>
      </c>
      <c r="P63" t="str">
        <f>IF(AU63="","",IFERROR(IF(INDEX(CODIFICACION!$E$2:$E$500,MATCH("D2.9|"&amp;AU63,CODIFICACION!$F$2:$F$500,0))="sin dato","",INDEX(CODIFICACION!$E$2:$E$500,MATCH("D2.9|"&amp;AU63,CODIFICACION!$F$2:$F$500,0))),"⚠"))</f>
        <v/>
      </c>
      <c r="Q63" t="str">
        <f>IF(AV63="","",IFERROR(IF(INDEX(CODIFICACION!$E$2:$E$500,MATCH("D2.10|"&amp;AV63,CODIFICACION!$F$2:$F$500,0))="sin dato","",INDEX(CODIFICACION!$E$2:$E$500,MATCH("D2.10|"&amp;AV63,CODIFICACION!$F$2:$F$500,0))),"⚠"))</f>
        <v/>
      </c>
      <c r="R63" t="str">
        <f>IF(AW63="","",IFERROR(IF(INDEX(CODIFICACION!$E$2:$E$500,MATCH("D2.5a|"&amp;AW63,CODIFICACION!$F$2:$F$500,0))="sin dato","",INDEX(CODIFICACION!$E$2:$E$500,MATCH("D2.5a|"&amp;AW63,CODIFICACION!$F$2:$F$500,0))),"⚠"))</f>
        <v/>
      </c>
      <c r="S63" t="str">
        <f ca="1">IF(AX63="","",IFERROR(IF(INDEX(CODIFICACION!$E$2:$E$500,MATCH("D2.5b|"&amp;AX63,CODIFICACION!$F$2:$F$500,0))="sin dato","",INDEX(CODIFICACION!$E$2:$E$500,MATCH("D2.5b|"&amp;AX63,CODIFICACION!$F$2:$F$500,0))),"⚠"))</f>
        <v/>
      </c>
      <c r="T63" t="str">
        <f t="shared" ca="1" si="29"/>
        <v/>
      </c>
      <c r="U63" t="str">
        <f>IF(AZ63="","",IFERROR(IF(INDEX(CODIFICACION!$E$2:$E$500,MATCH("D3.12|"&amp;AZ63,CODIFICACION!$F$2:$F$500,0))="sin dato","",INDEX(CODIFICACION!$E$2:$E$500,MATCH("D3.12|"&amp;AZ63,CODIFICACION!$F$2:$F$500,0))),"⚠"))</f>
        <v/>
      </c>
      <c r="V63" t="str">
        <f t="shared" si="30"/>
        <v/>
      </c>
      <c r="W63" t="str">
        <f ca="1">IF(BB63="","",IFERROR(IF(INDEX(CODIFICACION!$E$2:$E$500,MATCH("D3.14|"&amp;BB63,CODIFICACION!$F$2:$F$500,0))="sin dato","",INDEX(CODIFICACION!$E$2:$E$500,MATCH("D3.14|"&amp;BB63,CODIFICACION!$F$2:$F$500,0))),"⚠"))</f>
        <v/>
      </c>
      <c r="X63" t="str">
        <f ca="1">IF(BC63="","",IFERROR(IF(INDEX(CODIFICACION!$E$2:$E$500,MATCH("D3.14a|"&amp;BC63,CODIFICACION!$F$2:$F$500,0))="sin dato","",INDEX(CODIFICACION!$E$2:$E$500,MATCH("D3.14a|"&amp;BC63,CODIFICACION!$F$2:$F$500,0))),"⚠"))</f>
        <v/>
      </c>
      <c r="Y63" t="str">
        <f>IF(BD63="","",IFERROR(IF(INDEX(CODIFICACION!$E$2:$E$500,MATCH("D3.14b|"&amp;BD63,CODIFICACION!$F$2:$F$500,0))="sin dato","",INDEX(CODIFICACION!$E$2:$E$500,MATCH("D3.14b|"&amp;BD63,CODIFICACION!$F$2:$F$500,0))),"⚠"))</f>
        <v/>
      </c>
      <c r="Z63" t="str">
        <f>IF(BE63="","",IFERROR(IF(INDEX(CODIFICACION!$E$2:$E$500,MATCH("D3.14c|"&amp;BE63,CODIFICACION!$F$2:$F$500,0))="sin dato","",INDEX(CODIFICACION!$E$2:$E$500,MATCH("D3.14c|"&amp;BE63,CODIFICACION!$F$2:$F$500,0))),"⚠"))</f>
        <v/>
      </c>
      <c r="AA63" t="str">
        <f>IF(BF63="","",IFERROR(IF(INDEX(CODIFICACION!$E$2:$E$500,MATCH("D3.14d|"&amp;BF63,CODIFICACION!$F$2:$F$500,0))="sin dato","",INDEX(CODIFICACION!$E$2:$E$500,MATCH("D3.14d|"&amp;BF63,CODIFICACION!$F$2:$F$500,0))),"⚠"))</f>
        <v/>
      </c>
      <c r="AB63" t="str">
        <f>IF(BG63="","",IFERROR(IF(INDEX(CODIFICACION!$E$2:$E$500,MATCH("D3.14e|"&amp;BG63,CODIFICACION!$F$2:$F$500,0))="sin dato","",INDEX(CODIFICACION!$E$2:$E$500,MATCH("D3.14e|"&amp;BG63,CODIFICACION!$F$2:$F$500,0))),"⚠"))</f>
        <v/>
      </c>
      <c r="AC63" t="str">
        <f>IF(BH63="","",IFERROR(IF(INDEX(CODIFICACION!$E$2:$E$500,MATCH("D3.14f|"&amp;BH63,CODIFICACION!$F$2:$F$500,0))="sin dato","",INDEX(CODIFICACION!$E$2:$E$500,MATCH("D3.14f|"&amp;BH63,CODIFICACION!$F$2:$F$500,0))),"⚠"))</f>
        <v/>
      </c>
      <c r="AD63" t="str">
        <f>IF(BI63="","",IFERROR(IF(INDEX(CODIFICACION!$E$2:$E$500,MATCH("D3.14g|"&amp;BI63,CODIFICACION!$F$2:$F$500,0))="sin dato","",INDEX(CODIFICACION!$E$2:$E$500,MATCH("D3.14g|"&amp;BI63,CODIFICACION!$F$2:$F$500,0))),"⚠"))</f>
        <v/>
      </c>
      <c r="AE63" t="str">
        <f>IF(BJ63="","",IFERROR(IF(INDEX(CODIFICACION!$E$2:$E$500,MATCH("D3.14h|"&amp;BJ63,CODIFICACION!$F$2:$F$500,0))="sin dato","",INDEX(CODIFICACION!$E$2:$E$500,MATCH("D3.14h|"&amp;BJ63,CODIFICACION!$F$2:$F$500,0))),"⚠"))</f>
        <v/>
      </c>
      <c r="AF63" t="str">
        <f>IF(BK63="","",IFERROR(IF(INDEX(CODIFICACION!$E$2:$E$500,MATCH("D3.14i|"&amp;BK63,CODIFICACION!$F$2:$F$500,0))="sin dato","",INDEX(CODIFICACION!$E$2:$E$500,MATCH("D3.14i|"&amp;BK63,CODIFICACION!$F$2:$F$500,0))),"⚠"))</f>
        <v/>
      </c>
      <c r="AG63" t="str">
        <f>IF(BL63="","",IFERROR(IF(INDEX(CODIFICACION!$E$2:$E$500,MATCH("D4.15|"&amp;BL63,CODIFICACION!$F$2:$F$500,0))="sin dato","",INDEX(CODIFICACION!$E$2:$E$500,MATCH("D4.15|"&amp;BL63,CODIFICACION!$F$2:$F$500,0))),"⚠"))</f>
        <v/>
      </c>
      <c r="AH63" t="str">
        <f t="shared" si="31"/>
        <v/>
      </c>
      <c r="AI63" t="str">
        <f>IF(BN63="","",IFERROR(IF(INDEX(CODIFICACION!$E$2:$E$500,MATCH("D4.17|"&amp;BN63,CODIFICACION!$F$2:$F$500,0))="sin dato","",INDEX(CODIFICACION!$E$2:$E$500,MATCH("D4.17|"&amp;BN63,CODIFICACION!$F$2:$F$500,0))),"⚠"))</f>
        <v/>
      </c>
      <c r="AJ63" t="str">
        <f>IF(BO63="","",IFERROR(IF(INDEX(CODIFICACION!$E$2:$E$500,MATCH("D4.15a|"&amp;BO63,CODIFICACION!$F$2:$F$500,0))="sin dato","",INDEX(CODIFICACION!$E$2:$E$500,MATCH("D4.15a|"&amp;BO63,CODIFICACION!$F$2:$F$500,0))),"⚠"))</f>
        <v/>
      </c>
      <c r="AK63" t="str">
        <f t="shared" si="32"/>
        <v/>
      </c>
      <c r="AL63" t="str">
        <f t="shared" si="33"/>
        <v/>
      </c>
      <c r="AM63" t="str">
        <f>IF(BR63="","",IFERROR(IF(INDEX(CODIFICACION!$E$2:$E$500,MATCH("D5.18b|"&amp;BR63,CODIFICACION!$F$2:$F$500,0))="sin dato","",INDEX(CODIFICACION!$E$2:$E$500,MATCH("D5.18b|"&amp;BR63,CODIFICACION!$F$2:$F$500,0))),"⚠"))</f>
        <v/>
      </c>
      <c r="AN63" t="str">
        <f>IF(BS63="","",IFERROR(IF(INDEX(CODIFICACION!$E$2:$E$500,MATCH("D5.19|"&amp;BS63,CODIFICACION!$F$2:$F$500,0))="sin dato","",INDEX(CODIFICACION!$E$2:$E$500,MATCH("D5.19|"&amp;BS63,CODIFICACION!$F$2:$F$500,0))),"⚠"))</f>
        <v/>
      </c>
      <c r="AO63" t="str">
        <f t="shared" si="34"/>
        <v/>
      </c>
      <c r="AP63" t="str">
        <f>IF(BU63="","",IFERROR(IF(INDEX(CODIFICACION!$E$2:$E$500,MATCH("D5.20|"&amp;BU63,CODIFICACION!$F$2:$F$500,0))="sin dato","",INDEX(CODIFICACION!$E$2:$E$500,MATCH("D5.20|"&amp;BU63,CODIFICACION!$F$2:$F$500,0))),"⚠"))</f>
        <v/>
      </c>
      <c r="AQ63" t="str">
        <f>IF(BV63="","",IFERROR(IF(INDEX(CODIFICACION!$E$2:$E$500,MATCH("D5.21|"&amp;BV63,CODIFICACION!$F$2:$F$500,0))="sin dato","",INDEX(CODIFICACION!$E$2:$E$500,MATCH("D5.21|"&amp;BV63,CODIFICACION!$F$2:$F$500,0))),"⚠"))</f>
        <v/>
      </c>
      <c r="AR63" t="str">
        <f>IF(BW63="","",IFERROR(IF(INDEX(CODIFICACION!$E$2:$E$500,MATCH("D5.21a|"&amp;BW63,CODIFICACION!$F$2:$F$500,0))="sin dato","",INDEX(CODIFICACION!$E$2:$E$500,MATCH("D5.21a|"&amp;BW63,CODIFICACION!$F$2:$F$500,0))),"⚠"))</f>
        <v/>
      </c>
      <c r="AS63" t="str">
        <f>IF(BX63="","",IFERROR(IF(INDEX(CODIFICACION!$E$2:$E$500,MATCH("D5.21b|"&amp;BX63,CODIFICACION!$F$2:$F$500,0))="sin dato","",INDEX(CODIFICACION!$E$2:$E$500,MATCH("D5.21b|"&amp;BX63,CODIFICACION!$F$2:$F$500,0))),"⚠"))</f>
        <v/>
      </c>
      <c r="AT63" t="str">
        <f>IF(BY63="","",IFERROR(IF(INDEX(CODIFICACION!$E$2:$E$500,MATCH("D6.22|"&amp;BY63,CODIFICACION!$F$2:$F$500,0))="sin dato","",INDEX(CODIFICACION!$E$2:$E$500,MATCH("D6.22|"&amp;BY63,CODIFICACION!$F$2:$F$500,0))),"⚠"))</f>
        <v/>
      </c>
      <c r="AU63" t="str">
        <f>IF(BZ63="","",IFERROR(IF(INDEX(CODIFICACION!$E$2:$E$500,MATCH("D6.22a|"&amp;BZ63,CODIFICACION!$F$2:$F$500,0))="sin dato","",INDEX(CODIFICACION!$E$2:$E$500,MATCH("D6.22a|"&amp;BZ63,CODIFICACION!$F$2:$F$500,0))),"⚠"))</f>
        <v/>
      </c>
      <c r="AV63" t="str">
        <f>IF(CA63="","",IFERROR(IF(INDEX(CODIFICACION!$E$2:$E$500,MATCH("D6.22b|"&amp;CA63,CODIFICACION!$F$2:$F$500,0))="sin dato","",INDEX(CODIFICACION!$E$2:$E$500,MATCH("D6.22b|"&amp;CA63,CODIFICACION!$F$2:$F$500,0))),"⚠"))</f>
        <v/>
      </c>
      <c r="AW63" t="str">
        <f>IF(CB63="","",IFERROR(IF(INDEX(CODIFICACION!$E$2:$E$500,MATCH("D6.23|"&amp;CB63,CODIFICACION!$F$2:$F$500,0))="sin dato","",INDEX(CODIFICACION!$E$2:$E$500,MATCH("D6.23|"&amp;CB63,CODIFICACION!$F$2:$F$500,0))),"⚠"))</f>
        <v/>
      </c>
      <c r="AX63" t="str">
        <f ca="1">IF(CC63="","",IFERROR(IF(INDEX(CODIFICACION!$E$2:$E$500,MATCH("D6.24|"&amp;CC63,CODIFICACION!$F$2:$F$500,0))="sin dato","",INDEX(CODIFICACION!$E$2:$E$500,MATCH("D6.24|"&amp;CC63,CODIFICACION!$F$2:$F$500,0))),"⚠"))</f>
        <v/>
      </c>
      <c r="AY63" t="str">
        <f ca="1">IF(CD63="","",IFERROR(IF(INDEX(CODIFICACION!$E$2:$E$500,MATCH("D6.25|"&amp;CD63,CODIFICACION!$F$2:$F$500,0))="sin dato","",INDEX(CODIFICACION!$E$2:$E$500,MATCH("D6.25|"&amp;CD63,CODIFICACION!$F$2:$F$500,0))),"⚠"))</f>
        <v/>
      </c>
      <c r="AZ63" t="str">
        <f>IF(CE63="","",IFERROR(IF(INDEX(CODIFICACION!$E$2:$E$500,MATCH("D6.25a|"&amp;CE63,CODIFICACION!$F$2:$F$500,0))="sin dato","",INDEX(CODIFICACION!$E$2:$E$500,MATCH("D6.25a|"&amp;CE63,CODIFICACION!$F$2:$F$500,0))),"⚠"))</f>
        <v/>
      </c>
      <c r="BA63" t="str">
        <f>IF(CF63="","",IFERROR(IF(INDEX(CODIFICACION!$E$2:$E$500,MATCH("D6.25b|"&amp;CF63,CODIFICACION!$F$2:$F$500,0))="sin dato","",INDEX(CODIFICACION!$E$2:$E$500,MATCH("D6.25b|"&amp;CF63,CODIFICACION!$F$2:$F$500,0))),"⚠"))</f>
        <v/>
      </c>
      <c r="BB63" t="str">
        <f ca="1">IF(CG63="","",IFERROR(IF(INDEX(CODIFICACION!$E$2:$E$500,MATCH("D6.22c|"&amp;CG63,CODIFICACION!$F$2:$F$500,0))="sin dato","",INDEX(CODIFICACION!$E$2:$E$500,MATCH("D6.22c|"&amp;CG63,CODIFICACION!$F$2:$F$500,0))),"⚠"))</f>
        <v/>
      </c>
      <c r="BC63" t="str">
        <f ca="1">IF(CH63="","",IFERROR(IF(INDEX(CODIFICACION!$E$2:$E$500,MATCH("D7.26|"&amp;CH63,CODIFICACION!$F$2:$F$500,0))="sin dato","",INDEX(CODIFICACION!$E$2:$E$500,MATCH("D7.26|"&amp;CH63,CODIFICACION!$F$2:$F$500,0))),"⚠"))</f>
        <v/>
      </c>
      <c r="BD63" t="str">
        <f>IF(CI63="","",IFERROR(IF(INDEX(CODIFICACION!$E$2:$E$500,MATCH("D7.27|"&amp;CI63,CODIFICACION!$F$2:$F$500,0))="sin dato","",INDEX(CODIFICACION!$E$2:$E$500,MATCH("D7.27|"&amp;CI63,CODIFICACION!$F$2:$F$500,0))),"⚠"))</f>
        <v/>
      </c>
      <c r="BE63" t="str">
        <f>IF(CJ63="","",IFERROR(IF(INDEX(CODIFICACION!$E$2:$E$500,MATCH("D7.28|"&amp;CJ63,CODIFICACION!$F$2:$F$500,0))="sin dato","",INDEX(CODIFICACION!$E$2:$E$500,MATCH("D7.28|"&amp;CJ63,CODIFICACION!$F$2:$F$500,0))),"⚠"))</f>
        <v/>
      </c>
      <c r="BF63" t="str">
        <f>IF(CK63="","",IFERROR(IF(INDEX(CODIFICACION!$E$2:$E$500,MATCH("D7.28b|"&amp;CK63,CODIFICACION!$F$2:$F$500,0))="sin dato","",INDEX(CODIFICACION!$E$2:$E$500,MATCH("D7.28b|"&amp;CK63,CODIFICACION!$F$2:$F$500,0))),"⚠"))</f>
        <v/>
      </c>
      <c r="BG63" t="str">
        <f t="shared" si="35"/>
        <v/>
      </c>
      <c r="BH63" t="str">
        <f>IF(CM63="","",IFERROR(IF(INDEX(CODIFICACION!$E$2:$E$500,MATCH("D7.26a|"&amp;CM63,CODIFICACION!$F$2:$F$500,0))="sin dato","",INDEX(CODIFICACION!$E$2:$E$500,MATCH("D7.26a|"&amp;CM63,CODIFICACION!$F$2:$F$500,0))),"⚠"))</f>
        <v/>
      </c>
      <c r="BI63" t="str">
        <f>IF(CN63="","",IFERROR(IF(INDEX(CODIFICACION!$E$2:$E$500,MATCH("D7.26b|"&amp;CN63,CODIFICACION!$F$2:$F$500,0))="sin dato","",INDEX(CODIFICACION!$E$2:$E$500,MATCH("D7.26b|"&amp;CN63,CODIFICACION!$F$2:$F$500,0))),"⚠"))</f>
        <v/>
      </c>
      <c r="BJ63" t="str">
        <f t="shared" si="36"/>
        <v/>
      </c>
      <c r="BK63" t="str">
        <f t="shared" si="37"/>
        <v/>
      </c>
      <c r="BL63" t="str">
        <f>IF(CQ63="","",IFERROR(IF(INDEX(CODIFICACION!$E$2:$E$500,MATCH("D8.31|"&amp;CQ63,CODIFICACION!$F$2:$F$500,0))="sin dato","",INDEX(CODIFICACION!$E$2:$E$500,MATCH("D8.31|"&amp;CQ63,CODIFICACION!$F$2:$F$500,0))),"⚠"))</f>
        <v/>
      </c>
      <c r="BM63" t="str">
        <f>IF(CR63="","",IFERROR(IF(INDEX(CODIFICACION!$E$2:$E$500,MATCH("D8.32|"&amp;CR63,CODIFICACION!$F$2:$F$500,0))="sin dato","",INDEX(CODIFICACION!$E$2:$E$500,MATCH("D8.32|"&amp;CR63,CODIFICACION!$F$2:$F$500,0))),"⚠"))</f>
        <v/>
      </c>
      <c r="BN63" t="str">
        <f>IF(CS63="","",IFERROR(IF(INDEX(CODIFICACION!$E$2:$E$500,MATCH("D9.33|"&amp;CS63,CODIFICACION!$F$2:$F$500,0))="sin dato","",INDEX(CODIFICACION!$E$2:$E$500,MATCH("D9.33|"&amp;CS63,CODIFICACION!$F$2:$F$500,0))),"⚠"))</f>
        <v/>
      </c>
      <c r="BO63" t="str">
        <f>IF(CT63="","",IFERROR(IF(INDEX(CODIFICACION!$E$2:$E$500,MATCH("D9.34|"&amp;CT63,CODIFICACION!$F$2:$F$500,0))="sin dato","",INDEX(CODIFICACION!$E$2:$E$500,MATCH("D9.34|"&amp;CT63,CODIFICACION!$F$2:$F$500,0))),"⚠"))</f>
        <v/>
      </c>
      <c r="BP63" t="str">
        <f>IF(CU63="","",IFERROR(IF(INDEX(CODIFICACION!$E$2:$E$500,MATCH("D9.35|"&amp;CU63,CODIFICACION!$F$2:$F$500,0))="sin dato","",INDEX(CODIFICACION!$E$2:$E$500,MATCH("D9.35|"&amp;CU63,CODIFICACION!$F$2:$F$500,0))),"⚠"))</f>
        <v/>
      </c>
      <c r="BQ63" t="str">
        <f>IF(CV63="","",IFERROR(IF(INDEX(CODIFICACION!$E$2:$E$500,MATCH("D10.36|"&amp;CV63,CODIFICACION!$F$2:$F$500,0))="sin dato","",INDEX(CODIFICACION!$E$2:$E$500,MATCH("D10.36|"&amp;CV63,CODIFICACION!$F$2:$F$500,0))),"⚠"))</f>
        <v/>
      </c>
      <c r="BR63" t="str">
        <f>IF(CW63="","",IFERROR(IF(INDEX(CODIFICACION!$E$2:$E$500,MATCH("D10.37|"&amp;CW63,CODIFICACION!$F$2:$F$500,0))="sin dato","",INDEX(CODIFICACION!$E$2:$E$500,MATCH("D10.37|"&amp;CW63,CODIFICACION!$F$2:$F$500,0))),"⚠"))</f>
        <v/>
      </c>
      <c r="BS63" t="str">
        <f>IF(CX63="","",IFERROR(IF(INDEX(CODIFICACION!$E$2:$E$500,MATCH("D10.36a|"&amp;CX63,CODIFICACION!$F$2:$F$500,0))="sin dato","",INDEX(CODIFICACION!$E$2:$E$500,MATCH("D10.36a|"&amp;CX63,CODIFICACION!$F$2:$F$500,0))),"⚠"))</f>
        <v/>
      </c>
      <c r="BT63" t="str">
        <f t="shared" si="38"/>
        <v/>
      </c>
      <c r="BU63" t="str">
        <f>IF(DA63="","",IFERROR(IF(INDEX(CODIFICACION!$E$2:$E$500,MATCH("D11.39a|"&amp;DA63,CODIFICACION!$F$2:$F$500,0))="sin dato","",INDEX(CODIFICACION!$E$2:$E$500,MATCH("D11.39a|"&amp;DA63,CODIFICACION!$F$2:$F$500,0))),"⚠"))</f>
        <v/>
      </c>
      <c r="BV63" t="str">
        <f>IF(DB63="","",IFERROR(IF(INDEX(CODIFICACION!$E$2:$E$500,MATCH("D12.42|"&amp;DB63,CODIFICACION!$F$2:$F$500,0))="sin dato","",INDEX(CODIFICACION!$E$2:$E$500,MATCH("D12.42|"&amp;DB63,CODIFICACION!$F$2:$F$500,0))),"⚠"))</f>
        <v/>
      </c>
      <c r="BW63" t="str">
        <f>IF(DC63="","",IFERROR(IF(INDEX(CODIFICACION!$E$2:$E$500,MATCH("D13.45|"&amp;DC63,CODIFICACION!$F$2:$F$500,0))="sin dato","",INDEX(CODIFICACION!$E$2:$E$500,MATCH("D13.45|"&amp;DC63,CODIFICACION!$F$2:$F$500,0))),"⚠"))</f>
        <v/>
      </c>
      <c r="BX63" t="str">
        <f>IF(DD63="","",IFERROR(IF(INDEX(CODIFICACION!$E$2:$E$500,MATCH("D14.51|"&amp;DD63,CODIFICACION!$F$2:$F$500,0))="sin dato","",INDEX(CODIFICACION!$E$2:$E$500,MATCH("D14.51|"&amp;DD63,CODIFICACION!$F$2:$F$500,0))),"⚠"))</f>
        <v/>
      </c>
      <c r="BY63" t="str">
        <f>IF(DE63="","",IFERROR(IF(INDEX(CODIFICACION!$E$2:$E$500,MATCH("D15.58|"&amp;DE63,CODIFICACION!$F$2:$F$500,0))="sin dato","",INDEX(CODIFICACION!$E$2:$E$500,MATCH("D15.58|"&amp;DE63,CODIFICACION!$F$2:$F$500,0))),"⚠"))</f>
        <v/>
      </c>
      <c r="BZ63" t="str">
        <f>IF(DF63="","",IFERROR(IF(INDEX(CODIFICACION!$E$2:$E$500,MATCH("PP1|"&amp;DF63,CODIFICACION!$F$2:$F$500,0))="sin dato","",INDEX(CODIFICACION!$E$2:$E$500,MATCH("PP1|"&amp;DF63,CODIFICACION!$F$2:$F$500,0))),"⚠"))</f>
        <v/>
      </c>
      <c r="CA63" t="str">
        <f>IF(DG63="","",IFERROR(IF(INDEX(CODIFICACION!$E$2:$E$500,MATCH("PP2|"&amp;DG63,CODIFICACION!$F$2:$F$500,0))="sin dato","",INDEX(CODIFICACION!$E$2:$E$500,MATCH("PP2|"&amp;DG63,CODIFICACION!$F$2:$F$500,0))),"⚠"))</f>
        <v/>
      </c>
      <c r="CB63" t="str">
        <f t="shared" si="39"/>
        <v/>
      </c>
      <c r="CC63" t="str">
        <f t="shared" ca="1" si="40"/>
        <v/>
      </c>
      <c r="CD63" t="str">
        <f t="shared" ca="1" si="41"/>
        <v/>
      </c>
      <c r="CE63" t="str">
        <f t="shared" si="42"/>
        <v/>
      </c>
      <c r="CF63" t="str">
        <f t="shared" si="43"/>
        <v/>
      </c>
      <c r="CG63" t="str">
        <f t="shared" ca="1" si="44"/>
        <v/>
      </c>
      <c r="CH63" t="str">
        <f t="shared" ca="1" si="45"/>
        <v/>
      </c>
      <c r="CI63" t="str">
        <f t="shared" si="46"/>
        <v/>
      </c>
      <c r="CJ63" t="str">
        <f t="shared" si="47"/>
        <v/>
      </c>
      <c r="CK63" t="str">
        <f t="shared" si="48"/>
        <v/>
      </c>
      <c r="CL63" t="str">
        <f t="shared" si="49"/>
        <v/>
      </c>
    </row>
    <row r="64" spans="1:90" x14ac:dyDescent="0.3">
      <c r="A64">
        <f>CAPTURA!A64</f>
        <v>20531405723</v>
      </c>
      <c r="B64">
        <f>CAPTURA!C64</f>
        <v>0</v>
      </c>
      <c r="C64" t="str">
        <f t="shared" si="25"/>
        <v/>
      </c>
      <c r="D64" t="str">
        <f>IF(AE64="","",IFERROR(IF(INDEX(CODIFICACION!$E$2:$E$500,MATCH("P8|"&amp;AE64,CODIFICACION!$F$2:$F$500,0))="sin dato","",INDEX(CODIFICACION!$E$2:$E$500,MATCH("P8|"&amp;AE64,CODIFICACION!$F$2:$F$500,0))),"⚠"))</f>
        <v/>
      </c>
      <c r="E64" t="str">
        <f>IF(AG64="","",IFERROR(IF(INDEX(CODIFICACION!$E$2:$E$500,MATCH("P10|"&amp;AG64,CODIFICACION!$F$2:$F$500,0))="sin dato","",INDEX(CODIFICACION!$E$2:$E$500,MATCH("P10|"&amp;AG64,CODIFICACION!$F$2:$F$500,0))),"⚠"))</f>
        <v/>
      </c>
      <c r="F64" t="str">
        <f>IF(AJ64="","",IFERROR(IF(INDEX(CODIFICACION!$E$2:$E$500,MATCH("P13|"&amp;AJ64,CODIFICACION!$F$2:$F$500,0))="sin dato","",INDEX(CODIFICACION!$E$2:$E$500,MATCH("P13|"&amp;AJ64,CODIFICACION!$F$2:$F$500,0))),"⚠"))</f>
        <v/>
      </c>
      <c r="G64" t="str">
        <f>IF(AK64="","",IFERROR(IF(INDEX(CODIFICACION!$E$2:$E$500,MATCH("P14|"&amp;AK64,CODIFICACION!$F$2:$F$500,0))="sin dato","",INDEX(CODIFICACION!$E$2:$E$500,MATCH("P14|"&amp;AK64,CODIFICACION!$F$2:$F$500,0))),"⚠"))</f>
        <v/>
      </c>
      <c r="H64" t="str">
        <f>IF(AL64="","",IFERROR(IF(INDEX(CODIFICACION!$E$2:$E$500,MATCH("D1.1|"&amp;AL64,CODIFICACION!$F$2:$F$500,0))="sin dato","",INDEX(CODIFICACION!$E$2:$E$500,MATCH("D1.1|"&amp;AL64,CODIFICACION!$F$2:$F$500,0))),"⚠"))</f>
        <v/>
      </c>
      <c r="I64" t="str">
        <f>IF(AN64="","",IFERROR(IF(INDEX(CODIFICACION!$E$2:$E$500,MATCH("D1.3|"&amp;AN64,CODIFICACION!$F$2:$F$500,0))="sin dato","",INDEX(CODIFICACION!$E$2:$E$500,MATCH("D1.3|"&amp;AN64,CODIFICACION!$F$2:$F$500,0))),"⚠"))</f>
        <v/>
      </c>
      <c r="J64" t="str">
        <f>IF(AO64="","",IFERROR(IF(INDEX(CODIFICACION!$E$2:$E$500,MATCH("D1.4|"&amp;AO64,CODIFICACION!$F$2:$F$500,0))="sin dato","",INDEX(CODIFICACION!$E$2:$E$500,MATCH("D1.4|"&amp;AO64,CODIFICACION!$F$2:$F$500,0))),"⚠"))</f>
        <v/>
      </c>
      <c r="K64" t="str">
        <f>IF(AP64="","",IFERROR(IF(INDEX(CODIFICACION!$E$2:$E$500,MATCH("D1.3a|"&amp;AP64,CODIFICACION!$F$2:$F$500,0))="sin dato","",INDEX(CODIFICACION!$E$2:$E$500,MATCH("D1.3a|"&amp;AP64,CODIFICACION!$F$2:$F$500,0))),"⚠"))</f>
        <v/>
      </c>
      <c r="L64" t="str">
        <f t="shared" si="26"/>
        <v/>
      </c>
      <c r="M64" t="str">
        <f t="shared" si="27"/>
        <v/>
      </c>
      <c r="N64" t="str">
        <f t="shared" si="28"/>
        <v/>
      </c>
      <c r="O64" t="str">
        <f>IF(AT64="","",IFERROR(IF(INDEX(CODIFICACION!$E$2:$E$500,MATCH("D2.8|"&amp;AT64,CODIFICACION!$F$2:$F$500,0))="sin dato","",INDEX(CODIFICACION!$E$2:$E$500,MATCH("D2.8|"&amp;AT64,CODIFICACION!$F$2:$F$500,0))),"⚠"))</f>
        <v/>
      </c>
      <c r="P64" t="str">
        <f>IF(AU64="","",IFERROR(IF(INDEX(CODIFICACION!$E$2:$E$500,MATCH("D2.9|"&amp;AU64,CODIFICACION!$F$2:$F$500,0))="sin dato","",INDEX(CODIFICACION!$E$2:$E$500,MATCH("D2.9|"&amp;AU64,CODIFICACION!$F$2:$F$500,0))),"⚠"))</f>
        <v/>
      </c>
      <c r="Q64" t="str">
        <f>IF(AV64="","",IFERROR(IF(INDEX(CODIFICACION!$E$2:$E$500,MATCH("D2.10|"&amp;AV64,CODIFICACION!$F$2:$F$500,0))="sin dato","",INDEX(CODIFICACION!$E$2:$E$500,MATCH("D2.10|"&amp;AV64,CODIFICACION!$F$2:$F$500,0))),"⚠"))</f>
        <v/>
      </c>
      <c r="R64" t="str">
        <f>IF(AW64="","",IFERROR(IF(INDEX(CODIFICACION!$E$2:$E$500,MATCH("D2.5a|"&amp;AW64,CODIFICACION!$F$2:$F$500,0))="sin dato","",INDEX(CODIFICACION!$E$2:$E$500,MATCH("D2.5a|"&amp;AW64,CODIFICACION!$F$2:$F$500,0))),"⚠"))</f>
        <v/>
      </c>
      <c r="S64" t="str">
        <f ca="1">IF(AX64="","",IFERROR(IF(INDEX(CODIFICACION!$E$2:$E$500,MATCH("D2.5b|"&amp;AX64,CODIFICACION!$F$2:$F$500,0))="sin dato","",INDEX(CODIFICACION!$E$2:$E$500,MATCH("D2.5b|"&amp;AX64,CODIFICACION!$F$2:$F$500,0))),"⚠"))</f>
        <v/>
      </c>
      <c r="T64" t="str">
        <f t="shared" ca="1" si="29"/>
        <v/>
      </c>
      <c r="U64" t="str">
        <f>IF(AZ64="","",IFERROR(IF(INDEX(CODIFICACION!$E$2:$E$500,MATCH("D3.12|"&amp;AZ64,CODIFICACION!$F$2:$F$500,0))="sin dato","",INDEX(CODIFICACION!$E$2:$E$500,MATCH("D3.12|"&amp;AZ64,CODIFICACION!$F$2:$F$500,0))),"⚠"))</f>
        <v/>
      </c>
      <c r="V64" t="str">
        <f t="shared" si="30"/>
        <v/>
      </c>
      <c r="W64" t="str">
        <f ca="1">IF(BB64="","",IFERROR(IF(INDEX(CODIFICACION!$E$2:$E$500,MATCH("D3.14|"&amp;BB64,CODIFICACION!$F$2:$F$500,0))="sin dato","",INDEX(CODIFICACION!$E$2:$E$500,MATCH("D3.14|"&amp;BB64,CODIFICACION!$F$2:$F$500,0))),"⚠"))</f>
        <v/>
      </c>
      <c r="X64" t="str">
        <f ca="1">IF(BC64="","",IFERROR(IF(INDEX(CODIFICACION!$E$2:$E$500,MATCH("D3.14a|"&amp;BC64,CODIFICACION!$F$2:$F$500,0))="sin dato","",INDEX(CODIFICACION!$E$2:$E$500,MATCH("D3.14a|"&amp;BC64,CODIFICACION!$F$2:$F$500,0))),"⚠"))</f>
        <v/>
      </c>
      <c r="Y64" t="str">
        <f>IF(BD64="","",IFERROR(IF(INDEX(CODIFICACION!$E$2:$E$500,MATCH("D3.14b|"&amp;BD64,CODIFICACION!$F$2:$F$500,0))="sin dato","",INDEX(CODIFICACION!$E$2:$E$500,MATCH("D3.14b|"&amp;BD64,CODIFICACION!$F$2:$F$500,0))),"⚠"))</f>
        <v/>
      </c>
      <c r="Z64" t="str">
        <f>IF(BE64="","",IFERROR(IF(INDEX(CODIFICACION!$E$2:$E$500,MATCH("D3.14c|"&amp;BE64,CODIFICACION!$F$2:$F$500,0))="sin dato","",INDEX(CODIFICACION!$E$2:$E$500,MATCH("D3.14c|"&amp;BE64,CODIFICACION!$F$2:$F$500,0))),"⚠"))</f>
        <v/>
      </c>
      <c r="AA64" t="str">
        <f>IF(BF64="","",IFERROR(IF(INDEX(CODIFICACION!$E$2:$E$500,MATCH("D3.14d|"&amp;BF64,CODIFICACION!$F$2:$F$500,0))="sin dato","",INDEX(CODIFICACION!$E$2:$E$500,MATCH("D3.14d|"&amp;BF64,CODIFICACION!$F$2:$F$500,0))),"⚠"))</f>
        <v/>
      </c>
      <c r="AB64" t="str">
        <f>IF(BG64="","",IFERROR(IF(INDEX(CODIFICACION!$E$2:$E$500,MATCH("D3.14e|"&amp;BG64,CODIFICACION!$F$2:$F$500,0))="sin dato","",INDEX(CODIFICACION!$E$2:$E$500,MATCH("D3.14e|"&amp;BG64,CODIFICACION!$F$2:$F$500,0))),"⚠"))</f>
        <v/>
      </c>
      <c r="AC64" t="str">
        <f>IF(BH64="","",IFERROR(IF(INDEX(CODIFICACION!$E$2:$E$500,MATCH("D3.14f|"&amp;BH64,CODIFICACION!$F$2:$F$500,0))="sin dato","",INDEX(CODIFICACION!$E$2:$E$500,MATCH("D3.14f|"&amp;BH64,CODIFICACION!$F$2:$F$500,0))),"⚠"))</f>
        <v/>
      </c>
      <c r="AD64" t="str">
        <f>IF(BI64="","",IFERROR(IF(INDEX(CODIFICACION!$E$2:$E$500,MATCH("D3.14g|"&amp;BI64,CODIFICACION!$F$2:$F$500,0))="sin dato","",INDEX(CODIFICACION!$E$2:$E$500,MATCH("D3.14g|"&amp;BI64,CODIFICACION!$F$2:$F$500,0))),"⚠"))</f>
        <v/>
      </c>
      <c r="AE64" t="str">
        <f>IF(BJ64="","",IFERROR(IF(INDEX(CODIFICACION!$E$2:$E$500,MATCH("D3.14h|"&amp;BJ64,CODIFICACION!$F$2:$F$500,0))="sin dato","",INDEX(CODIFICACION!$E$2:$E$500,MATCH("D3.14h|"&amp;BJ64,CODIFICACION!$F$2:$F$500,0))),"⚠"))</f>
        <v/>
      </c>
      <c r="AF64" t="str">
        <f>IF(BK64="","",IFERROR(IF(INDEX(CODIFICACION!$E$2:$E$500,MATCH("D3.14i|"&amp;BK64,CODIFICACION!$F$2:$F$500,0))="sin dato","",INDEX(CODIFICACION!$E$2:$E$500,MATCH("D3.14i|"&amp;BK64,CODIFICACION!$F$2:$F$500,0))),"⚠"))</f>
        <v/>
      </c>
      <c r="AG64" t="str">
        <f>IF(BL64="","",IFERROR(IF(INDEX(CODIFICACION!$E$2:$E$500,MATCH("D4.15|"&amp;BL64,CODIFICACION!$F$2:$F$500,0))="sin dato","",INDEX(CODIFICACION!$E$2:$E$500,MATCH("D4.15|"&amp;BL64,CODIFICACION!$F$2:$F$500,0))),"⚠"))</f>
        <v/>
      </c>
      <c r="AH64" t="str">
        <f t="shared" si="31"/>
        <v/>
      </c>
      <c r="AI64" t="str">
        <f>IF(BN64="","",IFERROR(IF(INDEX(CODIFICACION!$E$2:$E$500,MATCH("D4.17|"&amp;BN64,CODIFICACION!$F$2:$F$500,0))="sin dato","",INDEX(CODIFICACION!$E$2:$E$500,MATCH("D4.17|"&amp;BN64,CODIFICACION!$F$2:$F$500,0))),"⚠"))</f>
        <v/>
      </c>
      <c r="AJ64" t="str">
        <f>IF(BO64="","",IFERROR(IF(INDEX(CODIFICACION!$E$2:$E$500,MATCH("D4.15a|"&amp;BO64,CODIFICACION!$F$2:$F$500,0))="sin dato","",INDEX(CODIFICACION!$E$2:$E$500,MATCH("D4.15a|"&amp;BO64,CODIFICACION!$F$2:$F$500,0))),"⚠"))</f>
        <v/>
      </c>
      <c r="AK64" t="str">
        <f t="shared" si="32"/>
        <v/>
      </c>
      <c r="AL64" t="str">
        <f t="shared" si="33"/>
        <v/>
      </c>
      <c r="AM64" t="str">
        <f>IF(BR64="","",IFERROR(IF(INDEX(CODIFICACION!$E$2:$E$500,MATCH("D5.18b|"&amp;BR64,CODIFICACION!$F$2:$F$500,0))="sin dato","",INDEX(CODIFICACION!$E$2:$E$500,MATCH("D5.18b|"&amp;BR64,CODIFICACION!$F$2:$F$500,0))),"⚠"))</f>
        <v/>
      </c>
      <c r="AN64" t="str">
        <f>IF(BS64="","",IFERROR(IF(INDEX(CODIFICACION!$E$2:$E$500,MATCH("D5.19|"&amp;BS64,CODIFICACION!$F$2:$F$500,0))="sin dato","",INDEX(CODIFICACION!$E$2:$E$500,MATCH("D5.19|"&amp;BS64,CODIFICACION!$F$2:$F$500,0))),"⚠"))</f>
        <v/>
      </c>
      <c r="AO64" t="str">
        <f t="shared" si="34"/>
        <v/>
      </c>
      <c r="AP64" t="str">
        <f>IF(BU64="","",IFERROR(IF(INDEX(CODIFICACION!$E$2:$E$500,MATCH("D5.20|"&amp;BU64,CODIFICACION!$F$2:$F$500,0))="sin dato","",INDEX(CODIFICACION!$E$2:$E$500,MATCH("D5.20|"&amp;BU64,CODIFICACION!$F$2:$F$500,0))),"⚠"))</f>
        <v/>
      </c>
      <c r="AQ64" t="str">
        <f>IF(BV64="","",IFERROR(IF(INDEX(CODIFICACION!$E$2:$E$500,MATCH("D5.21|"&amp;BV64,CODIFICACION!$F$2:$F$500,0))="sin dato","",INDEX(CODIFICACION!$E$2:$E$500,MATCH("D5.21|"&amp;BV64,CODIFICACION!$F$2:$F$500,0))),"⚠"))</f>
        <v/>
      </c>
      <c r="AR64" t="str">
        <f>IF(BW64="","",IFERROR(IF(INDEX(CODIFICACION!$E$2:$E$500,MATCH("D5.21a|"&amp;BW64,CODIFICACION!$F$2:$F$500,0))="sin dato","",INDEX(CODIFICACION!$E$2:$E$500,MATCH("D5.21a|"&amp;BW64,CODIFICACION!$F$2:$F$500,0))),"⚠"))</f>
        <v/>
      </c>
      <c r="AS64" t="str">
        <f>IF(BX64="","",IFERROR(IF(INDEX(CODIFICACION!$E$2:$E$500,MATCH("D5.21b|"&amp;BX64,CODIFICACION!$F$2:$F$500,0))="sin dato","",INDEX(CODIFICACION!$E$2:$E$500,MATCH("D5.21b|"&amp;BX64,CODIFICACION!$F$2:$F$500,0))),"⚠"))</f>
        <v/>
      </c>
      <c r="AT64" t="str">
        <f>IF(BY64="","",IFERROR(IF(INDEX(CODIFICACION!$E$2:$E$500,MATCH("D6.22|"&amp;BY64,CODIFICACION!$F$2:$F$500,0))="sin dato","",INDEX(CODIFICACION!$E$2:$E$500,MATCH("D6.22|"&amp;BY64,CODIFICACION!$F$2:$F$500,0))),"⚠"))</f>
        <v/>
      </c>
      <c r="AU64" t="str">
        <f>IF(BZ64="","",IFERROR(IF(INDEX(CODIFICACION!$E$2:$E$500,MATCH("D6.22a|"&amp;BZ64,CODIFICACION!$F$2:$F$500,0))="sin dato","",INDEX(CODIFICACION!$E$2:$E$500,MATCH("D6.22a|"&amp;BZ64,CODIFICACION!$F$2:$F$500,0))),"⚠"))</f>
        <v/>
      </c>
      <c r="AV64" t="str">
        <f>IF(CA64="","",IFERROR(IF(INDEX(CODIFICACION!$E$2:$E$500,MATCH("D6.22b|"&amp;CA64,CODIFICACION!$F$2:$F$500,0))="sin dato","",INDEX(CODIFICACION!$E$2:$E$500,MATCH("D6.22b|"&amp;CA64,CODIFICACION!$F$2:$F$500,0))),"⚠"))</f>
        <v/>
      </c>
      <c r="AW64" t="str">
        <f>IF(CB64="","",IFERROR(IF(INDEX(CODIFICACION!$E$2:$E$500,MATCH("D6.23|"&amp;CB64,CODIFICACION!$F$2:$F$500,0))="sin dato","",INDEX(CODIFICACION!$E$2:$E$500,MATCH("D6.23|"&amp;CB64,CODIFICACION!$F$2:$F$500,0))),"⚠"))</f>
        <v/>
      </c>
      <c r="AX64" t="str">
        <f ca="1">IF(CC64="","",IFERROR(IF(INDEX(CODIFICACION!$E$2:$E$500,MATCH("D6.24|"&amp;CC64,CODIFICACION!$F$2:$F$500,0))="sin dato","",INDEX(CODIFICACION!$E$2:$E$500,MATCH("D6.24|"&amp;CC64,CODIFICACION!$F$2:$F$500,0))),"⚠"))</f>
        <v/>
      </c>
      <c r="AY64" t="str">
        <f ca="1">IF(CD64="","",IFERROR(IF(INDEX(CODIFICACION!$E$2:$E$500,MATCH("D6.25|"&amp;CD64,CODIFICACION!$F$2:$F$500,0))="sin dato","",INDEX(CODIFICACION!$E$2:$E$500,MATCH("D6.25|"&amp;CD64,CODIFICACION!$F$2:$F$500,0))),"⚠"))</f>
        <v/>
      </c>
      <c r="AZ64" t="str">
        <f>IF(CE64="","",IFERROR(IF(INDEX(CODIFICACION!$E$2:$E$500,MATCH("D6.25a|"&amp;CE64,CODIFICACION!$F$2:$F$500,0))="sin dato","",INDEX(CODIFICACION!$E$2:$E$500,MATCH("D6.25a|"&amp;CE64,CODIFICACION!$F$2:$F$500,0))),"⚠"))</f>
        <v/>
      </c>
      <c r="BA64" t="str">
        <f>IF(CF64="","",IFERROR(IF(INDEX(CODIFICACION!$E$2:$E$500,MATCH("D6.25b|"&amp;CF64,CODIFICACION!$F$2:$F$500,0))="sin dato","",INDEX(CODIFICACION!$E$2:$E$500,MATCH("D6.25b|"&amp;CF64,CODIFICACION!$F$2:$F$500,0))),"⚠"))</f>
        <v/>
      </c>
      <c r="BB64" t="str">
        <f ca="1">IF(CG64="","",IFERROR(IF(INDEX(CODIFICACION!$E$2:$E$500,MATCH("D6.22c|"&amp;CG64,CODIFICACION!$F$2:$F$500,0))="sin dato","",INDEX(CODIFICACION!$E$2:$E$500,MATCH("D6.22c|"&amp;CG64,CODIFICACION!$F$2:$F$500,0))),"⚠"))</f>
        <v/>
      </c>
      <c r="BC64" t="str">
        <f ca="1">IF(CH64="","",IFERROR(IF(INDEX(CODIFICACION!$E$2:$E$500,MATCH("D7.26|"&amp;CH64,CODIFICACION!$F$2:$F$500,0))="sin dato","",INDEX(CODIFICACION!$E$2:$E$500,MATCH("D7.26|"&amp;CH64,CODIFICACION!$F$2:$F$500,0))),"⚠"))</f>
        <v/>
      </c>
      <c r="BD64" t="str">
        <f>IF(CI64="","",IFERROR(IF(INDEX(CODIFICACION!$E$2:$E$500,MATCH("D7.27|"&amp;CI64,CODIFICACION!$F$2:$F$500,0))="sin dato","",INDEX(CODIFICACION!$E$2:$E$500,MATCH("D7.27|"&amp;CI64,CODIFICACION!$F$2:$F$500,0))),"⚠"))</f>
        <v/>
      </c>
      <c r="BE64" t="str">
        <f>IF(CJ64="","",IFERROR(IF(INDEX(CODIFICACION!$E$2:$E$500,MATCH("D7.28|"&amp;CJ64,CODIFICACION!$F$2:$F$500,0))="sin dato","",INDEX(CODIFICACION!$E$2:$E$500,MATCH("D7.28|"&amp;CJ64,CODIFICACION!$F$2:$F$500,0))),"⚠"))</f>
        <v/>
      </c>
      <c r="BF64" t="str">
        <f>IF(CK64="","",IFERROR(IF(INDEX(CODIFICACION!$E$2:$E$500,MATCH("D7.28b|"&amp;CK64,CODIFICACION!$F$2:$F$500,0))="sin dato","",INDEX(CODIFICACION!$E$2:$E$500,MATCH("D7.28b|"&amp;CK64,CODIFICACION!$F$2:$F$500,0))),"⚠"))</f>
        <v/>
      </c>
      <c r="BG64" t="str">
        <f t="shared" si="35"/>
        <v/>
      </c>
      <c r="BH64" t="str">
        <f>IF(CM64="","",IFERROR(IF(INDEX(CODIFICACION!$E$2:$E$500,MATCH("D7.26a|"&amp;CM64,CODIFICACION!$F$2:$F$500,0))="sin dato","",INDEX(CODIFICACION!$E$2:$E$500,MATCH("D7.26a|"&amp;CM64,CODIFICACION!$F$2:$F$500,0))),"⚠"))</f>
        <v/>
      </c>
      <c r="BI64" t="str">
        <f>IF(CN64="","",IFERROR(IF(INDEX(CODIFICACION!$E$2:$E$500,MATCH("D7.26b|"&amp;CN64,CODIFICACION!$F$2:$F$500,0))="sin dato","",INDEX(CODIFICACION!$E$2:$E$500,MATCH("D7.26b|"&amp;CN64,CODIFICACION!$F$2:$F$500,0))),"⚠"))</f>
        <v/>
      </c>
      <c r="BJ64" t="str">
        <f t="shared" si="36"/>
        <v/>
      </c>
      <c r="BK64" t="str">
        <f t="shared" si="37"/>
        <v/>
      </c>
      <c r="BL64" t="str">
        <f>IF(CQ64="","",IFERROR(IF(INDEX(CODIFICACION!$E$2:$E$500,MATCH("D8.31|"&amp;CQ64,CODIFICACION!$F$2:$F$500,0))="sin dato","",INDEX(CODIFICACION!$E$2:$E$500,MATCH("D8.31|"&amp;CQ64,CODIFICACION!$F$2:$F$500,0))),"⚠"))</f>
        <v/>
      </c>
      <c r="BM64" t="str">
        <f>IF(CR64="","",IFERROR(IF(INDEX(CODIFICACION!$E$2:$E$500,MATCH("D8.32|"&amp;CR64,CODIFICACION!$F$2:$F$500,0))="sin dato","",INDEX(CODIFICACION!$E$2:$E$500,MATCH("D8.32|"&amp;CR64,CODIFICACION!$F$2:$F$500,0))),"⚠"))</f>
        <v/>
      </c>
      <c r="BN64" t="str">
        <f>IF(CS64="","",IFERROR(IF(INDEX(CODIFICACION!$E$2:$E$500,MATCH("D9.33|"&amp;CS64,CODIFICACION!$F$2:$F$500,0))="sin dato","",INDEX(CODIFICACION!$E$2:$E$500,MATCH("D9.33|"&amp;CS64,CODIFICACION!$F$2:$F$500,0))),"⚠"))</f>
        <v/>
      </c>
      <c r="BO64" t="str">
        <f>IF(CT64="","",IFERROR(IF(INDEX(CODIFICACION!$E$2:$E$500,MATCH("D9.34|"&amp;CT64,CODIFICACION!$F$2:$F$500,0))="sin dato","",INDEX(CODIFICACION!$E$2:$E$500,MATCH("D9.34|"&amp;CT64,CODIFICACION!$F$2:$F$500,0))),"⚠"))</f>
        <v/>
      </c>
      <c r="BP64" t="str">
        <f>IF(CU64="","",IFERROR(IF(INDEX(CODIFICACION!$E$2:$E$500,MATCH("D9.35|"&amp;CU64,CODIFICACION!$F$2:$F$500,0))="sin dato","",INDEX(CODIFICACION!$E$2:$E$500,MATCH("D9.35|"&amp;CU64,CODIFICACION!$F$2:$F$500,0))),"⚠"))</f>
        <v/>
      </c>
      <c r="BQ64" t="str">
        <f>IF(CV64="","",IFERROR(IF(INDEX(CODIFICACION!$E$2:$E$500,MATCH("D10.36|"&amp;CV64,CODIFICACION!$F$2:$F$500,0))="sin dato","",INDEX(CODIFICACION!$E$2:$E$500,MATCH("D10.36|"&amp;CV64,CODIFICACION!$F$2:$F$500,0))),"⚠"))</f>
        <v/>
      </c>
      <c r="BR64" t="str">
        <f>IF(CW64="","",IFERROR(IF(INDEX(CODIFICACION!$E$2:$E$500,MATCH("D10.37|"&amp;CW64,CODIFICACION!$F$2:$F$500,0))="sin dato","",INDEX(CODIFICACION!$E$2:$E$500,MATCH("D10.37|"&amp;CW64,CODIFICACION!$F$2:$F$500,0))),"⚠"))</f>
        <v/>
      </c>
      <c r="BS64" t="str">
        <f>IF(CX64="","",IFERROR(IF(INDEX(CODIFICACION!$E$2:$E$500,MATCH("D10.36a|"&amp;CX64,CODIFICACION!$F$2:$F$500,0))="sin dato","",INDEX(CODIFICACION!$E$2:$E$500,MATCH("D10.36a|"&amp;CX64,CODIFICACION!$F$2:$F$500,0))),"⚠"))</f>
        <v/>
      </c>
      <c r="BT64" t="str">
        <f t="shared" si="38"/>
        <v/>
      </c>
      <c r="BU64" t="str">
        <f>IF(DA64="","",IFERROR(IF(INDEX(CODIFICACION!$E$2:$E$500,MATCH("D11.39a|"&amp;DA64,CODIFICACION!$F$2:$F$500,0))="sin dato","",INDEX(CODIFICACION!$E$2:$E$500,MATCH("D11.39a|"&amp;DA64,CODIFICACION!$F$2:$F$500,0))),"⚠"))</f>
        <v/>
      </c>
      <c r="BV64" t="str">
        <f>IF(DB64="","",IFERROR(IF(INDEX(CODIFICACION!$E$2:$E$500,MATCH("D12.42|"&amp;DB64,CODIFICACION!$F$2:$F$500,0))="sin dato","",INDEX(CODIFICACION!$E$2:$E$500,MATCH("D12.42|"&amp;DB64,CODIFICACION!$F$2:$F$500,0))),"⚠"))</f>
        <v/>
      </c>
      <c r="BW64" t="str">
        <f>IF(DC64="","",IFERROR(IF(INDEX(CODIFICACION!$E$2:$E$500,MATCH("D13.45|"&amp;DC64,CODIFICACION!$F$2:$F$500,0))="sin dato","",INDEX(CODIFICACION!$E$2:$E$500,MATCH("D13.45|"&amp;DC64,CODIFICACION!$F$2:$F$500,0))),"⚠"))</f>
        <v/>
      </c>
      <c r="BX64" t="str">
        <f>IF(DD64="","",IFERROR(IF(INDEX(CODIFICACION!$E$2:$E$500,MATCH("D14.51|"&amp;DD64,CODIFICACION!$F$2:$F$500,0))="sin dato","",INDEX(CODIFICACION!$E$2:$E$500,MATCH("D14.51|"&amp;DD64,CODIFICACION!$F$2:$F$500,0))),"⚠"))</f>
        <v/>
      </c>
      <c r="BY64" t="str">
        <f>IF(DE64="","",IFERROR(IF(INDEX(CODIFICACION!$E$2:$E$500,MATCH("D15.58|"&amp;DE64,CODIFICACION!$F$2:$F$500,0))="sin dato","",INDEX(CODIFICACION!$E$2:$E$500,MATCH("D15.58|"&amp;DE64,CODIFICACION!$F$2:$F$500,0))),"⚠"))</f>
        <v/>
      </c>
      <c r="BZ64" t="str">
        <f>IF(DF64="","",IFERROR(IF(INDEX(CODIFICACION!$E$2:$E$500,MATCH("PP1|"&amp;DF64,CODIFICACION!$F$2:$F$500,0))="sin dato","",INDEX(CODIFICACION!$E$2:$E$500,MATCH("PP1|"&amp;DF64,CODIFICACION!$F$2:$F$500,0))),"⚠"))</f>
        <v/>
      </c>
      <c r="CA64" t="str">
        <f>IF(DG64="","",IFERROR(IF(INDEX(CODIFICACION!$E$2:$E$500,MATCH("PP2|"&amp;DG64,CODIFICACION!$F$2:$F$500,0))="sin dato","",INDEX(CODIFICACION!$E$2:$E$500,MATCH("PP2|"&amp;DG64,CODIFICACION!$F$2:$F$500,0))),"⚠"))</f>
        <v/>
      </c>
      <c r="CB64" t="str">
        <f t="shared" si="39"/>
        <v/>
      </c>
      <c r="CC64" t="str">
        <f t="shared" ca="1" si="40"/>
        <v/>
      </c>
      <c r="CD64" t="str">
        <f t="shared" ca="1" si="41"/>
        <v/>
      </c>
      <c r="CE64" t="str">
        <f t="shared" si="42"/>
        <v/>
      </c>
      <c r="CF64" t="str">
        <f t="shared" si="43"/>
        <v/>
      </c>
      <c r="CG64" t="str">
        <f t="shared" ca="1" si="44"/>
        <v/>
      </c>
      <c r="CH64" t="str">
        <f t="shared" ca="1" si="45"/>
        <v/>
      </c>
      <c r="CI64" t="str">
        <f t="shared" si="46"/>
        <v/>
      </c>
      <c r="CJ64" t="str">
        <f t="shared" si="47"/>
        <v/>
      </c>
      <c r="CK64" t="str">
        <f t="shared" si="48"/>
        <v/>
      </c>
      <c r="CL64" t="str">
        <f t="shared" si="49"/>
        <v/>
      </c>
    </row>
    <row r="65" spans="1:90" x14ac:dyDescent="0.3">
      <c r="A65">
        <f>CAPTURA!A65</f>
        <v>20531441797</v>
      </c>
      <c r="B65">
        <f>CAPTURA!C65</f>
        <v>0</v>
      </c>
      <c r="C65" t="str">
        <f t="shared" si="25"/>
        <v/>
      </c>
      <c r="D65" t="str">
        <f>IF(AE65="","",IFERROR(IF(INDEX(CODIFICACION!$E$2:$E$500,MATCH("P8|"&amp;AE65,CODIFICACION!$F$2:$F$500,0))="sin dato","",INDEX(CODIFICACION!$E$2:$E$500,MATCH("P8|"&amp;AE65,CODIFICACION!$F$2:$F$500,0))),"⚠"))</f>
        <v/>
      </c>
      <c r="E65" t="str">
        <f>IF(AG65="","",IFERROR(IF(INDEX(CODIFICACION!$E$2:$E$500,MATCH("P10|"&amp;AG65,CODIFICACION!$F$2:$F$500,0))="sin dato","",INDEX(CODIFICACION!$E$2:$E$500,MATCH("P10|"&amp;AG65,CODIFICACION!$F$2:$F$500,0))),"⚠"))</f>
        <v/>
      </c>
      <c r="F65" t="str">
        <f>IF(AJ65="","",IFERROR(IF(INDEX(CODIFICACION!$E$2:$E$500,MATCH("P13|"&amp;AJ65,CODIFICACION!$F$2:$F$500,0))="sin dato","",INDEX(CODIFICACION!$E$2:$E$500,MATCH("P13|"&amp;AJ65,CODIFICACION!$F$2:$F$500,0))),"⚠"))</f>
        <v/>
      </c>
      <c r="G65" t="str">
        <f>IF(AK65="","",IFERROR(IF(INDEX(CODIFICACION!$E$2:$E$500,MATCH("P14|"&amp;AK65,CODIFICACION!$F$2:$F$500,0))="sin dato","",INDEX(CODIFICACION!$E$2:$E$500,MATCH("P14|"&amp;AK65,CODIFICACION!$F$2:$F$500,0))),"⚠"))</f>
        <v/>
      </c>
      <c r="H65" t="str">
        <f>IF(AL65="","",IFERROR(IF(INDEX(CODIFICACION!$E$2:$E$500,MATCH("D1.1|"&amp;AL65,CODIFICACION!$F$2:$F$500,0))="sin dato","",INDEX(CODIFICACION!$E$2:$E$500,MATCH("D1.1|"&amp;AL65,CODIFICACION!$F$2:$F$500,0))),"⚠"))</f>
        <v/>
      </c>
      <c r="I65" t="str">
        <f>IF(AN65="","",IFERROR(IF(INDEX(CODIFICACION!$E$2:$E$500,MATCH("D1.3|"&amp;AN65,CODIFICACION!$F$2:$F$500,0))="sin dato","",INDEX(CODIFICACION!$E$2:$E$500,MATCH("D1.3|"&amp;AN65,CODIFICACION!$F$2:$F$500,0))),"⚠"))</f>
        <v/>
      </c>
      <c r="J65" t="str">
        <f>IF(AO65="","",IFERROR(IF(INDEX(CODIFICACION!$E$2:$E$500,MATCH("D1.4|"&amp;AO65,CODIFICACION!$F$2:$F$500,0))="sin dato","",INDEX(CODIFICACION!$E$2:$E$500,MATCH("D1.4|"&amp;AO65,CODIFICACION!$F$2:$F$500,0))),"⚠"))</f>
        <v/>
      </c>
      <c r="K65" t="str">
        <f>IF(AP65="","",IFERROR(IF(INDEX(CODIFICACION!$E$2:$E$500,MATCH("D1.3a|"&amp;AP65,CODIFICACION!$F$2:$F$500,0))="sin dato","",INDEX(CODIFICACION!$E$2:$E$500,MATCH("D1.3a|"&amp;AP65,CODIFICACION!$F$2:$F$500,0))),"⚠"))</f>
        <v/>
      </c>
      <c r="L65" t="str">
        <f t="shared" si="26"/>
        <v/>
      </c>
      <c r="M65" t="str">
        <f t="shared" si="27"/>
        <v/>
      </c>
      <c r="N65" t="str">
        <f t="shared" si="28"/>
        <v/>
      </c>
      <c r="O65" t="str">
        <f>IF(AT65="","",IFERROR(IF(INDEX(CODIFICACION!$E$2:$E$500,MATCH("D2.8|"&amp;AT65,CODIFICACION!$F$2:$F$500,0))="sin dato","",INDEX(CODIFICACION!$E$2:$E$500,MATCH("D2.8|"&amp;AT65,CODIFICACION!$F$2:$F$500,0))),"⚠"))</f>
        <v/>
      </c>
      <c r="P65" t="str">
        <f>IF(AU65="","",IFERROR(IF(INDEX(CODIFICACION!$E$2:$E$500,MATCH("D2.9|"&amp;AU65,CODIFICACION!$F$2:$F$500,0))="sin dato","",INDEX(CODIFICACION!$E$2:$E$500,MATCH("D2.9|"&amp;AU65,CODIFICACION!$F$2:$F$500,0))),"⚠"))</f>
        <v/>
      </c>
      <c r="Q65" t="str">
        <f>IF(AV65="","",IFERROR(IF(INDEX(CODIFICACION!$E$2:$E$500,MATCH("D2.10|"&amp;AV65,CODIFICACION!$F$2:$F$500,0))="sin dato","",INDEX(CODIFICACION!$E$2:$E$500,MATCH("D2.10|"&amp;AV65,CODIFICACION!$F$2:$F$500,0))),"⚠"))</f>
        <v/>
      </c>
      <c r="R65" t="str">
        <f>IF(AW65="","",IFERROR(IF(INDEX(CODIFICACION!$E$2:$E$500,MATCH("D2.5a|"&amp;AW65,CODIFICACION!$F$2:$F$500,0))="sin dato","",INDEX(CODIFICACION!$E$2:$E$500,MATCH("D2.5a|"&amp;AW65,CODIFICACION!$F$2:$F$500,0))),"⚠"))</f>
        <v/>
      </c>
      <c r="S65" t="str">
        <f ca="1">IF(AX65="","",IFERROR(IF(INDEX(CODIFICACION!$E$2:$E$500,MATCH("D2.5b|"&amp;AX65,CODIFICACION!$F$2:$F$500,0))="sin dato","",INDEX(CODIFICACION!$E$2:$E$500,MATCH("D2.5b|"&amp;AX65,CODIFICACION!$F$2:$F$500,0))),"⚠"))</f>
        <v/>
      </c>
      <c r="T65" t="str">
        <f t="shared" ca="1" si="29"/>
        <v/>
      </c>
      <c r="U65" t="str">
        <f>IF(AZ65="","",IFERROR(IF(INDEX(CODIFICACION!$E$2:$E$500,MATCH("D3.12|"&amp;AZ65,CODIFICACION!$F$2:$F$500,0))="sin dato","",INDEX(CODIFICACION!$E$2:$E$500,MATCH("D3.12|"&amp;AZ65,CODIFICACION!$F$2:$F$500,0))),"⚠"))</f>
        <v/>
      </c>
      <c r="V65" t="str">
        <f t="shared" si="30"/>
        <v/>
      </c>
      <c r="W65" t="str">
        <f ca="1">IF(BB65="","",IFERROR(IF(INDEX(CODIFICACION!$E$2:$E$500,MATCH("D3.14|"&amp;BB65,CODIFICACION!$F$2:$F$500,0))="sin dato","",INDEX(CODIFICACION!$E$2:$E$500,MATCH("D3.14|"&amp;BB65,CODIFICACION!$F$2:$F$500,0))),"⚠"))</f>
        <v/>
      </c>
      <c r="X65" t="str">
        <f ca="1">IF(BC65="","",IFERROR(IF(INDEX(CODIFICACION!$E$2:$E$500,MATCH("D3.14a|"&amp;BC65,CODIFICACION!$F$2:$F$500,0))="sin dato","",INDEX(CODIFICACION!$E$2:$E$500,MATCH("D3.14a|"&amp;BC65,CODIFICACION!$F$2:$F$500,0))),"⚠"))</f>
        <v/>
      </c>
      <c r="Y65" t="str">
        <f>IF(BD65="","",IFERROR(IF(INDEX(CODIFICACION!$E$2:$E$500,MATCH("D3.14b|"&amp;BD65,CODIFICACION!$F$2:$F$500,0))="sin dato","",INDEX(CODIFICACION!$E$2:$E$500,MATCH("D3.14b|"&amp;BD65,CODIFICACION!$F$2:$F$500,0))),"⚠"))</f>
        <v/>
      </c>
      <c r="Z65" t="str">
        <f>IF(BE65="","",IFERROR(IF(INDEX(CODIFICACION!$E$2:$E$500,MATCH("D3.14c|"&amp;BE65,CODIFICACION!$F$2:$F$500,0))="sin dato","",INDEX(CODIFICACION!$E$2:$E$500,MATCH("D3.14c|"&amp;BE65,CODIFICACION!$F$2:$F$500,0))),"⚠"))</f>
        <v/>
      </c>
      <c r="AA65" t="str">
        <f>IF(BF65="","",IFERROR(IF(INDEX(CODIFICACION!$E$2:$E$500,MATCH("D3.14d|"&amp;BF65,CODIFICACION!$F$2:$F$500,0))="sin dato","",INDEX(CODIFICACION!$E$2:$E$500,MATCH("D3.14d|"&amp;BF65,CODIFICACION!$F$2:$F$500,0))),"⚠"))</f>
        <v/>
      </c>
      <c r="AB65" t="str">
        <f>IF(BG65="","",IFERROR(IF(INDEX(CODIFICACION!$E$2:$E$500,MATCH("D3.14e|"&amp;BG65,CODIFICACION!$F$2:$F$500,0))="sin dato","",INDEX(CODIFICACION!$E$2:$E$500,MATCH("D3.14e|"&amp;BG65,CODIFICACION!$F$2:$F$500,0))),"⚠"))</f>
        <v/>
      </c>
      <c r="AC65" t="str">
        <f>IF(BH65="","",IFERROR(IF(INDEX(CODIFICACION!$E$2:$E$500,MATCH("D3.14f|"&amp;BH65,CODIFICACION!$F$2:$F$500,0))="sin dato","",INDEX(CODIFICACION!$E$2:$E$500,MATCH("D3.14f|"&amp;BH65,CODIFICACION!$F$2:$F$500,0))),"⚠"))</f>
        <v/>
      </c>
      <c r="AD65" t="str">
        <f>IF(BI65="","",IFERROR(IF(INDEX(CODIFICACION!$E$2:$E$500,MATCH("D3.14g|"&amp;BI65,CODIFICACION!$F$2:$F$500,0))="sin dato","",INDEX(CODIFICACION!$E$2:$E$500,MATCH("D3.14g|"&amp;BI65,CODIFICACION!$F$2:$F$500,0))),"⚠"))</f>
        <v/>
      </c>
      <c r="AE65" t="str">
        <f>IF(BJ65="","",IFERROR(IF(INDEX(CODIFICACION!$E$2:$E$500,MATCH("D3.14h|"&amp;BJ65,CODIFICACION!$F$2:$F$500,0))="sin dato","",INDEX(CODIFICACION!$E$2:$E$500,MATCH("D3.14h|"&amp;BJ65,CODIFICACION!$F$2:$F$500,0))),"⚠"))</f>
        <v/>
      </c>
      <c r="AF65" t="str">
        <f>IF(BK65="","",IFERROR(IF(INDEX(CODIFICACION!$E$2:$E$500,MATCH("D3.14i|"&amp;BK65,CODIFICACION!$F$2:$F$500,0))="sin dato","",INDEX(CODIFICACION!$E$2:$E$500,MATCH("D3.14i|"&amp;BK65,CODIFICACION!$F$2:$F$500,0))),"⚠"))</f>
        <v/>
      </c>
      <c r="AG65" t="str">
        <f>IF(BL65="","",IFERROR(IF(INDEX(CODIFICACION!$E$2:$E$500,MATCH("D4.15|"&amp;BL65,CODIFICACION!$F$2:$F$500,0))="sin dato","",INDEX(CODIFICACION!$E$2:$E$500,MATCH("D4.15|"&amp;BL65,CODIFICACION!$F$2:$F$500,0))),"⚠"))</f>
        <v/>
      </c>
      <c r="AH65" t="str">
        <f t="shared" si="31"/>
        <v/>
      </c>
      <c r="AI65" t="str">
        <f>IF(BN65="","",IFERROR(IF(INDEX(CODIFICACION!$E$2:$E$500,MATCH("D4.17|"&amp;BN65,CODIFICACION!$F$2:$F$500,0))="sin dato","",INDEX(CODIFICACION!$E$2:$E$500,MATCH("D4.17|"&amp;BN65,CODIFICACION!$F$2:$F$500,0))),"⚠"))</f>
        <v/>
      </c>
      <c r="AJ65" t="str">
        <f>IF(BO65="","",IFERROR(IF(INDEX(CODIFICACION!$E$2:$E$500,MATCH("D4.15a|"&amp;BO65,CODIFICACION!$F$2:$F$500,0))="sin dato","",INDEX(CODIFICACION!$E$2:$E$500,MATCH("D4.15a|"&amp;BO65,CODIFICACION!$F$2:$F$500,0))),"⚠"))</f>
        <v/>
      </c>
      <c r="AK65" t="str">
        <f t="shared" si="32"/>
        <v/>
      </c>
      <c r="AL65" t="str">
        <f t="shared" si="33"/>
        <v/>
      </c>
      <c r="AM65" t="str">
        <f>IF(BR65="","",IFERROR(IF(INDEX(CODIFICACION!$E$2:$E$500,MATCH("D5.18b|"&amp;BR65,CODIFICACION!$F$2:$F$500,0))="sin dato","",INDEX(CODIFICACION!$E$2:$E$500,MATCH("D5.18b|"&amp;BR65,CODIFICACION!$F$2:$F$500,0))),"⚠"))</f>
        <v/>
      </c>
      <c r="AN65" t="str">
        <f>IF(BS65="","",IFERROR(IF(INDEX(CODIFICACION!$E$2:$E$500,MATCH("D5.19|"&amp;BS65,CODIFICACION!$F$2:$F$500,0))="sin dato","",INDEX(CODIFICACION!$E$2:$E$500,MATCH("D5.19|"&amp;BS65,CODIFICACION!$F$2:$F$500,0))),"⚠"))</f>
        <v/>
      </c>
      <c r="AO65" t="str">
        <f t="shared" si="34"/>
        <v/>
      </c>
      <c r="AP65" t="str">
        <f>IF(BU65="","",IFERROR(IF(INDEX(CODIFICACION!$E$2:$E$500,MATCH("D5.20|"&amp;BU65,CODIFICACION!$F$2:$F$500,0))="sin dato","",INDEX(CODIFICACION!$E$2:$E$500,MATCH("D5.20|"&amp;BU65,CODIFICACION!$F$2:$F$500,0))),"⚠"))</f>
        <v/>
      </c>
      <c r="AQ65" t="str">
        <f>IF(BV65="","",IFERROR(IF(INDEX(CODIFICACION!$E$2:$E$500,MATCH("D5.21|"&amp;BV65,CODIFICACION!$F$2:$F$500,0))="sin dato","",INDEX(CODIFICACION!$E$2:$E$500,MATCH("D5.21|"&amp;BV65,CODIFICACION!$F$2:$F$500,0))),"⚠"))</f>
        <v/>
      </c>
      <c r="AR65" t="str">
        <f>IF(BW65="","",IFERROR(IF(INDEX(CODIFICACION!$E$2:$E$500,MATCH("D5.21a|"&amp;BW65,CODIFICACION!$F$2:$F$500,0))="sin dato","",INDEX(CODIFICACION!$E$2:$E$500,MATCH("D5.21a|"&amp;BW65,CODIFICACION!$F$2:$F$500,0))),"⚠"))</f>
        <v/>
      </c>
      <c r="AS65" t="str">
        <f>IF(BX65="","",IFERROR(IF(INDEX(CODIFICACION!$E$2:$E$500,MATCH("D5.21b|"&amp;BX65,CODIFICACION!$F$2:$F$500,0))="sin dato","",INDEX(CODIFICACION!$E$2:$E$500,MATCH("D5.21b|"&amp;BX65,CODIFICACION!$F$2:$F$500,0))),"⚠"))</f>
        <v/>
      </c>
      <c r="AT65" t="str">
        <f>IF(BY65="","",IFERROR(IF(INDEX(CODIFICACION!$E$2:$E$500,MATCH("D6.22|"&amp;BY65,CODIFICACION!$F$2:$F$500,0))="sin dato","",INDEX(CODIFICACION!$E$2:$E$500,MATCH("D6.22|"&amp;BY65,CODIFICACION!$F$2:$F$500,0))),"⚠"))</f>
        <v/>
      </c>
      <c r="AU65" t="str">
        <f>IF(BZ65="","",IFERROR(IF(INDEX(CODIFICACION!$E$2:$E$500,MATCH("D6.22a|"&amp;BZ65,CODIFICACION!$F$2:$F$500,0))="sin dato","",INDEX(CODIFICACION!$E$2:$E$500,MATCH("D6.22a|"&amp;BZ65,CODIFICACION!$F$2:$F$500,0))),"⚠"))</f>
        <v/>
      </c>
      <c r="AV65" t="str">
        <f>IF(CA65="","",IFERROR(IF(INDEX(CODIFICACION!$E$2:$E$500,MATCH("D6.22b|"&amp;CA65,CODIFICACION!$F$2:$F$500,0))="sin dato","",INDEX(CODIFICACION!$E$2:$E$500,MATCH("D6.22b|"&amp;CA65,CODIFICACION!$F$2:$F$500,0))),"⚠"))</f>
        <v/>
      </c>
      <c r="AW65" t="str">
        <f>IF(CB65="","",IFERROR(IF(INDEX(CODIFICACION!$E$2:$E$500,MATCH("D6.23|"&amp;CB65,CODIFICACION!$F$2:$F$500,0))="sin dato","",INDEX(CODIFICACION!$E$2:$E$500,MATCH("D6.23|"&amp;CB65,CODIFICACION!$F$2:$F$500,0))),"⚠"))</f>
        <v/>
      </c>
      <c r="AX65" t="str">
        <f ca="1">IF(CC65="","",IFERROR(IF(INDEX(CODIFICACION!$E$2:$E$500,MATCH("D6.24|"&amp;CC65,CODIFICACION!$F$2:$F$500,0))="sin dato","",INDEX(CODIFICACION!$E$2:$E$500,MATCH("D6.24|"&amp;CC65,CODIFICACION!$F$2:$F$500,0))),"⚠"))</f>
        <v/>
      </c>
      <c r="AY65" t="str">
        <f ca="1">IF(CD65="","",IFERROR(IF(INDEX(CODIFICACION!$E$2:$E$500,MATCH("D6.25|"&amp;CD65,CODIFICACION!$F$2:$F$500,0))="sin dato","",INDEX(CODIFICACION!$E$2:$E$500,MATCH("D6.25|"&amp;CD65,CODIFICACION!$F$2:$F$500,0))),"⚠"))</f>
        <v/>
      </c>
      <c r="AZ65" t="str">
        <f>IF(CE65="","",IFERROR(IF(INDEX(CODIFICACION!$E$2:$E$500,MATCH("D6.25a|"&amp;CE65,CODIFICACION!$F$2:$F$500,0))="sin dato","",INDEX(CODIFICACION!$E$2:$E$500,MATCH("D6.25a|"&amp;CE65,CODIFICACION!$F$2:$F$500,0))),"⚠"))</f>
        <v/>
      </c>
      <c r="BA65" t="str">
        <f>IF(CF65="","",IFERROR(IF(INDEX(CODIFICACION!$E$2:$E$500,MATCH("D6.25b|"&amp;CF65,CODIFICACION!$F$2:$F$500,0))="sin dato","",INDEX(CODIFICACION!$E$2:$E$500,MATCH("D6.25b|"&amp;CF65,CODIFICACION!$F$2:$F$500,0))),"⚠"))</f>
        <v/>
      </c>
      <c r="BB65" t="str">
        <f ca="1">IF(CG65="","",IFERROR(IF(INDEX(CODIFICACION!$E$2:$E$500,MATCH("D6.22c|"&amp;CG65,CODIFICACION!$F$2:$F$500,0))="sin dato","",INDEX(CODIFICACION!$E$2:$E$500,MATCH("D6.22c|"&amp;CG65,CODIFICACION!$F$2:$F$500,0))),"⚠"))</f>
        <v/>
      </c>
      <c r="BC65" t="str">
        <f ca="1">IF(CH65="","",IFERROR(IF(INDEX(CODIFICACION!$E$2:$E$500,MATCH("D7.26|"&amp;CH65,CODIFICACION!$F$2:$F$500,0))="sin dato","",INDEX(CODIFICACION!$E$2:$E$500,MATCH("D7.26|"&amp;CH65,CODIFICACION!$F$2:$F$500,0))),"⚠"))</f>
        <v/>
      </c>
      <c r="BD65" t="str">
        <f>IF(CI65="","",IFERROR(IF(INDEX(CODIFICACION!$E$2:$E$500,MATCH("D7.27|"&amp;CI65,CODIFICACION!$F$2:$F$500,0))="sin dato","",INDEX(CODIFICACION!$E$2:$E$500,MATCH("D7.27|"&amp;CI65,CODIFICACION!$F$2:$F$500,0))),"⚠"))</f>
        <v/>
      </c>
      <c r="BE65" t="str">
        <f>IF(CJ65="","",IFERROR(IF(INDEX(CODIFICACION!$E$2:$E$500,MATCH("D7.28|"&amp;CJ65,CODIFICACION!$F$2:$F$500,0))="sin dato","",INDEX(CODIFICACION!$E$2:$E$500,MATCH("D7.28|"&amp;CJ65,CODIFICACION!$F$2:$F$500,0))),"⚠"))</f>
        <v/>
      </c>
      <c r="BF65" t="str">
        <f>IF(CK65="","",IFERROR(IF(INDEX(CODIFICACION!$E$2:$E$500,MATCH("D7.28b|"&amp;CK65,CODIFICACION!$F$2:$F$500,0))="sin dato","",INDEX(CODIFICACION!$E$2:$E$500,MATCH("D7.28b|"&amp;CK65,CODIFICACION!$F$2:$F$500,0))),"⚠"))</f>
        <v/>
      </c>
      <c r="BG65" t="str">
        <f t="shared" si="35"/>
        <v/>
      </c>
      <c r="BH65" t="str">
        <f>IF(CM65="","",IFERROR(IF(INDEX(CODIFICACION!$E$2:$E$500,MATCH("D7.26a|"&amp;CM65,CODIFICACION!$F$2:$F$500,0))="sin dato","",INDEX(CODIFICACION!$E$2:$E$500,MATCH("D7.26a|"&amp;CM65,CODIFICACION!$F$2:$F$500,0))),"⚠"))</f>
        <v/>
      </c>
      <c r="BI65" t="str">
        <f>IF(CN65="","",IFERROR(IF(INDEX(CODIFICACION!$E$2:$E$500,MATCH("D7.26b|"&amp;CN65,CODIFICACION!$F$2:$F$500,0))="sin dato","",INDEX(CODIFICACION!$E$2:$E$500,MATCH("D7.26b|"&amp;CN65,CODIFICACION!$F$2:$F$500,0))),"⚠"))</f>
        <v/>
      </c>
      <c r="BJ65" t="str">
        <f t="shared" si="36"/>
        <v/>
      </c>
      <c r="BK65" t="str">
        <f t="shared" si="37"/>
        <v/>
      </c>
      <c r="BL65" t="str">
        <f>IF(CQ65="","",IFERROR(IF(INDEX(CODIFICACION!$E$2:$E$500,MATCH("D8.31|"&amp;CQ65,CODIFICACION!$F$2:$F$500,0))="sin dato","",INDEX(CODIFICACION!$E$2:$E$500,MATCH("D8.31|"&amp;CQ65,CODIFICACION!$F$2:$F$500,0))),"⚠"))</f>
        <v/>
      </c>
      <c r="BM65" t="str">
        <f>IF(CR65="","",IFERROR(IF(INDEX(CODIFICACION!$E$2:$E$500,MATCH("D8.32|"&amp;CR65,CODIFICACION!$F$2:$F$500,0))="sin dato","",INDEX(CODIFICACION!$E$2:$E$500,MATCH("D8.32|"&amp;CR65,CODIFICACION!$F$2:$F$500,0))),"⚠"))</f>
        <v/>
      </c>
      <c r="BN65" t="str">
        <f>IF(CS65="","",IFERROR(IF(INDEX(CODIFICACION!$E$2:$E$500,MATCH("D9.33|"&amp;CS65,CODIFICACION!$F$2:$F$500,0))="sin dato","",INDEX(CODIFICACION!$E$2:$E$500,MATCH("D9.33|"&amp;CS65,CODIFICACION!$F$2:$F$500,0))),"⚠"))</f>
        <v/>
      </c>
      <c r="BO65" t="str">
        <f>IF(CT65="","",IFERROR(IF(INDEX(CODIFICACION!$E$2:$E$500,MATCH("D9.34|"&amp;CT65,CODIFICACION!$F$2:$F$500,0))="sin dato","",INDEX(CODIFICACION!$E$2:$E$500,MATCH("D9.34|"&amp;CT65,CODIFICACION!$F$2:$F$500,0))),"⚠"))</f>
        <v/>
      </c>
      <c r="BP65" t="str">
        <f>IF(CU65="","",IFERROR(IF(INDEX(CODIFICACION!$E$2:$E$500,MATCH("D9.35|"&amp;CU65,CODIFICACION!$F$2:$F$500,0))="sin dato","",INDEX(CODIFICACION!$E$2:$E$500,MATCH("D9.35|"&amp;CU65,CODIFICACION!$F$2:$F$500,0))),"⚠"))</f>
        <v/>
      </c>
      <c r="BQ65" t="str">
        <f>IF(CV65="","",IFERROR(IF(INDEX(CODIFICACION!$E$2:$E$500,MATCH("D10.36|"&amp;CV65,CODIFICACION!$F$2:$F$500,0))="sin dato","",INDEX(CODIFICACION!$E$2:$E$500,MATCH("D10.36|"&amp;CV65,CODIFICACION!$F$2:$F$500,0))),"⚠"))</f>
        <v/>
      </c>
      <c r="BR65" t="str">
        <f>IF(CW65="","",IFERROR(IF(INDEX(CODIFICACION!$E$2:$E$500,MATCH("D10.37|"&amp;CW65,CODIFICACION!$F$2:$F$500,0))="sin dato","",INDEX(CODIFICACION!$E$2:$E$500,MATCH("D10.37|"&amp;CW65,CODIFICACION!$F$2:$F$500,0))),"⚠"))</f>
        <v/>
      </c>
      <c r="BS65" t="str">
        <f>IF(CX65="","",IFERROR(IF(INDEX(CODIFICACION!$E$2:$E$500,MATCH("D10.36a|"&amp;CX65,CODIFICACION!$F$2:$F$500,0))="sin dato","",INDEX(CODIFICACION!$E$2:$E$500,MATCH("D10.36a|"&amp;CX65,CODIFICACION!$F$2:$F$500,0))),"⚠"))</f>
        <v/>
      </c>
      <c r="BT65" t="str">
        <f t="shared" si="38"/>
        <v/>
      </c>
      <c r="BU65" t="str">
        <f>IF(DA65="","",IFERROR(IF(INDEX(CODIFICACION!$E$2:$E$500,MATCH("D11.39a|"&amp;DA65,CODIFICACION!$F$2:$F$500,0))="sin dato","",INDEX(CODIFICACION!$E$2:$E$500,MATCH("D11.39a|"&amp;DA65,CODIFICACION!$F$2:$F$500,0))),"⚠"))</f>
        <v/>
      </c>
      <c r="BV65" t="str">
        <f>IF(DB65="","",IFERROR(IF(INDEX(CODIFICACION!$E$2:$E$500,MATCH("D12.42|"&amp;DB65,CODIFICACION!$F$2:$F$500,0))="sin dato","",INDEX(CODIFICACION!$E$2:$E$500,MATCH("D12.42|"&amp;DB65,CODIFICACION!$F$2:$F$500,0))),"⚠"))</f>
        <v/>
      </c>
      <c r="BW65" t="str">
        <f>IF(DC65="","",IFERROR(IF(INDEX(CODIFICACION!$E$2:$E$500,MATCH("D13.45|"&amp;DC65,CODIFICACION!$F$2:$F$500,0))="sin dato","",INDEX(CODIFICACION!$E$2:$E$500,MATCH("D13.45|"&amp;DC65,CODIFICACION!$F$2:$F$500,0))),"⚠"))</f>
        <v/>
      </c>
      <c r="BX65" t="str">
        <f>IF(DD65="","",IFERROR(IF(INDEX(CODIFICACION!$E$2:$E$500,MATCH("D14.51|"&amp;DD65,CODIFICACION!$F$2:$F$500,0))="sin dato","",INDEX(CODIFICACION!$E$2:$E$500,MATCH("D14.51|"&amp;DD65,CODIFICACION!$F$2:$F$500,0))),"⚠"))</f>
        <v/>
      </c>
      <c r="BY65" t="str">
        <f>IF(DE65="","",IFERROR(IF(INDEX(CODIFICACION!$E$2:$E$500,MATCH("D15.58|"&amp;DE65,CODIFICACION!$F$2:$F$500,0))="sin dato","",INDEX(CODIFICACION!$E$2:$E$500,MATCH("D15.58|"&amp;DE65,CODIFICACION!$F$2:$F$500,0))),"⚠"))</f>
        <v/>
      </c>
      <c r="BZ65" t="str">
        <f>IF(DF65="","",IFERROR(IF(INDEX(CODIFICACION!$E$2:$E$500,MATCH("PP1|"&amp;DF65,CODIFICACION!$F$2:$F$500,0))="sin dato","",INDEX(CODIFICACION!$E$2:$E$500,MATCH("PP1|"&amp;DF65,CODIFICACION!$F$2:$F$500,0))),"⚠"))</f>
        <v/>
      </c>
      <c r="CA65" t="str">
        <f>IF(DG65="","",IFERROR(IF(INDEX(CODIFICACION!$E$2:$E$500,MATCH("PP2|"&amp;DG65,CODIFICACION!$F$2:$F$500,0))="sin dato","",INDEX(CODIFICACION!$E$2:$E$500,MATCH("PP2|"&amp;DG65,CODIFICACION!$F$2:$F$500,0))),"⚠"))</f>
        <v/>
      </c>
      <c r="CB65" t="str">
        <f t="shared" si="39"/>
        <v/>
      </c>
      <c r="CC65" t="str">
        <f t="shared" ca="1" si="40"/>
        <v/>
      </c>
      <c r="CD65" t="str">
        <f t="shared" ca="1" si="41"/>
        <v/>
      </c>
      <c r="CE65" t="str">
        <f t="shared" si="42"/>
        <v/>
      </c>
      <c r="CF65" t="str">
        <f t="shared" si="43"/>
        <v/>
      </c>
      <c r="CG65" t="str">
        <f t="shared" ca="1" si="44"/>
        <v/>
      </c>
      <c r="CH65" t="str">
        <f t="shared" ca="1" si="45"/>
        <v/>
      </c>
      <c r="CI65" t="str">
        <f t="shared" si="46"/>
        <v/>
      </c>
      <c r="CJ65" t="str">
        <f t="shared" si="47"/>
        <v/>
      </c>
      <c r="CK65" t="str">
        <f t="shared" si="48"/>
        <v/>
      </c>
      <c r="CL65" t="str">
        <f t="shared" si="49"/>
        <v/>
      </c>
    </row>
    <row r="66" spans="1:90" x14ac:dyDescent="0.3">
      <c r="A66">
        <f>CAPTURA!A66</f>
        <v>20534524774</v>
      </c>
      <c r="B66">
        <f>CAPTURA!C66</f>
        <v>0</v>
      </c>
      <c r="C66" t="str">
        <f t="shared" si="25"/>
        <v/>
      </c>
      <c r="D66" t="str">
        <f>IF(AE66="","",IFERROR(IF(INDEX(CODIFICACION!$E$2:$E$500,MATCH("P8|"&amp;AE66,CODIFICACION!$F$2:$F$500,0))="sin dato","",INDEX(CODIFICACION!$E$2:$E$500,MATCH("P8|"&amp;AE66,CODIFICACION!$F$2:$F$500,0))),"⚠"))</f>
        <v/>
      </c>
      <c r="E66" t="str">
        <f>IF(AG66="","",IFERROR(IF(INDEX(CODIFICACION!$E$2:$E$500,MATCH("P10|"&amp;AG66,CODIFICACION!$F$2:$F$500,0))="sin dato","",INDEX(CODIFICACION!$E$2:$E$500,MATCH("P10|"&amp;AG66,CODIFICACION!$F$2:$F$500,0))),"⚠"))</f>
        <v/>
      </c>
      <c r="F66" t="str">
        <f>IF(AJ66="","",IFERROR(IF(INDEX(CODIFICACION!$E$2:$E$500,MATCH("P13|"&amp;AJ66,CODIFICACION!$F$2:$F$500,0))="sin dato","",INDEX(CODIFICACION!$E$2:$E$500,MATCH("P13|"&amp;AJ66,CODIFICACION!$F$2:$F$500,0))),"⚠"))</f>
        <v/>
      </c>
      <c r="G66" t="str">
        <f>IF(AK66="","",IFERROR(IF(INDEX(CODIFICACION!$E$2:$E$500,MATCH("P14|"&amp;AK66,CODIFICACION!$F$2:$F$500,0))="sin dato","",INDEX(CODIFICACION!$E$2:$E$500,MATCH("P14|"&amp;AK66,CODIFICACION!$F$2:$F$500,0))),"⚠"))</f>
        <v/>
      </c>
      <c r="H66" t="str">
        <f>IF(AL66="","",IFERROR(IF(INDEX(CODIFICACION!$E$2:$E$500,MATCH("D1.1|"&amp;AL66,CODIFICACION!$F$2:$F$500,0))="sin dato","",INDEX(CODIFICACION!$E$2:$E$500,MATCH("D1.1|"&amp;AL66,CODIFICACION!$F$2:$F$500,0))),"⚠"))</f>
        <v/>
      </c>
      <c r="I66" t="str">
        <f>IF(AN66="","",IFERROR(IF(INDEX(CODIFICACION!$E$2:$E$500,MATCH("D1.3|"&amp;AN66,CODIFICACION!$F$2:$F$500,0))="sin dato","",INDEX(CODIFICACION!$E$2:$E$500,MATCH("D1.3|"&amp;AN66,CODIFICACION!$F$2:$F$500,0))),"⚠"))</f>
        <v/>
      </c>
      <c r="J66" t="str">
        <f>IF(AO66="","",IFERROR(IF(INDEX(CODIFICACION!$E$2:$E$500,MATCH("D1.4|"&amp;AO66,CODIFICACION!$F$2:$F$500,0))="sin dato","",INDEX(CODIFICACION!$E$2:$E$500,MATCH("D1.4|"&amp;AO66,CODIFICACION!$F$2:$F$500,0))),"⚠"))</f>
        <v/>
      </c>
      <c r="K66" t="str">
        <f>IF(AP66="","",IFERROR(IF(INDEX(CODIFICACION!$E$2:$E$500,MATCH("D1.3a|"&amp;AP66,CODIFICACION!$F$2:$F$500,0))="sin dato","",INDEX(CODIFICACION!$E$2:$E$500,MATCH("D1.3a|"&amp;AP66,CODIFICACION!$F$2:$F$500,0))),"⚠"))</f>
        <v/>
      </c>
      <c r="L66" t="str">
        <f t="shared" si="26"/>
        <v/>
      </c>
      <c r="M66" t="str">
        <f t="shared" si="27"/>
        <v/>
      </c>
      <c r="N66" t="str">
        <f t="shared" si="28"/>
        <v/>
      </c>
      <c r="O66" t="str">
        <f>IF(AT66="","",IFERROR(IF(INDEX(CODIFICACION!$E$2:$E$500,MATCH("D2.8|"&amp;AT66,CODIFICACION!$F$2:$F$500,0))="sin dato","",INDEX(CODIFICACION!$E$2:$E$500,MATCH("D2.8|"&amp;AT66,CODIFICACION!$F$2:$F$500,0))),"⚠"))</f>
        <v/>
      </c>
      <c r="P66" t="str">
        <f>IF(AU66="","",IFERROR(IF(INDEX(CODIFICACION!$E$2:$E$500,MATCH("D2.9|"&amp;AU66,CODIFICACION!$F$2:$F$500,0))="sin dato","",INDEX(CODIFICACION!$E$2:$E$500,MATCH("D2.9|"&amp;AU66,CODIFICACION!$F$2:$F$500,0))),"⚠"))</f>
        <v/>
      </c>
      <c r="Q66" t="str">
        <f>IF(AV66="","",IFERROR(IF(INDEX(CODIFICACION!$E$2:$E$500,MATCH("D2.10|"&amp;AV66,CODIFICACION!$F$2:$F$500,0))="sin dato","",INDEX(CODIFICACION!$E$2:$E$500,MATCH("D2.10|"&amp;AV66,CODIFICACION!$F$2:$F$500,0))),"⚠"))</f>
        <v/>
      </c>
      <c r="R66" t="str">
        <f>IF(AW66="","",IFERROR(IF(INDEX(CODIFICACION!$E$2:$E$500,MATCH("D2.5a|"&amp;AW66,CODIFICACION!$F$2:$F$500,0))="sin dato","",INDEX(CODIFICACION!$E$2:$E$500,MATCH("D2.5a|"&amp;AW66,CODIFICACION!$F$2:$F$500,0))),"⚠"))</f>
        <v/>
      </c>
      <c r="S66" t="str">
        <f ca="1">IF(AX66="","",IFERROR(IF(INDEX(CODIFICACION!$E$2:$E$500,MATCH("D2.5b|"&amp;AX66,CODIFICACION!$F$2:$F$500,0))="sin dato","",INDEX(CODIFICACION!$E$2:$E$500,MATCH("D2.5b|"&amp;AX66,CODIFICACION!$F$2:$F$500,0))),"⚠"))</f>
        <v/>
      </c>
      <c r="T66" t="str">
        <f t="shared" ca="1" si="29"/>
        <v/>
      </c>
      <c r="U66" t="str">
        <f>IF(AZ66="","",IFERROR(IF(INDEX(CODIFICACION!$E$2:$E$500,MATCH("D3.12|"&amp;AZ66,CODIFICACION!$F$2:$F$500,0))="sin dato","",INDEX(CODIFICACION!$E$2:$E$500,MATCH("D3.12|"&amp;AZ66,CODIFICACION!$F$2:$F$500,0))),"⚠"))</f>
        <v/>
      </c>
      <c r="V66" t="str">
        <f t="shared" si="30"/>
        <v/>
      </c>
      <c r="W66" t="str">
        <f ca="1">IF(BB66="","",IFERROR(IF(INDEX(CODIFICACION!$E$2:$E$500,MATCH("D3.14|"&amp;BB66,CODIFICACION!$F$2:$F$500,0))="sin dato","",INDEX(CODIFICACION!$E$2:$E$500,MATCH("D3.14|"&amp;BB66,CODIFICACION!$F$2:$F$500,0))),"⚠"))</f>
        <v/>
      </c>
      <c r="X66" t="str">
        <f ca="1">IF(BC66="","",IFERROR(IF(INDEX(CODIFICACION!$E$2:$E$500,MATCH("D3.14a|"&amp;BC66,CODIFICACION!$F$2:$F$500,0))="sin dato","",INDEX(CODIFICACION!$E$2:$E$500,MATCH("D3.14a|"&amp;BC66,CODIFICACION!$F$2:$F$500,0))),"⚠"))</f>
        <v/>
      </c>
      <c r="Y66" t="str">
        <f>IF(BD66="","",IFERROR(IF(INDEX(CODIFICACION!$E$2:$E$500,MATCH("D3.14b|"&amp;BD66,CODIFICACION!$F$2:$F$500,0))="sin dato","",INDEX(CODIFICACION!$E$2:$E$500,MATCH("D3.14b|"&amp;BD66,CODIFICACION!$F$2:$F$500,0))),"⚠"))</f>
        <v/>
      </c>
      <c r="Z66" t="str">
        <f>IF(BE66="","",IFERROR(IF(INDEX(CODIFICACION!$E$2:$E$500,MATCH("D3.14c|"&amp;BE66,CODIFICACION!$F$2:$F$500,0))="sin dato","",INDEX(CODIFICACION!$E$2:$E$500,MATCH("D3.14c|"&amp;BE66,CODIFICACION!$F$2:$F$500,0))),"⚠"))</f>
        <v/>
      </c>
      <c r="AA66" t="str">
        <f>IF(BF66="","",IFERROR(IF(INDEX(CODIFICACION!$E$2:$E$500,MATCH("D3.14d|"&amp;BF66,CODIFICACION!$F$2:$F$500,0))="sin dato","",INDEX(CODIFICACION!$E$2:$E$500,MATCH("D3.14d|"&amp;BF66,CODIFICACION!$F$2:$F$500,0))),"⚠"))</f>
        <v/>
      </c>
      <c r="AB66" t="str">
        <f>IF(BG66="","",IFERROR(IF(INDEX(CODIFICACION!$E$2:$E$500,MATCH("D3.14e|"&amp;BG66,CODIFICACION!$F$2:$F$500,0))="sin dato","",INDEX(CODIFICACION!$E$2:$E$500,MATCH("D3.14e|"&amp;BG66,CODIFICACION!$F$2:$F$500,0))),"⚠"))</f>
        <v/>
      </c>
      <c r="AC66" t="str">
        <f>IF(BH66="","",IFERROR(IF(INDEX(CODIFICACION!$E$2:$E$500,MATCH("D3.14f|"&amp;BH66,CODIFICACION!$F$2:$F$500,0))="sin dato","",INDEX(CODIFICACION!$E$2:$E$500,MATCH("D3.14f|"&amp;BH66,CODIFICACION!$F$2:$F$500,0))),"⚠"))</f>
        <v/>
      </c>
      <c r="AD66" t="str">
        <f>IF(BI66="","",IFERROR(IF(INDEX(CODIFICACION!$E$2:$E$500,MATCH("D3.14g|"&amp;BI66,CODIFICACION!$F$2:$F$500,0))="sin dato","",INDEX(CODIFICACION!$E$2:$E$500,MATCH("D3.14g|"&amp;BI66,CODIFICACION!$F$2:$F$500,0))),"⚠"))</f>
        <v/>
      </c>
      <c r="AE66" t="str">
        <f>IF(BJ66="","",IFERROR(IF(INDEX(CODIFICACION!$E$2:$E$500,MATCH("D3.14h|"&amp;BJ66,CODIFICACION!$F$2:$F$500,0))="sin dato","",INDEX(CODIFICACION!$E$2:$E$500,MATCH("D3.14h|"&amp;BJ66,CODIFICACION!$F$2:$F$500,0))),"⚠"))</f>
        <v/>
      </c>
      <c r="AF66" t="str">
        <f>IF(BK66="","",IFERROR(IF(INDEX(CODIFICACION!$E$2:$E$500,MATCH("D3.14i|"&amp;BK66,CODIFICACION!$F$2:$F$500,0))="sin dato","",INDEX(CODIFICACION!$E$2:$E$500,MATCH("D3.14i|"&amp;BK66,CODIFICACION!$F$2:$F$500,0))),"⚠"))</f>
        <v/>
      </c>
      <c r="AG66" t="str">
        <f>IF(BL66="","",IFERROR(IF(INDEX(CODIFICACION!$E$2:$E$500,MATCH("D4.15|"&amp;BL66,CODIFICACION!$F$2:$F$500,0))="sin dato","",INDEX(CODIFICACION!$E$2:$E$500,MATCH("D4.15|"&amp;BL66,CODIFICACION!$F$2:$F$500,0))),"⚠"))</f>
        <v/>
      </c>
      <c r="AH66" t="str">
        <f t="shared" si="31"/>
        <v/>
      </c>
      <c r="AI66" t="str">
        <f>IF(BN66="","",IFERROR(IF(INDEX(CODIFICACION!$E$2:$E$500,MATCH("D4.17|"&amp;BN66,CODIFICACION!$F$2:$F$500,0))="sin dato","",INDEX(CODIFICACION!$E$2:$E$500,MATCH("D4.17|"&amp;BN66,CODIFICACION!$F$2:$F$500,0))),"⚠"))</f>
        <v/>
      </c>
      <c r="AJ66" t="str">
        <f>IF(BO66="","",IFERROR(IF(INDEX(CODIFICACION!$E$2:$E$500,MATCH("D4.15a|"&amp;BO66,CODIFICACION!$F$2:$F$500,0))="sin dato","",INDEX(CODIFICACION!$E$2:$E$500,MATCH("D4.15a|"&amp;BO66,CODIFICACION!$F$2:$F$500,0))),"⚠"))</f>
        <v/>
      </c>
      <c r="AK66" t="str">
        <f t="shared" si="32"/>
        <v/>
      </c>
      <c r="AL66" t="str">
        <f t="shared" si="33"/>
        <v/>
      </c>
      <c r="AM66" t="str">
        <f>IF(BR66="","",IFERROR(IF(INDEX(CODIFICACION!$E$2:$E$500,MATCH("D5.18b|"&amp;BR66,CODIFICACION!$F$2:$F$500,0))="sin dato","",INDEX(CODIFICACION!$E$2:$E$500,MATCH("D5.18b|"&amp;BR66,CODIFICACION!$F$2:$F$500,0))),"⚠"))</f>
        <v/>
      </c>
      <c r="AN66" t="str">
        <f>IF(BS66="","",IFERROR(IF(INDEX(CODIFICACION!$E$2:$E$500,MATCH("D5.19|"&amp;BS66,CODIFICACION!$F$2:$F$500,0))="sin dato","",INDEX(CODIFICACION!$E$2:$E$500,MATCH("D5.19|"&amp;BS66,CODIFICACION!$F$2:$F$500,0))),"⚠"))</f>
        <v/>
      </c>
      <c r="AO66" t="str">
        <f t="shared" si="34"/>
        <v/>
      </c>
      <c r="AP66" t="str">
        <f>IF(BU66="","",IFERROR(IF(INDEX(CODIFICACION!$E$2:$E$500,MATCH("D5.20|"&amp;BU66,CODIFICACION!$F$2:$F$500,0))="sin dato","",INDEX(CODIFICACION!$E$2:$E$500,MATCH("D5.20|"&amp;BU66,CODIFICACION!$F$2:$F$500,0))),"⚠"))</f>
        <v/>
      </c>
      <c r="AQ66" t="str">
        <f>IF(BV66="","",IFERROR(IF(INDEX(CODIFICACION!$E$2:$E$500,MATCH("D5.21|"&amp;BV66,CODIFICACION!$F$2:$F$500,0))="sin dato","",INDEX(CODIFICACION!$E$2:$E$500,MATCH("D5.21|"&amp;BV66,CODIFICACION!$F$2:$F$500,0))),"⚠"))</f>
        <v/>
      </c>
      <c r="AR66" t="str">
        <f>IF(BW66="","",IFERROR(IF(INDEX(CODIFICACION!$E$2:$E$500,MATCH("D5.21a|"&amp;BW66,CODIFICACION!$F$2:$F$500,0))="sin dato","",INDEX(CODIFICACION!$E$2:$E$500,MATCH("D5.21a|"&amp;BW66,CODIFICACION!$F$2:$F$500,0))),"⚠"))</f>
        <v/>
      </c>
      <c r="AS66" t="str">
        <f>IF(BX66="","",IFERROR(IF(INDEX(CODIFICACION!$E$2:$E$500,MATCH("D5.21b|"&amp;BX66,CODIFICACION!$F$2:$F$500,0))="sin dato","",INDEX(CODIFICACION!$E$2:$E$500,MATCH("D5.21b|"&amp;BX66,CODIFICACION!$F$2:$F$500,0))),"⚠"))</f>
        <v/>
      </c>
      <c r="AT66" t="str">
        <f>IF(BY66="","",IFERROR(IF(INDEX(CODIFICACION!$E$2:$E$500,MATCH("D6.22|"&amp;BY66,CODIFICACION!$F$2:$F$500,0))="sin dato","",INDEX(CODIFICACION!$E$2:$E$500,MATCH("D6.22|"&amp;BY66,CODIFICACION!$F$2:$F$500,0))),"⚠"))</f>
        <v/>
      </c>
      <c r="AU66" t="str">
        <f>IF(BZ66="","",IFERROR(IF(INDEX(CODIFICACION!$E$2:$E$500,MATCH("D6.22a|"&amp;BZ66,CODIFICACION!$F$2:$F$500,0))="sin dato","",INDEX(CODIFICACION!$E$2:$E$500,MATCH("D6.22a|"&amp;BZ66,CODIFICACION!$F$2:$F$500,0))),"⚠"))</f>
        <v/>
      </c>
      <c r="AV66" t="str">
        <f>IF(CA66="","",IFERROR(IF(INDEX(CODIFICACION!$E$2:$E$500,MATCH("D6.22b|"&amp;CA66,CODIFICACION!$F$2:$F$500,0))="sin dato","",INDEX(CODIFICACION!$E$2:$E$500,MATCH("D6.22b|"&amp;CA66,CODIFICACION!$F$2:$F$500,0))),"⚠"))</f>
        <v/>
      </c>
      <c r="AW66" t="str">
        <f>IF(CB66="","",IFERROR(IF(INDEX(CODIFICACION!$E$2:$E$500,MATCH("D6.23|"&amp;CB66,CODIFICACION!$F$2:$F$500,0))="sin dato","",INDEX(CODIFICACION!$E$2:$E$500,MATCH("D6.23|"&amp;CB66,CODIFICACION!$F$2:$F$500,0))),"⚠"))</f>
        <v/>
      </c>
      <c r="AX66" t="str">
        <f ca="1">IF(CC66="","",IFERROR(IF(INDEX(CODIFICACION!$E$2:$E$500,MATCH("D6.24|"&amp;CC66,CODIFICACION!$F$2:$F$500,0))="sin dato","",INDEX(CODIFICACION!$E$2:$E$500,MATCH("D6.24|"&amp;CC66,CODIFICACION!$F$2:$F$500,0))),"⚠"))</f>
        <v/>
      </c>
      <c r="AY66" t="str">
        <f ca="1">IF(CD66="","",IFERROR(IF(INDEX(CODIFICACION!$E$2:$E$500,MATCH("D6.25|"&amp;CD66,CODIFICACION!$F$2:$F$500,0))="sin dato","",INDEX(CODIFICACION!$E$2:$E$500,MATCH("D6.25|"&amp;CD66,CODIFICACION!$F$2:$F$500,0))),"⚠"))</f>
        <v/>
      </c>
      <c r="AZ66" t="str">
        <f>IF(CE66="","",IFERROR(IF(INDEX(CODIFICACION!$E$2:$E$500,MATCH("D6.25a|"&amp;CE66,CODIFICACION!$F$2:$F$500,0))="sin dato","",INDEX(CODIFICACION!$E$2:$E$500,MATCH("D6.25a|"&amp;CE66,CODIFICACION!$F$2:$F$500,0))),"⚠"))</f>
        <v/>
      </c>
      <c r="BA66" t="str">
        <f>IF(CF66="","",IFERROR(IF(INDEX(CODIFICACION!$E$2:$E$500,MATCH("D6.25b|"&amp;CF66,CODIFICACION!$F$2:$F$500,0))="sin dato","",INDEX(CODIFICACION!$E$2:$E$500,MATCH("D6.25b|"&amp;CF66,CODIFICACION!$F$2:$F$500,0))),"⚠"))</f>
        <v/>
      </c>
      <c r="BB66" t="str">
        <f ca="1">IF(CG66="","",IFERROR(IF(INDEX(CODIFICACION!$E$2:$E$500,MATCH("D6.22c|"&amp;CG66,CODIFICACION!$F$2:$F$500,0))="sin dato","",INDEX(CODIFICACION!$E$2:$E$500,MATCH("D6.22c|"&amp;CG66,CODIFICACION!$F$2:$F$500,0))),"⚠"))</f>
        <v/>
      </c>
      <c r="BC66" t="str">
        <f ca="1">IF(CH66="","",IFERROR(IF(INDEX(CODIFICACION!$E$2:$E$500,MATCH("D7.26|"&amp;CH66,CODIFICACION!$F$2:$F$500,0))="sin dato","",INDEX(CODIFICACION!$E$2:$E$500,MATCH("D7.26|"&amp;CH66,CODIFICACION!$F$2:$F$500,0))),"⚠"))</f>
        <v/>
      </c>
      <c r="BD66" t="str">
        <f>IF(CI66="","",IFERROR(IF(INDEX(CODIFICACION!$E$2:$E$500,MATCH("D7.27|"&amp;CI66,CODIFICACION!$F$2:$F$500,0))="sin dato","",INDEX(CODIFICACION!$E$2:$E$500,MATCH("D7.27|"&amp;CI66,CODIFICACION!$F$2:$F$500,0))),"⚠"))</f>
        <v/>
      </c>
      <c r="BE66" t="str">
        <f>IF(CJ66="","",IFERROR(IF(INDEX(CODIFICACION!$E$2:$E$500,MATCH("D7.28|"&amp;CJ66,CODIFICACION!$F$2:$F$500,0))="sin dato","",INDEX(CODIFICACION!$E$2:$E$500,MATCH("D7.28|"&amp;CJ66,CODIFICACION!$F$2:$F$500,0))),"⚠"))</f>
        <v/>
      </c>
      <c r="BF66" t="str">
        <f>IF(CK66="","",IFERROR(IF(INDEX(CODIFICACION!$E$2:$E$500,MATCH("D7.28b|"&amp;CK66,CODIFICACION!$F$2:$F$500,0))="sin dato","",INDEX(CODIFICACION!$E$2:$E$500,MATCH("D7.28b|"&amp;CK66,CODIFICACION!$F$2:$F$500,0))),"⚠"))</f>
        <v/>
      </c>
      <c r="BG66" t="str">
        <f t="shared" si="35"/>
        <v/>
      </c>
      <c r="BH66" t="str">
        <f>IF(CM66="","",IFERROR(IF(INDEX(CODIFICACION!$E$2:$E$500,MATCH("D7.26a|"&amp;CM66,CODIFICACION!$F$2:$F$500,0))="sin dato","",INDEX(CODIFICACION!$E$2:$E$500,MATCH("D7.26a|"&amp;CM66,CODIFICACION!$F$2:$F$500,0))),"⚠"))</f>
        <v/>
      </c>
      <c r="BI66" t="str">
        <f>IF(CN66="","",IFERROR(IF(INDEX(CODIFICACION!$E$2:$E$500,MATCH("D7.26b|"&amp;CN66,CODIFICACION!$F$2:$F$500,0))="sin dato","",INDEX(CODIFICACION!$E$2:$E$500,MATCH("D7.26b|"&amp;CN66,CODIFICACION!$F$2:$F$500,0))),"⚠"))</f>
        <v/>
      </c>
      <c r="BJ66" t="str">
        <f t="shared" si="36"/>
        <v/>
      </c>
      <c r="BK66" t="str">
        <f t="shared" si="37"/>
        <v/>
      </c>
      <c r="BL66" t="str">
        <f>IF(CQ66="","",IFERROR(IF(INDEX(CODIFICACION!$E$2:$E$500,MATCH("D8.31|"&amp;CQ66,CODIFICACION!$F$2:$F$500,0))="sin dato","",INDEX(CODIFICACION!$E$2:$E$500,MATCH("D8.31|"&amp;CQ66,CODIFICACION!$F$2:$F$500,0))),"⚠"))</f>
        <v/>
      </c>
      <c r="BM66" t="str">
        <f>IF(CR66="","",IFERROR(IF(INDEX(CODIFICACION!$E$2:$E$500,MATCH("D8.32|"&amp;CR66,CODIFICACION!$F$2:$F$500,0))="sin dato","",INDEX(CODIFICACION!$E$2:$E$500,MATCH("D8.32|"&amp;CR66,CODIFICACION!$F$2:$F$500,0))),"⚠"))</f>
        <v/>
      </c>
      <c r="BN66" t="str">
        <f>IF(CS66="","",IFERROR(IF(INDEX(CODIFICACION!$E$2:$E$500,MATCH("D9.33|"&amp;CS66,CODIFICACION!$F$2:$F$500,0))="sin dato","",INDEX(CODIFICACION!$E$2:$E$500,MATCH("D9.33|"&amp;CS66,CODIFICACION!$F$2:$F$500,0))),"⚠"))</f>
        <v/>
      </c>
      <c r="BO66" t="str">
        <f>IF(CT66="","",IFERROR(IF(INDEX(CODIFICACION!$E$2:$E$500,MATCH("D9.34|"&amp;CT66,CODIFICACION!$F$2:$F$500,0))="sin dato","",INDEX(CODIFICACION!$E$2:$E$500,MATCH("D9.34|"&amp;CT66,CODIFICACION!$F$2:$F$500,0))),"⚠"))</f>
        <v/>
      </c>
      <c r="BP66" t="str">
        <f>IF(CU66="","",IFERROR(IF(INDEX(CODIFICACION!$E$2:$E$500,MATCH("D9.35|"&amp;CU66,CODIFICACION!$F$2:$F$500,0))="sin dato","",INDEX(CODIFICACION!$E$2:$E$500,MATCH("D9.35|"&amp;CU66,CODIFICACION!$F$2:$F$500,0))),"⚠"))</f>
        <v/>
      </c>
      <c r="BQ66" t="str">
        <f>IF(CV66="","",IFERROR(IF(INDEX(CODIFICACION!$E$2:$E$500,MATCH("D10.36|"&amp;CV66,CODIFICACION!$F$2:$F$500,0))="sin dato","",INDEX(CODIFICACION!$E$2:$E$500,MATCH("D10.36|"&amp;CV66,CODIFICACION!$F$2:$F$500,0))),"⚠"))</f>
        <v/>
      </c>
      <c r="BR66" t="str">
        <f>IF(CW66="","",IFERROR(IF(INDEX(CODIFICACION!$E$2:$E$500,MATCH("D10.37|"&amp;CW66,CODIFICACION!$F$2:$F$500,0))="sin dato","",INDEX(CODIFICACION!$E$2:$E$500,MATCH("D10.37|"&amp;CW66,CODIFICACION!$F$2:$F$500,0))),"⚠"))</f>
        <v/>
      </c>
      <c r="BS66" t="str">
        <f>IF(CX66="","",IFERROR(IF(INDEX(CODIFICACION!$E$2:$E$500,MATCH("D10.36a|"&amp;CX66,CODIFICACION!$F$2:$F$500,0))="sin dato","",INDEX(CODIFICACION!$E$2:$E$500,MATCH("D10.36a|"&amp;CX66,CODIFICACION!$F$2:$F$500,0))),"⚠"))</f>
        <v/>
      </c>
      <c r="BT66" t="str">
        <f t="shared" si="38"/>
        <v/>
      </c>
      <c r="BU66" t="str">
        <f>IF(DA66="","",IFERROR(IF(INDEX(CODIFICACION!$E$2:$E$500,MATCH("D11.39a|"&amp;DA66,CODIFICACION!$F$2:$F$500,0))="sin dato","",INDEX(CODIFICACION!$E$2:$E$500,MATCH("D11.39a|"&amp;DA66,CODIFICACION!$F$2:$F$500,0))),"⚠"))</f>
        <v/>
      </c>
      <c r="BV66" t="str">
        <f>IF(DB66="","",IFERROR(IF(INDEX(CODIFICACION!$E$2:$E$500,MATCH("D12.42|"&amp;DB66,CODIFICACION!$F$2:$F$500,0))="sin dato","",INDEX(CODIFICACION!$E$2:$E$500,MATCH("D12.42|"&amp;DB66,CODIFICACION!$F$2:$F$500,0))),"⚠"))</f>
        <v/>
      </c>
      <c r="BW66" t="str">
        <f>IF(DC66="","",IFERROR(IF(INDEX(CODIFICACION!$E$2:$E$500,MATCH("D13.45|"&amp;DC66,CODIFICACION!$F$2:$F$500,0))="sin dato","",INDEX(CODIFICACION!$E$2:$E$500,MATCH("D13.45|"&amp;DC66,CODIFICACION!$F$2:$F$500,0))),"⚠"))</f>
        <v/>
      </c>
      <c r="BX66" t="str">
        <f>IF(DD66="","",IFERROR(IF(INDEX(CODIFICACION!$E$2:$E$500,MATCH("D14.51|"&amp;DD66,CODIFICACION!$F$2:$F$500,0))="sin dato","",INDEX(CODIFICACION!$E$2:$E$500,MATCH("D14.51|"&amp;DD66,CODIFICACION!$F$2:$F$500,0))),"⚠"))</f>
        <v/>
      </c>
      <c r="BY66" t="str">
        <f>IF(DE66="","",IFERROR(IF(INDEX(CODIFICACION!$E$2:$E$500,MATCH("D15.58|"&amp;DE66,CODIFICACION!$F$2:$F$500,0))="sin dato","",INDEX(CODIFICACION!$E$2:$E$500,MATCH("D15.58|"&amp;DE66,CODIFICACION!$F$2:$F$500,0))),"⚠"))</f>
        <v/>
      </c>
      <c r="BZ66" t="str">
        <f>IF(DF66="","",IFERROR(IF(INDEX(CODIFICACION!$E$2:$E$500,MATCH("PP1|"&amp;DF66,CODIFICACION!$F$2:$F$500,0))="sin dato","",INDEX(CODIFICACION!$E$2:$E$500,MATCH("PP1|"&amp;DF66,CODIFICACION!$F$2:$F$500,0))),"⚠"))</f>
        <v/>
      </c>
      <c r="CA66" t="str">
        <f>IF(DG66="","",IFERROR(IF(INDEX(CODIFICACION!$E$2:$E$500,MATCH("PP2|"&amp;DG66,CODIFICACION!$F$2:$F$500,0))="sin dato","",INDEX(CODIFICACION!$E$2:$E$500,MATCH("PP2|"&amp;DG66,CODIFICACION!$F$2:$F$500,0))),"⚠"))</f>
        <v/>
      </c>
      <c r="CB66" t="str">
        <f t="shared" si="39"/>
        <v/>
      </c>
      <c r="CC66" t="str">
        <f t="shared" ca="1" si="40"/>
        <v/>
      </c>
      <c r="CD66" t="str">
        <f t="shared" ca="1" si="41"/>
        <v/>
      </c>
      <c r="CE66" t="str">
        <f t="shared" si="42"/>
        <v/>
      </c>
      <c r="CF66" t="str">
        <f t="shared" si="43"/>
        <v/>
      </c>
      <c r="CG66" t="str">
        <f t="shared" ca="1" si="44"/>
        <v/>
      </c>
      <c r="CH66" t="str">
        <f t="shared" ca="1" si="45"/>
        <v/>
      </c>
      <c r="CI66" t="str">
        <f t="shared" si="46"/>
        <v/>
      </c>
      <c r="CJ66" t="str">
        <f t="shared" si="47"/>
        <v/>
      </c>
      <c r="CK66" t="str">
        <f t="shared" si="48"/>
        <v/>
      </c>
      <c r="CL66" t="str">
        <f t="shared" si="49"/>
        <v/>
      </c>
    </row>
    <row r="67" spans="1:90" x14ac:dyDescent="0.3">
      <c r="A67">
        <f>CAPTURA!A67</f>
        <v>20539205600</v>
      </c>
      <c r="B67">
        <f>CAPTURA!C67</f>
        <v>0</v>
      </c>
      <c r="C67" t="str">
        <f t="shared" ref="C67:C98" si="50">IF(M67="","",ROUND((ISNUMBER(SEARCH("Alemania",M67))+ISNUMBER(SEARCH("Bélgica",M67))+ISNUMBER(SEARCH("Países Bajos",M67))+ISNUMBER(SEARCH("Francia",M67))+ISNUMBER(SEARCH("Italia",M67))+ISNUMBER(SEARCH("España",M67))+ISNUMBER(SEARCH("Suecia",M67))+ISNUMBER(SEARCH("Dinamarca",M67)))/((LEN(M67)-LEN(SUBSTITUTE(M67,";","")))+1)*100,1))</f>
        <v/>
      </c>
      <c r="D67" t="str">
        <f>IF(AE67="","",IFERROR(IF(INDEX(CODIFICACION!$E$2:$E$500,MATCH("P8|"&amp;AE67,CODIFICACION!$F$2:$F$500,0))="sin dato","",INDEX(CODIFICACION!$E$2:$E$500,MATCH("P8|"&amp;AE67,CODIFICACION!$F$2:$F$500,0))),"⚠"))</f>
        <v/>
      </c>
      <c r="E67" t="str">
        <f>IF(AG67="","",IFERROR(IF(INDEX(CODIFICACION!$E$2:$E$500,MATCH("P10|"&amp;AG67,CODIFICACION!$F$2:$F$500,0))="sin dato","",INDEX(CODIFICACION!$E$2:$E$500,MATCH("P10|"&amp;AG67,CODIFICACION!$F$2:$F$500,0))),"⚠"))</f>
        <v/>
      </c>
      <c r="F67" t="str">
        <f>IF(AJ67="","",IFERROR(IF(INDEX(CODIFICACION!$E$2:$E$500,MATCH("P13|"&amp;AJ67,CODIFICACION!$F$2:$F$500,0))="sin dato","",INDEX(CODIFICACION!$E$2:$E$500,MATCH("P13|"&amp;AJ67,CODIFICACION!$F$2:$F$500,0))),"⚠"))</f>
        <v/>
      </c>
      <c r="G67" t="str">
        <f>IF(AK67="","",IFERROR(IF(INDEX(CODIFICACION!$E$2:$E$500,MATCH("P14|"&amp;AK67,CODIFICACION!$F$2:$F$500,0))="sin dato","",INDEX(CODIFICACION!$E$2:$E$500,MATCH("P14|"&amp;AK67,CODIFICACION!$F$2:$F$500,0))),"⚠"))</f>
        <v/>
      </c>
      <c r="H67" t="str">
        <f>IF(AL67="","",IFERROR(IF(INDEX(CODIFICACION!$E$2:$E$500,MATCH("D1.1|"&amp;AL67,CODIFICACION!$F$2:$F$500,0))="sin dato","",INDEX(CODIFICACION!$E$2:$E$500,MATCH("D1.1|"&amp;AL67,CODIFICACION!$F$2:$F$500,0))),"⚠"))</f>
        <v/>
      </c>
      <c r="I67" t="str">
        <f>IF(AN67="","",IFERROR(IF(INDEX(CODIFICACION!$E$2:$E$500,MATCH("D1.3|"&amp;AN67,CODIFICACION!$F$2:$F$500,0))="sin dato","",INDEX(CODIFICACION!$E$2:$E$500,MATCH("D1.3|"&amp;AN67,CODIFICACION!$F$2:$F$500,0))),"⚠"))</f>
        <v/>
      </c>
      <c r="J67" t="str">
        <f>IF(AO67="","",IFERROR(IF(INDEX(CODIFICACION!$E$2:$E$500,MATCH("D1.4|"&amp;AO67,CODIFICACION!$F$2:$F$500,0))="sin dato","",INDEX(CODIFICACION!$E$2:$E$500,MATCH("D1.4|"&amp;AO67,CODIFICACION!$F$2:$F$500,0))),"⚠"))</f>
        <v/>
      </c>
      <c r="K67" t="str">
        <f>IF(AP67="","",IFERROR(IF(INDEX(CODIFICACION!$E$2:$E$500,MATCH("D1.3a|"&amp;AP67,CODIFICACION!$F$2:$F$500,0))="sin dato","",INDEX(CODIFICACION!$E$2:$E$500,MATCH("D1.3a|"&amp;AP67,CODIFICACION!$F$2:$F$500,0))),"⚠"))</f>
        <v/>
      </c>
      <c r="L67" t="str">
        <f t="shared" ref="L67:L98" si="51">IF(AQ67="","",IF(AND(ISNUMBER(AQ67),AQ67&gt;=0,AQ67&lt;=4),AQ67*25,"⚠"))</f>
        <v/>
      </c>
      <c r="M67" t="str">
        <f t="shared" ref="M67:M98" si="52">IF(AR67="","",IF(ISNUMBER(AR67),MAX(0,MIN(100,AR67)),"⚠"))</f>
        <v/>
      </c>
      <c r="N67" t="str">
        <f t="shared" ref="N67:N98" si="53">IF(AS67="","",IF(AND(ISNUMBER(AS67),AS67&gt;=0,AS67&lt;=4),AS67*25,"⚠"))</f>
        <v/>
      </c>
      <c r="O67" t="str">
        <f>IF(AT67="","",IFERROR(IF(INDEX(CODIFICACION!$E$2:$E$500,MATCH("D2.8|"&amp;AT67,CODIFICACION!$F$2:$F$500,0))="sin dato","",INDEX(CODIFICACION!$E$2:$E$500,MATCH("D2.8|"&amp;AT67,CODIFICACION!$F$2:$F$500,0))),"⚠"))</f>
        <v/>
      </c>
      <c r="P67" t="str">
        <f>IF(AU67="","",IFERROR(IF(INDEX(CODIFICACION!$E$2:$E$500,MATCH("D2.9|"&amp;AU67,CODIFICACION!$F$2:$F$500,0))="sin dato","",INDEX(CODIFICACION!$E$2:$E$500,MATCH("D2.9|"&amp;AU67,CODIFICACION!$F$2:$F$500,0))),"⚠"))</f>
        <v/>
      </c>
      <c r="Q67" t="str">
        <f>IF(AV67="","",IFERROR(IF(INDEX(CODIFICACION!$E$2:$E$500,MATCH("D2.10|"&amp;AV67,CODIFICACION!$F$2:$F$500,0))="sin dato","",INDEX(CODIFICACION!$E$2:$E$500,MATCH("D2.10|"&amp;AV67,CODIFICACION!$F$2:$F$500,0))),"⚠"))</f>
        <v/>
      </c>
      <c r="R67" t="str">
        <f>IF(AW67="","",IFERROR(IF(INDEX(CODIFICACION!$E$2:$E$500,MATCH("D2.5a|"&amp;AW67,CODIFICACION!$F$2:$F$500,0))="sin dato","",INDEX(CODIFICACION!$E$2:$E$500,MATCH("D2.5a|"&amp;AW67,CODIFICACION!$F$2:$F$500,0))),"⚠"))</f>
        <v/>
      </c>
      <c r="S67" t="str">
        <f ca="1">IF(AX67="","",IFERROR(IF(INDEX(CODIFICACION!$E$2:$E$500,MATCH("D2.5b|"&amp;AX67,CODIFICACION!$F$2:$F$500,0))="sin dato","",INDEX(CODIFICACION!$E$2:$E$500,MATCH("D2.5b|"&amp;AX67,CODIFICACION!$F$2:$F$500,0))),"⚠"))</f>
        <v/>
      </c>
      <c r="T67" t="str">
        <f t="shared" ref="T67:T98" ca="1" si="54">IF(AY67="","",IF(ISNUMBER(AY67),MAX(0,MIN(100,AY67)),"⚠"))</f>
        <v/>
      </c>
      <c r="U67" t="str">
        <f>IF(AZ67="","",IFERROR(IF(INDEX(CODIFICACION!$E$2:$E$500,MATCH("D3.12|"&amp;AZ67,CODIFICACION!$F$2:$F$500,0))="sin dato","",INDEX(CODIFICACION!$E$2:$E$500,MATCH("D3.12|"&amp;AZ67,CODIFICACION!$F$2:$F$500,0))),"⚠"))</f>
        <v/>
      </c>
      <c r="V67" t="str">
        <f t="shared" ref="V67:V98" si="55">IF(BA67="","",IF(AND(ISNUMBER(BA67),BA67&gt;=0,BA67&lt;=4),BA67*25,"⚠"))</f>
        <v/>
      </c>
      <c r="W67" t="str">
        <f ca="1">IF(BB67="","",IFERROR(IF(INDEX(CODIFICACION!$E$2:$E$500,MATCH("D3.14|"&amp;BB67,CODIFICACION!$F$2:$F$500,0))="sin dato","",INDEX(CODIFICACION!$E$2:$E$500,MATCH("D3.14|"&amp;BB67,CODIFICACION!$F$2:$F$500,0))),"⚠"))</f>
        <v/>
      </c>
      <c r="X67" t="str">
        <f ca="1">IF(BC67="","",IFERROR(IF(INDEX(CODIFICACION!$E$2:$E$500,MATCH("D3.14a|"&amp;BC67,CODIFICACION!$F$2:$F$500,0))="sin dato","",INDEX(CODIFICACION!$E$2:$E$500,MATCH("D3.14a|"&amp;BC67,CODIFICACION!$F$2:$F$500,0))),"⚠"))</f>
        <v/>
      </c>
      <c r="Y67" t="str">
        <f>IF(BD67="","",IFERROR(IF(INDEX(CODIFICACION!$E$2:$E$500,MATCH("D3.14b|"&amp;BD67,CODIFICACION!$F$2:$F$500,0))="sin dato","",INDEX(CODIFICACION!$E$2:$E$500,MATCH("D3.14b|"&amp;BD67,CODIFICACION!$F$2:$F$500,0))),"⚠"))</f>
        <v/>
      </c>
      <c r="Z67" t="str">
        <f>IF(BE67="","",IFERROR(IF(INDEX(CODIFICACION!$E$2:$E$500,MATCH("D3.14c|"&amp;BE67,CODIFICACION!$F$2:$F$500,0))="sin dato","",INDEX(CODIFICACION!$E$2:$E$500,MATCH("D3.14c|"&amp;BE67,CODIFICACION!$F$2:$F$500,0))),"⚠"))</f>
        <v/>
      </c>
      <c r="AA67" t="str">
        <f>IF(BF67="","",IFERROR(IF(INDEX(CODIFICACION!$E$2:$E$500,MATCH("D3.14d|"&amp;BF67,CODIFICACION!$F$2:$F$500,0))="sin dato","",INDEX(CODIFICACION!$E$2:$E$500,MATCH("D3.14d|"&amp;BF67,CODIFICACION!$F$2:$F$500,0))),"⚠"))</f>
        <v/>
      </c>
      <c r="AB67" t="str">
        <f>IF(BG67="","",IFERROR(IF(INDEX(CODIFICACION!$E$2:$E$500,MATCH("D3.14e|"&amp;BG67,CODIFICACION!$F$2:$F$500,0))="sin dato","",INDEX(CODIFICACION!$E$2:$E$500,MATCH("D3.14e|"&amp;BG67,CODIFICACION!$F$2:$F$500,0))),"⚠"))</f>
        <v/>
      </c>
      <c r="AC67" t="str">
        <f>IF(BH67="","",IFERROR(IF(INDEX(CODIFICACION!$E$2:$E$500,MATCH("D3.14f|"&amp;BH67,CODIFICACION!$F$2:$F$500,0))="sin dato","",INDEX(CODIFICACION!$E$2:$E$500,MATCH("D3.14f|"&amp;BH67,CODIFICACION!$F$2:$F$500,0))),"⚠"))</f>
        <v/>
      </c>
      <c r="AD67" t="str">
        <f>IF(BI67="","",IFERROR(IF(INDEX(CODIFICACION!$E$2:$E$500,MATCH("D3.14g|"&amp;BI67,CODIFICACION!$F$2:$F$500,0))="sin dato","",INDEX(CODIFICACION!$E$2:$E$500,MATCH("D3.14g|"&amp;BI67,CODIFICACION!$F$2:$F$500,0))),"⚠"))</f>
        <v/>
      </c>
      <c r="AE67" t="str">
        <f>IF(BJ67="","",IFERROR(IF(INDEX(CODIFICACION!$E$2:$E$500,MATCH("D3.14h|"&amp;BJ67,CODIFICACION!$F$2:$F$500,0))="sin dato","",INDEX(CODIFICACION!$E$2:$E$500,MATCH("D3.14h|"&amp;BJ67,CODIFICACION!$F$2:$F$500,0))),"⚠"))</f>
        <v/>
      </c>
      <c r="AF67" t="str">
        <f>IF(BK67="","",IFERROR(IF(INDEX(CODIFICACION!$E$2:$E$500,MATCH("D3.14i|"&amp;BK67,CODIFICACION!$F$2:$F$500,0))="sin dato","",INDEX(CODIFICACION!$E$2:$E$500,MATCH("D3.14i|"&amp;BK67,CODIFICACION!$F$2:$F$500,0))),"⚠"))</f>
        <v/>
      </c>
      <c r="AG67" t="str">
        <f>IF(BL67="","",IFERROR(IF(INDEX(CODIFICACION!$E$2:$E$500,MATCH("D4.15|"&amp;BL67,CODIFICACION!$F$2:$F$500,0))="sin dato","",INDEX(CODIFICACION!$E$2:$E$500,MATCH("D4.15|"&amp;BL67,CODIFICACION!$F$2:$F$500,0))),"⚠"))</f>
        <v/>
      </c>
      <c r="AH67" t="str">
        <f t="shared" ref="AH67:AH98" si="56">IF(BM67="","",IF(AND(ISNUMBER(BM67),BM67&gt;=0,BM67&lt;=4),BM67*25,"⚠"))</f>
        <v/>
      </c>
      <c r="AI67" t="str">
        <f>IF(BN67="","",IFERROR(IF(INDEX(CODIFICACION!$E$2:$E$500,MATCH("D4.17|"&amp;BN67,CODIFICACION!$F$2:$F$500,0))="sin dato","",INDEX(CODIFICACION!$E$2:$E$500,MATCH("D4.17|"&amp;BN67,CODIFICACION!$F$2:$F$500,0))),"⚠"))</f>
        <v/>
      </c>
      <c r="AJ67" t="str">
        <f>IF(BO67="","",IFERROR(IF(INDEX(CODIFICACION!$E$2:$E$500,MATCH("D4.15a|"&amp;BO67,CODIFICACION!$F$2:$F$500,0))="sin dato","",INDEX(CODIFICACION!$E$2:$E$500,MATCH("D4.15a|"&amp;BO67,CODIFICACION!$F$2:$F$500,0))),"⚠"))</f>
        <v/>
      </c>
      <c r="AK67" t="str">
        <f t="shared" ref="AK67:AK98" si="57">IF(BP67="","",IF(AND(ISNUMBER(BP67),BP67&gt;=0,BP67&lt;=4),BP67*25,"⚠"))</f>
        <v/>
      </c>
      <c r="AL67" t="str">
        <f t="shared" ref="AL67:AL98" si="58">IF(BQ67="","",IF(AND(ISNUMBER(BQ67),BQ67&gt;=0,BQ67&lt;=4),BQ67*25,"⚠"))</f>
        <v/>
      </c>
      <c r="AM67" t="str">
        <f>IF(BR67="","",IFERROR(IF(INDEX(CODIFICACION!$E$2:$E$500,MATCH("D5.18b|"&amp;BR67,CODIFICACION!$F$2:$F$500,0))="sin dato","",INDEX(CODIFICACION!$E$2:$E$500,MATCH("D5.18b|"&amp;BR67,CODIFICACION!$F$2:$F$500,0))),"⚠"))</f>
        <v/>
      </c>
      <c r="AN67" t="str">
        <f>IF(BS67="","",IFERROR(IF(INDEX(CODIFICACION!$E$2:$E$500,MATCH("D5.19|"&amp;BS67,CODIFICACION!$F$2:$F$500,0))="sin dato","",INDEX(CODIFICACION!$E$2:$E$500,MATCH("D5.19|"&amp;BS67,CODIFICACION!$F$2:$F$500,0))),"⚠"))</f>
        <v/>
      </c>
      <c r="AO67" t="str">
        <f t="shared" ref="AO67:AO98" si="59">IF(BT67="","",ROUND((LEN(BT67)-LEN(SUBSTITUTE(BT67,";",""))+1)/7*100,1))</f>
        <v/>
      </c>
      <c r="AP67" t="str">
        <f>IF(BU67="","",IFERROR(IF(INDEX(CODIFICACION!$E$2:$E$500,MATCH("D5.20|"&amp;BU67,CODIFICACION!$F$2:$F$500,0))="sin dato","",INDEX(CODIFICACION!$E$2:$E$500,MATCH("D5.20|"&amp;BU67,CODIFICACION!$F$2:$F$500,0))),"⚠"))</f>
        <v/>
      </c>
      <c r="AQ67" t="str">
        <f>IF(BV67="","",IFERROR(IF(INDEX(CODIFICACION!$E$2:$E$500,MATCH("D5.21|"&amp;BV67,CODIFICACION!$F$2:$F$500,0))="sin dato","",INDEX(CODIFICACION!$E$2:$E$500,MATCH("D5.21|"&amp;BV67,CODIFICACION!$F$2:$F$500,0))),"⚠"))</f>
        <v/>
      </c>
      <c r="AR67" t="str">
        <f>IF(BW67="","",IFERROR(IF(INDEX(CODIFICACION!$E$2:$E$500,MATCH("D5.21a|"&amp;BW67,CODIFICACION!$F$2:$F$500,0))="sin dato","",INDEX(CODIFICACION!$E$2:$E$500,MATCH("D5.21a|"&amp;BW67,CODIFICACION!$F$2:$F$500,0))),"⚠"))</f>
        <v/>
      </c>
      <c r="AS67" t="str">
        <f>IF(BX67="","",IFERROR(IF(INDEX(CODIFICACION!$E$2:$E$500,MATCH("D5.21b|"&amp;BX67,CODIFICACION!$F$2:$F$500,0))="sin dato","",INDEX(CODIFICACION!$E$2:$E$500,MATCH("D5.21b|"&amp;BX67,CODIFICACION!$F$2:$F$500,0))),"⚠"))</f>
        <v/>
      </c>
      <c r="AT67" t="str">
        <f>IF(BY67="","",IFERROR(IF(INDEX(CODIFICACION!$E$2:$E$500,MATCH("D6.22|"&amp;BY67,CODIFICACION!$F$2:$F$500,0))="sin dato","",INDEX(CODIFICACION!$E$2:$E$500,MATCH("D6.22|"&amp;BY67,CODIFICACION!$F$2:$F$500,0))),"⚠"))</f>
        <v/>
      </c>
      <c r="AU67" t="str">
        <f>IF(BZ67="","",IFERROR(IF(INDEX(CODIFICACION!$E$2:$E$500,MATCH("D6.22a|"&amp;BZ67,CODIFICACION!$F$2:$F$500,0))="sin dato","",INDEX(CODIFICACION!$E$2:$E$500,MATCH("D6.22a|"&amp;BZ67,CODIFICACION!$F$2:$F$500,0))),"⚠"))</f>
        <v/>
      </c>
      <c r="AV67" t="str">
        <f>IF(CA67="","",IFERROR(IF(INDEX(CODIFICACION!$E$2:$E$500,MATCH("D6.22b|"&amp;CA67,CODIFICACION!$F$2:$F$500,0))="sin dato","",INDEX(CODIFICACION!$E$2:$E$500,MATCH("D6.22b|"&amp;CA67,CODIFICACION!$F$2:$F$500,0))),"⚠"))</f>
        <v/>
      </c>
      <c r="AW67" t="str">
        <f>IF(CB67="","",IFERROR(IF(INDEX(CODIFICACION!$E$2:$E$500,MATCH("D6.23|"&amp;CB67,CODIFICACION!$F$2:$F$500,0))="sin dato","",INDEX(CODIFICACION!$E$2:$E$500,MATCH("D6.23|"&amp;CB67,CODIFICACION!$F$2:$F$500,0))),"⚠"))</f>
        <v/>
      </c>
      <c r="AX67" t="str">
        <f ca="1">IF(CC67="","",IFERROR(IF(INDEX(CODIFICACION!$E$2:$E$500,MATCH("D6.24|"&amp;CC67,CODIFICACION!$F$2:$F$500,0))="sin dato","",INDEX(CODIFICACION!$E$2:$E$500,MATCH("D6.24|"&amp;CC67,CODIFICACION!$F$2:$F$500,0))),"⚠"))</f>
        <v/>
      </c>
      <c r="AY67" t="str">
        <f ca="1">IF(CD67="","",IFERROR(IF(INDEX(CODIFICACION!$E$2:$E$500,MATCH("D6.25|"&amp;CD67,CODIFICACION!$F$2:$F$500,0))="sin dato","",INDEX(CODIFICACION!$E$2:$E$500,MATCH("D6.25|"&amp;CD67,CODIFICACION!$F$2:$F$500,0))),"⚠"))</f>
        <v/>
      </c>
      <c r="AZ67" t="str">
        <f>IF(CE67="","",IFERROR(IF(INDEX(CODIFICACION!$E$2:$E$500,MATCH("D6.25a|"&amp;CE67,CODIFICACION!$F$2:$F$500,0))="sin dato","",INDEX(CODIFICACION!$E$2:$E$500,MATCH("D6.25a|"&amp;CE67,CODIFICACION!$F$2:$F$500,0))),"⚠"))</f>
        <v/>
      </c>
      <c r="BA67" t="str">
        <f>IF(CF67="","",IFERROR(IF(INDEX(CODIFICACION!$E$2:$E$500,MATCH("D6.25b|"&amp;CF67,CODIFICACION!$F$2:$F$500,0))="sin dato","",INDEX(CODIFICACION!$E$2:$E$500,MATCH("D6.25b|"&amp;CF67,CODIFICACION!$F$2:$F$500,0))),"⚠"))</f>
        <v/>
      </c>
      <c r="BB67" t="str">
        <f ca="1">IF(CG67="","",IFERROR(IF(INDEX(CODIFICACION!$E$2:$E$500,MATCH("D6.22c|"&amp;CG67,CODIFICACION!$F$2:$F$500,0))="sin dato","",INDEX(CODIFICACION!$E$2:$E$500,MATCH("D6.22c|"&amp;CG67,CODIFICACION!$F$2:$F$500,0))),"⚠"))</f>
        <v/>
      </c>
      <c r="BC67" t="str">
        <f ca="1">IF(CH67="","",IFERROR(IF(INDEX(CODIFICACION!$E$2:$E$500,MATCH("D7.26|"&amp;CH67,CODIFICACION!$F$2:$F$500,0))="sin dato","",INDEX(CODIFICACION!$E$2:$E$500,MATCH("D7.26|"&amp;CH67,CODIFICACION!$F$2:$F$500,0))),"⚠"))</f>
        <v/>
      </c>
      <c r="BD67" t="str">
        <f>IF(CI67="","",IFERROR(IF(INDEX(CODIFICACION!$E$2:$E$500,MATCH("D7.27|"&amp;CI67,CODIFICACION!$F$2:$F$500,0))="sin dato","",INDEX(CODIFICACION!$E$2:$E$500,MATCH("D7.27|"&amp;CI67,CODIFICACION!$F$2:$F$500,0))),"⚠"))</f>
        <v/>
      </c>
      <c r="BE67" t="str">
        <f>IF(CJ67="","",IFERROR(IF(INDEX(CODIFICACION!$E$2:$E$500,MATCH("D7.28|"&amp;CJ67,CODIFICACION!$F$2:$F$500,0))="sin dato","",INDEX(CODIFICACION!$E$2:$E$500,MATCH("D7.28|"&amp;CJ67,CODIFICACION!$F$2:$F$500,0))),"⚠"))</f>
        <v/>
      </c>
      <c r="BF67" t="str">
        <f>IF(CK67="","",IFERROR(IF(INDEX(CODIFICACION!$E$2:$E$500,MATCH("D7.28b|"&amp;CK67,CODIFICACION!$F$2:$F$500,0))="sin dato","",INDEX(CODIFICACION!$E$2:$E$500,MATCH("D7.28b|"&amp;CK67,CODIFICACION!$F$2:$F$500,0))),"⚠"))</f>
        <v/>
      </c>
      <c r="BG67" t="str">
        <f t="shared" ref="BG67:BG98" si="60">IF(CL67="","",ROUND((LEN(CL67)-LEN(SUBSTITUTE(CL67,";",""))+1)/8*100,1))</f>
        <v/>
      </c>
      <c r="BH67" t="str">
        <f>IF(CM67="","",IFERROR(IF(INDEX(CODIFICACION!$E$2:$E$500,MATCH("D7.26a|"&amp;CM67,CODIFICACION!$F$2:$F$500,0))="sin dato","",INDEX(CODIFICACION!$E$2:$E$500,MATCH("D7.26a|"&amp;CM67,CODIFICACION!$F$2:$F$500,0))),"⚠"))</f>
        <v/>
      </c>
      <c r="BI67" t="str">
        <f>IF(CN67="","",IFERROR(IF(INDEX(CODIFICACION!$E$2:$E$500,MATCH("D7.26b|"&amp;CN67,CODIFICACION!$F$2:$F$500,0))="sin dato","",INDEX(CODIFICACION!$E$2:$E$500,MATCH("D7.26b|"&amp;CN67,CODIFICACION!$F$2:$F$500,0))),"⚠"))</f>
        <v/>
      </c>
      <c r="BJ67" t="str">
        <f t="shared" ref="BJ67:BJ98" si="61">IF(CO67="","",IF(AND(ISNUMBER(CO67),CO67&gt;=0,CO67&lt;=4),CO67*25,"⚠"))</f>
        <v/>
      </c>
      <c r="BK67" t="str">
        <f t="shared" ref="BK67:BK98" si="62">IF(CP67="","",IF(ISNUMBER(CP67),MAX(0,MIN(100,CP67)),"⚠"))</f>
        <v/>
      </c>
      <c r="BL67" t="str">
        <f>IF(CQ67="","",IFERROR(IF(INDEX(CODIFICACION!$E$2:$E$500,MATCH("D8.31|"&amp;CQ67,CODIFICACION!$F$2:$F$500,0))="sin dato","",INDEX(CODIFICACION!$E$2:$E$500,MATCH("D8.31|"&amp;CQ67,CODIFICACION!$F$2:$F$500,0))),"⚠"))</f>
        <v/>
      </c>
      <c r="BM67" t="str">
        <f>IF(CR67="","",IFERROR(IF(INDEX(CODIFICACION!$E$2:$E$500,MATCH("D8.32|"&amp;CR67,CODIFICACION!$F$2:$F$500,0))="sin dato","",INDEX(CODIFICACION!$E$2:$E$500,MATCH("D8.32|"&amp;CR67,CODIFICACION!$F$2:$F$500,0))),"⚠"))</f>
        <v/>
      </c>
      <c r="BN67" t="str">
        <f>IF(CS67="","",IFERROR(IF(INDEX(CODIFICACION!$E$2:$E$500,MATCH("D9.33|"&amp;CS67,CODIFICACION!$F$2:$F$500,0))="sin dato","",INDEX(CODIFICACION!$E$2:$E$500,MATCH("D9.33|"&amp;CS67,CODIFICACION!$F$2:$F$500,0))),"⚠"))</f>
        <v/>
      </c>
      <c r="BO67" t="str">
        <f>IF(CT67="","",IFERROR(IF(INDEX(CODIFICACION!$E$2:$E$500,MATCH("D9.34|"&amp;CT67,CODIFICACION!$F$2:$F$500,0))="sin dato","",INDEX(CODIFICACION!$E$2:$E$500,MATCH("D9.34|"&amp;CT67,CODIFICACION!$F$2:$F$500,0))),"⚠"))</f>
        <v/>
      </c>
      <c r="BP67" t="str">
        <f>IF(CU67="","",IFERROR(IF(INDEX(CODIFICACION!$E$2:$E$500,MATCH("D9.35|"&amp;CU67,CODIFICACION!$F$2:$F$500,0))="sin dato","",INDEX(CODIFICACION!$E$2:$E$500,MATCH("D9.35|"&amp;CU67,CODIFICACION!$F$2:$F$500,0))),"⚠"))</f>
        <v/>
      </c>
      <c r="BQ67" t="str">
        <f>IF(CV67="","",IFERROR(IF(INDEX(CODIFICACION!$E$2:$E$500,MATCH("D10.36|"&amp;CV67,CODIFICACION!$F$2:$F$500,0))="sin dato","",INDEX(CODIFICACION!$E$2:$E$500,MATCH("D10.36|"&amp;CV67,CODIFICACION!$F$2:$F$500,0))),"⚠"))</f>
        <v/>
      </c>
      <c r="BR67" t="str">
        <f>IF(CW67="","",IFERROR(IF(INDEX(CODIFICACION!$E$2:$E$500,MATCH("D10.37|"&amp;CW67,CODIFICACION!$F$2:$F$500,0))="sin dato","",INDEX(CODIFICACION!$E$2:$E$500,MATCH("D10.37|"&amp;CW67,CODIFICACION!$F$2:$F$500,0))),"⚠"))</f>
        <v/>
      </c>
      <c r="BS67" t="str">
        <f>IF(CX67="","",IFERROR(IF(INDEX(CODIFICACION!$E$2:$E$500,MATCH("D10.36a|"&amp;CX67,CODIFICACION!$F$2:$F$500,0))="sin dato","",INDEX(CODIFICACION!$E$2:$E$500,MATCH("D10.36a|"&amp;CX67,CODIFICACION!$F$2:$F$500,0))),"⚠"))</f>
        <v/>
      </c>
      <c r="BT67" t="str">
        <f t="shared" ref="BT67:BT98" si="63">IF(CY67="","",IF(ISNUMBER(SEARCH("Ninguno",CY67)),0,ROUND((LEN(CY67)-LEN(SUBSTITUTE(CY67,";",""))+1)/6*100,1)))</f>
        <v/>
      </c>
      <c r="BU67" t="str">
        <f>IF(DA67="","",IFERROR(IF(INDEX(CODIFICACION!$E$2:$E$500,MATCH("D11.39a|"&amp;DA67,CODIFICACION!$F$2:$F$500,0))="sin dato","",INDEX(CODIFICACION!$E$2:$E$500,MATCH("D11.39a|"&amp;DA67,CODIFICACION!$F$2:$F$500,0))),"⚠"))</f>
        <v/>
      </c>
      <c r="BV67" t="str">
        <f>IF(DB67="","",IFERROR(IF(INDEX(CODIFICACION!$E$2:$E$500,MATCH("D12.42|"&amp;DB67,CODIFICACION!$F$2:$F$500,0))="sin dato","",INDEX(CODIFICACION!$E$2:$E$500,MATCH("D12.42|"&amp;DB67,CODIFICACION!$F$2:$F$500,0))),"⚠"))</f>
        <v/>
      </c>
      <c r="BW67" t="str">
        <f>IF(DC67="","",IFERROR(IF(INDEX(CODIFICACION!$E$2:$E$500,MATCH("D13.45|"&amp;DC67,CODIFICACION!$F$2:$F$500,0))="sin dato","",INDEX(CODIFICACION!$E$2:$E$500,MATCH("D13.45|"&amp;DC67,CODIFICACION!$F$2:$F$500,0))),"⚠"))</f>
        <v/>
      </c>
      <c r="BX67" t="str">
        <f>IF(DD67="","",IFERROR(IF(INDEX(CODIFICACION!$E$2:$E$500,MATCH("D14.51|"&amp;DD67,CODIFICACION!$F$2:$F$500,0))="sin dato","",INDEX(CODIFICACION!$E$2:$E$500,MATCH("D14.51|"&amp;DD67,CODIFICACION!$F$2:$F$500,0))),"⚠"))</f>
        <v/>
      </c>
      <c r="BY67" t="str">
        <f>IF(DE67="","",IFERROR(IF(INDEX(CODIFICACION!$E$2:$E$500,MATCH("D15.58|"&amp;DE67,CODIFICACION!$F$2:$F$500,0))="sin dato","",INDEX(CODIFICACION!$E$2:$E$500,MATCH("D15.58|"&amp;DE67,CODIFICACION!$F$2:$F$500,0))),"⚠"))</f>
        <v/>
      </c>
      <c r="BZ67" t="str">
        <f>IF(DF67="","",IFERROR(IF(INDEX(CODIFICACION!$E$2:$E$500,MATCH("PP1|"&amp;DF67,CODIFICACION!$F$2:$F$500,0))="sin dato","",INDEX(CODIFICACION!$E$2:$E$500,MATCH("PP1|"&amp;DF67,CODIFICACION!$F$2:$F$500,0))),"⚠"))</f>
        <v/>
      </c>
      <c r="CA67" t="str">
        <f>IF(DG67="","",IFERROR(IF(INDEX(CODIFICACION!$E$2:$E$500,MATCH("PP2|"&amp;DG67,CODIFICACION!$F$2:$F$500,0))="sin dato","",INDEX(CODIFICACION!$E$2:$E$500,MATCH("PP2|"&amp;DG67,CODIFICACION!$F$2:$F$500,0))),"⚠"))</f>
        <v/>
      </c>
      <c r="CB67" t="str">
        <f t="shared" ref="CB67:CB98" si="64">IFERROR(AVERAGE(H67,I67,J67,K67),"")</f>
        <v/>
      </c>
      <c r="CC67" t="str">
        <f t="shared" ref="CC67:CC98" ca="1" si="65">IFERROR(AVERAGE(L67,M67,N67,O67,P67,Q67,R67,S67),"")</f>
        <v/>
      </c>
      <c r="CD67" t="str">
        <f t="shared" ref="CD67:CD98" ca="1" si="66">IFERROR(AVERAGE(T67,U67,V67,W67,X67,Y67,Z67,AA67,AB67,AC67,AD67,AE67,AF67),"")</f>
        <v/>
      </c>
      <c r="CE67" t="str">
        <f t="shared" ref="CE67:CE98" si="67">IFERROR(AVERAGE(AG67,AH67,AI67,AJ67),"")</f>
        <v/>
      </c>
      <c r="CF67" t="str">
        <f t="shared" ref="CF67:CF98" si="68">IFERROR(AVERAGE(D67,AK67,AL67,AM67,AN67,AO67,AP67,AQ67,AR67,AS67),"")</f>
        <v/>
      </c>
      <c r="CG67" t="str">
        <f t="shared" ref="CG67:CG98" ca="1" si="69">IFERROR(AVERAGE(AT67,AU67,AV67,BB67,AW67,AX67,AY67,AZ67,BA67),"")</f>
        <v/>
      </c>
      <c r="CH67" t="str">
        <f t="shared" ref="CH67:CH98" ca="1" si="70">IFERROR(AVERAGE(C67,E67,F67,BC67,BH67,BI67,BD67,BE67,BF67,BG67),"")</f>
        <v/>
      </c>
      <c r="CI67" t="str">
        <f t="shared" ref="CI67:CI98" si="71">IFERROR(AVERAGE(BJ67,BK67,BL67,BM67),"")</f>
        <v/>
      </c>
      <c r="CJ67" t="str">
        <f t="shared" ref="CJ67:CJ98" si="72">IFERROR(AVERAGE(G67,BN67,BO67,BP67),"")</f>
        <v/>
      </c>
      <c r="CK67" t="str">
        <f t="shared" ref="CK67:CK98" si="73">IFERROR(AVERAGE(BQ67,BS67,BR67),"")</f>
        <v/>
      </c>
      <c r="CL67" t="str">
        <f t="shared" ref="CL67:CL98" si="74">IFERROR(AVERAGE(BT67,BU67),"")</f>
        <v/>
      </c>
    </row>
    <row r="68" spans="1:90" x14ac:dyDescent="0.3">
      <c r="A68">
        <f>CAPTURA!A68</f>
        <v>20539241665</v>
      </c>
      <c r="B68">
        <f>CAPTURA!C68</f>
        <v>0</v>
      </c>
      <c r="C68" t="str">
        <f t="shared" si="50"/>
        <v/>
      </c>
      <c r="D68" t="str">
        <f>IF(AE68="","",IFERROR(IF(INDEX(CODIFICACION!$E$2:$E$500,MATCH("P8|"&amp;AE68,CODIFICACION!$F$2:$F$500,0))="sin dato","",INDEX(CODIFICACION!$E$2:$E$500,MATCH("P8|"&amp;AE68,CODIFICACION!$F$2:$F$500,0))),"⚠"))</f>
        <v/>
      </c>
      <c r="E68" t="str">
        <f>IF(AG68="","",IFERROR(IF(INDEX(CODIFICACION!$E$2:$E$500,MATCH("P10|"&amp;AG68,CODIFICACION!$F$2:$F$500,0))="sin dato","",INDEX(CODIFICACION!$E$2:$E$500,MATCH("P10|"&amp;AG68,CODIFICACION!$F$2:$F$500,0))),"⚠"))</f>
        <v/>
      </c>
      <c r="F68" t="str">
        <f>IF(AJ68="","",IFERROR(IF(INDEX(CODIFICACION!$E$2:$E$500,MATCH("P13|"&amp;AJ68,CODIFICACION!$F$2:$F$500,0))="sin dato","",INDEX(CODIFICACION!$E$2:$E$500,MATCH("P13|"&amp;AJ68,CODIFICACION!$F$2:$F$500,0))),"⚠"))</f>
        <v/>
      </c>
      <c r="G68" t="str">
        <f>IF(AK68="","",IFERROR(IF(INDEX(CODIFICACION!$E$2:$E$500,MATCH("P14|"&amp;AK68,CODIFICACION!$F$2:$F$500,0))="sin dato","",INDEX(CODIFICACION!$E$2:$E$500,MATCH("P14|"&amp;AK68,CODIFICACION!$F$2:$F$500,0))),"⚠"))</f>
        <v/>
      </c>
      <c r="H68" t="str">
        <f>IF(AL68="","",IFERROR(IF(INDEX(CODIFICACION!$E$2:$E$500,MATCH("D1.1|"&amp;AL68,CODIFICACION!$F$2:$F$500,0))="sin dato","",INDEX(CODIFICACION!$E$2:$E$500,MATCH("D1.1|"&amp;AL68,CODIFICACION!$F$2:$F$500,0))),"⚠"))</f>
        <v/>
      </c>
      <c r="I68" t="str">
        <f>IF(AN68="","",IFERROR(IF(INDEX(CODIFICACION!$E$2:$E$500,MATCH("D1.3|"&amp;AN68,CODIFICACION!$F$2:$F$500,0))="sin dato","",INDEX(CODIFICACION!$E$2:$E$500,MATCH("D1.3|"&amp;AN68,CODIFICACION!$F$2:$F$500,0))),"⚠"))</f>
        <v/>
      </c>
      <c r="J68" t="str">
        <f>IF(AO68="","",IFERROR(IF(INDEX(CODIFICACION!$E$2:$E$500,MATCH("D1.4|"&amp;AO68,CODIFICACION!$F$2:$F$500,0))="sin dato","",INDEX(CODIFICACION!$E$2:$E$500,MATCH("D1.4|"&amp;AO68,CODIFICACION!$F$2:$F$500,0))),"⚠"))</f>
        <v/>
      </c>
      <c r="K68" t="str">
        <f>IF(AP68="","",IFERROR(IF(INDEX(CODIFICACION!$E$2:$E$500,MATCH("D1.3a|"&amp;AP68,CODIFICACION!$F$2:$F$500,0))="sin dato","",INDEX(CODIFICACION!$E$2:$E$500,MATCH("D1.3a|"&amp;AP68,CODIFICACION!$F$2:$F$500,0))),"⚠"))</f>
        <v/>
      </c>
      <c r="L68" t="str">
        <f t="shared" si="51"/>
        <v/>
      </c>
      <c r="M68" t="str">
        <f t="shared" si="52"/>
        <v/>
      </c>
      <c r="N68" t="str">
        <f t="shared" si="53"/>
        <v/>
      </c>
      <c r="O68" t="str">
        <f>IF(AT68="","",IFERROR(IF(INDEX(CODIFICACION!$E$2:$E$500,MATCH("D2.8|"&amp;AT68,CODIFICACION!$F$2:$F$500,0))="sin dato","",INDEX(CODIFICACION!$E$2:$E$500,MATCH("D2.8|"&amp;AT68,CODIFICACION!$F$2:$F$500,0))),"⚠"))</f>
        <v/>
      </c>
      <c r="P68" t="str">
        <f>IF(AU68="","",IFERROR(IF(INDEX(CODIFICACION!$E$2:$E$500,MATCH("D2.9|"&amp;AU68,CODIFICACION!$F$2:$F$500,0))="sin dato","",INDEX(CODIFICACION!$E$2:$E$500,MATCH("D2.9|"&amp;AU68,CODIFICACION!$F$2:$F$500,0))),"⚠"))</f>
        <v/>
      </c>
      <c r="Q68" t="str">
        <f>IF(AV68="","",IFERROR(IF(INDEX(CODIFICACION!$E$2:$E$500,MATCH("D2.10|"&amp;AV68,CODIFICACION!$F$2:$F$500,0))="sin dato","",INDEX(CODIFICACION!$E$2:$E$500,MATCH("D2.10|"&amp;AV68,CODIFICACION!$F$2:$F$500,0))),"⚠"))</f>
        <v/>
      </c>
      <c r="R68" t="str">
        <f>IF(AW68="","",IFERROR(IF(INDEX(CODIFICACION!$E$2:$E$500,MATCH("D2.5a|"&amp;AW68,CODIFICACION!$F$2:$F$500,0))="sin dato","",INDEX(CODIFICACION!$E$2:$E$500,MATCH("D2.5a|"&amp;AW68,CODIFICACION!$F$2:$F$500,0))),"⚠"))</f>
        <v/>
      </c>
      <c r="S68" t="str">
        <f ca="1">IF(AX68="","",IFERROR(IF(INDEX(CODIFICACION!$E$2:$E$500,MATCH("D2.5b|"&amp;AX68,CODIFICACION!$F$2:$F$500,0))="sin dato","",INDEX(CODIFICACION!$E$2:$E$500,MATCH("D2.5b|"&amp;AX68,CODIFICACION!$F$2:$F$500,0))),"⚠"))</f>
        <v/>
      </c>
      <c r="T68" t="str">
        <f t="shared" ca="1" si="54"/>
        <v/>
      </c>
      <c r="U68" t="str">
        <f>IF(AZ68="","",IFERROR(IF(INDEX(CODIFICACION!$E$2:$E$500,MATCH("D3.12|"&amp;AZ68,CODIFICACION!$F$2:$F$500,0))="sin dato","",INDEX(CODIFICACION!$E$2:$E$500,MATCH("D3.12|"&amp;AZ68,CODIFICACION!$F$2:$F$500,0))),"⚠"))</f>
        <v/>
      </c>
      <c r="V68" t="str">
        <f t="shared" si="55"/>
        <v/>
      </c>
      <c r="W68" t="str">
        <f ca="1">IF(BB68="","",IFERROR(IF(INDEX(CODIFICACION!$E$2:$E$500,MATCH("D3.14|"&amp;BB68,CODIFICACION!$F$2:$F$500,0))="sin dato","",INDEX(CODIFICACION!$E$2:$E$500,MATCH("D3.14|"&amp;BB68,CODIFICACION!$F$2:$F$500,0))),"⚠"))</f>
        <v/>
      </c>
      <c r="X68" t="str">
        <f ca="1">IF(BC68="","",IFERROR(IF(INDEX(CODIFICACION!$E$2:$E$500,MATCH("D3.14a|"&amp;BC68,CODIFICACION!$F$2:$F$500,0))="sin dato","",INDEX(CODIFICACION!$E$2:$E$500,MATCH("D3.14a|"&amp;BC68,CODIFICACION!$F$2:$F$500,0))),"⚠"))</f>
        <v/>
      </c>
      <c r="Y68" t="str">
        <f>IF(BD68="","",IFERROR(IF(INDEX(CODIFICACION!$E$2:$E$500,MATCH("D3.14b|"&amp;BD68,CODIFICACION!$F$2:$F$500,0))="sin dato","",INDEX(CODIFICACION!$E$2:$E$500,MATCH("D3.14b|"&amp;BD68,CODIFICACION!$F$2:$F$500,0))),"⚠"))</f>
        <v/>
      </c>
      <c r="Z68" t="str">
        <f>IF(BE68="","",IFERROR(IF(INDEX(CODIFICACION!$E$2:$E$500,MATCH("D3.14c|"&amp;BE68,CODIFICACION!$F$2:$F$500,0))="sin dato","",INDEX(CODIFICACION!$E$2:$E$500,MATCH("D3.14c|"&amp;BE68,CODIFICACION!$F$2:$F$500,0))),"⚠"))</f>
        <v/>
      </c>
      <c r="AA68" t="str">
        <f>IF(BF68="","",IFERROR(IF(INDEX(CODIFICACION!$E$2:$E$500,MATCH("D3.14d|"&amp;BF68,CODIFICACION!$F$2:$F$500,0))="sin dato","",INDEX(CODIFICACION!$E$2:$E$500,MATCH("D3.14d|"&amp;BF68,CODIFICACION!$F$2:$F$500,0))),"⚠"))</f>
        <v/>
      </c>
      <c r="AB68" t="str">
        <f>IF(BG68="","",IFERROR(IF(INDEX(CODIFICACION!$E$2:$E$500,MATCH("D3.14e|"&amp;BG68,CODIFICACION!$F$2:$F$500,0))="sin dato","",INDEX(CODIFICACION!$E$2:$E$500,MATCH("D3.14e|"&amp;BG68,CODIFICACION!$F$2:$F$500,0))),"⚠"))</f>
        <v/>
      </c>
      <c r="AC68" t="str">
        <f>IF(BH68="","",IFERROR(IF(INDEX(CODIFICACION!$E$2:$E$500,MATCH("D3.14f|"&amp;BH68,CODIFICACION!$F$2:$F$500,0))="sin dato","",INDEX(CODIFICACION!$E$2:$E$500,MATCH("D3.14f|"&amp;BH68,CODIFICACION!$F$2:$F$500,0))),"⚠"))</f>
        <v/>
      </c>
      <c r="AD68" t="str">
        <f>IF(BI68="","",IFERROR(IF(INDEX(CODIFICACION!$E$2:$E$500,MATCH("D3.14g|"&amp;BI68,CODIFICACION!$F$2:$F$500,0))="sin dato","",INDEX(CODIFICACION!$E$2:$E$500,MATCH("D3.14g|"&amp;BI68,CODIFICACION!$F$2:$F$500,0))),"⚠"))</f>
        <v/>
      </c>
      <c r="AE68" t="str">
        <f>IF(BJ68="","",IFERROR(IF(INDEX(CODIFICACION!$E$2:$E$500,MATCH("D3.14h|"&amp;BJ68,CODIFICACION!$F$2:$F$500,0))="sin dato","",INDEX(CODIFICACION!$E$2:$E$500,MATCH("D3.14h|"&amp;BJ68,CODIFICACION!$F$2:$F$500,0))),"⚠"))</f>
        <v/>
      </c>
      <c r="AF68" t="str">
        <f>IF(BK68="","",IFERROR(IF(INDEX(CODIFICACION!$E$2:$E$500,MATCH("D3.14i|"&amp;BK68,CODIFICACION!$F$2:$F$500,0))="sin dato","",INDEX(CODIFICACION!$E$2:$E$500,MATCH("D3.14i|"&amp;BK68,CODIFICACION!$F$2:$F$500,0))),"⚠"))</f>
        <v/>
      </c>
      <c r="AG68" t="str">
        <f>IF(BL68="","",IFERROR(IF(INDEX(CODIFICACION!$E$2:$E$500,MATCH("D4.15|"&amp;BL68,CODIFICACION!$F$2:$F$500,0))="sin dato","",INDEX(CODIFICACION!$E$2:$E$500,MATCH("D4.15|"&amp;BL68,CODIFICACION!$F$2:$F$500,0))),"⚠"))</f>
        <v/>
      </c>
      <c r="AH68" t="str">
        <f t="shared" si="56"/>
        <v/>
      </c>
      <c r="AI68" t="str">
        <f>IF(BN68="","",IFERROR(IF(INDEX(CODIFICACION!$E$2:$E$500,MATCH("D4.17|"&amp;BN68,CODIFICACION!$F$2:$F$500,0))="sin dato","",INDEX(CODIFICACION!$E$2:$E$500,MATCH("D4.17|"&amp;BN68,CODIFICACION!$F$2:$F$500,0))),"⚠"))</f>
        <v/>
      </c>
      <c r="AJ68" t="str">
        <f>IF(BO68="","",IFERROR(IF(INDEX(CODIFICACION!$E$2:$E$500,MATCH("D4.15a|"&amp;BO68,CODIFICACION!$F$2:$F$500,0))="sin dato","",INDEX(CODIFICACION!$E$2:$E$500,MATCH("D4.15a|"&amp;BO68,CODIFICACION!$F$2:$F$500,0))),"⚠"))</f>
        <v/>
      </c>
      <c r="AK68" t="str">
        <f t="shared" si="57"/>
        <v/>
      </c>
      <c r="AL68" t="str">
        <f t="shared" si="58"/>
        <v/>
      </c>
      <c r="AM68" t="str">
        <f>IF(BR68="","",IFERROR(IF(INDEX(CODIFICACION!$E$2:$E$500,MATCH("D5.18b|"&amp;BR68,CODIFICACION!$F$2:$F$500,0))="sin dato","",INDEX(CODIFICACION!$E$2:$E$500,MATCH("D5.18b|"&amp;BR68,CODIFICACION!$F$2:$F$500,0))),"⚠"))</f>
        <v/>
      </c>
      <c r="AN68" t="str">
        <f>IF(BS68="","",IFERROR(IF(INDEX(CODIFICACION!$E$2:$E$500,MATCH("D5.19|"&amp;BS68,CODIFICACION!$F$2:$F$500,0))="sin dato","",INDEX(CODIFICACION!$E$2:$E$500,MATCH("D5.19|"&amp;BS68,CODIFICACION!$F$2:$F$500,0))),"⚠"))</f>
        <v/>
      </c>
      <c r="AO68" t="str">
        <f t="shared" si="59"/>
        <v/>
      </c>
      <c r="AP68" t="str">
        <f>IF(BU68="","",IFERROR(IF(INDEX(CODIFICACION!$E$2:$E$500,MATCH("D5.20|"&amp;BU68,CODIFICACION!$F$2:$F$500,0))="sin dato","",INDEX(CODIFICACION!$E$2:$E$500,MATCH("D5.20|"&amp;BU68,CODIFICACION!$F$2:$F$500,0))),"⚠"))</f>
        <v/>
      </c>
      <c r="AQ68" t="str">
        <f>IF(BV68="","",IFERROR(IF(INDEX(CODIFICACION!$E$2:$E$500,MATCH("D5.21|"&amp;BV68,CODIFICACION!$F$2:$F$500,0))="sin dato","",INDEX(CODIFICACION!$E$2:$E$500,MATCH("D5.21|"&amp;BV68,CODIFICACION!$F$2:$F$500,0))),"⚠"))</f>
        <v/>
      </c>
      <c r="AR68" t="str">
        <f>IF(BW68="","",IFERROR(IF(INDEX(CODIFICACION!$E$2:$E$500,MATCH("D5.21a|"&amp;BW68,CODIFICACION!$F$2:$F$500,0))="sin dato","",INDEX(CODIFICACION!$E$2:$E$500,MATCH("D5.21a|"&amp;BW68,CODIFICACION!$F$2:$F$500,0))),"⚠"))</f>
        <v/>
      </c>
      <c r="AS68" t="str">
        <f>IF(BX68="","",IFERROR(IF(INDEX(CODIFICACION!$E$2:$E$500,MATCH("D5.21b|"&amp;BX68,CODIFICACION!$F$2:$F$500,0))="sin dato","",INDEX(CODIFICACION!$E$2:$E$500,MATCH("D5.21b|"&amp;BX68,CODIFICACION!$F$2:$F$500,0))),"⚠"))</f>
        <v/>
      </c>
      <c r="AT68" t="str">
        <f>IF(BY68="","",IFERROR(IF(INDEX(CODIFICACION!$E$2:$E$500,MATCH("D6.22|"&amp;BY68,CODIFICACION!$F$2:$F$500,0))="sin dato","",INDEX(CODIFICACION!$E$2:$E$500,MATCH("D6.22|"&amp;BY68,CODIFICACION!$F$2:$F$500,0))),"⚠"))</f>
        <v/>
      </c>
      <c r="AU68" t="str">
        <f>IF(BZ68="","",IFERROR(IF(INDEX(CODIFICACION!$E$2:$E$500,MATCH("D6.22a|"&amp;BZ68,CODIFICACION!$F$2:$F$500,0))="sin dato","",INDEX(CODIFICACION!$E$2:$E$500,MATCH("D6.22a|"&amp;BZ68,CODIFICACION!$F$2:$F$500,0))),"⚠"))</f>
        <v/>
      </c>
      <c r="AV68" t="str">
        <f>IF(CA68="","",IFERROR(IF(INDEX(CODIFICACION!$E$2:$E$500,MATCH("D6.22b|"&amp;CA68,CODIFICACION!$F$2:$F$500,0))="sin dato","",INDEX(CODIFICACION!$E$2:$E$500,MATCH("D6.22b|"&amp;CA68,CODIFICACION!$F$2:$F$500,0))),"⚠"))</f>
        <v/>
      </c>
      <c r="AW68" t="str">
        <f>IF(CB68="","",IFERROR(IF(INDEX(CODIFICACION!$E$2:$E$500,MATCH("D6.23|"&amp;CB68,CODIFICACION!$F$2:$F$500,0))="sin dato","",INDEX(CODIFICACION!$E$2:$E$500,MATCH("D6.23|"&amp;CB68,CODIFICACION!$F$2:$F$500,0))),"⚠"))</f>
        <v/>
      </c>
      <c r="AX68" t="str">
        <f ca="1">IF(CC68="","",IFERROR(IF(INDEX(CODIFICACION!$E$2:$E$500,MATCH("D6.24|"&amp;CC68,CODIFICACION!$F$2:$F$500,0))="sin dato","",INDEX(CODIFICACION!$E$2:$E$500,MATCH("D6.24|"&amp;CC68,CODIFICACION!$F$2:$F$500,0))),"⚠"))</f>
        <v/>
      </c>
      <c r="AY68" t="str">
        <f ca="1">IF(CD68="","",IFERROR(IF(INDEX(CODIFICACION!$E$2:$E$500,MATCH("D6.25|"&amp;CD68,CODIFICACION!$F$2:$F$500,0))="sin dato","",INDEX(CODIFICACION!$E$2:$E$500,MATCH("D6.25|"&amp;CD68,CODIFICACION!$F$2:$F$500,0))),"⚠"))</f>
        <v/>
      </c>
      <c r="AZ68" t="str">
        <f>IF(CE68="","",IFERROR(IF(INDEX(CODIFICACION!$E$2:$E$500,MATCH("D6.25a|"&amp;CE68,CODIFICACION!$F$2:$F$500,0))="sin dato","",INDEX(CODIFICACION!$E$2:$E$500,MATCH("D6.25a|"&amp;CE68,CODIFICACION!$F$2:$F$500,0))),"⚠"))</f>
        <v/>
      </c>
      <c r="BA68" t="str">
        <f>IF(CF68="","",IFERROR(IF(INDEX(CODIFICACION!$E$2:$E$500,MATCH("D6.25b|"&amp;CF68,CODIFICACION!$F$2:$F$500,0))="sin dato","",INDEX(CODIFICACION!$E$2:$E$500,MATCH("D6.25b|"&amp;CF68,CODIFICACION!$F$2:$F$500,0))),"⚠"))</f>
        <v/>
      </c>
      <c r="BB68" t="str">
        <f ca="1">IF(CG68="","",IFERROR(IF(INDEX(CODIFICACION!$E$2:$E$500,MATCH("D6.22c|"&amp;CG68,CODIFICACION!$F$2:$F$500,0))="sin dato","",INDEX(CODIFICACION!$E$2:$E$500,MATCH("D6.22c|"&amp;CG68,CODIFICACION!$F$2:$F$500,0))),"⚠"))</f>
        <v/>
      </c>
      <c r="BC68" t="str">
        <f ca="1">IF(CH68="","",IFERROR(IF(INDEX(CODIFICACION!$E$2:$E$500,MATCH("D7.26|"&amp;CH68,CODIFICACION!$F$2:$F$500,0))="sin dato","",INDEX(CODIFICACION!$E$2:$E$500,MATCH("D7.26|"&amp;CH68,CODIFICACION!$F$2:$F$500,0))),"⚠"))</f>
        <v/>
      </c>
      <c r="BD68" t="str">
        <f>IF(CI68="","",IFERROR(IF(INDEX(CODIFICACION!$E$2:$E$500,MATCH("D7.27|"&amp;CI68,CODIFICACION!$F$2:$F$500,0))="sin dato","",INDEX(CODIFICACION!$E$2:$E$500,MATCH("D7.27|"&amp;CI68,CODIFICACION!$F$2:$F$500,0))),"⚠"))</f>
        <v/>
      </c>
      <c r="BE68" t="str">
        <f>IF(CJ68="","",IFERROR(IF(INDEX(CODIFICACION!$E$2:$E$500,MATCH("D7.28|"&amp;CJ68,CODIFICACION!$F$2:$F$500,0))="sin dato","",INDEX(CODIFICACION!$E$2:$E$500,MATCH("D7.28|"&amp;CJ68,CODIFICACION!$F$2:$F$500,0))),"⚠"))</f>
        <v/>
      </c>
      <c r="BF68" t="str">
        <f>IF(CK68="","",IFERROR(IF(INDEX(CODIFICACION!$E$2:$E$500,MATCH("D7.28b|"&amp;CK68,CODIFICACION!$F$2:$F$500,0))="sin dato","",INDEX(CODIFICACION!$E$2:$E$500,MATCH("D7.28b|"&amp;CK68,CODIFICACION!$F$2:$F$500,0))),"⚠"))</f>
        <v/>
      </c>
      <c r="BG68" t="str">
        <f t="shared" si="60"/>
        <v/>
      </c>
      <c r="BH68" t="str">
        <f>IF(CM68="","",IFERROR(IF(INDEX(CODIFICACION!$E$2:$E$500,MATCH("D7.26a|"&amp;CM68,CODIFICACION!$F$2:$F$500,0))="sin dato","",INDEX(CODIFICACION!$E$2:$E$500,MATCH("D7.26a|"&amp;CM68,CODIFICACION!$F$2:$F$500,0))),"⚠"))</f>
        <v/>
      </c>
      <c r="BI68" t="str">
        <f>IF(CN68="","",IFERROR(IF(INDEX(CODIFICACION!$E$2:$E$500,MATCH("D7.26b|"&amp;CN68,CODIFICACION!$F$2:$F$500,0))="sin dato","",INDEX(CODIFICACION!$E$2:$E$500,MATCH("D7.26b|"&amp;CN68,CODIFICACION!$F$2:$F$500,0))),"⚠"))</f>
        <v/>
      </c>
      <c r="BJ68" t="str">
        <f t="shared" si="61"/>
        <v/>
      </c>
      <c r="BK68" t="str">
        <f t="shared" si="62"/>
        <v/>
      </c>
      <c r="BL68" t="str">
        <f>IF(CQ68="","",IFERROR(IF(INDEX(CODIFICACION!$E$2:$E$500,MATCH("D8.31|"&amp;CQ68,CODIFICACION!$F$2:$F$500,0))="sin dato","",INDEX(CODIFICACION!$E$2:$E$500,MATCH("D8.31|"&amp;CQ68,CODIFICACION!$F$2:$F$500,0))),"⚠"))</f>
        <v/>
      </c>
      <c r="BM68" t="str">
        <f>IF(CR68="","",IFERROR(IF(INDEX(CODIFICACION!$E$2:$E$500,MATCH("D8.32|"&amp;CR68,CODIFICACION!$F$2:$F$500,0))="sin dato","",INDEX(CODIFICACION!$E$2:$E$500,MATCH("D8.32|"&amp;CR68,CODIFICACION!$F$2:$F$500,0))),"⚠"))</f>
        <v/>
      </c>
      <c r="BN68" t="str">
        <f>IF(CS68="","",IFERROR(IF(INDEX(CODIFICACION!$E$2:$E$500,MATCH("D9.33|"&amp;CS68,CODIFICACION!$F$2:$F$500,0))="sin dato","",INDEX(CODIFICACION!$E$2:$E$500,MATCH("D9.33|"&amp;CS68,CODIFICACION!$F$2:$F$500,0))),"⚠"))</f>
        <v/>
      </c>
      <c r="BO68" t="str">
        <f>IF(CT68="","",IFERROR(IF(INDEX(CODIFICACION!$E$2:$E$500,MATCH("D9.34|"&amp;CT68,CODIFICACION!$F$2:$F$500,0))="sin dato","",INDEX(CODIFICACION!$E$2:$E$500,MATCH("D9.34|"&amp;CT68,CODIFICACION!$F$2:$F$500,0))),"⚠"))</f>
        <v/>
      </c>
      <c r="BP68" t="str">
        <f>IF(CU68="","",IFERROR(IF(INDEX(CODIFICACION!$E$2:$E$500,MATCH("D9.35|"&amp;CU68,CODIFICACION!$F$2:$F$500,0))="sin dato","",INDEX(CODIFICACION!$E$2:$E$500,MATCH("D9.35|"&amp;CU68,CODIFICACION!$F$2:$F$500,0))),"⚠"))</f>
        <v/>
      </c>
      <c r="BQ68" t="str">
        <f>IF(CV68="","",IFERROR(IF(INDEX(CODIFICACION!$E$2:$E$500,MATCH("D10.36|"&amp;CV68,CODIFICACION!$F$2:$F$500,0))="sin dato","",INDEX(CODIFICACION!$E$2:$E$500,MATCH("D10.36|"&amp;CV68,CODIFICACION!$F$2:$F$500,0))),"⚠"))</f>
        <v/>
      </c>
      <c r="BR68" t="str">
        <f>IF(CW68="","",IFERROR(IF(INDEX(CODIFICACION!$E$2:$E$500,MATCH("D10.37|"&amp;CW68,CODIFICACION!$F$2:$F$500,0))="sin dato","",INDEX(CODIFICACION!$E$2:$E$500,MATCH("D10.37|"&amp;CW68,CODIFICACION!$F$2:$F$500,0))),"⚠"))</f>
        <v/>
      </c>
      <c r="BS68" t="str">
        <f>IF(CX68="","",IFERROR(IF(INDEX(CODIFICACION!$E$2:$E$500,MATCH("D10.36a|"&amp;CX68,CODIFICACION!$F$2:$F$500,0))="sin dato","",INDEX(CODIFICACION!$E$2:$E$500,MATCH("D10.36a|"&amp;CX68,CODIFICACION!$F$2:$F$500,0))),"⚠"))</f>
        <v/>
      </c>
      <c r="BT68" t="str">
        <f t="shared" si="63"/>
        <v/>
      </c>
      <c r="BU68" t="str">
        <f>IF(DA68="","",IFERROR(IF(INDEX(CODIFICACION!$E$2:$E$500,MATCH("D11.39a|"&amp;DA68,CODIFICACION!$F$2:$F$500,0))="sin dato","",INDEX(CODIFICACION!$E$2:$E$500,MATCH("D11.39a|"&amp;DA68,CODIFICACION!$F$2:$F$500,0))),"⚠"))</f>
        <v/>
      </c>
      <c r="BV68" t="str">
        <f>IF(DB68="","",IFERROR(IF(INDEX(CODIFICACION!$E$2:$E$500,MATCH("D12.42|"&amp;DB68,CODIFICACION!$F$2:$F$500,0))="sin dato","",INDEX(CODIFICACION!$E$2:$E$500,MATCH("D12.42|"&amp;DB68,CODIFICACION!$F$2:$F$500,0))),"⚠"))</f>
        <v/>
      </c>
      <c r="BW68" t="str">
        <f>IF(DC68="","",IFERROR(IF(INDEX(CODIFICACION!$E$2:$E$500,MATCH("D13.45|"&amp;DC68,CODIFICACION!$F$2:$F$500,0))="sin dato","",INDEX(CODIFICACION!$E$2:$E$500,MATCH("D13.45|"&amp;DC68,CODIFICACION!$F$2:$F$500,0))),"⚠"))</f>
        <v/>
      </c>
      <c r="BX68" t="str">
        <f>IF(DD68="","",IFERROR(IF(INDEX(CODIFICACION!$E$2:$E$500,MATCH("D14.51|"&amp;DD68,CODIFICACION!$F$2:$F$500,0))="sin dato","",INDEX(CODIFICACION!$E$2:$E$500,MATCH("D14.51|"&amp;DD68,CODIFICACION!$F$2:$F$500,0))),"⚠"))</f>
        <v/>
      </c>
      <c r="BY68" t="str">
        <f>IF(DE68="","",IFERROR(IF(INDEX(CODIFICACION!$E$2:$E$500,MATCH("D15.58|"&amp;DE68,CODIFICACION!$F$2:$F$500,0))="sin dato","",INDEX(CODIFICACION!$E$2:$E$500,MATCH("D15.58|"&amp;DE68,CODIFICACION!$F$2:$F$500,0))),"⚠"))</f>
        <v/>
      </c>
      <c r="BZ68" t="str">
        <f>IF(DF68="","",IFERROR(IF(INDEX(CODIFICACION!$E$2:$E$500,MATCH("PP1|"&amp;DF68,CODIFICACION!$F$2:$F$500,0))="sin dato","",INDEX(CODIFICACION!$E$2:$E$500,MATCH("PP1|"&amp;DF68,CODIFICACION!$F$2:$F$500,0))),"⚠"))</f>
        <v/>
      </c>
      <c r="CA68" t="str">
        <f>IF(DG68="","",IFERROR(IF(INDEX(CODIFICACION!$E$2:$E$500,MATCH("PP2|"&amp;DG68,CODIFICACION!$F$2:$F$500,0))="sin dato","",INDEX(CODIFICACION!$E$2:$E$500,MATCH("PP2|"&amp;DG68,CODIFICACION!$F$2:$F$500,0))),"⚠"))</f>
        <v/>
      </c>
      <c r="CB68" t="str">
        <f t="shared" si="64"/>
        <v/>
      </c>
      <c r="CC68" t="str">
        <f t="shared" ca="1" si="65"/>
        <v/>
      </c>
      <c r="CD68" t="str">
        <f t="shared" ca="1" si="66"/>
        <v/>
      </c>
      <c r="CE68" t="str">
        <f t="shared" si="67"/>
        <v/>
      </c>
      <c r="CF68" t="str">
        <f t="shared" si="68"/>
        <v/>
      </c>
      <c r="CG68" t="str">
        <f t="shared" ca="1" si="69"/>
        <v/>
      </c>
      <c r="CH68" t="str">
        <f t="shared" ca="1" si="70"/>
        <v/>
      </c>
      <c r="CI68" t="str">
        <f t="shared" si="71"/>
        <v/>
      </c>
      <c r="CJ68" t="str">
        <f t="shared" si="72"/>
        <v/>
      </c>
      <c r="CK68" t="str">
        <f t="shared" si="73"/>
        <v/>
      </c>
      <c r="CL68" t="str">
        <f t="shared" si="74"/>
        <v/>
      </c>
    </row>
    <row r="69" spans="1:90" x14ac:dyDescent="0.3">
      <c r="A69">
        <f>CAPTURA!A69</f>
        <v>20539280644</v>
      </c>
      <c r="B69">
        <f>CAPTURA!C69</f>
        <v>0</v>
      </c>
      <c r="C69" t="str">
        <f t="shared" si="50"/>
        <v/>
      </c>
      <c r="D69" t="str">
        <f>IF(AE69="","",IFERROR(IF(INDEX(CODIFICACION!$E$2:$E$500,MATCH("P8|"&amp;AE69,CODIFICACION!$F$2:$F$500,0))="sin dato","",INDEX(CODIFICACION!$E$2:$E$500,MATCH("P8|"&amp;AE69,CODIFICACION!$F$2:$F$500,0))),"⚠"))</f>
        <v/>
      </c>
      <c r="E69" t="str">
        <f>IF(AG69="","",IFERROR(IF(INDEX(CODIFICACION!$E$2:$E$500,MATCH("P10|"&amp;AG69,CODIFICACION!$F$2:$F$500,0))="sin dato","",INDEX(CODIFICACION!$E$2:$E$500,MATCH("P10|"&amp;AG69,CODIFICACION!$F$2:$F$500,0))),"⚠"))</f>
        <v/>
      </c>
      <c r="F69" t="str">
        <f>IF(AJ69="","",IFERROR(IF(INDEX(CODIFICACION!$E$2:$E$500,MATCH("P13|"&amp;AJ69,CODIFICACION!$F$2:$F$500,0))="sin dato","",INDEX(CODIFICACION!$E$2:$E$500,MATCH("P13|"&amp;AJ69,CODIFICACION!$F$2:$F$500,0))),"⚠"))</f>
        <v/>
      </c>
      <c r="G69" t="str">
        <f>IF(AK69="","",IFERROR(IF(INDEX(CODIFICACION!$E$2:$E$500,MATCH("P14|"&amp;AK69,CODIFICACION!$F$2:$F$500,0))="sin dato","",INDEX(CODIFICACION!$E$2:$E$500,MATCH("P14|"&amp;AK69,CODIFICACION!$F$2:$F$500,0))),"⚠"))</f>
        <v/>
      </c>
      <c r="H69" t="str">
        <f>IF(AL69="","",IFERROR(IF(INDEX(CODIFICACION!$E$2:$E$500,MATCH("D1.1|"&amp;AL69,CODIFICACION!$F$2:$F$500,0))="sin dato","",INDEX(CODIFICACION!$E$2:$E$500,MATCH("D1.1|"&amp;AL69,CODIFICACION!$F$2:$F$500,0))),"⚠"))</f>
        <v/>
      </c>
      <c r="I69" t="str">
        <f>IF(AN69="","",IFERROR(IF(INDEX(CODIFICACION!$E$2:$E$500,MATCH("D1.3|"&amp;AN69,CODIFICACION!$F$2:$F$500,0))="sin dato","",INDEX(CODIFICACION!$E$2:$E$500,MATCH("D1.3|"&amp;AN69,CODIFICACION!$F$2:$F$500,0))),"⚠"))</f>
        <v/>
      </c>
      <c r="J69" t="str">
        <f>IF(AO69="","",IFERROR(IF(INDEX(CODIFICACION!$E$2:$E$500,MATCH("D1.4|"&amp;AO69,CODIFICACION!$F$2:$F$500,0))="sin dato","",INDEX(CODIFICACION!$E$2:$E$500,MATCH("D1.4|"&amp;AO69,CODIFICACION!$F$2:$F$500,0))),"⚠"))</f>
        <v/>
      </c>
      <c r="K69" t="str">
        <f>IF(AP69="","",IFERROR(IF(INDEX(CODIFICACION!$E$2:$E$500,MATCH("D1.3a|"&amp;AP69,CODIFICACION!$F$2:$F$500,0))="sin dato","",INDEX(CODIFICACION!$E$2:$E$500,MATCH("D1.3a|"&amp;AP69,CODIFICACION!$F$2:$F$500,0))),"⚠"))</f>
        <v/>
      </c>
      <c r="L69" t="str">
        <f t="shared" si="51"/>
        <v/>
      </c>
      <c r="M69" t="str">
        <f t="shared" si="52"/>
        <v/>
      </c>
      <c r="N69" t="str">
        <f t="shared" si="53"/>
        <v/>
      </c>
      <c r="O69" t="str">
        <f>IF(AT69="","",IFERROR(IF(INDEX(CODIFICACION!$E$2:$E$500,MATCH("D2.8|"&amp;AT69,CODIFICACION!$F$2:$F$500,0))="sin dato","",INDEX(CODIFICACION!$E$2:$E$500,MATCH("D2.8|"&amp;AT69,CODIFICACION!$F$2:$F$500,0))),"⚠"))</f>
        <v/>
      </c>
      <c r="P69" t="str">
        <f>IF(AU69="","",IFERROR(IF(INDEX(CODIFICACION!$E$2:$E$500,MATCH("D2.9|"&amp;AU69,CODIFICACION!$F$2:$F$500,0))="sin dato","",INDEX(CODIFICACION!$E$2:$E$500,MATCH("D2.9|"&amp;AU69,CODIFICACION!$F$2:$F$500,0))),"⚠"))</f>
        <v/>
      </c>
      <c r="Q69" t="str">
        <f>IF(AV69="","",IFERROR(IF(INDEX(CODIFICACION!$E$2:$E$500,MATCH("D2.10|"&amp;AV69,CODIFICACION!$F$2:$F$500,0))="sin dato","",INDEX(CODIFICACION!$E$2:$E$500,MATCH("D2.10|"&amp;AV69,CODIFICACION!$F$2:$F$500,0))),"⚠"))</f>
        <v/>
      </c>
      <c r="R69" t="str">
        <f>IF(AW69="","",IFERROR(IF(INDEX(CODIFICACION!$E$2:$E$500,MATCH("D2.5a|"&amp;AW69,CODIFICACION!$F$2:$F$500,0))="sin dato","",INDEX(CODIFICACION!$E$2:$E$500,MATCH("D2.5a|"&amp;AW69,CODIFICACION!$F$2:$F$500,0))),"⚠"))</f>
        <v/>
      </c>
      <c r="S69" t="str">
        <f ca="1">IF(AX69="","",IFERROR(IF(INDEX(CODIFICACION!$E$2:$E$500,MATCH("D2.5b|"&amp;AX69,CODIFICACION!$F$2:$F$500,0))="sin dato","",INDEX(CODIFICACION!$E$2:$E$500,MATCH("D2.5b|"&amp;AX69,CODIFICACION!$F$2:$F$500,0))),"⚠"))</f>
        <v/>
      </c>
      <c r="T69" t="str">
        <f t="shared" ca="1" si="54"/>
        <v/>
      </c>
      <c r="U69" t="str">
        <f>IF(AZ69="","",IFERROR(IF(INDEX(CODIFICACION!$E$2:$E$500,MATCH("D3.12|"&amp;AZ69,CODIFICACION!$F$2:$F$500,0))="sin dato","",INDEX(CODIFICACION!$E$2:$E$500,MATCH("D3.12|"&amp;AZ69,CODIFICACION!$F$2:$F$500,0))),"⚠"))</f>
        <v/>
      </c>
      <c r="V69" t="str">
        <f t="shared" si="55"/>
        <v/>
      </c>
      <c r="W69" t="str">
        <f ca="1">IF(BB69="","",IFERROR(IF(INDEX(CODIFICACION!$E$2:$E$500,MATCH("D3.14|"&amp;BB69,CODIFICACION!$F$2:$F$500,0))="sin dato","",INDEX(CODIFICACION!$E$2:$E$500,MATCH("D3.14|"&amp;BB69,CODIFICACION!$F$2:$F$500,0))),"⚠"))</f>
        <v/>
      </c>
      <c r="X69" t="str">
        <f ca="1">IF(BC69="","",IFERROR(IF(INDEX(CODIFICACION!$E$2:$E$500,MATCH("D3.14a|"&amp;BC69,CODIFICACION!$F$2:$F$500,0))="sin dato","",INDEX(CODIFICACION!$E$2:$E$500,MATCH("D3.14a|"&amp;BC69,CODIFICACION!$F$2:$F$500,0))),"⚠"))</f>
        <v/>
      </c>
      <c r="Y69" t="str">
        <f>IF(BD69="","",IFERROR(IF(INDEX(CODIFICACION!$E$2:$E$500,MATCH("D3.14b|"&amp;BD69,CODIFICACION!$F$2:$F$500,0))="sin dato","",INDEX(CODIFICACION!$E$2:$E$500,MATCH("D3.14b|"&amp;BD69,CODIFICACION!$F$2:$F$500,0))),"⚠"))</f>
        <v/>
      </c>
      <c r="Z69" t="str">
        <f>IF(BE69="","",IFERROR(IF(INDEX(CODIFICACION!$E$2:$E$500,MATCH("D3.14c|"&amp;BE69,CODIFICACION!$F$2:$F$500,0))="sin dato","",INDEX(CODIFICACION!$E$2:$E$500,MATCH("D3.14c|"&amp;BE69,CODIFICACION!$F$2:$F$500,0))),"⚠"))</f>
        <v/>
      </c>
      <c r="AA69" t="str">
        <f>IF(BF69="","",IFERROR(IF(INDEX(CODIFICACION!$E$2:$E$500,MATCH("D3.14d|"&amp;BF69,CODIFICACION!$F$2:$F$500,0))="sin dato","",INDEX(CODIFICACION!$E$2:$E$500,MATCH("D3.14d|"&amp;BF69,CODIFICACION!$F$2:$F$500,0))),"⚠"))</f>
        <v/>
      </c>
      <c r="AB69" t="str">
        <f>IF(BG69="","",IFERROR(IF(INDEX(CODIFICACION!$E$2:$E$500,MATCH("D3.14e|"&amp;BG69,CODIFICACION!$F$2:$F$500,0))="sin dato","",INDEX(CODIFICACION!$E$2:$E$500,MATCH("D3.14e|"&amp;BG69,CODIFICACION!$F$2:$F$500,0))),"⚠"))</f>
        <v/>
      </c>
      <c r="AC69" t="str">
        <f>IF(BH69="","",IFERROR(IF(INDEX(CODIFICACION!$E$2:$E$500,MATCH("D3.14f|"&amp;BH69,CODIFICACION!$F$2:$F$500,0))="sin dato","",INDEX(CODIFICACION!$E$2:$E$500,MATCH("D3.14f|"&amp;BH69,CODIFICACION!$F$2:$F$500,0))),"⚠"))</f>
        <v/>
      </c>
      <c r="AD69" t="str">
        <f>IF(BI69="","",IFERROR(IF(INDEX(CODIFICACION!$E$2:$E$500,MATCH("D3.14g|"&amp;BI69,CODIFICACION!$F$2:$F$500,0))="sin dato","",INDEX(CODIFICACION!$E$2:$E$500,MATCH("D3.14g|"&amp;BI69,CODIFICACION!$F$2:$F$500,0))),"⚠"))</f>
        <v/>
      </c>
      <c r="AE69" t="str">
        <f>IF(BJ69="","",IFERROR(IF(INDEX(CODIFICACION!$E$2:$E$500,MATCH("D3.14h|"&amp;BJ69,CODIFICACION!$F$2:$F$500,0))="sin dato","",INDEX(CODIFICACION!$E$2:$E$500,MATCH("D3.14h|"&amp;BJ69,CODIFICACION!$F$2:$F$500,0))),"⚠"))</f>
        <v/>
      </c>
      <c r="AF69" t="str">
        <f>IF(BK69="","",IFERROR(IF(INDEX(CODIFICACION!$E$2:$E$500,MATCH("D3.14i|"&amp;BK69,CODIFICACION!$F$2:$F$500,0))="sin dato","",INDEX(CODIFICACION!$E$2:$E$500,MATCH("D3.14i|"&amp;BK69,CODIFICACION!$F$2:$F$500,0))),"⚠"))</f>
        <v/>
      </c>
      <c r="AG69" t="str">
        <f>IF(BL69="","",IFERROR(IF(INDEX(CODIFICACION!$E$2:$E$500,MATCH("D4.15|"&amp;BL69,CODIFICACION!$F$2:$F$500,0))="sin dato","",INDEX(CODIFICACION!$E$2:$E$500,MATCH("D4.15|"&amp;BL69,CODIFICACION!$F$2:$F$500,0))),"⚠"))</f>
        <v/>
      </c>
      <c r="AH69" t="str">
        <f t="shared" si="56"/>
        <v/>
      </c>
      <c r="AI69" t="str">
        <f>IF(BN69="","",IFERROR(IF(INDEX(CODIFICACION!$E$2:$E$500,MATCH("D4.17|"&amp;BN69,CODIFICACION!$F$2:$F$500,0))="sin dato","",INDEX(CODIFICACION!$E$2:$E$500,MATCH("D4.17|"&amp;BN69,CODIFICACION!$F$2:$F$500,0))),"⚠"))</f>
        <v/>
      </c>
      <c r="AJ69" t="str">
        <f>IF(BO69="","",IFERROR(IF(INDEX(CODIFICACION!$E$2:$E$500,MATCH("D4.15a|"&amp;BO69,CODIFICACION!$F$2:$F$500,0))="sin dato","",INDEX(CODIFICACION!$E$2:$E$500,MATCH("D4.15a|"&amp;BO69,CODIFICACION!$F$2:$F$500,0))),"⚠"))</f>
        <v/>
      </c>
      <c r="AK69" t="str">
        <f t="shared" si="57"/>
        <v/>
      </c>
      <c r="AL69" t="str">
        <f t="shared" si="58"/>
        <v/>
      </c>
      <c r="AM69" t="str">
        <f>IF(BR69="","",IFERROR(IF(INDEX(CODIFICACION!$E$2:$E$500,MATCH("D5.18b|"&amp;BR69,CODIFICACION!$F$2:$F$500,0))="sin dato","",INDEX(CODIFICACION!$E$2:$E$500,MATCH("D5.18b|"&amp;BR69,CODIFICACION!$F$2:$F$500,0))),"⚠"))</f>
        <v/>
      </c>
      <c r="AN69" t="str">
        <f>IF(BS69="","",IFERROR(IF(INDEX(CODIFICACION!$E$2:$E$500,MATCH("D5.19|"&amp;BS69,CODIFICACION!$F$2:$F$500,0))="sin dato","",INDEX(CODIFICACION!$E$2:$E$500,MATCH("D5.19|"&amp;BS69,CODIFICACION!$F$2:$F$500,0))),"⚠"))</f>
        <v/>
      </c>
      <c r="AO69" t="str">
        <f t="shared" si="59"/>
        <v/>
      </c>
      <c r="AP69" t="str">
        <f>IF(BU69="","",IFERROR(IF(INDEX(CODIFICACION!$E$2:$E$500,MATCH("D5.20|"&amp;BU69,CODIFICACION!$F$2:$F$500,0))="sin dato","",INDEX(CODIFICACION!$E$2:$E$500,MATCH("D5.20|"&amp;BU69,CODIFICACION!$F$2:$F$500,0))),"⚠"))</f>
        <v/>
      </c>
      <c r="AQ69" t="str">
        <f>IF(BV69="","",IFERROR(IF(INDEX(CODIFICACION!$E$2:$E$500,MATCH("D5.21|"&amp;BV69,CODIFICACION!$F$2:$F$500,0))="sin dato","",INDEX(CODIFICACION!$E$2:$E$500,MATCH("D5.21|"&amp;BV69,CODIFICACION!$F$2:$F$500,0))),"⚠"))</f>
        <v/>
      </c>
      <c r="AR69" t="str">
        <f>IF(BW69="","",IFERROR(IF(INDEX(CODIFICACION!$E$2:$E$500,MATCH("D5.21a|"&amp;BW69,CODIFICACION!$F$2:$F$500,0))="sin dato","",INDEX(CODIFICACION!$E$2:$E$500,MATCH("D5.21a|"&amp;BW69,CODIFICACION!$F$2:$F$500,0))),"⚠"))</f>
        <v/>
      </c>
      <c r="AS69" t="str">
        <f>IF(BX69="","",IFERROR(IF(INDEX(CODIFICACION!$E$2:$E$500,MATCH("D5.21b|"&amp;BX69,CODIFICACION!$F$2:$F$500,0))="sin dato","",INDEX(CODIFICACION!$E$2:$E$500,MATCH("D5.21b|"&amp;BX69,CODIFICACION!$F$2:$F$500,0))),"⚠"))</f>
        <v/>
      </c>
      <c r="AT69" t="str">
        <f>IF(BY69="","",IFERROR(IF(INDEX(CODIFICACION!$E$2:$E$500,MATCH("D6.22|"&amp;BY69,CODIFICACION!$F$2:$F$500,0))="sin dato","",INDEX(CODIFICACION!$E$2:$E$500,MATCH("D6.22|"&amp;BY69,CODIFICACION!$F$2:$F$500,0))),"⚠"))</f>
        <v/>
      </c>
      <c r="AU69" t="str">
        <f>IF(BZ69="","",IFERROR(IF(INDEX(CODIFICACION!$E$2:$E$500,MATCH("D6.22a|"&amp;BZ69,CODIFICACION!$F$2:$F$500,0))="sin dato","",INDEX(CODIFICACION!$E$2:$E$500,MATCH("D6.22a|"&amp;BZ69,CODIFICACION!$F$2:$F$500,0))),"⚠"))</f>
        <v/>
      </c>
      <c r="AV69" t="str">
        <f>IF(CA69="","",IFERROR(IF(INDEX(CODIFICACION!$E$2:$E$500,MATCH("D6.22b|"&amp;CA69,CODIFICACION!$F$2:$F$500,0))="sin dato","",INDEX(CODIFICACION!$E$2:$E$500,MATCH("D6.22b|"&amp;CA69,CODIFICACION!$F$2:$F$500,0))),"⚠"))</f>
        <v/>
      </c>
      <c r="AW69" t="str">
        <f>IF(CB69="","",IFERROR(IF(INDEX(CODIFICACION!$E$2:$E$500,MATCH("D6.23|"&amp;CB69,CODIFICACION!$F$2:$F$500,0))="sin dato","",INDEX(CODIFICACION!$E$2:$E$500,MATCH("D6.23|"&amp;CB69,CODIFICACION!$F$2:$F$500,0))),"⚠"))</f>
        <v/>
      </c>
      <c r="AX69" t="str">
        <f ca="1">IF(CC69="","",IFERROR(IF(INDEX(CODIFICACION!$E$2:$E$500,MATCH("D6.24|"&amp;CC69,CODIFICACION!$F$2:$F$500,0))="sin dato","",INDEX(CODIFICACION!$E$2:$E$500,MATCH("D6.24|"&amp;CC69,CODIFICACION!$F$2:$F$500,0))),"⚠"))</f>
        <v/>
      </c>
      <c r="AY69" t="str">
        <f ca="1">IF(CD69="","",IFERROR(IF(INDEX(CODIFICACION!$E$2:$E$500,MATCH("D6.25|"&amp;CD69,CODIFICACION!$F$2:$F$500,0))="sin dato","",INDEX(CODIFICACION!$E$2:$E$500,MATCH("D6.25|"&amp;CD69,CODIFICACION!$F$2:$F$500,0))),"⚠"))</f>
        <v/>
      </c>
      <c r="AZ69" t="str">
        <f>IF(CE69="","",IFERROR(IF(INDEX(CODIFICACION!$E$2:$E$500,MATCH("D6.25a|"&amp;CE69,CODIFICACION!$F$2:$F$500,0))="sin dato","",INDEX(CODIFICACION!$E$2:$E$500,MATCH("D6.25a|"&amp;CE69,CODIFICACION!$F$2:$F$500,0))),"⚠"))</f>
        <v/>
      </c>
      <c r="BA69" t="str">
        <f>IF(CF69="","",IFERROR(IF(INDEX(CODIFICACION!$E$2:$E$500,MATCH("D6.25b|"&amp;CF69,CODIFICACION!$F$2:$F$500,0))="sin dato","",INDEX(CODIFICACION!$E$2:$E$500,MATCH("D6.25b|"&amp;CF69,CODIFICACION!$F$2:$F$500,0))),"⚠"))</f>
        <v/>
      </c>
      <c r="BB69" t="str">
        <f ca="1">IF(CG69="","",IFERROR(IF(INDEX(CODIFICACION!$E$2:$E$500,MATCH("D6.22c|"&amp;CG69,CODIFICACION!$F$2:$F$500,0))="sin dato","",INDEX(CODIFICACION!$E$2:$E$500,MATCH("D6.22c|"&amp;CG69,CODIFICACION!$F$2:$F$500,0))),"⚠"))</f>
        <v/>
      </c>
      <c r="BC69" t="str">
        <f ca="1">IF(CH69="","",IFERROR(IF(INDEX(CODIFICACION!$E$2:$E$500,MATCH("D7.26|"&amp;CH69,CODIFICACION!$F$2:$F$500,0))="sin dato","",INDEX(CODIFICACION!$E$2:$E$500,MATCH("D7.26|"&amp;CH69,CODIFICACION!$F$2:$F$500,0))),"⚠"))</f>
        <v/>
      </c>
      <c r="BD69" t="str">
        <f>IF(CI69="","",IFERROR(IF(INDEX(CODIFICACION!$E$2:$E$500,MATCH("D7.27|"&amp;CI69,CODIFICACION!$F$2:$F$500,0))="sin dato","",INDEX(CODIFICACION!$E$2:$E$500,MATCH("D7.27|"&amp;CI69,CODIFICACION!$F$2:$F$500,0))),"⚠"))</f>
        <v/>
      </c>
      <c r="BE69" t="str">
        <f>IF(CJ69="","",IFERROR(IF(INDEX(CODIFICACION!$E$2:$E$500,MATCH("D7.28|"&amp;CJ69,CODIFICACION!$F$2:$F$500,0))="sin dato","",INDEX(CODIFICACION!$E$2:$E$500,MATCH("D7.28|"&amp;CJ69,CODIFICACION!$F$2:$F$500,0))),"⚠"))</f>
        <v/>
      </c>
      <c r="BF69" t="str">
        <f>IF(CK69="","",IFERROR(IF(INDEX(CODIFICACION!$E$2:$E$500,MATCH("D7.28b|"&amp;CK69,CODIFICACION!$F$2:$F$500,0))="sin dato","",INDEX(CODIFICACION!$E$2:$E$500,MATCH("D7.28b|"&amp;CK69,CODIFICACION!$F$2:$F$500,0))),"⚠"))</f>
        <v/>
      </c>
      <c r="BG69" t="str">
        <f t="shared" si="60"/>
        <v/>
      </c>
      <c r="BH69" t="str">
        <f>IF(CM69="","",IFERROR(IF(INDEX(CODIFICACION!$E$2:$E$500,MATCH("D7.26a|"&amp;CM69,CODIFICACION!$F$2:$F$500,0))="sin dato","",INDEX(CODIFICACION!$E$2:$E$500,MATCH("D7.26a|"&amp;CM69,CODIFICACION!$F$2:$F$500,0))),"⚠"))</f>
        <v/>
      </c>
      <c r="BI69" t="str">
        <f>IF(CN69="","",IFERROR(IF(INDEX(CODIFICACION!$E$2:$E$500,MATCH("D7.26b|"&amp;CN69,CODIFICACION!$F$2:$F$500,0))="sin dato","",INDEX(CODIFICACION!$E$2:$E$500,MATCH("D7.26b|"&amp;CN69,CODIFICACION!$F$2:$F$500,0))),"⚠"))</f>
        <v/>
      </c>
      <c r="BJ69" t="str">
        <f t="shared" si="61"/>
        <v/>
      </c>
      <c r="BK69" t="str">
        <f t="shared" si="62"/>
        <v/>
      </c>
      <c r="BL69" t="str">
        <f>IF(CQ69="","",IFERROR(IF(INDEX(CODIFICACION!$E$2:$E$500,MATCH("D8.31|"&amp;CQ69,CODIFICACION!$F$2:$F$500,0))="sin dato","",INDEX(CODIFICACION!$E$2:$E$500,MATCH("D8.31|"&amp;CQ69,CODIFICACION!$F$2:$F$500,0))),"⚠"))</f>
        <v/>
      </c>
      <c r="BM69" t="str">
        <f>IF(CR69="","",IFERROR(IF(INDEX(CODIFICACION!$E$2:$E$500,MATCH("D8.32|"&amp;CR69,CODIFICACION!$F$2:$F$500,0))="sin dato","",INDEX(CODIFICACION!$E$2:$E$500,MATCH("D8.32|"&amp;CR69,CODIFICACION!$F$2:$F$500,0))),"⚠"))</f>
        <v/>
      </c>
      <c r="BN69" t="str">
        <f>IF(CS69="","",IFERROR(IF(INDEX(CODIFICACION!$E$2:$E$500,MATCH("D9.33|"&amp;CS69,CODIFICACION!$F$2:$F$500,0))="sin dato","",INDEX(CODIFICACION!$E$2:$E$500,MATCH("D9.33|"&amp;CS69,CODIFICACION!$F$2:$F$500,0))),"⚠"))</f>
        <v/>
      </c>
      <c r="BO69" t="str">
        <f>IF(CT69="","",IFERROR(IF(INDEX(CODIFICACION!$E$2:$E$500,MATCH("D9.34|"&amp;CT69,CODIFICACION!$F$2:$F$500,0))="sin dato","",INDEX(CODIFICACION!$E$2:$E$500,MATCH("D9.34|"&amp;CT69,CODIFICACION!$F$2:$F$500,0))),"⚠"))</f>
        <v/>
      </c>
      <c r="BP69" t="str">
        <f>IF(CU69="","",IFERROR(IF(INDEX(CODIFICACION!$E$2:$E$500,MATCH("D9.35|"&amp;CU69,CODIFICACION!$F$2:$F$500,0))="sin dato","",INDEX(CODIFICACION!$E$2:$E$500,MATCH("D9.35|"&amp;CU69,CODIFICACION!$F$2:$F$500,0))),"⚠"))</f>
        <v/>
      </c>
      <c r="BQ69" t="str">
        <f>IF(CV69="","",IFERROR(IF(INDEX(CODIFICACION!$E$2:$E$500,MATCH("D10.36|"&amp;CV69,CODIFICACION!$F$2:$F$500,0))="sin dato","",INDEX(CODIFICACION!$E$2:$E$500,MATCH("D10.36|"&amp;CV69,CODIFICACION!$F$2:$F$500,0))),"⚠"))</f>
        <v/>
      </c>
      <c r="BR69" t="str">
        <f>IF(CW69="","",IFERROR(IF(INDEX(CODIFICACION!$E$2:$E$500,MATCH("D10.37|"&amp;CW69,CODIFICACION!$F$2:$F$500,0))="sin dato","",INDEX(CODIFICACION!$E$2:$E$500,MATCH("D10.37|"&amp;CW69,CODIFICACION!$F$2:$F$500,0))),"⚠"))</f>
        <v/>
      </c>
      <c r="BS69" t="str">
        <f>IF(CX69="","",IFERROR(IF(INDEX(CODIFICACION!$E$2:$E$500,MATCH("D10.36a|"&amp;CX69,CODIFICACION!$F$2:$F$500,0))="sin dato","",INDEX(CODIFICACION!$E$2:$E$500,MATCH("D10.36a|"&amp;CX69,CODIFICACION!$F$2:$F$500,0))),"⚠"))</f>
        <v/>
      </c>
      <c r="BT69" t="str">
        <f t="shared" si="63"/>
        <v/>
      </c>
      <c r="BU69" t="str">
        <f>IF(DA69="","",IFERROR(IF(INDEX(CODIFICACION!$E$2:$E$500,MATCH("D11.39a|"&amp;DA69,CODIFICACION!$F$2:$F$500,0))="sin dato","",INDEX(CODIFICACION!$E$2:$E$500,MATCH("D11.39a|"&amp;DA69,CODIFICACION!$F$2:$F$500,0))),"⚠"))</f>
        <v/>
      </c>
      <c r="BV69" t="str">
        <f>IF(DB69="","",IFERROR(IF(INDEX(CODIFICACION!$E$2:$E$500,MATCH("D12.42|"&amp;DB69,CODIFICACION!$F$2:$F$500,0))="sin dato","",INDEX(CODIFICACION!$E$2:$E$500,MATCH("D12.42|"&amp;DB69,CODIFICACION!$F$2:$F$500,0))),"⚠"))</f>
        <v/>
      </c>
      <c r="BW69" t="str">
        <f>IF(DC69="","",IFERROR(IF(INDEX(CODIFICACION!$E$2:$E$500,MATCH("D13.45|"&amp;DC69,CODIFICACION!$F$2:$F$500,0))="sin dato","",INDEX(CODIFICACION!$E$2:$E$500,MATCH("D13.45|"&amp;DC69,CODIFICACION!$F$2:$F$500,0))),"⚠"))</f>
        <v/>
      </c>
      <c r="BX69" t="str">
        <f>IF(DD69="","",IFERROR(IF(INDEX(CODIFICACION!$E$2:$E$500,MATCH("D14.51|"&amp;DD69,CODIFICACION!$F$2:$F$500,0))="sin dato","",INDEX(CODIFICACION!$E$2:$E$500,MATCH("D14.51|"&amp;DD69,CODIFICACION!$F$2:$F$500,0))),"⚠"))</f>
        <v/>
      </c>
      <c r="BY69" t="str">
        <f>IF(DE69="","",IFERROR(IF(INDEX(CODIFICACION!$E$2:$E$500,MATCH("D15.58|"&amp;DE69,CODIFICACION!$F$2:$F$500,0))="sin dato","",INDEX(CODIFICACION!$E$2:$E$500,MATCH("D15.58|"&amp;DE69,CODIFICACION!$F$2:$F$500,0))),"⚠"))</f>
        <v/>
      </c>
      <c r="BZ69" t="str">
        <f>IF(DF69="","",IFERROR(IF(INDEX(CODIFICACION!$E$2:$E$500,MATCH("PP1|"&amp;DF69,CODIFICACION!$F$2:$F$500,0))="sin dato","",INDEX(CODIFICACION!$E$2:$E$500,MATCH("PP1|"&amp;DF69,CODIFICACION!$F$2:$F$500,0))),"⚠"))</f>
        <v/>
      </c>
      <c r="CA69" t="str">
        <f>IF(DG69="","",IFERROR(IF(INDEX(CODIFICACION!$E$2:$E$500,MATCH("PP2|"&amp;DG69,CODIFICACION!$F$2:$F$500,0))="sin dato","",INDEX(CODIFICACION!$E$2:$E$500,MATCH("PP2|"&amp;DG69,CODIFICACION!$F$2:$F$500,0))),"⚠"))</f>
        <v/>
      </c>
      <c r="CB69" t="str">
        <f t="shared" si="64"/>
        <v/>
      </c>
      <c r="CC69" t="str">
        <f t="shared" ca="1" si="65"/>
        <v/>
      </c>
      <c r="CD69" t="str">
        <f t="shared" ca="1" si="66"/>
        <v/>
      </c>
      <c r="CE69" t="str">
        <f t="shared" si="67"/>
        <v/>
      </c>
      <c r="CF69" t="str">
        <f t="shared" si="68"/>
        <v/>
      </c>
      <c r="CG69" t="str">
        <f t="shared" ca="1" si="69"/>
        <v/>
      </c>
      <c r="CH69" t="str">
        <f t="shared" ca="1" si="70"/>
        <v/>
      </c>
      <c r="CI69" t="str">
        <f t="shared" si="71"/>
        <v/>
      </c>
      <c r="CJ69" t="str">
        <f t="shared" si="72"/>
        <v/>
      </c>
      <c r="CK69" t="str">
        <f t="shared" si="73"/>
        <v/>
      </c>
      <c r="CL69" t="str">
        <f t="shared" si="74"/>
        <v/>
      </c>
    </row>
    <row r="70" spans="1:90" x14ac:dyDescent="0.3">
      <c r="A70">
        <f>CAPTURA!A70</f>
        <v>20542209951</v>
      </c>
      <c r="B70">
        <f>CAPTURA!C70</f>
        <v>0</v>
      </c>
      <c r="C70" t="str">
        <f t="shared" si="50"/>
        <v/>
      </c>
      <c r="D70" t="str">
        <f>IF(AE70="","",IFERROR(IF(INDEX(CODIFICACION!$E$2:$E$500,MATCH("P8|"&amp;AE70,CODIFICACION!$F$2:$F$500,0))="sin dato","",INDEX(CODIFICACION!$E$2:$E$500,MATCH("P8|"&amp;AE70,CODIFICACION!$F$2:$F$500,0))),"⚠"))</f>
        <v/>
      </c>
      <c r="E70" t="str">
        <f>IF(AG70="","",IFERROR(IF(INDEX(CODIFICACION!$E$2:$E$500,MATCH("P10|"&amp;AG70,CODIFICACION!$F$2:$F$500,0))="sin dato","",INDEX(CODIFICACION!$E$2:$E$500,MATCH("P10|"&amp;AG70,CODIFICACION!$F$2:$F$500,0))),"⚠"))</f>
        <v/>
      </c>
      <c r="F70" t="str">
        <f>IF(AJ70="","",IFERROR(IF(INDEX(CODIFICACION!$E$2:$E$500,MATCH("P13|"&amp;AJ70,CODIFICACION!$F$2:$F$500,0))="sin dato","",INDEX(CODIFICACION!$E$2:$E$500,MATCH("P13|"&amp;AJ70,CODIFICACION!$F$2:$F$500,0))),"⚠"))</f>
        <v/>
      </c>
      <c r="G70" t="str">
        <f>IF(AK70="","",IFERROR(IF(INDEX(CODIFICACION!$E$2:$E$500,MATCH("P14|"&amp;AK70,CODIFICACION!$F$2:$F$500,0))="sin dato","",INDEX(CODIFICACION!$E$2:$E$500,MATCH("P14|"&amp;AK70,CODIFICACION!$F$2:$F$500,0))),"⚠"))</f>
        <v/>
      </c>
      <c r="H70" t="str">
        <f>IF(AL70="","",IFERROR(IF(INDEX(CODIFICACION!$E$2:$E$500,MATCH("D1.1|"&amp;AL70,CODIFICACION!$F$2:$F$500,0))="sin dato","",INDEX(CODIFICACION!$E$2:$E$500,MATCH("D1.1|"&amp;AL70,CODIFICACION!$F$2:$F$500,0))),"⚠"))</f>
        <v/>
      </c>
      <c r="I70" t="str">
        <f>IF(AN70="","",IFERROR(IF(INDEX(CODIFICACION!$E$2:$E$500,MATCH("D1.3|"&amp;AN70,CODIFICACION!$F$2:$F$500,0))="sin dato","",INDEX(CODIFICACION!$E$2:$E$500,MATCH("D1.3|"&amp;AN70,CODIFICACION!$F$2:$F$500,0))),"⚠"))</f>
        <v/>
      </c>
      <c r="J70" t="str">
        <f>IF(AO70="","",IFERROR(IF(INDEX(CODIFICACION!$E$2:$E$500,MATCH("D1.4|"&amp;AO70,CODIFICACION!$F$2:$F$500,0))="sin dato","",INDEX(CODIFICACION!$E$2:$E$500,MATCH("D1.4|"&amp;AO70,CODIFICACION!$F$2:$F$500,0))),"⚠"))</f>
        <v/>
      </c>
      <c r="K70" t="str">
        <f>IF(AP70="","",IFERROR(IF(INDEX(CODIFICACION!$E$2:$E$500,MATCH("D1.3a|"&amp;AP70,CODIFICACION!$F$2:$F$500,0))="sin dato","",INDEX(CODIFICACION!$E$2:$E$500,MATCH("D1.3a|"&amp;AP70,CODIFICACION!$F$2:$F$500,0))),"⚠"))</f>
        <v/>
      </c>
      <c r="L70" t="str">
        <f t="shared" si="51"/>
        <v/>
      </c>
      <c r="M70" t="str">
        <f t="shared" si="52"/>
        <v/>
      </c>
      <c r="N70" t="str">
        <f t="shared" si="53"/>
        <v/>
      </c>
      <c r="O70" t="str">
        <f>IF(AT70="","",IFERROR(IF(INDEX(CODIFICACION!$E$2:$E$500,MATCH("D2.8|"&amp;AT70,CODIFICACION!$F$2:$F$500,0))="sin dato","",INDEX(CODIFICACION!$E$2:$E$500,MATCH("D2.8|"&amp;AT70,CODIFICACION!$F$2:$F$500,0))),"⚠"))</f>
        <v/>
      </c>
      <c r="P70" t="str">
        <f>IF(AU70="","",IFERROR(IF(INDEX(CODIFICACION!$E$2:$E$500,MATCH("D2.9|"&amp;AU70,CODIFICACION!$F$2:$F$500,0))="sin dato","",INDEX(CODIFICACION!$E$2:$E$500,MATCH("D2.9|"&amp;AU70,CODIFICACION!$F$2:$F$500,0))),"⚠"))</f>
        <v/>
      </c>
      <c r="Q70" t="str">
        <f>IF(AV70="","",IFERROR(IF(INDEX(CODIFICACION!$E$2:$E$500,MATCH("D2.10|"&amp;AV70,CODIFICACION!$F$2:$F$500,0))="sin dato","",INDEX(CODIFICACION!$E$2:$E$500,MATCH("D2.10|"&amp;AV70,CODIFICACION!$F$2:$F$500,0))),"⚠"))</f>
        <v/>
      </c>
      <c r="R70" t="str">
        <f>IF(AW70="","",IFERROR(IF(INDEX(CODIFICACION!$E$2:$E$500,MATCH("D2.5a|"&amp;AW70,CODIFICACION!$F$2:$F$500,0))="sin dato","",INDEX(CODIFICACION!$E$2:$E$500,MATCH("D2.5a|"&amp;AW70,CODIFICACION!$F$2:$F$500,0))),"⚠"))</f>
        <v/>
      </c>
      <c r="S70" t="str">
        <f ca="1">IF(AX70="","",IFERROR(IF(INDEX(CODIFICACION!$E$2:$E$500,MATCH("D2.5b|"&amp;AX70,CODIFICACION!$F$2:$F$500,0))="sin dato","",INDEX(CODIFICACION!$E$2:$E$500,MATCH("D2.5b|"&amp;AX70,CODIFICACION!$F$2:$F$500,0))),"⚠"))</f>
        <v/>
      </c>
      <c r="T70" t="str">
        <f t="shared" ca="1" si="54"/>
        <v/>
      </c>
      <c r="U70" t="str">
        <f>IF(AZ70="","",IFERROR(IF(INDEX(CODIFICACION!$E$2:$E$500,MATCH("D3.12|"&amp;AZ70,CODIFICACION!$F$2:$F$500,0))="sin dato","",INDEX(CODIFICACION!$E$2:$E$500,MATCH("D3.12|"&amp;AZ70,CODIFICACION!$F$2:$F$500,0))),"⚠"))</f>
        <v/>
      </c>
      <c r="V70" t="str">
        <f t="shared" si="55"/>
        <v/>
      </c>
      <c r="W70" t="str">
        <f ca="1">IF(BB70="","",IFERROR(IF(INDEX(CODIFICACION!$E$2:$E$500,MATCH("D3.14|"&amp;BB70,CODIFICACION!$F$2:$F$500,0))="sin dato","",INDEX(CODIFICACION!$E$2:$E$500,MATCH("D3.14|"&amp;BB70,CODIFICACION!$F$2:$F$500,0))),"⚠"))</f>
        <v/>
      </c>
      <c r="X70" t="str">
        <f ca="1">IF(BC70="","",IFERROR(IF(INDEX(CODIFICACION!$E$2:$E$500,MATCH("D3.14a|"&amp;BC70,CODIFICACION!$F$2:$F$500,0))="sin dato","",INDEX(CODIFICACION!$E$2:$E$500,MATCH("D3.14a|"&amp;BC70,CODIFICACION!$F$2:$F$500,0))),"⚠"))</f>
        <v/>
      </c>
      <c r="Y70" t="str">
        <f>IF(BD70="","",IFERROR(IF(INDEX(CODIFICACION!$E$2:$E$500,MATCH("D3.14b|"&amp;BD70,CODIFICACION!$F$2:$F$500,0))="sin dato","",INDEX(CODIFICACION!$E$2:$E$500,MATCH("D3.14b|"&amp;BD70,CODIFICACION!$F$2:$F$500,0))),"⚠"))</f>
        <v/>
      </c>
      <c r="Z70" t="str">
        <f>IF(BE70="","",IFERROR(IF(INDEX(CODIFICACION!$E$2:$E$500,MATCH("D3.14c|"&amp;BE70,CODIFICACION!$F$2:$F$500,0))="sin dato","",INDEX(CODIFICACION!$E$2:$E$500,MATCH("D3.14c|"&amp;BE70,CODIFICACION!$F$2:$F$500,0))),"⚠"))</f>
        <v/>
      </c>
      <c r="AA70" t="str">
        <f>IF(BF70="","",IFERROR(IF(INDEX(CODIFICACION!$E$2:$E$500,MATCH("D3.14d|"&amp;BF70,CODIFICACION!$F$2:$F$500,0))="sin dato","",INDEX(CODIFICACION!$E$2:$E$500,MATCH("D3.14d|"&amp;BF70,CODIFICACION!$F$2:$F$500,0))),"⚠"))</f>
        <v/>
      </c>
      <c r="AB70" t="str">
        <f>IF(BG70="","",IFERROR(IF(INDEX(CODIFICACION!$E$2:$E$500,MATCH("D3.14e|"&amp;BG70,CODIFICACION!$F$2:$F$500,0))="sin dato","",INDEX(CODIFICACION!$E$2:$E$500,MATCH("D3.14e|"&amp;BG70,CODIFICACION!$F$2:$F$500,0))),"⚠"))</f>
        <v/>
      </c>
      <c r="AC70" t="str">
        <f>IF(BH70="","",IFERROR(IF(INDEX(CODIFICACION!$E$2:$E$500,MATCH("D3.14f|"&amp;BH70,CODIFICACION!$F$2:$F$500,0))="sin dato","",INDEX(CODIFICACION!$E$2:$E$500,MATCH("D3.14f|"&amp;BH70,CODIFICACION!$F$2:$F$500,0))),"⚠"))</f>
        <v/>
      </c>
      <c r="AD70" t="str">
        <f>IF(BI70="","",IFERROR(IF(INDEX(CODIFICACION!$E$2:$E$500,MATCH("D3.14g|"&amp;BI70,CODIFICACION!$F$2:$F$500,0))="sin dato","",INDEX(CODIFICACION!$E$2:$E$500,MATCH("D3.14g|"&amp;BI70,CODIFICACION!$F$2:$F$500,0))),"⚠"))</f>
        <v/>
      </c>
      <c r="AE70" t="str">
        <f>IF(BJ70="","",IFERROR(IF(INDEX(CODIFICACION!$E$2:$E$500,MATCH("D3.14h|"&amp;BJ70,CODIFICACION!$F$2:$F$500,0))="sin dato","",INDEX(CODIFICACION!$E$2:$E$500,MATCH("D3.14h|"&amp;BJ70,CODIFICACION!$F$2:$F$500,0))),"⚠"))</f>
        <v/>
      </c>
      <c r="AF70" t="str">
        <f>IF(BK70="","",IFERROR(IF(INDEX(CODIFICACION!$E$2:$E$500,MATCH("D3.14i|"&amp;BK70,CODIFICACION!$F$2:$F$500,0))="sin dato","",INDEX(CODIFICACION!$E$2:$E$500,MATCH("D3.14i|"&amp;BK70,CODIFICACION!$F$2:$F$500,0))),"⚠"))</f>
        <v/>
      </c>
      <c r="AG70" t="str">
        <f>IF(BL70="","",IFERROR(IF(INDEX(CODIFICACION!$E$2:$E$500,MATCH("D4.15|"&amp;BL70,CODIFICACION!$F$2:$F$500,0))="sin dato","",INDEX(CODIFICACION!$E$2:$E$500,MATCH("D4.15|"&amp;BL70,CODIFICACION!$F$2:$F$500,0))),"⚠"))</f>
        <v/>
      </c>
      <c r="AH70" t="str">
        <f t="shared" si="56"/>
        <v/>
      </c>
      <c r="AI70" t="str">
        <f>IF(BN70="","",IFERROR(IF(INDEX(CODIFICACION!$E$2:$E$500,MATCH("D4.17|"&amp;BN70,CODIFICACION!$F$2:$F$500,0))="sin dato","",INDEX(CODIFICACION!$E$2:$E$500,MATCH("D4.17|"&amp;BN70,CODIFICACION!$F$2:$F$500,0))),"⚠"))</f>
        <v/>
      </c>
      <c r="AJ70" t="str">
        <f>IF(BO70="","",IFERROR(IF(INDEX(CODIFICACION!$E$2:$E$500,MATCH("D4.15a|"&amp;BO70,CODIFICACION!$F$2:$F$500,0))="sin dato","",INDEX(CODIFICACION!$E$2:$E$500,MATCH("D4.15a|"&amp;BO70,CODIFICACION!$F$2:$F$500,0))),"⚠"))</f>
        <v/>
      </c>
      <c r="AK70" t="str">
        <f t="shared" si="57"/>
        <v/>
      </c>
      <c r="AL70" t="str">
        <f t="shared" si="58"/>
        <v/>
      </c>
      <c r="AM70" t="str">
        <f>IF(BR70="","",IFERROR(IF(INDEX(CODIFICACION!$E$2:$E$500,MATCH("D5.18b|"&amp;BR70,CODIFICACION!$F$2:$F$500,0))="sin dato","",INDEX(CODIFICACION!$E$2:$E$500,MATCH("D5.18b|"&amp;BR70,CODIFICACION!$F$2:$F$500,0))),"⚠"))</f>
        <v/>
      </c>
      <c r="AN70" t="str">
        <f>IF(BS70="","",IFERROR(IF(INDEX(CODIFICACION!$E$2:$E$500,MATCH("D5.19|"&amp;BS70,CODIFICACION!$F$2:$F$500,0))="sin dato","",INDEX(CODIFICACION!$E$2:$E$500,MATCH("D5.19|"&amp;BS70,CODIFICACION!$F$2:$F$500,0))),"⚠"))</f>
        <v/>
      </c>
      <c r="AO70" t="str">
        <f t="shared" si="59"/>
        <v/>
      </c>
      <c r="AP70" t="str">
        <f>IF(BU70="","",IFERROR(IF(INDEX(CODIFICACION!$E$2:$E$500,MATCH("D5.20|"&amp;BU70,CODIFICACION!$F$2:$F$500,0))="sin dato","",INDEX(CODIFICACION!$E$2:$E$500,MATCH("D5.20|"&amp;BU70,CODIFICACION!$F$2:$F$500,0))),"⚠"))</f>
        <v/>
      </c>
      <c r="AQ70" t="str">
        <f>IF(BV70="","",IFERROR(IF(INDEX(CODIFICACION!$E$2:$E$500,MATCH("D5.21|"&amp;BV70,CODIFICACION!$F$2:$F$500,0))="sin dato","",INDEX(CODIFICACION!$E$2:$E$500,MATCH("D5.21|"&amp;BV70,CODIFICACION!$F$2:$F$500,0))),"⚠"))</f>
        <v/>
      </c>
      <c r="AR70" t="str">
        <f>IF(BW70="","",IFERROR(IF(INDEX(CODIFICACION!$E$2:$E$500,MATCH("D5.21a|"&amp;BW70,CODIFICACION!$F$2:$F$500,0))="sin dato","",INDEX(CODIFICACION!$E$2:$E$500,MATCH("D5.21a|"&amp;BW70,CODIFICACION!$F$2:$F$500,0))),"⚠"))</f>
        <v/>
      </c>
      <c r="AS70" t="str">
        <f>IF(BX70="","",IFERROR(IF(INDEX(CODIFICACION!$E$2:$E$500,MATCH("D5.21b|"&amp;BX70,CODIFICACION!$F$2:$F$500,0))="sin dato","",INDEX(CODIFICACION!$E$2:$E$500,MATCH("D5.21b|"&amp;BX70,CODIFICACION!$F$2:$F$500,0))),"⚠"))</f>
        <v/>
      </c>
      <c r="AT70" t="str">
        <f>IF(BY70="","",IFERROR(IF(INDEX(CODIFICACION!$E$2:$E$500,MATCH("D6.22|"&amp;BY70,CODIFICACION!$F$2:$F$500,0))="sin dato","",INDEX(CODIFICACION!$E$2:$E$500,MATCH("D6.22|"&amp;BY70,CODIFICACION!$F$2:$F$500,0))),"⚠"))</f>
        <v/>
      </c>
      <c r="AU70" t="str">
        <f>IF(BZ70="","",IFERROR(IF(INDEX(CODIFICACION!$E$2:$E$500,MATCH("D6.22a|"&amp;BZ70,CODIFICACION!$F$2:$F$500,0))="sin dato","",INDEX(CODIFICACION!$E$2:$E$500,MATCH("D6.22a|"&amp;BZ70,CODIFICACION!$F$2:$F$500,0))),"⚠"))</f>
        <v/>
      </c>
      <c r="AV70" t="str">
        <f>IF(CA70="","",IFERROR(IF(INDEX(CODIFICACION!$E$2:$E$500,MATCH("D6.22b|"&amp;CA70,CODIFICACION!$F$2:$F$500,0))="sin dato","",INDEX(CODIFICACION!$E$2:$E$500,MATCH("D6.22b|"&amp;CA70,CODIFICACION!$F$2:$F$500,0))),"⚠"))</f>
        <v/>
      </c>
      <c r="AW70" t="str">
        <f>IF(CB70="","",IFERROR(IF(INDEX(CODIFICACION!$E$2:$E$500,MATCH("D6.23|"&amp;CB70,CODIFICACION!$F$2:$F$500,0))="sin dato","",INDEX(CODIFICACION!$E$2:$E$500,MATCH("D6.23|"&amp;CB70,CODIFICACION!$F$2:$F$500,0))),"⚠"))</f>
        <v/>
      </c>
      <c r="AX70" t="str">
        <f ca="1">IF(CC70="","",IFERROR(IF(INDEX(CODIFICACION!$E$2:$E$500,MATCH("D6.24|"&amp;CC70,CODIFICACION!$F$2:$F$500,0))="sin dato","",INDEX(CODIFICACION!$E$2:$E$500,MATCH("D6.24|"&amp;CC70,CODIFICACION!$F$2:$F$500,0))),"⚠"))</f>
        <v/>
      </c>
      <c r="AY70" t="str">
        <f ca="1">IF(CD70="","",IFERROR(IF(INDEX(CODIFICACION!$E$2:$E$500,MATCH("D6.25|"&amp;CD70,CODIFICACION!$F$2:$F$500,0))="sin dato","",INDEX(CODIFICACION!$E$2:$E$500,MATCH("D6.25|"&amp;CD70,CODIFICACION!$F$2:$F$500,0))),"⚠"))</f>
        <v/>
      </c>
      <c r="AZ70" t="str">
        <f>IF(CE70="","",IFERROR(IF(INDEX(CODIFICACION!$E$2:$E$500,MATCH("D6.25a|"&amp;CE70,CODIFICACION!$F$2:$F$500,0))="sin dato","",INDEX(CODIFICACION!$E$2:$E$500,MATCH("D6.25a|"&amp;CE70,CODIFICACION!$F$2:$F$500,0))),"⚠"))</f>
        <v/>
      </c>
      <c r="BA70" t="str">
        <f>IF(CF70="","",IFERROR(IF(INDEX(CODIFICACION!$E$2:$E$500,MATCH("D6.25b|"&amp;CF70,CODIFICACION!$F$2:$F$500,0))="sin dato","",INDEX(CODIFICACION!$E$2:$E$500,MATCH("D6.25b|"&amp;CF70,CODIFICACION!$F$2:$F$500,0))),"⚠"))</f>
        <v/>
      </c>
      <c r="BB70" t="str">
        <f ca="1">IF(CG70="","",IFERROR(IF(INDEX(CODIFICACION!$E$2:$E$500,MATCH("D6.22c|"&amp;CG70,CODIFICACION!$F$2:$F$500,0))="sin dato","",INDEX(CODIFICACION!$E$2:$E$500,MATCH("D6.22c|"&amp;CG70,CODIFICACION!$F$2:$F$500,0))),"⚠"))</f>
        <v/>
      </c>
      <c r="BC70" t="str">
        <f ca="1">IF(CH70="","",IFERROR(IF(INDEX(CODIFICACION!$E$2:$E$500,MATCH("D7.26|"&amp;CH70,CODIFICACION!$F$2:$F$500,0))="sin dato","",INDEX(CODIFICACION!$E$2:$E$500,MATCH("D7.26|"&amp;CH70,CODIFICACION!$F$2:$F$500,0))),"⚠"))</f>
        <v/>
      </c>
      <c r="BD70" t="str">
        <f>IF(CI70="","",IFERROR(IF(INDEX(CODIFICACION!$E$2:$E$500,MATCH("D7.27|"&amp;CI70,CODIFICACION!$F$2:$F$500,0))="sin dato","",INDEX(CODIFICACION!$E$2:$E$500,MATCH("D7.27|"&amp;CI70,CODIFICACION!$F$2:$F$500,0))),"⚠"))</f>
        <v/>
      </c>
      <c r="BE70" t="str">
        <f>IF(CJ70="","",IFERROR(IF(INDEX(CODIFICACION!$E$2:$E$500,MATCH("D7.28|"&amp;CJ70,CODIFICACION!$F$2:$F$500,0))="sin dato","",INDEX(CODIFICACION!$E$2:$E$500,MATCH("D7.28|"&amp;CJ70,CODIFICACION!$F$2:$F$500,0))),"⚠"))</f>
        <v/>
      </c>
      <c r="BF70" t="str">
        <f>IF(CK70="","",IFERROR(IF(INDEX(CODIFICACION!$E$2:$E$500,MATCH("D7.28b|"&amp;CK70,CODIFICACION!$F$2:$F$500,0))="sin dato","",INDEX(CODIFICACION!$E$2:$E$500,MATCH("D7.28b|"&amp;CK70,CODIFICACION!$F$2:$F$500,0))),"⚠"))</f>
        <v/>
      </c>
      <c r="BG70" t="str">
        <f t="shared" si="60"/>
        <v/>
      </c>
      <c r="BH70" t="str">
        <f>IF(CM70="","",IFERROR(IF(INDEX(CODIFICACION!$E$2:$E$500,MATCH("D7.26a|"&amp;CM70,CODIFICACION!$F$2:$F$500,0))="sin dato","",INDEX(CODIFICACION!$E$2:$E$500,MATCH("D7.26a|"&amp;CM70,CODIFICACION!$F$2:$F$500,0))),"⚠"))</f>
        <v/>
      </c>
      <c r="BI70" t="str">
        <f>IF(CN70="","",IFERROR(IF(INDEX(CODIFICACION!$E$2:$E$500,MATCH("D7.26b|"&amp;CN70,CODIFICACION!$F$2:$F$500,0))="sin dato","",INDEX(CODIFICACION!$E$2:$E$500,MATCH("D7.26b|"&amp;CN70,CODIFICACION!$F$2:$F$500,0))),"⚠"))</f>
        <v/>
      </c>
      <c r="BJ70" t="str">
        <f t="shared" si="61"/>
        <v/>
      </c>
      <c r="BK70" t="str">
        <f t="shared" si="62"/>
        <v/>
      </c>
      <c r="BL70" t="str">
        <f>IF(CQ70="","",IFERROR(IF(INDEX(CODIFICACION!$E$2:$E$500,MATCH("D8.31|"&amp;CQ70,CODIFICACION!$F$2:$F$500,0))="sin dato","",INDEX(CODIFICACION!$E$2:$E$500,MATCH("D8.31|"&amp;CQ70,CODIFICACION!$F$2:$F$500,0))),"⚠"))</f>
        <v/>
      </c>
      <c r="BM70" t="str">
        <f>IF(CR70="","",IFERROR(IF(INDEX(CODIFICACION!$E$2:$E$500,MATCH("D8.32|"&amp;CR70,CODIFICACION!$F$2:$F$500,0))="sin dato","",INDEX(CODIFICACION!$E$2:$E$500,MATCH("D8.32|"&amp;CR70,CODIFICACION!$F$2:$F$500,0))),"⚠"))</f>
        <v/>
      </c>
      <c r="BN70" t="str">
        <f>IF(CS70="","",IFERROR(IF(INDEX(CODIFICACION!$E$2:$E$500,MATCH("D9.33|"&amp;CS70,CODIFICACION!$F$2:$F$500,0))="sin dato","",INDEX(CODIFICACION!$E$2:$E$500,MATCH("D9.33|"&amp;CS70,CODIFICACION!$F$2:$F$500,0))),"⚠"))</f>
        <v/>
      </c>
      <c r="BO70" t="str">
        <f>IF(CT70="","",IFERROR(IF(INDEX(CODIFICACION!$E$2:$E$500,MATCH("D9.34|"&amp;CT70,CODIFICACION!$F$2:$F$500,0))="sin dato","",INDEX(CODIFICACION!$E$2:$E$500,MATCH("D9.34|"&amp;CT70,CODIFICACION!$F$2:$F$500,0))),"⚠"))</f>
        <v/>
      </c>
      <c r="BP70" t="str">
        <f>IF(CU70="","",IFERROR(IF(INDEX(CODIFICACION!$E$2:$E$500,MATCH("D9.35|"&amp;CU70,CODIFICACION!$F$2:$F$500,0))="sin dato","",INDEX(CODIFICACION!$E$2:$E$500,MATCH("D9.35|"&amp;CU70,CODIFICACION!$F$2:$F$500,0))),"⚠"))</f>
        <v/>
      </c>
      <c r="BQ70" t="str">
        <f>IF(CV70="","",IFERROR(IF(INDEX(CODIFICACION!$E$2:$E$500,MATCH("D10.36|"&amp;CV70,CODIFICACION!$F$2:$F$500,0))="sin dato","",INDEX(CODIFICACION!$E$2:$E$500,MATCH("D10.36|"&amp;CV70,CODIFICACION!$F$2:$F$500,0))),"⚠"))</f>
        <v/>
      </c>
      <c r="BR70" t="str">
        <f>IF(CW70="","",IFERROR(IF(INDEX(CODIFICACION!$E$2:$E$500,MATCH("D10.37|"&amp;CW70,CODIFICACION!$F$2:$F$500,0))="sin dato","",INDEX(CODIFICACION!$E$2:$E$500,MATCH("D10.37|"&amp;CW70,CODIFICACION!$F$2:$F$500,0))),"⚠"))</f>
        <v/>
      </c>
      <c r="BS70" t="str">
        <f>IF(CX70="","",IFERROR(IF(INDEX(CODIFICACION!$E$2:$E$500,MATCH("D10.36a|"&amp;CX70,CODIFICACION!$F$2:$F$500,0))="sin dato","",INDEX(CODIFICACION!$E$2:$E$500,MATCH("D10.36a|"&amp;CX70,CODIFICACION!$F$2:$F$500,0))),"⚠"))</f>
        <v/>
      </c>
      <c r="BT70" t="str">
        <f t="shared" si="63"/>
        <v/>
      </c>
      <c r="BU70" t="str">
        <f>IF(DA70="","",IFERROR(IF(INDEX(CODIFICACION!$E$2:$E$500,MATCH("D11.39a|"&amp;DA70,CODIFICACION!$F$2:$F$500,0))="sin dato","",INDEX(CODIFICACION!$E$2:$E$500,MATCH("D11.39a|"&amp;DA70,CODIFICACION!$F$2:$F$500,0))),"⚠"))</f>
        <v/>
      </c>
      <c r="BV70" t="str">
        <f>IF(DB70="","",IFERROR(IF(INDEX(CODIFICACION!$E$2:$E$500,MATCH("D12.42|"&amp;DB70,CODIFICACION!$F$2:$F$500,0))="sin dato","",INDEX(CODIFICACION!$E$2:$E$500,MATCH("D12.42|"&amp;DB70,CODIFICACION!$F$2:$F$500,0))),"⚠"))</f>
        <v/>
      </c>
      <c r="BW70" t="str">
        <f>IF(DC70="","",IFERROR(IF(INDEX(CODIFICACION!$E$2:$E$500,MATCH("D13.45|"&amp;DC70,CODIFICACION!$F$2:$F$500,0))="sin dato","",INDEX(CODIFICACION!$E$2:$E$500,MATCH("D13.45|"&amp;DC70,CODIFICACION!$F$2:$F$500,0))),"⚠"))</f>
        <v/>
      </c>
      <c r="BX70" t="str">
        <f>IF(DD70="","",IFERROR(IF(INDEX(CODIFICACION!$E$2:$E$500,MATCH("D14.51|"&amp;DD70,CODIFICACION!$F$2:$F$500,0))="sin dato","",INDEX(CODIFICACION!$E$2:$E$500,MATCH("D14.51|"&amp;DD70,CODIFICACION!$F$2:$F$500,0))),"⚠"))</f>
        <v/>
      </c>
      <c r="BY70" t="str">
        <f>IF(DE70="","",IFERROR(IF(INDEX(CODIFICACION!$E$2:$E$500,MATCH("D15.58|"&amp;DE70,CODIFICACION!$F$2:$F$500,0))="sin dato","",INDEX(CODIFICACION!$E$2:$E$500,MATCH("D15.58|"&amp;DE70,CODIFICACION!$F$2:$F$500,0))),"⚠"))</f>
        <v/>
      </c>
      <c r="BZ70" t="str">
        <f>IF(DF70="","",IFERROR(IF(INDEX(CODIFICACION!$E$2:$E$500,MATCH("PP1|"&amp;DF70,CODIFICACION!$F$2:$F$500,0))="sin dato","",INDEX(CODIFICACION!$E$2:$E$500,MATCH("PP1|"&amp;DF70,CODIFICACION!$F$2:$F$500,0))),"⚠"))</f>
        <v/>
      </c>
      <c r="CA70" t="str">
        <f>IF(DG70="","",IFERROR(IF(INDEX(CODIFICACION!$E$2:$E$500,MATCH("PP2|"&amp;DG70,CODIFICACION!$F$2:$F$500,0))="sin dato","",INDEX(CODIFICACION!$E$2:$E$500,MATCH("PP2|"&amp;DG70,CODIFICACION!$F$2:$F$500,0))),"⚠"))</f>
        <v/>
      </c>
      <c r="CB70" t="str">
        <f t="shared" si="64"/>
        <v/>
      </c>
      <c r="CC70" t="str">
        <f t="shared" ca="1" si="65"/>
        <v/>
      </c>
      <c r="CD70" t="str">
        <f t="shared" ca="1" si="66"/>
        <v/>
      </c>
      <c r="CE70" t="str">
        <f t="shared" si="67"/>
        <v/>
      </c>
      <c r="CF70" t="str">
        <f t="shared" si="68"/>
        <v/>
      </c>
      <c r="CG70" t="str">
        <f t="shared" ca="1" si="69"/>
        <v/>
      </c>
      <c r="CH70" t="str">
        <f t="shared" ca="1" si="70"/>
        <v/>
      </c>
      <c r="CI70" t="str">
        <f t="shared" si="71"/>
        <v/>
      </c>
      <c r="CJ70" t="str">
        <f t="shared" si="72"/>
        <v/>
      </c>
      <c r="CK70" t="str">
        <f t="shared" si="73"/>
        <v/>
      </c>
      <c r="CL70" t="str">
        <f t="shared" si="74"/>
        <v/>
      </c>
    </row>
    <row r="71" spans="1:90" x14ac:dyDescent="0.3">
      <c r="A71">
        <f>CAPTURA!A71</f>
        <v>20542251990</v>
      </c>
      <c r="B71">
        <f>CAPTURA!C71</f>
        <v>0</v>
      </c>
      <c r="C71" t="str">
        <f t="shared" si="50"/>
        <v/>
      </c>
      <c r="D71" t="str">
        <f>IF(AE71="","",IFERROR(IF(INDEX(CODIFICACION!$E$2:$E$500,MATCH("P8|"&amp;AE71,CODIFICACION!$F$2:$F$500,0))="sin dato","",INDEX(CODIFICACION!$E$2:$E$500,MATCH("P8|"&amp;AE71,CODIFICACION!$F$2:$F$500,0))),"⚠"))</f>
        <v/>
      </c>
      <c r="E71" t="str">
        <f>IF(AG71="","",IFERROR(IF(INDEX(CODIFICACION!$E$2:$E$500,MATCH("P10|"&amp;AG71,CODIFICACION!$F$2:$F$500,0))="sin dato","",INDEX(CODIFICACION!$E$2:$E$500,MATCH("P10|"&amp;AG71,CODIFICACION!$F$2:$F$500,0))),"⚠"))</f>
        <v/>
      </c>
      <c r="F71" t="str">
        <f>IF(AJ71="","",IFERROR(IF(INDEX(CODIFICACION!$E$2:$E$500,MATCH("P13|"&amp;AJ71,CODIFICACION!$F$2:$F$500,0))="sin dato","",INDEX(CODIFICACION!$E$2:$E$500,MATCH("P13|"&amp;AJ71,CODIFICACION!$F$2:$F$500,0))),"⚠"))</f>
        <v/>
      </c>
      <c r="G71" t="str">
        <f>IF(AK71="","",IFERROR(IF(INDEX(CODIFICACION!$E$2:$E$500,MATCH("P14|"&amp;AK71,CODIFICACION!$F$2:$F$500,0))="sin dato","",INDEX(CODIFICACION!$E$2:$E$500,MATCH("P14|"&amp;AK71,CODIFICACION!$F$2:$F$500,0))),"⚠"))</f>
        <v/>
      </c>
      <c r="H71" t="str">
        <f>IF(AL71="","",IFERROR(IF(INDEX(CODIFICACION!$E$2:$E$500,MATCH("D1.1|"&amp;AL71,CODIFICACION!$F$2:$F$500,0))="sin dato","",INDEX(CODIFICACION!$E$2:$E$500,MATCH("D1.1|"&amp;AL71,CODIFICACION!$F$2:$F$500,0))),"⚠"))</f>
        <v/>
      </c>
      <c r="I71" t="str">
        <f>IF(AN71="","",IFERROR(IF(INDEX(CODIFICACION!$E$2:$E$500,MATCH("D1.3|"&amp;AN71,CODIFICACION!$F$2:$F$500,0))="sin dato","",INDEX(CODIFICACION!$E$2:$E$500,MATCH("D1.3|"&amp;AN71,CODIFICACION!$F$2:$F$500,0))),"⚠"))</f>
        <v/>
      </c>
      <c r="J71" t="str">
        <f>IF(AO71="","",IFERROR(IF(INDEX(CODIFICACION!$E$2:$E$500,MATCH("D1.4|"&amp;AO71,CODIFICACION!$F$2:$F$500,0))="sin dato","",INDEX(CODIFICACION!$E$2:$E$500,MATCH("D1.4|"&amp;AO71,CODIFICACION!$F$2:$F$500,0))),"⚠"))</f>
        <v/>
      </c>
      <c r="K71" t="str">
        <f>IF(AP71="","",IFERROR(IF(INDEX(CODIFICACION!$E$2:$E$500,MATCH("D1.3a|"&amp;AP71,CODIFICACION!$F$2:$F$500,0))="sin dato","",INDEX(CODIFICACION!$E$2:$E$500,MATCH("D1.3a|"&amp;AP71,CODIFICACION!$F$2:$F$500,0))),"⚠"))</f>
        <v/>
      </c>
      <c r="L71" t="str">
        <f t="shared" si="51"/>
        <v/>
      </c>
      <c r="M71" t="str">
        <f t="shared" si="52"/>
        <v/>
      </c>
      <c r="N71" t="str">
        <f t="shared" si="53"/>
        <v/>
      </c>
      <c r="O71" t="str">
        <f>IF(AT71="","",IFERROR(IF(INDEX(CODIFICACION!$E$2:$E$500,MATCH("D2.8|"&amp;AT71,CODIFICACION!$F$2:$F$500,0))="sin dato","",INDEX(CODIFICACION!$E$2:$E$500,MATCH("D2.8|"&amp;AT71,CODIFICACION!$F$2:$F$500,0))),"⚠"))</f>
        <v/>
      </c>
      <c r="P71" t="str">
        <f>IF(AU71="","",IFERROR(IF(INDEX(CODIFICACION!$E$2:$E$500,MATCH("D2.9|"&amp;AU71,CODIFICACION!$F$2:$F$500,0))="sin dato","",INDEX(CODIFICACION!$E$2:$E$500,MATCH("D2.9|"&amp;AU71,CODIFICACION!$F$2:$F$500,0))),"⚠"))</f>
        <v/>
      </c>
      <c r="Q71" t="str">
        <f>IF(AV71="","",IFERROR(IF(INDEX(CODIFICACION!$E$2:$E$500,MATCH("D2.10|"&amp;AV71,CODIFICACION!$F$2:$F$500,0))="sin dato","",INDEX(CODIFICACION!$E$2:$E$500,MATCH("D2.10|"&amp;AV71,CODIFICACION!$F$2:$F$500,0))),"⚠"))</f>
        <v/>
      </c>
      <c r="R71" t="str">
        <f>IF(AW71="","",IFERROR(IF(INDEX(CODIFICACION!$E$2:$E$500,MATCH("D2.5a|"&amp;AW71,CODIFICACION!$F$2:$F$500,0))="sin dato","",INDEX(CODIFICACION!$E$2:$E$500,MATCH("D2.5a|"&amp;AW71,CODIFICACION!$F$2:$F$500,0))),"⚠"))</f>
        <v/>
      </c>
      <c r="S71" t="str">
        <f ca="1">IF(AX71="","",IFERROR(IF(INDEX(CODIFICACION!$E$2:$E$500,MATCH("D2.5b|"&amp;AX71,CODIFICACION!$F$2:$F$500,0))="sin dato","",INDEX(CODIFICACION!$E$2:$E$500,MATCH("D2.5b|"&amp;AX71,CODIFICACION!$F$2:$F$500,0))),"⚠"))</f>
        <v/>
      </c>
      <c r="T71" t="str">
        <f t="shared" ca="1" si="54"/>
        <v/>
      </c>
      <c r="U71" t="str">
        <f>IF(AZ71="","",IFERROR(IF(INDEX(CODIFICACION!$E$2:$E$500,MATCH("D3.12|"&amp;AZ71,CODIFICACION!$F$2:$F$500,0))="sin dato","",INDEX(CODIFICACION!$E$2:$E$500,MATCH("D3.12|"&amp;AZ71,CODIFICACION!$F$2:$F$500,0))),"⚠"))</f>
        <v/>
      </c>
      <c r="V71" t="str">
        <f t="shared" si="55"/>
        <v/>
      </c>
      <c r="W71" t="str">
        <f ca="1">IF(BB71="","",IFERROR(IF(INDEX(CODIFICACION!$E$2:$E$500,MATCH("D3.14|"&amp;BB71,CODIFICACION!$F$2:$F$500,0))="sin dato","",INDEX(CODIFICACION!$E$2:$E$500,MATCH("D3.14|"&amp;BB71,CODIFICACION!$F$2:$F$500,0))),"⚠"))</f>
        <v/>
      </c>
      <c r="X71" t="str">
        <f ca="1">IF(BC71="","",IFERROR(IF(INDEX(CODIFICACION!$E$2:$E$500,MATCH("D3.14a|"&amp;BC71,CODIFICACION!$F$2:$F$500,0))="sin dato","",INDEX(CODIFICACION!$E$2:$E$500,MATCH("D3.14a|"&amp;BC71,CODIFICACION!$F$2:$F$500,0))),"⚠"))</f>
        <v/>
      </c>
      <c r="Y71" t="str">
        <f>IF(BD71="","",IFERROR(IF(INDEX(CODIFICACION!$E$2:$E$500,MATCH("D3.14b|"&amp;BD71,CODIFICACION!$F$2:$F$500,0))="sin dato","",INDEX(CODIFICACION!$E$2:$E$500,MATCH("D3.14b|"&amp;BD71,CODIFICACION!$F$2:$F$500,0))),"⚠"))</f>
        <v/>
      </c>
      <c r="Z71" t="str">
        <f>IF(BE71="","",IFERROR(IF(INDEX(CODIFICACION!$E$2:$E$500,MATCH("D3.14c|"&amp;BE71,CODIFICACION!$F$2:$F$500,0))="sin dato","",INDEX(CODIFICACION!$E$2:$E$500,MATCH("D3.14c|"&amp;BE71,CODIFICACION!$F$2:$F$500,0))),"⚠"))</f>
        <v/>
      </c>
      <c r="AA71" t="str">
        <f>IF(BF71="","",IFERROR(IF(INDEX(CODIFICACION!$E$2:$E$500,MATCH("D3.14d|"&amp;BF71,CODIFICACION!$F$2:$F$500,0))="sin dato","",INDEX(CODIFICACION!$E$2:$E$500,MATCH("D3.14d|"&amp;BF71,CODIFICACION!$F$2:$F$500,0))),"⚠"))</f>
        <v/>
      </c>
      <c r="AB71" t="str">
        <f>IF(BG71="","",IFERROR(IF(INDEX(CODIFICACION!$E$2:$E$500,MATCH("D3.14e|"&amp;BG71,CODIFICACION!$F$2:$F$500,0))="sin dato","",INDEX(CODIFICACION!$E$2:$E$500,MATCH("D3.14e|"&amp;BG71,CODIFICACION!$F$2:$F$500,0))),"⚠"))</f>
        <v/>
      </c>
      <c r="AC71" t="str">
        <f>IF(BH71="","",IFERROR(IF(INDEX(CODIFICACION!$E$2:$E$500,MATCH("D3.14f|"&amp;BH71,CODIFICACION!$F$2:$F$500,0))="sin dato","",INDEX(CODIFICACION!$E$2:$E$500,MATCH("D3.14f|"&amp;BH71,CODIFICACION!$F$2:$F$500,0))),"⚠"))</f>
        <v/>
      </c>
      <c r="AD71" t="str">
        <f>IF(BI71="","",IFERROR(IF(INDEX(CODIFICACION!$E$2:$E$500,MATCH("D3.14g|"&amp;BI71,CODIFICACION!$F$2:$F$500,0))="sin dato","",INDEX(CODIFICACION!$E$2:$E$500,MATCH("D3.14g|"&amp;BI71,CODIFICACION!$F$2:$F$500,0))),"⚠"))</f>
        <v/>
      </c>
      <c r="AE71" t="str">
        <f>IF(BJ71="","",IFERROR(IF(INDEX(CODIFICACION!$E$2:$E$500,MATCH("D3.14h|"&amp;BJ71,CODIFICACION!$F$2:$F$500,0))="sin dato","",INDEX(CODIFICACION!$E$2:$E$500,MATCH("D3.14h|"&amp;BJ71,CODIFICACION!$F$2:$F$500,0))),"⚠"))</f>
        <v/>
      </c>
      <c r="AF71" t="str">
        <f>IF(BK71="","",IFERROR(IF(INDEX(CODIFICACION!$E$2:$E$500,MATCH("D3.14i|"&amp;BK71,CODIFICACION!$F$2:$F$500,0))="sin dato","",INDEX(CODIFICACION!$E$2:$E$500,MATCH("D3.14i|"&amp;BK71,CODIFICACION!$F$2:$F$500,0))),"⚠"))</f>
        <v/>
      </c>
      <c r="AG71" t="str">
        <f>IF(BL71="","",IFERROR(IF(INDEX(CODIFICACION!$E$2:$E$500,MATCH("D4.15|"&amp;BL71,CODIFICACION!$F$2:$F$500,0))="sin dato","",INDEX(CODIFICACION!$E$2:$E$500,MATCH("D4.15|"&amp;BL71,CODIFICACION!$F$2:$F$500,0))),"⚠"))</f>
        <v/>
      </c>
      <c r="AH71" t="str">
        <f t="shared" si="56"/>
        <v/>
      </c>
      <c r="AI71" t="str">
        <f>IF(BN71="","",IFERROR(IF(INDEX(CODIFICACION!$E$2:$E$500,MATCH("D4.17|"&amp;BN71,CODIFICACION!$F$2:$F$500,0))="sin dato","",INDEX(CODIFICACION!$E$2:$E$500,MATCH("D4.17|"&amp;BN71,CODIFICACION!$F$2:$F$500,0))),"⚠"))</f>
        <v/>
      </c>
      <c r="AJ71" t="str">
        <f>IF(BO71="","",IFERROR(IF(INDEX(CODIFICACION!$E$2:$E$500,MATCH("D4.15a|"&amp;BO71,CODIFICACION!$F$2:$F$500,0))="sin dato","",INDEX(CODIFICACION!$E$2:$E$500,MATCH("D4.15a|"&amp;BO71,CODIFICACION!$F$2:$F$500,0))),"⚠"))</f>
        <v/>
      </c>
      <c r="AK71" t="str">
        <f t="shared" si="57"/>
        <v/>
      </c>
      <c r="AL71" t="str">
        <f t="shared" si="58"/>
        <v/>
      </c>
      <c r="AM71" t="str">
        <f>IF(BR71="","",IFERROR(IF(INDEX(CODIFICACION!$E$2:$E$500,MATCH("D5.18b|"&amp;BR71,CODIFICACION!$F$2:$F$500,0))="sin dato","",INDEX(CODIFICACION!$E$2:$E$500,MATCH("D5.18b|"&amp;BR71,CODIFICACION!$F$2:$F$500,0))),"⚠"))</f>
        <v/>
      </c>
      <c r="AN71" t="str">
        <f>IF(BS71="","",IFERROR(IF(INDEX(CODIFICACION!$E$2:$E$500,MATCH("D5.19|"&amp;BS71,CODIFICACION!$F$2:$F$500,0))="sin dato","",INDEX(CODIFICACION!$E$2:$E$500,MATCH("D5.19|"&amp;BS71,CODIFICACION!$F$2:$F$500,0))),"⚠"))</f>
        <v/>
      </c>
      <c r="AO71" t="str">
        <f t="shared" si="59"/>
        <v/>
      </c>
      <c r="AP71" t="str">
        <f>IF(BU71="","",IFERROR(IF(INDEX(CODIFICACION!$E$2:$E$500,MATCH("D5.20|"&amp;BU71,CODIFICACION!$F$2:$F$500,0))="sin dato","",INDEX(CODIFICACION!$E$2:$E$500,MATCH("D5.20|"&amp;BU71,CODIFICACION!$F$2:$F$500,0))),"⚠"))</f>
        <v/>
      </c>
      <c r="AQ71" t="str">
        <f>IF(BV71="","",IFERROR(IF(INDEX(CODIFICACION!$E$2:$E$500,MATCH("D5.21|"&amp;BV71,CODIFICACION!$F$2:$F$500,0))="sin dato","",INDEX(CODIFICACION!$E$2:$E$500,MATCH("D5.21|"&amp;BV71,CODIFICACION!$F$2:$F$500,0))),"⚠"))</f>
        <v/>
      </c>
      <c r="AR71" t="str">
        <f>IF(BW71="","",IFERROR(IF(INDEX(CODIFICACION!$E$2:$E$500,MATCH("D5.21a|"&amp;BW71,CODIFICACION!$F$2:$F$500,0))="sin dato","",INDEX(CODIFICACION!$E$2:$E$500,MATCH("D5.21a|"&amp;BW71,CODIFICACION!$F$2:$F$500,0))),"⚠"))</f>
        <v/>
      </c>
      <c r="AS71" t="str">
        <f>IF(BX71="","",IFERROR(IF(INDEX(CODIFICACION!$E$2:$E$500,MATCH("D5.21b|"&amp;BX71,CODIFICACION!$F$2:$F$500,0))="sin dato","",INDEX(CODIFICACION!$E$2:$E$500,MATCH("D5.21b|"&amp;BX71,CODIFICACION!$F$2:$F$500,0))),"⚠"))</f>
        <v/>
      </c>
      <c r="AT71" t="str">
        <f>IF(BY71="","",IFERROR(IF(INDEX(CODIFICACION!$E$2:$E$500,MATCH("D6.22|"&amp;BY71,CODIFICACION!$F$2:$F$500,0))="sin dato","",INDEX(CODIFICACION!$E$2:$E$500,MATCH("D6.22|"&amp;BY71,CODIFICACION!$F$2:$F$500,0))),"⚠"))</f>
        <v/>
      </c>
      <c r="AU71" t="str">
        <f>IF(BZ71="","",IFERROR(IF(INDEX(CODIFICACION!$E$2:$E$500,MATCH("D6.22a|"&amp;BZ71,CODIFICACION!$F$2:$F$500,0))="sin dato","",INDEX(CODIFICACION!$E$2:$E$500,MATCH("D6.22a|"&amp;BZ71,CODIFICACION!$F$2:$F$500,0))),"⚠"))</f>
        <v/>
      </c>
      <c r="AV71" t="str">
        <f>IF(CA71="","",IFERROR(IF(INDEX(CODIFICACION!$E$2:$E$500,MATCH("D6.22b|"&amp;CA71,CODIFICACION!$F$2:$F$500,0))="sin dato","",INDEX(CODIFICACION!$E$2:$E$500,MATCH("D6.22b|"&amp;CA71,CODIFICACION!$F$2:$F$500,0))),"⚠"))</f>
        <v/>
      </c>
      <c r="AW71" t="str">
        <f>IF(CB71="","",IFERROR(IF(INDEX(CODIFICACION!$E$2:$E$500,MATCH("D6.23|"&amp;CB71,CODIFICACION!$F$2:$F$500,0))="sin dato","",INDEX(CODIFICACION!$E$2:$E$500,MATCH("D6.23|"&amp;CB71,CODIFICACION!$F$2:$F$500,0))),"⚠"))</f>
        <v/>
      </c>
      <c r="AX71" t="str">
        <f ca="1">IF(CC71="","",IFERROR(IF(INDEX(CODIFICACION!$E$2:$E$500,MATCH("D6.24|"&amp;CC71,CODIFICACION!$F$2:$F$500,0))="sin dato","",INDEX(CODIFICACION!$E$2:$E$500,MATCH("D6.24|"&amp;CC71,CODIFICACION!$F$2:$F$500,0))),"⚠"))</f>
        <v/>
      </c>
      <c r="AY71" t="str">
        <f ca="1">IF(CD71="","",IFERROR(IF(INDEX(CODIFICACION!$E$2:$E$500,MATCH("D6.25|"&amp;CD71,CODIFICACION!$F$2:$F$500,0))="sin dato","",INDEX(CODIFICACION!$E$2:$E$500,MATCH("D6.25|"&amp;CD71,CODIFICACION!$F$2:$F$500,0))),"⚠"))</f>
        <v/>
      </c>
      <c r="AZ71" t="str">
        <f>IF(CE71="","",IFERROR(IF(INDEX(CODIFICACION!$E$2:$E$500,MATCH("D6.25a|"&amp;CE71,CODIFICACION!$F$2:$F$500,0))="sin dato","",INDEX(CODIFICACION!$E$2:$E$500,MATCH("D6.25a|"&amp;CE71,CODIFICACION!$F$2:$F$500,0))),"⚠"))</f>
        <v/>
      </c>
      <c r="BA71" t="str">
        <f>IF(CF71="","",IFERROR(IF(INDEX(CODIFICACION!$E$2:$E$500,MATCH("D6.25b|"&amp;CF71,CODIFICACION!$F$2:$F$500,0))="sin dato","",INDEX(CODIFICACION!$E$2:$E$500,MATCH("D6.25b|"&amp;CF71,CODIFICACION!$F$2:$F$500,0))),"⚠"))</f>
        <v/>
      </c>
      <c r="BB71" t="str">
        <f ca="1">IF(CG71="","",IFERROR(IF(INDEX(CODIFICACION!$E$2:$E$500,MATCH("D6.22c|"&amp;CG71,CODIFICACION!$F$2:$F$500,0))="sin dato","",INDEX(CODIFICACION!$E$2:$E$500,MATCH("D6.22c|"&amp;CG71,CODIFICACION!$F$2:$F$500,0))),"⚠"))</f>
        <v/>
      </c>
      <c r="BC71" t="str">
        <f ca="1">IF(CH71="","",IFERROR(IF(INDEX(CODIFICACION!$E$2:$E$500,MATCH("D7.26|"&amp;CH71,CODIFICACION!$F$2:$F$500,0))="sin dato","",INDEX(CODIFICACION!$E$2:$E$500,MATCH("D7.26|"&amp;CH71,CODIFICACION!$F$2:$F$500,0))),"⚠"))</f>
        <v/>
      </c>
      <c r="BD71" t="str">
        <f>IF(CI71="","",IFERROR(IF(INDEX(CODIFICACION!$E$2:$E$500,MATCH("D7.27|"&amp;CI71,CODIFICACION!$F$2:$F$500,0))="sin dato","",INDEX(CODIFICACION!$E$2:$E$500,MATCH("D7.27|"&amp;CI71,CODIFICACION!$F$2:$F$500,0))),"⚠"))</f>
        <v/>
      </c>
      <c r="BE71" t="str">
        <f>IF(CJ71="","",IFERROR(IF(INDEX(CODIFICACION!$E$2:$E$500,MATCH("D7.28|"&amp;CJ71,CODIFICACION!$F$2:$F$500,0))="sin dato","",INDEX(CODIFICACION!$E$2:$E$500,MATCH("D7.28|"&amp;CJ71,CODIFICACION!$F$2:$F$500,0))),"⚠"))</f>
        <v/>
      </c>
      <c r="BF71" t="str">
        <f>IF(CK71="","",IFERROR(IF(INDEX(CODIFICACION!$E$2:$E$500,MATCH("D7.28b|"&amp;CK71,CODIFICACION!$F$2:$F$500,0))="sin dato","",INDEX(CODIFICACION!$E$2:$E$500,MATCH("D7.28b|"&amp;CK71,CODIFICACION!$F$2:$F$500,0))),"⚠"))</f>
        <v/>
      </c>
      <c r="BG71" t="str">
        <f t="shared" si="60"/>
        <v/>
      </c>
      <c r="BH71" t="str">
        <f>IF(CM71="","",IFERROR(IF(INDEX(CODIFICACION!$E$2:$E$500,MATCH("D7.26a|"&amp;CM71,CODIFICACION!$F$2:$F$500,0))="sin dato","",INDEX(CODIFICACION!$E$2:$E$500,MATCH("D7.26a|"&amp;CM71,CODIFICACION!$F$2:$F$500,0))),"⚠"))</f>
        <v/>
      </c>
      <c r="BI71" t="str">
        <f>IF(CN71="","",IFERROR(IF(INDEX(CODIFICACION!$E$2:$E$500,MATCH("D7.26b|"&amp;CN71,CODIFICACION!$F$2:$F$500,0))="sin dato","",INDEX(CODIFICACION!$E$2:$E$500,MATCH("D7.26b|"&amp;CN71,CODIFICACION!$F$2:$F$500,0))),"⚠"))</f>
        <v/>
      </c>
      <c r="BJ71" t="str">
        <f t="shared" si="61"/>
        <v/>
      </c>
      <c r="BK71" t="str">
        <f t="shared" si="62"/>
        <v/>
      </c>
      <c r="BL71" t="str">
        <f>IF(CQ71="","",IFERROR(IF(INDEX(CODIFICACION!$E$2:$E$500,MATCH("D8.31|"&amp;CQ71,CODIFICACION!$F$2:$F$500,0))="sin dato","",INDEX(CODIFICACION!$E$2:$E$500,MATCH("D8.31|"&amp;CQ71,CODIFICACION!$F$2:$F$500,0))),"⚠"))</f>
        <v/>
      </c>
      <c r="BM71" t="str">
        <f>IF(CR71="","",IFERROR(IF(INDEX(CODIFICACION!$E$2:$E$500,MATCH("D8.32|"&amp;CR71,CODIFICACION!$F$2:$F$500,0))="sin dato","",INDEX(CODIFICACION!$E$2:$E$500,MATCH("D8.32|"&amp;CR71,CODIFICACION!$F$2:$F$500,0))),"⚠"))</f>
        <v/>
      </c>
      <c r="BN71" t="str">
        <f>IF(CS71="","",IFERROR(IF(INDEX(CODIFICACION!$E$2:$E$500,MATCH("D9.33|"&amp;CS71,CODIFICACION!$F$2:$F$500,0))="sin dato","",INDEX(CODIFICACION!$E$2:$E$500,MATCH("D9.33|"&amp;CS71,CODIFICACION!$F$2:$F$500,0))),"⚠"))</f>
        <v/>
      </c>
      <c r="BO71" t="str">
        <f>IF(CT71="","",IFERROR(IF(INDEX(CODIFICACION!$E$2:$E$500,MATCH("D9.34|"&amp;CT71,CODIFICACION!$F$2:$F$500,0))="sin dato","",INDEX(CODIFICACION!$E$2:$E$500,MATCH("D9.34|"&amp;CT71,CODIFICACION!$F$2:$F$500,0))),"⚠"))</f>
        <v/>
      </c>
      <c r="BP71" t="str">
        <f>IF(CU71="","",IFERROR(IF(INDEX(CODIFICACION!$E$2:$E$500,MATCH("D9.35|"&amp;CU71,CODIFICACION!$F$2:$F$500,0))="sin dato","",INDEX(CODIFICACION!$E$2:$E$500,MATCH("D9.35|"&amp;CU71,CODIFICACION!$F$2:$F$500,0))),"⚠"))</f>
        <v/>
      </c>
      <c r="BQ71" t="str">
        <f>IF(CV71="","",IFERROR(IF(INDEX(CODIFICACION!$E$2:$E$500,MATCH("D10.36|"&amp;CV71,CODIFICACION!$F$2:$F$500,0))="sin dato","",INDEX(CODIFICACION!$E$2:$E$500,MATCH("D10.36|"&amp;CV71,CODIFICACION!$F$2:$F$500,0))),"⚠"))</f>
        <v/>
      </c>
      <c r="BR71" t="str">
        <f>IF(CW71="","",IFERROR(IF(INDEX(CODIFICACION!$E$2:$E$500,MATCH("D10.37|"&amp;CW71,CODIFICACION!$F$2:$F$500,0))="sin dato","",INDEX(CODIFICACION!$E$2:$E$500,MATCH("D10.37|"&amp;CW71,CODIFICACION!$F$2:$F$500,0))),"⚠"))</f>
        <v/>
      </c>
      <c r="BS71" t="str">
        <f>IF(CX71="","",IFERROR(IF(INDEX(CODIFICACION!$E$2:$E$500,MATCH("D10.36a|"&amp;CX71,CODIFICACION!$F$2:$F$500,0))="sin dato","",INDEX(CODIFICACION!$E$2:$E$500,MATCH("D10.36a|"&amp;CX71,CODIFICACION!$F$2:$F$500,0))),"⚠"))</f>
        <v/>
      </c>
      <c r="BT71" t="str">
        <f t="shared" si="63"/>
        <v/>
      </c>
      <c r="BU71" t="str">
        <f>IF(DA71="","",IFERROR(IF(INDEX(CODIFICACION!$E$2:$E$500,MATCH("D11.39a|"&amp;DA71,CODIFICACION!$F$2:$F$500,0))="sin dato","",INDEX(CODIFICACION!$E$2:$E$500,MATCH("D11.39a|"&amp;DA71,CODIFICACION!$F$2:$F$500,0))),"⚠"))</f>
        <v/>
      </c>
      <c r="BV71" t="str">
        <f>IF(DB71="","",IFERROR(IF(INDEX(CODIFICACION!$E$2:$E$500,MATCH("D12.42|"&amp;DB71,CODIFICACION!$F$2:$F$500,0))="sin dato","",INDEX(CODIFICACION!$E$2:$E$500,MATCH("D12.42|"&amp;DB71,CODIFICACION!$F$2:$F$500,0))),"⚠"))</f>
        <v/>
      </c>
      <c r="BW71" t="str">
        <f>IF(DC71="","",IFERROR(IF(INDEX(CODIFICACION!$E$2:$E$500,MATCH("D13.45|"&amp;DC71,CODIFICACION!$F$2:$F$500,0))="sin dato","",INDEX(CODIFICACION!$E$2:$E$500,MATCH("D13.45|"&amp;DC71,CODIFICACION!$F$2:$F$500,0))),"⚠"))</f>
        <v/>
      </c>
      <c r="BX71" t="str">
        <f>IF(DD71="","",IFERROR(IF(INDEX(CODIFICACION!$E$2:$E$500,MATCH("D14.51|"&amp;DD71,CODIFICACION!$F$2:$F$500,0))="sin dato","",INDEX(CODIFICACION!$E$2:$E$500,MATCH("D14.51|"&amp;DD71,CODIFICACION!$F$2:$F$500,0))),"⚠"))</f>
        <v/>
      </c>
      <c r="BY71" t="str">
        <f>IF(DE71="","",IFERROR(IF(INDEX(CODIFICACION!$E$2:$E$500,MATCH("D15.58|"&amp;DE71,CODIFICACION!$F$2:$F$500,0))="sin dato","",INDEX(CODIFICACION!$E$2:$E$500,MATCH("D15.58|"&amp;DE71,CODIFICACION!$F$2:$F$500,0))),"⚠"))</f>
        <v/>
      </c>
      <c r="BZ71" t="str">
        <f>IF(DF71="","",IFERROR(IF(INDEX(CODIFICACION!$E$2:$E$500,MATCH("PP1|"&amp;DF71,CODIFICACION!$F$2:$F$500,0))="sin dato","",INDEX(CODIFICACION!$E$2:$E$500,MATCH("PP1|"&amp;DF71,CODIFICACION!$F$2:$F$500,0))),"⚠"))</f>
        <v/>
      </c>
      <c r="CA71" t="str">
        <f>IF(DG71="","",IFERROR(IF(INDEX(CODIFICACION!$E$2:$E$500,MATCH("PP2|"&amp;DG71,CODIFICACION!$F$2:$F$500,0))="sin dato","",INDEX(CODIFICACION!$E$2:$E$500,MATCH("PP2|"&amp;DG71,CODIFICACION!$F$2:$F$500,0))),"⚠"))</f>
        <v/>
      </c>
      <c r="CB71" t="str">
        <f t="shared" si="64"/>
        <v/>
      </c>
      <c r="CC71" t="str">
        <f t="shared" ca="1" si="65"/>
        <v/>
      </c>
      <c r="CD71" t="str">
        <f t="shared" ca="1" si="66"/>
        <v/>
      </c>
      <c r="CE71" t="str">
        <f t="shared" si="67"/>
        <v/>
      </c>
      <c r="CF71" t="str">
        <f t="shared" si="68"/>
        <v/>
      </c>
      <c r="CG71" t="str">
        <f t="shared" ca="1" si="69"/>
        <v/>
      </c>
      <c r="CH71" t="str">
        <f t="shared" ca="1" si="70"/>
        <v/>
      </c>
      <c r="CI71" t="str">
        <f t="shared" si="71"/>
        <v/>
      </c>
      <c r="CJ71" t="str">
        <f t="shared" si="72"/>
        <v/>
      </c>
      <c r="CK71" t="str">
        <f t="shared" si="73"/>
        <v/>
      </c>
      <c r="CL71" t="str">
        <f t="shared" si="74"/>
        <v/>
      </c>
    </row>
    <row r="72" spans="1:90" x14ac:dyDescent="0.3">
      <c r="A72">
        <f>CAPTURA!A72</f>
        <v>20542257416</v>
      </c>
      <c r="B72">
        <f>CAPTURA!C72</f>
        <v>0</v>
      </c>
      <c r="C72" t="str">
        <f t="shared" si="50"/>
        <v/>
      </c>
      <c r="D72" t="str">
        <f>IF(AE72="","",IFERROR(IF(INDEX(CODIFICACION!$E$2:$E$500,MATCH("P8|"&amp;AE72,CODIFICACION!$F$2:$F$500,0))="sin dato","",INDEX(CODIFICACION!$E$2:$E$500,MATCH("P8|"&amp;AE72,CODIFICACION!$F$2:$F$500,0))),"⚠"))</f>
        <v/>
      </c>
      <c r="E72" t="str">
        <f>IF(AG72="","",IFERROR(IF(INDEX(CODIFICACION!$E$2:$E$500,MATCH("P10|"&amp;AG72,CODIFICACION!$F$2:$F$500,0))="sin dato","",INDEX(CODIFICACION!$E$2:$E$500,MATCH("P10|"&amp;AG72,CODIFICACION!$F$2:$F$500,0))),"⚠"))</f>
        <v/>
      </c>
      <c r="F72" t="str">
        <f>IF(AJ72="","",IFERROR(IF(INDEX(CODIFICACION!$E$2:$E$500,MATCH("P13|"&amp;AJ72,CODIFICACION!$F$2:$F$500,0))="sin dato","",INDEX(CODIFICACION!$E$2:$E$500,MATCH("P13|"&amp;AJ72,CODIFICACION!$F$2:$F$500,0))),"⚠"))</f>
        <v/>
      </c>
      <c r="G72" t="str">
        <f>IF(AK72="","",IFERROR(IF(INDEX(CODIFICACION!$E$2:$E$500,MATCH("P14|"&amp;AK72,CODIFICACION!$F$2:$F$500,0))="sin dato","",INDEX(CODIFICACION!$E$2:$E$500,MATCH("P14|"&amp;AK72,CODIFICACION!$F$2:$F$500,0))),"⚠"))</f>
        <v/>
      </c>
      <c r="H72" t="str">
        <f>IF(AL72="","",IFERROR(IF(INDEX(CODIFICACION!$E$2:$E$500,MATCH("D1.1|"&amp;AL72,CODIFICACION!$F$2:$F$500,0))="sin dato","",INDEX(CODIFICACION!$E$2:$E$500,MATCH("D1.1|"&amp;AL72,CODIFICACION!$F$2:$F$500,0))),"⚠"))</f>
        <v/>
      </c>
      <c r="I72" t="str">
        <f>IF(AN72="","",IFERROR(IF(INDEX(CODIFICACION!$E$2:$E$500,MATCH("D1.3|"&amp;AN72,CODIFICACION!$F$2:$F$500,0))="sin dato","",INDEX(CODIFICACION!$E$2:$E$500,MATCH("D1.3|"&amp;AN72,CODIFICACION!$F$2:$F$500,0))),"⚠"))</f>
        <v/>
      </c>
      <c r="J72" t="str">
        <f>IF(AO72="","",IFERROR(IF(INDEX(CODIFICACION!$E$2:$E$500,MATCH("D1.4|"&amp;AO72,CODIFICACION!$F$2:$F$500,0))="sin dato","",INDEX(CODIFICACION!$E$2:$E$500,MATCH("D1.4|"&amp;AO72,CODIFICACION!$F$2:$F$500,0))),"⚠"))</f>
        <v/>
      </c>
      <c r="K72" t="str">
        <f>IF(AP72="","",IFERROR(IF(INDEX(CODIFICACION!$E$2:$E$500,MATCH("D1.3a|"&amp;AP72,CODIFICACION!$F$2:$F$500,0))="sin dato","",INDEX(CODIFICACION!$E$2:$E$500,MATCH("D1.3a|"&amp;AP72,CODIFICACION!$F$2:$F$500,0))),"⚠"))</f>
        <v/>
      </c>
      <c r="L72" t="str">
        <f t="shared" si="51"/>
        <v/>
      </c>
      <c r="M72" t="str">
        <f t="shared" si="52"/>
        <v/>
      </c>
      <c r="N72" t="str">
        <f t="shared" si="53"/>
        <v/>
      </c>
      <c r="O72" t="str">
        <f>IF(AT72="","",IFERROR(IF(INDEX(CODIFICACION!$E$2:$E$500,MATCH("D2.8|"&amp;AT72,CODIFICACION!$F$2:$F$500,0))="sin dato","",INDEX(CODIFICACION!$E$2:$E$500,MATCH("D2.8|"&amp;AT72,CODIFICACION!$F$2:$F$500,0))),"⚠"))</f>
        <v/>
      </c>
      <c r="P72" t="str">
        <f>IF(AU72="","",IFERROR(IF(INDEX(CODIFICACION!$E$2:$E$500,MATCH("D2.9|"&amp;AU72,CODIFICACION!$F$2:$F$500,0))="sin dato","",INDEX(CODIFICACION!$E$2:$E$500,MATCH("D2.9|"&amp;AU72,CODIFICACION!$F$2:$F$500,0))),"⚠"))</f>
        <v/>
      </c>
      <c r="Q72" t="str">
        <f>IF(AV72="","",IFERROR(IF(INDEX(CODIFICACION!$E$2:$E$500,MATCH("D2.10|"&amp;AV72,CODIFICACION!$F$2:$F$500,0))="sin dato","",INDEX(CODIFICACION!$E$2:$E$500,MATCH("D2.10|"&amp;AV72,CODIFICACION!$F$2:$F$500,0))),"⚠"))</f>
        <v/>
      </c>
      <c r="R72" t="str">
        <f>IF(AW72="","",IFERROR(IF(INDEX(CODIFICACION!$E$2:$E$500,MATCH("D2.5a|"&amp;AW72,CODIFICACION!$F$2:$F$500,0))="sin dato","",INDEX(CODIFICACION!$E$2:$E$500,MATCH("D2.5a|"&amp;AW72,CODIFICACION!$F$2:$F$500,0))),"⚠"))</f>
        <v/>
      </c>
      <c r="S72" t="str">
        <f ca="1">IF(AX72="","",IFERROR(IF(INDEX(CODIFICACION!$E$2:$E$500,MATCH("D2.5b|"&amp;AX72,CODIFICACION!$F$2:$F$500,0))="sin dato","",INDEX(CODIFICACION!$E$2:$E$500,MATCH("D2.5b|"&amp;AX72,CODIFICACION!$F$2:$F$500,0))),"⚠"))</f>
        <v/>
      </c>
      <c r="T72" t="str">
        <f t="shared" ca="1" si="54"/>
        <v/>
      </c>
      <c r="U72" t="str">
        <f>IF(AZ72="","",IFERROR(IF(INDEX(CODIFICACION!$E$2:$E$500,MATCH("D3.12|"&amp;AZ72,CODIFICACION!$F$2:$F$500,0))="sin dato","",INDEX(CODIFICACION!$E$2:$E$500,MATCH("D3.12|"&amp;AZ72,CODIFICACION!$F$2:$F$500,0))),"⚠"))</f>
        <v/>
      </c>
      <c r="V72" t="str">
        <f t="shared" si="55"/>
        <v/>
      </c>
      <c r="W72" t="str">
        <f ca="1">IF(BB72="","",IFERROR(IF(INDEX(CODIFICACION!$E$2:$E$500,MATCH("D3.14|"&amp;BB72,CODIFICACION!$F$2:$F$500,0))="sin dato","",INDEX(CODIFICACION!$E$2:$E$500,MATCH("D3.14|"&amp;BB72,CODIFICACION!$F$2:$F$500,0))),"⚠"))</f>
        <v/>
      </c>
      <c r="X72" t="str">
        <f ca="1">IF(BC72="","",IFERROR(IF(INDEX(CODIFICACION!$E$2:$E$500,MATCH("D3.14a|"&amp;BC72,CODIFICACION!$F$2:$F$500,0))="sin dato","",INDEX(CODIFICACION!$E$2:$E$500,MATCH("D3.14a|"&amp;BC72,CODIFICACION!$F$2:$F$500,0))),"⚠"))</f>
        <v/>
      </c>
      <c r="Y72" t="str">
        <f>IF(BD72="","",IFERROR(IF(INDEX(CODIFICACION!$E$2:$E$500,MATCH("D3.14b|"&amp;BD72,CODIFICACION!$F$2:$F$500,0))="sin dato","",INDEX(CODIFICACION!$E$2:$E$500,MATCH("D3.14b|"&amp;BD72,CODIFICACION!$F$2:$F$500,0))),"⚠"))</f>
        <v/>
      </c>
      <c r="Z72" t="str">
        <f>IF(BE72="","",IFERROR(IF(INDEX(CODIFICACION!$E$2:$E$500,MATCH("D3.14c|"&amp;BE72,CODIFICACION!$F$2:$F$500,0))="sin dato","",INDEX(CODIFICACION!$E$2:$E$500,MATCH("D3.14c|"&amp;BE72,CODIFICACION!$F$2:$F$500,0))),"⚠"))</f>
        <v/>
      </c>
      <c r="AA72" t="str">
        <f>IF(BF72="","",IFERROR(IF(INDEX(CODIFICACION!$E$2:$E$500,MATCH("D3.14d|"&amp;BF72,CODIFICACION!$F$2:$F$500,0))="sin dato","",INDEX(CODIFICACION!$E$2:$E$500,MATCH("D3.14d|"&amp;BF72,CODIFICACION!$F$2:$F$500,0))),"⚠"))</f>
        <v/>
      </c>
      <c r="AB72" t="str">
        <f>IF(BG72="","",IFERROR(IF(INDEX(CODIFICACION!$E$2:$E$500,MATCH("D3.14e|"&amp;BG72,CODIFICACION!$F$2:$F$500,0))="sin dato","",INDEX(CODIFICACION!$E$2:$E$500,MATCH("D3.14e|"&amp;BG72,CODIFICACION!$F$2:$F$500,0))),"⚠"))</f>
        <v/>
      </c>
      <c r="AC72" t="str">
        <f>IF(BH72="","",IFERROR(IF(INDEX(CODIFICACION!$E$2:$E$500,MATCH("D3.14f|"&amp;BH72,CODIFICACION!$F$2:$F$500,0))="sin dato","",INDEX(CODIFICACION!$E$2:$E$500,MATCH("D3.14f|"&amp;BH72,CODIFICACION!$F$2:$F$500,0))),"⚠"))</f>
        <v/>
      </c>
      <c r="AD72" t="str">
        <f>IF(BI72="","",IFERROR(IF(INDEX(CODIFICACION!$E$2:$E$500,MATCH("D3.14g|"&amp;BI72,CODIFICACION!$F$2:$F$500,0))="sin dato","",INDEX(CODIFICACION!$E$2:$E$500,MATCH("D3.14g|"&amp;BI72,CODIFICACION!$F$2:$F$500,0))),"⚠"))</f>
        <v/>
      </c>
      <c r="AE72" t="str">
        <f>IF(BJ72="","",IFERROR(IF(INDEX(CODIFICACION!$E$2:$E$500,MATCH("D3.14h|"&amp;BJ72,CODIFICACION!$F$2:$F$500,0))="sin dato","",INDEX(CODIFICACION!$E$2:$E$500,MATCH("D3.14h|"&amp;BJ72,CODIFICACION!$F$2:$F$500,0))),"⚠"))</f>
        <v/>
      </c>
      <c r="AF72" t="str">
        <f>IF(BK72="","",IFERROR(IF(INDEX(CODIFICACION!$E$2:$E$500,MATCH("D3.14i|"&amp;BK72,CODIFICACION!$F$2:$F$500,0))="sin dato","",INDEX(CODIFICACION!$E$2:$E$500,MATCH("D3.14i|"&amp;BK72,CODIFICACION!$F$2:$F$500,0))),"⚠"))</f>
        <v/>
      </c>
      <c r="AG72" t="str">
        <f>IF(BL72="","",IFERROR(IF(INDEX(CODIFICACION!$E$2:$E$500,MATCH("D4.15|"&amp;BL72,CODIFICACION!$F$2:$F$500,0))="sin dato","",INDEX(CODIFICACION!$E$2:$E$500,MATCH("D4.15|"&amp;BL72,CODIFICACION!$F$2:$F$500,0))),"⚠"))</f>
        <v/>
      </c>
      <c r="AH72" t="str">
        <f t="shared" si="56"/>
        <v/>
      </c>
      <c r="AI72" t="str">
        <f>IF(BN72="","",IFERROR(IF(INDEX(CODIFICACION!$E$2:$E$500,MATCH("D4.17|"&amp;BN72,CODIFICACION!$F$2:$F$500,0))="sin dato","",INDEX(CODIFICACION!$E$2:$E$500,MATCH("D4.17|"&amp;BN72,CODIFICACION!$F$2:$F$500,0))),"⚠"))</f>
        <v/>
      </c>
      <c r="AJ72" t="str">
        <f>IF(BO72="","",IFERROR(IF(INDEX(CODIFICACION!$E$2:$E$500,MATCH("D4.15a|"&amp;BO72,CODIFICACION!$F$2:$F$500,0))="sin dato","",INDEX(CODIFICACION!$E$2:$E$500,MATCH("D4.15a|"&amp;BO72,CODIFICACION!$F$2:$F$500,0))),"⚠"))</f>
        <v/>
      </c>
      <c r="AK72" t="str">
        <f t="shared" si="57"/>
        <v/>
      </c>
      <c r="AL72" t="str">
        <f t="shared" si="58"/>
        <v/>
      </c>
      <c r="AM72" t="str">
        <f>IF(BR72="","",IFERROR(IF(INDEX(CODIFICACION!$E$2:$E$500,MATCH("D5.18b|"&amp;BR72,CODIFICACION!$F$2:$F$500,0))="sin dato","",INDEX(CODIFICACION!$E$2:$E$500,MATCH("D5.18b|"&amp;BR72,CODIFICACION!$F$2:$F$500,0))),"⚠"))</f>
        <v/>
      </c>
      <c r="AN72" t="str">
        <f>IF(BS72="","",IFERROR(IF(INDEX(CODIFICACION!$E$2:$E$500,MATCH("D5.19|"&amp;BS72,CODIFICACION!$F$2:$F$500,0))="sin dato","",INDEX(CODIFICACION!$E$2:$E$500,MATCH("D5.19|"&amp;BS72,CODIFICACION!$F$2:$F$500,0))),"⚠"))</f>
        <v/>
      </c>
      <c r="AO72" t="str">
        <f t="shared" si="59"/>
        <v/>
      </c>
      <c r="AP72" t="str">
        <f>IF(BU72="","",IFERROR(IF(INDEX(CODIFICACION!$E$2:$E$500,MATCH("D5.20|"&amp;BU72,CODIFICACION!$F$2:$F$500,0))="sin dato","",INDEX(CODIFICACION!$E$2:$E$500,MATCH("D5.20|"&amp;BU72,CODIFICACION!$F$2:$F$500,0))),"⚠"))</f>
        <v/>
      </c>
      <c r="AQ72" t="str">
        <f>IF(BV72="","",IFERROR(IF(INDEX(CODIFICACION!$E$2:$E$500,MATCH("D5.21|"&amp;BV72,CODIFICACION!$F$2:$F$500,0))="sin dato","",INDEX(CODIFICACION!$E$2:$E$500,MATCH("D5.21|"&amp;BV72,CODIFICACION!$F$2:$F$500,0))),"⚠"))</f>
        <v/>
      </c>
      <c r="AR72" t="str">
        <f>IF(BW72="","",IFERROR(IF(INDEX(CODIFICACION!$E$2:$E$500,MATCH("D5.21a|"&amp;BW72,CODIFICACION!$F$2:$F$500,0))="sin dato","",INDEX(CODIFICACION!$E$2:$E$500,MATCH("D5.21a|"&amp;BW72,CODIFICACION!$F$2:$F$500,0))),"⚠"))</f>
        <v/>
      </c>
      <c r="AS72" t="str">
        <f>IF(BX72="","",IFERROR(IF(INDEX(CODIFICACION!$E$2:$E$500,MATCH("D5.21b|"&amp;BX72,CODIFICACION!$F$2:$F$500,0))="sin dato","",INDEX(CODIFICACION!$E$2:$E$500,MATCH("D5.21b|"&amp;BX72,CODIFICACION!$F$2:$F$500,0))),"⚠"))</f>
        <v/>
      </c>
      <c r="AT72" t="str">
        <f>IF(BY72="","",IFERROR(IF(INDEX(CODIFICACION!$E$2:$E$500,MATCH("D6.22|"&amp;BY72,CODIFICACION!$F$2:$F$500,0))="sin dato","",INDEX(CODIFICACION!$E$2:$E$500,MATCH("D6.22|"&amp;BY72,CODIFICACION!$F$2:$F$500,0))),"⚠"))</f>
        <v/>
      </c>
      <c r="AU72" t="str">
        <f>IF(BZ72="","",IFERROR(IF(INDEX(CODIFICACION!$E$2:$E$500,MATCH("D6.22a|"&amp;BZ72,CODIFICACION!$F$2:$F$500,0))="sin dato","",INDEX(CODIFICACION!$E$2:$E$500,MATCH("D6.22a|"&amp;BZ72,CODIFICACION!$F$2:$F$500,0))),"⚠"))</f>
        <v/>
      </c>
      <c r="AV72" t="str">
        <f>IF(CA72="","",IFERROR(IF(INDEX(CODIFICACION!$E$2:$E$500,MATCH("D6.22b|"&amp;CA72,CODIFICACION!$F$2:$F$500,0))="sin dato","",INDEX(CODIFICACION!$E$2:$E$500,MATCH("D6.22b|"&amp;CA72,CODIFICACION!$F$2:$F$500,0))),"⚠"))</f>
        <v/>
      </c>
      <c r="AW72" t="str">
        <f>IF(CB72="","",IFERROR(IF(INDEX(CODIFICACION!$E$2:$E$500,MATCH("D6.23|"&amp;CB72,CODIFICACION!$F$2:$F$500,0))="sin dato","",INDEX(CODIFICACION!$E$2:$E$500,MATCH("D6.23|"&amp;CB72,CODIFICACION!$F$2:$F$500,0))),"⚠"))</f>
        <v/>
      </c>
      <c r="AX72" t="str">
        <f ca="1">IF(CC72="","",IFERROR(IF(INDEX(CODIFICACION!$E$2:$E$500,MATCH("D6.24|"&amp;CC72,CODIFICACION!$F$2:$F$500,0))="sin dato","",INDEX(CODIFICACION!$E$2:$E$500,MATCH("D6.24|"&amp;CC72,CODIFICACION!$F$2:$F$500,0))),"⚠"))</f>
        <v/>
      </c>
      <c r="AY72" t="str">
        <f ca="1">IF(CD72="","",IFERROR(IF(INDEX(CODIFICACION!$E$2:$E$500,MATCH("D6.25|"&amp;CD72,CODIFICACION!$F$2:$F$500,0))="sin dato","",INDEX(CODIFICACION!$E$2:$E$500,MATCH("D6.25|"&amp;CD72,CODIFICACION!$F$2:$F$500,0))),"⚠"))</f>
        <v/>
      </c>
      <c r="AZ72" t="str">
        <f>IF(CE72="","",IFERROR(IF(INDEX(CODIFICACION!$E$2:$E$500,MATCH("D6.25a|"&amp;CE72,CODIFICACION!$F$2:$F$500,0))="sin dato","",INDEX(CODIFICACION!$E$2:$E$500,MATCH("D6.25a|"&amp;CE72,CODIFICACION!$F$2:$F$500,0))),"⚠"))</f>
        <v/>
      </c>
      <c r="BA72" t="str">
        <f>IF(CF72="","",IFERROR(IF(INDEX(CODIFICACION!$E$2:$E$500,MATCH("D6.25b|"&amp;CF72,CODIFICACION!$F$2:$F$500,0))="sin dato","",INDEX(CODIFICACION!$E$2:$E$500,MATCH("D6.25b|"&amp;CF72,CODIFICACION!$F$2:$F$500,0))),"⚠"))</f>
        <v/>
      </c>
      <c r="BB72" t="str">
        <f ca="1">IF(CG72="","",IFERROR(IF(INDEX(CODIFICACION!$E$2:$E$500,MATCH("D6.22c|"&amp;CG72,CODIFICACION!$F$2:$F$500,0))="sin dato","",INDEX(CODIFICACION!$E$2:$E$500,MATCH("D6.22c|"&amp;CG72,CODIFICACION!$F$2:$F$500,0))),"⚠"))</f>
        <v/>
      </c>
      <c r="BC72" t="str">
        <f ca="1">IF(CH72="","",IFERROR(IF(INDEX(CODIFICACION!$E$2:$E$500,MATCH("D7.26|"&amp;CH72,CODIFICACION!$F$2:$F$500,0))="sin dato","",INDEX(CODIFICACION!$E$2:$E$500,MATCH("D7.26|"&amp;CH72,CODIFICACION!$F$2:$F$500,0))),"⚠"))</f>
        <v/>
      </c>
      <c r="BD72" t="str">
        <f>IF(CI72="","",IFERROR(IF(INDEX(CODIFICACION!$E$2:$E$500,MATCH("D7.27|"&amp;CI72,CODIFICACION!$F$2:$F$500,0))="sin dato","",INDEX(CODIFICACION!$E$2:$E$500,MATCH("D7.27|"&amp;CI72,CODIFICACION!$F$2:$F$500,0))),"⚠"))</f>
        <v/>
      </c>
      <c r="BE72" t="str">
        <f>IF(CJ72="","",IFERROR(IF(INDEX(CODIFICACION!$E$2:$E$500,MATCH("D7.28|"&amp;CJ72,CODIFICACION!$F$2:$F$500,0))="sin dato","",INDEX(CODIFICACION!$E$2:$E$500,MATCH("D7.28|"&amp;CJ72,CODIFICACION!$F$2:$F$500,0))),"⚠"))</f>
        <v/>
      </c>
      <c r="BF72" t="str">
        <f>IF(CK72="","",IFERROR(IF(INDEX(CODIFICACION!$E$2:$E$500,MATCH("D7.28b|"&amp;CK72,CODIFICACION!$F$2:$F$500,0))="sin dato","",INDEX(CODIFICACION!$E$2:$E$500,MATCH("D7.28b|"&amp;CK72,CODIFICACION!$F$2:$F$500,0))),"⚠"))</f>
        <v/>
      </c>
      <c r="BG72" t="str">
        <f t="shared" si="60"/>
        <v/>
      </c>
      <c r="BH72" t="str">
        <f>IF(CM72="","",IFERROR(IF(INDEX(CODIFICACION!$E$2:$E$500,MATCH("D7.26a|"&amp;CM72,CODIFICACION!$F$2:$F$500,0))="sin dato","",INDEX(CODIFICACION!$E$2:$E$500,MATCH("D7.26a|"&amp;CM72,CODIFICACION!$F$2:$F$500,0))),"⚠"))</f>
        <v/>
      </c>
      <c r="BI72" t="str">
        <f>IF(CN72="","",IFERROR(IF(INDEX(CODIFICACION!$E$2:$E$500,MATCH("D7.26b|"&amp;CN72,CODIFICACION!$F$2:$F$500,0))="sin dato","",INDEX(CODIFICACION!$E$2:$E$500,MATCH("D7.26b|"&amp;CN72,CODIFICACION!$F$2:$F$500,0))),"⚠"))</f>
        <v/>
      </c>
      <c r="BJ72" t="str">
        <f t="shared" si="61"/>
        <v/>
      </c>
      <c r="BK72" t="str">
        <f t="shared" si="62"/>
        <v/>
      </c>
      <c r="BL72" t="str">
        <f>IF(CQ72="","",IFERROR(IF(INDEX(CODIFICACION!$E$2:$E$500,MATCH("D8.31|"&amp;CQ72,CODIFICACION!$F$2:$F$500,0))="sin dato","",INDEX(CODIFICACION!$E$2:$E$500,MATCH("D8.31|"&amp;CQ72,CODIFICACION!$F$2:$F$500,0))),"⚠"))</f>
        <v/>
      </c>
      <c r="BM72" t="str">
        <f>IF(CR72="","",IFERROR(IF(INDEX(CODIFICACION!$E$2:$E$500,MATCH("D8.32|"&amp;CR72,CODIFICACION!$F$2:$F$500,0))="sin dato","",INDEX(CODIFICACION!$E$2:$E$500,MATCH("D8.32|"&amp;CR72,CODIFICACION!$F$2:$F$500,0))),"⚠"))</f>
        <v/>
      </c>
      <c r="BN72" t="str">
        <f>IF(CS72="","",IFERROR(IF(INDEX(CODIFICACION!$E$2:$E$500,MATCH("D9.33|"&amp;CS72,CODIFICACION!$F$2:$F$500,0))="sin dato","",INDEX(CODIFICACION!$E$2:$E$500,MATCH("D9.33|"&amp;CS72,CODIFICACION!$F$2:$F$500,0))),"⚠"))</f>
        <v/>
      </c>
      <c r="BO72" t="str">
        <f>IF(CT72="","",IFERROR(IF(INDEX(CODIFICACION!$E$2:$E$500,MATCH("D9.34|"&amp;CT72,CODIFICACION!$F$2:$F$500,0))="sin dato","",INDEX(CODIFICACION!$E$2:$E$500,MATCH("D9.34|"&amp;CT72,CODIFICACION!$F$2:$F$500,0))),"⚠"))</f>
        <v/>
      </c>
      <c r="BP72" t="str">
        <f>IF(CU72="","",IFERROR(IF(INDEX(CODIFICACION!$E$2:$E$500,MATCH("D9.35|"&amp;CU72,CODIFICACION!$F$2:$F$500,0))="sin dato","",INDEX(CODIFICACION!$E$2:$E$500,MATCH("D9.35|"&amp;CU72,CODIFICACION!$F$2:$F$500,0))),"⚠"))</f>
        <v/>
      </c>
      <c r="BQ72" t="str">
        <f>IF(CV72="","",IFERROR(IF(INDEX(CODIFICACION!$E$2:$E$500,MATCH("D10.36|"&amp;CV72,CODIFICACION!$F$2:$F$500,0))="sin dato","",INDEX(CODIFICACION!$E$2:$E$500,MATCH("D10.36|"&amp;CV72,CODIFICACION!$F$2:$F$500,0))),"⚠"))</f>
        <v/>
      </c>
      <c r="BR72" t="str">
        <f>IF(CW72="","",IFERROR(IF(INDEX(CODIFICACION!$E$2:$E$500,MATCH("D10.37|"&amp;CW72,CODIFICACION!$F$2:$F$500,0))="sin dato","",INDEX(CODIFICACION!$E$2:$E$500,MATCH("D10.37|"&amp;CW72,CODIFICACION!$F$2:$F$500,0))),"⚠"))</f>
        <v/>
      </c>
      <c r="BS72" t="str">
        <f>IF(CX72="","",IFERROR(IF(INDEX(CODIFICACION!$E$2:$E$500,MATCH("D10.36a|"&amp;CX72,CODIFICACION!$F$2:$F$500,0))="sin dato","",INDEX(CODIFICACION!$E$2:$E$500,MATCH("D10.36a|"&amp;CX72,CODIFICACION!$F$2:$F$500,0))),"⚠"))</f>
        <v/>
      </c>
      <c r="BT72" t="str">
        <f t="shared" si="63"/>
        <v/>
      </c>
      <c r="BU72" t="str">
        <f>IF(DA72="","",IFERROR(IF(INDEX(CODIFICACION!$E$2:$E$500,MATCH("D11.39a|"&amp;DA72,CODIFICACION!$F$2:$F$500,0))="sin dato","",INDEX(CODIFICACION!$E$2:$E$500,MATCH("D11.39a|"&amp;DA72,CODIFICACION!$F$2:$F$500,0))),"⚠"))</f>
        <v/>
      </c>
      <c r="BV72" t="str">
        <f>IF(DB72="","",IFERROR(IF(INDEX(CODIFICACION!$E$2:$E$500,MATCH("D12.42|"&amp;DB72,CODIFICACION!$F$2:$F$500,0))="sin dato","",INDEX(CODIFICACION!$E$2:$E$500,MATCH("D12.42|"&amp;DB72,CODIFICACION!$F$2:$F$500,0))),"⚠"))</f>
        <v/>
      </c>
      <c r="BW72" t="str">
        <f>IF(DC72="","",IFERROR(IF(INDEX(CODIFICACION!$E$2:$E$500,MATCH("D13.45|"&amp;DC72,CODIFICACION!$F$2:$F$500,0))="sin dato","",INDEX(CODIFICACION!$E$2:$E$500,MATCH("D13.45|"&amp;DC72,CODIFICACION!$F$2:$F$500,0))),"⚠"))</f>
        <v/>
      </c>
      <c r="BX72" t="str">
        <f>IF(DD72="","",IFERROR(IF(INDEX(CODIFICACION!$E$2:$E$500,MATCH("D14.51|"&amp;DD72,CODIFICACION!$F$2:$F$500,0))="sin dato","",INDEX(CODIFICACION!$E$2:$E$500,MATCH("D14.51|"&amp;DD72,CODIFICACION!$F$2:$F$500,0))),"⚠"))</f>
        <v/>
      </c>
      <c r="BY72" t="str">
        <f>IF(DE72="","",IFERROR(IF(INDEX(CODIFICACION!$E$2:$E$500,MATCH("D15.58|"&amp;DE72,CODIFICACION!$F$2:$F$500,0))="sin dato","",INDEX(CODIFICACION!$E$2:$E$500,MATCH("D15.58|"&amp;DE72,CODIFICACION!$F$2:$F$500,0))),"⚠"))</f>
        <v/>
      </c>
      <c r="BZ72" t="str">
        <f>IF(DF72="","",IFERROR(IF(INDEX(CODIFICACION!$E$2:$E$500,MATCH("PP1|"&amp;DF72,CODIFICACION!$F$2:$F$500,0))="sin dato","",INDEX(CODIFICACION!$E$2:$E$500,MATCH("PP1|"&amp;DF72,CODIFICACION!$F$2:$F$500,0))),"⚠"))</f>
        <v/>
      </c>
      <c r="CA72" t="str">
        <f>IF(DG72="","",IFERROR(IF(INDEX(CODIFICACION!$E$2:$E$500,MATCH("PP2|"&amp;DG72,CODIFICACION!$F$2:$F$500,0))="sin dato","",INDEX(CODIFICACION!$E$2:$E$500,MATCH("PP2|"&amp;DG72,CODIFICACION!$F$2:$F$500,0))),"⚠"))</f>
        <v/>
      </c>
      <c r="CB72" t="str">
        <f t="shared" si="64"/>
        <v/>
      </c>
      <c r="CC72" t="str">
        <f t="shared" ca="1" si="65"/>
        <v/>
      </c>
      <c r="CD72" t="str">
        <f t="shared" ca="1" si="66"/>
        <v/>
      </c>
      <c r="CE72" t="str">
        <f t="shared" si="67"/>
        <v/>
      </c>
      <c r="CF72" t="str">
        <f t="shared" si="68"/>
        <v/>
      </c>
      <c r="CG72" t="str">
        <f t="shared" ca="1" si="69"/>
        <v/>
      </c>
      <c r="CH72" t="str">
        <f t="shared" ca="1" si="70"/>
        <v/>
      </c>
      <c r="CI72" t="str">
        <f t="shared" si="71"/>
        <v/>
      </c>
      <c r="CJ72" t="str">
        <f t="shared" si="72"/>
        <v/>
      </c>
      <c r="CK72" t="str">
        <f t="shared" si="73"/>
        <v/>
      </c>
      <c r="CL72" t="str">
        <f t="shared" si="74"/>
        <v/>
      </c>
    </row>
    <row r="73" spans="1:90" x14ac:dyDescent="0.3">
      <c r="A73">
        <f>CAPTURA!A73</f>
        <v>20542264544</v>
      </c>
      <c r="B73">
        <f>CAPTURA!C73</f>
        <v>0</v>
      </c>
      <c r="C73" t="str">
        <f t="shared" si="50"/>
        <v/>
      </c>
      <c r="D73" t="str">
        <f>IF(AE73="","",IFERROR(IF(INDEX(CODIFICACION!$E$2:$E$500,MATCH("P8|"&amp;AE73,CODIFICACION!$F$2:$F$500,0))="sin dato","",INDEX(CODIFICACION!$E$2:$E$500,MATCH("P8|"&amp;AE73,CODIFICACION!$F$2:$F$500,0))),"⚠"))</f>
        <v/>
      </c>
      <c r="E73" t="str">
        <f>IF(AG73="","",IFERROR(IF(INDEX(CODIFICACION!$E$2:$E$500,MATCH("P10|"&amp;AG73,CODIFICACION!$F$2:$F$500,0))="sin dato","",INDEX(CODIFICACION!$E$2:$E$500,MATCH("P10|"&amp;AG73,CODIFICACION!$F$2:$F$500,0))),"⚠"))</f>
        <v/>
      </c>
      <c r="F73" t="str">
        <f>IF(AJ73="","",IFERROR(IF(INDEX(CODIFICACION!$E$2:$E$500,MATCH("P13|"&amp;AJ73,CODIFICACION!$F$2:$F$500,0))="sin dato","",INDEX(CODIFICACION!$E$2:$E$500,MATCH("P13|"&amp;AJ73,CODIFICACION!$F$2:$F$500,0))),"⚠"))</f>
        <v/>
      </c>
      <c r="G73" t="str">
        <f>IF(AK73="","",IFERROR(IF(INDEX(CODIFICACION!$E$2:$E$500,MATCH("P14|"&amp;AK73,CODIFICACION!$F$2:$F$500,0))="sin dato","",INDEX(CODIFICACION!$E$2:$E$500,MATCH("P14|"&amp;AK73,CODIFICACION!$F$2:$F$500,0))),"⚠"))</f>
        <v/>
      </c>
      <c r="H73" t="str">
        <f>IF(AL73="","",IFERROR(IF(INDEX(CODIFICACION!$E$2:$E$500,MATCH("D1.1|"&amp;AL73,CODIFICACION!$F$2:$F$500,0))="sin dato","",INDEX(CODIFICACION!$E$2:$E$500,MATCH("D1.1|"&amp;AL73,CODIFICACION!$F$2:$F$500,0))),"⚠"))</f>
        <v/>
      </c>
      <c r="I73" t="str">
        <f>IF(AN73="","",IFERROR(IF(INDEX(CODIFICACION!$E$2:$E$500,MATCH("D1.3|"&amp;AN73,CODIFICACION!$F$2:$F$500,0))="sin dato","",INDEX(CODIFICACION!$E$2:$E$500,MATCH("D1.3|"&amp;AN73,CODIFICACION!$F$2:$F$500,0))),"⚠"))</f>
        <v/>
      </c>
      <c r="J73" t="str">
        <f>IF(AO73="","",IFERROR(IF(INDEX(CODIFICACION!$E$2:$E$500,MATCH("D1.4|"&amp;AO73,CODIFICACION!$F$2:$F$500,0))="sin dato","",INDEX(CODIFICACION!$E$2:$E$500,MATCH("D1.4|"&amp;AO73,CODIFICACION!$F$2:$F$500,0))),"⚠"))</f>
        <v/>
      </c>
      <c r="K73" t="str">
        <f>IF(AP73="","",IFERROR(IF(INDEX(CODIFICACION!$E$2:$E$500,MATCH("D1.3a|"&amp;AP73,CODIFICACION!$F$2:$F$500,0))="sin dato","",INDEX(CODIFICACION!$E$2:$E$500,MATCH("D1.3a|"&amp;AP73,CODIFICACION!$F$2:$F$500,0))),"⚠"))</f>
        <v/>
      </c>
      <c r="L73" t="str">
        <f t="shared" si="51"/>
        <v/>
      </c>
      <c r="M73" t="str">
        <f t="shared" si="52"/>
        <v/>
      </c>
      <c r="N73" t="str">
        <f t="shared" si="53"/>
        <v/>
      </c>
      <c r="O73" t="str">
        <f>IF(AT73="","",IFERROR(IF(INDEX(CODIFICACION!$E$2:$E$500,MATCH("D2.8|"&amp;AT73,CODIFICACION!$F$2:$F$500,0))="sin dato","",INDEX(CODIFICACION!$E$2:$E$500,MATCH("D2.8|"&amp;AT73,CODIFICACION!$F$2:$F$500,0))),"⚠"))</f>
        <v/>
      </c>
      <c r="P73" t="str">
        <f>IF(AU73="","",IFERROR(IF(INDEX(CODIFICACION!$E$2:$E$500,MATCH("D2.9|"&amp;AU73,CODIFICACION!$F$2:$F$500,0))="sin dato","",INDEX(CODIFICACION!$E$2:$E$500,MATCH("D2.9|"&amp;AU73,CODIFICACION!$F$2:$F$500,0))),"⚠"))</f>
        <v/>
      </c>
      <c r="Q73" t="str">
        <f>IF(AV73="","",IFERROR(IF(INDEX(CODIFICACION!$E$2:$E$500,MATCH("D2.10|"&amp;AV73,CODIFICACION!$F$2:$F$500,0))="sin dato","",INDEX(CODIFICACION!$E$2:$E$500,MATCH("D2.10|"&amp;AV73,CODIFICACION!$F$2:$F$500,0))),"⚠"))</f>
        <v/>
      </c>
      <c r="R73" t="str">
        <f>IF(AW73="","",IFERROR(IF(INDEX(CODIFICACION!$E$2:$E$500,MATCH("D2.5a|"&amp;AW73,CODIFICACION!$F$2:$F$500,0))="sin dato","",INDEX(CODIFICACION!$E$2:$E$500,MATCH("D2.5a|"&amp;AW73,CODIFICACION!$F$2:$F$500,0))),"⚠"))</f>
        <v/>
      </c>
      <c r="S73" t="str">
        <f ca="1">IF(AX73="","",IFERROR(IF(INDEX(CODIFICACION!$E$2:$E$500,MATCH("D2.5b|"&amp;AX73,CODIFICACION!$F$2:$F$500,0))="sin dato","",INDEX(CODIFICACION!$E$2:$E$500,MATCH("D2.5b|"&amp;AX73,CODIFICACION!$F$2:$F$500,0))),"⚠"))</f>
        <v/>
      </c>
      <c r="T73" t="str">
        <f t="shared" ca="1" si="54"/>
        <v/>
      </c>
      <c r="U73" t="str">
        <f>IF(AZ73="","",IFERROR(IF(INDEX(CODIFICACION!$E$2:$E$500,MATCH("D3.12|"&amp;AZ73,CODIFICACION!$F$2:$F$500,0))="sin dato","",INDEX(CODIFICACION!$E$2:$E$500,MATCH("D3.12|"&amp;AZ73,CODIFICACION!$F$2:$F$500,0))),"⚠"))</f>
        <v/>
      </c>
      <c r="V73" t="str">
        <f t="shared" si="55"/>
        <v/>
      </c>
      <c r="W73" t="str">
        <f ca="1">IF(BB73="","",IFERROR(IF(INDEX(CODIFICACION!$E$2:$E$500,MATCH("D3.14|"&amp;BB73,CODIFICACION!$F$2:$F$500,0))="sin dato","",INDEX(CODIFICACION!$E$2:$E$500,MATCH("D3.14|"&amp;BB73,CODIFICACION!$F$2:$F$500,0))),"⚠"))</f>
        <v/>
      </c>
      <c r="X73" t="str">
        <f ca="1">IF(BC73="","",IFERROR(IF(INDEX(CODIFICACION!$E$2:$E$500,MATCH("D3.14a|"&amp;BC73,CODIFICACION!$F$2:$F$500,0))="sin dato","",INDEX(CODIFICACION!$E$2:$E$500,MATCH("D3.14a|"&amp;BC73,CODIFICACION!$F$2:$F$500,0))),"⚠"))</f>
        <v/>
      </c>
      <c r="Y73" t="str">
        <f>IF(BD73="","",IFERROR(IF(INDEX(CODIFICACION!$E$2:$E$500,MATCH("D3.14b|"&amp;BD73,CODIFICACION!$F$2:$F$500,0))="sin dato","",INDEX(CODIFICACION!$E$2:$E$500,MATCH("D3.14b|"&amp;BD73,CODIFICACION!$F$2:$F$500,0))),"⚠"))</f>
        <v/>
      </c>
      <c r="Z73" t="str">
        <f>IF(BE73="","",IFERROR(IF(INDEX(CODIFICACION!$E$2:$E$500,MATCH("D3.14c|"&amp;BE73,CODIFICACION!$F$2:$F$500,0))="sin dato","",INDEX(CODIFICACION!$E$2:$E$500,MATCH("D3.14c|"&amp;BE73,CODIFICACION!$F$2:$F$500,0))),"⚠"))</f>
        <v/>
      </c>
      <c r="AA73" t="str">
        <f>IF(BF73="","",IFERROR(IF(INDEX(CODIFICACION!$E$2:$E$500,MATCH("D3.14d|"&amp;BF73,CODIFICACION!$F$2:$F$500,0))="sin dato","",INDEX(CODIFICACION!$E$2:$E$500,MATCH("D3.14d|"&amp;BF73,CODIFICACION!$F$2:$F$500,0))),"⚠"))</f>
        <v/>
      </c>
      <c r="AB73" t="str">
        <f>IF(BG73="","",IFERROR(IF(INDEX(CODIFICACION!$E$2:$E$500,MATCH("D3.14e|"&amp;BG73,CODIFICACION!$F$2:$F$500,0))="sin dato","",INDEX(CODIFICACION!$E$2:$E$500,MATCH("D3.14e|"&amp;BG73,CODIFICACION!$F$2:$F$500,0))),"⚠"))</f>
        <v/>
      </c>
      <c r="AC73" t="str">
        <f>IF(BH73="","",IFERROR(IF(INDEX(CODIFICACION!$E$2:$E$500,MATCH("D3.14f|"&amp;BH73,CODIFICACION!$F$2:$F$500,0))="sin dato","",INDEX(CODIFICACION!$E$2:$E$500,MATCH("D3.14f|"&amp;BH73,CODIFICACION!$F$2:$F$500,0))),"⚠"))</f>
        <v/>
      </c>
      <c r="AD73" t="str">
        <f>IF(BI73="","",IFERROR(IF(INDEX(CODIFICACION!$E$2:$E$500,MATCH("D3.14g|"&amp;BI73,CODIFICACION!$F$2:$F$500,0))="sin dato","",INDEX(CODIFICACION!$E$2:$E$500,MATCH("D3.14g|"&amp;BI73,CODIFICACION!$F$2:$F$500,0))),"⚠"))</f>
        <v/>
      </c>
      <c r="AE73" t="str">
        <f>IF(BJ73="","",IFERROR(IF(INDEX(CODIFICACION!$E$2:$E$500,MATCH("D3.14h|"&amp;BJ73,CODIFICACION!$F$2:$F$500,0))="sin dato","",INDEX(CODIFICACION!$E$2:$E$500,MATCH("D3.14h|"&amp;BJ73,CODIFICACION!$F$2:$F$500,0))),"⚠"))</f>
        <v/>
      </c>
      <c r="AF73" t="str">
        <f>IF(BK73="","",IFERROR(IF(INDEX(CODIFICACION!$E$2:$E$500,MATCH("D3.14i|"&amp;BK73,CODIFICACION!$F$2:$F$500,0))="sin dato","",INDEX(CODIFICACION!$E$2:$E$500,MATCH("D3.14i|"&amp;BK73,CODIFICACION!$F$2:$F$500,0))),"⚠"))</f>
        <v/>
      </c>
      <c r="AG73" t="str">
        <f>IF(BL73="","",IFERROR(IF(INDEX(CODIFICACION!$E$2:$E$500,MATCH("D4.15|"&amp;BL73,CODIFICACION!$F$2:$F$500,0))="sin dato","",INDEX(CODIFICACION!$E$2:$E$500,MATCH("D4.15|"&amp;BL73,CODIFICACION!$F$2:$F$500,0))),"⚠"))</f>
        <v/>
      </c>
      <c r="AH73" t="str">
        <f t="shared" si="56"/>
        <v/>
      </c>
      <c r="AI73" t="str">
        <f>IF(BN73="","",IFERROR(IF(INDEX(CODIFICACION!$E$2:$E$500,MATCH("D4.17|"&amp;BN73,CODIFICACION!$F$2:$F$500,0))="sin dato","",INDEX(CODIFICACION!$E$2:$E$500,MATCH("D4.17|"&amp;BN73,CODIFICACION!$F$2:$F$500,0))),"⚠"))</f>
        <v/>
      </c>
      <c r="AJ73" t="str">
        <f>IF(BO73="","",IFERROR(IF(INDEX(CODIFICACION!$E$2:$E$500,MATCH("D4.15a|"&amp;BO73,CODIFICACION!$F$2:$F$500,0))="sin dato","",INDEX(CODIFICACION!$E$2:$E$500,MATCH("D4.15a|"&amp;BO73,CODIFICACION!$F$2:$F$500,0))),"⚠"))</f>
        <v/>
      </c>
      <c r="AK73" t="str">
        <f t="shared" si="57"/>
        <v/>
      </c>
      <c r="AL73" t="str">
        <f t="shared" si="58"/>
        <v/>
      </c>
      <c r="AM73" t="str">
        <f>IF(BR73="","",IFERROR(IF(INDEX(CODIFICACION!$E$2:$E$500,MATCH("D5.18b|"&amp;BR73,CODIFICACION!$F$2:$F$500,0))="sin dato","",INDEX(CODIFICACION!$E$2:$E$500,MATCH("D5.18b|"&amp;BR73,CODIFICACION!$F$2:$F$500,0))),"⚠"))</f>
        <v/>
      </c>
      <c r="AN73" t="str">
        <f>IF(BS73="","",IFERROR(IF(INDEX(CODIFICACION!$E$2:$E$500,MATCH("D5.19|"&amp;BS73,CODIFICACION!$F$2:$F$500,0))="sin dato","",INDEX(CODIFICACION!$E$2:$E$500,MATCH("D5.19|"&amp;BS73,CODIFICACION!$F$2:$F$500,0))),"⚠"))</f>
        <v/>
      </c>
      <c r="AO73" t="str">
        <f t="shared" si="59"/>
        <v/>
      </c>
      <c r="AP73" t="str">
        <f>IF(BU73="","",IFERROR(IF(INDEX(CODIFICACION!$E$2:$E$500,MATCH("D5.20|"&amp;BU73,CODIFICACION!$F$2:$F$500,0))="sin dato","",INDEX(CODIFICACION!$E$2:$E$500,MATCH("D5.20|"&amp;BU73,CODIFICACION!$F$2:$F$500,0))),"⚠"))</f>
        <v/>
      </c>
      <c r="AQ73" t="str">
        <f>IF(BV73="","",IFERROR(IF(INDEX(CODIFICACION!$E$2:$E$500,MATCH("D5.21|"&amp;BV73,CODIFICACION!$F$2:$F$500,0))="sin dato","",INDEX(CODIFICACION!$E$2:$E$500,MATCH("D5.21|"&amp;BV73,CODIFICACION!$F$2:$F$500,0))),"⚠"))</f>
        <v/>
      </c>
      <c r="AR73" t="str">
        <f>IF(BW73="","",IFERROR(IF(INDEX(CODIFICACION!$E$2:$E$500,MATCH("D5.21a|"&amp;BW73,CODIFICACION!$F$2:$F$500,0))="sin dato","",INDEX(CODIFICACION!$E$2:$E$500,MATCH("D5.21a|"&amp;BW73,CODIFICACION!$F$2:$F$500,0))),"⚠"))</f>
        <v/>
      </c>
      <c r="AS73" t="str">
        <f>IF(BX73="","",IFERROR(IF(INDEX(CODIFICACION!$E$2:$E$500,MATCH("D5.21b|"&amp;BX73,CODIFICACION!$F$2:$F$500,0))="sin dato","",INDEX(CODIFICACION!$E$2:$E$500,MATCH("D5.21b|"&amp;BX73,CODIFICACION!$F$2:$F$500,0))),"⚠"))</f>
        <v/>
      </c>
      <c r="AT73" t="str">
        <f>IF(BY73="","",IFERROR(IF(INDEX(CODIFICACION!$E$2:$E$500,MATCH("D6.22|"&amp;BY73,CODIFICACION!$F$2:$F$500,0))="sin dato","",INDEX(CODIFICACION!$E$2:$E$500,MATCH("D6.22|"&amp;BY73,CODIFICACION!$F$2:$F$500,0))),"⚠"))</f>
        <v/>
      </c>
      <c r="AU73" t="str">
        <f>IF(BZ73="","",IFERROR(IF(INDEX(CODIFICACION!$E$2:$E$500,MATCH("D6.22a|"&amp;BZ73,CODIFICACION!$F$2:$F$500,0))="sin dato","",INDEX(CODIFICACION!$E$2:$E$500,MATCH("D6.22a|"&amp;BZ73,CODIFICACION!$F$2:$F$500,0))),"⚠"))</f>
        <v/>
      </c>
      <c r="AV73" t="str">
        <f>IF(CA73="","",IFERROR(IF(INDEX(CODIFICACION!$E$2:$E$500,MATCH("D6.22b|"&amp;CA73,CODIFICACION!$F$2:$F$500,0))="sin dato","",INDEX(CODIFICACION!$E$2:$E$500,MATCH("D6.22b|"&amp;CA73,CODIFICACION!$F$2:$F$500,0))),"⚠"))</f>
        <v/>
      </c>
      <c r="AW73" t="str">
        <f>IF(CB73="","",IFERROR(IF(INDEX(CODIFICACION!$E$2:$E$500,MATCH("D6.23|"&amp;CB73,CODIFICACION!$F$2:$F$500,0))="sin dato","",INDEX(CODIFICACION!$E$2:$E$500,MATCH("D6.23|"&amp;CB73,CODIFICACION!$F$2:$F$500,0))),"⚠"))</f>
        <v/>
      </c>
      <c r="AX73" t="str">
        <f ca="1">IF(CC73="","",IFERROR(IF(INDEX(CODIFICACION!$E$2:$E$500,MATCH("D6.24|"&amp;CC73,CODIFICACION!$F$2:$F$500,0))="sin dato","",INDEX(CODIFICACION!$E$2:$E$500,MATCH("D6.24|"&amp;CC73,CODIFICACION!$F$2:$F$500,0))),"⚠"))</f>
        <v/>
      </c>
      <c r="AY73" t="str">
        <f ca="1">IF(CD73="","",IFERROR(IF(INDEX(CODIFICACION!$E$2:$E$500,MATCH("D6.25|"&amp;CD73,CODIFICACION!$F$2:$F$500,0))="sin dato","",INDEX(CODIFICACION!$E$2:$E$500,MATCH("D6.25|"&amp;CD73,CODIFICACION!$F$2:$F$500,0))),"⚠"))</f>
        <v/>
      </c>
      <c r="AZ73" t="str">
        <f>IF(CE73="","",IFERROR(IF(INDEX(CODIFICACION!$E$2:$E$500,MATCH("D6.25a|"&amp;CE73,CODIFICACION!$F$2:$F$500,0))="sin dato","",INDEX(CODIFICACION!$E$2:$E$500,MATCH("D6.25a|"&amp;CE73,CODIFICACION!$F$2:$F$500,0))),"⚠"))</f>
        <v/>
      </c>
      <c r="BA73" t="str">
        <f>IF(CF73="","",IFERROR(IF(INDEX(CODIFICACION!$E$2:$E$500,MATCH("D6.25b|"&amp;CF73,CODIFICACION!$F$2:$F$500,0))="sin dato","",INDEX(CODIFICACION!$E$2:$E$500,MATCH("D6.25b|"&amp;CF73,CODIFICACION!$F$2:$F$500,0))),"⚠"))</f>
        <v/>
      </c>
      <c r="BB73" t="str">
        <f ca="1">IF(CG73="","",IFERROR(IF(INDEX(CODIFICACION!$E$2:$E$500,MATCH("D6.22c|"&amp;CG73,CODIFICACION!$F$2:$F$500,0))="sin dato","",INDEX(CODIFICACION!$E$2:$E$500,MATCH("D6.22c|"&amp;CG73,CODIFICACION!$F$2:$F$500,0))),"⚠"))</f>
        <v/>
      </c>
      <c r="BC73" t="str">
        <f ca="1">IF(CH73="","",IFERROR(IF(INDEX(CODIFICACION!$E$2:$E$500,MATCH("D7.26|"&amp;CH73,CODIFICACION!$F$2:$F$500,0))="sin dato","",INDEX(CODIFICACION!$E$2:$E$500,MATCH("D7.26|"&amp;CH73,CODIFICACION!$F$2:$F$500,0))),"⚠"))</f>
        <v/>
      </c>
      <c r="BD73" t="str">
        <f>IF(CI73="","",IFERROR(IF(INDEX(CODIFICACION!$E$2:$E$500,MATCH("D7.27|"&amp;CI73,CODIFICACION!$F$2:$F$500,0))="sin dato","",INDEX(CODIFICACION!$E$2:$E$500,MATCH("D7.27|"&amp;CI73,CODIFICACION!$F$2:$F$500,0))),"⚠"))</f>
        <v/>
      </c>
      <c r="BE73" t="str">
        <f>IF(CJ73="","",IFERROR(IF(INDEX(CODIFICACION!$E$2:$E$500,MATCH("D7.28|"&amp;CJ73,CODIFICACION!$F$2:$F$500,0))="sin dato","",INDEX(CODIFICACION!$E$2:$E$500,MATCH("D7.28|"&amp;CJ73,CODIFICACION!$F$2:$F$500,0))),"⚠"))</f>
        <v/>
      </c>
      <c r="BF73" t="str">
        <f>IF(CK73="","",IFERROR(IF(INDEX(CODIFICACION!$E$2:$E$500,MATCH("D7.28b|"&amp;CK73,CODIFICACION!$F$2:$F$500,0))="sin dato","",INDEX(CODIFICACION!$E$2:$E$500,MATCH("D7.28b|"&amp;CK73,CODIFICACION!$F$2:$F$500,0))),"⚠"))</f>
        <v/>
      </c>
      <c r="BG73" t="str">
        <f t="shared" si="60"/>
        <v/>
      </c>
      <c r="BH73" t="str">
        <f>IF(CM73="","",IFERROR(IF(INDEX(CODIFICACION!$E$2:$E$500,MATCH("D7.26a|"&amp;CM73,CODIFICACION!$F$2:$F$500,0))="sin dato","",INDEX(CODIFICACION!$E$2:$E$500,MATCH("D7.26a|"&amp;CM73,CODIFICACION!$F$2:$F$500,0))),"⚠"))</f>
        <v/>
      </c>
      <c r="BI73" t="str">
        <f>IF(CN73="","",IFERROR(IF(INDEX(CODIFICACION!$E$2:$E$500,MATCH("D7.26b|"&amp;CN73,CODIFICACION!$F$2:$F$500,0))="sin dato","",INDEX(CODIFICACION!$E$2:$E$500,MATCH("D7.26b|"&amp;CN73,CODIFICACION!$F$2:$F$500,0))),"⚠"))</f>
        <v/>
      </c>
      <c r="BJ73" t="str">
        <f t="shared" si="61"/>
        <v/>
      </c>
      <c r="BK73" t="str">
        <f t="shared" si="62"/>
        <v/>
      </c>
      <c r="BL73" t="str">
        <f>IF(CQ73="","",IFERROR(IF(INDEX(CODIFICACION!$E$2:$E$500,MATCH("D8.31|"&amp;CQ73,CODIFICACION!$F$2:$F$500,0))="sin dato","",INDEX(CODIFICACION!$E$2:$E$500,MATCH("D8.31|"&amp;CQ73,CODIFICACION!$F$2:$F$500,0))),"⚠"))</f>
        <v/>
      </c>
      <c r="BM73" t="str">
        <f>IF(CR73="","",IFERROR(IF(INDEX(CODIFICACION!$E$2:$E$500,MATCH("D8.32|"&amp;CR73,CODIFICACION!$F$2:$F$500,0))="sin dato","",INDEX(CODIFICACION!$E$2:$E$500,MATCH("D8.32|"&amp;CR73,CODIFICACION!$F$2:$F$500,0))),"⚠"))</f>
        <v/>
      </c>
      <c r="BN73" t="str">
        <f>IF(CS73="","",IFERROR(IF(INDEX(CODIFICACION!$E$2:$E$500,MATCH("D9.33|"&amp;CS73,CODIFICACION!$F$2:$F$500,0))="sin dato","",INDEX(CODIFICACION!$E$2:$E$500,MATCH("D9.33|"&amp;CS73,CODIFICACION!$F$2:$F$500,0))),"⚠"))</f>
        <v/>
      </c>
      <c r="BO73" t="str">
        <f>IF(CT73="","",IFERROR(IF(INDEX(CODIFICACION!$E$2:$E$500,MATCH("D9.34|"&amp;CT73,CODIFICACION!$F$2:$F$500,0))="sin dato","",INDEX(CODIFICACION!$E$2:$E$500,MATCH("D9.34|"&amp;CT73,CODIFICACION!$F$2:$F$500,0))),"⚠"))</f>
        <v/>
      </c>
      <c r="BP73" t="str">
        <f>IF(CU73="","",IFERROR(IF(INDEX(CODIFICACION!$E$2:$E$500,MATCH("D9.35|"&amp;CU73,CODIFICACION!$F$2:$F$500,0))="sin dato","",INDEX(CODIFICACION!$E$2:$E$500,MATCH("D9.35|"&amp;CU73,CODIFICACION!$F$2:$F$500,0))),"⚠"))</f>
        <v/>
      </c>
      <c r="BQ73" t="str">
        <f>IF(CV73="","",IFERROR(IF(INDEX(CODIFICACION!$E$2:$E$500,MATCH("D10.36|"&amp;CV73,CODIFICACION!$F$2:$F$500,0))="sin dato","",INDEX(CODIFICACION!$E$2:$E$500,MATCH("D10.36|"&amp;CV73,CODIFICACION!$F$2:$F$500,0))),"⚠"))</f>
        <v/>
      </c>
      <c r="BR73" t="str">
        <f>IF(CW73="","",IFERROR(IF(INDEX(CODIFICACION!$E$2:$E$500,MATCH("D10.37|"&amp;CW73,CODIFICACION!$F$2:$F$500,0))="sin dato","",INDEX(CODIFICACION!$E$2:$E$500,MATCH("D10.37|"&amp;CW73,CODIFICACION!$F$2:$F$500,0))),"⚠"))</f>
        <v/>
      </c>
      <c r="BS73" t="str">
        <f>IF(CX73="","",IFERROR(IF(INDEX(CODIFICACION!$E$2:$E$500,MATCH("D10.36a|"&amp;CX73,CODIFICACION!$F$2:$F$500,0))="sin dato","",INDEX(CODIFICACION!$E$2:$E$500,MATCH("D10.36a|"&amp;CX73,CODIFICACION!$F$2:$F$500,0))),"⚠"))</f>
        <v/>
      </c>
      <c r="BT73" t="str">
        <f t="shared" si="63"/>
        <v/>
      </c>
      <c r="BU73" t="str">
        <f>IF(DA73="","",IFERROR(IF(INDEX(CODIFICACION!$E$2:$E$500,MATCH("D11.39a|"&amp;DA73,CODIFICACION!$F$2:$F$500,0))="sin dato","",INDEX(CODIFICACION!$E$2:$E$500,MATCH("D11.39a|"&amp;DA73,CODIFICACION!$F$2:$F$500,0))),"⚠"))</f>
        <v/>
      </c>
      <c r="BV73" t="str">
        <f>IF(DB73="","",IFERROR(IF(INDEX(CODIFICACION!$E$2:$E$500,MATCH("D12.42|"&amp;DB73,CODIFICACION!$F$2:$F$500,0))="sin dato","",INDEX(CODIFICACION!$E$2:$E$500,MATCH("D12.42|"&amp;DB73,CODIFICACION!$F$2:$F$500,0))),"⚠"))</f>
        <v/>
      </c>
      <c r="BW73" t="str">
        <f>IF(DC73="","",IFERROR(IF(INDEX(CODIFICACION!$E$2:$E$500,MATCH("D13.45|"&amp;DC73,CODIFICACION!$F$2:$F$500,0))="sin dato","",INDEX(CODIFICACION!$E$2:$E$500,MATCH("D13.45|"&amp;DC73,CODIFICACION!$F$2:$F$500,0))),"⚠"))</f>
        <v/>
      </c>
      <c r="BX73" t="str">
        <f>IF(DD73="","",IFERROR(IF(INDEX(CODIFICACION!$E$2:$E$500,MATCH("D14.51|"&amp;DD73,CODIFICACION!$F$2:$F$500,0))="sin dato","",INDEX(CODIFICACION!$E$2:$E$500,MATCH("D14.51|"&amp;DD73,CODIFICACION!$F$2:$F$500,0))),"⚠"))</f>
        <v/>
      </c>
      <c r="BY73" t="str">
        <f>IF(DE73="","",IFERROR(IF(INDEX(CODIFICACION!$E$2:$E$500,MATCH("D15.58|"&amp;DE73,CODIFICACION!$F$2:$F$500,0))="sin dato","",INDEX(CODIFICACION!$E$2:$E$500,MATCH("D15.58|"&amp;DE73,CODIFICACION!$F$2:$F$500,0))),"⚠"))</f>
        <v/>
      </c>
      <c r="BZ73" t="str">
        <f>IF(DF73="","",IFERROR(IF(INDEX(CODIFICACION!$E$2:$E$500,MATCH("PP1|"&amp;DF73,CODIFICACION!$F$2:$F$500,0))="sin dato","",INDEX(CODIFICACION!$E$2:$E$500,MATCH("PP1|"&amp;DF73,CODIFICACION!$F$2:$F$500,0))),"⚠"))</f>
        <v/>
      </c>
      <c r="CA73" t="str">
        <f>IF(DG73="","",IFERROR(IF(INDEX(CODIFICACION!$E$2:$E$500,MATCH("PP2|"&amp;DG73,CODIFICACION!$F$2:$F$500,0))="sin dato","",INDEX(CODIFICACION!$E$2:$E$500,MATCH("PP2|"&amp;DG73,CODIFICACION!$F$2:$F$500,0))),"⚠"))</f>
        <v/>
      </c>
      <c r="CB73" t="str">
        <f t="shared" si="64"/>
        <v/>
      </c>
      <c r="CC73" t="str">
        <f t="shared" ca="1" si="65"/>
        <v/>
      </c>
      <c r="CD73" t="str">
        <f t="shared" ca="1" si="66"/>
        <v/>
      </c>
      <c r="CE73" t="str">
        <f t="shared" si="67"/>
        <v/>
      </c>
      <c r="CF73" t="str">
        <f t="shared" si="68"/>
        <v/>
      </c>
      <c r="CG73" t="str">
        <f t="shared" ca="1" si="69"/>
        <v/>
      </c>
      <c r="CH73" t="str">
        <f t="shared" ca="1" si="70"/>
        <v/>
      </c>
      <c r="CI73" t="str">
        <f t="shared" si="71"/>
        <v/>
      </c>
      <c r="CJ73" t="str">
        <f t="shared" si="72"/>
        <v/>
      </c>
      <c r="CK73" t="str">
        <f t="shared" si="73"/>
        <v/>
      </c>
      <c r="CL73" t="str">
        <f t="shared" si="74"/>
        <v/>
      </c>
    </row>
    <row r="74" spans="1:90" x14ac:dyDescent="0.3">
      <c r="A74">
        <f>CAPTURA!A74</f>
        <v>20542289024</v>
      </c>
      <c r="B74">
        <f>CAPTURA!C74</f>
        <v>0</v>
      </c>
      <c r="C74" t="str">
        <f t="shared" si="50"/>
        <v/>
      </c>
      <c r="D74" t="str">
        <f>IF(AE74="","",IFERROR(IF(INDEX(CODIFICACION!$E$2:$E$500,MATCH("P8|"&amp;AE74,CODIFICACION!$F$2:$F$500,0))="sin dato","",INDEX(CODIFICACION!$E$2:$E$500,MATCH("P8|"&amp;AE74,CODIFICACION!$F$2:$F$500,0))),"⚠"))</f>
        <v/>
      </c>
      <c r="E74" t="str">
        <f>IF(AG74="","",IFERROR(IF(INDEX(CODIFICACION!$E$2:$E$500,MATCH("P10|"&amp;AG74,CODIFICACION!$F$2:$F$500,0))="sin dato","",INDEX(CODIFICACION!$E$2:$E$500,MATCH("P10|"&amp;AG74,CODIFICACION!$F$2:$F$500,0))),"⚠"))</f>
        <v/>
      </c>
      <c r="F74" t="str">
        <f>IF(AJ74="","",IFERROR(IF(INDEX(CODIFICACION!$E$2:$E$500,MATCH("P13|"&amp;AJ74,CODIFICACION!$F$2:$F$500,0))="sin dato","",INDEX(CODIFICACION!$E$2:$E$500,MATCH("P13|"&amp;AJ74,CODIFICACION!$F$2:$F$500,0))),"⚠"))</f>
        <v/>
      </c>
      <c r="G74" t="str">
        <f>IF(AK74="","",IFERROR(IF(INDEX(CODIFICACION!$E$2:$E$500,MATCH("P14|"&amp;AK74,CODIFICACION!$F$2:$F$500,0))="sin dato","",INDEX(CODIFICACION!$E$2:$E$500,MATCH("P14|"&amp;AK74,CODIFICACION!$F$2:$F$500,0))),"⚠"))</f>
        <v/>
      </c>
      <c r="H74" t="str">
        <f>IF(AL74="","",IFERROR(IF(INDEX(CODIFICACION!$E$2:$E$500,MATCH("D1.1|"&amp;AL74,CODIFICACION!$F$2:$F$500,0))="sin dato","",INDEX(CODIFICACION!$E$2:$E$500,MATCH("D1.1|"&amp;AL74,CODIFICACION!$F$2:$F$500,0))),"⚠"))</f>
        <v/>
      </c>
      <c r="I74" t="str">
        <f>IF(AN74="","",IFERROR(IF(INDEX(CODIFICACION!$E$2:$E$500,MATCH("D1.3|"&amp;AN74,CODIFICACION!$F$2:$F$500,0))="sin dato","",INDEX(CODIFICACION!$E$2:$E$500,MATCH("D1.3|"&amp;AN74,CODIFICACION!$F$2:$F$500,0))),"⚠"))</f>
        <v/>
      </c>
      <c r="J74" t="str">
        <f>IF(AO74="","",IFERROR(IF(INDEX(CODIFICACION!$E$2:$E$500,MATCH("D1.4|"&amp;AO74,CODIFICACION!$F$2:$F$500,0))="sin dato","",INDEX(CODIFICACION!$E$2:$E$500,MATCH("D1.4|"&amp;AO74,CODIFICACION!$F$2:$F$500,0))),"⚠"))</f>
        <v/>
      </c>
      <c r="K74" t="str">
        <f>IF(AP74="","",IFERROR(IF(INDEX(CODIFICACION!$E$2:$E$500,MATCH("D1.3a|"&amp;AP74,CODIFICACION!$F$2:$F$500,0))="sin dato","",INDEX(CODIFICACION!$E$2:$E$500,MATCH("D1.3a|"&amp;AP74,CODIFICACION!$F$2:$F$500,0))),"⚠"))</f>
        <v/>
      </c>
      <c r="L74" t="str">
        <f t="shared" si="51"/>
        <v/>
      </c>
      <c r="M74" t="str">
        <f t="shared" si="52"/>
        <v/>
      </c>
      <c r="N74" t="str">
        <f t="shared" si="53"/>
        <v/>
      </c>
      <c r="O74" t="str">
        <f>IF(AT74="","",IFERROR(IF(INDEX(CODIFICACION!$E$2:$E$500,MATCH("D2.8|"&amp;AT74,CODIFICACION!$F$2:$F$500,0))="sin dato","",INDEX(CODIFICACION!$E$2:$E$500,MATCH("D2.8|"&amp;AT74,CODIFICACION!$F$2:$F$500,0))),"⚠"))</f>
        <v/>
      </c>
      <c r="P74" t="str">
        <f>IF(AU74="","",IFERROR(IF(INDEX(CODIFICACION!$E$2:$E$500,MATCH("D2.9|"&amp;AU74,CODIFICACION!$F$2:$F$500,0))="sin dato","",INDEX(CODIFICACION!$E$2:$E$500,MATCH("D2.9|"&amp;AU74,CODIFICACION!$F$2:$F$500,0))),"⚠"))</f>
        <v/>
      </c>
      <c r="Q74" t="str">
        <f>IF(AV74="","",IFERROR(IF(INDEX(CODIFICACION!$E$2:$E$500,MATCH("D2.10|"&amp;AV74,CODIFICACION!$F$2:$F$500,0))="sin dato","",INDEX(CODIFICACION!$E$2:$E$500,MATCH("D2.10|"&amp;AV74,CODIFICACION!$F$2:$F$500,0))),"⚠"))</f>
        <v/>
      </c>
      <c r="R74" t="str">
        <f>IF(AW74="","",IFERROR(IF(INDEX(CODIFICACION!$E$2:$E$500,MATCH("D2.5a|"&amp;AW74,CODIFICACION!$F$2:$F$500,0))="sin dato","",INDEX(CODIFICACION!$E$2:$E$500,MATCH("D2.5a|"&amp;AW74,CODIFICACION!$F$2:$F$500,0))),"⚠"))</f>
        <v/>
      </c>
      <c r="S74" t="str">
        <f ca="1">IF(AX74="","",IFERROR(IF(INDEX(CODIFICACION!$E$2:$E$500,MATCH("D2.5b|"&amp;AX74,CODIFICACION!$F$2:$F$500,0))="sin dato","",INDEX(CODIFICACION!$E$2:$E$500,MATCH("D2.5b|"&amp;AX74,CODIFICACION!$F$2:$F$500,0))),"⚠"))</f>
        <v/>
      </c>
      <c r="T74" t="str">
        <f t="shared" ca="1" si="54"/>
        <v/>
      </c>
      <c r="U74" t="str">
        <f>IF(AZ74="","",IFERROR(IF(INDEX(CODIFICACION!$E$2:$E$500,MATCH("D3.12|"&amp;AZ74,CODIFICACION!$F$2:$F$500,0))="sin dato","",INDEX(CODIFICACION!$E$2:$E$500,MATCH("D3.12|"&amp;AZ74,CODIFICACION!$F$2:$F$500,0))),"⚠"))</f>
        <v/>
      </c>
      <c r="V74" t="str">
        <f t="shared" si="55"/>
        <v/>
      </c>
      <c r="W74" t="str">
        <f ca="1">IF(BB74="","",IFERROR(IF(INDEX(CODIFICACION!$E$2:$E$500,MATCH("D3.14|"&amp;BB74,CODIFICACION!$F$2:$F$500,0))="sin dato","",INDEX(CODIFICACION!$E$2:$E$500,MATCH("D3.14|"&amp;BB74,CODIFICACION!$F$2:$F$500,0))),"⚠"))</f>
        <v/>
      </c>
      <c r="X74" t="str">
        <f ca="1">IF(BC74="","",IFERROR(IF(INDEX(CODIFICACION!$E$2:$E$500,MATCH("D3.14a|"&amp;BC74,CODIFICACION!$F$2:$F$500,0))="sin dato","",INDEX(CODIFICACION!$E$2:$E$500,MATCH("D3.14a|"&amp;BC74,CODIFICACION!$F$2:$F$500,0))),"⚠"))</f>
        <v/>
      </c>
      <c r="Y74" t="str">
        <f>IF(BD74="","",IFERROR(IF(INDEX(CODIFICACION!$E$2:$E$500,MATCH("D3.14b|"&amp;BD74,CODIFICACION!$F$2:$F$500,0))="sin dato","",INDEX(CODIFICACION!$E$2:$E$500,MATCH("D3.14b|"&amp;BD74,CODIFICACION!$F$2:$F$500,0))),"⚠"))</f>
        <v/>
      </c>
      <c r="Z74" t="str">
        <f>IF(BE74="","",IFERROR(IF(INDEX(CODIFICACION!$E$2:$E$500,MATCH("D3.14c|"&amp;BE74,CODIFICACION!$F$2:$F$500,0))="sin dato","",INDEX(CODIFICACION!$E$2:$E$500,MATCH("D3.14c|"&amp;BE74,CODIFICACION!$F$2:$F$500,0))),"⚠"))</f>
        <v/>
      </c>
      <c r="AA74" t="str">
        <f>IF(BF74="","",IFERROR(IF(INDEX(CODIFICACION!$E$2:$E$500,MATCH("D3.14d|"&amp;BF74,CODIFICACION!$F$2:$F$500,0))="sin dato","",INDEX(CODIFICACION!$E$2:$E$500,MATCH("D3.14d|"&amp;BF74,CODIFICACION!$F$2:$F$500,0))),"⚠"))</f>
        <v/>
      </c>
      <c r="AB74" t="str">
        <f>IF(BG74="","",IFERROR(IF(INDEX(CODIFICACION!$E$2:$E$500,MATCH("D3.14e|"&amp;BG74,CODIFICACION!$F$2:$F$500,0))="sin dato","",INDEX(CODIFICACION!$E$2:$E$500,MATCH("D3.14e|"&amp;BG74,CODIFICACION!$F$2:$F$500,0))),"⚠"))</f>
        <v/>
      </c>
      <c r="AC74" t="str">
        <f>IF(BH74="","",IFERROR(IF(INDEX(CODIFICACION!$E$2:$E$500,MATCH("D3.14f|"&amp;BH74,CODIFICACION!$F$2:$F$500,0))="sin dato","",INDEX(CODIFICACION!$E$2:$E$500,MATCH("D3.14f|"&amp;BH74,CODIFICACION!$F$2:$F$500,0))),"⚠"))</f>
        <v/>
      </c>
      <c r="AD74" t="str">
        <f>IF(BI74="","",IFERROR(IF(INDEX(CODIFICACION!$E$2:$E$500,MATCH("D3.14g|"&amp;BI74,CODIFICACION!$F$2:$F$500,0))="sin dato","",INDEX(CODIFICACION!$E$2:$E$500,MATCH("D3.14g|"&amp;BI74,CODIFICACION!$F$2:$F$500,0))),"⚠"))</f>
        <v/>
      </c>
      <c r="AE74" t="str">
        <f>IF(BJ74="","",IFERROR(IF(INDEX(CODIFICACION!$E$2:$E$500,MATCH("D3.14h|"&amp;BJ74,CODIFICACION!$F$2:$F$500,0))="sin dato","",INDEX(CODIFICACION!$E$2:$E$500,MATCH("D3.14h|"&amp;BJ74,CODIFICACION!$F$2:$F$500,0))),"⚠"))</f>
        <v/>
      </c>
      <c r="AF74" t="str">
        <f>IF(BK74="","",IFERROR(IF(INDEX(CODIFICACION!$E$2:$E$500,MATCH("D3.14i|"&amp;BK74,CODIFICACION!$F$2:$F$500,0))="sin dato","",INDEX(CODIFICACION!$E$2:$E$500,MATCH("D3.14i|"&amp;BK74,CODIFICACION!$F$2:$F$500,0))),"⚠"))</f>
        <v/>
      </c>
      <c r="AG74" t="str">
        <f>IF(BL74="","",IFERROR(IF(INDEX(CODIFICACION!$E$2:$E$500,MATCH("D4.15|"&amp;BL74,CODIFICACION!$F$2:$F$500,0))="sin dato","",INDEX(CODIFICACION!$E$2:$E$500,MATCH("D4.15|"&amp;BL74,CODIFICACION!$F$2:$F$500,0))),"⚠"))</f>
        <v/>
      </c>
      <c r="AH74" t="str">
        <f t="shared" si="56"/>
        <v/>
      </c>
      <c r="AI74" t="str">
        <f>IF(BN74="","",IFERROR(IF(INDEX(CODIFICACION!$E$2:$E$500,MATCH("D4.17|"&amp;BN74,CODIFICACION!$F$2:$F$500,0))="sin dato","",INDEX(CODIFICACION!$E$2:$E$500,MATCH("D4.17|"&amp;BN74,CODIFICACION!$F$2:$F$500,0))),"⚠"))</f>
        <v/>
      </c>
      <c r="AJ74" t="str">
        <f>IF(BO74="","",IFERROR(IF(INDEX(CODIFICACION!$E$2:$E$500,MATCH("D4.15a|"&amp;BO74,CODIFICACION!$F$2:$F$500,0))="sin dato","",INDEX(CODIFICACION!$E$2:$E$500,MATCH("D4.15a|"&amp;BO74,CODIFICACION!$F$2:$F$500,0))),"⚠"))</f>
        <v/>
      </c>
      <c r="AK74" t="str">
        <f t="shared" si="57"/>
        <v/>
      </c>
      <c r="AL74" t="str">
        <f t="shared" si="58"/>
        <v/>
      </c>
      <c r="AM74" t="str">
        <f>IF(BR74="","",IFERROR(IF(INDEX(CODIFICACION!$E$2:$E$500,MATCH("D5.18b|"&amp;BR74,CODIFICACION!$F$2:$F$500,0))="sin dato","",INDEX(CODIFICACION!$E$2:$E$500,MATCH("D5.18b|"&amp;BR74,CODIFICACION!$F$2:$F$500,0))),"⚠"))</f>
        <v/>
      </c>
      <c r="AN74" t="str">
        <f>IF(BS74="","",IFERROR(IF(INDEX(CODIFICACION!$E$2:$E$500,MATCH("D5.19|"&amp;BS74,CODIFICACION!$F$2:$F$500,0))="sin dato","",INDEX(CODIFICACION!$E$2:$E$500,MATCH("D5.19|"&amp;BS74,CODIFICACION!$F$2:$F$500,0))),"⚠"))</f>
        <v/>
      </c>
      <c r="AO74" t="str">
        <f t="shared" si="59"/>
        <v/>
      </c>
      <c r="AP74" t="str">
        <f>IF(BU74="","",IFERROR(IF(INDEX(CODIFICACION!$E$2:$E$500,MATCH("D5.20|"&amp;BU74,CODIFICACION!$F$2:$F$500,0))="sin dato","",INDEX(CODIFICACION!$E$2:$E$500,MATCH("D5.20|"&amp;BU74,CODIFICACION!$F$2:$F$500,0))),"⚠"))</f>
        <v/>
      </c>
      <c r="AQ74" t="str">
        <f>IF(BV74="","",IFERROR(IF(INDEX(CODIFICACION!$E$2:$E$500,MATCH("D5.21|"&amp;BV74,CODIFICACION!$F$2:$F$500,0))="sin dato","",INDEX(CODIFICACION!$E$2:$E$500,MATCH("D5.21|"&amp;BV74,CODIFICACION!$F$2:$F$500,0))),"⚠"))</f>
        <v/>
      </c>
      <c r="AR74" t="str">
        <f>IF(BW74="","",IFERROR(IF(INDEX(CODIFICACION!$E$2:$E$500,MATCH("D5.21a|"&amp;BW74,CODIFICACION!$F$2:$F$500,0))="sin dato","",INDEX(CODIFICACION!$E$2:$E$500,MATCH("D5.21a|"&amp;BW74,CODIFICACION!$F$2:$F$500,0))),"⚠"))</f>
        <v/>
      </c>
      <c r="AS74" t="str">
        <f>IF(BX74="","",IFERROR(IF(INDEX(CODIFICACION!$E$2:$E$500,MATCH("D5.21b|"&amp;BX74,CODIFICACION!$F$2:$F$500,0))="sin dato","",INDEX(CODIFICACION!$E$2:$E$500,MATCH("D5.21b|"&amp;BX74,CODIFICACION!$F$2:$F$500,0))),"⚠"))</f>
        <v/>
      </c>
      <c r="AT74" t="str">
        <f>IF(BY74="","",IFERROR(IF(INDEX(CODIFICACION!$E$2:$E$500,MATCH("D6.22|"&amp;BY74,CODIFICACION!$F$2:$F$500,0))="sin dato","",INDEX(CODIFICACION!$E$2:$E$500,MATCH("D6.22|"&amp;BY74,CODIFICACION!$F$2:$F$500,0))),"⚠"))</f>
        <v/>
      </c>
      <c r="AU74" t="str">
        <f>IF(BZ74="","",IFERROR(IF(INDEX(CODIFICACION!$E$2:$E$500,MATCH("D6.22a|"&amp;BZ74,CODIFICACION!$F$2:$F$500,0))="sin dato","",INDEX(CODIFICACION!$E$2:$E$500,MATCH("D6.22a|"&amp;BZ74,CODIFICACION!$F$2:$F$500,0))),"⚠"))</f>
        <v/>
      </c>
      <c r="AV74" t="str">
        <f>IF(CA74="","",IFERROR(IF(INDEX(CODIFICACION!$E$2:$E$500,MATCH("D6.22b|"&amp;CA74,CODIFICACION!$F$2:$F$500,0))="sin dato","",INDEX(CODIFICACION!$E$2:$E$500,MATCH("D6.22b|"&amp;CA74,CODIFICACION!$F$2:$F$500,0))),"⚠"))</f>
        <v/>
      </c>
      <c r="AW74" t="str">
        <f>IF(CB74="","",IFERROR(IF(INDEX(CODIFICACION!$E$2:$E$500,MATCH("D6.23|"&amp;CB74,CODIFICACION!$F$2:$F$500,0))="sin dato","",INDEX(CODIFICACION!$E$2:$E$500,MATCH("D6.23|"&amp;CB74,CODIFICACION!$F$2:$F$500,0))),"⚠"))</f>
        <v/>
      </c>
      <c r="AX74" t="str">
        <f ca="1">IF(CC74="","",IFERROR(IF(INDEX(CODIFICACION!$E$2:$E$500,MATCH("D6.24|"&amp;CC74,CODIFICACION!$F$2:$F$500,0))="sin dato","",INDEX(CODIFICACION!$E$2:$E$500,MATCH("D6.24|"&amp;CC74,CODIFICACION!$F$2:$F$500,0))),"⚠"))</f>
        <v/>
      </c>
      <c r="AY74" t="str">
        <f ca="1">IF(CD74="","",IFERROR(IF(INDEX(CODIFICACION!$E$2:$E$500,MATCH("D6.25|"&amp;CD74,CODIFICACION!$F$2:$F$500,0))="sin dato","",INDEX(CODIFICACION!$E$2:$E$500,MATCH("D6.25|"&amp;CD74,CODIFICACION!$F$2:$F$500,0))),"⚠"))</f>
        <v/>
      </c>
      <c r="AZ74" t="str">
        <f>IF(CE74="","",IFERROR(IF(INDEX(CODIFICACION!$E$2:$E$500,MATCH("D6.25a|"&amp;CE74,CODIFICACION!$F$2:$F$500,0))="sin dato","",INDEX(CODIFICACION!$E$2:$E$500,MATCH("D6.25a|"&amp;CE74,CODIFICACION!$F$2:$F$500,0))),"⚠"))</f>
        <v/>
      </c>
      <c r="BA74" t="str">
        <f>IF(CF74="","",IFERROR(IF(INDEX(CODIFICACION!$E$2:$E$500,MATCH("D6.25b|"&amp;CF74,CODIFICACION!$F$2:$F$500,0))="sin dato","",INDEX(CODIFICACION!$E$2:$E$500,MATCH("D6.25b|"&amp;CF74,CODIFICACION!$F$2:$F$500,0))),"⚠"))</f>
        <v/>
      </c>
      <c r="BB74" t="str">
        <f ca="1">IF(CG74="","",IFERROR(IF(INDEX(CODIFICACION!$E$2:$E$500,MATCH("D6.22c|"&amp;CG74,CODIFICACION!$F$2:$F$500,0))="sin dato","",INDEX(CODIFICACION!$E$2:$E$500,MATCH("D6.22c|"&amp;CG74,CODIFICACION!$F$2:$F$500,0))),"⚠"))</f>
        <v/>
      </c>
      <c r="BC74" t="str">
        <f ca="1">IF(CH74="","",IFERROR(IF(INDEX(CODIFICACION!$E$2:$E$500,MATCH("D7.26|"&amp;CH74,CODIFICACION!$F$2:$F$500,0))="sin dato","",INDEX(CODIFICACION!$E$2:$E$500,MATCH("D7.26|"&amp;CH74,CODIFICACION!$F$2:$F$500,0))),"⚠"))</f>
        <v/>
      </c>
      <c r="BD74" t="str">
        <f>IF(CI74="","",IFERROR(IF(INDEX(CODIFICACION!$E$2:$E$500,MATCH("D7.27|"&amp;CI74,CODIFICACION!$F$2:$F$500,0))="sin dato","",INDEX(CODIFICACION!$E$2:$E$500,MATCH("D7.27|"&amp;CI74,CODIFICACION!$F$2:$F$500,0))),"⚠"))</f>
        <v/>
      </c>
      <c r="BE74" t="str">
        <f>IF(CJ74="","",IFERROR(IF(INDEX(CODIFICACION!$E$2:$E$500,MATCH("D7.28|"&amp;CJ74,CODIFICACION!$F$2:$F$500,0))="sin dato","",INDEX(CODIFICACION!$E$2:$E$500,MATCH("D7.28|"&amp;CJ74,CODIFICACION!$F$2:$F$500,0))),"⚠"))</f>
        <v/>
      </c>
      <c r="BF74" t="str">
        <f>IF(CK74="","",IFERROR(IF(INDEX(CODIFICACION!$E$2:$E$500,MATCH("D7.28b|"&amp;CK74,CODIFICACION!$F$2:$F$500,0))="sin dato","",INDEX(CODIFICACION!$E$2:$E$500,MATCH("D7.28b|"&amp;CK74,CODIFICACION!$F$2:$F$500,0))),"⚠"))</f>
        <v/>
      </c>
      <c r="BG74" t="str">
        <f t="shared" si="60"/>
        <v/>
      </c>
      <c r="BH74" t="str">
        <f>IF(CM74="","",IFERROR(IF(INDEX(CODIFICACION!$E$2:$E$500,MATCH("D7.26a|"&amp;CM74,CODIFICACION!$F$2:$F$500,0))="sin dato","",INDEX(CODIFICACION!$E$2:$E$500,MATCH("D7.26a|"&amp;CM74,CODIFICACION!$F$2:$F$500,0))),"⚠"))</f>
        <v/>
      </c>
      <c r="BI74" t="str">
        <f>IF(CN74="","",IFERROR(IF(INDEX(CODIFICACION!$E$2:$E$500,MATCH("D7.26b|"&amp;CN74,CODIFICACION!$F$2:$F$500,0))="sin dato","",INDEX(CODIFICACION!$E$2:$E$500,MATCH("D7.26b|"&amp;CN74,CODIFICACION!$F$2:$F$500,0))),"⚠"))</f>
        <v/>
      </c>
      <c r="BJ74" t="str">
        <f t="shared" si="61"/>
        <v/>
      </c>
      <c r="BK74" t="str">
        <f t="shared" si="62"/>
        <v/>
      </c>
      <c r="BL74" t="str">
        <f>IF(CQ74="","",IFERROR(IF(INDEX(CODIFICACION!$E$2:$E$500,MATCH("D8.31|"&amp;CQ74,CODIFICACION!$F$2:$F$500,0))="sin dato","",INDEX(CODIFICACION!$E$2:$E$500,MATCH("D8.31|"&amp;CQ74,CODIFICACION!$F$2:$F$500,0))),"⚠"))</f>
        <v/>
      </c>
      <c r="BM74" t="str">
        <f>IF(CR74="","",IFERROR(IF(INDEX(CODIFICACION!$E$2:$E$500,MATCH("D8.32|"&amp;CR74,CODIFICACION!$F$2:$F$500,0))="sin dato","",INDEX(CODIFICACION!$E$2:$E$500,MATCH("D8.32|"&amp;CR74,CODIFICACION!$F$2:$F$500,0))),"⚠"))</f>
        <v/>
      </c>
      <c r="BN74" t="str">
        <f>IF(CS74="","",IFERROR(IF(INDEX(CODIFICACION!$E$2:$E$500,MATCH("D9.33|"&amp;CS74,CODIFICACION!$F$2:$F$500,0))="sin dato","",INDEX(CODIFICACION!$E$2:$E$500,MATCH("D9.33|"&amp;CS74,CODIFICACION!$F$2:$F$500,0))),"⚠"))</f>
        <v/>
      </c>
      <c r="BO74" t="str">
        <f>IF(CT74="","",IFERROR(IF(INDEX(CODIFICACION!$E$2:$E$500,MATCH("D9.34|"&amp;CT74,CODIFICACION!$F$2:$F$500,0))="sin dato","",INDEX(CODIFICACION!$E$2:$E$500,MATCH("D9.34|"&amp;CT74,CODIFICACION!$F$2:$F$500,0))),"⚠"))</f>
        <v/>
      </c>
      <c r="BP74" t="str">
        <f>IF(CU74="","",IFERROR(IF(INDEX(CODIFICACION!$E$2:$E$500,MATCH("D9.35|"&amp;CU74,CODIFICACION!$F$2:$F$500,0))="sin dato","",INDEX(CODIFICACION!$E$2:$E$500,MATCH("D9.35|"&amp;CU74,CODIFICACION!$F$2:$F$500,0))),"⚠"))</f>
        <v/>
      </c>
      <c r="BQ74" t="str">
        <f>IF(CV74="","",IFERROR(IF(INDEX(CODIFICACION!$E$2:$E$500,MATCH("D10.36|"&amp;CV74,CODIFICACION!$F$2:$F$500,0))="sin dato","",INDEX(CODIFICACION!$E$2:$E$500,MATCH("D10.36|"&amp;CV74,CODIFICACION!$F$2:$F$500,0))),"⚠"))</f>
        <v/>
      </c>
      <c r="BR74" t="str">
        <f>IF(CW74="","",IFERROR(IF(INDEX(CODIFICACION!$E$2:$E$500,MATCH("D10.37|"&amp;CW74,CODIFICACION!$F$2:$F$500,0))="sin dato","",INDEX(CODIFICACION!$E$2:$E$500,MATCH("D10.37|"&amp;CW74,CODIFICACION!$F$2:$F$500,0))),"⚠"))</f>
        <v/>
      </c>
      <c r="BS74" t="str">
        <f>IF(CX74="","",IFERROR(IF(INDEX(CODIFICACION!$E$2:$E$500,MATCH("D10.36a|"&amp;CX74,CODIFICACION!$F$2:$F$500,0))="sin dato","",INDEX(CODIFICACION!$E$2:$E$500,MATCH("D10.36a|"&amp;CX74,CODIFICACION!$F$2:$F$500,0))),"⚠"))</f>
        <v/>
      </c>
      <c r="BT74" t="str">
        <f t="shared" si="63"/>
        <v/>
      </c>
      <c r="BU74" t="str">
        <f>IF(DA74="","",IFERROR(IF(INDEX(CODIFICACION!$E$2:$E$500,MATCH("D11.39a|"&amp;DA74,CODIFICACION!$F$2:$F$500,0))="sin dato","",INDEX(CODIFICACION!$E$2:$E$500,MATCH("D11.39a|"&amp;DA74,CODIFICACION!$F$2:$F$500,0))),"⚠"))</f>
        <v/>
      </c>
      <c r="BV74" t="str">
        <f>IF(DB74="","",IFERROR(IF(INDEX(CODIFICACION!$E$2:$E$500,MATCH("D12.42|"&amp;DB74,CODIFICACION!$F$2:$F$500,0))="sin dato","",INDEX(CODIFICACION!$E$2:$E$500,MATCH("D12.42|"&amp;DB74,CODIFICACION!$F$2:$F$500,0))),"⚠"))</f>
        <v/>
      </c>
      <c r="BW74" t="str">
        <f>IF(DC74="","",IFERROR(IF(INDEX(CODIFICACION!$E$2:$E$500,MATCH("D13.45|"&amp;DC74,CODIFICACION!$F$2:$F$500,0))="sin dato","",INDEX(CODIFICACION!$E$2:$E$500,MATCH("D13.45|"&amp;DC74,CODIFICACION!$F$2:$F$500,0))),"⚠"))</f>
        <v/>
      </c>
      <c r="BX74" t="str">
        <f>IF(DD74="","",IFERROR(IF(INDEX(CODIFICACION!$E$2:$E$500,MATCH("D14.51|"&amp;DD74,CODIFICACION!$F$2:$F$500,0))="sin dato","",INDEX(CODIFICACION!$E$2:$E$500,MATCH("D14.51|"&amp;DD74,CODIFICACION!$F$2:$F$500,0))),"⚠"))</f>
        <v/>
      </c>
      <c r="BY74" t="str">
        <f>IF(DE74="","",IFERROR(IF(INDEX(CODIFICACION!$E$2:$E$500,MATCH("D15.58|"&amp;DE74,CODIFICACION!$F$2:$F$500,0))="sin dato","",INDEX(CODIFICACION!$E$2:$E$500,MATCH("D15.58|"&amp;DE74,CODIFICACION!$F$2:$F$500,0))),"⚠"))</f>
        <v/>
      </c>
      <c r="BZ74" t="str">
        <f>IF(DF74="","",IFERROR(IF(INDEX(CODIFICACION!$E$2:$E$500,MATCH("PP1|"&amp;DF74,CODIFICACION!$F$2:$F$500,0))="sin dato","",INDEX(CODIFICACION!$E$2:$E$500,MATCH("PP1|"&amp;DF74,CODIFICACION!$F$2:$F$500,0))),"⚠"))</f>
        <v/>
      </c>
      <c r="CA74" t="str">
        <f>IF(DG74="","",IFERROR(IF(INDEX(CODIFICACION!$E$2:$E$500,MATCH("PP2|"&amp;DG74,CODIFICACION!$F$2:$F$500,0))="sin dato","",INDEX(CODIFICACION!$E$2:$E$500,MATCH("PP2|"&amp;DG74,CODIFICACION!$F$2:$F$500,0))),"⚠"))</f>
        <v/>
      </c>
      <c r="CB74" t="str">
        <f t="shared" si="64"/>
        <v/>
      </c>
      <c r="CC74" t="str">
        <f t="shared" ca="1" si="65"/>
        <v/>
      </c>
      <c r="CD74" t="str">
        <f t="shared" ca="1" si="66"/>
        <v/>
      </c>
      <c r="CE74" t="str">
        <f t="shared" si="67"/>
        <v/>
      </c>
      <c r="CF74" t="str">
        <f t="shared" si="68"/>
        <v/>
      </c>
      <c r="CG74" t="str">
        <f t="shared" ca="1" si="69"/>
        <v/>
      </c>
      <c r="CH74" t="str">
        <f t="shared" ca="1" si="70"/>
        <v/>
      </c>
      <c r="CI74" t="str">
        <f t="shared" si="71"/>
        <v/>
      </c>
      <c r="CJ74" t="str">
        <f t="shared" si="72"/>
        <v/>
      </c>
      <c r="CK74" t="str">
        <f t="shared" si="73"/>
        <v/>
      </c>
      <c r="CL74" t="str">
        <f t="shared" si="74"/>
        <v/>
      </c>
    </row>
    <row r="75" spans="1:90" x14ac:dyDescent="0.3">
      <c r="A75">
        <f>CAPTURA!A75</f>
        <v>20542299330</v>
      </c>
      <c r="B75">
        <f>CAPTURA!C75</f>
        <v>0</v>
      </c>
      <c r="C75" t="str">
        <f t="shared" si="50"/>
        <v/>
      </c>
      <c r="D75" t="str">
        <f>IF(AE75="","",IFERROR(IF(INDEX(CODIFICACION!$E$2:$E$500,MATCH("P8|"&amp;AE75,CODIFICACION!$F$2:$F$500,0))="sin dato","",INDEX(CODIFICACION!$E$2:$E$500,MATCH("P8|"&amp;AE75,CODIFICACION!$F$2:$F$500,0))),"⚠"))</f>
        <v/>
      </c>
      <c r="E75" t="str">
        <f>IF(AG75="","",IFERROR(IF(INDEX(CODIFICACION!$E$2:$E$500,MATCH("P10|"&amp;AG75,CODIFICACION!$F$2:$F$500,0))="sin dato","",INDEX(CODIFICACION!$E$2:$E$500,MATCH("P10|"&amp;AG75,CODIFICACION!$F$2:$F$500,0))),"⚠"))</f>
        <v/>
      </c>
      <c r="F75" t="str">
        <f>IF(AJ75="","",IFERROR(IF(INDEX(CODIFICACION!$E$2:$E$500,MATCH("P13|"&amp;AJ75,CODIFICACION!$F$2:$F$500,0))="sin dato","",INDEX(CODIFICACION!$E$2:$E$500,MATCH("P13|"&amp;AJ75,CODIFICACION!$F$2:$F$500,0))),"⚠"))</f>
        <v/>
      </c>
      <c r="G75" t="str">
        <f>IF(AK75="","",IFERROR(IF(INDEX(CODIFICACION!$E$2:$E$500,MATCH("P14|"&amp;AK75,CODIFICACION!$F$2:$F$500,0))="sin dato","",INDEX(CODIFICACION!$E$2:$E$500,MATCH("P14|"&amp;AK75,CODIFICACION!$F$2:$F$500,0))),"⚠"))</f>
        <v/>
      </c>
      <c r="H75" t="str">
        <f>IF(AL75="","",IFERROR(IF(INDEX(CODIFICACION!$E$2:$E$500,MATCH("D1.1|"&amp;AL75,CODIFICACION!$F$2:$F$500,0))="sin dato","",INDEX(CODIFICACION!$E$2:$E$500,MATCH("D1.1|"&amp;AL75,CODIFICACION!$F$2:$F$500,0))),"⚠"))</f>
        <v/>
      </c>
      <c r="I75" t="str">
        <f>IF(AN75="","",IFERROR(IF(INDEX(CODIFICACION!$E$2:$E$500,MATCH("D1.3|"&amp;AN75,CODIFICACION!$F$2:$F$500,0))="sin dato","",INDEX(CODIFICACION!$E$2:$E$500,MATCH("D1.3|"&amp;AN75,CODIFICACION!$F$2:$F$500,0))),"⚠"))</f>
        <v/>
      </c>
      <c r="J75" t="str">
        <f>IF(AO75="","",IFERROR(IF(INDEX(CODIFICACION!$E$2:$E$500,MATCH("D1.4|"&amp;AO75,CODIFICACION!$F$2:$F$500,0))="sin dato","",INDEX(CODIFICACION!$E$2:$E$500,MATCH("D1.4|"&amp;AO75,CODIFICACION!$F$2:$F$500,0))),"⚠"))</f>
        <v/>
      </c>
      <c r="K75" t="str">
        <f>IF(AP75="","",IFERROR(IF(INDEX(CODIFICACION!$E$2:$E$500,MATCH("D1.3a|"&amp;AP75,CODIFICACION!$F$2:$F$500,0))="sin dato","",INDEX(CODIFICACION!$E$2:$E$500,MATCH("D1.3a|"&amp;AP75,CODIFICACION!$F$2:$F$500,0))),"⚠"))</f>
        <v/>
      </c>
      <c r="L75" t="str">
        <f t="shared" si="51"/>
        <v/>
      </c>
      <c r="M75" t="str">
        <f t="shared" si="52"/>
        <v/>
      </c>
      <c r="N75" t="str">
        <f t="shared" si="53"/>
        <v/>
      </c>
      <c r="O75" t="str">
        <f>IF(AT75="","",IFERROR(IF(INDEX(CODIFICACION!$E$2:$E$500,MATCH("D2.8|"&amp;AT75,CODIFICACION!$F$2:$F$500,0))="sin dato","",INDEX(CODIFICACION!$E$2:$E$500,MATCH("D2.8|"&amp;AT75,CODIFICACION!$F$2:$F$500,0))),"⚠"))</f>
        <v/>
      </c>
      <c r="P75" t="str">
        <f>IF(AU75="","",IFERROR(IF(INDEX(CODIFICACION!$E$2:$E$500,MATCH("D2.9|"&amp;AU75,CODIFICACION!$F$2:$F$500,0))="sin dato","",INDEX(CODIFICACION!$E$2:$E$500,MATCH("D2.9|"&amp;AU75,CODIFICACION!$F$2:$F$500,0))),"⚠"))</f>
        <v/>
      </c>
      <c r="Q75" t="str">
        <f>IF(AV75="","",IFERROR(IF(INDEX(CODIFICACION!$E$2:$E$500,MATCH("D2.10|"&amp;AV75,CODIFICACION!$F$2:$F$500,0))="sin dato","",INDEX(CODIFICACION!$E$2:$E$500,MATCH("D2.10|"&amp;AV75,CODIFICACION!$F$2:$F$500,0))),"⚠"))</f>
        <v/>
      </c>
      <c r="R75" t="str">
        <f>IF(AW75="","",IFERROR(IF(INDEX(CODIFICACION!$E$2:$E$500,MATCH("D2.5a|"&amp;AW75,CODIFICACION!$F$2:$F$500,0))="sin dato","",INDEX(CODIFICACION!$E$2:$E$500,MATCH("D2.5a|"&amp;AW75,CODIFICACION!$F$2:$F$500,0))),"⚠"))</f>
        <v/>
      </c>
      <c r="S75" t="str">
        <f ca="1">IF(AX75="","",IFERROR(IF(INDEX(CODIFICACION!$E$2:$E$500,MATCH("D2.5b|"&amp;AX75,CODIFICACION!$F$2:$F$500,0))="sin dato","",INDEX(CODIFICACION!$E$2:$E$500,MATCH("D2.5b|"&amp;AX75,CODIFICACION!$F$2:$F$500,0))),"⚠"))</f>
        <v/>
      </c>
      <c r="T75" t="str">
        <f t="shared" ca="1" si="54"/>
        <v/>
      </c>
      <c r="U75" t="str">
        <f>IF(AZ75="","",IFERROR(IF(INDEX(CODIFICACION!$E$2:$E$500,MATCH("D3.12|"&amp;AZ75,CODIFICACION!$F$2:$F$500,0))="sin dato","",INDEX(CODIFICACION!$E$2:$E$500,MATCH("D3.12|"&amp;AZ75,CODIFICACION!$F$2:$F$500,0))),"⚠"))</f>
        <v/>
      </c>
      <c r="V75" t="str">
        <f t="shared" si="55"/>
        <v/>
      </c>
      <c r="W75" t="str">
        <f ca="1">IF(BB75="","",IFERROR(IF(INDEX(CODIFICACION!$E$2:$E$500,MATCH("D3.14|"&amp;BB75,CODIFICACION!$F$2:$F$500,0))="sin dato","",INDEX(CODIFICACION!$E$2:$E$500,MATCH("D3.14|"&amp;BB75,CODIFICACION!$F$2:$F$500,0))),"⚠"))</f>
        <v/>
      </c>
      <c r="X75" t="str">
        <f ca="1">IF(BC75="","",IFERROR(IF(INDEX(CODIFICACION!$E$2:$E$500,MATCH("D3.14a|"&amp;BC75,CODIFICACION!$F$2:$F$500,0))="sin dato","",INDEX(CODIFICACION!$E$2:$E$500,MATCH("D3.14a|"&amp;BC75,CODIFICACION!$F$2:$F$500,0))),"⚠"))</f>
        <v/>
      </c>
      <c r="Y75" t="str">
        <f>IF(BD75="","",IFERROR(IF(INDEX(CODIFICACION!$E$2:$E$500,MATCH("D3.14b|"&amp;BD75,CODIFICACION!$F$2:$F$500,0))="sin dato","",INDEX(CODIFICACION!$E$2:$E$500,MATCH("D3.14b|"&amp;BD75,CODIFICACION!$F$2:$F$500,0))),"⚠"))</f>
        <v/>
      </c>
      <c r="Z75" t="str">
        <f>IF(BE75="","",IFERROR(IF(INDEX(CODIFICACION!$E$2:$E$500,MATCH("D3.14c|"&amp;BE75,CODIFICACION!$F$2:$F$500,0))="sin dato","",INDEX(CODIFICACION!$E$2:$E$500,MATCH("D3.14c|"&amp;BE75,CODIFICACION!$F$2:$F$500,0))),"⚠"))</f>
        <v/>
      </c>
      <c r="AA75" t="str">
        <f>IF(BF75="","",IFERROR(IF(INDEX(CODIFICACION!$E$2:$E$500,MATCH("D3.14d|"&amp;BF75,CODIFICACION!$F$2:$F$500,0))="sin dato","",INDEX(CODIFICACION!$E$2:$E$500,MATCH("D3.14d|"&amp;BF75,CODIFICACION!$F$2:$F$500,0))),"⚠"))</f>
        <v/>
      </c>
      <c r="AB75" t="str">
        <f>IF(BG75="","",IFERROR(IF(INDEX(CODIFICACION!$E$2:$E$500,MATCH("D3.14e|"&amp;BG75,CODIFICACION!$F$2:$F$500,0))="sin dato","",INDEX(CODIFICACION!$E$2:$E$500,MATCH("D3.14e|"&amp;BG75,CODIFICACION!$F$2:$F$500,0))),"⚠"))</f>
        <v/>
      </c>
      <c r="AC75" t="str">
        <f>IF(BH75="","",IFERROR(IF(INDEX(CODIFICACION!$E$2:$E$500,MATCH("D3.14f|"&amp;BH75,CODIFICACION!$F$2:$F$500,0))="sin dato","",INDEX(CODIFICACION!$E$2:$E$500,MATCH("D3.14f|"&amp;BH75,CODIFICACION!$F$2:$F$500,0))),"⚠"))</f>
        <v/>
      </c>
      <c r="AD75" t="str">
        <f>IF(BI75="","",IFERROR(IF(INDEX(CODIFICACION!$E$2:$E$500,MATCH("D3.14g|"&amp;BI75,CODIFICACION!$F$2:$F$500,0))="sin dato","",INDEX(CODIFICACION!$E$2:$E$500,MATCH("D3.14g|"&amp;BI75,CODIFICACION!$F$2:$F$500,0))),"⚠"))</f>
        <v/>
      </c>
      <c r="AE75" t="str">
        <f>IF(BJ75="","",IFERROR(IF(INDEX(CODIFICACION!$E$2:$E$500,MATCH("D3.14h|"&amp;BJ75,CODIFICACION!$F$2:$F$500,0))="sin dato","",INDEX(CODIFICACION!$E$2:$E$500,MATCH("D3.14h|"&amp;BJ75,CODIFICACION!$F$2:$F$500,0))),"⚠"))</f>
        <v/>
      </c>
      <c r="AF75" t="str">
        <f>IF(BK75="","",IFERROR(IF(INDEX(CODIFICACION!$E$2:$E$500,MATCH("D3.14i|"&amp;BK75,CODIFICACION!$F$2:$F$500,0))="sin dato","",INDEX(CODIFICACION!$E$2:$E$500,MATCH("D3.14i|"&amp;BK75,CODIFICACION!$F$2:$F$500,0))),"⚠"))</f>
        <v/>
      </c>
      <c r="AG75" t="str">
        <f>IF(BL75="","",IFERROR(IF(INDEX(CODIFICACION!$E$2:$E$500,MATCH("D4.15|"&amp;BL75,CODIFICACION!$F$2:$F$500,0))="sin dato","",INDEX(CODIFICACION!$E$2:$E$500,MATCH("D4.15|"&amp;BL75,CODIFICACION!$F$2:$F$500,0))),"⚠"))</f>
        <v/>
      </c>
      <c r="AH75" t="str">
        <f t="shared" si="56"/>
        <v/>
      </c>
      <c r="AI75" t="str">
        <f>IF(BN75="","",IFERROR(IF(INDEX(CODIFICACION!$E$2:$E$500,MATCH("D4.17|"&amp;BN75,CODIFICACION!$F$2:$F$500,0))="sin dato","",INDEX(CODIFICACION!$E$2:$E$500,MATCH("D4.17|"&amp;BN75,CODIFICACION!$F$2:$F$500,0))),"⚠"))</f>
        <v/>
      </c>
      <c r="AJ75" t="str">
        <f>IF(BO75="","",IFERROR(IF(INDEX(CODIFICACION!$E$2:$E$500,MATCH("D4.15a|"&amp;BO75,CODIFICACION!$F$2:$F$500,0))="sin dato","",INDEX(CODIFICACION!$E$2:$E$500,MATCH("D4.15a|"&amp;BO75,CODIFICACION!$F$2:$F$500,0))),"⚠"))</f>
        <v/>
      </c>
      <c r="AK75" t="str">
        <f t="shared" si="57"/>
        <v/>
      </c>
      <c r="AL75" t="str">
        <f t="shared" si="58"/>
        <v/>
      </c>
      <c r="AM75" t="str">
        <f>IF(BR75="","",IFERROR(IF(INDEX(CODIFICACION!$E$2:$E$500,MATCH("D5.18b|"&amp;BR75,CODIFICACION!$F$2:$F$500,0))="sin dato","",INDEX(CODIFICACION!$E$2:$E$500,MATCH("D5.18b|"&amp;BR75,CODIFICACION!$F$2:$F$500,0))),"⚠"))</f>
        <v/>
      </c>
      <c r="AN75" t="str">
        <f>IF(BS75="","",IFERROR(IF(INDEX(CODIFICACION!$E$2:$E$500,MATCH("D5.19|"&amp;BS75,CODIFICACION!$F$2:$F$500,0))="sin dato","",INDEX(CODIFICACION!$E$2:$E$500,MATCH("D5.19|"&amp;BS75,CODIFICACION!$F$2:$F$500,0))),"⚠"))</f>
        <v/>
      </c>
      <c r="AO75" t="str">
        <f t="shared" si="59"/>
        <v/>
      </c>
      <c r="AP75" t="str">
        <f>IF(BU75="","",IFERROR(IF(INDEX(CODIFICACION!$E$2:$E$500,MATCH("D5.20|"&amp;BU75,CODIFICACION!$F$2:$F$500,0))="sin dato","",INDEX(CODIFICACION!$E$2:$E$500,MATCH("D5.20|"&amp;BU75,CODIFICACION!$F$2:$F$500,0))),"⚠"))</f>
        <v/>
      </c>
      <c r="AQ75" t="str">
        <f>IF(BV75="","",IFERROR(IF(INDEX(CODIFICACION!$E$2:$E$500,MATCH("D5.21|"&amp;BV75,CODIFICACION!$F$2:$F$500,0))="sin dato","",INDEX(CODIFICACION!$E$2:$E$500,MATCH("D5.21|"&amp;BV75,CODIFICACION!$F$2:$F$500,0))),"⚠"))</f>
        <v/>
      </c>
      <c r="AR75" t="str">
        <f>IF(BW75="","",IFERROR(IF(INDEX(CODIFICACION!$E$2:$E$500,MATCH("D5.21a|"&amp;BW75,CODIFICACION!$F$2:$F$500,0))="sin dato","",INDEX(CODIFICACION!$E$2:$E$500,MATCH("D5.21a|"&amp;BW75,CODIFICACION!$F$2:$F$500,0))),"⚠"))</f>
        <v/>
      </c>
      <c r="AS75" t="str">
        <f>IF(BX75="","",IFERROR(IF(INDEX(CODIFICACION!$E$2:$E$500,MATCH("D5.21b|"&amp;BX75,CODIFICACION!$F$2:$F$500,0))="sin dato","",INDEX(CODIFICACION!$E$2:$E$500,MATCH("D5.21b|"&amp;BX75,CODIFICACION!$F$2:$F$500,0))),"⚠"))</f>
        <v/>
      </c>
      <c r="AT75" t="str">
        <f>IF(BY75="","",IFERROR(IF(INDEX(CODIFICACION!$E$2:$E$500,MATCH("D6.22|"&amp;BY75,CODIFICACION!$F$2:$F$500,0))="sin dato","",INDEX(CODIFICACION!$E$2:$E$500,MATCH("D6.22|"&amp;BY75,CODIFICACION!$F$2:$F$500,0))),"⚠"))</f>
        <v/>
      </c>
      <c r="AU75" t="str">
        <f>IF(BZ75="","",IFERROR(IF(INDEX(CODIFICACION!$E$2:$E$500,MATCH("D6.22a|"&amp;BZ75,CODIFICACION!$F$2:$F$500,0))="sin dato","",INDEX(CODIFICACION!$E$2:$E$500,MATCH("D6.22a|"&amp;BZ75,CODIFICACION!$F$2:$F$500,0))),"⚠"))</f>
        <v/>
      </c>
      <c r="AV75" t="str">
        <f>IF(CA75="","",IFERROR(IF(INDEX(CODIFICACION!$E$2:$E$500,MATCH("D6.22b|"&amp;CA75,CODIFICACION!$F$2:$F$500,0))="sin dato","",INDEX(CODIFICACION!$E$2:$E$500,MATCH("D6.22b|"&amp;CA75,CODIFICACION!$F$2:$F$500,0))),"⚠"))</f>
        <v/>
      </c>
      <c r="AW75" t="str">
        <f>IF(CB75="","",IFERROR(IF(INDEX(CODIFICACION!$E$2:$E$500,MATCH("D6.23|"&amp;CB75,CODIFICACION!$F$2:$F$500,0))="sin dato","",INDEX(CODIFICACION!$E$2:$E$500,MATCH("D6.23|"&amp;CB75,CODIFICACION!$F$2:$F$500,0))),"⚠"))</f>
        <v/>
      </c>
      <c r="AX75" t="str">
        <f ca="1">IF(CC75="","",IFERROR(IF(INDEX(CODIFICACION!$E$2:$E$500,MATCH("D6.24|"&amp;CC75,CODIFICACION!$F$2:$F$500,0))="sin dato","",INDEX(CODIFICACION!$E$2:$E$500,MATCH("D6.24|"&amp;CC75,CODIFICACION!$F$2:$F$500,0))),"⚠"))</f>
        <v/>
      </c>
      <c r="AY75" t="str">
        <f ca="1">IF(CD75="","",IFERROR(IF(INDEX(CODIFICACION!$E$2:$E$500,MATCH("D6.25|"&amp;CD75,CODIFICACION!$F$2:$F$500,0))="sin dato","",INDEX(CODIFICACION!$E$2:$E$500,MATCH("D6.25|"&amp;CD75,CODIFICACION!$F$2:$F$500,0))),"⚠"))</f>
        <v/>
      </c>
      <c r="AZ75" t="str">
        <f>IF(CE75="","",IFERROR(IF(INDEX(CODIFICACION!$E$2:$E$500,MATCH("D6.25a|"&amp;CE75,CODIFICACION!$F$2:$F$500,0))="sin dato","",INDEX(CODIFICACION!$E$2:$E$500,MATCH("D6.25a|"&amp;CE75,CODIFICACION!$F$2:$F$500,0))),"⚠"))</f>
        <v/>
      </c>
      <c r="BA75" t="str">
        <f>IF(CF75="","",IFERROR(IF(INDEX(CODIFICACION!$E$2:$E$500,MATCH("D6.25b|"&amp;CF75,CODIFICACION!$F$2:$F$500,0))="sin dato","",INDEX(CODIFICACION!$E$2:$E$500,MATCH("D6.25b|"&amp;CF75,CODIFICACION!$F$2:$F$500,0))),"⚠"))</f>
        <v/>
      </c>
      <c r="BB75" t="str">
        <f ca="1">IF(CG75="","",IFERROR(IF(INDEX(CODIFICACION!$E$2:$E$500,MATCH("D6.22c|"&amp;CG75,CODIFICACION!$F$2:$F$500,0))="sin dato","",INDEX(CODIFICACION!$E$2:$E$500,MATCH("D6.22c|"&amp;CG75,CODIFICACION!$F$2:$F$500,0))),"⚠"))</f>
        <v/>
      </c>
      <c r="BC75" t="str">
        <f ca="1">IF(CH75="","",IFERROR(IF(INDEX(CODIFICACION!$E$2:$E$500,MATCH("D7.26|"&amp;CH75,CODIFICACION!$F$2:$F$500,0))="sin dato","",INDEX(CODIFICACION!$E$2:$E$500,MATCH("D7.26|"&amp;CH75,CODIFICACION!$F$2:$F$500,0))),"⚠"))</f>
        <v/>
      </c>
      <c r="BD75" t="str">
        <f>IF(CI75="","",IFERROR(IF(INDEX(CODIFICACION!$E$2:$E$500,MATCH("D7.27|"&amp;CI75,CODIFICACION!$F$2:$F$500,0))="sin dato","",INDEX(CODIFICACION!$E$2:$E$500,MATCH("D7.27|"&amp;CI75,CODIFICACION!$F$2:$F$500,0))),"⚠"))</f>
        <v/>
      </c>
      <c r="BE75" t="str">
        <f>IF(CJ75="","",IFERROR(IF(INDEX(CODIFICACION!$E$2:$E$500,MATCH("D7.28|"&amp;CJ75,CODIFICACION!$F$2:$F$500,0))="sin dato","",INDEX(CODIFICACION!$E$2:$E$500,MATCH("D7.28|"&amp;CJ75,CODIFICACION!$F$2:$F$500,0))),"⚠"))</f>
        <v/>
      </c>
      <c r="BF75" t="str">
        <f>IF(CK75="","",IFERROR(IF(INDEX(CODIFICACION!$E$2:$E$500,MATCH("D7.28b|"&amp;CK75,CODIFICACION!$F$2:$F$500,0))="sin dato","",INDEX(CODIFICACION!$E$2:$E$500,MATCH("D7.28b|"&amp;CK75,CODIFICACION!$F$2:$F$500,0))),"⚠"))</f>
        <v/>
      </c>
      <c r="BG75" t="str">
        <f t="shared" si="60"/>
        <v/>
      </c>
      <c r="BH75" t="str">
        <f>IF(CM75="","",IFERROR(IF(INDEX(CODIFICACION!$E$2:$E$500,MATCH("D7.26a|"&amp;CM75,CODIFICACION!$F$2:$F$500,0))="sin dato","",INDEX(CODIFICACION!$E$2:$E$500,MATCH("D7.26a|"&amp;CM75,CODIFICACION!$F$2:$F$500,0))),"⚠"))</f>
        <v/>
      </c>
      <c r="BI75" t="str">
        <f>IF(CN75="","",IFERROR(IF(INDEX(CODIFICACION!$E$2:$E$500,MATCH("D7.26b|"&amp;CN75,CODIFICACION!$F$2:$F$500,0))="sin dato","",INDEX(CODIFICACION!$E$2:$E$500,MATCH("D7.26b|"&amp;CN75,CODIFICACION!$F$2:$F$500,0))),"⚠"))</f>
        <v/>
      </c>
      <c r="BJ75" t="str">
        <f t="shared" si="61"/>
        <v/>
      </c>
      <c r="BK75" t="str">
        <f t="shared" si="62"/>
        <v/>
      </c>
      <c r="BL75" t="str">
        <f>IF(CQ75="","",IFERROR(IF(INDEX(CODIFICACION!$E$2:$E$500,MATCH("D8.31|"&amp;CQ75,CODIFICACION!$F$2:$F$500,0))="sin dato","",INDEX(CODIFICACION!$E$2:$E$500,MATCH("D8.31|"&amp;CQ75,CODIFICACION!$F$2:$F$500,0))),"⚠"))</f>
        <v/>
      </c>
      <c r="BM75" t="str">
        <f>IF(CR75="","",IFERROR(IF(INDEX(CODIFICACION!$E$2:$E$500,MATCH("D8.32|"&amp;CR75,CODIFICACION!$F$2:$F$500,0))="sin dato","",INDEX(CODIFICACION!$E$2:$E$500,MATCH("D8.32|"&amp;CR75,CODIFICACION!$F$2:$F$500,0))),"⚠"))</f>
        <v/>
      </c>
      <c r="BN75" t="str">
        <f>IF(CS75="","",IFERROR(IF(INDEX(CODIFICACION!$E$2:$E$500,MATCH("D9.33|"&amp;CS75,CODIFICACION!$F$2:$F$500,0))="sin dato","",INDEX(CODIFICACION!$E$2:$E$500,MATCH("D9.33|"&amp;CS75,CODIFICACION!$F$2:$F$500,0))),"⚠"))</f>
        <v/>
      </c>
      <c r="BO75" t="str">
        <f>IF(CT75="","",IFERROR(IF(INDEX(CODIFICACION!$E$2:$E$500,MATCH("D9.34|"&amp;CT75,CODIFICACION!$F$2:$F$500,0))="sin dato","",INDEX(CODIFICACION!$E$2:$E$500,MATCH("D9.34|"&amp;CT75,CODIFICACION!$F$2:$F$500,0))),"⚠"))</f>
        <v/>
      </c>
      <c r="BP75" t="str">
        <f>IF(CU75="","",IFERROR(IF(INDEX(CODIFICACION!$E$2:$E$500,MATCH("D9.35|"&amp;CU75,CODIFICACION!$F$2:$F$500,0))="sin dato","",INDEX(CODIFICACION!$E$2:$E$500,MATCH("D9.35|"&amp;CU75,CODIFICACION!$F$2:$F$500,0))),"⚠"))</f>
        <v/>
      </c>
      <c r="BQ75" t="str">
        <f>IF(CV75="","",IFERROR(IF(INDEX(CODIFICACION!$E$2:$E$500,MATCH("D10.36|"&amp;CV75,CODIFICACION!$F$2:$F$500,0))="sin dato","",INDEX(CODIFICACION!$E$2:$E$500,MATCH("D10.36|"&amp;CV75,CODIFICACION!$F$2:$F$500,0))),"⚠"))</f>
        <v/>
      </c>
      <c r="BR75" t="str">
        <f>IF(CW75="","",IFERROR(IF(INDEX(CODIFICACION!$E$2:$E$500,MATCH("D10.37|"&amp;CW75,CODIFICACION!$F$2:$F$500,0))="sin dato","",INDEX(CODIFICACION!$E$2:$E$500,MATCH("D10.37|"&amp;CW75,CODIFICACION!$F$2:$F$500,0))),"⚠"))</f>
        <v/>
      </c>
      <c r="BS75" t="str">
        <f>IF(CX75="","",IFERROR(IF(INDEX(CODIFICACION!$E$2:$E$500,MATCH("D10.36a|"&amp;CX75,CODIFICACION!$F$2:$F$500,0))="sin dato","",INDEX(CODIFICACION!$E$2:$E$500,MATCH("D10.36a|"&amp;CX75,CODIFICACION!$F$2:$F$500,0))),"⚠"))</f>
        <v/>
      </c>
      <c r="BT75" t="str">
        <f t="shared" si="63"/>
        <v/>
      </c>
      <c r="BU75" t="str">
        <f>IF(DA75="","",IFERROR(IF(INDEX(CODIFICACION!$E$2:$E$500,MATCH("D11.39a|"&amp;DA75,CODIFICACION!$F$2:$F$500,0))="sin dato","",INDEX(CODIFICACION!$E$2:$E$500,MATCH("D11.39a|"&amp;DA75,CODIFICACION!$F$2:$F$500,0))),"⚠"))</f>
        <v/>
      </c>
      <c r="BV75" t="str">
        <f>IF(DB75="","",IFERROR(IF(INDEX(CODIFICACION!$E$2:$E$500,MATCH("D12.42|"&amp;DB75,CODIFICACION!$F$2:$F$500,0))="sin dato","",INDEX(CODIFICACION!$E$2:$E$500,MATCH("D12.42|"&amp;DB75,CODIFICACION!$F$2:$F$500,0))),"⚠"))</f>
        <v/>
      </c>
      <c r="BW75" t="str">
        <f>IF(DC75="","",IFERROR(IF(INDEX(CODIFICACION!$E$2:$E$500,MATCH("D13.45|"&amp;DC75,CODIFICACION!$F$2:$F$500,0))="sin dato","",INDEX(CODIFICACION!$E$2:$E$500,MATCH("D13.45|"&amp;DC75,CODIFICACION!$F$2:$F$500,0))),"⚠"))</f>
        <v/>
      </c>
      <c r="BX75" t="str">
        <f>IF(DD75="","",IFERROR(IF(INDEX(CODIFICACION!$E$2:$E$500,MATCH("D14.51|"&amp;DD75,CODIFICACION!$F$2:$F$500,0))="sin dato","",INDEX(CODIFICACION!$E$2:$E$500,MATCH("D14.51|"&amp;DD75,CODIFICACION!$F$2:$F$500,0))),"⚠"))</f>
        <v/>
      </c>
      <c r="BY75" t="str">
        <f>IF(DE75="","",IFERROR(IF(INDEX(CODIFICACION!$E$2:$E$500,MATCH("D15.58|"&amp;DE75,CODIFICACION!$F$2:$F$500,0))="sin dato","",INDEX(CODIFICACION!$E$2:$E$500,MATCH("D15.58|"&amp;DE75,CODIFICACION!$F$2:$F$500,0))),"⚠"))</f>
        <v/>
      </c>
      <c r="BZ75" t="str">
        <f>IF(DF75="","",IFERROR(IF(INDEX(CODIFICACION!$E$2:$E$500,MATCH("PP1|"&amp;DF75,CODIFICACION!$F$2:$F$500,0))="sin dato","",INDEX(CODIFICACION!$E$2:$E$500,MATCH("PP1|"&amp;DF75,CODIFICACION!$F$2:$F$500,0))),"⚠"))</f>
        <v/>
      </c>
      <c r="CA75" t="str">
        <f>IF(DG75="","",IFERROR(IF(INDEX(CODIFICACION!$E$2:$E$500,MATCH("PP2|"&amp;DG75,CODIFICACION!$F$2:$F$500,0))="sin dato","",INDEX(CODIFICACION!$E$2:$E$500,MATCH("PP2|"&amp;DG75,CODIFICACION!$F$2:$F$500,0))),"⚠"))</f>
        <v/>
      </c>
      <c r="CB75" t="str">
        <f t="shared" si="64"/>
        <v/>
      </c>
      <c r="CC75" t="str">
        <f t="shared" ca="1" si="65"/>
        <v/>
      </c>
      <c r="CD75" t="str">
        <f t="shared" ca="1" si="66"/>
        <v/>
      </c>
      <c r="CE75" t="str">
        <f t="shared" si="67"/>
        <v/>
      </c>
      <c r="CF75" t="str">
        <f t="shared" si="68"/>
        <v/>
      </c>
      <c r="CG75" t="str">
        <f t="shared" ca="1" si="69"/>
        <v/>
      </c>
      <c r="CH75" t="str">
        <f t="shared" ca="1" si="70"/>
        <v/>
      </c>
      <c r="CI75" t="str">
        <f t="shared" si="71"/>
        <v/>
      </c>
      <c r="CJ75" t="str">
        <f t="shared" si="72"/>
        <v/>
      </c>
      <c r="CK75" t="str">
        <f t="shared" si="73"/>
        <v/>
      </c>
      <c r="CL75" t="str">
        <f t="shared" si="74"/>
        <v/>
      </c>
    </row>
    <row r="76" spans="1:90" x14ac:dyDescent="0.3">
      <c r="A76">
        <f>CAPTURA!A76</f>
        <v>20542311569</v>
      </c>
      <c r="B76">
        <f>CAPTURA!C76</f>
        <v>0</v>
      </c>
      <c r="C76" t="str">
        <f t="shared" si="50"/>
        <v/>
      </c>
      <c r="D76" t="str">
        <f>IF(AE76="","",IFERROR(IF(INDEX(CODIFICACION!$E$2:$E$500,MATCH("P8|"&amp;AE76,CODIFICACION!$F$2:$F$500,0))="sin dato","",INDEX(CODIFICACION!$E$2:$E$500,MATCH("P8|"&amp;AE76,CODIFICACION!$F$2:$F$500,0))),"⚠"))</f>
        <v/>
      </c>
      <c r="E76" t="str">
        <f>IF(AG76="","",IFERROR(IF(INDEX(CODIFICACION!$E$2:$E$500,MATCH("P10|"&amp;AG76,CODIFICACION!$F$2:$F$500,0))="sin dato","",INDEX(CODIFICACION!$E$2:$E$500,MATCH("P10|"&amp;AG76,CODIFICACION!$F$2:$F$500,0))),"⚠"))</f>
        <v/>
      </c>
      <c r="F76" t="str">
        <f>IF(AJ76="","",IFERROR(IF(INDEX(CODIFICACION!$E$2:$E$500,MATCH("P13|"&amp;AJ76,CODIFICACION!$F$2:$F$500,0))="sin dato","",INDEX(CODIFICACION!$E$2:$E$500,MATCH("P13|"&amp;AJ76,CODIFICACION!$F$2:$F$500,0))),"⚠"))</f>
        <v/>
      </c>
      <c r="G76" t="str">
        <f>IF(AK76="","",IFERROR(IF(INDEX(CODIFICACION!$E$2:$E$500,MATCH("P14|"&amp;AK76,CODIFICACION!$F$2:$F$500,0))="sin dato","",INDEX(CODIFICACION!$E$2:$E$500,MATCH("P14|"&amp;AK76,CODIFICACION!$F$2:$F$500,0))),"⚠"))</f>
        <v/>
      </c>
      <c r="H76" t="str">
        <f>IF(AL76="","",IFERROR(IF(INDEX(CODIFICACION!$E$2:$E$500,MATCH("D1.1|"&amp;AL76,CODIFICACION!$F$2:$F$500,0))="sin dato","",INDEX(CODIFICACION!$E$2:$E$500,MATCH("D1.1|"&amp;AL76,CODIFICACION!$F$2:$F$500,0))),"⚠"))</f>
        <v/>
      </c>
      <c r="I76" t="str">
        <f>IF(AN76="","",IFERROR(IF(INDEX(CODIFICACION!$E$2:$E$500,MATCH("D1.3|"&amp;AN76,CODIFICACION!$F$2:$F$500,0))="sin dato","",INDEX(CODIFICACION!$E$2:$E$500,MATCH("D1.3|"&amp;AN76,CODIFICACION!$F$2:$F$500,0))),"⚠"))</f>
        <v/>
      </c>
      <c r="J76" t="str">
        <f>IF(AO76="","",IFERROR(IF(INDEX(CODIFICACION!$E$2:$E$500,MATCH("D1.4|"&amp;AO76,CODIFICACION!$F$2:$F$500,0))="sin dato","",INDEX(CODIFICACION!$E$2:$E$500,MATCH("D1.4|"&amp;AO76,CODIFICACION!$F$2:$F$500,0))),"⚠"))</f>
        <v/>
      </c>
      <c r="K76" t="str">
        <f>IF(AP76="","",IFERROR(IF(INDEX(CODIFICACION!$E$2:$E$500,MATCH("D1.3a|"&amp;AP76,CODIFICACION!$F$2:$F$500,0))="sin dato","",INDEX(CODIFICACION!$E$2:$E$500,MATCH("D1.3a|"&amp;AP76,CODIFICACION!$F$2:$F$500,0))),"⚠"))</f>
        <v/>
      </c>
      <c r="L76" t="str">
        <f t="shared" si="51"/>
        <v/>
      </c>
      <c r="M76" t="str">
        <f t="shared" si="52"/>
        <v/>
      </c>
      <c r="N76" t="str">
        <f t="shared" si="53"/>
        <v/>
      </c>
      <c r="O76" t="str">
        <f>IF(AT76="","",IFERROR(IF(INDEX(CODIFICACION!$E$2:$E$500,MATCH("D2.8|"&amp;AT76,CODIFICACION!$F$2:$F$500,0))="sin dato","",INDEX(CODIFICACION!$E$2:$E$500,MATCH("D2.8|"&amp;AT76,CODIFICACION!$F$2:$F$500,0))),"⚠"))</f>
        <v/>
      </c>
      <c r="P76" t="str">
        <f>IF(AU76="","",IFERROR(IF(INDEX(CODIFICACION!$E$2:$E$500,MATCH("D2.9|"&amp;AU76,CODIFICACION!$F$2:$F$500,0))="sin dato","",INDEX(CODIFICACION!$E$2:$E$500,MATCH("D2.9|"&amp;AU76,CODIFICACION!$F$2:$F$500,0))),"⚠"))</f>
        <v/>
      </c>
      <c r="Q76" t="str">
        <f>IF(AV76="","",IFERROR(IF(INDEX(CODIFICACION!$E$2:$E$500,MATCH("D2.10|"&amp;AV76,CODIFICACION!$F$2:$F$500,0))="sin dato","",INDEX(CODIFICACION!$E$2:$E$500,MATCH("D2.10|"&amp;AV76,CODIFICACION!$F$2:$F$500,0))),"⚠"))</f>
        <v/>
      </c>
      <c r="R76" t="str">
        <f>IF(AW76="","",IFERROR(IF(INDEX(CODIFICACION!$E$2:$E$500,MATCH("D2.5a|"&amp;AW76,CODIFICACION!$F$2:$F$500,0))="sin dato","",INDEX(CODIFICACION!$E$2:$E$500,MATCH("D2.5a|"&amp;AW76,CODIFICACION!$F$2:$F$500,0))),"⚠"))</f>
        <v/>
      </c>
      <c r="S76" t="str">
        <f ca="1">IF(AX76="","",IFERROR(IF(INDEX(CODIFICACION!$E$2:$E$500,MATCH("D2.5b|"&amp;AX76,CODIFICACION!$F$2:$F$500,0))="sin dato","",INDEX(CODIFICACION!$E$2:$E$500,MATCH("D2.5b|"&amp;AX76,CODIFICACION!$F$2:$F$500,0))),"⚠"))</f>
        <v/>
      </c>
      <c r="T76" t="str">
        <f t="shared" ca="1" si="54"/>
        <v/>
      </c>
      <c r="U76" t="str">
        <f>IF(AZ76="","",IFERROR(IF(INDEX(CODIFICACION!$E$2:$E$500,MATCH("D3.12|"&amp;AZ76,CODIFICACION!$F$2:$F$500,0))="sin dato","",INDEX(CODIFICACION!$E$2:$E$500,MATCH("D3.12|"&amp;AZ76,CODIFICACION!$F$2:$F$500,0))),"⚠"))</f>
        <v/>
      </c>
      <c r="V76" t="str">
        <f t="shared" si="55"/>
        <v/>
      </c>
      <c r="W76" t="str">
        <f ca="1">IF(BB76="","",IFERROR(IF(INDEX(CODIFICACION!$E$2:$E$500,MATCH("D3.14|"&amp;BB76,CODIFICACION!$F$2:$F$500,0))="sin dato","",INDEX(CODIFICACION!$E$2:$E$500,MATCH("D3.14|"&amp;BB76,CODIFICACION!$F$2:$F$500,0))),"⚠"))</f>
        <v/>
      </c>
      <c r="X76" t="str">
        <f ca="1">IF(BC76="","",IFERROR(IF(INDEX(CODIFICACION!$E$2:$E$500,MATCH("D3.14a|"&amp;BC76,CODIFICACION!$F$2:$F$500,0))="sin dato","",INDEX(CODIFICACION!$E$2:$E$500,MATCH("D3.14a|"&amp;BC76,CODIFICACION!$F$2:$F$500,0))),"⚠"))</f>
        <v/>
      </c>
      <c r="Y76" t="str">
        <f>IF(BD76="","",IFERROR(IF(INDEX(CODIFICACION!$E$2:$E$500,MATCH("D3.14b|"&amp;BD76,CODIFICACION!$F$2:$F$500,0))="sin dato","",INDEX(CODIFICACION!$E$2:$E$500,MATCH("D3.14b|"&amp;BD76,CODIFICACION!$F$2:$F$500,0))),"⚠"))</f>
        <v/>
      </c>
      <c r="Z76" t="str">
        <f>IF(BE76="","",IFERROR(IF(INDEX(CODIFICACION!$E$2:$E$500,MATCH("D3.14c|"&amp;BE76,CODIFICACION!$F$2:$F$500,0))="sin dato","",INDEX(CODIFICACION!$E$2:$E$500,MATCH("D3.14c|"&amp;BE76,CODIFICACION!$F$2:$F$500,0))),"⚠"))</f>
        <v/>
      </c>
      <c r="AA76" t="str">
        <f>IF(BF76="","",IFERROR(IF(INDEX(CODIFICACION!$E$2:$E$500,MATCH("D3.14d|"&amp;BF76,CODIFICACION!$F$2:$F$500,0))="sin dato","",INDEX(CODIFICACION!$E$2:$E$500,MATCH("D3.14d|"&amp;BF76,CODIFICACION!$F$2:$F$500,0))),"⚠"))</f>
        <v/>
      </c>
      <c r="AB76" t="str">
        <f>IF(BG76="","",IFERROR(IF(INDEX(CODIFICACION!$E$2:$E$500,MATCH("D3.14e|"&amp;BG76,CODIFICACION!$F$2:$F$500,0))="sin dato","",INDEX(CODIFICACION!$E$2:$E$500,MATCH("D3.14e|"&amp;BG76,CODIFICACION!$F$2:$F$500,0))),"⚠"))</f>
        <v/>
      </c>
      <c r="AC76" t="str">
        <f>IF(BH76="","",IFERROR(IF(INDEX(CODIFICACION!$E$2:$E$500,MATCH("D3.14f|"&amp;BH76,CODIFICACION!$F$2:$F$500,0))="sin dato","",INDEX(CODIFICACION!$E$2:$E$500,MATCH("D3.14f|"&amp;BH76,CODIFICACION!$F$2:$F$500,0))),"⚠"))</f>
        <v/>
      </c>
      <c r="AD76" t="str">
        <f>IF(BI76="","",IFERROR(IF(INDEX(CODIFICACION!$E$2:$E$500,MATCH("D3.14g|"&amp;BI76,CODIFICACION!$F$2:$F$500,0))="sin dato","",INDEX(CODIFICACION!$E$2:$E$500,MATCH("D3.14g|"&amp;BI76,CODIFICACION!$F$2:$F$500,0))),"⚠"))</f>
        <v/>
      </c>
      <c r="AE76" t="str">
        <f>IF(BJ76="","",IFERROR(IF(INDEX(CODIFICACION!$E$2:$E$500,MATCH("D3.14h|"&amp;BJ76,CODIFICACION!$F$2:$F$500,0))="sin dato","",INDEX(CODIFICACION!$E$2:$E$500,MATCH("D3.14h|"&amp;BJ76,CODIFICACION!$F$2:$F$500,0))),"⚠"))</f>
        <v/>
      </c>
      <c r="AF76" t="str">
        <f>IF(BK76="","",IFERROR(IF(INDEX(CODIFICACION!$E$2:$E$500,MATCH("D3.14i|"&amp;BK76,CODIFICACION!$F$2:$F$500,0))="sin dato","",INDEX(CODIFICACION!$E$2:$E$500,MATCH("D3.14i|"&amp;BK76,CODIFICACION!$F$2:$F$500,0))),"⚠"))</f>
        <v/>
      </c>
      <c r="AG76" t="str">
        <f>IF(BL76="","",IFERROR(IF(INDEX(CODIFICACION!$E$2:$E$500,MATCH("D4.15|"&amp;BL76,CODIFICACION!$F$2:$F$500,0))="sin dato","",INDEX(CODIFICACION!$E$2:$E$500,MATCH("D4.15|"&amp;BL76,CODIFICACION!$F$2:$F$500,0))),"⚠"))</f>
        <v/>
      </c>
      <c r="AH76" t="str">
        <f t="shared" si="56"/>
        <v/>
      </c>
      <c r="AI76" t="str">
        <f>IF(BN76="","",IFERROR(IF(INDEX(CODIFICACION!$E$2:$E$500,MATCH("D4.17|"&amp;BN76,CODIFICACION!$F$2:$F$500,0))="sin dato","",INDEX(CODIFICACION!$E$2:$E$500,MATCH("D4.17|"&amp;BN76,CODIFICACION!$F$2:$F$500,0))),"⚠"))</f>
        <v/>
      </c>
      <c r="AJ76" t="str">
        <f>IF(BO76="","",IFERROR(IF(INDEX(CODIFICACION!$E$2:$E$500,MATCH("D4.15a|"&amp;BO76,CODIFICACION!$F$2:$F$500,0))="sin dato","",INDEX(CODIFICACION!$E$2:$E$500,MATCH("D4.15a|"&amp;BO76,CODIFICACION!$F$2:$F$500,0))),"⚠"))</f>
        <v/>
      </c>
      <c r="AK76" t="str">
        <f t="shared" si="57"/>
        <v/>
      </c>
      <c r="AL76" t="str">
        <f t="shared" si="58"/>
        <v/>
      </c>
      <c r="AM76" t="str">
        <f>IF(BR76="","",IFERROR(IF(INDEX(CODIFICACION!$E$2:$E$500,MATCH("D5.18b|"&amp;BR76,CODIFICACION!$F$2:$F$500,0))="sin dato","",INDEX(CODIFICACION!$E$2:$E$500,MATCH("D5.18b|"&amp;BR76,CODIFICACION!$F$2:$F$500,0))),"⚠"))</f>
        <v/>
      </c>
      <c r="AN76" t="str">
        <f>IF(BS76="","",IFERROR(IF(INDEX(CODIFICACION!$E$2:$E$500,MATCH("D5.19|"&amp;BS76,CODIFICACION!$F$2:$F$500,0))="sin dato","",INDEX(CODIFICACION!$E$2:$E$500,MATCH("D5.19|"&amp;BS76,CODIFICACION!$F$2:$F$500,0))),"⚠"))</f>
        <v/>
      </c>
      <c r="AO76" t="str">
        <f t="shared" si="59"/>
        <v/>
      </c>
      <c r="AP76" t="str">
        <f>IF(BU76="","",IFERROR(IF(INDEX(CODIFICACION!$E$2:$E$500,MATCH("D5.20|"&amp;BU76,CODIFICACION!$F$2:$F$500,0))="sin dato","",INDEX(CODIFICACION!$E$2:$E$500,MATCH("D5.20|"&amp;BU76,CODIFICACION!$F$2:$F$500,0))),"⚠"))</f>
        <v/>
      </c>
      <c r="AQ76" t="str">
        <f>IF(BV76="","",IFERROR(IF(INDEX(CODIFICACION!$E$2:$E$500,MATCH("D5.21|"&amp;BV76,CODIFICACION!$F$2:$F$500,0))="sin dato","",INDEX(CODIFICACION!$E$2:$E$500,MATCH("D5.21|"&amp;BV76,CODIFICACION!$F$2:$F$500,0))),"⚠"))</f>
        <v/>
      </c>
      <c r="AR76" t="str">
        <f>IF(BW76="","",IFERROR(IF(INDEX(CODIFICACION!$E$2:$E$500,MATCH("D5.21a|"&amp;BW76,CODIFICACION!$F$2:$F$500,0))="sin dato","",INDEX(CODIFICACION!$E$2:$E$500,MATCH("D5.21a|"&amp;BW76,CODIFICACION!$F$2:$F$500,0))),"⚠"))</f>
        <v/>
      </c>
      <c r="AS76" t="str">
        <f>IF(BX76="","",IFERROR(IF(INDEX(CODIFICACION!$E$2:$E$500,MATCH("D5.21b|"&amp;BX76,CODIFICACION!$F$2:$F$500,0))="sin dato","",INDEX(CODIFICACION!$E$2:$E$500,MATCH("D5.21b|"&amp;BX76,CODIFICACION!$F$2:$F$500,0))),"⚠"))</f>
        <v/>
      </c>
      <c r="AT76" t="str">
        <f>IF(BY76="","",IFERROR(IF(INDEX(CODIFICACION!$E$2:$E$500,MATCH("D6.22|"&amp;BY76,CODIFICACION!$F$2:$F$500,0))="sin dato","",INDEX(CODIFICACION!$E$2:$E$500,MATCH("D6.22|"&amp;BY76,CODIFICACION!$F$2:$F$500,0))),"⚠"))</f>
        <v/>
      </c>
      <c r="AU76" t="str">
        <f>IF(BZ76="","",IFERROR(IF(INDEX(CODIFICACION!$E$2:$E$500,MATCH("D6.22a|"&amp;BZ76,CODIFICACION!$F$2:$F$500,0))="sin dato","",INDEX(CODIFICACION!$E$2:$E$500,MATCH("D6.22a|"&amp;BZ76,CODIFICACION!$F$2:$F$500,0))),"⚠"))</f>
        <v/>
      </c>
      <c r="AV76" t="str">
        <f>IF(CA76="","",IFERROR(IF(INDEX(CODIFICACION!$E$2:$E$500,MATCH("D6.22b|"&amp;CA76,CODIFICACION!$F$2:$F$500,0))="sin dato","",INDEX(CODIFICACION!$E$2:$E$500,MATCH("D6.22b|"&amp;CA76,CODIFICACION!$F$2:$F$500,0))),"⚠"))</f>
        <v/>
      </c>
      <c r="AW76" t="str">
        <f>IF(CB76="","",IFERROR(IF(INDEX(CODIFICACION!$E$2:$E$500,MATCH("D6.23|"&amp;CB76,CODIFICACION!$F$2:$F$500,0))="sin dato","",INDEX(CODIFICACION!$E$2:$E$500,MATCH("D6.23|"&amp;CB76,CODIFICACION!$F$2:$F$500,0))),"⚠"))</f>
        <v/>
      </c>
      <c r="AX76" t="str">
        <f ca="1">IF(CC76="","",IFERROR(IF(INDEX(CODIFICACION!$E$2:$E$500,MATCH("D6.24|"&amp;CC76,CODIFICACION!$F$2:$F$500,0))="sin dato","",INDEX(CODIFICACION!$E$2:$E$500,MATCH("D6.24|"&amp;CC76,CODIFICACION!$F$2:$F$500,0))),"⚠"))</f>
        <v/>
      </c>
      <c r="AY76" t="str">
        <f ca="1">IF(CD76="","",IFERROR(IF(INDEX(CODIFICACION!$E$2:$E$500,MATCH("D6.25|"&amp;CD76,CODIFICACION!$F$2:$F$500,0))="sin dato","",INDEX(CODIFICACION!$E$2:$E$500,MATCH("D6.25|"&amp;CD76,CODIFICACION!$F$2:$F$500,0))),"⚠"))</f>
        <v/>
      </c>
      <c r="AZ76" t="str">
        <f>IF(CE76="","",IFERROR(IF(INDEX(CODIFICACION!$E$2:$E$500,MATCH("D6.25a|"&amp;CE76,CODIFICACION!$F$2:$F$500,0))="sin dato","",INDEX(CODIFICACION!$E$2:$E$500,MATCH("D6.25a|"&amp;CE76,CODIFICACION!$F$2:$F$500,0))),"⚠"))</f>
        <v/>
      </c>
      <c r="BA76" t="str">
        <f>IF(CF76="","",IFERROR(IF(INDEX(CODIFICACION!$E$2:$E$500,MATCH("D6.25b|"&amp;CF76,CODIFICACION!$F$2:$F$500,0))="sin dato","",INDEX(CODIFICACION!$E$2:$E$500,MATCH("D6.25b|"&amp;CF76,CODIFICACION!$F$2:$F$500,0))),"⚠"))</f>
        <v/>
      </c>
      <c r="BB76" t="str">
        <f ca="1">IF(CG76="","",IFERROR(IF(INDEX(CODIFICACION!$E$2:$E$500,MATCH("D6.22c|"&amp;CG76,CODIFICACION!$F$2:$F$500,0))="sin dato","",INDEX(CODIFICACION!$E$2:$E$500,MATCH("D6.22c|"&amp;CG76,CODIFICACION!$F$2:$F$500,0))),"⚠"))</f>
        <v/>
      </c>
      <c r="BC76" t="str">
        <f ca="1">IF(CH76="","",IFERROR(IF(INDEX(CODIFICACION!$E$2:$E$500,MATCH("D7.26|"&amp;CH76,CODIFICACION!$F$2:$F$500,0))="sin dato","",INDEX(CODIFICACION!$E$2:$E$500,MATCH("D7.26|"&amp;CH76,CODIFICACION!$F$2:$F$500,0))),"⚠"))</f>
        <v/>
      </c>
      <c r="BD76" t="str">
        <f>IF(CI76="","",IFERROR(IF(INDEX(CODIFICACION!$E$2:$E$500,MATCH("D7.27|"&amp;CI76,CODIFICACION!$F$2:$F$500,0))="sin dato","",INDEX(CODIFICACION!$E$2:$E$500,MATCH("D7.27|"&amp;CI76,CODIFICACION!$F$2:$F$500,0))),"⚠"))</f>
        <v/>
      </c>
      <c r="BE76" t="str">
        <f>IF(CJ76="","",IFERROR(IF(INDEX(CODIFICACION!$E$2:$E$500,MATCH("D7.28|"&amp;CJ76,CODIFICACION!$F$2:$F$500,0))="sin dato","",INDEX(CODIFICACION!$E$2:$E$500,MATCH("D7.28|"&amp;CJ76,CODIFICACION!$F$2:$F$500,0))),"⚠"))</f>
        <v/>
      </c>
      <c r="BF76" t="str">
        <f>IF(CK76="","",IFERROR(IF(INDEX(CODIFICACION!$E$2:$E$500,MATCH("D7.28b|"&amp;CK76,CODIFICACION!$F$2:$F$500,0))="sin dato","",INDEX(CODIFICACION!$E$2:$E$500,MATCH("D7.28b|"&amp;CK76,CODIFICACION!$F$2:$F$500,0))),"⚠"))</f>
        <v/>
      </c>
      <c r="BG76" t="str">
        <f t="shared" si="60"/>
        <v/>
      </c>
      <c r="BH76" t="str">
        <f>IF(CM76="","",IFERROR(IF(INDEX(CODIFICACION!$E$2:$E$500,MATCH("D7.26a|"&amp;CM76,CODIFICACION!$F$2:$F$500,0))="sin dato","",INDEX(CODIFICACION!$E$2:$E$500,MATCH("D7.26a|"&amp;CM76,CODIFICACION!$F$2:$F$500,0))),"⚠"))</f>
        <v/>
      </c>
      <c r="BI76" t="str">
        <f>IF(CN76="","",IFERROR(IF(INDEX(CODIFICACION!$E$2:$E$500,MATCH("D7.26b|"&amp;CN76,CODIFICACION!$F$2:$F$500,0))="sin dato","",INDEX(CODIFICACION!$E$2:$E$500,MATCH("D7.26b|"&amp;CN76,CODIFICACION!$F$2:$F$500,0))),"⚠"))</f>
        <v/>
      </c>
      <c r="BJ76" t="str">
        <f t="shared" si="61"/>
        <v/>
      </c>
      <c r="BK76" t="str">
        <f t="shared" si="62"/>
        <v/>
      </c>
      <c r="BL76" t="str">
        <f>IF(CQ76="","",IFERROR(IF(INDEX(CODIFICACION!$E$2:$E$500,MATCH("D8.31|"&amp;CQ76,CODIFICACION!$F$2:$F$500,0))="sin dato","",INDEX(CODIFICACION!$E$2:$E$500,MATCH("D8.31|"&amp;CQ76,CODIFICACION!$F$2:$F$500,0))),"⚠"))</f>
        <v/>
      </c>
      <c r="BM76" t="str">
        <f>IF(CR76="","",IFERROR(IF(INDEX(CODIFICACION!$E$2:$E$500,MATCH("D8.32|"&amp;CR76,CODIFICACION!$F$2:$F$500,0))="sin dato","",INDEX(CODIFICACION!$E$2:$E$500,MATCH("D8.32|"&amp;CR76,CODIFICACION!$F$2:$F$500,0))),"⚠"))</f>
        <v/>
      </c>
      <c r="BN76" t="str">
        <f>IF(CS76="","",IFERROR(IF(INDEX(CODIFICACION!$E$2:$E$500,MATCH("D9.33|"&amp;CS76,CODIFICACION!$F$2:$F$500,0))="sin dato","",INDEX(CODIFICACION!$E$2:$E$500,MATCH("D9.33|"&amp;CS76,CODIFICACION!$F$2:$F$500,0))),"⚠"))</f>
        <v/>
      </c>
      <c r="BO76" t="str">
        <f>IF(CT76="","",IFERROR(IF(INDEX(CODIFICACION!$E$2:$E$500,MATCH("D9.34|"&amp;CT76,CODIFICACION!$F$2:$F$500,0))="sin dato","",INDEX(CODIFICACION!$E$2:$E$500,MATCH("D9.34|"&amp;CT76,CODIFICACION!$F$2:$F$500,0))),"⚠"))</f>
        <v/>
      </c>
      <c r="BP76" t="str">
        <f>IF(CU76="","",IFERROR(IF(INDEX(CODIFICACION!$E$2:$E$500,MATCH("D9.35|"&amp;CU76,CODIFICACION!$F$2:$F$500,0))="sin dato","",INDEX(CODIFICACION!$E$2:$E$500,MATCH("D9.35|"&amp;CU76,CODIFICACION!$F$2:$F$500,0))),"⚠"))</f>
        <v/>
      </c>
      <c r="BQ76" t="str">
        <f>IF(CV76="","",IFERROR(IF(INDEX(CODIFICACION!$E$2:$E$500,MATCH("D10.36|"&amp;CV76,CODIFICACION!$F$2:$F$500,0))="sin dato","",INDEX(CODIFICACION!$E$2:$E$500,MATCH("D10.36|"&amp;CV76,CODIFICACION!$F$2:$F$500,0))),"⚠"))</f>
        <v/>
      </c>
      <c r="BR76" t="str">
        <f>IF(CW76="","",IFERROR(IF(INDEX(CODIFICACION!$E$2:$E$500,MATCH("D10.37|"&amp;CW76,CODIFICACION!$F$2:$F$500,0))="sin dato","",INDEX(CODIFICACION!$E$2:$E$500,MATCH("D10.37|"&amp;CW76,CODIFICACION!$F$2:$F$500,0))),"⚠"))</f>
        <v/>
      </c>
      <c r="BS76" t="str">
        <f>IF(CX76="","",IFERROR(IF(INDEX(CODIFICACION!$E$2:$E$500,MATCH("D10.36a|"&amp;CX76,CODIFICACION!$F$2:$F$500,0))="sin dato","",INDEX(CODIFICACION!$E$2:$E$500,MATCH("D10.36a|"&amp;CX76,CODIFICACION!$F$2:$F$500,0))),"⚠"))</f>
        <v/>
      </c>
      <c r="BT76" t="str">
        <f t="shared" si="63"/>
        <v/>
      </c>
      <c r="BU76" t="str">
        <f>IF(DA76="","",IFERROR(IF(INDEX(CODIFICACION!$E$2:$E$500,MATCH("D11.39a|"&amp;DA76,CODIFICACION!$F$2:$F$500,0))="sin dato","",INDEX(CODIFICACION!$E$2:$E$500,MATCH("D11.39a|"&amp;DA76,CODIFICACION!$F$2:$F$500,0))),"⚠"))</f>
        <v/>
      </c>
      <c r="BV76" t="str">
        <f>IF(DB76="","",IFERROR(IF(INDEX(CODIFICACION!$E$2:$E$500,MATCH("D12.42|"&amp;DB76,CODIFICACION!$F$2:$F$500,0))="sin dato","",INDEX(CODIFICACION!$E$2:$E$500,MATCH("D12.42|"&amp;DB76,CODIFICACION!$F$2:$F$500,0))),"⚠"))</f>
        <v/>
      </c>
      <c r="BW76" t="str">
        <f>IF(DC76="","",IFERROR(IF(INDEX(CODIFICACION!$E$2:$E$500,MATCH("D13.45|"&amp;DC76,CODIFICACION!$F$2:$F$500,0))="sin dato","",INDEX(CODIFICACION!$E$2:$E$500,MATCH("D13.45|"&amp;DC76,CODIFICACION!$F$2:$F$500,0))),"⚠"))</f>
        <v/>
      </c>
      <c r="BX76" t="str">
        <f>IF(DD76="","",IFERROR(IF(INDEX(CODIFICACION!$E$2:$E$500,MATCH("D14.51|"&amp;DD76,CODIFICACION!$F$2:$F$500,0))="sin dato","",INDEX(CODIFICACION!$E$2:$E$500,MATCH("D14.51|"&amp;DD76,CODIFICACION!$F$2:$F$500,0))),"⚠"))</f>
        <v/>
      </c>
      <c r="BY76" t="str">
        <f>IF(DE76="","",IFERROR(IF(INDEX(CODIFICACION!$E$2:$E$500,MATCH("D15.58|"&amp;DE76,CODIFICACION!$F$2:$F$500,0))="sin dato","",INDEX(CODIFICACION!$E$2:$E$500,MATCH("D15.58|"&amp;DE76,CODIFICACION!$F$2:$F$500,0))),"⚠"))</f>
        <v/>
      </c>
      <c r="BZ76" t="str">
        <f>IF(DF76="","",IFERROR(IF(INDEX(CODIFICACION!$E$2:$E$500,MATCH("PP1|"&amp;DF76,CODIFICACION!$F$2:$F$500,0))="sin dato","",INDEX(CODIFICACION!$E$2:$E$500,MATCH("PP1|"&amp;DF76,CODIFICACION!$F$2:$F$500,0))),"⚠"))</f>
        <v/>
      </c>
      <c r="CA76" t="str">
        <f>IF(DG76="","",IFERROR(IF(INDEX(CODIFICACION!$E$2:$E$500,MATCH("PP2|"&amp;DG76,CODIFICACION!$F$2:$F$500,0))="sin dato","",INDEX(CODIFICACION!$E$2:$E$500,MATCH("PP2|"&amp;DG76,CODIFICACION!$F$2:$F$500,0))),"⚠"))</f>
        <v/>
      </c>
      <c r="CB76" t="str">
        <f t="shared" si="64"/>
        <v/>
      </c>
      <c r="CC76" t="str">
        <f t="shared" ca="1" si="65"/>
        <v/>
      </c>
      <c r="CD76" t="str">
        <f t="shared" ca="1" si="66"/>
        <v/>
      </c>
      <c r="CE76" t="str">
        <f t="shared" si="67"/>
        <v/>
      </c>
      <c r="CF76" t="str">
        <f t="shared" si="68"/>
        <v/>
      </c>
      <c r="CG76" t="str">
        <f t="shared" ca="1" si="69"/>
        <v/>
      </c>
      <c r="CH76" t="str">
        <f t="shared" ca="1" si="70"/>
        <v/>
      </c>
      <c r="CI76" t="str">
        <f t="shared" si="71"/>
        <v/>
      </c>
      <c r="CJ76" t="str">
        <f t="shared" si="72"/>
        <v/>
      </c>
      <c r="CK76" t="str">
        <f t="shared" si="73"/>
        <v/>
      </c>
      <c r="CL76" t="str">
        <f t="shared" si="74"/>
        <v/>
      </c>
    </row>
    <row r="77" spans="1:90" x14ac:dyDescent="0.3">
      <c r="A77">
        <f>CAPTURA!A77</f>
        <v>20542380455</v>
      </c>
      <c r="B77">
        <f>CAPTURA!C77</f>
        <v>0</v>
      </c>
      <c r="C77" t="str">
        <f t="shared" si="50"/>
        <v/>
      </c>
      <c r="D77" t="str">
        <f>IF(AE77="","",IFERROR(IF(INDEX(CODIFICACION!$E$2:$E$500,MATCH("P8|"&amp;AE77,CODIFICACION!$F$2:$F$500,0))="sin dato","",INDEX(CODIFICACION!$E$2:$E$500,MATCH("P8|"&amp;AE77,CODIFICACION!$F$2:$F$500,0))),"⚠"))</f>
        <v/>
      </c>
      <c r="E77" t="str">
        <f>IF(AG77="","",IFERROR(IF(INDEX(CODIFICACION!$E$2:$E$500,MATCH("P10|"&amp;AG77,CODIFICACION!$F$2:$F$500,0))="sin dato","",INDEX(CODIFICACION!$E$2:$E$500,MATCH("P10|"&amp;AG77,CODIFICACION!$F$2:$F$500,0))),"⚠"))</f>
        <v/>
      </c>
      <c r="F77" t="str">
        <f>IF(AJ77="","",IFERROR(IF(INDEX(CODIFICACION!$E$2:$E$500,MATCH("P13|"&amp;AJ77,CODIFICACION!$F$2:$F$500,0))="sin dato","",INDEX(CODIFICACION!$E$2:$E$500,MATCH("P13|"&amp;AJ77,CODIFICACION!$F$2:$F$500,0))),"⚠"))</f>
        <v/>
      </c>
      <c r="G77" t="str">
        <f>IF(AK77="","",IFERROR(IF(INDEX(CODIFICACION!$E$2:$E$500,MATCH("P14|"&amp;AK77,CODIFICACION!$F$2:$F$500,0))="sin dato","",INDEX(CODIFICACION!$E$2:$E$500,MATCH("P14|"&amp;AK77,CODIFICACION!$F$2:$F$500,0))),"⚠"))</f>
        <v/>
      </c>
      <c r="H77" t="str">
        <f>IF(AL77="","",IFERROR(IF(INDEX(CODIFICACION!$E$2:$E$500,MATCH("D1.1|"&amp;AL77,CODIFICACION!$F$2:$F$500,0))="sin dato","",INDEX(CODIFICACION!$E$2:$E$500,MATCH("D1.1|"&amp;AL77,CODIFICACION!$F$2:$F$500,0))),"⚠"))</f>
        <v/>
      </c>
      <c r="I77" t="str">
        <f>IF(AN77="","",IFERROR(IF(INDEX(CODIFICACION!$E$2:$E$500,MATCH("D1.3|"&amp;AN77,CODIFICACION!$F$2:$F$500,0))="sin dato","",INDEX(CODIFICACION!$E$2:$E$500,MATCH("D1.3|"&amp;AN77,CODIFICACION!$F$2:$F$500,0))),"⚠"))</f>
        <v/>
      </c>
      <c r="J77" t="str">
        <f>IF(AO77="","",IFERROR(IF(INDEX(CODIFICACION!$E$2:$E$500,MATCH("D1.4|"&amp;AO77,CODIFICACION!$F$2:$F$500,0))="sin dato","",INDEX(CODIFICACION!$E$2:$E$500,MATCH("D1.4|"&amp;AO77,CODIFICACION!$F$2:$F$500,0))),"⚠"))</f>
        <v/>
      </c>
      <c r="K77" t="str">
        <f>IF(AP77="","",IFERROR(IF(INDEX(CODIFICACION!$E$2:$E$500,MATCH("D1.3a|"&amp;AP77,CODIFICACION!$F$2:$F$500,0))="sin dato","",INDEX(CODIFICACION!$E$2:$E$500,MATCH("D1.3a|"&amp;AP77,CODIFICACION!$F$2:$F$500,0))),"⚠"))</f>
        <v/>
      </c>
      <c r="L77" t="str">
        <f t="shared" si="51"/>
        <v/>
      </c>
      <c r="M77" t="str">
        <f t="shared" si="52"/>
        <v/>
      </c>
      <c r="N77" t="str">
        <f t="shared" si="53"/>
        <v/>
      </c>
      <c r="O77" t="str">
        <f>IF(AT77="","",IFERROR(IF(INDEX(CODIFICACION!$E$2:$E$500,MATCH("D2.8|"&amp;AT77,CODIFICACION!$F$2:$F$500,0))="sin dato","",INDEX(CODIFICACION!$E$2:$E$500,MATCH("D2.8|"&amp;AT77,CODIFICACION!$F$2:$F$500,0))),"⚠"))</f>
        <v/>
      </c>
      <c r="P77" t="str">
        <f>IF(AU77="","",IFERROR(IF(INDEX(CODIFICACION!$E$2:$E$500,MATCH("D2.9|"&amp;AU77,CODIFICACION!$F$2:$F$500,0))="sin dato","",INDEX(CODIFICACION!$E$2:$E$500,MATCH("D2.9|"&amp;AU77,CODIFICACION!$F$2:$F$500,0))),"⚠"))</f>
        <v/>
      </c>
      <c r="Q77" t="str">
        <f>IF(AV77="","",IFERROR(IF(INDEX(CODIFICACION!$E$2:$E$500,MATCH("D2.10|"&amp;AV77,CODIFICACION!$F$2:$F$500,0))="sin dato","",INDEX(CODIFICACION!$E$2:$E$500,MATCH("D2.10|"&amp;AV77,CODIFICACION!$F$2:$F$500,0))),"⚠"))</f>
        <v/>
      </c>
      <c r="R77" t="str">
        <f>IF(AW77="","",IFERROR(IF(INDEX(CODIFICACION!$E$2:$E$500,MATCH("D2.5a|"&amp;AW77,CODIFICACION!$F$2:$F$500,0))="sin dato","",INDEX(CODIFICACION!$E$2:$E$500,MATCH("D2.5a|"&amp;AW77,CODIFICACION!$F$2:$F$500,0))),"⚠"))</f>
        <v/>
      </c>
      <c r="S77" t="str">
        <f ca="1">IF(AX77="","",IFERROR(IF(INDEX(CODIFICACION!$E$2:$E$500,MATCH("D2.5b|"&amp;AX77,CODIFICACION!$F$2:$F$500,0))="sin dato","",INDEX(CODIFICACION!$E$2:$E$500,MATCH("D2.5b|"&amp;AX77,CODIFICACION!$F$2:$F$500,0))),"⚠"))</f>
        <v/>
      </c>
      <c r="T77" t="str">
        <f t="shared" ca="1" si="54"/>
        <v/>
      </c>
      <c r="U77" t="str">
        <f>IF(AZ77="","",IFERROR(IF(INDEX(CODIFICACION!$E$2:$E$500,MATCH("D3.12|"&amp;AZ77,CODIFICACION!$F$2:$F$500,0))="sin dato","",INDEX(CODIFICACION!$E$2:$E$500,MATCH("D3.12|"&amp;AZ77,CODIFICACION!$F$2:$F$500,0))),"⚠"))</f>
        <v/>
      </c>
      <c r="V77" t="str">
        <f t="shared" si="55"/>
        <v/>
      </c>
      <c r="W77" t="str">
        <f ca="1">IF(BB77="","",IFERROR(IF(INDEX(CODIFICACION!$E$2:$E$500,MATCH("D3.14|"&amp;BB77,CODIFICACION!$F$2:$F$500,0))="sin dato","",INDEX(CODIFICACION!$E$2:$E$500,MATCH("D3.14|"&amp;BB77,CODIFICACION!$F$2:$F$500,0))),"⚠"))</f>
        <v/>
      </c>
      <c r="X77" t="str">
        <f ca="1">IF(BC77="","",IFERROR(IF(INDEX(CODIFICACION!$E$2:$E$500,MATCH("D3.14a|"&amp;BC77,CODIFICACION!$F$2:$F$500,0))="sin dato","",INDEX(CODIFICACION!$E$2:$E$500,MATCH("D3.14a|"&amp;BC77,CODIFICACION!$F$2:$F$500,0))),"⚠"))</f>
        <v/>
      </c>
      <c r="Y77" t="str">
        <f>IF(BD77="","",IFERROR(IF(INDEX(CODIFICACION!$E$2:$E$500,MATCH("D3.14b|"&amp;BD77,CODIFICACION!$F$2:$F$500,0))="sin dato","",INDEX(CODIFICACION!$E$2:$E$500,MATCH("D3.14b|"&amp;BD77,CODIFICACION!$F$2:$F$500,0))),"⚠"))</f>
        <v/>
      </c>
      <c r="Z77" t="str">
        <f>IF(BE77="","",IFERROR(IF(INDEX(CODIFICACION!$E$2:$E$500,MATCH("D3.14c|"&amp;BE77,CODIFICACION!$F$2:$F$500,0))="sin dato","",INDEX(CODIFICACION!$E$2:$E$500,MATCH("D3.14c|"&amp;BE77,CODIFICACION!$F$2:$F$500,0))),"⚠"))</f>
        <v/>
      </c>
      <c r="AA77" t="str">
        <f>IF(BF77="","",IFERROR(IF(INDEX(CODIFICACION!$E$2:$E$500,MATCH("D3.14d|"&amp;BF77,CODIFICACION!$F$2:$F$500,0))="sin dato","",INDEX(CODIFICACION!$E$2:$E$500,MATCH("D3.14d|"&amp;BF77,CODIFICACION!$F$2:$F$500,0))),"⚠"))</f>
        <v/>
      </c>
      <c r="AB77" t="str">
        <f>IF(BG77="","",IFERROR(IF(INDEX(CODIFICACION!$E$2:$E$500,MATCH("D3.14e|"&amp;BG77,CODIFICACION!$F$2:$F$500,0))="sin dato","",INDEX(CODIFICACION!$E$2:$E$500,MATCH("D3.14e|"&amp;BG77,CODIFICACION!$F$2:$F$500,0))),"⚠"))</f>
        <v/>
      </c>
      <c r="AC77" t="str">
        <f>IF(BH77="","",IFERROR(IF(INDEX(CODIFICACION!$E$2:$E$500,MATCH("D3.14f|"&amp;BH77,CODIFICACION!$F$2:$F$500,0))="sin dato","",INDEX(CODIFICACION!$E$2:$E$500,MATCH("D3.14f|"&amp;BH77,CODIFICACION!$F$2:$F$500,0))),"⚠"))</f>
        <v/>
      </c>
      <c r="AD77" t="str">
        <f>IF(BI77="","",IFERROR(IF(INDEX(CODIFICACION!$E$2:$E$500,MATCH("D3.14g|"&amp;BI77,CODIFICACION!$F$2:$F$500,0))="sin dato","",INDEX(CODIFICACION!$E$2:$E$500,MATCH("D3.14g|"&amp;BI77,CODIFICACION!$F$2:$F$500,0))),"⚠"))</f>
        <v/>
      </c>
      <c r="AE77" t="str">
        <f>IF(BJ77="","",IFERROR(IF(INDEX(CODIFICACION!$E$2:$E$500,MATCH("D3.14h|"&amp;BJ77,CODIFICACION!$F$2:$F$500,0))="sin dato","",INDEX(CODIFICACION!$E$2:$E$500,MATCH("D3.14h|"&amp;BJ77,CODIFICACION!$F$2:$F$500,0))),"⚠"))</f>
        <v/>
      </c>
      <c r="AF77" t="str">
        <f>IF(BK77="","",IFERROR(IF(INDEX(CODIFICACION!$E$2:$E$500,MATCH("D3.14i|"&amp;BK77,CODIFICACION!$F$2:$F$500,0))="sin dato","",INDEX(CODIFICACION!$E$2:$E$500,MATCH("D3.14i|"&amp;BK77,CODIFICACION!$F$2:$F$500,0))),"⚠"))</f>
        <v/>
      </c>
      <c r="AG77" t="str">
        <f>IF(BL77="","",IFERROR(IF(INDEX(CODIFICACION!$E$2:$E$500,MATCH("D4.15|"&amp;BL77,CODIFICACION!$F$2:$F$500,0))="sin dato","",INDEX(CODIFICACION!$E$2:$E$500,MATCH("D4.15|"&amp;BL77,CODIFICACION!$F$2:$F$500,0))),"⚠"))</f>
        <v/>
      </c>
      <c r="AH77" t="str">
        <f t="shared" si="56"/>
        <v/>
      </c>
      <c r="AI77" t="str">
        <f>IF(BN77="","",IFERROR(IF(INDEX(CODIFICACION!$E$2:$E$500,MATCH("D4.17|"&amp;BN77,CODIFICACION!$F$2:$F$500,0))="sin dato","",INDEX(CODIFICACION!$E$2:$E$500,MATCH("D4.17|"&amp;BN77,CODIFICACION!$F$2:$F$500,0))),"⚠"))</f>
        <v/>
      </c>
      <c r="AJ77" t="str">
        <f>IF(BO77="","",IFERROR(IF(INDEX(CODIFICACION!$E$2:$E$500,MATCH("D4.15a|"&amp;BO77,CODIFICACION!$F$2:$F$500,0))="sin dato","",INDEX(CODIFICACION!$E$2:$E$500,MATCH("D4.15a|"&amp;BO77,CODIFICACION!$F$2:$F$500,0))),"⚠"))</f>
        <v/>
      </c>
      <c r="AK77" t="str">
        <f t="shared" si="57"/>
        <v/>
      </c>
      <c r="AL77" t="str">
        <f t="shared" si="58"/>
        <v/>
      </c>
      <c r="AM77" t="str">
        <f>IF(BR77="","",IFERROR(IF(INDEX(CODIFICACION!$E$2:$E$500,MATCH("D5.18b|"&amp;BR77,CODIFICACION!$F$2:$F$500,0))="sin dato","",INDEX(CODIFICACION!$E$2:$E$500,MATCH("D5.18b|"&amp;BR77,CODIFICACION!$F$2:$F$500,0))),"⚠"))</f>
        <v/>
      </c>
      <c r="AN77" t="str">
        <f>IF(BS77="","",IFERROR(IF(INDEX(CODIFICACION!$E$2:$E$500,MATCH("D5.19|"&amp;BS77,CODIFICACION!$F$2:$F$500,0))="sin dato","",INDEX(CODIFICACION!$E$2:$E$500,MATCH("D5.19|"&amp;BS77,CODIFICACION!$F$2:$F$500,0))),"⚠"))</f>
        <v/>
      </c>
      <c r="AO77" t="str">
        <f t="shared" si="59"/>
        <v/>
      </c>
      <c r="AP77" t="str">
        <f>IF(BU77="","",IFERROR(IF(INDEX(CODIFICACION!$E$2:$E$500,MATCH("D5.20|"&amp;BU77,CODIFICACION!$F$2:$F$500,0))="sin dato","",INDEX(CODIFICACION!$E$2:$E$500,MATCH("D5.20|"&amp;BU77,CODIFICACION!$F$2:$F$500,0))),"⚠"))</f>
        <v/>
      </c>
      <c r="AQ77" t="str">
        <f>IF(BV77="","",IFERROR(IF(INDEX(CODIFICACION!$E$2:$E$500,MATCH("D5.21|"&amp;BV77,CODIFICACION!$F$2:$F$500,0))="sin dato","",INDEX(CODIFICACION!$E$2:$E$500,MATCH("D5.21|"&amp;BV77,CODIFICACION!$F$2:$F$500,0))),"⚠"))</f>
        <v/>
      </c>
      <c r="AR77" t="str">
        <f>IF(BW77="","",IFERROR(IF(INDEX(CODIFICACION!$E$2:$E$500,MATCH("D5.21a|"&amp;BW77,CODIFICACION!$F$2:$F$500,0))="sin dato","",INDEX(CODIFICACION!$E$2:$E$500,MATCH("D5.21a|"&amp;BW77,CODIFICACION!$F$2:$F$500,0))),"⚠"))</f>
        <v/>
      </c>
      <c r="AS77" t="str">
        <f>IF(BX77="","",IFERROR(IF(INDEX(CODIFICACION!$E$2:$E$500,MATCH("D5.21b|"&amp;BX77,CODIFICACION!$F$2:$F$500,0))="sin dato","",INDEX(CODIFICACION!$E$2:$E$500,MATCH("D5.21b|"&amp;BX77,CODIFICACION!$F$2:$F$500,0))),"⚠"))</f>
        <v/>
      </c>
      <c r="AT77" t="str">
        <f>IF(BY77="","",IFERROR(IF(INDEX(CODIFICACION!$E$2:$E$500,MATCH("D6.22|"&amp;BY77,CODIFICACION!$F$2:$F$500,0))="sin dato","",INDEX(CODIFICACION!$E$2:$E$500,MATCH("D6.22|"&amp;BY77,CODIFICACION!$F$2:$F$500,0))),"⚠"))</f>
        <v/>
      </c>
      <c r="AU77" t="str">
        <f>IF(BZ77="","",IFERROR(IF(INDEX(CODIFICACION!$E$2:$E$500,MATCH("D6.22a|"&amp;BZ77,CODIFICACION!$F$2:$F$500,0))="sin dato","",INDEX(CODIFICACION!$E$2:$E$500,MATCH("D6.22a|"&amp;BZ77,CODIFICACION!$F$2:$F$500,0))),"⚠"))</f>
        <v/>
      </c>
      <c r="AV77" t="str">
        <f>IF(CA77="","",IFERROR(IF(INDEX(CODIFICACION!$E$2:$E$500,MATCH("D6.22b|"&amp;CA77,CODIFICACION!$F$2:$F$500,0))="sin dato","",INDEX(CODIFICACION!$E$2:$E$500,MATCH("D6.22b|"&amp;CA77,CODIFICACION!$F$2:$F$500,0))),"⚠"))</f>
        <v/>
      </c>
      <c r="AW77" t="str">
        <f>IF(CB77="","",IFERROR(IF(INDEX(CODIFICACION!$E$2:$E$500,MATCH("D6.23|"&amp;CB77,CODIFICACION!$F$2:$F$500,0))="sin dato","",INDEX(CODIFICACION!$E$2:$E$500,MATCH("D6.23|"&amp;CB77,CODIFICACION!$F$2:$F$500,0))),"⚠"))</f>
        <v/>
      </c>
      <c r="AX77" t="str">
        <f ca="1">IF(CC77="","",IFERROR(IF(INDEX(CODIFICACION!$E$2:$E$500,MATCH("D6.24|"&amp;CC77,CODIFICACION!$F$2:$F$500,0))="sin dato","",INDEX(CODIFICACION!$E$2:$E$500,MATCH("D6.24|"&amp;CC77,CODIFICACION!$F$2:$F$500,0))),"⚠"))</f>
        <v/>
      </c>
      <c r="AY77" t="str">
        <f ca="1">IF(CD77="","",IFERROR(IF(INDEX(CODIFICACION!$E$2:$E$500,MATCH("D6.25|"&amp;CD77,CODIFICACION!$F$2:$F$500,0))="sin dato","",INDEX(CODIFICACION!$E$2:$E$500,MATCH("D6.25|"&amp;CD77,CODIFICACION!$F$2:$F$500,0))),"⚠"))</f>
        <v/>
      </c>
      <c r="AZ77" t="str">
        <f>IF(CE77="","",IFERROR(IF(INDEX(CODIFICACION!$E$2:$E$500,MATCH("D6.25a|"&amp;CE77,CODIFICACION!$F$2:$F$500,0))="sin dato","",INDEX(CODIFICACION!$E$2:$E$500,MATCH("D6.25a|"&amp;CE77,CODIFICACION!$F$2:$F$500,0))),"⚠"))</f>
        <v/>
      </c>
      <c r="BA77" t="str">
        <f>IF(CF77="","",IFERROR(IF(INDEX(CODIFICACION!$E$2:$E$500,MATCH("D6.25b|"&amp;CF77,CODIFICACION!$F$2:$F$500,0))="sin dato","",INDEX(CODIFICACION!$E$2:$E$500,MATCH("D6.25b|"&amp;CF77,CODIFICACION!$F$2:$F$500,0))),"⚠"))</f>
        <v/>
      </c>
      <c r="BB77" t="str">
        <f ca="1">IF(CG77="","",IFERROR(IF(INDEX(CODIFICACION!$E$2:$E$500,MATCH("D6.22c|"&amp;CG77,CODIFICACION!$F$2:$F$500,0))="sin dato","",INDEX(CODIFICACION!$E$2:$E$500,MATCH("D6.22c|"&amp;CG77,CODIFICACION!$F$2:$F$500,0))),"⚠"))</f>
        <v/>
      </c>
      <c r="BC77" t="str">
        <f ca="1">IF(CH77="","",IFERROR(IF(INDEX(CODIFICACION!$E$2:$E$500,MATCH("D7.26|"&amp;CH77,CODIFICACION!$F$2:$F$500,0))="sin dato","",INDEX(CODIFICACION!$E$2:$E$500,MATCH("D7.26|"&amp;CH77,CODIFICACION!$F$2:$F$500,0))),"⚠"))</f>
        <v/>
      </c>
      <c r="BD77" t="str">
        <f>IF(CI77="","",IFERROR(IF(INDEX(CODIFICACION!$E$2:$E$500,MATCH("D7.27|"&amp;CI77,CODIFICACION!$F$2:$F$500,0))="sin dato","",INDEX(CODIFICACION!$E$2:$E$500,MATCH("D7.27|"&amp;CI77,CODIFICACION!$F$2:$F$500,0))),"⚠"))</f>
        <v/>
      </c>
      <c r="BE77" t="str">
        <f>IF(CJ77="","",IFERROR(IF(INDEX(CODIFICACION!$E$2:$E$500,MATCH("D7.28|"&amp;CJ77,CODIFICACION!$F$2:$F$500,0))="sin dato","",INDEX(CODIFICACION!$E$2:$E$500,MATCH("D7.28|"&amp;CJ77,CODIFICACION!$F$2:$F$500,0))),"⚠"))</f>
        <v/>
      </c>
      <c r="BF77" t="str">
        <f>IF(CK77="","",IFERROR(IF(INDEX(CODIFICACION!$E$2:$E$500,MATCH("D7.28b|"&amp;CK77,CODIFICACION!$F$2:$F$500,0))="sin dato","",INDEX(CODIFICACION!$E$2:$E$500,MATCH("D7.28b|"&amp;CK77,CODIFICACION!$F$2:$F$500,0))),"⚠"))</f>
        <v/>
      </c>
      <c r="BG77" t="str">
        <f t="shared" si="60"/>
        <v/>
      </c>
      <c r="BH77" t="str">
        <f>IF(CM77="","",IFERROR(IF(INDEX(CODIFICACION!$E$2:$E$500,MATCH("D7.26a|"&amp;CM77,CODIFICACION!$F$2:$F$500,0))="sin dato","",INDEX(CODIFICACION!$E$2:$E$500,MATCH("D7.26a|"&amp;CM77,CODIFICACION!$F$2:$F$500,0))),"⚠"))</f>
        <v/>
      </c>
      <c r="BI77" t="str">
        <f>IF(CN77="","",IFERROR(IF(INDEX(CODIFICACION!$E$2:$E$500,MATCH("D7.26b|"&amp;CN77,CODIFICACION!$F$2:$F$500,0))="sin dato","",INDEX(CODIFICACION!$E$2:$E$500,MATCH("D7.26b|"&amp;CN77,CODIFICACION!$F$2:$F$500,0))),"⚠"))</f>
        <v/>
      </c>
      <c r="BJ77" t="str">
        <f t="shared" si="61"/>
        <v/>
      </c>
      <c r="BK77" t="str">
        <f t="shared" si="62"/>
        <v/>
      </c>
      <c r="BL77" t="str">
        <f>IF(CQ77="","",IFERROR(IF(INDEX(CODIFICACION!$E$2:$E$500,MATCH("D8.31|"&amp;CQ77,CODIFICACION!$F$2:$F$500,0))="sin dato","",INDEX(CODIFICACION!$E$2:$E$500,MATCH("D8.31|"&amp;CQ77,CODIFICACION!$F$2:$F$500,0))),"⚠"))</f>
        <v/>
      </c>
      <c r="BM77" t="str">
        <f>IF(CR77="","",IFERROR(IF(INDEX(CODIFICACION!$E$2:$E$500,MATCH("D8.32|"&amp;CR77,CODIFICACION!$F$2:$F$500,0))="sin dato","",INDEX(CODIFICACION!$E$2:$E$500,MATCH("D8.32|"&amp;CR77,CODIFICACION!$F$2:$F$500,0))),"⚠"))</f>
        <v/>
      </c>
      <c r="BN77" t="str">
        <f>IF(CS77="","",IFERROR(IF(INDEX(CODIFICACION!$E$2:$E$500,MATCH("D9.33|"&amp;CS77,CODIFICACION!$F$2:$F$500,0))="sin dato","",INDEX(CODIFICACION!$E$2:$E$500,MATCH("D9.33|"&amp;CS77,CODIFICACION!$F$2:$F$500,0))),"⚠"))</f>
        <v/>
      </c>
      <c r="BO77" t="str">
        <f>IF(CT77="","",IFERROR(IF(INDEX(CODIFICACION!$E$2:$E$500,MATCH("D9.34|"&amp;CT77,CODIFICACION!$F$2:$F$500,0))="sin dato","",INDEX(CODIFICACION!$E$2:$E$500,MATCH("D9.34|"&amp;CT77,CODIFICACION!$F$2:$F$500,0))),"⚠"))</f>
        <v/>
      </c>
      <c r="BP77" t="str">
        <f>IF(CU77="","",IFERROR(IF(INDEX(CODIFICACION!$E$2:$E$500,MATCH("D9.35|"&amp;CU77,CODIFICACION!$F$2:$F$500,0))="sin dato","",INDEX(CODIFICACION!$E$2:$E$500,MATCH("D9.35|"&amp;CU77,CODIFICACION!$F$2:$F$500,0))),"⚠"))</f>
        <v/>
      </c>
      <c r="BQ77" t="str">
        <f>IF(CV77="","",IFERROR(IF(INDEX(CODIFICACION!$E$2:$E$500,MATCH("D10.36|"&amp;CV77,CODIFICACION!$F$2:$F$500,0))="sin dato","",INDEX(CODIFICACION!$E$2:$E$500,MATCH("D10.36|"&amp;CV77,CODIFICACION!$F$2:$F$500,0))),"⚠"))</f>
        <v/>
      </c>
      <c r="BR77" t="str">
        <f>IF(CW77="","",IFERROR(IF(INDEX(CODIFICACION!$E$2:$E$500,MATCH("D10.37|"&amp;CW77,CODIFICACION!$F$2:$F$500,0))="sin dato","",INDEX(CODIFICACION!$E$2:$E$500,MATCH("D10.37|"&amp;CW77,CODIFICACION!$F$2:$F$500,0))),"⚠"))</f>
        <v/>
      </c>
      <c r="BS77" t="str">
        <f>IF(CX77="","",IFERROR(IF(INDEX(CODIFICACION!$E$2:$E$500,MATCH("D10.36a|"&amp;CX77,CODIFICACION!$F$2:$F$500,0))="sin dato","",INDEX(CODIFICACION!$E$2:$E$500,MATCH("D10.36a|"&amp;CX77,CODIFICACION!$F$2:$F$500,0))),"⚠"))</f>
        <v/>
      </c>
      <c r="BT77" t="str">
        <f t="shared" si="63"/>
        <v/>
      </c>
      <c r="BU77" t="str">
        <f>IF(DA77="","",IFERROR(IF(INDEX(CODIFICACION!$E$2:$E$500,MATCH("D11.39a|"&amp;DA77,CODIFICACION!$F$2:$F$500,0))="sin dato","",INDEX(CODIFICACION!$E$2:$E$500,MATCH("D11.39a|"&amp;DA77,CODIFICACION!$F$2:$F$500,0))),"⚠"))</f>
        <v/>
      </c>
      <c r="BV77" t="str">
        <f>IF(DB77="","",IFERROR(IF(INDEX(CODIFICACION!$E$2:$E$500,MATCH("D12.42|"&amp;DB77,CODIFICACION!$F$2:$F$500,0))="sin dato","",INDEX(CODIFICACION!$E$2:$E$500,MATCH("D12.42|"&amp;DB77,CODIFICACION!$F$2:$F$500,0))),"⚠"))</f>
        <v/>
      </c>
      <c r="BW77" t="str">
        <f>IF(DC77="","",IFERROR(IF(INDEX(CODIFICACION!$E$2:$E$500,MATCH("D13.45|"&amp;DC77,CODIFICACION!$F$2:$F$500,0))="sin dato","",INDEX(CODIFICACION!$E$2:$E$500,MATCH("D13.45|"&amp;DC77,CODIFICACION!$F$2:$F$500,0))),"⚠"))</f>
        <v/>
      </c>
      <c r="BX77" t="str">
        <f>IF(DD77="","",IFERROR(IF(INDEX(CODIFICACION!$E$2:$E$500,MATCH("D14.51|"&amp;DD77,CODIFICACION!$F$2:$F$500,0))="sin dato","",INDEX(CODIFICACION!$E$2:$E$500,MATCH("D14.51|"&amp;DD77,CODIFICACION!$F$2:$F$500,0))),"⚠"))</f>
        <v/>
      </c>
      <c r="BY77" t="str">
        <f>IF(DE77="","",IFERROR(IF(INDEX(CODIFICACION!$E$2:$E$500,MATCH("D15.58|"&amp;DE77,CODIFICACION!$F$2:$F$500,0))="sin dato","",INDEX(CODIFICACION!$E$2:$E$500,MATCH("D15.58|"&amp;DE77,CODIFICACION!$F$2:$F$500,0))),"⚠"))</f>
        <v/>
      </c>
      <c r="BZ77" t="str">
        <f>IF(DF77="","",IFERROR(IF(INDEX(CODIFICACION!$E$2:$E$500,MATCH("PP1|"&amp;DF77,CODIFICACION!$F$2:$F$500,0))="sin dato","",INDEX(CODIFICACION!$E$2:$E$500,MATCH("PP1|"&amp;DF77,CODIFICACION!$F$2:$F$500,0))),"⚠"))</f>
        <v/>
      </c>
      <c r="CA77" t="str">
        <f>IF(DG77="","",IFERROR(IF(INDEX(CODIFICACION!$E$2:$E$500,MATCH("PP2|"&amp;DG77,CODIFICACION!$F$2:$F$500,0))="sin dato","",INDEX(CODIFICACION!$E$2:$E$500,MATCH("PP2|"&amp;DG77,CODIFICACION!$F$2:$F$500,0))),"⚠"))</f>
        <v/>
      </c>
      <c r="CB77" t="str">
        <f t="shared" si="64"/>
        <v/>
      </c>
      <c r="CC77" t="str">
        <f t="shared" ca="1" si="65"/>
        <v/>
      </c>
      <c r="CD77" t="str">
        <f t="shared" ca="1" si="66"/>
        <v/>
      </c>
      <c r="CE77" t="str">
        <f t="shared" si="67"/>
        <v/>
      </c>
      <c r="CF77" t="str">
        <f t="shared" si="68"/>
        <v/>
      </c>
      <c r="CG77" t="str">
        <f t="shared" ca="1" si="69"/>
        <v/>
      </c>
      <c r="CH77" t="str">
        <f t="shared" ca="1" si="70"/>
        <v/>
      </c>
      <c r="CI77" t="str">
        <f t="shared" si="71"/>
        <v/>
      </c>
      <c r="CJ77" t="str">
        <f t="shared" si="72"/>
        <v/>
      </c>
      <c r="CK77" t="str">
        <f t="shared" si="73"/>
        <v/>
      </c>
      <c r="CL77" t="str">
        <f t="shared" si="74"/>
        <v/>
      </c>
    </row>
    <row r="78" spans="1:90" x14ac:dyDescent="0.3">
      <c r="A78">
        <f>CAPTURA!A78</f>
        <v>20542482886</v>
      </c>
      <c r="B78">
        <f>CAPTURA!C78</f>
        <v>0</v>
      </c>
      <c r="C78" t="str">
        <f t="shared" si="50"/>
        <v/>
      </c>
      <c r="D78" t="str">
        <f>IF(AE78="","",IFERROR(IF(INDEX(CODIFICACION!$E$2:$E$500,MATCH("P8|"&amp;AE78,CODIFICACION!$F$2:$F$500,0))="sin dato","",INDEX(CODIFICACION!$E$2:$E$500,MATCH("P8|"&amp;AE78,CODIFICACION!$F$2:$F$500,0))),"⚠"))</f>
        <v/>
      </c>
      <c r="E78" t="str">
        <f>IF(AG78="","",IFERROR(IF(INDEX(CODIFICACION!$E$2:$E$500,MATCH("P10|"&amp;AG78,CODIFICACION!$F$2:$F$500,0))="sin dato","",INDEX(CODIFICACION!$E$2:$E$500,MATCH("P10|"&amp;AG78,CODIFICACION!$F$2:$F$500,0))),"⚠"))</f>
        <v/>
      </c>
      <c r="F78" t="str">
        <f>IF(AJ78="","",IFERROR(IF(INDEX(CODIFICACION!$E$2:$E$500,MATCH("P13|"&amp;AJ78,CODIFICACION!$F$2:$F$500,0))="sin dato","",INDEX(CODIFICACION!$E$2:$E$500,MATCH("P13|"&amp;AJ78,CODIFICACION!$F$2:$F$500,0))),"⚠"))</f>
        <v/>
      </c>
      <c r="G78" t="str">
        <f>IF(AK78="","",IFERROR(IF(INDEX(CODIFICACION!$E$2:$E$500,MATCH("P14|"&amp;AK78,CODIFICACION!$F$2:$F$500,0))="sin dato","",INDEX(CODIFICACION!$E$2:$E$500,MATCH("P14|"&amp;AK78,CODIFICACION!$F$2:$F$500,0))),"⚠"))</f>
        <v/>
      </c>
      <c r="H78" t="str">
        <f>IF(AL78="","",IFERROR(IF(INDEX(CODIFICACION!$E$2:$E$500,MATCH("D1.1|"&amp;AL78,CODIFICACION!$F$2:$F$500,0))="sin dato","",INDEX(CODIFICACION!$E$2:$E$500,MATCH("D1.1|"&amp;AL78,CODIFICACION!$F$2:$F$500,0))),"⚠"))</f>
        <v/>
      </c>
      <c r="I78" t="str">
        <f>IF(AN78="","",IFERROR(IF(INDEX(CODIFICACION!$E$2:$E$500,MATCH("D1.3|"&amp;AN78,CODIFICACION!$F$2:$F$500,0))="sin dato","",INDEX(CODIFICACION!$E$2:$E$500,MATCH("D1.3|"&amp;AN78,CODIFICACION!$F$2:$F$500,0))),"⚠"))</f>
        <v/>
      </c>
      <c r="J78" t="str">
        <f>IF(AO78="","",IFERROR(IF(INDEX(CODIFICACION!$E$2:$E$500,MATCH("D1.4|"&amp;AO78,CODIFICACION!$F$2:$F$500,0))="sin dato","",INDEX(CODIFICACION!$E$2:$E$500,MATCH("D1.4|"&amp;AO78,CODIFICACION!$F$2:$F$500,0))),"⚠"))</f>
        <v/>
      </c>
      <c r="K78" t="str">
        <f>IF(AP78="","",IFERROR(IF(INDEX(CODIFICACION!$E$2:$E$500,MATCH("D1.3a|"&amp;AP78,CODIFICACION!$F$2:$F$500,0))="sin dato","",INDEX(CODIFICACION!$E$2:$E$500,MATCH("D1.3a|"&amp;AP78,CODIFICACION!$F$2:$F$500,0))),"⚠"))</f>
        <v/>
      </c>
      <c r="L78" t="str">
        <f t="shared" si="51"/>
        <v/>
      </c>
      <c r="M78" t="str">
        <f t="shared" si="52"/>
        <v/>
      </c>
      <c r="N78" t="str">
        <f t="shared" si="53"/>
        <v/>
      </c>
      <c r="O78" t="str">
        <f>IF(AT78="","",IFERROR(IF(INDEX(CODIFICACION!$E$2:$E$500,MATCH("D2.8|"&amp;AT78,CODIFICACION!$F$2:$F$500,0))="sin dato","",INDEX(CODIFICACION!$E$2:$E$500,MATCH("D2.8|"&amp;AT78,CODIFICACION!$F$2:$F$500,0))),"⚠"))</f>
        <v/>
      </c>
      <c r="P78" t="str">
        <f>IF(AU78="","",IFERROR(IF(INDEX(CODIFICACION!$E$2:$E$500,MATCH("D2.9|"&amp;AU78,CODIFICACION!$F$2:$F$500,0))="sin dato","",INDEX(CODIFICACION!$E$2:$E$500,MATCH("D2.9|"&amp;AU78,CODIFICACION!$F$2:$F$500,0))),"⚠"))</f>
        <v/>
      </c>
      <c r="Q78" t="str">
        <f>IF(AV78="","",IFERROR(IF(INDEX(CODIFICACION!$E$2:$E$500,MATCH("D2.10|"&amp;AV78,CODIFICACION!$F$2:$F$500,0))="sin dato","",INDEX(CODIFICACION!$E$2:$E$500,MATCH("D2.10|"&amp;AV78,CODIFICACION!$F$2:$F$500,0))),"⚠"))</f>
        <v/>
      </c>
      <c r="R78" t="str">
        <f>IF(AW78="","",IFERROR(IF(INDEX(CODIFICACION!$E$2:$E$500,MATCH("D2.5a|"&amp;AW78,CODIFICACION!$F$2:$F$500,0))="sin dato","",INDEX(CODIFICACION!$E$2:$E$500,MATCH("D2.5a|"&amp;AW78,CODIFICACION!$F$2:$F$500,0))),"⚠"))</f>
        <v/>
      </c>
      <c r="S78" t="str">
        <f ca="1">IF(AX78="","",IFERROR(IF(INDEX(CODIFICACION!$E$2:$E$500,MATCH("D2.5b|"&amp;AX78,CODIFICACION!$F$2:$F$500,0))="sin dato","",INDEX(CODIFICACION!$E$2:$E$500,MATCH("D2.5b|"&amp;AX78,CODIFICACION!$F$2:$F$500,0))),"⚠"))</f>
        <v/>
      </c>
      <c r="T78" t="str">
        <f t="shared" ca="1" si="54"/>
        <v/>
      </c>
      <c r="U78" t="str">
        <f>IF(AZ78="","",IFERROR(IF(INDEX(CODIFICACION!$E$2:$E$500,MATCH("D3.12|"&amp;AZ78,CODIFICACION!$F$2:$F$500,0))="sin dato","",INDEX(CODIFICACION!$E$2:$E$500,MATCH("D3.12|"&amp;AZ78,CODIFICACION!$F$2:$F$500,0))),"⚠"))</f>
        <v/>
      </c>
      <c r="V78" t="str">
        <f t="shared" si="55"/>
        <v/>
      </c>
      <c r="W78" t="str">
        <f ca="1">IF(BB78="","",IFERROR(IF(INDEX(CODIFICACION!$E$2:$E$500,MATCH("D3.14|"&amp;BB78,CODIFICACION!$F$2:$F$500,0))="sin dato","",INDEX(CODIFICACION!$E$2:$E$500,MATCH("D3.14|"&amp;BB78,CODIFICACION!$F$2:$F$500,0))),"⚠"))</f>
        <v/>
      </c>
      <c r="X78" t="str">
        <f ca="1">IF(BC78="","",IFERROR(IF(INDEX(CODIFICACION!$E$2:$E$500,MATCH("D3.14a|"&amp;BC78,CODIFICACION!$F$2:$F$500,0))="sin dato","",INDEX(CODIFICACION!$E$2:$E$500,MATCH("D3.14a|"&amp;BC78,CODIFICACION!$F$2:$F$500,0))),"⚠"))</f>
        <v/>
      </c>
      <c r="Y78" t="str">
        <f>IF(BD78="","",IFERROR(IF(INDEX(CODIFICACION!$E$2:$E$500,MATCH("D3.14b|"&amp;BD78,CODIFICACION!$F$2:$F$500,0))="sin dato","",INDEX(CODIFICACION!$E$2:$E$500,MATCH("D3.14b|"&amp;BD78,CODIFICACION!$F$2:$F$500,0))),"⚠"))</f>
        <v/>
      </c>
      <c r="Z78" t="str">
        <f>IF(BE78="","",IFERROR(IF(INDEX(CODIFICACION!$E$2:$E$500,MATCH("D3.14c|"&amp;BE78,CODIFICACION!$F$2:$F$500,0))="sin dato","",INDEX(CODIFICACION!$E$2:$E$500,MATCH("D3.14c|"&amp;BE78,CODIFICACION!$F$2:$F$500,0))),"⚠"))</f>
        <v/>
      </c>
      <c r="AA78" t="str">
        <f>IF(BF78="","",IFERROR(IF(INDEX(CODIFICACION!$E$2:$E$500,MATCH("D3.14d|"&amp;BF78,CODIFICACION!$F$2:$F$500,0))="sin dato","",INDEX(CODIFICACION!$E$2:$E$500,MATCH("D3.14d|"&amp;BF78,CODIFICACION!$F$2:$F$500,0))),"⚠"))</f>
        <v/>
      </c>
      <c r="AB78" t="str">
        <f>IF(BG78="","",IFERROR(IF(INDEX(CODIFICACION!$E$2:$E$500,MATCH("D3.14e|"&amp;BG78,CODIFICACION!$F$2:$F$500,0))="sin dato","",INDEX(CODIFICACION!$E$2:$E$500,MATCH("D3.14e|"&amp;BG78,CODIFICACION!$F$2:$F$500,0))),"⚠"))</f>
        <v/>
      </c>
      <c r="AC78" t="str">
        <f>IF(BH78="","",IFERROR(IF(INDEX(CODIFICACION!$E$2:$E$500,MATCH("D3.14f|"&amp;BH78,CODIFICACION!$F$2:$F$500,0))="sin dato","",INDEX(CODIFICACION!$E$2:$E$500,MATCH("D3.14f|"&amp;BH78,CODIFICACION!$F$2:$F$500,0))),"⚠"))</f>
        <v/>
      </c>
      <c r="AD78" t="str">
        <f>IF(BI78="","",IFERROR(IF(INDEX(CODIFICACION!$E$2:$E$500,MATCH("D3.14g|"&amp;BI78,CODIFICACION!$F$2:$F$500,0))="sin dato","",INDEX(CODIFICACION!$E$2:$E$500,MATCH("D3.14g|"&amp;BI78,CODIFICACION!$F$2:$F$500,0))),"⚠"))</f>
        <v/>
      </c>
      <c r="AE78" t="str">
        <f>IF(BJ78="","",IFERROR(IF(INDEX(CODIFICACION!$E$2:$E$500,MATCH("D3.14h|"&amp;BJ78,CODIFICACION!$F$2:$F$500,0))="sin dato","",INDEX(CODIFICACION!$E$2:$E$500,MATCH("D3.14h|"&amp;BJ78,CODIFICACION!$F$2:$F$500,0))),"⚠"))</f>
        <v/>
      </c>
      <c r="AF78" t="str">
        <f>IF(BK78="","",IFERROR(IF(INDEX(CODIFICACION!$E$2:$E$500,MATCH("D3.14i|"&amp;BK78,CODIFICACION!$F$2:$F$500,0))="sin dato","",INDEX(CODIFICACION!$E$2:$E$500,MATCH("D3.14i|"&amp;BK78,CODIFICACION!$F$2:$F$500,0))),"⚠"))</f>
        <v/>
      </c>
      <c r="AG78" t="str">
        <f>IF(BL78="","",IFERROR(IF(INDEX(CODIFICACION!$E$2:$E$500,MATCH("D4.15|"&amp;BL78,CODIFICACION!$F$2:$F$500,0))="sin dato","",INDEX(CODIFICACION!$E$2:$E$500,MATCH("D4.15|"&amp;BL78,CODIFICACION!$F$2:$F$500,0))),"⚠"))</f>
        <v/>
      </c>
      <c r="AH78" t="str">
        <f t="shared" si="56"/>
        <v/>
      </c>
      <c r="AI78" t="str">
        <f>IF(BN78="","",IFERROR(IF(INDEX(CODIFICACION!$E$2:$E$500,MATCH("D4.17|"&amp;BN78,CODIFICACION!$F$2:$F$500,0))="sin dato","",INDEX(CODIFICACION!$E$2:$E$500,MATCH("D4.17|"&amp;BN78,CODIFICACION!$F$2:$F$500,0))),"⚠"))</f>
        <v/>
      </c>
      <c r="AJ78" t="str">
        <f>IF(BO78="","",IFERROR(IF(INDEX(CODIFICACION!$E$2:$E$500,MATCH("D4.15a|"&amp;BO78,CODIFICACION!$F$2:$F$500,0))="sin dato","",INDEX(CODIFICACION!$E$2:$E$500,MATCH("D4.15a|"&amp;BO78,CODIFICACION!$F$2:$F$500,0))),"⚠"))</f>
        <v/>
      </c>
      <c r="AK78" t="str">
        <f t="shared" si="57"/>
        <v/>
      </c>
      <c r="AL78" t="str">
        <f t="shared" si="58"/>
        <v/>
      </c>
      <c r="AM78" t="str">
        <f>IF(BR78="","",IFERROR(IF(INDEX(CODIFICACION!$E$2:$E$500,MATCH("D5.18b|"&amp;BR78,CODIFICACION!$F$2:$F$500,0))="sin dato","",INDEX(CODIFICACION!$E$2:$E$500,MATCH("D5.18b|"&amp;BR78,CODIFICACION!$F$2:$F$500,0))),"⚠"))</f>
        <v/>
      </c>
      <c r="AN78" t="str">
        <f>IF(BS78="","",IFERROR(IF(INDEX(CODIFICACION!$E$2:$E$500,MATCH("D5.19|"&amp;BS78,CODIFICACION!$F$2:$F$500,0))="sin dato","",INDEX(CODIFICACION!$E$2:$E$500,MATCH("D5.19|"&amp;BS78,CODIFICACION!$F$2:$F$500,0))),"⚠"))</f>
        <v/>
      </c>
      <c r="AO78" t="str">
        <f t="shared" si="59"/>
        <v/>
      </c>
      <c r="AP78" t="str">
        <f>IF(BU78="","",IFERROR(IF(INDEX(CODIFICACION!$E$2:$E$500,MATCH("D5.20|"&amp;BU78,CODIFICACION!$F$2:$F$500,0))="sin dato","",INDEX(CODIFICACION!$E$2:$E$500,MATCH("D5.20|"&amp;BU78,CODIFICACION!$F$2:$F$500,0))),"⚠"))</f>
        <v/>
      </c>
      <c r="AQ78" t="str">
        <f>IF(BV78="","",IFERROR(IF(INDEX(CODIFICACION!$E$2:$E$500,MATCH("D5.21|"&amp;BV78,CODIFICACION!$F$2:$F$500,0))="sin dato","",INDEX(CODIFICACION!$E$2:$E$500,MATCH("D5.21|"&amp;BV78,CODIFICACION!$F$2:$F$500,0))),"⚠"))</f>
        <v/>
      </c>
      <c r="AR78" t="str">
        <f>IF(BW78="","",IFERROR(IF(INDEX(CODIFICACION!$E$2:$E$500,MATCH("D5.21a|"&amp;BW78,CODIFICACION!$F$2:$F$500,0))="sin dato","",INDEX(CODIFICACION!$E$2:$E$500,MATCH("D5.21a|"&amp;BW78,CODIFICACION!$F$2:$F$500,0))),"⚠"))</f>
        <v/>
      </c>
      <c r="AS78" t="str">
        <f>IF(BX78="","",IFERROR(IF(INDEX(CODIFICACION!$E$2:$E$500,MATCH("D5.21b|"&amp;BX78,CODIFICACION!$F$2:$F$500,0))="sin dato","",INDEX(CODIFICACION!$E$2:$E$500,MATCH("D5.21b|"&amp;BX78,CODIFICACION!$F$2:$F$500,0))),"⚠"))</f>
        <v/>
      </c>
      <c r="AT78" t="str">
        <f>IF(BY78="","",IFERROR(IF(INDEX(CODIFICACION!$E$2:$E$500,MATCH("D6.22|"&amp;BY78,CODIFICACION!$F$2:$F$500,0))="sin dato","",INDEX(CODIFICACION!$E$2:$E$500,MATCH("D6.22|"&amp;BY78,CODIFICACION!$F$2:$F$500,0))),"⚠"))</f>
        <v/>
      </c>
      <c r="AU78" t="str">
        <f>IF(BZ78="","",IFERROR(IF(INDEX(CODIFICACION!$E$2:$E$500,MATCH("D6.22a|"&amp;BZ78,CODIFICACION!$F$2:$F$500,0))="sin dato","",INDEX(CODIFICACION!$E$2:$E$500,MATCH("D6.22a|"&amp;BZ78,CODIFICACION!$F$2:$F$500,0))),"⚠"))</f>
        <v/>
      </c>
      <c r="AV78" t="str">
        <f>IF(CA78="","",IFERROR(IF(INDEX(CODIFICACION!$E$2:$E$500,MATCH("D6.22b|"&amp;CA78,CODIFICACION!$F$2:$F$500,0))="sin dato","",INDEX(CODIFICACION!$E$2:$E$500,MATCH("D6.22b|"&amp;CA78,CODIFICACION!$F$2:$F$500,0))),"⚠"))</f>
        <v/>
      </c>
      <c r="AW78" t="str">
        <f>IF(CB78="","",IFERROR(IF(INDEX(CODIFICACION!$E$2:$E$500,MATCH("D6.23|"&amp;CB78,CODIFICACION!$F$2:$F$500,0))="sin dato","",INDEX(CODIFICACION!$E$2:$E$500,MATCH("D6.23|"&amp;CB78,CODIFICACION!$F$2:$F$500,0))),"⚠"))</f>
        <v/>
      </c>
      <c r="AX78" t="str">
        <f ca="1">IF(CC78="","",IFERROR(IF(INDEX(CODIFICACION!$E$2:$E$500,MATCH("D6.24|"&amp;CC78,CODIFICACION!$F$2:$F$500,0))="sin dato","",INDEX(CODIFICACION!$E$2:$E$500,MATCH("D6.24|"&amp;CC78,CODIFICACION!$F$2:$F$500,0))),"⚠"))</f>
        <v/>
      </c>
      <c r="AY78" t="str">
        <f ca="1">IF(CD78="","",IFERROR(IF(INDEX(CODIFICACION!$E$2:$E$500,MATCH("D6.25|"&amp;CD78,CODIFICACION!$F$2:$F$500,0))="sin dato","",INDEX(CODIFICACION!$E$2:$E$500,MATCH("D6.25|"&amp;CD78,CODIFICACION!$F$2:$F$500,0))),"⚠"))</f>
        <v/>
      </c>
      <c r="AZ78" t="str">
        <f>IF(CE78="","",IFERROR(IF(INDEX(CODIFICACION!$E$2:$E$500,MATCH("D6.25a|"&amp;CE78,CODIFICACION!$F$2:$F$500,0))="sin dato","",INDEX(CODIFICACION!$E$2:$E$500,MATCH("D6.25a|"&amp;CE78,CODIFICACION!$F$2:$F$500,0))),"⚠"))</f>
        <v/>
      </c>
      <c r="BA78" t="str">
        <f>IF(CF78="","",IFERROR(IF(INDEX(CODIFICACION!$E$2:$E$500,MATCH("D6.25b|"&amp;CF78,CODIFICACION!$F$2:$F$500,0))="sin dato","",INDEX(CODIFICACION!$E$2:$E$500,MATCH("D6.25b|"&amp;CF78,CODIFICACION!$F$2:$F$500,0))),"⚠"))</f>
        <v/>
      </c>
      <c r="BB78" t="str">
        <f ca="1">IF(CG78="","",IFERROR(IF(INDEX(CODIFICACION!$E$2:$E$500,MATCH("D6.22c|"&amp;CG78,CODIFICACION!$F$2:$F$500,0))="sin dato","",INDEX(CODIFICACION!$E$2:$E$500,MATCH("D6.22c|"&amp;CG78,CODIFICACION!$F$2:$F$500,0))),"⚠"))</f>
        <v/>
      </c>
      <c r="BC78" t="str">
        <f ca="1">IF(CH78="","",IFERROR(IF(INDEX(CODIFICACION!$E$2:$E$500,MATCH("D7.26|"&amp;CH78,CODIFICACION!$F$2:$F$500,0))="sin dato","",INDEX(CODIFICACION!$E$2:$E$500,MATCH("D7.26|"&amp;CH78,CODIFICACION!$F$2:$F$500,0))),"⚠"))</f>
        <v/>
      </c>
      <c r="BD78" t="str">
        <f>IF(CI78="","",IFERROR(IF(INDEX(CODIFICACION!$E$2:$E$500,MATCH("D7.27|"&amp;CI78,CODIFICACION!$F$2:$F$500,0))="sin dato","",INDEX(CODIFICACION!$E$2:$E$500,MATCH("D7.27|"&amp;CI78,CODIFICACION!$F$2:$F$500,0))),"⚠"))</f>
        <v/>
      </c>
      <c r="BE78" t="str">
        <f>IF(CJ78="","",IFERROR(IF(INDEX(CODIFICACION!$E$2:$E$500,MATCH("D7.28|"&amp;CJ78,CODIFICACION!$F$2:$F$500,0))="sin dato","",INDEX(CODIFICACION!$E$2:$E$500,MATCH("D7.28|"&amp;CJ78,CODIFICACION!$F$2:$F$500,0))),"⚠"))</f>
        <v/>
      </c>
      <c r="BF78" t="str">
        <f>IF(CK78="","",IFERROR(IF(INDEX(CODIFICACION!$E$2:$E$500,MATCH("D7.28b|"&amp;CK78,CODIFICACION!$F$2:$F$500,0))="sin dato","",INDEX(CODIFICACION!$E$2:$E$500,MATCH("D7.28b|"&amp;CK78,CODIFICACION!$F$2:$F$500,0))),"⚠"))</f>
        <v/>
      </c>
      <c r="BG78" t="str">
        <f t="shared" si="60"/>
        <v/>
      </c>
      <c r="BH78" t="str">
        <f>IF(CM78="","",IFERROR(IF(INDEX(CODIFICACION!$E$2:$E$500,MATCH("D7.26a|"&amp;CM78,CODIFICACION!$F$2:$F$500,0))="sin dato","",INDEX(CODIFICACION!$E$2:$E$500,MATCH("D7.26a|"&amp;CM78,CODIFICACION!$F$2:$F$500,0))),"⚠"))</f>
        <v/>
      </c>
      <c r="BI78" t="str">
        <f>IF(CN78="","",IFERROR(IF(INDEX(CODIFICACION!$E$2:$E$500,MATCH("D7.26b|"&amp;CN78,CODIFICACION!$F$2:$F$500,0))="sin dato","",INDEX(CODIFICACION!$E$2:$E$500,MATCH("D7.26b|"&amp;CN78,CODIFICACION!$F$2:$F$500,0))),"⚠"))</f>
        <v/>
      </c>
      <c r="BJ78" t="str">
        <f t="shared" si="61"/>
        <v/>
      </c>
      <c r="BK78" t="str">
        <f t="shared" si="62"/>
        <v/>
      </c>
      <c r="BL78" t="str">
        <f>IF(CQ78="","",IFERROR(IF(INDEX(CODIFICACION!$E$2:$E$500,MATCH("D8.31|"&amp;CQ78,CODIFICACION!$F$2:$F$500,0))="sin dato","",INDEX(CODIFICACION!$E$2:$E$500,MATCH("D8.31|"&amp;CQ78,CODIFICACION!$F$2:$F$500,0))),"⚠"))</f>
        <v/>
      </c>
      <c r="BM78" t="str">
        <f>IF(CR78="","",IFERROR(IF(INDEX(CODIFICACION!$E$2:$E$500,MATCH("D8.32|"&amp;CR78,CODIFICACION!$F$2:$F$500,0))="sin dato","",INDEX(CODIFICACION!$E$2:$E$500,MATCH("D8.32|"&amp;CR78,CODIFICACION!$F$2:$F$500,0))),"⚠"))</f>
        <v/>
      </c>
      <c r="BN78" t="str">
        <f>IF(CS78="","",IFERROR(IF(INDEX(CODIFICACION!$E$2:$E$500,MATCH("D9.33|"&amp;CS78,CODIFICACION!$F$2:$F$500,0))="sin dato","",INDEX(CODIFICACION!$E$2:$E$500,MATCH("D9.33|"&amp;CS78,CODIFICACION!$F$2:$F$500,0))),"⚠"))</f>
        <v/>
      </c>
      <c r="BO78" t="str">
        <f>IF(CT78="","",IFERROR(IF(INDEX(CODIFICACION!$E$2:$E$500,MATCH("D9.34|"&amp;CT78,CODIFICACION!$F$2:$F$500,0))="sin dato","",INDEX(CODIFICACION!$E$2:$E$500,MATCH("D9.34|"&amp;CT78,CODIFICACION!$F$2:$F$500,0))),"⚠"))</f>
        <v/>
      </c>
      <c r="BP78" t="str">
        <f>IF(CU78="","",IFERROR(IF(INDEX(CODIFICACION!$E$2:$E$500,MATCH("D9.35|"&amp;CU78,CODIFICACION!$F$2:$F$500,0))="sin dato","",INDEX(CODIFICACION!$E$2:$E$500,MATCH("D9.35|"&amp;CU78,CODIFICACION!$F$2:$F$500,0))),"⚠"))</f>
        <v/>
      </c>
      <c r="BQ78" t="str">
        <f>IF(CV78="","",IFERROR(IF(INDEX(CODIFICACION!$E$2:$E$500,MATCH("D10.36|"&amp;CV78,CODIFICACION!$F$2:$F$500,0))="sin dato","",INDEX(CODIFICACION!$E$2:$E$500,MATCH("D10.36|"&amp;CV78,CODIFICACION!$F$2:$F$500,0))),"⚠"))</f>
        <v/>
      </c>
      <c r="BR78" t="str">
        <f>IF(CW78="","",IFERROR(IF(INDEX(CODIFICACION!$E$2:$E$500,MATCH("D10.37|"&amp;CW78,CODIFICACION!$F$2:$F$500,0))="sin dato","",INDEX(CODIFICACION!$E$2:$E$500,MATCH("D10.37|"&amp;CW78,CODIFICACION!$F$2:$F$500,0))),"⚠"))</f>
        <v/>
      </c>
      <c r="BS78" t="str">
        <f>IF(CX78="","",IFERROR(IF(INDEX(CODIFICACION!$E$2:$E$500,MATCH("D10.36a|"&amp;CX78,CODIFICACION!$F$2:$F$500,0))="sin dato","",INDEX(CODIFICACION!$E$2:$E$500,MATCH("D10.36a|"&amp;CX78,CODIFICACION!$F$2:$F$500,0))),"⚠"))</f>
        <v/>
      </c>
      <c r="BT78" t="str">
        <f t="shared" si="63"/>
        <v/>
      </c>
      <c r="BU78" t="str">
        <f>IF(DA78="","",IFERROR(IF(INDEX(CODIFICACION!$E$2:$E$500,MATCH("D11.39a|"&amp;DA78,CODIFICACION!$F$2:$F$500,0))="sin dato","",INDEX(CODIFICACION!$E$2:$E$500,MATCH("D11.39a|"&amp;DA78,CODIFICACION!$F$2:$F$500,0))),"⚠"))</f>
        <v/>
      </c>
      <c r="BV78" t="str">
        <f>IF(DB78="","",IFERROR(IF(INDEX(CODIFICACION!$E$2:$E$500,MATCH("D12.42|"&amp;DB78,CODIFICACION!$F$2:$F$500,0))="sin dato","",INDEX(CODIFICACION!$E$2:$E$500,MATCH("D12.42|"&amp;DB78,CODIFICACION!$F$2:$F$500,0))),"⚠"))</f>
        <v/>
      </c>
      <c r="BW78" t="str">
        <f>IF(DC78="","",IFERROR(IF(INDEX(CODIFICACION!$E$2:$E$500,MATCH("D13.45|"&amp;DC78,CODIFICACION!$F$2:$F$500,0))="sin dato","",INDEX(CODIFICACION!$E$2:$E$500,MATCH("D13.45|"&amp;DC78,CODIFICACION!$F$2:$F$500,0))),"⚠"))</f>
        <v/>
      </c>
      <c r="BX78" t="str">
        <f>IF(DD78="","",IFERROR(IF(INDEX(CODIFICACION!$E$2:$E$500,MATCH("D14.51|"&amp;DD78,CODIFICACION!$F$2:$F$500,0))="sin dato","",INDEX(CODIFICACION!$E$2:$E$500,MATCH("D14.51|"&amp;DD78,CODIFICACION!$F$2:$F$500,0))),"⚠"))</f>
        <v/>
      </c>
      <c r="BY78" t="str">
        <f>IF(DE78="","",IFERROR(IF(INDEX(CODIFICACION!$E$2:$E$500,MATCH("D15.58|"&amp;DE78,CODIFICACION!$F$2:$F$500,0))="sin dato","",INDEX(CODIFICACION!$E$2:$E$500,MATCH("D15.58|"&amp;DE78,CODIFICACION!$F$2:$F$500,0))),"⚠"))</f>
        <v/>
      </c>
      <c r="BZ78" t="str">
        <f>IF(DF78="","",IFERROR(IF(INDEX(CODIFICACION!$E$2:$E$500,MATCH("PP1|"&amp;DF78,CODIFICACION!$F$2:$F$500,0))="sin dato","",INDEX(CODIFICACION!$E$2:$E$500,MATCH("PP1|"&amp;DF78,CODIFICACION!$F$2:$F$500,0))),"⚠"))</f>
        <v/>
      </c>
      <c r="CA78" t="str">
        <f>IF(DG78="","",IFERROR(IF(INDEX(CODIFICACION!$E$2:$E$500,MATCH("PP2|"&amp;DG78,CODIFICACION!$F$2:$F$500,0))="sin dato","",INDEX(CODIFICACION!$E$2:$E$500,MATCH("PP2|"&amp;DG78,CODIFICACION!$F$2:$F$500,0))),"⚠"))</f>
        <v/>
      </c>
      <c r="CB78" t="str">
        <f t="shared" si="64"/>
        <v/>
      </c>
      <c r="CC78" t="str">
        <f t="shared" ca="1" si="65"/>
        <v/>
      </c>
      <c r="CD78" t="str">
        <f t="shared" ca="1" si="66"/>
        <v/>
      </c>
      <c r="CE78" t="str">
        <f t="shared" si="67"/>
        <v/>
      </c>
      <c r="CF78" t="str">
        <f t="shared" si="68"/>
        <v/>
      </c>
      <c r="CG78" t="str">
        <f t="shared" ca="1" si="69"/>
        <v/>
      </c>
      <c r="CH78" t="str">
        <f t="shared" ca="1" si="70"/>
        <v/>
      </c>
      <c r="CI78" t="str">
        <f t="shared" si="71"/>
        <v/>
      </c>
      <c r="CJ78" t="str">
        <f t="shared" si="72"/>
        <v/>
      </c>
      <c r="CK78" t="str">
        <f t="shared" si="73"/>
        <v/>
      </c>
      <c r="CL78" t="str">
        <f t="shared" si="74"/>
        <v/>
      </c>
    </row>
    <row r="79" spans="1:90" x14ac:dyDescent="0.3">
      <c r="A79">
        <f>CAPTURA!A79</f>
        <v>20542825163</v>
      </c>
      <c r="B79">
        <f>CAPTURA!C79</f>
        <v>0</v>
      </c>
      <c r="C79" t="str">
        <f t="shared" si="50"/>
        <v/>
      </c>
      <c r="D79" t="str">
        <f>IF(AE79="","",IFERROR(IF(INDEX(CODIFICACION!$E$2:$E$500,MATCH("P8|"&amp;AE79,CODIFICACION!$F$2:$F$500,0))="sin dato","",INDEX(CODIFICACION!$E$2:$E$500,MATCH("P8|"&amp;AE79,CODIFICACION!$F$2:$F$500,0))),"⚠"))</f>
        <v/>
      </c>
      <c r="E79" t="str">
        <f>IF(AG79="","",IFERROR(IF(INDEX(CODIFICACION!$E$2:$E$500,MATCH("P10|"&amp;AG79,CODIFICACION!$F$2:$F$500,0))="sin dato","",INDEX(CODIFICACION!$E$2:$E$500,MATCH("P10|"&amp;AG79,CODIFICACION!$F$2:$F$500,0))),"⚠"))</f>
        <v/>
      </c>
      <c r="F79" t="str">
        <f>IF(AJ79="","",IFERROR(IF(INDEX(CODIFICACION!$E$2:$E$500,MATCH("P13|"&amp;AJ79,CODIFICACION!$F$2:$F$500,0))="sin dato","",INDEX(CODIFICACION!$E$2:$E$500,MATCH("P13|"&amp;AJ79,CODIFICACION!$F$2:$F$500,0))),"⚠"))</f>
        <v/>
      </c>
      <c r="G79" t="str">
        <f>IF(AK79="","",IFERROR(IF(INDEX(CODIFICACION!$E$2:$E$500,MATCH("P14|"&amp;AK79,CODIFICACION!$F$2:$F$500,0))="sin dato","",INDEX(CODIFICACION!$E$2:$E$500,MATCH("P14|"&amp;AK79,CODIFICACION!$F$2:$F$500,0))),"⚠"))</f>
        <v/>
      </c>
      <c r="H79" t="str">
        <f>IF(AL79="","",IFERROR(IF(INDEX(CODIFICACION!$E$2:$E$500,MATCH("D1.1|"&amp;AL79,CODIFICACION!$F$2:$F$500,0))="sin dato","",INDEX(CODIFICACION!$E$2:$E$500,MATCH("D1.1|"&amp;AL79,CODIFICACION!$F$2:$F$500,0))),"⚠"))</f>
        <v/>
      </c>
      <c r="I79" t="str">
        <f>IF(AN79="","",IFERROR(IF(INDEX(CODIFICACION!$E$2:$E$500,MATCH("D1.3|"&amp;AN79,CODIFICACION!$F$2:$F$500,0))="sin dato","",INDEX(CODIFICACION!$E$2:$E$500,MATCH("D1.3|"&amp;AN79,CODIFICACION!$F$2:$F$500,0))),"⚠"))</f>
        <v/>
      </c>
      <c r="J79" t="str">
        <f>IF(AO79="","",IFERROR(IF(INDEX(CODIFICACION!$E$2:$E$500,MATCH("D1.4|"&amp;AO79,CODIFICACION!$F$2:$F$500,0))="sin dato","",INDEX(CODIFICACION!$E$2:$E$500,MATCH("D1.4|"&amp;AO79,CODIFICACION!$F$2:$F$500,0))),"⚠"))</f>
        <v/>
      </c>
      <c r="K79" t="str">
        <f>IF(AP79="","",IFERROR(IF(INDEX(CODIFICACION!$E$2:$E$500,MATCH("D1.3a|"&amp;AP79,CODIFICACION!$F$2:$F$500,0))="sin dato","",INDEX(CODIFICACION!$E$2:$E$500,MATCH("D1.3a|"&amp;AP79,CODIFICACION!$F$2:$F$500,0))),"⚠"))</f>
        <v/>
      </c>
      <c r="L79" t="str">
        <f t="shared" si="51"/>
        <v/>
      </c>
      <c r="M79" t="str">
        <f t="shared" si="52"/>
        <v/>
      </c>
      <c r="N79" t="str">
        <f t="shared" si="53"/>
        <v/>
      </c>
      <c r="O79" t="str">
        <f>IF(AT79="","",IFERROR(IF(INDEX(CODIFICACION!$E$2:$E$500,MATCH("D2.8|"&amp;AT79,CODIFICACION!$F$2:$F$500,0))="sin dato","",INDEX(CODIFICACION!$E$2:$E$500,MATCH("D2.8|"&amp;AT79,CODIFICACION!$F$2:$F$500,0))),"⚠"))</f>
        <v/>
      </c>
      <c r="P79" t="str">
        <f>IF(AU79="","",IFERROR(IF(INDEX(CODIFICACION!$E$2:$E$500,MATCH("D2.9|"&amp;AU79,CODIFICACION!$F$2:$F$500,0))="sin dato","",INDEX(CODIFICACION!$E$2:$E$500,MATCH("D2.9|"&amp;AU79,CODIFICACION!$F$2:$F$500,0))),"⚠"))</f>
        <v/>
      </c>
      <c r="Q79" t="str">
        <f>IF(AV79="","",IFERROR(IF(INDEX(CODIFICACION!$E$2:$E$500,MATCH("D2.10|"&amp;AV79,CODIFICACION!$F$2:$F$500,0))="sin dato","",INDEX(CODIFICACION!$E$2:$E$500,MATCH("D2.10|"&amp;AV79,CODIFICACION!$F$2:$F$500,0))),"⚠"))</f>
        <v/>
      </c>
      <c r="R79" t="str">
        <f>IF(AW79="","",IFERROR(IF(INDEX(CODIFICACION!$E$2:$E$500,MATCH("D2.5a|"&amp;AW79,CODIFICACION!$F$2:$F$500,0))="sin dato","",INDEX(CODIFICACION!$E$2:$E$500,MATCH("D2.5a|"&amp;AW79,CODIFICACION!$F$2:$F$500,0))),"⚠"))</f>
        <v/>
      </c>
      <c r="S79" t="str">
        <f ca="1">IF(AX79="","",IFERROR(IF(INDEX(CODIFICACION!$E$2:$E$500,MATCH("D2.5b|"&amp;AX79,CODIFICACION!$F$2:$F$500,0))="sin dato","",INDEX(CODIFICACION!$E$2:$E$500,MATCH("D2.5b|"&amp;AX79,CODIFICACION!$F$2:$F$500,0))),"⚠"))</f>
        <v/>
      </c>
      <c r="T79" t="str">
        <f t="shared" ca="1" si="54"/>
        <v/>
      </c>
      <c r="U79" t="str">
        <f>IF(AZ79="","",IFERROR(IF(INDEX(CODIFICACION!$E$2:$E$500,MATCH("D3.12|"&amp;AZ79,CODIFICACION!$F$2:$F$500,0))="sin dato","",INDEX(CODIFICACION!$E$2:$E$500,MATCH("D3.12|"&amp;AZ79,CODIFICACION!$F$2:$F$500,0))),"⚠"))</f>
        <v/>
      </c>
      <c r="V79" t="str">
        <f t="shared" si="55"/>
        <v/>
      </c>
      <c r="W79" t="str">
        <f ca="1">IF(BB79="","",IFERROR(IF(INDEX(CODIFICACION!$E$2:$E$500,MATCH("D3.14|"&amp;BB79,CODIFICACION!$F$2:$F$500,0))="sin dato","",INDEX(CODIFICACION!$E$2:$E$500,MATCH("D3.14|"&amp;BB79,CODIFICACION!$F$2:$F$500,0))),"⚠"))</f>
        <v/>
      </c>
      <c r="X79" t="str">
        <f ca="1">IF(BC79="","",IFERROR(IF(INDEX(CODIFICACION!$E$2:$E$500,MATCH("D3.14a|"&amp;BC79,CODIFICACION!$F$2:$F$500,0))="sin dato","",INDEX(CODIFICACION!$E$2:$E$500,MATCH("D3.14a|"&amp;BC79,CODIFICACION!$F$2:$F$500,0))),"⚠"))</f>
        <v/>
      </c>
      <c r="Y79" t="str">
        <f>IF(BD79="","",IFERROR(IF(INDEX(CODIFICACION!$E$2:$E$500,MATCH("D3.14b|"&amp;BD79,CODIFICACION!$F$2:$F$500,0))="sin dato","",INDEX(CODIFICACION!$E$2:$E$500,MATCH("D3.14b|"&amp;BD79,CODIFICACION!$F$2:$F$500,0))),"⚠"))</f>
        <v/>
      </c>
      <c r="Z79" t="str">
        <f>IF(BE79="","",IFERROR(IF(INDEX(CODIFICACION!$E$2:$E$500,MATCH("D3.14c|"&amp;BE79,CODIFICACION!$F$2:$F$500,0))="sin dato","",INDEX(CODIFICACION!$E$2:$E$500,MATCH("D3.14c|"&amp;BE79,CODIFICACION!$F$2:$F$500,0))),"⚠"))</f>
        <v/>
      </c>
      <c r="AA79" t="str">
        <f>IF(BF79="","",IFERROR(IF(INDEX(CODIFICACION!$E$2:$E$500,MATCH("D3.14d|"&amp;BF79,CODIFICACION!$F$2:$F$500,0))="sin dato","",INDEX(CODIFICACION!$E$2:$E$500,MATCH("D3.14d|"&amp;BF79,CODIFICACION!$F$2:$F$500,0))),"⚠"))</f>
        <v/>
      </c>
      <c r="AB79" t="str">
        <f>IF(BG79="","",IFERROR(IF(INDEX(CODIFICACION!$E$2:$E$500,MATCH("D3.14e|"&amp;BG79,CODIFICACION!$F$2:$F$500,0))="sin dato","",INDEX(CODIFICACION!$E$2:$E$500,MATCH("D3.14e|"&amp;BG79,CODIFICACION!$F$2:$F$500,0))),"⚠"))</f>
        <v/>
      </c>
      <c r="AC79" t="str">
        <f>IF(BH79="","",IFERROR(IF(INDEX(CODIFICACION!$E$2:$E$500,MATCH("D3.14f|"&amp;BH79,CODIFICACION!$F$2:$F$500,0))="sin dato","",INDEX(CODIFICACION!$E$2:$E$500,MATCH("D3.14f|"&amp;BH79,CODIFICACION!$F$2:$F$500,0))),"⚠"))</f>
        <v/>
      </c>
      <c r="AD79" t="str">
        <f>IF(BI79="","",IFERROR(IF(INDEX(CODIFICACION!$E$2:$E$500,MATCH("D3.14g|"&amp;BI79,CODIFICACION!$F$2:$F$500,0))="sin dato","",INDEX(CODIFICACION!$E$2:$E$500,MATCH("D3.14g|"&amp;BI79,CODIFICACION!$F$2:$F$500,0))),"⚠"))</f>
        <v/>
      </c>
      <c r="AE79" t="str">
        <f>IF(BJ79="","",IFERROR(IF(INDEX(CODIFICACION!$E$2:$E$500,MATCH("D3.14h|"&amp;BJ79,CODIFICACION!$F$2:$F$500,0))="sin dato","",INDEX(CODIFICACION!$E$2:$E$500,MATCH("D3.14h|"&amp;BJ79,CODIFICACION!$F$2:$F$500,0))),"⚠"))</f>
        <v/>
      </c>
      <c r="AF79" t="str">
        <f>IF(BK79="","",IFERROR(IF(INDEX(CODIFICACION!$E$2:$E$500,MATCH("D3.14i|"&amp;BK79,CODIFICACION!$F$2:$F$500,0))="sin dato","",INDEX(CODIFICACION!$E$2:$E$500,MATCH("D3.14i|"&amp;BK79,CODIFICACION!$F$2:$F$500,0))),"⚠"))</f>
        <v/>
      </c>
      <c r="AG79" t="str">
        <f>IF(BL79="","",IFERROR(IF(INDEX(CODIFICACION!$E$2:$E$500,MATCH("D4.15|"&amp;BL79,CODIFICACION!$F$2:$F$500,0))="sin dato","",INDEX(CODIFICACION!$E$2:$E$500,MATCH("D4.15|"&amp;BL79,CODIFICACION!$F$2:$F$500,0))),"⚠"))</f>
        <v/>
      </c>
      <c r="AH79" t="str">
        <f t="shared" si="56"/>
        <v/>
      </c>
      <c r="AI79" t="str">
        <f>IF(BN79="","",IFERROR(IF(INDEX(CODIFICACION!$E$2:$E$500,MATCH("D4.17|"&amp;BN79,CODIFICACION!$F$2:$F$500,0))="sin dato","",INDEX(CODIFICACION!$E$2:$E$500,MATCH("D4.17|"&amp;BN79,CODIFICACION!$F$2:$F$500,0))),"⚠"))</f>
        <v/>
      </c>
      <c r="AJ79" t="str">
        <f>IF(BO79="","",IFERROR(IF(INDEX(CODIFICACION!$E$2:$E$500,MATCH("D4.15a|"&amp;BO79,CODIFICACION!$F$2:$F$500,0))="sin dato","",INDEX(CODIFICACION!$E$2:$E$500,MATCH("D4.15a|"&amp;BO79,CODIFICACION!$F$2:$F$500,0))),"⚠"))</f>
        <v/>
      </c>
      <c r="AK79" t="str">
        <f t="shared" si="57"/>
        <v/>
      </c>
      <c r="AL79" t="str">
        <f t="shared" si="58"/>
        <v/>
      </c>
      <c r="AM79" t="str">
        <f>IF(BR79="","",IFERROR(IF(INDEX(CODIFICACION!$E$2:$E$500,MATCH("D5.18b|"&amp;BR79,CODIFICACION!$F$2:$F$500,0))="sin dato","",INDEX(CODIFICACION!$E$2:$E$500,MATCH("D5.18b|"&amp;BR79,CODIFICACION!$F$2:$F$500,0))),"⚠"))</f>
        <v/>
      </c>
      <c r="AN79" t="str">
        <f>IF(BS79="","",IFERROR(IF(INDEX(CODIFICACION!$E$2:$E$500,MATCH("D5.19|"&amp;BS79,CODIFICACION!$F$2:$F$500,0))="sin dato","",INDEX(CODIFICACION!$E$2:$E$500,MATCH("D5.19|"&amp;BS79,CODIFICACION!$F$2:$F$500,0))),"⚠"))</f>
        <v/>
      </c>
      <c r="AO79" t="str">
        <f t="shared" si="59"/>
        <v/>
      </c>
      <c r="AP79" t="str">
        <f>IF(BU79="","",IFERROR(IF(INDEX(CODIFICACION!$E$2:$E$500,MATCH("D5.20|"&amp;BU79,CODIFICACION!$F$2:$F$500,0))="sin dato","",INDEX(CODIFICACION!$E$2:$E$500,MATCH("D5.20|"&amp;BU79,CODIFICACION!$F$2:$F$500,0))),"⚠"))</f>
        <v/>
      </c>
      <c r="AQ79" t="str">
        <f>IF(BV79="","",IFERROR(IF(INDEX(CODIFICACION!$E$2:$E$500,MATCH("D5.21|"&amp;BV79,CODIFICACION!$F$2:$F$500,0))="sin dato","",INDEX(CODIFICACION!$E$2:$E$500,MATCH("D5.21|"&amp;BV79,CODIFICACION!$F$2:$F$500,0))),"⚠"))</f>
        <v/>
      </c>
      <c r="AR79" t="str">
        <f>IF(BW79="","",IFERROR(IF(INDEX(CODIFICACION!$E$2:$E$500,MATCH("D5.21a|"&amp;BW79,CODIFICACION!$F$2:$F$500,0))="sin dato","",INDEX(CODIFICACION!$E$2:$E$500,MATCH("D5.21a|"&amp;BW79,CODIFICACION!$F$2:$F$500,0))),"⚠"))</f>
        <v/>
      </c>
      <c r="AS79" t="str">
        <f>IF(BX79="","",IFERROR(IF(INDEX(CODIFICACION!$E$2:$E$500,MATCH("D5.21b|"&amp;BX79,CODIFICACION!$F$2:$F$500,0))="sin dato","",INDEX(CODIFICACION!$E$2:$E$500,MATCH("D5.21b|"&amp;BX79,CODIFICACION!$F$2:$F$500,0))),"⚠"))</f>
        <v/>
      </c>
      <c r="AT79" t="str">
        <f>IF(BY79="","",IFERROR(IF(INDEX(CODIFICACION!$E$2:$E$500,MATCH("D6.22|"&amp;BY79,CODIFICACION!$F$2:$F$500,0))="sin dato","",INDEX(CODIFICACION!$E$2:$E$500,MATCH("D6.22|"&amp;BY79,CODIFICACION!$F$2:$F$500,0))),"⚠"))</f>
        <v/>
      </c>
      <c r="AU79" t="str">
        <f>IF(BZ79="","",IFERROR(IF(INDEX(CODIFICACION!$E$2:$E$500,MATCH("D6.22a|"&amp;BZ79,CODIFICACION!$F$2:$F$500,0))="sin dato","",INDEX(CODIFICACION!$E$2:$E$500,MATCH("D6.22a|"&amp;BZ79,CODIFICACION!$F$2:$F$500,0))),"⚠"))</f>
        <v/>
      </c>
      <c r="AV79" t="str">
        <f>IF(CA79="","",IFERROR(IF(INDEX(CODIFICACION!$E$2:$E$500,MATCH("D6.22b|"&amp;CA79,CODIFICACION!$F$2:$F$500,0))="sin dato","",INDEX(CODIFICACION!$E$2:$E$500,MATCH("D6.22b|"&amp;CA79,CODIFICACION!$F$2:$F$500,0))),"⚠"))</f>
        <v/>
      </c>
      <c r="AW79" t="str">
        <f>IF(CB79="","",IFERROR(IF(INDEX(CODIFICACION!$E$2:$E$500,MATCH("D6.23|"&amp;CB79,CODIFICACION!$F$2:$F$500,0))="sin dato","",INDEX(CODIFICACION!$E$2:$E$500,MATCH("D6.23|"&amp;CB79,CODIFICACION!$F$2:$F$500,0))),"⚠"))</f>
        <v/>
      </c>
      <c r="AX79" t="str">
        <f ca="1">IF(CC79="","",IFERROR(IF(INDEX(CODIFICACION!$E$2:$E$500,MATCH("D6.24|"&amp;CC79,CODIFICACION!$F$2:$F$500,0))="sin dato","",INDEX(CODIFICACION!$E$2:$E$500,MATCH("D6.24|"&amp;CC79,CODIFICACION!$F$2:$F$500,0))),"⚠"))</f>
        <v/>
      </c>
      <c r="AY79" t="str">
        <f ca="1">IF(CD79="","",IFERROR(IF(INDEX(CODIFICACION!$E$2:$E$500,MATCH("D6.25|"&amp;CD79,CODIFICACION!$F$2:$F$500,0))="sin dato","",INDEX(CODIFICACION!$E$2:$E$500,MATCH("D6.25|"&amp;CD79,CODIFICACION!$F$2:$F$500,0))),"⚠"))</f>
        <v/>
      </c>
      <c r="AZ79" t="str">
        <f>IF(CE79="","",IFERROR(IF(INDEX(CODIFICACION!$E$2:$E$500,MATCH("D6.25a|"&amp;CE79,CODIFICACION!$F$2:$F$500,0))="sin dato","",INDEX(CODIFICACION!$E$2:$E$500,MATCH("D6.25a|"&amp;CE79,CODIFICACION!$F$2:$F$500,0))),"⚠"))</f>
        <v/>
      </c>
      <c r="BA79" t="str">
        <f>IF(CF79="","",IFERROR(IF(INDEX(CODIFICACION!$E$2:$E$500,MATCH("D6.25b|"&amp;CF79,CODIFICACION!$F$2:$F$500,0))="sin dato","",INDEX(CODIFICACION!$E$2:$E$500,MATCH("D6.25b|"&amp;CF79,CODIFICACION!$F$2:$F$500,0))),"⚠"))</f>
        <v/>
      </c>
      <c r="BB79" t="str">
        <f ca="1">IF(CG79="","",IFERROR(IF(INDEX(CODIFICACION!$E$2:$E$500,MATCH("D6.22c|"&amp;CG79,CODIFICACION!$F$2:$F$500,0))="sin dato","",INDEX(CODIFICACION!$E$2:$E$500,MATCH("D6.22c|"&amp;CG79,CODIFICACION!$F$2:$F$500,0))),"⚠"))</f>
        <v/>
      </c>
      <c r="BC79" t="str">
        <f ca="1">IF(CH79="","",IFERROR(IF(INDEX(CODIFICACION!$E$2:$E$500,MATCH("D7.26|"&amp;CH79,CODIFICACION!$F$2:$F$500,0))="sin dato","",INDEX(CODIFICACION!$E$2:$E$500,MATCH("D7.26|"&amp;CH79,CODIFICACION!$F$2:$F$500,0))),"⚠"))</f>
        <v/>
      </c>
      <c r="BD79" t="str">
        <f>IF(CI79="","",IFERROR(IF(INDEX(CODIFICACION!$E$2:$E$500,MATCH("D7.27|"&amp;CI79,CODIFICACION!$F$2:$F$500,0))="sin dato","",INDEX(CODIFICACION!$E$2:$E$500,MATCH("D7.27|"&amp;CI79,CODIFICACION!$F$2:$F$500,0))),"⚠"))</f>
        <v/>
      </c>
      <c r="BE79" t="str">
        <f>IF(CJ79="","",IFERROR(IF(INDEX(CODIFICACION!$E$2:$E$500,MATCH("D7.28|"&amp;CJ79,CODIFICACION!$F$2:$F$500,0))="sin dato","",INDEX(CODIFICACION!$E$2:$E$500,MATCH("D7.28|"&amp;CJ79,CODIFICACION!$F$2:$F$500,0))),"⚠"))</f>
        <v/>
      </c>
      <c r="BF79" t="str">
        <f>IF(CK79="","",IFERROR(IF(INDEX(CODIFICACION!$E$2:$E$500,MATCH("D7.28b|"&amp;CK79,CODIFICACION!$F$2:$F$500,0))="sin dato","",INDEX(CODIFICACION!$E$2:$E$500,MATCH("D7.28b|"&amp;CK79,CODIFICACION!$F$2:$F$500,0))),"⚠"))</f>
        <v/>
      </c>
      <c r="BG79" t="str">
        <f t="shared" si="60"/>
        <v/>
      </c>
      <c r="BH79" t="str">
        <f>IF(CM79="","",IFERROR(IF(INDEX(CODIFICACION!$E$2:$E$500,MATCH("D7.26a|"&amp;CM79,CODIFICACION!$F$2:$F$500,0))="sin dato","",INDEX(CODIFICACION!$E$2:$E$500,MATCH("D7.26a|"&amp;CM79,CODIFICACION!$F$2:$F$500,0))),"⚠"))</f>
        <v/>
      </c>
      <c r="BI79" t="str">
        <f>IF(CN79="","",IFERROR(IF(INDEX(CODIFICACION!$E$2:$E$500,MATCH("D7.26b|"&amp;CN79,CODIFICACION!$F$2:$F$500,0))="sin dato","",INDEX(CODIFICACION!$E$2:$E$500,MATCH("D7.26b|"&amp;CN79,CODIFICACION!$F$2:$F$500,0))),"⚠"))</f>
        <v/>
      </c>
      <c r="BJ79" t="str">
        <f t="shared" si="61"/>
        <v/>
      </c>
      <c r="BK79" t="str">
        <f t="shared" si="62"/>
        <v/>
      </c>
      <c r="BL79" t="str">
        <f>IF(CQ79="","",IFERROR(IF(INDEX(CODIFICACION!$E$2:$E$500,MATCH("D8.31|"&amp;CQ79,CODIFICACION!$F$2:$F$500,0))="sin dato","",INDEX(CODIFICACION!$E$2:$E$500,MATCH("D8.31|"&amp;CQ79,CODIFICACION!$F$2:$F$500,0))),"⚠"))</f>
        <v/>
      </c>
      <c r="BM79" t="str">
        <f>IF(CR79="","",IFERROR(IF(INDEX(CODIFICACION!$E$2:$E$500,MATCH("D8.32|"&amp;CR79,CODIFICACION!$F$2:$F$500,0))="sin dato","",INDEX(CODIFICACION!$E$2:$E$500,MATCH("D8.32|"&amp;CR79,CODIFICACION!$F$2:$F$500,0))),"⚠"))</f>
        <v/>
      </c>
      <c r="BN79" t="str">
        <f>IF(CS79="","",IFERROR(IF(INDEX(CODIFICACION!$E$2:$E$500,MATCH("D9.33|"&amp;CS79,CODIFICACION!$F$2:$F$500,0))="sin dato","",INDEX(CODIFICACION!$E$2:$E$500,MATCH("D9.33|"&amp;CS79,CODIFICACION!$F$2:$F$500,0))),"⚠"))</f>
        <v/>
      </c>
      <c r="BO79" t="str">
        <f>IF(CT79="","",IFERROR(IF(INDEX(CODIFICACION!$E$2:$E$500,MATCH("D9.34|"&amp;CT79,CODIFICACION!$F$2:$F$500,0))="sin dato","",INDEX(CODIFICACION!$E$2:$E$500,MATCH("D9.34|"&amp;CT79,CODIFICACION!$F$2:$F$500,0))),"⚠"))</f>
        <v/>
      </c>
      <c r="BP79" t="str">
        <f>IF(CU79="","",IFERROR(IF(INDEX(CODIFICACION!$E$2:$E$500,MATCH("D9.35|"&amp;CU79,CODIFICACION!$F$2:$F$500,0))="sin dato","",INDEX(CODIFICACION!$E$2:$E$500,MATCH("D9.35|"&amp;CU79,CODIFICACION!$F$2:$F$500,0))),"⚠"))</f>
        <v/>
      </c>
      <c r="BQ79" t="str">
        <f>IF(CV79="","",IFERROR(IF(INDEX(CODIFICACION!$E$2:$E$500,MATCH("D10.36|"&amp;CV79,CODIFICACION!$F$2:$F$500,0))="sin dato","",INDEX(CODIFICACION!$E$2:$E$500,MATCH("D10.36|"&amp;CV79,CODIFICACION!$F$2:$F$500,0))),"⚠"))</f>
        <v/>
      </c>
      <c r="BR79" t="str">
        <f>IF(CW79="","",IFERROR(IF(INDEX(CODIFICACION!$E$2:$E$500,MATCH("D10.37|"&amp;CW79,CODIFICACION!$F$2:$F$500,0))="sin dato","",INDEX(CODIFICACION!$E$2:$E$500,MATCH("D10.37|"&amp;CW79,CODIFICACION!$F$2:$F$500,0))),"⚠"))</f>
        <v/>
      </c>
      <c r="BS79" t="str">
        <f>IF(CX79="","",IFERROR(IF(INDEX(CODIFICACION!$E$2:$E$500,MATCH("D10.36a|"&amp;CX79,CODIFICACION!$F$2:$F$500,0))="sin dato","",INDEX(CODIFICACION!$E$2:$E$500,MATCH("D10.36a|"&amp;CX79,CODIFICACION!$F$2:$F$500,0))),"⚠"))</f>
        <v/>
      </c>
      <c r="BT79" t="str">
        <f t="shared" si="63"/>
        <v/>
      </c>
      <c r="BU79" t="str">
        <f>IF(DA79="","",IFERROR(IF(INDEX(CODIFICACION!$E$2:$E$500,MATCH("D11.39a|"&amp;DA79,CODIFICACION!$F$2:$F$500,0))="sin dato","",INDEX(CODIFICACION!$E$2:$E$500,MATCH("D11.39a|"&amp;DA79,CODIFICACION!$F$2:$F$500,0))),"⚠"))</f>
        <v/>
      </c>
      <c r="BV79" t="str">
        <f>IF(DB79="","",IFERROR(IF(INDEX(CODIFICACION!$E$2:$E$500,MATCH("D12.42|"&amp;DB79,CODIFICACION!$F$2:$F$500,0))="sin dato","",INDEX(CODIFICACION!$E$2:$E$500,MATCH("D12.42|"&amp;DB79,CODIFICACION!$F$2:$F$500,0))),"⚠"))</f>
        <v/>
      </c>
      <c r="BW79" t="str">
        <f>IF(DC79="","",IFERROR(IF(INDEX(CODIFICACION!$E$2:$E$500,MATCH("D13.45|"&amp;DC79,CODIFICACION!$F$2:$F$500,0))="sin dato","",INDEX(CODIFICACION!$E$2:$E$500,MATCH("D13.45|"&amp;DC79,CODIFICACION!$F$2:$F$500,0))),"⚠"))</f>
        <v/>
      </c>
      <c r="BX79" t="str">
        <f>IF(DD79="","",IFERROR(IF(INDEX(CODIFICACION!$E$2:$E$500,MATCH("D14.51|"&amp;DD79,CODIFICACION!$F$2:$F$500,0))="sin dato","",INDEX(CODIFICACION!$E$2:$E$500,MATCH("D14.51|"&amp;DD79,CODIFICACION!$F$2:$F$500,0))),"⚠"))</f>
        <v/>
      </c>
      <c r="BY79" t="str">
        <f>IF(DE79="","",IFERROR(IF(INDEX(CODIFICACION!$E$2:$E$500,MATCH("D15.58|"&amp;DE79,CODIFICACION!$F$2:$F$500,0))="sin dato","",INDEX(CODIFICACION!$E$2:$E$500,MATCH("D15.58|"&amp;DE79,CODIFICACION!$F$2:$F$500,0))),"⚠"))</f>
        <v/>
      </c>
      <c r="BZ79" t="str">
        <f>IF(DF79="","",IFERROR(IF(INDEX(CODIFICACION!$E$2:$E$500,MATCH("PP1|"&amp;DF79,CODIFICACION!$F$2:$F$500,0))="sin dato","",INDEX(CODIFICACION!$E$2:$E$500,MATCH("PP1|"&amp;DF79,CODIFICACION!$F$2:$F$500,0))),"⚠"))</f>
        <v/>
      </c>
      <c r="CA79" t="str">
        <f>IF(DG79="","",IFERROR(IF(INDEX(CODIFICACION!$E$2:$E$500,MATCH("PP2|"&amp;DG79,CODIFICACION!$F$2:$F$500,0))="sin dato","",INDEX(CODIFICACION!$E$2:$E$500,MATCH("PP2|"&amp;DG79,CODIFICACION!$F$2:$F$500,0))),"⚠"))</f>
        <v/>
      </c>
      <c r="CB79" t="str">
        <f t="shared" si="64"/>
        <v/>
      </c>
      <c r="CC79" t="str">
        <f t="shared" ca="1" si="65"/>
        <v/>
      </c>
      <c r="CD79" t="str">
        <f t="shared" ca="1" si="66"/>
        <v/>
      </c>
      <c r="CE79" t="str">
        <f t="shared" si="67"/>
        <v/>
      </c>
      <c r="CF79" t="str">
        <f t="shared" si="68"/>
        <v/>
      </c>
      <c r="CG79" t="str">
        <f t="shared" ca="1" si="69"/>
        <v/>
      </c>
      <c r="CH79" t="str">
        <f t="shared" ca="1" si="70"/>
        <v/>
      </c>
      <c r="CI79" t="str">
        <f t="shared" si="71"/>
        <v/>
      </c>
      <c r="CJ79" t="str">
        <f t="shared" si="72"/>
        <v/>
      </c>
      <c r="CK79" t="str">
        <f t="shared" si="73"/>
        <v/>
      </c>
      <c r="CL79" t="str">
        <f t="shared" si="74"/>
        <v/>
      </c>
    </row>
    <row r="80" spans="1:90" x14ac:dyDescent="0.3">
      <c r="A80">
        <f>CAPTURA!A80</f>
        <v>20561140091</v>
      </c>
      <c r="B80">
        <f>CAPTURA!C80</f>
        <v>0</v>
      </c>
      <c r="C80" t="str">
        <f t="shared" si="50"/>
        <v/>
      </c>
      <c r="D80" t="str">
        <f>IF(AE80="","",IFERROR(IF(INDEX(CODIFICACION!$E$2:$E$500,MATCH("P8|"&amp;AE80,CODIFICACION!$F$2:$F$500,0))="sin dato","",INDEX(CODIFICACION!$E$2:$E$500,MATCH("P8|"&amp;AE80,CODIFICACION!$F$2:$F$500,0))),"⚠"))</f>
        <v/>
      </c>
      <c r="E80" t="str">
        <f>IF(AG80="","",IFERROR(IF(INDEX(CODIFICACION!$E$2:$E$500,MATCH("P10|"&amp;AG80,CODIFICACION!$F$2:$F$500,0))="sin dato","",INDEX(CODIFICACION!$E$2:$E$500,MATCH("P10|"&amp;AG80,CODIFICACION!$F$2:$F$500,0))),"⚠"))</f>
        <v/>
      </c>
      <c r="F80" t="str">
        <f>IF(AJ80="","",IFERROR(IF(INDEX(CODIFICACION!$E$2:$E$500,MATCH("P13|"&amp;AJ80,CODIFICACION!$F$2:$F$500,0))="sin dato","",INDEX(CODIFICACION!$E$2:$E$500,MATCH("P13|"&amp;AJ80,CODIFICACION!$F$2:$F$500,0))),"⚠"))</f>
        <v/>
      </c>
      <c r="G80" t="str">
        <f>IF(AK80="","",IFERROR(IF(INDEX(CODIFICACION!$E$2:$E$500,MATCH("P14|"&amp;AK80,CODIFICACION!$F$2:$F$500,0))="sin dato","",INDEX(CODIFICACION!$E$2:$E$500,MATCH("P14|"&amp;AK80,CODIFICACION!$F$2:$F$500,0))),"⚠"))</f>
        <v/>
      </c>
      <c r="H80" t="str">
        <f>IF(AL80="","",IFERROR(IF(INDEX(CODIFICACION!$E$2:$E$500,MATCH("D1.1|"&amp;AL80,CODIFICACION!$F$2:$F$500,0))="sin dato","",INDEX(CODIFICACION!$E$2:$E$500,MATCH("D1.1|"&amp;AL80,CODIFICACION!$F$2:$F$500,0))),"⚠"))</f>
        <v/>
      </c>
      <c r="I80" t="str">
        <f>IF(AN80="","",IFERROR(IF(INDEX(CODIFICACION!$E$2:$E$500,MATCH("D1.3|"&amp;AN80,CODIFICACION!$F$2:$F$500,0))="sin dato","",INDEX(CODIFICACION!$E$2:$E$500,MATCH("D1.3|"&amp;AN80,CODIFICACION!$F$2:$F$500,0))),"⚠"))</f>
        <v/>
      </c>
      <c r="J80" t="str">
        <f>IF(AO80="","",IFERROR(IF(INDEX(CODIFICACION!$E$2:$E$500,MATCH("D1.4|"&amp;AO80,CODIFICACION!$F$2:$F$500,0))="sin dato","",INDEX(CODIFICACION!$E$2:$E$500,MATCH("D1.4|"&amp;AO80,CODIFICACION!$F$2:$F$500,0))),"⚠"))</f>
        <v/>
      </c>
      <c r="K80" t="str">
        <f>IF(AP80="","",IFERROR(IF(INDEX(CODIFICACION!$E$2:$E$500,MATCH("D1.3a|"&amp;AP80,CODIFICACION!$F$2:$F$500,0))="sin dato","",INDEX(CODIFICACION!$E$2:$E$500,MATCH("D1.3a|"&amp;AP80,CODIFICACION!$F$2:$F$500,0))),"⚠"))</f>
        <v/>
      </c>
      <c r="L80" t="str">
        <f t="shared" si="51"/>
        <v/>
      </c>
      <c r="M80" t="str">
        <f t="shared" si="52"/>
        <v/>
      </c>
      <c r="N80" t="str">
        <f t="shared" si="53"/>
        <v/>
      </c>
      <c r="O80" t="str">
        <f>IF(AT80="","",IFERROR(IF(INDEX(CODIFICACION!$E$2:$E$500,MATCH("D2.8|"&amp;AT80,CODIFICACION!$F$2:$F$500,0))="sin dato","",INDEX(CODIFICACION!$E$2:$E$500,MATCH("D2.8|"&amp;AT80,CODIFICACION!$F$2:$F$500,0))),"⚠"))</f>
        <v/>
      </c>
      <c r="P80" t="str">
        <f>IF(AU80="","",IFERROR(IF(INDEX(CODIFICACION!$E$2:$E$500,MATCH("D2.9|"&amp;AU80,CODIFICACION!$F$2:$F$500,0))="sin dato","",INDEX(CODIFICACION!$E$2:$E$500,MATCH("D2.9|"&amp;AU80,CODIFICACION!$F$2:$F$500,0))),"⚠"))</f>
        <v/>
      </c>
      <c r="Q80" t="str">
        <f>IF(AV80="","",IFERROR(IF(INDEX(CODIFICACION!$E$2:$E$500,MATCH("D2.10|"&amp;AV80,CODIFICACION!$F$2:$F$500,0))="sin dato","",INDEX(CODIFICACION!$E$2:$E$500,MATCH("D2.10|"&amp;AV80,CODIFICACION!$F$2:$F$500,0))),"⚠"))</f>
        <v/>
      </c>
      <c r="R80" t="str">
        <f>IF(AW80="","",IFERROR(IF(INDEX(CODIFICACION!$E$2:$E$500,MATCH("D2.5a|"&amp;AW80,CODIFICACION!$F$2:$F$500,0))="sin dato","",INDEX(CODIFICACION!$E$2:$E$500,MATCH("D2.5a|"&amp;AW80,CODIFICACION!$F$2:$F$500,0))),"⚠"))</f>
        <v/>
      </c>
      <c r="S80" t="str">
        <f ca="1">IF(AX80="","",IFERROR(IF(INDEX(CODIFICACION!$E$2:$E$500,MATCH("D2.5b|"&amp;AX80,CODIFICACION!$F$2:$F$500,0))="sin dato","",INDEX(CODIFICACION!$E$2:$E$500,MATCH("D2.5b|"&amp;AX80,CODIFICACION!$F$2:$F$500,0))),"⚠"))</f>
        <v/>
      </c>
      <c r="T80" t="str">
        <f t="shared" ca="1" si="54"/>
        <v/>
      </c>
      <c r="U80" t="str">
        <f>IF(AZ80="","",IFERROR(IF(INDEX(CODIFICACION!$E$2:$E$500,MATCH("D3.12|"&amp;AZ80,CODIFICACION!$F$2:$F$500,0))="sin dato","",INDEX(CODIFICACION!$E$2:$E$500,MATCH("D3.12|"&amp;AZ80,CODIFICACION!$F$2:$F$500,0))),"⚠"))</f>
        <v/>
      </c>
      <c r="V80" t="str">
        <f t="shared" si="55"/>
        <v/>
      </c>
      <c r="W80" t="str">
        <f ca="1">IF(BB80="","",IFERROR(IF(INDEX(CODIFICACION!$E$2:$E$500,MATCH("D3.14|"&amp;BB80,CODIFICACION!$F$2:$F$500,0))="sin dato","",INDEX(CODIFICACION!$E$2:$E$500,MATCH("D3.14|"&amp;BB80,CODIFICACION!$F$2:$F$500,0))),"⚠"))</f>
        <v/>
      </c>
      <c r="X80" t="str">
        <f ca="1">IF(BC80="","",IFERROR(IF(INDEX(CODIFICACION!$E$2:$E$500,MATCH("D3.14a|"&amp;BC80,CODIFICACION!$F$2:$F$500,0))="sin dato","",INDEX(CODIFICACION!$E$2:$E$500,MATCH("D3.14a|"&amp;BC80,CODIFICACION!$F$2:$F$500,0))),"⚠"))</f>
        <v/>
      </c>
      <c r="Y80" t="str">
        <f>IF(BD80="","",IFERROR(IF(INDEX(CODIFICACION!$E$2:$E$500,MATCH("D3.14b|"&amp;BD80,CODIFICACION!$F$2:$F$500,0))="sin dato","",INDEX(CODIFICACION!$E$2:$E$500,MATCH("D3.14b|"&amp;BD80,CODIFICACION!$F$2:$F$500,0))),"⚠"))</f>
        <v/>
      </c>
      <c r="Z80" t="str">
        <f>IF(BE80="","",IFERROR(IF(INDEX(CODIFICACION!$E$2:$E$500,MATCH("D3.14c|"&amp;BE80,CODIFICACION!$F$2:$F$500,0))="sin dato","",INDEX(CODIFICACION!$E$2:$E$500,MATCH("D3.14c|"&amp;BE80,CODIFICACION!$F$2:$F$500,0))),"⚠"))</f>
        <v/>
      </c>
      <c r="AA80" t="str">
        <f>IF(BF80="","",IFERROR(IF(INDEX(CODIFICACION!$E$2:$E$500,MATCH("D3.14d|"&amp;BF80,CODIFICACION!$F$2:$F$500,0))="sin dato","",INDEX(CODIFICACION!$E$2:$E$500,MATCH("D3.14d|"&amp;BF80,CODIFICACION!$F$2:$F$500,0))),"⚠"))</f>
        <v/>
      </c>
      <c r="AB80" t="str">
        <f>IF(BG80="","",IFERROR(IF(INDEX(CODIFICACION!$E$2:$E$500,MATCH("D3.14e|"&amp;BG80,CODIFICACION!$F$2:$F$500,0))="sin dato","",INDEX(CODIFICACION!$E$2:$E$500,MATCH("D3.14e|"&amp;BG80,CODIFICACION!$F$2:$F$500,0))),"⚠"))</f>
        <v/>
      </c>
      <c r="AC80" t="str">
        <f>IF(BH80="","",IFERROR(IF(INDEX(CODIFICACION!$E$2:$E$500,MATCH("D3.14f|"&amp;BH80,CODIFICACION!$F$2:$F$500,0))="sin dato","",INDEX(CODIFICACION!$E$2:$E$500,MATCH("D3.14f|"&amp;BH80,CODIFICACION!$F$2:$F$500,0))),"⚠"))</f>
        <v/>
      </c>
      <c r="AD80" t="str">
        <f>IF(BI80="","",IFERROR(IF(INDEX(CODIFICACION!$E$2:$E$500,MATCH("D3.14g|"&amp;BI80,CODIFICACION!$F$2:$F$500,0))="sin dato","",INDEX(CODIFICACION!$E$2:$E$500,MATCH("D3.14g|"&amp;BI80,CODIFICACION!$F$2:$F$500,0))),"⚠"))</f>
        <v/>
      </c>
      <c r="AE80" t="str">
        <f>IF(BJ80="","",IFERROR(IF(INDEX(CODIFICACION!$E$2:$E$500,MATCH("D3.14h|"&amp;BJ80,CODIFICACION!$F$2:$F$500,0))="sin dato","",INDEX(CODIFICACION!$E$2:$E$500,MATCH("D3.14h|"&amp;BJ80,CODIFICACION!$F$2:$F$500,0))),"⚠"))</f>
        <v/>
      </c>
      <c r="AF80" t="str">
        <f>IF(BK80="","",IFERROR(IF(INDEX(CODIFICACION!$E$2:$E$500,MATCH("D3.14i|"&amp;BK80,CODIFICACION!$F$2:$F$500,0))="sin dato","",INDEX(CODIFICACION!$E$2:$E$500,MATCH("D3.14i|"&amp;BK80,CODIFICACION!$F$2:$F$500,0))),"⚠"))</f>
        <v/>
      </c>
      <c r="AG80" t="str">
        <f>IF(BL80="","",IFERROR(IF(INDEX(CODIFICACION!$E$2:$E$500,MATCH("D4.15|"&amp;BL80,CODIFICACION!$F$2:$F$500,0))="sin dato","",INDEX(CODIFICACION!$E$2:$E$500,MATCH("D4.15|"&amp;BL80,CODIFICACION!$F$2:$F$500,0))),"⚠"))</f>
        <v/>
      </c>
      <c r="AH80" t="str">
        <f t="shared" si="56"/>
        <v/>
      </c>
      <c r="AI80" t="str">
        <f>IF(BN80="","",IFERROR(IF(INDEX(CODIFICACION!$E$2:$E$500,MATCH("D4.17|"&amp;BN80,CODIFICACION!$F$2:$F$500,0))="sin dato","",INDEX(CODIFICACION!$E$2:$E$500,MATCH("D4.17|"&amp;BN80,CODIFICACION!$F$2:$F$500,0))),"⚠"))</f>
        <v/>
      </c>
      <c r="AJ80" t="str">
        <f>IF(BO80="","",IFERROR(IF(INDEX(CODIFICACION!$E$2:$E$500,MATCH("D4.15a|"&amp;BO80,CODIFICACION!$F$2:$F$500,0))="sin dato","",INDEX(CODIFICACION!$E$2:$E$500,MATCH("D4.15a|"&amp;BO80,CODIFICACION!$F$2:$F$500,0))),"⚠"))</f>
        <v/>
      </c>
      <c r="AK80" t="str">
        <f t="shared" si="57"/>
        <v/>
      </c>
      <c r="AL80" t="str">
        <f t="shared" si="58"/>
        <v/>
      </c>
      <c r="AM80" t="str">
        <f>IF(BR80="","",IFERROR(IF(INDEX(CODIFICACION!$E$2:$E$500,MATCH("D5.18b|"&amp;BR80,CODIFICACION!$F$2:$F$500,0))="sin dato","",INDEX(CODIFICACION!$E$2:$E$500,MATCH("D5.18b|"&amp;BR80,CODIFICACION!$F$2:$F$500,0))),"⚠"))</f>
        <v/>
      </c>
      <c r="AN80" t="str">
        <f>IF(BS80="","",IFERROR(IF(INDEX(CODIFICACION!$E$2:$E$500,MATCH("D5.19|"&amp;BS80,CODIFICACION!$F$2:$F$500,0))="sin dato","",INDEX(CODIFICACION!$E$2:$E$500,MATCH("D5.19|"&amp;BS80,CODIFICACION!$F$2:$F$500,0))),"⚠"))</f>
        <v/>
      </c>
      <c r="AO80" t="str">
        <f t="shared" si="59"/>
        <v/>
      </c>
      <c r="AP80" t="str">
        <f>IF(BU80="","",IFERROR(IF(INDEX(CODIFICACION!$E$2:$E$500,MATCH("D5.20|"&amp;BU80,CODIFICACION!$F$2:$F$500,0))="sin dato","",INDEX(CODIFICACION!$E$2:$E$500,MATCH("D5.20|"&amp;BU80,CODIFICACION!$F$2:$F$500,0))),"⚠"))</f>
        <v/>
      </c>
      <c r="AQ80" t="str">
        <f>IF(BV80="","",IFERROR(IF(INDEX(CODIFICACION!$E$2:$E$500,MATCH("D5.21|"&amp;BV80,CODIFICACION!$F$2:$F$500,0))="sin dato","",INDEX(CODIFICACION!$E$2:$E$500,MATCH("D5.21|"&amp;BV80,CODIFICACION!$F$2:$F$500,0))),"⚠"))</f>
        <v/>
      </c>
      <c r="AR80" t="str">
        <f>IF(BW80="","",IFERROR(IF(INDEX(CODIFICACION!$E$2:$E$500,MATCH("D5.21a|"&amp;BW80,CODIFICACION!$F$2:$F$500,0))="sin dato","",INDEX(CODIFICACION!$E$2:$E$500,MATCH("D5.21a|"&amp;BW80,CODIFICACION!$F$2:$F$500,0))),"⚠"))</f>
        <v/>
      </c>
      <c r="AS80" t="str">
        <f>IF(BX80="","",IFERROR(IF(INDEX(CODIFICACION!$E$2:$E$500,MATCH("D5.21b|"&amp;BX80,CODIFICACION!$F$2:$F$500,0))="sin dato","",INDEX(CODIFICACION!$E$2:$E$500,MATCH("D5.21b|"&amp;BX80,CODIFICACION!$F$2:$F$500,0))),"⚠"))</f>
        <v/>
      </c>
      <c r="AT80" t="str">
        <f>IF(BY80="","",IFERROR(IF(INDEX(CODIFICACION!$E$2:$E$500,MATCH("D6.22|"&amp;BY80,CODIFICACION!$F$2:$F$500,0))="sin dato","",INDEX(CODIFICACION!$E$2:$E$500,MATCH("D6.22|"&amp;BY80,CODIFICACION!$F$2:$F$500,0))),"⚠"))</f>
        <v/>
      </c>
      <c r="AU80" t="str">
        <f>IF(BZ80="","",IFERROR(IF(INDEX(CODIFICACION!$E$2:$E$500,MATCH("D6.22a|"&amp;BZ80,CODIFICACION!$F$2:$F$500,0))="sin dato","",INDEX(CODIFICACION!$E$2:$E$500,MATCH("D6.22a|"&amp;BZ80,CODIFICACION!$F$2:$F$500,0))),"⚠"))</f>
        <v/>
      </c>
      <c r="AV80" t="str">
        <f>IF(CA80="","",IFERROR(IF(INDEX(CODIFICACION!$E$2:$E$500,MATCH("D6.22b|"&amp;CA80,CODIFICACION!$F$2:$F$500,0))="sin dato","",INDEX(CODIFICACION!$E$2:$E$500,MATCH("D6.22b|"&amp;CA80,CODIFICACION!$F$2:$F$500,0))),"⚠"))</f>
        <v/>
      </c>
      <c r="AW80" t="str">
        <f>IF(CB80="","",IFERROR(IF(INDEX(CODIFICACION!$E$2:$E$500,MATCH("D6.23|"&amp;CB80,CODIFICACION!$F$2:$F$500,0))="sin dato","",INDEX(CODIFICACION!$E$2:$E$500,MATCH("D6.23|"&amp;CB80,CODIFICACION!$F$2:$F$500,0))),"⚠"))</f>
        <v/>
      </c>
      <c r="AX80" t="str">
        <f ca="1">IF(CC80="","",IFERROR(IF(INDEX(CODIFICACION!$E$2:$E$500,MATCH("D6.24|"&amp;CC80,CODIFICACION!$F$2:$F$500,0))="sin dato","",INDEX(CODIFICACION!$E$2:$E$500,MATCH("D6.24|"&amp;CC80,CODIFICACION!$F$2:$F$500,0))),"⚠"))</f>
        <v/>
      </c>
      <c r="AY80" t="str">
        <f ca="1">IF(CD80="","",IFERROR(IF(INDEX(CODIFICACION!$E$2:$E$500,MATCH("D6.25|"&amp;CD80,CODIFICACION!$F$2:$F$500,0))="sin dato","",INDEX(CODIFICACION!$E$2:$E$500,MATCH("D6.25|"&amp;CD80,CODIFICACION!$F$2:$F$500,0))),"⚠"))</f>
        <v/>
      </c>
      <c r="AZ80" t="str">
        <f>IF(CE80="","",IFERROR(IF(INDEX(CODIFICACION!$E$2:$E$500,MATCH("D6.25a|"&amp;CE80,CODIFICACION!$F$2:$F$500,0))="sin dato","",INDEX(CODIFICACION!$E$2:$E$500,MATCH("D6.25a|"&amp;CE80,CODIFICACION!$F$2:$F$500,0))),"⚠"))</f>
        <v/>
      </c>
      <c r="BA80" t="str">
        <f>IF(CF80="","",IFERROR(IF(INDEX(CODIFICACION!$E$2:$E$500,MATCH("D6.25b|"&amp;CF80,CODIFICACION!$F$2:$F$500,0))="sin dato","",INDEX(CODIFICACION!$E$2:$E$500,MATCH("D6.25b|"&amp;CF80,CODIFICACION!$F$2:$F$500,0))),"⚠"))</f>
        <v/>
      </c>
      <c r="BB80" t="str">
        <f ca="1">IF(CG80="","",IFERROR(IF(INDEX(CODIFICACION!$E$2:$E$500,MATCH("D6.22c|"&amp;CG80,CODIFICACION!$F$2:$F$500,0))="sin dato","",INDEX(CODIFICACION!$E$2:$E$500,MATCH("D6.22c|"&amp;CG80,CODIFICACION!$F$2:$F$500,0))),"⚠"))</f>
        <v/>
      </c>
      <c r="BC80" t="str">
        <f ca="1">IF(CH80="","",IFERROR(IF(INDEX(CODIFICACION!$E$2:$E$500,MATCH("D7.26|"&amp;CH80,CODIFICACION!$F$2:$F$500,0))="sin dato","",INDEX(CODIFICACION!$E$2:$E$500,MATCH("D7.26|"&amp;CH80,CODIFICACION!$F$2:$F$500,0))),"⚠"))</f>
        <v/>
      </c>
      <c r="BD80" t="str">
        <f>IF(CI80="","",IFERROR(IF(INDEX(CODIFICACION!$E$2:$E$500,MATCH("D7.27|"&amp;CI80,CODIFICACION!$F$2:$F$500,0))="sin dato","",INDEX(CODIFICACION!$E$2:$E$500,MATCH("D7.27|"&amp;CI80,CODIFICACION!$F$2:$F$500,0))),"⚠"))</f>
        <v/>
      </c>
      <c r="BE80" t="str">
        <f>IF(CJ80="","",IFERROR(IF(INDEX(CODIFICACION!$E$2:$E$500,MATCH("D7.28|"&amp;CJ80,CODIFICACION!$F$2:$F$500,0))="sin dato","",INDEX(CODIFICACION!$E$2:$E$500,MATCH("D7.28|"&amp;CJ80,CODIFICACION!$F$2:$F$500,0))),"⚠"))</f>
        <v/>
      </c>
      <c r="BF80" t="str">
        <f>IF(CK80="","",IFERROR(IF(INDEX(CODIFICACION!$E$2:$E$500,MATCH("D7.28b|"&amp;CK80,CODIFICACION!$F$2:$F$500,0))="sin dato","",INDEX(CODIFICACION!$E$2:$E$500,MATCH("D7.28b|"&amp;CK80,CODIFICACION!$F$2:$F$500,0))),"⚠"))</f>
        <v/>
      </c>
      <c r="BG80" t="str">
        <f t="shared" si="60"/>
        <v/>
      </c>
      <c r="BH80" t="str">
        <f>IF(CM80="","",IFERROR(IF(INDEX(CODIFICACION!$E$2:$E$500,MATCH("D7.26a|"&amp;CM80,CODIFICACION!$F$2:$F$500,0))="sin dato","",INDEX(CODIFICACION!$E$2:$E$500,MATCH("D7.26a|"&amp;CM80,CODIFICACION!$F$2:$F$500,0))),"⚠"))</f>
        <v/>
      </c>
      <c r="BI80" t="str">
        <f>IF(CN80="","",IFERROR(IF(INDEX(CODIFICACION!$E$2:$E$500,MATCH("D7.26b|"&amp;CN80,CODIFICACION!$F$2:$F$500,0))="sin dato","",INDEX(CODIFICACION!$E$2:$E$500,MATCH("D7.26b|"&amp;CN80,CODIFICACION!$F$2:$F$500,0))),"⚠"))</f>
        <v/>
      </c>
      <c r="BJ80" t="str">
        <f t="shared" si="61"/>
        <v/>
      </c>
      <c r="BK80" t="str">
        <f t="shared" si="62"/>
        <v/>
      </c>
      <c r="BL80" t="str">
        <f>IF(CQ80="","",IFERROR(IF(INDEX(CODIFICACION!$E$2:$E$500,MATCH("D8.31|"&amp;CQ80,CODIFICACION!$F$2:$F$500,0))="sin dato","",INDEX(CODIFICACION!$E$2:$E$500,MATCH("D8.31|"&amp;CQ80,CODIFICACION!$F$2:$F$500,0))),"⚠"))</f>
        <v/>
      </c>
      <c r="BM80" t="str">
        <f>IF(CR80="","",IFERROR(IF(INDEX(CODIFICACION!$E$2:$E$500,MATCH("D8.32|"&amp;CR80,CODIFICACION!$F$2:$F$500,0))="sin dato","",INDEX(CODIFICACION!$E$2:$E$500,MATCH("D8.32|"&amp;CR80,CODIFICACION!$F$2:$F$500,0))),"⚠"))</f>
        <v/>
      </c>
      <c r="BN80" t="str">
        <f>IF(CS80="","",IFERROR(IF(INDEX(CODIFICACION!$E$2:$E$500,MATCH("D9.33|"&amp;CS80,CODIFICACION!$F$2:$F$500,0))="sin dato","",INDEX(CODIFICACION!$E$2:$E$500,MATCH("D9.33|"&amp;CS80,CODIFICACION!$F$2:$F$500,0))),"⚠"))</f>
        <v/>
      </c>
      <c r="BO80" t="str">
        <f>IF(CT80="","",IFERROR(IF(INDEX(CODIFICACION!$E$2:$E$500,MATCH("D9.34|"&amp;CT80,CODIFICACION!$F$2:$F$500,0))="sin dato","",INDEX(CODIFICACION!$E$2:$E$500,MATCH("D9.34|"&amp;CT80,CODIFICACION!$F$2:$F$500,0))),"⚠"))</f>
        <v/>
      </c>
      <c r="BP80" t="str">
        <f>IF(CU80="","",IFERROR(IF(INDEX(CODIFICACION!$E$2:$E$500,MATCH("D9.35|"&amp;CU80,CODIFICACION!$F$2:$F$500,0))="sin dato","",INDEX(CODIFICACION!$E$2:$E$500,MATCH("D9.35|"&amp;CU80,CODIFICACION!$F$2:$F$500,0))),"⚠"))</f>
        <v/>
      </c>
      <c r="BQ80" t="str">
        <f>IF(CV80="","",IFERROR(IF(INDEX(CODIFICACION!$E$2:$E$500,MATCH("D10.36|"&amp;CV80,CODIFICACION!$F$2:$F$500,0))="sin dato","",INDEX(CODIFICACION!$E$2:$E$500,MATCH("D10.36|"&amp;CV80,CODIFICACION!$F$2:$F$500,0))),"⚠"))</f>
        <v/>
      </c>
      <c r="BR80" t="str">
        <f>IF(CW80="","",IFERROR(IF(INDEX(CODIFICACION!$E$2:$E$500,MATCH("D10.37|"&amp;CW80,CODIFICACION!$F$2:$F$500,0))="sin dato","",INDEX(CODIFICACION!$E$2:$E$500,MATCH("D10.37|"&amp;CW80,CODIFICACION!$F$2:$F$500,0))),"⚠"))</f>
        <v/>
      </c>
      <c r="BS80" t="str">
        <f>IF(CX80="","",IFERROR(IF(INDEX(CODIFICACION!$E$2:$E$500,MATCH("D10.36a|"&amp;CX80,CODIFICACION!$F$2:$F$500,0))="sin dato","",INDEX(CODIFICACION!$E$2:$E$500,MATCH("D10.36a|"&amp;CX80,CODIFICACION!$F$2:$F$500,0))),"⚠"))</f>
        <v/>
      </c>
      <c r="BT80" t="str">
        <f t="shared" si="63"/>
        <v/>
      </c>
      <c r="BU80" t="str">
        <f>IF(DA80="","",IFERROR(IF(INDEX(CODIFICACION!$E$2:$E$500,MATCH("D11.39a|"&amp;DA80,CODIFICACION!$F$2:$F$500,0))="sin dato","",INDEX(CODIFICACION!$E$2:$E$500,MATCH("D11.39a|"&amp;DA80,CODIFICACION!$F$2:$F$500,0))),"⚠"))</f>
        <v/>
      </c>
      <c r="BV80" t="str">
        <f>IF(DB80="","",IFERROR(IF(INDEX(CODIFICACION!$E$2:$E$500,MATCH("D12.42|"&amp;DB80,CODIFICACION!$F$2:$F$500,0))="sin dato","",INDEX(CODIFICACION!$E$2:$E$500,MATCH("D12.42|"&amp;DB80,CODIFICACION!$F$2:$F$500,0))),"⚠"))</f>
        <v/>
      </c>
      <c r="BW80" t="str">
        <f>IF(DC80="","",IFERROR(IF(INDEX(CODIFICACION!$E$2:$E$500,MATCH("D13.45|"&amp;DC80,CODIFICACION!$F$2:$F$500,0))="sin dato","",INDEX(CODIFICACION!$E$2:$E$500,MATCH("D13.45|"&amp;DC80,CODIFICACION!$F$2:$F$500,0))),"⚠"))</f>
        <v/>
      </c>
      <c r="BX80" t="str">
        <f>IF(DD80="","",IFERROR(IF(INDEX(CODIFICACION!$E$2:$E$500,MATCH("D14.51|"&amp;DD80,CODIFICACION!$F$2:$F$500,0))="sin dato","",INDEX(CODIFICACION!$E$2:$E$500,MATCH("D14.51|"&amp;DD80,CODIFICACION!$F$2:$F$500,0))),"⚠"))</f>
        <v/>
      </c>
      <c r="BY80" t="str">
        <f>IF(DE80="","",IFERROR(IF(INDEX(CODIFICACION!$E$2:$E$500,MATCH("D15.58|"&amp;DE80,CODIFICACION!$F$2:$F$500,0))="sin dato","",INDEX(CODIFICACION!$E$2:$E$500,MATCH("D15.58|"&amp;DE80,CODIFICACION!$F$2:$F$500,0))),"⚠"))</f>
        <v/>
      </c>
      <c r="BZ80" t="str">
        <f>IF(DF80="","",IFERROR(IF(INDEX(CODIFICACION!$E$2:$E$500,MATCH("PP1|"&amp;DF80,CODIFICACION!$F$2:$F$500,0))="sin dato","",INDEX(CODIFICACION!$E$2:$E$500,MATCH("PP1|"&amp;DF80,CODIFICACION!$F$2:$F$500,0))),"⚠"))</f>
        <v/>
      </c>
      <c r="CA80" t="str">
        <f>IF(DG80="","",IFERROR(IF(INDEX(CODIFICACION!$E$2:$E$500,MATCH("PP2|"&amp;DG80,CODIFICACION!$F$2:$F$500,0))="sin dato","",INDEX(CODIFICACION!$E$2:$E$500,MATCH("PP2|"&amp;DG80,CODIFICACION!$F$2:$F$500,0))),"⚠"))</f>
        <v/>
      </c>
      <c r="CB80" t="str">
        <f t="shared" si="64"/>
        <v/>
      </c>
      <c r="CC80" t="str">
        <f t="shared" ca="1" si="65"/>
        <v/>
      </c>
      <c r="CD80" t="str">
        <f t="shared" ca="1" si="66"/>
        <v/>
      </c>
      <c r="CE80" t="str">
        <f t="shared" si="67"/>
        <v/>
      </c>
      <c r="CF80" t="str">
        <f t="shared" si="68"/>
        <v/>
      </c>
      <c r="CG80" t="str">
        <f t="shared" ca="1" si="69"/>
        <v/>
      </c>
      <c r="CH80" t="str">
        <f t="shared" ca="1" si="70"/>
        <v/>
      </c>
      <c r="CI80" t="str">
        <f t="shared" si="71"/>
        <v/>
      </c>
      <c r="CJ80" t="str">
        <f t="shared" si="72"/>
        <v/>
      </c>
      <c r="CK80" t="str">
        <f t="shared" si="73"/>
        <v/>
      </c>
      <c r="CL80" t="str">
        <f t="shared" si="74"/>
        <v/>
      </c>
    </row>
    <row r="81" spans="1:90" x14ac:dyDescent="0.3">
      <c r="A81">
        <f>CAPTURA!A81</f>
        <v>20564032485</v>
      </c>
      <c r="B81">
        <f>CAPTURA!C81</f>
        <v>0</v>
      </c>
      <c r="C81" t="str">
        <f t="shared" si="50"/>
        <v/>
      </c>
      <c r="D81" t="str">
        <f>IF(AE81="","",IFERROR(IF(INDEX(CODIFICACION!$E$2:$E$500,MATCH("P8|"&amp;AE81,CODIFICACION!$F$2:$F$500,0))="sin dato","",INDEX(CODIFICACION!$E$2:$E$500,MATCH("P8|"&amp;AE81,CODIFICACION!$F$2:$F$500,0))),"⚠"))</f>
        <v/>
      </c>
      <c r="E81" t="str">
        <f>IF(AG81="","",IFERROR(IF(INDEX(CODIFICACION!$E$2:$E$500,MATCH("P10|"&amp;AG81,CODIFICACION!$F$2:$F$500,0))="sin dato","",INDEX(CODIFICACION!$E$2:$E$500,MATCH("P10|"&amp;AG81,CODIFICACION!$F$2:$F$500,0))),"⚠"))</f>
        <v/>
      </c>
      <c r="F81" t="str">
        <f>IF(AJ81="","",IFERROR(IF(INDEX(CODIFICACION!$E$2:$E$500,MATCH("P13|"&amp;AJ81,CODIFICACION!$F$2:$F$500,0))="sin dato","",INDEX(CODIFICACION!$E$2:$E$500,MATCH("P13|"&amp;AJ81,CODIFICACION!$F$2:$F$500,0))),"⚠"))</f>
        <v/>
      </c>
      <c r="G81" t="str">
        <f>IF(AK81="","",IFERROR(IF(INDEX(CODIFICACION!$E$2:$E$500,MATCH("P14|"&amp;AK81,CODIFICACION!$F$2:$F$500,0))="sin dato","",INDEX(CODIFICACION!$E$2:$E$500,MATCH("P14|"&amp;AK81,CODIFICACION!$F$2:$F$500,0))),"⚠"))</f>
        <v/>
      </c>
      <c r="H81" t="str">
        <f>IF(AL81="","",IFERROR(IF(INDEX(CODIFICACION!$E$2:$E$500,MATCH("D1.1|"&amp;AL81,CODIFICACION!$F$2:$F$500,0))="sin dato","",INDEX(CODIFICACION!$E$2:$E$500,MATCH("D1.1|"&amp;AL81,CODIFICACION!$F$2:$F$500,0))),"⚠"))</f>
        <v/>
      </c>
      <c r="I81" t="str">
        <f>IF(AN81="","",IFERROR(IF(INDEX(CODIFICACION!$E$2:$E$500,MATCH("D1.3|"&amp;AN81,CODIFICACION!$F$2:$F$500,0))="sin dato","",INDEX(CODIFICACION!$E$2:$E$500,MATCH("D1.3|"&amp;AN81,CODIFICACION!$F$2:$F$500,0))),"⚠"))</f>
        <v/>
      </c>
      <c r="J81" t="str">
        <f>IF(AO81="","",IFERROR(IF(INDEX(CODIFICACION!$E$2:$E$500,MATCH("D1.4|"&amp;AO81,CODIFICACION!$F$2:$F$500,0))="sin dato","",INDEX(CODIFICACION!$E$2:$E$500,MATCH("D1.4|"&amp;AO81,CODIFICACION!$F$2:$F$500,0))),"⚠"))</f>
        <v/>
      </c>
      <c r="K81" t="str">
        <f>IF(AP81="","",IFERROR(IF(INDEX(CODIFICACION!$E$2:$E$500,MATCH("D1.3a|"&amp;AP81,CODIFICACION!$F$2:$F$500,0))="sin dato","",INDEX(CODIFICACION!$E$2:$E$500,MATCH("D1.3a|"&amp;AP81,CODIFICACION!$F$2:$F$500,0))),"⚠"))</f>
        <v/>
      </c>
      <c r="L81" t="str">
        <f t="shared" si="51"/>
        <v/>
      </c>
      <c r="M81" t="str">
        <f t="shared" si="52"/>
        <v/>
      </c>
      <c r="N81" t="str">
        <f t="shared" si="53"/>
        <v/>
      </c>
      <c r="O81" t="str">
        <f>IF(AT81="","",IFERROR(IF(INDEX(CODIFICACION!$E$2:$E$500,MATCH("D2.8|"&amp;AT81,CODIFICACION!$F$2:$F$500,0))="sin dato","",INDEX(CODIFICACION!$E$2:$E$500,MATCH("D2.8|"&amp;AT81,CODIFICACION!$F$2:$F$500,0))),"⚠"))</f>
        <v/>
      </c>
      <c r="P81" t="str">
        <f>IF(AU81="","",IFERROR(IF(INDEX(CODIFICACION!$E$2:$E$500,MATCH("D2.9|"&amp;AU81,CODIFICACION!$F$2:$F$500,0))="sin dato","",INDEX(CODIFICACION!$E$2:$E$500,MATCH("D2.9|"&amp;AU81,CODIFICACION!$F$2:$F$500,0))),"⚠"))</f>
        <v/>
      </c>
      <c r="Q81" t="str">
        <f>IF(AV81="","",IFERROR(IF(INDEX(CODIFICACION!$E$2:$E$500,MATCH("D2.10|"&amp;AV81,CODIFICACION!$F$2:$F$500,0))="sin dato","",INDEX(CODIFICACION!$E$2:$E$500,MATCH("D2.10|"&amp;AV81,CODIFICACION!$F$2:$F$500,0))),"⚠"))</f>
        <v/>
      </c>
      <c r="R81" t="str">
        <f>IF(AW81="","",IFERROR(IF(INDEX(CODIFICACION!$E$2:$E$500,MATCH("D2.5a|"&amp;AW81,CODIFICACION!$F$2:$F$500,0))="sin dato","",INDEX(CODIFICACION!$E$2:$E$500,MATCH("D2.5a|"&amp;AW81,CODIFICACION!$F$2:$F$500,0))),"⚠"))</f>
        <v/>
      </c>
      <c r="S81" t="str">
        <f ca="1">IF(AX81="","",IFERROR(IF(INDEX(CODIFICACION!$E$2:$E$500,MATCH("D2.5b|"&amp;AX81,CODIFICACION!$F$2:$F$500,0))="sin dato","",INDEX(CODIFICACION!$E$2:$E$500,MATCH("D2.5b|"&amp;AX81,CODIFICACION!$F$2:$F$500,0))),"⚠"))</f>
        <v/>
      </c>
      <c r="T81" t="str">
        <f t="shared" ca="1" si="54"/>
        <v/>
      </c>
      <c r="U81" t="str">
        <f>IF(AZ81="","",IFERROR(IF(INDEX(CODIFICACION!$E$2:$E$500,MATCH("D3.12|"&amp;AZ81,CODIFICACION!$F$2:$F$500,0))="sin dato","",INDEX(CODIFICACION!$E$2:$E$500,MATCH("D3.12|"&amp;AZ81,CODIFICACION!$F$2:$F$500,0))),"⚠"))</f>
        <v/>
      </c>
      <c r="V81" t="str">
        <f t="shared" si="55"/>
        <v/>
      </c>
      <c r="W81" t="str">
        <f ca="1">IF(BB81="","",IFERROR(IF(INDEX(CODIFICACION!$E$2:$E$500,MATCH("D3.14|"&amp;BB81,CODIFICACION!$F$2:$F$500,0))="sin dato","",INDEX(CODIFICACION!$E$2:$E$500,MATCH("D3.14|"&amp;BB81,CODIFICACION!$F$2:$F$500,0))),"⚠"))</f>
        <v/>
      </c>
      <c r="X81" t="str">
        <f ca="1">IF(BC81="","",IFERROR(IF(INDEX(CODIFICACION!$E$2:$E$500,MATCH("D3.14a|"&amp;BC81,CODIFICACION!$F$2:$F$500,0))="sin dato","",INDEX(CODIFICACION!$E$2:$E$500,MATCH("D3.14a|"&amp;BC81,CODIFICACION!$F$2:$F$500,0))),"⚠"))</f>
        <v/>
      </c>
      <c r="Y81" t="str">
        <f>IF(BD81="","",IFERROR(IF(INDEX(CODIFICACION!$E$2:$E$500,MATCH("D3.14b|"&amp;BD81,CODIFICACION!$F$2:$F$500,0))="sin dato","",INDEX(CODIFICACION!$E$2:$E$500,MATCH("D3.14b|"&amp;BD81,CODIFICACION!$F$2:$F$500,0))),"⚠"))</f>
        <v/>
      </c>
      <c r="Z81" t="str">
        <f>IF(BE81="","",IFERROR(IF(INDEX(CODIFICACION!$E$2:$E$500,MATCH("D3.14c|"&amp;BE81,CODIFICACION!$F$2:$F$500,0))="sin dato","",INDEX(CODIFICACION!$E$2:$E$500,MATCH("D3.14c|"&amp;BE81,CODIFICACION!$F$2:$F$500,0))),"⚠"))</f>
        <v/>
      </c>
      <c r="AA81" t="str">
        <f>IF(BF81="","",IFERROR(IF(INDEX(CODIFICACION!$E$2:$E$500,MATCH("D3.14d|"&amp;BF81,CODIFICACION!$F$2:$F$500,0))="sin dato","",INDEX(CODIFICACION!$E$2:$E$500,MATCH("D3.14d|"&amp;BF81,CODIFICACION!$F$2:$F$500,0))),"⚠"))</f>
        <v/>
      </c>
      <c r="AB81" t="str">
        <f>IF(BG81="","",IFERROR(IF(INDEX(CODIFICACION!$E$2:$E$500,MATCH("D3.14e|"&amp;BG81,CODIFICACION!$F$2:$F$500,0))="sin dato","",INDEX(CODIFICACION!$E$2:$E$500,MATCH("D3.14e|"&amp;BG81,CODIFICACION!$F$2:$F$500,0))),"⚠"))</f>
        <v/>
      </c>
      <c r="AC81" t="str">
        <f>IF(BH81="","",IFERROR(IF(INDEX(CODIFICACION!$E$2:$E$500,MATCH("D3.14f|"&amp;BH81,CODIFICACION!$F$2:$F$500,0))="sin dato","",INDEX(CODIFICACION!$E$2:$E$500,MATCH("D3.14f|"&amp;BH81,CODIFICACION!$F$2:$F$500,0))),"⚠"))</f>
        <v/>
      </c>
      <c r="AD81" t="str">
        <f>IF(BI81="","",IFERROR(IF(INDEX(CODIFICACION!$E$2:$E$500,MATCH("D3.14g|"&amp;BI81,CODIFICACION!$F$2:$F$500,0))="sin dato","",INDEX(CODIFICACION!$E$2:$E$500,MATCH("D3.14g|"&amp;BI81,CODIFICACION!$F$2:$F$500,0))),"⚠"))</f>
        <v/>
      </c>
      <c r="AE81" t="str">
        <f>IF(BJ81="","",IFERROR(IF(INDEX(CODIFICACION!$E$2:$E$500,MATCH("D3.14h|"&amp;BJ81,CODIFICACION!$F$2:$F$500,0))="sin dato","",INDEX(CODIFICACION!$E$2:$E$500,MATCH("D3.14h|"&amp;BJ81,CODIFICACION!$F$2:$F$500,0))),"⚠"))</f>
        <v/>
      </c>
      <c r="AF81" t="str">
        <f>IF(BK81="","",IFERROR(IF(INDEX(CODIFICACION!$E$2:$E$500,MATCH("D3.14i|"&amp;BK81,CODIFICACION!$F$2:$F$500,0))="sin dato","",INDEX(CODIFICACION!$E$2:$E$500,MATCH("D3.14i|"&amp;BK81,CODIFICACION!$F$2:$F$500,0))),"⚠"))</f>
        <v/>
      </c>
      <c r="AG81" t="str">
        <f>IF(BL81="","",IFERROR(IF(INDEX(CODIFICACION!$E$2:$E$500,MATCH("D4.15|"&amp;BL81,CODIFICACION!$F$2:$F$500,0))="sin dato","",INDEX(CODIFICACION!$E$2:$E$500,MATCH("D4.15|"&amp;BL81,CODIFICACION!$F$2:$F$500,0))),"⚠"))</f>
        <v/>
      </c>
      <c r="AH81" t="str">
        <f t="shared" si="56"/>
        <v/>
      </c>
      <c r="AI81" t="str">
        <f>IF(BN81="","",IFERROR(IF(INDEX(CODIFICACION!$E$2:$E$500,MATCH("D4.17|"&amp;BN81,CODIFICACION!$F$2:$F$500,0))="sin dato","",INDEX(CODIFICACION!$E$2:$E$500,MATCH("D4.17|"&amp;BN81,CODIFICACION!$F$2:$F$500,0))),"⚠"))</f>
        <v/>
      </c>
      <c r="AJ81" t="str">
        <f>IF(BO81="","",IFERROR(IF(INDEX(CODIFICACION!$E$2:$E$500,MATCH("D4.15a|"&amp;BO81,CODIFICACION!$F$2:$F$500,0))="sin dato","",INDEX(CODIFICACION!$E$2:$E$500,MATCH("D4.15a|"&amp;BO81,CODIFICACION!$F$2:$F$500,0))),"⚠"))</f>
        <v/>
      </c>
      <c r="AK81" t="str">
        <f t="shared" si="57"/>
        <v/>
      </c>
      <c r="AL81" t="str">
        <f t="shared" si="58"/>
        <v/>
      </c>
      <c r="AM81" t="str">
        <f>IF(BR81="","",IFERROR(IF(INDEX(CODIFICACION!$E$2:$E$500,MATCH("D5.18b|"&amp;BR81,CODIFICACION!$F$2:$F$500,0))="sin dato","",INDEX(CODIFICACION!$E$2:$E$500,MATCH("D5.18b|"&amp;BR81,CODIFICACION!$F$2:$F$500,0))),"⚠"))</f>
        <v/>
      </c>
      <c r="AN81" t="str">
        <f>IF(BS81="","",IFERROR(IF(INDEX(CODIFICACION!$E$2:$E$500,MATCH("D5.19|"&amp;BS81,CODIFICACION!$F$2:$F$500,0))="sin dato","",INDEX(CODIFICACION!$E$2:$E$500,MATCH("D5.19|"&amp;BS81,CODIFICACION!$F$2:$F$500,0))),"⚠"))</f>
        <v/>
      </c>
      <c r="AO81" t="str">
        <f t="shared" si="59"/>
        <v/>
      </c>
      <c r="AP81" t="str">
        <f>IF(BU81="","",IFERROR(IF(INDEX(CODIFICACION!$E$2:$E$500,MATCH("D5.20|"&amp;BU81,CODIFICACION!$F$2:$F$500,0))="sin dato","",INDEX(CODIFICACION!$E$2:$E$500,MATCH("D5.20|"&amp;BU81,CODIFICACION!$F$2:$F$500,0))),"⚠"))</f>
        <v/>
      </c>
      <c r="AQ81" t="str">
        <f>IF(BV81="","",IFERROR(IF(INDEX(CODIFICACION!$E$2:$E$500,MATCH("D5.21|"&amp;BV81,CODIFICACION!$F$2:$F$500,0))="sin dato","",INDEX(CODIFICACION!$E$2:$E$500,MATCH("D5.21|"&amp;BV81,CODIFICACION!$F$2:$F$500,0))),"⚠"))</f>
        <v/>
      </c>
      <c r="AR81" t="str">
        <f>IF(BW81="","",IFERROR(IF(INDEX(CODIFICACION!$E$2:$E$500,MATCH("D5.21a|"&amp;BW81,CODIFICACION!$F$2:$F$500,0))="sin dato","",INDEX(CODIFICACION!$E$2:$E$500,MATCH("D5.21a|"&amp;BW81,CODIFICACION!$F$2:$F$500,0))),"⚠"))</f>
        <v/>
      </c>
      <c r="AS81" t="str">
        <f>IF(BX81="","",IFERROR(IF(INDEX(CODIFICACION!$E$2:$E$500,MATCH("D5.21b|"&amp;BX81,CODIFICACION!$F$2:$F$500,0))="sin dato","",INDEX(CODIFICACION!$E$2:$E$500,MATCH("D5.21b|"&amp;BX81,CODIFICACION!$F$2:$F$500,0))),"⚠"))</f>
        <v/>
      </c>
      <c r="AT81" t="str">
        <f>IF(BY81="","",IFERROR(IF(INDEX(CODIFICACION!$E$2:$E$500,MATCH("D6.22|"&amp;BY81,CODIFICACION!$F$2:$F$500,0))="sin dato","",INDEX(CODIFICACION!$E$2:$E$500,MATCH("D6.22|"&amp;BY81,CODIFICACION!$F$2:$F$500,0))),"⚠"))</f>
        <v/>
      </c>
      <c r="AU81" t="str">
        <f>IF(BZ81="","",IFERROR(IF(INDEX(CODIFICACION!$E$2:$E$500,MATCH("D6.22a|"&amp;BZ81,CODIFICACION!$F$2:$F$500,0))="sin dato","",INDEX(CODIFICACION!$E$2:$E$500,MATCH("D6.22a|"&amp;BZ81,CODIFICACION!$F$2:$F$500,0))),"⚠"))</f>
        <v/>
      </c>
      <c r="AV81" t="str">
        <f>IF(CA81="","",IFERROR(IF(INDEX(CODIFICACION!$E$2:$E$500,MATCH("D6.22b|"&amp;CA81,CODIFICACION!$F$2:$F$500,0))="sin dato","",INDEX(CODIFICACION!$E$2:$E$500,MATCH("D6.22b|"&amp;CA81,CODIFICACION!$F$2:$F$500,0))),"⚠"))</f>
        <v/>
      </c>
      <c r="AW81" t="str">
        <f>IF(CB81="","",IFERROR(IF(INDEX(CODIFICACION!$E$2:$E$500,MATCH("D6.23|"&amp;CB81,CODIFICACION!$F$2:$F$500,0))="sin dato","",INDEX(CODIFICACION!$E$2:$E$500,MATCH("D6.23|"&amp;CB81,CODIFICACION!$F$2:$F$500,0))),"⚠"))</f>
        <v/>
      </c>
      <c r="AX81" t="str">
        <f ca="1">IF(CC81="","",IFERROR(IF(INDEX(CODIFICACION!$E$2:$E$500,MATCH("D6.24|"&amp;CC81,CODIFICACION!$F$2:$F$500,0))="sin dato","",INDEX(CODIFICACION!$E$2:$E$500,MATCH("D6.24|"&amp;CC81,CODIFICACION!$F$2:$F$500,0))),"⚠"))</f>
        <v/>
      </c>
      <c r="AY81" t="str">
        <f ca="1">IF(CD81="","",IFERROR(IF(INDEX(CODIFICACION!$E$2:$E$500,MATCH("D6.25|"&amp;CD81,CODIFICACION!$F$2:$F$500,0))="sin dato","",INDEX(CODIFICACION!$E$2:$E$500,MATCH("D6.25|"&amp;CD81,CODIFICACION!$F$2:$F$500,0))),"⚠"))</f>
        <v/>
      </c>
      <c r="AZ81" t="str">
        <f>IF(CE81="","",IFERROR(IF(INDEX(CODIFICACION!$E$2:$E$500,MATCH("D6.25a|"&amp;CE81,CODIFICACION!$F$2:$F$500,0))="sin dato","",INDEX(CODIFICACION!$E$2:$E$500,MATCH("D6.25a|"&amp;CE81,CODIFICACION!$F$2:$F$500,0))),"⚠"))</f>
        <v/>
      </c>
      <c r="BA81" t="str">
        <f>IF(CF81="","",IFERROR(IF(INDEX(CODIFICACION!$E$2:$E$500,MATCH("D6.25b|"&amp;CF81,CODIFICACION!$F$2:$F$500,0))="sin dato","",INDEX(CODIFICACION!$E$2:$E$500,MATCH("D6.25b|"&amp;CF81,CODIFICACION!$F$2:$F$500,0))),"⚠"))</f>
        <v/>
      </c>
      <c r="BB81" t="str">
        <f ca="1">IF(CG81="","",IFERROR(IF(INDEX(CODIFICACION!$E$2:$E$500,MATCH("D6.22c|"&amp;CG81,CODIFICACION!$F$2:$F$500,0))="sin dato","",INDEX(CODIFICACION!$E$2:$E$500,MATCH("D6.22c|"&amp;CG81,CODIFICACION!$F$2:$F$500,0))),"⚠"))</f>
        <v/>
      </c>
      <c r="BC81" t="str">
        <f ca="1">IF(CH81="","",IFERROR(IF(INDEX(CODIFICACION!$E$2:$E$500,MATCH("D7.26|"&amp;CH81,CODIFICACION!$F$2:$F$500,0))="sin dato","",INDEX(CODIFICACION!$E$2:$E$500,MATCH("D7.26|"&amp;CH81,CODIFICACION!$F$2:$F$500,0))),"⚠"))</f>
        <v/>
      </c>
      <c r="BD81" t="str">
        <f>IF(CI81="","",IFERROR(IF(INDEX(CODIFICACION!$E$2:$E$500,MATCH("D7.27|"&amp;CI81,CODIFICACION!$F$2:$F$500,0))="sin dato","",INDEX(CODIFICACION!$E$2:$E$500,MATCH("D7.27|"&amp;CI81,CODIFICACION!$F$2:$F$500,0))),"⚠"))</f>
        <v/>
      </c>
      <c r="BE81" t="str">
        <f>IF(CJ81="","",IFERROR(IF(INDEX(CODIFICACION!$E$2:$E$500,MATCH("D7.28|"&amp;CJ81,CODIFICACION!$F$2:$F$500,0))="sin dato","",INDEX(CODIFICACION!$E$2:$E$500,MATCH("D7.28|"&amp;CJ81,CODIFICACION!$F$2:$F$500,0))),"⚠"))</f>
        <v/>
      </c>
      <c r="BF81" t="str">
        <f>IF(CK81="","",IFERROR(IF(INDEX(CODIFICACION!$E$2:$E$500,MATCH("D7.28b|"&amp;CK81,CODIFICACION!$F$2:$F$500,0))="sin dato","",INDEX(CODIFICACION!$E$2:$E$500,MATCH("D7.28b|"&amp;CK81,CODIFICACION!$F$2:$F$500,0))),"⚠"))</f>
        <v/>
      </c>
      <c r="BG81" t="str">
        <f t="shared" si="60"/>
        <v/>
      </c>
      <c r="BH81" t="str">
        <f>IF(CM81="","",IFERROR(IF(INDEX(CODIFICACION!$E$2:$E$500,MATCH("D7.26a|"&amp;CM81,CODIFICACION!$F$2:$F$500,0))="sin dato","",INDEX(CODIFICACION!$E$2:$E$500,MATCH("D7.26a|"&amp;CM81,CODIFICACION!$F$2:$F$500,0))),"⚠"))</f>
        <v/>
      </c>
      <c r="BI81" t="str">
        <f>IF(CN81="","",IFERROR(IF(INDEX(CODIFICACION!$E$2:$E$500,MATCH("D7.26b|"&amp;CN81,CODIFICACION!$F$2:$F$500,0))="sin dato","",INDEX(CODIFICACION!$E$2:$E$500,MATCH("D7.26b|"&amp;CN81,CODIFICACION!$F$2:$F$500,0))),"⚠"))</f>
        <v/>
      </c>
      <c r="BJ81" t="str">
        <f t="shared" si="61"/>
        <v/>
      </c>
      <c r="BK81" t="str">
        <f t="shared" si="62"/>
        <v/>
      </c>
      <c r="BL81" t="str">
        <f>IF(CQ81="","",IFERROR(IF(INDEX(CODIFICACION!$E$2:$E$500,MATCH("D8.31|"&amp;CQ81,CODIFICACION!$F$2:$F$500,0))="sin dato","",INDEX(CODIFICACION!$E$2:$E$500,MATCH("D8.31|"&amp;CQ81,CODIFICACION!$F$2:$F$500,0))),"⚠"))</f>
        <v/>
      </c>
      <c r="BM81" t="str">
        <f>IF(CR81="","",IFERROR(IF(INDEX(CODIFICACION!$E$2:$E$500,MATCH("D8.32|"&amp;CR81,CODIFICACION!$F$2:$F$500,0))="sin dato","",INDEX(CODIFICACION!$E$2:$E$500,MATCH("D8.32|"&amp;CR81,CODIFICACION!$F$2:$F$500,0))),"⚠"))</f>
        <v/>
      </c>
      <c r="BN81" t="str">
        <f>IF(CS81="","",IFERROR(IF(INDEX(CODIFICACION!$E$2:$E$500,MATCH("D9.33|"&amp;CS81,CODIFICACION!$F$2:$F$500,0))="sin dato","",INDEX(CODIFICACION!$E$2:$E$500,MATCH("D9.33|"&amp;CS81,CODIFICACION!$F$2:$F$500,0))),"⚠"))</f>
        <v/>
      </c>
      <c r="BO81" t="str">
        <f>IF(CT81="","",IFERROR(IF(INDEX(CODIFICACION!$E$2:$E$500,MATCH("D9.34|"&amp;CT81,CODIFICACION!$F$2:$F$500,0))="sin dato","",INDEX(CODIFICACION!$E$2:$E$500,MATCH("D9.34|"&amp;CT81,CODIFICACION!$F$2:$F$500,0))),"⚠"))</f>
        <v/>
      </c>
      <c r="BP81" t="str">
        <f>IF(CU81="","",IFERROR(IF(INDEX(CODIFICACION!$E$2:$E$500,MATCH("D9.35|"&amp;CU81,CODIFICACION!$F$2:$F$500,0))="sin dato","",INDEX(CODIFICACION!$E$2:$E$500,MATCH("D9.35|"&amp;CU81,CODIFICACION!$F$2:$F$500,0))),"⚠"))</f>
        <v/>
      </c>
      <c r="BQ81" t="str">
        <f>IF(CV81="","",IFERROR(IF(INDEX(CODIFICACION!$E$2:$E$500,MATCH("D10.36|"&amp;CV81,CODIFICACION!$F$2:$F$500,0))="sin dato","",INDEX(CODIFICACION!$E$2:$E$500,MATCH("D10.36|"&amp;CV81,CODIFICACION!$F$2:$F$500,0))),"⚠"))</f>
        <v/>
      </c>
      <c r="BR81" t="str">
        <f>IF(CW81="","",IFERROR(IF(INDEX(CODIFICACION!$E$2:$E$500,MATCH("D10.37|"&amp;CW81,CODIFICACION!$F$2:$F$500,0))="sin dato","",INDEX(CODIFICACION!$E$2:$E$500,MATCH("D10.37|"&amp;CW81,CODIFICACION!$F$2:$F$500,0))),"⚠"))</f>
        <v/>
      </c>
      <c r="BS81" t="str">
        <f>IF(CX81="","",IFERROR(IF(INDEX(CODIFICACION!$E$2:$E$500,MATCH("D10.36a|"&amp;CX81,CODIFICACION!$F$2:$F$500,0))="sin dato","",INDEX(CODIFICACION!$E$2:$E$500,MATCH("D10.36a|"&amp;CX81,CODIFICACION!$F$2:$F$500,0))),"⚠"))</f>
        <v/>
      </c>
      <c r="BT81" t="str">
        <f t="shared" si="63"/>
        <v/>
      </c>
      <c r="BU81" t="str">
        <f>IF(DA81="","",IFERROR(IF(INDEX(CODIFICACION!$E$2:$E$500,MATCH("D11.39a|"&amp;DA81,CODIFICACION!$F$2:$F$500,0))="sin dato","",INDEX(CODIFICACION!$E$2:$E$500,MATCH("D11.39a|"&amp;DA81,CODIFICACION!$F$2:$F$500,0))),"⚠"))</f>
        <v/>
      </c>
      <c r="BV81" t="str">
        <f>IF(DB81="","",IFERROR(IF(INDEX(CODIFICACION!$E$2:$E$500,MATCH("D12.42|"&amp;DB81,CODIFICACION!$F$2:$F$500,0))="sin dato","",INDEX(CODIFICACION!$E$2:$E$500,MATCH("D12.42|"&amp;DB81,CODIFICACION!$F$2:$F$500,0))),"⚠"))</f>
        <v/>
      </c>
      <c r="BW81" t="str">
        <f>IF(DC81="","",IFERROR(IF(INDEX(CODIFICACION!$E$2:$E$500,MATCH("D13.45|"&amp;DC81,CODIFICACION!$F$2:$F$500,0))="sin dato","",INDEX(CODIFICACION!$E$2:$E$500,MATCH("D13.45|"&amp;DC81,CODIFICACION!$F$2:$F$500,0))),"⚠"))</f>
        <v/>
      </c>
      <c r="BX81" t="str">
        <f>IF(DD81="","",IFERROR(IF(INDEX(CODIFICACION!$E$2:$E$500,MATCH("D14.51|"&amp;DD81,CODIFICACION!$F$2:$F$500,0))="sin dato","",INDEX(CODIFICACION!$E$2:$E$500,MATCH("D14.51|"&amp;DD81,CODIFICACION!$F$2:$F$500,0))),"⚠"))</f>
        <v/>
      </c>
      <c r="BY81" t="str">
        <f>IF(DE81="","",IFERROR(IF(INDEX(CODIFICACION!$E$2:$E$500,MATCH("D15.58|"&amp;DE81,CODIFICACION!$F$2:$F$500,0))="sin dato","",INDEX(CODIFICACION!$E$2:$E$500,MATCH("D15.58|"&amp;DE81,CODIFICACION!$F$2:$F$500,0))),"⚠"))</f>
        <v/>
      </c>
      <c r="BZ81" t="str">
        <f>IF(DF81="","",IFERROR(IF(INDEX(CODIFICACION!$E$2:$E$500,MATCH("PP1|"&amp;DF81,CODIFICACION!$F$2:$F$500,0))="sin dato","",INDEX(CODIFICACION!$E$2:$E$500,MATCH("PP1|"&amp;DF81,CODIFICACION!$F$2:$F$500,0))),"⚠"))</f>
        <v/>
      </c>
      <c r="CA81" t="str">
        <f>IF(DG81="","",IFERROR(IF(INDEX(CODIFICACION!$E$2:$E$500,MATCH("PP2|"&amp;DG81,CODIFICACION!$F$2:$F$500,0))="sin dato","",INDEX(CODIFICACION!$E$2:$E$500,MATCH("PP2|"&amp;DG81,CODIFICACION!$F$2:$F$500,0))),"⚠"))</f>
        <v/>
      </c>
      <c r="CB81" t="str">
        <f t="shared" si="64"/>
        <v/>
      </c>
      <c r="CC81" t="str">
        <f t="shared" ca="1" si="65"/>
        <v/>
      </c>
      <c r="CD81" t="str">
        <f t="shared" ca="1" si="66"/>
        <v/>
      </c>
      <c r="CE81" t="str">
        <f t="shared" si="67"/>
        <v/>
      </c>
      <c r="CF81" t="str">
        <f t="shared" si="68"/>
        <v/>
      </c>
      <c r="CG81" t="str">
        <f t="shared" ca="1" si="69"/>
        <v/>
      </c>
      <c r="CH81" t="str">
        <f t="shared" ca="1" si="70"/>
        <v/>
      </c>
      <c r="CI81" t="str">
        <f t="shared" si="71"/>
        <v/>
      </c>
      <c r="CJ81" t="str">
        <f t="shared" si="72"/>
        <v/>
      </c>
      <c r="CK81" t="str">
        <f t="shared" si="73"/>
        <v/>
      </c>
      <c r="CL81" t="str">
        <f t="shared" si="74"/>
        <v/>
      </c>
    </row>
    <row r="82" spans="1:90" x14ac:dyDescent="0.3">
      <c r="A82">
        <f>CAPTURA!A82</f>
        <v>20568071281</v>
      </c>
      <c r="B82">
        <f>CAPTURA!C82</f>
        <v>0</v>
      </c>
      <c r="C82" t="str">
        <f t="shared" si="50"/>
        <v/>
      </c>
      <c r="D82" t="str">
        <f>IF(AE82="","",IFERROR(IF(INDEX(CODIFICACION!$E$2:$E$500,MATCH("P8|"&amp;AE82,CODIFICACION!$F$2:$F$500,0))="sin dato","",INDEX(CODIFICACION!$E$2:$E$500,MATCH("P8|"&amp;AE82,CODIFICACION!$F$2:$F$500,0))),"⚠"))</f>
        <v/>
      </c>
      <c r="E82" t="str">
        <f>IF(AG82="","",IFERROR(IF(INDEX(CODIFICACION!$E$2:$E$500,MATCH("P10|"&amp;AG82,CODIFICACION!$F$2:$F$500,0))="sin dato","",INDEX(CODIFICACION!$E$2:$E$500,MATCH("P10|"&amp;AG82,CODIFICACION!$F$2:$F$500,0))),"⚠"))</f>
        <v/>
      </c>
      <c r="F82" t="str">
        <f>IF(AJ82="","",IFERROR(IF(INDEX(CODIFICACION!$E$2:$E$500,MATCH("P13|"&amp;AJ82,CODIFICACION!$F$2:$F$500,0))="sin dato","",INDEX(CODIFICACION!$E$2:$E$500,MATCH("P13|"&amp;AJ82,CODIFICACION!$F$2:$F$500,0))),"⚠"))</f>
        <v/>
      </c>
      <c r="G82" t="str">
        <f>IF(AK82="","",IFERROR(IF(INDEX(CODIFICACION!$E$2:$E$500,MATCH("P14|"&amp;AK82,CODIFICACION!$F$2:$F$500,0))="sin dato","",INDEX(CODIFICACION!$E$2:$E$500,MATCH("P14|"&amp;AK82,CODIFICACION!$F$2:$F$500,0))),"⚠"))</f>
        <v/>
      </c>
      <c r="H82" t="str">
        <f>IF(AL82="","",IFERROR(IF(INDEX(CODIFICACION!$E$2:$E$500,MATCH("D1.1|"&amp;AL82,CODIFICACION!$F$2:$F$500,0))="sin dato","",INDEX(CODIFICACION!$E$2:$E$500,MATCH("D1.1|"&amp;AL82,CODIFICACION!$F$2:$F$500,0))),"⚠"))</f>
        <v/>
      </c>
      <c r="I82" t="str">
        <f>IF(AN82="","",IFERROR(IF(INDEX(CODIFICACION!$E$2:$E$500,MATCH("D1.3|"&amp;AN82,CODIFICACION!$F$2:$F$500,0))="sin dato","",INDEX(CODIFICACION!$E$2:$E$500,MATCH("D1.3|"&amp;AN82,CODIFICACION!$F$2:$F$500,0))),"⚠"))</f>
        <v/>
      </c>
      <c r="J82" t="str">
        <f>IF(AO82="","",IFERROR(IF(INDEX(CODIFICACION!$E$2:$E$500,MATCH("D1.4|"&amp;AO82,CODIFICACION!$F$2:$F$500,0))="sin dato","",INDEX(CODIFICACION!$E$2:$E$500,MATCH("D1.4|"&amp;AO82,CODIFICACION!$F$2:$F$500,0))),"⚠"))</f>
        <v/>
      </c>
      <c r="K82" t="str">
        <f>IF(AP82="","",IFERROR(IF(INDEX(CODIFICACION!$E$2:$E$500,MATCH("D1.3a|"&amp;AP82,CODIFICACION!$F$2:$F$500,0))="sin dato","",INDEX(CODIFICACION!$E$2:$E$500,MATCH("D1.3a|"&amp;AP82,CODIFICACION!$F$2:$F$500,0))),"⚠"))</f>
        <v/>
      </c>
      <c r="L82" t="str">
        <f t="shared" si="51"/>
        <v/>
      </c>
      <c r="M82" t="str">
        <f t="shared" si="52"/>
        <v/>
      </c>
      <c r="N82" t="str">
        <f t="shared" si="53"/>
        <v/>
      </c>
      <c r="O82" t="str">
        <f>IF(AT82="","",IFERROR(IF(INDEX(CODIFICACION!$E$2:$E$500,MATCH("D2.8|"&amp;AT82,CODIFICACION!$F$2:$F$500,0))="sin dato","",INDEX(CODIFICACION!$E$2:$E$500,MATCH("D2.8|"&amp;AT82,CODIFICACION!$F$2:$F$500,0))),"⚠"))</f>
        <v/>
      </c>
      <c r="P82" t="str">
        <f>IF(AU82="","",IFERROR(IF(INDEX(CODIFICACION!$E$2:$E$500,MATCH("D2.9|"&amp;AU82,CODIFICACION!$F$2:$F$500,0))="sin dato","",INDEX(CODIFICACION!$E$2:$E$500,MATCH("D2.9|"&amp;AU82,CODIFICACION!$F$2:$F$500,0))),"⚠"))</f>
        <v/>
      </c>
      <c r="Q82" t="str">
        <f>IF(AV82="","",IFERROR(IF(INDEX(CODIFICACION!$E$2:$E$500,MATCH("D2.10|"&amp;AV82,CODIFICACION!$F$2:$F$500,0))="sin dato","",INDEX(CODIFICACION!$E$2:$E$500,MATCH("D2.10|"&amp;AV82,CODIFICACION!$F$2:$F$500,0))),"⚠"))</f>
        <v/>
      </c>
      <c r="R82" t="str">
        <f>IF(AW82="","",IFERROR(IF(INDEX(CODIFICACION!$E$2:$E$500,MATCH("D2.5a|"&amp;AW82,CODIFICACION!$F$2:$F$500,0))="sin dato","",INDEX(CODIFICACION!$E$2:$E$500,MATCH("D2.5a|"&amp;AW82,CODIFICACION!$F$2:$F$500,0))),"⚠"))</f>
        <v/>
      </c>
      <c r="S82" t="str">
        <f ca="1">IF(AX82="","",IFERROR(IF(INDEX(CODIFICACION!$E$2:$E$500,MATCH("D2.5b|"&amp;AX82,CODIFICACION!$F$2:$F$500,0))="sin dato","",INDEX(CODIFICACION!$E$2:$E$500,MATCH("D2.5b|"&amp;AX82,CODIFICACION!$F$2:$F$500,0))),"⚠"))</f>
        <v/>
      </c>
      <c r="T82" t="str">
        <f t="shared" ca="1" si="54"/>
        <v/>
      </c>
      <c r="U82" t="str">
        <f>IF(AZ82="","",IFERROR(IF(INDEX(CODIFICACION!$E$2:$E$500,MATCH("D3.12|"&amp;AZ82,CODIFICACION!$F$2:$F$500,0))="sin dato","",INDEX(CODIFICACION!$E$2:$E$500,MATCH("D3.12|"&amp;AZ82,CODIFICACION!$F$2:$F$500,0))),"⚠"))</f>
        <v/>
      </c>
      <c r="V82" t="str">
        <f t="shared" si="55"/>
        <v/>
      </c>
      <c r="W82" t="str">
        <f ca="1">IF(BB82="","",IFERROR(IF(INDEX(CODIFICACION!$E$2:$E$500,MATCH("D3.14|"&amp;BB82,CODIFICACION!$F$2:$F$500,0))="sin dato","",INDEX(CODIFICACION!$E$2:$E$500,MATCH("D3.14|"&amp;BB82,CODIFICACION!$F$2:$F$500,0))),"⚠"))</f>
        <v/>
      </c>
      <c r="X82" t="str">
        <f ca="1">IF(BC82="","",IFERROR(IF(INDEX(CODIFICACION!$E$2:$E$500,MATCH("D3.14a|"&amp;BC82,CODIFICACION!$F$2:$F$500,0))="sin dato","",INDEX(CODIFICACION!$E$2:$E$500,MATCH("D3.14a|"&amp;BC82,CODIFICACION!$F$2:$F$500,0))),"⚠"))</f>
        <v/>
      </c>
      <c r="Y82" t="str">
        <f>IF(BD82="","",IFERROR(IF(INDEX(CODIFICACION!$E$2:$E$500,MATCH("D3.14b|"&amp;BD82,CODIFICACION!$F$2:$F$500,0))="sin dato","",INDEX(CODIFICACION!$E$2:$E$500,MATCH("D3.14b|"&amp;BD82,CODIFICACION!$F$2:$F$500,0))),"⚠"))</f>
        <v/>
      </c>
      <c r="Z82" t="str">
        <f>IF(BE82="","",IFERROR(IF(INDEX(CODIFICACION!$E$2:$E$500,MATCH("D3.14c|"&amp;BE82,CODIFICACION!$F$2:$F$500,0))="sin dato","",INDEX(CODIFICACION!$E$2:$E$500,MATCH("D3.14c|"&amp;BE82,CODIFICACION!$F$2:$F$500,0))),"⚠"))</f>
        <v/>
      </c>
      <c r="AA82" t="str">
        <f>IF(BF82="","",IFERROR(IF(INDEX(CODIFICACION!$E$2:$E$500,MATCH("D3.14d|"&amp;BF82,CODIFICACION!$F$2:$F$500,0))="sin dato","",INDEX(CODIFICACION!$E$2:$E$500,MATCH("D3.14d|"&amp;BF82,CODIFICACION!$F$2:$F$500,0))),"⚠"))</f>
        <v/>
      </c>
      <c r="AB82" t="str">
        <f>IF(BG82="","",IFERROR(IF(INDEX(CODIFICACION!$E$2:$E$500,MATCH("D3.14e|"&amp;BG82,CODIFICACION!$F$2:$F$500,0))="sin dato","",INDEX(CODIFICACION!$E$2:$E$500,MATCH("D3.14e|"&amp;BG82,CODIFICACION!$F$2:$F$500,0))),"⚠"))</f>
        <v/>
      </c>
      <c r="AC82" t="str">
        <f>IF(BH82="","",IFERROR(IF(INDEX(CODIFICACION!$E$2:$E$500,MATCH("D3.14f|"&amp;BH82,CODIFICACION!$F$2:$F$500,0))="sin dato","",INDEX(CODIFICACION!$E$2:$E$500,MATCH("D3.14f|"&amp;BH82,CODIFICACION!$F$2:$F$500,0))),"⚠"))</f>
        <v/>
      </c>
      <c r="AD82" t="str">
        <f>IF(BI82="","",IFERROR(IF(INDEX(CODIFICACION!$E$2:$E$500,MATCH("D3.14g|"&amp;BI82,CODIFICACION!$F$2:$F$500,0))="sin dato","",INDEX(CODIFICACION!$E$2:$E$500,MATCH("D3.14g|"&amp;BI82,CODIFICACION!$F$2:$F$500,0))),"⚠"))</f>
        <v/>
      </c>
      <c r="AE82" t="str">
        <f>IF(BJ82="","",IFERROR(IF(INDEX(CODIFICACION!$E$2:$E$500,MATCH("D3.14h|"&amp;BJ82,CODIFICACION!$F$2:$F$500,0))="sin dato","",INDEX(CODIFICACION!$E$2:$E$500,MATCH("D3.14h|"&amp;BJ82,CODIFICACION!$F$2:$F$500,0))),"⚠"))</f>
        <v/>
      </c>
      <c r="AF82" t="str">
        <f>IF(BK82="","",IFERROR(IF(INDEX(CODIFICACION!$E$2:$E$500,MATCH("D3.14i|"&amp;BK82,CODIFICACION!$F$2:$F$500,0))="sin dato","",INDEX(CODIFICACION!$E$2:$E$500,MATCH("D3.14i|"&amp;BK82,CODIFICACION!$F$2:$F$500,0))),"⚠"))</f>
        <v/>
      </c>
      <c r="AG82" t="str">
        <f>IF(BL82="","",IFERROR(IF(INDEX(CODIFICACION!$E$2:$E$500,MATCH("D4.15|"&amp;BL82,CODIFICACION!$F$2:$F$500,0))="sin dato","",INDEX(CODIFICACION!$E$2:$E$500,MATCH("D4.15|"&amp;BL82,CODIFICACION!$F$2:$F$500,0))),"⚠"))</f>
        <v/>
      </c>
      <c r="AH82" t="str">
        <f t="shared" si="56"/>
        <v/>
      </c>
      <c r="AI82" t="str">
        <f>IF(BN82="","",IFERROR(IF(INDEX(CODIFICACION!$E$2:$E$500,MATCH("D4.17|"&amp;BN82,CODIFICACION!$F$2:$F$500,0))="sin dato","",INDEX(CODIFICACION!$E$2:$E$500,MATCH("D4.17|"&amp;BN82,CODIFICACION!$F$2:$F$500,0))),"⚠"))</f>
        <v/>
      </c>
      <c r="AJ82" t="str">
        <f>IF(BO82="","",IFERROR(IF(INDEX(CODIFICACION!$E$2:$E$500,MATCH("D4.15a|"&amp;BO82,CODIFICACION!$F$2:$F$500,0))="sin dato","",INDEX(CODIFICACION!$E$2:$E$500,MATCH("D4.15a|"&amp;BO82,CODIFICACION!$F$2:$F$500,0))),"⚠"))</f>
        <v/>
      </c>
      <c r="AK82" t="str">
        <f t="shared" si="57"/>
        <v/>
      </c>
      <c r="AL82" t="str">
        <f t="shared" si="58"/>
        <v/>
      </c>
      <c r="AM82" t="str">
        <f>IF(BR82="","",IFERROR(IF(INDEX(CODIFICACION!$E$2:$E$500,MATCH("D5.18b|"&amp;BR82,CODIFICACION!$F$2:$F$500,0))="sin dato","",INDEX(CODIFICACION!$E$2:$E$500,MATCH("D5.18b|"&amp;BR82,CODIFICACION!$F$2:$F$500,0))),"⚠"))</f>
        <v/>
      </c>
      <c r="AN82" t="str">
        <f>IF(BS82="","",IFERROR(IF(INDEX(CODIFICACION!$E$2:$E$500,MATCH("D5.19|"&amp;BS82,CODIFICACION!$F$2:$F$500,0))="sin dato","",INDEX(CODIFICACION!$E$2:$E$500,MATCH("D5.19|"&amp;BS82,CODIFICACION!$F$2:$F$500,0))),"⚠"))</f>
        <v/>
      </c>
      <c r="AO82" t="str">
        <f t="shared" si="59"/>
        <v/>
      </c>
      <c r="AP82" t="str">
        <f>IF(BU82="","",IFERROR(IF(INDEX(CODIFICACION!$E$2:$E$500,MATCH("D5.20|"&amp;BU82,CODIFICACION!$F$2:$F$500,0))="sin dato","",INDEX(CODIFICACION!$E$2:$E$500,MATCH("D5.20|"&amp;BU82,CODIFICACION!$F$2:$F$500,0))),"⚠"))</f>
        <v/>
      </c>
      <c r="AQ82" t="str">
        <f>IF(BV82="","",IFERROR(IF(INDEX(CODIFICACION!$E$2:$E$500,MATCH("D5.21|"&amp;BV82,CODIFICACION!$F$2:$F$500,0))="sin dato","",INDEX(CODIFICACION!$E$2:$E$500,MATCH("D5.21|"&amp;BV82,CODIFICACION!$F$2:$F$500,0))),"⚠"))</f>
        <v/>
      </c>
      <c r="AR82" t="str">
        <f>IF(BW82="","",IFERROR(IF(INDEX(CODIFICACION!$E$2:$E$500,MATCH("D5.21a|"&amp;BW82,CODIFICACION!$F$2:$F$500,0))="sin dato","",INDEX(CODIFICACION!$E$2:$E$500,MATCH("D5.21a|"&amp;BW82,CODIFICACION!$F$2:$F$500,0))),"⚠"))</f>
        <v/>
      </c>
      <c r="AS82" t="str">
        <f>IF(BX82="","",IFERROR(IF(INDEX(CODIFICACION!$E$2:$E$500,MATCH("D5.21b|"&amp;BX82,CODIFICACION!$F$2:$F$500,0))="sin dato","",INDEX(CODIFICACION!$E$2:$E$500,MATCH("D5.21b|"&amp;BX82,CODIFICACION!$F$2:$F$500,0))),"⚠"))</f>
        <v/>
      </c>
      <c r="AT82" t="str">
        <f>IF(BY82="","",IFERROR(IF(INDEX(CODIFICACION!$E$2:$E$500,MATCH("D6.22|"&amp;BY82,CODIFICACION!$F$2:$F$500,0))="sin dato","",INDEX(CODIFICACION!$E$2:$E$500,MATCH("D6.22|"&amp;BY82,CODIFICACION!$F$2:$F$500,0))),"⚠"))</f>
        <v/>
      </c>
      <c r="AU82" t="str">
        <f>IF(BZ82="","",IFERROR(IF(INDEX(CODIFICACION!$E$2:$E$500,MATCH("D6.22a|"&amp;BZ82,CODIFICACION!$F$2:$F$500,0))="sin dato","",INDEX(CODIFICACION!$E$2:$E$500,MATCH("D6.22a|"&amp;BZ82,CODIFICACION!$F$2:$F$500,0))),"⚠"))</f>
        <v/>
      </c>
      <c r="AV82" t="str">
        <f>IF(CA82="","",IFERROR(IF(INDEX(CODIFICACION!$E$2:$E$500,MATCH("D6.22b|"&amp;CA82,CODIFICACION!$F$2:$F$500,0))="sin dato","",INDEX(CODIFICACION!$E$2:$E$500,MATCH("D6.22b|"&amp;CA82,CODIFICACION!$F$2:$F$500,0))),"⚠"))</f>
        <v/>
      </c>
      <c r="AW82" t="str">
        <f>IF(CB82="","",IFERROR(IF(INDEX(CODIFICACION!$E$2:$E$500,MATCH("D6.23|"&amp;CB82,CODIFICACION!$F$2:$F$500,0))="sin dato","",INDEX(CODIFICACION!$E$2:$E$500,MATCH("D6.23|"&amp;CB82,CODIFICACION!$F$2:$F$500,0))),"⚠"))</f>
        <v/>
      </c>
      <c r="AX82" t="str">
        <f ca="1">IF(CC82="","",IFERROR(IF(INDEX(CODIFICACION!$E$2:$E$500,MATCH("D6.24|"&amp;CC82,CODIFICACION!$F$2:$F$500,0))="sin dato","",INDEX(CODIFICACION!$E$2:$E$500,MATCH("D6.24|"&amp;CC82,CODIFICACION!$F$2:$F$500,0))),"⚠"))</f>
        <v/>
      </c>
      <c r="AY82" t="str">
        <f ca="1">IF(CD82="","",IFERROR(IF(INDEX(CODIFICACION!$E$2:$E$500,MATCH("D6.25|"&amp;CD82,CODIFICACION!$F$2:$F$500,0))="sin dato","",INDEX(CODIFICACION!$E$2:$E$500,MATCH("D6.25|"&amp;CD82,CODIFICACION!$F$2:$F$500,0))),"⚠"))</f>
        <v/>
      </c>
      <c r="AZ82" t="str">
        <f>IF(CE82="","",IFERROR(IF(INDEX(CODIFICACION!$E$2:$E$500,MATCH("D6.25a|"&amp;CE82,CODIFICACION!$F$2:$F$500,0))="sin dato","",INDEX(CODIFICACION!$E$2:$E$500,MATCH("D6.25a|"&amp;CE82,CODIFICACION!$F$2:$F$500,0))),"⚠"))</f>
        <v/>
      </c>
      <c r="BA82" t="str">
        <f>IF(CF82="","",IFERROR(IF(INDEX(CODIFICACION!$E$2:$E$500,MATCH("D6.25b|"&amp;CF82,CODIFICACION!$F$2:$F$500,0))="sin dato","",INDEX(CODIFICACION!$E$2:$E$500,MATCH("D6.25b|"&amp;CF82,CODIFICACION!$F$2:$F$500,0))),"⚠"))</f>
        <v/>
      </c>
      <c r="BB82" t="str">
        <f ca="1">IF(CG82="","",IFERROR(IF(INDEX(CODIFICACION!$E$2:$E$500,MATCH("D6.22c|"&amp;CG82,CODIFICACION!$F$2:$F$500,0))="sin dato","",INDEX(CODIFICACION!$E$2:$E$500,MATCH("D6.22c|"&amp;CG82,CODIFICACION!$F$2:$F$500,0))),"⚠"))</f>
        <v/>
      </c>
      <c r="BC82" t="str">
        <f ca="1">IF(CH82="","",IFERROR(IF(INDEX(CODIFICACION!$E$2:$E$500,MATCH("D7.26|"&amp;CH82,CODIFICACION!$F$2:$F$500,0))="sin dato","",INDEX(CODIFICACION!$E$2:$E$500,MATCH("D7.26|"&amp;CH82,CODIFICACION!$F$2:$F$500,0))),"⚠"))</f>
        <v/>
      </c>
      <c r="BD82" t="str">
        <f>IF(CI82="","",IFERROR(IF(INDEX(CODIFICACION!$E$2:$E$500,MATCH("D7.27|"&amp;CI82,CODIFICACION!$F$2:$F$500,0))="sin dato","",INDEX(CODIFICACION!$E$2:$E$500,MATCH("D7.27|"&amp;CI82,CODIFICACION!$F$2:$F$500,0))),"⚠"))</f>
        <v/>
      </c>
      <c r="BE82" t="str">
        <f>IF(CJ82="","",IFERROR(IF(INDEX(CODIFICACION!$E$2:$E$500,MATCH("D7.28|"&amp;CJ82,CODIFICACION!$F$2:$F$500,0))="sin dato","",INDEX(CODIFICACION!$E$2:$E$500,MATCH("D7.28|"&amp;CJ82,CODIFICACION!$F$2:$F$500,0))),"⚠"))</f>
        <v/>
      </c>
      <c r="BF82" t="str">
        <f>IF(CK82="","",IFERROR(IF(INDEX(CODIFICACION!$E$2:$E$500,MATCH("D7.28b|"&amp;CK82,CODIFICACION!$F$2:$F$500,0))="sin dato","",INDEX(CODIFICACION!$E$2:$E$500,MATCH("D7.28b|"&amp;CK82,CODIFICACION!$F$2:$F$500,0))),"⚠"))</f>
        <v/>
      </c>
      <c r="BG82" t="str">
        <f t="shared" si="60"/>
        <v/>
      </c>
      <c r="BH82" t="str">
        <f>IF(CM82="","",IFERROR(IF(INDEX(CODIFICACION!$E$2:$E$500,MATCH("D7.26a|"&amp;CM82,CODIFICACION!$F$2:$F$500,0))="sin dato","",INDEX(CODIFICACION!$E$2:$E$500,MATCH("D7.26a|"&amp;CM82,CODIFICACION!$F$2:$F$500,0))),"⚠"))</f>
        <v/>
      </c>
      <c r="BI82" t="str">
        <f>IF(CN82="","",IFERROR(IF(INDEX(CODIFICACION!$E$2:$E$500,MATCH("D7.26b|"&amp;CN82,CODIFICACION!$F$2:$F$500,0))="sin dato","",INDEX(CODIFICACION!$E$2:$E$500,MATCH("D7.26b|"&amp;CN82,CODIFICACION!$F$2:$F$500,0))),"⚠"))</f>
        <v/>
      </c>
      <c r="BJ82" t="str">
        <f t="shared" si="61"/>
        <v/>
      </c>
      <c r="BK82" t="str">
        <f t="shared" si="62"/>
        <v/>
      </c>
      <c r="BL82" t="str">
        <f>IF(CQ82="","",IFERROR(IF(INDEX(CODIFICACION!$E$2:$E$500,MATCH("D8.31|"&amp;CQ82,CODIFICACION!$F$2:$F$500,0))="sin dato","",INDEX(CODIFICACION!$E$2:$E$500,MATCH("D8.31|"&amp;CQ82,CODIFICACION!$F$2:$F$500,0))),"⚠"))</f>
        <v/>
      </c>
      <c r="BM82" t="str">
        <f>IF(CR82="","",IFERROR(IF(INDEX(CODIFICACION!$E$2:$E$500,MATCH("D8.32|"&amp;CR82,CODIFICACION!$F$2:$F$500,0))="sin dato","",INDEX(CODIFICACION!$E$2:$E$500,MATCH("D8.32|"&amp;CR82,CODIFICACION!$F$2:$F$500,0))),"⚠"))</f>
        <v/>
      </c>
      <c r="BN82" t="str">
        <f>IF(CS82="","",IFERROR(IF(INDEX(CODIFICACION!$E$2:$E$500,MATCH("D9.33|"&amp;CS82,CODIFICACION!$F$2:$F$500,0))="sin dato","",INDEX(CODIFICACION!$E$2:$E$500,MATCH("D9.33|"&amp;CS82,CODIFICACION!$F$2:$F$500,0))),"⚠"))</f>
        <v/>
      </c>
      <c r="BO82" t="str">
        <f>IF(CT82="","",IFERROR(IF(INDEX(CODIFICACION!$E$2:$E$500,MATCH("D9.34|"&amp;CT82,CODIFICACION!$F$2:$F$500,0))="sin dato","",INDEX(CODIFICACION!$E$2:$E$500,MATCH("D9.34|"&amp;CT82,CODIFICACION!$F$2:$F$500,0))),"⚠"))</f>
        <v/>
      </c>
      <c r="BP82" t="str">
        <f>IF(CU82="","",IFERROR(IF(INDEX(CODIFICACION!$E$2:$E$500,MATCH("D9.35|"&amp;CU82,CODIFICACION!$F$2:$F$500,0))="sin dato","",INDEX(CODIFICACION!$E$2:$E$500,MATCH("D9.35|"&amp;CU82,CODIFICACION!$F$2:$F$500,0))),"⚠"))</f>
        <v/>
      </c>
      <c r="BQ82" t="str">
        <f>IF(CV82="","",IFERROR(IF(INDEX(CODIFICACION!$E$2:$E$500,MATCH("D10.36|"&amp;CV82,CODIFICACION!$F$2:$F$500,0))="sin dato","",INDEX(CODIFICACION!$E$2:$E$500,MATCH("D10.36|"&amp;CV82,CODIFICACION!$F$2:$F$500,0))),"⚠"))</f>
        <v/>
      </c>
      <c r="BR82" t="str">
        <f>IF(CW82="","",IFERROR(IF(INDEX(CODIFICACION!$E$2:$E$500,MATCH("D10.37|"&amp;CW82,CODIFICACION!$F$2:$F$500,0))="sin dato","",INDEX(CODIFICACION!$E$2:$E$500,MATCH("D10.37|"&amp;CW82,CODIFICACION!$F$2:$F$500,0))),"⚠"))</f>
        <v/>
      </c>
      <c r="BS82" t="str">
        <f>IF(CX82="","",IFERROR(IF(INDEX(CODIFICACION!$E$2:$E$500,MATCH("D10.36a|"&amp;CX82,CODIFICACION!$F$2:$F$500,0))="sin dato","",INDEX(CODIFICACION!$E$2:$E$500,MATCH("D10.36a|"&amp;CX82,CODIFICACION!$F$2:$F$500,0))),"⚠"))</f>
        <v/>
      </c>
      <c r="BT82" t="str">
        <f t="shared" si="63"/>
        <v/>
      </c>
      <c r="BU82" t="str">
        <f>IF(DA82="","",IFERROR(IF(INDEX(CODIFICACION!$E$2:$E$500,MATCH("D11.39a|"&amp;DA82,CODIFICACION!$F$2:$F$500,0))="sin dato","",INDEX(CODIFICACION!$E$2:$E$500,MATCH("D11.39a|"&amp;DA82,CODIFICACION!$F$2:$F$500,0))),"⚠"))</f>
        <v/>
      </c>
      <c r="BV82" t="str">
        <f>IF(DB82="","",IFERROR(IF(INDEX(CODIFICACION!$E$2:$E$500,MATCH("D12.42|"&amp;DB82,CODIFICACION!$F$2:$F$500,0))="sin dato","",INDEX(CODIFICACION!$E$2:$E$500,MATCH("D12.42|"&amp;DB82,CODIFICACION!$F$2:$F$500,0))),"⚠"))</f>
        <v/>
      </c>
      <c r="BW82" t="str">
        <f>IF(DC82="","",IFERROR(IF(INDEX(CODIFICACION!$E$2:$E$500,MATCH("D13.45|"&amp;DC82,CODIFICACION!$F$2:$F$500,0))="sin dato","",INDEX(CODIFICACION!$E$2:$E$500,MATCH("D13.45|"&amp;DC82,CODIFICACION!$F$2:$F$500,0))),"⚠"))</f>
        <v/>
      </c>
      <c r="BX82" t="str">
        <f>IF(DD82="","",IFERROR(IF(INDEX(CODIFICACION!$E$2:$E$500,MATCH("D14.51|"&amp;DD82,CODIFICACION!$F$2:$F$500,0))="sin dato","",INDEX(CODIFICACION!$E$2:$E$500,MATCH("D14.51|"&amp;DD82,CODIFICACION!$F$2:$F$500,0))),"⚠"))</f>
        <v/>
      </c>
      <c r="BY82" t="str">
        <f>IF(DE82="","",IFERROR(IF(INDEX(CODIFICACION!$E$2:$E$500,MATCH("D15.58|"&amp;DE82,CODIFICACION!$F$2:$F$500,0))="sin dato","",INDEX(CODIFICACION!$E$2:$E$500,MATCH("D15.58|"&amp;DE82,CODIFICACION!$F$2:$F$500,0))),"⚠"))</f>
        <v/>
      </c>
      <c r="BZ82" t="str">
        <f>IF(DF82="","",IFERROR(IF(INDEX(CODIFICACION!$E$2:$E$500,MATCH("PP1|"&amp;DF82,CODIFICACION!$F$2:$F$500,0))="sin dato","",INDEX(CODIFICACION!$E$2:$E$500,MATCH("PP1|"&amp;DF82,CODIFICACION!$F$2:$F$500,0))),"⚠"))</f>
        <v/>
      </c>
      <c r="CA82" t="str">
        <f>IF(DG82="","",IFERROR(IF(INDEX(CODIFICACION!$E$2:$E$500,MATCH("PP2|"&amp;DG82,CODIFICACION!$F$2:$F$500,0))="sin dato","",INDEX(CODIFICACION!$E$2:$E$500,MATCH("PP2|"&amp;DG82,CODIFICACION!$F$2:$F$500,0))),"⚠"))</f>
        <v/>
      </c>
      <c r="CB82" t="str">
        <f t="shared" si="64"/>
        <v/>
      </c>
      <c r="CC82" t="str">
        <f t="shared" ca="1" si="65"/>
        <v/>
      </c>
      <c r="CD82" t="str">
        <f t="shared" ca="1" si="66"/>
        <v/>
      </c>
      <c r="CE82" t="str">
        <f t="shared" si="67"/>
        <v/>
      </c>
      <c r="CF82" t="str">
        <f t="shared" si="68"/>
        <v/>
      </c>
      <c r="CG82" t="str">
        <f t="shared" ca="1" si="69"/>
        <v/>
      </c>
      <c r="CH82" t="str">
        <f t="shared" ca="1" si="70"/>
        <v/>
      </c>
      <c r="CI82" t="str">
        <f t="shared" si="71"/>
        <v/>
      </c>
      <c r="CJ82" t="str">
        <f t="shared" si="72"/>
        <v/>
      </c>
      <c r="CK82" t="str">
        <f t="shared" si="73"/>
        <v/>
      </c>
      <c r="CL82" t="str">
        <f t="shared" si="74"/>
        <v/>
      </c>
    </row>
    <row r="83" spans="1:90" x14ac:dyDescent="0.3">
      <c r="A83">
        <f>CAPTURA!A83</f>
        <v>20568080948</v>
      </c>
      <c r="B83">
        <f>CAPTURA!C83</f>
        <v>0</v>
      </c>
      <c r="C83" t="str">
        <f t="shared" si="50"/>
        <v/>
      </c>
      <c r="D83" t="str">
        <f>IF(AE83="","",IFERROR(IF(INDEX(CODIFICACION!$E$2:$E$500,MATCH("P8|"&amp;AE83,CODIFICACION!$F$2:$F$500,0))="sin dato","",INDEX(CODIFICACION!$E$2:$E$500,MATCH("P8|"&amp;AE83,CODIFICACION!$F$2:$F$500,0))),"⚠"))</f>
        <v/>
      </c>
      <c r="E83" t="str">
        <f>IF(AG83="","",IFERROR(IF(INDEX(CODIFICACION!$E$2:$E$500,MATCH("P10|"&amp;AG83,CODIFICACION!$F$2:$F$500,0))="sin dato","",INDEX(CODIFICACION!$E$2:$E$500,MATCH("P10|"&amp;AG83,CODIFICACION!$F$2:$F$500,0))),"⚠"))</f>
        <v/>
      </c>
      <c r="F83" t="str">
        <f>IF(AJ83="","",IFERROR(IF(INDEX(CODIFICACION!$E$2:$E$500,MATCH("P13|"&amp;AJ83,CODIFICACION!$F$2:$F$500,0))="sin dato","",INDEX(CODIFICACION!$E$2:$E$500,MATCH("P13|"&amp;AJ83,CODIFICACION!$F$2:$F$500,0))),"⚠"))</f>
        <v/>
      </c>
      <c r="G83" t="str">
        <f>IF(AK83="","",IFERROR(IF(INDEX(CODIFICACION!$E$2:$E$500,MATCH("P14|"&amp;AK83,CODIFICACION!$F$2:$F$500,0))="sin dato","",INDEX(CODIFICACION!$E$2:$E$500,MATCH("P14|"&amp;AK83,CODIFICACION!$F$2:$F$500,0))),"⚠"))</f>
        <v/>
      </c>
      <c r="H83" t="str">
        <f>IF(AL83="","",IFERROR(IF(INDEX(CODIFICACION!$E$2:$E$500,MATCH("D1.1|"&amp;AL83,CODIFICACION!$F$2:$F$500,0))="sin dato","",INDEX(CODIFICACION!$E$2:$E$500,MATCH("D1.1|"&amp;AL83,CODIFICACION!$F$2:$F$500,0))),"⚠"))</f>
        <v/>
      </c>
      <c r="I83" t="str">
        <f>IF(AN83="","",IFERROR(IF(INDEX(CODIFICACION!$E$2:$E$500,MATCH("D1.3|"&amp;AN83,CODIFICACION!$F$2:$F$500,0))="sin dato","",INDEX(CODIFICACION!$E$2:$E$500,MATCH("D1.3|"&amp;AN83,CODIFICACION!$F$2:$F$500,0))),"⚠"))</f>
        <v/>
      </c>
      <c r="J83" t="str">
        <f>IF(AO83="","",IFERROR(IF(INDEX(CODIFICACION!$E$2:$E$500,MATCH("D1.4|"&amp;AO83,CODIFICACION!$F$2:$F$500,0))="sin dato","",INDEX(CODIFICACION!$E$2:$E$500,MATCH("D1.4|"&amp;AO83,CODIFICACION!$F$2:$F$500,0))),"⚠"))</f>
        <v/>
      </c>
      <c r="K83" t="str">
        <f>IF(AP83="","",IFERROR(IF(INDEX(CODIFICACION!$E$2:$E$500,MATCH("D1.3a|"&amp;AP83,CODIFICACION!$F$2:$F$500,0))="sin dato","",INDEX(CODIFICACION!$E$2:$E$500,MATCH("D1.3a|"&amp;AP83,CODIFICACION!$F$2:$F$500,0))),"⚠"))</f>
        <v/>
      </c>
      <c r="L83" t="str">
        <f t="shared" si="51"/>
        <v/>
      </c>
      <c r="M83" t="str">
        <f t="shared" si="52"/>
        <v/>
      </c>
      <c r="N83" t="str">
        <f t="shared" si="53"/>
        <v/>
      </c>
      <c r="O83" t="str">
        <f>IF(AT83="","",IFERROR(IF(INDEX(CODIFICACION!$E$2:$E$500,MATCH("D2.8|"&amp;AT83,CODIFICACION!$F$2:$F$500,0))="sin dato","",INDEX(CODIFICACION!$E$2:$E$500,MATCH("D2.8|"&amp;AT83,CODIFICACION!$F$2:$F$500,0))),"⚠"))</f>
        <v/>
      </c>
      <c r="P83" t="str">
        <f>IF(AU83="","",IFERROR(IF(INDEX(CODIFICACION!$E$2:$E$500,MATCH("D2.9|"&amp;AU83,CODIFICACION!$F$2:$F$500,0))="sin dato","",INDEX(CODIFICACION!$E$2:$E$500,MATCH("D2.9|"&amp;AU83,CODIFICACION!$F$2:$F$500,0))),"⚠"))</f>
        <v/>
      </c>
      <c r="Q83" t="str">
        <f>IF(AV83="","",IFERROR(IF(INDEX(CODIFICACION!$E$2:$E$500,MATCH("D2.10|"&amp;AV83,CODIFICACION!$F$2:$F$500,0))="sin dato","",INDEX(CODIFICACION!$E$2:$E$500,MATCH("D2.10|"&amp;AV83,CODIFICACION!$F$2:$F$500,0))),"⚠"))</f>
        <v/>
      </c>
      <c r="R83" t="str">
        <f>IF(AW83="","",IFERROR(IF(INDEX(CODIFICACION!$E$2:$E$500,MATCH("D2.5a|"&amp;AW83,CODIFICACION!$F$2:$F$500,0))="sin dato","",INDEX(CODIFICACION!$E$2:$E$500,MATCH("D2.5a|"&amp;AW83,CODIFICACION!$F$2:$F$500,0))),"⚠"))</f>
        <v/>
      </c>
      <c r="S83" t="str">
        <f ca="1">IF(AX83="","",IFERROR(IF(INDEX(CODIFICACION!$E$2:$E$500,MATCH("D2.5b|"&amp;AX83,CODIFICACION!$F$2:$F$500,0))="sin dato","",INDEX(CODIFICACION!$E$2:$E$500,MATCH("D2.5b|"&amp;AX83,CODIFICACION!$F$2:$F$500,0))),"⚠"))</f>
        <v/>
      </c>
      <c r="T83" t="str">
        <f t="shared" ca="1" si="54"/>
        <v/>
      </c>
      <c r="U83" t="str">
        <f>IF(AZ83="","",IFERROR(IF(INDEX(CODIFICACION!$E$2:$E$500,MATCH("D3.12|"&amp;AZ83,CODIFICACION!$F$2:$F$500,0))="sin dato","",INDEX(CODIFICACION!$E$2:$E$500,MATCH("D3.12|"&amp;AZ83,CODIFICACION!$F$2:$F$500,0))),"⚠"))</f>
        <v/>
      </c>
      <c r="V83" t="str">
        <f t="shared" si="55"/>
        <v/>
      </c>
      <c r="W83" t="str">
        <f ca="1">IF(BB83="","",IFERROR(IF(INDEX(CODIFICACION!$E$2:$E$500,MATCH("D3.14|"&amp;BB83,CODIFICACION!$F$2:$F$500,0))="sin dato","",INDEX(CODIFICACION!$E$2:$E$500,MATCH("D3.14|"&amp;BB83,CODIFICACION!$F$2:$F$500,0))),"⚠"))</f>
        <v/>
      </c>
      <c r="X83" t="str">
        <f ca="1">IF(BC83="","",IFERROR(IF(INDEX(CODIFICACION!$E$2:$E$500,MATCH("D3.14a|"&amp;BC83,CODIFICACION!$F$2:$F$500,0))="sin dato","",INDEX(CODIFICACION!$E$2:$E$500,MATCH("D3.14a|"&amp;BC83,CODIFICACION!$F$2:$F$500,0))),"⚠"))</f>
        <v/>
      </c>
      <c r="Y83" t="str">
        <f>IF(BD83="","",IFERROR(IF(INDEX(CODIFICACION!$E$2:$E$500,MATCH("D3.14b|"&amp;BD83,CODIFICACION!$F$2:$F$500,0))="sin dato","",INDEX(CODIFICACION!$E$2:$E$500,MATCH("D3.14b|"&amp;BD83,CODIFICACION!$F$2:$F$500,0))),"⚠"))</f>
        <v/>
      </c>
      <c r="Z83" t="str">
        <f>IF(BE83="","",IFERROR(IF(INDEX(CODIFICACION!$E$2:$E$500,MATCH("D3.14c|"&amp;BE83,CODIFICACION!$F$2:$F$500,0))="sin dato","",INDEX(CODIFICACION!$E$2:$E$500,MATCH("D3.14c|"&amp;BE83,CODIFICACION!$F$2:$F$500,0))),"⚠"))</f>
        <v/>
      </c>
      <c r="AA83" t="str">
        <f>IF(BF83="","",IFERROR(IF(INDEX(CODIFICACION!$E$2:$E$500,MATCH("D3.14d|"&amp;BF83,CODIFICACION!$F$2:$F$500,0))="sin dato","",INDEX(CODIFICACION!$E$2:$E$500,MATCH("D3.14d|"&amp;BF83,CODIFICACION!$F$2:$F$500,0))),"⚠"))</f>
        <v/>
      </c>
      <c r="AB83" t="str">
        <f>IF(BG83="","",IFERROR(IF(INDEX(CODIFICACION!$E$2:$E$500,MATCH("D3.14e|"&amp;BG83,CODIFICACION!$F$2:$F$500,0))="sin dato","",INDEX(CODIFICACION!$E$2:$E$500,MATCH("D3.14e|"&amp;BG83,CODIFICACION!$F$2:$F$500,0))),"⚠"))</f>
        <v/>
      </c>
      <c r="AC83" t="str">
        <f>IF(BH83="","",IFERROR(IF(INDEX(CODIFICACION!$E$2:$E$500,MATCH("D3.14f|"&amp;BH83,CODIFICACION!$F$2:$F$500,0))="sin dato","",INDEX(CODIFICACION!$E$2:$E$500,MATCH("D3.14f|"&amp;BH83,CODIFICACION!$F$2:$F$500,0))),"⚠"))</f>
        <v/>
      </c>
      <c r="AD83" t="str">
        <f>IF(BI83="","",IFERROR(IF(INDEX(CODIFICACION!$E$2:$E$500,MATCH("D3.14g|"&amp;BI83,CODIFICACION!$F$2:$F$500,0))="sin dato","",INDEX(CODIFICACION!$E$2:$E$500,MATCH("D3.14g|"&amp;BI83,CODIFICACION!$F$2:$F$500,0))),"⚠"))</f>
        <v/>
      </c>
      <c r="AE83" t="str">
        <f>IF(BJ83="","",IFERROR(IF(INDEX(CODIFICACION!$E$2:$E$500,MATCH("D3.14h|"&amp;BJ83,CODIFICACION!$F$2:$F$500,0))="sin dato","",INDEX(CODIFICACION!$E$2:$E$500,MATCH("D3.14h|"&amp;BJ83,CODIFICACION!$F$2:$F$500,0))),"⚠"))</f>
        <v/>
      </c>
      <c r="AF83" t="str">
        <f>IF(BK83="","",IFERROR(IF(INDEX(CODIFICACION!$E$2:$E$500,MATCH("D3.14i|"&amp;BK83,CODIFICACION!$F$2:$F$500,0))="sin dato","",INDEX(CODIFICACION!$E$2:$E$500,MATCH("D3.14i|"&amp;BK83,CODIFICACION!$F$2:$F$500,0))),"⚠"))</f>
        <v/>
      </c>
      <c r="AG83" t="str">
        <f>IF(BL83="","",IFERROR(IF(INDEX(CODIFICACION!$E$2:$E$500,MATCH("D4.15|"&amp;BL83,CODIFICACION!$F$2:$F$500,0))="sin dato","",INDEX(CODIFICACION!$E$2:$E$500,MATCH("D4.15|"&amp;BL83,CODIFICACION!$F$2:$F$500,0))),"⚠"))</f>
        <v/>
      </c>
      <c r="AH83" t="str">
        <f t="shared" si="56"/>
        <v/>
      </c>
      <c r="AI83" t="str">
        <f>IF(BN83="","",IFERROR(IF(INDEX(CODIFICACION!$E$2:$E$500,MATCH("D4.17|"&amp;BN83,CODIFICACION!$F$2:$F$500,0))="sin dato","",INDEX(CODIFICACION!$E$2:$E$500,MATCH("D4.17|"&amp;BN83,CODIFICACION!$F$2:$F$500,0))),"⚠"))</f>
        <v/>
      </c>
      <c r="AJ83" t="str">
        <f>IF(BO83="","",IFERROR(IF(INDEX(CODIFICACION!$E$2:$E$500,MATCH("D4.15a|"&amp;BO83,CODIFICACION!$F$2:$F$500,0))="sin dato","",INDEX(CODIFICACION!$E$2:$E$500,MATCH("D4.15a|"&amp;BO83,CODIFICACION!$F$2:$F$500,0))),"⚠"))</f>
        <v/>
      </c>
      <c r="AK83" t="str">
        <f t="shared" si="57"/>
        <v/>
      </c>
      <c r="AL83" t="str">
        <f t="shared" si="58"/>
        <v/>
      </c>
      <c r="AM83" t="str">
        <f>IF(BR83="","",IFERROR(IF(INDEX(CODIFICACION!$E$2:$E$500,MATCH("D5.18b|"&amp;BR83,CODIFICACION!$F$2:$F$500,0))="sin dato","",INDEX(CODIFICACION!$E$2:$E$500,MATCH("D5.18b|"&amp;BR83,CODIFICACION!$F$2:$F$500,0))),"⚠"))</f>
        <v/>
      </c>
      <c r="AN83" t="str">
        <f>IF(BS83="","",IFERROR(IF(INDEX(CODIFICACION!$E$2:$E$500,MATCH("D5.19|"&amp;BS83,CODIFICACION!$F$2:$F$500,0))="sin dato","",INDEX(CODIFICACION!$E$2:$E$500,MATCH("D5.19|"&amp;BS83,CODIFICACION!$F$2:$F$500,0))),"⚠"))</f>
        <v/>
      </c>
      <c r="AO83" t="str">
        <f t="shared" si="59"/>
        <v/>
      </c>
      <c r="AP83" t="str">
        <f>IF(BU83="","",IFERROR(IF(INDEX(CODIFICACION!$E$2:$E$500,MATCH("D5.20|"&amp;BU83,CODIFICACION!$F$2:$F$500,0))="sin dato","",INDEX(CODIFICACION!$E$2:$E$500,MATCH("D5.20|"&amp;BU83,CODIFICACION!$F$2:$F$500,0))),"⚠"))</f>
        <v/>
      </c>
      <c r="AQ83" t="str">
        <f>IF(BV83="","",IFERROR(IF(INDEX(CODIFICACION!$E$2:$E$500,MATCH("D5.21|"&amp;BV83,CODIFICACION!$F$2:$F$500,0))="sin dato","",INDEX(CODIFICACION!$E$2:$E$500,MATCH("D5.21|"&amp;BV83,CODIFICACION!$F$2:$F$500,0))),"⚠"))</f>
        <v/>
      </c>
      <c r="AR83" t="str">
        <f>IF(BW83="","",IFERROR(IF(INDEX(CODIFICACION!$E$2:$E$500,MATCH("D5.21a|"&amp;BW83,CODIFICACION!$F$2:$F$500,0))="sin dato","",INDEX(CODIFICACION!$E$2:$E$500,MATCH("D5.21a|"&amp;BW83,CODIFICACION!$F$2:$F$500,0))),"⚠"))</f>
        <v/>
      </c>
      <c r="AS83" t="str">
        <f>IF(BX83="","",IFERROR(IF(INDEX(CODIFICACION!$E$2:$E$500,MATCH("D5.21b|"&amp;BX83,CODIFICACION!$F$2:$F$500,0))="sin dato","",INDEX(CODIFICACION!$E$2:$E$500,MATCH("D5.21b|"&amp;BX83,CODIFICACION!$F$2:$F$500,0))),"⚠"))</f>
        <v/>
      </c>
      <c r="AT83" t="str">
        <f>IF(BY83="","",IFERROR(IF(INDEX(CODIFICACION!$E$2:$E$500,MATCH("D6.22|"&amp;BY83,CODIFICACION!$F$2:$F$500,0))="sin dato","",INDEX(CODIFICACION!$E$2:$E$500,MATCH("D6.22|"&amp;BY83,CODIFICACION!$F$2:$F$500,0))),"⚠"))</f>
        <v/>
      </c>
      <c r="AU83" t="str">
        <f>IF(BZ83="","",IFERROR(IF(INDEX(CODIFICACION!$E$2:$E$500,MATCH("D6.22a|"&amp;BZ83,CODIFICACION!$F$2:$F$500,0))="sin dato","",INDEX(CODIFICACION!$E$2:$E$500,MATCH("D6.22a|"&amp;BZ83,CODIFICACION!$F$2:$F$500,0))),"⚠"))</f>
        <v/>
      </c>
      <c r="AV83" t="str">
        <f>IF(CA83="","",IFERROR(IF(INDEX(CODIFICACION!$E$2:$E$500,MATCH("D6.22b|"&amp;CA83,CODIFICACION!$F$2:$F$500,0))="sin dato","",INDEX(CODIFICACION!$E$2:$E$500,MATCH("D6.22b|"&amp;CA83,CODIFICACION!$F$2:$F$500,0))),"⚠"))</f>
        <v/>
      </c>
      <c r="AW83" t="str">
        <f>IF(CB83="","",IFERROR(IF(INDEX(CODIFICACION!$E$2:$E$500,MATCH("D6.23|"&amp;CB83,CODIFICACION!$F$2:$F$500,0))="sin dato","",INDEX(CODIFICACION!$E$2:$E$500,MATCH("D6.23|"&amp;CB83,CODIFICACION!$F$2:$F$500,0))),"⚠"))</f>
        <v/>
      </c>
      <c r="AX83" t="str">
        <f ca="1">IF(CC83="","",IFERROR(IF(INDEX(CODIFICACION!$E$2:$E$500,MATCH("D6.24|"&amp;CC83,CODIFICACION!$F$2:$F$500,0))="sin dato","",INDEX(CODIFICACION!$E$2:$E$500,MATCH("D6.24|"&amp;CC83,CODIFICACION!$F$2:$F$500,0))),"⚠"))</f>
        <v/>
      </c>
      <c r="AY83" t="str">
        <f ca="1">IF(CD83="","",IFERROR(IF(INDEX(CODIFICACION!$E$2:$E$500,MATCH("D6.25|"&amp;CD83,CODIFICACION!$F$2:$F$500,0))="sin dato","",INDEX(CODIFICACION!$E$2:$E$500,MATCH("D6.25|"&amp;CD83,CODIFICACION!$F$2:$F$500,0))),"⚠"))</f>
        <v/>
      </c>
      <c r="AZ83" t="str">
        <f>IF(CE83="","",IFERROR(IF(INDEX(CODIFICACION!$E$2:$E$500,MATCH("D6.25a|"&amp;CE83,CODIFICACION!$F$2:$F$500,0))="sin dato","",INDEX(CODIFICACION!$E$2:$E$500,MATCH("D6.25a|"&amp;CE83,CODIFICACION!$F$2:$F$500,0))),"⚠"))</f>
        <v/>
      </c>
      <c r="BA83" t="str">
        <f>IF(CF83="","",IFERROR(IF(INDEX(CODIFICACION!$E$2:$E$500,MATCH("D6.25b|"&amp;CF83,CODIFICACION!$F$2:$F$500,0))="sin dato","",INDEX(CODIFICACION!$E$2:$E$500,MATCH("D6.25b|"&amp;CF83,CODIFICACION!$F$2:$F$500,0))),"⚠"))</f>
        <v/>
      </c>
      <c r="BB83" t="str">
        <f ca="1">IF(CG83="","",IFERROR(IF(INDEX(CODIFICACION!$E$2:$E$500,MATCH("D6.22c|"&amp;CG83,CODIFICACION!$F$2:$F$500,0))="sin dato","",INDEX(CODIFICACION!$E$2:$E$500,MATCH("D6.22c|"&amp;CG83,CODIFICACION!$F$2:$F$500,0))),"⚠"))</f>
        <v/>
      </c>
      <c r="BC83" t="str">
        <f ca="1">IF(CH83="","",IFERROR(IF(INDEX(CODIFICACION!$E$2:$E$500,MATCH("D7.26|"&amp;CH83,CODIFICACION!$F$2:$F$500,0))="sin dato","",INDEX(CODIFICACION!$E$2:$E$500,MATCH("D7.26|"&amp;CH83,CODIFICACION!$F$2:$F$500,0))),"⚠"))</f>
        <v/>
      </c>
      <c r="BD83" t="str">
        <f>IF(CI83="","",IFERROR(IF(INDEX(CODIFICACION!$E$2:$E$500,MATCH("D7.27|"&amp;CI83,CODIFICACION!$F$2:$F$500,0))="sin dato","",INDEX(CODIFICACION!$E$2:$E$500,MATCH("D7.27|"&amp;CI83,CODIFICACION!$F$2:$F$500,0))),"⚠"))</f>
        <v/>
      </c>
      <c r="BE83" t="str">
        <f>IF(CJ83="","",IFERROR(IF(INDEX(CODIFICACION!$E$2:$E$500,MATCH("D7.28|"&amp;CJ83,CODIFICACION!$F$2:$F$500,0))="sin dato","",INDEX(CODIFICACION!$E$2:$E$500,MATCH("D7.28|"&amp;CJ83,CODIFICACION!$F$2:$F$500,0))),"⚠"))</f>
        <v/>
      </c>
      <c r="BF83" t="str">
        <f>IF(CK83="","",IFERROR(IF(INDEX(CODIFICACION!$E$2:$E$500,MATCH("D7.28b|"&amp;CK83,CODIFICACION!$F$2:$F$500,0))="sin dato","",INDEX(CODIFICACION!$E$2:$E$500,MATCH("D7.28b|"&amp;CK83,CODIFICACION!$F$2:$F$500,0))),"⚠"))</f>
        <v/>
      </c>
      <c r="BG83" t="str">
        <f t="shared" si="60"/>
        <v/>
      </c>
      <c r="BH83" t="str">
        <f>IF(CM83="","",IFERROR(IF(INDEX(CODIFICACION!$E$2:$E$500,MATCH("D7.26a|"&amp;CM83,CODIFICACION!$F$2:$F$500,0))="sin dato","",INDEX(CODIFICACION!$E$2:$E$500,MATCH("D7.26a|"&amp;CM83,CODIFICACION!$F$2:$F$500,0))),"⚠"))</f>
        <v/>
      </c>
      <c r="BI83" t="str">
        <f>IF(CN83="","",IFERROR(IF(INDEX(CODIFICACION!$E$2:$E$500,MATCH("D7.26b|"&amp;CN83,CODIFICACION!$F$2:$F$500,0))="sin dato","",INDEX(CODIFICACION!$E$2:$E$500,MATCH("D7.26b|"&amp;CN83,CODIFICACION!$F$2:$F$500,0))),"⚠"))</f>
        <v/>
      </c>
      <c r="BJ83" t="str">
        <f t="shared" si="61"/>
        <v/>
      </c>
      <c r="BK83" t="str">
        <f t="shared" si="62"/>
        <v/>
      </c>
      <c r="BL83" t="str">
        <f>IF(CQ83="","",IFERROR(IF(INDEX(CODIFICACION!$E$2:$E$500,MATCH("D8.31|"&amp;CQ83,CODIFICACION!$F$2:$F$500,0))="sin dato","",INDEX(CODIFICACION!$E$2:$E$500,MATCH("D8.31|"&amp;CQ83,CODIFICACION!$F$2:$F$500,0))),"⚠"))</f>
        <v/>
      </c>
      <c r="BM83" t="str">
        <f>IF(CR83="","",IFERROR(IF(INDEX(CODIFICACION!$E$2:$E$500,MATCH("D8.32|"&amp;CR83,CODIFICACION!$F$2:$F$500,0))="sin dato","",INDEX(CODIFICACION!$E$2:$E$500,MATCH("D8.32|"&amp;CR83,CODIFICACION!$F$2:$F$500,0))),"⚠"))</f>
        <v/>
      </c>
      <c r="BN83" t="str">
        <f>IF(CS83="","",IFERROR(IF(INDEX(CODIFICACION!$E$2:$E$500,MATCH("D9.33|"&amp;CS83,CODIFICACION!$F$2:$F$500,0))="sin dato","",INDEX(CODIFICACION!$E$2:$E$500,MATCH("D9.33|"&amp;CS83,CODIFICACION!$F$2:$F$500,0))),"⚠"))</f>
        <v/>
      </c>
      <c r="BO83" t="str">
        <f>IF(CT83="","",IFERROR(IF(INDEX(CODIFICACION!$E$2:$E$500,MATCH("D9.34|"&amp;CT83,CODIFICACION!$F$2:$F$500,0))="sin dato","",INDEX(CODIFICACION!$E$2:$E$500,MATCH("D9.34|"&amp;CT83,CODIFICACION!$F$2:$F$500,0))),"⚠"))</f>
        <v/>
      </c>
      <c r="BP83" t="str">
        <f>IF(CU83="","",IFERROR(IF(INDEX(CODIFICACION!$E$2:$E$500,MATCH("D9.35|"&amp;CU83,CODIFICACION!$F$2:$F$500,0))="sin dato","",INDEX(CODIFICACION!$E$2:$E$500,MATCH("D9.35|"&amp;CU83,CODIFICACION!$F$2:$F$500,0))),"⚠"))</f>
        <v/>
      </c>
      <c r="BQ83" t="str">
        <f>IF(CV83="","",IFERROR(IF(INDEX(CODIFICACION!$E$2:$E$500,MATCH("D10.36|"&amp;CV83,CODIFICACION!$F$2:$F$500,0))="sin dato","",INDEX(CODIFICACION!$E$2:$E$500,MATCH("D10.36|"&amp;CV83,CODIFICACION!$F$2:$F$500,0))),"⚠"))</f>
        <v/>
      </c>
      <c r="BR83" t="str">
        <f>IF(CW83="","",IFERROR(IF(INDEX(CODIFICACION!$E$2:$E$500,MATCH("D10.37|"&amp;CW83,CODIFICACION!$F$2:$F$500,0))="sin dato","",INDEX(CODIFICACION!$E$2:$E$500,MATCH("D10.37|"&amp;CW83,CODIFICACION!$F$2:$F$500,0))),"⚠"))</f>
        <v/>
      </c>
      <c r="BS83" t="str">
        <f>IF(CX83="","",IFERROR(IF(INDEX(CODIFICACION!$E$2:$E$500,MATCH("D10.36a|"&amp;CX83,CODIFICACION!$F$2:$F$500,0))="sin dato","",INDEX(CODIFICACION!$E$2:$E$500,MATCH("D10.36a|"&amp;CX83,CODIFICACION!$F$2:$F$500,0))),"⚠"))</f>
        <v/>
      </c>
      <c r="BT83" t="str">
        <f t="shared" si="63"/>
        <v/>
      </c>
      <c r="BU83" t="str">
        <f>IF(DA83="","",IFERROR(IF(INDEX(CODIFICACION!$E$2:$E$500,MATCH("D11.39a|"&amp;DA83,CODIFICACION!$F$2:$F$500,0))="sin dato","",INDEX(CODIFICACION!$E$2:$E$500,MATCH("D11.39a|"&amp;DA83,CODIFICACION!$F$2:$F$500,0))),"⚠"))</f>
        <v/>
      </c>
      <c r="BV83" t="str">
        <f>IF(DB83="","",IFERROR(IF(INDEX(CODIFICACION!$E$2:$E$500,MATCH("D12.42|"&amp;DB83,CODIFICACION!$F$2:$F$500,0))="sin dato","",INDEX(CODIFICACION!$E$2:$E$500,MATCH("D12.42|"&amp;DB83,CODIFICACION!$F$2:$F$500,0))),"⚠"))</f>
        <v/>
      </c>
      <c r="BW83" t="str">
        <f>IF(DC83="","",IFERROR(IF(INDEX(CODIFICACION!$E$2:$E$500,MATCH("D13.45|"&amp;DC83,CODIFICACION!$F$2:$F$500,0))="sin dato","",INDEX(CODIFICACION!$E$2:$E$500,MATCH("D13.45|"&amp;DC83,CODIFICACION!$F$2:$F$500,0))),"⚠"))</f>
        <v/>
      </c>
      <c r="BX83" t="str">
        <f>IF(DD83="","",IFERROR(IF(INDEX(CODIFICACION!$E$2:$E$500,MATCH("D14.51|"&amp;DD83,CODIFICACION!$F$2:$F$500,0))="sin dato","",INDEX(CODIFICACION!$E$2:$E$500,MATCH("D14.51|"&amp;DD83,CODIFICACION!$F$2:$F$500,0))),"⚠"))</f>
        <v/>
      </c>
      <c r="BY83" t="str">
        <f>IF(DE83="","",IFERROR(IF(INDEX(CODIFICACION!$E$2:$E$500,MATCH("D15.58|"&amp;DE83,CODIFICACION!$F$2:$F$500,0))="sin dato","",INDEX(CODIFICACION!$E$2:$E$500,MATCH("D15.58|"&amp;DE83,CODIFICACION!$F$2:$F$500,0))),"⚠"))</f>
        <v/>
      </c>
      <c r="BZ83" t="str">
        <f>IF(DF83="","",IFERROR(IF(INDEX(CODIFICACION!$E$2:$E$500,MATCH("PP1|"&amp;DF83,CODIFICACION!$F$2:$F$500,0))="sin dato","",INDEX(CODIFICACION!$E$2:$E$500,MATCH("PP1|"&amp;DF83,CODIFICACION!$F$2:$F$500,0))),"⚠"))</f>
        <v/>
      </c>
      <c r="CA83" t="str">
        <f>IF(DG83="","",IFERROR(IF(INDEX(CODIFICACION!$E$2:$E$500,MATCH("PP2|"&amp;DG83,CODIFICACION!$F$2:$F$500,0))="sin dato","",INDEX(CODIFICACION!$E$2:$E$500,MATCH("PP2|"&amp;DG83,CODIFICACION!$F$2:$F$500,0))),"⚠"))</f>
        <v/>
      </c>
      <c r="CB83" t="str">
        <f t="shared" si="64"/>
        <v/>
      </c>
      <c r="CC83" t="str">
        <f t="shared" ca="1" si="65"/>
        <v/>
      </c>
      <c r="CD83" t="str">
        <f t="shared" ca="1" si="66"/>
        <v/>
      </c>
      <c r="CE83" t="str">
        <f t="shared" si="67"/>
        <v/>
      </c>
      <c r="CF83" t="str">
        <f t="shared" si="68"/>
        <v/>
      </c>
      <c r="CG83" t="str">
        <f t="shared" ca="1" si="69"/>
        <v/>
      </c>
      <c r="CH83" t="str">
        <f t="shared" ca="1" si="70"/>
        <v/>
      </c>
      <c r="CI83" t="str">
        <f t="shared" si="71"/>
        <v/>
      </c>
      <c r="CJ83" t="str">
        <f t="shared" si="72"/>
        <v/>
      </c>
      <c r="CK83" t="str">
        <f t="shared" si="73"/>
        <v/>
      </c>
      <c r="CL83" t="str">
        <f t="shared" si="74"/>
        <v/>
      </c>
    </row>
    <row r="84" spans="1:90" x14ac:dyDescent="0.3">
      <c r="A84">
        <f>CAPTURA!A84</f>
        <v>20568190450</v>
      </c>
      <c r="B84">
        <f>CAPTURA!C84</f>
        <v>0</v>
      </c>
      <c r="C84" t="str">
        <f t="shared" si="50"/>
        <v/>
      </c>
      <c r="D84" t="str">
        <f>IF(AE84="","",IFERROR(IF(INDEX(CODIFICACION!$E$2:$E$500,MATCH("P8|"&amp;AE84,CODIFICACION!$F$2:$F$500,0))="sin dato","",INDEX(CODIFICACION!$E$2:$E$500,MATCH("P8|"&amp;AE84,CODIFICACION!$F$2:$F$500,0))),"⚠"))</f>
        <v/>
      </c>
      <c r="E84" t="str">
        <f>IF(AG84="","",IFERROR(IF(INDEX(CODIFICACION!$E$2:$E$500,MATCH("P10|"&amp;AG84,CODIFICACION!$F$2:$F$500,0))="sin dato","",INDEX(CODIFICACION!$E$2:$E$500,MATCH("P10|"&amp;AG84,CODIFICACION!$F$2:$F$500,0))),"⚠"))</f>
        <v/>
      </c>
      <c r="F84" t="str">
        <f>IF(AJ84="","",IFERROR(IF(INDEX(CODIFICACION!$E$2:$E$500,MATCH("P13|"&amp;AJ84,CODIFICACION!$F$2:$F$500,0))="sin dato","",INDEX(CODIFICACION!$E$2:$E$500,MATCH("P13|"&amp;AJ84,CODIFICACION!$F$2:$F$500,0))),"⚠"))</f>
        <v/>
      </c>
      <c r="G84" t="str">
        <f>IF(AK84="","",IFERROR(IF(INDEX(CODIFICACION!$E$2:$E$500,MATCH("P14|"&amp;AK84,CODIFICACION!$F$2:$F$500,0))="sin dato","",INDEX(CODIFICACION!$E$2:$E$500,MATCH("P14|"&amp;AK84,CODIFICACION!$F$2:$F$500,0))),"⚠"))</f>
        <v/>
      </c>
      <c r="H84" t="str">
        <f>IF(AL84="","",IFERROR(IF(INDEX(CODIFICACION!$E$2:$E$500,MATCH("D1.1|"&amp;AL84,CODIFICACION!$F$2:$F$500,0))="sin dato","",INDEX(CODIFICACION!$E$2:$E$500,MATCH("D1.1|"&amp;AL84,CODIFICACION!$F$2:$F$500,0))),"⚠"))</f>
        <v/>
      </c>
      <c r="I84" t="str">
        <f>IF(AN84="","",IFERROR(IF(INDEX(CODIFICACION!$E$2:$E$500,MATCH("D1.3|"&amp;AN84,CODIFICACION!$F$2:$F$500,0))="sin dato","",INDEX(CODIFICACION!$E$2:$E$500,MATCH("D1.3|"&amp;AN84,CODIFICACION!$F$2:$F$500,0))),"⚠"))</f>
        <v/>
      </c>
      <c r="J84" t="str">
        <f>IF(AO84="","",IFERROR(IF(INDEX(CODIFICACION!$E$2:$E$500,MATCH("D1.4|"&amp;AO84,CODIFICACION!$F$2:$F$500,0))="sin dato","",INDEX(CODIFICACION!$E$2:$E$500,MATCH("D1.4|"&amp;AO84,CODIFICACION!$F$2:$F$500,0))),"⚠"))</f>
        <v/>
      </c>
      <c r="K84" t="str">
        <f>IF(AP84="","",IFERROR(IF(INDEX(CODIFICACION!$E$2:$E$500,MATCH("D1.3a|"&amp;AP84,CODIFICACION!$F$2:$F$500,0))="sin dato","",INDEX(CODIFICACION!$E$2:$E$500,MATCH("D1.3a|"&amp;AP84,CODIFICACION!$F$2:$F$500,0))),"⚠"))</f>
        <v/>
      </c>
      <c r="L84" t="str">
        <f t="shared" si="51"/>
        <v/>
      </c>
      <c r="M84" t="str">
        <f t="shared" si="52"/>
        <v/>
      </c>
      <c r="N84" t="str">
        <f t="shared" si="53"/>
        <v/>
      </c>
      <c r="O84" t="str">
        <f>IF(AT84="","",IFERROR(IF(INDEX(CODIFICACION!$E$2:$E$500,MATCH("D2.8|"&amp;AT84,CODIFICACION!$F$2:$F$500,0))="sin dato","",INDEX(CODIFICACION!$E$2:$E$500,MATCH("D2.8|"&amp;AT84,CODIFICACION!$F$2:$F$500,0))),"⚠"))</f>
        <v/>
      </c>
      <c r="P84" t="str">
        <f>IF(AU84="","",IFERROR(IF(INDEX(CODIFICACION!$E$2:$E$500,MATCH("D2.9|"&amp;AU84,CODIFICACION!$F$2:$F$500,0))="sin dato","",INDEX(CODIFICACION!$E$2:$E$500,MATCH("D2.9|"&amp;AU84,CODIFICACION!$F$2:$F$500,0))),"⚠"))</f>
        <v/>
      </c>
      <c r="Q84" t="str">
        <f>IF(AV84="","",IFERROR(IF(INDEX(CODIFICACION!$E$2:$E$500,MATCH("D2.10|"&amp;AV84,CODIFICACION!$F$2:$F$500,0))="sin dato","",INDEX(CODIFICACION!$E$2:$E$500,MATCH("D2.10|"&amp;AV84,CODIFICACION!$F$2:$F$500,0))),"⚠"))</f>
        <v/>
      </c>
      <c r="R84" t="str">
        <f>IF(AW84="","",IFERROR(IF(INDEX(CODIFICACION!$E$2:$E$500,MATCH("D2.5a|"&amp;AW84,CODIFICACION!$F$2:$F$500,0))="sin dato","",INDEX(CODIFICACION!$E$2:$E$500,MATCH("D2.5a|"&amp;AW84,CODIFICACION!$F$2:$F$500,0))),"⚠"))</f>
        <v/>
      </c>
      <c r="S84" t="str">
        <f ca="1">IF(AX84="","",IFERROR(IF(INDEX(CODIFICACION!$E$2:$E$500,MATCH("D2.5b|"&amp;AX84,CODIFICACION!$F$2:$F$500,0))="sin dato","",INDEX(CODIFICACION!$E$2:$E$500,MATCH("D2.5b|"&amp;AX84,CODIFICACION!$F$2:$F$500,0))),"⚠"))</f>
        <v/>
      </c>
      <c r="T84" t="str">
        <f t="shared" ca="1" si="54"/>
        <v/>
      </c>
      <c r="U84" t="str">
        <f>IF(AZ84="","",IFERROR(IF(INDEX(CODIFICACION!$E$2:$E$500,MATCH("D3.12|"&amp;AZ84,CODIFICACION!$F$2:$F$500,0))="sin dato","",INDEX(CODIFICACION!$E$2:$E$500,MATCH("D3.12|"&amp;AZ84,CODIFICACION!$F$2:$F$500,0))),"⚠"))</f>
        <v/>
      </c>
      <c r="V84" t="str">
        <f t="shared" si="55"/>
        <v/>
      </c>
      <c r="W84" t="str">
        <f ca="1">IF(BB84="","",IFERROR(IF(INDEX(CODIFICACION!$E$2:$E$500,MATCH("D3.14|"&amp;BB84,CODIFICACION!$F$2:$F$500,0))="sin dato","",INDEX(CODIFICACION!$E$2:$E$500,MATCH("D3.14|"&amp;BB84,CODIFICACION!$F$2:$F$500,0))),"⚠"))</f>
        <v/>
      </c>
      <c r="X84" t="str">
        <f ca="1">IF(BC84="","",IFERROR(IF(INDEX(CODIFICACION!$E$2:$E$500,MATCH("D3.14a|"&amp;BC84,CODIFICACION!$F$2:$F$500,0))="sin dato","",INDEX(CODIFICACION!$E$2:$E$500,MATCH("D3.14a|"&amp;BC84,CODIFICACION!$F$2:$F$500,0))),"⚠"))</f>
        <v/>
      </c>
      <c r="Y84" t="str">
        <f>IF(BD84="","",IFERROR(IF(INDEX(CODIFICACION!$E$2:$E$500,MATCH("D3.14b|"&amp;BD84,CODIFICACION!$F$2:$F$500,0))="sin dato","",INDEX(CODIFICACION!$E$2:$E$500,MATCH("D3.14b|"&amp;BD84,CODIFICACION!$F$2:$F$500,0))),"⚠"))</f>
        <v/>
      </c>
      <c r="Z84" t="str">
        <f>IF(BE84="","",IFERROR(IF(INDEX(CODIFICACION!$E$2:$E$500,MATCH("D3.14c|"&amp;BE84,CODIFICACION!$F$2:$F$500,0))="sin dato","",INDEX(CODIFICACION!$E$2:$E$500,MATCH("D3.14c|"&amp;BE84,CODIFICACION!$F$2:$F$500,0))),"⚠"))</f>
        <v/>
      </c>
      <c r="AA84" t="str">
        <f>IF(BF84="","",IFERROR(IF(INDEX(CODIFICACION!$E$2:$E$500,MATCH("D3.14d|"&amp;BF84,CODIFICACION!$F$2:$F$500,0))="sin dato","",INDEX(CODIFICACION!$E$2:$E$500,MATCH("D3.14d|"&amp;BF84,CODIFICACION!$F$2:$F$500,0))),"⚠"))</f>
        <v/>
      </c>
      <c r="AB84" t="str">
        <f>IF(BG84="","",IFERROR(IF(INDEX(CODIFICACION!$E$2:$E$500,MATCH("D3.14e|"&amp;BG84,CODIFICACION!$F$2:$F$500,0))="sin dato","",INDEX(CODIFICACION!$E$2:$E$500,MATCH("D3.14e|"&amp;BG84,CODIFICACION!$F$2:$F$500,0))),"⚠"))</f>
        <v/>
      </c>
      <c r="AC84" t="str">
        <f>IF(BH84="","",IFERROR(IF(INDEX(CODIFICACION!$E$2:$E$500,MATCH("D3.14f|"&amp;BH84,CODIFICACION!$F$2:$F$500,0))="sin dato","",INDEX(CODIFICACION!$E$2:$E$500,MATCH("D3.14f|"&amp;BH84,CODIFICACION!$F$2:$F$500,0))),"⚠"))</f>
        <v/>
      </c>
      <c r="AD84" t="str">
        <f>IF(BI84="","",IFERROR(IF(INDEX(CODIFICACION!$E$2:$E$500,MATCH("D3.14g|"&amp;BI84,CODIFICACION!$F$2:$F$500,0))="sin dato","",INDEX(CODIFICACION!$E$2:$E$500,MATCH("D3.14g|"&amp;BI84,CODIFICACION!$F$2:$F$500,0))),"⚠"))</f>
        <v/>
      </c>
      <c r="AE84" t="str">
        <f>IF(BJ84="","",IFERROR(IF(INDEX(CODIFICACION!$E$2:$E$500,MATCH("D3.14h|"&amp;BJ84,CODIFICACION!$F$2:$F$500,0))="sin dato","",INDEX(CODIFICACION!$E$2:$E$500,MATCH("D3.14h|"&amp;BJ84,CODIFICACION!$F$2:$F$500,0))),"⚠"))</f>
        <v/>
      </c>
      <c r="AF84" t="str">
        <f>IF(BK84="","",IFERROR(IF(INDEX(CODIFICACION!$E$2:$E$500,MATCH("D3.14i|"&amp;BK84,CODIFICACION!$F$2:$F$500,0))="sin dato","",INDEX(CODIFICACION!$E$2:$E$500,MATCH("D3.14i|"&amp;BK84,CODIFICACION!$F$2:$F$500,0))),"⚠"))</f>
        <v/>
      </c>
      <c r="AG84" t="str">
        <f>IF(BL84="","",IFERROR(IF(INDEX(CODIFICACION!$E$2:$E$500,MATCH("D4.15|"&amp;BL84,CODIFICACION!$F$2:$F$500,0))="sin dato","",INDEX(CODIFICACION!$E$2:$E$500,MATCH("D4.15|"&amp;BL84,CODIFICACION!$F$2:$F$500,0))),"⚠"))</f>
        <v/>
      </c>
      <c r="AH84" t="str">
        <f t="shared" si="56"/>
        <v/>
      </c>
      <c r="AI84" t="str">
        <f>IF(BN84="","",IFERROR(IF(INDEX(CODIFICACION!$E$2:$E$500,MATCH("D4.17|"&amp;BN84,CODIFICACION!$F$2:$F$500,0))="sin dato","",INDEX(CODIFICACION!$E$2:$E$500,MATCH("D4.17|"&amp;BN84,CODIFICACION!$F$2:$F$500,0))),"⚠"))</f>
        <v/>
      </c>
      <c r="AJ84" t="str">
        <f>IF(BO84="","",IFERROR(IF(INDEX(CODIFICACION!$E$2:$E$500,MATCH("D4.15a|"&amp;BO84,CODIFICACION!$F$2:$F$500,0))="sin dato","",INDEX(CODIFICACION!$E$2:$E$500,MATCH("D4.15a|"&amp;BO84,CODIFICACION!$F$2:$F$500,0))),"⚠"))</f>
        <v/>
      </c>
      <c r="AK84" t="str">
        <f t="shared" si="57"/>
        <v/>
      </c>
      <c r="AL84" t="str">
        <f t="shared" si="58"/>
        <v/>
      </c>
      <c r="AM84" t="str">
        <f>IF(BR84="","",IFERROR(IF(INDEX(CODIFICACION!$E$2:$E$500,MATCH("D5.18b|"&amp;BR84,CODIFICACION!$F$2:$F$500,0))="sin dato","",INDEX(CODIFICACION!$E$2:$E$500,MATCH("D5.18b|"&amp;BR84,CODIFICACION!$F$2:$F$500,0))),"⚠"))</f>
        <v/>
      </c>
      <c r="AN84" t="str">
        <f>IF(BS84="","",IFERROR(IF(INDEX(CODIFICACION!$E$2:$E$500,MATCH("D5.19|"&amp;BS84,CODIFICACION!$F$2:$F$500,0))="sin dato","",INDEX(CODIFICACION!$E$2:$E$500,MATCH("D5.19|"&amp;BS84,CODIFICACION!$F$2:$F$500,0))),"⚠"))</f>
        <v/>
      </c>
      <c r="AO84" t="str">
        <f t="shared" si="59"/>
        <v/>
      </c>
      <c r="AP84" t="str">
        <f>IF(BU84="","",IFERROR(IF(INDEX(CODIFICACION!$E$2:$E$500,MATCH("D5.20|"&amp;BU84,CODIFICACION!$F$2:$F$500,0))="sin dato","",INDEX(CODIFICACION!$E$2:$E$500,MATCH("D5.20|"&amp;BU84,CODIFICACION!$F$2:$F$500,0))),"⚠"))</f>
        <v/>
      </c>
      <c r="AQ84" t="str">
        <f>IF(BV84="","",IFERROR(IF(INDEX(CODIFICACION!$E$2:$E$500,MATCH("D5.21|"&amp;BV84,CODIFICACION!$F$2:$F$500,0))="sin dato","",INDEX(CODIFICACION!$E$2:$E$500,MATCH("D5.21|"&amp;BV84,CODIFICACION!$F$2:$F$500,0))),"⚠"))</f>
        <v/>
      </c>
      <c r="AR84" t="str">
        <f>IF(BW84="","",IFERROR(IF(INDEX(CODIFICACION!$E$2:$E$500,MATCH("D5.21a|"&amp;BW84,CODIFICACION!$F$2:$F$500,0))="sin dato","",INDEX(CODIFICACION!$E$2:$E$500,MATCH("D5.21a|"&amp;BW84,CODIFICACION!$F$2:$F$500,0))),"⚠"))</f>
        <v/>
      </c>
      <c r="AS84" t="str">
        <f>IF(BX84="","",IFERROR(IF(INDEX(CODIFICACION!$E$2:$E$500,MATCH("D5.21b|"&amp;BX84,CODIFICACION!$F$2:$F$500,0))="sin dato","",INDEX(CODIFICACION!$E$2:$E$500,MATCH("D5.21b|"&amp;BX84,CODIFICACION!$F$2:$F$500,0))),"⚠"))</f>
        <v/>
      </c>
      <c r="AT84" t="str">
        <f>IF(BY84="","",IFERROR(IF(INDEX(CODIFICACION!$E$2:$E$500,MATCH("D6.22|"&amp;BY84,CODIFICACION!$F$2:$F$500,0))="sin dato","",INDEX(CODIFICACION!$E$2:$E$500,MATCH("D6.22|"&amp;BY84,CODIFICACION!$F$2:$F$500,0))),"⚠"))</f>
        <v/>
      </c>
      <c r="AU84" t="str">
        <f>IF(BZ84="","",IFERROR(IF(INDEX(CODIFICACION!$E$2:$E$500,MATCH("D6.22a|"&amp;BZ84,CODIFICACION!$F$2:$F$500,0))="sin dato","",INDEX(CODIFICACION!$E$2:$E$500,MATCH("D6.22a|"&amp;BZ84,CODIFICACION!$F$2:$F$500,0))),"⚠"))</f>
        <v/>
      </c>
      <c r="AV84" t="str">
        <f>IF(CA84="","",IFERROR(IF(INDEX(CODIFICACION!$E$2:$E$500,MATCH("D6.22b|"&amp;CA84,CODIFICACION!$F$2:$F$500,0))="sin dato","",INDEX(CODIFICACION!$E$2:$E$500,MATCH("D6.22b|"&amp;CA84,CODIFICACION!$F$2:$F$500,0))),"⚠"))</f>
        <v/>
      </c>
      <c r="AW84" t="str">
        <f>IF(CB84="","",IFERROR(IF(INDEX(CODIFICACION!$E$2:$E$500,MATCH("D6.23|"&amp;CB84,CODIFICACION!$F$2:$F$500,0))="sin dato","",INDEX(CODIFICACION!$E$2:$E$500,MATCH("D6.23|"&amp;CB84,CODIFICACION!$F$2:$F$500,0))),"⚠"))</f>
        <v/>
      </c>
      <c r="AX84" t="str">
        <f ca="1">IF(CC84="","",IFERROR(IF(INDEX(CODIFICACION!$E$2:$E$500,MATCH("D6.24|"&amp;CC84,CODIFICACION!$F$2:$F$500,0))="sin dato","",INDEX(CODIFICACION!$E$2:$E$500,MATCH("D6.24|"&amp;CC84,CODIFICACION!$F$2:$F$500,0))),"⚠"))</f>
        <v/>
      </c>
      <c r="AY84" t="str">
        <f ca="1">IF(CD84="","",IFERROR(IF(INDEX(CODIFICACION!$E$2:$E$500,MATCH("D6.25|"&amp;CD84,CODIFICACION!$F$2:$F$500,0))="sin dato","",INDEX(CODIFICACION!$E$2:$E$500,MATCH("D6.25|"&amp;CD84,CODIFICACION!$F$2:$F$500,0))),"⚠"))</f>
        <v/>
      </c>
      <c r="AZ84" t="str">
        <f>IF(CE84="","",IFERROR(IF(INDEX(CODIFICACION!$E$2:$E$500,MATCH("D6.25a|"&amp;CE84,CODIFICACION!$F$2:$F$500,0))="sin dato","",INDEX(CODIFICACION!$E$2:$E$500,MATCH("D6.25a|"&amp;CE84,CODIFICACION!$F$2:$F$500,0))),"⚠"))</f>
        <v/>
      </c>
      <c r="BA84" t="str">
        <f>IF(CF84="","",IFERROR(IF(INDEX(CODIFICACION!$E$2:$E$500,MATCH("D6.25b|"&amp;CF84,CODIFICACION!$F$2:$F$500,0))="sin dato","",INDEX(CODIFICACION!$E$2:$E$500,MATCH("D6.25b|"&amp;CF84,CODIFICACION!$F$2:$F$500,0))),"⚠"))</f>
        <v/>
      </c>
      <c r="BB84" t="str">
        <f ca="1">IF(CG84="","",IFERROR(IF(INDEX(CODIFICACION!$E$2:$E$500,MATCH("D6.22c|"&amp;CG84,CODIFICACION!$F$2:$F$500,0))="sin dato","",INDEX(CODIFICACION!$E$2:$E$500,MATCH("D6.22c|"&amp;CG84,CODIFICACION!$F$2:$F$500,0))),"⚠"))</f>
        <v/>
      </c>
      <c r="BC84" t="str">
        <f ca="1">IF(CH84="","",IFERROR(IF(INDEX(CODIFICACION!$E$2:$E$500,MATCH("D7.26|"&amp;CH84,CODIFICACION!$F$2:$F$500,0))="sin dato","",INDEX(CODIFICACION!$E$2:$E$500,MATCH("D7.26|"&amp;CH84,CODIFICACION!$F$2:$F$500,0))),"⚠"))</f>
        <v/>
      </c>
      <c r="BD84" t="str">
        <f>IF(CI84="","",IFERROR(IF(INDEX(CODIFICACION!$E$2:$E$500,MATCH("D7.27|"&amp;CI84,CODIFICACION!$F$2:$F$500,0))="sin dato","",INDEX(CODIFICACION!$E$2:$E$500,MATCH("D7.27|"&amp;CI84,CODIFICACION!$F$2:$F$500,0))),"⚠"))</f>
        <v/>
      </c>
      <c r="BE84" t="str">
        <f>IF(CJ84="","",IFERROR(IF(INDEX(CODIFICACION!$E$2:$E$500,MATCH("D7.28|"&amp;CJ84,CODIFICACION!$F$2:$F$500,0))="sin dato","",INDEX(CODIFICACION!$E$2:$E$500,MATCH("D7.28|"&amp;CJ84,CODIFICACION!$F$2:$F$500,0))),"⚠"))</f>
        <v/>
      </c>
      <c r="BF84" t="str">
        <f>IF(CK84="","",IFERROR(IF(INDEX(CODIFICACION!$E$2:$E$500,MATCH("D7.28b|"&amp;CK84,CODIFICACION!$F$2:$F$500,0))="sin dato","",INDEX(CODIFICACION!$E$2:$E$500,MATCH("D7.28b|"&amp;CK84,CODIFICACION!$F$2:$F$500,0))),"⚠"))</f>
        <v/>
      </c>
      <c r="BG84" t="str">
        <f t="shared" si="60"/>
        <v/>
      </c>
      <c r="BH84" t="str">
        <f>IF(CM84="","",IFERROR(IF(INDEX(CODIFICACION!$E$2:$E$500,MATCH("D7.26a|"&amp;CM84,CODIFICACION!$F$2:$F$500,0))="sin dato","",INDEX(CODIFICACION!$E$2:$E$500,MATCH("D7.26a|"&amp;CM84,CODIFICACION!$F$2:$F$500,0))),"⚠"))</f>
        <v/>
      </c>
      <c r="BI84" t="str">
        <f>IF(CN84="","",IFERROR(IF(INDEX(CODIFICACION!$E$2:$E$500,MATCH("D7.26b|"&amp;CN84,CODIFICACION!$F$2:$F$500,0))="sin dato","",INDEX(CODIFICACION!$E$2:$E$500,MATCH("D7.26b|"&amp;CN84,CODIFICACION!$F$2:$F$500,0))),"⚠"))</f>
        <v/>
      </c>
      <c r="BJ84" t="str">
        <f t="shared" si="61"/>
        <v/>
      </c>
      <c r="BK84" t="str">
        <f t="shared" si="62"/>
        <v/>
      </c>
      <c r="BL84" t="str">
        <f>IF(CQ84="","",IFERROR(IF(INDEX(CODIFICACION!$E$2:$E$500,MATCH("D8.31|"&amp;CQ84,CODIFICACION!$F$2:$F$500,0))="sin dato","",INDEX(CODIFICACION!$E$2:$E$500,MATCH("D8.31|"&amp;CQ84,CODIFICACION!$F$2:$F$500,0))),"⚠"))</f>
        <v/>
      </c>
      <c r="BM84" t="str">
        <f>IF(CR84="","",IFERROR(IF(INDEX(CODIFICACION!$E$2:$E$500,MATCH("D8.32|"&amp;CR84,CODIFICACION!$F$2:$F$500,0))="sin dato","",INDEX(CODIFICACION!$E$2:$E$500,MATCH("D8.32|"&amp;CR84,CODIFICACION!$F$2:$F$500,0))),"⚠"))</f>
        <v/>
      </c>
      <c r="BN84" t="str">
        <f>IF(CS84="","",IFERROR(IF(INDEX(CODIFICACION!$E$2:$E$500,MATCH("D9.33|"&amp;CS84,CODIFICACION!$F$2:$F$500,0))="sin dato","",INDEX(CODIFICACION!$E$2:$E$500,MATCH("D9.33|"&amp;CS84,CODIFICACION!$F$2:$F$500,0))),"⚠"))</f>
        <v/>
      </c>
      <c r="BO84" t="str">
        <f>IF(CT84="","",IFERROR(IF(INDEX(CODIFICACION!$E$2:$E$500,MATCH("D9.34|"&amp;CT84,CODIFICACION!$F$2:$F$500,0))="sin dato","",INDEX(CODIFICACION!$E$2:$E$500,MATCH("D9.34|"&amp;CT84,CODIFICACION!$F$2:$F$500,0))),"⚠"))</f>
        <v/>
      </c>
      <c r="BP84" t="str">
        <f>IF(CU84="","",IFERROR(IF(INDEX(CODIFICACION!$E$2:$E$500,MATCH("D9.35|"&amp;CU84,CODIFICACION!$F$2:$F$500,0))="sin dato","",INDEX(CODIFICACION!$E$2:$E$500,MATCH("D9.35|"&amp;CU84,CODIFICACION!$F$2:$F$500,0))),"⚠"))</f>
        <v/>
      </c>
      <c r="BQ84" t="str">
        <f>IF(CV84="","",IFERROR(IF(INDEX(CODIFICACION!$E$2:$E$500,MATCH("D10.36|"&amp;CV84,CODIFICACION!$F$2:$F$500,0))="sin dato","",INDEX(CODIFICACION!$E$2:$E$500,MATCH("D10.36|"&amp;CV84,CODIFICACION!$F$2:$F$500,0))),"⚠"))</f>
        <v/>
      </c>
      <c r="BR84" t="str">
        <f>IF(CW84="","",IFERROR(IF(INDEX(CODIFICACION!$E$2:$E$500,MATCH("D10.37|"&amp;CW84,CODIFICACION!$F$2:$F$500,0))="sin dato","",INDEX(CODIFICACION!$E$2:$E$500,MATCH("D10.37|"&amp;CW84,CODIFICACION!$F$2:$F$500,0))),"⚠"))</f>
        <v/>
      </c>
      <c r="BS84" t="str">
        <f>IF(CX84="","",IFERROR(IF(INDEX(CODIFICACION!$E$2:$E$500,MATCH("D10.36a|"&amp;CX84,CODIFICACION!$F$2:$F$500,0))="sin dato","",INDEX(CODIFICACION!$E$2:$E$500,MATCH("D10.36a|"&amp;CX84,CODIFICACION!$F$2:$F$500,0))),"⚠"))</f>
        <v/>
      </c>
      <c r="BT84" t="str">
        <f t="shared" si="63"/>
        <v/>
      </c>
      <c r="BU84" t="str">
        <f>IF(DA84="","",IFERROR(IF(INDEX(CODIFICACION!$E$2:$E$500,MATCH("D11.39a|"&amp;DA84,CODIFICACION!$F$2:$F$500,0))="sin dato","",INDEX(CODIFICACION!$E$2:$E$500,MATCH("D11.39a|"&amp;DA84,CODIFICACION!$F$2:$F$500,0))),"⚠"))</f>
        <v/>
      </c>
      <c r="BV84" t="str">
        <f>IF(DB84="","",IFERROR(IF(INDEX(CODIFICACION!$E$2:$E$500,MATCH("D12.42|"&amp;DB84,CODIFICACION!$F$2:$F$500,0))="sin dato","",INDEX(CODIFICACION!$E$2:$E$500,MATCH("D12.42|"&amp;DB84,CODIFICACION!$F$2:$F$500,0))),"⚠"))</f>
        <v/>
      </c>
      <c r="BW84" t="str">
        <f>IF(DC84="","",IFERROR(IF(INDEX(CODIFICACION!$E$2:$E$500,MATCH("D13.45|"&amp;DC84,CODIFICACION!$F$2:$F$500,0))="sin dato","",INDEX(CODIFICACION!$E$2:$E$500,MATCH("D13.45|"&amp;DC84,CODIFICACION!$F$2:$F$500,0))),"⚠"))</f>
        <v/>
      </c>
      <c r="BX84" t="str">
        <f>IF(DD84="","",IFERROR(IF(INDEX(CODIFICACION!$E$2:$E$500,MATCH("D14.51|"&amp;DD84,CODIFICACION!$F$2:$F$500,0))="sin dato","",INDEX(CODIFICACION!$E$2:$E$500,MATCH("D14.51|"&amp;DD84,CODIFICACION!$F$2:$F$500,0))),"⚠"))</f>
        <v/>
      </c>
      <c r="BY84" t="str">
        <f>IF(DE84="","",IFERROR(IF(INDEX(CODIFICACION!$E$2:$E$500,MATCH("D15.58|"&amp;DE84,CODIFICACION!$F$2:$F$500,0))="sin dato","",INDEX(CODIFICACION!$E$2:$E$500,MATCH("D15.58|"&amp;DE84,CODIFICACION!$F$2:$F$500,0))),"⚠"))</f>
        <v/>
      </c>
      <c r="BZ84" t="str">
        <f>IF(DF84="","",IFERROR(IF(INDEX(CODIFICACION!$E$2:$E$500,MATCH("PP1|"&amp;DF84,CODIFICACION!$F$2:$F$500,0))="sin dato","",INDEX(CODIFICACION!$E$2:$E$500,MATCH("PP1|"&amp;DF84,CODIFICACION!$F$2:$F$500,0))),"⚠"))</f>
        <v/>
      </c>
      <c r="CA84" t="str">
        <f>IF(DG84="","",IFERROR(IF(INDEX(CODIFICACION!$E$2:$E$500,MATCH("PP2|"&amp;DG84,CODIFICACION!$F$2:$F$500,0))="sin dato","",INDEX(CODIFICACION!$E$2:$E$500,MATCH("PP2|"&amp;DG84,CODIFICACION!$F$2:$F$500,0))),"⚠"))</f>
        <v/>
      </c>
      <c r="CB84" t="str">
        <f t="shared" si="64"/>
        <v/>
      </c>
      <c r="CC84" t="str">
        <f t="shared" ca="1" si="65"/>
        <v/>
      </c>
      <c r="CD84" t="str">
        <f t="shared" ca="1" si="66"/>
        <v/>
      </c>
      <c r="CE84" t="str">
        <f t="shared" si="67"/>
        <v/>
      </c>
      <c r="CF84" t="str">
        <f t="shared" si="68"/>
        <v/>
      </c>
      <c r="CG84" t="str">
        <f t="shared" ca="1" si="69"/>
        <v/>
      </c>
      <c r="CH84" t="str">
        <f t="shared" ca="1" si="70"/>
        <v/>
      </c>
      <c r="CI84" t="str">
        <f t="shared" si="71"/>
        <v/>
      </c>
      <c r="CJ84" t="str">
        <f t="shared" si="72"/>
        <v/>
      </c>
      <c r="CK84" t="str">
        <f t="shared" si="73"/>
        <v/>
      </c>
      <c r="CL84" t="str">
        <f t="shared" si="74"/>
        <v/>
      </c>
    </row>
    <row r="85" spans="1:90" x14ac:dyDescent="0.3">
      <c r="A85">
        <f>CAPTURA!A85</f>
        <v>20568194951</v>
      </c>
      <c r="B85">
        <f>CAPTURA!C85</f>
        <v>0</v>
      </c>
      <c r="C85" t="str">
        <f t="shared" si="50"/>
        <v/>
      </c>
      <c r="D85" t="str">
        <f>IF(AE85="","",IFERROR(IF(INDEX(CODIFICACION!$E$2:$E$500,MATCH("P8|"&amp;AE85,CODIFICACION!$F$2:$F$500,0))="sin dato","",INDEX(CODIFICACION!$E$2:$E$500,MATCH("P8|"&amp;AE85,CODIFICACION!$F$2:$F$500,0))),"⚠"))</f>
        <v/>
      </c>
      <c r="E85" t="str">
        <f>IF(AG85="","",IFERROR(IF(INDEX(CODIFICACION!$E$2:$E$500,MATCH("P10|"&amp;AG85,CODIFICACION!$F$2:$F$500,0))="sin dato","",INDEX(CODIFICACION!$E$2:$E$500,MATCH("P10|"&amp;AG85,CODIFICACION!$F$2:$F$500,0))),"⚠"))</f>
        <v/>
      </c>
      <c r="F85" t="str">
        <f>IF(AJ85="","",IFERROR(IF(INDEX(CODIFICACION!$E$2:$E$500,MATCH("P13|"&amp;AJ85,CODIFICACION!$F$2:$F$500,0))="sin dato","",INDEX(CODIFICACION!$E$2:$E$500,MATCH("P13|"&amp;AJ85,CODIFICACION!$F$2:$F$500,0))),"⚠"))</f>
        <v/>
      </c>
      <c r="G85" t="str">
        <f>IF(AK85="","",IFERROR(IF(INDEX(CODIFICACION!$E$2:$E$500,MATCH("P14|"&amp;AK85,CODIFICACION!$F$2:$F$500,0))="sin dato","",INDEX(CODIFICACION!$E$2:$E$500,MATCH("P14|"&amp;AK85,CODIFICACION!$F$2:$F$500,0))),"⚠"))</f>
        <v/>
      </c>
      <c r="H85" t="str">
        <f>IF(AL85="","",IFERROR(IF(INDEX(CODIFICACION!$E$2:$E$500,MATCH("D1.1|"&amp;AL85,CODIFICACION!$F$2:$F$500,0))="sin dato","",INDEX(CODIFICACION!$E$2:$E$500,MATCH("D1.1|"&amp;AL85,CODIFICACION!$F$2:$F$500,0))),"⚠"))</f>
        <v/>
      </c>
      <c r="I85" t="str">
        <f>IF(AN85="","",IFERROR(IF(INDEX(CODIFICACION!$E$2:$E$500,MATCH("D1.3|"&amp;AN85,CODIFICACION!$F$2:$F$500,0))="sin dato","",INDEX(CODIFICACION!$E$2:$E$500,MATCH("D1.3|"&amp;AN85,CODIFICACION!$F$2:$F$500,0))),"⚠"))</f>
        <v/>
      </c>
      <c r="J85" t="str">
        <f>IF(AO85="","",IFERROR(IF(INDEX(CODIFICACION!$E$2:$E$500,MATCH("D1.4|"&amp;AO85,CODIFICACION!$F$2:$F$500,0))="sin dato","",INDEX(CODIFICACION!$E$2:$E$500,MATCH("D1.4|"&amp;AO85,CODIFICACION!$F$2:$F$500,0))),"⚠"))</f>
        <v/>
      </c>
      <c r="K85" t="str">
        <f>IF(AP85="","",IFERROR(IF(INDEX(CODIFICACION!$E$2:$E$500,MATCH("D1.3a|"&amp;AP85,CODIFICACION!$F$2:$F$500,0))="sin dato","",INDEX(CODIFICACION!$E$2:$E$500,MATCH("D1.3a|"&amp;AP85,CODIFICACION!$F$2:$F$500,0))),"⚠"))</f>
        <v/>
      </c>
      <c r="L85" t="str">
        <f t="shared" si="51"/>
        <v/>
      </c>
      <c r="M85" t="str">
        <f t="shared" si="52"/>
        <v/>
      </c>
      <c r="N85" t="str">
        <f t="shared" si="53"/>
        <v/>
      </c>
      <c r="O85" t="str">
        <f>IF(AT85="","",IFERROR(IF(INDEX(CODIFICACION!$E$2:$E$500,MATCH("D2.8|"&amp;AT85,CODIFICACION!$F$2:$F$500,0))="sin dato","",INDEX(CODIFICACION!$E$2:$E$500,MATCH("D2.8|"&amp;AT85,CODIFICACION!$F$2:$F$500,0))),"⚠"))</f>
        <v/>
      </c>
      <c r="P85" t="str">
        <f>IF(AU85="","",IFERROR(IF(INDEX(CODIFICACION!$E$2:$E$500,MATCH("D2.9|"&amp;AU85,CODIFICACION!$F$2:$F$500,0))="sin dato","",INDEX(CODIFICACION!$E$2:$E$500,MATCH("D2.9|"&amp;AU85,CODIFICACION!$F$2:$F$500,0))),"⚠"))</f>
        <v/>
      </c>
      <c r="Q85" t="str">
        <f>IF(AV85="","",IFERROR(IF(INDEX(CODIFICACION!$E$2:$E$500,MATCH("D2.10|"&amp;AV85,CODIFICACION!$F$2:$F$500,0))="sin dato","",INDEX(CODIFICACION!$E$2:$E$500,MATCH("D2.10|"&amp;AV85,CODIFICACION!$F$2:$F$500,0))),"⚠"))</f>
        <v/>
      </c>
      <c r="R85" t="str">
        <f>IF(AW85="","",IFERROR(IF(INDEX(CODIFICACION!$E$2:$E$500,MATCH("D2.5a|"&amp;AW85,CODIFICACION!$F$2:$F$500,0))="sin dato","",INDEX(CODIFICACION!$E$2:$E$500,MATCH("D2.5a|"&amp;AW85,CODIFICACION!$F$2:$F$500,0))),"⚠"))</f>
        <v/>
      </c>
      <c r="S85" t="str">
        <f ca="1">IF(AX85="","",IFERROR(IF(INDEX(CODIFICACION!$E$2:$E$500,MATCH("D2.5b|"&amp;AX85,CODIFICACION!$F$2:$F$500,0))="sin dato","",INDEX(CODIFICACION!$E$2:$E$500,MATCH("D2.5b|"&amp;AX85,CODIFICACION!$F$2:$F$500,0))),"⚠"))</f>
        <v/>
      </c>
      <c r="T85" t="str">
        <f t="shared" ca="1" si="54"/>
        <v/>
      </c>
      <c r="U85" t="str">
        <f>IF(AZ85="","",IFERROR(IF(INDEX(CODIFICACION!$E$2:$E$500,MATCH("D3.12|"&amp;AZ85,CODIFICACION!$F$2:$F$500,0))="sin dato","",INDEX(CODIFICACION!$E$2:$E$500,MATCH("D3.12|"&amp;AZ85,CODIFICACION!$F$2:$F$500,0))),"⚠"))</f>
        <v/>
      </c>
      <c r="V85" t="str">
        <f t="shared" si="55"/>
        <v/>
      </c>
      <c r="W85" t="str">
        <f ca="1">IF(BB85="","",IFERROR(IF(INDEX(CODIFICACION!$E$2:$E$500,MATCH("D3.14|"&amp;BB85,CODIFICACION!$F$2:$F$500,0))="sin dato","",INDEX(CODIFICACION!$E$2:$E$500,MATCH("D3.14|"&amp;BB85,CODIFICACION!$F$2:$F$500,0))),"⚠"))</f>
        <v/>
      </c>
      <c r="X85" t="str">
        <f ca="1">IF(BC85="","",IFERROR(IF(INDEX(CODIFICACION!$E$2:$E$500,MATCH("D3.14a|"&amp;BC85,CODIFICACION!$F$2:$F$500,0))="sin dato","",INDEX(CODIFICACION!$E$2:$E$500,MATCH("D3.14a|"&amp;BC85,CODIFICACION!$F$2:$F$500,0))),"⚠"))</f>
        <v/>
      </c>
      <c r="Y85" t="str">
        <f>IF(BD85="","",IFERROR(IF(INDEX(CODIFICACION!$E$2:$E$500,MATCH("D3.14b|"&amp;BD85,CODIFICACION!$F$2:$F$500,0))="sin dato","",INDEX(CODIFICACION!$E$2:$E$500,MATCH("D3.14b|"&amp;BD85,CODIFICACION!$F$2:$F$500,0))),"⚠"))</f>
        <v/>
      </c>
      <c r="Z85" t="str">
        <f>IF(BE85="","",IFERROR(IF(INDEX(CODIFICACION!$E$2:$E$500,MATCH("D3.14c|"&amp;BE85,CODIFICACION!$F$2:$F$500,0))="sin dato","",INDEX(CODIFICACION!$E$2:$E$500,MATCH("D3.14c|"&amp;BE85,CODIFICACION!$F$2:$F$500,0))),"⚠"))</f>
        <v/>
      </c>
      <c r="AA85" t="str">
        <f>IF(BF85="","",IFERROR(IF(INDEX(CODIFICACION!$E$2:$E$500,MATCH("D3.14d|"&amp;BF85,CODIFICACION!$F$2:$F$500,0))="sin dato","",INDEX(CODIFICACION!$E$2:$E$500,MATCH("D3.14d|"&amp;BF85,CODIFICACION!$F$2:$F$500,0))),"⚠"))</f>
        <v/>
      </c>
      <c r="AB85" t="str">
        <f>IF(BG85="","",IFERROR(IF(INDEX(CODIFICACION!$E$2:$E$500,MATCH("D3.14e|"&amp;BG85,CODIFICACION!$F$2:$F$500,0))="sin dato","",INDEX(CODIFICACION!$E$2:$E$500,MATCH("D3.14e|"&amp;BG85,CODIFICACION!$F$2:$F$500,0))),"⚠"))</f>
        <v/>
      </c>
      <c r="AC85" t="str">
        <f>IF(BH85="","",IFERROR(IF(INDEX(CODIFICACION!$E$2:$E$500,MATCH("D3.14f|"&amp;BH85,CODIFICACION!$F$2:$F$500,0))="sin dato","",INDEX(CODIFICACION!$E$2:$E$500,MATCH("D3.14f|"&amp;BH85,CODIFICACION!$F$2:$F$500,0))),"⚠"))</f>
        <v/>
      </c>
      <c r="AD85" t="str">
        <f>IF(BI85="","",IFERROR(IF(INDEX(CODIFICACION!$E$2:$E$500,MATCH("D3.14g|"&amp;BI85,CODIFICACION!$F$2:$F$500,0))="sin dato","",INDEX(CODIFICACION!$E$2:$E$500,MATCH("D3.14g|"&amp;BI85,CODIFICACION!$F$2:$F$500,0))),"⚠"))</f>
        <v/>
      </c>
      <c r="AE85" t="str">
        <f>IF(BJ85="","",IFERROR(IF(INDEX(CODIFICACION!$E$2:$E$500,MATCH("D3.14h|"&amp;BJ85,CODIFICACION!$F$2:$F$500,0))="sin dato","",INDEX(CODIFICACION!$E$2:$E$500,MATCH("D3.14h|"&amp;BJ85,CODIFICACION!$F$2:$F$500,0))),"⚠"))</f>
        <v/>
      </c>
      <c r="AF85" t="str">
        <f>IF(BK85="","",IFERROR(IF(INDEX(CODIFICACION!$E$2:$E$500,MATCH("D3.14i|"&amp;BK85,CODIFICACION!$F$2:$F$500,0))="sin dato","",INDEX(CODIFICACION!$E$2:$E$500,MATCH("D3.14i|"&amp;BK85,CODIFICACION!$F$2:$F$500,0))),"⚠"))</f>
        <v/>
      </c>
      <c r="AG85" t="str">
        <f>IF(BL85="","",IFERROR(IF(INDEX(CODIFICACION!$E$2:$E$500,MATCH("D4.15|"&amp;BL85,CODIFICACION!$F$2:$F$500,0))="sin dato","",INDEX(CODIFICACION!$E$2:$E$500,MATCH("D4.15|"&amp;BL85,CODIFICACION!$F$2:$F$500,0))),"⚠"))</f>
        <v/>
      </c>
      <c r="AH85" t="str">
        <f t="shared" si="56"/>
        <v/>
      </c>
      <c r="AI85" t="str">
        <f>IF(BN85="","",IFERROR(IF(INDEX(CODIFICACION!$E$2:$E$500,MATCH("D4.17|"&amp;BN85,CODIFICACION!$F$2:$F$500,0))="sin dato","",INDEX(CODIFICACION!$E$2:$E$500,MATCH("D4.17|"&amp;BN85,CODIFICACION!$F$2:$F$500,0))),"⚠"))</f>
        <v/>
      </c>
      <c r="AJ85" t="str">
        <f>IF(BO85="","",IFERROR(IF(INDEX(CODIFICACION!$E$2:$E$500,MATCH("D4.15a|"&amp;BO85,CODIFICACION!$F$2:$F$500,0))="sin dato","",INDEX(CODIFICACION!$E$2:$E$500,MATCH("D4.15a|"&amp;BO85,CODIFICACION!$F$2:$F$500,0))),"⚠"))</f>
        <v/>
      </c>
      <c r="AK85" t="str">
        <f t="shared" si="57"/>
        <v/>
      </c>
      <c r="AL85" t="str">
        <f t="shared" si="58"/>
        <v/>
      </c>
      <c r="AM85" t="str">
        <f>IF(BR85="","",IFERROR(IF(INDEX(CODIFICACION!$E$2:$E$500,MATCH("D5.18b|"&amp;BR85,CODIFICACION!$F$2:$F$500,0))="sin dato","",INDEX(CODIFICACION!$E$2:$E$500,MATCH("D5.18b|"&amp;BR85,CODIFICACION!$F$2:$F$500,0))),"⚠"))</f>
        <v/>
      </c>
      <c r="AN85" t="str">
        <f>IF(BS85="","",IFERROR(IF(INDEX(CODIFICACION!$E$2:$E$500,MATCH("D5.19|"&amp;BS85,CODIFICACION!$F$2:$F$500,0))="sin dato","",INDEX(CODIFICACION!$E$2:$E$500,MATCH("D5.19|"&amp;BS85,CODIFICACION!$F$2:$F$500,0))),"⚠"))</f>
        <v/>
      </c>
      <c r="AO85" t="str">
        <f t="shared" si="59"/>
        <v/>
      </c>
      <c r="AP85" t="str">
        <f>IF(BU85="","",IFERROR(IF(INDEX(CODIFICACION!$E$2:$E$500,MATCH("D5.20|"&amp;BU85,CODIFICACION!$F$2:$F$500,0))="sin dato","",INDEX(CODIFICACION!$E$2:$E$500,MATCH("D5.20|"&amp;BU85,CODIFICACION!$F$2:$F$500,0))),"⚠"))</f>
        <v/>
      </c>
      <c r="AQ85" t="str">
        <f>IF(BV85="","",IFERROR(IF(INDEX(CODIFICACION!$E$2:$E$500,MATCH("D5.21|"&amp;BV85,CODIFICACION!$F$2:$F$500,0))="sin dato","",INDEX(CODIFICACION!$E$2:$E$500,MATCH("D5.21|"&amp;BV85,CODIFICACION!$F$2:$F$500,0))),"⚠"))</f>
        <v/>
      </c>
      <c r="AR85" t="str">
        <f>IF(BW85="","",IFERROR(IF(INDEX(CODIFICACION!$E$2:$E$500,MATCH("D5.21a|"&amp;BW85,CODIFICACION!$F$2:$F$500,0))="sin dato","",INDEX(CODIFICACION!$E$2:$E$500,MATCH("D5.21a|"&amp;BW85,CODIFICACION!$F$2:$F$500,0))),"⚠"))</f>
        <v/>
      </c>
      <c r="AS85" t="str">
        <f>IF(BX85="","",IFERROR(IF(INDEX(CODIFICACION!$E$2:$E$500,MATCH("D5.21b|"&amp;BX85,CODIFICACION!$F$2:$F$500,0))="sin dato","",INDEX(CODIFICACION!$E$2:$E$500,MATCH("D5.21b|"&amp;BX85,CODIFICACION!$F$2:$F$500,0))),"⚠"))</f>
        <v/>
      </c>
      <c r="AT85" t="str">
        <f>IF(BY85="","",IFERROR(IF(INDEX(CODIFICACION!$E$2:$E$500,MATCH("D6.22|"&amp;BY85,CODIFICACION!$F$2:$F$500,0))="sin dato","",INDEX(CODIFICACION!$E$2:$E$500,MATCH("D6.22|"&amp;BY85,CODIFICACION!$F$2:$F$500,0))),"⚠"))</f>
        <v/>
      </c>
      <c r="AU85" t="str">
        <f>IF(BZ85="","",IFERROR(IF(INDEX(CODIFICACION!$E$2:$E$500,MATCH("D6.22a|"&amp;BZ85,CODIFICACION!$F$2:$F$500,0))="sin dato","",INDEX(CODIFICACION!$E$2:$E$500,MATCH("D6.22a|"&amp;BZ85,CODIFICACION!$F$2:$F$500,0))),"⚠"))</f>
        <v/>
      </c>
      <c r="AV85" t="str">
        <f>IF(CA85="","",IFERROR(IF(INDEX(CODIFICACION!$E$2:$E$500,MATCH("D6.22b|"&amp;CA85,CODIFICACION!$F$2:$F$500,0))="sin dato","",INDEX(CODIFICACION!$E$2:$E$500,MATCH("D6.22b|"&amp;CA85,CODIFICACION!$F$2:$F$500,0))),"⚠"))</f>
        <v/>
      </c>
      <c r="AW85" t="str">
        <f>IF(CB85="","",IFERROR(IF(INDEX(CODIFICACION!$E$2:$E$500,MATCH("D6.23|"&amp;CB85,CODIFICACION!$F$2:$F$500,0))="sin dato","",INDEX(CODIFICACION!$E$2:$E$500,MATCH("D6.23|"&amp;CB85,CODIFICACION!$F$2:$F$500,0))),"⚠"))</f>
        <v/>
      </c>
      <c r="AX85" t="str">
        <f ca="1">IF(CC85="","",IFERROR(IF(INDEX(CODIFICACION!$E$2:$E$500,MATCH("D6.24|"&amp;CC85,CODIFICACION!$F$2:$F$500,0))="sin dato","",INDEX(CODIFICACION!$E$2:$E$500,MATCH("D6.24|"&amp;CC85,CODIFICACION!$F$2:$F$500,0))),"⚠"))</f>
        <v/>
      </c>
      <c r="AY85" t="str">
        <f ca="1">IF(CD85="","",IFERROR(IF(INDEX(CODIFICACION!$E$2:$E$500,MATCH("D6.25|"&amp;CD85,CODIFICACION!$F$2:$F$500,0))="sin dato","",INDEX(CODIFICACION!$E$2:$E$500,MATCH("D6.25|"&amp;CD85,CODIFICACION!$F$2:$F$500,0))),"⚠"))</f>
        <v/>
      </c>
      <c r="AZ85" t="str">
        <f>IF(CE85="","",IFERROR(IF(INDEX(CODIFICACION!$E$2:$E$500,MATCH("D6.25a|"&amp;CE85,CODIFICACION!$F$2:$F$500,0))="sin dato","",INDEX(CODIFICACION!$E$2:$E$500,MATCH("D6.25a|"&amp;CE85,CODIFICACION!$F$2:$F$500,0))),"⚠"))</f>
        <v/>
      </c>
      <c r="BA85" t="str">
        <f>IF(CF85="","",IFERROR(IF(INDEX(CODIFICACION!$E$2:$E$500,MATCH("D6.25b|"&amp;CF85,CODIFICACION!$F$2:$F$500,0))="sin dato","",INDEX(CODIFICACION!$E$2:$E$500,MATCH("D6.25b|"&amp;CF85,CODIFICACION!$F$2:$F$500,0))),"⚠"))</f>
        <v/>
      </c>
      <c r="BB85" t="str">
        <f ca="1">IF(CG85="","",IFERROR(IF(INDEX(CODIFICACION!$E$2:$E$500,MATCH("D6.22c|"&amp;CG85,CODIFICACION!$F$2:$F$500,0))="sin dato","",INDEX(CODIFICACION!$E$2:$E$500,MATCH("D6.22c|"&amp;CG85,CODIFICACION!$F$2:$F$500,0))),"⚠"))</f>
        <v/>
      </c>
      <c r="BC85" t="str">
        <f ca="1">IF(CH85="","",IFERROR(IF(INDEX(CODIFICACION!$E$2:$E$500,MATCH("D7.26|"&amp;CH85,CODIFICACION!$F$2:$F$500,0))="sin dato","",INDEX(CODIFICACION!$E$2:$E$500,MATCH("D7.26|"&amp;CH85,CODIFICACION!$F$2:$F$500,0))),"⚠"))</f>
        <v/>
      </c>
      <c r="BD85" t="str">
        <f>IF(CI85="","",IFERROR(IF(INDEX(CODIFICACION!$E$2:$E$500,MATCH("D7.27|"&amp;CI85,CODIFICACION!$F$2:$F$500,0))="sin dato","",INDEX(CODIFICACION!$E$2:$E$500,MATCH("D7.27|"&amp;CI85,CODIFICACION!$F$2:$F$500,0))),"⚠"))</f>
        <v/>
      </c>
      <c r="BE85" t="str">
        <f>IF(CJ85="","",IFERROR(IF(INDEX(CODIFICACION!$E$2:$E$500,MATCH("D7.28|"&amp;CJ85,CODIFICACION!$F$2:$F$500,0))="sin dato","",INDEX(CODIFICACION!$E$2:$E$500,MATCH("D7.28|"&amp;CJ85,CODIFICACION!$F$2:$F$500,0))),"⚠"))</f>
        <v/>
      </c>
      <c r="BF85" t="str">
        <f>IF(CK85="","",IFERROR(IF(INDEX(CODIFICACION!$E$2:$E$500,MATCH("D7.28b|"&amp;CK85,CODIFICACION!$F$2:$F$500,0))="sin dato","",INDEX(CODIFICACION!$E$2:$E$500,MATCH("D7.28b|"&amp;CK85,CODIFICACION!$F$2:$F$500,0))),"⚠"))</f>
        <v/>
      </c>
      <c r="BG85" t="str">
        <f t="shared" si="60"/>
        <v/>
      </c>
      <c r="BH85" t="str">
        <f>IF(CM85="","",IFERROR(IF(INDEX(CODIFICACION!$E$2:$E$500,MATCH("D7.26a|"&amp;CM85,CODIFICACION!$F$2:$F$500,0))="sin dato","",INDEX(CODIFICACION!$E$2:$E$500,MATCH("D7.26a|"&amp;CM85,CODIFICACION!$F$2:$F$500,0))),"⚠"))</f>
        <v/>
      </c>
      <c r="BI85" t="str">
        <f>IF(CN85="","",IFERROR(IF(INDEX(CODIFICACION!$E$2:$E$500,MATCH("D7.26b|"&amp;CN85,CODIFICACION!$F$2:$F$500,0))="sin dato","",INDEX(CODIFICACION!$E$2:$E$500,MATCH("D7.26b|"&amp;CN85,CODIFICACION!$F$2:$F$500,0))),"⚠"))</f>
        <v/>
      </c>
      <c r="BJ85" t="str">
        <f t="shared" si="61"/>
        <v/>
      </c>
      <c r="BK85" t="str">
        <f t="shared" si="62"/>
        <v/>
      </c>
      <c r="BL85" t="str">
        <f>IF(CQ85="","",IFERROR(IF(INDEX(CODIFICACION!$E$2:$E$500,MATCH("D8.31|"&amp;CQ85,CODIFICACION!$F$2:$F$500,0))="sin dato","",INDEX(CODIFICACION!$E$2:$E$500,MATCH("D8.31|"&amp;CQ85,CODIFICACION!$F$2:$F$500,0))),"⚠"))</f>
        <v/>
      </c>
      <c r="BM85" t="str">
        <f>IF(CR85="","",IFERROR(IF(INDEX(CODIFICACION!$E$2:$E$500,MATCH("D8.32|"&amp;CR85,CODIFICACION!$F$2:$F$500,0))="sin dato","",INDEX(CODIFICACION!$E$2:$E$500,MATCH("D8.32|"&amp;CR85,CODIFICACION!$F$2:$F$500,0))),"⚠"))</f>
        <v/>
      </c>
      <c r="BN85" t="str">
        <f>IF(CS85="","",IFERROR(IF(INDEX(CODIFICACION!$E$2:$E$500,MATCH("D9.33|"&amp;CS85,CODIFICACION!$F$2:$F$500,0))="sin dato","",INDEX(CODIFICACION!$E$2:$E$500,MATCH("D9.33|"&amp;CS85,CODIFICACION!$F$2:$F$500,0))),"⚠"))</f>
        <v/>
      </c>
      <c r="BO85" t="str">
        <f>IF(CT85="","",IFERROR(IF(INDEX(CODIFICACION!$E$2:$E$500,MATCH("D9.34|"&amp;CT85,CODIFICACION!$F$2:$F$500,0))="sin dato","",INDEX(CODIFICACION!$E$2:$E$500,MATCH("D9.34|"&amp;CT85,CODIFICACION!$F$2:$F$500,0))),"⚠"))</f>
        <v/>
      </c>
      <c r="BP85" t="str">
        <f>IF(CU85="","",IFERROR(IF(INDEX(CODIFICACION!$E$2:$E$500,MATCH("D9.35|"&amp;CU85,CODIFICACION!$F$2:$F$500,0))="sin dato","",INDEX(CODIFICACION!$E$2:$E$500,MATCH("D9.35|"&amp;CU85,CODIFICACION!$F$2:$F$500,0))),"⚠"))</f>
        <v/>
      </c>
      <c r="BQ85" t="str">
        <f>IF(CV85="","",IFERROR(IF(INDEX(CODIFICACION!$E$2:$E$500,MATCH("D10.36|"&amp;CV85,CODIFICACION!$F$2:$F$500,0))="sin dato","",INDEX(CODIFICACION!$E$2:$E$500,MATCH("D10.36|"&amp;CV85,CODIFICACION!$F$2:$F$500,0))),"⚠"))</f>
        <v/>
      </c>
      <c r="BR85" t="str">
        <f>IF(CW85="","",IFERROR(IF(INDEX(CODIFICACION!$E$2:$E$500,MATCH("D10.37|"&amp;CW85,CODIFICACION!$F$2:$F$500,0))="sin dato","",INDEX(CODIFICACION!$E$2:$E$500,MATCH("D10.37|"&amp;CW85,CODIFICACION!$F$2:$F$500,0))),"⚠"))</f>
        <v/>
      </c>
      <c r="BS85" t="str">
        <f>IF(CX85="","",IFERROR(IF(INDEX(CODIFICACION!$E$2:$E$500,MATCH("D10.36a|"&amp;CX85,CODIFICACION!$F$2:$F$500,0))="sin dato","",INDEX(CODIFICACION!$E$2:$E$500,MATCH("D10.36a|"&amp;CX85,CODIFICACION!$F$2:$F$500,0))),"⚠"))</f>
        <v/>
      </c>
      <c r="BT85" t="str">
        <f t="shared" si="63"/>
        <v/>
      </c>
      <c r="BU85" t="str">
        <f>IF(DA85="","",IFERROR(IF(INDEX(CODIFICACION!$E$2:$E$500,MATCH("D11.39a|"&amp;DA85,CODIFICACION!$F$2:$F$500,0))="sin dato","",INDEX(CODIFICACION!$E$2:$E$500,MATCH("D11.39a|"&amp;DA85,CODIFICACION!$F$2:$F$500,0))),"⚠"))</f>
        <v/>
      </c>
      <c r="BV85" t="str">
        <f>IF(DB85="","",IFERROR(IF(INDEX(CODIFICACION!$E$2:$E$500,MATCH("D12.42|"&amp;DB85,CODIFICACION!$F$2:$F$500,0))="sin dato","",INDEX(CODIFICACION!$E$2:$E$500,MATCH("D12.42|"&amp;DB85,CODIFICACION!$F$2:$F$500,0))),"⚠"))</f>
        <v/>
      </c>
      <c r="BW85" t="str">
        <f>IF(DC85="","",IFERROR(IF(INDEX(CODIFICACION!$E$2:$E$500,MATCH("D13.45|"&amp;DC85,CODIFICACION!$F$2:$F$500,0))="sin dato","",INDEX(CODIFICACION!$E$2:$E$500,MATCH("D13.45|"&amp;DC85,CODIFICACION!$F$2:$F$500,0))),"⚠"))</f>
        <v/>
      </c>
      <c r="BX85" t="str">
        <f>IF(DD85="","",IFERROR(IF(INDEX(CODIFICACION!$E$2:$E$500,MATCH("D14.51|"&amp;DD85,CODIFICACION!$F$2:$F$500,0))="sin dato","",INDEX(CODIFICACION!$E$2:$E$500,MATCH("D14.51|"&amp;DD85,CODIFICACION!$F$2:$F$500,0))),"⚠"))</f>
        <v/>
      </c>
      <c r="BY85" t="str">
        <f>IF(DE85="","",IFERROR(IF(INDEX(CODIFICACION!$E$2:$E$500,MATCH("D15.58|"&amp;DE85,CODIFICACION!$F$2:$F$500,0))="sin dato","",INDEX(CODIFICACION!$E$2:$E$500,MATCH("D15.58|"&amp;DE85,CODIFICACION!$F$2:$F$500,0))),"⚠"))</f>
        <v/>
      </c>
      <c r="BZ85" t="str">
        <f>IF(DF85="","",IFERROR(IF(INDEX(CODIFICACION!$E$2:$E$500,MATCH("PP1|"&amp;DF85,CODIFICACION!$F$2:$F$500,0))="sin dato","",INDEX(CODIFICACION!$E$2:$E$500,MATCH("PP1|"&amp;DF85,CODIFICACION!$F$2:$F$500,0))),"⚠"))</f>
        <v/>
      </c>
      <c r="CA85" t="str">
        <f>IF(DG85="","",IFERROR(IF(INDEX(CODIFICACION!$E$2:$E$500,MATCH("PP2|"&amp;DG85,CODIFICACION!$F$2:$F$500,0))="sin dato","",INDEX(CODIFICACION!$E$2:$E$500,MATCH("PP2|"&amp;DG85,CODIFICACION!$F$2:$F$500,0))),"⚠"))</f>
        <v/>
      </c>
      <c r="CB85" t="str">
        <f t="shared" si="64"/>
        <v/>
      </c>
      <c r="CC85" t="str">
        <f t="shared" ca="1" si="65"/>
        <v/>
      </c>
      <c r="CD85" t="str">
        <f t="shared" ca="1" si="66"/>
        <v/>
      </c>
      <c r="CE85" t="str">
        <f t="shared" si="67"/>
        <v/>
      </c>
      <c r="CF85" t="str">
        <f t="shared" si="68"/>
        <v/>
      </c>
      <c r="CG85" t="str">
        <f t="shared" ca="1" si="69"/>
        <v/>
      </c>
      <c r="CH85" t="str">
        <f t="shared" ca="1" si="70"/>
        <v/>
      </c>
      <c r="CI85" t="str">
        <f t="shared" si="71"/>
        <v/>
      </c>
      <c r="CJ85" t="str">
        <f t="shared" si="72"/>
        <v/>
      </c>
      <c r="CK85" t="str">
        <f t="shared" si="73"/>
        <v/>
      </c>
      <c r="CL85" t="str">
        <f t="shared" si="74"/>
        <v/>
      </c>
    </row>
    <row r="86" spans="1:90" x14ac:dyDescent="0.3">
      <c r="A86">
        <f>CAPTURA!A86</f>
        <v>20568428375</v>
      </c>
      <c r="B86">
        <f>CAPTURA!C86</f>
        <v>0</v>
      </c>
      <c r="C86" t="str">
        <f t="shared" si="50"/>
        <v/>
      </c>
      <c r="D86" t="str">
        <f>IF(AE86="","",IFERROR(IF(INDEX(CODIFICACION!$E$2:$E$500,MATCH("P8|"&amp;AE86,CODIFICACION!$F$2:$F$500,0))="sin dato","",INDEX(CODIFICACION!$E$2:$E$500,MATCH("P8|"&amp;AE86,CODIFICACION!$F$2:$F$500,0))),"⚠"))</f>
        <v/>
      </c>
      <c r="E86" t="str">
        <f>IF(AG86="","",IFERROR(IF(INDEX(CODIFICACION!$E$2:$E$500,MATCH("P10|"&amp;AG86,CODIFICACION!$F$2:$F$500,0))="sin dato","",INDEX(CODIFICACION!$E$2:$E$500,MATCH("P10|"&amp;AG86,CODIFICACION!$F$2:$F$500,0))),"⚠"))</f>
        <v/>
      </c>
      <c r="F86" t="str">
        <f>IF(AJ86="","",IFERROR(IF(INDEX(CODIFICACION!$E$2:$E$500,MATCH("P13|"&amp;AJ86,CODIFICACION!$F$2:$F$500,0))="sin dato","",INDEX(CODIFICACION!$E$2:$E$500,MATCH("P13|"&amp;AJ86,CODIFICACION!$F$2:$F$500,0))),"⚠"))</f>
        <v/>
      </c>
      <c r="G86" t="str">
        <f>IF(AK86="","",IFERROR(IF(INDEX(CODIFICACION!$E$2:$E$500,MATCH("P14|"&amp;AK86,CODIFICACION!$F$2:$F$500,0))="sin dato","",INDEX(CODIFICACION!$E$2:$E$500,MATCH("P14|"&amp;AK86,CODIFICACION!$F$2:$F$500,0))),"⚠"))</f>
        <v/>
      </c>
      <c r="H86" t="str">
        <f>IF(AL86="","",IFERROR(IF(INDEX(CODIFICACION!$E$2:$E$500,MATCH("D1.1|"&amp;AL86,CODIFICACION!$F$2:$F$500,0))="sin dato","",INDEX(CODIFICACION!$E$2:$E$500,MATCH("D1.1|"&amp;AL86,CODIFICACION!$F$2:$F$500,0))),"⚠"))</f>
        <v/>
      </c>
      <c r="I86" t="str">
        <f>IF(AN86="","",IFERROR(IF(INDEX(CODIFICACION!$E$2:$E$500,MATCH("D1.3|"&amp;AN86,CODIFICACION!$F$2:$F$500,0))="sin dato","",INDEX(CODIFICACION!$E$2:$E$500,MATCH("D1.3|"&amp;AN86,CODIFICACION!$F$2:$F$500,0))),"⚠"))</f>
        <v/>
      </c>
      <c r="J86" t="str">
        <f>IF(AO86="","",IFERROR(IF(INDEX(CODIFICACION!$E$2:$E$500,MATCH("D1.4|"&amp;AO86,CODIFICACION!$F$2:$F$500,0))="sin dato","",INDEX(CODIFICACION!$E$2:$E$500,MATCH("D1.4|"&amp;AO86,CODIFICACION!$F$2:$F$500,0))),"⚠"))</f>
        <v/>
      </c>
      <c r="K86" t="str">
        <f>IF(AP86="","",IFERROR(IF(INDEX(CODIFICACION!$E$2:$E$500,MATCH("D1.3a|"&amp;AP86,CODIFICACION!$F$2:$F$500,0))="sin dato","",INDEX(CODIFICACION!$E$2:$E$500,MATCH("D1.3a|"&amp;AP86,CODIFICACION!$F$2:$F$500,0))),"⚠"))</f>
        <v/>
      </c>
      <c r="L86" t="str">
        <f t="shared" si="51"/>
        <v/>
      </c>
      <c r="M86" t="str">
        <f t="shared" si="52"/>
        <v/>
      </c>
      <c r="N86" t="str">
        <f t="shared" si="53"/>
        <v/>
      </c>
      <c r="O86" t="str">
        <f>IF(AT86="","",IFERROR(IF(INDEX(CODIFICACION!$E$2:$E$500,MATCH("D2.8|"&amp;AT86,CODIFICACION!$F$2:$F$500,0))="sin dato","",INDEX(CODIFICACION!$E$2:$E$500,MATCH("D2.8|"&amp;AT86,CODIFICACION!$F$2:$F$500,0))),"⚠"))</f>
        <v/>
      </c>
      <c r="P86" t="str">
        <f>IF(AU86="","",IFERROR(IF(INDEX(CODIFICACION!$E$2:$E$500,MATCH("D2.9|"&amp;AU86,CODIFICACION!$F$2:$F$500,0))="sin dato","",INDEX(CODIFICACION!$E$2:$E$500,MATCH("D2.9|"&amp;AU86,CODIFICACION!$F$2:$F$500,0))),"⚠"))</f>
        <v/>
      </c>
      <c r="Q86" t="str">
        <f>IF(AV86="","",IFERROR(IF(INDEX(CODIFICACION!$E$2:$E$500,MATCH("D2.10|"&amp;AV86,CODIFICACION!$F$2:$F$500,0))="sin dato","",INDEX(CODIFICACION!$E$2:$E$500,MATCH("D2.10|"&amp;AV86,CODIFICACION!$F$2:$F$500,0))),"⚠"))</f>
        <v/>
      </c>
      <c r="R86" t="str">
        <f>IF(AW86="","",IFERROR(IF(INDEX(CODIFICACION!$E$2:$E$500,MATCH("D2.5a|"&amp;AW86,CODIFICACION!$F$2:$F$500,0))="sin dato","",INDEX(CODIFICACION!$E$2:$E$500,MATCH("D2.5a|"&amp;AW86,CODIFICACION!$F$2:$F$500,0))),"⚠"))</f>
        <v/>
      </c>
      <c r="S86" t="str">
        <f ca="1">IF(AX86="","",IFERROR(IF(INDEX(CODIFICACION!$E$2:$E$500,MATCH("D2.5b|"&amp;AX86,CODIFICACION!$F$2:$F$500,0))="sin dato","",INDEX(CODIFICACION!$E$2:$E$500,MATCH("D2.5b|"&amp;AX86,CODIFICACION!$F$2:$F$500,0))),"⚠"))</f>
        <v/>
      </c>
      <c r="T86" t="str">
        <f t="shared" ca="1" si="54"/>
        <v/>
      </c>
      <c r="U86" t="str">
        <f>IF(AZ86="","",IFERROR(IF(INDEX(CODIFICACION!$E$2:$E$500,MATCH("D3.12|"&amp;AZ86,CODIFICACION!$F$2:$F$500,0))="sin dato","",INDEX(CODIFICACION!$E$2:$E$500,MATCH("D3.12|"&amp;AZ86,CODIFICACION!$F$2:$F$500,0))),"⚠"))</f>
        <v/>
      </c>
      <c r="V86" t="str">
        <f t="shared" si="55"/>
        <v/>
      </c>
      <c r="W86" t="str">
        <f ca="1">IF(BB86="","",IFERROR(IF(INDEX(CODIFICACION!$E$2:$E$500,MATCH("D3.14|"&amp;BB86,CODIFICACION!$F$2:$F$500,0))="sin dato","",INDEX(CODIFICACION!$E$2:$E$500,MATCH("D3.14|"&amp;BB86,CODIFICACION!$F$2:$F$500,0))),"⚠"))</f>
        <v/>
      </c>
      <c r="X86" t="str">
        <f ca="1">IF(BC86="","",IFERROR(IF(INDEX(CODIFICACION!$E$2:$E$500,MATCH("D3.14a|"&amp;BC86,CODIFICACION!$F$2:$F$500,0))="sin dato","",INDEX(CODIFICACION!$E$2:$E$500,MATCH("D3.14a|"&amp;BC86,CODIFICACION!$F$2:$F$500,0))),"⚠"))</f>
        <v/>
      </c>
      <c r="Y86" t="str">
        <f>IF(BD86="","",IFERROR(IF(INDEX(CODIFICACION!$E$2:$E$500,MATCH("D3.14b|"&amp;BD86,CODIFICACION!$F$2:$F$500,0))="sin dato","",INDEX(CODIFICACION!$E$2:$E$500,MATCH("D3.14b|"&amp;BD86,CODIFICACION!$F$2:$F$500,0))),"⚠"))</f>
        <v/>
      </c>
      <c r="Z86" t="str">
        <f>IF(BE86="","",IFERROR(IF(INDEX(CODIFICACION!$E$2:$E$500,MATCH("D3.14c|"&amp;BE86,CODIFICACION!$F$2:$F$500,0))="sin dato","",INDEX(CODIFICACION!$E$2:$E$500,MATCH("D3.14c|"&amp;BE86,CODIFICACION!$F$2:$F$500,0))),"⚠"))</f>
        <v/>
      </c>
      <c r="AA86" t="str">
        <f>IF(BF86="","",IFERROR(IF(INDEX(CODIFICACION!$E$2:$E$500,MATCH("D3.14d|"&amp;BF86,CODIFICACION!$F$2:$F$500,0))="sin dato","",INDEX(CODIFICACION!$E$2:$E$500,MATCH("D3.14d|"&amp;BF86,CODIFICACION!$F$2:$F$500,0))),"⚠"))</f>
        <v/>
      </c>
      <c r="AB86" t="str">
        <f>IF(BG86="","",IFERROR(IF(INDEX(CODIFICACION!$E$2:$E$500,MATCH("D3.14e|"&amp;BG86,CODIFICACION!$F$2:$F$500,0))="sin dato","",INDEX(CODIFICACION!$E$2:$E$500,MATCH("D3.14e|"&amp;BG86,CODIFICACION!$F$2:$F$500,0))),"⚠"))</f>
        <v/>
      </c>
      <c r="AC86" t="str">
        <f>IF(BH86="","",IFERROR(IF(INDEX(CODIFICACION!$E$2:$E$500,MATCH("D3.14f|"&amp;BH86,CODIFICACION!$F$2:$F$500,0))="sin dato","",INDEX(CODIFICACION!$E$2:$E$500,MATCH("D3.14f|"&amp;BH86,CODIFICACION!$F$2:$F$500,0))),"⚠"))</f>
        <v/>
      </c>
      <c r="AD86" t="str">
        <f>IF(BI86="","",IFERROR(IF(INDEX(CODIFICACION!$E$2:$E$500,MATCH("D3.14g|"&amp;BI86,CODIFICACION!$F$2:$F$500,0))="sin dato","",INDEX(CODIFICACION!$E$2:$E$500,MATCH("D3.14g|"&amp;BI86,CODIFICACION!$F$2:$F$500,0))),"⚠"))</f>
        <v/>
      </c>
      <c r="AE86" t="str">
        <f>IF(BJ86="","",IFERROR(IF(INDEX(CODIFICACION!$E$2:$E$500,MATCH("D3.14h|"&amp;BJ86,CODIFICACION!$F$2:$F$500,0))="sin dato","",INDEX(CODIFICACION!$E$2:$E$500,MATCH("D3.14h|"&amp;BJ86,CODIFICACION!$F$2:$F$500,0))),"⚠"))</f>
        <v/>
      </c>
      <c r="AF86" t="str">
        <f>IF(BK86="","",IFERROR(IF(INDEX(CODIFICACION!$E$2:$E$500,MATCH("D3.14i|"&amp;BK86,CODIFICACION!$F$2:$F$500,0))="sin dato","",INDEX(CODIFICACION!$E$2:$E$500,MATCH("D3.14i|"&amp;BK86,CODIFICACION!$F$2:$F$500,0))),"⚠"))</f>
        <v/>
      </c>
      <c r="AG86" t="str">
        <f>IF(BL86="","",IFERROR(IF(INDEX(CODIFICACION!$E$2:$E$500,MATCH("D4.15|"&amp;BL86,CODIFICACION!$F$2:$F$500,0))="sin dato","",INDEX(CODIFICACION!$E$2:$E$500,MATCH("D4.15|"&amp;BL86,CODIFICACION!$F$2:$F$500,0))),"⚠"))</f>
        <v/>
      </c>
      <c r="AH86" t="str">
        <f t="shared" si="56"/>
        <v/>
      </c>
      <c r="AI86" t="str">
        <f>IF(BN86="","",IFERROR(IF(INDEX(CODIFICACION!$E$2:$E$500,MATCH("D4.17|"&amp;BN86,CODIFICACION!$F$2:$F$500,0))="sin dato","",INDEX(CODIFICACION!$E$2:$E$500,MATCH("D4.17|"&amp;BN86,CODIFICACION!$F$2:$F$500,0))),"⚠"))</f>
        <v/>
      </c>
      <c r="AJ86" t="str">
        <f>IF(BO86="","",IFERROR(IF(INDEX(CODIFICACION!$E$2:$E$500,MATCH("D4.15a|"&amp;BO86,CODIFICACION!$F$2:$F$500,0))="sin dato","",INDEX(CODIFICACION!$E$2:$E$500,MATCH("D4.15a|"&amp;BO86,CODIFICACION!$F$2:$F$500,0))),"⚠"))</f>
        <v/>
      </c>
      <c r="AK86" t="str">
        <f t="shared" si="57"/>
        <v/>
      </c>
      <c r="AL86" t="str">
        <f t="shared" si="58"/>
        <v/>
      </c>
      <c r="AM86" t="str">
        <f>IF(BR86="","",IFERROR(IF(INDEX(CODIFICACION!$E$2:$E$500,MATCH("D5.18b|"&amp;BR86,CODIFICACION!$F$2:$F$500,0))="sin dato","",INDEX(CODIFICACION!$E$2:$E$500,MATCH("D5.18b|"&amp;BR86,CODIFICACION!$F$2:$F$500,0))),"⚠"))</f>
        <v/>
      </c>
      <c r="AN86" t="str">
        <f>IF(BS86="","",IFERROR(IF(INDEX(CODIFICACION!$E$2:$E$500,MATCH("D5.19|"&amp;BS86,CODIFICACION!$F$2:$F$500,0))="sin dato","",INDEX(CODIFICACION!$E$2:$E$500,MATCH("D5.19|"&amp;BS86,CODIFICACION!$F$2:$F$500,0))),"⚠"))</f>
        <v/>
      </c>
      <c r="AO86" t="str">
        <f t="shared" si="59"/>
        <v/>
      </c>
      <c r="AP86" t="str">
        <f>IF(BU86="","",IFERROR(IF(INDEX(CODIFICACION!$E$2:$E$500,MATCH("D5.20|"&amp;BU86,CODIFICACION!$F$2:$F$500,0))="sin dato","",INDEX(CODIFICACION!$E$2:$E$500,MATCH("D5.20|"&amp;BU86,CODIFICACION!$F$2:$F$500,0))),"⚠"))</f>
        <v/>
      </c>
      <c r="AQ86" t="str">
        <f>IF(BV86="","",IFERROR(IF(INDEX(CODIFICACION!$E$2:$E$500,MATCH("D5.21|"&amp;BV86,CODIFICACION!$F$2:$F$500,0))="sin dato","",INDEX(CODIFICACION!$E$2:$E$500,MATCH("D5.21|"&amp;BV86,CODIFICACION!$F$2:$F$500,0))),"⚠"))</f>
        <v/>
      </c>
      <c r="AR86" t="str">
        <f>IF(BW86="","",IFERROR(IF(INDEX(CODIFICACION!$E$2:$E$500,MATCH("D5.21a|"&amp;BW86,CODIFICACION!$F$2:$F$500,0))="sin dato","",INDEX(CODIFICACION!$E$2:$E$500,MATCH("D5.21a|"&amp;BW86,CODIFICACION!$F$2:$F$500,0))),"⚠"))</f>
        <v/>
      </c>
      <c r="AS86" t="str">
        <f>IF(BX86="","",IFERROR(IF(INDEX(CODIFICACION!$E$2:$E$500,MATCH("D5.21b|"&amp;BX86,CODIFICACION!$F$2:$F$500,0))="sin dato","",INDEX(CODIFICACION!$E$2:$E$500,MATCH("D5.21b|"&amp;BX86,CODIFICACION!$F$2:$F$500,0))),"⚠"))</f>
        <v/>
      </c>
      <c r="AT86" t="str">
        <f>IF(BY86="","",IFERROR(IF(INDEX(CODIFICACION!$E$2:$E$500,MATCH("D6.22|"&amp;BY86,CODIFICACION!$F$2:$F$500,0))="sin dato","",INDEX(CODIFICACION!$E$2:$E$500,MATCH("D6.22|"&amp;BY86,CODIFICACION!$F$2:$F$500,0))),"⚠"))</f>
        <v/>
      </c>
      <c r="AU86" t="str">
        <f>IF(BZ86="","",IFERROR(IF(INDEX(CODIFICACION!$E$2:$E$500,MATCH("D6.22a|"&amp;BZ86,CODIFICACION!$F$2:$F$500,0))="sin dato","",INDEX(CODIFICACION!$E$2:$E$500,MATCH("D6.22a|"&amp;BZ86,CODIFICACION!$F$2:$F$500,0))),"⚠"))</f>
        <v/>
      </c>
      <c r="AV86" t="str">
        <f>IF(CA86="","",IFERROR(IF(INDEX(CODIFICACION!$E$2:$E$500,MATCH("D6.22b|"&amp;CA86,CODIFICACION!$F$2:$F$500,0))="sin dato","",INDEX(CODIFICACION!$E$2:$E$500,MATCH("D6.22b|"&amp;CA86,CODIFICACION!$F$2:$F$500,0))),"⚠"))</f>
        <v/>
      </c>
      <c r="AW86" t="str">
        <f>IF(CB86="","",IFERROR(IF(INDEX(CODIFICACION!$E$2:$E$500,MATCH("D6.23|"&amp;CB86,CODIFICACION!$F$2:$F$500,0))="sin dato","",INDEX(CODIFICACION!$E$2:$E$500,MATCH("D6.23|"&amp;CB86,CODIFICACION!$F$2:$F$500,0))),"⚠"))</f>
        <v/>
      </c>
      <c r="AX86" t="str">
        <f ca="1">IF(CC86="","",IFERROR(IF(INDEX(CODIFICACION!$E$2:$E$500,MATCH("D6.24|"&amp;CC86,CODIFICACION!$F$2:$F$500,0))="sin dato","",INDEX(CODIFICACION!$E$2:$E$500,MATCH("D6.24|"&amp;CC86,CODIFICACION!$F$2:$F$500,0))),"⚠"))</f>
        <v/>
      </c>
      <c r="AY86" t="str">
        <f ca="1">IF(CD86="","",IFERROR(IF(INDEX(CODIFICACION!$E$2:$E$500,MATCH("D6.25|"&amp;CD86,CODIFICACION!$F$2:$F$500,0))="sin dato","",INDEX(CODIFICACION!$E$2:$E$500,MATCH("D6.25|"&amp;CD86,CODIFICACION!$F$2:$F$500,0))),"⚠"))</f>
        <v/>
      </c>
      <c r="AZ86" t="str">
        <f>IF(CE86="","",IFERROR(IF(INDEX(CODIFICACION!$E$2:$E$500,MATCH("D6.25a|"&amp;CE86,CODIFICACION!$F$2:$F$500,0))="sin dato","",INDEX(CODIFICACION!$E$2:$E$500,MATCH("D6.25a|"&amp;CE86,CODIFICACION!$F$2:$F$500,0))),"⚠"))</f>
        <v/>
      </c>
      <c r="BA86" t="str">
        <f>IF(CF86="","",IFERROR(IF(INDEX(CODIFICACION!$E$2:$E$500,MATCH("D6.25b|"&amp;CF86,CODIFICACION!$F$2:$F$500,0))="sin dato","",INDEX(CODIFICACION!$E$2:$E$500,MATCH("D6.25b|"&amp;CF86,CODIFICACION!$F$2:$F$500,0))),"⚠"))</f>
        <v/>
      </c>
      <c r="BB86" t="str">
        <f ca="1">IF(CG86="","",IFERROR(IF(INDEX(CODIFICACION!$E$2:$E$500,MATCH("D6.22c|"&amp;CG86,CODIFICACION!$F$2:$F$500,0))="sin dato","",INDEX(CODIFICACION!$E$2:$E$500,MATCH("D6.22c|"&amp;CG86,CODIFICACION!$F$2:$F$500,0))),"⚠"))</f>
        <v/>
      </c>
      <c r="BC86" t="str">
        <f ca="1">IF(CH86="","",IFERROR(IF(INDEX(CODIFICACION!$E$2:$E$500,MATCH("D7.26|"&amp;CH86,CODIFICACION!$F$2:$F$500,0))="sin dato","",INDEX(CODIFICACION!$E$2:$E$500,MATCH("D7.26|"&amp;CH86,CODIFICACION!$F$2:$F$500,0))),"⚠"))</f>
        <v/>
      </c>
      <c r="BD86" t="str">
        <f>IF(CI86="","",IFERROR(IF(INDEX(CODIFICACION!$E$2:$E$500,MATCH("D7.27|"&amp;CI86,CODIFICACION!$F$2:$F$500,0))="sin dato","",INDEX(CODIFICACION!$E$2:$E$500,MATCH("D7.27|"&amp;CI86,CODIFICACION!$F$2:$F$500,0))),"⚠"))</f>
        <v/>
      </c>
      <c r="BE86" t="str">
        <f>IF(CJ86="","",IFERROR(IF(INDEX(CODIFICACION!$E$2:$E$500,MATCH("D7.28|"&amp;CJ86,CODIFICACION!$F$2:$F$500,0))="sin dato","",INDEX(CODIFICACION!$E$2:$E$500,MATCH("D7.28|"&amp;CJ86,CODIFICACION!$F$2:$F$500,0))),"⚠"))</f>
        <v/>
      </c>
      <c r="BF86" t="str">
        <f>IF(CK86="","",IFERROR(IF(INDEX(CODIFICACION!$E$2:$E$500,MATCH("D7.28b|"&amp;CK86,CODIFICACION!$F$2:$F$500,0))="sin dato","",INDEX(CODIFICACION!$E$2:$E$500,MATCH("D7.28b|"&amp;CK86,CODIFICACION!$F$2:$F$500,0))),"⚠"))</f>
        <v/>
      </c>
      <c r="BG86" t="str">
        <f t="shared" si="60"/>
        <v/>
      </c>
      <c r="BH86" t="str">
        <f>IF(CM86="","",IFERROR(IF(INDEX(CODIFICACION!$E$2:$E$500,MATCH("D7.26a|"&amp;CM86,CODIFICACION!$F$2:$F$500,0))="sin dato","",INDEX(CODIFICACION!$E$2:$E$500,MATCH("D7.26a|"&amp;CM86,CODIFICACION!$F$2:$F$500,0))),"⚠"))</f>
        <v/>
      </c>
      <c r="BI86" t="str">
        <f>IF(CN86="","",IFERROR(IF(INDEX(CODIFICACION!$E$2:$E$500,MATCH("D7.26b|"&amp;CN86,CODIFICACION!$F$2:$F$500,0))="sin dato","",INDEX(CODIFICACION!$E$2:$E$500,MATCH("D7.26b|"&amp;CN86,CODIFICACION!$F$2:$F$500,0))),"⚠"))</f>
        <v/>
      </c>
      <c r="BJ86" t="str">
        <f t="shared" si="61"/>
        <v/>
      </c>
      <c r="BK86" t="str">
        <f t="shared" si="62"/>
        <v/>
      </c>
      <c r="BL86" t="str">
        <f>IF(CQ86="","",IFERROR(IF(INDEX(CODIFICACION!$E$2:$E$500,MATCH("D8.31|"&amp;CQ86,CODIFICACION!$F$2:$F$500,0))="sin dato","",INDEX(CODIFICACION!$E$2:$E$500,MATCH("D8.31|"&amp;CQ86,CODIFICACION!$F$2:$F$500,0))),"⚠"))</f>
        <v/>
      </c>
      <c r="BM86" t="str">
        <f>IF(CR86="","",IFERROR(IF(INDEX(CODIFICACION!$E$2:$E$500,MATCH("D8.32|"&amp;CR86,CODIFICACION!$F$2:$F$500,0))="sin dato","",INDEX(CODIFICACION!$E$2:$E$500,MATCH("D8.32|"&amp;CR86,CODIFICACION!$F$2:$F$500,0))),"⚠"))</f>
        <v/>
      </c>
      <c r="BN86" t="str">
        <f>IF(CS86="","",IFERROR(IF(INDEX(CODIFICACION!$E$2:$E$500,MATCH("D9.33|"&amp;CS86,CODIFICACION!$F$2:$F$500,0))="sin dato","",INDEX(CODIFICACION!$E$2:$E$500,MATCH("D9.33|"&amp;CS86,CODIFICACION!$F$2:$F$500,0))),"⚠"))</f>
        <v/>
      </c>
      <c r="BO86" t="str">
        <f>IF(CT86="","",IFERROR(IF(INDEX(CODIFICACION!$E$2:$E$500,MATCH("D9.34|"&amp;CT86,CODIFICACION!$F$2:$F$500,0))="sin dato","",INDEX(CODIFICACION!$E$2:$E$500,MATCH("D9.34|"&amp;CT86,CODIFICACION!$F$2:$F$500,0))),"⚠"))</f>
        <v/>
      </c>
      <c r="BP86" t="str">
        <f>IF(CU86="","",IFERROR(IF(INDEX(CODIFICACION!$E$2:$E$500,MATCH("D9.35|"&amp;CU86,CODIFICACION!$F$2:$F$500,0))="sin dato","",INDEX(CODIFICACION!$E$2:$E$500,MATCH("D9.35|"&amp;CU86,CODIFICACION!$F$2:$F$500,0))),"⚠"))</f>
        <v/>
      </c>
      <c r="BQ86" t="str">
        <f>IF(CV86="","",IFERROR(IF(INDEX(CODIFICACION!$E$2:$E$500,MATCH("D10.36|"&amp;CV86,CODIFICACION!$F$2:$F$500,0))="sin dato","",INDEX(CODIFICACION!$E$2:$E$500,MATCH("D10.36|"&amp;CV86,CODIFICACION!$F$2:$F$500,0))),"⚠"))</f>
        <v/>
      </c>
      <c r="BR86" t="str">
        <f>IF(CW86="","",IFERROR(IF(INDEX(CODIFICACION!$E$2:$E$500,MATCH("D10.37|"&amp;CW86,CODIFICACION!$F$2:$F$500,0))="sin dato","",INDEX(CODIFICACION!$E$2:$E$500,MATCH("D10.37|"&amp;CW86,CODIFICACION!$F$2:$F$500,0))),"⚠"))</f>
        <v/>
      </c>
      <c r="BS86" t="str">
        <f>IF(CX86="","",IFERROR(IF(INDEX(CODIFICACION!$E$2:$E$500,MATCH("D10.36a|"&amp;CX86,CODIFICACION!$F$2:$F$500,0))="sin dato","",INDEX(CODIFICACION!$E$2:$E$500,MATCH("D10.36a|"&amp;CX86,CODIFICACION!$F$2:$F$500,0))),"⚠"))</f>
        <v/>
      </c>
      <c r="BT86" t="str">
        <f t="shared" si="63"/>
        <v/>
      </c>
      <c r="BU86" t="str">
        <f>IF(DA86="","",IFERROR(IF(INDEX(CODIFICACION!$E$2:$E$500,MATCH("D11.39a|"&amp;DA86,CODIFICACION!$F$2:$F$500,0))="sin dato","",INDEX(CODIFICACION!$E$2:$E$500,MATCH("D11.39a|"&amp;DA86,CODIFICACION!$F$2:$F$500,0))),"⚠"))</f>
        <v/>
      </c>
      <c r="BV86" t="str">
        <f>IF(DB86="","",IFERROR(IF(INDEX(CODIFICACION!$E$2:$E$500,MATCH("D12.42|"&amp;DB86,CODIFICACION!$F$2:$F$500,0))="sin dato","",INDEX(CODIFICACION!$E$2:$E$500,MATCH("D12.42|"&amp;DB86,CODIFICACION!$F$2:$F$500,0))),"⚠"))</f>
        <v/>
      </c>
      <c r="BW86" t="str">
        <f>IF(DC86="","",IFERROR(IF(INDEX(CODIFICACION!$E$2:$E$500,MATCH("D13.45|"&amp;DC86,CODIFICACION!$F$2:$F$500,0))="sin dato","",INDEX(CODIFICACION!$E$2:$E$500,MATCH("D13.45|"&amp;DC86,CODIFICACION!$F$2:$F$500,0))),"⚠"))</f>
        <v/>
      </c>
      <c r="BX86" t="str">
        <f>IF(DD86="","",IFERROR(IF(INDEX(CODIFICACION!$E$2:$E$500,MATCH("D14.51|"&amp;DD86,CODIFICACION!$F$2:$F$500,0))="sin dato","",INDEX(CODIFICACION!$E$2:$E$500,MATCH("D14.51|"&amp;DD86,CODIFICACION!$F$2:$F$500,0))),"⚠"))</f>
        <v/>
      </c>
      <c r="BY86" t="str">
        <f>IF(DE86="","",IFERROR(IF(INDEX(CODIFICACION!$E$2:$E$500,MATCH("D15.58|"&amp;DE86,CODIFICACION!$F$2:$F$500,0))="sin dato","",INDEX(CODIFICACION!$E$2:$E$500,MATCH("D15.58|"&amp;DE86,CODIFICACION!$F$2:$F$500,0))),"⚠"))</f>
        <v/>
      </c>
      <c r="BZ86" t="str">
        <f>IF(DF86="","",IFERROR(IF(INDEX(CODIFICACION!$E$2:$E$500,MATCH("PP1|"&amp;DF86,CODIFICACION!$F$2:$F$500,0))="sin dato","",INDEX(CODIFICACION!$E$2:$E$500,MATCH("PP1|"&amp;DF86,CODIFICACION!$F$2:$F$500,0))),"⚠"))</f>
        <v/>
      </c>
      <c r="CA86" t="str">
        <f>IF(DG86="","",IFERROR(IF(INDEX(CODIFICACION!$E$2:$E$500,MATCH("PP2|"&amp;DG86,CODIFICACION!$F$2:$F$500,0))="sin dato","",INDEX(CODIFICACION!$E$2:$E$500,MATCH("PP2|"&amp;DG86,CODIFICACION!$F$2:$F$500,0))),"⚠"))</f>
        <v/>
      </c>
      <c r="CB86" t="str">
        <f t="shared" si="64"/>
        <v/>
      </c>
      <c r="CC86" t="str">
        <f t="shared" ca="1" si="65"/>
        <v/>
      </c>
      <c r="CD86" t="str">
        <f t="shared" ca="1" si="66"/>
        <v/>
      </c>
      <c r="CE86" t="str">
        <f t="shared" si="67"/>
        <v/>
      </c>
      <c r="CF86" t="str">
        <f t="shared" si="68"/>
        <v/>
      </c>
      <c r="CG86" t="str">
        <f t="shared" ca="1" si="69"/>
        <v/>
      </c>
      <c r="CH86" t="str">
        <f t="shared" ca="1" si="70"/>
        <v/>
      </c>
      <c r="CI86" t="str">
        <f t="shared" si="71"/>
        <v/>
      </c>
      <c r="CJ86" t="str">
        <f t="shared" si="72"/>
        <v/>
      </c>
      <c r="CK86" t="str">
        <f t="shared" si="73"/>
        <v/>
      </c>
      <c r="CL86" t="str">
        <f t="shared" si="74"/>
        <v/>
      </c>
    </row>
    <row r="87" spans="1:90" x14ac:dyDescent="0.3">
      <c r="A87">
        <f>CAPTURA!A87</f>
        <v>20568549083</v>
      </c>
      <c r="B87">
        <f>CAPTURA!C87</f>
        <v>0</v>
      </c>
      <c r="C87" t="str">
        <f t="shared" si="50"/>
        <v/>
      </c>
      <c r="D87" t="str">
        <f>IF(AE87="","",IFERROR(IF(INDEX(CODIFICACION!$E$2:$E$500,MATCH("P8|"&amp;AE87,CODIFICACION!$F$2:$F$500,0))="sin dato","",INDEX(CODIFICACION!$E$2:$E$500,MATCH("P8|"&amp;AE87,CODIFICACION!$F$2:$F$500,0))),"⚠"))</f>
        <v/>
      </c>
      <c r="E87" t="str">
        <f>IF(AG87="","",IFERROR(IF(INDEX(CODIFICACION!$E$2:$E$500,MATCH("P10|"&amp;AG87,CODIFICACION!$F$2:$F$500,0))="sin dato","",INDEX(CODIFICACION!$E$2:$E$500,MATCH("P10|"&amp;AG87,CODIFICACION!$F$2:$F$500,0))),"⚠"))</f>
        <v/>
      </c>
      <c r="F87" t="str">
        <f>IF(AJ87="","",IFERROR(IF(INDEX(CODIFICACION!$E$2:$E$500,MATCH("P13|"&amp;AJ87,CODIFICACION!$F$2:$F$500,0))="sin dato","",INDEX(CODIFICACION!$E$2:$E$500,MATCH("P13|"&amp;AJ87,CODIFICACION!$F$2:$F$500,0))),"⚠"))</f>
        <v/>
      </c>
      <c r="G87" t="str">
        <f>IF(AK87="","",IFERROR(IF(INDEX(CODIFICACION!$E$2:$E$500,MATCH("P14|"&amp;AK87,CODIFICACION!$F$2:$F$500,0))="sin dato","",INDEX(CODIFICACION!$E$2:$E$500,MATCH("P14|"&amp;AK87,CODIFICACION!$F$2:$F$500,0))),"⚠"))</f>
        <v/>
      </c>
      <c r="H87" t="str">
        <f>IF(AL87="","",IFERROR(IF(INDEX(CODIFICACION!$E$2:$E$500,MATCH("D1.1|"&amp;AL87,CODIFICACION!$F$2:$F$500,0))="sin dato","",INDEX(CODIFICACION!$E$2:$E$500,MATCH("D1.1|"&amp;AL87,CODIFICACION!$F$2:$F$500,0))),"⚠"))</f>
        <v/>
      </c>
      <c r="I87" t="str">
        <f>IF(AN87="","",IFERROR(IF(INDEX(CODIFICACION!$E$2:$E$500,MATCH("D1.3|"&amp;AN87,CODIFICACION!$F$2:$F$500,0))="sin dato","",INDEX(CODIFICACION!$E$2:$E$500,MATCH("D1.3|"&amp;AN87,CODIFICACION!$F$2:$F$500,0))),"⚠"))</f>
        <v/>
      </c>
      <c r="J87" t="str">
        <f>IF(AO87="","",IFERROR(IF(INDEX(CODIFICACION!$E$2:$E$500,MATCH("D1.4|"&amp;AO87,CODIFICACION!$F$2:$F$500,0))="sin dato","",INDEX(CODIFICACION!$E$2:$E$500,MATCH("D1.4|"&amp;AO87,CODIFICACION!$F$2:$F$500,0))),"⚠"))</f>
        <v/>
      </c>
      <c r="K87" t="str">
        <f>IF(AP87="","",IFERROR(IF(INDEX(CODIFICACION!$E$2:$E$500,MATCH("D1.3a|"&amp;AP87,CODIFICACION!$F$2:$F$500,0))="sin dato","",INDEX(CODIFICACION!$E$2:$E$500,MATCH("D1.3a|"&amp;AP87,CODIFICACION!$F$2:$F$500,0))),"⚠"))</f>
        <v/>
      </c>
      <c r="L87" t="str">
        <f t="shared" si="51"/>
        <v/>
      </c>
      <c r="M87" t="str">
        <f t="shared" si="52"/>
        <v/>
      </c>
      <c r="N87" t="str">
        <f t="shared" si="53"/>
        <v/>
      </c>
      <c r="O87" t="str">
        <f>IF(AT87="","",IFERROR(IF(INDEX(CODIFICACION!$E$2:$E$500,MATCH("D2.8|"&amp;AT87,CODIFICACION!$F$2:$F$500,0))="sin dato","",INDEX(CODIFICACION!$E$2:$E$500,MATCH("D2.8|"&amp;AT87,CODIFICACION!$F$2:$F$500,0))),"⚠"))</f>
        <v/>
      </c>
      <c r="P87" t="str">
        <f>IF(AU87="","",IFERROR(IF(INDEX(CODIFICACION!$E$2:$E$500,MATCH("D2.9|"&amp;AU87,CODIFICACION!$F$2:$F$500,0))="sin dato","",INDEX(CODIFICACION!$E$2:$E$500,MATCH("D2.9|"&amp;AU87,CODIFICACION!$F$2:$F$500,0))),"⚠"))</f>
        <v/>
      </c>
      <c r="Q87" t="str">
        <f>IF(AV87="","",IFERROR(IF(INDEX(CODIFICACION!$E$2:$E$500,MATCH("D2.10|"&amp;AV87,CODIFICACION!$F$2:$F$500,0))="sin dato","",INDEX(CODIFICACION!$E$2:$E$500,MATCH("D2.10|"&amp;AV87,CODIFICACION!$F$2:$F$500,0))),"⚠"))</f>
        <v/>
      </c>
      <c r="R87" t="str">
        <f>IF(AW87="","",IFERROR(IF(INDEX(CODIFICACION!$E$2:$E$500,MATCH("D2.5a|"&amp;AW87,CODIFICACION!$F$2:$F$500,0))="sin dato","",INDEX(CODIFICACION!$E$2:$E$500,MATCH("D2.5a|"&amp;AW87,CODIFICACION!$F$2:$F$500,0))),"⚠"))</f>
        <v/>
      </c>
      <c r="S87" t="str">
        <f ca="1">IF(AX87="","",IFERROR(IF(INDEX(CODIFICACION!$E$2:$E$500,MATCH("D2.5b|"&amp;AX87,CODIFICACION!$F$2:$F$500,0))="sin dato","",INDEX(CODIFICACION!$E$2:$E$500,MATCH("D2.5b|"&amp;AX87,CODIFICACION!$F$2:$F$500,0))),"⚠"))</f>
        <v/>
      </c>
      <c r="T87" t="str">
        <f t="shared" ca="1" si="54"/>
        <v/>
      </c>
      <c r="U87" t="str">
        <f>IF(AZ87="","",IFERROR(IF(INDEX(CODIFICACION!$E$2:$E$500,MATCH("D3.12|"&amp;AZ87,CODIFICACION!$F$2:$F$500,0))="sin dato","",INDEX(CODIFICACION!$E$2:$E$500,MATCH("D3.12|"&amp;AZ87,CODIFICACION!$F$2:$F$500,0))),"⚠"))</f>
        <v/>
      </c>
      <c r="V87" t="str">
        <f t="shared" si="55"/>
        <v/>
      </c>
      <c r="W87" t="str">
        <f ca="1">IF(BB87="","",IFERROR(IF(INDEX(CODIFICACION!$E$2:$E$500,MATCH("D3.14|"&amp;BB87,CODIFICACION!$F$2:$F$500,0))="sin dato","",INDEX(CODIFICACION!$E$2:$E$500,MATCH("D3.14|"&amp;BB87,CODIFICACION!$F$2:$F$500,0))),"⚠"))</f>
        <v/>
      </c>
      <c r="X87" t="str">
        <f ca="1">IF(BC87="","",IFERROR(IF(INDEX(CODIFICACION!$E$2:$E$500,MATCH("D3.14a|"&amp;BC87,CODIFICACION!$F$2:$F$500,0))="sin dato","",INDEX(CODIFICACION!$E$2:$E$500,MATCH("D3.14a|"&amp;BC87,CODIFICACION!$F$2:$F$500,0))),"⚠"))</f>
        <v/>
      </c>
      <c r="Y87" t="str">
        <f>IF(BD87="","",IFERROR(IF(INDEX(CODIFICACION!$E$2:$E$500,MATCH("D3.14b|"&amp;BD87,CODIFICACION!$F$2:$F$500,0))="sin dato","",INDEX(CODIFICACION!$E$2:$E$500,MATCH("D3.14b|"&amp;BD87,CODIFICACION!$F$2:$F$500,0))),"⚠"))</f>
        <v/>
      </c>
      <c r="Z87" t="str">
        <f>IF(BE87="","",IFERROR(IF(INDEX(CODIFICACION!$E$2:$E$500,MATCH("D3.14c|"&amp;BE87,CODIFICACION!$F$2:$F$500,0))="sin dato","",INDEX(CODIFICACION!$E$2:$E$500,MATCH("D3.14c|"&amp;BE87,CODIFICACION!$F$2:$F$500,0))),"⚠"))</f>
        <v/>
      </c>
      <c r="AA87" t="str">
        <f>IF(BF87="","",IFERROR(IF(INDEX(CODIFICACION!$E$2:$E$500,MATCH("D3.14d|"&amp;BF87,CODIFICACION!$F$2:$F$500,0))="sin dato","",INDEX(CODIFICACION!$E$2:$E$500,MATCH("D3.14d|"&amp;BF87,CODIFICACION!$F$2:$F$500,0))),"⚠"))</f>
        <v/>
      </c>
      <c r="AB87" t="str">
        <f>IF(BG87="","",IFERROR(IF(INDEX(CODIFICACION!$E$2:$E$500,MATCH("D3.14e|"&amp;BG87,CODIFICACION!$F$2:$F$500,0))="sin dato","",INDEX(CODIFICACION!$E$2:$E$500,MATCH("D3.14e|"&amp;BG87,CODIFICACION!$F$2:$F$500,0))),"⚠"))</f>
        <v/>
      </c>
      <c r="AC87" t="str">
        <f>IF(BH87="","",IFERROR(IF(INDEX(CODIFICACION!$E$2:$E$500,MATCH("D3.14f|"&amp;BH87,CODIFICACION!$F$2:$F$500,0))="sin dato","",INDEX(CODIFICACION!$E$2:$E$500,MATCH("D3.14f|"&amp;BH87,CODIFICACION!$F$2:$F$500,0))),"⚠"))</f>
        <v/>
      </c>
      <c r="AD87" t="str">
        <f>IF(BI87="","",IFERROR(IF(INDEX(CODIFICACION!$E$2:$E$500,MATCH("D3.14g|"&amp;BI87,CODIFICACION!$F$2:$F$500,0))="sin dato","",INDEX(CODIFICACION!$E$2:$E$500,MATCH("D3.14g|"&amp;BI87,CODIFICACION!$F$2:$F$500,0))),"⚠"))</f>
        <v/>
      </c>
      <c r="AE87" t="str">
        <f>IF(BJ87="","",IFERROR(IF(INDEX(CODIFICACION!$E$2:$E$500,MATCH("D3.14h|"&amp;BJ87,CODIFICACION!$F$2:$F$500,0))="sin dato","",INDEX(CODIFICACION!$E$2:$E$500,MATCH("D3.14h|"&amp;BJ87,CODIFICACION!$F$2:$F$500,0))),"⚠"))</f>
        <v/>
      </c>
      <c r="AF87" t="str">
        <f>IF(BK87="","",IFERROR(IF(INDEX(CODIFICACION!$E$2:$E$500,MATCH("D3.14i|"&amp;BK87,CODIFICACION!$F$2:$F$500,0))="sin dato","",INDEX(CODIFICACION!$E$2:$E$500,MATCH("D3.14i|"&amp;BK87,CODIFICACION!$F$2:$F$500,0))),"⚠"))</f>
        <v/>
      </c>
      <c r="AG87" t="str">
        <f>IF(BL87="","",IFERROR(IF(INDEX(CODIFICACION!$E$2:$E$500,MATCH("D4.15|"&amp;BL87,CODIFICACION!$F$2:$F$500,0))="sin dato","",INDEX(CODIFICACION!$E$2:$E$500,MATCH("D4.15|"&amp;BL87,CODIFICACION!$F$2:$F$500,0))),"⚠"))</f>
        <v/>
      </c>
      <c r="AH87" t="str">
        <f t="shared" si="56"/>
        <v/>
      </c>
      <c r="AI87" t="str">
        <f>IF(BN87="","",IFERROR(IF(INDEX(CODIFICACION!$E$2:$E$500,MATCH("D4.17|"&amp;BN87,CODIFICACION!$F$2:$F$500,0))="sin dato","",INDEX(CODIFICACION!$E$2:$E$500,MATCH("D4.17|"&amp;BN87,CODIFICACION!$F$2:$F$500,0))),"⚠"))</f>
        <v/>
      </c>
      <c r="AJ87" t="str">
        <f>IF(BO87="","",IFERROR(IF(INDEX(CODIFICACION!$E$2:$E$500,MATCH("D4.15a|"&amp;BO87,CODIFICACION!$F$2:$F$500,0))="sin dato","",INDEX(CODIFICACION!$E$2:$E$500,MATCH("D4.15a|"&amp;BO87,CODIFICACION!$F$2:$F$500,0))),"⚠"))</f>
        <v/>
      </c>
      <c r="AK87" t="str">
        <f t="shared" si="57"/>
        <v/>
      </c>
      <c r="AL87" t="str">
        <f t="shared" si="58"/>
        <v/>
      </c>
      <c r="AM87" t="str">
        <f>IF(BR87="","",IFERROR(IF(INDEX(CODIFICACION!$E$2:$E$500,MATCH("D5.18b|"&amp;BR87,CODIFICACION!$F$2:$F$500,0))="sin dato","",INDEX(CODIFICACION!$E$2:$E$500,MATCH("D5.18b|"&amp;BR87,CODIFICACION!$F$2:$F$500,0))),"⚠"))</f>
        <v/>
      </c>
      <c r="AN87" t="str">
        <f>IF(BS87="","",IFERROR(IF(INDEX(CODIFICACION!$E$2:$E$500,MATCH("D5.19|"&amp;BS87,CODIFICACION!$F$2:$F$500,0))="sin dato","",INDEX(CODIFICACION!$E$2:$E$500,MATCH("D5.19|"&amp;BS87,CODIFICACION!$F$2:$F$500,0))),"⚠"))</f>
        <v/>
      </c>
      <c r="AO87" t="str">
        <f t="shared" si="59"/>
        <v/>
      </c>
      <c r="AP87" t="str">
        <f>IF(BU87="","",IFERROR(IF(INDEX(CODIFICACION!$E$2:$E$500,MATCH("D5.20|"&amp;BU87,CODIFICACION!$F$2:$F$500,0))="sin dato","",INDEX(CODIFICACION!$E$2:$E$500,MATCH("D5.20|"&amp;BU87,CODIFICACION!$F$2:$F$500,0))),"⚠"))</f>
        <v/>
      </c>
      <c r="AQ87" t="str">
        <f>IF(BV87="","",IFERROR(IF(INDEX(CODIFICACION!$E$2:$E$500,MATCH("D5.21|"&amp;BV87,CODIFICACION!$F$2:$F$500,0))="sin dato","",INDEX(CODIFICACION!$E$2:$E$500,MATCH("D5.21|"&amp;BV87,CODIFICACION!$F$2:$F$500,0))),"⚠"))</f>
        <v/>
      </c>
      <c r="AR87" t="str">
        <f>IF(BW87="","",IFERROR(IF(INDEX(CODIFICACION!$E$2:$E$500,MATCH("D5.21a|"&amp;BW87,CODIFICACION!$F$2:$F$500,0))="sin dato","",INDEX(CODIFICACION!$E$2:$E$500,MATCH("D5.21a|"&amp;BW87,CODIFICACION!$F$2:$F$500,0))),"⚠"))</f>
        <v/>
      </c>
      <c r="AS87" t="str">
        <f>IF(BX87="","",IFERROR(IF(INDEX(CODIFICACION!$E$2:$E$500,MATCH("D5.21b|"&amp;BX87,CODIFICACION!$F$2:$F$500,0))="sin dato","",INDEX(CODIFICACION!$E$2:$E$500,MATCH("D5.21b|"&amp;BX87,CODIFICACION!$F$2:$F$500,0))),"⚠"))</f>
        <v/>
      </c>
      <c r="AT87" t="str">
        <f>IF(BY87="","",IFERROR(IF(INDEX(CODIFICACION!$E$2:$E$500,MATCH("D6.22|"&amp;BY87,CODIFICACION!$F$2:$F$500,0))="sin dato","",INDEX(CODIFICACION!$E$2:$E$500,MATCH("D6.22|"&amp;BY87,CODIFICACION!$F$2:$F$500,0))),"⚠"))</f>
        <v/>
      </c>
      <c r="AU87" t="str">
        <f>IF(BZ87="","",IFERROR(IF(INDEX(CODIFICACION!$E$2:$E$500,MATCH("D6.22a|"&amp;BZ87,CODIFICACION!$F$2:$F$500,0))="sin dato","",INDEX(CODIFICACION!$E$2:$E$500,MATCH("D6.22a|"&amp;BZ87,CODIFICACION!$F$2:$F$500,0))),"⚠"))</f>
        <v/>
      </c>
      <c r="AV87" t="str">
        <f>IF(CA87="","",IFERROR(IF(INDEX(CODIFICACION!$E$2:$E$500,MATCH("D6.22b|"&amp;CA87,CODIFICACION!$F$2:$F$500,0))="sin dato","",INDEX(CODIFICACION!$E$2:$E$500,MATCH("D6.22b|"&amp;CA87,CODIFICACION!$F$2:$F$500,0))),"⚠"))</f>
        <v/>
      </c>
      <c r="AW87" t="str">
        <f>IF(CB87="","",IFERROR(IF(INDEX(CODIFICACION!$E$2:$E$500,MATCH("D6.23|"&amp;CB87,CODIFICACION!$F$2:$F$500,0))="sin dato","",INDEX(CODIFICACION!$E$2:$E$500,MATCH("D6.23|"&amp;CB87,CODIFICACION!$F$2:$F$500,0))),"⚠"))</f>
        <v/>
      </c>
      <c r="AX87" t="str">
        <f ca="1">IF(CC87="","",IFERROR(IF(INDEX(CODIFICACION!$E$2:$E$500,MATCH("D6.24|"&amp;CC87,CODIFICACION!$F$2:$F$500,0))="sin dato","",INDEX(CODIFICACION!$E$2:$E$500,MATCH("D6.24|"&amp;CC87,CODIFICACION!$F$2:$F$500,0))),"⚠"))</f>
        <v/>
      </c>
      <c r="AY87" t="str">
        <f ca="1">IF(CD87="","",IFERROR(IF(INDEX(CODIFICACION!$E$2:$E$500,MATCH("D6.25|"&amp;CD87,CODIFICACION!$F$2:$F$500,0))="sin dato","",INDEX(CODIFICACION!$E$2:$E$500,MATCH("D6.25|"&amp;CD87,CODIFICACION!$F$2:$F$500,0))),"⚠"))</f>
        <v/>
      </c>
      <c r="AZ87" t="str">
        <f>IF(CE87="","",IFERROR(IF(INDEX(CODIFICACION!$E$2:$E$500,MATCH("D6.25a|"&amp;CE87,CODIFICACION!$F$2:$F$500,0))="sin dato","",INDEX(CODIFICACION!$E$2:$E$500,MATCH("D6.25a|"&amp;CE87,CODIFICACION!$F$2:$F$500,0))),"⚠"))</f>
        <v/>
      </c>
      <c r="BA87" t="str">
        <f>IF(CF87="","",IFERROR(IF(INDEX(CODIFICACION!$E$2:$E$500,MATCH("D6.25b|"&amp;CF87,CODIFICACION!$F$2:$F$500,0))="sin dato","",INDEX(CODIFICACION!$E$2:$E$500,MATCH("D6.25b|"&amp;CF87,CODIFICACION!$F$2:$F$500,0))),"⚠"))</f>
        <v/>
      </c>
      <c r="BB87" t="str">
        <f ca="1">IF(CG87="","",IFERROR(IF(INDEX(CODIFICACION!$E$2:$E$500,MATCH("D6.22c|"&amp;CG87,CODIFICACION!$F$2:$F$500,0))="sin dato","",INDEX(CODIFICACION!$E$2:$E$500,MATCH("D6.22c|"&amp;CG87,CODIFICACION!$F$2:$F$500,0))),"⚠"))</f>
        <v/>
      </c>
      <c r="BC87" t="str">
        <f ca="1">IF(CH87="","",IFERROR(IF(INDEX(CODIFICACION!$E$2:$E$500,MATCH("D7.26|"&amp;CH87,CODIFICACION!$F$2:$F$500,0))="sin dato","",INDEX(CODIFICACION!$E$2:$E$500,MATCH("D7.26|"&amp;CH87,CODIFICACION!$F$2:$F$500,0))),"⚠"))</f>
        <v/>
      </c>
      <c r="BD87" t="str">
        <f>IF(CI87="","",IFERROR(IF(INDEX(CODIFICACION!$E$2:$E$500,MATCH("D7.27|"&amp;CI87,CODIFICACION!$F$2:$F$500,0))="sin dato","",INDEX(CODIFICACION!$E$2:$E$500,MATCH("D7.27|"&amp;CI87,CODIFICACION!$F$2:$F$500,0))),"⚠"))</f>
        <v/>
      </c>
      <c r="BE87" t="str">
        <f>IF(CJ87="","",IFERROR(IF(INDEX(CODIFICACION!$E$2:$E$500,MATCH("D7.28|"&amp;CJ87,CODIFICACION!$F$2:$F$500,0))="sin dato","",INDEX(CODIFICACION!$E$2:$E$500,MATCH("D7.28|"&amp;CJ87,CODIFICACION!$F$2:$F$500,0))),"⚠"))</f>
        <v/>
      </c>
      <c r="BF87" t="str">
        <f>IF(CK87="","",IFERROR(IF(INDEX(CODIFICACION!$E$2:$E$500,MATCH("D7.28b|"&amp;CK87,CODIFICACION!$F$2:$F$500,0))="sin dato","",INDEX(CODIFICACION!$E$2:$E$500,MATCH("D7.28b|"&amp;CK87,CODIFICACION!$F$2:$F$500,0))),"⚠"))</f>
        <v/>
      </c>
      <c r="BG87" t="str">
        <f t="shared" si="60"/>
        <v/>
      </c>
      <c r="BH87" t="str">
        <f>IF(CM87="","",IFERROR(IF(INDEX(CODIFICACION!$E$2:$E$500,MATCH("D7.26a|"&amp;CM87,CODIFICACION!$F$2:$F$500,0))="sin dato","",INDEX(CODIFICACION!$E$2:$E$500,MATCH("D7.26a|"&amp;CM87,CODIFICACION!$F$2:$F$500,0))),"⚠"))</f>
        <v/>
      </c>
      <c r="BI87" t="str">
        <f>IF(CN87="","",IFERROR(IF(INDEX(CODIFICACION!$E$2:$E$500,MATCH("D7.26b|"&amp;CN87,CODIFICACION!$F$2:$F$500,0))="sin dato","",INDEX(CODIFICACION!$E$2:$E$500,MATCH("D7.26b|"&amp;CN87,CODIFICACION!$F$2:$F$500,0))),"⚠"))</f>
        <v/>
      </c>
      <c r="BJ87" t="str">
        <f t="shared" si="61"/>
        <v/>
      </c>
      <c r="BK87" t="str">
        <f t="shared" si="62"/>
        <v/>
      </c>
      <c r="BL87" t="str">
        <f>IF(CQ87="","",IFERROR(IF(INDEX(CODIFICACION!$E$2:$E$500,MATCH("D8.31|"&amp;CQ87,CODIFICACION!$F$2:$F$500,0))="sin dato","",INDEX(CODIFICACION!$E$2:$E$500,MATCH("D8.31|"&amp;CQ87,CODIFICACION!$F$2:$F$500,0))),"⚠"))</f>
        <v/>
      </c>
      <c r="BM87" t="str">
        <f>IF(CR87="","",IFERROR(IF(INDEX(CODIFICACION!$E$2:$E$500,MATCH("D8.32|"&amp;CR87,CODIFICACION!$F$2:$F$500,0))="sin dato","",INDEX(CODIFICACION!$E$2:$E$500,MATCH("D8.32|"&amp;CR87,CODIFICACION!$F$2:$F$500,0))),"⚠"))</f>
        <v/>
      </c>
      <c r="BN87" t="str">
        <f>IF(CS87="","",IFERROR(IF(INDEX(CODIFICACION!$E$2:$E$500,MATCH("D9.33|"&amp;CS87,CODIFICACION!$F$2:$F$500,0))="sin dato","",INDEX(CODIFICACION!$E$2:$E$500,MATCH("D9.33|"&amp;CS87,CODIFICACION!$F$2:$F$500,0))),"⚠"))</f>
        <v/>
      </c>
      <c r="BO87" t="str">
        <f>IF(CT87="","",IFERROR(IF(INDEX(CODIFICACION!$E$2:$E$500,MATCH("D9.34|"&amp;CT87,CODIFICACION!$F$2:$F$500,0))="sin dato","",INDEX(CODIFICACION!$E$2:$E$500,MATCH("D9.34|"&amp;CT87,CODIFICACION!$F$2:$F$500,0))),"⚠"))</f>
        <v/>
      </c>
      <c r="BP87" t="str">
        <f>IF(CU87="","",IFERROR(IF(INDEX(CODIFICACION!$E$2:$E$500,MATCH("D9.35|"&amp;CU87,CODIFICACION!$F$2:$F$500,0))="sin dato","",INDEX(CODIFICACION!$E$2:$E$500,MATCH("D9.35|"&amp;CU87,CODIFICACION!$F$2:$F$500,0))),"⚠"))</f>
        <v/>
      </c>
      <c r="BQ87" t="str">
        <f>IF(CV87="","",IFERROR(IF(INDEX(CODIFICACION!$E$2:$E$500,MATCH("D10.36|"&amp;CV87,CODIFICACION!$F$2:$F$500,0))="sin dato","",INDEX(CODIFICACION!$E$2:$E$500,MATCH("D10.36|"&amp;CV87,CODIFICACION!$F$2:$F$500,0))),"⚠"))</f>
        <v/>
      </c>
      <c r="BR87" t="str">
        <f>IF(CW87="","",IFERROR(IF(INDEX(CODIFICACION!$E$2:$E$500,MATCH("D10.37|"&amp;CW87,CODIFICACION!$F$2:$F$500,0))="sin dato","",INDEX(CODIFICACION!$E$2:$E$500,MATCH("D10.37|"&amp;CW87,CODIFICACION!$F$2:$F$500,0))),"⚠"))</f>
        <v/>
      </c>
      <c r="BS87" t="str">
        <f>IF(CX87="","",IFERROR(IF(INDEX(CODIFICACION!$E$2:$E$500,MATCH("D10.36a|"&amp;CX87,CODIFICACION!$F$2:$F$500,0))="sin dato","",INDEX(CODIFICACION!$E$2:$E$500,MATCH("D10.36a|"&amp;CX87,CODIFICACION!$F$2:$F$500,0))),"⚠"))</f>
        <v/>
      </c>
      <c r="BT87" t="str">
        <f t="shared" si="63"/>
        <v/>
      </c>
      <c r="BU87" t="str">
        <f>IF(DA87="","",IFERROR(IF(INDEX(CODIFICACION!$E$2:$E$500,MATCH("D11.39a|"&amp;DA87,CODIFICACION!$F$2:$F$500,0))="sin dato","",INDEX(CODIFICACION!$E$2:$E$500,MATCH("D11.39a|"&amp;DA87,CODIFICACION!$F$2:$F$500,0))),"⚠"))</f>
        <v/>
      </c>
      <c r="BV87" t="str">
        <f>IF(DB87="","",IFERROR(IF(INDEX(CODIFICACION!$E$2:$E$500,MATCH("D12.42|"&amp;DB87,CODIFICACION!$F$2:$F$500,0))="sin dato","",INDEX(CODIFICACION!$E$2:$E$500,MATCH("D12.42|"&amp;DB87,CODIFICACION!$F$2:$F$500,0))),"⚠"))</f>
        <v/>
      </c>
      <c r="BW87" t="str">
        <f>IF(DC87="","",IFERROR(IF(INDEX(CODIFICACION!$E$2:$E$500,MATCH("D13.45|"&amp;DC87,CODIFICACION!$F$2:$F$500,0))="sin dato","",INDEX(CODIFICACION!$E$2:$E$500,MATCH("D13.45|"&amp;DC87,CODIFICACION!$F$2:$F$500,0))),"⚠"))</f>
        <v/>
      </c>
      <c r="BX87" t="str">
        <f>IF(DD87="","",IFERROR(IF(INDEX(CODIFICACION!$E$2:$E$500,MATCH("D14.51|"&amp;DD87,CODIFICACION!$F$2:$F$500,0))="sin dato","",INDEX(CODIFICACION!$E$2:$E$500,MATCH("D14.51|"&amp;DD87,CODIFICACION!$F$2:$F$500,0))),"⚠"))</f>
        <v/>
      </c>
      <c r="BY87" t="str">
        <f>IF(DE87="","",IFERROR(IF(INDEX(CODIFICACION!$E$2:$E$500,MATCH("D15.58|"&amp;DE87,CODIFICACION!$F$2:$F$500,0))="sin dato","",INDEX(CODIFICACION!$E$2:$E$500,MATCH("D15.58|"&amp;DE87,CODIFICACION!$F$2:$F$500,0))),"⚠"))</f>
        <v/>
      </c>
      <c r="BZ87" t="str">
        <f>IF(DF87="","",IFERROR(IF(INDEX(CODIFICACION!$E$2:$E$500,MATCH("PP1|"&amp;DF87,CODIFICACION!$F$2:$F$500,0))="sin dato","",INDEX(CODIFICACION!$E$2:$E$500,MATCH("PP1|"&amp;DF87,CODIFICACION!$F$2:$F$500,0))),"⚠"))</f>
        <v/>
      </c>
      <c r="CA87" t="str">
        <f>IF(DG87="","",IFERROR(IF(INDEX(CODIFICACION!$E$2:$E$500,MATCH("PP2|"&amp;DG87,CODIFICACION!$F$2:$F$500,0))="sin dato","",INDEX(CODIFICACION!$E$2:$E$500,MATCH("PP2|"&amp;DG87,CODIFICACION!$F$2:$F$500,0))),"⚠"))</f>
        <v/>
      </c>
      <c r="CB87" t="str">
        <f t="shared" si="64"/>
        <v/>
      </c>
      <c r="CC87" t="str">
        <f t="shared" ca="1" si="65"/>
        <v/>
      </c>
      <c r="CD87" t="str">
        <f t="shared" ca="1" si="66"/>
        <v/>
      </c>
      <c r="CE87" t="str">
        <f t="shared" si="67"/>
        <v/>
      </c>
      <c r="CF87" t="str">
        <f t="shared" si="68"/>
        <v/>
      </c>
      <c r="CG87" t="str">
        <f t="shared" ca="1" si="69"/>
        <v/>
      </c>
      <c r="CH87" t="str">
        <f t="shared" ca="1" si="70"/>
        <v/>
      </c>
      <c r="CI87" t="str">
        <f t="shared" si="71"/>
        <v/>
      </c>
      <c r="CJ87" t="str">
        <f t="shared" si="72"/>
        <v/>
      </c>
      <c r="CK87" t="str">
        <f t="shared" si="73"/>
        <v/>
      </c>
      <c r="CL87" t="str">
        <f t="shared" si="74"/>
        <v/>
      </c>
    </row>
    <row r="88" spans="1:90" x14ac:dyDescent="0.3">
      <c r="A88">
        <f>CAPTURA!A88</f>
        <v>20568560133</v>
      </c>
      <c r="B88">
        <f>CAPTURA!C88</f>
        <v>0</v>
      </c>
      <c r="C88" t="str">
        <f t="shared" si="50"/>
        <v/>
      </c>
      <c r="D88" t="str">
        <f>IF(AE88="","",IFERROR(IF(INDEX(CODIFICACION!$E$2:$E$500,MATCH("P8|"&amp;AE88,CODIFICACION!$F$2:$F$500,0))="sin dato","",INDEX(CODIFICACION!$E$2:$E$500,MATCH("P8|"&amp;AE88,CODIFICACION!$F$2:$F$500,0))),"⚠"))</f>
        <v/>
      </c>
      <c r="E88" t="str">
        <f>IF(AG88="","",IFERROR(IF(INDEX(CODIFICACION!$E$2:$E$500,MATCH("P10|"&amp;AG88,CODIFICACION!$F$2:$F$500,0))="sin dato","",INDEX(CODIFICACION!$E$2:$E$500,MATCH("P10|"&amp;AG88,CODIFICACION!$F$2:$F$500,0))),"⚠"))</f>
        <v/>
      </c>
      <c r="F88" t="str">
        <f>IF(AJ88="","",IFERROR(IF(INDEX(CODIFICACION!$E$2:$E$500,MATCH("P13|"&amp;AJ88,CODIFICACION!$F$2:$F$500,0))="sin dato","",INDEX(CODIFICACION!$E$2:$E$500,MATCH("P13|"&amp;AJ88,CODIFICACION!$F$2:$F$500,0))),"⚠"))</f>
        <v/>
      </c>
      <c r="G88" t="str">
        <f>IF(AK88="","",IFERROR(IF(INDEX(CODIFICACION!$E$2:$E$500,MATCH("P14|"&amp;AK88,CODIFICACION!$F$2:$F$500,0))="sin dato","",INDEX(CODIFICACION!$E$2:$E$500,MATCH("P14|"&amp;AK88,CODIFICACION!$F$2:$F$500,0))),"⚠"))</f>
        <v/>
      </c>
      <c r="H88" t="str">
        <f>IF(AL88="","",IFERROR(IF(INDEX(CODIFICACION!$E$2:$E$500,MATCH("D1.1|"&amp;AL88,CODIFICACION!$F$2:$F$500,0))="sin dato","",INDEX(CODIFICACION!$E$2:$E$500,MATCH("D1.1|"&amp;AL88,CODIFICACION!$F$2:$F$500,0))),"⚠"))</f>
        <v/>
      </c>
      <c r="I88" t="str">
        <f>IF(AN88="","",IFERROR(IF(INDEX(CODIFICACION!$E$2:$E$500,MATCH("D1.3|"&amp;AN88,CODIFICACION!$F$2:$F$500,0))="sin dato","",INDEX(CODIFICACION!$E$2:$E$500,MATCH("D1.3|"&amp;AN88,CODIFICACION!$F$2:$F$500,0))),"⚠"))</f>
        <v/>
      </c>
      <c r="J88" t="str">
        <f>IF(AO88="","",IFERROR(IF(INDEX(CODIFICACION!$E$2:$E$500,MATCH("D1.4|"&amp;AO88,CODIFICACION!$F$2:$F$500,0))="sin dato","",INDEX(CODIFICACION!$E$2:$E$500,MATCH("D1.4|"&amp;AO88,CODIFICACION!$F$2:$F$500,0))),"⚠"))</f>
        <v/>
      </c>
      <c r="K88" t="str">
        <f>IF(AP88="","",IFERROR(IF(INDEX(CODIFICACION!$E$2:$E$500,MATCH("D1.3a|"&amp;AP88,CODIFICACION!$F$2:$F$500,0))="sin dato","",INDEX(CODIFICACION!$E$2:$E$500,MATCH("D1.3a|"&amp;AP88,CODIFICACION!$F$2:$F$500,0))),"⚠"))</f>
        <v/>
      </c>
      <c r="L88" t="str">
        <f t="shared" si="51"/>
        <v/>
      </c>
      <c r="M88" t="str">
        <f t="shared" si="52"/>
        <v/>
      </c>
      <c r="N88" t="str">
        <f t="shared" si="53"/>
        <v/>
      </c>
      <c r="O88" t="str">
        <f>IF(AT88="","",IFERROR(IF(INDEX(CODIFICACION!$E$2:$E$500,MATCH("D2.8|"&amp;AT88,CODIFICACION!$F$2:$F$500,0))="sin dato","",INDEX(CODIFICACION!$E$2:$E$500,MATCH("D2.8|"&amp;AT88,CODIFICACION!$F$2:$F$500,0))),"⚠"))</f>
        <v/>
      </c>
      <c r="P88" t="str">
        <f>IF(AU88="","",IFERROR(IF(INDEX(CODIFICACION!$E$2:$E$500,MATCH("D2.9|"&amp;AU88,CODIFICACION!$F$2:$F$500,0))="sin dato","",INDEX(CODIFICACION!$E$2:$E$500,MATCH("D2.9|"&amp;AU88,CODIFICACION!$F$2:$F$500,0))),"⚠"))</f>
        <v/>
      </c>
      <c r="Q88" t="str">
        <f>IF(AV88="","",IFERROR(IF(INDEX(CODIFICACION!$E$2:$E$500,MATCH("D2.10|"&amp;AV88,CODIFICACION!$F$2:$F$500,0))="sin dato","",INDEX(CODIFICACION!$E$2:$E$500,MATCH("D2.10|"&amp;AV88,CODIFICACION!$F$2:$F$500,0))),"⚠"))</f>
        <v/>
      </c>
      <c r="R88" t="str">
        <f>IF(AW88="","",IFERROR(IF(INDEX(CODIFICACION!$E$2:$E$500,MATCH("D2.5a|"&amp;AW88,CODIFICACION!$F$2:$F$500,0))="sin dato","",INDEX(CODIFICACION!$E$2:$E$500,MATCH("D2.5a|"&amp;AW88,CODIFICACION!$F$2:$F$500,0))),"⚠"))</f>
        <v/>
      </c>
      <c r="S88" t="str">
        <f ca="1">IF(AX88="","",IFERROR(IF(INDEX(CODIFICACION!$E$2:$E$500,MATCH("D2.5b|"&amp;AX88,CODIFICACION!$F$2:$F$500,0))="sin dato","",INDEX(CODIFICACION!$E$2:$E$500,MATCH("D2.5b|"&amp;AX88,CODIFICACION!$F$2:$F$500,0))),"⚠"))</f>
        <v/>
      </c>
      <c r="T88" t="str">
        <f t="shared" ca="1" si="54"/>
        <v/>
      </c>
      <c r="U88" t="str">
        <f>IF(AZ88="","",IFERROR(IF(INDEX(CODIFICACION!$E$2:$E$500,MATCH("D3.12|"&amp;AZ88,CODIFICACION!$F$2:$F$500,0))="sin dato","",INDEX(CODIFICACION!$E$2:$E$500,MATCH("D3.12|"&amp;AZ88,CODIFICACION!$F$2:$F$500,0))),"⚠"))</f>
        <v/>
      </c>
      <c r="V88" t="str">
        <f t="shared" si="55"/>
        <v/>
      </c>
      <c r="W88" t="str">
        <f ca="1">IF(BB88="","",IFERROR(IF(INDEX(CODIFICACION!$E$2:$E$500,MATCH("D3.14|"&amp;BB88,CODIFICACION!$F$2:$F$500,0))="sin dato","",INDEX(CODIFICACION!$E$2:$E$500,MATCH("D3.14|"&amp;BB88,CODIFICACION!$F$2:$F$500,0))),"⚠"))</f>
        <v/>
      </c>
      <c r="X88" t="str">
        <f ca="1">IF(BC88="","",IFERROR(IF(INDEX(CODIFICACION!$E$2:$E$500,MATCH("D3.14a|"&amp;BC88,CODIFICACION!$F$2:$F$500,0))="sin dato","",INDEX(CODIFICACION!$E$2:$E$500,MATCH("D3.14a|"&amp;BC88,CODIFICACION!$F$2:$F$500,0))),"⚠"))</f>
        <v/>
      </c>
      <c r="Y88" t="str">
        <f>IF(BD88="","",IFERROR(IF(INDEX(CODIFICACION!$E$2:$E$500,MATCH("D3.14b|"&amp;BD88,CODIFICACION!$F$2:$F$500,0))="sin dato","",INDEX(CODIFICACION!$E$2:$E$500,MATCH("D3.14b|"&amp;BD88,CODIFICACION!$F$2:$F$500,0))),"⚠"))</f>
        <v/>
      </c>
      <c r="Z88" t="str">
        <f>IF(BE88="","",IFERROR(IF(INDEX(CODIFICACION!$E$2:$E$500,MATCH("D3.14c|"&amp;BE88,CODIFICACION!$F$2:$F$500,0))="sin dato","",INDEX(CODIFICACION!$E$2:$E$500,MATCH("D3.14c|"&amp;BE88,CODIFICACION!$F$2:$F$500,0))),"⚠"))</f>
        <v/>
      </c>
      <c r="AA88" t="str">
        <f>IF(BF88="","",IFERROR(IF(INDEX(CODIFICACION!$E$2:$E$500,MATCH("D3.14d|"&amp;BF88,CODIFICACION!$F$2:$F$500,0))="sin dato","",INDEX(CODIFICACION!$E$2:$E$500,MATCH("D3.14d|"&amp;BF88,CODIFICACION!$F$2:$F$500,0))),"⚠"))</f>
        <v/>
      </c>
      <c r="AB88" t="str">
        <f>IF(BG88="","",IFERROR(IF(INDEX(CODIFICACION!$E$2:$E$500,MATCH("D3.14e|"&amp;BG88,CODIFICACION!$F$2:$F$500,0))="sin dato","",INDEX(CODIFICACION!$E$2:$E$500,MATCH("D3.14e|"&amp;BG88,CODIFICACION!$F$2:$F$500,0))),"⚠"))</f>
        <v/>
      </c>
      <c r="AC88" t="str">
        <f>IF(BH88="","",IFERROR(IF(INDEX(CODIFICACION!$E$2:$E$500,MATCH("D3.14f|"&amp;BH88,CODIFICACION!$F$2:$F$500,0))="sin dato","",INDEX(CODIFICACION!$E$2:$E$500,MATCH("D3.14f|"&amp;BH88,CODIFICACION!$F$2:$F$500,0))),"⚠"))</f>
        <v/>
      </c>
      <c r="AD88" t="str">
        <f>IF(BI88="","",IFERROR(IF(INDEX(CODIFICACION!$E$2:$E$500,MATCH("D3.14g|"&amp;BI88,CODIFICACION!$F$2:$F$500,0))="sin dato","",INDEX(CODIFICACION!$E$2:$E$500,MATCH("D3.14g|"&amp;BI88,CODIFICACION!$F$2:$F$500,0))),"⚠"))</f>
        <v/>
      </c>
      <c r="AE88" t="str">
        <f>IF(BJ88="","",IFERROR(IF(INDEX(CODIFICACION!$E$2:$E$500,MATCH("D3.14h|"&amp;BJ88,CODIFICACION!$F$2:$F$500,0))="sin dato","",INDEX(CODIFICACION!$E$2:$E$500,MATCH("D3.14h|"&amp;BJ88,CODIFICACION!$F$2:$F$500,0))),"⚠"))</f>
        <v/>
      </c>
      <c r="AF88" t="str">
        <f>IF(BK88="","",IFERROR(IF(INDEX(CODIFICACION!$E$2:$E$500,MATCH("D3.14i|"&amp;BK88,CODIFICACION!$F$2:$F$500,0))="sin dato","",INDEX(CODIFICACION!$E$2:$E$500,MATCH("D3.14i|"&amp;BK88,CODIFICACION!$F$2:$F$500,0))),"⚠"))</f>
        <v/>
      </c>
      <c r="AG88" t="str">
        <f>IF(BL88="","",IFERROR(IF(INDEX(CODIFICACION!$E$2:$E$500,MATCH("D4.15|"&amp;BL88,CODIFICACION!$F$2:$F$500,0))="sin dato","",INDEX(CODIFICACION!$E$2:$E$500,MATCH("D4.15|"&amp;BL88,CODIFICACION!$F$2:$F$500,0))),"⚠"))</f>
        <v/>
      </c>
      <c r="AH88" t="str">
        <f t="shared" si="56"/>
        <v/>
      </c>
      <c r="AI88" t="str">
        <f>IF(BN88="","",IFERROR(IF(INDEX(CODIFICACION!$E$2:$E$500,MATCH("D4.17|"&amp;BN88,CODIFICACION!$F$2:$F$500,0))="sin dato","",INDEX(CODIFICACION!$E$2:$E$500,MATCH("D4.17|"&amp;BN88,CODIFICACION!$F$2:$F$500,0))),"⚠"))</f>
        <v/>
      </c>
      <c r="AJ88" t="str">
        <f>IF(BO88="","",IFERROR(IF(INDEX(CODIFICACION!$E$2:$E$500,MATCH("D4.15a|"&amp;BO88,CODIFICACION!$F$2:$F$500,0))="sin dato","",INDEX(CODIFICACION!$E$2:$E$500,MATCH("D4.15a|"&amp;BO88,CODIFICACION!$F$2:$F$500,0))),"⚠"))</f>
        <v/>
      </c>
      <c r="AK88" t="str">
        <f t="shared" si="57"/>
        <v/>
      </c>
      <c r="AL88" t="str">
        <f t="shared" si="58"/>
        <v/>
      </c>
      <c r="AM88" t="str">
        <f>IF(BR88="","",IFERROR(IF(INDEX(CODIFICACION!$E$2:$E$500,MATCH("D5.18b|"&amp;BR88,CODIFICACION!$F$2:$F$500,0))="sin dato","",INDEX(CODIFICACION!$E$2:$E$500,MATCH("D5.18b|"&amp;BR88,CODIFICACION!$F$2:$F$500,0))),"⚠"))</f>
        <v/>
      </c>
      <c r="AN88" t="str">
        <f>IF(BS88="","",IFERROR(IF(INDEX(CODIFICACION!$E$2:$E$500,MATCH("D5.19|"&amp;BS88,CODIFICACION!$F$2:$F$500,0))="sin dato","",INDEX(CODIFICACION!$E$2:$E$500,MATCH("D5.19|"&amp;BS88,CODIFICACION!$F$2:$F$500,0))),"⚠"))</f>
        <v/>
      </c>
      <c r="AO88" t="str">
        <f t="shared" si="59"/>
        <v/>
      </c>
      <c r="AP88" t="str">
        <f>IF(BU88="","",IFERROR(IF(INDEX(CODIFICACION!$E$2:$E$500,MATCH("D5.20|"&amp;BU88,CODIFICACION!$F$2:$F$500,0))="sin dato","",INDEX(CODIFICACION!$E$2:$E$500,MATCH("D5.20|"&amp;BU88,CODIFICACION!$F$2:$F$500,0))),"⚠"))</f>
        <v/>
      </c>
      <c r="AQ88" t="str">
        <f>IF(BV88="","",IFERROR(IF(INDEX(CODIFICACION!$E$2:$E$500,MATCH("D5.21|"&amp;BV88,CODIFICACION!$F$2:$F$500,0))="sin dato","",INDEX(CODIFICACION!$E$2:$E$500,MATCH("D5.21|"&amp;BV88,CODIFICACION!$F$2:$F$500,0))),"⚠"))</f>
        <v/>
      </c>
      <c r="AR88" t="str">
        <f>IF(BW88="","",IFERROR(IF(INDEX(CODIFICACION!$E$2:$E$500,MATCH("D5.21a|"&amp;BW88,CODIFICACION!$F$2:$F$500,0))="sin dato","",INDEX(CODIFICACION!$E$2:$E$500,MATCH("D5.21a|"&amp;BW88,CODIFICACION!$F$2:$F$500,0))),"⚠"))</f>
        <v/>
      </c>
      <c r="AS88" t="str">
        <f>IF(BX88="","",IFERROR(IF(INDEX(CODIFICACION!$E$2:$E$500,MATCH("D5.21b|"&amp;BX88,CODIFICACION!$F$2:$F$500,0))="sin dato","",INDEX(CODIFICACION!$E$2:$E$500,MATCH("D5.21b|"&amp;BX88,CODIFICACION!$F$2:$F$500,0))),"⚠"))</f>
        <v/>
      </c>
      <c r="AT88" t="str">
        <f>IF(BY88="","",IFERROR(IF(INDEX(CODIFICACION!$E$2:$E$500,MATCH("D6.22|"&amp;BY88,CODIFICACION!$F$2:$F$500,0))="sin dato","",INDEX(CODIFICACION!$E$2:$E$500,MATCH("D6.22|"&amp;BY88,CODIFICACION!$F$2:$F$500,0))),"⚠"))</f>
        <v/>
      </c>
      <c r="AU88" t="str">
        <f>IF(BZ88="","",IFERROR(IF(INDEX(CODIFICACION!$E$2:$E$500,MATCH("D6.22a|"&amp;BZ88,CODIFICACION!$F$2:$F$500,0))="sin dato","",INDEX(CODIFICACION!$E$2:$E$500,MATCH("D6.22a|"&amp;BZ88,CODIFICACION!$F$2:$F$500,0))),"⚠"))</f>
        <v/>
      </c>
      <c r="AV88" t="str">
        <f>IF(CA88="","",IFERROR(IF(INDEX(CODIFICACION!$E$2:$E$500,MATCH("D6.22b|"&amp;CA88,CODIFICACION!$F$2:$F$500,0))="sin dato","",INDEX(CODIFICACION!$E$2:$E$500,MATCH("D6.22b|"&amp;CA88,CODIFICACION!$F$2:$F$500,0))),"⚠"))</f>
        <v/>
      </c>
      <c r="AW88" t="str">
        <f>IF(CB88="","",IFERROR(IF(INDEX(CODIFICACION!$E$2:$E$500,MATCH("D6.23|"&amp;CB88,CODIFICACION!$F$2:$F$500,0))="sin dato","",INDEX(CODIFICACION!$E$2:$E$500,MATCH("D6.23|"&amp;CB88,CODIFICACION!$F$2:$F$500,0))),"⚠"))</f>
        <v/>
      </c>
      <c r="AX88" t="str">
        <f ca="1">IF(CC88="","",IFERROR(IF(INDEX(CODIFICACION!$E$2:$E$500,MATCH("D6.24|"&amp;CC88,CODIFICACION!$F$2:$F$500,0))="sin dato","",INDEX(CODIFICACION!$E$2:$E$500,MATCH("D6.24|"&amp;CC88,CODIFICACION!$F$2:$F$500,0))),"⚠"))</f>
        <v/>
      </c>
      <c r="AY88" t="str">
        <f ca="1">IF(CD88="","",IFERROR(IF(INDEX(CODIFICACION!$E$2:$E$500,MATCH("D6.25|"&amp;CD88,CODIFICACION!$F$2:$F$500,0))="sin dato","",INDEX(CODIFICACION!$E$2:$E$500,MATCH("D6.25|"&amp;CD88,CODIFICACION!$F$2:$F$500,0))),"⚠"))</f>
        <v/>
      </c>
      <c r="AZ88" t="str">
        <f>IF(CE88="","",IFERROR(IF(INDEX(CODIFICACION!$E$2:$E$500,MATCH("D6.25a|"&amp;CE88,CODIFICACION!$F$2:$F$500,0))="sin dato","",INDEX(CODIFICACION!$E$2:$E$500,MATCH("D6.25a|"&amp;CE88,CODIFICACION!$F$2:$F$500,0))),"⚠"))</f>
        <v/>
      </c>
      <c r="BA88" t="str">
        <f>IF(CF88="","",IFERROR(IF(INDEX(CODIFICACION!$E$2:$E$500,MATCH("D6.25b|"&amp;CF88,CODIFICACION!$F$2:$F$500,0))="sin dato","",INDEX(CODIFICACION!$E$2:$E$500,MATCH("D6.25b|"&amp;CF88,CODIFICACION!$F$2:$F$500,0))),"⚠"))</f>
        <v/>
      </c>
      <c r="BB88" t="str">
        <f ca="1">IF(CG88="","",IFERROR(IF(INDEX(CODIFICACION!$E$2:$E$500,MATCH("D6.22c|"&amp;CG88,CODIFICACION!$F$2:$F$500,0))="sin dato","",INDEX(CODIFICACION!$E$2:$E$500,MATCH("D6.22c|"&amp;CG88,CODIFICACION!$F$2:$F$500,0))),"⚠"))</f>
        <v/>
      </c>
      <c r="BC88" t="str">
        <f ca="1">IF(CH88="","",IFERROR(IF(INDEX(CODIFICACION!$E$2:$E$500,MATCH("D7.26|"&amp;CH88,CODIFICACION!$F$2:$F$500,0))="sin dato","",INDEX(CODIFICACION!$E$2:$E$500,MATCH("D7.26|"&amp;CH88,CODIFICACION!$F$2:$F$500,0))),"⚠"))</f>
        <v/>
      </c>
      <c r="BD88" t="str">
        <f>IF(CI88="","",IFERROR(IF(INDEX(CODIFICACION!$E$2:$E$500,MATCH("D7.27|"&amp;CI88,CODIFICACION!$F$2:$F$500,0))="sin dato","",INDEX(CODIFICACION!$E$2:$E$500,MATCH("D7.27|"&amp;CI88,CODIFICACION!$F$2:$F$500,0))),"⚠"))</f>
        <v/>
      </c>
      <c r="BE88" t="str">
        <f>IF(CJ88="","",IFERROR(IF(INDEX(CODIFICACION!$E$2:$E$500,MATCH("D7.28|"&amp;CJ88,CODIFICACION!$F$2:$F$500,0))="sin dato","",INDEX(CODIFICACION!$E$2:$E$500,MATCH("D7.28|"&amp;CJ88,CODIFICACION!$F$2:$F$500,0))),"⚠"))</f>
        <v/>
      </c>
      <c r="BF88" t="str">
        <f>IF(CK88="","",IFERROR(IF(INDEX(CODIFICACION!$E$2:$E$500,MATCH("D7.28b|"&amp;CK88,CODIFICACION!$F$2:$F$500,0))="sin dato","",INDEX(CODIFICACION!$E$2:$E$500,MATCH("D7.28b|"&amp;CK88,CODIFICACION!$F$2:$F$500,0))),"⚠"))</f>
        <v/>
      </c>
      <c r="BG88" t="str">
        <f t="shared" si="60"/>
        <v/>
      </c>
      <c r="BH88" t="str">
        <f>IF(CM88="","",IFERROR(IF(INDEX(CODIFICACION!$E$2:$E$500,MATCH("D7.26a|"&amp;CM88,CODIFICACION!$F$2:$F$500,0))="sin dato","",INDEX(CODIFICACION!$E$2:$E$500,MATCH("D7.26a|"&amp;CM88,CODIFICACION!$F$2:$F$500,0))),"⚠"))</f>
        <v/>
      </c>
      <c r="BI88" t="str">
        <f>IF(CN88="","",IFERROR(IF(INDEX(CODIFICACION!$E$2:$E$500,MATCH("D7.26b|"&amp;CN88,CODIFICACION!$F$2:$F$500,0))="sin dato","",INDEX(CODIFICACION!$E$2:$E$500,MATCH("D7.26b|"&amp;CN88,CODIFICACION!$F$2:$F$500,0))),"⚠"))</f>
        <v/>
      </c>
      <c r="BJ88" t="str">
        <f t="shared" si="61"/>
        <v/>
      </c>
      <c r="BK88" t="str">
        <f t="shared" si="62"/>
        <v/>
      </c>
      <c r="BL88" t="str">
        <f>IF(CQ88="","",IFERROR(IF(INDEX(CODIFICACION!$E$2:$E$500,MATCH("D8.31|"&amp;CQ88,CODIFICACION!$F$2:$F$500,0))="sin dato","",INDEX(CODIFICACION!$E$2:$E$500,MATCH("D8.31|"&amp;CQ88,CODIFICACION!$F$2:$F$500,0))),"⚠"))</f>
        <v/>
      </c>
      <c r="BM88" t="str">
        <f>IF(CR88="","",IFERROR(IF(INDEX(CODIFICACION!$E$2:$E$500,MATCH("D8.32|"&amp;CR88,CODIFICACION!$F$2:$F$500,0))="sin dato","",INDEX(CODIFICACION!$E$2:$E$500,MATCH("D8.32|"&amp;CR88,CODIFICACION!$F$2:$F$500,0))),"⚠"))</f>
        <v/>
      </c>
      <c r="BN88" t="str">
        <f>IF(CS88="","",IFERROR(IF(INDEX(CODIFICACION!$E$2:$E$500,MATCH("D9.33|"&amp;CS88,CODIFICACION!$F$2:$F$500,0))="sin dato","",INDEX(CODIFICACION!$E$2:$E$500,MATCH("D9.33|"&amp;CS88,CODIFICACION!$F$2:$F$500,0))),"⚠"))</f>
        <v/>
      </c>
      <c r="BO88" t="str">
        <f>IF(CT88="","",IFERROR(IF(INDEX(CODIFICACION!$E$2:$E$500,MATCH("D9.34|"&amp;CT88,CODIFICACION!$F$2:$F$500,0))="sin dato","",INDEX(CODIFICACION!$E$2:$E$500,MATCH("D9.34|"&amp;CT88,CODIFICACION!$F$2:$F$500,0))),"⚠"))</f>
        <v/>
      </c>
      <c r="BP88" t="str">
        <f>IF(CU88="","",IFERROR(IF(INDEX(CODIFICACION!$E$2:$E$500,MATCH("D9.35|"&amp;CU88,CODIFICACION!$F$2:$F$500,0))="sin dato","",INDEX(CODIFICACION!$E$2:$E$500,MATCH("D9.35|"&amp;CU88,CODIFICACION!$F$2:$F$500,0))),"⚠"))</f>
        <v/>
      </c>
      <c r="BQ88" t="str">
        <f>IF(CV88="","",IFERROR(IF(INDEX(CODIFICACION!$E$2:$E$500,MATCH("D10.36|"&amp;CV88,CODIFICACION!$F$2:$F$500,0))="sin dato","",INDEX(CODIFICACION!$E$2:$E$500,MATCH("D10.36|"&amp;CV88,CODIFICACION!$F$2:$F$500,0))),"⚠"))</f>
        <v/>
      </c>
      <c r="BR88" t="str">
        <f>IF(CW88="","",IFERROR(IF(INDEX(CODIFICACION!$E$2:$E$500,MATCH("D10.37|"&amp;CW88,CODIFICACION!$F$2:$F$500,0))="sin dato","",INDEX(CODIFICACION!$E$2:$E$500,MATCH("D10.37|"&amp;CW88,CODIFICACION!$F$2:$F$500,0))),"⚠"))</f>
        <v/>
      </c>
      <c r="BS88" t="str">
        <f>IF(CX88="","",IFERROR(IF(INDEX(CODIFICACION!$E$2:$E$500,MATCH("D10.36a|"&amp;CX88,CODIFICACION!$F$2:$F$500,0))="sin dato","",INDEX(CODIFICACION!$E$2:$E$500,MATCH("D10.36a|"&amp;CX88,CODIFICACION!$F$2:$F$500,0))),"⚠"))</f>
        <v/>
      </c>
      <c r="BT88" t="str">
        <f t="shared" si="63"/>
        <v/>
      </c>
      <c r="BU88" t="str">
        <f>IF(DA88="","",IFERROR(IF(INDEX(CODIFICACION!$E$2:$E$500,MATCH("D11.39a|"&amp;DA88,CODIFICACION!$F$2:$F$500,0))="sin dato","",INDEX(CODIFICACION!$E$2:$E$500,MATCH("D11.39a|"&amp;DA88,CODIFICACION!$F$2:$F$500,0))),"⚠"))</f>
        <v/>
      </c>
      <c r="BV88" t="str">
        <f>IF(DB88="","",IFERROR(IF(INDEX(CODIFICACION!$E$2:$E$500,MATCH("D12.42|"&amp;DB88,CODIFICACION!$F$2:$F$500,0))="sin dato","",INDEX(CODIFICACION!$E$2:$E$500,MATCH("D12.42|"&amp;DB88,CODIFICACION!$F$2:$F$500,0))),"⚠"))</f>
        <v/>
      </c>
      <c r="BW88" t="str">
        <f>IF(DC88="","",IFERROR(IF(INDEX(CODIFICACION!$E$2:$E$500,MATCH("D13.45|"&amp;DC88,CODIFICACION!$F$2:$F$500,0))="sin dato","",INDEX(CODIFICACION!$E$2:$E$500,MATCH("D13.45|"&amp;DC88,CODIFICACION!$F$2:$F$500,0))),"⚠"))</f>
        <v/>
      </c>
      <c r="BX88" t="str">
        <f>IF(DD88="","",IFERROR(IF(INDEX(CODIFICACION!$E$2:$E$500,MATCH("D14.51|"&amp;DD88,CODIFICACION!$F$2:$F$500,0))="sin dato","",INDEX(CODIFICACION!$E$2:$E$500,MATCH("D14.51|"&amp;DD88,CODIFICACION!$F$2:$F$500,0))),"⚠"))</f>
        <v/>
      </c>
      <c r="BY88" t="str">
        <f>IF(DE88="","",IFERROR(IF(INDEX(CODIFICACION!$E$2:$E$500,MATCH("D15.58|"&amp;DE88,CODIFICACION!$F$2:$F$500,0))="sin dato","",INDEX(CODIFICACION!$E$2:$E$500,MATCH("D15.58|"&amp;DE88,CODIFICACION!$F$2:$F$500,0))),"⚠"))</f>
        <v/>
      </c>
      <c r="BZ88" t="str">
        <f>IF(DF88="","",IFERROR(IF(INDEX(CODIFICACION!$E$2:$E$500,MATCH("PP1|"&amp;DF88,CODIFICACION!$F$2:$F$500,0))="sin dato","",INDEX(CODIFICACION!$E$2:$E$500,MATCH("PP1|"&amp;DF88,CODIFICACION!$F$2:$F$500,0))),"⚠"))</f>
        <v/>
      </c>
      <c r="CA88" t="str">
        <f>IF(DG88="","",IFERROR(IF(INDEX(CODIFICACION!$E$2:$E$500,MATCH("PP2|"&amp;DG88,CODIFICACION!$F$2:$F$500,0))="sin dato","",INDEX(CODIFICACION!$E$2:$E$500,MATCH("PP2|"&amp;DG88,CODIFICACION!$F$2:$F$500,0))),"⚠"))</f>
        <v/>
      </c>
      <c r="CB88" t="str">
        <f t="shared" si="64"/>
        <v/>
      </c>
      <c r="CC88" t="str">
        <f t="shared" ca="1" si="65"/>
        <v/>
      </c>
      <c r="CD88" t="str">
        <f t="shared" ca="1" si="66"/>
        <v/>
      </c>
      <c r="CE88" t="str">
        <f t="shared" si="67"/>
        <v/>
      </c>
      <c r="CF88" t="str">
        <f t="shared" si="68"/>
        <v/>
      </c>
      <c r="CG88" t="str">
        <f t="shared" ca="1" si="69"/>
        <v/>
      </c>
      <c r="CH88" t="str">
        <f t="shared" ca="1" si="70"/>
        <v/>
      </c>
      <c r="CI88" t="str">
        <f t="shared" si="71"/>
        <v/>
      </c>
      <c r="CJ88" t="str">
        <f t="shared" si="72"/>
        <v/>
      </c>
      <c r="CK88" t="str">
        <f t="shared" si="73"/>
        <v/>
      </c>
      <c r="CL88" t="str">
        <f t="shared" si="74"/>
        <v/>
      </c>
    </row>
    <row r="89" spans="1:90" x14ac:dyDescent="0.3">
      <c r="A89">
        <f>CAPTURA!A89</f>
        <v>20568567731</v>
      </c>
      <c r="B89">
        <f>CAPTURA!C89</f>
        <v>0</v>
      </c>
      <c r="C89" t="str">
        <f t="shared" si="50"/>
        <v/>
      </c>
      <c r="D89" t="str">
        <f>IF(AE89="","",IFERROR(IF(INDEX(CODIFICACION!$E$2:$E$500,MATCH("P8|"&amp;AE89,CODIFICACION!$F$2:$F$500,0))="sin dato","",INDEX(CODIFICACION!$E$2:$E$500,MATCH("P8|"&amp;AE89,CODIFICACION!$F$2:$F$500,0))),"⚠"))</f>
        <v/>
      </c>
      <c r="E89" t="str">
        <f>IF(AG89="","",IFERROR(IF(INDEX(CODIFICACION!$E$2:$E$500,MATCH("P10|"&amp;AG89,CODIFICACION!$F$2:$F$500,0))="sin dato","",INDEX(CODIFICACION!$E$2:$E$500,MATCH("P10|"&amp;AG89,CODIFICACION!$F$2:$F$500,0))),"⚠"))</f>
        <v/>
      </c>
      <c r="F89" t="str">
        <f>IF(AJ89="","",IFERROR(IF(INDEX(CODIFICACION!$E$2:$E$500,MATCH("P13|"&amp;AJ89,CODIFICACION!$F$2:$F$500,0))="sin dato","",INDEX(CODIFICACION!$E$2:$E$500,MATCH("P13|"&amp;AJ89,CODIFICACION!$F$2:$F$500,0))),"⚠"))</f>
        <v/>
      </c>
      <c r="G89" t="str">
        <f>IF(AK89="","",IFERROR(IF(INDEX(CODIFICACION!$E$2:$E$500,MATCH("P14|"&amp;AK89,CODIFICACION!$F$2:$F$500,0))="sin dato","",INDEX(CODIFICACION!$E$2:$E$500,MATCH("P14|"&amp;AK89,CODIFICACION!$F$2:$F$500,0))),"⚠"))</f>
        <v/>
      </c>
      <c r="H89" t="str">
        <f>IF(AL89="","",IFERROR(IF(INDEX(CODIFICACION!$E$2:$E$500,MATCH("D1.1|"&amp;AL89,CODIFICACION!$F$2:$F$500,0))="sin dato","",INDEX(CODIFICACION!$E$2:$E$500,MATCH("D1.1|"&amp;AL89,CODIFICACION!$F$2:$F$500,0))),"⚠"))</f>
        <v/>
      </c>
      <c r="I89" t="str">
        <f>IF(AN89="","",IFERROR(IF(INDEX(CODIFICACION!$E$2:$E$500,MATCH("D1.3|"&amp;AN89,CODIFICACION!$F$2:$F$500,0))="sin dato","",INDEX(CODIFICACION!$E$2:$E$500,MATCH("D1.3|"&amp;AN89,CODIFICACION!$F$2:$F$500,0))),"⚠"))</f>
        <v/>
      </c>
      <c r="J89" t="str">
        <f>IF(AO89="","",IFERROR(IF(INDEX(CODIFICACION!$E$2:$E$500,MATCH("D1.4|"&amp;AO89,CODIFICACION!$F$2:$F$500,0))="sin dato","",INDEX(CODIFICACION!$E$2:$E$500,MATCH("D1.4|"&amp;AO89,CODIFICACION!$F$2:$F$500,0))),"⚠"))</f>
        <v/>
      </c>
      <c r="K89" t="str">
        <f>IF(AP89="","",IFERROR(IF(INDEX(CODIFICACION!$E$2:$E$500,MATCH("D1.3a|"&amp;AP89,CODIFICACION!$F$2:$F$500,0))="sin dato","",INDEX(CODIFICACION!$E$2:$E$500,MATCH("D1.3a|"&amp;AP89,CODIFICACION!$F$2:$F$500,0))),"⚠"))</f>
        <v/>
      </c>
      <c r="L89" t="str">
        <f t="shared" si="51"/>
        <v/>
      </c>
      <c r="M89" t="str">
        <f t="shared" si="52"/>
        <v/>
      </c>
      <c r="N89" t="str">
        <f t="shared" si="53"/>
        <v/>
      </c>
      <c r="O89" t="str">
        <f>IF(AT89="","",IFERROR(IF(INDEX(CODIFICACION!$E$2:$E$500,MATCH("D2.8|"&amp;AT89,CODIFICACION!$F$2:$F$500,0))="sin dato","",INDEX(CODIFICACION!$E$2:$E$500,MATCH("D2.8|"&amp;AT89,CODIFICACION!$F$2:$F$500,0))),"⚠"))</f>
        <v/>
      </c>
      <c r="P89" t="str">
        <f>IF(AU89="","",IFERROR(IF(INDEX(CODIFICACION!$E$2:$E$500,MATCH("D2.9|"&amp;AU89,CODIFICACION!$F$2:$F$500,0))="sin dato","",INDEX(CODIFICACION!$E$2:$E$500,MATCH("D2.9|"&amp;AU89,CODIFICACION!$F$2:$F$500,0))),"⚠"))</f>
        <v/>
      </c>
      <c r="Q89" t="str">
        <f>IF(AV89="","",IFERROR(IF(INDEX(CODIFICACION!$E$2:$E$500,MATCH("D2.10|"&amp;AV89,CODIFICACION!$F$2:$F$500,0))="sin dato","",INDEX(CODIFICACION!$E$2:$E$500,MATCH("D2.10|"&amp;AV89,CODIFICACION!$F$2:$F$500,0))),"⚠"))</f>
        <v/>
      </c>
      <c r="R89" t="str">
        <f>IF(AW89="","",IFERROR(IF(INDEX(CODIFICACION!$E$2:$E$500,MATCH("D2.5a|"&amp;AW89,CODIFICACION!$F$2:$F$500,0))="sin dato","",INDEX(CODIFICACION!$E$2:$E$500,MATCH("D2.5a|"&amp;AW89,CODIFICACION!$F$2:$F$500,0))),"⚠"))</f>
        <v/>
      </c>
      <c r="S89" t="str">
        <f ca="1">IF(AX89="","",IFERROR(IF(INDEX(CODIFICACION!$E$2:$E$500,MATCH("D2.5b|"&amp;AX89,CODIFICACION!$F$2:$F$500,0))="sin dato","",INDEX(CODIFICACION!$E$2:$E$500,MATCH("D2.5b|"&amp;AX89,CODIFICACION!$F$2:$F$500,0))),"⚠"))</f>
        <v/>
      </c>
      <c r="T89" t="str">
        <f t="shared" ca="1" si="54"/>
        <v/>
      </c>
      <c r="U89" t="str">
        <f>IF(AZ89="","",IFERROR(IF(INDEX(CODIFICACION!$E$2:$E$500,MATCH("D3.12|"&amp;AZ89,CODIFICACION!$F$2:$F$500,0))="sin dato","",INDEX(CODIFICACION!$E$2:$E$500,MATCH("D3.12|"&amp;AZ89,CODIFICACION!$F$2:$F$500,0))),"⚠"))</f>
        <v/>
      </c>
      <c r="V89" t="str">
        <f t="shared" si="55"/>
        <v/>
      </c>
      <c r="W89" t="str">
        <f ca="1">IF(BB89="","",IFERROR(IF(INDEX(CODIFICACION!$E$2:$E$500,MATCH("D3.14|"&amp;BB89,CODIFICACION!$F$2:$F$500,0))="sin dato","",INDEX(CODIFICACION!$E$2:$E$500,MATCH("D3.14|"&amp;BB89,CODIFICACION!$F$2:$F$500,0))),"⚠"))</f>
        <v/>
      </c>
      <c r="X89" t="str">
        <f ca="1">IF(BC89="","",IFERROR(IF(INDEX(CODIFICACION!$E$2:$E$500,MATCH("D3.14a|"&amp;BC89,CODIFICACION!$F$2:$F$500,0))="sin dato","",INDEX(CODIFICACION!$E$2:$E$500,MATCH("D3.14a|"&amp;BC89,CODIFICACION!$F$2:$F$500,0))),"⚠"))</f>
        <v/>
      </c>
      <c r="Y89" t="str">
        <f>IF(BD89="","",IFERROR(IF(INDEX(CODIFICACION!$E$2:$E$500,MATCH("D3.14b|"&amp;BD89,CODIFICACION!$F$2:$F$500,0))="sin dato","",INDEX(CODIFICACION!$E$2:$E$500,MATCH("D3.14b|"&amp;BD89,CODIFICACION!$F$2:$F$500,0))),"⚠"))</f>
        <v/>
      </c>
      <c r="Z89" t="str">
        <f>IF(BE89="","",IFERROR(IF(INDEX(CODIFICACION!$E$2:$E$500,MATCH("D3.14c|"&amp;BE89,CODIFICACION!$F$2:$F$500,0))="sin dato","",INDEX(CODIFICACION!$E$2:$E$500,MATCH("D3.14c|"&amp;BE89,CODIFICACION!$F$2:$F$500,0))),"⚠"))</f>
        <v/>
      </c>
      <c r="AA89" t="str">
        <f>IF(BF89="","",IFERROR(IF(INDEX(CODIFICACION!$E$2:$E$500,MATCH("D3.14d|"&amp;BF89,CODIFICACION!$F$2:$F$500,0))="sin dato","",INDEX(CODIFICACION!$E$2:$E$500,MATCH("D3.14d|"&amp;BF89,CODIFICACION!$F$2:$F$500,0))),"⚠"))</f>
        <v/>
      </c>
      <c r="AB89" t="str">
        <f>IF(BG89="","",IFERROR(IF(INDEX(CODIFICACION!$E$2:$E$500,MATCH("D3.14e|"&amp;BG89,CODIFICACION!$F$2:$F$500,0))="sin dato","",INDEX(CODIFICACION!$E$2:$E$500,MATCH("D3.14e|"&amp;BG89,CODIFICACION!$F$2:$F$500,0))),"⚠"))</f>
        <v/>
      </c>
      <c r="AC89" t="str">
        <f>IF(BH89="","",IFERROR(IF(INDEX(CODIFICACION!$E$2:$E$500,MATCH("D3.14f|"&amp;BH89,CODIFICACION!$F$2:$F$500,0))="sin dato","",INDEX(CODIFICACION!$E$2:$E$500,MATCH("D3.14f|"&amp;BH89,CODIFICACION!$F$2:$F$500,0))),"⚠"))</f>
        <v/>
      </c>
      <c r="AD89" t="str">
        <f>IF(BI89="","",IFERROR(IF(INDEX(CODIFICACION!$E$2:$E$500,MATCH("D3.14g|"&amp;BI89,CODIFICACION!$F$2:$F$500,0))="sin dato","",INDEX(CODIFICACION!$E$2:$E$500,MATCH("D3.14g|"&amp;BI89,CODIFICACION!$F$2:$F$500,0))),"⚠"))</f>
        <v/>
      </c>
      <c r="AE89" t="str">
        <f>IF(BJ89="","",IFERROR(IF(INDEX(CODIFICACION!$E$2:$E$500,MATCH("D3.14h|"&amp;BJ89,CODIFICACION!$F$2:$F$500,0))="sin dato","",INDEX(CODIFICACION!$E$2:$E$500,MATCH("D3.14h|"&amp;BJ89,CODIFICACION!$F$2:$F$500,0))),"⚠"))</f>
        <v/>
      </c>
      <c r="AF89" t="str">
        <f>IF(BK89="","",IFERROR(IF(INDEX(CODIFICACION!$E$2:$E$500,MATCH("D3.14i|"&amp;BK89,CODIFICACION!$F$2:$F$500,0))="sin dato","",INDEX(CODIFICACION!$E$2:$E$500,MATCH("D3.14i|"&amp;BK89,CODIFICACION!$F$2:$F$500,0))),"⚠"))</f>
        <v/>
      </c>
      <c r="AG89" t="str">
        <f>IF(BL89="","",IFERROR(IF(INDEX(CODIFICACION!$E$2:$E$500,MATCH("D4.15|"&amp;BL89,CODIFICACION!$F$2:$F$500,0))="sin dato","",INDEX(CODIFICACION!$E$2:$E$500,MATCH("D4.15|"&amp;BL89,CODIFICACION!$F$2:$F$500,0))),"⚠"))</f>
        <v/>
      </c>
      <c r="AH89" t="str">
        <f t="shared" si="56"/>
        <v/>
      </c>
      <c r="AI89" t="str">
        <f>IF(BN89="","",IFERROR(IF(INDEX(CODIFICACION!$E$2:$E$500,MATCH("D4.17|"&amp;BN89,CODIFICACION!$F$2:$F$500,0))="sin dato","",INDEX(CODIFICACION!$E$2:$E$500,MATCH("D4.17|"&amp;BN89,CODIFICACION!$F$2:$F$500,0))),"⚠"))</f>
        <v/>
      </c>
      <c r="AJ89" t="str">
        <f>IF(BO89="","",IFERROR(IF(INDEX(CODIFICACION!$E$2:$E$500,MATCH("D4.15a|"&amp;BO89,CODIFICACION!$F$2:$F$500,0))="sin dato","",INDEX(CODIFICACION!$E$2:$E$500,MATCH("D4.15a|"&amp;BO89,CODIFICACION!$F$2:$F$500,0))),"⚠"))</f>
        <v/>
      </c>
      <c r="AK89" t="str">
        <f t="shared" si="57"/>
        <v/>
      </c>
      <c r="AL89" t="str">
        <f t="shared" si="58"/>
        <v/>
      </c>
      <c r="AM89" t="str">
        <f>IF(BR89="","",IFERROR(IF(INDEX(CODIFICACION!$E$2:$E$500,MATCH("D5.18b|"&amp;BR89,CODIFICACION!$F$2:$F$500,0))="sin dato","",INDEX(CODIFICACION!$E$2:$E$500,MATCH("D5.18b|"&amp;BR89,CODIFICACION!$F$2:$F$500,0))),"⚠"))</f>
        <v/>
      </c>
      <c r="AN89" t="str">
        <f>IF(BS89="","",IFERROR(IF(INDEX(CODIFICACION!$E$2:$E$500,MATCH("D5.19|"&amp;BS89,CODIFICACION!$F$2:$F$500,0))="sin dato","",INDEX(CODIFICACION!$E$2:$E$500,MATCH("D5.19|"&amp;BS89,CODIFICACION!$F$2:$F$500,0))),"⚠"))</f>
        <v/>
      </c>
      <c r="AO89" t="str">
        <f t="shared" si="59"/>
        <v/>
      </c>
      <c r="AP89" t="str">
        <f>IF(BU89="","",IFERROR(IF(INDEX(CODIFICACION!$E$2:$E$500,MATCH("D5.20|"&amp;BU89,CODIFICACION!$F$2:$F$500,0))="sin dato","",INDEX(CODIFICACION!$E$2:$E$500,MATCH("D5.20|"&amp;BU89,CODIFICACION!$F$2:$F$500,0))),"⚠"))</f>
        <v/>
      </c>
      <c r="AQ89" t="str">
        <f>IF(BV89="","",IFERROR(IF(INDEX(CODIFICACION!$E$2:$E$500,MATCH("D5.21|"&amp;BV89,CODIFICACION!$F$2:$F$500,0))="sin dato","",INDEX(CODIFICACION!$E$2:$E$500,MATCH("D5.21|"&amp;BV89,CODIFICACION!$F$2:$F$500,0))),"⚠"))</f>
        <v/>
      </c>
      <c r="AR89" t="str">
        <f>IF(BW89="","",IFERROR(IF(INDEX(CODIFICACION!$E$2:$E$500,MATCH("D5.21a|"&amp;BW89,CODIFICACION!$F$2:$F$500,0))="sin dato","",INDEX(CODIFICACION!$E$2:$E$500,MATCH("D5.21a|"&amp;BW89,CODIFICACION!$F$2:$F$500,0))),"⚠"))</f>
        <v/>
      </c>
      <c r="AS89" t="str">
        <f>IF(BX89="","",IFERROR(IF(INDEX(CODIFICACION!$E$2:$E$500,MATCH("D5.21b|"&amp;BX89,CODIFICACION!$F$2:$F$500,0))="sin dato","",INDEX(CODIFICACION!$E$2:$E$500,MATCH("D5.21b|"&amp;BX89,CODIFICACION!$F$2:$F$500,0))),"⚠"))</f>
        <v/>
      </c>
      <c r="AT89" t="str">
        <f>IF(BY89="","",IFERROR(IF(INDEX(CODIFICACION!$E$2:$E$500,MATCH("D6.22|"&amp;BY89,CODIFICACION!$F$2:$F$500,0))="sin dato","",INDEX(CODIFICACION!$E$2:$E$500,MATCH("D6.22|"&amp;BY89,CODIFICACION!$F$2:$F$500,0))),"⚠"))</f>
        <v/>
      </c>
      <c r="AU89" t="str">
        <f>IF(BZ89="","",IFERROR(IF(INDEX(CODIFICACION!$E$2:$E$500,MATCH("D6.22a|"&amp;BZ89,CODIFICACION!$F$2:$F$500,0))="sin dato","",INDEX(CODIFICACION!$E$2:$E$500,MATCH("D6.22a|"&amp;BZ89,CODIFICACION!$F$2:$F$500,0))),"⚠"))</f>
        <v/>
      </c>
      <c r="AV89" t="str">
        <f>IF(CA89="","",IFERROR(IF(INDEX(CODIFICACION!$E$2:$E$500,MATCH("D6.22b|"&amp;CA89,CODIFICACION!$F$2:$F$500,0))="sin dato","",INDEX(CODIFICACION!$E$2:$E$500,MATCH("D6.22b|"&amp;CA89,CODIFICACION!$F$2:$F$500,0))),"⚠"))</f>
        <v/>
      </c>
      <c r="AW89" t="str">
        <f>IF(CB89="","",IFERROR(IF(INDEX(CODIFICACION!$E$2:$E$500,MATCH("D6.23|"&amp;CB89,CODIFICACION!$F$2:$F$500,0))="sin dato","",INDEX(CODIFICACION!$E$2:$E$500,MATCH("D6.23|"&amp;CB89,CODIFICACION!$F$2:$F$500,0))),"⚠"))</f>
        <v/>
      </c>
      <c r="AX89" t="str">
        <f ca="1">IF(CC89="","",IFERROR(IF(INDEX(CODIFICACION!$E$2:$E$500,MATCH("D6.24|"&amp;CC89,CODIFICACION!$F$2:$F$500,0))="sin dato","",INDEX(CODIFICACION!$E$2:$E$500,MATCH("D6.24|"&amp;CC89,CODIFICACION!$F$2:$F$500,0))),"⚠"))</f>
        <v/>
      </c>
      <c r="AY89" t="str">
        <f ca="1">IF(CD89="","",IFERROR(IF(INDEX(CODIFICACION!$E$2:$E$500,MATCH("D6.25|"&amp;CD89,CODIFICACION!$F$2:$F$500,0))="sin dato","",INDEX(CODIFICACION!$E$2:$E$500,MATCH("D6.25|"&amp;CD89,CODIFICACION!$F$2:$F$500,0))),"⚠"))</f>
        <v/>
      </c>
      <c r="AZ89" t="str">
        <f>IF(CE89="","",IFERROR(IF(INDEX(CODIFICACION!$E$2:$E$500,MATCH("D6.25a|"&amp;CE89,CODIFICACION!$F$2:$F$500,0))="sin dato","",INDEX(CODIFICACION!$E$2:$E$500,MATCH("D6.25a|"&amp;CE89,CODIFICACION!$F$2:$F$500,0))),"⚠"))</f>
        <v/>
      </c>
      <c r="BA89" t="str">
        <f>IF(CF89="","",IFERROR(IF(INDEX(CODIFICACION!$E$2:$E$500,MATCH("D6.25b|"&amp;CF89,CODIFICACION!$F$2:$F$500,0))="sin dato","",INDEX(CODIFICACION!$E$2:$E$500,MATCH("D6.25b|"&amp;CF89,CODIFICACION!$F$2:$F$500,0))),"⚠"))</f>
        <v/>
      </c>
      <c r="BB89" t="str">
        <f ca="1">IF(CG89="","",IFERROR(IF(INDEX(CODIFICACION!$E$2:$E$500,MATCH("D6.22c|"&amp;CG89,CODIFICACION!$F$2:$F$500,0))="sin dato","",INDEX(CODIFICACION!$E$2:$E$500,MATCH("D6.22c|"&amp;CG89,CODIFICACION!$F$2:$F$500,0))),"⚠"))</f>
        <v/>
      </c>
      <c r="BC89" t="str">
        <f ca="1">IF(CH89="","",IFERROR(IF(INDEX(CODIFICACION!$E$2:$E$500,MATCH("D7.26|"&amp;CH89,CODIFICACION!$F$2:$F$500,0))="sin dato","",INDEX(CODIFICACION!$E$2:$E$500,MATCH("D7.26|"&amp;CH89,CODIFICACION!$F$2:$F$500,0))),"⚠"))</f>
        <v/>
      </c>
      <c r="BD89" t="str">
        <f>IF(CI89="","",IFERROR(IF(INDEX(CODIFICACION!$E$2:$E$500,MATCH("D7.27|"&amp;CI89,CODIFICACION!$F$2:$F$500,0))="sin dato","",INDEX(CODIFICACION!$E$2:$E$500,MATCH("D7.27|"&amp;CI89,CODIFICACION!$F$2:$F$500,0))),"⚠"))</f>
        <v/>
      </c>
      <c r="BE89" t="str">
        <f>IF(CJ89="","",IFERROR(IF(INDEX(CODIFICACION!$E$2:$E$500,MATCH("D7.28|"&amp;CJ89,CODIFICACION!$F$2:$F$500,0))="sin dato","",INDEX(CODIFICACION!$E$2:$E$500,MATCH("D7.28|"&amp;CJ89,CODIFICACION!$F$2:$F$500,0))),"⚠"))</f>
        <v/>
      </c>
      <c r="BF89" t="str">
        <f>IF(CK89="","",IFERROR(IF(INDEX(CODIFICACION!$E$2:$E$500,MATCH("D7.28b|"&amp;CK89,CODIFICACION!$F$2:$F$500,0))="sin dato","",INDEX(CODIFICACION!$E$2:$E$500,MATCH("D7.28b|"&amp;CK89,CODIFICACION!$F$2:$F$500,0))),"⚠"))</f>
        <v/>
      </c>
      <c r="BG89" t="str">
        <f t="shared" si="60"/>
        <v/>
      </c>
      <c r="BH89" t="str">
        <f>IF(CM89="","",IFERROR(IF(INDEX(CODIFICACION!$E$2:$E$500,MATCH("D7.26a|"&amp;CM89,CODIFICACION!$F$2:$F$500,0))="sin dato","",INDEX(CODIFICACION!$E$2:$E$500,MATCH("D7.26a|"&amp;CM89,CODIFICACION!$F$2:$F$500,0))),"⚠"))</f>
        <v/>
      </c>
      <c r="BI89" t="str">
        <f>IF(CN89="","",IFERROR(IF(INDEX(CODIFICACION!$E$2:$E$500,MATCH("D7.26b|"&amp;CN89,CODIFICACION!$F$2:$F$500,0))="sin dato","",INDEX(CODIFICACION!$E$2:$E$500,MATCH("D7.26b|"&amp;CN89,CODIFICACION!$F$2:$F$500,0))),"⚠"))</f>
        <v/>
      </c>
      <c r="BJ89" t="str">
        <f t="shared" si="61"/>
        <v/>
      </c>
      <c r="BK89" t="str">
        <f t="shared" si="62"/>
        <v/>
      </c>
      <c r="BL89" t="str">
        <f>IF(CQ89="","",IFERROR(IF(INDEX(CODIFICACION!$E$2:$E$500,MATCH("D8.31|"&amp;CQ89,CODIFICACION!$F$2:$F$500,0))="sin dato","",INDEX(CODIFICACION!$E$2:$E$500,MATCH("D8.31|"&amp;CQ89,CODIFICACION!$F$2:$F$500,0))),"⚠"))</f>
        <v/>
      </c>
      <c r="BM89" t="str">
        <f>IF(CR89="","",IFERROR(IF(INDEX(CODIFICACION!$E$2:$E$500,MATCH("D8.32|"&amp;CR89,CODIFICACION!$F$2:$F$500,0))="sin dato","",INDEX(CODIFICACION!$E$2:$E$500,MATCH("D8.32|"&amp;CR89,CODIFICACION!$F$2:$F$500,0))),"⚠"))</f>
        <v/>
      </c>
      <c r="BN89" t="str">
        <f>IF(CS89="","",IFERROR(IF(INDEX(CODIFICACION!$E$2:$E$500,MATCH("D9.33|"&amp;CS89,CODIFICACION!$F$2:$F$500,0))="sin dato","",INDEX(CODIFICACION!$E$2:$E$500,MATCH("D9.33|"&amp;CS89,CODIFICACION!$F$2:$F$500,0))),"⚠"))</f>
        <v/>
      </c>
      <c r="BO89" t="str">
        <f>IF(CT89="","",IFERROR(IF(INDEX(CODIFICACION!$E$2:$E$500,MATCH("D9.34|"&amp;CT89,CODIFICACION!$F$2:$F$500,0))="sin dato","",INDEX(CODIFICACION!$E$2:$E$500,MATCH("D9.34|"&amp;CT89,CODIFICACION!$F$2:$F$500,0))),"⚠"))</f>
        <v/>
      </c>
      <c r="BP89" t="str">
        <f>IF(CU89="","",IFERROR(IF(INDEX(CODIFICACION!$E$2:$E$500,MATCH("D9.35|"&amp;CU89,CODIFICACION!$F$2:$F$500,0))="sin dato","",INDEX(CODIFICACION!$E$2:$E$500,MATCH("D9.35|"&amp;CU89,CODIFICACION!$F$2:$F$500,0))),"⚠"))</f>
        <v/>
      </c>
      <c r="BQ89" t="str">
        <f>IF(CV89="","",IFERROR(IF(INDEX(CODIFICACION!$E$2:$E$500,MATCH("D10.36|"&amp;CV89,CODIFICACION!$F$2:$F$500,0))="sin dato","",INDEX(CODIFICACION!$E$2:$E$500,MATCH("D10.36|"&amp;CV89,CODIFICACION!$F$2:$F$500,0))),"⚠"))</f>
        <v/>
      </c>
      <c r="BR89" t="str">
        <f>IF(CW89="","",IFERROR(IF(INDEX(CODIFICACION!$E$2:$E$500,MATCH("D10.37|"&amp;CW89,CODIFICACION!$F$2:$F$500,0))="sin dato","",INDEX(CODIFICACION!$E$2:$E$500,MATCH("D10.37|"&amp;CW89,CODIFICACION!$F$2:$F$500,0))),"⚠"))</f>
        <v/>
      </c>
      <c r="BS89" t="str">
        <f>IF(CX89="","",IFERROR(IF(INDEX(CODIFICACION!$E$2:$E$500,MATCH("D10.36a|"&amp;CX89,CODIFICACION!$F$2:$F$500,0))="sin dato","",INDEX(CODIFICACION!$E$2:$E$500,MATCH("D10.36a|"&amp;CX89,CODIFICACION!$F$2:$F$500,0))),"⚠"))</f>
        <v/>
      </c>
      <c r="BT89" t="str">
        <f t="shared" si="63"/>
        <v/>
      </c>
      <c r="BU89" t="str">
        <f>IF(DA89="","",IFERROR(IF(INDEX(CODIFICACION!$E$2:$E$500,MATCH("D11.39a|"&amp;DA89,CODIFICACION!$F$2:$F$500,0))="sin dato","",INDEX(CODIFICACION!$E$2:$E$500,MATCH("D11.39a|"&amp;DA89,CODIFICACION!$F$2:$F$500,0))),"⚠"))</f>
        <v/>
      </c>
      <c r="BV89" t="str">
        <f>IF(DB89="","",IFERROR(IF(INDEX(CODIFICACION!$E$2:$E$500,MATCH("D12.42|"&amp;DB89,CODIFICACION!$F$2:$F$500,0))="sin dato","",INDEX(CODIFICACION!$E$2:$E$500,MATCH("D12.42|"&amp;DB89,CODIFICACION!$F$2:$F$500,0))),"⚠"))</f>
        <v/>
      </c>
      <c r="BW89" t="str">
        <f>IF(DC89="","",IFERROR(IF(INDEX(CODIFICACION!$E$2:$E$500,MATCH("D13.45|"&amp;DC89,CODIFICACION!$F$2:$F$500,0))="sin dato","",INDEX(CODIFICACION!$E$2:$E$500,MATCH("D13.45|"&amp;DC89,CODIFICACION!$F$2:$F$500,0))),"⚠"))</f>
        <v/>
      </c>
      <c r="BX89" t="str">
        <f>IF(DD89="","",IFERROR(IF(INDEX(CODIFICACION!$E$2:$E$500,MATCH("D14.51|"&amp;DD89,CODIFICACION!$F$2:$F$500,0))="sin dato","",INDEX(CODIFICACION!$E$2:$E$500,MATCH("D14.51|"&amp;DD89,CODIFICACION!$F$2:$F$500,0))),"⚠"))</f>
        <v/>
      </c>
      <c r="BY89" t="str">
        <f>IF(DE89="","",IFERROR(IF(INDEX(CODIFICACION!$E$2:$E$500,MATCH("D15.58|"&amp;DE89,CODIFICACION!$F$2:$F$500,0))="sin dato","",INDEX(CODIFICACION!$E$2:$E$500,MATCH("D15.58|"&amp;DE89,CODIFICACION!$F$2:$F$500,0))),"⚠"))</f>
        <v/>
      </c>
      <c r="BZ89" t="str">
        <f>IF(DF89="","",IFERROR(IF(INDEX(CODIFICACION!$E$2:$E$500,MATCH("PP1|"&amp;DF89,CODIFICACION!$F$2:$F$500,0))="sin dato","",INDEX(CODIFICACION!$E$2:$E$500,MATCH("PP1|"&amp;DF89,CODIFICACION!$F$2:$F$500,0))),"⚠"))</f>
        <v/>
      </c>
      <c r="CA89" t="str">
        <f>IF(DG89="","",IFERROR(IF(INDEX(CODIFICACION!$E$2:$E$500,MATCH("PP2|"&amp;DG89,CODIFICACION!$F$2:$F$500,0))="sin dato","",INDEX(CODIFICACION!$E$2:$E$500,MATCH("PP2|"&amp;DG89,CODIFICACION!$F$2:$F$500,0))),"⚠"))</f>
        <v/>
      </c>
      <c r="CB89" t="str">
        <f t="shared" si="64"/>
        <v/>
      </c>
      <c r="CC89" t="str">
        <f t="shared" ca="1" si="65"/>
        <v/>
      </c>
      <c r="CD89" t="str">
        <f t="shared" ca="1" si="66"/>
        <v/>
      </c>
      <c r="CE89" t="str">
        <f t="shared" si="67"/>
        <v/>
      </c>
      <c r="CF89" t="str">
        <f t="shared" si="68"/>
        <v/>
      </c>
      <c r="CG89" t="str">
        <f t="shared" ca="1" si="69"/>
        <v/>
      </c>
      <c r="CH89" t="str">
        <f t="shared" ca="1" si="70"/>
        <v/>
      </c>
      <c r="CI89" t="str">
        <f t="shared" si="71"/>
        <v/>
      </c>
      <c r="CJ89" t="str">
        <f t="shared" si="72"/>
        <v/>
      </c>
      <c r="CK89" t="str">
        <f t="shared" si="73"/>
        <v/>
      </c>
      <c r="CL89" t="str">
        <f t="shared" si="74"/>
        <v/>
      </c>
    </row>
    <row r="90" spans="1:90" x14ac:dyDescent="0.3">
      <c r="A90">
        <f>CAPTURA!A90</f>
        <v>20568609833</v>
      </c>
      <c r="B90">
        <f>CAPTURA!C90</f>
        <v>0</v>
      </c>
      <c r="C90" t="str">
        <f t="shared" si="50"/>
        <v/>
      </c>
      <c r="D90" t="str">
        <f>IF(AE90="","",IFERROR(IF(INDEX(CODIFICACION!$E$2:$E$500,MATCH("P8|"&amp;AE90,CODIFICACION!$F$2:$F$500,0))="sin dato","",INDEX(CODIFICACION!$E$2:$E$500,MATCH("P8|"&amp;AE90,CODIFICACION!$F$2:$F$500,0))),"⚠"))</f>
        <v/>
      </c>
      <c r="E90" t="str">
        <f>IF(AG90="","",IFERROR(IF(INDEX(CODIFICACION!$E$2:$E$500,MATCH("P10|"&amp;AG90,CODIFICACION!$F$2:$F$500,0))="sin dato","",INDEX(CODIFICACION!$E$2:$E$500,MATCH("P10|"&amp;AG90,CODIFICACION!$F$2:$F$500,0))),"⚠"))</f>
        <v/>
      </c>
      <c r="F90" t="str">
        <f>IF(AJ90="","",IFERROR(IF(INDEX(CODIFICACION!$E$2:$E$500,MATCH("P13|"&amp;AJ90,CODIFICACION!$F$2:$F$500,0))="sin dato","",INDEX(CODIFICACION!$E$2:$E$500,MATCH("P13|"&amp;AJ90,CODIFICACION!$F$2:$F$500,0))),"⚠"))</f>
        <v/>
      </c>
      <c r="G90" t="str">
        <f>IF(AK90="","",IFERROR(IF(INDEX(CODIFICACION!$E$2:$E$500,MATCH("P14|"&amp;AK90,CODIFICACION!$F$2:$F$500,0))="sin dato","",INDEX(CODIFICACION!$E$2:$E$500,MATCH("P14|"&amp;AK90,CODIFICACION!$F$2:$F$500,0))),"⚠"))</f>
        <v/>
      </c>
      <c r="H90" t="str">
        <f>IF(AL90="","",IFERROR(IF(INDEX(CODIFICACION!$E$2:$E$500,MATCH("D1.1|"&amp;AL90,CODIFICACION!$F$2:$F$500,0))="sin dato","",INDEX(CODIFICACION!$E$2:$E$500,MATCH("D1.1|"&amp;AL90,CODIFICACION!$F$2:$F$500,0))),"⚠"))</f>
        <v/>
      </c>
      <c r="I90" t="str">
        <f>IF(AN90="","",IFERROR(IF(INDEX(CODIFICACION!$E$2:$E$500,MATCH("D1.3|"&amp;AN90,CODIFICACION!$F$2:$F$500,0))="sin dato","",INDEX(CODIFICACION!$E$2:$E$500,MATCH("D1.3|"&amp;AN90,CODIFICACION!$F$2:$F$500,0))),"⚠"))</f>
        <v/>
      </c>
      <c r="J90" t="str">
        <f>IF(AO90="","",IFERROR(IF(INDEX(CODIFICACION!$E$2:$E$500,MATCH("D1.4|"&amp;AO90,CODIFICACION!$F$2:$F$500,0))="sin dato","",INDEX(CODIFICACION!$E$2:$E$500,MATCH("D1.4|"&amp;AO90,CODIFICACION!$F$2:$F$500,0))),"⚠"))</f>
        <v/>
      </c>
      <c r="K90" t="str">
        <f>IF(AP90="","",IFERROR(IF(INDEX(CODIFICACION!$E$2:$E$500,MATCH("D1.3a|"&amp;AP90,CODIFICACION!$F$2:$F$500,0))="sin dato","",INDEX(CODIFICACION!$E$2:$E$500,MATCH("D1.3a|"&amp;AP90,CODIFICACION!$F$2:$F$500,0))),"⚠"))</f>
        <v/>
      </c>
      <c r="L90" t="str">
        <f t="shared" si="51"/>
        <v/>
      </c>
      <c r="M90" t="str">
        <f t="shared" si="52"/>
        <v/>
      </c>
      <c r="N90" t="str">
        <f t="shared" si="53"/>
        <v/>
      </c>
      <c r="O90" t="str">
        <f>IF(AT90="","",IFERROR(IF(INDEX(CODIFICACION!$E$2:$E$500,MATCH("D2.8|"&amp;AT90,CODIFICACION!$F$2:$F$500,0))="sin dato","",INDEX(CODIFICACION!$E$2:$E$500,MATCH("D2.8|"&amp;AT90,CODIFICACION!$F$2:$F$500,0))),"⚠"))</f>
        <v/>
      </c>
      <c r="P90" t="str">
        <f>IF(AU90="","",IFERROR(IF(INDEX(CODIFICACION!$E$2:$E$500,MATCH("D2.9|"&amp;AU90,CODIFICACION!$F$2:$F$500,0))="sin dato","",INDEX(CODIFICACION!$E$2:$E$500,MATCH("D2.9|"&amp;AU90,CODIFICACION!$F$2:$F$500,0))),"⚠"))</f>
        <v/>
      </c>
      <c r="Q90" t="str">
        <f>IF(AV90="","",IFERROR(IF(INDEX(CODIFICACION!$E$2:$E$500,MATCH("D2.10|"&amp;AV90,CODIFICACION!$F$2:$F$500,0))="sin dato","",INDEX(CODIFICACION!$E$2:$E$500,MATCH("D2.10|"&amp;AV90,CODIFICACION!$F$2:$F$500,0))),"⚠"))</f>
        <v/>
      </c>
      <c r="R90" t="str">
        <f>IF(AW90="","",IFERROR(IF(INDEX(CODIFICACION!$E$2:$E$500,MATCH("D2.5a|"&amp;AW90,CODIFICACION!$F$2:$F$500,0))="sin dato","",INDEX(CODIFICACION!$E$2:$E$500,MATCH("D2.5a|"&amp;AW90,CODIFICACION!$F$2:$F$500,0))),"⚠"))</f>
        <v/>
      </c>
      <c r="S90" t="str">
        <f ca="1">IF(AX90="","",IFERROR(IF(INDEX(CODIFICACION!$E$2:$E$500,MATCH("D2.5b|"&amp;AX90,CODIFICACION!$F$2:$F$500,0))="sin dato","",INDEX(CODIFICACION!$E$2:$E$500,MATCH("D2.5b|"&amp;AX90,CODIFICACION!$F$2:$F$500,0))),"⚠"))</f>
        <v/>
      </c>
      <c r="T90" t="str">
        <f t="shared" ca="1" si="54"/>
        <v/>
      </c>
      <c r="U90" t="str">
        <f>IF(AZ90="","",IFERROR(IF(INDEX(CODIFICACION!$E$2:$E$500,MATCH("D3.12|"&amp;AZ90,CODIFICACION!$F$2:$F$500,0))="sin dato","",INDEX(CODIFICACION!$E$2:$E$500,MATCH("D3.12|"&amp;AZ90,CODIFICACION!$F$2:$F$500,0))),"⚠"))</f>
        <v/>
      </c>
      <c r="V90" t="str">
        <f t="shared" si="55"/>
        <v/>
      </c>
      <c r="W90" t="str">
        <f ca="1">IF(BB90="","",IFERROR(IF(INDEX(CODIFICACION!$E$2:$E$500,MATCH("D3.14|"&amp;BB90,CODIFICACION!$F$2:$F$500,0))="sin dato","",INDEX(CODIFICACION!$E$2:$E$500,MATCH("D3.14|"&amp;BB90,CODIFICACION!$F$2:$F$500,0))),"⚠"))</f>
        <v/>
      </c>
      <c r="X90" t="str">
        <f ca="1">IF(BC90="","",IFERROR(IF(INDEX(CODIFICACION!$E$2:$E$500,MATCH("D3.14a|"&amp;BC90,CODIFICACION!$F$2:$F$500,0))="sin dato","",INDEX(CODIFICACION!$E$2:$E$500,MATCH("D3.14a|"&amp;BC90,CODIFICACION!$F$2:$F$500,0))),"⚠"))</f>
        <v/>
      </c>
      <c r="Y90" t="str">
        <f>IF(BD90="","",IFERROR(IF(INDEX(CODIFICACION!$E$2:$E$500,MATCH("D3.14b|"&amp;BD90,CODIFICACION!$F$2:$F$500,0))="sin dato","",INDEX(CODIFICACION!$E$2:$E$500,MATCH("D3.14b|"&amp;BD90,CODIFICACION!$F$2:$F$500,0))),"⚠"))</f>
        <v/>
      </c>
      <c r="Z90" t="str">
        <f>IF(BE90="","",IFERROR(IF(INDEX(CODIFICACION!$E$2:$E$500,MATCH("D3.14c|"&amp;BE90,CODIFICACION!$F$2:$F$500,0))="sin dato","",INDEX(CODIFICACION!$E$2:$E$500,MATCH("D3.14c|"&amp;BE90,CODIFICACION!$F$2:$F$500,0))),"⚠"))</f>
        <v/>
      </c>
      <c r="AA90" t="str">
        <f>IF(BF90="","",IFERROR(IF(INDEX(CODIFICACION!$E$2:$E$500,MATCH("D3.14d|"&amp;BF90,CODIFICACION!$F$2:$F$500,0))="sin dato","",INDEX(CODIFICACION!$E$2:$E$500,MATCH("D3.14d|"&amp;BF90,CODIFICACION!$F$2:$F$500,0))),"⚠"))</f>
        <v/>
      </c>
      <c r="AB90" t="str">
        <f>IF(BG90="","",IFERROR(IF(INDEX(CODIFICACION!$E$2:$E$500,MATCH("D3.14e|"&amp;BG90,CODIFICACION!$F$2:$F$500,0))="sin dato","",INDEX(CODIFICACION!$E$2:$E$500,MATCH("D3.14e|"&amp;BG90,CODIFICACION!$F$2:$F$500,0))),"⚠"))</f>
        <v/>
      </c>
      <c r="AC90" t="str">
        <f>IF(BH90="","",IFERROR(IF(INDEX(CODIFICACION!$E$2:$E$500,MATCH("D3.14f|"&amp;BH90,CODIFICACION!$F$2:$F$500,0))="sin dato","",INDEX(CODIFICACION!$E$2:$E$500,MATCH("D3.14f|"&amp;BH90,CODIFICACION!$F$2:$F$500,0))),"⚠"))</f>
        <v/>
      </c>
      <c r="AD90" t="str">
        <f>IF(BI90="","",IFERROR(IF(INDEX(CODIFICACION!$E$2:$E$500,MATCH("D3.14g|"&amp;BI90,CODIFICACION!$F$2:$F$500,0))="sin dato","",INDEX(CODIFICACION!$E$2:$E$500,MATCH("D3.14g|"&amp;BI90,CODIFICACION!$F$2:$F$500,0))),"⚠"))</f>
        <v/>
      </c>
      <c r="AE90" t="str">
        <f>IF(BJ90="","",IFERROR(IF(INDEX(CODIFICACION!$E$2:$E$500,MATCH("D3.14h|"&amp;BJ90,CODIFICACION!$F$2:$F$500,0))="sin dato","",INDEX(CODIFICACION!$E$2:$E$500,MATCH("D3.14h|"&amp;BJ90,CODIFICACION!$F$2:$F$500,0))),"⚠"))</f>
        <v/>
      </c>
      <c r="AF90" t="str">
        <f>IF(BK90="","",IFERROR(IF(INDEX(CODIFICACION!$E$2:$E$500,MATCH("D3.14i|"&amp;BK90,CODIFICACION!$F$2:$F$500,0))="sin dato","",INDEX(CODIFICACION!$E$2:$E$500,MATCH("D3.14i|"&amp;BK90,CODIFICACION!$F$2:$F$500,0))),"⚠"))</f>
        <v/>
      </c>
      <c r="AG90" t="str">
        <f>IF(BL90="","",IFERROR(IF(INDEX(CODIFICACION!$E$2:$E$500,MATCH("D4.15|"&amp;BL90,CODIFICACION!$F$2:$F$500,0))="sin dato","",INDEX(CODIFICACION!$E$2:$E$500,MATCH("D4.15|"&amp;BL90,CODIFICACION!$F$2:$F$500,0))),"⚠"))</f>
        <v/>
      </c>
      <c r="AH90" t="str">
        <f t="shared" si="56"/>
        <v/>
      </c>
      <c r="AI90" t="str">
        <f>IF(BN90="","",IFERROR(IF(INDEX(CODIFICACION!$E$2:$E$500,MATCH("D4.17|"&amp;BN90,CODIFICACION!$F$2:$F$500,0))="sin dato","",INDEX(CODIFICACION!$E$2:$E$500,MATCH("D4.17|"&amp;BN90,CODIFICACION!$F$2:$F$500,0))),"⚠"))</f>
        <v/>
      </c>
      <c r="AJ90" t="str">
        <f>IF(BO90="","",IFERROR(IF(INDEX(CODIFICACION!$E$2:$E$500,MATCH("D4.15a|"&amp;BO90,CODIFICACION!$F$2:$F$500,0))="sin dato","",INDEX(CODIFICACION!$E$2:$E$500,MATCH("D4.15a|"&amp;BO90,CODIFICACION!$F$2:$F$500,0))),"⚠"))</f>
        <v/>
      </c>
      <c r="AK90" t="str">
        <f t="shared" si="57"/>
        <v/>
      </c>
      <c r="AL90" t="str">
        <f t="shared" si="58"/>
        <v/>
      </c>
      <c r="AM90" t="str">
        <f>IF(BR90="","",IFERROR(IF(INDEX(CODIFICACION!$E$2:$E$500,MATCH("D5.18b|"&amp;BR90,CODIFICACION!$F$2:$F$500,0))="sin dato","",INDEX(CODIFICACION!$E$2:$E$500,MATCH("D5.18b|"&amp;BR90,CODIFICACION!$F$2:$F$500,0))),"⚠"))</f>
        <v/>
      </c>
      <c r="AN90" t="str">
        <f>IF(BS90="","",IFERROR(IF(INDEX(CODIFICACION!$E$2:$E$500,MATCH("D5.19|"&amp;BS90,CODIFICACION!$F$2:$F$500,0))="sin dato","",INDEX(CODIFICACION!$E$2:$E$500,MATCH("D5.19|"&amp;BS90,CODIFICACION!$F$2:$F$500,0))),"⚠"))</f>
        <v/>
      </c>
      <c r="AO90" t="str">
        <f t="shared" si="59"/>
        <v/>
      </c>
      <c r="AP90" t="str">
        <f>IF(BU90="","",IFERROR(IF(INDEX(CODIFICACION!$E$2:$E$500,MATCH("D5.20|"&amp;BU90,CODIFICACION!$F$2:$F$500,0))="sin dato","",INDEX(CODIFICACION!$E$2:$E$500,MATCH("D5.20|"&amp;BU90,CODIFICACION!$F$2:$F$500,0))),"⚠"))</f>
        <v/>
      </c>
      <c r="AQ90" t="str">
        <f>IF(BV90="","",IFERROR(IF(INDEX(CODIFICACION!$E$2:$E$500,MATCH("D5.21|"&amp;BV90,CODIFICACION!$F$2:$F$500,0))="sin dato","",INDEX(CODIFICACION!$E$2:$E$500,MATCH("D5.21|"&amp;BV90,CODIFICACION!$F$2:$F$500,0))),"⚠"))</f>
        <v/>
      </c>
      <c r="AR90" t="str">
        <f>IF(BW90="","",IFERROR(IF(INDEX(CODIFICACION!$E$2:$E$500,MATCH("D5.21a|"&amp;BW90,CODIFICACION!$F$2:$F$500,0))="sin dato","",INDEX(CODIFICACION!$E$2:$E$500,MATCH("D5.21a|"&amp;BW90,CODIFICACION!$F$2:$F$500,0))),"⚠"))</f>
        <v/>
      </c>
      <c r="AS90" t="str">
        <f>IF(BX90="","",IFERROR(IF(INDEX(CODIFICACION!$E$2:$E$500,MATCH("D5.21b|"&amp;BX90,CODIFICACION!$F$2:$F$500,0))="sin dato","",INDEX(CODIFICACION!$E$2:$E$500,MATCH("D5.21b|"&amp;BX90,CODIFICACION!$F$2:$F$500,0))),"⚠"))</f>
        <v/>
      </c>
      <c r="AT90" t="str">
        <f>IF(BY90="","",IFERROR(IF(INDEX(CODIFICACION!$E$2:$E$500,MATCH("D6.22|"&amp;BY90,CODIFICACION!$F$2:$F$500,0))="sin dato","",INDEX(CODIFICACION!$E$2:$E$500,MATCH("D6.22|"&amp;BY90,CODIFICACION!$F$2:$F$500,0))),"⚠"))</f>
        <v/>
      </c>
      <c r="AU90" t="str">
        <f>IF(BZ90="","",IFERROR(IF(INDEX(CODIFICACION!$E$2:$E$500,MATCH("D6.22a|"&amp;BZ90,CODIFICACION!$F$2:$F$500,0))="sin dato","",INDEX(CODIFICACION!$E$2:$E$500,MATCH("D6.22a|"&amp;BZ90,CODIFICACION!$F$2:$F$500,0))),"⚠"))</f>
        <v/>
      </c>
      <c r="AV90" t="str">
        <f>IF(CA90="","",IFERROR(IF(INDEX(CODIFICACION!$E$2:$E$500,MATCH("D6.22b|"&amp;CA90,CODIFICACION!$F$2:$F$500,0))="sin dato","",INDEX(CODIFICACION!$E$2:$E$500,MATCH("D6.22b|"&amp;CA90,CODIFICACION!$F$2:$F$500,0))),"⚠"))</f>
        <v/>
      </c>
      <c r="AW90" t="str">
        <f>IF(CB90="","",IFERROR(IF(INDEX(CODIFICACION!$E$2:$E$500,MATCH("D6.23|"&amp;CB90,CODIFICACION!$F$2:$F$500,0))="sin dato","",INDEX(CODIFICACION!$E$2:$E$500,MATCH("D6.23|"&amp;CB90,CODIFICACION!$F$2:$F$500,0))),"⚠"))</f>
        <v/>
      </c>
      <c r="AX90" t="str">
        <f ca="1">IF(CC90="","",IFERROR(IF(INDEX(CODIFICACION!$E$2:$E$500,MATCH("D6.24|"&amp;CC90,CODIFICACION!$F$2:$F$500,0))="sin dato","",INDEX(CODIFICACION!$E$2:$E$500,MATCH("D6.24|"&amp;CC90,CODIFICACION!$F$2:$F$500,0))),"⚠"))</f>
        <v/>
      </c>
      <c r="AY90" t="str">
        <f ca="1">IF(CD90="","",IFERROR(IF(INDEX(CODIFICACION!$E$2:$E$500,MATCH("D6.25|"&amp;CD90,CODIFICACION!$F$2:$F$500,0))="sin dato","",INDEX(CODIFICACION!$E$2:$E$500,MATCH("D6.25|"&amp;CD90,CODIFICACION!$F$2:$F$500,0))),"⚠"))</f>
        <v/>
      </c>
      <c r="AZ90" t="str">
        <f>IF(CE90="","",IFERROR(IF(INDEX(CODIFICACION!$E$2:$E$500,MATCH("D6.25a|"&amp;CE90,CODIFICACION!$F$2:$F$500,0))="sin dato","",INDEX(CODIFICACION!$E$2:$E$500,MATCH("D6.25a|"&amp;CE90,CODIFICACION!$F$2:$F$500,0))),"⚠"))</f>
        <v/>
      </c>
      <c r="BA90" t="str">
        <f>IF(CF90="","",IFERROR(IF(INDEX(CODIFICACION!$E$2:$E$500,MATCH("D6.25b|"&amp;CF90,CODIFICACION!$F$2:$F$500,0))="sin dato","",INDEX(CODIFICACION!$E$2:$E$500,MATCH("D6.25b|"&amp;CF90,CODIFICACION!$F$2:$F$500,0))),"⚠"))</f>
        <v/>
      </c>
      <c r="BB90" t="str">
        <f ca="1">IF(CG90="","",IFERROR(IF(INDEX(CODIFICACION!$E$2:$E$500,MATCH("D6.22c|"&amp;CG90,CODIFICACION!$F$2:$F$500,0))="sin dato","",INDEX(CODIFICACION!$E$2:$E$500,MATCH("D6.22c|"&amp;CG90,CODIFICACION!$F$2:$F$500,0))),"⚠"))</f>
        <v/>
      </c>
      <c r="BC90" t="str">
        <f ca="1">IF(CH90="","",IFERROR(IF(INDEX(CODIFICACION!$E$2:$E$500,MATCH("D7.26|"&amp;CH90,CODIFICACION!$F$2:$F$500,0))="sin dato","",INDEX(CODIFICACION!$E$2:$E$500,MATCH("D7.26|"&amp;CH90,CODIFICACION!$F$2:$F$500,0))),"⚠"))</f>
        <v/>
      </c>
      <c r="BD90" t="str">
        <f>IF(CI90="","",IFERROR(IF(INDEX(CODIFICACION!$E$2:$E$500,MATCH("D7.27|"&amp;CI90,CODIFICACION!$F$2:$F$500,0))="sin dato","",INDEX(CODIFICACION!$E$2:$E$500,MATCH("D7.27|"&amp;CI90,CODIFICACION!$F$2:$F$500,0))),"⚠"))</f>
        <v/>
      </c>
      <c r="BE90" t="str">
        <f>IF(CJ90="","",IFERROR(IF(INDEX(CODIFICACION!$E$2:$E$500,MATCH("D7.28|"&amp;CJ90,CODIFICACION!$F$2:$F$500,0))="sin dato","",INDEX(CODIFICACION!$E$2:$E$500,MATCH("D7.28|"&amp;CJ90,CODIFICACION!$F$2:$F$500,0))),"⚠"))</f>
        <v/>
      </c>
      <c r="BF90" t="str">
        <f>IF(CK90="","",IFERROR(IF(INDEX(CODIFICACION!$E$2:$E$500,MATCH("D7.28b|"&amp;CK90,CODIFICACION!$F$2:$F$500,0))="sin dato","",INDEX(CODIFICACION!$E$2:$E$500,MATCH("D7.28b|"&amp;CK90,CODIFICACION!$F$2:$F$500,0))),"⚠"))</f>
        <v/>
      </c>
      <c r="BG90" t="str">
        <f t="shared" si="60"/>
        <v/>
      </c>
      <c r="BH90" t="str">
        <f>IF(CM90="","",IFERROR(IF(INDEX(CODIFICACION!$E$2:$E$500,MATCH("D7.26a|"&amp;CM90,CODIFICACION!$F$2:$F$500,0))="sin dato","",INDEX(CODIFICACION!$E$2:$E$500,MATCH("D7.26a|"&amp;CM90,CODIFICACION!$F$2:$F$500,0))),"⚠"))</f>
        <v/>
      </c>
      <c r="BI90" t="str">
        <f>IF(CN90="","",IFERROR(IF(INDEX(CODIFICACION!$E$2:$E$500,MATCH("D7.26b|"&amp;CN90,CODIFICACION!$F$2:$F$500,0))="sin dato","",INDEX(CODIFICACION!$E$2:$E$500,MATCH("D7.26b|"&amp;CN90,CODIFICACION!$F$2:$F$500,0))),"⚠"))</f>
        <v/>
      </c>
      <c r="BJ90" t="str">
        <f t="shared" si="61"/>
        <v/>
      </c>
      <c r="BK90" t="str">
        <f t="shared" si="62"/>
        <v/>
      </c>
      <c r="BL90" t="str">
        <f>IF(CQ90="","",IFERROR(IF(INDEX(CODIFICACION!$E$2:$E$500,MATCH("D8.31|"&amp;CQ90,CODIFICACION!$F$2:$F$500,0))="sin dato","",INDEX(CODIFICACION!$E$2:$E$500,MATCH("D8.31|"&amp;CQ90,CODIFICACION!$F$2:$F$500,0))),"⚠"))</f>
        <v/>
      </c>
      <c r="BM90" t="str">
        <f>IF(CR90="","",IFERROR(IF(INDEX(CODIFICACION!$E$2:$E$500,MATCH("D8.32|"&amp;CR90,CODIFICACION!$F$2:$F$500,0))="sin dato","",INDEX(CODIFICACION!$E$2:$E$500,MATCH("D8.32|"&amp;CR90,CODIFICACION!$F$2:$F$500,0))),"⚠"))</f>
        <v/>
      </c>
      <c r="BN90" t="str">
        <f>IF(CS90="","",IFERROR(IF(INDEX(CODIFICACION!$E$2:$E$500,MATCH("D9.33|"&amp;CS90,CODIFICACION!$F$2:$F$500,0))="sin dato","",INDEX(CODIFICACION!$E$2:$E$500,MATCH("D9.33|"&amp;CS90,CODIFICACION!$F$2:$F$500,0))),"⚠"))</f>
        <v/>
      </c>
      <c r="BO90" t="str">
        <f>IF(CT90="","",IFERROR(IF(INDEX(CODIFICACION!$E$2:$E$500,MATCH("D9.34|"&amp;CT90,CODIFICACION!$F$2:$F$500,0))="sin dato","",INDEX(CODIFICACION!$E$2:$E$500,MATCH("D9.34|"&amp;CT90,CODIFICACION!$F$2:$F$500,0))),"⚠"))</f>
        <v/>
      </c>
      <c r="BP90" t="str">
        <f>IF(CU90="","",IFERROR(IF(INDEX(CODIFICACION!$E$2:$E$500,MATCH("D9.35|"&amp;CU90,CODIFICACION!$F$2:$F$500,0))="sin dato","",INDEX(CODIFICACION!$E$2:$E$500,MATCH("D9.35|"&amp;CU90,CODIFICACION!$F$2:$F$500,0))),"⚠"))</f>
        <v/>
      </c>
      <c r="BQ90" t="str">
        <f>IF(CV90="","",IFERROR(IF(INDEX(CODIFICACION!$E$2:$E$500,MATCH("D10.36|"&amp;CV90,CODIFICACION!$F$2:$F$500,0))="sin dato","",INDEX(CODIFICACION!$E$2:$E$500,MATCH("D10.36|"&amp;CV90,CODIFICACION!$F$2:$F$500,0))),"⚠"))</f>
        <v/>
      </c>
      <c r="BR90" t="str">
        <f>IF(CW90="","",IFERROR(IF(INDEX(CODIFICACION!$E$2:$E$500,MATCH("D10.37|"&amp;CW90,CODIFICACION!$F$2:$F$500,0))="sin dato","",INDEX(CODIFICACION!$E$2:$E$500,MATCH("D10.37|"&amp;CW90,CODIFICACION!$F$2:$F$500,0))),"⚠"))</f>
        <v/>
      </c>
      <c r="BS90" t="str">
        <f>IF(CX90="","",IFERROR(IF(INDEX(CODIFICACION!$E$2:$E$500,MATCH("D10.36a|"&amp;CX90,CODIFICACION!$F$2:$F$500,0))="sin dato","",INDEX(CODIFICACION!$E$2:$E$500,MATCH("D10.36a|"&amp;CX90,CODIFICACION!$F$2:$F$500,0))),"⚠"))</f>
        <v/>
      </c>
      <c r="BT90" t="str">
        <f t="shared" si="63"/>
        <v/>
      </c>
      <c r="BU90" t="str">
        <f>IF(DA90="","",IFERROR(IF(INDEX(CODIFICACION!$E$2:$E$500,MATCH("D11.39a|"&amp;DA90,CODIFICACION!$F$2:$F$500,0))="sin dato","",INDEX(CODIFICACION!$E$2:$E$500,MATCH("D11.39a|"&amp;DA90,CODIFICACION!$F$2:$F$500,0))),"⚠"))</f>
        <v/>
      </c>
      <c r="BV90" t="str">
        <f>IF(DB90="","",IFERROR(IF(INDEX(CODIFICACION!$E$2:$E$500,MATCH("D12.42|"&amp;DB90,CODIFICACION!$F$2:$F$500,0))="sin dato","",INDEX(CODIFICACION!$E$2:$E$500,MATCH("D12.42|"&amp;DB90,CODIFICACION!$F$2:$F$500,0))),"⚠"))</f>
        <v/>
      </c>
      <c r="BW90" t="str">
        <f>IF(DC90="","",IFERROR(IF(INDEX(CODIFICACION!$E$2:$E$500,MATCH("D13.45|"&amp;DC90,CODIFICACION!$F$2:$F$500,0))="sin dato","",INDEX(CODIFICACION!$E$2:$E$500,MATCH("D13.45|"&amp;DC90,CODIFICACION!$F$2:$F$500,0))),"⚠"))</f>
        <v/>
      </c>
      <c r="BX90" t="str">
        <f>IF(DD90="","",IFERROR(IF(INDEX(CODIFICACION!$E$2:$E$500,MATCH("D14.51|"&amp;DD90,CODIFICACION!$F$2:$F$500,0))="sin dato","",INDEX(CODIFICACION!$E$2:$E$500,MATCH("D14.51|"&amp;DD90,CODIFICACION!$F$2:$F$500,0))),"⚠"))</f>
        <v/>
      </c>
      <c r="BY90" t="str">
        <f>IF(DE90="","",IFERROR(IF(INDEX(CODIFICACION!$E$2:$E$500,MATCH("D15.58|"&amp;DE90,CODIFICACION!$F$2:$F$500,0))="sin dato","",INDEX(CODIFICACION!$E$2:$E$500,MATCH("D15.58|"&amp;DE90,CODIFICACION!$F$2:$F$500,0))),"⚠"))</f>
        <v/>
      </c>
      <c r="BZ90" t="str">
        <f>IF(DF90="","",IFERROR(IF(INDEX(CODIFICACION!$E$2:$E$500,MATCH("PP1|"&amp;DF90,CODIFICACION!$F$2:$F$500,0))="sin dato","",INDEX(CODIFICACION!$E$2:$E$500,MATCH("PP1|"&amp;DF90,CODIFICACION!$F$2:$F$500,0))),"⚠"))</f>
        <v/>
      </c>
      <c r="CA90" t="str">
        <f>IF(DG90="","",IFERROR(IF(INDEX(CODIFICACION!$E$2:$E$500,MATCH("PP2|"&amp;DG90,CODIFICACION!$F$2:$F$500,0))="sin dato","",INDEX(CODIFICACION!$E$2:$E$500,MATCH("PP2|"&amp;DG90,CODIFICACION!$F$2:$F$500,0))),"⚠"))</f>
        <v/>
      </c>
      <c r="CB90" t="str">
        <f t="shared" si="64"/>
        <v/>
      </c>
      <c r="CC90" t="str">
        <f t="shared" ca="1" si="65"/>
        <v/>
      </c>
      <c r="CD90" t="str">
        <f t="shared" ca="1" si="66"/>
        <v/>
      </c>
      <c r="CE90" t="str">
        <f t="shared" si="67"/>
        <v/>
      </c>
      <c r="CF90" t="str">
        <f t="shared" si="68"/>
        <v/>
      </c>
      <c r="CG90" t="str">
        <f t="shared" ca="1" si="69"/>
        <v/>
      </c>
      <c r="CH90" t="str">
        <f t="shared" ca="1" si="70"/>
        <v/>
      </c>
      <c r="CI90" t="str">
        <f t="shared" si="71"/>
        <v/>
      </c>
      <c r="CJ90" t="str">
        <f t="shared" si="72"/>
        <v/>
      </c>
      <c r="CK90" t="str">
        <f t="shared" si="73"/>
        <v/>
      </c>
      <c r="CL90" t="str">
        <f t="shared" si="74"/>
        <v/>
      </c>
    </row>
    <row r="91" spans="1:90" x14ac:dyDescent="0.3">
      <c r="A91">
        <f>CAPTURA!A91</f>
        <v>20568962282</v>
      </c>
      <c r="B91">
        <f>CAPTURA!C91</f>
        <v>0</v>
      </c>
      <c r="C91" t="str">
        <f t="shared" si="50"/>
        <v/>
      </c>
      <c r="D91" t="str">
        <f>IF(AE91="","",IFERROR(IF(INDEX(CODIFICACION!$E$2:$E$500,MATCH("P8|"&amp;AE91,CODIFICACION!$F$2:$F$500,0))="sin dato","",INDEX(CODIFICACION!$E$2:$E$500,MATCH("P8|"&amp;AE91,CODIFICACION!$F$2:$F$500,0))),"⚠"))</f>
        <v/>
      </c>
      <c r="E91" t="str">
        <f>IF(AG91="","",IFERROR(IF(INDEX(CODIFICACION!$E$2:$E$500,MATCH("P10|"&amp;AG91,CODIFICACION!$F$2:$F$500,0))="sin dato","",INDEX(CODIFICACION!$E$2:$E$500,MATCH("P10|"&amp;AG91,CODIFICACION!$F$2:$F$500,0))),"⚠"))</f>
        <v/>
      </c>
      <c r="F91" t="str">
        <f>IF(AJ91="","",IFERROR(IF(INDEX(CODIFICACION!$E$2:$E$500,MATCH("P13|"&amp;AJ91,CODIFICACION!$F$2:$F$500,0))="sin dato","",INDEX(CODIFICACION!$E$2:$E$500,MATCH("P13|"&amp;AJ91,CODIFICACION!$F$2:$F$500,0))),"⚠"))</f>
        <v/>
      </c>
      <c r="G91" t="str">
        <f>IF(AK91="","",IFERROR(IF(INDEX(CODIFICACION!$E$2:$E$500,MATCH("P14|"&amp;AK91,CODIFICACION!$F$2:$F$500,0))="sin dato","",INDEX(CODIFICACION!$E$2:$E$500,MATCH("P14|"&amp;AK91,CODIFICACION!$F$2:$F$500,0))),"⚠"))</f>
        <v/>
      </c>
      <c r="H91" t="str">
        <f>IF(AL91="","",IFERROR(IF(INDEX(CODIFICACION!$E$2:$E$500,MATCH("D1.1|"&amp;AL91,CODIFICACION!$F$2:$F$500,0))="sin dato","",INDEX(CODIFICACION!$E$2:$E$500,MATCH("D1.1|"&amp;AL91,CODIFICACION!$F$2:$F$500,0))),"⚠"))</f>
        <v/>
      </c>
      <c r="I91" t="str">
        <f>IF(AN91="","",IFERROR(IF(INDEX(CODIFICACION!$E$2:$E$500,MATCH("D1.3|"&amp;AN91,CODIFICACION!$F$2:$F$500,0))="sin dato","",INDEX(CODIFICACION!$E$2:$E$500,MATCH("D1.3|"&amp;AN91,CODIFICACION!$F$2:$F$500,0))),"⚠"))</f>
        <v/>
      </c>
      <c r="J91" t="str">
        <f>IF(AO91="","",IFERROR(IF(INDEX(CODIFICACION!$E$2:$E$500,MATCH("D1.4|"&amp;AO91,CODIFICACION!$F$2:$F$500,0))="sin dato","",INDEX(CODIFICACION!$E$2:$E$500,MATCH("D1.4|"&amp;AO91,CODIFICACION!$F$2:$F$500,0))),"⚠"))</f>
        <v/>
      </c>
      <c r="K91" t="str">
        <f>IF(AP91="","",IFERROR(IF(INDEX(CODIFICACION!$E$2:$E$500,MATCH("D1.3a|"&amp;AP91,CODIFICACION!$F$2:$F$500,0))="sin dato","",INDEX(CODIFICACION!$E$2:$E$500,MATCH("D1.3a|"&amp;AP91,CODIFICACION!$F$2:$F$500,0))),"⚠"))</f>
        <v/>
      </c>
      <c r="L91" t="str">
        <f t="shared" si="51"/>
        <v/>
      </c>
      <c r="M91" t="str">
        <f t="shared" si="52"/>
        <v/>
      </c>
      <c r="N91" t="str">
        <f t="shared" si="53"/>
        <v/>
      </c>
      <c r="O91" t="str">
        <f>IF(AT91="","",IFERROR(IF(INDEX(CODIFICACION!$E$2:$E$500,MATCH("D2.8|"&amp;AT91,CODIFICACION!$F$2:$F$500,0))="sin dato","",INDEX(CODIFICACION!$E$2:$E$500,MATCH("D2.8|"&amp;AT91,CODIFICACION!$F$2:$F$500,0))),"⚠"))</f>
        <v/>
      </c>
      <c r="P91" t="str">
        <f>IF(AU91="","",IFERROR(IF(INDEX(CODIFICACION!$E$2:$E$500,MATCH("D2.9|"&amp;AU91,CODIFICACION!$F$2:$F$500,0))="sin dato","",INDEX(CODIFICACION!$E$2:$E$500,MATCH("D2.9|"&amp;AU91,CODIFICACION!$F$2:$F$500,0))),"⚠"))</f>
        <v/>
      </c>
      <c r="Q91" t="str">
        <f>IF(AV91="","",IFERROR(IF(INDEX(CODIFICACION!$E$2:$E$500,MATCH("D2.10|"&amp;AV91,CODIFICACION!$F$2:$F$500,0))="sin dato","",INDEX(CODIFICACION!$E$2:$E$500,MATCH("D2.10|"&amp;AV91,CODIFICACION!$F$2:$F$500,0))),"⚠"))</f>
        <v/>
      </c>
      <c r="R91" t="str">
        <f>IF(AW91="","",IFERROR(IF(INDEX(CODIFICACION!$E$2:$E$500,MATCH("D2.5a|"&amp;AW91,CODIFICACION!$F$2:$F$500,0))="sin dato","",INDEX(CODIFICACION!$E$2:$E$500,MATCH("D2.5a|"&amp;AW91,CODIFICACION!$F$2:$F$500,0))),"⚠"))</f>
        <v/>
      </c>
      <c r="S91" t="str">
        <f ca="1">IF(AX91="","",IFERROR(IF(INDEX(CODIFICACION!$E$2:$E$500,MATCH("D2.5b|"&amp;AX91,CODIFICACION!$F$2:$F$500,0))="sin dato","",INDEX(CODIFICACION!$E$2:$E$500,MATCH("D2.5b|"&amp;AX91,CODIFICACION!$F$2:$F$500,0))),"⚠"))</f>
        <v/>
      </c>
      <c r="T91" t="str">
        <f t="shared" ca="1" si="54"/>
        <v/>
      </c>
      <c r="U91" t="str">
        <f>IF(AZ91="","",IFERROR(IF(INDEX(CODIFICACION!$E$2:$E$500,MATCH("D3.12|"&amp;AZ91,CODIFICACION!$F$2:$F$500,0))="sin dato","",INDEX(CODIFICACION!$E$2:$E$500,MATCH("D3.12|"&amp;AZ91,CODIFICACION!$F$2:$F$500,0))),"⚠"))</f>
        <v/>
      </c>
      <c r="V91" t="str">
        <f t="shared" si="55"/>
        <v/>
      </c>
      <c r="W91" t="str">
        <f ca="1">IF(BB91="","",IFERROR(IF(INDEX(CODIFICACION!$E$2:$E$500,MATCH("D3.14|"&amp;BB91,CODIFICACION!$F$2:$F$500,0))="sin dato","",INDEX(CODIFICACION!$E$2:$E$500,MATCH("D3.14|"&amp;BB91,CODIFICACION!$F$2:$F$500,0))),"⚠"))</f>
        <v/>
      </c>
      <c r="X91" t="str">
        <f ca="1">IF(BC91="","",IFERROR(IF(INDEX(CODIFICACION!$E$2:$E$500,MATCH("D3.14a|"&amp;BC91,CODIFICACION!$F$2:$F$500,0))="sin dato","",INDEX(CODIFICACION!$E$2:$E$500,MATCH("D3.14a|"&amp;BC91,CODIFICACION!$F$2:$F$500,0))),"⚠"))</f>
        <v/>
      </c>
      <c r="Y91" t="str">
        <f>IF(BD91="","",IFERROR(IF(INDEX(CODIFICACION!$E$2:$E$500,MATCH("D3.14b|"&amp;BD91,CODIFICACION!$F$2:$F$500,0))="sin dato","",INDEX(CODIFICACION!$E$2:$E$500,MATCH("D3.14b|"&amp;BD91,CODIFICACION!$F$2:$F$500,0))),"⚠"))</f>
        <v/>
      </c>
      <c r="Z91" t="str">
        <f>IF(BE91="","",IFERROR(IF(INDEX(CODIFICACION!$E$2:$E$500,MATCH("D3.14c|"&amp;BE91,CODIFICACION!$F$2:$F$500,0))="sin dato","",INDEX(CODIFICACION!$E$2:$E$500,MATCH("D3.14c|"&amp;BE91,CODIFICACION!$F$2:$F$500,0))),"⚠"))</f>
        <v/>
      </c>
      <c r="AA91" t="str">
        <f>IF(BF91="","",IFERROR(IF(INDEX(CODIFICACION!$E$2:$E$500,MATCH("D3.14d|"&amp;BF91,CODIFICACION!$F$2:$F$500,0))="sin dato","",INDEX(CODIFICACION!$E$2:$E$500,MATCH("D3.14d|"&amp;BF91,CODIFICACION!$F$2:$F$500,0))),"⚠"))</f>
        <v/>
      </c>
      <c r="AB91" t="str">
        <f>IF(BG91="","",IFERROR(IF(INDEX(CODIFICACION!$E$2:$E$500,MATCH("D3.14e|"&amp;BG91,CODIFICACION!$F$2:$F$500,0))="sin dato","",INDEX(CODIFICACION!$E$2:$E$500,MATCH("D3.14e|"&amp;BG91,CODIFICACION!$F$2:$F$500,0))),"⚠"))</f>
        <v/>
      </c>
      <c r="AC91" t="str">
        <f>IF(BH91="","",IFERROR(IF(INDEX(CODIFICACION!$E$2:$E$500,MATCH("D3.14f|"&amp;BH91,CODIFICACION!$F$2:$F$500,0))="sin dato","",INDEX(CODIFICACION!$E$2:$E$500,MATCH("D3.14f|"&amp;BH91,CODIFICACION!$F$2:$F$500,0))),"⚠"))</f>
        <v/>
      </c>
      <c r="AD91" t="str">
        <f>IF(BI91="","",IFERROR(IF(INDEX(CODIFICACION!$E$2:$E$500,MATCH("D3.14g|"&amp;BI91,CODIFICACION!$F$2:$F$500,0))="sin dato","",INDEX(CODIFICACION!$E$2:$E$500,MATCH("D3.14g|"&amp;BI91,CODIFICACION!$F$2:$F$500,0))),"⚠"))</f>
        <v/>
      </c>
      <c r="AE91" t="str">
        <f>IF(BJ91="","",IFERROR(IF(INDEX(CODIFICACION!$E$2:$E$500,MATCH("D3.14h|"&amp;BJ91,CODIFICACION!$F$2:$F$500,0))="sin dato","",INDEX(CODIFICACION!$E$2:$E$500,MATCH("D3.14h|"&amp;BJ91,CODIFICACION!$F$2:$F$500,0))),"⚠"))</f>
        <v/>
      </c>
      <c r="AF91" t="str">
        <f>IF(BK91="","",IFERROR(IF(INDEX(CODIFICACION!$E$2:$E$500,MATCH("D3.14i|"&amp;BK91,CODIFICACION!$F$2:$F$500,0))="sin dato","",INDEX(CODIFICACION!$E$2:$E$500,MATCH("D3.14i|"&amp;BK91,CODIFICACION!$F$2:$F$500,0))),"⚠"))</f>
        <v/>
      </c>
      <c r="AG91" t="str">
        <f>IF(BL91="","",IFERROR(IF(INDEX(CODIFICACION!$E$2:$E$500,MATCH("D4.15|"&amp;BL91,CODIFICACION!$F$2:$F$500,0))="sin dato","",INDEX(CODIFICACION!$E$2:$E$500,MATCH("D4.15|"&amp;BL91,CODIFICACION!$F$2:$F$500,0))),"⚠"))</f>
        <v/>
      </c>
      <c r="AH91" t="str">
        <f t="shared" si="56"/>
        <v/>
      </c>
      <c r="AI91" t="str">
        <f>IF(BN91="","",IFERROR(IF(INDEX(CODIFICACION!$E$2:$E$500,MATCH("D4.17|"&amp;BN91,CODIFICACION!$F$2:$F$500,0))="sin dato","",INDEX(CODIFICACION!$E$2:$E$500,MATCH("D4.17|"&amp;BN91,CODIFICACION!$F$2:$F$500,0))),"⚠"))</f>
        <v/>
      </c>
      <c r="AJ91" t="str">
        <f>IF(BO91="","",IFERROR(IF(INDEX(CODIFICACION!$E$2:$E$500,MATCH("D4.15a|"&amp;BO91,CODIFICACION!$F$2:$F$500,0))="sin dato","",INDEX(CODIFICACION!$E$2:$E$500,MATCH("D4.15a|"&amp;BO91,CODIFICACION!$F$2:$F$500,0))),"⚠"))</f>
        <v/>
      </c>
      <c r="AK91" t="str">
        <f t="shared" si="57"/>
        <v/>
      </c>
      <c r="AL91" t="str">
        <f t="shared" si="58"/>
        <v/>
      </c>
      <c r="AM91" t="str">
        <f>IF(BR91="","",IFERROR(IF(INDEX(CODIFICACION!$E$2:$E$500,MATCH("D5.18b|"&amp;BR91,CODIFICACION!$F$2:$F$500,0))="sin dato","",INDEX(CODIFICACION!$E$2:$E$500,MATCH("D5.18b|"&amp;BR91,CODIFICACION!$F$2:$F$500,0))),"⚠"))</f>
        <v/>
      </c>
      <c r="AN91" t="str">
        <f>IF(BS91="","",IFERROR(IF(INDEX(CODIFICACION!$E$2:$E$500,MATCH("D5.19|"&amp;BS91,CODIFICACION!$F$2:$F$500,0))="sin dato","",INDEX(CODIFICACION!$E$2:$E$500,MATCH("D5.19|"&amp;BS91,CODIFICACION!$F$2:$F$500,0))),"⚠"))</f>
        <v/>
      </c>
      <c r="AO91" t="str">
        <f t="shared" si="59"/>
        <v/>
      </c>
      <c r="AP91" t="str">
        <f>IF(BU91="","",IFERROR(IF(INDEX(CODIFICACION!$E$2:$E$500,MATCH("D5.20|"&amp;BU91,CODIFICACION!$F$2:$F$500,0))="sin dato","",INDEX(CODIFICACION!$E$2:$E$500,MATCH("D5.20|"&amp;BU91,CODIFICACION!$F$2:$F$500,0))),"⚠"))</f>
        <v/>
      </c>
      <c r="AQ91" t="str">
        <f>IF(BV91="","",IFERROR(IF(INDEX(CODIFICACION!$E$2:$E$500,MATCH("D5.21|"&amp;BV91,CODIFICACION!$F$2:$F$500,0))="sin dato","",INDEX(CODIFICACION!$E$2:$E$500,MATCH("D5.21|"&amp;BV91,CODIFICACION!$F$2:$F$500,0))),"⚠"))</f>
        <v/>
      </c>
      <c r="AR91" t="str">
        <f>IF(BW91="","",IFERROR(IF(INDEX(CODIFICACION!$E$2:$E$500,MATCH("D5.21a|"&amp;BW91,CODIFICACION!$F$2:$F$500,0))="sin dato","",INDEX(CODIFICACION!$E$2:$E$500,MATCH("D5.21a|"&amp;BW91,CODIFICACION!$F$2:$F$500,0))),"⚠"))</f>
        <v/>
      </c>
      <c r="AS91" t="str">
        <f>IF(BX91="","",IFERROR(IF(INDEX(CODIFICACION!$E$2:$E$500,MATCH("D5.21b|"&amp;BX91,CODIFICACION!$F$2:$F$500,0))="sin dato","",INDEX(CODIFICACION!$E$2:$E$500,MATCH("D5.21b|"&amp;BX91,CODIFICACION!$F$2:$F$500,0))),"⚠"))</f>
        <v/>
      </c>
      <c r="AT91" t="str">
        <f>IF(BY91="","",IFERROR(IF(INDEX(CODIFICACION!$E$2:$E$500,MATCH("D6.22|"&amp;BY91,CODIFICACION!$F$2:$F$500,0))="sin dato","",INDEX(CODIFICACION!$E$2:$E$500,MATCH("D6.22|"&amp;BY91,CODIFICACION!$F$2:$F$500,0))),"⚠"))</f>
        <v/>
      </c>
      <c r="AU91" t="str">
        <f>IF(BZ91="","",IFERROR(IF(INDEX(CODIFICACION!$E$2:$E$500,MATCH("D6.22a|"&amp;BZ91,CODIFICACION!$F$2:$F$500,0))="sin dato","",INDEX(CODIFICACION!$E$2:$E$500,MATCH("D6.22a|"&amp;BZ91,CODIFICACION!$F$2:$F$500,0))),"⚠"))</f>
        <v/>
      </c>
      <c r="AV91" t="str">
        <f>IF(CA91="","",IFERROR(IF(INDEX(CODIFICACION!$E$2:$E$500,MATCH("D6.22b|"&amp;CA91,CODIFICACION!$F$2:$F$500,0))="sin dato","",INDEX(CODIFICACION!$E$2:$E$500,MATCH("D6.22b|"&amp;CA91,CODIFICACION!$F$2:$F$500,0))),"⚠"))</f>
        <v/>
      </c>
      <c r="AW91" t="str">
        <f>IF(CB91="","",IFERROR(IF(INDEX(CODIFICACION!$E$2:$E$500,MATCH("D6.23|"&amp;CB91,CODIFICACION!$F$2:$F$500,0))="sin dato","",INDEX(CODIFICACION!$E$2:$E$500,MATCH("D6.23|"&amp;CB91,CODIFICACION!$F$2:$F$500,0))),"⚠"))</f>
        <v/>
      </c>
      <c r="AX91" t="str">
        <f ca="1">IF(CC91="","",IFERROR(IF(INDEX(CODIFICACION!$E$2:$E$500,MATCH("D6.24|"&amp;CC91,CODIFICACION!$F$2:$F$500,0))="sin dato","",INDEX(CODIFICACION!$E$2:$E$500,MATCH("D6.24|"&amp;CC91,CODIFICACION!$F$2:$F$500,0))),"⚠"))</f>
        <v/>
      </c>
      <c r="AY91" t="str">
        <f ca="1">IF(CD91="","",IFERROR(IF(INDEX(CODIFICACION!$E$2:$E$500,MATCH("D6.25|"&amp;CD91,CODIFICACION!$F$2:$F$500,0))="sin dato","",INDEX(CODIFICACION!$E$2:$E$500,MATCH("D6.25|"&amp;CD91,CODIFICACION!$F$2:$F$500,0))),"⚠"))</f>
        <v/>
      </c>
      <c r="AZ91" t="str">
        <f>IF(CE91="","",IFERROR(IF(INDEX(CODIFICACION!$E$2:$E$500,MATCH("D6.25a|"&amp;CE91,CODIFICACION!$F$2:$F$500,0))="sin dato","",INDEX(CODIFICACION!$E$2:$E$500,MATCH("D6.25a|"&amp;CE91,CODIFICACION!$F$2:$F$500,0))),"⚠"))</f>
        <v/>
      </c>
      <c r="BA91" t="str">
        <f>IF(CF91="","",IFERROR(IF(INDEX(CODIFICACION!$E$2:$E$500,MATCH("D6.25b|"&amp;CF91,CODIFICACION!$F$2:$F$500,0))="sin dato","",INDEX(CODIFICACION!$E$2:$E$500,MATCH("D6.25b|"&amp;CF91,CODIFICACION!$F$2:$F$500,0))),"⚠"))</f>
        <v/>
      </c>
      <c r="BB91" t="str">
        <f ca="1">IF(CG91="","",IFERROR(IF(INDEX(CODIFICACION!$E$2:$E$500,MATCH("D6.22c|"&amp;CG91,CODIFICACION!$F$2:$F$500,0))="sin dato","",INDEX(CODIFICACION!$E$2:$E$500,MATCH("D6.22c|"&amp;CG91,CODIFICACION!$F$2:$F$500,0))),"⚠"))</f>
        <v/>
      </c>
      <c r="BC91" t="str">
        <f ca="1">IF(CH91="","",IFERROR(IF(INDEX(CODIFICACION!$E$2:$E$500,MATCH("D7.26|"&amp;CH91,CODIFICACION!$F$2:$F$500,0))="sin dato","",INDEX(CODIFICACION!$E$2:$E$500,MATCH("D7.26|"&amp;CH91,CODIFICACION!$F$2:$F$500,0))),"⚠"))</f>
        <v/>
      </c>
      <c r="BD91" t="str">
        <f>IF(CI91="","",IFERROR(IF(INDEX(CODIFICACION!$E$2:$E$500,MATCH("D7.27|"&amp;CI91,CODIFICACION!$F$2:$F$500,0))="sin dato","",INDEX(CODIFICACION!$E$2:$E$500,MATCH("D7.27|"&amp;CI91,CODIFICACION!$F$2:$F$500,0))),"⚠"))</f>
        <v/>
      </c>
      <c r="BE91" t="str">
        <f>IF(CJ91="","",IFERROR(IF(INDEX(CODIFICACION!$E$2:$E$500,MATCH("D7.28|"&amp;CJ91,CODIFICACION!$F$2:$F$500,0))="sin dato","",INDEX(CODIFICACION!$E$2:$E$500,MATCH("D7.28|"&amp;CJ91,CODIFICACION!$F$2:$F$500,0))),"⚠"))</f>
        <v/>
      </c>
      <c r="BF91" t="str">
        <f>IF(CK91="","",IFERROR(IF(INDEX(CODIFICACION!$E$2:$E$500,MATCH("D7.28b|"&amp;CK91,CODIFICACION!$F$2:$F$500,0))="sin dato","",INDEX(CODIFICACION!$E$2:$E$500,MATCH("D7.28b|"&amp;CK91,CODIFICACION!$F$2:$F$500,0))),"⚠"))</f>
        <v/>
      </c>
      <c r="BG91" t="str">
        <f t="shared" si="60"/>
        <v/>
      </c>
      <c r="BH91" t="str">
        <f>IF(CM91="","",IFERROR(IF(INDEX(CODIFICACION!$E$2:$E$500,MATCH("D7.26a|"&amp;CM91,CODIFICACION!$F$2:$F$500,0))="sin dato","",INDEX(CODIFICACION!$E$2:$E$500,MATCH("D7.26a|"&amp;CM91,CODIFICACION!$F$2:$F$500,0))),"⚠"))</f>
        <v/>
      </c>
      <c r="BI91" t="str">
        <f>IF(CN91="","",IFERROR(IF(INDEX(CODIFICACION!$E$2:$E$500,MATCH("D7.26b|"&amp;CN91,CODIFICACION!$F$2:$F$500,0))="sin dato","",INDEX(CODIFICACION!$E$2:$E$500,MATCH("D7.26b|"&amp;CN91,CODIFICACION!$F$2:$F$500,0))),"⚠"))</f>
        <v/>
      </c>
      <c r="BJ91" t="str">
        <f t="shared" si="61"/>
        <v/>
      </c>
      <c r="BK91" t="str">
        <f t="shared" si="62"/>
        <v/>
      </c>
      <c r="BL91" t="str">
        <f>IF(CQ91="","",IFERROR(IF(INDEX(CODIFICACION!$E$2:$E$500,MATCH("D8.31|"&amp;CQ91,CODIFICACION!$F$2:$F$500,0))="sin dato","",INDEX(CODIFICACION!$E$2:$E$500,MATCH("D8.31|"&amp;CQ91,CODIFICACION!$F$2:$F$500,0))),"⚠"))</f>
        <v/>
      </c>
      <c r="BM91" t="str">
        <f>IF(CR91="","",IFERROR(IF(INDEX(CODIFICACION!$E$2:$E$500,MATCH("D8.32|"&amp;CR91,CODIFICACION!$F$2:$F$500,0))="sin dato","",INDEX(CODIFICACION!$E$2:$E$500,MATCH("D8.32|"&amp;CR91,CODIFICACION!$F$2:$F$500,0))),"⚠"))</f>
        <v/>
      </c>
      <c r="BN91" t="str">
        <f>IF(CS91="","",IFERROR(IF(INDEX(CODIFICACION!$E$2:$E$500,MATCH("D9.33|"&amp;CS91,CODIFICACION!$F$2:$F$500,0))="sin dato","",INDEX(CODIFICACION!$E$2:$E$500,MATCH("D9.33|"&amp;CS91,CODIFICACION!$F$2:$F$500,0))),"⚠"))</f>
        <v/>
      </c>
      <c r="BO91" t="str">
        <f>IF(CT91="","",IFERROR(IF(INDEX(CODIFICACION!$E$2:$E$500,MATCH("D9.34|"&amp;CT91,CODIFICACION!$F$2:$F$500,0))="sin dato","",INDEX(CODIFICACION!$E$2:$E$500,MATCH("D9.34|"&amp;CT91,CODIFICACION!$F$2:$F$500,0))),"⚠"))</f>
        <v/>
      </c>
      <c r="BP91" t="str">
        <f>IF(CU91="","",IFERROR(IF(INDEX(CODIFICACION!$E$2:$E$500,MATCH("D9.35|"&amp;CU91,CODIFICACION!$F$2:$F$500,0))="sin dato","",INDEX(CODIFICACION!$E$2:$E$500,MATCH("D9.35|"&amp;CU91,CODIFICACION!$F$2:$F$500,0))),"⚠"))</f>
        <v/>
      </c>
      <c r="BQ91" t="str">
        <f>IF(CV91="","",IFERROR(IF(INDEX(CODIFICACION!$E$2:$E$500,MATCH("D10.36|"&amp;CV91,CODIFICACION!$F$2:$F$500,0))="sin dato","",INDEX(CODIFICACION!$E$2:$E$500,MATCH("D10.36|"&amp;CV91,CODIFICACION!$F$2:$F$500,0))),"⚠"))</f>
        <v/>
      </c>
      <c r="BR91" t="str">
        <f>IF(CW91="","",IFERROR(IF(INDEX(CODIFICACION!$E$2:$E$500,MATCH("D10.37|"&amp;CW91,CODIFICACION!$F$2:$F$500,0))="sin dato","",INDEX(CODIFICACION!$E$2:$E$500,MATCH("D10.37|"&amp;CW91,CODIFICACION!$F$2:$F$500,0))),"⚠"))</f>
        <v/>
      </c>
      <c r="BS91" t="str">
        <f>IF(CX91="","",IFERROR(IF(INDEX(CODIFICACION!$E$2:$E$500,MATCH("D10.36a|"&amp;CX91,CODIFICACION!$F$2:$F$500,0))="sin dato","",INDEX(CODIFICACION!$E$2:$E$500,MATCH("D10.36a|"&amp;CX91,CODIFICACION!$F$2:$F$500,0))),"⚠"))</f>
        <v/>
      </c>
      <c r="BT91" t="str">
        <f t="shared" si="63"/>
        <v/>
      </c>
      <c r="BU91" t="str">
        <f>IF(DA91="","",IFERROR(IF(INDEX(CODIFICACION!$E$2:$E$500,MATCH("D11.39a|"&amp;DA91,CODIFICACION!$F$2:$F$500,0))="sin dato","",INDEX(CODIFICACION!$E$2:$E$500,MATCH("D11.39a|"&amp;DA91,CODIFICACION!$F$2:$F$500,0))),"⚠"))</f>
        <v/>
      </c>
      <c r="BV91" t="str">
        <f>IF(DB91="","",IFERROR(IF(INDEX(CODIFICACION!$E$2:$E$500,MATCH("D12.42|"&amp;DB91,CODIFICACION!$F$2:$F$500,0))="sin dato","",INDEX(CODIFICACION!$E$2:$E$500,MATCH("D12.42|"&amp;DB91,CODIFICACION!$F$2:$F$500,0))),"⚠"))</f>
        <v/>
      </c>
      <c r="BW91" t="str">
        <f>IF(DC91="","",IFERROR(IF(INDEX(CODIFICACION!$E$2:$E$500,MATCH("D13.45|"&amp;DC91,CODIFICACION!$F$2:$F$500,0))="sin dato","",INDEX(CODIFICACION!$E$2:$E$500,MATCH("D13.45|"&amp;DC91,CODIFICACION!$F$2:$F$500,0))),"⚠"))</f>
        <v/>
      </c>
      <c r="BX91" t="str">
        <f>IF(DD91="","",IFERROR(IF(INDEX(CODIFICACION!$E$2:$E$500,MATCH("D14.51|"&amp;DD91,CODIFICACION!$F$2:$F$500,0))="sin dato","",INDEX(CODIFICACION!$E$2:$E$500,MATCH("D14.51|"&amp;DD91,CODIFICACION!$F$2:$F$500,0))),"⚠"))</f>
        <v/>
      </c>
      <c r="BY91" t="str">
        <f>IF(DE91="","",IFERROR(IF(INDEX(CODIFICACION!$E$2:$E$500,MATCH("D15.58|"&amp;DE91,CODIFICACION!$F$2:$F$500,0))="sin dato","",INDEX(CODIFICACION!$E$2:$E$500,MATCH("D15.58|"&amp;DE91,CODIFICACION!$F$2:$F$500,0))),"⚠"))</f>
        <v/>
      </c>
      <c r="BZ91" t="str">
        <f>IF(DF91="","",IFERROR(IF(INDEX(CODIFICACION!$E$2:$E$500,MATCH("PP1|"&amp;DF91,CODIFICACION!$F$2:$F$500,0))="sin dato","",INDEX(CODIFICACION!$E$2:$E$500,MATCH("PP1|"&amp;DF91,CODIFICACION!$F$2:$F$500,0))),"⚠"))</f>
        <v/>
      </c>
      <c r="CA91" t="str">
        <f>IF(DG91="","",IFERROR(IF(INDEX(CODIFICACION!$E$2:$E$500,MATCH("PP2|"&amp;DG91,CODIFICACION!$F$2:$F$500,0))="sin dato","",INDEX(CODIFICACION!$E$2:$E$500,MATCH("PP2|"&amp;DG91,CODIFICACION!$F$2:$F$500,0))),"⚠"))</f>
        <v/>
      </c>
      <c r="CB91" t="str">
        <f t="shared" si="64"/>
        <v/>
      </c>
      <c r="CC91" t="str">
        <f t="shared" ca="1" si="65"/>
        <v/>
      </c>
      <c r="CD91" t="str">
        <f t="shared" ca="1" si="66"/>
        <v/>
      </c>
      <c r="CE91" t="str">
        <f t="shared" si="67"/>
        <v/>
      </c>
      <c r="CF91" t="str">
        <f t="shared" si="68"/>
        <v/>
      </c>
      <c r="CG91" t="str">
        <f t="shared" ca="1" si="69"/>
        <v/>
      </c>
      <c r="CH91" t="str">
        <f t="shared" ca="1" si="70"/>
        <v/>
      </c>
      <c r="CI91" t="str">
        <f t="shared" si="71"/>
        <v/>
      </c>
      <c r="CJ91" t="str">
        <f t="shared" si="72"/>
        <v/>
      </c>
      <c r="CK91" t="str">
        <f t="shared" si="73"/>
        <v/>
      </c>
      <c r="CL91" t="str">
        <f t="shared" si="74"/>
        <v/>
      </c>
    </row>
    <row r="92" spans="1:90" x14ac:dyDescent="0.3">
      <c r="A92">
        <f>CAPTURA!A92</f>
        <v>20570706927</v>
      </c>
      <c r="B92">
        <f>CAPTURA!C92</f>
        <v>0</v>
      </c>
      <c r="C92" t="str">
        <f t="shared" si="50"/>
        <v/>
      </c>
      <c r="D92" t="str">
        <f>IF(AE92="","",IFERROR(IF(INDEX(CODIFICACION!$E$2:$E$500,MATCH("P8|"&amp;AE92,CODIFICACION!$F$2:$F$500,0))="sin dato","",INDEX(CODIFICACION!$E$2:$E$500,MATCH("P8|"&amp;AE92,CODIFICACION!$F$2:$F$500,0))),"⚠"))</f>
        <v/>
      </c>
      <c r="E92" t="str">
        <f>IF(AG92="","",IFERROR(IF(INDEX(CODIFICACION!$E$2:$E$500,MATCH("P10|"&amp;AG92,CODIFICACION!$F$2:$F$500,0))="sin dato","",INDEX(CODIFICACION!$E$2:$E$500,MATCH("P10|"&amp;AG92,CODIFICACION!$F$2:$F$500,0))),"⚠"))</f>
        <v/>
      </c>
      <c r="F92" t="str">
        <f>IF(AJ92="","",IFERROR(IF(INDEX(CODIFICACION!$E$2:$E$500,MATCH("P13|"&amp;AJ92,CODIFICACION!$F$2:$F$500,0))="sin dato","",INDEX(CODIFICACION!$E$2:$E$500,MATCH("P13|"&amp;AJ92,CODIFICACION!$F$2:$F$500,0))),"⚠"))</f>
        <v/>
      </c>
      <c r="G92" t="str">
        <f>IF(AK92="","",IFERROR(IF(INDEX(CODIFICACION!$E$2:$E$500,MATCH("P14|"&amp;AK92,CODIFICACION!$F$2:$F$500,0))="sin dato","",INDEX(CODIFICACION!$E$2:$E$500,MATCH("P14|"&amp;AK92,CODIFICACION!$F$2:$F$500,0))),"⚠"))</f>
        <v/>
      </c>
      <c r="H92" t="str">
        <f>IF(AL92="","",IFERROR(IF(INDEX(CODIFICACION!$E$2:$E$500,MATCH("D1.1|"&amp;AL92,CODIFICACION!$F$2:$F$500,0))="sin dato","",INDEX(CODIFICACION!$E$2:$E$500,MATCH("D1.1|"&amp;AL92,CODIFICACION!$F$2:$F$500,0))),"⚠"))</f>
        <v/>
      </c>
      <c r="I92" t="str">
        <f>IF(AN92="","",IFERROR(IF(INDEX(CODIFICACION!$E$2:$E$500,MATCH("D1.3|"&amp;AN92,CODIFICACION!$F$2:$F$500,0))="sin dato","",INDEX(CODIFICACION!$E$2:$E$500,MATCH("D1.3|"&amp;AN92,CODIFICACION!$F$2:$F$500,0))),"⚠"))</f>
        <v/>
      </c>
      <c r="J92" t="str">
        <f>IF(AO92="","",IFERROR(IF(INDEX(CODIFICACION!$E$2:$E$500,MATCH("D1.4|"&amp;AO92,CODIFICACION!$F$2:$F$500,0))="sin dato","",INDEX(CODIFICACION!$E$2:$E$500,MATCH("D1.4|"&amp;AO92,CODIFICACION!$F$2:$F$500,0))),"⚠"))</f>
        <v/>
      </c>
      <c r="K92" t="str">
        <f>IF(AP92="","",IFERROR(IF(INDEX(CODIFICACION!$E$2:$E$500,MATCH("D1.3a|"&amp;AP92,CODIFICACION!$F$2:$F$500,0))="sin dato","",INDEX(CODIFICACION!$E$2:$E$500,MATCH("D1.3a|"&amp;AP92,CODIFICACION!$F$2:$F$500,0))),"⚠"))</f>
        <v/>
      </c>
      <c r="L92" t="str">
        <f t="shared" si="51"/>
        <v/>
      </c>
      <c r="M92" t="str">
        <f t="shared" si="52"/>
        <v/>
      </c>
      <c r="N92" t="str">
        <f t="shared" si="53"/>
        <v/>
      </c>
      <c r="O92" t="str">
        <f>IF(AT92="","",IFERROR(IF(INDEX(CODIFICACION!$E$2:$E$500,MATCH("D2.8|"&amp;AT92,CODIFICACION!$F$2:$F$500,0))="sin dato","",INDEX(CODIFICACION!$E$2:$E$500,MATCH("D2.8|"&amp;AT92,CODIFICACION!$F$2:$F$500,0))),"⚠"))</f>
        <v/>
      </c>
      <c r="P92" t="str">
        <f>IF(AU92="","",IFERROR(IF(INDEX(CODIFICACION!$E$2:$E$500,MATCH("D2.9|"&amp;AU92,CODIFICACION!$F$2:$F$500,0))="sin dato","",INDEX(CODIFICACION!$E$2:$E$500,MATCH("D2.9|"&amp;AU92,CODIFICACION!$F$2:$F$500,0))),"⚠"))</f>
        <v/>
      </c>
      <c r="Q92" t="str">
        <f>IF(AV92="","",IFERROR(IF(INDEX(CODIFICACION!$E$2:$E$500,MATCH("D2.10|"&amp;AV92,CODIFICACION!$F$2:$F$500,0))="sin dato","",INDEX(CODIFICACION!$E$2:$E$500,MATCH("D2.10|"&amp;AV92,CODIFICACION!$F$2:$F$500,0))),"⚠"))</f>
        <v/>
      </c>
      <c r="R92" t="str">
        <f>IF(AW92="","",IFERROR(IF(INDEX(CODIFICACION!$E$2:$E$500,MATCH("D2.5a|"&amp;AW92,CODIFICACION!$F$2:$F$500,0))="sin dato","",INDEX(CODIFICACION!$E$2:$E$500,MATCH("D2.5a|"&amp;AW92,CODIFICACION!$F$2:$F$500,0))),"⚠"))</f>
        <v/>
      </c>
      <c r="S92" t="str">
        <f ca="1">IF(AX92="","",IFERROR(IF(INDEX(CODIFICACION!$E$2:$E$500,MATCH("D2.5b|"&amp;AX92,CODIFICACION!$F$2:$F$500,0))="sin dato","",INDEX(CODIFICACION!$E$2:$E$500,MATCH("D2.5b|"&amp;AX92,CODIFICACION!$F$2:$F$500,0))),"⚠"))</f>
        <v/>
      </c>
      <c r="T92" t="str">
        <f t="shared" ca="1" si="54"/>
        <v/>
      </c>
      <c r="U92" t="str">
        <f>IF(AZ92="","",IFERROR(IF(INDEX(CODIFICACION!$E$2:$E$500,MATCH("D3.12|"&amp;AZ92,CODIFICACION!$F$2:$F$500,0))="sin dato","",INDEX(CODIFICACION!$E$2:$E$500,MATCH("D3.12|"&amp;AZ92,CODIFICACION!$F$2:$F$500,0))),"⚠"))</f>
        <v/>
      </c>
      <c r="V92" t="str">
        <f t="shared" si="55"/>
        <v/>
      </c>
      <c r="W92" t="str">
        <f ca="1">IF(BB92="","",IFERROR(IF(INDEX(CODIFICACION!$E$2:$E$500,MATCH("D3.14|"&amp;BB92,CODIFICACION!$F$2:$F$500,0))="sin dato","",INDEX(CODIFICACION!$E$2:$E$500,MATCH("D3.14|"&amp;BB92,CODIFICACION!$F$2:$F$500,0))),"⚠"))</f>
        <v/>
      </c>
      <c r="X92" t="str">
        <f ca="1">IF(BC92="","",IFERROR(IF(INDEX(CODIFICACION!$E$2:$E$500,MATCH("D3.14a|"&amp;BC92,CODIFICACION!$F$2:$F$500,0))="sin dato","",INDEX(CODIFICACION!$E$2:$E$500,MATCH("D3.14a|"&amp;BC92,CODIFICACION!$F$2:$F$500,0))),"⚠"))</f>
        <v/>
      </c>
      <c r="Y92" t="str">
        <f>IF(BD92="","",IFERROR(IF(INDEX(CODIFICACION!$E$2:$E$500,MATCH("D3.14b|"&amp;BD92,CODIFICACION!$F$2:$F$500,0))="sin dato","",INDEX(CODIFICACION!$E$2:$E$500,MATCH("D3.14b|"&amp;BD92,CODIFICACION!$F$2:$F$500,0))),"⚠"))</f>
        <v/>
      </c>
      <c r="Z92" t="str">
        <f>IF(BE92="","",IFERROR(IF(INDEX(CODIFICACION!$E$2:$E$500,MATCH("D3.14c|"&amp;BE92,CODIFICACION!$F$2:$F$500,0))="sin dato","",INDEX(CODIFICACION!$E$2:$E$500,MATCH("D3.14c|"&amp;BE92,CODIFICACION!$F$2:$F$500,0))),"⚠"))</f>
        <v/>
      </c>
      <c r="AA92" t="str">
        <f>IF(BF92="","",IFERROR(IF(INDEX(CODIFICACION!$E$2:$E$500,MATCH("D3.14d|"&amp;BF92,CODIFICACION!$F$2:$F$500,0))="sin dato","",INDEX(CODIFICACION!$E$2:$E$500,MATCH("D3.14d|"&amp;BF92,CODIFICACION!$F$2:$F$500,0))),"⚠"))</f>
        <v/>
      </c>
      <c r="AB92" t="str">
        <f>IF(BG92="","",IFERROR(IF(INDEX(CODIFICACION!$E$2:$E$500,MATCH("D3.14e|"&amp;BG92,CODIFICACION!$F$2:$F$500,0))="sin dato","",INDEX(CODIFICACION!$E$2:$E$500,MATCH("D3.14e|"&amp;BG92,CODIFICACION!$F$2:$F$500,0))),"⚠"))</f>
        <v/>
      </c>
      <c r="AC92" t="str">
        <f>IF(BH92="","",IFERROR(IF(INDEX(CODIFICACION!$E$2:$E$500,MATCH("D3.14f|"&amp;BH92,CODIFICACION!$F$2:$F$500,0))="sin dato","",INDEX(CODIFICACION!$E$2:$E$500,MATCH("D3.14f|"&amp;BH92,CODIFICACION!$F$2:$F$500,0))),"⚠"))</f>
        <v/>
      </c>
      <c r="AD92" t="str">
        <f>IF(BI92="","",IFERROR(IF(INDEX(CODIFICACION!$E$2:$E$500,MATCH("D3.14g|"&amp;BI92,CODIFICACION!$F$2:$F$500,0))="sin dato","",INDEX(CODIFICACION!$E$2:$E$500,MATCH("D3.14g|"&amp;BI92,CODIFICACION!$F$2:$F$500,0))),"⚠"))</f>
        <v/>
      </c>
      <c r="AE92" t="str">
        <f>IF(BJ92="","",IFERROR(IF(INDEX(CODIFICACION!$E$2:$E$500,MATCH("D3.14h|"&amp;BJ92,CODIFICACION!$F$2:$F$500,0))="sin dato","",INDEX(CODIFICACION!$E$2:$E$500,MATCH("D3.14h|"&amp;BJ92,CODIFICACION!$F$2:$F$500,0))),"⚠"))</f>
        <v/>
      </c>
      <c r="AF92" t="str">
        <f>IF(BK92="","",IFERROR(IF(INDEX(CODIFICACION!$E$2:$E$500,MATCH("D3.14i|"&amp;BK92,CODIFICACION!$F$2:$F$500,0))="sin dato","",INDEX(CODIFICACION!$E$2:$E$500,MATCH("D3.14i|"&amp;BK92,CODIFICACION!$F$2:$F$500,0))),"⚠"))</f>
        <v/>
      </c>
      <c r="AG92" t="str">
        <f>IF(BL92="","",IFERROR(IF(INDEX(CODIFICACION!$E$2:$E$500,MATCH("D4.15|"&amp;BL92,CODIFICACION!$F$2:$F$500,0))="sin dato","",INDEX(CODIFICACION!$E$2:$E$500,MATCH("D4.15|"&amp;BL92,CODIFICACION!$F$2:$F$500,0))),"⚠"))</f>
        <v/>
      </c>
      <c r="AH92" t="str">
        <f t="shared" si="56"/>
        <v/>
      </c>
      <c r="AI92" t="str">
        <f>IF(BN92="","",IFERROR(IF(INDEX(CODIFICACION!$E$2:$E$500,MATCH("D4.17|"&amp;BN92,CODIFICACION!$F$2:$F$500,0))="sin dato","",INDEX(CODIFICACION!$E$2:$E$500,MATCH("D4.17|"&amp;BN92,CODIFICACION!$F$2:$F$500,0))),"⚠"))</f>
        <v/>
      </c>
      <c r="AJ92" t="str">
        <f>IF(BO92="","",IFERROR(IF(INDEX(CODIFICACION!$E$2:$E$500,MATCH("D4.15a|"&amp;BO92,CODIFICACION!$F$2:$F$500,0))="sin dato","",INDEX(CODIFICACION!$E$2:$E$500,MATCH("D4.15a|"&amp;BO92,CODIFICACION!$F$2:$F$500,0))),"⚠"))</f>
        <v/>
      </c>
      <c r="AK92" t="str">
        <f t="shared" si="57"/>
        <v/>
      </c>
      <c r="AL92" t="str">
        <f t="shared" si="58"/>
        <v/>
      </c>
      <c r="AM92" t="str">
        <f>IF(BR92="","",IFERROR(IF(INDEX(CODIFICACION!$E$2:$E$500,MATCH("D5.18b|"&amp;BR92,CODIFICACION!$F$2:$F$500,0))="sin dato","",INDEX(CODIFICACION!$E$2:$E$500,MATCH("D5.18b|"&amp;BR92,CODIFICACION!$F$2:$F$500,0))),"⚠"))</f>
        <v/>
      </c>
      <c r="AN92" t="str">
        <f>IF(BS92="","",IFERROR(IF(INDEX(CODIFICACION!$E$2:$E$500,MATCH("D5.19|"&amp;BS92,CODIFICACION!$F$2:$F$500,0))="sin dato","",INDEX(CODIFICACION!$E$2:$E$500,MATCH("D5.19|"&amp;BS92,CODIFICACION!$F$2:$F$500,0))),"⚠"))</f>
        <v/>
      </c>
      <c r="AO92" t="str">
        <f t="shared" si="59"/>
        <v/>
      </c>
      <c r="AP92" t="str">
        <f>IF(BU92="","",IFERROR(IF(INDEX(CODIFICACION!$E$2:$E$500,MATCH("D5.20|"&amp;BU92,CODIFICACION!$F$2:$F$500,0))="sin dato","",INDEX(CODIFICACION!$E$2:$E$500,MATCH("D5.20|"&amp;BU92,CODIFICACION!$F$2:$F$500,0))),"⚠"))</f>
        <v/>
      </c>
      <c r="AQ92" t="str">
        <f>IF(BV92="","",IFERROR(IF(INDEX(CODIFICACION!$E$2:$E$500,MATCH("D5.21|"&amp;BV92,CODIFICACION!$F$2:$F$500,0))="sin dato","",INDEX(CODIFICACION!$E$2:$E$500,MATCH("D5.21|"&amp;BV92,CODIFICACION!$F$2:$F$500,0))),"⚠"))</f>
        <v/>
      </c>
      <c r="AR92" t="str">
        <f>IF(BW92="","",IFERROR(IF(INDEX(CODIFICACION!$E$2:$E$500,MATCH("D5.21a|"&amp;BW92,CODIFICACION!$F$2:$F$500,0))="sin dato","",INDEX(CODIFICACION!$E$2:$E$500,MATCH("D5.21a|"&amp;BW92,CODIFICACION!$F$2:$F$500,0))),"⚠"))</f>
        <v/>
      </c>
      <c r="AS92" t="str">
        <f>IF(BX92="","",IFERROR(IF(INDEX(CODIFICACION!$E$2:$E$500,MATCH("D5.21b|"&amp;BX92,CODIFICACION!$F$2:$F$500,0))="sin dato","",INDEX(CODIFICACION!$E$2:$E$500,MATCH("D5.21b|"&amp;BX92,CODIFICACION!$F$2:$F$500,0))),"⚠"))</f>
        <v/>
      </c>
      <c r="AT92" t="str">
        <f>IF(BY92="","",IFERROR(IF(INDEX(CODIFICACION!$E$2:$E$500,MATCH("D6.22|"&amp;BY92,CODIFICACION!$F$2:$F$500,0))="sin dato","",INDEX(CODIFICACION!$E$2:$E$500,MATCH("D6.22|"&amp;BY92,CODIFICACION!$F$2:$F$500,0))),"⚠"))</f>
        <v/>
      </c>
      <c r="AU92" t="str">
        <f>IF(BZ92="","",IFERROR(IF(INDEX(CODIFICACION!$E$2:$E$500,MATCH("D6.22a|"&amp;BZ92,CODIFICACION!$F$2:$F$500,0))="sin dato","",INDEX(CODIFICACION!$E$2:$E$500,MATCH("D6.22a|"&amp;BZ92,CODIFICACION!$F$2:$F$500,0))),"⚠"))</f>
        <v/>
      </c>
      <c r="AV92" t="str">
        <f>IF(CA92="","",IFERROR(IF(INDEX(CODIFICACION!$E$2:$E$500,MATCH("D6.22b|"&amp;CA92,CODIFICACION!$F$2:$F$500,0))="sin dato","",INDEX(CODIFICACION!$E$2:$E$500,MATCH("D6.22b|"&amp;CA92,CODIFICACION!$F$2:$F$500,0))),"⚠"))</f>
        <v/>
      </c>
      <c r="AW92" t="str">
        <f>IF(CB92="","",IFERROR(IF(INDEX(CODIFICACION!$E$2:$E$500,MATCH("D6.23|"&amp;CB92,CODIFICACION!$F$2:$F$500,0))="sin dato","",INDEX(CODIFICACION!$E$2:$E$500,MATCH("D6.23|"&amp;CB92,CODIFICACION!$F$2:$F$500,0))),"⚠"))</f>
        <v/>
      </c>
      <c r="AX92" t="str">
        <f ca="1">IF(CC92="","",IFERROR(IF(INDEX(CODIFICACION!$E$2:$E$500,MATCH("D6.24|"&amp;CC92,CODIFICACION!$F$2:$F$500,0))="sin dato","",INDEX(CODIFICACION!$E$2:$E$500,MATCH("D6.24|"&amp;CC92,CODIFICACION!$F$2:$F$500,0))),"⚠"))</f>
        <v/>
      </c>
      <c r="AY92" t="str">
        <f ca="1">IF(CD92="","",IFERROR(IF(INDEX(CODIFICACION!$E$2:$E$500,MATCH("D6.25|"&amp;CD92,CODIFICACION!$F$2:$F$500,0))="sin dato","",INDEX(CODIFICACION!$E$2:$E$500,MATCH("D6.25|"&amp;CD92,CODIFICACION!$F$2:$F$500,0))),"⚠"))</f>
        <v/>
      </c>
      <c r="AZ92" t="str">
        <f>IF(CE92="","",IFERROR(IF(INDEX(CODIFICACION!$E$2:$E$500,MATCH("D6.25a|"&amp;CE92,CODIFICACION!$F$2:$F$500,0))="sin dato","",INDEX(CODIFICACION!$E$2:$E$500,MATCH("D6.25a|"&amp;CE92,CODIFICACION!$F$2:$F$500,0))),"⚠"))</f>
        <v/>
      </c>
      <c r="BA92" t="str">
        <f>IF(CF92="","",IFERROR(IF(INDEX(CODIFICACION!$E$2:$E$500,MATCH("D6.25b|"&amp;CF92,CODIFICACION!$F$2:$F$500,0))="sin dato","",INDEX(CODIFICACION!$E$2:$E$500,MATCH("D6.25b|"&amp;CF92,CODIFICACION!$F$2:$F$500,0))),"⚠"))</f>
        <v/>
      </c>
      <c r="BB92" t="str">
        <f ca="1">IF(CG92="","",IFERROR(IF(INDEX(CODIFICACION!$E$2:$E$500,MATCH("D6.22c|"&amp;CG92,CODIFICACION!$F$2:$F$500,0))="sin dato","",INDEX(CODIFICACION!$E$2:$E$500,MATCH("D6.22c|"&amp;CG92,CODIFICACION!$F$2:$F$500,0))),"⚠"))</f>
        <v/>
      </c>
      <c r="BC92" t="str">
        <f ca="1">IF(CH92="","",IFERROR(IF(INDEX(CODIFICACION!$E$2:$E$500,MATCH("D7.26|"&amp;CH92,CODIFICACION!$F$2:$F$500,0))="sin dato","",INDEX(CODIFICACION!$E$2:$E$500,MATCH("D7.26|"&amp;CH92,CODIFICACION!$F$2:$F$500,0))),"⚠"))</f>
        <v/>
      </c>
      <c r="BD92" t="str">
        <f>IF(CI92="","",IFERROR(IF(INDEX(CODIFICACION!$E$2:$E$500,MATCH("D7.27|"&amp;CI92,CODIFICACION!$F$2:$F$500,0))="sin dato","",INDEX(CODIFICACION!$E$2:$E$500,MATCH("D7.27|"&amp;CI92,CODIFICACION!$F$2:$F$500,0))),"⚠"))</f>
        <v/>
      </c>
      <c r="BE92" t="str">
        <f>IF(CJ92="","",IFERROR(IF(INDEX(CODIFICACION!$E$2:$E$500,MATCH("D7.28|"&amp;CJ92,CODIFICACION!$F$2:$F$500,0))="sin dato","",INDEX(CODIFICACION!$E$2:$E$500,MATCH("D7.28|"&amp;CJ92,CODIFICACION!$F$2:$F$500,0))),"⚠"))</f>
        <v/>
      </c>
      <c r="BF92" t="str">
        <f>IF(CK92="","",IFERROR(IF(INDEX(CODIFICACION!$E$2:$E$500,MATCH("D7.28b|"&amp;CK92,CODIFICACION!$F$2:$F$500,0))="sin dato","",INDEX(CODIFICACION!$E$2:$E$500,MATCH("D7.28b|"&amp;CK92,CODIFICACION!$F$2:$F$500,0))),"⚠"))</f>
        <v/>
      </c>
      <c r="BG92" t="str">
        <f t="shared" si="60"/>
        <v/>
      </c>
      <c r="BH92" t="str">
        <f>IF(CM92="","",IFERROR(IF(INDEX(CODIFICACION!$E$2:$E$500,MATCH("D7.26a|"&amp;CM92,CODIFICACION!$F$2:$F$500,0))="sin dato","",INDEX(CODIFICACION!$E$2:$E$500,MATCH("D7.26a|"&amp;CM92,CODIFICACION!$F$2:$F$500,0))),"⚠"))</f>
        <v/>
      </c>
      <c r="BI92" t="str">
        <f>IF(CN92="","",IFERROR(IF(INDEX(CODIFICACION!$E$2:$E$500,MATCH("D7.26b|"&amp;CN92,CODIFICACION!$F$2:$F$500,0))="sin dato","",INDEX(CODIFICACION!$E$2:$E$500,MATCH("D7.26b|"&amp;CN92,CODIFICACION!$F$2:$F$500,0))),"⚠"))</f>
        <v/>
      </c>
      <c r="BJ92" t="str">
        <f t="shared" si="61"/>
        <v/>
      </c>
      <c r="BK92" t="str">
        <f t="shared" si="62"/>
        <v/>
      </c>
      <c r="BL92" t="str">
        <f>IF(CQ92="","",IFERROR(IF(INDEX(CODIFICACION!$E$2:$E$500,MATCH("D8.31|"&amp;CQ92,CODIFICACION!$F$2:$F$500,0))="sin dato","",INDEX(CODIFICACION!$E$2:$E$500,MATCH("D8.31|"&amp;CQ92,CODIFICACION!$F$2:$F$500,0))),"⚠"))</f>
        <v/>
      </c>
      <c r="BM92" t="str">
        <f>IF(CR92="","",IFERROR(IF(INDEX(CODIFICACION!$E$2:$E$500,MATCH("D8.32|"&amp;CR92,CODIFICACION!$F$2:$F$500,0))="sin dato","",INDEX(CODIFICACION!$E$2:$E$500,MATCH("D8.32|"&amp;CR92,CODIFICACION!$F$2:$F$500,0))),"⚠"))</f>
        <v/>
      </c>
      <c r="BN92" t="str">
        <f>IF(CS92="","",IFERROR(IF(INDEX(CODIFICACION!$E$2:$E$500,MATCH("D9.33|"&amp;CS92,CODIFICACION!$F$2:$F$500,0))="sin dato","",INDEX(CODIFICACION!$E$2:$E$500,MATCH("D9.33|"&amp;CS92,CODIFICACION!$F$2:$F$500,0))),"⚠"))</f>
        <v/>
      </c>
      <c r="BO92" t="str">
        <f>IF(CT92="","",IFERROR(IF(INDEX(CODIFICACION!$E$2:$E$500,MATCH("D9.34|"&amp;CT92,CODIFICACION!$F$2:$F$500,0))="sin dato","",INDEX(CODIFICACION!$E$2:$E$500,MATCH("D9.34|"&amp;CT92,CODIFICACION!$F$2:$F$500,0))),"⚠"))</f>
        <v/>
      </c>
      <c r="BP92" t="str">
        <f>IF(CU92="","",IFERROR(IF(INDEX(CODIFICACION!$E$2:$E$500,MATCH("D9.35|"&amp;CU92,CODIFICACION!$F$2:$F$500,0))="sin dato","",INDEX(CODIFICACION!$E$2:$E$500,MATCH("D9.35|"&amp;CU92,CODIFICACION!$F$2:$F$500,0))),"⚠"))</f>
        <v/>
      </c>
      <c r="BQ92" t="str">
        <f>IF(CV92="","",IFERROR(IF(INDEX(CODIFICACION!$E$2:$E$500,MATCH("D10.36|"&amp;CV92,CODIFICACION!$F$2:$F$500,0))="sin dato","",INDEX(CODIFICACION!$E$2:$E$500,MATCH("D10.36|"&amp;CV92,CODIFICACION!$F$2:$F$500,0))),"⚠"))</f>
        <v/>
      </c>
      <c r="BR92" t="str">
        <f>IF(CW92="","",IFERROR(IF(INDEX(CODIFICACION!$E$2:$E$500,MATCH("D10.37|"&amp;CW92,CODIFICACION!$F$2:$F$500,0))="sin dato","",INDEX(CODIFICACION!$E$2:$E$500,MATCH("D10.37|"&amp;CW92,CODIFICACION!$F$2:$F$500,0))),"⚠"))</f>
        <v/>
      </c>
      <c r="BS92" t="str">
        <f>IF(CX92="","",IFERROR(IF(INDEX(CODIFICACION!$E$2:$E$500,MATCH("D10.36a|"&amp;CX92,CODIFICACION!$F$2:$F$500,0))="sin dato","",INDEX(CODIFICACION!$E$2:$E$500,MATCH("D10.36a|"&amp;CX92,CODIFICACION!$F$2:$F$500,0))),"⚠"))</f>
        <v/>
      </c>
      <c r="BT92" t="str">
        <f t="shared" si="63"/>
        <v/>
      </c>
      <c r="BU92" t="str">
        <f>IF(DA92="","",IFERROR(IF(INDEX(CODIFICACION!$E$2:$E$500,MATCH("D11.39a|"&amp;DA92,CODIFICACION!$F$2:$F$500,0))="sin dato","",INDEX(CODIFICACION!$E$2:$E$500,MATCH("D11.39a|"&amp;DA92,CODIFICACION!$F$2:$F$500,0))),"⚠"))</f>
        <v/>
      </c>
      <c r="BV92" t="str">
        <f>IF(DB92="","",IFERROR(IF(INDEX(CODIFICACION!$E$2:$E$500,MATCH("D12.42|"&amp;DB92,CODIFICACION!$F$2:$F$500,0))="sin dato","",INDEX(CODIFICACION!$E$2:$E$500,MATCH("D12.42|"&amp;DB92,CODIFICACION!$F$2:$F$500,0))),"⚠"))</f>
        <v/>
      </c>
      <c r="BW92" t="str">
        <f>IF(DC92="","",IFERROR(IF(INDEX(CODIFICACION!$E$2:$E$500,MATCH("D13.45|"&amp;DC92,CODIFICACION!$F$2:$F$500,0))="sin dato","",INDEX(CODIFICACION!$E$2:$E$500,MATCH("D13.45|"&amp;DC92,CODIFICACION!$F$2:$F$500,0))),"⚠"))</f>
        <v/>
      </c>
      <c r="BX92" t="str">
        <f>IF(DD92="","",IFERROR(IF(INDEX(CODIFICACION!$E$2:$E$500,MATCH("D14.51|"&amp;DD92,CODIFICACION!$F$2:$F$500,0))="sin dato","",INDEX(CODIFICACION!$E$2:$E$500,MATCH("D14.51|"&amp;DD92,CODIFICACION!$F$2:$F$500,0))),"⚠"))</f>
        <v/>
      </c>
      <c r="BY92" t="str">
        <f>IF(DE92="","",IFERROR(IF(INDEX(CODIFICACION!$E$2:$E$500,MATCH("D15.58|"&amp;DE92,CODIFICACION!$F$2:$F$500,0))="sin dato","",INDEX(CODIFICACION!$E$2:$E$500,MATCH("D15.58|"&amp;DE92,CODIFICACION!$F$2:$F$500,0))),"⚠"))</f>
        <v/>
      </c>
      <c r="BZ92" t="str">
        <f>IF(DF92="","",IFERROR(IF(INDEX(CODIFICACION!$E$2:$E$500,MATCH("PP1|"&amp;DF92,CODIFICACION!$F$2:$F$500,0))="sin dato","",INDEX(CODIFICACION!$E$2:$E$500,MATCH("PP1|"&amp;DF92,CODIFICACION!$F$2:$F$500,0))),"⚠"))</f>
        <v/>
      </c>
      <c r="CA92" t="str">
        <f>IF(DG92="","",IFERROR(IF(INDEX(CODIFICACION!$E$2:$E$500,MATCH("PP2|"&amp;DG92,CODIFICACION!$F$2:$F$500,0))="sin dato","",INDEX(CODIFICACION!$E$2:$E$500,MATCH("PP2|"&amp;DG92,CODIFICACION!$F$2:$F$500,0))),"⚠"))</f>
        <v/>
      </c>
      <c r="CB92" t="str">
        <f t="shared" si="64"/>
        <v/>
      </c>
      <c r="CC92" t="str">
        <f t="shared" ca="1" si="65"/>
        <v/>
      </c>
      <c r="CD92" t="str">
        <f t="shared" ca="1" si="66"/>
        <v/>
      </c>
      <c r="CE92" t="str">
        <f t="shared" si="67"/>
        <v/>
      </c>
      <c r="CF92" t="str">
        <f t="shared" si="68"/>
        <v/>
      </c>
      <c r="CG92" t="str">
        <f t="shared" ca="1" si="69"/>
        <v/>
      </c>
      <c r="CH92" t="str">
        <f t="shared" ca="1" si="70"/>
        <v/>
      </c>
      <c r="CI92" t="str">
        <f t="shared" si="71"/>
        <v/>
      </c>
      <c r="CJ92" t="str">
        <f t="shared" si="72"/>
        <v/>
      </c>
      <c r="CK92" t="str">
        <f t="shared" si="73"/>
        <v/>
      </c>
      <c r="CL92" t="str">
        <f t="shared" si="74"/>
        <v/>
      </c>
    </row>
    <row r="93" spans="1:90" x14ac:dyDescent="0.3">
      <c r="A93">
        <f>CAPTURA!A93</f>
        <v>20572111131</v>
      </c>
      <c r="B93">
        <f>CAPTURA!C93</f>
        <v>0</v>
      </c>
      <c r="C93" t="str">
        <f t="shared" si="50"/>
        <v/>
      </c>
      <c r="D93" t="str">
        <f>IF(AE93="","",IFERROR(IF(INDEX(CODIFICACION!$E$2:$E$500,MATCH("P8|"&amp;AE93,CODIFICACION!$F$2:$F$500,0))="sin dato","",INDEX(CODIFICACION!$E$2:$E$500,MATCH("P8|"&amp;AE93,CODIFICACION!$F$2:$F$500,0))),"⚠"))</f>
        <v/>
      </c>
      <c r="E93" t="str">
        <f>IF(AG93="","",IFERROR(IF(INDEX(CODIFICACION!$E$2:$E$500,MATCH("P10|"&amp;AG93,CODIFICACION!$F$2:$F$500,0))="sin dato","",INDEX(CODIFICACION!$E$2:$E$500,MATCH("P10|"&amp;AG93,CODIFICACION!$F$2:$F$500,0))),"⚠"))</f>
        <v/>
      </c>
      <c r="F93" t="str">
        <f>IF(AJ93="","",IFERROR(IF(INDEX(CODIFICACION!$E$2:$E$500,MATCH("P13|"&amp;AJ93,CODIFICACION!$F$2:$F$500,0))="sin dato","",INDEX(CODIFICACION!$E$2:$E$500,MATCH("P13|"&amp;AJ93,CODIFICACION!$F$2:$F$500,0))),"⚠"))</f>
        <v/>
      </c>
      <c r="G93" t="str">
        <f>IF(AK93="","",IFERROR(IF(INDEX(CODIFICACION!$E$2:$E$500,MATCH("P14|"&amp;AK93,CODIFICACION!$F$2:$F$500,0))="sin dato","",INDEX(CODIFICACION!$E$2:$E$500,MATCH("P14|"&amp;AK93,CODIFICACION!$F$2:$F$500,0))),"⚠"))</f>
        <v/>
      </c>
      <c r="H93" t="str">
        <f>IF(AL93="","",IFERROR(IF(INDEX(CODIFICACION!$E$2:$E$500,MATCH("D1.1|"&amp;AL93,CODIFICACION!$F$2:$F$500,0))="sin dato","",INDEX(CODIFICACION!$E$2:$E$500,MATCH("D1.1|"&amp;AL93,CODIFICACION!$F$2:$F$500,0))),"⚠"))</f>
        <v/>
      </c>
      <c r="I93" t="str">
        <f>IF(AN93="","",IFERROR(IF(INDEX(CODIFICACION!$E$2:$E$500,MATCH("D1.3|"&amp;AN93,CODIFICACION!$F$2:$F$500,0))="sin dato","",INDEX(CODIFICACION!$E$2:$E$500,MATCH("D1.3|"&amp;AN93,CODIFICACION!$F$2:$F$500,0))),"⚠"))</f>
        <v/>
      </c>
      <c r="J93" t="str">
        <f>IF(AO93="","",IFERROR(IF(INDEX(CODIFICACION!$E$2:$E$500,MATCH("D1.4|"&amp;AO93,CODIFICACION!$F$2:$F$500,0))="sin dato","",INDEX(CODIFICACION!$E$2:$E$500,MATCH("D1.4|"&amp;AO93,CODIFICACION!$F$2:$F$500,0))),"⚠"))</f>
        <v/>
      </c>
      <c r="K93" t="str">
        <f>IF(AP93="","",IFERROR(IF(INDEX(CODIFICACION!$E$2:$E$500,MATCH("D1.3a|"&amp;AP93,CODIFICACION!$F$2:$F$500,0))="sin dato","",INDEX(CODIFICACION!$E$2:$E$500,MATCH("D1.3a|"&amp;AP93,CODIFICACION!$F$2:$F$500,0))),"⚠"))</f>
        <v/>
      </c>
      <c r="L93" t="str">
        <f t="shared" si="51"/>
        <v/>
      </c>
      <c r="M93" t="str">
        <f t="shared" si="52"/>
        <v/>
      </c>
      <c r="N93" t="str">
        <f t="shared" si="53"/>
        <v/>
      </c>
      <c r="O93" t="str">
        <f>IF(AT93="","",IFERROR(IF(INDEX(CODIFICACION!$E$2:$E$500,MATCH("D2.8|"&amp;AT93,CODIFICACION!$F$2:$F$500,0))="sin dato","",INDEX(CODIFICACION!$E$2:$E$500,MATCH("D2.8|"&amp;AT93,CODIFICACION!$F$2:$F$500,0))),"⚠"))</f>
        <v/>
      </c>
      <c r="P93" t="str">
        <f>IF(AU93="","",IFERROR(IF(INDEX(CODIFICACION!$E$2:$E$500,MATCH("D2.9|"&amp;AU93,CODIFICACION!$F$2:$F$500,0))="sin dato","",INDEX(CODIFICACION!$E$2:$E$500,MATCH("D2.9|"&amp;AU93,CODIFICACION!$F$2:$F$500,0))),"⚠"))</f>
        <v/>
      </c>
      <c r="Q93" t="str">
        <f>IF(AV93="","",IFERROR(IF(INDEX(CODIFICACION!$E$2:$E$500,MATCH("D2.10|"&amp;AV93,CODIFICACION!$F$2:$F$500,0))="sin dato","",INDEX(CODIFICACION!$E$2:$E$500,MATCH("D2.10|"&amp;AV93,CODIFICACION!$F$2:$F$500,0))),"⚠"))</f>
        <v/>
      </c>
      <c r="R93" t="str">
        <f>IF(AW93="","",IFERROR(IF(INDEX(CODIFICACION!$E$2:$E$500,MATCH("D2.5a|"&amp;AW93,CODIFICACION!$F$2:$F$500,0))="sin dato","",INDEX(CODIFICACION!$E$2:$E$500,MATCH("D2.5a|"&amp;AW93,CODIFICACION!$F$2:$F$500,0))),"⚠"))</f>
        <v/>
      </c>
      <c r="S93" t="str">
        <f ca="1">IF(AX93="","",IFERROR(IF(INDEX(CODIFICACION!$E$2:$E$500,MATCH("D2.5b|"&amp;AX93,CODIFICACION!$F$2:$F$500,0))="sin dato","",INDEX(CODIFICACION!$E$2:$E$500,MATCH("D2.5b|"&amp;AX93,CODIFICACION!$F$2:$F$500,0))),"⚠"))</f>
        <v/>
      </c>
      <c r="T93" t="str">
        <f t="shared" ca="1" si="54"/>
        <v/>
      </c>
      <c r="U93" t="str">
        <f>IF(AZ93="","",IFERROR(IF(INDEX(CODIFICACION!$E$2:$E$500,MATCH("D3.12|"&amp;AZ93,CODIFICACION!$F$2:$F$500,0))="sin dato","",INDEX(CODIFICACION!$E$2:$E$500,MATCH("D3.12|"&amp;AZ93,CODIFICACION!$F$2:$F$500,0))),"⚠"))</f>
        <v/>
      </c>
      <c r="V93" t="str">
        <f t="shared" si="55"/>
        <v/>
      </c>
      <c r="W93" t="str">
        <f ca="1">IF(BB93="","",IFERROR(IF(INDEX(CODIFICACION!$E$2:$E$500,MATCH("D3.14|"&amp;BB93,CODIFICACION!$F$2:$F$500,0))="sin dato","",INDEX(CODIFICACION!$E$2:$E$500,MATCH("D3.14|"&amp;BB93,CODIFICACION!$F$2:$F$500,0))),"⚠"))</f>
        <v/>
      </c>
      <c r="X93" t="str">
        <f ca="1">IF(BC93="","",IFERROR(IF(INDEX(CODIFICACION!$E$2:$E$500,MATCH("D3.14a|"&amp;BC93,CODIFICACION!$F$2:$F$500,0))="sin dato","",INDEX(CODIFICACION!$E$2:$E$500,MATCH("D3.14a|"&amp;BC93,CODIFICACION!$F$2:$F$500,0))),"⚠"))</f>
        <v/>
      </c>
      <c r="Y93" t="str">
        <f>IF(BD93="","",IFERROR(IF(INDEX(CODIFICACION!$E$2:$E$500,MATCH("D3.14b|"&amp;BD93,CODIFICACION!$F$2:$F$500,0))="sin dato","",INDEX(CODIFICACION!$E$2:$E$500,MATCH("D3.14b|"&amp;BD93,CODIFICACION!$F$2:$F$500,0))),"⚠"))</f>
        <v/>
      </c>
      <c r="Z93" t="str">
        <f>IF(BE93="","",IFERROR(IF(INDEX(CODIFICACION!$E$2:$E$500,MATCH("D3.14c|"&amp;BE93,CODIFICACION!$F$2:$F$500,0))="sin dato","",INDEX(CODIFICACION!$E$2:$E$500,MATCH("D3.14c|"&amp;BE93,CODIFICACION!$F$2:$F$500,0))),"⚠"))</f>
        <v/>
      </c>
      <c r="AA93" t="str">
        <f>IF(BF93="","",IFERROR(IF(INDEX(CODIFICACION!$E$2:$E$500,MATCH("D3.14d|"&amp;BF93,CODIFICACION!$F$2:$F$500,0))="sin dato","",INDEX(CODIFICACION!$E$2:$E$500,MATCH("D3.14d|"&amp;BF93,CODIFICACION!$F$2:$F$500,0))),"⚠"))</f>
        <v/>
      </c>
      <c r="AB93" t="str">
        <f>IF(BG93="","",IFERROR(IF(INDEX(CODIFICACION!$E$2:$E$500,MATCH("D3.14e|"&amp;BG93,CODIFICACION!$F$2:$F$500,0))="sin dato","",INDEX(CODIFICACION!$E$2:$E$500,MATCH("D3.14e|"&amp;BG93,CODIFICACION!$F$2:$F$500,0))),"⚠"))</f>
        <v/>
      </c>
      <c r="AC93" t="str">
        <f>IF(BH93="","",IFERROR(IF(INDEX(CODIFICACION!$E$2:$E$500,MATCH("D3.14f|"&amp;BH93,CODIFICACION!$F$2:$F$500,0))="sin dato","",INDEX(CODIFICACION!$E$2:$E$500,MATCH("D3.14f|"&amp;BH93,CODIFICACION!$F$2:$F$500,0))),"⚠"))</f>
        <v/>
      </c>
      <c r="AD93" t="str">
        <f>IF(BI93="","",IFERROR(IF(INDEX(CODIFICACION!$E$2:$E$500,MATCH("D3.14g|"&amp;BI93,CODIFICACION!$F$2:$F$500,0))="sin dato","",INDEX(CODIFICACION!$E$2:$E$500,MATCH("D3.14g|"&amp;BI93,CODIFICACION!$F$2:$F$500,0))),"⚠"))</f>
        <v/>
      </c>
      <c r="AE93" t="str">
        <f>IF(BJ93="","",IFERROR(IF(INDEX(CODIFICACION!$E$2:$E$500,MATCH("D3.14h|"&amp;BJ93,CODIFICACION!$F$2:$F$500,0))="sin dato","",INDEX(CODIFICACION!$E$2:$E$500,MATCH("D3.14h|"&amp;BJ93,CODIFICACION!$F$2:$F$500,0))),"⚠"))</f>
        <v/>
      </c>
      <c r="AF93" t="str">
        <f>IF(BK93="","",IFERROR(IF(INDEX(CODIFICACION!$E$2:$E$500,MATCH("D3.14i|"&amp;BK93,CODIFICACION!$F$2:$F$500,0))="sin dato","",INDEX(CODIFICACION!$E$2:$E$500,MATCH("D3.14i|"&amp;BK93,CODIFICACION!$F$2:$F$500,0))),"⚠"))</f>
        <v/>
      </c>
      <c r="AG93" t="str">
        <f>IF(BL93="","",IFERROR(IF(INDEX(CODIFICACION!$E$2:$E$500,MATCH("D4.15|"&amp;BL93,CODIFICACION!$F$2:$F$500,0))="sin dato","",INDEX(CODIFICACION!$E$2:$E$500,MATCH("D4.15|"&amp;BL93,CODIFICACION!$F$2:$F$500,0))),"⚠"))</f>
        <v/>
      </c>
      <c r="AH93" t="str">
        <f t="shared" si="56"/>
        <v/>
      </c>
      <c r="AI93" t="str">
        <f>IF(BN93="","",IFERROR(IF(INDEX(CODIFICACION!$E$2:$E$500,MATCH("D4.17|"&amp;BN93,CODIFICACION!$F$2:$F$500,0))="sin dato","",INDEX(CODIFICACION!$E$2:$E$500,MATCH("D4.17|"&amp;BN93,CODIFICACION!$F$2:$F$500,0))),"⚠"))</f>
        <v/>
      </c>
      <c r="AJ93" t="str">
        <f>IF(BO93="","",IFERROR(IF(INDEX(CODIFICACION!$E$2:$E$500,MATCH("D4.15a|"&amp;BO93,CODIFICACION!$F$2:$F$500,0))="sin dato","",INDEX(CODIFICACION!$E$2:$E$500,MATCH("D4.15a|"&amp;BO93,CODIFICACION!$F$2:$F$500,0))),"⚠"))</f>
        <v/>
      </c>
      <c r="AK93" t="str">
        <f t="shared" si="57"/>
        <v/>
      </c>
      <c r="AL93" t="str">
        <f t="shared" si="58"/>
        <v/>
      </c>
      <c r="AM93" t="str">
        <f>IF(BR93="","",IFERROR(IF(INDEX(CODIFICACION!$E$2:$E$500,MATCH("D5.18b|"&amp;BR93,CODIFICACION!$F$2:$F$500,0))="sin dato","",INDEX(CODIFICACION!$E$2:$E$500,MATCH("D5.18b|"&amp;BR93,CODIFICACION!$F$2:$F$500,0))),"⚠"))</f>
        <v/>
      </c>
      <c r="AN93" t="str">
        <f>IF(BS93="","",IFERROR(IF(INDEX(CODIFICACION!$E$2:$E$500,MATCH("D5.19|"&amp;BS93,CODIFICACION!$F$2:$F$500,0))="sin dato","",INDEX(CODIFICACION!$E$2:$E$500,MATCH("D5.19|"&amp;BS93,CODIFICACION!$F$2:$F$500,0))),"⚠"))</f>
        <v/>
      </c>
      <c r="AO93" t="str">
        <f t="shared" si="59"/>
        <v/>
      </c>
      <c r="AP93" t="str">
        <f>IF(BU93="","",IFERROR(IF(INDEX(CODIFICACION!$E$2:$E$500,MATCH("D5.20|"&amp;BU93,CODIFICACION!$F$2:$F$500,0))="sin dato","",INDEX(CODIFICACION!$E$2:$E$500,MATCH("D5.20|"&amp;BU93,CODIFICACION!$F$2:$F$500,0))),"⚠"))</f>
        <v/>
      </c>
      <c r="AQ93" t="str">
        <f>IF(BV93="","",IFERROR(IF(INDEX(CODIFICACION!$E$2:$E$500,MATCH("D5.21|"&amp;BV93,CODIFICACION!$F$2:$F$500,0))="sin dato","",INDEX(CODIFICACION!$E$2:$E$500,MATCH("D5.21|"&amp;BV93,CODIFICACION!$F$2:$F$500,0))),"⚠"))</f>
        <v/>
      </c>
      <c r="AR93" t="str">
        <f>IF(BW93="","",IFERROR(IF(INDEX(CODIFICACION!$E$2:$E$500,MATCH("D5.21a|"&amp;BW93,CODIFICACION!$F$2:$F$500,0))="sin dato","",INDEX(CODIFICACION!$E$2:$E$500,MATCH("D5.21a|"&amp;BW93,CODIFICACION!$F$2:$F$500,0))),"⚠"))</f>
        <v/>
      </c>
      <c r="AS93" t="str">
        <f>IF(BX93="","",IFERROR(IF(INDEX(CODIFICACION!$E$2:$E$500,MATCH("D5.21b|"&amp;BX93,CODIFICACION!$F$2:$F$500,0))="sin dato","",INDEX(CODIFICACION!$E$2:$E$500,MATCH("D5.21b|"&amp;BX93,CODIFICACION!$F$2:$F$500,0))),"⚠"))</f>
        <v/>
      </c>
      <c r="AT93" t="str">
        <f>IF(BY93="","",IFERROR(IF(INDEX(CODIFICACION!$E$2:$E$500,MATCH("D6.22|"&amp;BY93,CODIFICACION!$F$2:$F$500,0))="sin dato","",INDEX(CODIFICACION!$E$2:$E$500,MATCH("D6.22|"&amp;BY93,CODIFICACION!$F$2:$F$500,0))),"⚠"))</f>
        <v/>
      </c>
      <c r="AU93" t="str">
        <f>IF(BZ93="","",IFERROR(IF(INDEX(CODIFICACION!$E$2:$E$500,MATCH("D6.22a|"&amp;BZ93,CODIFICACION!$F$2:$F$500,0))="sin dato","",INDEX(CODIFICACION!$E$2:$E$500,MATCH("D6.22a|"&amp;BZ93,CODIFICACION!$F$2:$F$500,0))),"⚠"))</f>
        <v/>
      </c>
      <c r="AV93" t="str">
        <f>IF(CA93="","",IFERROR(IF(INDEX(CODIFICACION!$E$2:$E$500,MATCH("D6.22b|"&amp;CA93,CODIFICACION!$F$2:$F$500,0))="sin dato","",INDEX(CODIFICACION!$E$2:$E$500,MATCH("D6.22b|"&amp;CA93,CODIFICACION!$F$2:$F$500,0))),"⚠"))</f>
        <v/>
      </c>
      <c r="AW93" t="str">
        <f>IF(CB93="","",IFERROR(IF(INDEX(CODIFICACION!$E$2:$E$500,MATCH("D6.23|"&amp;CB93,CODIFICACION!$F$2:$F$500,0))="sin dato","",INDEX(CODIFICACION!$E$2:$E$500,MATCH("D6.23|"&amp;CB93,CODIFICACION!$F$2:$F$500,0))),"⚠"))</f>
        <v/>
      </c>
      <c r="AX93" t="str">
        <f ca="1">IF(CC93="","",IFERROR(IF(INDEX(CODIFICACION!$E$2:$E$500,MATCH("D6.24|"&amp;CC93,CODIFICACION!$F$2:$F$500,0))="sin dato","",INDEX(CODIFICACION!$E$2:$E$500,MATCH("D6.24|"&amp;CC93,CODIFICACION!$F$2:$F$500,0))),"⚠"))</f>
        <v/>
      </c>
      <c r="AY93" t="str">
        <f ca="1">IF(CD93="","",IFERROR(IF(INDEX(CODIFICACION!$E$2:$E$500,MATCH("D6.25|"&amp;CD93,CODIFICACION!$F$2:$F$500,0))="sin dato","",INDEX(CODIFICACION!$E$2:$E$500,MATCH("D6.25|"&amp;CD93,CODIFICACION!$F$2:$F$500,0))),"⚠"))</f>
        <v/>
      </c>
      <c r="AZ93" t="str">
        <f>IF(CE93="","",IFERROR(IF(INDEX(CODIFICACION!$E$2:$E$500,MATCH("D6.25a|"&amp;CE93,CODIFICACION!$F$2:$F$500,0))="sin dato","",INDEX(CODIFICACION!$E$2:$E$500,MATCH("D6.25a|"&amp;CE93,CODIFICACION!$F$2:$F$500,0))),"⚠"))</f>
        <v/>
      </c>
      <c r="BA93" t="str">
        <f>IF(CF93="","",IFERROR(IF(INDEX(CODIFICACION!$E$2:$E$500,MATCH("D6.25b|"&amp;CF93,CODIFICACION!$F$2:$F$500,0))="sin dato","",INDEX(CODIFICACION!$E$2:$E$500,MATCH("D6.25b|"&amp;CF93,CODIFICACION!$F$2:$F$500,0))),"⚠"))</f>
        <v/>
      </c>
      <c r="BB93" t="str">
        <f ca="1">IF(CG93="","",IFERROR(IF(INDEX(CODIFICACION!$E$2:$E$500,MATCH("D6.22c|"&amp;CG93,CODIFICACION!$F$2:$F$500,0))="sin dato","",INDEX(CODIFICACION!$E$2:$E$500,MATCH("D6.22c|"&amp;CG93,CODIFICACION!$F$2:$F$500,0))),"⚠"))</f>
        <v/>
      </c>
      <c r="BC93" t="str">
        <f ca="1">IF(CH93="","",IFERROR(IF(INDEX(CODIFICACION!$E$2:$E$500,MATCH("D7.26|"&amp;CH93,CODIFICACION!$F$2:$F$500,0))="sin dato","",INDEX(CODIFICACION!$E$2:$E$500,MATCH("D7.26|"&amp;CH93,CODIFICACION!$F$2:$F$500,0))),"⚠"))</f>
        <v/>
      </c>
      <c r="BD93" t="str">
        <f>IF(CI93="","",IFERROR(IF(INDEX(CODIFICACION!$E$2:$E$500,MATCH("D7.27|"&amp;CI93,CODIFICACION!$F$2:$F$500,0))="sin dato","",INDEX(CODIFICACION!$E$2:$E$500,MATCH("D7.27|"&amp;CI93,CODIFICACION!$F$2:$F$500,0))),"⚠"))</f>
        <v/>
      </c>
      <c r="BE93" t="str">
        <f>IF(CJ93="","",IFERROR(IF(INDEX(CODIFICACION!$E$2:$E$500,MATCH("D7.28|"&amp;CJ93,CODIFICACION!$F$2:$F$500,0))="sin dato","",INDEX(CODIFICACION!$E$2:$E$500,MATCH("D7.28|"&amp;CJ93,CODIFICACION!$F$2:$F$500,0))),"⚠"))</f>
        <v/>
      </c>
      <c r="BF93" t="str">
        <f>IF(CK93="","",IFERROR(IF(INDEX(CODIFICACION!$E$2:$E$500,MATCH("D7.28b|"&amp;CK93,CODIFICACION!$F$2:$F$500,0))="sin dato","",INDEX(CODIFICACION!$E$2:$E$500,MATCH("D7.28b|"&amp;CK93,CODIFICACION!$F$2:$F$500,0))),"⚠"))</f>
        <v/>
      </c>
      <c r="BG93" t="str">
        <f t="shared" si="60"/>
        <v/>
      </c>
      <c r="BH93" t="str">
        <f>IF(CM93="","",IFERROR(IF(INDEX(CODIFICACION!$E$2:$E$500,MATCH("D7.26a|"&amp;CM93,CODIFICACION!$F$2:$F$500,0))="sin dato","",INDEX(CODIFICACION!$E$2:$E$500,MATCH("D7.26a|"&amp;CM93,CODIFICACION!$F$2:$F$500,0))),"⚠"))</f>
        <v/>
      </c>
      <c r="BI93" t="str">
        <f>IF(CN93="","",IFERROR(IF(INDEX(CODIFICACION!$E$2:$E$500,MATCH("D7.26b|"&amp;CN93,CODIFICACION!$F$2:$F$500,0))="sin dato","",INDEX(CODIFICACION!$E$2:$E$500,MATCH("D7.26b|"&amp;CN93,CODIFICACION!$F$2:$F$500,0))),"⚠"))</f>
        <v/>
      </c>
      <c r="BJ93" t="str">
        <f t="shared" si="61"/>
        <v/>
      </c>
      <c r="BK93" t="str">
        <f t="shared" si="62"/>
        <v/>
      </c>
      <c r="BL93" t="str">
        <f>IF(CQ93="","",IFERROR(IF(INDEX(CODIFICACION!$E$2:$E$500,MATCH("D8.31|"&amp;CQ93,CODIFICACION!$F$2:$F$500,0))="sin dato","",INDEX(CODIFICACION!$E$2:$E$500,MATCH("D8.31|"&amp;CQ93,CODIFICACION!$F$2:$F$500,0))),"⚠"))</f>
        <v/>
      </c>
      <c r="BM93" t="str">
        <f>IF(CR93="","",IFERROR(IF(INDEX(CODIFICACION!$E$2:$E$500,MATCH("D8.32|"&amp;CR93,CODIFICACION!$F$2:$F$500,0))="sin dato","",INDEX(CODIFICACION!$E$2:$E$500,MATCH("D8.32|"&amp;CR93,CODIFICACION!$F$2:$F$500,0))),"⚠"))</f>
        <v/>
      </c>
      <c r="BN93" t="str">
        <f>IF(CS93="","",IFERROR(IF(INDEX(CODIFICACION!$E$2:$E$500,MATCH("D9.33|"&amp;CS93,CODIFICACION!$F$2:$F$500,0))="sin dato","",INDEX(CODIFICACION!$E$2:$E$500,MATCH("D9.33|"&amp;CS93,CODIFICACION!$F$2:$F$500,0))),"⚠"))</f>
        <v/>
      </c>
      <c r="BO93" t="str">
        <f>IF(CT93="","",IFERROR(IF(INDEX(CODIFICACION!$E$2:$E$500,MATCH("D9.34|"&amp;CT93,CODIFICACION!$F$2:$F$500,0))="sin dato","",INDEX(CODIFICACION!$E$2:$E$500,MATCH("D9.34|"&amp;CT93,CODIFICACION!$F$2:$F$500,0))),"⚠"))</f>
        <v/>
      </c>
      <c r="BP93" t="str">
        <f>IF(CU93="","",IFERROR(IF(INDEX(CODIFICACION!$E$2:$E$500,MATCH("D9.35|"&amp;CU93,CODIFICACION!$F$2:$F$500,0))="sin dato","",INDEX(CODIFICACION!$E$2:$E$500,MATCH("D9.35|"&amp;CU93,CODIFICACION!$F$2:$F$500,0))),"⚠"))</f>
        <v/>
      </c>
      <c r="BQ93" t="str">
        <f>IF(CV93="","",IFERROR(IF(INDEX(CODIFICACION!$E$2:$E$500,MATCH("D10.36|"&amp;CV93,CODIFICACION!$F$2:$F$500,0))="sin dato","",INDEX(CODIFICACION!$E$2:$E$500,MATCH("D10.36|"&amp;CV93,CODIFICACION!$F$2:$F$500,0))),"⚠"))</f>
        <v/>
      </c>
      <c r="BR93" t="str">
        <f>IF(CW93="","",IFERROR(IF(INDEX(CODIFICACION!$E$2:$E$500,MATCH("D10.37|"&amp;CW93,CODIFICACION!$F$2:$F$500,0))="sin dato","",INDEX(CODIFICACION!$E$2:$E$500,MATCH("D10.37|"&amp;CW93,CODIFICACION!$F$2:$F$500,0))),"⚠"))</f>
        <v/>
      </c>
      <c r="BS93" t="str">
        <f>IF(CX93="","",IFERROR(IF(INDEX(CODIFICACION!$E$2:$E$500,MATCH("D10.36a|"&amp;CX93,CODIFICACION!$F$2:$F$500,0))="sin dato","",INDEX(CODIFICACION!$E$2:$E$500,MATCH("D10.36a|"&amp;CX93,CODIFICACION!$F$2:$F$500,0))),"⚠"))</f>
        <v/>
      </c>
      <c r="BT93" t="str">
        <f t="shared" si="63"/>
        <v/>
      </c>
      <c r="BU93" t="str">
        <f>IF(DA93="","",IFERROR(IF(INDEX(CODIFICACION!$E$2:$E$500,MATCH("D11.39a|"&amp;DA93,CODIFICACION!$F$2:$F$500,0))="sin dato","",INDEX(CODIFICACION!$E$2:$E$500,MATCH("D11.39a|"&amp;DA93,CODIFICACION!$F$2:$F$500,0))),"⚠"))</f>
        <v/>
      </c>
      <c r="BV93" t="str">
        <f>IF(DB93="","",IFERROR(IF(INDEX(CODIFICACION!$E$2:$E$500,MATCH("D12.42|"&amp;DB93,CODIFICACION!$F$2:$F$500,0))="sin dato","",INDEX(CODIFICACION!$E$2:$E$500,MATCH("D12.42|"&amp;DB93,CODIFICACION!$F$2:$F$500,0))),"⚠"))</f>
        <v/>
      </c>
      <c r="BW93" t="str">
        <f>IF(DC93="","",IFERROR(IF(INDEX(CODIFICACION!$E$2:$E$500,MATCH("D13.45|"&amp;DC93,CODIFICACION!$F$2:$F$500,0))="sin dato","",INDEX(CODIFICACION!$E$2:$E$500,MATCH("D13.45|"&amp;DC93,CODIFICACION!$F$2:$F$500,0))),"⚠"))</f>
        <v/>
      </c>
      <c r="BX93" t="str">
        <f>IF(DD93="","",IFERROR(IF(INDEX(CODIFICACION!$E$2:$E$500,MATCH("D14.51|"&amp;DD93,CODIFICACION!$F$2:$F$500,0))="sin dato","",INDEX(CODIFICACION!$E$2:$E$500,MATCH("D14.51|"&amp;DD93,CODIFICACION!$F$2:$F$500,0))),"⚠"))</f>
        <v/>
      </c>
      <c r="BY93" t="str">
        <f>IF(DE93="","",IFERROR(IF(INDEX(CODIFICACION!$E$2:$E$500,MATCH("D15.58|"&amp;DE93,CODIFICACION!$F$2:$F$500,0))="sin dato","",INDEX(CODIFICACION!$E$2:$E$500,MATCH("D15.58|"&amp;DE93,CODIFICACION!$F$2:$F$500,0))),"⚠"))</f>
        <v/>
      </c>
      <c r="BZ93" t="str">
        <f>IF(DF93="","",IFERROR(IF(INDEX(CODIFICACION!$E$2:$E$500,MATCH("PP1|"&amp;DF93,CODIFICACION!$F$2:$F$500,0))="sin dato","",INDEX(CODIFICACION!$E$2:$E$500,MATCH("PP1|"&amp;DF93,CODIFICACION!$F$2:$F$500,0))),"⚠"))</f>
        <v/>
      </c>
      <c r="CA93" t="str">
        <f>IF(DG93="","",IFERROR(IF(INDEX(CODIFICACION!$E$2:$E$500,MATCH("PP2|"&amp;DG93,CODIFICACION!$F$2:$F$500,0))="sin dato","",INDEX(CODIFICACION!$E$2:$E$500,MATCH("PP2|"&amp;DG93,CODIFICACION!$F$2:$F$500,0))),"⚠"))</f>
        <v/>
      </c>
      <c r="CB93" t="str">
        <f t="shared" si="64"/>
        <v/>
      </c>
      <c r="CC93" t="str">
        <f t="shared" ca="1" si="65"/>
        <v/>
      </c>
      <c r="CD93" t="str">
        <f t="shared" ca="1" si="66"/>
        <v/>
      </c>
      <c r="CE93" t="str">
        <f t="shared" si="67"/>
        <v/>
      </c>
      <c r="CF93" t="str">
        <f t="shared" si="68"/>
        <v/>
      </c>
      <c r="CG93" t="str">
        <f t="shared" ca="1" si="69"/>
        <v/>
      </c>
      <c r="CH93" t="str">
        <f t="shared" ca="1" si="70"/>
        <v/>
      </c>
      <c r="CI93" t="str">
        <f t="shared" si="71"/>
        <v/>
      </c>
      <c r="CJ93" t="str">
        <f t="shared" si="72"/>
        <v/>
      </c>
      <c r="CK93" t="str">
        <f t="shared" si="73"/>
        <v/>
      </c>
      <c r="CL93" t="str">
        <f t="shared" si="74"/>
        <v/>
      </c>
    </row>
    <row r="94" spans="1:90" x14ac:dyDescent="0.3">
      <c r="A94">
        <f>CAPTURA!A94</f>
        <v>20572190251</v>
      </c>
      <c r="B94">
        <f>CAPTURA!C94</f>
        <v>0</v>
      </c>
      <c r="C94" t="str">
        <f t="shared" si="50"/>
        <v/>
      </c>
      <c r="D94" t="str">
        <f>IF(AE94="","",IFERROR(IF(INDEX(CODIFICACION!$E$2:$E$500,MATCH("P8|"&amp;AE94,CODIFICACION!$F$2:$F$500,0))="sin dato","",INDEX(CODIFICACION!$E$2:$E$500,MATCH("P8|"&amp;AE94,CODIFICACION!$F$2:$F$500,0))),"⚠"))</f>
        <v/>
      </c>
      <c r="E94" t="str">
        <f>IF(AG94="","",IFERROR(IF(INDEX(CODIFICACION!$E$2:$E$500,MATCH("P10|"&amp;AG94,CODIFICACION!$F$2:$F$500,0))="sin dato","",INDEX(CODIFICACION!$E$2:$E$500,MATCH("P10|"&amp;AG94,CODIFICACION!$F$2:$F$500,0))),"⚠"))</f>
        <v/>
      </c>
      <c r="F94" t="str">
        <f>IF(AJ94="","",IFERROR(IF(INDEX(CODIFICACION!$E$2:$E$500,MATCH("P13|"&amp;AJ94,CODIFICACION!$F$2:$F$500,0))="sin dato","",INDEX(CODIFICACION!$E$2:$E$500,MATCH("P13|"&amp;AJ94,CODIFICACION!$F$2:$F$500,0))),"⚠"))</f>
        <v/>
      </c>
      <c r="G94" t="str">
        <f>IF(AK94="","",IFERROR(IF(INDEX(CODIFICACION!$E$2:$E$500,MATCH("P14|"&amp;AK94,CODIFICACION!$F$2:$F$500,0))="sin dato","",INDEX(CODIFICACION!$E$2:$E$500,MATCH("P14|"&amp;AK94,CODIFICACION!$F$2:$F$500,0))),"⚠"))</f>
        <v/>
      </c>
      <c r="H94" t="str">
        <f>IF(AL94="","",IFERROR(IF(INDEX(CODIFICACION!$E$2:$E$500,MATCH("D1.1|"&amp;AL94,CODIFICACION!$F$2:$F$500,0))="sin dato","",INDEX(CODIFICACION!$E$2:$E$500,MATCH("D1.1|"&amp;AL94,CODIFICACION!$F$2:$F$500,0))),"⚠"))</f>
        <v/>
      </c>
      <c r="I94" t="str">
        <f>IF(AN94="","",IFERROR(IF(INDEX(CODIFICACION!$E$2:$E$500,MATCH("D1.3|"&amp;AN94,CODIFICACION!$F$2:$F$500,0))="sin dato","",INDEX(CODIFICACION!$E$2:$E$500,MATCH("D1.3|"&amp;AN94,CODIFICACION!$F$2:$F$500,0))),"⚠"))</f>
        <v/>
      </c>
      <c r="J94" t="str">
        <f>IF(AO94="","",IFERROR(IF(INDEX(CODIFICACION!$E$2:$E$500,MATCH("D1.4|"&amp;AO94,CODIFICACION!$F$2:$F$500,0))="sin dato","",INDEX(CODIFICACION!$E$2:$E$500,MATCH("D1.4|"&amp;AO94,CODIFICACION!$F$2:$F$500,0))),"⚠"))</f>
        <v/>
      </c>
      <c r="K94" t="str">
        <f>IF(AP94="","",IFERROR(IF(INDEX(CODIFICACION!$E$2:$E$500,MATCH("D1.3a|"&amp;AP94,CODIFICACION!$F$2:$F$500,0))="sin dato","",INDEX(CODIFICACION!$E$2:$E$500,MATCH("D1.3a|"&amp;AP94,CODIFICACION!$F$2:$F$500,0))),"⚠"))</f>
        <v/>
      </c>
      <c r="L94" t="str">
        <f t="shared" si="51"/>
        <v/>
      </c>
      <c r="M94" t="str">
        <f t="shared" si="52"/>
        <v/>
      </c>
      <c r="N94" t="str">
        <f t="shared" si="53"/>
        <v/>
      </c>
      <c r="O94" t="str">
        <f>IF(AT94="","",IFERROR(IF(INDEX(CODIFICACION!$E$2:$E$500,MATCH("D2.8|"&amp;AT94,CODIFICACION!$F$2:$F$500,0))="sin dato","",INDEX(CODIFICACION!$E$2:$E$500,MATCH("D2.8|"&amp;AT94,CODIFICACION!$F$2:$F$500,0))),"⚠"))</f>
        <v/>
      </c>
      <c r="P94" t="str">
        <f>IF(AU94="","",IFERROR(IF(INDEX(CODIFICACION!$E$2:$E$500,MATCH("D2.9|"&amp;AU94,CODIFICACION!$F$2:$F$500,0))="sin dato","",INDEX(CODIFICACION!$E$2:$E$500,MATCH("D2.9|"&amp;AU94,CODIFICACION!$F$2:$F$500,0))),"⚠"))</f>
        <v/>
      </c>
      <c r="Q94" t="str">
        <f>IF(AV94="","",IFERROR(IF(INDEX(CODIFICACION!$E$2:$E$500,MATCH("D2.10|"&amp;AV94,CODIFICACION!$F$2:$F$500,0))="sin dato","",INDEX(CODIFICACION!$E$2:$E$500,MATCH("D2.10|"&amp;AV94,CODIFICACION!$F$2:$F$500,0))),"⚠"))</f>
        <v/>
      </c>
      <c r="R94" t="str">
        <f>IF(AW94="","",IFERROR(IF(INDEX(CODIFICACION!$E$2:$E$500,MATCH("D2.5a|"&amp;AW94,CODIFICACION!$F$2:$F$500,0))="sin dato","",INDEX(CODIFICACION!$E$2:$E$500,MATCH("D2.5a|"&amp;AW94,CODIFICACION!$F$2:$F$500,0))),"⚠"))</f>
        <v/>
      </c>
      <c r="S94" t="str">
        <f ca="1">IF(AX94="","",IFERROR(IF(INDEX(CODIFICACION!$E$2:$E$500,MATCH("D2.5b|"&amp;AX94,CODIFICACION!$F$2:$F$500,0))="sin dato","",INDEX(CODIFICACION!$E$2:$E$500,MATCH("D2.5b|"&amp;AX94,CODIFICACION!$F$2:$F$500,0))),"⚠"))</f>
        <v/>
      </c>
      <c r="T94" t="str">
        <f t="shared" ca="1" si="54"/>
        <v/>
      </c>
      <c r="U94" t="str">
        <f>IF(AZ94="","",IFERROR(IF(INDEX(CODIFICACION!$E$2:$E$500,MATCH("D3.12|"&amp;AZ94,CODIFICACION!$F$2:$F$500,0))="sin dato","",INDEX(CODIFICACION!$E$2:$E$500,MATCH("D3.12|"&amp;AZ94,CODIFICACION!$F$2:$F$500,0))),"⚠"))</f>
        <v/>
      </c>
      <c r="V94" t="str">
        <f t="shared" si="55"/>
        <v/>
      </c>
      <c r="W94" t="str">
        <f ca="1">IF(BB94="","",IFERROR(IF(INDEX(CODIFICACION!$E$2:$E$500,MATCH("D3.14|"&amp;BB94,CODIFICACION!$F$2:$F$500,0))="sin dato","",INDEX(CODIFICACION!$E$2:$E$500,MATCH("D3.14|"&amp;BB94,CODIFICACION!$F$2:$F$500,0))),"⚠"))</f>
        <v/>
      </c>
      <c r="X94" t="str">
        <f ca="1">IF(BC94="","",IFERROR(IF(INDEX(CODIFICACION!$E$2:$E$500,MATCH("D3.14a|"&amp;BC94,CODIFICACION!$F$2:$F$500,0))="sin dato","",INDEX(CODIFICACION!$E$2:$E$500,MATCH("D3.14a|"&amp;BC94,CODIFICACION!$F$2:$F$500,0))),"⚠"))</f>
        <v/>
      </c>
      <c r="Y94" t="str">
        <f>IF(BD94="","",IFERROR(IF(INDEX(CODIFICACION!$E$2:$E$500,MATCH("D3.14b|"&amp;BD94,CODIFICACION!$F$2:$F$500,0))="sin dato","",INDEX(CODIFICACION!$E$2:$E$500,MATCH("D3.14b|"&amp;BD94,CODIFICACION!$F$2:$F$500,0))),"⚠"))</f>
        <v/>
      </c>
      <c r="Z94" t="str">
        <f>IF(BE94="","",IFERROR(IF(INDEX(CODIFICACION!$E$2:$E$500,MATCH("D3.14c|"&amp;BE94,CODIFICACION!$F$2:$F$500,0))="sin dato","",INDEX(CODIFICACION!$E$2:$E$500,MATCH("D3.14c|"&amp;BE94,CODIFICACION!$F$2:$F$500,0))),"⚠"))</f>
        <v/>
      </c>
      <c r="AA94" t="str">
        <f>IF(BF94="","",IFERROR(IF(INDEX(CODIFICACION!$E$2:$E$500,MATCH("D3.14d|"&amp;BF94,CODIFICACION!$F$2:$F$500,0))="sin dato","",INDEX(CODIFICACION!$E$2:$E$500,MATCH("D3.14d|"&amp;BF94,CODIFICACION!$F$2:$F$500,0))),"⚠"))</f>
        <v/>
      </c>
      <c r="AB94" t="str">
        <f>IF(BG94="","",IFERROR(IF(INDEX(CODIFICACION!$E$2:$E$500,MATCH("D3.14e|"&amp;BG94,CODIFICACION!$F$2:$F$500,0))="sin dato","",INDEX(CODIFICACION!$E$2:$E$500,MATCH("D3.14e|"&amp;BG94,CODIFICACION!$F$2:$F$500,0))),"⚠"))</f>
        <v/>
      </c>
      <c r="AC94" t="str">
        <f>IF(BH94="","",IFERROR(IF(INDEX(CODIFICACION!$E$2:$E$500,MATCH("D3.14f|"&amp;BH94,CODIFICACION!$F$2:$F$500,0))="sin dato","",INDEX(CODIFICACION!$E$2:$E$500,MATCH("D3.14f|"&amp;BH94,CODIFICACION!$F$2:$F$500,0))),"⚠"))</f>
        <v/>
      </c>
      <c r="AD94" t="str">
        <f>IF(BI94="","",IFERROR(IF(INDEX(CODIFICACION!$E$2:$E$500,MATCH("D3.14g|"&amp;BI94,CODIFICACION!$F$2:$F$500,0))="sin dato","",INDEX(CODIFICACION!$E$2:$E$500,MATCH("D3.14g|"&amp;BI94,CODIFICACION!$F$2:$F$500,0))),"⚠"))</f>
        <v/>
      </c>
      <c r="AE94" t="str">
        <f>IF(BJ94="","",IFERROR(IF(INDEX(CODIFICACION!$E$2:$E$500,MATCH("D3.14h|"&amp;BJ94,CODIFICACION!$F$2:$F$500,0))="sin dato","",INDEX(CODIFICACION!$E$2:$E$500,MATCH("D3.14h|"&amp;BJ94,CODIFICACION!$F$2:$F$500,0))),"⚠"))</f>
        <v/>
      </c>
      <c r="AF94" t="str">
        <f>IF(BK94="","",IFERROR(IF(INDEX(CODIFICACION!$E$2:$E$500,MATCH("D3.14i|"&amp;BK94,CODIFICACION!$F$2:$F$500,0))="sin dato","",INDEX(CODIFICACION!$E$2:$E$500,MATCH("D3.14i|"&amp;BK94,CODIFICACION!$F$2:$F$500,0))),"⚠"))</f>
        <v/>
      </c>
      <c r="AG94" t="str">
        <f>IF(BL94="","",IFERROR(IF(INDEX(CODIFICACION!$E$2:$E$500,MATCH("D4.15|"&amp;BL94,CODIFICACION!$F$2:$F$500,0))="sin dato","",INDEX(CODIFICACION!$E$2:$E$500,MATCH("D4.15|"&amp;BL94,CODIFICACION!$F$2:$F$500,0))),"⚠"))</f>
        <v/>
      </c>
      <c r="AH94" t="str">
        <f t="shared" si="56"/>
        <v/>
      </c>
      <c r="AI94" t="str">
        <f>IF(BN94="","",IFERROR(IF(INDEX(CODIFICACION!$E$2:$E$500,MATCH("D4.17|"&amp;BN94,CODIFICACION!$F$2:$F$500,0))="sin dato","",INDEX(CODIFICACION!$E$2:$E$500,MATCH("D4.17|"&amp;BN94,CODIFICACION!$F$2:$F$500,0))),"⚠"))</f>
        <v/>
      </c>
      <c r="AJ94" t="str">
        <f>IF(BO94="","",IFERROR(IF(INDEX(CODIFICACION!$E$2:$E$500,MATCH("D4.15a|"&amp;BO94,CODIFICACION!$F$2:$F$500,0))="sin dato","",INDEX(CODIFICACION!$E$2:$E$500,MATCH("D4.15a|"&amp;BO94,CODIFICACION!$F$2:$F$500,0))),"⚠"))</f>
        <v/>
      </c>
      <c r="AK94" t="str">
        <f t="shared" si="57"/>
        <v/>
      </c>
      <c r="AL94" t="str">
        <f t="shared" si="58"/>
        <v/>
      </c>
      <c r="AM94" t="str">
        <f>IF(BR94="","",IFERROR(IF(INDEX(CODIFICACION!$E$2:$E$500,MATCH("D5.18b|"&amp;BR94,CODIFICACION!$F$2:$F$500,0))="sin dato","",INDEX(CODIFICACION!$E$2:$E$500,MATCH("D5.18b|"&amp;BR94,CODIFICACION!$F$2:$F$500,0))),"⚠"))</f>
        <v/>
      </c>
      <c r="AN94" t="str">
        <f>IF(BS94="","",IFERROR(IF(INDEX(CODIFICACION!$E$2:$E$500,MATCH("D5.19|"&amp;BS94,CODIFICACION!$F$2:$F$500,0))="sin dato","",INDEX(CODIFICACION!$E$2:$E$500,MATCH("D5.19|"&amp;BS94,CODIFICACION!$F$2:$F$500,0))),"⚠"))</f>
        <v/>
      </c>
      <c r="AO94" t="str">
        <f t="shared" si="59"/>
        <v/>
      </c>
      <c r="AP94" t="str">
        <f>IF(BU94="","",IFERROR(IF(INDEX(CODIFICACION!$E$2:$E$500,MATCH("D5.20|"&amp;BU94,CODIFICACION!$F$2:$F$500,0))="sin dato","",INDEX(CODIFICACION!$E$2:$E$500,MATCH("D5.20|"&amp;BU94,CODIFICACION!$F$2:$F$500,0))),"⚠"))</f>
        <v/>
      </c>
      <c r="AQ94" t="str">
        <f>IF(BV94="","",IFERROR(IF(INDEX(CODIFICACION!$E$2:$E$500,MATCH("D5.21|"&amp;BV94,CODIFICACION!$F$2:$F$500,0))="sin dato","",INDEX(CODIFICACION!$E$2:$E$500,MATCH("D5.21|"&amp;BV94,CODIFICACION!$F$2:$F$500,0))),"⚠"))</f>
        <v/>
      </c>
      <c r="AR94" t="str">
        <f>IF(BW94="","",IFERROR(IF(INDEX(CODIFICACION!$E$2:$E$500,MATCH("D5.21a|"&amp;BW94,CODIFICACION!$F$2:$F$500,0))="sin dato","",INDEX(CODIFICACION!$E$2:$E$500,MATCH("D5.21a|"&amp;BW94,CODIFICACION!$F$2:$F$500,0))),"⚠"))</f>
        <v/>
      </c>
      <c r="AS94" t="str">
        <f>IF(BX94="","",IFERROR(IF(INDEX(CODIFICACION!$E$2:$E$500,MATCH("D5.21b|"&amp;BX94,CODIFICACION!$F$2:$F$500,0))="sin dato","",INDEX(CODIFICACION!$E$2:$E$500,MATCH("D5.21b|"&amp;BX94,CODIFICACION!$F$2:$F$500,0))),"⚠"))</f>
        <v/>
      </c>
      <c r="AT94" t="str">
        <f>IF(BY94="","",IFERROR(IF(INDEX(CODIFICACION!$E$2:$E$500,MATCH("D6.22|"&amp;BY94,CODIFICACION!$F$2:$F$500,0))="sin dato","",INDEX(CODIFICACION!$E$2:$E$500,MATCH("D6.22|"&amp;BY94,CODIFICACION!$F$2:$F$500,0))),"⚠"))</f>
        <v/>
      </c>
      <c r="AU94" t="str">
        <f>IF(BZ94="","",IFERROR(IF(INDEX(CODIFICACION!$E$2:$E$500,MATCH("D6.22a|"&amp;BZ94,CODIFICACION!$F$2:$F$500,0))="sin dato","",INDEX(CODIFICACION!$E$2:$E$500,MATCH("D6.22a|"&amp;BZ94,CODIFICACION!$F$2:$F$500,0))),"⚠"))</f>
        <v/>
      </c>
      <c r="AV94" t="str">
        <f>IF(CA94="","",IFERROR(IF(INDEX(CODIFICACION!$E$2:$E$500,MATCH("D6.22b|"&amp;CA94,CODIFICACION!$F$2:$F$500,0))="sin dato","",INDEX(CODIFICACION!$E$2:$E$500,MATCH("D6.22b|"&amp;CA94,CODIFICACION!$F$2:$F$500,0))),"⚠"))</f>
        <v/>
      </c>
      <c r="AW94" t="str">
        <f>IF(CB94="","",IFERROR(IF(INDEX(CODIFICACION!$E$2:$E$500,MATCH("D6.23|"&amp;CB94,CODIFICACION!$F$2:$F$500,0))="sin dato","",INDEX(CODIFICACION!$E$2:$E$500,MATCH("D6.23|"&amp;CB94,CODIFICACION!$F$2:$F$500,0))),"⚠"))</f>
        <v/>
      </c>
      <c r="AX94" t="str">
        <f ca="1">IF(CC94="","",IFERROR(IF(INDEX(CODIFICACION!$E$2:$E$500,MATCH("D6.24|"&amp;CC94,CODIFICACION!$F$2:$F$500,0))="sin dato","",INDEX(CODIFICACION!$E$2:$E$500,MATCH("D6.24|"&amp;CC94,CODIFICACION!$F$2:$F$500,0))),"⚠"))</f>
        <v/>
      </c>
      <c r="AY94" t="str">
        <f ca="1">IF(CD94="","",IFERROR(IF(INDEX(CODIFICACION!$E$2:$E$500,MATCH("D6.25|"&amp;CD94,CODIFICACION!$F$2:$F$500,0))="sin dato","",INDEX(CODIFICACION!$E$2:$E$500,MATCH("D6.25|"&amp;CD94,CODIFICACION!$F$2:$F$500,0))),"⚠"))</f>
        <v/>
      </c>
      <c r="AZ94" t="str">
        <f>IF(CE94="","",IFERROR(IF(INDEX(CODIFICACION!$E$2:$E$500,MATCH("D6.25a|"&amp;CE94,CODIFICACION!$F$2:$F$500,0))="sin dato","",INDEX(CODIFICACION!$E$2:$E$500,MATCH("D6.25a|"&amp;CE94,CODIFICACION!$F$2:$F$500,0))),"⚠"))</f>
        <v/>
      </c>
      <c r="BA94" t="str">
        <f>IF(CF94="","",IFERROR(IF(INDEX(CODIFICACION!$E$2:$E$500,MATCH("D6.25b|"&amp;CF94,CODIFICACION!$F$2:$F$500,0))="sin dato","",INDEX(CODIFICACION!$E$2:$E$500,MATCH("D6.25b|"&amp;CF94,CODIFICACION!$F$2:$F$500,0))),"⚠"))</f>
        <v/>
      </c>
      <c r="BB94" t="str">
        <f ca="1">IF(CG94="","",IFERROR(IF(INDEX(CODIFICACION!$E$2:$E$500,MATCH("D6.22c|"&amp;CG94,CODIFICACION!$F$2:$F$500,0))="sin dato","",INDEX(CODIFICACION!$E$2:$E$500,MATCH("D6.22c|"&amp;CG94,CODIFICACION!$F$2:$F$500,0))),"⚠"))</f>
        <v/>
      </c>
      <c r="BC94" t="str">
        <f ca="1">IF(CH94="","",IFERROR(IF(INDEX(CODIFICACION!$E$2:$E$500,MATCH("D7.26|"&amp;CH94,CODIFICACION!$F$2:$F$500,0))="sin dato","",INDEX(CODIFICACION!$E$2:$E$500,MATCH("D7.26|"&amp;CH94,CODIFICACION!$F$2:$F$500,0))),"⚠"))</f>
        <v/>
      </c>
      <c r="BD94" t="str">
        <f>IF(CI94="","",IFERROR(IF(INDEX(CODIFICACION!$E$2:$E$500,MATCH("D7.27|"&amp;CI94,CODIFICACION!$F$2:$F$500,0))="sin dato","",INDEX(CODIFICACION!$E$2:$E$500,MATCH("D7.27|"&amp;CI94,CODIFICACION!$F$2:$F$500,0))),"⚠"))</f>
        <v/>
      </c>
      <c r="BE94" t="str">
        <f>IF(CJ94="","",IFERROR(IF(INDEX(CODIFICACION!$E$2:$E$500,MATCH("D7.28|"&amp;CJ94,CODIFICACION!$F$2:$F$500,0))="sin dato","",INDEX(CODIFICACION!$E$2:$E$500,MATCH("D7.28|"&amp;CJ94,CODIFICACION!$F$2:$F$500,0))),"⚠"))</f>
        <v/>
      </c>
      <c r="BF94" t="str">
        <f>IF(CK94="","",IFERROR(IF(INDEX(CODIFICACION!$E$2:$E$500,MATCH("D7.28b|"&amp;CK94,CODIFICACION!$F$2:$F$500,0))="sin dato","",INDEX(CODIFICACION!$E$2:$E$500,MATCH("D7.28b|"&amp;CK94,CODIFICACION!$F$2:$F$500,0))),"⚠"))</f>
        <v/>
      </c>
      <c r="BG94" t="str">
        <f t="shared" si="60"/>
        <v/>
      </c>
      <c r="BH94" t="str">
        <f>IF(CM94="","",IFERROR(IF(INDEX(CODIFICACION!$E$2:$E$500,MATCH("D7.26a|"&amp;CM94,CODIFICACION!$F$2:$F$500,0))="sin dato","",INDEX(CODIFICACION!$E$2:$E$500,MATCH("D7.26a|"&amp;CM94,CODIFICACION!$F$2:$F$500,0))),"⚠"))</f>
        <v/>
      </c>
      <c r="BI94" t="str">
        <f>IF(CN94="","",IFERROR(IF(INDEX(CODIFICACION!$E$2:$E$500,MATCH("D7.26b|"&amp;CN94,CODIFICACION!$F$2:$F$500,0))="sin dato","",INDEX(CODIFICACION!$E$2:$E$500,MATCH("D7.26b|"&amp;CN94,CODIFICACION!$F$2:$F$500,0))),"⚠"))</f>
        <v/>
      </c>
      <c r="BJ94" t="str">
        <f t="shared" si="61"/>
        <v/>
      </c>
      <c r="BK94" t="str">
        <f t="shared" si="62"/>
        <v/>
      </c>
      <c r="BL94" t="str">
        <f>IF(CQ94="","",IFERROR(IF(INDEX(CODIFICACION!$E$2:$E$500,MATCH("D8.31|"&amp;CQ94,CODIFICACION!$F$2:$F$500,0))="sin dato","",INDEX(CODIFICACION!$E$2:$E$500,MATCH("D8.31|"&amp;CQ94,CODIFICACION!$F$2:$F$500,0))),"⚠"))</f>
        <v/>
      </c>
      <c r="BM94" t="str">
        <f>IF(CR94="","",IFERROR(IF(INDEX(CODIFICACION!$E$2:$E$500,MATCH("D8.32|"&amp;CR94,CODIFICACION!$F$2:$F$500,0))="sin dato","",INDEX(CODIFICACION!$E$2:$E$500,MATCH("D8.32|"&amp;CR94,CODIFICACION!$F$2:$F$500,0))),"⚠"))</f>
        <v/>
      </c>
      <c r="BN94" t="str">
        <f>IF(CS94="","",IFERROR(IF(INDEX(CODIFICACION!$E$2:$E$500,MATCH("D9.33|"&amp;CS94,CODIFICACION!$F$2:$F$500,0))="sin dato","",INDEX(CODIFICACION!$E$2:$E$500,MATCH("D9.33|"&amp;CS94,CODIFICACION!$F$2:$F$500,0))),"⚠"))</f>
        <v/>
      </c>
      <c r="BO94" t="str">
        <f>IF(CT94="","",IFERROR(IF(INDEX(CODIFICACION!$E$2:$E$500,MATCH("D9.34|"&amp;CT94,CODIFICACION!$F$2:$F$500,0))="sin dato","",INDEX(CODIFICACION!$E$2:$E$500,MATCH("D9.34|"&amp;CT94,CODIFICACION!$F$2:$F$500,0))),"⚠"))</f>
        <v/>
      </c>
      <c r="BP94" t="str">
        <f>IF(CU94="","",IFERROR(IF(INDEX(CODIFICACION!$E$2:$E$500,MATCH("D9.35|"&amp;CU94,CODIFICACION!$F$2:$F$500,0))="sin dato","",INDEX(CODIFICACION!$E$2:$E$500,MATCH("D9.35|"&amp;CU94,CODIFICACION!$F$2:$F$500,0))),"⚠"))</f>
        <v/>
      </c>
      <c r="BQ94" t="str">
        <f>IF(CV94="","",IFERROR(IF(INDEX(CODIFICACION!$E$2:$E$500,MATCH("D10.36|"&amp;CV94,CODIFICACION!$F$2:$F$500,0))="sin dato","",INDEX(CODIFICACION!$E$2:$E$500,MATCH("D10.36|"&amp;CV94,CODIFICACION!$F$2:$F$500,0))),"⚠"))</f>
        <v/>
      </c>
      <c r="BR94" t="str">
        <f>IF(CW94="","",IFERROR(IF(INDEX(CODIFICACION!$E$2:$E$500,MATCH("D10.37|"&amp;CW94,CODIFICACION!$F$2:$F$500,0))="sin dato","",INDEX(CODIFICACION!$E$2:$E$500,MATCH("D10.37|"&amp;CW94,CODIFICACION!$F$2:$F$500,0))),"⚠"))</f>
        <v/>
      </c>
      <c r="BS94" t="str">
        <f>IF(CX94="","",IFERROR(IF(INDEX(CODIFICACION!$E$2:$E$500,MATCH("D10.36a|"&amp;CX94,CODIFICACION!$F$2:$F$500,0))="sin dato","",INDEX(CODIFICACION!$E$2:$E$500,MATCH("D10.36a|"&amp;CX94,CODIFICACION!$F$2:$F$500,0))),"⚠"))</f>
        <v/>
      </c>
      <c r="BT94" t="str">
        <f t="shared" si="63"/>
        <v/>
      </c>
      <c r="BU94" t="str">
        <f>IF(DA94="","",IFERROR(IF(INDEX(CODIFICACION!$E$2:$E$500,MATCH("D11.39a|"&amp;DA94,CODIFICACION!$F$2:$F$500,0))="sin dato","",INDEX(CODIFICACION!$E$2:$E$500,MATCH("D11.39a|"&amp;DA94,CODIFICACION!$F$2:$F$500,0))),"⚠"))</f>
        <v/>
      </c>
      <c r="BV94" t="str">
        <f>IF(DB94="","",IFERROR(IF(INDEX(CODIFICACION!$E$2:$E$500,MATCH("D12.42|"&amp;DB94,CODIFICACION!$F$2:$F$500,0))="sin dato","",INDEX(CODIFICACION!$E$2:$E$500,MATCH("D12.42|"&amp;DB94,CODIFICACION!$F$2:$F$500,0))),"⚠"))</f>
        <v/>
      </c>
      <c r="BW94" t="str">
        <f>IF(DC94="","",IFERROR(IF(INDEX(CODIFICACION!$E$2:$E$500,MATCH("D13.45|"&amp;DC94,CODIFICACION!$F$2:$F$500,0))="sin dato","",INDEX(CODIFICACION!$E$2:$E$500,MATCH("D13.45|"&amp;DC94,CODIFICACION!$F$2:$F$500,0))),"⚠"))</f>
        <v/>
      </c>
      <c r="BX94" t="str">
        <f>IF(DD94="","",IFERROR(IF(INDEX(CODIFICACION!$E$2:$E$500,MATCH("D14.51|"&amp;DD94,CODIFICACION!$F$2:$F$500,0))="sin dato","",INDEX(CODIFICACION!$E$2:$E$500,MATCH("D14.51|"&amp;DD94,CODIFICACION!$F$2:$F$500,0))),"⚠"))</f>
        <v/>
      </c>
      <c r="BY94" t="str">
        <f>IF(DE94="","",IFERROR(IF(INDEX(CODIFICACION!$E$2:$E$500,MATCH("D15.58|"&amp;DE94,CODIFICACION!$F$2:$F$500,0))="sin dato","",INDEX(CODIFICACION!$E$2:$E$500,MATCH("D15.58|"&amp;DE94,CODIFICACION!$F$2:$F$500,0))),"⚠"))</f>
        <v/>
      </c>
      <c r="BZ94" t="str">
        <f>IF(DF94="","",IFERROR(IF(INDEX(CODIFICACION!$E$2:$E$500,MATCH("PP1|"&amp;DF94,CODIFICACION!$F$2:$F$500,0))="sin dato","",INDEX(CODIFICACION!$E$2:$E$500,MATCH("PP1|"&amp;DF94,CODIFICACION!$F$2:$F$500,0))),"⚠"))</f>
        <v/>
      </c>
      <c r="CA94" t="str">
        <f>IF(DG94="","",IFERROR(IF(INDEX(CODIFICACION!$E$2:$E$500,MATCH("PP2|"&amp;DG94,CODIFICACION!$F$2:$F$500,0))="sin dato","",INDEX(CODIFICACION!$E$2:$E$500,MATCH("PP2|"&amp;DG94,CODIFICACION!$F$2:$F$500,0))),"⚠"))</f>
        <v/>
      </c>
      <c r="CB94" t="str">
        <f t="shared" si="64"/>
        <v/>
      </c>
      <c r="CC94" t="str">
        <f t="shared" ca="1" si="65"/>
        <v/>
      </c>
      <c r="CD94" t="str">
        <f t="shared" ca="1" si="66"/>
        <v/>
      </c>
      <c r="CE94" t="str">
        <f t="shared" si="67"/>
        <v/>
      </c>
      <c r="CF94" t="str">
        <f t="shared" si="68"/>
        <v/>
      </c>
      <c r="CG94" t="str">
        <f t="shared" ca="1" si="69"/>
        <v/>
      </c>
      <c r="CH94" t="str">
        <f t="shared" ca="1" si="70"/>
        <v/>
      </c>
      <c r="CI94" t="str">
        <f t="shared" si="71"/>
        <v/>
      </c>
      <c r="CJ94" t="str">
        <f t="shared" si="72"/>
        <v/>
      </c>
      <c r="CK94" t="str">
        <f t="shared" si="73"/>
        <v/>
      </c>
      <c r="CL94" t="str">
        <f t="shared" si="74"/>
        <v/>
      </c>
    </row>
    <row r="95" spans="1:90" x14ac:dyDescent="0.3">
      <c r="A95">
        <f>CAPTURA!A95</f>
        <v>20573049102</v>
      </c>
      <c r="B95">
        <f>CAPTURA!C95</f>
        <v>0</v>
      </c>
      <c r="C95" t="str">
        <f t="shared" si="50"/>
        <v/>
      </c>
      <c r="D95" t="str">
        <f>IF(AE95="","",IFERROR(IF(INDEX(CODIFICACION!$E$2:$E$500,MATCH("P8|"&amp;AE95,CODIFICACION!$F$2:$F$500,0))="sin dato","",INDEX(CODIFICACION!$E$2:$E$500,MATCH("P8|"&amp;AE95,CODIFICACION!$F$2:$F$500,0))),"⚠"))</f>
        <v/>
      </c>
      <c r="E95" t="str">
        <f>IF(AG95="","",IFERROR(IF(INDEX(CODIFICACION!$E$2:$E$500,MATCH("P10|"&amp;AG95,CODIFICACION!$F$2:$F$500,0))="sin dato","",INDEX(CODIFICACION!$E$2:$E$500,MATCH("P10|"&amp;AG95,CODIFICACION!$F$2:$F$500,0))),"⚠"))</f>
        <v/>
      </c>
      <c r="F95" t="str">
        <f>IF(AJ95="","",IFERROR(IF(INDEX(CODIFICACION!$E$2:$E$500,MATCH("P13|"&amp;AJ95,CODIFICACION!$F$2:$F$500,0))="sin dato","",INDEX(CODIFICACION!$E$2:$E$500,MATCH("P13|"&amp;AJ95,CODIFICACION!$F$2:$F$500,0))),"⚠"))</f>
        <v/>
      </c>
      <c r="G95" t="str">
        <f>IF(AK95="","",IFERROR(IF(INDEX(CODIFICACION!$E$2:$E$500,MATCH("P14|"&amp;AK95,CODIFICACION!$F$2:$F$500,0))="sin dato","",INDEX(CODIFICACION!$E$2:$E$500,MATCH("P14|"&amp;AK95,CODIFICACION!$F$2:$F$500,0))),"⚠"))</f>
        <v/>
      </c>
      <c r="H95" t="str">
        <f>IF(AL95="","",IFERROR(IF(INDEX(CODIFICACION!$E$2:$E$500,MATCH("D1.1|"&amp;AL95,CODIFICACION!$F$2:$F$500,0))="sin dato","",INDEX(CODIFICACION!$E$2:$E$500,MATCH("D1.1|"&amp;AL95,CODIFICACION!$F$2:$F$500,0))),"⚠"))</f>
        <v/>
      </c>
      <c r="I95" t="str">
        <f>IF(AN95="","",IFERROR(IF(INDEX(CODIFICACION!$E$2:$E$500,MATCH("D1.3|"&amp;AN95,CODIFICACION!$F$2:$F$500,0))="sin dato","",INDEX(CODIFICACION!$E$2:$E$500,MATCH("D1.3|"&amp;AN95,CODIFICACION!$F$2:$F$500,0))),"⚠"))</f>
        <v/>
      </c>
      <c r="J95" t="str">
        <f>IF(AO95="","",IFERROR(IF(INDEX(CODIFICACION!$E$2:$E$500,MATCH("D1.4|"&amp;AO95,CODIFICACION!$F$2:$F$500,0))="sin dato","",INDEX(CODIFICACION!$E$2:$E$500,MATCH("D1.4|"&amp;AO95,CODIFICACION!$F$2:$F$500,0))),"⚠"))</f>
        <v/>
      </c>
      <c r="K95" t="str">
        <f>IF(AP95="","",IFERROR(IF(INDEX(CODIFICACION!$E$2:$E$500,MATCH("D1.3a|"&amp;AP95,CODIFICACION!$F$2:$F$500,0))="sin dato","",INDEX(CODIFICACION!$E$2:$E$500,MATCH("D1.3a|"&amp;AP95,CODIFICACION!$F$2:$F$500,0))),"⚠"))</f>
        <v/>
      </c>
      <c r="L95" t="str">
        <f t="shared" si="51"/>
        <v/>
      </c>
      <c r="M95" t="str">
        <f t="shared" si="52"/>
        <v/>
      </c>
      <c r="N95" t="str">
        <f t="shared" si="53"/>
        <v/>
      </c>
      <c r="O95" t="str">
        <f>IF(AT95="","",IFERROR(IF(INDEX(CODIFICACION!$E$2:$E$500,MATCH("D2.8|"&amp;AT95,CODIFICACION!$F$2:$F$500,0))="sin dato","",INDEX(CODIFICACION!$E$2:$E$500,MATCH("D2.8|"&amp;AT95,CODIFICACION!$F$2:$F$500,0))),"⚠"))</f>
        <v/>
      </c>
      <c r="P95" t="str">
        <f>IF(AU95="","",IFERROR(IF(INDEX(CODIFICACION!$E$2:$E$500,MATCH("D2.9|"&amp;AU95,CODIFICACION!$F$2:$F$500,0))="sin dato","",INDEX(CODIFICACION!$E$2:$E$500,MATCH("D2.9|"&amp;AU95,CODIFICACION!$F$2:$F$500,0))),"⚠"))</f>
        <v/>
      </c>
      <c r="Q95" t="str">
        <f>IF(AV95="","",IFERROR(IF(INDEX(CODIFICACION!$E$2:$E$500,MATCH("D2.10|"&amp;AV95,CODIFICACION!$F$2:$F$500,0))="sin dato","",INDEX(CODIFICACION!$E$2:$E$500,MATCH("D2.10|"&amp;AV95,CODIFICACION!$F$2:$F$500,0))),"⚠"))</f>
        <v/>
      </c>
      <c r="R95" t="str">
        <f>IF(AW95="","",IFERROR(IF(INDEX(CODIFICACION!$E$2:$E$500,MATCH("D2.5a|"&amp;AW95,CODIFICACION!$F$2:$F$500,0))="sin dato","",INDEX(CODIFICACION!$E$2:$E$500,MATCH("D2.5a|"&amp;AW95,CODIFICACION!$F$2:$F$500,0))),"⚠"))</f>
        <v/>
      </c>
      <c r="S95" t="str">
        <f ca="1">IF(AX95="","",IFERROR(IF(INDEX(CODIFICACION!$E$2:$E$500,MATCH("D2.5b|"&amp;AX95,CODIFICACION!$F$2:$F$500,0))="sin dato","",INDEX(CODIFICACION!$E$2:$E$500,MATCH("D2.5b|"&amp;AX95,CODIFICACION!$F$2:$F$500,0))),"⚠"))</f>
        <v/>
      </c>
      <c r="T95" t="str">
        <f t="shared" ca="1" si="54"/>
        <v/>
      </c>
      <c r="U95" t="str">
        <f>IF(AZ95="","",IFERROR(IF(INDEX(CODIFICACION!$E$2:$E$500,MATCH("D3.12|"&amp;AZ95,CODIFICACION!$F$2:$F$500,0))="sin dato","",INDEX(CODIFICACION!$E$2:$E$500,MATCH("D3.12|"&amp;AZ95,CODIFICACION!$F$2:$F$500,0))),"⚠"))</f>
        <v/>
      </c>
      <c r="V95" t="str">
        <f t="shared" si="55"/>
        <v/>
      </c>
      <c r="W95" t="str">
        <f ca="1">IF(BB95="","",IFERROR(IF(INDEX(CODIFICACION!$E$2:$E$500,MATCH("D3.14|"&amp;BB95,CODIFICACION!$F$2:$F$500,0))="sin dato","",INDEX(CODIFICACION!$E$2:$E$500,MATCH("D3.14|"&amp;BB95,CODIFICACION!$F$2:$F$500,0))),"⚠"))</f>
        <v/>
      </c>
      <c r="X95" t="str">
        <f ca="1">IF(BC95="","",IFERROR(IF(INDEX(CODIFICACION!$E$2:$E$500,MATCH("D3.14a|"&amp;BC95,CODIFICACION!$F$2:$F$500,0))="sin dato","",INDEX(CODIFICACION!$E$2:$E$500,MATCH("D3.14a|"&amp;BC95,CODIFICACION!$F$2:$F$500,0))),"⚠"))</f>
        <v/>
      </c>
      <c r="Y95" t="str">
        <f>IF(BD95="","",IFERROR(IF(INDEX(CODIFICACION!$E$2:$E$500,MATCH("D3.14b|"&amp;BD95,CODIFICACION!$F$2:$F$500,0))="sin dato","",INDEX(CODIFICACION!$E$2:$E$500,MATCH("D3.14b|"&amp;BD95,CODIFICACION!$F$2:$F$500,0))),"⚠"))</f>
        <v/>
      </c>
      <c r="Z95" t="str">
        <f>IF(BE95="","",IFERROR(IF(INDEX(CODIFICACION!$E$2:$E$500,MATCH("D3.14c|"&amp;BE95,CODIFICACION!$F$2:$F$500,0))="sin dato","",INDEX(CODIFICACION!$E$2:$E$500,MATCH("D3.14c|"&amp;BE95,CODIFICACION!$F$2:$F$500,0))),"⚠"))</f>
        <v/>
      </c>
      <c r="AA95" t="str">
        <f>IF(BF95="","",IFERROR(IF(INDEX(CODIFICACION!$E$2:$E$500,MATCH("D3.14d|"&amp;BF95,CODIFICACION!$F$2:$F$500,0))="sin dato","",INDEX(CODIFICACION!$E$2:$E$500,MATCH("D3.14d|"&amp;BF95,CODIFICACION!$F$2:$F$500,0))),"⚠"))</f>
        <v/>
      </c>
      <c r="AB95" t="str">
        <f>IF(BG95="","",IFERROR(IF(INDEX(CODIFICACION!$E$2:$E$500,MATCH("D3.14e|"&amp;BG95,CODIFICACION!$F$2:$F$500,0))="sin dato","",INDEX(CODIFICACION!$E$2:$E$500,MATCH("D3.14e|"&amp;BG95,CODIFICACION!$F$2:$F$500,0))),"⚠"))</f>
        <v/>
      </c>
      <c r="AC95" t="str">
        <f>IF(BH95="","",IFERROR(IF(INDEX(CODIFICACION!$E$2:$E$500,MATCH("D3.14f|"&amp;BH95,CODIFICACION!$F$2:$F$500,0))="sin dato","",INDEX(CODIFICACION!$E$2:$E$500,MATCH("D3.14f|"&amp;BH95,CODIFICACION!$F$2:$F$500,0))),"⚠"))</f>
        <v/>
      </c>
      <c r="AD95" t="str">
        <f>IF(BI95="","",IFERROR(IF(INDEX(CODIFICACION!$E$2:$E$500,MATCH("D3.14g|"&amp;BI95,CODIFICACION!$F$2:$F$500,0))="sin dato","",INDEX(CODIFICACION!$E$2:$E$500,MATCH("D3.14g|"&amp;BI95,CODIFICACION!$F$2:$F$500,0))),"⚠"))</f>
        <v/>
      </c>
      <c r="AE95" t="str">
        <f>IF(BJ95="","",IFERROR(IF(INDEX(CODIFICACION!$E$2:$E$500,MATCH("D3.14h|"&amp;BJ95,CODIFICACION!$F$2:$F$500,0))="sin dato","",INDEX(CODIFICACION!$E$2:$E$500,MATCH("D3.14h|"&amp;BJ95,CODIFICACION!$F$2:$F$500,0))),"⚠"))</f>
        <v/>
      </c>
      <c r="AF95" t="str">
        <f>IF(BK95="","",IFERROR(IF(INDEX(CODIFICACION!$E$2:$E$500,MATCH("D3.14i|"&amp;BK95,CODIFICACION!$F$2:$F$500,0))="sin dato","",INDEX(CODIFICACION!$E$2:$E$500,MATCH("D3.14i|"&amp;BK95,CODIFICACION!$F$2:$F$500,0))),"⚠"))</f>
        <v/>
      </c>
      <c r="AG95" t="str">
        <f>IF(BL95="","",IFERROR(IF(INDEX(CODIFICACION!$E$2:$E$500,MATCH("D4.15|"&amp;BL95,CODIFICACION!$F$2:$F$500,0))="sin dato","",INDEX(CODIFICACION!$E$2:$E$500,MATCH("D4.15|"&amp;BL95,CODIFICACION!$F$2:$F$500,0))),"⚠"))</f>
        <v/>
      </c>
      <c r="AH95" t="str">
        <f t="shared" si="56"/>
        <v/>
      </c>
      <c r="AI95" t="str">
        <f>IF(BN95="","",IFERROR(IF(INDEX(CODIFICACION!$E$2:$E$500,MATCH("D4.17|"&amp;BN95,CODIFICACION!$F$2:$F$500,0))="sin dato","",INDEX(CODIFICACION!$E$2:$E$500,MATCH("D4.17|"&amp;BN95,CODIFICACION!$F$2:$F$500,0))),"⚠"))</f>
        <v/>
      </c>
      <c r="AJ95" t="str">
        <f>IF(BO95="","",IFERROR(IF(INDEX(CODIFICACION!$E$2:$E$500,MATCH("D4.15a|"&amp;BO95,CODIFICACION!$F$2:$F$500,0))="sin dato","",INDEX(CODIFICACION!$E$2:$E$500,MATCH("D4.15a|"&amp;BO95,CODIFICACION!$F$2:$F$500,0))),"⚠"))</f>
        <v/>
      </c>
      <c r="AK95" t="str">
        <f t="shared" si="57"/>
        <v/>
      </c>
      <c r="AL95" t="str">
        <f t="shared" si="58"/>
        <v/>
      </c>
      <c r="AM95" t="str">
        <f>IF(BR95="","",IFERROR(IF(INDEX(CODIFICACION!$E$2:$E$500,MATCH("D5.18b|"&amp;BR95,CODIFICACION!$F$2:$F$500,0))="sin dato","",INDEX(CODIFICACION!$E$2:$E$500,MATCH("D5.18b|"&amp;BR95,CODIFICACION!$F$2:$F$500,0))),"⚠"))</f>
        <v/>
      </c>
      <c r="AN95" t="str">
        <f>IF(BS95="","",IFERROR(IF(INDEX(CODIFICACION!$E$2:$E$500,MATCH("D5.19|"&amp;BS95,CODIFICACION!$F$2:$F$500,0))="sin dato","",INDEX(CODIFICACION!$E$2:$E$500,MATCH("D5.19|"&amp;BS95,CODIFICACION!$F$2:$F$500,0))),"⚠"))</f>
        <v/>
      </c>
      <c r="AO95" t="str">
        <f t="shared" si="59"/>
        <v/>
      </c>
      <c r="AP95" t="str">
        <f>IF(BU95="","",IFERROR(IF(INDEX(CODIFICACION!$E$2:$E$500,MATCH("D5.20|"&amp;BU95,CODIFICACION!$F$2:$F$500,0))="sin dato","",INDEX(CODIFICACION!$E$2:$E$500,MATCH("D5.20|"&amp;BU95,CODIFICACION!$F$2:$F$500,0))),"⚠"))</f>
        <v/>
      </c>
      <c r="AQ95" t="str">
        <f>IF(BV95="","",IFERROR(IF(INDEX(CODIFICACION!$E$2:$E$500,MATCH("D5.21|"&amp;BV95,CODIFICACION!$F$2:$F$500,0))="sin dato","",INDEX(CODIFICACION!$E$2:$E$500,MATCH("D5.21|"&amp;BV95,CODIFICACION!$F$2:$F$500,0))),"⚠"))</f>
        <v/>
      </c>
      <c r="AR95" t="str">
        <f>IF(BW95="","",IFERROR(IF(INDEX(CODIFICACION!$E$2:$E$500,MATCH("D5.21a|"&amp;BW95,CODIFICACION!$F$2:$F$500,0))="sin dato","",INDEX(CODIFICACION!$E$2:$E$500,MATCH("D5.21a|"&amp;BW95,CODIFICACION!$F$2:$F$500,0))),"⚠"))</f>
        <v/>
      </c>
      <c r="AS95" t="str">
        <f>IF(BX95="","",IFERROR(IF(INDEX(CODIFICACION!$E$2:$E$500,MATCH("D5.21b|"&amp;BX95,CODIFICACION!$F$2:$F$500,0))="sin dato","",INDEX(CODIFICACION!$E$2:$E$500,MATCH("D5.21b|"&amp;BX95,CODIFICACION!$F$2:$F$500,0))),"⚠"))</f>
        <v/>
      </c>
      <c r="AT95" t="str">
        <f>IF(BY95="","",IFERROR(IF(INDEX(CODIFICACION!$E$2:$E$500,MATCH("D6.22|"&amp;BY95,CODIFICACION!$F$2:$F$500,0))="sin dato","",INDEX(CODIFICACION!$E$2:$E$500,MATCH("D6.22|"&amp;BY95,CODIFICACION!$F$2:$F$500,0))),"⚠"))</f>
        <v/>
      </c>
      <c r="AU95" t="str">
        <f>IF(BZ95="","",IFERROR(IF(INDEX(CODIFICACION!$E$2:$E$500,MATCH("D6.22a|"&amp;BZ95,CODIFICACION!$F$2:$F$500,0))="sin dato","",INDEX(CODIFICACION!$E$2:$E$500,MATCH("D6.22a|"&amp;BZ95,CODIFICACION!$F$2:$F$500,0))),"⚠"))</f>
        <v/>
      </c>
      <c r="AV95" t="str">
        <f>IF(CA95="","",IFERROR(IF(INDEX(CODIFICACION!$E$2:$E$500,MATCH("D6.22b|"&amp;CA95,CODIFICACION!$F$2:$F$500,0))="sin dato","",INDEX(CODIFICACION!$E$2:$E$500,MATCH("D6.22b|"&amp;CA95,CODIFICACION!$F$2:$F$500,0))),"⚠"))</f>
        <v/>
      </c>
      <c r="AW95" t="str">
        <f>IF(CB95="","",IFERROR(IF(INDEX(CODIFICACION!$E$2:$E$500,MATCH("D6.23|"&amp;CB95,CODIFICACION!$F$2:$F$500,0))="sin dato","",INDEX(CODIFICACION!$E$2:$E$500,MATCH("D6.23|"&amp;CB95,CODIFICACION!$F$2:$F$500,0))),"⚠"))</f>
        <v/>
      </c>
      <c r="AX95" t="str">
        <f ca="1">IF(CC95="","",IFERROR(IF(INDEX(CODIFICACION!$E$2:$E$500,MATCH("D6.24|"&amp;CC95,CODIFICACION!$F$2:$F$500,0))="sin dato","",INDEX(CODIFICACION!$E$2:$E$500,MATCH("D6.24|"&amp;CC95,CODIFICACION!$F$2:$F$500,0))),"⚠"))</f>
        <v/>
      </c>
      <c r="AY95" t="str">
        <f ca="1">IF(CD95="","",IFERROR(IF(INDEX(CODIFICACION!$E$2:$E$500,MATCH("D6.25|"&amp;CD95,CODIFICACION!$F$2:$F$500,0))="sin dato","",INDEX(CODIFICACION!$E$2:$E$500,MATCH("D6.25|"&amp;CD95,CODIFICACION!$F$2:$F$500,0))),"⚠"))</f>
        <v/>
      </c>
      <c r="AZ95" t="str">
        <f>IF(CE95="","",IFERROR(IF(INDEX(CODIFICACION!$E$2:$E$500,MATCH("D6.25a|"&amp;CE95,CODIFICACION!$F$2:$F$500,0))="sin dato","",INDEX(CODIFICACION!$E$2:$E$500,MATCH("D6.25a|"&amp;CE95,CODIFICACION!$F$2:$F$500,0))),"⚠"))</f>
        <v/>
      </c>
      <c r="BA95" t="str">
        <f>IF(CF95="","",IFERROR(IF(INDEX(CODIFICACION!$E$2:$E$500,MATCH("D6.25b|"&amp;CF95,CODIFICACION!$F$2:$F$500,0))="sin dato","",INDEX(CODIFICACION!$E$2:$E$500,MATCH("D6.25b|"&amp;CF95,CODIFICACION!$F$2:$F$500,0))),"⚠"))</f>
        <v/>
      </c>
      <c r="BB95" t="str">
        <f ca="1">IF(CG95="","",IFERROR(IF(INDEX(CODIFICACION!$E$2:$E$500,MATCH("D6.22c|"&amp;CG95,CODIFICACION!$F$2:$F$500,0))="sin dato","",INDEX(CODIFICACION!$E$2:$E$500,MATCH("D6.22c|"&amp;CG95,CODIFICACION!$F$2:$F$500,0))),"⚠"))</f>
        <v/>
      </c>
      <c r="BC95" t="str">
        <f ca="1">IF(CH95="","",IFERROR(IF(INDEX(CODIFICACION!$E$2:$E$500,MATCH("D7.26|"&amp;CH95,CODIFICACION!$F$2:$F$500,0))="sin dato","",INDEX(CODIFICACION!$E$2:$E$500,MATCH("D7.26|"&amp;CH95,CODIFICACION!$F$2:$F$500,0))),"⚠"))</f>
        <v/>
      </c>
      <c r="BD95" t="str">
        <f>IF(CI95="","",IFERROR(IF(INDEX(CODIFICACION!$E$2:$E$500,MATCH("D7.27|"&amp;CI95,CODIFICACION!$F$2:$F$500,0))="sin dato","",INDEX(CODIFICACION!$E$2:$E$500,MATCH("D7.27|"&amp;CI95,CODIFICACION!$F$2:$F$500,0))),"⚠"))</f>
        <v/>
      </c>
      <c r="BE95" t="str">
        <f>IF(CJ95="","",IFERROR(IF(INDEX(CODIFICACION!$E$2:$E$500,MATCH("D7.28|"&amp;CJ95,CODIFICACION!$F$2:$F$500,0))="sin dato","",INDEX(CODIFICACION!$E$2:$E$500,MATCH("D7.28|"&amp;CJ95,CODIFICACION!$F$2:$F$500,0))),"⚠"))</f>
        <v/>
      </c>
      <c r="BF95" t="str">
        <f>IF(CK95="","",IFERROR(IF(INDEX(CODIFICACION!$E$2:$E$500,MATCH("D7.28b|"&amp;CK95,CODIFICACION!$F$2:$F$500,0))="sin dato","",INDEX(CODIFICACION!$E$2:$E$500,MATCH("D7.28b|"&amp;CK95,CODIFICACION!$F$2:$F$500,0))),"⚠"))</f>
        <v/>
      </c>
      <c r="BG95" t="str">
        <f t="shared" si="60"/>
        <v/>
      </c>
      <c r="BH95" t="str">
        <f>IF(CM95="","",IFERROR(IF(INDEX(CODIFICACION!$E$2:$E$500,MATCH("D7.26a|"&amp;CM95,CODIFICACION!$F$2:$F$500,0))="sin dato","",INDEX(CODIFICACION!$E$2:$E$500,MATCH("D7.26a|"&amp;CM95,CODIFICACION!$F$2:$F$500,0))),"⚠"))</f>
        <v/>
      </c>
      <c r="BI95" t="str">
        <f>IF(CN95="","",IFERROR(IF(INDEX(CODIFICACION!$E$2:$E$500,MATCH("D7.26b|"&amp;CN95,CODIFICACION!$F$2:$F$500,0))="sin dato","",INDEX(CODIFICACION!$E$2:$E$500,MATCH("D7.26b|"&amp;CN95,CODIFICACION!$F$2:$F$500,0))),"⚠"))</f>
        <v/>
      </c>
      <c r="BJ95" t="str">
        <f t="shared" si="61"/>
        <v/>
      </c>
      <c r="BK95" t="str">
        <f t="shared" si="62"/>
        <v/>
      </c>
      <c r="BL95" t="str">
        <f>IF(CQ95="","",IFERROR(IF(INDEX(CODIFICACION!$E$2:$E$500,MATCH("D8.31|"&amp;CQ95,CODIFICACION!$F$2:$F$500,0))="sin dato","",INDEX(CODIFICACION!$E$2:$E$500,MATCH("D8.31|"&amp;CQ95,CODIFICACION!$F$2:$F$500,0))),"⚠"))</f>
        <v/>
      </c>
      <c r="BM95" t="str">
        <f>IF(CR95="","",IFERROR(IF(INDEX(CODIFICACION!$E$2:$E$500,MATCH("D8.32|"&amp;CR95,CODIFICACION!$F$2:$F$500,0))="sin dato","",INDEX(CODIFICACION!$E$2:$E$500,MATCH("D8.32|"&amp;CR95,CODIFICACION!$F$2:$F$500,0))),"⚠"))</f>
        <v/>
      </c>
      <c r="BN95" t="str">
        <f>IF(CS95="","",IFERROR(IF(INDEX(CODIFICACION!$E$2:$E$500,MATCH("D9.33|"&amp;CS95,CODIFICACION!$F$2:$F$500,0))="sin dato","",INDEX(CODIFICACION!$E$2:$E$500,MATCH("D9.33|"&amp;CS95,CODIFICACION!$F$2:$F$500,0))),"⚠"))</f>
        <v/>
      </c>
      <c r="BO95" t="str">
        <f>IF(CT95="","",IFERROR(IF(INDEX(CODIFICACION!$E$2:$E$500,MATCH("D9.34|"&amp;CT95,CODIFICACION!$F$2:$F$500,0))="sin dato","",INDEX(CODIFICACION!$E$2:$E$500,MATCH("D9.34|"&amp;CT95,CODIFICACION!$F$2:$F$500,0))),"⚠"))</f>
        <v/>
      </c>
      <c r="BP95" t="str">
        <f>IF(CU95="","",IFERROR(IF(INDEX(CODIFICACION!$E$2:$E$500,MATCH("D9.35|"&amp;CU95,CODIFICACION!$F$2:$F$500,0))="sin dato","",INDEX(CODIFICACION!$E$2:$E$500,MATCH("D9.35|"&amp;CU95,CODIFICACION!$F$2:$F$500,0))),"⚠"))</f>
        <v/>
      </c>
      <c r="BQ95" t="str">
        <f>IF(CV95="","",IFERROR(IF(INDEX(CODIFICACION!$E$2:$E$500,MATCH("D10.36|"&amp;CV95,CODIFICACION!$F$2:$F$500,0))="sin dato","",INDEX(CODIFICACION!$E$2:$E$500,MATCH("D10.36|"&amp;CV95,CODIFICACION!$F$2:$F$500,0))),"⚠"))</f>
        <v/>
      </c>
      <c r="BR95" t="str">
        <f>IF(CW95="","",IFERROR(IF(INDEX(CODIFICACION!$E$2:$E$500,MATCH("D10.37|"&amp;CW95,CODIFICACION!$F$2:$F$500,0))="sin dato","",INDEX(CODIFICACION!$E$2:$E$500,MATCH("D10.37|"&amp;CW95,CODIFICACION!$F$2:$F$500,0))),"⚠"))</f>
        <v/>
      </c>
      <c r="BS95" t="str">
        <f>IF(CX95="","",IFERROR(IF(INDEX(CODIFICACION!$E$2:$E$500,MATCH("D10.36a|"&amp;CX95,CODIFICACION!$F$2:$F$500,0))="sin dato","",INDEX(CODIFICACION!$E$2:$E$500,MATCH("D10.36a|"&amp;CX95,CODIFICACION!$F$2:$F$500,0))),"⚠"))</f>
        <v/>
      </c>
      <c r="BT95" t="str">
        <f t="shared" si="63"/>
        <v/>
      </c>
      <c r="BU95" t="str">
        <f>IF(DA95="","",IFERROR(IF(INDEX(CODIFICACION!$E$2:$E$500,MATCH("D11.39a|"&amp;DA95,CODIFICACION!$F$2:$F$500,0))="sin dato","",INDEX(CODIFICACION!$E$2:$E$500,MATCH("D11.39a|"&amp;DA95,CODIFICACION!$F$2:$F$500,0))),"⚠"))</f>
        <v/>
      </c>
      <c r="BV95" t="str">
        <f>IF(DB95="","",IFERROR(IF(INDEX(CODIFICACION!$E$2:$E$500,MATCH("D12.42|"&amp;DB95,CODIFICACION!$F$2:$F$500,0))="sin dato","",INDEX(CODIFICACION!$E$2:$E$500,MATCH("D12.42|"&amp;DB95,CODIFICACION!$F$2:$F$500,0))),"⚠"))</f>
        <v/>
      </c>
      <c r="BW95" t="str">
        <f>IF(DC95="","",IFERROR(IF(INDEX(CODIFICACION!$E$2:$E$500,MATCH("D13.45|"&amp;DC95,CODIFICACION!$F$2:$F$500,0))="sin dato","",INDEX(CODIFICACION!$E$2:$E$500,MATCH("D13.45|"&amp;DC95,CODIFICACION!$F$2:$F$500,0))),"⚠"))</f>
        <v/>
      </c>
      <c r="BX95" t="str">
        <f>IF(DD95="","",IFERROR(IF(INDEX(CODIFICACION!$E$2:$E$500,MATCH("D14.51|"&amp;DD95,CODIFICACION!$F$2:$F$500,0))="sin dato","",INDEX(CODIFICACION!$E$2:$E$500,MATCH("D14.51|"&amp;DD95,CODIFICACION!$F$2:$F$500,0))),"⚠"))</f>
        <v/>
      </c>
      <c r="BY95" t="str">
        <f>IF(DE95="","",IFERROR(IF(INDEX(CODIFICACION!$E$2:$E$500,MATCH("D15.58|"&amp;DE95,CODIFICACION!$F$2:$F$500,0))="sin dato","",INDEX(CODIFICACION!$E$2:$E$500,MATCH("D15.58|"&amp;DE95,CODIFICACION!$F$2:$F$500,0))),"⚠"))</f>
        <v/>
      </c>
      <c r="BZ95" t="str">
        <f>IF(DF95="","",IFERROR(IF(INDEX(CODIFICACION!$E$2:$E$500,MATCH("PP1|"&amp;DF95,CODIFICACION!$F$2:$F$500,0))="sin dato","",INDEX(CODIFICACION!$E$2:$E$500,MATCH("PP1|"&amp;DF95,CODIFICACION!$F$2:$F$500,0))),"⚠"))</f>
        <v/>
      </c>
      <c r="CA95" t="str">
        <f>IF(DG95="","",IFERROR(IF(INDEX(CODIFICACION!$E$2:$E$500,MATCH("PP2|"&amp;DG95,CODIFICACION!$F$2:$F$500,0))="sin dato","",INDEX(CODIFICACION!$E$2:$E$500,MATCH("PP2|"&amp;DG95,CODIFICACION!$F$2:$F$500,0))),"⚠"))</f>
        <v/>
      </c>
      <c r="CB95" t="str">
        <f t="shared" si="64"/>
        <v/>
      </c>
      <c r="CC95" t="str">
        <f t="shared" ca="1" si="65"/>
        <v/>
      </c>
      <c r="CD95" t="str">
        <f t="shared" ca="1" si="66"/>
        <v/>
      </c>
      <c r="CE95" t="str">
        <f t="shared" si="67"/>
        <v/>
      </c>
      <c r="CF95" t="str">
        <f t="shared" si="68"/>
        <v/>
      </c>
      <c r="CG95" t="str">
        <f t="shared" ca="1" si="69"/>
        <v/>
      </c>
      <c r="CH95" t="str">
        <f t="shared" ca="1" si="70"/>
        <v/>
      </c>
      <c r="CI95" t="str">
        <f t="shared" si="71"/>
        <v/>
      </c>
      <c r="CJ95" t="str">
        <f t="shared" si="72"/>
        <v/>
      </c>
      <c r="CK95" t="str">
        <f t="shared" si="73"/>
        <v/>
      </c>
      <c r="CL95" t="str">
        <f t="shared" si="74"/>
        <v/>
      </c>
    </row>
    <row r="96" spans="1:90" x14ac:dyDescent="0.3">
      <c r="A96">
        <f>CAPTURA!A96</f>
        <v>20573057385</v>
      </c>
      <c r="B96">
        <f>CAPTURA!C96</f>
        <v>0</v>
      </c>
      <c r="C96" t="str">
        <f t="shared" si="50"/>
        <v/>
      </c>
      <c r="D96" t="str">
        <f>IF(AE96="","",IFERROR(IF(INDEX(CODIFICACION!$E$2:$E$500,MATCH("P8|"&amp;AE96,CODIFICACION!$F$2:$F$500,0))="sin dato","",INDEX(CODIFICACION!$E$2:$E$500,MATCH("P8|"&amp;AE96,CODIFICACION!$F$2:$F$500,0))),"⚠"))</f>
        <v/>
      </c>
      <c r="E96" t="str">
        <f>IF(AG96="","",IFERROR(IF(INDEX(CODIFICACION!$E$2:$E$500,MATCH("P10|"&amp;AG96,CODIFICACION!$F$2:$F$500,0))="sin dato","",INDEX(CODIFICACION!$E$2:$E$500,MATCH("P10|"&amp;AG96,CODIFICACION!$F$2:$F$500,0))),"⚠"))</f>
        <v/>
      </c>
      <c r="F96" t="str">
        <f>IF(AJ96="","",IFERROR(IF(INDEX(CODIFICACION!$E$2:$E$500,MATCH("P13|"&amp;AJ96,CODIFICACION!$F$2:$F$500,0))="sin dato","",INDEX(CODIFICACION!$E$2:$E$500,MATCH("P13|"&amp;AJ96,CODIFICACION!$F$2:$F$500,0))),"⚠"))</f>
        <v/>
      </c>
      <c r="G96" t="str">
        <f>IF(AK96="","",IFERROR(IF(INDEX(CODIFICACION!$E$2:$E$500,MATCH("P14|"&amp;AK96,CODIFICACION!$F$2:$F$500,0))="sin dato","",INDEX(CODIFICACION!$E$2:$E$500,MATCH("P14|"&amp;AK96,CODIFICACION!$F$2:$F$500,0))),"⚠"))</f>
        <v/>
      </c>
      <c r="H96" t="str">
        <f>IF(AL96="","",IFERROR(IF(INDEX(CODIFICACION!$E$2:$E$500,MATCH("D1.1|"&amp;AL96,CODIFICACION!$F$2:$F$500,0))="sin dato","",INDEX(CODIFICACION!$E$2:$E$500,MATCH("D1.1|"&amp;AL96,CODIFICACION!$F$2:$F$500,0))),"⚠"))</f>
        <v/>
      </c>
      <c r="I96" t="str">
        <f>IF(AN96="","",IFERROR(IF(INDEX(CODIFICACION!$E$2:$E$500,MATCH("D1.3|"&amp;AN96,CODIFICACION!$F$2:$F$500,0))="sin dato","",INDEX(CODIFICACION!$E$2:$E$500,MATCH("D1.3|"&amp;AN96,CODIFICACION!$F$2:$F$500,0))),"⚠"))</f>
        <v/>
      </c>
      <c r="J96" t="str">
        <f>IF(AO96="","",IFERROR(IF(INDEX(CODIFICACION!$E$2:$E$500,MATCH("D1.4|"&amp;AO96,CODIFICACION!$F$2:$F$500,0))="sin dato","",INDEX(CODIFICACION!$E$2:$E$500,MATCH("D1.4|"&amp;AO96,CODIFICACION!$F$2:$F$500,0))),"⚠"))</f>
        <v/>
      </c>
      <c r="K96" t="str">
        <f>IF(AP96="","",IFERROR(IF(INDEX(CODIFICACION!$E$2:$E$500,MATCH("D1.3a|"&amp;AP96,CODIFICACION!$F$2:$F$500,0))="sin dato","",INDEX(CODIFICACION!$E$2:$E$500,MATCH("D1.3a|"&amp;AP96,CODIFICACION!$F$2:$F$500,0))),"⚠"))</f>
        <v/>
      </c>
      <c r="L96" t="str">
        <f t="shared" si="51"/>
        <v/>
      </c>
      <c r="M96" t="str">
        <f t="shared" si="52"/>
        <v/>
      </c>
      <c r="N96" t="str">
        <f t="shared" si="53"/>
        <v/>
      </c>
      <c r="O96" t="str">
        <f>IF(AT96="","",IFERROR(IF(INDEX(CODIFICACION!$E$2:$E$500,MATCH("D2.8|"&amp;AT96,CODIFICACION!$F$2:$F$500,0))="sin dato","",INDEX(CODIFICACION!$E$2:$E$500,MATCH("D2.8|"&amp;AT96,CODIFICACION!$F$2:$F$500,0))),"⚠"))</f>
        <v/>
      </c>
      <c r="P96" t="str">
        <f>IF(AU96="","",IFERROR(IF(INDEX(CODIFICACION!$E$2:$E$500,MATCH("D2.9|"&amp;AU96,CODIFICACION!$F$2:$F$500,0))="sin dato","",INDEX(CODIFICACION!$E$2:$E$500,MATCH("D2.9|"&amp;AU96,CODIFICACION!$F$2:$F$500,0))),"⚠"))</f>
        <v/>
      </c>
      <c r="Q96" t="str">
        <f>IF(AV96="","",IFERROR(IF(INDEX(CODIFICACION!$E$2:$E$500,MATCH("D2.10|"&amp;AV96,CODIFICACION!$F$2:$F$500,0))="sin dato","",INDEX(CODIFICACION!$E$2:$E$500,MATCH("D2.10|"&amp;AV96,CODIFICACION!$F$2:$F$500,0))),"⚠"))</f>
        <v/>
      </c>
      <c r="R96" t="str">
        <f>IF(AW96="","",IFERROR(IF(INDEX(CODIFICACION!$E$2:$E$500,MATCH("D2.5a|"&amp;AW96,CODIFICACION!$F$2:$F$500,0))="sin dato","",INDEX(CODIFICACION!$E$2:$E$500,MATCH("D2.5a|"&amp;AW96,CODIFICACION!$F$2:$F$500,0))),"⚠"))</f>
        <v/>
      </c>
      <c r="S96" t="str">
        <f ca="1">IF(AX96="","",IFERROR(IF(INDEX(CODIFICACION!$E$2:$E$500,MATCH("D2.5b|"&amp;AX96,CODIFICACION!$F$2:$F$500,0))="sin dato","",INDEX(CODIFICACION!$E$2:$E$500,MATCH("D2.5b|"&amp;AX96,CODIFICACION!$F$2:$F$500,0))),"⚠"))</f>
        <v/>
      </c>
      <c r="T96" t="str">
        <f t="shared" ca="1" si="54"/>
        <v/>
      </c>
      <c r="U96" t="str">
        <f>IF(AZ96="","",IFERROR(IF(INDEX(CODIFICACION!$E$2:$E$500,MATCH("D3.12|"&amp;AZ96,CODIFICACION!$F$2:$F$500,0))="sin dato","",INDEX(CODIFICACION!$E$2:$E$500,MATCH("D3.12|"&amp;AZ96,CODIFICACION!$F$2:$F$500,0))),"⚠"))</f>
        <v/>
      </c>
      <c r="V96" t="str">
        <f t="shared" si="55"/>
        <v/>
      </c>
      <c r="W96" t="str">
        <f ca="1">IF(BB96="","",IFERROR(IF(INDEX(CODIFICACION!$E$2:$E$500,MATCH("D3.14|"&amp;BB96,CODIFICACION!$F$2:$F$500,0))="sin dato","",INDEX(CODIFICACION!$E$2:$E$500,MATCH("D3.14|"&amp;BB96,CODIFICACION!$F$2:$F$500,0))),"⚠"))</f>
        <v/>
      </c>
      <c r="X96" t="str">
        <f ca="1">IF(BC96="","",IFERROR(IF(INDEX(CODIFICACION!$E$2:$E$500,MATCH("D3.14a|"&amp;BC96,CODIFICACION!$F$2:$F$500,0))="sin dato","",INDEX(CODIFICACION!$E$2:$E$500,MATCH("D3.14a|"&amp;BC96,CODIFICACION!$F$2:$F$500,0))),"⚠"))</f>
        <v/>
      </c>
      <c r="Y96" t="str">
        <f>IF(BD96="","",IFERROR(IF(INDEX(CODIFICACION!$E$2:$E$500,MATCH("D3.14b|"&amp;BD96,CODIFICACION!$F$2:$F$500,0))="sin dato","",INDEX(CODIFICACION!$E$2:$E$500,MATCH("D3.14b|"&amp;BD96,CODIFICACION!$F$2:$F$500,0))),"⚠"))</f>
        <v/>
      </c>
      <c r="Z96" t="str">
        <f>IF(BE96="","",IFERROR(IF(INDEX(CODIFICACION!$E$2:$E$500,MATCH("D3.14c|"&amp;BE96,CODIFICACION!$F$2:$F$500,0))="sin dato","",INDEX(CODIFICACION!$E$2:$E$500,MATCH("D3.14c|"&amp;BE96,CODIFICACION!$F$2:$F$500,0))),"⚠"))</f>
        <v/>
      </c>
      <c r="AA96" t="str">
        <f>IF(BF96="","",IFERROR(IF(INDEX(CODIFICACION!$E$2:$E$500,MATCH("D3.14d|"&amp;BF96,CODIFICACION!$F$2:$F$500,0))="sin dato","",INDEX(CODIFICACION!$E$2:$E$500,MATCH("D3.14d|"&amp;BF96,CODIFICACION!$F$2:$F$500,0))),"⚠"))</f>
        <v/>
      </c>
      <c r="AB96" t="str">
        <f>IF(BG96="","",IFERROR(IF(INDEX(CODIFICACION!$E$2:$E$500,MATCH("D3.14e|"&amp;BG96,CODIFICACION!$F$2:$F$500,0))="sin dato","",INDEX(CODIFICACION!$E$2:$E$500,MATCH("D3.14e|"&amp;BG96,CODIFICACION!$F$2:$F$500,0))),"⚠"))</f>
        <v/>
      </c>
      <c r="AC96" t="str">
        <f>IF(BH96="","",IFERROR(IF(INDEX(CODIFICACION!$E$2:$E$500,MATCH("D3.14f|"&amp;BH96,CODIFICACION!$F$2:$F$500,0))="sin dato","",INDEX(CODIFICACION!$E$2:$E$500,MATCH("D3.14f|"&amp;BH96,CODIFICACION!$F$2:$F$500,0))),"⚠"))</f>
        <v/>
      </c>
      <c r="AD96" t="str">
        <f>IF(BI96="","",IFERROR(IF(INDEX(CODIFICACION!$E$2:$E$500,MATCH("D3.14g|"&amp;BI96,CODIFICACION!$F$2:$F$500,0))="sin dato","",INDEX(CODIFICACION!$E$2:$E$500,MATCH("D3.14g|"&amp;BI96,CODIFICACION!$F$2:$F$500,0))),"⚠"))</f>
        <v/>
      </c>
      <c r="AE96" t="str">
        <f>IF(BJ96="","",IFERROR(IF(INDEX(CODIFICACION!$E$2:$E$500,MATCH("D3.14h|"&amp;BJ96,CODIFICACION!$F$2:$F$500,0))="sin dato","",INDEX(CODIFICACION!$E$2:$E$500,MATCH("D3.14h|"&amp;BJ96,CODIFICACION!$F$2:$F$500,0))),"⚠"))</f>
        <v/>
      </c>
      <c r="AF96" t="str">
        <f>IF(BK96="","",IFERROR(IF(INDEX(CODIFICACION!$E$2:$E$500,MATCH("D3.14i|"&amp;BK96,CODIFICACION!$F$2:$F$500,0))="sin dato","",INDEX(CODIFICACION!$E$2:$E$500,MATCH("D3.14i|"&amp;BK96,CODIFICACION!$F$2:$F$500,0))),"⚠"))</f>
        <v/>
      </c>
      <c r="AG96" t="str">
        <f>IF(BL96="","",IFERROR(IF(INDEX(CODIFICACION!$E$2:$E$500,MATCH("D4.15|"&amp;BL96,CODIFICACION!$F$2:$F$500,0))="sin dato","",INDEX(CODIFICACION!$E$2:$E$500,MATCH("D4.15|"&amp;BL96,CODIFICACION!$F$2:$F$500,0))),"⚠"))</f>
        <v/>
      </c>
      <c r="AH96" t="str">
        <f t="shared" si="56"/>
        <v/>
      </c>
      <c r="AI96" t="str">
        <f>IF(BN96="","",IFERROR(IF(INDEX(CODIFICACION!$E$2:$E$500,MATCH("D4.17|"&amp;BN96,CODIFICACION!$F$2:$F$500,0))="sin dato","",INDEX(CODIFICACION!$E$2:$E$500,MATCH("D4.17|"&amp;BN96,CODIFICACION!$F$2:$F$500,0))),"⚠"))</f>
        <v/>
      </c>
      <c r="AJ96" t="str">
        <f>IF(BO96="","",IFERROR(IF(INDEX(CODIFICACION!$E$2:$E$500,MATCH("D4.15a|"&amp;BO96,CODIFICACION!$F$2:$F$500,0))="sin dato","",INDEX(CODIFICACION!$E$2:$E$500,MATCH("D4.15a|"&amp;BO96,CODIFICACION!$F$2:$F$500,0))),"⚠"))</f>
        <v/>
      </c>
      <c r="AK96" t="str">
        <f t="shared" si="57"/>
        <v/>
      </c>
      <c r="AL96" t="str">
        <f t="shared" si="58"/>
        <v/>
      </c>
      <c r="AM96" t="str">
        <f>IF(BR96="","",IFERROR(IF(INDEX(CODIFICACION!$E$2:$E$500,MATCH("D5.18b|"&amp;BR96,CODIFICACION!$F$2:$F$500,0))="sin dato","",INDEX(CODIFICACION!$E$2:$E$500,MATCH("D5.18b|"&amp;BR96,CODIFICACION!$F$2:$F$500,0))),"⚠"))</f>
        <v/>
      </c>
      <c r="AN96" t="str">
        <f>IF(BS96="","",IFERROR(IF(INDEX(CODIFICACION!$E$2:$E$500,MATCH("D5.19|"&amp;BS96,CODIFICACION!$F$2:$F$500,0))="sin dato","",INDEX(CODIFICACION!$E$2:$E$500,MATCH("D5.19|"&amp;BS96,CODIFICACION!$F$2:$F$500,0))),"⚠"))</f>
        <v/>
      </c>
      <c r="AO96" t="str">
        <f t="shared" si="59"/>
        <v/>
      </c>
      <c r="AP96" t="str">
        <f>IF(BU96="","",IFERROR(IF(INDEX(CODIFICACION!$E$2:$E$500,MATCH("D5.20|"&amp;BU96,CODIFICACION!$F$2:$F$500,0))="sin dato","",INDEX(CODIFICACION!$E$2:$E$500,MATCH("D5.20|"&amp;BU96,CODIFICACION!$F$2:$F$500,0))),"⚠"))</f>
        <v/>
      </c>
      <c r="AQ96" t="str">
        <f>IF(BV96="","",IFERROR(IF(INDEX(CODIFICACION!$E$2:$E$500,MATCH("D5.21|"&amp;BV96,CODIFICACION!$F$2:$F$500,0))="sin dato","",INDEX(CODIFICACION!$E$2:$E$500,MATCH("D5.21|"&amp;BV96,CODIFICACION!$F$2:$F$500,0))),"⚠"))</f>
        <v/>
      </c>
      <c r="AR96" t="str">
        <f>IF(BW96="","",IFERROR(IF(INDEX(CODIFICACION!$E$2:$E$500,MATCH("D5.21a|"&amp;BW96,CODIFICACION!$F$2:$F$500,0))="sin dato","",INDEX(CODIFICACION!$E$2:$E$500,MATCH("D5.21a|"&amp;BW96,CODIFICACION!$F$2:$F$500,0))),"⚠"))</f>
        <v/>
      </c>
      <c r="AS96" t="str">
        <f>IF(BX96="","",IFERROR(IF(INDEX(CODIFICACION!$E$2:$E$500,MATCH("D5.21b|"&amp;BX96,CODIFICACION!$F$2:$F$500,0))="sin dato","",INDEX(CODIFICACION!$E$2:$E$500,MATCH("D5.21b|"&amp;BX96,CODIFICACION!$F$2:$F$500,0))),"⚠"))</f>
        <v/>
      </c>
      <c r="AT96" t="str">
        <f>IF(BY96="","",IFERROR(IF(INDEX(CODIFICACION!$E$2:$E$500,MATCH("D6.22|"&amp;BY96,CODIFICACION!$F$2:$F$500,0))="sin dato","",INDEX(CODIFICACION!$E$2:$E$500,MATCH("D6.22|"&amp;BY96,CODIFICACION!$F$2:$F$500,0))),"⚠"))</f>
        <v/>
      </c>
      <c r="AU96" t="str">
        <f>IF(BZ96="","",IFERROR(IF(INDEX(CODIFICACION!$E$2:$E$500,MATCH("D6.22a|"&amp;BZ96,CODIFICACION!$F$2:$F$500,0))="sin dato","",INDEX(CODIFICACION!$E$2:$E$500,MATCH("D6.22a|"&amp;BZ96,CODIFICACION!$F$2:$F$500,0))),"⚠"))</f>
        <v/>
      </c>
      <c r="AV96" t="str">
        <f>IF(CA96="","",IFERROR(IF(INDEX(CODIFICACION!$E$2:$E$500,MATCH("D6.22b|"&amp;CA96,CODIFICACION!$F$2:$F$500,0))="sin dato","",INDEX(CODIFICACION!$E$2:$E$500,MATCH("D6.22b|"&amp;CA96,CODIFICACION!$F$2:$F$500,0))),"⚠"))</f>
        <v/>
      </c>
      <c r="AW96" t="str">
        <f>IF(CB96="","",IFERROR(IF(INDEX(CODIFICACION!$E$2:$E$500,MATCH("D6.23|"&amp;CB96,CODIFICACION!$F$2:$F$500,0))="sin dato","",INDEX(CODIFICACION!$E$2:$E$500,MATCH("D6.23|"&amp;CB96,CODIFICACION!$F$2:$F$500,0))),"⚠"))</f>
        <v/>
      </c>
      <c r="AX96" t="str">
        <f ca="1">IF(CC96="","",IFERROR(IF(INDEX(CODIFICACION!$E$2:$E$500,MATCH("D6.24|"&amp;CC96,CODIFICACION!$F$2:$F$500,0))="sin dato","",INDEX(CODIFICACION!$E$2:$E$500,MATCH("D6.24|"&amp;CC96,CODIFICACION!$F$2:$F$500,0))),"⚠"))</f>
        <v/>
      </c>
      <c r="AY96" t="str">
        <f ca="1">IF(CD96="","",IFERROR(IF(INDEX(CODIFICACION!$E$2:$E$500,MATCH("D6.25|"&amp;CD96,CODIFICACION!$F$2:$F$500,0))="sin dato","",INDEX(CODIFICACION!$E$2:$E$500,MATCH("D6.25|"&amp;CD96,CODIFICACION!$F$2:$F$500,0))),"⚠"))</f>
        <v/>
      </c>
      <c r="AZ96" t="str">
        <f>IF(CE96="","",IFERROR(IF(INDEX(CODIFICACION!$E$2:$E$500,MATCH("D6.25a|"&amp;CE96,CODIFICACION!$F$2:$F$500,0))="sin dato","",INDEX(CODIFICACION!$E$2:$E$500,MATCH("D6.25a|"&amp;CE96,CODIFICACION!$F$2:$F$500,0))),"⚠"))</f>
        <v/>
      </c>
      <c r="BA96" t="str">
        <f>IF(CF96="","",IFERROR(IF(INDEX(CODIFICACION!$E$2:$E$500,MATCH("D6.25b|"&amp;CF96,CODIFICACION!$F$2:$F$500,0))="sin dato","",INDEX(CODIFICACION!$E$2:$E$500,MATCH("D6.25b|"&amp;CF96,CODIFICACION!$F$2:$F$500,0))),"⚠"))</f>
        <v/>
      </c>
      <c r="BB96" t="str">
        <f ca="1">IF(CG96="","",IFERROR(IF(INDEX(CODIFICACION!$E$2:$E$500,MATCH("D6.22c|"&amp;CG96,CODIFICACION!$F$2:$F$500,0))="sin dato","",INDEX(CODIFICACION!$E$2:$E$500,MATCH("D6.22c|"&amp;CG96,CODIFICACION!$F$2:$F$500,0))),"⚠"))</f>
        <v/>
      </c>
      <c r="BC96" t="str">
        <f ca="1">IF(CH96="","",IFERROR(IF(INDEX(CODIFICACION!$E$2:$E$500,MATCH("D7.26|"&amp;CH96,CODIFICACION!$F$2:$F$500,0))="sin dato","",INDEX(CODIFICACION!$E$2:$E$500,MATCH("D7.26|"&amp;CH96,CODIFICACION!$F$2:$F$500,0))),"⚠"))</f>
        <v/>
      </c>
      <c r="BD96" t="str">
        <f>IF(CI96="","",IFERROR(IF(INDEX(CODIFICACION!$E$2:$E$500,MATCH("D7.27|"&amp;CI96,CODIFICACION!$F$2:$F$500,0))="sin dato","",INDEX(CODIFICACION!$E$2:$E$500,MATCH("D7.27|"&amp;CI96,CODIFICACION!$F$2:$F$500,0))),"⚠"))</f>
        <v/>
      </c>
      <c r="BE96" t="str">
        <f>IF(CJ96="","",IFERROR(IF(INDEX(CODIFICACION!$E$2:$E$500,MATCH("D7.28|"&amp;CJ96,CODIFICACION!$F$2:$F$500,0))="sin dato","",INDEX(CODIFICACION!$E$2:$E$500,MATCH("D7.28|"&amp;CJ96,CODIFICACION!$F$2:$F$500,0))),"⚠"))</f>
        <v/>
      </c>
      <c r="BF96" t="str">
        <f>IF(CK96="","",IFERROR(IF(INDEX(CODIFICACION!$E$2:$E$500,MATCH("D7.28b|"&amp;CK96,CODIFICACION!$F$2:$F$500,0))="sin dato","",INDEX(CODIFICACION!$E$2:$E$500,MATCH("D7.28b|"&amp;CK96,CODIFICACION!$F$2:$F$500,0))),"⚠"))</f>
        <v/>
      </c>
      <c r="BG96" t="str">
        <f t="shared" si="60"/>
        <v/>
      </c>
      <c r="BH96" t="str">
        <f>IF(CM96="","",IFERROR(IF(INDEX(CODIFICACION!$E$2:$E$500,MATCH("D7.26a|"&amp;CM96,CODIFICACION!$F$2:$F$500,0))="sin dato","",INDEX(CODIFICACION!$E$2:$E$500,MATCH("D7.26a|"&amp;CM96,CODIFICACION!$F$2:$F$500,0))),"⚠"))</f>
        <v/>
      </c>
      <c r="BI96" t="str">
        <f>IF(CN96="","",IFERROR(IF(INDEX(CODIFICACION!$E$2:$E$500,MATCH("D7.26b|"&amp;CN96,CODIFICACION!$F$2:$F$500,0))="sin dato","",INDEX(CODIFICACION!$E$2:$E$500,MATCH("D7.26b|"&amp;CN96,CODIFICACION!$F$2:$F$500,0))),"⚠"))</f>
        <v/>
      </c>
      <c r="BJ96" t="str">
        <f t="shared" si="61"/>
        <v/>
      </c>
      <c r="BK96" t="str">
        <f t="shared" si="62"/>
        <v/>
      </c>
      <c r="BL96" t="str">
        <f>IF(CQ96="","",IFERROR(IF(INDEX(CODIFICACION!$E$2:$E$500,MATCH("D8.31|"&amp;CQ96,CODIFICACION!$F$2:$F$500,0))="sin dato","",INDEX(CODIFICACION!$E$2:$E$500,MATCH("D8.31|"&amp;CQ96,CODIFICACION!$F$2:$F$500,0))),"⚠"))</f>
        <v/>
      </c>
      <c r="BM96" t="str">
        <f>IF(CR96="","",IFERROR(IF(INDEX(CODIFICACION!$E$2:$E$500,MATCH("D8.32|"&amp;CR96,CODIFICACION!$F$2:$F$500,0))="sin dato","",INDEX(CODIFICACION!$E$2:$E$500,MATCH("D8.32|"&amp;CR96,CODIFICACION!$F$2:$F$500,0))),"⚠"))</f>
        <v/>
      </c>
      <c r="BN96" t="str">
        <f>IF(CS96="","",IFERROR(IF(INDEX(CODIFICACION!$E$2:$E$500,MATCH("D9.33|"&amp;CS96,CODIFICACION!$F$2:$F$500,0))="sin dato","",INDEX(CODIFICACION!$E$2:$E$500,MATCH("D9.33|"&amp;CS96,CODIFICACION!$F$2:$F$500,0))),"⚠"))</f>
        <v/>
      </c>
      <c r="BO96" t="str">
        <f>IF(CT96="","",IFERROR(IF(INDEX(CODIFICACION!$E$2:$E$500,MATCH("D9.34|"&amp;CT96,CODIFICACION!$F$2:$F$500,0))="sin dato","",INDEX(CODIFICACION!$E$2:$E$500,MATCH("D9.34|"&amp;CT96,CODIFICACION!$F$2:$F$500,0))),"⚠"))</f>
        <v/>
      </c>
      <c r="BP96" t="str">
        <f>IF(CU96="","",IFERROR(IF(INDEX(CODIFICACION!$E$2:$E$500,MATCH("D9.35|"&amp;CU96,CODIFICACION!$F$2:$F$500,0))="sin dato","",INDEX(CODIFICACION!$E$2:$E$500,MATCH("D9.35|"&amp;CU96,CODIFICACION!$F$2:$F$500,0))),"⚠"))</f>
        <v/>
      </c>
      <c r="BQ96" t="str">
        <f>IF(CV96="","",IFERROR(IF(INDEX(CODIFICACION!$E$2:$E$500,MATCH("D10.36|"&amp;CV96,CODIFICACION!$F$2:$F$500,0))="sin dato","",INDEX(CODIFICACION!$E$2:$E$500,MATCH("D10.36|"&amp;CV96,CODIFICACION!$F$2:$F$500,0))),"⚠"))</f>
        <v/>
      </c>
      <c r="BR96" t="str">
        <f>IF(CW96="","",IFERROR(IF(INDEX(CODIFICACION!$E$2:$E$500,MATCH("D10.37|"&amp;CW96,CODIFICACION!$F$2:$F$500,0))="sin dato","",INDEX(CODIFICACION!$E$2:$E$500,MATCH("D10.37|"&amp;CW96,CODIFICACION!$F$2:$F$500,0))),"⚠"))</f>
        <v/>
      </c>
      <c r="BS96" t="str">
        <f>IF(CX96="","",IFERROR(IF(INDEX(CODIFICACION!$E$2:$E$500,MATCH("D10.36a|"&amp;CX96,CODIFICACION!$F$2:$F$500,0))="sin dato","",INDEX(CODIFICACION!$E$2:$E$500,MATCH("D10.36a|"&amp;CX96,CODIFICACION!$F$2:$F$500,0))),"⚠"))</f>
        <v/>
      </c>
      <c r="BT96" t="str">
        <f t="shared" si="63"/>
        <v/>
      </c>
      <c r="BU96" t="str">
        <f>IF(DA96="","",IFERROR(IF(INDEX(CODIFICACION!$E$2:$E$500,MATCH("D11.39a|"&amp;DA96,CODIFICACION!$F$2:$F$500,0))="sin dato","",INDEX(CODIFICACION!$E$2:$E$500,MATCH("D11.39a|"&amp;DA96,CODIFICACION!$F$2:$F$500,0))),"⚠"))</f>
        <v/>
      </c>
      <c r="BV96" t="str">
        <f>IF(DB96="","",IFERROR(IF(INDEX(CODIFICACION!$E$2:$E$500,MATCH("D12.42|"&amp;DB96,CODIFICACION!$F$2:$F$500,0))="sin dato","",INDEX(CODIFICACION!$E$2:$E$500,MATCH("D12.42|"&amp;DB96,CODIFICACION!$F$2:$F$500,0))),"⚠"))</f>
        <v/>
      </c>
      <c r="BW96" t="str">
        <f>IF(DC96="","",IFERROR(IF(INDEX(CODIFICACION!$E$2:$E$500,MATCH("D13.45|"&amp;DC96,CODIFICACION!$F$2:$F$500,0))="sin dato","",INDEX(CODIFICACION!$E$2:$E$500,MATCH("D13.45|"&amp;DC96,CODIFICACION!$F$2:$F$500,0))),"⚠"))</f>
        <v/>
      </c>
      <c r="BX96" t="str">
        <f>IF(DD96="","",IFERROR(IF(INDEX(CODIFICACION!$E$2:$E$500,MATCH("D14.51|"&amp;DD96,CODIFICACION!$F$2:$F$500,0))="sin dato","",INDEX(CODIFICACION!$E$2:$E$500,MATCH("D14.51|"&amp;DD96,CODIFICACION!$F$2:$F$500,0))),"⚠"))</f>
        <v/>
      </c>
      <c r="BY96" t="str">
        <f>IF(DE96="","",IFERROR(IF(INDEX(CODIFICACION!$E$2:$E$500,MATCH("D15.58|"&amp;DE96,CODIFICACION!$F$2:$F$500,0))="sin dato","",INDEX(CODIFICACION!$E$2:$E$500,MATCH("D15.58|"&amp;DE96,CODIFICACION!$F$2:$F$500,0))),"⚠"))</f>
        <v/>
      </c>
      <c r="BZ96" t="str">
        <f>IF(DF96="","",IFERROR(IF(INDEX(CODIFICACION!$E$2:$E$500,MATCH("PP1|"&amp;DF96,CODIFICACION!$F$2:$F$500,0))="sin dato","",INDEX(CODIFICACION!$E$2:$E$500,MATCH("PP1|"&amp;DF96,CODIFICACION!$F$2:$F$500,0))),"⚠"))</f>
        <v/>
      </c>
      <c r="CA96" t="str">
        <f>IF(DG96="","",IFERROR(IF(INDEX(CODIFICACION!$E$2:$E$500,MATCH("PP2|"&amp;DG96,CODIFICACION!$F$2:$F$500,0))="sin dato","",INDEX(CODIFICACION!$E$2:$E$500,MATCH("PP2|"&amp;DG96,CODIFICACION!$F$2:$F$500,0))),"⚠"))</f>
        <v/>
      </c>
      <c r="CB96" t="str">
        <f t="shared" si="64"/>
        <v/>
      </c>
      <c r="CC96" t="str">
        <f t="shared" ca="1" si="65"/>
        <v/>
      </c>
      <c r="CD96" t="str">
        <f t="shared" ca="1" si="66"/>
        <v/>
      </c>
      <c r="CE96" t="str">
        <f t="shared" si="67"/>
        <v/>
      </c>
      <c r="CF96" t="str">
        <f t="shared" si="68"/>
        <v/>
      </c>
      <c r="CG96" t="str">
        <f t="shared" ca="1" si="69"/>
        <v/>
      </c>
      <c r="CH96" t="str">
        <f t="shared" ca="1" si="70"/>
        <v/>
      </c>
      <c r="CI96" t="str">
        <f t="shared" si="71"/>
        <v/>
      </c>
      <c r="CJ96" t="str">
        <f t="shared" si="72"/>
        <v/>
      </c>
      <c r="CK96" t="str">
        <f t="shared" si="73"/>
        <v/>
      </c>
      <c r="CL96" t="str">
        <f t="shared" si="74"/>
        <v/>
      </c>
    </row>
    <row r="97" spans="1:90" x14ac:dyDescent="0.3">
      <c r="A97">
        <f>CAPTURA!A97</f>
        <v>20573138202</v>
      </c>
      <c r="B97">
        <f>CAPTURA!C97</f>
        <v>0</v>
      </c>
      <c r="C97" t="str">
        <f t="shared" si="50"/>
        <v/>
      </c>
      <c r="D97" t="str">
        <f>IF(AE97="","",IFERROR(IF(INDEX(CODIFICACION!$E$2:$E$500,MATCH("P8|"&amp;AE97,CODIFICACION!$F$2:$F$500,0))="sin dato","",INDEX(CODIFICACION!$E$2:$E$500,MATCH("P8|"&amp;AE97,CODIFICACION!$F$2:$F$500,0))),"⚠"))</f>
        <v/>
      </c>
      <c r="E97" t="str">
        <f>IF(AG97="","",IFERROR(IF(INDEX(CODIFICACION!$E$2:$E$500,MATCH("P10|"&amp;AG97,CODIFICACION!$F$2:$F$500,0))="sin dato","",INDEX(CODIFICACION!$E$2:$E$500,MATCH("P10|"&amp;AG97,CODIFICACION!$F$2:$F$500,0))),"⚠"))</f>
        <v/>
      </c>
      <c r="F97" t="str">
        <f>IF(AJ97="","",IFERROR(IF(INDEX(CODIFICACION!$E$2:$E$500,MATCH("P13|"&amp;AJ97,CODIFICACION!$F$2:$F$500,0))="sin dato","",INDEX(CODIFICACION!$E$2:$E$500,MATCH("P13|"&amp;AJ97,CODIFICACION!$F$2:$F$500,0))),"⚠"))</f>
        <v/>
      </c>
      <c r="G97" t="str">
        <f>IF(AK97="","",IFERROR(IF(INDEX(CODIFICACION!$E$2:$E$500,MATCH("P14|"&amp;AK97,CODIFICACION!$F$2:$F$500,0))="sin dato","",INDEX(CODIFICACION!$E$2:$E$500,MATCH("P14|"&amp;AK97,CODIFICACION!$F$2:$F$500,0))),"⚠"))</f>
        <v/>
      </c>
      <c r="H97" t="str">
        <f>IF(AL97="","",IFERROR(IF(INDEX(CODIFICACION!$E$2:$E$500,MATCH("D1.1|"&amp;AL97,CODIFICACION!$F$2:$F$500,0))="sin dato","",INDEX(CODIFICACION!$E$2:$E$500,MATCH("D1.1|"&amp;AL97,CODIFICACION!$F$2:$F$500,0))),"⚠"))</f>
        <v/>
      </c>
      <c r="I97" t="str">
        <f>IF(AN97="","",IFERROR(IF(INDEX(CODIFICACION!$E$2:$E$500,MATCH("D1.3|"&amp;AN97,CODIFICACION!$F$2:$F$500,0))="sin dato","",INDEX(CODIFICACION!$E$2:$E$500,MATCH("D1.3|"&amp;AN97,CODIFICACION!$F$2:$F$500,0))),"⚠"))</f>
        <v/>
      </c>
      <c r="J97" t="str">
        <f>IF(AO97="","",IFERROR(IF(INDEX(CODIFICACION!$E$2:$E$500,MATCH("D1.4|"&amp;AO97,CODIFICACION!$F$2:$F$500,0))="sin dato","",INDEX(CODIFICACION!$E$2:$E$500,MATCH("D1.4|"&amp;AO97,CODIFICACION!$F$2:$F$500,0))),"⚠"))</f>
        <v/>
      </c>
      <c r="K97" t="str">
        <f>IF(AP97="","",IFERROR(IF(INDEX(CODIFICACION!$E$2:$E$500,MATCH("D1.3a|"&amp;AP97,CODIFICACION!$F$2:$F$500,0))="sin dato","",INDEX(CODIFICACION!$E$2:$E$500,MATCH("D1.3a|"&amp;AP97,CODIFICACION!$F$2:$F$500,0))),"⚠"))</f>
        <v/>
      </c>
      <c r="L97" t="str">
        <f t="shared" si="51"/>
        <v/>
      </c>
      <c r="M97" t="str">
        <f t="shared" si="52"/>
        <v/>
      </c>
      <c r="N97" t="str">
        <f t="shared" si="53"/>
        <v/>
      </c>
      <c r="O97" t="str">
        <f>IF(AT97="","",IFERROR(IF(INDEX(CODIFICACION!$E$2:$E$500,MATCH("D2.8|"&amp;AT97,CODIFICACION!$F$2:$F$500,0))="sin dato","",INDEX(CODIFICACION!$E$2:$E$500,MATCH("D2.8|"&amp;AT97,CODIFICACION!$F$2:$F$500,0))),"⚠"))</f>
        <v/>
      </c>
      <c r="P97" t="str">
        <f>IF(AU97="","",IFERROR(IF(INDEX(CODIFICACION!$E$2:$E$500,MATCH("D2.9|"&amp;AU97,CODIFICACION!$F$2:$F$500,0))="sin dato","",INDEX(CODIFICACION!$E$2:$E$500,MATCH("D2.9|"&amp;AU97,CODIFICACION!$F$2:$F$500,0))),"⚠"))</f>
        <v/>
      </c>
      <c r="Q97" t="str">
        <f>IF(AV97="","",IFERROR(IF(INDEX(CODIFICACION!$E$2:$E$500,MATCH("D2.10|"&amp;AV97,CODIFICACION!$F$2:$F$500,0))="sin dato","",INDEX(CODIFICACION!$E$2:$E$500,MATCH("D2.10|"&amp;AV97,CODIFICACION!$F$2:$F$500,0))),"⚠"))</f>
        <v/>
      </c>
      <c r="R97" t="str">
        <f>IF(AW97="","",IFERROR(IF(INDEX(CODIFICACION!$E$2:$E$500,MATCH("D2.5a|"&amp;AW97,CODIFICACION!$F$2:$F$500,0))="sin dato","",INDEX(CODIFICACION!$E$2:$E$500,MATCH("D2.5a|"&amp;AW97,CODIFICACION!$F$2:$F$500,0))),"⚠"))</f>
        <v/>
      </c>
      <c r="S97" t="str">
        <f ca="1">IF(AX97="","",IFERROR(IF(INDEX(CODIFICACION!$E$2:$E$500,MATCH("D2.5b|"&amp;AX97,CODIFICACION!$F$2:$F$500,0))="sin dato","",INDEX(CODIFICACION!$E$2:$E$500,MATCH("D2.5b|"&amp;AX97,CODIFICACION!$F$2:$F$500,0))),"⚠"))</f>
        <v/>
      </c>
      <c r="T97" t="str">
        <f t="shared" ca="1" si="54"/>
        <v/>
      </c>
      <c r="U97" t="str">
        <f>IF(AZ97="","",IFERROR(IF(INDEX(CODIFICACION!$E$2:$E$500,MATCH("D3.12|"&amp;AZ97,CODIFICACION!$F$2:$F$500,0))="sin dato","",INDEX(CODIFICACION!$E$2:$E$500,MATCH("D3.12|"&amp;AZ97,CODIFICACION!$F$2:$F$500,0))),"⚠"))</f>
        <v/>
      </c>
      <c r="V97" t="str">
        <f t="shared" si="55"/>
        <v/>
      </c>
      <c r="W97" t="str">
        <f ca="1">IF(BB97="","",IFERROR(IF(INDEX(CODIFICACION!$E$2:$E$500,MATCH("D3.14|"&amp;BB97,CODIFICACION!$F$2:$F$500,0))="sin dato","",INDEX(CODIFICACION!$E$2:$E$500,MATCH("D3.14|"&amp;BB97,CODIFICACION!$F$2:$F$500,0))),"⚠"))</f>
        <v/>
      </c>
      <c r="X97" t="str">
        <f ca="1">IF(BC97="","",IFERROR(IF(INDEX(CODIFICACION!$E$2:$E$500,MATCH("D3.14a|"&amp;BC97,CODIFICACION!$F$2:$F$500,0))="sin dato","",INDEX(CODIFICACION!$E$2:$E$500,MATCH("D3.14a|"&amp;BC97,CODIFICACION!$F$2:$F$500,0))),"⚠"))</f>
        <v/>
      </c>
      <c r="Y97" t="str">
        <f>IF(BD97="","",IFERROR(IF(INDEX(CODIFICACION!$E$2:$E$500,MATCH("D3.14b|"&amp;BD97,CODIFICACION!$F$2:$F$500,0))="sin dato","",INDEX(CODIFICACION!$E$2:$E$500,MATCH("D3.14b|"&amp;BD97,CODIFICACION!$F$2:$F$500,0))),"⚠"))</f>
        <v/>
      </c>
      <c r="Z97" t="str">
        <f>IF(BE97="","",IFERROR(IF(INDEX(CODIFICACION!$E$2:$E$500,MATCH("D3.14c|"&amp;BE97,CODIFICACION!$F$2:$F$500,0))="sin dato","",INDEX(CODIFICACION!$E$2:$E$500,MATCH("D3.14c|"&amp;BE97,CODIFICACION!$F$2:$F$500,0))),"⚠"))</f>
        <v/>
      </c>
      <c r="AA97" t="str">
        <f>IF(BF97="","",IFERROR(IF(INDEX(CODIFICACION!$E$2:$E$500,MATCH("D3.14d|"&amp;BF97,CODIFICACION!$F$2:$F$500,0))="sin dato","",INDEX(CODIFICACION!$E$2:$E$500,MATCH("D3.14d|"&amp;BF97,CODIFICACION!$F$2:$F$500,0))),"⚠"))</f>
        <v/>
      </c>
      <c r="AB97" t="str">
        <f>IF(BG97="","",IFERROR(IF(INDEX(CODIFICACION!$E$2:$E$500,MATCH("D3.14e|"&amp;BG97,CODIFICACION!$F$2:$F$500,0))="sin dato","",INDEX(CODIFICACION!$E$2:$E$500,MATCH("D3.14e|"&amp;BG97,CODIFICACION!$F$2:$F$500,0))),"⚠"))</f>
        <v/>
      </c>
      <c r="AC97" t="str">
        <f>IF(BH97="","",IFERROR(IF(INDEX(CODIFICACION!$E$2:$E$500,MATCH("D3.14f|"&amp;BH97,CODIFICACION!$F$2:$F$500,0))="sin dato","",INDEX(CODIFICACION!$E$2:$E$500,MATCH("D3.14f|"&amp;BH97,CODIFICACION!$F$2:$F$500,0))),"⚠"))</f>
        <v/>
      </c>
      <c r="AD97" t="str">
        <f>IF(BI97="","",IFERROR(IF(INDEX(CODIFICACION!$E$2:$E$500,MATCH("D3.14g|"&amp;BI97,CODIFICACION!$F$2:$F$500,0))="sin dato","",INDEX(CODIFICACION!$E$2:$E$500,MATCH("D3.14g|"&amp;BI97,CODIFICACION!$F$2:$F$500,0))),"⚠"))</f>
        <v/>
      </c>
      <c r="AE97" t="str">
        <f>IF(BJ97="","",IFERROR(IF(INDEX(CODIFICACION!$E$2:$E$500,MATCH("D3.14h|"&amp;BJ97,CODIFICACION!$F$2:$F$500,0))="sin dato","",INDEX(CODIFICACION!$E$2:$E$500,MATCH("D3.14h|"&amp;BJ97,CODIFICACION!$F$2:$F$500,0))),"⚠"))</f>
        <v/>
      </c>
      <c r="AF97" t="str">
        <f>IF(BK97="","",IFERROR(IF(INDEX(CODIFICACION!$E$2:$E$500,MATCH("D3.14i|"&amp;BK97,CODIFICACION!$F$2:$F$500,0))="sin dato","",INDEX(CODIFICACION!$E$2:$E$500,MATCH("D3.14i|"&amp;BK97,CODIFICACION!$F$2:$F$500,0))),"⚠"))</f>
        <v/>
      </c>
      <c r="AG97" t="str">
        <f>IF(BL97="","",IFERROR(IF(INDEX(CODIFICACION!$E$2:$E$500,MATCH("D4.15|"&amp;BL97,CODIFICACION!$F$2:$F$500,0))="sin dato","",INDEX(CODIFICACION!$E$2:$E$500,MATCH("D4.15|"&amp;BL97,CODIFICACION!$F$2:$F$500,0))),"⚠"))</f>
        <v/>
      </c>
      <c r="AH97" t="str">
        <f t="shared" si="56"/>
        <v/>
      </c>
      <c r="AI97" t="str">
        <f>IF(BN97="","",IFERROR(IF(INDEX(CODIFICACION!$E$2:$E$500,MATCH("D4.17|"&amp;BN97,CODIFICACION!$F$2:$F$500,0))="sin dato","",INDEX(CODIFICACION!$E$2:$E$500,MATCH("D4.17|"&amp;BN97,CODIFICACION!$F$2:$F$500,0))),"⚠"))</f>
        <v/>
      </c>
      <c r="AJ97" t="str">
        <f>IF(BO97="","",IFERROR(IF(INDEX(CODIFICACION!$E$2:$E$500,MATCH("D4.15a|"&amp;BO97,CODIFICACION!$F$2:$F$500,0))="sin dato","",INDEX(CODIFICACION!$E$2:$E$500,MATCH("D4.15a|"&amp;BO97,CODIFICACION!$F$2:$F$500,0))),"⚠"))</f>
        <v/>
      </c>
      <c r="AK97" t="str">
        <f t="shared" si="57"/>
        <v/>
      </c>
      <c r="AL97" t="str">
        <f t="shared" si="58"/>
        <v/>
      </c>
      <c r="AM97" t="str">
        <f>IF(BR97="","",IFERROR(IF(INDEX(CODIFICACION!$E$2:$E$500,MATCH("D5.18b|"&amp;BR97,CODIFICACION!$F$2:$F$500,0))="sin dato","",INDEX(CODIFICACION!$E$2:$E$500,MATCH("D5.18b|"&amp;BR97,CODIFICACION!$F$2:$F$500,0))),"⚠"))</f>
        <v/>
      </c>
      <c r="AN97" t="str">
        <f>IF(BS97="","",IFERROR(IF(INDEX(CODIFICACION!$E$2:$E$500,MATCH("D5.19|"&amp;BS97,CODIFICACION!$F$2:$F$500,0))="sin dato","",INDEX(CODIFICACION!$E$2:$E$500,MATCH("D5.19|"&amp;BS97,CODIFICACION!$F$2:$F$500,0))),"⚠"))</f>
        <v/>
      </c>
      <c r="AO97" t="str">
        <f t="shared" si="59"/>
        <v/>
      </c>
      <c r="AP97" t="str">
        <f>IF(BU97="","",IFERROR(IF(INDEX(CODIFICACION!$E$2:$E$500,MATCH("D5.20|"&amp;BU97,CODIFICACION!$F$2:$F$500,0))="sin dato","",INDEX(CODIFICACION!$E$2:$E$500,MATCH("D5.20|"&amp;BU97,CODIFICACION!$F$2:$F$500,0))),"⚠"))</f>
        <v/>
      </c>
      <c r="AQ97" t="str">
        <f>IF(BV97="","",IFERROR(IF(INDEX(CODIFICACION!$E$2:$E$500,MATCH("D5.21|"&amp;BV97,CODIFICACION!$F$2:$F$500,0))="sin dato","",INDEX(CODIFICACION!$E$2:$E$500,MATCH("D5.21|"&amp;BV97,CODIFICACION!$F$2:$F$500,0))),"⚠"))</f>
        <v/>
      </c>
      <c r="AR97" t="str">
        <f>IF(BW97="","",IFERROR(IF(INDEX(CODIFICACION!$E$2:$E$500,MATCH("D5.21a|"&amp;BW97,CODIFICACION!$F$2:$F$500,0))="sin dato","",INDEX(CODIFICACION!$E$2:$E$500,MATCH("D5.21a|"&amp;BW97,CODIFICACION!$F$2:$F$500,0))),"⚠"))</f>
        <v/>
      </c>
      <c r="AS97" t="str">
        <f>IF(BX97="","",IFERROR(IF(INDEX(CODIFICACION!$E$2:$E$500,MATCH("D5.21b|"&amp;BX97,CODIFICACION!$F$2:$F$500,0))="sin dato","",INDEX(CODIFICACION!$E$2:$E$500,MATCH("D5.21b|"&amp;BX97,CODIFICACION!$F$2:$F$500,0))),"⚠"))</f>
        <v/>
      </c>
      <c r="AT97" t="str">
        <f>IF(BY97="","",IFERROR(IF(INDEX(CODIFICACION!$E$2:$E$500,MATCH("D6.22|"&amp;BY97,CODIFICACION!$F$2:$F$500,0))="sin dato","",INDEX(CODIFICACION!$E$2:$E$500,MATCH("D6.22|"&amp;BY97,CODIFICACION!$F$2:$F$500,0))),"⚠"))</f>
        <v/>
      </c>
      <c r="AU97" t="str">
        <f>IF(BZ97="","",IFERROR(IF(INDEX(CODIFICACION!$E$2:$E$500,MATCH("D6.22a|"&amp;BZ97,CODIFICACION!$F$2:$F$500,0))="sin dato","",INDEX(CODIFICACION!$E$2:$E$500,MATCH("D6.22a|"&amp;BZ97,CODIFICACION!$F$2:$F$500,0))),"⚠"))</f>
        <v/>
      </c>
      <c r="AV97" t="str">
        <f>IF(CA97="","",IFERROR(IF(INDEX(CODIFICACION!$E$2:$E$500,MATCH("D6.22b|"&amp;CA97,CODIFICACION!$F$2:$F$500,0))="sin dato","",INDEX(CODIFICACION!$E$2:$E$500,MATCH("D6.22b|"&amp;CA97,CODIFICACION!$F$2:$F$500,0))),"⚠"))</f>
        <v/>
      </c>
      <c r="AW97" t="str">
        <f>IF(CB97="","",IFERROR(IF(INDEX(CODIFICACION!$E$2:$E$500,MATCH("D6.23|"&amp;CB97,CODIFICACION!$F$2:$F$500,0))="sin dato","",INDEX(CODIFICACION!$E$2:$E$500,MATCH("D6.23|"&amp;CB97,CODIFICACION!$F$2:$F$500,0))),"⚠"))</f>
        <v/>
      </c>
      <c r="AX97" t="str">
        <f ca="1">IF(CC97="","",IFERROR(IF(INDEX(CODIFICACION!$E$2:$E$500,MATCH("D6.24|"&amp;CC97,CODIFICACION!$F$2:$F$500,0))="sin dato","",INDEX(CODIFICACION!$E$2:$E$500,MATCH("D6.24|"&amp;CC97,CODIFICACION!$F$2:$F$500,0))),"⚠"))</f>
        <v/>
      </c>
      <c r="AY97" t="str">
        <f ca="1">IF(CD97="","",IFERROR(IF(INDEX(CODIFICACION!$E$2:$E$500,MATCH("D6.25|"&amp;CD97,CODIFICACION!$F$2:$F$500,0))="sin dato","",INDEX(CODIFICACION!$E$2:$E$500,MATCH("D6.25|"&amp;CD97,CODIFICACION!$F$2:$F$500,0))),"⚠"))</f>
        <v/>
      </c>
      <c r="AZ97" t="str">
        <f>IF(CE97="","",IFERROR(IF(INDEX(CODIFICACION!$E$2:$E$500,MATCH("D6.25a|"&amp;CE97,CODIFICACION!$F$2:$F$500,0))="sin dato","",INDEX(CODIFICACION!$E$2:$E$500,MATCH("D6.25a|"&amp;CE97,CODIFICACION!$F$2:$F$500,0))),"⚠"))</f>
        <v/>
      </c>
      <c r="BA97" t="str">
        <f>IF(CF97="","",IFERROR(IF(INDEX(CODIFICACION!$E$2:$E$500,MATCH("D6.25b|"&amp;CF97,CODIFICACION!$F$2:$F$500,0))="sin dato","",INDEX(CODIFICACION!$E$2:$E$500,MATCH("D6.25b|"&amp;CF97,CODIFICACION!$F$2:$F$500,0))),"⚠"))</f>
        <v/>
      </c>
      <c r="BB97" t="str">
        <f ca="1">IF(CG97="","",IFERROR(IF(INDEX(CODIFICACION!$E$2:$E$500,MATCH("D6.22c|"&amp;CG97,CODIFICACION!$F$2:$F$500,0))="sin dato","",INDEX(CODIFICACION!$E$2:$E$500,MATCH("D6.22c|"&amp;CG97,CODIFICACION!$F$2:$F$500,0))),"⚠"))</f>
        <v/>
      </c>
      <c r="BC97" t="str">
        <f ca="1">IF(CH97="","",IFERROR(IF(INDEX(CODIFICACION!$E$2:$E$500,MATCH("D7.26|"&amp;CH97,CODIFICACION!$F$2:$F$500,0))="sin dato","",INDEX(CODIFICACION!$E$2:$E$500,MATCH("D7.26|"&amp;CH97,CODIFICACION!$F$2:$F$500,0))),"⚠"))</f>
        <v/>
      </c>
      <c r="BD97" t="str">
        <f>IF(CI97="","",IFERROR(IF(INDEX(CODIFICACION!$E$2:$E$500,MATCH("D7.27|"&amp;CI97,CODIFICACION!$F$2:$F$500,0))="sin dato","",INDEX(CODIFICACION!$E$2:$E$500,MATCH("D7.27|"&amp;CI97,CODIFICACION!$F$2:$F$500,0))),"⚠"))</f>
        <v/>
      </c>
      <c r="BE97" t="str">
        <f>IF(CJ97="","",IFERROR(IF(INDEX(CODIFICACION!$E$2:$E$500,MATCH("D7.28|"&amp;CJ97,CODIFICACION!$F$2:$F$500,0))="sin dato","",INDEX(CODIFICACION!$E$2:$E$500,MATCH("D7.28|"&amp;CJ97,CODIFICACION!$F$2:$F$500,0))),"⚠"))</f>
        <v/>
      </c>
      <c r="BF97" t="str">
        <f>IF(CK97="","",IFERROR(IF(INDEX(CODIFICACION!$E$2:$E$500,MATCH("D7.28b|"&amp;CK97,CODIFICACION!$F$2:$F$500,0))="sin dato","",INDEX(CODIFICACION!$E$2:$E$500,MATCH("D7.28b|"&amp;CK97,CODIFICACION!$F$2:$F$500,0))),"⚠"))</f>
        <v/>
      </c>
      <c r="BG97" t="str">
        <f t="shared" si="60"/>
        <v/>
      </c>
      <c r="BH97" t="str">
        <f>IF(CM97="","",IFERROR(IF(INDEX(CODIFICACION!$E$2:$E$500,MATCH("D7.26a|"&amp;CM97,CODIFICACION!$F$2:$F$500,0))="sin dato","",INDEX(CODIFICACION!$E$2:$E$500,MATCH("D7.26a|"&amp;CM97,CODIFICACION!$F$2:$F$500,0))),"⚠"))</f>
        <v/>
      </c>
      <c r="BI97" t="str">
        <f>IF(CN97="","",IFERROR(IF(INDEX(CODIFICACION!$E$2:$E$500,MATCH("D7.26b|"&amp;CN97,CODIFICACION!$F$2:$F$500,0))="sin dato","",INDEX(CODIFICACION!$E$2:$E$500,MATCH("D7.26b|"&amp;CN97,CODIFICACION!$F$2:$F$500,0))),"⚠"))</f>
        <v/>
      </c>
      <c r="BJ97" t="str">
        <f t="shared" si="61"/>
        <v/>
      </c>
      <c r="BK97" t="str">
        <f t="shared" si="62"/>
        <v/>
      </c>
      <c r="BL97" t="str">
        <f>IF(CQ97="","",IFERROR(IF(INDEX(CODIFICACION!$E$2:$E$500,MATCH("D8.31|"&amp;CQ97,CODIFICACION!$F$2:$F$500,0))="sin dato","",INDEX(CODIFICACION!$E$2:$E$500,MATCH("D8.31|"&amp;CQ97,CODIFICACION!$F$2:$F$500,0))),"⚠"))</f>
        <v/>
      </c>
      <c r="BM97" t="str">
        <f>IF(CR97="","",IFERROR(IF(INDEX(CODIFICACION!$E$2:$E$500,MATCH("D8.32|"&amp;CR97,CODIFICACION!$F$2:$F$500,0))="sin dato","",INDEX(CODIFICACION!$E$2:$E$500,MATCH("D8.32|"&amp;CR97,CODIFICACION!$F$2:$F$500,0))),"⚠"))</f>
        <v/>
      </c>
      <c r="BN97" t="str">
        <f>IF(CS97="","",IFERROR(IF(INDEX(CODIFICACION!$E$2:$E$500,MATCH("D9.33|"&amp;CS97,CODIFICACION!$F$2:$F$500,0))="sin dato","",INDEX(CODIFICACION!$E$2:$E$500,MATCH("D9.33|"&amp;CS97,CODIFICACION!$F$2:$F$500,0))),"⚠"))</f>
        <v/>
      </c>
      <c r="BO97" t="str">
        <f>IF(CT97="","",IFERROR(IF(INDEX(CODIFICACION!$E$2:$E$500,MATCH("D9.34|"&amp;CT97,CODIFICACION!$F$2:$F$500,0))="sin dato","",INDEX(CODIFICACION!$E$2:$E$500,MATCH("D9.34|"&amp;CT97,CODIFICACION!$F$2:$F$500,0))),"⚠"))</f>
        <v/>
      </c>
      <c r="BP97" t="str">
        <f>IF(CU97="","",IFERROR(IF(INDEX(CODIFICACION!$E$2:$E$500,MATCH("D9.35|"&amp;CU97,CODIFICACION!$F$2:$F$500,0))="sin dato","",INDEX(CODIFICACION!$E$2:$E$500,MATCH("D9.35|"&amp;CU97,CODIFICACION!$F$2:$F$500,0))),"⚠"))</f>
        <v/>
      </c>
      <c r="BQ97" t="str">
        <f>IF(CV97="","",IFERROR(IF(INDEX(CODIFICACION!$E$2:$E$500,MATCH("D10.36|"&amp;CV97,CODIFICACION!$F$2:$F$500,0))="sin dato","",INDEX(CODIFICACION!$E$2:$E$500,MATCH("D10.36|"&amp;CV97,CODIFICACION!$F$2:$F$500,0))),"⚠"))</f>
        <v/>
      </c>
      <c r="BR97" t="str">
        <f>IF(CW97="","",IFERROR(IF(INDEX(CODIFICACION!$E$2:$E$500,MATCH("D10.37|"&amp;CW97,CODIFICACION!$F$2:$F$500,0))="sin dato","",INDEX(CODIFICACION!$E$2:$E$500,MATCH("D10.37|"&amp;CW97,CODIFICACION!$F$2:$F$500,0))),"⚠"))</f>
        <v/>
      </c>
      <c r="BS97" t="str">
        <f>IF(CX97="","",IFERROR(IF(INDEX(CODIFICACION!$E$2:$E$500,MATCH("D10.36a|"&amp;CX97,CODIFICACION!$F$2:$F$500,0))="sin dato","",INDEX(CODIFICACION!$E$2:$E$500,MATCH("D10.36a|"&amp;CX97,CODIFICACION!$F$2:$F$500,0))),"⚠"))</f>
        <v/>
      </c>
      <c r="BT97" t="str">
        <f t="shared" si="63"/>
        <v/>
      </c>
      <c r="BU97" t="str">
        <f>IF(DA97="","",IFERROR(IF(INDEX(CODIFICACION!$E$2:$E$500,MATCH("D11.39a|"&amp;DA97,CODIFICACION!$F$2:$F$500,0))="sin dato","",INDEX(CODIFICACION!$E$2:$E$500,MATCH("D11.39a|"&amp;DA97,CODIFICACION!$F$2:$F$500,0))),"⚠"))</f>
        <v/>
      </c>
      <c r="BV97" t="str">
        <f>IF(DB97="","",IFERROR(IF(INDEX(CODIFICACION!$E$2:$E$500,MATCH("D12.42|"&amp;DB97,CODIFICACION!$F$2:$F$500,0))="sin dato","",INDEX(CODIFICACION!$E$2:$E$500,MATCH("D12.42|"&amp;DB97,CODIFICACION!$F$2:$F$500,0))),"⚠"))</f>
        <v/>
      </c>
      <c r="BW97" t="str">
        <f>IF(DC97="","",IFERROR(IF(INDEX(CODIFICACION!$E$2:$E$500,MATCH("D13.45|"&amp;DC97,CODIFICACION!$F$2:$F$500,0))="sin dato","",INDEX(CODIFICACION!$E$2:$E$500,MATCH("D13.45|"&amp;DC97,CODIFICACION!$F$2:$F$500,0))),"⚠"))</f>
        <v/>
      </c>
      <c r="BX97" t="str">
        <f>IF(DD97="","",IFERROR(IF(INDEX(CODIFICACION!$E$2:$E$500,MATCH("D14.51|"&amp;DD97,CODIFICACION!$F$2:$F$500,0))="sin dato","",INDEX(CODIFICACION!$E$2:$E$500,MATCH("D14.51|"&amp;DD97,CODIFICACION!$F$2:$F$500,0))),"⚠"))</f>
        <v/>
      </c>
      <c r="BY97" t="str">
        <f>IF(DE97="","",IFERROR(IF(INDEX(CODIFICACION!$E$2:$E$500,MATCH("D15.58|"&amp;DE97,CODIFICACION!$F$2:$F$500,0))="sin dato","",INDEX(CODIFICACION!$E$2:$E$500,MATCH("D15.58|"&amp;DE97,CODIFICACION!$F$2:$F$500,0))),"⚠"))</f>
        <v/>
      </c>
      <c r="BZ97" t="str">
        <f>IF(DF97="","",IFERROR(IF(INDEX(CODIFICACION!$E$2:$E$500,MATCH("PP1|"&amp;DF97,CODIFICACION!$F$2:$F$500,0))="sin dato","",INDEX(CODIFICACION!$E$2:$E$500,MATCH("PP1|"&amp;DF97,CODIFICACION!$F$2:$F$500,0))),"⚠"))</f>
        <v/>
      </c>
      <c r="CA97" t="str">
        <f>IF(DG97="","",IFERROR(IF(INDEX(CODIFICACION!$E$2:$E$500,MATCH("PP2|"&amp;DG97,CODIFICACION!$F$2:$F$500,0))="sin dato","",INDEX(CODIFICACION!$E$2:$E$500,MATCH("PP2|"&amp;DG97,CODIFICACION!$F$2:$F$500,0))),"⚠"))</f>
        <v/>
      </c>
      <c r="CB97" t="str">
        <f t="shared" si="64"/>
        <v/>
      </c>
      <c r="CC97" t="str">
        <f t="shared" ca="1" si="65"/>
        <v/>
      </c>
      <c r="CD97" t="str">
        <f t="shared" ca="1" si="66"/>
        <v/>
      </c>
      <c r="CE97" t="str">
        <f t="shared" si="67"/>
        <v/>
      </c>
      <c r="CF97" t="str">
        <f t="shared" si="68"/>
        <v/>
      </c>
      <c r="CG97" t="str">
        <f t="shared" ca="1" si="69"/>
        <v/>
      </c>
      <c r="CH97" t="str">
        <f t="shared" ca="1" si="70"/>
        <v/>
      </c>
      <c r="CI97" t="str">
        <f t="shared" si="71"/>
        <v/>
      </c>
      <c r="CJ97" t="str">
        <f t="shared" si="72"/>
        <v/>
      </c>
      <c r="CK97" t="str">
        <f t="shared" si="73"/>
        <v/>
      </c>
      <c r="CL97" t="str">
        <f t="shared" si="74"/>
        <v/>
      </c>
    </row>
    <row r="98" spans="1:90" x14ac:dyDescent="0.3">
      <c r="A98">
        <f>CAPTURA!A98</f>
        <v>20573260008</v>
      </c>
      <c r="B98">
        <f>CAPTURA!C98</f>
        <v>0</v>
      </c>
      <c r="C98" t="str">
        <f t="shared" si="50"/>
        <v/>
      </c>
      <c r="D98" t="str">
        <f>IF(AE98="","",IFERROR(IF(INDEX(CODIFICACION!$E$2:$E$500,MATCH("P8|"&amp;AE98,CODIFICACION!$F$2:$F$500,0))="sin dato","",INDEX(CODIFICACION!$E$2:$E$500,MATCH("P8|"&amp;AE98,CODIFICACION!$F$2:$F$500,0))),"⚠"))</f>
        <v/>
      </c>
      <c r="E98" t="str">
        <f>IF(AG98="","",IFERROR(IF(INDEX(CODIFICACION!$E$2:$E$500,MATCH("P10|"&amp;AG98,CODIFICACION!$F$2:$F$500,0))="sin dato","",INDEX(CODIFICACION!$E$2:$E$500,MATCH("P10|"&amp;AG98,CODIFICACION!$F$2:$F$500,0))),"⚠"))</f>
        <v/>
      </c>
      <c r="F98" t="str">
        <f>IF(AJ98="","",IFERROR(IF(INDEX(CODIFICACION!$E$2:$E$500,MATCH("P13|"&amp;AJ98,CODIFICACION!$F$2:$F$500,0))="sin dato","",INDEX(CODIFICACION!$E$2:$E$500,MATCH("P13|"&amp;AJ98,CODIFICACION!$F$2:$F$500,0))),"⚠"))</f>
        <v/>
      </c>
      <c r="G98" t="str">
        <f>IF(AK98="","",IFERROR(IF(INDEX(CODIFICACION!$E$2:$E$500,MATCH("P14|"&amp;AK98,CODIFICACION!$F$2:$F$500,0))="sin dato","",INDEX(CODIFICACION!$E$2:$E$500,MATCH("P14|"&amp;AK98,CODIFICACION!$F$2:$F$500,0))),"⚠"))</f>
        <v/>
      </c>
      <c r="H98" t="str">
        <f>IF(AL98="","",IFERROR(IF(INDEX(CODIFICACION!$E$2:$E$500,MATCH("D1.1|"&amp;AL98,CODIFICACION!$F$2:$F$500,0))="sin dato","",INDEX(CODIFICACION!$E$2:$E$500,MATCH("D1.1|"&amp;AL98,CODIFICACION!$F$2:$F$500,0))),"⚠"))</f>
        <v/>
      </c>
      <c r="I98" t="str">
        <f>IF(AN98="","",IFERROR(IF(INDEX(CODIFICACION!$E$2:$E$500,MATCH("D1.3|"&amp;AN98,CODIFICACION!$F$2:$F$500,0))="sin dato","",INDEX(CODIFICACION!$E$2:$E$500,MATCH("D1.3|"&amp;AN98,CODIFICACION!$F$2:$F$500,0))),"⚠"))</f>
        <v/>
      </c>
      <c r="J98" t="str">
        <f>IF(AO98="","",IFERROR(IF(INDEX(CODIFICACION!$E$2:$E$500,MATCH("D1.4|"&amp;AO98,CODIFICACION!$F$2:$F$500,0))="sin dato","",INDEX(CODIFICACION!$E$2:$E$500,MATCH("D1.4|"&amp;AO98,CODIFICACION!$F$2:$F$500,0))),"⚠"))</f>
        <v/>
      </c>
      <c r="K98" t="str">
        <f>IF(AP98="","",IFERROR(IF(INDEX(CODIFICACION!$E$2:$E$500,MATCH("D1.3a|"&amp;AP98,CODIFICACION!$F$2:$F$500,0))="sin dato","",INDEX(CODIFICACION!$E$2:$E$500,MATCH("D1.3a|"&amp;AP98,CODIFICACION!$F$2:$F$500,0))),"⚠"))</f>
        <v/>
      </c>
      <c r="L98" t="str">
        <f t="shared" si="51"/>
        <v/>
      </c>
      <c r="M98" t="str">
        <f t="shared" si="52"/>
        <v/>
      </c>
      <c r="N98" t="str">
        <f t="shared" si="53"/>
        <v/>
      </c>
      <c r="O98" t="str">
        <f>IF(AT98="","",IFERROR(IF(INDEX(CODIFICACION!$E$2:$E$500,MATCH("D2.8|"&amp;AT98,CODIFICACION!$F$2:$F$500,0))="sin dato","",INDEX(CODIFICACION!$E$2:$E$500,MATCH("D2.8|"&amp;AT98,CODIFICACION!$F$2:$F$500,0))),"⚠"))</f>
        <v/>
      </c>
      <c r="P98" t="str">
        <f>IF(AU98="","",IFERROR(IF(INDEX(CODIFICACION!$E$2:$E$500,MATCH("D2.9|"&amp;AU98,CODIFICACION!$F$2:$F$500,0))="sin dato","",INDEX(CODIFICACION!$E$2:$E$500,MATCH("D2.9|"&amp;AU98,CODIFICACION!$F$2:$F$500,0))),"⚠"))</f>
        <v/>
      </c>
      <c r="Q98" t="str">
        <f>IF(AV98="","",IFERROR(IF(INDEX(CODIFICACION!$E$2:$E$500,MATCH("D2.10|"&amp;AV98,CODIFICACION!$F$2:$F$500,0))="sin dato","",INDEX(CODIFICACION!$E$2:$E$500,MATCH("D2.10|"&amp;AV98,CODIFICACION!$F$2:$F$500,0))),"⚠"))</f>
        <v/>
      </c>
      <c r="R98" t="str">
        <f>IF(AW98="","",IFERROR(IF(INDEX(CODIFICACION!$E$2:$E$500,MATCH("D2.5a|"&amp;AW98,CODIFICACION!$F$2:$F$500,0))="sin dato","",INDEX(CODIFICACION!$E$2:$E$500,MATCH("D2.5a|"&amp;AW98,CODIFICACION!$F$2:$F$500,0))),"⚠"))</f>
        <v/>
      </c>
      <c r="S98" t="str">
        <f ca="1">IF(AX98="","",IFERROR(IF(INDEX(CODIFICACION!$E$2:$E$500,MATCH("D2.5b|"&amp;AX98,CODIFICACION!$F$2:$F$500,0))="sin dato","",INDEX(CODIFICACION!$E$2:$E$500,MATCH("D2.5b|"&amp;AX98,CODIFICACION!$F$2:$F$500,0))),"⚠"))</f>
        <v/>
      </c>
      <c r="T98" t="str">
        <f t="shared" ca="1" si="54"/>
        <v/>
      </c>
      <c r="U98" t="str">
        <f>IF(AZ98="","",IFERROR(IF(INDEX(CODIFICACION!$E$2:$E$500,MATCH("D3.12|"&amp;AZ98,CODIFICACION!$F$2:$F$500,0))="sin dato","",INDEX(CODIFICACION!$E$2:$E$500,MATCH("D3.12|"&amp;AZ98,CODIFICACION!$F$2:$F$500,0))),"⚠"))</f>
        <v/>
      </c>
      <c r="V98" t="str">
        <f t="shared" si="55"/>
        <v/>
      </c>
      <c r="W98" t="str">
        <f ca="1">IF(BB98="","",IFERROR(IF(INDEX(CODIFICACION!$E$2:$E$500,MATCH("D3.14|"&amp;BB98,CODIFICACION!$F$2:$F$500,0))="sin dato","",INDEX(CODIFICACION!$E$2:$E$500,MATCH("D3.14|"&amp;BB98,CODIFICACION!$F$2:$F$500,0))),"⚠"))</f>
        <v/>
      </c>
      <c r="X98" t="str">
        <f ca="1">IF(BC98="","",IFERROR(IF(INDEX(CODIFICACION!$E$2:$E$500,MATCH("D3.14a|"&amp;BC98,CODIFICACION!$F$2:$F$500,0))="sin dato","",INDEX(CODIFICACION!$E$2:$E$500,MATCH("D3.14a|"&amp;BC98,CODIFICACION!$F$2:$F$500,0))),"⚠"))</f>
        <v/>
      </c>
      <c r="Y98" t="str">
        <f>IF(BD98="","",IFERROR(IF(INDEX(CODIFICACION!$E$2:$E$500,MATCH("D3.14b|"&amp;BD98,CODIFICACION!$F$2:$F$500,0))="sin dato","",INDEX(CODIFICACION!$E$2:$E$500,MATCH("D3.14b|"&amp;BD98,CODIFICACION!$F$2:$F$500,0))),"⚠"))</f>
        <v/>
      </c>
      <c r="Z98" t="str">
        <f>IF(BE98="","",IFERROR(IF(INDEX(CODIFICACION!$E$2:$E$500,MATCH("D3.14c|"&amp;BE98,CODIFICACION!$F$2:$F$500,0))="sin dato","",INDEX(CODIFICACION!$E$2:$E$500,MATCH("D3.14c|"&amp;BE98,CODIFICACION!$F$2:$F$500,0))),"⚠"))</f>
        <v/>
      </c>
      <c r="AA98" t="str">
        <f>IF(BF98="","",IFERROR(IF(INDEX(CODIFICACION!$E$2:$E$500,MATCH("D3.14d|"&amp;BF98,CODIFICACION!$F$2:$F$500,0))="sin dato","",INDEX(CODIFICACION!$E$2:$E$500,MATCH("D3.14d|"&amp;BF98,CODIFICACION!$F$2:$F$500,0))),"⚠"))</f>
        <v/>
      </c>
      <c r="AB98" t="str">
        <f>IF(BG98="","",IFERROR(IF(INDEX(CODIFICACION!$E$2:$E$500,MATCH("D3.14e|"&amp;BG98,CODIFICACION!$F$2:$F$500,0))="sin dato","",INDEX(CODIFICACION!$E$2:$E$500,MATCH("D3.14e|"&amp;BG98,CODIFICACION!$F$2:$F$500,0))),"⚠"))</f>
        <v/>
      </c>
      <c r="AC98" t="str">
        <f>IF(BH98="","",IFERROR(IF(INDEX(CODIFICACION!$E$2:$E$500,MATCH("D3.14f|"&amp;BH98,CODIFICACION!$F$2:$F$500,0))="sin dato","",INDEX(CODIFICACION!$E$2:$E$500,MATCH("D3.14f|"&amp;BH98,CODIFICACION!$F$2:$F$500,0))),"⚠"))</f>
        <v/>
      </c>
      <c r="AD98" t="str">
        <f>IF(BI98="","",IFERROR(IF(INDEX(CODIFICACION!$E$2:$E$500,MATCH("D3.14g|"&amp;BI98,CODIFICACION!$F$2:$F$500,0))="sin dato","",INDEX(CODIFICACION!$E$2:$E$500,MATCH("D3.14g|"&amp;BI98,CODIFICACION!$F$2:$F$500,0))),"⚠"))</f>
        <v/>
      </c>
      <c r="AE98" t="str">
        <f>IF(BJ98="","",IFERROR(IF(INDEX(CODIFICACION!$E$2:$E$500,MATCH("D3.14h|"&amp;BJ98,CODIFICACION!$F$2:$F$500,0))="sin dato","",INDEX(CODIFICACION!$E$2:$E$500,MATCH("D3.14h|"&amp;BJ98,CODIFICACION!$F$2:$F$500,0))),"⚠"))</f>
        <v/>
      </c>
      <c r="AF98" t="str">
        <f>IF(BK98="","",IFERROR(IF(INDEX(CODIFICACION!$E$2:$E$500,MATCH("D3.14i|"&amp;BK98,CODIFICACION!$F$2:$F$500,0))="sin dato","",INDEX(CODIFICACION!$E$2:$E$500,MATCH("D3.14i|"&amp;BK98,CODIFICACION!$F$2:$F$500,0))),"⚠"))</f>
        <v/>
      </c>
      <c r="AG98" t="str">
        <f>IF(BL98="","",IFERROR(IF(INDEX(CODIFICACION!$E$2:$E$500,MATCH("D4.15|"&amp;BL98,CODIFICACION!$F$2:$F$500,0))="sin dato","",INDEX(CODIFICACION!$E$2:$E$500,MATCH("D4.15|"&amp;BL98,CODIFICACION!$F$2:$F$500,0))),"⚠"))</f>
        <v/>
      </c>
      <c r="AH98" t="str">
        <f t="shared" si="56"/>
        <v/>
      </c>
      <c r="AI98" t="str">
        <f>IF(BN98="","",IFERROR(IF(INDEX(CODIFICACION!$E$2:$E$500,MATCH("D4.17|"&amp;BN98,CODIFICACION!$F$2:$F$500,0))="sin dato","",INDEX(CODIFICACION!$E$2:$E$500,MATCH("D4.17|"&amp;BN98,CODIFICACION!$F$2:$F$500,0))),"⚠"))</f>
        <v/>
      </c>
      <c r="AJ98" t="str">
        <f>IF(BO98="","",IFERROR(IF(INDEX(CODIFICACION!$E$2:$E$500,MATCH("D4.15a|"&amp;BO98,CODIFICACION!$F$2:$F$500,0))="sin dato","",INDEX(CODIFICACION!$E$2:$E$500,MATCH("D4.15a|"&amp;BO98,CODIFICACION!$F$2:$F$500,0))),"⚠"))</f>
        <v/>
      </c>
      <c r="AK98" t="str">
        <f t="shared" si="57"/>
        <v/>
      </c>
      <c r="AL98" t="str">
        <f t="shared" si="58"/>
        <v/>
      </c>
      <c r="AM98" t="str">
        <f>IF(BR98="","",IFERROR(IF(INDEX(CODIFICACION!$E$2:$E$500,MATCH("D5.18b|"&amp;BR98,CODIFICACION!$F$2:$F$500,0))="sin dato","",INDEX(CODIFICACION!$E$2:$E$500,MATCH("D5.18b|"&amp;BR98,CODIFICACION!$F$2:$F$500,0))),"⚠"))</f>
        <v/>
      </c>
      <c r="AN98" t="str">
        <f>IF(BS98="","",IFERROR(IF(INDEX(CODIFICACION!$E$2:$E$500,MATCH("D5.19|"&amp;BS98,CODIFICACION!$F$2:$F$500,0))="sin dato","",INDEX(CODIFICACION!$E$2:$E$500,MATCH("D5.19|"&amp;BS98,CODIFICACION!$F$2:$F$500,0))),"⚠"))</f>
        <v/>
      </c>
      <c r="AO98" t="str">
        <f t="shared" si="59"/>
        <v/>
      </c>
      <c r="AP98" t="str">
        <f>IF(BU98="","",IFERROR(IF(INDEX(CODIFICACION!$E$2:$E$500,MATCH("D5.20|"&amp;BU98,CODIFICACION!$F$2:$F$500,0))="sin dato","",INDEX(CODIFICACION!$E$2:$E$500,MATCH("D5.20|"&amp;BU98,CODIFICACION!$F$2:$F$500,0))),"⚠"))</f>
        <v/>
      </c>
      <c r="AQ98" t="str">
        <f>IF(BV98="","",IFERROR(IF(INDEX(CODIFICACION!$E$2:$E$500,MATCH("D5.21|"&amp;BV98,CODIFICACION!$F$2:$F$500,0))="sin dato","",INDEX(CODIFICACION!$E$2:$E$500,MATCH("D5.21|"&amp;BV98,CODIFICACION!$F$2:$F$500,0))),"⚠"))</f>
        <v/>
      </c>
      <c r="AR98" t="str">
        <f>IF(BW98="","",IFERROR(IF(INDEX(CODIFICACION!$E$2:$E$500,MATCH("D5.21a|"&amp;BW98,CODIFICACION!$F$2:$F$500,0))="sin dato","",INDEX(CODIFICACION!$E$2:$E$500,MATCH("D5.21a|"&amp;BW98,CODIFICACION!$F$2:$F$500,0))),"⚠"))</f>
        <v/>
      </c>
      <c r="AS98" t="str">
        <f>IF(BX98="","",IFERROR(IF(INDEX(CODIFICACION!$E$2:$E$500,MATCH("D5.21b|"&amp;BX98,CODIFICACION!$F$2:$F$500,0))="sin dato","",INDEX(CODIFICACION!$E$2:$E$500,MATCH("D5.21b|"&amp;BX98,CODIFICACION!$F$2:$F$500,0))),"⚠"))</f>
        <v/>
      </c>
      <c r="AT98" t="str">
        <f>IF(BY98="","",IFERROR(IF(INDEX(CODIFICACION!$E$2:$E$500,MATCH("D6.22|"&amp;BY98,CODIFICACION!$F$2:$F$500,0))="sin dato","",INDEX(CODIFICACION!$E$2:$E$500,MATCH("D6.22|"&amp;BY98,CODIFICACION!$F$2:$F$500,0))),"⚠"))</f>
        <v/>
      </c>
      <c r="AU98" t="str">
        <f>IF(BZ98="","",IFERROR(IF(INDEX(CODIFICACION!$E$2:$E$500,MATCH("D6.22a|"&amp;BZ98,CODIFICACION!$F$2:$F$500,0))="sin dato","",INDEX(CODIFICACION!$E$2:$E$500,MATCH("D6.22a|"&amp;BZ98,CODIFICACION!$F$2:$F$500,0))),"⚠"))</f>
        <v/>
      </c>
      <c r="AV98" t="str">
        <f>IF(CA98="","",IFERROR(IF(INDEX(CODIFICACION!$E$2:$E$500,MATCH("D6.22b|"&amp;CA98,CODIFICACION!$F$2:$F$500,0))="sin dato","",INDEX(CODIFICACION!$E$2:$E$500,MATCH("D6.22b|"&amp;CA98,CODIFICACION!$F$2:$F$500,0))),"⚠"))</f>
        <v/>
      </c>
      <c r="AW98" t="str">
        <f>IF(CB98="","",IFERROR(IF(INDEX(CODIFICACION!$E$2:$E$500,MATCH("D6.23|"&amp;CB98,CODIFICACION!$F$2:$F$500,0))="sin dato","",INDEX(CODIFICACION!$E$2:$E$500,MATCH("D6.23|"&amp;CB98,CODIFICACION!$F$2:$F$500,0))),"⚠"))</f>
        <v/>
      </c>
      <c r="AX98" t="str">
        <f ca="1">IF(CC98="","",IFERROR(IF(INDEX(CODIFICACION!$E$2:$E$500,MATCH("D6.24|"&amp;CC98,CODIFICACION!$F$2:$F$500,0))="sin dato","",INDEX(CODIFICACION!$E$2:$E$500,MATCH("D6.24|"&amp;CC98,CODIFICACION!$F$2:$F$500,0))),"⚠"))</f>
        <v/>
      </c>
      <c r="AY98" t="str">
        <f ca="1">IF(CD98="","",IFERROR(IF(INDEX(CODIFICACION!$E$2:$E$500,MATCH("D6.25|"&amp;CD98,CODIFICACION!$F$2:$F$500,0))="sin dato","",INDEX(CODIFICACION!$E$2:$E$500,MATCH("D6.25|"&amp;CD98,CODIFICACION!$F$2:$F$500,0))),"⚠"))</f>
        <v/>
      </c>
      <c r="AZ98" t="str">
        <f>IF(CE98="","",IFERROR(IF(INDEX(CODIFICACION!$E$2:$E$500,MATCH("D6.25a|"&amp;CE98,CODIFICACION!$F$2:$F$500,0))="sin dato","",INDEX(CODIFICACION!$E$2:$E$500,MATCH("D6.25a|"&amp;CE98,CODIFICACION!$F$2:$F$500,0))),"⚠"))</f>
        <v/>
      </c>
      <c r="BA98" t="str">
        <f>IF(CF98="","",IFERROR(IF(INDEX(CODIFICACION!$E$2:$E$500,MATCH("D6.25b|"&amp;CF98,CODIFICACION!$F$2:$F$500,0))="sin dato","",INDEX(CODIFICACION!$E$2:$E$500,MATCH("D6.25b|"&amp;CF98,CODIFICACION!$F$2:$F$500,0))),"⚠"))</f>
        <v/>
      </c>
      <c r="BB98" t="str">
        <f ca="1">IF(CG98="","",IFERROR(IF(INDEX(CODIFICACION!$E$2:$E$500,MATCH("D6.22c|"&amp;CG98,CODIFICACION!$F$2:$F$500,0))="sin dato","",INDEX(CODIFICACION!$E$2:$E$500,MATCH("D6.22c|"&amp;CG98,CODIFICACION!$F$2:$F$500,0))),"⚠"))</f>
        <v/>
      </c>
      <c r="BC98" t="str">
        <f ca="1">IF(CH98="","",IFERROR(IF(INDEX(CODIFICACION!$E$2:$E$500,MATCH("D7.26|"&amp;CH98,CODIFICACION!$F$2:$F$500,0))="sin dato","",INDEX(CODIFICACION!$E$2:$E$500,MATCH("D7.26|"&amp;CH98,CODIFICACION!$F$2:$F$500,0))),"⚠"))</f>
        <v/>
      </c>
      <c r="BD98" t="str">
        <f>IF(CI98="","",IFERROR(IF(INDEX(CODIFICACION!$E$2:$E$500,MATCH("D7.27|"&amp;CI98,CODIFICACION!$F$2:$F$500,0))="sin dato","",INDEX(CODIFICACION!$E$2:$E$500,MATCH("D7.27|"&amp;CI98,CODIFICACION!$F$2:$F$500,0))),"⚠"))</f>
        <v/>
      </c>
      <c r="BE98" t="str">
        <f>IF(CJ98="","",IFERROR(IF(INDEX(CODIFICACION!$E$2:$E$500,MATCH("D7.28|"&amp;CJ98,CODIFICACION!$F$2:$F$500,0))="sin dato","",INDEX(CODIFICACION!$E$2:$E$500,MATCH("D7.28|"&amp;CJ98,CODIFICACION!$F$2:$F$500,0))),"⚠"))</f>
        <v/>
      </c>
      <c r="BF98" t="str">
        <f>IF(CK98="","",IFERROR(IF(INDEX(CODIFICACION!$E$2:$E$500,MATCH("D7.28b|"&amp;CK98,CODIFICACION!$F$2:$F$500,0))="sin dato","",INDEX(CODIFICACION!$E$2:$E$500,MATCH("D7.28b|"&amp;CK98,CODIFICACION!$F$2:$F$500,0))),"⚠"))</f>
        <v/>
      </c>
      <c r="BG98" t="str">
        <f t="shared" si="60"/>
        <v/>
      </c>
      <c r="BH98" t="str">
        <f>IF(CM98="","",IFERROR(IF(INDEX(CODIFICACION!$E$2:$E$500,MATCH("D7.26a|"&amp;CM98,CODIFICACION!$F$2:$F$500,0))="sin dato","",INDEX(CODIFICACION!$E$2:$E$500,MATCH("D7.26a|"&amp;CM98,CODIFICACION!$F$2:$F$500,0))),"⚠"))</f>
        <v/>
      </c>
      <c r="BI98" t="str">
        <f>IF(CN98="","",IFERROR(IF(INDEX(CODIFICACION!$E$2:$E$500,MATCH("D7.26b|"&amp;CN98,CODIFICACION!$F$2:$F$500,0))="sin dato","",INDEX(CODIFICACION!$E$2:$E$500,MATCH("D7.26b|"&amp;CN98,CODIFICACION!$F$2:$F$500,0))),"⚠"))</f>
        <v/>
      </c>
      <c r="BJ98" t="str">
        <f t="shared" si="61"/>
        <v/>
      </c>
      <c r="BK98" t="str">
        <f t="shared" si="62"/>
        <v/>
      </c>
      <c r="BL98" t="str">
        <f>IF(CQ98="","",IFERROR(IF(INDEX(CODIFICACION!$E$2:$E$500,MATCH("D8.31|"&amp;CQ98,CODIFICACION!$F$2:$F$500,0))="sin dato","",INDEX(CODIFICACION!$E$2:$E$500,MATCH("D8.31|"&amp;CQ98,CODIFICACION!$F$2:$F$500,0))),"⚠"))</f>
        <v/>
      </c>
      <c r="BM98" t="str">
        <f>IF(CR98="","",IFERROR(IF(INDEX(CODIFICACION!$E$2:$E$500,MATCH("D8.32|"&amp;CR98,CODIFICACION!$F$2:$F$500,0))="sin dato","",INDEX(CODIFICACION!$E$2:$E$500,MATCH("D8.32|"&amp;CR98,CODIFICACION!$F$2:$F$500,0))),"⚠"))</f>
        <v/>
      </c>
      <c r="BN98" t="str">
        <f>IF(CS98="","",IFERROR(IF(INDEX(CODIFICACION!$E$2:$E$500,MATCH("D9.33|"&amp;CS98,CODIFICACION!$F$2:$F$500,0))="sin dato","",INDEX(CODIFICACION!$E$2:$E$500,MATCH("D9.33|"&amp;CS98,CODIFICACION!$F$2:$F$500,0))),"⚠"))</f>
        <v/>
      </c>
      <c r="BO98" t="str">
        <f>IF(CT98="","",IFERROR(IF(INDEX(CODIFICACION!$E$2:$E$500,MATCH("D9.34|"&amp;CT98,CODIFICACION!$F$2:$F$500,0))="sin dato","",INDEX(CODIFICACION!$E$2:$E$500,MATCH("D9.34|"&amp;CT98,CODIFICACION!$F$2:$F$500,0))),"⚠"))</f>
        <v/>
      </c>
      <c r="BP98" t="str">
        <f>IF(CU98="","",IFERROR(IF(INDEX(CODIFICACION!$E$2:$E$500,MATCH("D9.35|"&amp;CU98,CODIFICACION!$F$2:$F$500,0))="sin dato","",INDEX(CODIFICACION!$E$2:$E$500,MATCH("D9.35|"&amp;CU98,CODIFICACION!$F$2:$F$500,0))),"⚠"))</f>
        <v/>
      </c>
      <c r="BQ98" t="str">
        <f>IF(CV98="","",IFERROR(IF(INDEX(CODIFICACION!$E$2:$E$500,MATCH("D10.36|"&amp;CV98,CODIFICACION!$F$2:$F$500,0))="sin dato","",INDEX(CODIFICACION!$E$2:$E$500,MATCH("D10.36|"&amp;CV98,CODIFICACION!$F$2:$F$500,0))),"⚠"))</f>
        <v/>
      </c>
      <c r="BR98" t="str">
        <f>IF(CW98="","",IFERROR(IF(INDEX(CODIFICACION!$E$2:$E$500,MATCH("D10.37|"&amp;CW98,CODIFICACION!$F$2:$F$500,0))="sin dato","",INDEX(CODIFICACION!$E$2:$E$500,MATCH("D10.37|"&amp;CW98,CODIFICACION!$F$2:$F$500,0))),"⚠"))</f>
        <v/>
      </c>
      <c r="BS98" t="str">
        <f>IF(CX98="","",IFERROR(IF(INDEX(CODIFICACION!$E$2:$E$500,MATCH("D10.36a|"&amp;CX98,CODIFICACION!$F$2:$F$500,0))="sin dato","",INDEX(CODIFICACION!$E$2:$E$500,MATCH("D10.36a|"&amp;CX98,CODIFICACION!$F$2:$F$500,0))),"⚠"))</f>
        <v/>
      </c>
      <c r="BT98" t="str">
        <f t="shared" si="63"/>
        <v/>
      </c>
      <c r="BU98" t="str">
        <f>IF(DA98="","",IFERROR(IF(INDEX(CODIFICACION!$E$2:$E$500,MATCH("D11.39a|"&amp;DA98,CODIFICACION!$F$2:$F$500,0))="sin dato","",INDEX(CODIFICACION!$E$2:$E$500,MATCH("D11.39a|"&amp;DA98,CODIFICACION!$F$2:$F$500,0))),"⚠"))</f>
        <v/>
      </c>
      <c r="BV98" t="str">
        <f>IF(DB98="","",IFERROR(IF(INDEX(CODIFICACION!$E$2:$E$500,MATCH("D12.42|"&amp;DB98,CODIFICACION!$F$2:$F$500,0))="sin dato","",INDEX(CODIFICACION!$E$2:$E$500,MATCH("D12.42|"&amp;DB98,CODIFICACION!$F$2:$F$500,0))),"⚠"))</f>
        <v/>
      </c>
      <c r="BW98" t="str">
        <f>IF(DC98="","",IFERROR(IF(INDEX(CODIFICACION!$E$2:$E$500,MATCH("D13.45|"&amp;DC98,CODIFICACION!$F$2:$F$500,0))="sin dato","",INDEX(CODIFICACION!$E$2:$E$500,MATCH("D13.45|"&amp;DC98,CODIFICACION!$F$2:$F$500,0))),"⚠"))</f>
        <v/>
      </c>
      <c r="BX98" t="str">
        <f>IF(DD98="","",IFERROR(IF(INDEX(CODIFICACION!$E$2:$E$500,MATCH("D14.51|"&amp;DD98,CODIFICACION!$F$2:$F$500,0))="sin dato","",INDEX(CODIFICACION!$E$2:$E$500,MATCH("D14.51|"&amp;DD98,CODIFICACION!$F$2:$F$500,0))),"⚠"))</f>
        <v/>
      </c>
      <c r="BY98" t="str">
        <f>IF(DE98="","",IFERROR(IF(INDEX(CODIFICACION!$E$2:$E$500,MATCH("D15.58|"&amp;DE98,CODIFICACION!$F$2:$F$500,0))="sin dato","",INDEX(CODIFICACION!$E$2:$E$500,MATCH("D15.58|"&amp;DE98,CODIFICACION!$F$2:$F$500,0))),"⚠"))</f>
        <v/>
      </c>
      <c r="BZ98" t="str">
        <f>IF(DF98="","",IFERROR(IF(INDEX(CODIFICACION!$E$2:$E$500,MATCH("PP1|"&amp;DF98,CODIFICACION!$F$2:$F$500,0))="sin dato","",INDEX(CODIFICACION!$E$2:$E$500,MATCH("PP1|"&amp;DF98,CODIFICACION!$F$2:$F$500,0))),"⚠"))</f>
        <v/>
      </c>
      <c r="CA98" t="str">
        <f>IF(DG98="","",IFERROR(IF(INDEX(CODIFICACION!$E$2:$E$500,MATCH("PP2|"&amp;DG98,CODIFICACION!$F$2:$F$500,0))="sin dato","",INDEX(CODIFICACION!$E$2:$E$500,MATCH("PP2|"&amp;DG98,CODIFICACION!$F$2:$F$500,0))),"⚠"))</f>
        <v/>
      </c>
      <c r="CB98" t="str">
        <f t="shared" si="64"/>
        <v/>
      </c>
      <c r="CC98" t="str">
        <f t="shared" ca="1" si="65"/>
        <v/>
      </c>
      <c r="CD98" t="str">
        <f t="shared" ca="1" si="66"/>
        <v/>
      </c>
      <c r="CE98" t="str">
        <f t="shared" si="67"/>
        <v/>
      </c>
      <c r="CF98" t="str">
        <f t="shared" si="68"/>
        <v/>
      </c>
      <c r="CG98" t="str">
        <f t="shared" ca="1" si="69"/>
        <v/>
      </c>
      <c r="CH98" t="str">
        <f t="shared" ca="1" si="70"/>
        <v/>
      </c>
      <c r="CI98" t="str">
        <f t="shared" si="71"/>
        <v/>
      </c>
      <c r="CJ98" t="str">
        <f t="shared" si="72"/>
        <v/>
      </c>
      <c r="CK98" t="str">
        <f t="shared" si="73"/>
        <v/>
      </c>
      <c r="CL98" t="str">
        <f t="shared" si="74"/>
        <v/>
      </c>
    </row>
    <row r="99" spans="1:90" x14ac:dyDescent="0.3">
      <c r="A99">
        <f>CAPTURA!A99</f>
        <v>20573344791</v>
      </c>
      <c r="B99">
        <f>CAPTURA!C99</f>
        <v>0</v>
      </c>
      <c r="C99" t="str">
        <f t="shared" ref="C99:C130" si="75">IF(M99="","",ROUND((ISNUMBER(SEARCH("Alemania",M99))+ISNUMBER(SEARCH("Bélgica",M99))+ISNUMBER(SEARCH("Países Bajos",M99))+ISNUMBER(SEARCH("Francia",M99))+ISNUMBER(SEARCH("Italia",M99))+ISNUMBER(SEARCH("España",M99))+ISNUMBER(SEARCH("Suecia",M99))+ISNUMBER(SEARCH("Dinamarca",M99)))/((LEN(M99)-LEN(SUBSTITUTE(M99,";","")))+1)*100,1))</f>
        <v/>
      </c>
      <c r="D99" t="str">
        <f>IF(AE99="","",IFERROR(IF(INDEX(CODIFICACION!$E$2:$E$500,MATCH("P8|"&amp;AE99,CODIFICACION!$F$2:$F$500,0))="sin dato","",INDEX(CODIFICACION!$E$2:$E$500,MATCH("P8|"&amp;AE99,CODIFICACION!$F$2:$F$500,0))),"⚠"))</f>
        <v/>
      </c>
      <c r="E99" t="str">
        <f>IF(AG99="","",IFERROR(IF(INDEX(CODIFICACION!$E$2:$E$500,MATCH("P10|"&amp;AG99,CODIFICACION!$F$2:$F$500,0))="sin dato","",INDEX(CODIFICACION!$E$2:$E$500,MATCH("P10|"&amp;AG99,CODIFICACION!$F$2:$F$500,0))),"⚠"))</f>
        <v/>
      </c>
      <c r="F99" t="str">
        <f>IF(AJ99="","",IFERROR(IF(INDEX(CODIFICACION!$E$2:$E$500,MATCH("P13|"&amp;AJ99,CODIFICACION!$F$2:$F$500,0))="sin dato","",INDEX(CODIFICACION!$E$2:$E$500,MATCH("P13|"&amp;AJ99,CODIFICACION!$F$2:$F$500,0))),"⚠"))</f>
        <v/>
      </c>
      <c r="G99" t="str">
        <f>IF(AK99="","",IFERROR(IF(INDEX(CODIFICACION!$E$2:$E$500,MATCH("P14|"&amp;AK99,CODIFICACION!$F$2:$F$500,0))="sin dato","",INDEX(CODIFICACION!$E$2:$E$500,MATCH("P14|"&amp;AK99,CODIFICACION!$F$2:$F$500,0))),"⚠"))</f>
        <v/>
      </c>
      <c r="H99" t="str">
        <f>IF(AL99="","",IFERROR(IF(INDEX(CODIFICACION!$E$2:$E$500,MATCH("D1.1|"&amp;AL99,CODIFICACION!$F$2:$F$500,0))="sin dato","",INDEX(CODIFICACION!$E$2:$E$500,MATCH("D1.1|"&amp;AL99,CODIFICACION!$F$2:$F$500,0))),"⚠"))</f>
        <v/>
      </c>
      <c r="I99" t="str">
        <f>IF(AN99="","",IFERROR(IF(INDEX(CODIFICACION!$E$2:$E$500,MATCH("D1.3|"&amp;AN99,CODIFICACION!$F$2:$F$500,0))="sin dato","",INDEX(CODIFICACION!$E$2:$E$500,MATCH("D1.3|"&amp;AN99,CODIFICACION!$F$2:$F$500,0))),"⚠"))</f>
        <v/>
      </c>
      <c r="J99" t="str">
        <f>IF(AO99="","",IFERROR(IF(INDEX(CODIFICACION!$E$2:$E$500,MATCH("D1.4|"&amp;AO99,CODIFICACION!$F$2:$F$500,0))="sin dato","",INDEX(CODIFICACION!$E$2:$E$500,MATCH("D1.4|"&amp;AO99,CODIFICACION!$F$2:$F$500,0))),"⚠"))</f>
        <v/>
      </c>
      <c r="K99" t="str">
        <f>IF(AP99="","",IFERROR(IF(INDEX(CODIFICACION!$E$2:$E$500,MATCH("D1.3a|"&amp;AP99,CODIFICACION!$F$2:$F$500,0))="sin dato","",INDEX(CODIFICACION!$E$2:$E$500,MATCH("D1.3a|"&amp;AP99,CODIFICACION!$F$2:$F$500,0))),"⚠"))</f>
        <v/>
      </c>
      <c r="L99" t="str">
        <f t="shared" ref="L99:L130" si="76">IF(AQ99="","",IF(AND(ISNUMBER(AQ99),AQ99&gt;=0,AQ99&lt;=4),AQ99*25,"⚠"))</f>
        <v/>
      </c>
      <c r="M99" t="str">
        <f t="shared" ref="M99:M130" si="77">IF(AR99="","",IF(ISNUMBER(AR99),MAX(0,MIN(100,AR99)),"⚠"))</f>
        <v/>
      </c>
      <c r="N99" t="str">
        <f t="shared" ref="N99:N130" si="78">IF(AS99="","",IF(AND(ISNUMBER(AS99),AS99&gt;=0,AS99&lt;=4),AS99*25,"⚠"))</f>
        <v/>
      </c>
      <c r="O99" t="str">
        <f>IF(AT99="","",IFERROR(IF(INDEX(CODIFICACION!$E$2:$E$500,MATCH("D2.8|"&amp;AT99,CODIFICACION!$F$2:$F$500,0))="sin dato","",INDEX(CODIFICACION!$E$2:$E$500,MATCH("D2.8|"&amp;AT99,CODIFICACION!$F$2:$F$500,0))),"⚠"))</f>
        <v/>
      </c>
      <c r="P99" t="str">
        <f>IF(AU99="","",IFERROR(IF(INDEX(CODIFICACION!$E$2:$E$500,MATCH("D2.9|"&amp;AU99,CODIFICACION!$F$2:$F$500,0))="sin dato","",INDEX(CODIFICACION!$E$2:$E$500,MATCH("D2.9|"&amp;AU99,CODIFICACION!$F$2:$F$500,0))),"⚠"))</f>
        <v/>
      </c>
      <c r="Q99" t="str">
        <f>IF(AV99="","",IFERROR(IF(INDEX(CODIFICACION!$E$2:$E$500,MATCH("D2.10|"&amp;AV99,CODIFICACION!$F$2:$F$500,0))="sin dato","",INDEX(CODIFICACION!$E$2:$E$500,MATCH("D2.10|"&amp;AV99,CODIFICACION!$F$2:$F$500,0))),"⚠"))</f>
        <v/>
      </c>
      <c r="R99" t="str">
        <f>IF(AW99="","",IFERROR(IF(INDEX(CODIFICACION!$E$2:$E$500,MATCH("D2.5a|"&amp;AW99,CODIFICACION!$F$2:$F$500,0))="sin dato","",INDEX(CODIFICACION!$E$2:$E$500,MATCH("D2.5a|"&amp;AW99,CODIFICACION!$F$2:$F$500,0))),"⚠"))</f>
        <v/>
      </c>
      <c r="S99" t="str">
        <f ca="1">IF(AX99="","",IFERROR(IF(INDEX(CODIFICACION!$E$2:$E$500,MATCH("D2.5b|"&amp;AX99,CODIFICACION!$F$2:$F$500,0))="sin dato","",INDEX(CODIFICACION!$E$2:$E$500,MATCH("D2.5b|"&amp;AX99,CODIFICACION!$F$2:$F$500,0))),"⚠"))</f>
        <v/>
      </c>
      <c r="T99" t="str">
        <f t="shared" ref="T99:T130" ca="1" si="79">IF(AY99="","",IF(ISNUMBER(AY99),MAX(0,MIN(100,AY99)),"⚠"))</f>
        <v/>
      </c>
      <c r="U99" t="str">
        <f>IF(AZ99="","",IFERROR(IF(INDEX(CODIFICACION!$E$2:$E$500,MATCH("D3.12|"&amp;AZ99,CODIFICACION!$F$2:$F$500,0))="sin dato","",INDEX(CODIFICACION!$E$2:$E$500,MATCH("D3.12|"&amp;AZ99,CODIFICACION!$F$2:$F$500,0))),"⚠"))</f>
        <v/>
      </c>
      <c r="V99" t="str">
        <f t="shared" ref="V99:V130" si="80">IF(BA99="","",IF(AND(ISNUMBER(BA99),BA99&gt;=0,BA99&lt;=4),BA99*25,"⚠"))</f>
        <v/>
      </c>
      <c r="W99" t="str">
        <f ca="1">IF(BB99="","",IFERROR(IF(INDEX(CODIFICACION!$E$2:$E$500,MATCH("D3.14|"&amp;BB99,CODIFICACION!$F$2:$F$500,0))="sin dato","",INDEX(CODIFICACION!$E$2:$E$500,MATCH("D3.14|"&amp;BB99,CODIFICACION!$F$2:$F$500,0))),"⚠"))</f>
        <v/>
      </c>
      <c r="X99" t="str">
        <f ca="1">IF(BC99="","",IFERROR(IF(INDEX(CODIFICACION!$E$2:$E$500,MATCH("D3.14a|"&amp;BC99,CODIFICACION!$F$2:$F$500,0))="sin dato","",INDEX(CODIFICACION!$E$2:$E$500,MATCH("D3.14a|"&amp;BC99,CODIFICACION!$F$2:$F$500,0))),"⚠"))</f>
        <v/>
      </c>
      <c r="Y99" t="str">
        <f>IF(BD99="","",IFERROR(IF(INDEX(CODIFICACION!$E$2:$E$500,MATCH("D3.14b|"&amp;BD99,CODIFICACION!$F$2:$F$500,0))="sin dato","",INDEX(CODIFICACION!$E$2:$E$500,MATCH("D3.14b|"&amp;BD99,CODIFICACION!$F$2:$F$500,0))),"⚠"))</f>
        <v/>
      </c>
      <c r="Z99" t="str">
        <f>IF(BE99="","",IFERROR(IF(INDEX(CODIFICACION!$E$2:$E$500,MATCH("D3.14c|"&amp;BE99,CODIFICACION!$F$2:$F$500,0))="sin dato","",INDEX(CODIFICACION!$E$2:$E$500,MATCH("D3.14c|"&amp;BE99,CODIFICACION!$F$2:$F$500,0))),"⚠"))</f>
        <v/>
      </c>
      <c r="AA99" t="str">
        <f>IF(BF99="","",IFERROR(IF(INDEX(CODIFICACION!$E$2:$E$500,MATCH("D3.14d|"&amp;BF99,CODIFICACION!$F$2:$F$500,0))="sin dato","",INDEX(CODIFICACION!$E$2:$E$500,MATCH("D3.14d|"&amp;BF99,CODIFICACION!$F$2:$F$500,0))),"⚠"))</f>
        <v/>
      </c>
      <c r="AB99" t="str">
        <f>IF(BG99="","",IFERROR(IF(INDEX(CODIFICACION!$E$2:$E$500,MATCH("D3.14e|"&amp;BG99,CODIFICACION!$F$2:$F$500,0))="sin dato","",INDEX(CODIFICACION!$E$2:$E$500,MATCH("D3.14e|"&amp;BG99,CODIFICACION!$F$2:$F$500,0))),"⚠"))</f>
        <v/>
      </c>
      <c r="AC99" t="str">
        <f>IF(BH99="","",IFERROR(IF(INDEX(CODIFICACION!$E$2:$E$500,MATCH("D3.14f|"&amp;BH99,CODIFICACION!$F$2:$F$500,0))="sin dato","",INDEX(CODIFICACION!$E$2:$E$500,MATCH("D3.14f|"&amp;BH99,CODIFICACION!$F$2:$F$500,0))),"⚠"))</f>
        <v/>
      </c>
      <c r="AD99" t="str">
        <f>IF(BI99="","",IFERROR(IF(INDEX(CODIFICACION!$E$2:$E$500,MATCH("D3.14g|"&amp;BI99,CODIFICACION!$F$2:$F$500,0))="sin dato","",INDEX(CODIFICACION!$E$2:$E$500,MATCH("D3.14g|"&amp;BI99,CODIFICACION!$F$2:$F$500,0))),"⚠"))</f>
        <v/>
      </c>
      <c r="AE99" t="str">
        <f>IF(BJ99="","",IFERROR(IF(INDEX(CODIFICACION!$E$2:$E$500,MATCH("D3.14h|"&amp;BJ99,CODIFICACION!$F$2:$F$500,0))="sin dato","",INDEX(CODIFICACION!$E$2:$E$500,MATCH("D3.14h|"&amp;BJ99,CODIFICACION!$F$2:$F$500,0))),"⚠"))</f>
        <v/>
      </c>
      <c r="AF99" t="str">
        <f>IF(BK99="","",IFERROR(IF(INDEX(CODIFICACION!$E$2:$E$500,MATCH("D3.14i|"&amp;BK99,CODIFICACION!$F$2:$F$500,0))="sin dato","",INDEX(CODIFICACION!$E$2:$E$500,MATCH("D3.14i|"&amp;BK99,CODIFICACION!$F$2:$F$500,0))),"⚠"))</f>
        <v/>
      </c>
      <c r="AG99" t="str">
        <f>IF(BL99="","",IFERROR(IF(INDEX(CODIFICACION!$E$2:$E$500,MATCH("D4.15|"&amp;BL99,CODIFICACION!$F$2:$F$500,0))="sin dato","",INDEX(CODIFICACION!$E$2:$E$500,MATCH("D4.15|"&amp;BL99,CODIFICACION!$F$2:$F$500,0))),"⚠"))</f>
        <v/>
      </c>
      <c r="AH99" t="str">
        <f t="shared" ref="AH99:AH130" si="81">IF(BM99="","",IF(AND(ISNUMBER(BM99),BM99&gt;=0,BM99&lt;=4),BM99*25,"⚠"))</f>
        <v/>
      </c>
      <c r="AI99" t="str">
        <f>IF(BN99="","",IFERROR(IF(INDEX(CODIFICACION!$E$2:$E$500,MATCH("D4.17|"&amp;BN99,CODIFICACION!$F$2:$F$500,0))="sin dato","",INDEX(CODIFICACION!$E$2:$E$500,MATCH("D4.17|"&amp;BN99,CODIFICACION!$F$2:$F$500,0))),"⚠"))</f>
        <v/>
      </c>
      <c r="AJ99" t="str">
        <f>IF(BO99="","",IFERROR(IF(INDEX(CODIFICACION!$E$2:$E$500,MATCH("D4.15a|"&amp;BO99,CODIFICACION!$F$2:$F$500,0))="sin dato","",INDEX(CODIFICACION!$E$2:$E$500,MATCH("D4.15a|"&amp;BO99,CODIFICACION!$F$2:$F$500,0))),"⚠"))</f>
        <v/>
      </c>
      <c r="AK99" t="str">
        <f t="shared" ref="AK99:AK130" si="82">IF(BP99="","",IF(AND(ISNUMBER(BP99),BP99&gt;=0,BP99&lt;=4),BP99*25,"⚠"))</f>
        <v/>
      </c>
      <c r="AL99" t="str">
        <f t="shared" ref="AL99:AL130" si="83">IF(BQ99="","",IF(AND(ISNUMBER(BQ99),BQ99&gt;=0,BQ99&lt;=4),BQ99*25,"⚠"))</f>
        <v/>
      </c>
      <c r="AM99" t="str">
        <f>IF(BR99="","",IFERROR(IF(INDEX(CODIFICACION!$E$2:$E$500,MATCH("D5.18b|"&amp;BR99,CODIFICACION!$F$2:$F$500,0))="sin dato","",INDEX(CODIFICACION!$E$2:$E$500,MATCH("D5.18b|"&amp;BR99,CODIFICACION!$F$2:$F$500,0))),"⚠"))</f>
        <v/>
      </c>
      <c r="AN99" t="str">
        <f>IF(BS99="","",IFERROR(IF(INDEX(CODIFICACION!$E$2:$E$500,MATCH("D5.19|"&amp;BS99,CODIFICACION!$F$2:$F$500,0))="sin dato","",INDEX(CODIFICACION!$E$2:$E$500,MATCH("D5.19|"&amp;BS99,CODIFICACION!$F$2:$F$500,0))),"⚠"))</f>
        <v/>
      </c>
      <c r="AO99" t="str">
        <f t="shared" ref="AO99:AO130" si="84">IF(BT99="","",ROUND((LEN(BT99)-LEN(SUBSTITUTE(BT99,";",""))+1)/7*100,1))</f>
        <v/>
      </c>
      <c r="AP99" t="str">
        <f>IF(BU99="","",IFERROR(IF(INDEX(CODIFICACION!$E$2:$E$500,MATCH("D5.20|"&amp;BU99,CODIFICACION!$F$2:$F$500,0))="sin dato","",INDEX(CODIFICACION!$E$2:$E$500,MATCH("D5.20|"&amp;BU99,CODIFICACION!$F$2:$F$500,0))),"⚠"))</f>
        <v/>
      </c>
      <c r="AQ99" t="str">
        <f>IF(BV99="","",IFERROR(IF(INDEX(CODIFICACION!$E$2:$E$500,MATCH("D5.21|"&amp;BV99,CODIFICACION!$F$2:$F$500,0))="sin dato","",INDEX(CODIFICACION!$E$2:$E$500,MATCH("D5.21|"&amp;BV99,CODIFICACION!$F$2:$F$500,0))),"⚠"))</f>
        <v/>
      </c>
      <c r="AR99" t="str">
        <f>IF(BW99="","",IFERROR(IF(INDEX(CODIFICACION!$E$2:$E$500,MATCH("D5.21a|"&amp;BW99,CODIFICACION!$F$2:$F$500,0))="sin dato","",INDEX(CODIFICACION!$E$2:$E$500,MATCH("D5.21a|"&amp;BW99,CODIFICACION!$F$2:$F$500,0))),"⚠"))</f>
        <v/>
      </c>
      <c r="AS99" t="str">
        <f>IF(BX99="","",IFERROR(IF(INDEX(CODIFICACION!$E$2:$E$500,MATCH("D5.21b|"&amp;BX99,CODIFICACION!$F$2:$F$500,0))="sin dato","",INDEX(CODIFICACION!$E$2:$E$500,MATCH("D5.21b|"&amp;BX99,CODIFICACION!$F$2:$F$500,0))),"⚠"))</f>
        <v/>
      </c>
      <c r="AT99" t="str">
        <f>IF(BY99="","",IFERROR(IF(INDEX(CODIFICACION!$E$2:$E$500,MATCH("D6.22|"&amp;BY99,CODIFICACION!$F$2:$F$500,0))="sin dato","",INDEX(CODIFICACION!$E$2:$E$500,MATCH("D6.22|"&amp;BY99,CODIFICACION!$F$2:$F$500,0))),"⚠"))</f>
        <v/>
      </c>
      <c r="AU99" t="str">
        <f>IF(BZ99="","",IFERROR(IF(INDEX(CODIFICACION!$E$2:$E$500,MATCH("D6.22a|"&amp;BZ99,CODIFICACION!$F$2:$F$500,0))="sin dato","",INDEX(CODIFICACION!$E$2:$E$500,MATCH("D6.22a|"&amp;BZ99,CODIFICACION!$F$2:$F$500,0))),"⚠"))</f>
        <v/>
      </c>
      <c r="AV99" t="str">
        <f>IF(CA99="","",IFERROR(IF(INDEX(CODIFICACION!$E$2:$E$500,MATCH("D6.22b|"&amp;CA99,CODIFICACION!$F$2:$F$500,0))="sin dato","",INDEX(CODIFICACION!$E$2:$E$500,MATCH("D6.22b|"&amp;CA99,CODIFICACION!$F$2:$F$500,0))),"⚠"))</f>
        <v/>
      </c>
      <c r="AW99" t="str">
        <f>IF(CB99="","",IFERROR(IF(INDEX(CODIFICACION!$E$2:$E$500,MATCH("D6.23|"&amp;CB99,CODIFICACION!$F$2:$F$500,0))="sin dato","",INDEX(CODIFICACION!$E$2:$E$500,MATCH("D6.23|"&amp;CB99,CODIFICACION!$F$2:$F$500,0))),"⚠"))</f>
        <v/>
      </c>
      <c r="AX99" t="str">
        <f ca="1">IF(CC99="","",IFERROR(IF(INDEX(CODIFICACION!$E$2:$E$500,MATCH("D6.24|"&amp;CC99,CODIFICACION!$F$2:$F$500,0))="sin dato","",INDEX(CODIFICACION!$E$2:$E$500,MATCH("D6.24|"&amp;CC99,CODIFICACION!$F$2:$F$500,0))),"⚠"))</f>
        <v/>
      </c>
      <c r="AY99" t="str">
        <f ca="1">IF(CD99="","",IFERROR(IF(INDEX(CODIFICACION!$E$2:$E$500,MATCH("D6.25|"&amp;CD99,CODIFICACION!$F$2:$F$500,0))="sin dato","",INDEX(CODIFICACION!$E$2:$E$500,MATCH("D6.25|"&amp;CD99,CODIFICACION!$F$2:$F$500,0))),"⚠"))</f>
        <v/>
      </c>
      <c r="AZ99" t="str">
        <f>IF(CE99="","",IFERROR(IF(INDEX(CODIFICACION!$E$2:$E$500,MATCH("D6.25a|"&amp;CE99,CODIFICACION!$F$2:$F$500,0))="sin dato","",INDEX(CODIFICACION!$E$2:$E$500,MATCH("D6.25a|"&amp;CE99,CODIFICACION!$F$2:$F$500,0))),"⚠"))</f>
        <v/>
      </c>
      <c r="BA99" t="str">
        <f>IF(CF99="","",IFERROR(IF(INDEX(CODIFICACION!$E$2:$E$500,MATCH("D6.25b|"&amp;CF99,CODIFICACION!$F$2:$F$500,0))="sin dato","",INDEX(CODIFICACION!$E$2:$E$500,MATCH("D6.25b|"&amp;CF99,CODIFICACION!$F$2:$F$500,0))),"⚠"))</f>
        <v/>
      </c>
      <c r="BB99" t="str">
        <f ca="1">IF(CG99="","",IFERROR(IF(INDEX(CODIFICACION!$E$2:$E$500,MATCH("D6.22c|"&amp;CG99,CODIFICACION!$F$2:$F$500,0))="sin dato","",INDEX(CODIFICACION!$E$2:$E$500,MATCH("D6.22c|"&amp;CG99,CODIFICACION!$F$2:$F$500,0))),"⚠"))</f>
        <v/>
      </c>
      <c r="BC99" t="str">
        <f ca="1">IF(CH99="","",IFERROR(IF(INDEX(CODIFICACION!$E$2:$E$500,MATCH("D7.26|"&amp;CH99,CODIFICACION!$F$2:$F$500,0))="sin dato","",INDEX(CODIFICACION!$E$2:$E$500,MATCH("D7.26|"&amp;CH99,CODIFICACION!$F$2:$F$500,0))),"⚠"))</f>
        <v/>
      </c>
      <c r="BD99" t="str">
        <f>IF(CI99="","",IFERROR(IF(INDEX(CODIFICACION!$E$2:$E$500,MATCH("D7.27|"&amp;CI99,CODIFICACION!$F$2:$F$500,0))="sin dato","",INDEX(CODIFICACION!$E$2:$E$500,MATCH("D7.27|"&amp;CI99,CODIFICACION!$F$2:$F$500,0))),"⚠"))</f>
        <v/>
      </c>
      <c r="BE99" t="str">
        <f>IF(CJ99="","",IFERROR(IF(INDEX(CODIFICACION!$E$2:$E$500,MATCH("D7.28|"&amp;CJ99,CODIFICACION!$F$2:$F$500,0))="sin dato","",INDEX(CODIFICACION!$E$2:$E$500,MATCH("D7.28|"&amp;CJ99,CODIFICACION!$F$2:$F$500,0))),"⚠"))</f>
        <v/>
      </c>
      <c r="BF99" t="str">
        <f>IF(CK99="","",IFERROR(IF(INDEX(CODIFICACION!$E$2:$E$500,MATCH("D7.28b|"&amp;CK99,CODIFICACION!$F$2:$F$500,0))="sin dato","",INDEX(CODIFICACION!$E$2:$E$500,MATCH("D7.28b|"&amp;CK99,CODIFICACION!$F$2:$F$500,0))),"⚠"))</f>
        <v/>
      </c>
      <c r="BG99" t="str">
        <f t="shared" ref="BG99:BG130" si="85">IF(CL99="","",ROUND((LEN(CL99)-LEN(SUBSTITUTE(CL99,";",""))+1)/8*100,1))</f>
        <v/>
      </c>
      <c r="BH99" t="str">
        <f>IF(CM99="","",IFERROR(IF(INDEX(CODIFICACION!$E$2:$E$500,MATCH("D7.26a|"&amp;CM99,CODIFICACION!$F$2:$F$500,0))="sin dato","",INDEX(CODIFICACION!$E$2:$E$500,MATCH("D7.26a|"&amp;CM99,CODIFICACION!$F$2:$F$500,0))),"⚠"))</f>
        <v/>
      </c>
      <c r="BI99" t="str">
        <f>IF(CN99="","",IFERROR(IF(INDEX(CODIFICACION!$E$2:$E$500,MATCH("D7.26b|"&amp;CN99,CODIFICACION!$F$2:$F$500,0))="sin dato","",INDEX(CODIFICACION!$E$2:$E$500,MATCH("D7.26b|"&amp;CN99,CODIFICACION!$F$2:$F$500,0))),"⚠"))</f>
        <v/>
      </c>
      <c r="BJ99" t="str">
        <f t="shared" ref="BJ99:BJ130" si="86">IF(CO99="","",IF(AND(ISNUMBER(CO99),CO99&gt;=0,CO99&lt;=4),CO99*25,"⚠"))</f>
        <v/>
      </c>
      <c r="BK99" t="str">
        <f t="shared" ref="BK99:BK130" si="87">IF(CP99="","",IF(ISNUMBER(CP99),MAX(0,MIN(100,CP99)),"⚠"))</f>
        <v/>
      </c>
      <c r="BL99" t="str">
        <f>IF(CQ99="","",IFERROR(IF(INDEX(CODIFICACION!$E$2:$E$500,MATCH("D8.31|"&amp;CQ99,CODIFICACION!$F$2:$F$500,0))="sin dato","",INDEX(CODIFICACION!$E$2:$E$500,MATCH("D8.31|"&amp;CQ99,CODIFICACION!$F$2:$F$500,0))),"⚠"))</f>
        <v/>
      </c>
      <c r="BM99" t="str">
        <f>IF(CR99="","",IFERROR(IF(INDEX(CODIFICACION!$E$2:$E$500,MATCH("D8.32|"&amp;CR99,CODIFICACION!$F$2:$F$500,0))="sin dato","",INDEX(CODIFICACION!$E$2:$E$500,MATCH("D8.32|"&amp;CR99,CODIFICACION!$F$2:$F$500,0))),"⚠"))</f>
        <v/>
      </c>
      <c r="BN99" t="str">
        <f>IF(CS99="","",IFERROR(IF(INDEX(CODIFICACION!$E$2:$E$500,MATCH("D9.33|"&amp;CS99,CODIFICACION!$F$2:$F$500,0))="sin dato","",INDEX(CODIFICACION!$E$2:$E$500,MATCH("D9.33|"&amp;CS99,CODIFICACION!$F$2:$F$500,0))),"⚠"))</f>
        <v/>
      </c>
      <c r="BO99" t="str">
        <f>IF(CT99="","",IFERROR(IF(INDEX(CODIFICACION!$E$2:$E$500,MATCH("D9.34|"&amp;CT99,CODIFICACION!$F$2:$F$500,0))="sin dato","",INDEX(CODIFICACION!$E$2:$E$500,MATCH("D9.34|"&amp;CT99,CODIFICACION!$F$2:$F$500,0))),"⚠"))</f>
        <v/>
      </c>
      <c r="BP99" t="str">
        <f>IF(CU99="","",IFERROR(IF(INDEX(CODIFICACION!$E$2:$E$500,MATCH("D9.35|"&amp;CU99,CODIFICACION!$F$2:$F$500,0))="sin dato","",INDEX(CODIFICACION!$E$2:$E$500,MATCH("D9.35|"&amp;CU99,CODIFICACION!$F$2:$F$500,0))),"⚠"))</f>
        <v/>
      </c>
      <c r="BQ99" t="str">
        <f>IF(CV99="","",IFERROR(IF(INDEX(CODIFICACION!$E$2:$E$500,MATCH("D10.36|"&amp;CV99,CODIFICACION!$F$2:$F$500,0))="sin dato","",INDEX(CODIFICACION!$E$2:$E$500,MATCH("D10.36|"&amp;CV99,CODIFICACION!$F$2:$F$500,0))),"⚠"))</f>
        <v/>
      </c>
      <c r="BR99" t="str">
        <f>IF(CW99="","",IFERROR(IF(INDEX(CODIFICACION!$E$2:$E$500,MATCH("D10.37|"&amp;CW99,CODIFICACION!$F$2:$F$500,0))="sin dato","",INDEX(CODIFICACION!$E$2:$E$500,MATCH("D10.37|"&amp;CW99,CODIFICACION!$F$2:$F$500,0))),"⚠"))</f>
        <v/>
      </c>
      <c r="BS99" t="str">
        <f>IF(CX99="","",IFERROR(IF(INDEX(CODIFICACION!$E$2:$E$500,MATCH("D10.36a|"&amp;CX99,CODIFICACION!$F$2:$F$500,0))="sin dato","",INDEX(CODIFICACION!$E$2:$E$500,MATCH("D10.36a|"&amp;CX99,CODIFICACION!$F$2:$F$500,0))),"⚠"))</f>
        <v/>
      </c>
      <c r="BT99" t="str">
        <f t="shared" ref="BT99:BT130" si="88">IF(CY99="","",IF(ISNUMBER(SEARCH("Ninguno",CY99)),0,ROUND((LEN(CY99)-LEN(SUBSTITUTE(CY99,";",""))+1)/6*100,1)))</f>
        <v/>
      </c>
      <c r="BU99" t="str">
        <f>IF(DA99="","",IFERROR(IF(INDEX(CODIFICACION!$E$2:$E$500,MATCH("D11.39a|"&amp;DA99,CODIFICACION!$F$2:$F$500,0))="sin dato","",INDEX(CODIFICACION!$E$2:$E$500,MATCH("D11.39a|"&amp;DA99,CODIFICACION!$F$2:$F$500,0))),"⚠"))</f>
        <v/>
      </c>
      <c r="BV99" t="str">
        <f>IF(DB99="","",IFERROR(IF(INDEX(CODIFICACION!$E$2:$E$500,MATCH("D12.42|"&amp;DB99,CODIFICACION!$F$2:$F$500,0))="sin dato","",INDEX(CODIFICACION!$E$2:$E$500,MATCH("D12.42|"&amp;DB99,CODIFICACION!$F$2:$F$500,0))),"⚠"))</f>
        <v/>
      </c>
      <c r="BW99" t="str">
        <f>IF(DC99="","",IFERROR(IF(INDEX(CODIFICACION!$E$2:$E$500,MATCH("D13.45|"&amp;DC99,CODIFICACION!$F$2:$F$500,0))="sin dato","",INDEX(CODIFICACION!$E$2:$E$500,MATCH("D13.45|"&amp;DC99,CODIFICACION!$F$2:$F$500,0))),"⚠"))</f>
        <v/>
      </c>
      <c r="BX99" t="str">
        <f>IF(DD99="","",IFERROR(IF(INDEX(CODIFICACION!$E$2:$E$500,MATCH("D14.51|"&amp;DD99,CODIFICACION!$F$2:$F$500,0))="sin dato","",INDEX(CODIFICACION!$E$2:$E$500,MATCH("D14.51|"&amp;DD99,CODIFICACION!$F$2:$F$500,0))),"⚠"))</f>
        <v/>
      </c>
      <c r="BY99" t="str">
        <f>IF(DE99="","",IFERROR(IF(INDEX(CODIFICACION!$E$2:$E$500,MATCH("D15.58|"&amp;DE99,CODIFICACION!$F$2:$F$500,0))="sin dato","",INDEX(CODIFICACION!$E$2:$E$500,MATCH("D15.58|"&amp;DE99,CODIFICACION!$F$2:$F$500,0))),"⚠"))</f>
        <v/>
      </c>
      <c r="BZ99" t="str">
        <f>IF(DF99="","",IFERROR(IF(INDEX(CODIFICACION!$E$2:$E$500,MATCH("PP1|"&amp;DF99,CODIFICACION!$F$2:$F$500,0))="sin dato","",INDEX(CODIFICACION!$E$2:$E$500,MATCH("PP1|"&amp;DF99,CODIFICACION!$F$2:$F$500,0))),"⚠"))</f>
        <v/>
      </c>
      <c r="CA99" t="str">
        <f>IF(DG99="","",IFERROR(IF(INDEX(CODIFICACION!$E$2:$E$500,MATCH("PP2|"&amp;DG99,CODIFICACION!$F$2:$F$500,0))="sin dato","",INDEX(CODIFICACION!$E$2:$E$500,MATCH("PP2|"&amp;DG99,CODIFICACION!$F$2:$F$500,0))),"⚠"))</f>
        <v/>
      </c>
      <c r="CB99" t="str">
        <f t="shared" ref="CB99:CB130" si="89">IFERROR(AVERAGE(H99,I99,J99,K99),"")</f>
        <v/>
      </c>
      <c r="CC99" t="str">
        <f t="shared" ref="CC99:CC130" ca="1" si="90">IFERROR(AVERAGE(L99,M99,N99,O99,P99,Q99,R99,S99),"")</f>
        <v/>
      </c>
      <c r="CD99" t="str">
        <f t="shared" ref="CD99:CD130" ca="1" si="91">IFERROR(AVERAGE(T99,U99,V99,W99,X99,Y99,Z99,AA99,AB99,AC99,AD99,AE99,AF99),"")</f>
        <v/>
      </c>
      <c r="CE99" t="str">
        <f t="shared" ref="CE99:CE130" si="92">IFERROR(AVERAGE(AG99,AH99,AI99,AJ99),"")</f>
        <v/>
      </c>
      <c r="CF99" t="str">
        <f t="shared" ref="CF99:CF130" si="93">IFERROR(AVERAGE(D99,AK99,AL99,AM99,AN99,AO99,AP99,AQ99,AR99,AS99),"")</f>
        <v/>
      </c>
      <c r="CG99" t="str">
        <f t="shared" ref="CG99:CG130" ca="1" si="94">IFERROR(AVERAGE(AT99,AU99,AV99,BB99,AW99,AX99,AY99,AZ99,BA99),"")</f>
        <v/>
      </c>
      <c r="CH99" t="str">
        <f t="shared" ref="CH99:CH130" ca="1" si="95">IFERROR(AVERAGE(C99,E99,F99,BC99,BH99,BI99,BD99,BE99,BF99,BG99),"")</f>
        <v/>
      </c>
      <c r="CI99" t="str">
        <f t="shared" ref="CI99:CI130" si="96">IFERROR(AVERAGE(BJ99,BK99,BL99,BM99),"")</f>
        <v/>
      </c>
      <c r="CJ99" t="str">
        <f t="shared" ref="CJ99:CJ130" si="97">IFERROR(AVERAGE(G99,BN99,BO99,BP99),"")</f>
        <v/>
      </c>
      <c r="CK99" t="str">
        <f t="shared" ref="CK99:CK130" si="98">IFERROR(AVERAGE(BQ99,BS99,BR99),"")</f>
        <v/>
      </c>
      <c r="CL99" t="str">
        <f t="shared" ref="CL99:CL130" si="99">IFERROR(AVERAGE(BT99,BU99),"")</f>
        <v/>
      </c>
    </row>
    <row r="100" spans="1:90" x14ac:dyDescent="0.3">
      <c r="A100">
        <f>CAPTURA!A100</f>
        <v>20574797013</v>
      </c>
      <c r="B100">
        <f>CAPTURA!C100</f>
        <v>0</v>
      </c>
      <c r="C100" t="str">
        <f t="shared" si="75"/>
        <v/>
      </c>
      <c r="D100" t="str">
        <f>IF(AE100="","",IFERROR(IF(INDEX(CODIFICACION!$E$2:$E$500,MATCH("P8|"&amp;AE100,CODIFICACION!$F$2:$F$500,0))="sin dato","",INDEX(CODIFICACION!$E$2:$E$500,MATCH("P8|"&amp;AE100,CODIFICACION!$F$2:$F$500,0))),"⚠"))</f>
        <v/>
      </c>
      <c r="E100" t="str">
        <f>IF(AG100="","",IFERROR(IF(INDEX(CODIFICACION!$E$2:$E$500,MATCH("P10|"&amp;AG100,CODIFICACION!$F$2:$F$500,0))="sin dato","",INDEX(CODIFICACION!$E$2:$E$500,MATCH("P10|"&amp;AG100,CODIFICACION!$F$2:$F$500,0))),"⚠"))</f>
        <v/>
      </c>
      <c r="F100" t="str">
        <f>IF(AJ100="","",IFERROR(IF(INDEX(CODIFICACION!$E$2:$E$500,MATCH("P13|"&amp;AJ100,CODIFICACION!$F$2:$F$500,0))="sin dato","",INDEX(CODIFICACION!$E$2:$E$500,MATCH("P13|"&amp;AJ100,CODIFICACION!$F$2:$F$500,0))),"⚠"))</f>
        <v/>
      </c>
      <c r="G100" t="str">
        <f>IF(AK100="","",IFERROR(IF(INDEX(CODIFICACION!$E$2:$E$500,MATCH("P14|"&amp;AK100,CODIFICACION!$F$2:$F$500,0))="sin dato","",INDEX(CODIFICACION!$E$2:$E$500,MATCH("P14|"&amp;AK100,CODIFICACION!$F$2:$F$500,0))),"⚠"))</f>
        <v/>
      </c>
      <c r="H100" t="str">
        <f>IF(AL100="","",IFERROR(IF(INDEX(CODIFICACION!$E$2:$E$500,MATCH("D1.1|"&amp;AL100,CODIFICACION!$F$2:$F$500,0))="sin dato","",INDEX(CODIFICACION!$E$2:$E$500,MATCH("D1.1|"&amp;AL100,CODIFICACION!$F$2:$F$500,0))),"⚠"))</f>
        <v/>
      </c>
      <c r="I100" t="str">
        <f>IF(AN100="","",IFERROR(IF(INDEX(CODIFICACION!$E$2:$E$500,MATCH("D1.3|"&amp;AN100,CODIFICACION!$F$2:$F$500,0))="sin dato","",INDEX(CODIFICACION!$E$2:$E$500,MATCH("D1.3|"&amp;AN100,CODIFICACION!$F$2:$F$500,0))),"⚠"))</f>
        <v/>
      </c>
      <c r="J100" t="str">
        <f>IF(AO100="","",IFERROR(IF(INDEX(CODIFICACION!$E$2:$E$500,MATCH("D1.4|"&amp;AO100,CODIFICACION!$F$2:$F$500,0))="sin dato","",INDEX(CODIFICACION!$E$2:$E$500,MATCH("D1.4|"&amp;AO100,CODIFICACION!$F$2:$F$500,0))),"⚠"))</f>
        <v/>
      </c>
      <c r="K100" t="str">
        <f>IF(AP100="","",IFERROR(IF(INDEX(CODIFICACION!$E$2:$E$500,MATCH("D1.3a|"&amp;AP100,CODIFICACION!$F$2:$F$500,0))="sin dato","",INDEX(CODIFICACION!$E$2:$E$500,MATCH("D1.3a|"&amp;AP100,CODIFICACION!$F$2:$F$500,0))),"⚠"))</f>
        <v/>
      </c>
      <c r="L100" t="str">
        <f t="shared" si="76"/>
        <v/>
      </c>
      <c r="M100" t="str">
        <f t="shared" si="77"/>
        <v/>
      </c>
      <c r="N100" t="str">
        <f t="shared" si="78"/>
        <v/>
      </c>
      <c r="O100" t="str">
        <f>IF(AT100="","",IFERROR(IF(INDEX(CODIFICACION!$E$2:$E$500,MATCH("D2.8|"&amp;AT100,CODIFICACION!$F$2:$F$500,0))="sin dato","",INDEX(CODIFICACION!$E$2:$E$500,MATCH("D2.8|"&amp;AT100,CODIFICACION!$F$2:$F$500,0))),"⚠"))</f>
        <v/>
      </c>
      <c r="P100" t="str">
        <f>IF(AU100="","",IFERROR(IF(INDEX(CODIFICACION!$E$2:$E$500,MATCH("D2.9|"&amp;AU100,CODIFICACION!$F$2:$F$500,0))="sin dato","",INDEX(CODIFICACION!$E$2:$E$500,MATCH("D2.9|"&amp;AU100,CODIFICACION!$F$2:$F$500,0))),"⚠"))</f>
        <v/>
      </c>
      <c r="Q100" t="str">
        <f>IF(AV100="","",IFERROR(IF(INDEX(CODIFICACION!$E$2:$E$500,MATCH("D2.10|"&amp;AV100,CODIFICACION!$F$2:$F$500,0))="sin dato","",INDEX(CODIFICACION!$E$2:$E$500,MATCH("D2.10|"&amp;AV100,CODIFICACION!$F$2:$F$500,0))),"⚠"))</f>
        <v/>
      </c>
      <c r="R100" t="str">
        <f>IF(AW100="","",IFERROR(IF(INDEX(CODIFICACION!$E$2:$E$500,MATCH("D2.5a|"&amp;AW100,CODIFICACION!$F$2:$F$500,0))="sin dato","",INDEX(CODIFICACION!$E$2:$E$500,MATCH("D2.5a|"&amp;AW100,CODIFICACION!$F$2:$F$500,0))),"⚠"))</f>
        <v/>
      </c>
      <c r="S100" t="str">
        <f ca="1">IF(AX100="","",IFERROR(IF(INDEX(CODIFICACION!$E$2:$E$500,MATCH("D2.5b|"&amp;AX100,CODIFICACION!$F$2:$F$500,0))="sin dato","",INDEX(CODIFICACION!$E$2:$E$500,MATCH("D2.5b|"&amp;AX100,CODIFICACION!$F$2:$F$500,0))),"⚠"))</f>
        <v/>
      </c>
      <c r="T100" t="str">
        <f t="shared" ca="1" si="79"/>
        <v/>
      </c>
      <c r="U100" t="str">
        <f>IF(AZ100="","",IFERROR(IF(INDEX(CODIFICACION!$E$2:$E$500,MATCH("D3.12|"&amp;AZ100,CODIFICACION!$F$2:$F$500,0))="sin dato","",INDEX(CODIFICACION!$E$2:$E$500,MATCH("D3.12|"&amp;AZ100,CODIFICACION!$F$2:$F$500,0))),"⚠"))</f>
        <v/>
      </c>
      <c r="V100" t="str">
        <f t="shared" si="80"/>
        <v/>
      </c>
      <c r="W100" t="str">
        <f ca="1">IF(BB100="","",IFERROR(IF(INDEX(CODIFICACION!$E$2:$E$500,MATCH("D3.14|"&amp;BB100,CODIFICACION!$F$2:$F$500,0))="sin dato","",INDEX(CODIFICACION!$E$2:$E$500,MATCH("D3.14|"&amp;BB100,CODIFICACION!$F$2:$F$500,0))),"⚠"))</f>
        <v/>
      </c>
      <c r="X100" t="str">
        <f ca="1">IF(BC100="","",IFERROR(IF(INDEX(CODIFICACION!$E$2:$E$500,MATCH("D3.14a|"&amp;BC100,CODIFICACION!$F$2:$F$500,0))="sin dato","",INDEX(CODIFICACION!$E$2:$E$500,MATCH("D3.14a|"&amp;BC100,CODIFICACION!$F$2:$F$500,0))),"⚠"))</f>
        <v/>
      </c>
      <c r="Y100" t="str">
        <f>IF(BD100="","",IFERROR(IF(INDEX(CODIFICACION!$E$2:$E$500,MATCH("D3.14b|"&amp;BD100,CODIFICACION!$F$2:$F$500,0))="sin dato","",INDEX(CODIFICACION!$E$2:$E$500,MATCH("D3.14b|"&amp;BD100,CODIFICACION!$F$2:$F$500,0))),"⚠"))</f>
        <v/>
      </c>
      <c r="Z100" t="str">
        <f>IF(BE100="","",IFERROR(IF(INDEX(CODIFICACION!$E$2:$E$500,MATCH("D3.14c|"&amp;BE100,CODIFICACION!$F$2:$F$500,0))="sin dato","",INDEX(CODIFICACION!$E$2:$E$500,MATCH("D3.14c|"&amp;BE100,CODIFICACION!$F$2:$F$500,0))),"⚠"))</f>
        <v/>
      </c>
      <c r="AA100" t="str">
        <f>IF(BF100="","",IFERROR(IF(INDEX(CODIFICACION!$E$2:$E$500,MATCH("D3.14d|"&amp;BF100,CODIFICACION!$F$2:$F$500,0))="sin dato","",INDEX(CODIFICACION!$E$2:$E$500,MATCH("D3.14d|"&amp;BF100,CODIFICACION!$F$2:$F$500,0))),"⚠"))</f>
        <v/>
      </c>
      <c r="AB100" t="str">
        <f>IF(BG100="","",IFERROR(IF(INDEX(CODIFICACION!$E$2:$E$500,MATCH("D3.14e|"&amp;BG100,CODIFICACION!$F$2:$F$500,0))="sin dato","",INDEX(CODIFICACION!$E$2:$E$500,MATCH("D3.14e|"&amp;BG100,CODIFICACION!$F$2:$F$500,0))),"⚠"))</f>
        <v/>
      </c>
      <c r="AC100" t="str">
        <f>IF(BH100="","",IFERROR(IF(INDEX(CODIFICACION!$E$2:$E$500,MATCH("D3.14f|"&amp;BH100,CODIFICACION!$F$2:$F$500,0))="sin dato","",INDEX(CODIFICACION!$E$2:$E$500,MATCH("D3.14f|"&amp;BH100,CODIFICACION!$F$2:$F$500,0))),"⚠"))</f>
        <v/>
      </c>
      <c r="AD100" t="str">
        <f>IF(BI100="","",IFERROR(IF(INDEX(CODIFICACION!$E$2:$E$500,MATCH("D3.14g|"&amp;BI100,CODIFICACION!$F$2:$F$500,0))="sin dato","",INDEX(CODIFICACION!$E$2:$E$500,MATCH("D3.14g|"&amp;BI100,CODIFICACION!$F$2:$F$500,0))),"⚠"))</f>
        <v/>
      </c>
      <c r="AE100" t="str">
        <f>IF(BJ100="","",IFERROR(IF(INDEX(CODIFICACION!$E$2:$E$500,MATCH("D3.14h|"&amp;BJ100,CODIFICACION!$F$2:$F$500,0))="sin dato","",INDEX(CODIFICACION!$E$2:$E$500,MATCH("D3.14h|"&amp;BJ100,CODIFICACION!$F$2:$F$500,0))),"⚠"))</f>
        <v/>
      </c>
      <c r="AF100" t="str">
        <f>IF(BK100="","",IFERROR(IF(INDEX(CODIFICACION!$E$2:$E$500,MATCH("D3.14i|"&amp;BK100,CODIFICACION!$F$2:$F$500,0))="sin dato","",INDEX(CODIFICACION!$E$2:$E$500,MATCH("D3.14i|"&amp;BK100,CODIFICACION!$F$2:$F$500,0))),"⚠"))</f>
        <v/>
      </c>
      <c r="AG100" t="str">
        <f>IF(BL100="","",IFERROR(IF(INDEX(CODIFICACION!$E$2:$E$500,MATCH("D4.15|"&amp;BL100,CODIFICACION!$F$2:$F$500,0))="sin dato","",INDEX(CODIFICACION!$E$2:$E$500,MATCH("D4.15|"&amp;BL100,CODIFICACION!$F$2:$F$500,0))),"⚠"))</f>
        <v/>
      </c>
      <c r="AH100" t="str">
        <f t="shared" si="81"/>
        <v/>
      </c>
      <c r="AI100" t="str">
        <f>IF(BN100="","",IFERROR(IF(INDEX(CODIFICACION!$E$2:$E$500,MATCH("D4.17|"&amp;BN100,CODIFICACION!$F$2:$F$500,0))="sin dato","",INDEX(CODIFICACION!$E$2:$E$500,MATCH("D4.17|"&amp;BN100,CODIFICACION!$F$2:$F$500,0))),"⚠"))</f>
        <v/>
      </c>
      <c r="AJ100" t="str">
        <f>IF(BO100="","",IFERROR(IF(INDEX(CODIFICACION!$E$2:$E$500,MATCH("D4.15a|"&amp;BO100,CODIFICACION!$F$2:$F$500,0))="sin dato","",INDEX(CODIFICACION!$E$2:$E$500,MATCH("D4.15a|"&amp;BO100,CODIFICACION!$F$2:$F$500,0))),"⚠"))</f>
        <v/>
      </c>
      <c r="AK100" t="str">
        <f t="shared" si="82"/>
        <v/>
      </c>
      <c r="AL100" t="str">
        <f t="shared" si="83"/>
        <v/>
      </c>
      <c r="AM100" t="str">
        <f>IF(BR100="","",IFERROR(IF(INDEX(CODIFICACION!$E$2:$E$500,MATCH("D5.18b|"&amp;BR100,CODIFICACION!$F$2:$F$500,0))="sin dato","",INDEX(CODIFICACION!$E$2:$E$500,MATCH("D5.18b|"&amp;BR100,CODIFICACION!$F$2:$F$500,0))),"⚠"))</f>
        <v/>
      </c>
      <c r="AN100" t="str">
        <f>IF(BS100="","",IFERROR(IF(INDEX(CODIFICACION!$E$2:$E$500,MATCH("D5.19|"&amp;BS100,CODIFICACION!$F$2:$F$500,0))="sin dato","",INDEX(CODIFICACION!$E$2:$E$500,MATCH("D5.19|"&amp;BS100,CODIFICACION!$F$2:$F$500,0))),"⚠"))</f>
        <v/>
      </c>
      <c r="AO100" t="str">
        <f t="shared" si="84"/>
        <v/>
      </c>
      <c r="AP100" t="str">
        <f>IF(BU100="","",IFERROR(IF(INDEX(CODIFICACION!$E$2:$E$500,MATCH("D5.20|"&amp;BU100,CODIFICACION!$F$2:$F$500,0))="sin dato","",INDEX(CODIFICACION!$E$2:$E$500,MATCH("D5.20|"&amp;BU100,CODIFICACION!$F$2:$F$500,0))),"⚠"))</f>
        <v/>
      </c>
      <c r="AQ100" t="str">
        <f>IF(BV100="","",IFERROR(IF(INDEX(CODIFICACION!$E$2:$E$500,MATCH("D5.21|"&amp;BV100,CODIFICACION!$F$2:$F$500,0))="sin dato","",INDEX(CODIFICACION!$E$2:$E$500,MATCH("D5.21|"&amp;BV100,CODIFICACION!$F$2:$F$500,0))),"⚠"))</f>
        <v/>
      </c>
      <c r="AR100" t="str">
        <f>IF(BW100="","",IFERROR(IF(INDEX(CODIFICACION!$E$2:$E$500,MATCH("D5.21a|"&amp;BW100,CODIFICACION!$F$2:$F$500,0))="sin dato","",INDEX(CODIFICACION!$E$2:$E$500,MATCH("D5.21a|"&amp;BW100,CODIFICACION!$F$2:$F$500,0))),"⚠"))</f>
        <v/>
      </c>
      <c r="AS100" t="str">
        <f>IF(BX100="","",IFERROR(IF(INDEX(CODIFICACION!$E$2:$E$500,MATCH("D5.21b|"&amp;BX100,CODIFICACION!$F$2:$F$500,0))="sin dato","",INDEX(CODIFICACION!$E$2:$E$500,MATCH("D5.21b|"&amp;BX100,CODIFICACION!$F$2:$F$500,0))),"⚠"))</f>
        <v/>
      </c>
      <c r="AT100" t="str">
        <f>IF(BY100="","",IFERROR(IF(INDEX(CODIFICACION!$E$2:$E$500,MATCH("D6.22|"&amp;BY100,CODIFICACION!$F$2:$F$500,0))="sin dato","",INDEX(CODIFICACION!$E$2:$E$500,MATCH("D6.22|"&amp;BY100,CODIFICACION!$F$2:$F$500,0))),"⚠"))</f>
        <v/>
      </c>
      <c r="AU100" t="str">
        <f>IF(BZ100="","",IFERROR(IF(INDEX(CODIFICACION!$E$2:$E$500,MATCH("D6.22a|"&amp;BZ100,CODIFICACION!$F$2:$F$500,0))="sin dato","",INDEX(CODIFICACION!$E$2:$E$500,MATCH("D6.22a|"&amp;BZ100,CODIFICACION!$F$2:$F$500,0))),"⚠"))</f>
        <v/>
      </c>
      <c r="AV100" t="str">
        <f>IF(CA100="","",IFERROR(IF(INDEX(CODIFICACION!$E$2:$E$500,MATCH("D6.22b|"&amp;CA100,CODIFICACION!$F$2:$F$500,0))="sin dato","",INDEX(CODIFICACION!$E$2:$E$500,MATCH("D6.22b|"&amp;CA100,CODIFICACION!$F$2:$F$500,0))),"⚠"))</f>
        <v/>
      </c>
      <c r="AW100" t="str">
        <f>IF(CB100="","",IFERROR(IF(INDEX(CODIFICACION!$E$2:$E$500,MATCH("D6.23|"&amp;CB100,CODIFICACION!$F$2:$F$500,0))="sin dato","",INDEX(CODIFICACION!$E$2:$E$500,MATCH("D6.23|"&amp;CB100,CODIFICACION!$F$2:$F$500,0))),"⚠"))</f>
        <v/>
      </c>
      <c r="AX100" t="str">
        <f ca="1">IF(CC100="","",IFERROR(IF(INDEX(CODIFICACION!$E$2:$E$500,MATCH("D6.24|"&amp;CC100,CODIFICACION!$F$2:$F$500,0))="sin dato","",INDEX(CODIFICACION!$E$2:$E$500,MATCH("D6.24|"&amp;CC100,CODIFICACION!$F$2:$F$500,0))),"⚠"))</f>
        <v/>
      </c>
      <c r="AY100" t="str">
        <f ca="1">IF(CD100="","",IFERROR(IF(INDEX(CODIFICACION!$E$2:$E$500,MATCH("D6.25|"&amp;CD100,CODIFICACION!$F$2:$F$500,0))="sin dato","",INDEX(CODIFICACION!$E$2:$E$500,MATCH("D6.25|"&amp;CD100,CODIFICACION!$F$2:$F$500,0))),"⚠"))</f>
        <v/>
      </c>
      <c r="AZ100" t="str">
        <f>IF(CE100="","",IFERROR(IF(INDEX(CODIFICACION!$E$2:$E$500,MATCH("D6.25a|"&amp;CE100,CODIFICACION!$F$2:$F$500,0))="sin dato","",INDEX(CODIFICACION!$E$2:$E$500,MATCH("D6.25a|"&amp;CE100,CODIFICACION!$F$2:$F$500,0))),"⚠"))</f>
        <v/>
      </c>
      <c r="BA100" t="str">
        <f>IF(CF100="","",IFERROR(IF(INDEX(CODIFICACION!$E$2:$E$500,MATCH("D6.25b|"&amp;CF100,CODIFICACION!$F$2:$F$500,0))="sin dato","",INDEX(CODIFICACION!$E$2:$E$500,MATCH("D6.25b|"&amp;CF100,CODIFICACION!$F$2:$F$500,0))),"⚠"))</f>
        <v/>
      </c>
      <c r="BB100" t="str">
        <f ca="1">IF(CG100="","",IFERROR(IF(INDEX(CODIFICACION!$E$2:$E$500,MATCH("D6.22c|"&amp;CG100,CODIFICACION!$F$2:$F$500,0))="sin dato","",INDEX(CODIFICACION!$E$2:$E$500,MATCH("D6.22c|"&amp;CG100,CODIFICACION!$F$2:$F$500,0))),"⚠"))</f>
        <v/>
      </c>
      <c r="BC100" t="str">
        <f ca="1">IF(CH100="","",IFERROR(IF(INDEX(CODIFICACION!$E$2:$E$500,MATCH("D7.26|"&amp;CH100,CODIFICACION!$F$2:$F$500,0))="sin dato","",INDEX(CODIFICACION!$E$2:$E$500,MATCH("D7.26|"&amp;CH100,CODIFICACION!$F$2:$F$500,0))),"⚠"))</f>
        <v/>
      </c>
      <c r="BD100" t="str">
        <f>IF(CI100="","",IFERROR(IF(INDEX(CODIFICACION!$E$2:$E$500,MATCH("D7.27|"&amp;CI100,CODIFICACION!$F$2:$F$500,0))="sin dato","",INDEX(CODIFICACION!$E$2:$E$500,MATCH("D7.27|"&amp;CI100,CODIFICACION!$F$2:$F$500,0))),"⚠"))</f>
        <v/>
      </c>
      <c r="BE100" t="str">
        <f>IF(CJ100="","",IFERROR(IF(INDEX(CODIFICACION!$E$2:$E$500,MATCH("D7.28|"&amp;CJ100,CODIFICACION!$F$2:$F$500,0))="sin dato","",INDEX(CODIFICACION!$E$2:$E$500,MATCH("D7.28|"&amp;CJ100,CODIFICACION!$F$2:$F$500,0))),"⚠"))</f>
        <v/>
      </c>
      <c r="BF100" t="str">
        <f>IF(CK100="","",IFERROR(IF(INDEX(CODIFICACION!$E$2:$E$500,MATCH("D7.28b|"&amp;CK100,CODIFICACION!$F$2:$F$500,0))="sin dato","",INDEX(CODIFICACION!$E$2:$E$500,MATCH("D7.28b|"&amp;CK100,CODIFICACION!$F$2:$F$500,0))),"⚠"))</f>
        <v/>
      </c>
      <c r="BG100" t="str">
        <f t="shared" si="85"/>
        <v/>
      </c>
      <c r="BH100" t="str">
        <f>IF(CM100="","",IFERROR(IF(INDEX(CODIFICACION!$E$2:$E$500,MATCH("D7.26a|"&amp;CM100,CODIFICACION!$F$2:$F$500,0))="sin dato","",INDEX(CODIFICACION!$E$2:$E$500,MATCH("D7.26a|"&amp;CM100,CODIFICACION!$F$2:$F$500,0))),"⚠"))</f>
        <v/>
      </c>
      <c r="BI100" t="str">
        <f>IF(CN100="","",IFERROR(IF(INDEX(CODIFICACION!$E$2:$E$500,MATCH("D7.26b|"&amp;CN100,CODIFICACION!$F$2:$F$500,0))="sin dato","",INDEX(CODIFICACION!$E$2:$E$500,MATCH("D7.26b|"&amp;CN100,CODIFICACION!$F$2:$F$500,0))),"⚠"))</f>
        <v/>
      </c>
      <c r="BJ100" t="str">
        <f t="shared" si="86"/>
        <v/>
      </c>
      <c r="BK100" t="str">
        <f t="shared" si="87"/>
        <v/>
      </c>
      <c r="BL100" t="str">
        <f>IF(CQ100="","",IFERROR(IF(INDEX(CODIFICACION!$E$2:$E$500,MATCH("D8.31|"&amp;CQ100,CODIFICACION!$F$2:$F$500,0))="sin dato","",INDEX(CODIFICACION!$E$2:$E$500,MATCH("D8.31|"&amp;CQ100,CODIFICACION!$F$2:$F$500,0))),"⚠"))</f>
        <v/>
      </c>
      <c r="BM100" t="str">
        <f>IF(CR100="","",IFERROR(IF(INDEX(CODIFICACION!$E$2:$E$500,MATCH("D8.32|"&amp;CR100,CODIFICACION!$F$2:$F$500,0))="sin dato","",INDEX(CODIFICACION!$E$2:$E$500,MATCH("D8.32|"&amp;CR100,CODIFICACION!$F$2:$F$500,0))),"⚠"))</f>
        <v/>
      </c>
      <c r="BN100" t="str">
        <f>IF(CS100="","",IFERROR(IF(INDEX(CODIFICACION!$E$2:$E$500,MATCH("D9.33|"&amp;CS100,CODIFICACION!$F$2:$F$500,0))="sin dato","",INDEX(CODIFICACION!$E$2:$E$500,MATCH("D9.33|"&amp;CS100,CODIFICACION!$F$2:$F$500,0))),"⚠"))</f>
        <v/>
      </c>
      <c r="BO100" t="str">
        <f>IF(CT100="","",IFERROR(IF(INDEX(CODIFICACION!$E$2:$E$500,MATCH("D9.34|"&amp;CT100,CODIFICACION!$F$2:$F$500,0))="sin dato","",INDEX(CODIFICACION!$E$2:$E$500,MATCH("D9.34|"&amp;CT100,CODIFICACION!$F$2:$F$500,0))),"⚠"))</f>
        <v/>
      </c>
      <c r="BP100" t="str">
        <f>IF(CU100="","",IFERROR(IF(INDEX(CODIFICACION!$E$2:$E$500,MATCH("D9.35|"&amp;CU100,CODIFICACION!$F$2:$F$500,0))="sin dato","",INDEX(CODIFICACION!$E$2:$E$500,MATCH("D9.35|"&amp;CU100,CODIFICACION!$F$2:$F$500,0))),"⚠"))</f>
        <v/>
      </c>
      <c r="BQ100" t="str">
        <f>IF(CV100="","",IFERROR(IF(INDEX(CODIFICACION!$E$2:$E$500,MATCH("D10.36|"&amp;CV100,CODIFICACION!$F$2:$F$500,0))="sin dato","",INDEX(CODIFICACION!$E$2:$E$500,MATCH("D10.36|"&amp;CV100,CODIFICACION!$F$2:$F$500,0))),"⚠"))</f>
        <v/>
      </c>
      <c r="BR100" t="str">
        <f>IF(CW100="","",IFERROR(IF(INDEX(CODIFICACION!$E$2:$E$500,MATCH("D10.37|"&amp;CW100,CODIFICACION!$F$2:$F$500,0))="sin dato","",INDEX(CODIFICACION!$E$2:$E$500,MATCH("D10.37|"&amp;CW100,CODIFICACION!$F$2:$F$500,0))),"⚠"))</f>
        <v/>
      </c>
      <c r="BS100" t="str">
        <f>IF(CX100="","",IFERROR(IF(INDEX(CODIFICACION!$E$2:$E$500,MATCH("D10.36a|"&amp;CX100,CODIFICACION!$F$2:$F$500,0))="sin dato","",INDEX(CODIFICACION!$E$2:$E$500,MATCH("D10.36a|"&amp;CX100,CODIFICACION!$F$2:$F$500,0))),"⚠"))</f>
        <v/>
      </c>
      <c r="BT100" t="str">
        <f t="shared" si="88"/>
        <v/>
      </c>
      <c r="BU100" t="str">
        <f>IF(DA100="","",IFERROR(IF(INDEX(CODIFICACION!$E$2:$E$500,MATCH("D11.39a|"&amp;DA100,CODIFICACION!$F$2:$F$500,0))="sin dato","",INDEX(CODIFICACION!$E$2:$E$500,MATCH("D11.39a|"&amp;DA100,CODIFICACION!$F$2:$F$500,0))),"⚠"))</f>
        <v/>
      </c>
      <c r="BV100" t="str">
        <f>IF(DB100="","",IFERROR(IF(INDEX(CODIFICACION!$E$2:$E$500,MATCH("D12.42|"&amp;DB100,CODIFICACION!$F$2:$F$500,0))="sin dato","",INDEX(CODIFICACION!$E$2:$E$500,MATCH("D12.42|"&amp;DB100,CODIFICACION!$F$2:$F$500,0))),"⚠"))</f>
        <v/>
      </c>
      <c r="BW100" t="str">
        <f>IF(DC100="","",IFERROR(IF(INDEX(CODIFICACION!$E$2:$E$500,MATCH("D13.45|"&amp;DC100,CODIFICACION!$F$2:$F$500,0))="sin dato","",INDEX(CODIFICACION!$E$2:$E$500,MATCH("D13.45|"&amp;DC100,CODIFICACION!$F$2:$F$500,0))),"⚠"))</f>
        <v/>
      </c>
      <c r="BX100" t="str">
        <f>IF(DD100="","",IFERROR(IF(INDEX(CODIFICACION!$E$2:$E$500,MATCH("D14.51|"&amp;DD100,CODIFICACION!$F$2:$F$500,0))="sin dato","",INDEX(CODIFICACION!$E$2:$E$500,MATCH("D14.51|"&amp;DD100,CODIFICACION!$F$2:$F$500,0))),"⚠"))</f>
        <v/>
      </c>
      <c r="BY100" t="str">
        <f>IF(DE100="","",IFERROR(IF(INDEX(CODIFICACION!$E$2:$E$500,MATCH("D15.58|"&amp;DE100,CODIFICACION!$F$2:$F$500,0))="sin dato","",INDEX(CODIFICACION!$E$2:$E$500,MATCH("D15.58|"&amp;DE100,CODIFICACION!$F$2:$F$500,0))),"⚠"))</f>
        <v/>
      </c>
      <c r="BZ100" t="str">
        <f>IF(DF100="","",IFERROR(IF(INDEX(CODIFICACION!$E$2:$E$500,MATCH("PP1|"&amp;DF100,CODIFICACION!$F$2:$F$500,0))="sin dato","",INDEX(CODIFICACION!$E$2:$E$500,MATCH("PP1|"&amp;DF100,CODIFICACION!$F$2:$F$500,0))),"⚠"))</f>
        <v/>
      </c>
      <c r="CA100" t="str">
        <f>IF(DG100="","",IFERROR(IF(INDEX(CODIFICACION!$E$2:$E$500,MATCH("PP2|"&amp;DG100,CODIFICACION!$F$2:$F$500,0))="sin dato","",INDEX(CODIFICACION!$E$2:$E$500,MATCH("PP2|"&amp;DG100,CODIFICACION!$F$2:$F$500,0))),"⚠"))</f>
        <v/>
      </c>
      <c r="CB100" t="str">
        <f t="shared" si="89"/>
        <v/>
      </c>
      <c r="CC100" t="str">
        <f t="shared" ca="1" si="90"/>
        <v/>
      </c>
      <c r="CD100" t="str">
        <f t="shared" ca="1" si="91"/>
        <v/>
      </c>
      <c r="CE100" t="str">
        <f t="shared" si="92"/>
        <v/>
      </c>
      <c r="CF100" t="str">
        <f t="shared" si="93"/>
        <v/>
      </c>
      <c r="CG100" t="str">
        <f t="shared" ca="1" si="94"/>
        <v/>
      </c>
      <c r="CH100" t="str">
        <f t="shared" ca="1" si="95"/>
        <v/>
      </c>
      <c r="CI100" t="str">
        <f t="shared" si="96"/>
        <v/>
      </c>
      <c r="CJ100" t="str">
        <f t="shared" si="97"/>
        <v/>
      </c>
      <c r="CK100" t="str">
        <f t="shared" si="98"/>
        <v/>
      </c>
      <c r="CL100" t="str">
        <f t="shared" si="99"/>
        <v/>
      </c>
    </row>
    <row r="101" spans="1:90" x14ac:dyDescent="0.3">
      <c r="A101">
        <f>CAPTURA!A101</f>
        <v>20600001109</v>
      </c>
      <c r="B101">
        <f>CAPTURA!C101</f>
        <v>0</v>
      </c>
      <c r="C101" t="str">
        <f t="shared" si="75"/>
        <v/>
      </c>
      <c r="D101" t="str">
        <f>IF(AE101="","",IFERROR(IF(INDEX(CODIFICACION!$E$2:$E$500,MATCH("P8|"&amp;AE101,CODIFICACION!$F$2:$F$500,0))="sin dato","",INDEX(CODIFICACION!$E$2:$E$500,MATCH("P8|"&amp;AE101,CODIFICACION!$F$2:$F$500,0))),"⚠"))</f>
        <v/>
      </c>
      <c r="E101" t="str">
        <f>IF(AG101="","",IFERROR(IF(INDEX(CODIFICACION!$E$2:$E$500,MATCH("P10|"&amp;AG101,CODIFICACION!$F$2:$F$500,0))="sin dato","",INDEX(CODIFICACION!$E$2:$E$500,MATCH("P10|"&amp;AG101,CODIFICACION!$F$2:$F$500,0))),"⚠"))</f>
        <v/>
      </c>
      <c r="F101" t="str">
        <f>IF(AJ101="","",IFERROR(IF(INDEX(CODIFICACION!$E$2:$E$500,MATCH("P13|"&amp;AJ101,CODIFICACION!$F$2:$F$500,0))="sin dato","",INDEX(CODIFICACION!$E$2:$E$500,MATCH("P13|"&amp;AJ101,CODIFICACION!$F$2:$F$500,0))),"⚠"))</f>
        <v/>
      </c>
      <c r="G101" t="str">
        <f>IF(AK101="","",IFERROR(IF(INDEX(CODIFICACION!$E$2:$E$500,MATCH("P14|"&amp;AK101,CODIFICACION!$F$2:$F$500,0))="sin dato","",INDEX(CODIFICACION!$E$2:$E$500,MATCH("P14|"&amp;AK101,CODIFICACION!$F$2:$F$500,0))),"⚠"))</f>
        <v/>
      </c>
      <c r="H101" t="str">
        <f>IF(AL101="","",IFERROR(IF(INDEX(CODIFICACION!$E$2:$E$500,MATCH("D1.1|"&amp;AL101,CODIFICACION!$F$2:$F$500,0))="sin dato","",INDEX(CODIFICACION!$E$2:$E$500,MATCH("D1.1|"&amp;AL101,CODIFICACION!$F$2:$F$500,0))),"⚠"))</f>
        <v/>
      </c>
      <c r="I101" t="str">
        <f>IF(AN101="","",IFERROR(IF(INDEX(CODIFICACION!$E$2:$E$500,MATCH("D1.3|"&amp;AN101,CODIFICACION!$F$2:$F$500,0))="sin dato","",INDEX(CODIFICACION!$E$2:$E$500,MATCH("D1.3|"&amp;AN101,CODIFICACION!$F$2:$F$500,0))),"⚠"))</f>
        <v/>
      </c>
      <c r="J101" t="str">
        <f>IF(AO101="","",IFERROR(IF(INDEX(CODIFICACION!$E$2:$E$500,MATCH("D1.4|"&amp;AO101,CODIFICACION!$F$2:$F$500,0))="sin dato","",INDEX(CODIFICACION!$E$2:$E$500,MATCH("D1.4|"&amp;AO101,CODIFICACION!$F$2:$F$500,0))),"⚠"))</f>
        <v/>
      </c>
      <c r="K101" t="str">
        <f>IF(AP101="","",IFERROR(IF(INDEX(CODIFICACION!$E$2:$E$500,MATCH("D1.3a|"&amp;AP101,CODIFICACION!$F$2:$F$500,0))="sin dato","",INDEX(CODIFICACION!$E$2:$E$500,MATCH("D1.3a|"&amp;AP101,CODIFICACION!$F$2:$F$500,0))),"⚠"))</f>
        <v/>
      </c>
      <c r="L101" t="str">
        <f t="shared" si="76"/>
        <v/>
      </c>
      <c r="M101" t="str">
        <f t="shared" si="77"/>
        <v/>
      </c>
      <c r="N101" t="str">
        <f t="shared" si="78"/>
        <v/>
      </c>
      <c r="O101" t="str">
        <f>IF(AT101="","",IFERROR(IF(INDEX(CODIFICACION!$E$2:$E$500,MATCH("D2.8|"&amp;AT101,CODIFICACION!$F$2:$F$500,0))="sin dato","",INDEX(CODIFICACION!$E$2:$E$500,MATCH("D2.8|"&amp;AT101,CODIFICACION!$F$2:$F$500,0))),"⚠"))</f>
        <v/>
      </c>
      <c r="P101" t="str">
        <f>IF(AU101="","",IFERROR(IF(INDEX(CODIFICACION!$E$2:$E$500,MATCH("D2.9|"&amp;AU101,CODIFICACION!$F$2:$F$500,0))="sin dato","",INDEX(CODIFICACION!$E$2:$E$500,MATCH("D2.9|"&amp;AU101,CODIFICACION!$F$2:$F$500,0))),"⚠"))</f>
        <v/>
      </c>
      <c r="Q101" t="str">
        <f>IF(AV101="","",IFERROR(IF(INDEX(CODIFICACION!$E$2:$E$500,MATCH("D2.10|"&amp;AV101,CODIFICACION!$F$2:$F$500,0))="sin dato","",INDEX(CODIFICACION!$E$2:$E$500,MATCH("D2.10|"&amp;AV101,CODIFICACION!$F$2:$F$500,0))),"⚠"))</f>
        <v/>
      </c>
      <c r="R101" t="str">
        <f>IF(AW101="","",IFERROR(IF(INDEX(CODIFICACION!$E$2:$E$500,MATCH("D2.5a|"&amp;AW101,CODIFICACION!$F$2:$F$500,0))="sin dato","",INDEX(CODIFICACION!$E$2:$E$500,MATCH("D2.5a|"&amp;AW101,CODIFICACION!$F$2:$F$500,0))),"⚠"))</f>
        <v/>
      </c>
      <c r="S101" t="str">
        <f ca="1">IF(AX101="","",IFERROR(IF(INDEX(CODIFICACION!$E$2:$E$500,MATCH("D2.5b|"&amp;AX101,CODIFICACION!$F$2:$F$500,0))="sin dato","",INDEX(CODIFICACION!$E$2:$E$500,MATCH("D2.5b|"&amp;AX101,CODIFICACION!$F$2:$F$500,0))),"⚠"))</f>
        <v/>
      </c>
      <c r="T101" t="str">
        <f t="shared" ca="1" si="79"/>
        <v/>
      </c>
      <c r="U101" t="str">
        <f>IF(AZ101="","",IFERROR(IF(INDEX(CODIFICACION!$E$2:$E$500,MATCH("D3.12|"&amp;AZ101,CODIFICACION!$F$2:$F$500,0))="sin dato","",INDEX(CODIFICACION!$E$2:$E$500,MATCH("D3.12|"&amp;AZ101,CODIFICACION!$F$2:$F$500,0))),"⚠"))</f>
        <v/>
      </c>
      <c r="V101" t="str">
        <f t="shared" si="80"/>
        <v/>
      </c>
      <c r="W101" t="str">
        <f ca="1">IF(BB101="","",IFERROR(IF(INDEX(CODIFICACION!$E$2:$E$500,MATCH("D3.14|"&amp;BB101,CODIFICACION!$F$2:$F$500,0))="sin dato","",INDEX(CODIFICACION!$E$2:$E$500,MATCH("D3.14|"&amp;BB101,CODIFICACION!$F$2:$F$500,0))),"⚠"))</f>
        <v/>
      </c>
      <c r="X101" t="str">
        <f ca="1">IF(BC101="","",IFERROR(IF(INDEX(CODIFICACION!$E$2:$E$500,MATCH("D3.14a|"&amp;BC101,CODIFICACION!$F$2:$F$500,0))="sin dato","",INDEX(CODIFICACION!$E$2:$E$500,MATCH("D3.14a|"&amp;BC101,CODIFICACION!$F$2:$F$500,0))),"⚠"))</f>
        <v/>
      </c>
      <c r="Y101" t="str">
        <f>IF(BD101="","",IFERROR(IF(INDEX(CODIFICACION!$E$2:$E$500,MATCH("D3.14b|"&amp;BD101,CODIFICACION!$F$2:$F$500,0))="sin dato","",INDEX(CODIFICACION!$E$2:$E$500,MATCH("D3.14b|"&amp;BD101,CODIFICACION!$F$2:$F$500,0))),"⚠"))</f>
        <v/>
      </c>
      <c r="Z101" t="str">
        <f>IF(BE101="","",IFERROR(IF(INDEX(CODIFICACION!$E$2:$E$500,MATCH("D3.14c|"&amp;BE101,CODIFICACION!$F$2:$F$500,0))="sin dato","",INDEX(CODIFICACION!$E$2:$E$500,MATCH("D3.14c|"&amp;BE101,CODIFICACION!$F$2:$F$500,0))),"⚠"))</f>
        <v/>
      </c>
      <c r="AA101" t="str">
        <f>IF(BF101="","",IFERROR(IF(INDEX(CODIFICACION!$E$2:$E$500,MATCH("D3.14d|"&amp;BF101,CODIFICACION!$F$2:$F$500,0))="sin dato","",INDEX(CODIFICACION!$E$2:$E$500,MATCH("D3.14d|"&amp;BF101,CODIFICACION!$F$2:$F$500,0))),"⚠"))</f>
        <v/>
      </c>
      <c r="AB101" t="str">
        <f>IF(BG101="","",IFERROR(IF(INDEX(CODIFICACION!$E$2:$E$500,MATCH("D3.14e|"&amp;BG101,CODIFICACION!$F$2:$F$500,0))="sin dato","",INDEX(CODIFICACION!$E$2:$E$500,MATCH("D3.14e|"&amp;BG101,CODIFICACION!$F$2:$F$500,0))),"⚠"))</f>
        <v/>
      </c>
      <c r="AC101" t="str">
        <f>IF(BH101="","",IFERROR(IF(INDEX(CODIFICACION!$E$2:$E$500,MATCH("D3.14f|"&amp;BH101,CODIFICACION!$F$2:$F$500,0))="sin dato","",INDEX(CODIFICACION!$E$2:$E$500,MATCH("D3.14f|"&amp;BH101,CODIFICACION!$F$2:$F$500,0))),"⚠"))</f>
        <v/>
      </c>
      <c r="AD101" t="str">
        <f>IF(BI101="","",IFERROR(IF(INDEX(CODIFICACION!$E$2:$E$500,MATCH("D3.14g|"&amp;BI101,CODIFICACION!$F$2:$F$500,0))="sin dato","",INDEX(CODIFICACION!$E$2:$E$500,MATCH("D3.14g|"&amp;BI101,CODIFICACION!$F$2:$F$500,0))),"⚠"))</f>
        <v/>
      </c>
      <c r="AE101" t="str">
        <f>IF(BJ101="","",IFERROR(IF(INDEX(CODIFICACION!$E$2:$E$500,MATCH("D3.14h|"&amp;BJ101,CODIFICACION!$F$2:$F$500,0))="sin dato","",INDEX(CODIFICACION!$E$2:$E$500,MATCH("D3.14h|"&amp;BJ101,CODIFICACION!$F$2:$F$500,0))),"⚠"))</f>
        <v/>
      </c>
      <c r="AF101" t="str">
        <f>IF(BK101="","",IFERROR(IF(INDEX(CODIFICACION!$E$2:$E$500,MATCH("D3.14i|"&amp;BK101,CODIFICACION!$F$2:$F$500,0))="sin dato","",INDEX(CODIFICACION!$E$2:$E$500,MATCH("D3.14i|"&amp;BK101,CODIFICACION!$F$2:$F$500,0))),"⚠"))</f>
        <v/>
      </c>
      <c r="AG101" t="str">
        <f>IF(BL101="","",IFERROR(IF(INDEX(CODIFICACION!$E$2:$E$500,MATCH("D4.15|"&amp;BL101,CODIFICACION!$F$2:$F$500,0))="sin dato","",INDEX(CODIFICACION!$E$2:$E$500,MATCH("D4.15|"&amp;BL101,CODIFICACION!$F$2:$F$500,0))),"⚠"))</f>
        <v/>
      </c>
      <c r="AH101" t="str">
        <f t="shared" si="81"/>
        <v/>
      </c>
      <c r="AI101" t="str">
        <f>IF(BN101="","",IFERROR(IF(INDEX(CODIFICACION!$E$2:$E$500,MATCH("D4.17|"&amp;BN101,CODIFICACION!$F$2:$F$500,0))="sin dato","",INDEX(CODIFICACION!$E$2:$E$500,MATCH("D4.17|"&amp;BN101,CODIFICACION!$F$2:$F$500,0))),"⚠"))</f>
        <v/>
      </c>
      <c r="AJ101" t="str">
        <f>IF(BO101="","",IFERROR(IF(INDEX(CODIFICACION!$E$2:$E$500,MATCH("D4.15a|"&amp;BO101,CODIFICACION!$F$2:$F$500,0))="sin dato","",INDEX(CODIFICACION!$E$2:$E$500,MATCH("D4.15a|"&amp;BO101,CODIFICACION!$F$2:$F$500,0))),"⚠"))</f>
        <v/>
      </c>
      <c r="AK101" t="str">
        <f t="shared" si="82"/>
        <v/>
      </c>
      <c r="AL101" t="str">
        <f t="shared" si="83"/>
        <v/>
      </c>
      <c r="AM101" t="str">
        <f>IF(BR101="","",IFERROR(IF(INDEX(CODIFICACION!$E$2:$E$500,MATCH("D5.18b|"&amp;BR101,CODIFICACION!$F$2:$F$500,0))="sin dato","",INDEX(CODIFICACION!$E$2:$E$500,MATCH("D5.18b|"&amp;BR101,CODIFICACION!$F$2:$F$500,0))),"⚠"))</f>
        <v/>
      </c>
      <c r="AN101" t="str">
        <f>IF(BS101="","",IFERROR(IF(INDEX(CODIFICACION!$E$2:$E$500,MATCH("D5.19|"&amp;BS101,CODIFICACION!$F$2:$F$500,0))="sin dato","",INDEX(CODIFICACION!$E$2:$E$500,MATCH("D5.19|"&amp;BS101,CODIFICACION!$F$2:$F$500,0))),"⚠"))</f>
        <v/>
      </c>
      <c r="AO101" t="str">
        <f t="shared" si="84"/>
        <v/>
      </c>
      <c r="AP101" t="str">
        <f>IF(BU101="","",IFERROR(IF(INDEX(CODIFICACION!$E$2:$E$500,MATCH("D5.20|"&amp;BU101,CODIFICACION!$F$2:$F$500,0))="sin dato","",INDEX(CODIFICACION!$E$2:$E$500,MATCH("D5.20|"&amp;BU101,CODIFICACION!$F$2:$F$500,0))),"⚠"))</f>
        <v/>
      </c>
      <c r="AQ101" t="str">
        <f>IF(BV101="","",IFERROR(IF(INDEX(CODIFICACION!$E$2:$E$500,MATCH("D5.21|"&amp;BV101,CODIFICACION!$F$2:$F$500,0))="sin dato","",INDEX(CODIFICACION!$E$2:$E$500,MATCH("D5.21|"&amp;BV101,CODIFICACION!$F$2:$F$500,0))),"⚠"))</f>
        <v/>
      </c>
      <c r="AR101" t="str">
        <f>IF(BW101="","",IFERROR(IF(INDEX(CODIFICACION!$E$2:$E$500,MATCH("D5.21a|"&amp;BW101,CODIFICACION!$F$2:$F$500,0))="sin dato","",INDEX(CODIFICACION!$E$2:$E$500,MATCH("D5.21a|"&amp;BW101,CODIFICACION!$F$2:$F$500,0))),"⚠"))</f>
        <v/>
      </c>
      <c r="AS101" t="str">
        <f>IF(BX101="","",IFERROR(IF(INDEX(CODIFICACION!$E$2:$E$500,MATCH("D5.21b|"&amp;BX101,CODIFICACION!$F$2:$F$500,0))="sin dato","",INDEX(CODIFICACION!$E$2:$E$500,MATCH("D5.21b|"&amp;BX101,CODIFICACION!$F$2:$F$500,0))),"⚠"))</f>
        <v/>
      </c>
      <c r="AT101" t="str">
        <f>IF(BY101="","",IFERROR(IF(INDEX(CODIFICACION!$E$2:$E$500,MATCH("D6.22|"&amp;BY101,CODIFICACION!$F$2:$F$500,0))="sin dato","",INDEX(CODIFICACION!$E$2:$E$500,MATCH("D6.22|"&amp;BY101,CODIFICACION!$F$2:$F$500,0))),"⚠"))</f>
        <v/>
      </c>
      <c r="AU101" t="str">
        <f>IF(BZ101="","",IFERROR(IF(INDEX(CODIFICACION!$E$2:$E$500,MATCH("D6.22a|"&amp;BZ101,CODIFICACION!$F$2:$F$500,0))="sin dato","",INDEX(CODIFICACION!$E$2:$E$500,MATCH("D6.22a|"&amp;BZ101,CODIFICACION!$F$2:$F$500,0))),"⚠"))</f>
        <v/>
      </c>
      <c r="AV101" t="str">
        <f>IF(CA101="","",IFERROR(IF(INDEX(CODIFICACION!$E$2:$E$500,MATCH("D6.22b|"&amp;CA101,CODIFICACION!$F$2:$F$500,0))="sin dato","",INDEX(CODIFICACION!$E$2:$E$500,MATCH("D6.22b|"&amp;CA101,CODIFICACION!$F$2:$F$500,0))),"⚠"))</f>
        <v/>
      </c>
      <c r="AW101" t="str">
        <f>IF(CB101="","",IFERROR(IF(INDEX(CODIFICACION!$E$2:$E$500,MATCH("D6.23|"&amp;CB101,CODIFICACION!$F$2:$F$500,0))="sin dato","",INDEX(CODIFICACION!$E$2:$E$500,MATCH("D6.23|"&amp;CB101,CODIFICACION!$F$2:$F$500,0))),"⚠"))</f>
        <v/>
      </c>
      <c r="AX101" t="str">
        <f ca="1">IF(CC101="","",IFERROR(IF(INDEX(CODIFICACION!$E$2:$E$500,MATCH("D6.24|"&amp;CC101,CODIFICACION!$F$2:$F$500,0))="sin dato","",INDEX(CODIFICACION!$E$2:$E$500,MATCH("D6.24|"&amp;CC101,CODIFICACION!$F$2:$F$500,0))),"⚠"))</f>
        <v/>
      </c>
      <c r="AY101" t="str">
        <f ca="1">IF(CD101="","",IFERROR(IF(INDEX(CODIFICACION!$E$2:$E$500,MATCH("D6.25|"&amp;CD101,CODIFICACION!$F$2:$F$500,0))="sin dato","",INDEX(CODIFICACION!$E$2:$E$500,MATCH("D6.25|"&amp;CD101,CODIFICACION!$F$2:$F$500,0))),"⚠"))</f>
        <v/>
      </c>
      <c r="AZ101" t="str">
        <f>IF(CE101="","",IFERROR(IF(INDEX(CODIFICACION!$E$2:$E$500,MATCH("D6.25a|"&amp;CE101,CODIFICACION!$F$2:$F$500,0))="sin dato","",INDEX(CODIFICACION!$E$2:$E$500,MATCH("D6.25a|"&amp;CE101,CODIFICACION!$F$2:$F$500,0))),"⚠"))</f>
        <v/>
      </c>
      <c r="BA101" t="str">
        <f>IF(CF101="","",IFERROR(IF(INDEX(CODIFICACION!$E$2:$E$500,MATCH("D6.25b|"&amp;CF101,CODIFICACION!$F$2:$F$500,0))="sin dato","",INDEX(CODIFICACION!$E$2:$E$500,MATCH("D6.25b|"&amp;CF101,CODIFICACION!$F$2:$F$500,0))),"⚠"))</f>
        <v/>
      </c>
      <c r="BB101" t="str">
        <f ca="1">IF(CG101="","",IFERROR(IF(INDEX(CODIFICACION!$E$2:$E$500,MATCH("D6.22c|"&amp;CG101,CODIFICACION!$F$2:$F$500,0))="sin dato","",INDEX(CODIFICACION!$E$2:$E$500,MATCH("D6.22c|"&amp;CG101,CODIFICACION!$F$2:$F$500,0))),"⚠"))</f>
        <v/>
      </c>
      <c r="BC101" t="str">
        <f ca="1">IF(CH101="","",IFERROR(IF(INDEX(CODIFICACION!$E$2:$E$500,MATCH("D7.26|"&amp;CH101,CODIFICACION!$F$2:$F$500,0))="sin dato","",INDEX(CODIFICACION!$E$2:$E$500,MATCH("D7.26|"&amp;CH101,CODIFICACION!$F$2:$F$500,0))),"⚠"))</f>
        <v/>
      </c>
      <c r="BD101" t="str">
        <f>IF(CI101="","",IFERROR(IF(INDEX(CODIFICACION!$E$2:$E$500,MATCH("D7.27|"&amp;CI101,CODIFICACION!$F$2:$F$500,0))="sin dato","",INDEX(CODIFICACION!$E$2:$E$500,MATCH("D7.27|"&amp;CI101,CODIFICACION!$F$2:$F$500,0))),"⚠"))</f>
        <v/>
      </c>
      <c r="BE101" t="str">
        <f>IF(CJ101="","",IFERROR(IF(INDEX(CODIFICACION!$E$2:$E$500,MATCH("D7.28|"&amp;CJ101,CODIFICACION!$F$2:$F$500,0))="sin dato","",INDEX(CODIFICACION!$E$2:$E$500,MATCH("D7.28|"&amp;CJ101,CODIFICACION!$F$2:$F$500,0))),"⚠"))</f>
        <v/>
      </c>
      <c r="BF101" t="str">
        <f>IF(CK101="","",IFERROR(IF(INDEX(CODIFICACION!$E$2:$E$500,MATCH("D7.28b|"&amp;CK101,CODIFICACION!$F$2:$F$500,0))="sin dato","",INDEX(CODIFICACION!$E$2:$E$500,MATCH("D7.28b|"&amp;CK101,CODIFICACION!$F$2:$F$500,0))),"⚠"))</f>
        <v/>
      </c>
      <c r="BG101" t="str">
        <f t="shared" si="85"/>
        <v/>
      </c>
      <c r="BH101" t="str">
        <f>IF(CM101="","",IFERROR(IF(INDEX(CODIFICACION!$E$2:$E$500,MATCH("D7.26a|"&amp;CM101,CODIFICACION!$F$2:$F$500,0))="sin dato","",INDEX(CODIFICACION!$E$2:$E$500,MATCH("D7.26a|"&amp;CM101,CODIFICACION!$F$2:$F$500,0))),"⚠"))</f>
        <v/>
      </c>
      <c r="BI101" t="str">
        <f>IF(CN101="","",IFERROR(IF(INDEX(CODIFICACION!$E$2:$E$500,MATCH("D7.26b|"&amp;CN101,CODIFICACION!$F$2:$F$500,0))="sin dato","",INDEX(CODIFICACION!$E$2:$E$500,MATCH("D7.26b|"&amp;CN101,CODIFICACION!$F$2:$F$500,0))),"⚠"))</f>
        <v/>
      </c>
      <c r="BJ101" t="str">
        <f t="shared" si="86"/>
        <v/>
      </c>
      <c r="BK101" t="str">
        <f t="shared" si="87"/>
        <v/>
      </c>
      <c r="BL101" t="str">
        <f>IF(CQ101="","",IFERROR(IF(INDEX(CODIFICACION!$E$2:$E$500,MATCH("D8.31|"&amp;CQ101,CODIFICACION!$F$2:$F$500,0))="sin dato","",INDEX(CODIFICACION!$E$2:$E$500,MATCH("D8.31|"&amp;CQ101,CODIFICACION!$F$2:$F$500,0))),"⚠"))</f>
        <v/>
      </c>
      <c r="BM101" t="str">
        <f>IF(CR101="","",IFERROR(IF(INDEX(CODIFICACION!$E$2:$E$500,MATCH("D8.32|"&amp;CR101,CODIFICACION!$F$2:$F$500,0))="sin dato","",INDEX(CODIFICACION!$E$2:$E$500,MATCH("D8.32|"&amp;CR101,CODIFICACION!$F$2:$F$500,0))),"⚠"))</f>
        <v/>
      </c>
      <c r="BN101" t="str">
        <f>IF(CS101="","",IFERROR(IF(INDEX(CODIFICACION!$E$2:$E$500,MATCH("D9.33|"&amp;CS101,CODIFICACION!$F$2:$F$500,0))="sin dato","",INDEX(CODIFICACION!$E$2:$E$500,MATCH("D9.33|"&amp;CS101,CODIFICACION!$F$2:$F$500,0))),"⚠"))</f>
        <v/>
      </c>
      <c r="BO101" t="str">
        <f>IF(CT101="","",IFERROR(IF(INDEX(CODIFICACION!$E$2:$E$500,MATCH("D9.34|"&amp;CT101,CODIFICACION!$F$2:$F$500,0))="sin dato","",INDEX(CODIFICACION!$E$2:$E$500,MATCH("D9.34|"&amp;CT101,CODIFICACION!$F$2:$F$500,0))),"⚠"))</f>
        <v/>
      </c>
      <c r="BP101" t="str">
        <f>IF(CU101="","",IFERROR(IF(INDEX(CODIFICACION!$E$2:$E$500,MATCH("D9.35|"&amp;CU101,CODIFICACION!$F$2:$F$500,0))="sin dato","",INDEX(CODIFICACION!$E$2:$E$500,MATCH("D9.35|"&amp;CU101,CODIFICACION!$F$2:$F$500,0))),"⚠"))</f>
        <v/>
      </c>
      <c r="BQ101" t="str">
        <f>IF(CV101="","",IFERROR(IF(INDEX(CODIFICACION!$E$2:$E$500,MATCH("D10.36|"&amp;CV101,CODIFICACION!$F$2:$F$500,0))="sin dato","",INDEX(CODIFICACION!$E$2:$E$500,MATCH("D10.36|"&amp;CV101,CODIFICACION!$F$2:$F$500,0))),"⚠"))</f>
        <v/>
      </c>
      <c r="BR101" t="str">
        <f>IF(CW101="","",IFERROR(IF(INDEX(CODIFICACION!$E$2:$E$500,MATCH("D10.37|"&amp;CW101,CODIFICACION!$F$2:$F$500,0))="sin dato","",INDEX(CODIFICACION!$E$2:$E$500,MATCH("D10.37|"&amp;CW101,CODIFICACION!$F$2:$F$500,0))),"⚠"))</f>
        <v/>
      </c>
      <c r="BS101" t="str">
        <f>IF(CX101="","",IFERROR(IF(INDEX(CODIFICACION!$E$2:$E$500,MATCH("D10.36a|"&amp;CX101,CODIFICACION!$F$2:$F$500,0))="sin dato","",INDEX(CODIFICACION!$E$2:$E$500,MATCH("D10.36a|"&amp;CX101,CODIFICACION!$F$2:$F$500,0))),"⚠"))</f>
        <v/>
      </c>
      <c r="BT101" t="str">
        <f t="shared" si="88"/>
        <v/>
      </c>
      <c r="BU101" t="str">
        <f>IF(DA101="","",IFERROR(IF(INDEX(CODIFICACION!$E$2:$E$500,MATCH("D11.39a|"&amp;DA101,CODIFICACION!$F$2:$F$500,0))="sin dato","",INDEX(CODIFICACION!$E$2:$E$500,MATCH("D11.39a|"&amp;DA101,CODIFICACION!$F$2:$F$500,0))),"⚠"))</f>
        <v/>
      </c>
      <c r="BV101" t="str">
        <f>IF(DB101="","",IFERROR(IF(INDEX(CODIFICACION!$E$2:$E$500,MATCH("D12.42|"&amp;DB101,CODIFICACION!$F$2:$F$500,0))="sin dato","",INDEX(CODIFICACION!$E$2:$E$500,MATCH("D12.42|"&amp;DB101,CODIFICACION!$F$2:$F$500,0))),"⚠"))</f>
        <v/>
      </c>
      <c r="BW101" t="str">
        <f>IF(DC101="","",IFERROR(IF(INDEX(CODIFICACION!$E$2:$E$500,MATCH("D13.45|"&amp;DC101,CODIFICACION!$F$2:$F$500,0))="sin dato","",INDEX(CODIFICACION!$E$2:$E$500,MATCH("D13.45|"&amp;DC101,CODIFICACION!$F$2:$F$500,0))),"⚠"))</f>
        <v/>
      </c>
      <c r="BX101" t="str">
        <f>IF(DD101="","",IFERROR(IF(INDEX(CODIFICACION!$E$2:$E$500,MATCH("D14.51|"&amp;DD101,CODIFICACION!$F$2:$F$500,0))="sin dato","",INDEX(CODIFICACION!$E$2:$E$500,MATCH("D14.51|"&amp;DD101,CODIFICACION!$F$2:$F$500,0))),"⚠"))</f>
        <v/>
      </c>
      <c r="BY101" t="str">
        <f>IF(DE101="","",IFERROR(IF(INDEX(CODIFICACION!$E$2:$E$500,MATCH("D15.58|"&amp;DE101,CODIFICACION!$F$2:$F$500,0))="sin dato","",INDEX(CODIFICACION!$E$2:$E$500,MATCH("D15.58|"&amp;DE101,CODIFICACION!$F$2:$F$500,0))),"⚠"))</f>
        <v/>
      </c>
      <c r="BZ101" t="str">
        <f>IF(DF101="","",IFERROR(IF(INDEX(CODIFICACION!$E$2:$E$500,MATCH("PP1|"&amp;DF101,CODIFICACION!$F$2:$F$500,0))="sin dato","",INDEX(CODIFICACION!$E$2:$E$500,MATCH("PP1|"&amp;DF101,CODIFICACION!$F$2:$F$500,0))),"⚠"))</f>
        <v/>
      </c>
      <c r="CA101" t="str">
        <f>IF(DG101="","",IFERROR(IF(INDEX(CODIFICACION!$E$2:$E$500,MATCH("PP2|"&amp;DG101,CODIFICACION!$F$2:$F$500,0))="sin dato","",INDEX(CODIFICACION!$E$2:$E$500,MATCH("PP2|"&amp;DG101,CODIFICACION!$F$2:$F$500,0))),"⚠"))</f>
        <v/>
      </c>
      <c r="CB101" t="str">
        <f t="shared" si="89"/>
        <v/>
      </c>
      <c r="CC101" t="str">
        <f t="shared" ca="1" si="90"/>
        <v/>
      </c>
      <c r="CD101" t="str">
        <f t="shared" ca="1" si="91"/>
        <v/>
      </c>
      <c r="CE101" t="str">
        <f t="shared" si="92"/>
        <v/>
      </c>
      <c r="CF101" t="str">
        <f t="shared" si="93"/>
        <v/>
      </c>
      <c r="CG101" t="str">
        <f t="shared" ca="1" si="94"/>
        <v/>
      </c>
      <c r="CH101" t="str">
        <f t="shared" ca="1" si="95"/>
        <v/>
      </c>
      <c r="CI101" t="str">
        <f t="shared" si="96"/>
        <v/>
      </c>
      <c r="CJ101" t="str">
        <f t="shared" si="97"/>
        <v/>
      </c>
      <c r="CK101" t="str">
        <f t="shared" si="98"/>
        <v/>
      </c>
      <c r="CL101" t="str">
        <f t="shared" si="99"/>
        <v/>
      </c>
    </row>
    <row r="102" spans="1:90" x14ac:dyDescent="0.3">
      <c r="A102">
        <f>CAPTURA!A102</f>
        <v>20600010086</v>
      </c>
      <c r="B102">
        <f>CAPTURA!C102</f>
        <v>0</v>
      </c>
      <c r="C102" t="str">
        <f t="shared" si="75"/>
        <v/>
      </c>
      <c r="D102" t="str">
        <f>IF(AE102="","",IFERROR(IF(INDEX(CODIFICACION!$E$2:$E$500,MATCH("P8|"&amp;AE102,CODIFICACION!$F$2:$F$500,0))="sin dato","",INDEX(CODIFICACION!$E$2:$E$500,MATCH("P8|"&amp;AE102,CODIFICACION!$F$2:$F$500,0))),"⚠"))</f>
        <v/>
      </c>
      <c r="E102" t="str">
        <f>IF(AG102="","",IFERROR(IF(INDEX(CODIFICACION!$E$2:$E$500,MATCH("P10|"&amp;AG102,CODIFICACION!$F$2:$F$500,0))="sin dato","",INDEX(CODIFICACION!$E$2:$E$500,MATCH("P10|"&amp;AG102,CODIFICACION!$F$2:$F$500,0))),"⚠"))</f>
        <v/>
      </c>
      <c r="F102" t="str">
        <f>IF(AJ102="","",IFERROR(IF(INDEX(CODIFICACION!$E$2:$E$500,MATCH("P13|"&amp;AJ102,CODIFICACION!$F$2:$F$500,0))="sin dato","",INDEX(CODIFICACION!$E$2:$E$500,MATCH("P13|"&amp;AJ102,CODIFICACION!$F$2:$F$500,0))),"⚠"))</f>
        <v/>
      </c>
      <c r="G102" t="str">
        <f>IF(AK102="","",IFERROR(IF(INDEX(CODIFICACION!$E$2:$E$500,MATCH("P14|"&amp;AK102,CODIFICACION!$F$2:$F$500,0))="sin dato","",INDEX(CODIFICACION!$E$2:$E$500,MATCH("P14|"&amp;AK102,CODIFICACION!$F$2:$F$500,0))),"⚠"))</f>
        <v/>
      </c>
      <c r="H102" t="str">
        <f>IF(AL102="","",IFERROR(IF(INDEX(CODIFICACION!$E$2:$E$500,MATCH("D1.1|"&amp;AL102,CODIFICACION!$F$2:$F$500,0))="sin dato","",INDEX(CODIFICACION!$E$2:$E$500,MATCH("D1.1|"&amp;AL102,CODIFICACION!$F$2:$F$500,0))),"⚠"))</f>
        <v/>
      </c>
      <c r="I102" t="str">
        <f>IF(AN102="","",IFERROR(IF(INDEX(CODIFICACION!$E$2:$E$500,MATCH("D1.3|"&amp;AN102,CODIFICACION!$F$2:$F$500,0))="sin dato","",INDEX(CODIFICACION!$E$2:$E$500,MATCH("D1.3|"&amp;AN102,CODIFICACION!$F$2:$F$500,0))),"⚠"))</f>
        <v/>
      </c>
      <c r="J102" t="str">
        <f>IF(AO102="","",IFERROR(IF(INDEX(CODIFICACION!$E$2:$E$500,MATCH("D1.4|"&amp;AO102,CODIFICACION!$F$2:$F$500,0))="sin dato","",INDEX(CODIFICACION!$E$2:$E$500,MATCH("D1.4|"&amp;AO102,CODIFICACION!$F$2:$F$500,0))),"⚠"))</f>
        <v/>
      </c>
      <c r="K102" t="str">
        <f>IF(AP102="","",IFERROR(IF(INDEX(CODIFICACION!$E$2:$E$500,MATCH("D1.3a|"&amp;AP102,CODIFICACION!$F$2:$F$500,0))="sin dato","",INDEX(CODIFICACION!$E$2:$E$500,MATCH("D1.3a|"&amp;AP102,CODIFICACION!$F$2:$F$500,0))),"⚠"))</f>
        <v/>
      </c>
      <c r="L102" t="str">
        <f t="shared" si="76"/>
        <v/>
      </c>
      <c r="M102" t="str">
        <f t="shared" si="77"/>
        <v/>
      </c>
      <c r="N102" t="str">
        <f t="shared" si="78"/>
        <v/>
      </c>
      <c r="O102" t="str">
        <f>IF(AT102="","",IFERROR(IF(INDEX(CODIFICACION!$E$2:$E$500,MATCH("D2.8|"&amp;AT102,CODIFICACION!$F$2:$F$500,0))="sin dato","",INDEX(CODIFICACION!$E$2:$E$500,MATCH("D2.8|"&amp;AT102,CODIFICACION!$F$2:$F$500,0))),"⚠"))</f>
        <v/>
      </c>
      <c r="P102" t="str">
        <f>IF(AU102="","",IFERROR(IF(INDEX(CODIFICACION!$E$2:$E$500,MATCH("D2.9|"&amp;AU102,CODIFICACION!$F$2:$F$500,0))="sin dato","",INDEX(CODIFICACION!$E$2:$E$500,MATCH("D2.9|"&amp;AU102,CODIFICACION!$F$2:$F$500,0))),"⚠"))</f>
        <v/>
      </c>
      <c r="Q102" t="str">
        <f>IF(AV102="","",IFERROR(IF(INDEX(CODIFICACION!$E$2:$E$500,MATCH("D2.10|"&amp;AV102,CODIFICACION!$F$2:$F$500,0))="sin dato","",INDEX(CODIFICACION!$E$2:$E$500,MATCH("D2.10|"&amp;AV102,CODIFICACION!$F$2:$F$500,0))),"⚠"))</f>
        <v/>
      </c>
      <c r="R102" t="str">
        <f>IF(AW102="","",IFERROR(IF(INDEX(CODIFICACION!$E$2:$E$500,MATCH("D2.5a|"&amp;AW102,CODIFICACION!$F$2:$F$500,0))="sin dato","",INDEX(CODIFICACION!$E$2:$E$500,MATCH("D2.5a|"&amp;AW102,CODIFICACION!$F$2:$F$500,0))),"⚠"))</f>
        <v/>
      </c>
      <c r="S102" t="str">
        <f ca="1">IF(AX102="","",IFERROR(IF(INDEX(CODIFICACION!$E$2:$E$500,MATCH("D2.5b|"&amp;AX102,CODIFICACION!$F$2:$F$500,0))="sin dato","",INDEX(CODIFICACION!$E$2:$E$500,MATCH("D2.5b|"&amp;AX102,CODIFICACION!$F$2:$F$500,0))),"⚠"))</f>
        <v/>
      </c>
      <c r="T102" t="str">
        <f t="shared" ca="1" si="79"/>
        <v/>
      </c>
      <c r="U102" t="str">
        <f>IF(AZ102="","",IFERROR(IF(INDEX(CODIFICACION!$E$2:$E$500,MATCH("D3.12|"&amp;AZ102,CODIFICACION!$F$2:$F$500,0))="sin dato","",INDEX(CODIFICACION!$E$2:$E$500,MATCH("D3.12|"&amp;AZ102,CODIFICACION!$F$2:$F$500,0))),"⚠"))</f>
        <v/>
      </c>
      <c r="V102" t="str">
        <f t="shared" si="80"/>
        <v/>
      </c>
      <c r="W102" t="str">
        <f ca="1">IF(BB102="","",IFERROR(IF(INDEX(CODIFICACION!$E$2:$E$500,MATCH("D3.14|"&amp;BB102,CODIFICACION!$F$2:$F$500,0))="sin dato","",INDEX(CODIFICACION!$E$2:$E$500,MATCH("D3.14|"&amp;BB102,CODIFICACION!$F$2:$F$500,0))),"⚠"))</f>
        <v/>
      </c>
      <c r="X102" t="str">
        <f ca="1">IF(BC102="","",IFERROR(IF(INDEX(CODIFICACION!$E$2:$E$500,MATCH("D3.14a|"&amp;BC102,CODIFICACION!$F$2:$F$500,0))="sin dato","",INDEX(CODIFICACION!$E$2:$E$500,MATCH("D3.14a|"&amp;BC102,CODIFICACION!$F$2:$F$500,0))),"⚠"))</f>
        <v/>
      </c>
      <c r="Y102" t="str">
        <f>IF(BD102="","",IFERROR(IF(INDEX(CODIFICACION!$E$2:$E$500,MATCH("D3.14b|"&amp;BD102,CODIFICACION!$F$2:$F$500,0))="sin dato","",INDEX(CODIFICACION!$E$2:$E$500,MATCH("D3.14b|"&amp;BD102,CODIFICACION!$F$2:$F$500,0))),"⚠"))</f>
        <v/>
      </c>
      <c r="Z102" t="str">
        <f>IF(BE102="","",IFERROR(IF(INDEX(CODIFICACION!$E$2:$E$500,MATCH("D3.14c|"&amp;BE102,CODIFICACION!$F$2:$F$500,0))="sin dato","",INDEX(CODIFICACION!$E$2:$E$500,MATCH("D3.14c|"&amp;BE102,CODIFICACION!$F$2:$F$500,0))),"⚠"))</f>
        <v/>
      </c>
      <c r="AA102" t="str">
        <f>IF(BF102="","",IFERROR(IF(INDEX(CODIFICACION!$E$2:$E$500,MATCH("D3.14d|"&amp;BF102,CODIFICACION!$F$2:$F$500,0))="sin dato","",INDEX(CODIFICACION!$E$2:$E$500,MATCH("D3.14d|"&amp;BF102,CODIFICACION!$F$2:$F$500,0))),"⚠"))</f>
        <v/>
      </c>
      <c r="AB102" t="str">
        <f>IF(BG102="","",IFERROR(IF(INDEX(CODIFICACION!$E$2:$E$500,MATCH("D3.14e|"&amp;BG102,CODIFICACION!$F$2:$F$500,0))="sin dato","",INDEX(CODIFICACION!$E$2:$E$500,MATCH("D3.14e|"&amp;BG102,CODIFICACION!$F$2:$F$500,0))),"⚠"))</f>
        <v/>
      </c>
      <c r="AC102" t="str">
        <f>IF(BH102="","",IFERROR(IF(INDEX(CODIFICACION!$E$2:$E$500,MATCH("D3.14f|"&amp;BH102,CODIFICACION!$F$2:$F$500,0))="sin dato","",INDEX(CODIFICACION!$E$2:$E$500,MATCH("D3.14f|"&amp;BH102,CODIFICACION!$F$2:$F$500,0))),"⚠"))</f>
        <v/>
      </c>
      <c r="AD102" t="str">
        <f>IF(BI102="","",IFERROR(IF(INDEX(CODIFICACION!$E$2:$E$500,MATCH("D3.14g|"&amp;BI102,CODIFICACION!$F$2:$F$500,0))="sin dato","",INDEX(CODIFICACION!$E$2:$E$500,MATCH("D3.14g|"&amp;BI102,CODIFICACION!$F$2:$F$500,0))),"⚠"))</f>
        <v/>
      </c>
      <c r="AE102" t="str">
        <f>IF(BJ102="","",IFERROR(IF(INDEX(CODIFICACION!$E$2:$E$500,MATCH("D3.14h|"&amp;BJ102,CODIFICACION!$F$2:$F$500,0))="sin dato","",INDEX(CODIFICACION!$E$2:$E$500,MATCH("D3.14h|"&amp;BJ102,CODIFICACION!$F$2:$F$500,0))),"⚠"))</f>
        <v/>
      </c>
      <c r="AF102" t="str">
        <f>IF(BK102="","",IFERROR(IF(INDEX(CODIFICACION!$E$2:$E$500,MATCH("D3.14i|"&amp;BK102,CODIFICACION!$F$2:$F$500,0))="sin dato","",INDEX(CODIFICACION!$E$2:$E$500,MATCH("D3.14i|"&amp;BK102,CODIFICACION!$F$2:$F$500,0))),"⚠"))</f>
        <v/>
      </c>
      <c r="AG102" t="str">
        <f>IF(BL102="","",IFERROR(IF(INDEX(CODIFICACION!$E$2:$E$500,MATCH("D4.15|"&amp;BL102,CODIFICACION!$F$2:$F$500,0))="sin dato","",INDEX(CODIFICACION!$E$2:$E$500,MATCH("D4.15|"&amp;BL102,CODIFICACION!$F$2:$F$500,0))),"⚠"))</f>
        <v/>
      </c>
      <c r="AH102" t="str">
        <f t="shared" si="81"/>
        <v/>
      </c>
      <c r="AI102" t="str">
        <f>IF(BN102="","",IFERROR(IF(INDEX(CODIFICACION!$E$2:$E$500,MATCH("D4.17|"&amp;BN102,CODIFICACION!$F$2:$F$500,0))="sin dato","",INDEX(CODIFICACION!$E$2:$E$500,MATCH("D4.17|"&amp;BN102,CODIFICACION!$F$2:$F$500,0))),"⚠"))</f>
        <v/>
      </c>
      <c r="AJ102" t="str">
        <f>IF(BO102="","",IFERROR(IF(INDEX(CODIFICACION!$E$2:$E$500,MATCH("D4.15a|"&amp;BO102,CODIFICACION!$F$2:$F$500,0))="sin dato","",INDEX(CODIFICACION!$E$2:$E$500,MATCH("D4.15a|"&amp;BO102,CODIFICACION!$F$2:$F$500,0))),"⚠"))</f>
        <v/>
      </c>
      <c r="AK102" t="str">
        <f t="shared" si="82"/>
        <v/>
      </c>
      <c r="AL102" t="str">
        <f t="shared" si="83"/>
        <v/>
      </c>
      <c r="AM102" t="str">
        <f>IF(BR102="","",IFERROR(IF(INDEX(CODIFICACION!$E$2:$E$500,MATCH("D5.18b|"&amp;BR102,CODIFICACION!$F$2:$F$500,0))="sin dato","",INDEX(CODIFICACION!$E$2:$E$500,MATCH("D5.18b|"&amp;BR102,CODIFICACION!$F$2:$F$500,0))),"⚠"))</f>
        <v/>
      </c>
      <c r="AN102" t="str">
        <f>IF(BS102="","",IFERROR(IF(INDEX(CODIFICACION!$E$2:$E$500,MATCH("D5.19|"&amp;BS102,CODIFICACION!$F$2:$F$500,0))="sin dato","",INDEX(CODIFICACION!$E$2:$E$500,MATCH("D5.19|"&amp;BS102,CODIFICACION!$F$2:$F$500,0))),"⚠"))</f>
        <v/>
      </c>
      <c r="AO102" t="str">
        <f t="shared" si="84"/>
        <v/>
      </c>
      <c r="AP102" t="str">
        <f>IF(BU102="","",IFERROR(IF(INDEX(CODIFICACION!$E$2:$E$500,MATCH("D5.20|"&amp;BU102,CODIFICACION!$F$2:$F$500,0))="sin dato","",INDEX(CODIFICACION!$E$2:$E$500,MATCH("D5.20|"&amp;BU102,CODIFICACION!$F$2:$F$500,0))),"⚠"))</f>
        <v/>
      </c>
      <c r="AQ102" t="str">
        <f>IF(BV102="","",IFERROR(IF(INDEX(CODIFICACION!$E$2:$E$500,MATCH("D5.21|"&amp;BV102,CODIFICACION!$F$2:$F$500,0))="sin dato","",INDEX(CODIFICACION!$E$2:$E$500,MATCH("D5.21|"&amp;BV102,CODIFICACION!$F$2:$F$500,0))),"⚠"))</f>
        <v/>
      </c>
      <c r="AR102" t="str">
        <f>IF(BW102="","",IFERROR(IF(INDEX(CODIFICACION!$E$2:$E$500,MATCH("D5.21a|"&amp;BW102,CODIFICACION!$F$2:$F$500,0))="sin dato","",INDEX(CODIFICACION!$E$2:$E$500,MATCH("D5.21a|"&amp;BW102,CODIFICACION!$F$2:$F$500,0))),"⚠"))</f>
        <v/>
      </c>
      <c r="AS102" t="str">
        <f>IF(BX102="","",IFERROR(IF(INDEX(CODIFICACION!$E$2:$E$500,MATCH("D5.21b|"&amp;BX102,CODIFICACION!$F$2:$F$500,0))="sin dato","",INDEX(CODIFICACION!$E$2:$E$500,MATCH("D5.21b|"&amp;BX102,CODIFICACION!$F$2:$F$500,0))),"⚠"))</f>
        <v/>
      </c>
      <c r="AT102" t="str">
        <f>IF(BY102="","",IFERROR(IF(INDEX(CODIFICACION!$E$2:$E$500,MATCH("D6.22|"&amp;BY102,CODIFICACION!$F$2:$F$500,0))="sin dato","",INDEX(CODIFICACION!$E$2:$E$500,MATCH("D6.22|"&amp;BY102,CODIFICACION!$F$2:$F$500,0))),"⚠"))</f>
        <v/>
      </c>
      <c r="AU102" t="str">
        <f>IF(BZ102="","",IFERROR(IF(INDEX(CODIFICACION!$E$2:$E$500,MATCH("D6.22a|"&amp;BZ102,CODIFICACION!$F$2:$F$500,0))="sin dato","",INDEX(CODIFICACION!$E$2:$E$500,MATCH("D6.22a|"&amp;BZ102,CODIFICACION!$F$2:$F$500,0))),"⚠"))</f>
        <v/>
      </c>
      <c r="AV102" t="str">
        <f>IF(CA102="","",IFERROR(IF(INDEX(CODIFICACION!$E$2:$E$500,MATCH("D6.22b|"&amp;CA102,CODIFICACION!$F$2:$F$500,0))="sin dato","",INDEX(CODIFICACION!$E$2:$E$500,MATCH("D6.22b|"&amp;CA102,CODIFICACION!$F$2:$F$500,0))),"⚠"))</f>
        <v/>
      </c>
      <c r="AW102" t="str">
        <f>IF(CB102="","",IFERROR(IF(INDEX(CODIFICACION!$E$2:$E$500,MATCH("D6.23|"&amp;CB102,CODIFICACION!$F$2:$F$500,0))="sin dato","",INDEX(CODIFICACION!$E$2:$E$500,MATCH("D6.23|"&amp;CB102,CODIFICACION!$F$2:$F$500,0))),"⚠"))</f>
        <v/>
      </c>
      <c r="AX102" t="str">
        <f ca="1">IF(CC102="","",IFERROR(IF(INDEX(CODIFICACION!$E$2:$E$500,MATCH("D6.24|"&amp;CC102,CODIFICACION!$F$2:$F$500,0))="sin dato","",INDEX(CODIFICACION!$E$2:$E$500,MATCH("D6.24|"&amp;CC102,CODIFICACION!$F$2:$F$500,0))),"⚠"))</f>
        <v/>
      </c>
      <c r="AY102" t="str">
        <f ca="1">IF(CD102="","",IFERROR(IF(INDEX(CODIFICACION!$E$2:$E$500,MATCH("D6.25|"&amp;CD102,CODIFICACION!$F$2:$F$500,0))="sin dato","",INDEX(CODIFICACION!$E$2:$E$500,MATCH("D6.25|"&amp;CD102,CODIFICACION!$F$2:$F$500,0))),"⚠"))</f>
        <v/>
      </c>
      <c r="AZ102" t="str">
        <f>IF(CE102="","",IFERROR(IF(INDEX(CODIFICACION!$E$2:$E$500,MATCH("D6.25a|"&amp;CE102,CODIFICACION!$F$2:$F$500,0))="sin dato","",INDEX(CODIFICACION!$E$2:$E$500,MATCH("D6.25a|"&amp;CE102,CODIFICACION!$F$2:$F$500,0))),"⚠"))</f>
        <v/>
      </c>
      <c r="BA102" t="str">
        <f>IF(CF102="","",IFERROR(IF(INDEX(CODIFICACION!$E$2:$E$500,MATCH("D6.25b|"&amp;CF102,CODIFICACION!$F$2:$F$500,0))="sin dato","",INDEX(CODIFICACION!$E$2:$E$500,MATCH("D6.25b|"&amp;CF102,CODIFICACION!$F$2:$F$500,0))),"⚠"))</f>
        <v/>
      </c>
      <c r="BB102" t="str">
        <f ca="1">IF(CG102="","",IFERROR(IF(INDEX(CODIFICACION!$E$2:$E$500,MATCH("D6.22c|"&amp;CG102,CODIFICACION!$F$2:$F$500,0))="sin dato","",INDEX(CODIFICACION!$E$2:$E$500,MATCH("D6.22c|"&amp;CG102,CODIFICACION!$F$2:$F$500,0))),"⚠"))</f>
        <v/>
      </c>
      <c r="BC102" t="str">
        <f ca="1">IF(CH102="","",IFERROR(IF(INDEX(CODIFICACION!$E$2:$E$500,MATCH("D7.26|"&amp;CH102,CODIFICACION!$F$2:$F$500,0))="sin dato","",INDEX(CODIFICACION!$E$2:$E$500,MATCH("D7.26|"&amp;CH102,CODIFICACION!$F$2:$F$500,0))),"⚠"))</f>
        <v/>
      </c>
      <c r="BD102" t="str">
        <f>IF(CI102="","",IFERROR(IF(INDEX(CODIFICACION!$E$2:$E$500,MATCH("D7.27|"&amp;CI102,CODIFICACION!$F$2:$F$500,0))="sin dato","",INDEX(CODIFICACION!$E$2:$E$500,MATCH("D7.27|"&amp;CI102,CODIFICACION!$F$2:$F$500,0))),"⚠"))</f>
        <v/>
      </c>
      <c r="BE102" t="str">
        <f>IF(CJ102="","",IFERROR(IF(INDEX(CODIFICACION!$E$2:$E$500,MATCH("D7.28|"&amp;CJ102,CODIFICACION!$F$2:$F$500,0))="sin dato","",INDEX(CODIFICACION!$E$2:$E$500,MATCH("D7.28|"&amp;CJ102,CODIFICACION!$F$2:$F$500,0))),"⚠"))</f>
        <v/>
      </c>
      <c r="BF102" t="str">
        <f>IF(CK102="","",IFERROR(IF(INDEX(CODIFICACION!$E$2:$E$500,MATCH("D7.28b|"&amp;CK102,CODIFICACION!$F$2:$F$500,0))="sin dato","",INDEX(CODIFICACION!$E$2:$E$500,MATCH("D7.28b|"&amp;CK102,CODIFICACION!$F$2:$F$500,0))),"⚠"))</f>
        <v/>
      </c>
      <c r="BG102" t="str">
        <f t="shared" si="85"/>
        <v/>
      </c>
      <c r="BH102" t="str">
        <f>IF(CM102="","",IFERROR(IF(INDEX(CODIFICACION!$E$2:$E$500,MATCH("D7.26a|"&amp;CM102,CODIFICACION!$F$2:$F$500,0))="sin dato","",INDEX(CODIFICACION!$E$2:$E$500,MATCH("D7.26a|"&amp;CM102,CODIFICACION!$F$2:$F$500,0))),"⚠"))</f>
        <v/>
      </c>
      <c r="BI102" t="str">
        <f>IF(CN102="","",IFERROR(IF(INDEX(CODIFICACION!$E$2:$E$500,MATCH("D7.26b|"&amp;CN102,CODIFICACION!$F$2:$F$500,0))="sin dato","",INDEX(CODIFICACION!$E$2:$E$500,MATCH("D7.26b|"&amp;CN102,CODIFICACION!$F$2:$F$500,0))),"⚠"))</f>
        <v/>
      </c>
      <c r="BJ102" t="str">
        <f t="shared" si="86"/>
        <v/>
      </c>
      <c r="BK102" t="str">
        <f t="shared" si="87"/>
        <v/>
      </c>
      <c r="BL102" t="str">
        <f>IF(CQ102="","",IFERROR(IF(INDEX(CODIFICACION!$E$2:$E$500,MATCH("D8.31|"&amp;CQ102,CODIFICACION!$F$2:$F$500,0))="sin dato","",INDEX(CODIFICACION!$E$2:$E$500,MATCH("D8.31|"&amp;CQ102,CODIFICACION!$F$2:$F$500,0))),"⚠"))</f>
        <v/>
      </c>
      <c r="BM102" t="str">
        <f>IF(CR102="","",IFERROR(IF(INDEX(CODIFICACION!$E$2:$E$500,MATCH("D8.32|"&amp;CR102,CODIFICACION!$F$2:$F$500,0))="sin dato","",INDEX(CODIFICACION!$E$2:$E$500,MATCH("D8.32|"&amp;CR102,CODIFICACION!$F$2:$F$500,0))),"⚠"))</f>
        <v/>
      </c>
      <c r="BN102" t="str">
        <f>IF(CS102="","",IFERROR(IF(INDEX(CODIFICACION!$E$2:$E$500,MATCH("D9.33|"&amp;CS102,CODIFICACION!$F$2:$F$500,0))="sin dato","",INDEX(CODIFICACION!$E$2:$E$500,MATCH("D9.33|"&amp;CS102,CODIFICACION!$F$2:$F$500,0))),"⚠"))</f>
        <v/>
      </c>
      <c r="BO102" t="str">
        <f>IF(CT102="","",IFERROR(IF(INDEX(CODIFICACION!$E$2:$E$500,MATCH("D9.34|"&amp;CT102,CODIFICACION!$F$2:$F$500,0))="sin dato","",INDEX(CODIFICACION!$E$2:$E$500,MATCH("D9.34|"&amp;CT102,CODIFICACION!$F$2:$F$500,0))),"⚠"))</f>
        <v/>
      </c>
      <c r="BP102" t="str">
        <f>IF(CU102="","",IFERROR(IF(INDEX(CODIFICACION!$E$2:$E$500,MATCH("D9.35|"&amp;CU102,CODIFICACION!$F$2:$F$500,0))="sin dato","",INDEX(CODIFICACION!$E$2:$E$500,MATCH("D9.35|"&amp;CU102,CODIFICACION!$F$2:$F$500,0))),"⚠"))</f>
        <v/>
      </c>
      <c r="BQ102" t="str">
        <f>IF(CV102="","",IFERROR(IF(INDEX(CODIFICACION!$E$2:$E$500,MATCH("D10.36|"&amp;CV102,CODIFICACION!$F$2:$F$500,0))="sin dato","",INDEX(CODIFICACION!$E$2:$E$500,MATCH("D10.36|"&amp;CV102,CODIFICACION!$F$2:$F$500,0))),"⚠"))</f>
        <v/>
      </c>
      <c r="BR102" t="str">
        <f>IF(CW102="","",IFERROR(IF(INDEX(CODIFICACION!$E$2:$E$500,MATCH("D10.37|"&amp;CW102,CODIFICACION!$F$2:$F$500,0))="sin dato","",INDEX(CODIFICACION!$E$2:$E$500,MATCH("D10.37|"&amp;CW102,CODIFICACION!$F$2:$F$500,0))),"⚠"))</f>
        <v/>
      </c>
      <c r="BS102" t="str">
        <f>IF(CX102="","",IFERROR(IF(INDEX(CODIFICACION!$E$2:$E$500,MATCH("D10.36a|"&amp;CX102,CODIFICACION!$F$2:$F$500,0))="sin dato","",INDEX(CODIFICACION!$E$2:$E$500,MATCH("D10.36a|"&amp;CX102,CODIFICACION!$F$2:$F$500,0))),"⚠"))</f>
        <v/>
      </c>
      <c r="BT102" t="str">
        <f t="shared" si="88"/>
        <v/>
      </c>
      <c r="BU102" t="str">
        <f>IF(DA102="","",IFERROR(IF(INDEX(CODIFICACION!$E$2:$E$500,MATCH("D11.39a|"&amp;DA102,CODIFICACION!$F$2:$F$500,0))="sin dato","",INDEX(CODIFICACION!$E$2:$E$500,MATCH("D11.39a|"&amp;DA102,CODIFICACION!$F$2:$F$500,0))),"⚠"))</f>
        <v/>
      </c>
      <c r="BV102" t="str">
        <f>IF(DB102="","",IFERROR(IF(INDEX(CODIFICACION!$E$2:$E$500,MATCH("D12.42|"&amp;DB102,CODIFICACION!$F$2:$F$500,0))="sin dato","",INDEX(CODIFICACION!$E$2:$E$500,MATCH("D12.42|"&amp;DB102,CODIFICACION!$F$2:$F$500,0))),"⚠"))</f>
        <v/>
      </c>
      <c r="BW102" t="str">
        <f>IF(DC102="","",IFERROR(IF(INDEX(CODIFICACION!$E$2:$E$500,MATCH("D13.45|"&amp;DC102,CODIFICACION!$F$2:$F$500,0))="sin dato","",INDEX(CODIFICACION!$E$2:$E$500,MATCH("D13.45|"&amp;DC102,CODIFICACION!$F$2:$F$500,0))),"⚠"))</f>
        <v/>
      </c>
      <c r="BX102" t="str">
        <f>IF(DD102="","",IFERROR(IF(INDEX(CODIFICACION!$E$2:$E$500,MATCH("D14.51|"&amp;DD102,CODIFICACION!$F$2:$F$500,0))="sin dato","",INDEX(CODIFICACION!$E$2:$E$500,MATCH("D14.51|"&amp;DD102,CODIFICACION!$F$2:$F$500,0))),"⚠"))</f>
        <v/>
      </c>
      <c r="BY102" t="str">
        <f>IF(DE102="","",IFERROR(IF(INDEX(CODIFICACION!$E$2:$E$500,MATCH("D15.58|"&amp;DE102,CODIFICACION!$F$2:$F$500,0))="sin dato","",INDEX(CODIFICACION!$E$2:$E$500,MATCH("D15.58|"&amp;DE102,CODIFICACION!$F$2:$F$500,0))),"⚠"))</f>
        <v/>
      </c>
      <c r="BZ102" t="str">
        <f>IF(DF102="","",IFERROR(IF(INDEX(CODIFICACION!$E$2:$E$500,MATCH("PP1|"&amp;DF102,CODIFICACION!$F$2:$F$500,0))="sin dato","",INDEX(CODIFICACION!$E$2:$E$500,MATCH("PP1|"&amp;DF102,CODIFICACION!$F$2:$F$500,0))),"⚠"))</f>
        <v/>
      </c>
      <c r="CA102" t="str">
        <f>IF(DG102="","",IFERROR(IF(INDEX(CODIFICACION!$E$2:$E$500,MATCH("PP2|"&amp;DG102,CODIFICACION!$F$2:$F$500,0))="sin dato","",INDEX(CODIFICACION!$E$2:$E$500,MATCH("PP2|"&amp;DG102,CODIFICACION!$F$2:$F$500,0))),"⚠"))</f>
        <v/>
      </c>
      <c r="CB102" t="str">
        <f t="shared" si="89"/>
        <v/>
      </c>
      <c r="CC102" t="str">
        <f t="shared" ca="1" si="90"/>
        <v/>
      </c>
      <c r="CD102" t="str">
        <f t="shared" ca="1" si="91"/>
        <v/>
      </c>
      <c r="CE102" t="str">
        <f t="shared" si="92"/>
        <v/>
      </c>
      <c r="CF102" t="str">
        <f t="shared" si="93"/>
        <v/>
      </c>
      <c r="CG102" t="str">
        <f t="shared" ca="1" si="94"/>
        <v/>
      </c>
      <c r="CH102" t="str">
        <f t="shared" ca="1" si="95"/>
        <v/>
      </c>
      <c r="CI102" t="str">
        <f t="shared" si="96"/>
        <v/>
      </c>
      <c r="CJ102" t="str">
        <f t="shared" si="97"/>
        <v/>
      </c>
      <c r="CK102" t="str">
        <f t="shared" si="98"/>
        <v/>
      </c>
      <c r="CL102" t="str">
        <f t="shared" si="99"/>
        <v/>
      </c>
    </row>
    <row r="103" spans="1:90" x14ac:dyDescent="0.3">
      <c r="A103">
        <f>CAPTURA!A103</f>
        <v>20600029887</v>
      </c>
      <c r="B103">
        <f>CAPTURA!C103</f>
        <v>0</v>
      </c>
      <c r="C103" t="str">
        <f t="shared" si="75"/>
        <v/>
      </c>
      <c r="D103" t="str">
        <f>IF(AE103="","",IFERROR(IF(INDEX(CODIFICACION!$E$2:$E$500,MATCH("P8|"&amp;AE103,CODIFICACION!$F$2:$F$500,0))="sin dato","",INDEX(CODIFICACION!$E$2:$E$500,MATCH("P8|"&amp;AE103,CODIFICACION!$F$2:$F$500,0))),"⚠"))</f>
        <v/>
      </c>
      <c r="E103" t="str">
        <f>IF(AG103="","",IFERROR(IF(INDEX(CODIFICACION!$E$2:$E$500,MATCH("P10|"&amp;AG103,CODIFICACION!$F$2:$F$500,0))="sin dato","",INDEX(CODIFICACION!$E$2:$E$500,MATCH("P10|"&amp;AG103,CODIFICACION!$F$2:$F$500,0))),"⚠"))</f>
        <v/>
      </c>
      <c r="F103" t="str">
        <f>IF(AJ103="","",IFERROR(IF(INDEX(CODIFICACION!$E$2:$E$500,MATCH("P13|"&amp;AJ103,CODIFICACION!$F$2:$F$500,0))="sin dato","",INDEX(CODIFICACION!$E$2:$E$500,MATCH("P13|"&amp;AJ103,CODIFICACION!$F$2:$F$500,0))),"⚠"))</f>
        <v/>
      </c>
      <c r="G103" t="str">
        <f>IF(AK103="","",IFERROR(IF(INDEX(CODIFICACION!$E$2:$E$500,MATCH("P14|"&amp;AK103,CODIFICACION!$F$2:$F$500,0))="sin dato","",INDEX(CODIFICACION!$E$2:$E$500,MATCH("P14|"&amp;AK103,CODIFICACION!$F$2:$F$500,0))),"⚠"))</f>
        <v/>
      </c>
      <c r="H103" t="str">
        <f>IF(AL103="","",IFERROR(IF(INDEX(CODIFICACION!$E$2:$E$500,MATCH("D1.1|"&amp;AL103,CODIFICACION!$F$2:$F$500,0))="sin dato","",INDEX(CODIFICACION!$E$2:$E$500,MATCH("D1.1|"&amp;AL103,CODIFICACION!$F$2:$F$500,0))),"⚠"))</f>
        <v/>
      </c>
      <c r="I103" t="str">
        <f>IF(AN103="","",IFERROR(IF(INDEX(CODIFICACION!$E$2:$E$500,MATCH("D1.3|"&amp;AN103,CODIFICACION!$F$2:$F$500,0))="sin dato","",INDEX(CODIFICACION!$E$2:$E$500,MATCH("D1.3|"&amp;AN103,CODIFICACION!$F$2:$F$500,0))),"⚠"))</f>
        <v/>
      </c>
      <c r="J103" t="str">
        <f>IF(AO103="","",IFERROR(IF(INDEX(CODIFICACION!$E$2:$E$500,MATCH("D1.4|"&amp;AO103,CODIFICACION!$F$2:$F$500,0))="sin dato","",INDEX(CODIFICACION!$E$2:$E$500,MATCH("D1.4|"&amp;AO103,CODIFICACION!$F$2:$F$500,0))),"⚠"))</f>
        <v/>
      </c>
      <c r="K103" t="str">
        <f>IF(AP103="","",IFERROR(IF(INDEX(CODIFICACION!$E$2:$E$500,MATCH("D1.3a|"&amp;AP103,CODIFICACION!$F$2:$F$500,0))="sin dato","",INDEX(CODIFICACION!$E$2:$E$500,MATCH("D1.3a|"&amp;AP103,CODIFICACION!$F$2:$F$500,0))),"⚠"))</f>
        <v/>
      </c>
      <c r="L103" t="str">
        <f t="shared" si="76"/>
        <v/>
      </c>
      <c r="M103" t="str">
        <f t="shared" si="77"/>
        <v/>
      </c>
      <c r="N103" t="str">
        <f t="shared" si="78"/>
        <v/>
      </c>
      <c r="O103" t="str">
        <f>IF(AT103="","",IFERROR(IF(INDEX(CODIFICACION!$E$2:$E$500,MATCH("D2.8|"&amp;AT103,CODIFICACION!$F$2:$F$500,0))="sin dato","",INDEX(CODIFICACION!$E$2:$E$500,MATCH("D2.8|"&amp;AT103,CODIFICACION!$F$2:$F$500,0))),"⚠"))</f>
        <v/>
      </c>
      <c r="P103" t="str">
        <f>IF(AU103="","",IFERROR(IF(INDEX(CODIFICACION!$E$2:$E$500,MATCH("D2.9|"&amp;AU103,CODIFICACION!$F$2:$F$500,0))="sin dato","",INDEX(CODIFICACION!$E$2:$E$500,MATCH("D2.9|"&amp;AU103,CODIFICACION!$F$2:$F$500,0))),"⚠"))</f>
        <v/>
      </c>
      <c r="Q103" t="str">
        <f>IF(AV103="","",IFERROR(IF(INDEX(CODIFICACION!$E$2:$E$500,MATCH("D2.10|"&amp;AV103,CODIFICACION!$F$2:$F$500,0))="sin dato","",INDEX(CODIFICACION!$E$2:$E$500,MATCH("D2.10|"&amp;AV103,CODIFICACION!$F$2:$F$500,0))),"⚠"))</f>
        <v/>
      </c>
      <c r="R103" t="str">
        <f>IF(AW103="","",IFERROR(IF(INDEX(CODIFICACION!$E$2:$E$500,MATCH("D2.5a|"&amp;AW103,CODIFICACION!$F$2:$F$500,0))="sin dato","",INDEX(CODIFICACION!$E$2:$E$500,MATCH("D2.5a|"&amp;AW103,CODIFICACION!$F$2:$F$500,0))),"⚠"))</f>
        <v/>
      </c>
      <c r="S103" t="str">
        <f ca="1">IF(AX103="","",IFERROR(IF(INDEX(CODIFICACION!$E$2:$E$500,MATCH("D2.5b|"&amp;AX103,CODIFICACION!$F$2:$F$500,0))="sin dato","",INDEX(CODIFICACION!$E$2:$E$500,MATCH("D2.5b|"&amp;AX103,CODIFICACION!$F$2:$F$500,0))),"⚠"))</f>
        <v/>
      </c>
      <c r="T103" t="str">
        <f t="shared" ca="1" si="79"/>
        <v/>
      </c>
      <c r="U103" t="str">
        <f>IF(AZ103="","",IFERROR(IF(INDEX(CODIFICACION!$E$2:$E$500,MATCH("D3.12|"&amp;AZ103,CODIFICACION!$F$2:$F$500,0))="sin dato","",INDEX(CODIFICACION!$E$2:$E$500,MATCH("D3.12|"&amp;AZ103,CODIFICACION!$F$2:$F$500,0))),"⚠"))</f>
        <v/>
      </c>
      <c r="V103" t="str">
        <f t="shared" si="80"/>
        <v/>
      </c>
      <c r="W103" t="str">
        <f ca="1">IF(BB103="","",IFERROR(IF(INDEX(CODIFICACION!$E$2:$E$500,MATCH("D3.14|"&amp;BB103,CODIFICACION!$F$2:$F$500,0))="sin dato","",INDEX(CODIFICACION!$E$2:$E$500,MATCH("D3.14|"&amp;BB103,CODIFICACION!$F$2:$F$500,0))),"⚠"))</f>
        <v/>
      </c>
      <c r="X103" t="str">
        <f ca="1">IF(BC103="","",IFERROR(IF(INDEX(CODIFICACION!$E$2:$E$500,MATCH("D3.14a|"&amp;BC103,CODIFICACION!$F$2:$F$500,0))="sin dato","",INDEX(CODIFICACION!$E$2:$E$500,MATCH("D3.14a|"&amp;BC103,CODIFICACION!$F$2:$F$500,0))),"⚠"))</f>
        <v/>
      </c>
      <c r="Y103" t="str">
        <f>IF(BD103="","",IFERROR(IF(INDEX(CODIFICACION!$E$2:$E$500,MATCH("D3.14b|"&amp;BD103,CODIFICACION!$F$2:$F$500,0))="sin dato","",INDEX(CODIFICACION!$E$2:$E$500,MATCH("D3.14b|"&amp;BD103,CODIFICACION!$F$2:$F$500,0))),"⚠"))</f>
        <v/>
      </c>
      <c r="Z103" t="str">
        <f>IF(BE103="","",IFERROR(IF(INDEX(CODIFICACION!$E$2:$E$500,MATCH("D3.14c|"&amp;BE103,CODIFICACION!$F$2:$F$500,0))="sin dato","",INDEX(CODIFICACION!$E$2:$E$500,MATCH("D3.14c|"&amp;BE103,CODIFICACION!$F$2:$F$500,0))),"⚠"))</f>
        <v/>
      </c>
      <c r="AA103" t="str">
        <f>IF(BF103="","",IFERROR(IF(INDEX(CODIFICACION!$E$2:$E$500,MATCH("D3.14d|"&amp;BF103,CODIFICACION!$F$2:$F$500,0))="sin dato","",INDEX(CODIFICACION!$E$2:$E$500,MATCH("D3.14d|"&amp;BF103,CODIFICACION!$F$2:$F$500,0))),"⚠"))</f>
        <v/>
      </c>
      <c r="AB103" t="str">
        <f>IF(BG103="","",IFERROR(IF(INDEX(CODIFICACION!$E$2:$E$500,MATCH("D3.14e|"&amp;BG103,CODIFICACION!$F$2:$F$500,0))="sin dato","",INDEX(CODIFICACION!$E$2:$E$500,MATCH("D3.14e|"&amp;BG103,CODIFICACION!$F$2:$F$500,0))),"⚠"))</f>
        <v/>
      </c>
      <c r="AC103" t="str">
        <f>IF(BH103="","",IFERROR(IF(INDEX(CODIFICACION!$E$2:$E$500,MATCH("D3.14f|"&amp;BH103,CODIFICACION!$F$2:$F$500,0))="sin dato","",INDEX(CODIFICACION!$E$2:$E$500,MATCH("D3.14f|"&amp;BH103,CODIFICACION!$F$2:$F$500,0))),"⚠"))</f>
        <v/>
      </c>
      <c r="AD103" t="str">
        <f>IF(BI103="","",IFERROR(IF(INDEX(CODIFICACION!$E$2:$E$500,MATCH("D3.14g|"&amp;BI103,CODIFICACION!$F$2:$F$500,0))="sin dato","",INDEX(CODIFICACION!$E$2:$E$500,MATCH("D3.14g|"&amp;BI103,CODIFICACION!$F$2:$F$500,0))),"⚠"))</f>
        <v/>
      </c>
      <c r="AE103" t="str">
        <f>IF(BJ103="","",IFERROR(IF(INDEX(CODIFICACION!$E$2:$E$500,MATCH("D3.14h|"&amp;BJ103,CODIFICACION!$F$2:$F$500,0))="sin dato","",INDEX(CODIFICACION!$E$2:$E$500,MATCH("D3.14h|"&amp;BJ103,CODIFICACION!$F$2:$F$500,0))),"⚠"))</f>
        <v/>
      </c>
      <c r="AF103" t="str">
        <f>IF(BK103="","",IFERROR(IF(INDEX(CODIFICACION!$E$2:$E$500,MATCH("D3.14i|"&amp;BK103,CODIFICACION!$F$2:$F$500,0))="sin dato","",INDEX(CODIFICACION!$E$2:$E$500,MATCH("D3.14i|"&amp;BK103,CODIFICACION!$F$2:$F$500,0))),"⚠"))</f>
        <v/>
      </c>
      <c r="AG103" t="str">
        <f>IF(BL103="","",IFERROR(IF(INDEX(CODIFICACION!$E$2:$E$500,MATCH("D4.15|"&amp;BL103,CODIFICACION!$F$2:$F$500,0))="sin dato","",INDEX(CODIFICACION!$E$2:$E$500,MATCH("D4.15|"&amp;BL103,CODIFICACION!$F$2:$F$500,0))),"⚠"))</f>
        <v/>
      </c>
      <c r="AH103" t="str">
        <f t="shared" si="81"/>
        <v/>
      </c>
      <c r="AI103" t="str">
        <f>IF(BN103="","",IFERROR(IF(INDEX(CODIFICACION!$E$2:$E$500,MATCH("D4.17|"&amp;BN103,CODIFICACION!$F$2:$F$500,0))="sin dato","",INDEX(CODIFICACION!$E$2:$E$500,MATCH("D4.17|"&amp;BN103,CODIFICACION!$F$2:$F$500,0))),"⚠"))</f>
        <v/>
      </c>
      <c r="AJ103" t="str">
        <f>IF(BO103="","",IFERROR(IF(INDEX(CODIFICACION!$E$2:$E$500,MATCH("D4.15a|"&amp;BO103,CODIFICACION!$F$2:$F$500,0))="sin dato","",INDEX(CODIFICACION!$E$2:$E$500,MATCH("D4.15a|"&amp;BO103,CODIFICACION!$F$2:$F$500,0))),"⚠"))</f>
        <v/>
      </c>
      <c r="AK103" t="str">
        <f t="shared" si="82"/>
        <v/>
      </c>
      <c r="AL103" t="str">
        <f t="shared" si="83"/>
        <v/>
      </c>
      <c r="AM103" t="str">
        <f>IF(BR103="","",IFERROR(IF(INDEX(CODIFICACION!$E$2:$E$500,MATCH("D5.18b|"&amp;BR103,CODIFICACION!$F$2:$F$500,0))="sin dato","",INDEX(CODIFICACION!$E$2:$E$500,MATCH("D5.18b|"&amp;BR103,CODIFICACION!$F$2:$F$500,0))),"⚠"))</f>
        <v/>
      </c>
      <c r="AN103" t="str">
        <f>IF(BS103="","",IFERROR(IF(INDEX(CODIFICACION!$E$2:$E$500,MATCH("D5.19|"&amp;BS103,CODIFICACION!$F$2:$F$500,0))="sin dato","",INDEX(CODIFICACION!$E$2:$E$500,MATCH("D5.19|"&amp;BS103,CODIFICACION!$F$2:$F$500,0))),"⚠"))</f>
        <v/>
      </c>
      <c r="AO103" t="str">
        <f t="shared" si="84"/>
        <v/>
      </c>
      <c r="AP103" t="str">
        <f>IF(BU103="","",IFERROR(IF(INDEX(CODIFICACION!$E$2:$E$500,MATCH("D5.20|"&amp;BU103,CODIFICACION!$F$2:$F$500,0))="sin dato","",INDEX(CODIFICACION!$E$2:$E$500,MATCH("D5.20|"&amp;BU103,CODIFICACION!$F$2:$F$500,0))),"⚠"))</f>
        <v/>
      </c>
      <c r="AQ103" t="str">
        <f>IF(BV103="","",IFERROR(IF(INDEX(CODIFICACION!$E$2:$E$500,MATCH("D5.21|"&amp;BV103,CODIFICACION!$F$2:$F$500,0))="sin dato","",INDEX(CODIFICACION!$E$2:$E$500,MATCH("D5.21|"&amp;BV103,CODIFICACION!$F$2:$F$500,0))),"⚠"))</f>
        <v/>
      </c>
      <c r="AR103" t="str">
        <f>IF(BW103="","",IFERROR(IF(INDEX(CODIFICACION!$E$2:$E$500,MATCH("D5.21a|"&amp;BW103,CODIFICACION!$F$2:$F$500,0))="sin dato","",INDEX(CODIFICACION!$E$2:$E$500,MATCH("D5.21a|"&amp;BW103,CODIFICACION!$F$2:$F$500,0))),"⚠"))</f>
        <v/>
      </c>
      <c r="AS103" t="str">
        <f>IF(BX103="","",IFERROR(IF(INDEX(CODIFICACION!$E$2:$E$500,MATCH("D5.21b|"&amp;BX103,CODIFICACION!$F$2:$F$500,0))="sin dato","",INDEX(CODIFICACION!$E$2:$E$500,MATCH("D5.21b|"&amp;BX103,CODIFICACION!$F$2:$F$500,0))),"⚠"))</f>
        <v/>
      </c>
      <c r="AT103" t="str">
        <f>IF(BY103="","",IFERROR(IF(INDEX(CODIFICACION!$E$2:$E$500,MATCH("D6.22|"&amp;BY103,CODIFICACION!$F$2:$F$500,0))="sin dato","",INDEX(CODIFICACION!$E$2:$E$500,MATCH("D6.22|"&amp;BY103,CODIFICACION!$F$2:$F$500,0))),"⚠"))</f>
        <v/>
      </c>
      <c r="AU103" t="str">
        <f>IF(BZ103="","",IFERROR(IF(INDEX(CODIFICACION!$E$2:$E$500,MATCH("D6.22a|"&amp;BZ103,CODIFICACION!$F$2:$F$500,0))="sin dato","",INDEX(CODIFICACION!$E$2:$E$500,MATCH("D6.22a|"&amp;BZ103,CODIFICACION!$F$2:$F$500,0))),"⚠"))</f>
        <v/>
      </c>
      <c r="AV103" t="str">
        <f>IF(CA103="","",IFERROR(IF(INDEX(CODIFICACION!$E$2:$E$500,MATCH("D6.22b|"&amp;CA103,CODIFICACION!$F$2:$F$500,0))="sin dato","",INDEX(CODIFICACION!$E$2:$E$500,MATCH("D6.22b|"&amp;CA103,CODIFICACION!$F$2:$F$500,0))),"⚠"))</f>
        <v/>
      </c>
      <c r="AW103" t="str">
        <f>IF(CB103="","",IFERROR(IF(INDEX(CODIFICACION!$E$2:$E$500,MATCH("D6.23|"&amp;CB103,CODIFICACION!$F$2:$F$500,0))="sin dato","",INDEX(CODIFICACION!$E$2:$E$500,MATCH("D6.23|"&amp;CB103,CODIFICACION!$F$2:$F$500,0))),"⚠"))</f>
        <v/>
      </c>
      <c r="AX103" t="str">
        <f ca="1">IF(CC103="","",IFERROR(IF(INDEX(CODIFICACION!$E$2:$E$500,MATCH("D6.24|"&amp;CC103,CODIFICACION!$F$2:$F$500,0))="sin dato","",INDEX(CODIFICACION!$E$2:$E$500,MATCH("D6.24|"&amp;CC103,CODIFICACION!$F$2:$F$500,0))),"⚠"))</f>
        <v/>
      </c>
      <c r="AY103" t="str">
        <f ca="1">IF(CD103="","",IFERROR(IF(INDEX(CODIFICACION!$E$2:$E$500,MATCH("D6.25|"&amp;CD103,CODIFICACION!$F$2:$F$500,0))="sin dato","",INDEX(CODIFICACION!$E$2:$E$500,MATCH("D6.25|"&amp;CD103,CODIFICACION!$F$2:$F$500,0))),"⚠"))</f>
        <v/>
      </c>
      <c r="AZ103" t="str">
        <f>IF(CE103="","",IFERROR(IF(INDEX(CODIFICACION!$E$2:$E$500,MATCH("D6.25a|"&amp;CE103,CODIFICACION!$F$2:$F$500,0))="sin dato","",INDEX(CODIFICACION!$E$2:$E$500,MATCH("D6.25a|"&amp;CE103,CODIFICACION!$F$2:$F$500,0))),"⚠"))</f>
        <v/>
      </c>
      <c r="BA103" t="str">
        <f>IF(CF103="","",IFERROR(IF(INDEX(CODIFICACION!$E$2:$E$500,MATCH("D6.25b|"&amp;CF103,CODIFICACION!$F$2:$F$500,0))="sin dato","",INDEX(CODIFICACION!$E$2:$E$500,MATCH("D6.25b|"&amp;CF103,CODIFICACION!$F$2:$F$500,0))),"⚠"))</f>
        <v/>
      </c>
      <c r="BB103" t="str">
        <f ca="1">IF(CG103="","",IFERROR(IF(INDEX(CODIFICACION!$E$2:$E$500,MATCH("D6.22c|"&amp;CG103,CODIFICACION!$F$2:$F$500,0))="sin dato","",INDEX(CODIFICACION!$E$2:$E$500,MATCH("D6.22c|"&amp;CG103,CODIFICACION!$F$2:$F$500,0))),"⚠"))</f>
        <v/>
      </c>
      <c r="BC103" t="str">
        <f ca="1">IF(CH103="","",IFERROR(IF(INDEX(CODIFICACION!$E$2:$E$500,MATCH("D7.26|"&amp;CH103,CODIFICACION!$F$2:$F$500,0))="sin dato","",INDEX(CODIFICACION!$E$2:$E$500,MATCH("D7.26|"&amp;CH103,CODIFICACION!$F$2:$F$500,0))),"⚠"))</f>
        <v/>
      </c>
      <c r="BD103" t="str">
        <f>IF(CI103="","",IFERROR(IF(INDEX(CODIFICACION!$E$2:$E$500,MATCH("D7.27|"&amp;CI103,CODIFICACION!$F$2:$F$500,0))="sin dato","",INDEX(CODIFICACION!$E$2:$E$500,MATCH("D7.27|"&amp;CI103,CODIFICACION!$F$2:$F$500,0))),"⚠"))</f>
        <v/>
      </c>
      <c r="BE103" t="str">
        <f>IF(CJ103="","",IFERROR(IF(INDEX(CODIFICACION!$E$2:$E$500,MATCH("D7.28|"&amp;CJ103,CODIFICACION!$F$2:$F$500,0))="sin dato","",INDEX(CODIFICACION!$E$2:$E$500,MATCH("D7.28|"&amp;CJ103,CODIFICACION!$F$2:$F$500,0))),"⚠"))</f>
        <v/>
      </c>
      <c r="BF103" t="str">
        <f>IF(CK103="","",IFERROR(IF(INDEX(CODIFICACION!$E$2:$E$500,MATCH("D7.28b|"&amp;CK103,CODIFICACION!$F$2:$F$500,0))="sin dato","",INDEX(CODIFICACION!$E$2:$E$500,MATCH("D7.28b|"&amp;CK103,CODIFICACION!$F$2:$F$500,0))),"⚠"))</f>
        <v/>
      </c>
      <c r="BG103" t="str">
        <f t="shared" si="85"/>
        <v/>
      </c>
      <c r="BH103" t="str">
        <f>IF(CM103="","",IFERROR(IF(INDEX(CODIFICACION!$E$2:$E$500,MATCH("D7.26a|"&amp;CM103,CODIFICACION!$F$2:$F$500,0))="sin dato","",INDEX(CODIFICACION!$E$2:$E$500,MATCH("D7.26a|"&amp;CM103,CODIFICACION!$F$2:$F$500,0))),"⚠"))</f>
        <v/>
      </c>
      <c r="BI103" t="str">
        <f>IF(CN103="","",IFERROR(IF(INDEX(CODIFICACION!$E$2:$E$500,MATCH("D7.26b|"&amp;CN103,CODIFICACION!$F$2:$F$500,0))="sin dato","",INDEX(CODIFICACION!$E$2:$E$500,MATCH("D7.26b|"&amp;CN103,CODIFICACION!$F$2:$F$500,0))),"⚠"))</f>
        <v/>
      </c>
      <c r="BJ103" t="str">
        <f t="shared" si="86"/>
        <v/>
      </c>
      <c r="BK103" t="str">
        <f t="shared" si="87"/>
        <v/>
      </c>
      <c r="BL103" t="str">
        <f>IF(CQ103="","",IFERROR(IF(INDEX(CODIFICACION!$E$2:$E$500,MATCH("D8.31|"&amp;CQ103,CODIFICACION!$F$2:$F$500,0))="sin dato","",INDEX(CODIFICACION!$E$2:$E$500,MATCH("D8.31|"&amp;CQ103,CODIFICACION!$F$2:$F$500,0))),"⚠"))</f>
        <v/>
      </c>
      <c r="BM103" t="str">
        <f>IF(CR103="","",IFERROR(IF(INDEX(CODIFICACION!$E$2:$E$500,MATCH("D8.32|"&amp;CR103,CODIFICACION!$F$2:$F$500,0))="sin dato","",INDEX(CODIFICACION!$E$2:$E$500,MATCH("D8.32|"&amp;CR103,CODIFICACION!$F$2:$F$500,0))),"⚠"))</f>
        <v/>
      </c>
      <c r="BN103" t="str">
        <f>IF(CS103="","",IFERROR(IF(INDEX(CODIFICACION!$E$2:$E$500,MATCH("D9.33|"&amp;CS103,CODIFICACION!$F$2:$F$500,0))="sin dato","",INDEX(CODIFICACION!$E$2:$E$500,MATCH("D9.33|"&amp;CS103,CODIFICACION!$F$2:$F$500,0))),"⚠"))</f>
        <v/>
      </c>
      <c r="BO103" t="str">
        <f>IF(CT103="","",IFERROR(IF(INDEX(CODIFICACION!$E$2:$E$500,MATCH("D9.34|"&amp;CT103,CODIFICACION!$F$2:$F$500,0))="sin dato","",INDEX(CODIFICACION!$E$2:$E$500,MATCH("D9.34|"&amp;CT103,CODIFICACION!$F$2:$F$500,0))),"⚠"))</f>
        <v/>
      </c>
      <c r="BP103" t="str">
        <f>IF(CU103="","",IFERROR(IF(INDEX(CODIFICACION!$E$2:$E$500,MATCH("D9.35|"&amp;CU103,CODIFICACION!$F$2:$F$500,0))="sin dato","",INDEX(CODIFICACION!$E$2:$E$500,MATCH("D9.35|"&amp;CU103,CODIFICACION!$F$2:$F$500,0))),"⚠"))</f>
        <v/>
      </c>
      <c r="BQ103" t="str">
        <f>IF(CV103="","",IFERROR(IF(INDEX(CODIFICACION!$E$2:$E$500,MATCH("D10.36|"&amp;CV103,CODIFICACION!$F$2:$F$500,0))="sin dato","",INDEX(CODIFICACION!$E$2:$E$500,MATCH("D10.36|"&amp;CV103,CODIFICACION!$F$2:$F$500,0))),"⚠"))</f>
        <v/>
      </c>
      <c r="BR103" t="str">
        <f>IF(CW103="","",IFERROR(IF(INDEX(CODIFICACION!$E$2:$E$500,MATCH("D10.37|"&amp;CW103,CODIFICACION!$F$2:$F$500,0))="sin dato","",INDEX(CODIFICACION!$E$2:$E$500,MATCH("D10.37|"&amp;CW103,CODIFICACION!$F$2:$F$500,0))),"⚠"))</f>
        <v/>
      </c>
      <c r="BS103" t="str">
        <f>IF(CX103="","",IFERROR(IF(INDEX(CODIFICACION!$E$2:$E$500,MATCH("D10.36a|"&amp;CX103,CODIFICACION!$F$2:$F$500,0))="sin dato","",INDEX(CODIFICACION!$E$2:$E$500,MATCH("D10.36a|"&amp;CX103,CODIFICACION!$F$2:$F$500,0))),"⚠"))</f>
        <v/>
      </c>
      <c r="BT103" t="str">
        <f t="shared" si="88"/>
        <v/>
      </c>
      <c r="BU103" t="str">
        <f>IF(DA103="","",IFERROR(IF(INDEX(CODIFICACION!$E$2:$E$500,MATCH("D11.39a|"&amp;DA103,CODIFICACION!$F$2:$F$500,0))="sin dato","",INDEX(CODIFICACION!$E$2:$E$500,MATCH("D11.39a|"&amp;DA103,CODIFICACION!$F$2:$F$500,0))),"⚠"))</f>
        <v/>
      </c>
      <c r="BV103" t="str">
        <f>IF(DB103="","",IFERROR(IF(INDEX(CODIFICACION!$E$2:$E$500,MATCH("D12.42|"&amp;DB103,CODIFICACION!$F$2:$F$500,0))="sin dato","",INDEX(CODIFICACION!$E$2:$E$500,MATCH("D12.42|"&amp;DB103,CODIFICACION!$F$2:$F$500,0))),"⚠"))</f>
        <v/>
      </c>
      <c r="BW103" t="str">
        <f>IF(DC103="","",IFERROR(IF(INDEX(CODIFICACION!$E$2:$E$500,MATCH("D13.45|"&amp;DC103,CODIFICACION!$F$2:$F$500,0))="sin dato","",INDEX(CODIFICACION!$E$2:$E$500,MATCH("D13.45|"&amp;DC103,CODIFICACION!$F$2:$F$500,0))),"⚠"))</f>
        <v/>
      </c>
      <c r="BX103" t="str">
        <f>IF(DD103="","",IFERROR(IF(INDEX(CODIFICACION!$E$2:$E$500,MATCH("D14.51|"&amp;DD103,CODIFICACION!$F$2:$F$500,0))="sin dato","",INDEX(CODIFICACION!$E$2:$E$500,MATCH("D14.51|"&amp;DD103,CODIFICACION!$F$2:$F$500,0))),"⚠"))</f>
        <v/>
      </c>
      <c r="BY103" t="str">
        <f>IF(DE103="","",IFERROR(IF(INDEX(CODIFICACION!$E$2:$E$500,MATCH("D15.58|"&amp;DE103,CODIFICACION!$F$2:$F$500,0))="sin dato","",INDEX(CODIFICACION!$E$2:$E$500,MATCH("D15.58|"&amp;DE103,CODIFICACION!$F$2:$F$500,0))),"⚠"))</f>
        <v/>
      </c>
      <c r="BZ103" t="str">
        <f>IF(DF103="","",IFERROR(IF(INDEX(CODIFICACION!$E$2:$E$500,MATCH("PP1|"&amp;DF103,CODIFICACION!$F$2:$F$500,0))="sin dato","",INDEX(CODIFICACION!$E$2:$E$500,MATCH("PP1|"&amp;DF103,CODIFICACION!$F$2:$F$500,0))),"⚠"))</f>
        <v/>
      </c>
      <c r="CA103" t="str">
        <f>IF(DG103="","",IFERROR(IF(INDEX(CODIFICACION!$E$2:$E$500,MATCH("PP2|"&amp;DG103,CODIFICACION!$F$2:$F$500,0))="sin dato","",INDEX(CODIFICACION!$E$2:$E$500,MATCH("PP2|"&amp;DG103,CODIFICACION!$F$2:$F$500,0))),"⚠"))</f>
        <v/>
      </c>
      <c r="CB103" t="str">
        <f t="shared" si="89"/>
        <v/>
      </c>
      <c r="CC103" t="str">
        <f t="shared" ca="1" si="90"/>
        <v/>
      </c>
      <c r="CD103" t="str">
        <f t="shared" ca="1" si="91"/>
        <v/>
      </c>
      <c r="CE103" t="str">
        <f t="shared" si="92"/>
        <v/>
      </c>
      <c r="CF103" t="str">
        <f t="shared" si="93"/>
        <v/>
      </c>
      <c r="CG103" t="str">
        <f t="shared" ca="1" si="94"/>
        <v/>
      </c>
      <c r="CH103" t="str">
        <f t="shared" ca="1" si="95"/>
        <v/>
      </c>
      <c r="CI103" t="str">
        <f t="shared" si="96"/>
        <v/>
      </c>
      <c r="CJ103" t="str">
        <f t="shared" si="97"/>
        <v/>
      </c>
      <c r="CK103" t="str">
        <f t="shared" si="98"/>
        <v/>
      </c>
      <c r="CL103" t="str">
        <f t="shared" si="99"/>
        <v/>
      </c>
    </row>
    <row r="104" spans="1:90" x14ac:dyDescent="0.3">
      <c r="A104">
        <f>CAPTURA!A104</f>
        <v>20600146689</v>
      </c>
      <c r="B104">
        <f>CAPTURA!C104</f>
        <v>0</v>
      </c>
      <c r="C104" t="str">
        <f t="shared" si="75"/>
        <v/>
      </c>
      <c r="D104" t="str">
        <f>IF(AE104="","",IFERROR(IF(INDEX(CODIFICACION!$E$2:$E$500,MATCH("P8|"&amp;AE104,CODIFICACION!$F$2:$F$500,0))="sin dato","",INDEX(CODIFICACION!$E$2:$E$500,MATCH("P8|"&amp;AE104,CODIFICACION!$F$2:$F$500,0))),"⚠"))</f>
        <v/>
      </c>
      <c r="E104" t="str">
        <f>IF(AG104="","",IFERROR(IF(INDEX(CODIFICACION!$E$2:$E$500,MATCH("P10|"&amp;AG104,CODIFICACION!$F$2:$F$500,0))="sin dato","",INDEX(CODIFICACION!$E$2:$E$500,MATCH("P10|"&amp;AG104,CODIFICACION!$F$2:$F$500,0))),"⚠"))</f>
        <v/>
      </c>
      <c r="F104" t="str">
        <f>IF(AJ104="","",IFERROR(IF(INDEX(CODIFICACION!$E$2:$E$500,MATCH("P13|"&amp;AJ104,CODIFICACION!$F$2:$F$500,0))="sin dato","",INDEX(CODIFICACION!$E$2:$E$500,MATCH("P13|"&amp;AJ104,CODIFICACION!$F$2:$F$500,0))),"⚠"))</f>
        <v/>
      </c>
      <c r="G104" t="str">
        <f>IF(AK104="","",IFERROR(IF(INDEX(CODIFICACION!$E$2:$E$500,MATCH("P14|"&amp;AK104,CODIFICACION!$F$2:$F$500,0))="sin dato","",INDEX(CODIFICACION!$E$2:$E$500,MATCH("P14|"&amp;AK104,CODIFICACION!$F$2:$F$500,0))),"⚠"))</f>
        <v/>
      </c>
      <c r="H104" t="str">
        <f>IF(AL104="","",IFERROR(IF(INDEX(CODIFICACION!$E$2:$E$500,MATCH("D1.1|"&amp;AL104,CODIFICACION!$F$2:$F$500,0))="sin dato","",INDEX(CODIFICACION!$E$2:$E$500,MATCH("D1.1|"&amp;AL104,CODIFICACION!$F$2:$F$500,0))),"⚠"))</f>
        <v/>
      </c>
      <c r="I104" t="str">
        <f>IF(AN104="","",IFERROR(IF(INDEX(CODIFICACION!$E$2:$E$500,MATCH("D1.3|"&amp;AN104,CODIFICACION!$F$2:$F$500,0))="sin dato","",INDEX(CODIFICACION!$E$2:$E$500,MATCH("D1.3|"&amp;AN104,CODIFICACION!$F$2:$F$500,0))),"⚠"))</f>
        <v/>
      </c>
      <c r="J104" t="str">
        <f>IF(AO104="","",IFERROR(IF(INDEX(CODIFICACION!$E$2:$E$500,MATCH("D1.4|"&amp;AO104,CODIFICACION!$F$2:$F$500,0))="sin dato","",INDEX(CODIFICACION!$E$2:$E$500,MATCH("D1.4|"&amp;AO104,CODIFICACION!$F$2:$F$500,0))),"⚠"))</f>
        <v/>
      </c>
      <c r="K104" t="str">
        <f>IF(AP104="","",IFERROR(IF(INDEX(CODIFICACION!$E$2:$E$500,MATCH("D1.3a|"&amp;AP104,CODIFICACION!$F$2:$F$500,0))="sin dato","",INDEX(CODIFICACION!$E$2:$E$500,MATCH("D1.3a|"&amp;AP104,CODIFICACION!$F$2:$F$500,0))),"⚠"))</f>
        <v/>
      </c>
      <c r="L104" t="str">
        <f t="shared" si="76"/>
        <v/>
      </c>
      <c r="M104" t="str">
        <f t="shared" si="77"/>
        <v/>
      </c>
      <c r="N104" t="str">
        <f t="shared" si="78"/>
        <v/>
      </c>
      <c r="O104" t="str">
        <f>IF(AT104="","",IFERROR(IF(INDEX(CODIFICACION!$E$2:$E$500,MATCH("D2.8|"&amp;AT104,CODIFICACION!$F$2:$F$500,0))="sin dato","",INDEX(CODIFICACION!$E$2:$E$500,MATCH("D2.8|"&amp;AT104,CODIFICACION!$F$2:$F$500,0))),"⚠"))</f>
        <v/>
      </c>
      <c r="P104" t="str">
        <f>IF(AU104="","",IFERROR(IF(INDEX(CODIFICACION!$E$2:$E$500,MATCH("D2.9|"&amp;AU104,CODIFICACION!$F$2:$F$500,0))="sin dato","",INDEX(CODIFICACION!$E$2:$E$500,MATCH("D2.9|"&amp;AU104,CODIFICACION!$F$2:$F$500,0))),"⚠"))</f>
        <v/>
      </c>
      <c r="Q104" t="str">
        <f>IF(AV104="","",IFERROR(IF(INDEX(CODIFICACION!$E$2:$E$500,MATCH("D2.10|"&amp;AV104,CODIFICACION!$F$2:$F$500,0))="sin dato","",INDEX(CODIFICACION!$E$2:$E$500,MATCH("D2.10|"&amp;AV104,CODIFICACION!$F$2:$F$500,0))),"⚠"))</f>
        <v/>
      </c>
      <c r="R104" t="str">
        <f>IF(AW104="","",IFERROR(IF(INDEX(CODIFICACION!$E$2:$E$500,MATCH("D2.5a|"&amp;AW104,CODIFICACION!$F$2:$F$500,0))="sin dato","",INDEX(CODIFICACION!$E$2:$E$500,MATCH("D2.5a|"&amp;AW104,CODIFICACION!$F$2:$F$500,0))),"⚠"))</f>
        <v/>
      </c>
      <c r="S104" t="str">
        <f ca="1">IF(AX104="","",IFERROR(IF(INDEX(CODIFICACION!$E$2:$E$500,MATCH("D2.5b|"&amp;AX104,CODIFICACION!$F$2:$F$500,0))="sin dato","",INDEX(CODIFICACION!$E$2:$E$500,MATCH("D2.5b|"&amp;AX104,CODIFICACION!$F$2:$F$500,0))),"⚠"))</f>
        <v/>
      </c>
      <c r="T104" t="str">
        <f t="shared" ca="1" si="79"/>
        <v/>
      </c>
      <c r="U104" t="str">
        <f>IF(AZ104="","",IFERROR(IF(INDEX(CODIFICACION!$E$2:$E$500,MATCH("D3.12|"&amp;AZ104,CODIFICACION!$F$2:$F$500,0))="sin dato","",INDEX(CODIFICACION!$E$2:$E$500,MATCH("D3.12|"&amp;AZ104,CODIFICACION!$F$2:$F$500,0))),"⚠"))</f>
        <v/>
      </c>
      <c r="V104" t="str">
        <f t="shared" si="80"/>
        <v/>
      </c>
      <c r="W104" t="str">
        <f ca="1">IF(BB104="","",IFERROR(IF(INDEX(CODIFICACION!$E$2:$E$500,MATCH("D3.14|"&amp;BB104,CODIFICACION!$F$2:$F$500,0))="sin dato","",INDEX(CODIFICACION!$E$2:$E$500,MATCH("D3.14|"&amp;BB104,CODIFICACION!$F$2:$F$500,0))),"⚠"))</f>
        <v/>
      </c>
      <c r="X104" t="str">
        <f ca="1">IF(BC104="","",IFERROR(IF(INDEX(CODIFICACION!$E$2:$E$500,MATCH("D3.14a|"&amp;BC104,CODIFICACION!$F$2:$F$500,0))="sin dato","",INDEX(CODIFICACION!$E$2:$E$500,MATCH("D3.14a|"&amp;BC104,CODIFICACION!$F$2:$F$500,0))),"⚠"))</f>
        <v/>
      </c>
      <c r="Y104" t="str">
        <f>IF(BD104="","",IFERROR(IF(INDEX(CODIFICACION!$E$2:$E$500,MATCH("D3.14b|"&amp;BD104,CODIFICACION!$F$2:$F$500,0))="sin dato","",INDEX(CODIFICACION!$E$2:$E$500,MATCH("D3.14b|"&amp;BD104,CODIFICACION!$F$2:$F$500,0))),"⚠"))</f>
        <v/>
      </c>
      <c r="Z104" t="str">
        <f>IF(BE104="","",IFERROR(IF(INDEX(CODIFICACION!$E$2:$E$500,MATCH("D3.14c|"&amp;BE104,CODIFICACION!$F$2:$F$500,0))="sin dato","",INDEX(CODIFICACION!$E$2:$E$500,MATCH("D3.14c|"&amp;BE104,CODIFICACION!$F$2:$F$500,0))),"⚠"))</f>
        <v/>
      </c>
      <c r="AA104" t="str">
        <f>IF(BF104="","",IFERROR(IF(INDEX(CODIFICACION!$E$2:$E$500,MATCH("D3.14d|"&amp;BF104,CODIFICACION!$F$2:$F$500,0))="sin dato","",INDEX(CODIFICACION!$E$2:$E$500,MATCH("D3.14d|"&amp;BF104,CODIFICACION!$F$2:$F$500,0))),"⚠"))</f>
        <v/>
      </c>
      <c r="AB104" t="str">
        <f>IF(BG104="","",IFERROR(IF(INDEX(CODIFICACION!$E$2:$E$500,MATCH("D3.14e|"&amp;BG104,CODIFICACION!$F$2:$F$500,0))="sin dato","",INDEX(CODIFICACION!$E$2:$E$500,MATCH("D3.14e|"&amp;BG104,CODIFICACION!$F$2:$F$500,0))),"⚠"))</f>
        <v/>
      </c>
      <c r="AC104" t="str">
        <f>IF(BH104="","",IFERROR(IF(INDEX(CODIFICACION!$E$2:$E$500,MATCH("D3.14f|"&amp;BH104,CODIFICACION!$F$2:$F$500,0))="sin dato","",INDEX(CODIFICACION!$E$2:$E$500,MATCH("D3.14f|"&amp;BH104,CODIFICACION!$F$2:$F$500,0))),"⚠"))</f>
        <v/>
      </c>
      <c r="AD104" t="str">
        <f>IF(BI104="","",IFERROR(IF(INDEX(CODIFICACION!$E$2:$E$500,MATCH("D3.14g|"&amp;BI104,CODIFICACION!$F$2:$F$500,0))="sin dato","",INDEX(CODIFICACION!$E$2:$E$500,MATCH("D3.14g|"&amp;BI104,CODIFICACION!$F$2:$F$500,0))),"⚠"))</f>
        <v/>
      </c>
      <c r="AE104" t="str">
        <f>IF(BJ104="","",IFERROR(IF(INDEX(CODIFICACION!$E$2:$E$500,MATCH("D3.14h|"&amp;BJ104,CODIFICACION!$F$2:$F$500,0))="sin dato","",INDEX(CODIFICACION!$E$2:$E$500,MATCH("D3.14h|"&amp;BJ104,CODIFICACION!$F$2:$F$500,0))),"⚠"))</f>
        <v/>
      </c>
      <c r="AF104" t="str">
        <f>IF(BK104="","",IFERROR(IF(INDEX(CODIFICACION!$E$2:$E$500,MATCH("D3.14i|"&amp;BK104,CODIFICACION!$F$2:$F$500,0))="sin dato","",INDEX(CODIFICACION!$E$2:$E$500,MATCH("D3.14i|"&amp;BK104,CODIFICACION!$F$2:$F$500,0))),"⚠"))</f>
        <v/>
      </c>
      <c r="AG104" t="str">
        <f>IF(BL104="","",IFERROR(IF(INDEX(CODIFICACION!$E$2:$E$500,MATCH("D4.15|"&amp;BL104,CODIFICACION!$F$2:$F$500,0))="sin dato","",INDEX(CODIFICACION!$E$2:$E$500,MATCH("D4.15|"&amp;BL104,CODIFICACION!$F$2:$F$500,0))),"⚠"))</f>
        <v/>
      </c>
      <c r="AH104" t="str">
        <f t="shared" si="81"/>
        <v/>
      </c>
      <c r="AI104" t="str">
        <f>IF(BN104="","",IFERROR(IF(INDEX(CODIFICACION!$E$2:$E$500,MATCH("D4.17|"&amp;BN104,CODIFICACION!$F$2:$F$500,0))="sin dato","",INDEX(CODIFICACION!$E$2:$E$500,MATCH("D4.17|"&amp;BN104,CODIFICACION!$F$2:$F$500,0))),"⚠"))</f>
        <v/>
      </c>
      <c r="AJ104" t="str">
        <f>IF(BO104="","",IFERROR(IF(INDEX(CODIFICACION!$E$2:$E$500,MATCH("D4.15a|"&amp;BO104,CODIFICACION!$F$2:$F$500,0))="sin dato","",INDEX(CODIFICACION!$E$2:$E$500,MATCH("D4.15a|"&amp;BO104,CODIFICACION!$F$2:$F$500,0))),"⚠"))</f>
        <v/>
      </c>
      <c r="AK104" t="str">
        <f t="shared" si="82"/>
        <v/>
      </c>
      <c r="AL104" t="str">
        <f t="shared" si="83"/>
        <v/>
      </c>
      <c r="AM104" t="str">
        <f>IF(BR104="","",IFERROR(IF(INDEX(CODIFICACION!$E$2:$E$500,MATCH("D5.18b|"&amp;BR104,CODIFICACION!$F$2:$F$500,0))="sin dato","",INDEX(CODIFICACION!$E$2:$E$500,MATCH("D5.18b|"&amp;BR104,CODIFICACION!$F$2:$F$500,0))),"⚠"))</f>
        <v/>
      </c>
      <c r="AN104" t="str">
        <f>IF(BS104="","",IFERROR(IF(INDEX(CODIFICACION!$E$2:$E$500,MATCH("D5.19|"&amp;BS104,CODIFICACION!$F$2:$F$500,0))="sin dato","",INDEX(CODIFICACION!$E$2:$E$500,MATCH("D5.19|"&amp;BS104,CODIFICACION!$F$2:$F$500,0))),"⚠"))</f>
        <v/>
      </c>
      <c r="AO104" t="str">
        <f t="shared" si="84"/>
        <v/>
      </c>
      <c r="AP104" t="str">
        <f>IF(BU104="","",IFERROR(IF(INDEX(CODIFICACION!$E$2:$E$500,MATCH("D5.20|"&amp;BU104,CODIFICACION!$F$2:$F$500,0))="sin dato","",INDEX(CODIFICACION!$E$2:$E$500,MATCH("D5.20|"&amp;BU104,CODIFICACION!$F$2:$F$500,0))),"⚠"))</f>
        <v/>
      </c>
      <c r="AQ104" t="str">
        <f>IF(BV104="","",IFERROR(IF(INDEX(CODIFICACION!$E$2:$E$500,MATCH("D5.21|"&amp;BV104,CODIFICACION!$F$2:$F$500,0))="sin dato","",INDEX(CODIFICACION!$E$2:$E$500,MATCH("D5.21|"&amp;BV104,CODIFICACION!$F$2:$F$500,0))),"⚠"))</f>
        <v/>
      </c>
      <c r="AR104" t="str">
        <f>IF(BW104="","",IFERROR(IF(INDEX(CODIFICACION!$E$2:$E$500,MATCH("D5.21a|"&amp;BW104,CODIFICACION!$F$2:$F$500,0))="sin dato","",INDEX(CODIFICACION!$E$2:$E$500,MATCH("D5.21a|"&amp;BW104,CODIFICACION!$F$2:$F$500,0))),"⚠"))</f>
        <v/>
      </c>
      <c r="AS104" t="str">
        <f>IF(BX104="","",IFERROR(IF(INDEX(CODIFICACION!$E$2:$E$500,MATCH("D5.21b|"&amp;BX104,CODIFICACION!$F$2:$F$500,0))="sin dato","",INDEX(CODIFICACION!$E$2:$E$500,MATCH("D5.21b|"&amp;BX104,CODIFICACION!$F$2:$F$500,0))),"⚠"))</f>
        <v/>
      </c>
      <c r="AT104" t="str">
        <f>IF(BY104="","",IFERROR(IF(INDEX(CODIFICACION!$E$2:$E$500,MATCH("D6.22|"&amp;BY104,CODIFICACION!$F$2:$F$500,0))="sin dato","",INDEX(CODIFICACION!$E$2:$E$500,MATCH("D6.22|"&amp;BY104,CODIFICACION!$F$2:$F$500,0))),"⚠"))</f>
        <v/>
      </c>
      <c r="AU104" t="str">
        <f>IF(BZ104="","",IFERROR(IF(INDEX(CODIFICACION!$E$2:$E$500,MATCH("D6.22a|"&amp;BZ104,CODIFICACION!$F$2:$F$500,0))="sin dato","",INDEX(CODIFICACION!$E$2:$E$500,MATCH("D6.22a|"&amp;BZ104,CODIFICACION!$F$2:$F$500,0))),"⚠"))</f>
        <v/>
      </c>
      <c r="AV104" t="str">
        <f>IF(CA104="","",IFERROR(IF(INDEX(CODIFICACION!$E$2:$E$500,MATCH("D6.22b|"&amp;CA104,CODIFICACION!$F$2:$F$500,0))="sin dato","",INDEX(CODIFICACION!$E$2:$E$500,MATCH("D6.22b|"&amp;CA104,CODIFICACION!$F$2:$F$500,0))),"⚠"))</f>
        <v/>
      </c>
      <c r="AW104" t="str">
        <f>IF(CB104="","",IFERROR(IF(INDEX(CODIFICACION!$E$2:$E$500,MATCH("D6.23|"&amp;CB104,CODIFICACION!$F$2:$F$500,0))="sin dato","",INDEX(CODIFICACION!$E$2:$E$500,MATCH("D6.23|"&amp;CB104,CODIFICACION!$F$2:$F$500,0))),"⚠"))</f>
        <v/>
      </c>
      <c r="AX104" t="str">
        <f ca="1">IF(CC104="","",IFERROR(IF(INDEX(CODIFICACION!$E$2:$E$500,MATCH("D6.24|"&amp;CC104,CODIFICACION!$F$2:$F$500,0))="sin dato","",INDEX(CODIFICACION!$E$2:$E$500,MATCH("D6.24|"&amp;CC104,CODIFICACION!$F$2:$F$500,0))),"⚠"))</f>
        <v/>
      </c>
      <c r="AY104" t="str">
        <f ca="1">IF(CD104="","",IFERROR(IF(INDEX(CODIFICACION!$E$2:$E$500,MATCH("D6.25|"&amp;CD104,CODIFICACION!$F$2:$F$500,0))="sin dato","",INDEX(CODIFICACION!$E$2:$E$500,MATCH("D6.25|"&amp;CD104,CODIFICACION!$F$2:$F$500,0))),"⚠"))</f>
        <v/>
      </c>
      <c r="AZ104" t="str">
        <f>IF(CE104="","",IFERROR(IF(INDEX(CODIFICACION!$E$2:$E$500,MATCH("D6.25a|"&amp;CE104,CODIFICACION!$F$2:$F$500,0))="sin dato","",INDEX(CODIFICACION!$E$2:$E$500,MATCH("D6.25a|"&amp;CE104,CODIFICACION!$F$2:$F$500,0))),"⚠"))</f>
        <v/>
      </c>
      <c r="BA104" t="str">
        <f>IF(CF104="","",IFERROR(IF(INDEX(CODIFICACION!$E$2:$E$500,MATCH("D6.25b|"&amp;CF104,CODIFICACION!$F$2:$F$500,0))="sin dato","",INDEX(CODIFICACION!$E$2:$E$500,MATCH("D6.25b|"&amp;CF104,CODIFICACION!$F$2:$F$500,0))),"⚠"))</f>
        <v/>
      </c>
      <c r="BB104" t="str">
        <f ca="1">IF(CG104="","",IFERROR(IF(INDEX(CODIFICACION!$E$2:$E$500,MATCH("D6.22c|"&amp;CG104,CODIFICACION!$F$2:$F$500,0))="sin dato","",INDEX(CODIFICACION!$E$2:$E$500,MATCH("D6.22c|"&amp;CG104,CODIFICACION!$F$2:$F$500,0))),"⚠"))</f>
        <v/>
      </c>
      <c r="BC104" t="str">
        <f ca="1">IF(CH104="","",IFERROR(IF(INDEX(CODIFICACION!$E$2:$E$500,MATCH("D7.26|"&amp;CH104,CODIFICACION!$F$2:$F$500,0))="sin dato","",INDEX(CODIFICACION!$E$2:$E$500,MATCH("D7.26|"&amp;CH104,CODIFICACION!$F$2:$F$500,0))),"⚠"))</f>
        <v/>
      </c>
      <c r="BD104" t="str">
        <f>IF(CI104="","",IFERROR(IF(INDEX(CODIFICACION!$E$2:$E$500,MATCH("D7.27|"&amp;CI104,CODIFICACION!$F$2:$F$500,0))="sin dato","",INDEX(CODIFICACION!$E$2:$E$500,MATCH("D7.27|"&amp;CI104,CODIFICACION!$F$2:$F$500,0))),"⚠"))</f>
        <v/>
      </c>
      <c r="BE104" t="str">
        <f>IF(CJ104="","",IFERROR(IF(INDEX(CODIFICACION!$E$2:$E$500,MATCH("D7.28|"&amp;CJ104,CODIFICACION!$F$2:$F$500,0))="sin dato","",INDEX(CODIFICACION!$E$2:$E$500,MATCH("D7.28|"&amp;CJ104,CODIFICACION!$F$2:$F$500,0))),"⚠"))</f>
        <v/>
      </c>
      <c r="BF104" t="str">
        <f>IF(CK104="","",IFERROR(IF(INDEX(CODIFICACION!$E$2:$E$500,MATCH("D7.28b|"&amp;CK104,CODIFICACION!$F$2:$F$500,0))="sin dato","",INDEX(CODIFICACION!$E$2:$E$500,MATCH("D7.28b|"&amp;CK104,CODIFICACION!$F$2:$F$500,0))),"⚠"))</f>
        <v/>
      </c>
      <c r="BG104" t="str">
        <f t="shared" si="85"/>
        <v/>
      </c>
      <c r="BH104" t="str">
        <f>IF(CM104="","",IFERROR(IF(INDEX(CODIFICACION!$E$2:$E$500,MATCH("D7.26a|"&amp;CM104,CODIFICACION!$F$2:$F$500,0))="sin dato","",INDEX(CODIFICACION!$E$2:$E$500,MATCH("D7.26a|"&amp;CM104,CODIFICACION!$F$2:$F$500,0))),"⚠"))</f>
        <v/>
      </c>
      <c r="BI104" t="str">
        <f>IF(CN104="","",IFERROR(IF(INDEX(CODIFICACION!$E$2:$E$500,MATCH("D7.26b|"&amp;CN104,CODIFICACION!$F$2:$F$500,0))="sin dato","",INDEX(CODIFICACION!$E$2:$E$500,MATCH("D7.26b|"&amp;CN104,CODIFICACION!$F$2:$F$500,0))),"⚠"))</f>
        <v/>
      </c>
      <c r="BJ104" t="str">
        <f t="shared" si="86"/>
        <v/>
      </c>
      <c r="BK104" t="str">
        <f t="shared" si="87"/>
        <v/>
      </c>
      <c r="BL104" t="str">
        <f>IF(CQ104="","",IFERROR(IF(INDEX(CODIFICACION!$E$2:$E$500,MATCH("D8.31|"&amp;CQ104,CODIFICACION!$F$2:$F$500,0))="sin dato","",INDEX(CODIFICACION!$E$2:$E$500,MATCH("D8.31|"&amp;CQ104,CODIFICACION!$F$2:$F$500,0))),"⚠"))</f>
        <v/>
      </c>
      <c r="BM104" t="str">
        <f>IF(CR104="","",IFERROR(IF(INDEX(CODIFICACION!$E$2:$E$500,MATCH("D8.32|"&amp;CR104,CODIFICACION!$F$2:$F$500,0))="sin dato","",INDEX(CODIFICACION!$E$2:$E$500,MATCH("D8.32|"&amp;CR104,CODIFICACION!$F$2:$F$500,0))),"⚠"))</f>
        <v/>
      </c>
      <c r="BN104" t="str">
        <f>IF(CS104="","",IFERROR(IF(INDEX(CODIFICACION!$E$2:$E$500,MATCH("D9.33|"&amp;CS104,CODIFICACION!$F$2:$F$500,0))="sin dato","",INDEX(CODIFICACION!$E$2:$E$500,MATCH("D9.33|"&amp;CS104,CODIFICACION!$F$2:$F$500,0))),"⚠"))</f>
        <v/>
      </c>
      <c r="BO104" t="str">
        <f>IF(CT104="","",IFERROR(IF(INDEX(CODIFICACION!$E$2:$E$500,MATCH("D9.34|"&amp;CT104,CODIFICACION!$F$2:$F$500,0))="sin dato","",INDEX(CODIFICACION!$E$2:$E$500,MATCH("D9.34|"&amp;CT104,CODIFICACION!$F$2:$F$500,0))),"⚠"))</f>
        <v/>
      </c>
      <c r="BP104" t="str">
        <f>IF(CU104="","",IFERROR(IF(INDEX(CODIFICACION!$E$2:$E$500,MATCH("D9.35|"&amp;CU104,CODIFICACION!$F$2:$F$500,0))="sin dato","",INDEX(CODIFICACION!$E$2:$E$500,MATCH("D9.35|"&amp;CU104,CODIFICACION!$F$2:$F$500,0))),"⚠"))</f>
        <v/>
      </c>
      <c r="BQ104" t="str">
        <f>IF(CV104="","",IFERROR(IF(INDEX(CODIFICACION!$E$2:$E$500,MATCH("D10.36|"&amp;CV104,CODIFICACION!$F$2:$F$500,0))="sin dato","",INDEX(CODIFICACION!$E$2:$E$500,MATCH("D10.36|"&amp;CV104,CODIFICACION!$F$2:$F$500,0))),"⚠"))</f>
        <v/>
      </c>
      <c r="BR104" t="str">
        <f>IF(CW104="","",IFERROR(IF(INDEX(CODIFICACION!$E$2:$E$500,MATCH("D10.37|"&amp;CW104,CODIFICACION!$F$2:$F$500,0))="sin dato","",INDEX(CODIFICACION!$E$2:$E$500,MATCH("D10.37|"&amp;CW104,CODIFICACION!$F$2:$F$500,0))),"⚠"))</f>
        <v/>
      </c>
      <c r="BS104" t="str">
        <f>IF(CX104="","",IFERROR(IF(INDEX(CODIFICACION!$E$2:$E$500,MATCH("D10.36a|"&amp;CX104,CODIFICACION!$F$2:$F$500,0))="sin dato","",INDEX(CODIFICACION!$E$2:$E$500,MATCH("D10.36a|"&amp;CX104,CODIFICACION!$F$2:$F$500,0))),"⚠"))</f>
        <v/>
      </c>
      <c r="BT104" t="str">
        <f t="shared" si="88"/>
        <v/>
      </c>
      <c r="BU104" t="str">
        <f>IF(DA104="","",IFERROR(IF(INDEX(CODIFICACION!$E$2:$E$500,MATCH("D11.39a|"&amp;DA104,CODIFICACION!$F$2:$F$500,0))="sin dato","",INDEX(CODIFICACION!$E$2:$E$500,MATCH("D11.39a|"&amp;DA104,CODIFICACION!$F$2:$F$500,0))),"⚠"))</f>
        <v/>
      </c>
      <c r="BV104" t="str">
        <f>IF(DB104="","",IFERROR(IF(INDEX(CODIFICACION!$E$2:$E$500,MATCH("D12.42|"&amp;DB104,CODIFICACION!$F$2:$F$500,0))="sin dato","",INDEX(CODIFICACION!$E$2:$E$500,MATCH("D12.42|"&amp;DB104,CODIFICACION!$F$2:$F$500,0))),"⚠"))</f>
        <v/>
      </c>
      <c r="BW104" t="str">
        <f>IF(DC104="","",IFERROR(IF(INDEX(CODIFICACION!$E$2:$E$500,MATCH("D13.45|"&amp;DC104,CODIFICACION!$F$2:$F$500,0))="sin dato","",INDEX(CODIFICACION!$E$2:$E$500,MATCH("D13.45|"&amp;DC104,CODIFICACION!$F$2:$F$500,0))),"⚠"))</f>
        <v/>
      </c>
      <c r="BX104" t="str">
        <f>IF(DD104="","",IFERROR(IF(INDEX(CODIFICACION!$E$2:$E$500,MATCH("D14.51|"&amp;DD104,CODIFICACION!$F$2:$F$500,0))="sin dato","",INDEX(CODIFICACION!$E$2:$E$500,MATCH("D14.51|"&amp;DD104,CODIFICACION!$F$2:$F$500,0))),"⚠"))</f>
        <v/>
      </c>
      <c r="BY104" t="str">
        <f>IF(DE104="","",IFERROR(IF(INDEX(CODIFICACION!$E$2:$E$500,MATCH("D15.58|"&amp;DE104,CODIFICACION!$F$2:$F$500,0))="sin dato","",INDEX(CODIFICACION!$E$2:$E$500,MATCH("D15.58|"&amp;DE104,CODIFICACION!$F$2:$F$500,0))),"⚠"))</f>
        <v/>
      </c>
      <c r="BZ104" t="str">
        <f>IF(DF104="","",IFERROR(IF(INDEX(CODIFICACION!$E$2:$E$500,MATCH("PP1|"&amp;DF104,CODIFICACION!$F$2:$F$500,0))="sin dato","",INDEX(CODIFICACION!$E$2:$E$500,MATCH("PP1|"&amp;DF104,CODIFICACION!$F$2:$F$500,0))),"⚠"))</f>
        <v/>
      </c>
      <c r="CA104" t="str">
        <f>IF(DG104="","",IFERROR(IF(INDEX(CODIFICACION!$E$2:$E$500,MATCH("PP2|"&amp;DG104,CODIFICACION!$F$2:$F$500,0))="sin dato","",INDEX(CODIFICACION!$E$2:$E$500,MATCH("PP2|"&amp;DG104,CODIFICACION!$F$2:$F$500,0))),"⚠"))</f>
        <v/>
      </c>
      <c r="CB104" t="str">
        <f t="shared" si="89"/>
        <v/>
      </c>
      <c r="CC104" t="str">
        <f t="shared" ca="1" si="90"/>
        <v/>
      </c>
      <c r="CD104" t="str">
        <f t="shared" ca="1" si="91"/>
        <v/>
      </c>
      <c r="CE104" t="str">
        <f t="shared" si="92"/>
        <v/>
      </c>
      <c r="CF104" t="str">
        <f t="shared" si="93"/>
        <v/>
      </c>
      <c r="CG104" t="str">
        <f t="shared" ca="1" si="94"/>
        <v/>
      </c>
      <c r="CH104" t="str">
        <f t="shared" ca="1" si="95"/>
        <v/>
      </c>
      <c r="CI104" t="str">
        <f t="shared" si="96"/>
        <v/>
      </c>
      <c r="CJ104" t="str">
        <f t="shared" si="97"/>
        <v/>
      </c>
      <c r="CK104" t="str">
        <f t="shared" si="98"/>
        <v/>
      </c>
      <c r="CL104" t="str">
        <f t="shared" si="99"/>
        <v/>
      </c>
    </row>
    <row r="105" spans="1:90" x14ac:dyDescent="0.3">
      <c r="A105">
        <f>CAPTURA!A105</f>
        <v>20600200756</v>
      </c>
      <c r="B105">
        <f>CAPTURA!C105</f>
        <v>0</v>
      </c>
      <c r="C105" t="str">
        <f t="shared" si="75"/>
        <v/>
      </c>
      <c r="D105" t="str">
        <f>IF(AE105="","",IFERROR(IF(INDEX(CODIFICACION!$E$2:$E$500,MATCH("P8|"&amp;AE105,CODIFICACION!$F$2:$F$500,0))="sin dato","",INDEX(CODIFICACION!$E$2:$E$500,MATCH("P8|"&amp;AE105,CODIFICACION!$F$2:$F$500,0))),"⚠"))</f>
        <v/>
      </c>
      <c r="E105" t="str">
        <f>IF(AG105="","",IFERROR(IF(INDEX(CODIFICACION!$E$2:$E$500,MATCH("P10|"&amp;AG105,CODIFICACION!$F$2:$F$500,0))="sin dato","",INDEX(CODIFICACION!$E$2:$E$500,MATCH("P10|"&amp;AG105,CODIFICACION!$F$2:$F$500,0))),"⚠"))</f>
        <v/>
      </c>
      <c r="F105" t="str">
        <f>IF(AJ105="","",IFERROR(IF(INDEX(CODIFICACION!$E$2:$E$500,MATCH("P13|"&amp;AJ105,CODIFICACION!$F$2:$F$500,0))="sin dato","",INDEX(CODIFICACION!$E$2:$E$500,MATCH("P13|"&amp;AJ105,CODIFICACION!$F$2:$F$500,0))),"⚠"))</f>
        <v/>
      </c>
      <c r="G105" t="str">
        <f>IF(AK105="","",IFERROR(IF(INDEX(CODIFICACION!$E$2:$E$500,MATCH("P14|"&amp;AK105,CODIFICACION!$F$2:$F$500,0))="sin dato","",INDEX(CODIFICACION!$E$2:$E$500,MATCH("P14|"&amp;AK105,CODIFICACION!$F$2:$F$500,0))),"⚠"))</f>
        <v/>
      </c>
      <c r="H105" t="str">
        <f>IF(AL105="","",IFERROR(IF(INDEX(CODIFICACION!$E$2:$E$500,MATCH("D1.1|"&amp;AL105,CODIFICACION!$F$2:$F$500,0))="sin dato","",INDEX(CODIFICACION!$E$2:$E$500,MATCH("D1.1|"&amp;AL105,CODIFICACION!$F$2:$F$500,0))),"⚠"))</f>
        <v/>
      </c>
      <c r="I105" t="str">
        <f>IF(AN105="","",IFERROR(IF(INDEX(CODIFICACION!$E$2:$E$500,MATCH("D1.3|"&amp;AN105,CODIFICACION!$F$2:$F$500,0))="sin dato","",INDEX(CODIFICACION!$E$2:$E$500,MATCH("D1.3|"&amp;AN105,CODIFICACION!$F$2:$F$500,0))),"⚠"))</f>
        <v/>
      </c>
      <c r="J105" t="str">
        <f>IF(AO105="","",IFERROR(IF(INDEX(CODIFICACION!$E$2:$E$500,MATCH("D1.4|"&amp;AO105,CODIFICACION!$F$2:$F$500,0))="sin dato","",INDEX(CODIFICACION!$E$2:$E$500,MATCH("D1.4|"&amp;AO105,CODIFICACION!$F$2:$F$500,0))),"⚠"))</f>
        <v/>
      </c>
      <c r="K105" t="str">
        <f>IF(AP105="","",IFERROR(IF(INDEX(CODIFICACION!$E$2:$E$500,MATCH("D1.3a|"&amp;AP105,CODIFICACION!$F$2:$F$500,0))="sin dato","",INDEX(CODIFICACION!$E$2:$E$500,MATCH("D1.3a|"&amp;AP105,CODIFICACION!$F$2:$F$500,0))),"⚠"))</f>
        <v/>
      </c>
      <c r="L105" t="str">
        <f t="shared" si="76"/>
        <v/>
      </c>
      <c r="M105" t="str">
        <f t="shared" si="77"/>
        <v/>
      </c>
      <c r="N105" t="str">
        <f t="shared" si="78"/>
        <v/>
      </c>
      <c r="O105" t="str">
        <f>IF(AT105="","",IFERROR(IF(INDEX(CODIFICACION!$E$2:$E$500,MATCH("D2.8|"&amp;AT105,CODIFICACION!$F$2:$F$500,0))="sin dato","",INDEX(CODIFICACION!$E$2:$E$500,MATCH("D2.8|"&amp;AT105,CODIFICACION!$F$2:$F$500,0))),"⚠"))</f>
        <v/>
      </c>
      <c r="P105" t="str">
        <f>IF(AU105="","",IFERROR(IF(INDEX(CODIFICACION!$E$2:$E$500,MATCH("D2.9|"&amp;AU105,CODIFICACION!$F$2:$F$500,0))="sin dato","",INDEX(CODIFICACION!$E$2:$E$500,MATCH("D2.9|"&amp;AU105,CODIFICACION!$F$2:$F$500,0))),"⚠"))</f>
        <v/>
      </c>
      <c r="Q105" t="str">
        <f>IF(AV105="","",IFERROR(IF(INDEX(CODIFICACION!$E$2:$E$500,MATCH("D2.10|"&amp;AV105,CODIFICACION!$F$2:$F$500,0))="sin dato","",INDEX(CODIFICACION!$E$2:$E$500,MATCH("D2.10|"&amp;AV105,CODIFICACION!$F$2:$F$500,0))),"⚠"))</f>
        <v/>
      </c>
      <c r="R105" t="str">
        <f>IF(AW105="","",IFERROR(IF(INDEX(CODIFICACION!$E$2:$E$500,MATCH("D2.5a|"&amp;AW105,CODIFICACION!$F$2:$F$500,0))="sin dato","",INDEX(CODIFICACION!$E$2:$E$500,MATCH("D2.5a|"&amp;AW105,CODIFICACION!$F$2:$F$500,0))),"⚠"))</f>
        <v/>
      </c>
      <c r="S105" t="str">
        <f ca="1">IF(AX105="","",IFERROR(IF(INDEX(CODIFICACION!$E$2:$E$500,MATCH("D2.5b|"&amp;AX105,CODIFICACION!$F$2:$F$500,0))="sin dato","",INDEX(CODIFICACION!$E$2:$E$500,MATCH("D2.5b|"&amp;AX105,CODIFICACION!$F$2:$F$500,0))),"⚠"))</f>
        <v/>
      </c>
      <c r="T105" t="str">
        <f t="shared" ca="1" si="79"/>
        <v/>
      </c>
      <c r="U105" t="str">
        <f>IF(AZ105="","",IFERROR(IF(INDEX(CODIFICACION!$E$2:$E$500,MATCH("D3.12|"&amp;AZ105,CODIFICACION!$F$2:$F$500,0))="sin dato","",INDEX(CODIFICACION!$E$2:$E$500,MATCH("D3.12|"&amp;AZ105,CODIFICACION!$F$2:$F$500,0))),"⚠"))</f>
        <v/>
      </c>
      <c r="V105" t="str">
        <f t="shared" si="80"/>
        <v/>
      </c>
      <c r="W105" t="str">
        <f ca="1">IF(BB105="","",IFERROR(IF(INDEX(CODIFICACION!$E$2:$E$500,MATCH("D3.14|"&amp;BB105,CODIFICACION!$F$2:$F$500,0))="sin dato","",INDEX(CODIFICACION!$E$2:$E$500,MATCH("D3.14|"&amp;BB105,CODIFICACION!$F$2:$F$500,0))),"⚠"))</f>
        <v/>
      </c>
      <c r="X105" t="str">
        <f ca="1">IF(BC105="","",IFERROR(IF(INDEX(CODIFICACION!$E$2:$E$500,MATCH("D3.14a|"&amp;BC105,CODIFICACION!$F$2:$F$500,0))="sin dato","",INDEX(CODIFICACION!$E$2:$E$500,MATCH("D3.14a|"&amp;BC105,CODIFICACION!$F$2:$F$500,0))),"⚠"))</f>
        <v/>
      </c>
      <c r="Y105" t="str">
        <f>IF(BD105="","",IFERROR(IF(INDEX(CODIFICACION!$E$2:$E$500,MATCH("D3.14b|"&amp;BD105,CODIFICACION!$F$2:$F$500,0))="sin dato","",INDEX(CODIFICACION!$E$2:$E$500,MATCH("D3.14b|"&amp;BD105,CODIFICACION!$F$2:$F$500,0))),"⚠"))</f>
        <v/>
      </c>
      <c r="Z105" t="str">
        <f>IF(BE105="","",IFERROR(IF(INDEX(CODIFICACION!$E$2:$E$500,MATCH("D3.14c|"&amp;BE105,CODIFICACION!$F$2:$F$500,0))="sin dato","",INDEX(CODIFICACION!$E$2:$E$500,MATCH("D3.14c|"&amp;BE105,CODIFICACION!$F$2:$F$500,0))),"⚠"))</f>
        <v/>
      </c>
      <c r="AA105" t="str">
        <f>IF(BF105="","",IFERROR(IF(INDEX(CODIFICACION!$E$2:$E$500,MATCH("D3.14d|"&amp;BF105,CODIFICACION!$F$2:$F$500,0))="sin dato","",INDEX(CODIFICACION!$E$2:$E$500,MATCH("D3.14d|"&amp;BF105,CODIFICACION!$F$2:$F$500,0))),"⚠"))</f>
        <v/>
      </c>
      <c r="AB105" t="str">
        <f>IF(BG105="","",IFERROR(IF(INDEX(CODIFICACION!$E$2:$E$500,MATCH("D3.14e|"&amp;BG105,CODIFICACION!$F$2:$F$500,0))="sin dato","",INDEX(CODIFICACION!$E$2:$E$500,MATCH("D3.14e|"&amp;BG105,CODIFICACION!$F$2:$F$500,0))),"⚠"))</f>
        <v/>
      </c>
      <c r="AC105" t="str">
        <f>IF(BH105="","",IFERROR(IF(INDEX(CODIFICACION!$E$2:$E$500,MATCH("D3.14f|"&amp;BH105,CODIFICACION!$F$2:$F$500,0))="sin dato","",INDEX(CODIFICACION!$E$2:$E$500,MATCH("D3.14f|"&amp;BH105,CODIFICACION!$F$2:$F$500,0))),"⚠"))</f>
        <v/>
      </c>
      <c r="AD105" t="str">
        <f>IF(BI105="","",IFERROR(IF(INDEX(CODIFICACION!$E$2:$E$500,MATCH("D3.14g|"&amp;BI105,CODIFICACION!$F$2:$F$500,0))="sin dato","",INDEX(CODIFICACION!$E$2:$E$500,MATCH("D3.14g|"&amp;BI105,CODIFICACION!$F$2:$F$500,0))),"⚠"))</f>
        <v/>
      </c>
      <c r="AE105" t="str">
        <f>IF(BJ105="","",IFERROR(IF(INDEX(CODIFICACION!$E$2:$E$500,MATCH("D3.14h|"&amp;BJ105,CODIFICACION!$F$2:$F$500,0))="sin dato","",INDEX(CODIFICACION!$E$2:$E$500,MATCH("D3.14h|"&amp;BJ105,CODIFICACION!$F$2:$F$500,0))),"⚠"))</f>
        <v/>
      </c>
      <c r="AF105" t="str">
        <f>IF(BK105="","",IFERROR(IF(INDEX(CODIFICACION!$E$2:$E$500,MATCH("D3.14i|"&amp;BK105,CODIFICACION!$F$2:$F$500,0))="sin dato","",INDEX(CODIFICACION!$E$2:$E$500,MATCH("D3.14i|"&amp;BK105,CODIFICACION!$F$2:$F$500,0))),"⚠"))</f>
        <v/>
      </c>
      <c r="AG105" t="str">
        <f>IF(BL105="","",IFERROR(IF(INDEX(CODIFICACION!$E$2:$E$500,MATCH("D4.15|"&amp;BL105,CODIFICACION!$F$2:$F$500,0))="sin dato","",INDEX(CODIFICACION!$E$2:$E$500,MATCH("D4.15|"&amp;BL105,CODIFICACION!$F$2:$F$500,0))),"⚠"))</f>
        <v/>
      </c>
      <c r="AH105" t="str">
        <f t="shared" si="81"/>
        <v/>
      </c>
      <c r="AI105" t="str">
        <f>IF(BN105="","",IFERROR(IF(INDEX(CODIFICACION!$E$2:$E$500,MATCH("D4.17|"&amp;BN105,CODIFICACION!$F$2:$F$500,0))="sin dato","",INDEX(CODIFICACION!$E$2:$E$500,MATCH("D4.17|"&amp;BN105,CODIFICACION!$F$2:$F$500,0))),"⚠"))</f>
        <v/>
      </c>
      <c r="AJ105" t="str">
        <f>IF(BO105="","",IFERROR(IF(INDEX(CODIFICACION!$E$2:$E$500,MATCH("D4.15a|"&amp;BO105,CODIFICACION!$F$2:$F$500,0))="sin dato","",INDEX(CODIFICACION!$E$2:$E$500,MATCH("D4.15a|"&amp;BO105,CODIFICACION!$F$2:$F$500,0))),"⚠"))</f>
        <v/>
      </c>
      <c r="AK105" t="str">
        <f t="shared" si="82"/>
        <v/>
      </c>
      <c r="AL105" t="str">
        <f t="shared" si="83"/>
        <v/>
      </c>
      <c r="AM105" t="str">
        <f>IF(BR105="","",IFERROR(IF(INDEX(CODIFICACION!$E$2:$E$500,MATCH("D5.18b|"&amp;BR105,CODIFICACION!$F$2:$F$500,0))="sin dato","",INDEX(CODIFICACION!$E$2:$E$500,MATCH("D5.18b|"&amp;BR105,CODIFICACION!$F$2:$F$500,0))),"⚠"))</f>
        <v/>
      </c>
      <c r="AN105" t="str">
        <f>IF(BS105="","",IFERROR(IF(INDEX(CODIFICACION!$E$2:$E$500,MATCH("D5.19|"&amp;BS105,CODIFICACION!$F$2:$F$500,0))="sin dato","",INDEX(CODIFICACION!$E$2:$E$500,MATCH("D5.19|"&amp;BS105,CODIFICACION!$F$2:$F$500,0))),"⚠"))</f>
        <v/>
      </c>
      <c r="AO105" t="str">
        <f t="shared" si="84"/>
        <v/>
      </c>
      <c r="AP105" t="str">
        <f>IF(BU105="","",IFERROR(IF(INDEX(CODIFICACION!$E$2:$E$500,MATCH("D5.20|"&amp;BU105,CODIFICACION!$F$2:$F$500,0))="sin dato","",INDEX(CODIFICACION!$E$2:$E$500,MATCH("D5.20|"&amp;BU105,CODIFICACION!$F$2:$F$500,0))),"⚠"))</f>
        <v/>
      </c>
      <c r="AQ105" t="str">
        <f>IF(BV105="","",IFERROR(IF(INDEX(CODIFICACION!$E$2:$E$500,MATCH("D5.21|"&amp;BV105,CODIFICACION!$F$2:$F$500,0))="sin dato","",INDEX(CODIFICACION!$E$2:$E$500,MATCH("D5.21|"&amp;BV105,CODIFICACION!$F$2:$F$500,0))),"⚠"))</f>
        <v/>
      </c>
      <c r="AR105" t="str">
        <f>IF(BW105="","",IFERROR(IF(INDEX(CODIFICACION!$E$2:$E$500,MATCH("D5.21a|"&amp;BW105,CODIFICACION!$F$2:$F$500,0))="sin dato","",INDEX(CODIFICACION!$E$2:$E$500,MATCH("D5.21a|"&amp;BW105,CODIFICACION!$F$2:$F$500,0))),"⚠"))</f>
        <v/>
      </c>
      <c r="AS105" t="str">
        <f>IF(BX105="","",IFERROR(IF(INDEX(CODIFICACION!$E$2:$E$500,MATCH("D5.21b|"&amp;BX105,CODIFICACION!$F$2:$F$500,0))="sin dato","",INDEX(CODIFICACION!$E$2:$E$500,MATCH("D5.21b|"&amp;BX105,CODIFICACION!$F$2:$F$500,0))),"⚠"))</f>
        <v/>
      </c>
      <c r="AT105" t="str">
        <f>IF(BY105="","",IFERROR(IF(INDEX(CODIFICACION!$E$2:$E$500,MATCH("D6.22|"&amp;BY105,CODIFICACION!$F$2:$F$500,0))="sin dato","",INDEX(CODIFICACION!$E$2:$E$500,MATCH("D6.22|"&amp;BY105,CODIFICACION!$F$2:$F$500,0))),"⚠"))</f>
        <v/>
      </c>
      <c r="AU105" t="str">
        <f>IF(BZ105="","",IFERROR(IF(INDEX(CODIFICACION!$E$2:$E$500,MATCH("D6.22a|"&amp;BZ105,CODIFICACION!$F$2:$F$500,0))="sin dato","",INDEX(CODIFICACION!$E$2:$E$500,MATCH("D6.22a|"&amp;BZ105,CODIFICACION!$F$2:$F$500,0))),"⚠"))</f>
        <v/>
      </c>
      <c r="AV105" t="str">
        <f>IF(CA105="","",IFERROR(IF(INDEX(CODIFICACION!$E$2:$E$500,MATCH("D6.22b|"&amp;CA105,CODIFICACION!$F$2:$F$500,0))="sin dato","",INDEX(CODIFICACION!$E$2:$E$500,MATCH("D6.22b|"&amp;CA105,CODIFICACION!$F$2:$F$500,0))),"⚠"))</f>
        <v/>
      </c>
      <c r="AW105" t="str">
        <f>IF(CB105="","",IFERROR(IF(INDEX(CODIFICACION!$E$2:$E$500,MATCH("D6.23|"&amp;CB105,CODIFICACION!$F$2:$F$500,0))="sin dato","",INDEX(CODIFICACION!$E$2:$E$500,MATCH("D6.23|"&amp;CB105,CODIFICACION!$F$2:$F$500,0))),"⚠"))</f>
        <v/>
      </c>
      <c r="AX105" t="str">
        <f ca="1">IF(CC105="","",IFERROR(IF(INDEX(CODIFICACION!$E$2:$E$500,MATCH("D6.24|"&amp;CC105,CODIFICACION!$F$2:$F$500,0))="sin dato","",INDEX(CODIFICACION!$E$2:$E$500,MATCH("D6.24|"&amp;CC105,CODIFICACION!$F$2:$F$500,0))),"⚠"))</f>
        <v/>
      </c>
      <c r="AY105" t="str">
        <f ca="1">IF(CD105="","",IFERROR(IF(INDEX(CODIFICACION!$E$2:$E$500,MATCH("D6.25|"&amp;CD105,CODIFICACION!$F$2:$F$500,0))="sin dato","",INDEX(CODIFICACION!$E$2:$E$500,MATCH("D6.25|"&amp;CD105,CODIFICACION!$F$2:$F$500,0))),"⚠"))</f>
        <v/>
      </c>
      <c r="AZ105" t="str">
        <f>IF(CE105="","",IFERROR(IF(INDEX(CODIFICACION!$E$2:$E$500,MATCH("D6.25a|"&amp;CE105,CODIFICACION!$F$2:$F$500,0))="sin dato","",INDEX(CODIFICACION!$E$2:$E$500,MATCH("D6.25a|"&amp;CE105,CODIFICACION!$F$2:$F$500,0))),"⚠"))</f>
        <v/>
      </c>
      <c r="BA105" t="str">
        <f>IF(CF105="","",IFERROR(IF(INDEX(CODIFICACION!$E$2:$E$500,MATCH("D6.25b|"&amp;CF105,CODIFICACION!$F$2:$F$500,0))="sin dato","",INDEX(CODIFICACION!$E$2:$E$500,MATCH("D6.25b|"&amp;CF105,CODIFICACION!$F$2:$F$500,0))),"⚠"))</f>
        <v/>
      </c>
      <c r="BB105" t="str">
        <f ca="1">IF(CG105="","",IFERROR(IF(INDEX(CODIFICACION!$E$2:$E$500,MATCH("D6.22c|"&amp;CG105,CODIFICACION!$F$2:$F$500,0))="sin dato","",INDEX(CODIFICACION!$E$2:$E$500,MATCH("D6.22c|"&amp;CG105,CODIFICACION!$F$2:$F$500,0))),"⚠"))</f>
        <v/>
      </c>
      <c r="BC105" t="str">
        <f ca="1">IF(CH105="","",IFERROR(IF(INDEX(CODIFICACION!$E$2:$E$500,MATCH("D7.26|"&amp;CH105,CODIFICACION!$F$2:$F$500,0))="sin dato","",INDEX(CODIFICACION!$E$2:$E$500,MATCH("D7.26|"&amp;CH105,CODIFICACION!$F$2:$F$500,0))),"⚠"))</f>
        <v/>
      </c>
      <c r="BD105" t="str">
        <f>IF(CI105="","",IFERROR(IF(INDEX(CODIFICACION!$E$2:$E$500,MATCH("D7.27|"&amp;CI105,CODIFICACION!$F$2:$F$500,0))="sin dato","",INDEX(CODIFICACION!$E$2:$E$500,MATCH("D7.27|"&amp;CI105,CODIFICACION!$F$2:$F$500,0))),"⚠"))</f>
        <v/>
      </c>
      <c r="BE105" t="str">
        <f>IF(CJ105="","",IFERROR(IF(INDEX(CODIFICACION!$E$2:$E$500,MATCH("D7.28|"&amp;CJ105,CODIFICACION!$F$2:$F$500,0))="sin dato","",INDEX(CODIFICACION!$E$2:$E$500,MATCH("D7.28|"&amp;CJ105,CODIFICACION!$F$2:$F$500,0))),"⚠"))</f>
        <v/>
      </c>
      <c r="BF105" t="str">
        <f>IF(CK105="","",IFERROR(IF(INDEX(CODIFICACION!$E$2:$E$500,MATCH("D7.28b|"&amp;CK105,CODIFICACION!$F$2:$F$500,0))="sin dato","",INDEX(CODIFICACION!$E$2:$E$500,MATCH("D7.28b|"&amp;CK105,CODIFICACION!$F$2:$F$500,0))),"⚠"))</f>
        <v/>
      </c>
      <c r="BG105" t="str">
        <f t="shared" si="85"/>
        <v/>
      </c>
      <c r="BH105" t="str">
        <f>IF(CM105="","",IFERROR(IF(INDEX(CODIFICACION!$E$2:$E$500,MATCH("D7.26a|"&amp;CM105,CODIFICACION!$F$2:$F$500,0))="sin dato","",INDEX(CODIFICACION!$E$2:$E$500,MATCH("D7.26a|"&amp;CM105,CODIFICACION!$F$2:$F$500,0))),"⚠"))</f>
        <v/>
      </c>
      <c r="BI105" t="str">
        <f>IF(CN105="","",IFERROR(IF(INDEX(CODIFICACION!$E$2:$E$500,MATCH("D7.26b|"&amp;CN105,CODIFICACION!$F$2:$F$500,0))="sin dato","",INDEX(CODIFICACION!$E$2:$E$500,MATCH("D7.26b|"&amp;CN105,CODIFICACION!$F$2:$F$500,0))),"⚠"))</f>
        <v/>
      </c>
      <c r="BJ105" t="str">
        <f t="shared" si="86"/>
        <v/>
      </c>
      <c r="BK105" t="str">
        <f t="shared" si="87"/>
        <v/>
      </c>
      <c r="BL105" t="str">
        <f>IF(CQ105="","",IFERROR(IF(INDEX(CODIFICACION!$E$2:$E$500,MATCH("D8.31|"&amp;CQ105,CODIFICACION!$F$2:$F$500,0))="sin dato","",INDEX(CODIFICACION!$E$2:$E$500,MATCH("D8.31|"&amp;CQ105,CODIFICACION!$F$2:$F$500,0))),"⚠"))</f>
        <v/>
      </c>
      <c r="BM105" t="str">
        <f>IF(CR105="","",IFERROR(IF(INDEX(CODIFICACION!$E$2:$E$500,MATCH("D8.32|"&amp;CR105,CODIFICACION!$F$2:$F$500,0))="sin dato","",INDEX(CODIFICACION!$E$2:$E$500,MATCH("D8.32|"&amp;CR105,CODIFICACION!$F$2:$F$500,0))),"⚠"))</f>
        <v/>
      </c>
      <c r="BN105" t="str">
        <f>IF(CS105="","",IFERROR(IF(INDEX(CODIFICACION!$E$2:$E$500,MATCH("D9.33|"&amp;CS105,CODIFICACION!$F$2:$F$500,0))="sin dato","",INDEX(CODIFICACION!$E$2:$E$500,MATCH("D9.33|"&amp;CS105,CODIFICACION!$F$2:$F$500,0))),"⚠"))</f>
        <v/>
      </c>
      <c r="BO105" t="str">
        <f>IF(CT105="","",IFERROR(IF(INDEX(CODIFICACION!$E$2:$E$500,MATCH("D9.34|"&amp;CT105,CODIFICACION!$F$2:$F$500,0))="sin dato","",INDEX(CODIFICACION!$E$2:$E$500,MATCH("D9.34|"&amp;CT105,CODIFICACION!$F$2:$F$500,0))),"⚠"))</f>
        <v/>
      </c>
      <c r="BP105" t="str">
        <f>IF(CU105="","",IFERROR(IF(INDEX(CODIFICACION!$E$2:$E$500,MATCH("D9.35|"&amp;CU105,CODIFICACION!$F$2:$F$500,0))="sin dato","",INDEX(CODIFICACION!$E$2:$E$500,MATCH("D9.35|"&amp;CU105,CODIFICACION!$F$2:$F$500,0))),"⚠"))</f>
        <v/>
      </c>
      <c r="BQ105" t="str">
        <f>IF(CV105="","",IFERROR(IF(INDEX(CODIFICACION!$E$2:$E$500,MATCH("D10.36|"&amp;CV105,CODIFICACION!$F$2:$F$500,0))="sin dato","",INDEX(CODIFICACION!$E$2:$E$500,MATCH("D10.36|"&amp;CV105,CODIFICACION!$F$2:$F$500,0))),"⚠"))</f>
        <v/>
      </c>
      <c r="BR105" t="str">
        <f>IF(CW105="","",IFERROR(IF(INDEX(CODIFICACION!$E$2:$E$500,MATCH("D10.37|"&amp;CW105,CODIFICACION!$F$2:$F$500,0))="sin dato","",INDEX(CODIFICACION!$E$2:$E$500,MATCH("D10.37|"&amp;CW105,CODIFICACION!$F$2:$F$500,0))),"⚠"))</f>
        <v/>
      </c>
      <c r="BS105" t="str">
        <f>IF(CX105="","",IFERROR(IF(INDEX(CODIFICACION!$E$2:$E$500,MATCH("D10.36a|"&amp;CX105,CODIFICACION!$F$2:$F$500,0))="sin dato","",INDEX(CODIFICACION!$E$2:$E$500,MATCH("D10.36a|"&amp;CX105,CODIFICACION!$F$2:$F$500,0))),"⚠"))</f>
        <v/>
      </c>
      <c r="BT105" t="str">
        <f t="shared" si="88"/>
        <v/>
      </c>
      <c r="BU105" t="str">
        <f>IF(DA105="","",IFERROR(IF(INDEX(CODIFICACION!$E$2:$E$500,MATCH("D11.39a|"&amp;DA105,CODIFICACION!$F$2:$F$500,0))="sin dato","",INDEX(CODIFICACION!$E$2:$E$500,MATCH("D11.39a|"&amp;DA105,CODIFICACION!$F$2:$F$500,0))),"⚠"))</f>
        <v/>
      </c>
      <c r="BV105" t="str">
        <f>IF(DB105="","",IFERROR(IF(INDEX(CODIFICACION!$E$2:$E$500,MATCH("D12.42|"&amp;DB105,CODIFICACION!$F$2:$F$500,0))="sin dato","",INDEX(CODIFICACION!$E$2:$E$500,MATCH("D12.42|"&amp;DB105,CODIFICACION!$F$2:$F$500,0))),"⚠"))</f>
        <v/>
      </c>
      <c r="BW105" t="str">
        <f>IF(DC105="","",IFERROR(IF(INDEX(CODIFICACION!$E$2:$E$500,MATCH("D13.45|"&amp;DC105,CODIFICACION!$F$2:$F$500,0))="sin dato","",INDEX(CODIFICACION!$E$2:$E$500,MATCH("D13.45|"&amp;DC105,CODIFICACION!$F$2:$F$500,0))),"⚠"))</f>
        <v/>
      </c>
      <c r="BX105" t="str">
        <f>IF(DD105="","",IFERROR(IF(INDEX(CODIFICACION!$E$2:$E$500,MATCH("D14.51|"&amp;DD105,CODIFICACION!$F$2:$F$500,0))="sin dato","",INDEX(CODIFICACION!$E$2:$E$500,MATCH("D14.51|"&amp;DD105,CODIFICACION!$F$2:$F$500,0))),"⚠"))</f>
        <v/>
      </c>
      <c r="BY105" t="str">
        <f>IF(DE105="","",IFERROR(IF(INDEX(CODIFICACION!$E$2:$E$500,MATCH("D15.58|"&amp;DE105,CODIFICACION!$F$2:$F$500,0))="sin dato","",INDEX(CODIFICACION!$E$2:$E$500,MATCH("D15.58|"&amp;DE105,CODIFICACION!$F$2:$F$500,0))),"⚠"))</f>
        <v/>
      </c>
      <c r="BZ105" t="str">
        <f>IF(DF105="","",IFERROR(IF(INDEX(CODIFICACION!$E$2:$E$500,MATCH("PP1|"&amp;DF105,CODIFICACION!$F$2:$F$500,0))="sin dato","",INDEX(CODIFICACION!$E$2:$E$500,MATCH("PP1|"&amp;DF105,CODIFICACION!$F$2:$F$500,0))),"⚠"))</f>
        <v/>
      </c>
      <c r="CA105" t="str">
        <f>IF(DG105="","",IFERROR(IF(INDEX(CODIFICACION!$E$2:$E$500,MATCH("PP2|"&amp;DG105,CODIFICACION!$F$2:$F$500,0))="sin dato","",INDEX(CODIFICACION!$E$2:$E$500,MATCH("PP2|"&amp;DG105,CODIFICACION!$F$2:$F$500,0))),"⚠"))</f>
        <v/>
      </c>
      <c r="CB105" t="str">
        <f t="shared" si="89"/>
        <v/>
      </c>
      <c r="CC105" t="str">
        <f t="shared" ca="1" si="90"/>
        <v/>
      </c>
      <c r="CD105" t="str">
        <f t="shared" ca="1" si="91"/>
        <v/>
      </c>
      <c r="CE105" t="str">
        <f t="shared" si="92"/>
        <v/>
      </c>
      <c r="CF105" t="str">
        <f t="shared" si="93"/>
        <v/>
      </c>
      <c r="CG105" t="str">
        <f t="shared" ca="1" si="94"/>
        <v/>
      </c>
      <c r="CH105" t="str">
        <f t="shared" ca="1" si="95"/>
        <v/>
      </c>
      <c r="CI105" t="str">
        <f t="shared" si="96"/>
        <v/>
      </c>
      <c r="CJ105" t="str">
        <f t="shared" si="97"/>
        <v/>
      </c>
      <c r="CK105" t="str">
        <f t="shared" si="98"/>
        <v/>
      </c>
      <c r="CL105" t="str">
        <f t="shared" si="99"/>
        <v/>
      </c>
    </row>
    <row r="106" spans="1:90" x14ac:dyDescent="0.3">
      <c r="A106">
        <f>CAPTURA!A106</f>
        <v>20600263286</v>
      </c>
      <c r="B106">
        <f>CAPTURA!C106</f>
        <v>0</v>
      </c>
      <c r="C106" t="str">
        <f t="shared" si="75"/>
        <v/>
      </c>
      <c r="D106" t="str">
        <f>IF(AE106="","",IFERROR(IF(INDEX(CODIFICACION!$E$2:$E$500,MATCH("P8|"&amp;AE106,CODIFICACION!$F$2:$F$500,0))="sin dato","",INDEX(CODIFICACION!$E$2:$E$500,MATCH("P8|"&amp;AE106,CODIFICACION!$F$2:$F$500,0))),"⚠"))</f>
        <v/>
      </c>
      <c r="E106" t="str">
        <f>IF(AG106="","",IFERROR(IF(INDEX(CODIFICACION!$E$2:$E$500,MATCH("P10|"&amp;AG106,CODIFICACION!$F$2:$F$500,0))="sin dato","",INDEX(CODIFICACION!$E$2:$E$500,MATCH("P10|"&amp;AG106,CODIFICACION!$F$2:$F$500,0))),"⚠"))</f>
        <v/>
      </c>
      <c r="F106" t="str">
        <f>IF(AJ106="","",IFERROR(IF(INDEX(CODIFICACION!$E$2:$E$500,MATCH("P13|"&amp;AJ106,CODIFICACION!$F$2:$F$500,0))="sin dato","",INDEX(CODIFICACION!$E$2:$E$500,MATCH("P13|"&amp;AJ106,CODIFICACION!$F$2:$F$500,0))),"⚠"))</f>
        <v/>
      </c>
      <c r="G106" t="str">
        <f>IF(AK106="","",IFERROR(IF(INDEX(CODIFICACION!$E$2:$E$500,MATCH("P14|"&amp;AK106,CODIFICACION!$F$2:$F$500,0))="sin dato","",INDEX(CODIFICACION!$E$2:$E$500,MATCH("P14|"&amp;AK106,CODIFICACION!$F$2:$F$500,0))),"⚠"))</f>
        <v/>
      </c>
      <c r="H106" t="str">
        <f>IF(AL106="","",IFERROR(IF(INDEX(CODIFICACION!$E$2:$E$500,MATCH("D1.1|"&amp;AL106,CODIFICACION!$F$2:$F$500,0))="sin dato","",INDEX(CODIFICACION!$E$2:$E$500,MATCH("D1.1|"&amp;AL106,CODIFICACION!$F$2:$F$500,0))),"⚠"))</f>
        <v/>
      </c>
      <c r="I106" t="str">
        <f>IF(AN106="","",IFERROR(IF(INDEX(CODIFICACION!$E$2:$E$500,MATCH("D1.3|"&amp;AN106,CODIFICACION!$F$2:$F$500,0))="sin dato","",INDEX(CODIFICACION!$E$2:$E$500,MATCH("D1.3|"&amp;AN106,CODIFICACION!$F$2:$F$500,0))),"⚠"))</f>
        <v/>
      </c>
      <c r="J106" t="str">
        <f>IF(AO106="","",IFERROR(IF(INDEX(CODIFICACION!$E$2:$E$500,MATCH("D1.4|"&amp;AO106,CODIFICACION!$F$2:$F$500,0))="sin dato","",INDEX(CODIFICACION!$E$2:$E$500,MATCH("D1.4|"&amp;AO106,CODIFICACION!$F$2:$F$500,0))),"⚠"))</f>
        <v/>
      </c>
      <c r="K106" t="str">
        <f>IF(AP106="","",IFERROR(IF(INDEX(CODIFICACION!$E$2:$E$500,MATCH("D1.3a|"&amp;AP106,CODIFICACION!$F$2:$F$500,0))="sin dato","",INDEX(CODIFICACION!$E$2:$E$500,MATCH("D1.3a|"&amp;AP106,CODIFICACION!$F$2:$F$500,0))),"⚠"))</f>
        <v/>
      </c>
      <c r="L106" t="str">
        <f t="shared" si="76"/>
        <v/>
      </c>
      <c r="M106" t="str">
        <f t="shared" si="77"/>
        <v/>
      </c>
      <c r="N106" t="str">
        <f t="shared" si="78"/>
        <v/>
      </c>
      <c r="O106" t="str">
        <f>IF(AT106="","",IFERROR(IF(INDEX(CODIFICACION!$E$2:$E$500,MATCH("D2.8|"&amp;AT106,CODIFICACION!$F$2:$F$500,0))="sin dato","",INDEX(CODIFICACION!$E$2:$E$500,MATCH("D2.8|"&amp;AT106,CODIFICACION!$F$2:$F$500,0))),"⚠"))</f>
        <v/>
      </c>
      <c r="P106" t="str">
        <f>IF(AU106="","",IFERROR(IF(INDEX(CODIFICACION!$E$2:$E$500,MATCH("D2.9|"&amp;AU106,CODIFICACION!$F$2:$F$500,0))="sin dato","",INDEX(CODIFICACION!$E$2:$E$500,MATCH("D2.9|"&amp;AU106,CODIFICACION!$F$2:$F$500,0))),"⚠"))</f>
        <v/>
      </c>
      <c r="Q106" t="str">
        <f>IF(AV106="","",IFERROR(IF(INDEX(CODIFICACION!$E$2:$E$500,MATCH("D2.10|"&amp;AV106,CODIFICACION!$F$2:$F$500,0))="sin dato","",INDEX(CODIFICACION!$E$2:$E$500,MATCH("D2.10|"&amp;AV106,CODIFICACION!$F$2:$F$500,0))),"⚠"))</f>
        <v/>
      </c>
      <c r="R106" t="str">
        <f>IF(AW106="","",IFERROR(IF(INDEX(CODIFICACION!$E$2:$E$500,MATCH("D2.5a|"&amp;AW106,CODIFICACION!$F$2:$F$500,0))="sin dato","",INDEX(CODIFICACION!$E$2:$E$500,MATCH("D2.5a|"&amp;AW106,CODIFICACION!$F$2:$F$500,0))),"⚠"))</f>
        <v/>
      </c>
      <c r="S106" t="str">
        <f ca="1">IF(AX106="","",IFERROR(IF(INDEX(CODIFICACION!$E$2:$E$500,MATCH("D2.5b|"&amp;AX106,CODIFICACION!$F$2:$F$500,0))="sin dato","",INDEX(CODIFICACION!$E$2:$E$500,MATCH("D2.5b|"&amp;AX106,CODIFICACION!$F$2:$F$500,0))),"⚠"))</f>
        <v/>
      </c>
      <c r="T106" t="str">
        <f t="shared" ca="1" si="79"/>
        <v/>
      </c>
      <c r="U106" t="str">
        <f>IF(AZ106="","",IFERROR(IF(INDEX(CODIFICACION!$E$2:$E$500,MATCH("D3.12|"&amp;AZ106,CODIFICACION!$F$2:$F$500,0))="sin dato","",INDEX(CODIFICACION!$E$2:$E$500,MATCH("D3.12|"&amp;AZ106,CODIFICACION!$F$2:$F$500,0))),"⚠"))</f>
        <v/>
      </c>
      <c r="V106" t="str">
        <f t="shared" si="80"/>
        <v/>
      </c>
      <c r="W106" t="str">
        <f ca="1">IF(BB106="","",IFERROR(IF(INDEX(CODIFICACION!$E$2:$E$500,MATCH("D3.14|"&amp;BB106,CODIFICACION!$F$2:$F$500,0))="sin dato","",INDEX(CODIFICACION!$E$2:$E$500,MATCH("D3.14|"&amp;BB106,CODIFICACION!$F$2:$F$500,0))),"⚠"))</f>
        <v/>
      </c>
      <c r="X106" t="str">
        <f ca="1">IF(BC106="","",IFERROR(IF(INDEX(CODIFICACION!$E$2:$E$500,MATCH("D3.14a|"&amp;BC106,CODIFICACION!$F$2:$F$500,0))="sin dato","",INDEX(CODIFICACION!$E$2:$E$500,MATCH("D3.14a|"&amp;BC106,CODIFICACION!$F$2:$F$500,0))),"⚠"))</f>
        <v/>
      </c>
      <c r="Y106" t="str">
        <f>IF(BD106="","",IFERROR(IF(INDEX(CODIFICACION!$E$2:$E$500,MATCH("D3.14b|"&amp;BD106,CODIFICACION!$F$2:$F$500,0))="sin dato","",INDEX(CODIFICACION!$E$2:$E$500,MATCH("D3.14b|"&amp;BD106,CODIFICACION!$F$2:$F$500,0))),"⚠"))</f>
        <v/>
      </c>
      <c r="Z106" t="str">
        <f>IF(BE106="","",IFERROR(IF(INDEX(CODIFICACION!$E$2:$E$500,MATCH("D3.14c|"&amp;BE106,CODIFICACION!$F$2:$F$500,0))="sin dato","",INDEX(CODIFICACION!$E$2:$E$500,MATCH("D3.14c|"&amp;BE106,CODIFICACION!$F$2:$F$500,0))),"⚠"))</f>
        <v/>
      </c>
      <c r="AA106" t="str">
        <f>IF(BF106="","",IFERROR(IF(INDEX(CODIFICACION!$E$2:$E$500,MATCH("D3.14d|"&amp;BF106,CODIFICACION!$F$2:$F$500,0))="sin dato","",INDEX(CODIFICACION!$E$2:$E$500,MATCH("D3.14d|"&amp;BF106,CODIFICACION!$F$2:$F$500,0))),"⚠"))</f>
        <v/>
      </c>
      <c r="AB106" t="str">
        <f>IF(BG106="","",IFERROR(IF(INDEX(CODIFICACION!$E$2:$E$500,MATCH("D3.14e|"&amp;BG106,CODIFICACION!$F$2:$F$500,0))="sin dato","",INDEX(CODIFICACION!$E$2:$E$500,MATCH("D3.14e|"&amp;BG106,CODIFICACION!$F$2:$F$500,0))),"⚠"))</f>
        <v/>
      </c>
      <c r="AC106" t="str">
        <f>IF(BH106="","",IFERROR(IF(INDEX(CODIFICACION!$E$2:$E$500,MATCH("D3.14f|"&amp;BH106,CODIFICACION!$F$2:$F$500,0))="sin dato","",INDEX(CODIFICACION!$E$2:$E$500,MATCH("D3.14f|"&amp;BH106,CODIFICACION!$F$2:$F$500,0))),"⚠"))</f>
        <v/>
      </c>
      <c r="AD106" t="str">
        <f>IF(BI106="","",IFERROR(IF(INDEX(CODIFICACION!$E$2:$E$500,MATCH("D3.14g|"&amp;BI106,CODIFICACION!$F$2:$F$500,0))="sin dato","",INDEX(CODIFICACION!$E$2:$E$500,MATCH("D3.14g|"&amp;BI106,CODIFICACION!$F$2:$F$500,0))),"⚠"))</f>
        <v/>
      </c>
      <c r="AE106" t="str">
        <f>IF(BJ106="","",IFERROR(IF(INDEX(CODIFICACION!$E$2:$E$500,MATCH("D3.14h|"&amp;BJ106,CODIFICACION!$F$2:$F$500,0))="sin dato","",INDEX(CODIFICACION!$E$2:$E$500,MATCH("D3.14h|"&amp;BJ106,CODIFICACION!$F$2:$F$500,0))),"⚠"))</f>
        <v/>
      </c>
      <c r="AF106" t="str">
        <f>IF(BK106="","",IFERROR(IF(INDEX(CODIFICACION!$E$2:$E$500,MATCH("D3.14i|"&amp;BK106,CODIFICACION!$F$2:$F$500,0))="sin dato","",INDEX(CODIFICACION!$E$2:$E$500,MATCH("D3.14i|"&amp;BK106,CODIFICACION!$F$2:$F$500,0))),"⚠"))</f>
        <v/>
      </c>
      <c r="AG106" t="str">
        <f>IF(BL106="","",IFERROR(IF(INDEX(CODIFICACION!$E$2:$E$500,MATCH("D4.15|"&amp;BL106,CODIFICACION!$F$2:$F$500,0))="sin dato","",INDEX(CODIFICACION!$E$2:$E$500,MATCH("D4.15|"&amp;BL106,CODIFICACION!$F$2:$F$500,0))),"⚠"))</f>
        <v/>
      </c>
      <c r="AH106" t="str">
        <f t="shared" si="81"/>
        <v/>
      </c>
      <c r="AI106" t="str">
        <f>IF(BN106="","",IFERROR(IF(INDEX(CODIFICACION!$E$2:$E$500,MATCH("D4.17|"&amp;BN106,CODIFICACION!$F$2:$F$500,0))="sin dato","",INDEX(CODIFICACION!$E$2:$E$500,MATCH("D4.17|"&amp;BN106,CODIFICACION!$F$2:$F$500,0))),"⚠"))</f>
        <v/>
      </c>
      <c r="AJ106" t="str">
        <f>IF(BO106="","",IFERROR(IF(INDEX(CODIFICACION!$E$2:$E$500,MATCH("D4.15a|"&amp;BO106,CODIFICACION!$F$2:$F$500,0))="sin dato","",INDEX(CODIFICACION!$E$2:$E$500,MATCH("D4.15a|"&amp;BO106,CODIFICACION!$F$2:$F$500,0))),"⚠"))</f>
        <v/>
      </c>
      <c r="AK106" t="str">
        <f t="shared" si="82"/>
        <v/>
      </c>
      <c r="AL106" t="str">
        <f t="shared" si="83"/>
        <v/>
      </c>
      <c r="AM106" t="str">
        <f>IF(BR106="","",IFERROR(IF(INDEX(CODIFICACION!$E$2:$E$500,MATCH("D5.18b|"&amp;BR106,CODIFICACION!$F$2:$F$500,0))="sin dato","",INDEX(CODIFICACION!$E$2:$E$500,MATCH("D5.18b|"&amp;BR106,CODIFICACION!$F$2:$F$500,0))),"⚠"))</f>
        <v/>
      </c>
      <c r="AN106" t="str">
        <f>IF(BS106="","",IFERROR(IF(INDEX(CODIFICACION!$E$2:$E$500,MATCH("D5.19|"&amp;BS106,CODIFICACION!$F$2:$F$500,0))="sin dato","",INDEX(CODIFICACION!$E$2:$E$500,MATCH("D5.19|"&amp;BS106,CODIFICACION!$F$2:$F$500,0))),"⚠"))</f>
        <v/>
      </c>
      <c r="AO106" t="str">
        <f t="shared" si="84"/>
        <v/>
      </c>
      <c r="AP106" t="str">
        <f>IF(BU106="","",IFERROR(IF(INDEX(CODIFICACION!$E$2:$E$500,MATCH("D5.20|"&amp;BU106,CODIFICACION!$F$2:$F$500,0))="sin dato","",INDEX(CODIFICACION!$E$2:$E$500,MATCH("D5.20|"&amp;BU106,CODIFICACION!$F$2:$F$500,0))),"⚠"))</f>
        <v/>
      </c>
      <c r="AQ106" t="str">
        <f>IF(BV106="","",IFERROR(IF(INDEX(CODIFICACION!$E$2:$E$500,MATCH("D5.21|"&amp;BV106,CODIFICACION!$F$2:$F$500,0))="sin dato","",INDEX(CODIFICACION!$E$2:$E$500,MATCH("D5.21|"&amp;BV106,CODIFICACION!$F$2:$F$500,0))),"⚠"))</f>
        <v/>
      </c>
      <c r="AR106" t="str">
        <f>IF(BW106="","",IFERROR(IF(INDEX(CODIFICACION!$E$2:$E$500,MATCH("D5.21a|"&amp;BW106,CODIFICACION!$F$2:$F$500,0))="sin dato","",INDEX(CODIFICACION!$E$2:$E$500,MATCH("D5.21a|"&amp;BW106,CODIFICACION!$F$2:$F$500,0))),"⚠"))</f>
        <v/>
      </c>
      <c r="AS106" t="str">
        <f>IF(BX106="","",IFERROR(IF(INDEX(CODIFICACION!$E$2:$E$500,MATCH("D5.21b|"&amp;BX106,CODIFICACION!$F$2:$F$500,0))="sin dato","",INDEX(CODIFICACION!$E$2:$E$500,MATCH("D5.21b|"&amp;BX106,CODIFICACION!$F$2:$F$500,0))),"⚠"))</f>
        <v/>
      </c>
      <c r="AT106" t="str">
        <f>IF(BY106="","",IFERROR(IF(INDEX(CODIFICACION!$E$2:$E$500,MATCH("D6.22|"&amp;BY106,CODIFICACION!$F$2:$F$500,0))="sin dato","",INDEX(CODIFICACION!$E$2:$E$500,MATCH("D6.22|"&amp;BY106,CODIFICACION!$F$2:$F$500,0))),"⚠"))</f>
        <v/>
      </c>
      <c r="AU106" t="str">
        <f>IF(BZ106="","",IFERROR(IF(INDEX(CODIFICACION!$E$2:$E$500,MATCH("D6.22a|"&amp;BZ106,CODIFICACION!$F$2:$F$500,0))="sin dato","",INDEX(CODIFICACION!$E$2:$E$500,MATCH("D6.22a|"&amp;BZ106,CODIFICACION!$F$2:$F$500,0))),"⚠"))</f>
        <v/>
      </c>
      <c r="AV106" t="str">
        <f>IF(CA106="","",IFERROR(IF(INDEX(CODIFICACION!$E$2:$E$500,MATCH("D6.22b|"&amp;CA106,CODIFICACION!$F$2:$F$500,0))="sin dato","",INDEX(CODIFICACION!$E$2:$E$500,MATCH("D6.22b|"&amp;CA106,CODIFICACION!$F$2:$F$500,0))),"⚠"))</f>
        <v/>
      </c>
      <c r="AW106" t="str">
        <f>IF(CB106="","",IFERROR(IF(INDEX(CODIFICACION!$E$2:$E$500,MATCH("D6.23|"&amp;CB106,CODIFICACION!$F$2:$F$500,0))="sin dato","",INDEX(CODIFICACION!$E$2:$E$500,MATCH("D6.23|"&amp;CB106,CODIFICACION!$F$2:$F$500,0))),"⚠"))</f>
        <v/>
      </c>
      <c r="AX106" t="str">
        <f ca="1">IF(CC106="","",IFERROR(IF(INDEX(CODIFICACION!$E$2:$E$500,MATCH("D6.24|"&amp;CC106,CODIFICACION!$F$2:$F$500,0))="sin dato","",INDEX(CODIFICACION!$E$2:$E$500,MATCH("D6.24|"&amp;CC106,CODIFICACION!$F$2:$F$500,0))),"⚠"))</f>
        <v/>
      </c>
      <c r="AY106" t="str">
        <f ca="1">IF(CD106="","",IFERROR(IF(INDEX(CODIFICACION!$E$2:$E$500,MATCH("D6.25|"&amp;CD106,CODIFICACION!$F$2:$F$500,0))="sin dato","",INDEX(CODIFICACION!$E$2:$E$500,MATCH("D6.25|"&amp;CD106,CODIFICACION!$F$2:$F$500,0))),"⚠"))</f>
        <v/>
      </c>
      <c r="AZ106" t="str">
        <f>IF(CE106="","",IFERROR(IF(INDEX(CODIFICACION!$E$2:$E$500,MATCH("D6.25a|"&amp;CE106,CODIFICACION!$F$2:$F$500,0))="sin dato","",INDEX(CODIFICACION!$E$2:$E$500,MATCH("D6.25a|"&amp;CE106,CODIFICACION!$F$2:$F$500,0))),"⚠"))</f>
        <v/>
      </c>
      <c r="BA106" t="str">
        <f>IF(CF106="","",IFERROR(IF(INDEX(CODIFICACION!$E$2:$E$500,MATCH("D6.25b|"&amp;CF106,CODIFICACION!$F$2:$F$500,0))="sin dato","",INDEX(CODIFICACION!$E$2:$E$500,MATCH("D6.25b|"&amp;CF106,CODIFICACION!$F$2:$F$500,0))),"⚠"))</f>
        <v/>
      </c>
      <c r="BB106" t="str">
        <f ca="1">IF(CG106="","",IFERROR(IF(INDEX(CODIFICACION!$E$2:$E$500,MATCH("D6.22c|"&amp;CG106,CODIFICACION!$F$2:$F$500,0))="sin dato","",INDEX(CODIFICACION!$E$2:$E$500,MATCH("D6.22c|"&amp;CG106,CODIFICACION!$F$2:$F$500,0))),"⚠"))</f>
        <v/>
      </c>
      <c r="BC106" t="str">
        <f ca="1">IF(CH106="","",IFERROR(IF(INDEX(CODIFICACION!$E$2:$E$500,MATCH("D7.26|"&amp;CH106,CODIFICACION!$F$2:$F$500,0))="sin dato","",INDEX(CODIFICACION!$E$2:$E$500,MATCH("D7.26|"&amp;CH106,CODIFICACION!$F$2:$F$500,0))),"⚠"))</f>
        <v/>
      </c>
      <c r="BD106" t="str">
        <f>IF(CI106="","",IFERROR(IF(INDEX(CODIFICACION!$E$2:$E$500,MATCH("D7.27|"&amp;CI106,CODIFICACION!$F$2:$F$500,0))="sin dato","",INDEX(CODIFICACION!$E$2:$E$500,MATCH("D7.27|"&amp;CI106,CODIFICACION!$F$2:$F$500,0))),"⚠"))</f>
        <v/>
      </c>
      <c r="BE106" t="str">
        <f>IF(CJ106="","",IFERROR(IF(INDEX(CODIFICACION!$E$2:$E$500,MATCH("D7.28|"&amp;CJ106,CODIFICACION!$F$2:$F$500,0))="sin dato","",INDEX(CODIFICACION!$E$2:$E$500,MATCH("D7.28|"&amp;CJ106,CODIFICACION!$F$2:$F$500,0))),"⚠"))</f>
        <v/>
      </c>
      <c r="BF106" t="str">
        <f>IF(CK106="","",IFERROR(IF(INDEX(CODIFICACION!$E$2:$E$500,MATCH("D7.28b|"&amp;CK106,CODIFICACION!$F$2:$F$500,0))="sin dato","",INDEX(CODIFICACION!$E$2:$E$500,MATCH("D7.28b|"&amp;CK106,CODIFICACION!$F$2:$F$500,0))),"⚠"))</f>
        <v/>
      </c>
      <c r="BG106" t="str">
        <f t="shared" si="85"/>
        <v/>
      </c>
      <c r="BH106" t="str">
        <f>IF(CM106="","",IFERROR(IF(INDEX(CODIFICACION!$E$2:$E$500,MATCH("D7.26a|"&amp;CM106,CODIFICACION!$F$2:$F$500,0))="sin dato","",INDEX(CODIFICACION!$E$2:$E$500,MATCH("D7.26a|"&amp;CM106,CODIFICACION!$F$2:$F$500,0))),"⚠"))</f>
        <v/>
      </c>
      <c r="BI106" t="str">
        <f>IF(CN106="","",IFERROR(IF(INDEX(CODIFICACION!$E$2:$E$500,MATCH("D7.26b|"&amp;CN106,CODIFICACION!$F$2:$F$500,0))="sin dato","",INDEX(CODIFICACION!$E$2:$E$500,MATCH("D7.26b|"&amp;CN106,CODIFICACION!$F$2:$F$500,0))),"⚠"))</f>
        <v/>
      </c>
      <c r="BJ106" t="str">
        <f t="shared" si="86"/>
        <v/>
      </c>
      <c r="BK106" t="str">
        <f t="shared" si="87"/>
        <v/>
      </c>
      <c r="BL106" t="str">
        <f>IF(CQ106="","",IFERROR(IF(INDEX(CODIFICACION!$E$2:$E$500,MATCH("D8.31|"&amp;CQ106,CODIFICACION!$F$2:$F$500,0))="sin dato","",INDEX(CODIFICACION!$E$2:$E$500,MATCH("D8.31|"&amp;CQ106,CODIFICACION!$F$2:$F$500,0))),"⚠"))</f>
        <v/>
      </c>
      <c r="BM106" t="str">
        <f>IF(CR106="","",IFERROR(IF(INDEX(CODIFICACION!$E$2:$E$500,MATCH("D8.32|"&amp;CR106,CODIFICACION!$F$2:$F$500,0))="sin dato","",INDEX(CODIFICACION!$E$2:$E$500,MATCH("D8.32|"&amp;CR106,CODIFICACION!$F$2:$F$500,0))),"⚠"))</f>
        <v/>
      </c>
      <c r="BN106" t="str">
        <f>IF(CS106="","",IFERROR(IF(INDEX(CODIFICACION!$E$2:$E$500,MATCH("D9.33|"&amp;CS106,CODIFICACION!$F$2:$F$500,0))="sin dato","",INDEX(CODIFICACION!$E$2:$E$500,MATCH("D9.33|"&amp;CS106,CODIFICACION!$F$2:$F$500,0))),"⚠"))</f>
        <v/>
      </c>
      <c r="BO106" t="str">
        <f>IF(CT106="","",IFERROR(IF(INDEX(CODIFICACION!$E$2:$E$500,MATCH("D9.34|"&amp;CT106,CODIFICACION!$F$2:$F$500,0))="sin dato","",INDEX(CODIFICACION!$E$2:$E$500,MATCH("D9.34|"&amp;CT106,CODIFICACION!$F$2:$F$500,0))),"⚠"))</f>
        <v/>
      </c>
      <c r="BP106" t="str">
        <f>IF(CU106="","",IFERROR(IF(INDEX(CODIFICACION!$E$2:$E$500,MATCH("D9.35|"&amp;CU106,CODIFICACION!$F$2:$F$500,0))="sin dato","",INDEX(CODIFICACION!$E$2:$E$500,MATCH("D9.35|"&amp;CU106,CODIFICACION!$F$2:$F$500,0))),"⚠"))</f>
        <v/>
      </c>
      <c r="BQ106" t="str">
        <f>IF(CV106="","",IFERROR(IF(INDEX(CODIFICACION!$E$2:$E$500,MATCH("D10.36|"&amp;CV106,CODIFICACION!$F$2:$F$500,0))="sin dato","",INDEX(CODIFICACION!$E$2:$E$500,MATCH("D10.36|"&amp;CV106,CODIFICACION!$F$2:$F$500,0))),"⚠"))</f>
        <v/>
      </c>
      <c r="BR106" t="str">
        <f>IF(CW106="","",IFERROR(IF(INDEX(CODIFICACION!$E$2:$E$500,MATCH("D10.37|"&amp;CW106,CODIFICACION!$F$2:$F$500,0))="sin dato","",INDEX(CODIFICACION!$E$2:$E$500,MATCH("D10.37|"&amp;CW106,CODIFICACION!$F$2:$F$500,0))),"⚠"))</f>
        <v/>
      </c>
      <c r="BS106" t="str">
        <f>IF(CX106="","",IFERROR(IF(INDEX(CODIFICACION!$E$2:$E$500,MATCH("D10.36a|"&amp;CX106,CODIFICACION!$F$2:$F$500,0))="sin dato","",INDEX(CODIFICACION!$E$2:$E$500,MATCH("D10.36a|"&amp;CX106,CODIFICACION!$F$2:$F$500,0))),"⚠"))</f>
        <v/>
      </c>
      <c r="BT106" t="str">
        <f t="shared" si="88"/>
        <v/>
      </c>
      <c r="BU106" t="str">
        <f>IF(DA106="","",IFERROR(IF(INDEX(CODIFICACION!$E$2:$E$500,MATCH("D11.39a|"&amp;DA106,CODIFICACION!$F$2:$F$500,0))="sin dato","",INDEX(CODIFICACION!$E$2:$E$500,MATCH("D11.39a|"&amp;DA106,CODIFICACION!$F$2:$F$500,0))),"⚠"))</f>
        <v/>
      </c>
      <c r="BV106" t="str">
        <f>IF(DB106="","",IFERROR(IF(INDEX(CODIFICACION!$E$2:$E$500,MATCH("D12.42|"&amp;DB106,CODIFICACION!$F$2:$F$500,0))="sin dato","",INDEX(CODIFICACION!$E$2:$E$500,MATCH("D12.42|"&amp;DB106,CODIFICACION!$F$2:$F$500,0))),"⚠"))</f>
        <v/>
      </c>
      <c r="BW106" t="str">
        <f>IF(DC106="","",IFERROR(IF(INDEX(CODIFICACION!$E$2:$E$500,MATCH("D13.45|"&amp;DC106,CODIFICACION!$F$2:$F$500,0))="sin dato","",INDEX(CODIFICACION!$E$2:$E$500,MATCH("D13.45|"&amp;DC106,CODIFICACION!$F$2:$F$500,0))),"⚠"))</f>
        <v/>
      </c>
      <c r="BX106" t="str">
        <f>IF(DD106="","",IFERROR(IF(INDEX(CODIFICACION!$E$2:$E$500,MATCH("D14.51|"&amp;DD106,CODIFICACION!$F$2:$F$500,0))="sin dato","",INDEX(CODIFICACION!$E$2:$E$500,MATCH("D14.51|"&amp;DD106,CODIFICACION!$F$2:$F$500,0))),"⚠"))</f>
        <v/>
      </c>
      <c r="BY106" t="str">
        <f>IF(DE106="","",IFERROR(IF(INDEX(CODIFICACION!$E$2:$E$500,MATCH("D15.58|"&amp;DE106,CODIFICACION!$F$2:$F$500,0))="sin dato","",INDEX(CODIFICACION!$E$2:$E$500,MATCH("D15.58|"&amp;DE106,CODIFICACION!$F$2:$F$500,0))),"⚠"))</f>
        <v/>
      </c>
      <c r="BZ106" t="str">
        <f>IF(DF106="","",IFERROR(IF(INDEX(CODIFICACION!$E$2:$E$500,MATCH("PP1|"&amp;DF106,CODIFICACION!$F$2:$F$500,0))="sin dato","",INDEX(CODIFICACION!$E$2:$E$500,MATCH("PP1|"&amp;DF106,CODIFICACION!$F$2:$F$500,0))),"⚠"))</f>
        <v/>
      </c>
      <c r="CA106" t="str">
        <f>IF(DG106="","",IFERROR(IF(INDEX(CODIFICACION!$E$2:$E$500,MATCH("PP2|"&amp;DG106,CODIFICACION!$F$2:$F$500,0))="sin dato","",INDEX(CODIFICACION!$E$2:$E$500,MATCH("PP2|"&amp;DG106,CODIFICACION!$F$2:$F$500,0))),"⚠"))</f>
        <v/>
      </c>
      <c r="CB106" t="str">
        <f t="shared" si="89"/>
        <v/>
      </c>
      <c r="CC106" t="str">
        <f t="shared" ca="1" si="90"/>
        <v/>
      </c>
      <c r="CD106" t="str">
        <f t="shared" ca="1" si="91"/>
        <v/>
      </c>
      <c r="CE106" t="str">
        <f t="shared" si="92"/>
        <v/>
      </c>
      <c r="CF106" t="str">
        <f t="shared" si="93"/>
        <v/>
      </c>
      <c r="CG106" t="str">
        <f t="shared" ca="1" si="94"/>
        <v/>
      </c>
      <c r="CH106" t="str">
        <f t="shared" ca="1" si="95"/>
        <v/>
      </c>
      <c r="CI106" t="str">
        <f t="shared" si="96"/>
        <v/>
      </c>
      <c r="CJ106" t="str">
        <f t="shared" si="97"/>
        <v/>
      </c>
      <c r="CK106" t="str">
        <f t="shared" si="98"/>
        <v/>
      </c>
      <c r="CL106" t="str">
        <f t="shared" si="99"/>
        <v/>
      </c>
    </row>
    <row r="107" spans="1:90" x14ac:dyDescent="0.3">
      <c r="A107">
        <f>CAPTURA!A107</f>
        <v>20600382064</v>
      </c>
      <c r="B107">
        <f>CAPTURA!C107</f>
        <v>0</v>
      </c>
      <c r="C107" t="str">
        <f t="shared" si="75"/>
        <v/>
      </c>
      <c r="D107" t="str">
        <f>IF(AE107="","",IFERROR(IF(INDEX(CODIFICACION!$E$2:$E$500,MATCH("P8|"&amp;AE107,CODIFICACION!$F$2:$F$500,0))="sin dato","",INDEX(CODIFICACION!$E$2:$E$500,MATCH("P8|"&amp;AE107,CODIFICACION!$F$2:$F$500,0))),"⚠"))</f>
        <v/>
      </c>
      <c r="E107" t="str">
        <f>IF(AG107="","",IFERROR(IF(INDEX(CODIFICACION!$E$2:$E$500,MATCH("P10|"&amp;AG107,CODIFICACION!$F$2:$F$500,0))="sin dato","",INDEX(CODIFICACION!$E$2:$E$500,MATCH("P10|"&amp;AG107,CODIFICACION!$F$2:$F$500,0))),"⚠"))</f>
        <v/>
      </c>
      <c r="F107" t="str">
        <f>IF(AJ107="","",IFERROR(IF(INDEX(CODIFICACION!$E$2:$E$500,MATCH("P13|"&amp;AJ107,CODIFICACION!$F$2:$F$500,0))="sin dato","",INDEX(CODIFICACION!$E$2:$E$500,MATCH("P13|"&amp;AJ107,CODIFICACION!$F$2:$F$500,0))),"⚠"))</f>
        <v/>
      </c>
      <c r="G107" t="str">
        <f>IF(AK107="","",IFERROR(IF(INDEX(CODIFICACION!$E$2:$E$500,MATCH("P14|"&amp;AK107,CODIFICACION!$F$2:$F$500,0))="sin dato","",INDEX(CODIFICACION!$E$2:$E$500,MATCH("P14|"&amp;AK107,CODIFICACION!$F$2:$F$500,0))),"⚠"))</f>
        <v/>
      </c>
      <c r="H107" t="str">
        <f>IF(AL107="","",IFERROR(IF(INDEX(CODIFICACION!$E$2:$E$500,MATCH("D1.1|"&amp;AL107,CODIFICACION!$F$2:$F$500,0))="sin dato","",INDEX(CODIFICACION!$E$2:$E$500,MATCH("D1.1|"&amp;AL107,CODIFICACION!$F$2:$F$500,0))),"⚠"))</f>
        <v/>
      </c>
      <c r="I107" t="str">
        <f>IF(AN107="","",IFERROR(IF(INDEX(CODIFICACION!$E$2:$E$500,MATCH("D1.3|"&amp;AN107,CODIFICACION!$F$2:$F$500,0))="sin dato","",INDEX(CODIFICACION!$E$2:$E$500,MATCH("D1.3|"&amp;AN107,CODIFICACION!$F$2:$F$500,0))),"⚠"))</f>
        <v/>
      </c>
      <c r="J107" t="str">
        <f>IF(AO107="","",IFERROR(IF(INDEX(CODIFICACION!$E$2:$E$500,MATCH("D1.4|"&amp;AO107,CODIFICACION!$F$2:$F$500,0))="sin dato","",INDEX(CODIFICACION!$E$2:$E$500,MATCH("D1.4|"&amp;AO107,CODIFICACION!$F$2:$F$500,0))),"⚠"))</f>
        <v/>
      </c>
      <c r="K107" t="str">
        <f>IF(AP107="","",IFERROR(IF(INDEX(CODIFICACION!$E$2:$E$500,MATCH("D1.3a|"&amp;AP107,CODIFICACION!$F$2:$F$500,0))="sin dato","",INDEX(CODIFICACION!$E$2:$E$500,MATCH("D1.3a|"&amp;AP107,CODIFICACION!$F$2:$F$500,0))),"⚠"))</f>
        <v/>
      </c>
      <c r="L107" t="str">
        <f t="shared" si="76"/>
        <v/>
      </c>
      <c r="M107" t="str">
        <f t="shared" si="77"/>
        <v/>
      </c>
      <c r="N107" t="str">
        <f t="shared" si="78"/>
        <v/>
      </c>
      <c r="O107" t="str">
        <f>IF(AT107="","",IFERROR(IF(INDEX(CODIFICACION!$E$2:$E$500,MATCH("D2.8|"&amp;AT107,CODIFICACION!$F$2:$F$500,0))="sin dato","",INDEX(CODIFICACION!$E$2:$E$500,MATCH("D2.8|"&amp;AT107,CODIFICACION!$F$2:$F$500,0))),"⚠"))</f>
        <v/>
      </c>
      <c r="P107" t="str">
        <f>IF(AU107="","",IFERROR(IF(INDEX(CODIFICACION!$E$2:$E$500,MATCH("D2.9|"&amp;AU107,CODIFICACION!$F$2:$F$500,0))="sin dato","",INDEX(CODIFICACION!$E$2:$E$500,MATCH("D2.9|"&amp;AU107,CODIFICACION!$F$2:$F$500,0))),"⚠"))</f>
        <v/>
      </c>
      <c r="Q107" t="str">
        <f>IF(AV107="","",IFERROR(IF(INDEX(CODIFICACION!$E$2:$E$500,MATCH("D2.10|"&amp;AV107,CODIFICACION!$F$2:$F$500,0))="sin dato","",INDEX(CODIFICACION!$E$2:$E$500,MATCH("D2.10|"&amp;AV107,CODIFICACION!$F$2:$F$500,0))),"⚠"))</f>
        <v/>
      </c>
      <c r="R107" t="str">
        <f>IF(AW107="","",IFERROR(IF(INDEX(CODIFICACION!$E$2:$E$500,MATCH("D2.5a|"&amp;AW107,CODIFICACION!$F$2:$F$500,0))="sin dato","",INDEX(CODIFICACION!$E$2:$E$500,MATCH("D2.5a|"&amp;AW107,CODIFICACION!$F$2:$F$500,0))),"⚠"))</f>
        <v/>
      </c>
      <c r="S107" t="str">
        <f ca="1">IF(AX107="","",IFERROR(IF(INDEX(CODIFICACION!$E$2:$E$500,MATCH("D2.5b|"&amp;AX107,CODIFICACION!$F$2:$F$500,0))="sin dato","",INDEX(CODIFICACION!$E$2:$E$500,MATCH("D2.5b|"&amp;AX107,CODIFICACION!$F$2:$F$500,0))),"⚠"))</f>
        <v/>
      </c>
      <c r="T107" t="str">
        <f t="shared" ca="1" si="79"/>
        <v/>
      </c>
      <c r="U107" t="str">
        <f>IF(AZ107="","",IFERROR(IF(INDEX(CODIFICACION!$E$2:$E$500,MATCH("D3.12|"&amp;AZ107,CODIFICACION!$F$2:$F$500,0))="sin dato","",INDEX(CODIFICACION!$E$2:$E$500,MATCH("D3.12|"&amp;AZ107,CODIFICACION!$F$2:$F$500,0))),"⚠"))</f>
        <v/>
      </c>
      <c r="V107" t="str">
        <f t="shared" si="80"/>
        <v/>
      </c>
      <c r="W107" t="str">
        <f ca="1">IF(BB107="","",IFERROR(IF(INDEX(CODIFICACION!$E$2:$E$500,MATCH("D3.14|"&amp;BB107,CODIFICACION!$F$2:$F$500,0))="sin dato","",INDEX(CODIFICACION!$E$2:$E$500,MATCH("D3.14|"&amp;BB107,CODIFICACION!$F$2:$F$500,0))),"⚠"))</f>
        <v/>
      </c>
      <c r="X107" t="str">
        <f ca="1">IF(BC107="","",IFERROR(IF(INDEX(CODIFICACION!$E$2:$E$500,MATCH("D3.14a|"&amp;BC107,CODIFICACION!$F$2:$F$500,0))="sin dato","",INDEX(CODIFICACION!$E$2:$E$500,MATCH("D3.14a|"&amp;BC107,CODIFICACION!$F$2:$F$500,0))),"⚠"))</f>
        <v/>
      </c>
      <c r="Y107" t="str">
        <f>IF(BD107="","",IFERROR(IF(INDEX(CODIFICACION!$E$2:$E$500,MATCH("D3.14b|"&amp;BD107,CODIFICACION!$F$2:$F$500,0))="sin dato","",INDEX(CODIFICACION!$E$2:$E$500,MATCH("D3.14b|"&amp;BD107,CODIFICACION!$F$2:$F$500,0))),"⚠"))</f>
        <v/>
      </c>
      <c r="Z107" t="str">
        <f>IF(BE107="","",IFERROR(IF(INDEX(CODIFICACION!$E$2:$E$500,MATCH("D3.14c|"&amp;BE107,CODIFICACION!$F$2:$F$500,0))="sin dato","",INDEX(CODIFICACION!$E$2:$E$500,MATCH("D3.14c|"&amp;BE107,CODIFICACION!$F$2:$F$500,0))),"⚠"))</f>
        <v/>
      </c>
      <c r="AA107" t="str">
        <f>IF(BF107="","",IFERROR(IF(INDEX(CODIFICACION!$E$2:$E$500,MATCH("D3.14d|"&amp;BF107,CODIFICACION!$F$2:$F$500,0))="sin dato","",INDEX(CODIFICACION!$E$2:$E$500,MATCH("D3.14d|"&amp;BF107,CODIFICACION!$F$2:$F$500,0))),"⚠"))</f>
        <v/>
      </c>
      <c r="AB107" t="str">
        <f>IF(BG107="","",IFERROR(IF(INDEX(CODIFICACION!$E$2:$E$500,MATCH("D3.14e|"&amp;BG107,CODIFICACION!$F$2:$F$500,0))="sin dato","",INDEX(CODIFICACION!$E$2:$E$500,MATCH("D3.14e|"&amp;BG107,CODIFICACION!$F$2:$F$500,0))),"⚠"))</f>
        <v/>
      </c>
      <c r="AC107" t="str">
        <f>IF(BH107="","",IFERROR(IF(INDEX(CODIFICACION!$E$2:$E$500,MATCH("D3.14f|"&amp;BH107,CODIFICACION!$F$2:$F$500,0))="sin dato","",INDEX(CODIFICACION!$E$2:$E$500,MATCH("D3.14f|"&amp;BH107,CODIFICACION!$F$2:$F$500,0))),"⚠"))</f>
        <v/>
      </c>
      <c r="AD107" t="str">
        <f>IF(BI107="","",IFERROR(IF(INDEX(CODIFICACION!$E$2:$E$500,MATCH("D3.14g|"&amp;BI107,CODIFICACION!$F$2:$F$500,0))="sin dato","",INDEX(CODIFICACION!$E$2:$E$500,MATCH("D3.14g|"&amp;BI107,CODIFICACION!$F$2:$F$500,0))),"⚠"))</f>
        <v/>
      </c>
      <c r="AE107" t="str">
        <f>IF(BJ107="","",IFERROR(IF(INDEX(CODIFICACION!$E$2:$E$500,MATCH("D3.14h|"&amp;BJ107,CODIFICACION!$F$2:$F$500,0))="sin dato","",INDEX(CODIFICACION!$E$2:$E$500,MATCH("D3.14h|"&amp;BJ107,CODIFICACION!$F$2:$F$500,0))),"⚠"))</f>
        <v/>
      </c>
      <c r="AF107" t="str">
        <f>IF(BK107="","",IFERROR(IF(INDEX(CODIFICACION!$E$2:$E$500,MATCH("D3.14i|"&amp;BK107,CODIFICACION!$F$2:$F$500,0))="sin dato","",INDEX(CODIFICACION!$E$2:$E$500,MATCH("D3.14i|"&amp;BK107,CODIFICACION!$F$2:$F$500,0))),"⚠"))</f>
        <v/>
      </c>
      <c r="AG107" t="str">
        <f>IF(BL107="","",IFERROR(IF(INDEX(CODIFICACION!$E$2:$E$500,MATCH("D4.15|"&amp;BL107,CODIFICACION!$F$2:$F$500,0))="sin dato","",INDEX(CODIFICACION!$E$2:$E$500,MATCH("D4.15|"&amp;BL107,CODIFICACION!$F$2:$F$500,0))),"⚠"))</f>
        <v/>
      </c>
      <c r="AH107" t="str">
        <f t="shared" si="81"/>
        <v/>
      </c>
      <c r="AI107" t="str">
        <f>IF(BN107="","",IFERROR(IF(INDEX(CODIFICACION!$E$2:$E$500,MATCH("D4.17|"&amp;BN107,CODIFICACION!$F$2:$F$500,0))="sin dato","",INDEX(CODIFICACION!$E$2:$E$500,MATCH("D4.17|"&amp;BN107,CODIFICACION!$F$2:$F$500,0))),"⚠"))</f>
        <v/>
      </c>
      <c r="AJ107" t="str">
        <f>IF(BO107="","",IFERROR(IF(INDEX(CODIFICACION!$E$2:$E$500,MATCH("D4.15a|"&amp;BO107,CODIFICACION!$F$2:$F$500,0))="sin dato","",INDEX(CODIFICACION!$E$2:$E$500,MATCH("D4.15a|"&amp;BO107,CODIFICACION!$F$2:$F$500,0))),"⚠"))</f>
        <v/>
      </c>
      <c r="AK107" t="str">
        <f t="shared" si="82"/>
        <v/>
      </c>
      <c r="AL107" t="str">
        <f t="shared" si="83"/>
        <v/>
      </c>
      <c r="AM107" t="str">
        <f>IF(BR107="","",IFERROR(IF(INDEX(CODIFICACION!$E$2:$E$500,MATCH("D5.18b|"&amp;BR107,CODIFICACION!$F$2:$F$500,0))="sin dato","",INDEX(CODIFICACION!$E$2:$E$500,MATCH("D5.18b|"&amp;BR107,CODIFICACION!$F$2:$F$500,0))),"⚠"))</f>
        <v/>
      </c>
      <c r="AN107" t="str">
        <f>IF(BS107="","",IFERROR(IF(INDEX(CODIFICACION!$E$2:$E$500,MATCH("D5.19|"&amp;BS107,CODIFICACION!$F$2:$F$500,0))="sin dato","",INDEX(CODIFICACION!$E$2:$E$500,MATCH("D5.19|"&amp;BS107,CODIFICACION!$F$2:$F$500,0))),"⚠"))</f>
        <v/>
      </c>
      <c r="AO107" t="str">
        <f t="shared" si="84"/>
        <v/>
      </c>
      <c r="AP107" t="str">
        <f>IF(BU107="","",IFERROR(IF(INDEX(CODIFICACION!$E$2:$E$500,MATCH("D5.20|"&amp;BU107,CODIFICACION!$F$2:$F$500,0))="sin dato","",INDEX(CODIFICACION!$E$2:$E$500,MATCH("D5.20|"&amp;BU107,CODIFICACION!$F$2:$F$500,0))),"⚠"))</f>
        <v/>
      </c>
      <c r="AQ107" t="str">
        <f>IF(BV107="","",IFERROR(IF(INDEX(CODIFICACION!$E$2:$E$500,MATCH("D5.21|"&amp;BV107,CODIFICACION!$F$2:$F$500,0))="sin dato","",INDEX(CODIFICACION!$E$2:$E$500,MATCH("D5.21|"&amp;BV107,CODIFICACION!$F$2:$F$500,0))),"⚠"))</f>
        <v/>
      </c>
      <c r="AR107" t="str">
        <f>IF(BW107="","",IFERROR(IF(INDEX(CODIFICACION!$E$2:$E$500,MATCH("D5.21a|"&amp;BW107,CODIFICACION!$F$2:$F$500,0))="sin dato","",INDEX(CODIFICACION!$E$2:$E$500,MATCH("D5.21a|"&amp;BW107,CODIFICACION!$F$2:$F$500,0))),"⚠"))</f>
        <v/>
      </c>
      <c r="AS107" t="str">
        <f>IF(BX107="","",IFERROR(IF(INDEX(CODIFICACION!$E$2:$E$500,MATCH("D5.21b|"&amp;BX107,CODIFICACION!$F$2:$F$500,0))="sin dato","",INDEX(CODIFICACION!$E$2:$E$500,MATCH("D5.21b|"&amp;BX107,CODIFICACION!$F$2:$F$500,0))),"⚠"))</f>
        <v/>
      </c>
      <c r="AT107" t="str">
        <f>IF(BY107="","",IFERROR(IF(INDEX(CODIFICACION!$E$2:$E$500,MATCH("D6.22|"&amp;BY107,CODIFICACION!$F$2:$F$500,0))="sin dato","",INDEX(CODIFICACION!$E$2:$E$500,MATCH("D6.22|"&amp;BY107,CODIFICACION!$F$2:$F$500,0))),"⚠"))</f>
        <v/>
      </c>
      <c r="AU107" t="str">
        <f>IF(BZ107="","",IFERROR(IF(INDEX(CODIFICACION!$E$2:$E$500,MATCH("D6.22a|"&amp;BZ107,CODIFICACION!$F$2:$F$500,0))="sin dato","",INDEX(CODIFICACION!$E$2:$E$500,MATCH("D6.22a|"&amp;BZ107,CODIFICACION!$F$2:$F$500,0))),"⚠"))</f>
        <v/>
      </c>
      <c r="AV107" t="str">
        <f>IF(CA107="","",IFERROR(IF(INDEX(CODIFICACION!$E$2:$E$500,MATCH("D6.22b|"&amp;CA107,CODIFICACION!$F$2:$F$500,0))="sin dato","",INDEX(CODIFICACION!$E$2:$E$500,MATCH("D6.22b|"&amp;CA107,CODIFICACION!$F$2:$F$500,0))),"⚠"))</f>
        <v/>
      </c>
      <c r="AW107" t="str">
        <f>IF(CB107="","",IFERROR(IF(INDEX(CODIFICACION!$E$2:$E$500,MATCH("D6.23|"&amp;CB107,CODIFICACION!$F$2:$F$500,0))="sin dato","",INDEX(CODIFICACION!$E$2:$E$500,MATCH("D6.23|"&amp;CB107,CODIFICACION!$F$2:$F$500,0))),"⚠"))</f>
        <v/>
      </c>
      <c r="AX107" t="str">
        <f ca="1">IF(CC107="","",IFERROR(IF(INDEX(CODIFICACION!$E$2:$E$500,MATCH("D6.24|"&amp;CC107,CODIFICACION!$F$2:$F$500,0))="sin dato","",INDEX(CODIFICACION!$E$2:$E$500,MATCH("D6.24|"&amp;CC107,CODIFICACION!$F$2:$F$500,0))),"⚠"))</f>
        <v/>
      </c>
      <c r="AY107" t="str">
        <f ca="1">IF(CD107="","",IFERROR(IF(INDEX(CODIFICACION!$E$2:$E$500,MATCH("D6.25|"&amp;CD107,CODIFICACION!$F$2:$F$500,0))="sin dato","",INDEX(CODIFICACION!$E$2:$E$500,MATCH("D6.25|"&amp;CD107,CODIFICACION!$F$2:$F$500,0))),"⚠"))</f>
        <v/>
      </c>
      <c r="AZ107" t="str">
        <f>IF(CE107="","",IFERROR(IF(INDEX(CODIFICACION!$E$2:$E$500,MATCH("D6.25a|"&amp;CE107,CODIFICACION!$F$2:$F$500,0))="sin dato","",INDEX(CODIFICACION!$E$2:$E$500,MATCH("D6.25a|"&amp;CE107,CODIFICACION!$F$2:$F$500,0))),"⚠"))</f>
        <v/>
      </c>
      <c r="BA107" t="str">
        <f>IF(CF107="","",IFERROR(IF(INDEX(CODIFICACION!$E$2:$E$500,MATCH("D6.25b|"&amp;CF107,CODIFICACION!$F$2:$F$500,0))="sin dato","",INDEX(CODIFICACION!$E$2:$E$500,MATCH("D6.25b|"&amp;CF107,CODIFICACION!$F$2:$F$500,0))),"⚠"))</f>
        <v/>
      </c>
      <c r="BB107" t="str">
        <f ca="1">IF(CG107="","",IFERROR(IF(INDEX(CODIFICACION!$E$2:$E$500,MATCH("D6.22c|"&amp;CG107,CODIFICACION!$F$2:$F$500,0))="sin dato","",INDEX(CODIFICACION!$E$2:$E$500,MATCH("D6.22c|"&amp;CG107,CODIFICACION!$F$2:$F$500,0))),"⚠"))</f>
        <v/>
      </c>
      <c r="BC107" t="str">
        <f ca="1">IF(CH107="","",IFERROR(IF(INDEX(CODIFICACION!$E$2:$E$500,MATCH("D7.26|"&amp;CH107,CODIFICACION!$F$2:$F$500,0))="sin dato","",INDEX(CODIFICACION!$E$2:$E$500,MATCH("D7.26|"&amp;CH107,CODIFICACION!$F$2:$F$500,0))),"⚠"))</f>
        <v/>
      </c>
      <c r="BD107" t="str">
        <f>IF(CI107="","",IFERROR(IF(INDEX(CODIFICACION!$E$2:$E$500,MATCH("D7.27|"&amp;CI107,CODIFICACION!$F$2:$F$500,0))="sin dato","",INDEX(CODIFICACION!$E$2:$E$500,MATCH("D7.27|"&amp;CI107,CODIFICACION!$F$2:$F$500,0))),"⚠"))</f>
        <v/>
      </c>
      <c r="BE107" t="str">
        <f>IF(CJ107="","",IFERROR(IF(INDEX(CODIFICACION!$E$2:$E$500,MATCH("D7.28|"&amp;CJ107,CODIFICACION!$F$2:$F$500,0))="sin dato","",INDEX(CODIFICACION!$E$2:$E$500,MATCH("D7.28|"&amp;CJ107,CODIFICACION!$F$2:$F$500,0))),"⚠"))</f>
        <v/>
      </c>
      <c r="BF107" t="str">
        <f>IF(CK107="","",IFERROR(IF(INDEX(CODIFICACION!$E$2:$E$500,MATCH("D7.28b|"&amp;CK107,CODIFICACION!$F$2:$F$500,0))="sin dato","",INDEX(CODIFICACION!$E$2:$E$500,MATCH("D7.28b|"&amp;CK107,CODIFICACION!$F$2:$F$500,0))),"⚠"))</f>
        <v/>
      </c>
      <c r="BG107" t="str">
        <f t="shared" si="85"/>
        <v/>
      </c>
      <c r="BH107" t="str">
        <f>IF(CM107="","",IFERROR(IF(INDEX(CODIFICACION!$E$2:$E$500,MATCH("D7.26a|"&amp;CM107,CODIFICACION!$F$2:$F$500,0))="sin dato","",INDEX(CODIFICACION!$E$2:$E$500,MATCH("D7.26a|"&amp;CM107,CODIFICACION!$F$2:$F$500,0))),"⚠"))</f>
        <v/>
      </c>
      <c r="BI107" t="str">
        <f>IF(CN107="","",IFERROR(IF(INDEX(CODIFICACION!$E$2:$E$500,MATCH("D7.26b|"&amp;CN107,CODIFICACION!$F$2:$F$500,0))="sin dato","",INDEX(CODIFICACION!$E$2:$E$500,MATCH("D7.26b|"&amp;CN107,CODIFICACION!$F$2:$F$500,0))),"⚠"))</f>
        <v/>
      </c>
      <c r="BJ107" t="str">
        <f t="shared" si="86"/>
        <v/>
      </c>
      <c r="BK107" t="str">
        <f t="shared" si="87"/>
        <v/>
      </c>
      <c r="BL107" t="str">
        <f>IF(CQ107="","",IFERROR(IF(INDEX(CODIFICACION!$E$2:$E$500,MATCH("D8.31|"&amp;CQ107,CODIFICACION!$F$2:$F$500,0))="sin dato","",INDEX(CODIFICACION!$E$2:$E$500,MATCH("D8.31|"&amp;CQ107,CODIFICACION!$F$2:$F$500,0))),"⚠"))</f>
        <v/>
      </c>
      <c r="BM107" t="str">
        <f>IF(CR107="","",IFERROR(IF(INDEX(CODIFICACION!$E$2:$E$500,MATCH("D8.32|"&amp;CR107,CODIFICACION!$F$2:$F$500,0))="sin dato","",INDEX(CODIFICACION!$E$2:$E$500,MATCH("D8.32|"&amp;CR107,CODIFICACION!$F$2:$F$500,0))),"⚠"))</f>
        <v/>
      </c>
      <c r="BN107" t="str">
        <f>IF(CS107="","",IFERROR(IF(INDEX(CODIFICACION!$E$2:$E$500,MATCH("D9.33|"&amp;CS107,CODIFICACION!$F$2:$F$500,0))="sin dato","",INDEX(CODIFICACION!$E$2:$E$500,MATCH("D9.33|"&amp;CS107,CODIFICACION!$F$2:$F$500,0))),"⚠"))</f>
        <v/>
      </c>
      <c r="BO107" t="str">
        <f>IF(CT107="","",IFERROR(IF(INDEX(CODIFICACION!$E$2:$E$500,MATCH("D9.34|"&amp;CT107,CODIFICACION!$F$2:$F$500,0))="sin dato","",INDEX(CODIFICACION!$E$2:$E$500,MATCH("D9.34|"&amp;CT107,CODIFICACION!$F$2:$F$500,0))),"⚠"))</f>
        <v/>
      </c>
      <c r="BP107" t="str">
        <f>IF(CU107="","",IFERROR(IF(INDEX(CODIFICACION!$E$2:$E$500,MATCH("D9.35|"&amp;CU107,CODIFICACION!$F$2:$F$500,0))="sin dato","",INDEX(CODIFICACION!$E$2:$E$500,MATCH("D9.35|"&amp;CU107,CODIFICACION!$F$2:$F$500,0))),"⚠"))</f>
        <v/>
      </c>
      <c r="BQ107" t="str">
        <f>IF(CV107="","",IFERROR(IF(INDEX(CODIFICACION!$E$2:$E$500,MATCH("D10.36|"&amp;CV107,CODIFICACION!$F$2:$F$500,0))="sin dato","",INDEX(CODIFICACION!$E$2:$E$500,MATCH("D10.36|"&amp;CV107,CODIFICACION!$F$2:$F$500,0))),"⚠"))</f>
        <v/>
      </c>
      <c r="BR107" t="str">
        <f>IF(CW107="","",IFERROR(IF(INDEX(CODIFICACION!$E$2:$E$500,MATCH("D10.37|"&amp;CW107,CODIFICACION!$F$2:$F$500,0))="sin dato","",INDEX(CODIFICACION!$E$2:$E$500,MATCH("D10.37|"&amp;CW107,CODIFICACION!$F$2:$F$500,0))),"⚠"))</f>
        <v/>
      </c>
      <c r="BS107" t="str">
        <f>IF(CX107="","",IFERROR(IF(INDEX(CODIFICACION!$E$2:$E$500,MATCH("D10.36a|"&amp;CX107,CODIFICACION!$F$2:$F$500,0))="sin dato","",INDEX(CODIFICACION!$E$2:$E$500,MATCH("D10.36a|"&amp;CX107,CODIFICACION!$F$2:$F$500,0))),"⚠"))</f>
        <v/>
      </c>
      <c r="BT107" t="str">
        <f t="shared" si="88"/>
        <v/>
      </c>
      <c r="BU107" t="str">
        <f>IF(DA107="","",IFERROR(IF(INDEX(CODIFICACION!$E$2:$E$500,MATCH("D11.39a|"&amp;DA107,CODIFICACION!$F$2:$F$500,0))="sin dato","",INDEX(CODIFICACION!$E$2:$E$500,MATCH("D11.39a|"&amp;DA107,CODIFICACION!$F$2:$F$500,0))),"⚠"))</f>
        <v/>
      </c>
      <c r="BV107" t="str">
        <f>IF(DB107="","",IFERROR(IF(INDEX(CODIFICACION!$E$2:$E$500,MATCH("D12.42|"&amp;DB107,CODIFICACION!$F$2:$F$500,0))="sin dato","",INDEX(CODIFICACION!$E$2:$E$500,MATCH("D12.42|"&amp;DB107,CODIFICACION!$F$2:$F$500,0))),"⚠"))</f>
        <v/>
      </c>
      <c r="BW107" t="str">
        <f>IF(DC107="","",IFERROR(IF(INDEX(CODIFICACION!$E$2:$E$500,MATCH("D13.45|"&amp;DC107,CODIFICACION!$F$2:$F$500,0))="sin dato","",INDEX(CODIFICACION!$E$2:$E$500,MATCH("D13.45|"&amp;DC107,CODIFICACION!$F$2:$F$500,0))),"⚠"))</f>
        <v/>
      </c>
      <c r="BX107" t="str">
        <f>IF(DD107="","",IFERROR(IF(INDEX(CODIFICACION!$E$2:$E$500,MATCH("D14.51|"&amp;DD107,CODIFICACION!$F$2:$F$500,0))="sin dato","",INDEX(CODIFICACION!$E$2:$E$500,MATCH("D14.51|"&amp;DD107,CODIFICACION!$F$2:$F$500,0))),"⚠"))</f>
        <v/>
      </c>
      <c r="BY107" t="str">
        <f>IF(DE107="","",IFERROR(IF(INDEX(CODIFICACION!$E$2:$E$500,MATCH("D15.58|"&amp;DE107,CODIFICACION!$F$2:$F$500,0))="sin dato","",INDEX(CODIFICACION!$E$2:$E$500,MATCH("D15.58|"&amp;DE107,CODIFICACION!$F$2:$F$500,0))),"⚠"))</f>
        <v/>
      </c>
      <c r="BZ107" t="str">
        <f>IF(DF107="","",IFERROR(IF(INDEX(CODIFICACION!$E$2:$E$500,MATCH("PP1|"&amp;DF107,CODIFICACION!$F$2:$F$500,0))="sin dato","",INDEX(CODIFICACION!$E$2:$E$500,MATCH("PP1|"&amp;DF107,CODIFICACION!$F$2:$F$500,0))),"⚠"))</f>
        <v/>
      </c>
      <c r="CA107" t="str">
        <f>IF(DG107="","",IFERROR(IF(INDEX(CODIFICACION!$E$2:$E$500,MATCH("PP2|"&amp;DG107,CODIFICACION!$F$2:$F$500,0))="sin dato","",INDEX(CODIFICACION!$E$2:$E$500,MATCH("PP2|"&amp;DG107,CODIFICACION!$F$2:$F$500,0))),"⚠"))</f>
        <v/>
      </c>
      <c r="CB107" t="str">
        <f t="shared" si="89"/>
        <v/>
      </c>
      <c r="CC107" t="str">
        <f t="shared" ca="1" si="90"/>
        <v/>
      </c>
      <c r="CD107" t="str">
        <f t="shared" ca="1" si="91"/>
        <v/>
      </c>
      <c r="CE107" t="str">
        <f t="shared" si="92"/>
        <v/>
      </c>
      <c r="CF107" t="str">
        <f t="shared" si="93"/>
        <v/>
      </c>
      <c r="CG107" t="str">
        <f t="shared" ca="1" si="94"/>
        <v/>
      </c>
      <c r="CH107" t="str">
        <f t="shared" ca="1" si="95"/>
        <v/>
      </c>
      <c r="CI107" t="str">
        <f t="shared" si="96"/>
        <v/>
      </c>
      <c r="CJ107" t="str">
        <f t="shared" si="97"/>
        <v/>
      </c>
      <c r="CK107" t="str">
        <f t="shared" si="98"/>
        <v/>
      </c>
      <c r="CL107" t="str">
        <f t="shared" si="99"/>
        <v/>
      </c>
    </row>
    <row r="108" spans="1:90" x14ac:dyDescent="0.3">
      <c r="A108">
        <f>CAPTURA!A108</f>
        <v>20600390911</v>
      </c>
      <c r="B108">
        <f>CAPTURA!C108</f>
        <v>0</v>
      </c>
      <c r="C108" t="str">
        <f t="shared" si="75"/>
        <v/>
      </c>
      <c r="D108" t="str">
        <f>IF(AE108="","",IFERROR(IF(INDEX(CODIFICACION!$E$2:$E$500,MATCH("P8|"&amp;AE108,CODIFICACION!$F$2:$F$500,0))="sin dato","",INDEX(CODIFICACION!$E$2:$E$500,MATCH("P8|"&amp;AE108,CODIFICACION!$F$2:$F$500,0))),"⚠"))</f>
        <v/>
      </c>
      <c r="E108" t="str">
        <f>IF(AG108="","",IFERROR(IF(INDEX(CODIFICACION!$E$2:$E$500,MATCH("P10|"&amp;AG108,CODIFICACION!$F$2:$F$500,0))="sin dato","",INDEX(CODIFICACION!$E$2:$E$500,MATCH("P10|"&amp;AG108,CODIFICACION!$F$2:$F$500,0))),"⚠"))</f>
        <v/>
      </c>
      <c r="F108" t="str">
        <f>IF(AJ108="","",IFERROR(IF(INDEX(CODIFICACION!$E$2:$E$500,MATCH("P13|"&amp;AJ108,CODIFICACION!$F$2:$F$500,0))="sin dato","",INDEX(CODIFICACION!$E$2:$E$500,MATCH("P13|"&amp;AJ108,CODIFICACION!$F$2:$F$500,0))),"⚠"))</f>
        <v/>
      </c>
      <c r="G108" t="str">
        <f>IF(AK108="","",IFERROR(IF(INDEX(CODIFICACION!$E$2:$E$500,MATCH("P14|"&amp;AK108,CODIFICACION!$F$2:$F$500,0))="sin dato","",INDEX(CODIFICACION!$E$2:$E$500,MATCH("P14|"&amp;AK108,CODIFICACION!$F$2:$F$500,0))),"⚠"))</f>
        <v/>
      </c>
      <c r="H108" t="str">
        <f>IF(AL108="","",IFERROR(IF(INDEX(CODIFICACION!$E$2:$E$500,MATCH("D1.1|"&amp;AL108,CODIFICACION!$F$2:$F$500,0))="sin dato","",INDEX(CODIFICACION!$E$2:$E$500,MATCH("D1.1|"&amp;AL108,CODIFICACION!$F$2:$F$500,0))),"⚠"))</f>
        <v/>
      </c>
      <c r="I108" t="str">
        <f>IF(AN108="","",IFERROR(IF(INDEX(CODIFICACION!$E$2:$E$500,MATCH("D1.3|"&amp;AN108,CODIFICACION!$F$2:$F$500,0))="sin dato","",INDEX(CODIFICACION!$E$2:$E$500,MATCH("D1.3|"&amp;AN108,CODIFICACION!$F$2:$F$500,0))),"⚠"))</f>
        <v/>
      </c>
      <c r="J108" t="str">
        <f>IF(AO108="","",IFERROR(IF(INDEX(CODIFICACION!$E$2:$E$500,MATCH("D1.4|"&amp;AO108,CODIFICACION!$F$2:$F$500,0))="sin dato","",INDEX(CODIFICACION!$E$2:$E$500,MATCH("D1.4|"&amp;AO108,CODIFICACION!$F$2:$F$500,0))),"⚠"))</f>
        <v/>
      </c>
      <c r="K108" t="str">
        <f>IF(AP108="","",IFERROR(IF(INDEX(CODIFICACION!$E$2:$E$500,MATCH("D1.3a|"&amp;AP108,CODIFICACION!$F$2:$F$500,0))="sin dato","",INDEX(CODIFICACION!$E$2:$E$500,MATCH("D1.3a|"&amp;AP108,CODIFICACION!$F$2:$F$500,0))),"⚠"))</f>
        <v/>
      </c>
      <c r="L108" t="str">
        <f t="shared" si="76"/>
        <v/>
      </c>
      <c r="M108" t="str">
        <f t="shared" si="77"/>
        <v/>
      </c>
      <c r="N108" t="str">
        <f t="shared" si="78"/>
        <v/>
      </c>
      <c r="O108" t="str">
        <f>IF(AT108="","",IFERROR(IF(INDEX(CODIFICACION!$E$2:$E$500,MATCH("D2.8|"&amp;AT108,CODIFICACION!$F$2:$F$500,0))="sin dato","",INDEX(CODIFICACION!$E$2:$E$500,MATCH("D2.8|"&amp;AT108,CODIFICACION!$F$2:$F$500,0))),"⚠"))</f>
        <v/>
      </c>
      <c r="P108" t="str">
        <f>IF(AU108="","",IFERROR(IF(INDEX(CODIFICACION!$E$2:$E$500,MATCH("D2.9|"&amp;AU108,CODIFICACION!$F$2:$F$500,0))="sin dato","",INDEX(CODIFICACION!$E$2:$E$500,MATCH("D2.9|"&amp;AU108,CODIFICACION!$F$2:$F$500,0))),"⚠"))</f>
        <v/>
      </c>
      <c r="Q108" t="str">
        <f>IF(AV108="","",IFERROR(IF(INDEX(CODIFICACION!$E$2:$E$500,MATCH("D2.10|"&amp;AV108,CODIFICACION!$F$2:$F$500,0))="sin dato","",INDEX(CODIFICACION!$E$2:$E$500,MATCH("D2.10|"&amp;AV108,CODIFICACION!$F$2:$F$500,0))),"⚠"))</f>
        <v/>
      </c>
      <c r="R108" t="str">
        <f>IF(AW108="","",IFERROR(IF(INDEX(CODIFICACION!$E$2:$E$500,MATCH("D2.5a|"&amp;AW108,CODIFICACION!$F$2:$F$500,0))="sin dato","",INDEX(CODIFICACION!$E$2:$E$500,MATCH("D2.5a|"&amp;AW108,CODIFICACION!$F$2:$F$500,0))),"⚠"))</f>
        <v/>
      </c>
      <c r="S108" t="str">
        <f ca="1">IF(AX108="","",IFERROR(IF(INDEX(CODIFICACION!$E$2:$E$500,MATCH("D2.5b|"&amp;AX108,CODIFICACION!$F$2:$F$500,0))="sin dato","",INDEX(CODIFICACION!$E$2:$E$500,MATCH("D2.5b|"&amp;AX108,CODIFICACION!$F$2:$F$500,0))),"⚠"))</f>
        <v/>
      </c>
      <c r="T108" t="str">
        <f t="shared" ca="1" si="79"/>
        <v/>
      </c>
      <c r="U108" t="str">
        <f>IF(AZ108="","",IFERROR(IF(INDEX(CODIFICACION!$E$2:$E$500,MATCH("D3.12|"&amp;AZ108,CODIFICACION!$F$2:$F$500,0))="sin dato","",INDEX(CODIFICACION!$E$2:$E$500,MATCH("D3.12|"&amp;AZ108,CODIFICACION!$F$2:$F$500,0))),"⚠"))</f>
        <v/>
      </c>
      <c r="V108" t="str">
        <f t="shared" si="80"/>
        <v/>
      </c>
      <c r="W108" t="str">
        <f ca="1">IF(BB108="","",IFERROR(IF(INDEX(CODIFICACION!$E$2:$E$500,MATCH("D3.14|"&amp;BB108,CODIFICACION!$F$2:$F$500,0))="sin dato","",INDEX(CODIFICACION!$E$2:$E$500,MATCH("D3.14|"&amp;BB108,CODIFICACION!$F$2:$F$500,0))),"⚠"))</f>
        <v/>
      </c>
      <c r="X108" t="str">
        <f ca="1">IF(BC108="","",IFERROR(IF(INDEX(CODIFICACION!$E$2:$E$500,MATCH("D3.14a|"&amp;BC108,CODIFICACION!$F$2:$F$500,0))="sin dato","",INDEX(CODIFICACION!$E$2:$E$500,MATCH("D3.14a|"&amp;BC108,CODIFICACION!$F$2:$F$500,0))),"⚠"))</f>
        <v/>
      </c>
      <c r="Y108" t="str">
        <f>IF(BD108="","",IFERROR(IF(INDEX(CODIFICACION!$E$2:$E$500,MATCH("D3.14b|"&amp;BD108,CODIFICACION!$F$2:$F$500,0))="sin dato","",INDEX(CODIFICACION!$E$2:$E$500,MATCH("D3.14b|"&amp;BD108,CODIFICACION!$F$2:$F$500,0))),"⚠"))</f>
        <v/>
      </c>
      <c r="Z108" t="str">
        <f>IF(BE108="","",IFERROR(IF(INDEX(CODIFICACION!$E$2:$E$500,MATCH("D3.14c|"&amp;BE108,CODIFICACION!$F$2:$F$500,0))="sin dato","",INDEX(CODIFICACION!$E$2:$E$500,MATCH("D3.14c|"&amp;BE108,CODIFICACION!$F$2:$F$500,0))),"⚠"))</f>
        <v/>
      </c>
      <c r="AA108" t="str">
        <f>IF(BF108="","",IFERROR(IF(INDEX(CODIFICACION!$E$2:$E$500,MATCH("D3.14d|"&amp;BF108,CODIFICACION!$F$2:$F$500,0))="sin dato","",INDEX(CODIFICACION!$E$2:$E$500,MATCH("D3.14d|"&amp;BF108,CODIFICACION!$F$2:$F$500,0))),"⚠"))</f>
        <v/>
      </c>
      <c r="AB108" t="str">
        <f>IF(BG108="","",IFERROR(IF(INDEX(CODIFICACION!$E$2:$E$500,MATCH("D3.14e|"&amp;BG108,CODIFICACION!$F$2:$F$500,0))="sin dato","",INDEX(CODIFICACION!$E$2:$E$500,MATCH("D3.14e|"&amp;BG108,CODIFICACION!$F$2:$F$500,0))),"⚠"))</f>
        <v/>
      </c>
      <c r="AC108" t="str">
        <f>IF(BH108="","",IFERROR(IF(INDEX(CODIFICACION!$E$2:$E$500,MATCH("D3.14f|"&amp;BH108,CODIFICACION!$F$2:$F$500,0))="sin dato","",INDEX(CODIFICACION!$E$2:$E$500,MATCH("D3.14f|"&amp;BH108,CODIFICACION!$F$2:$F$500,0))),"⚠"))</f>
        <v/>
      </c>
      <c r="AD108" t="str">
        <f>IF(BI108="","",IFERROR(IF(INDEX(CODIFICACION!$E$2:$E$500,MATCH("D3.14g|"&amp;BI108,CODIFICACION!$F$2:$F$500,0))="sin dato","",INDEX(CODIFICACION!$E$2:$E$500,MATCH("D3.14g|"&amp;BI108,CODIFICACION!$F$2:$F$500,0))),"⚠"))</f>
        <v/>
      </c>
      <c r="AE108" t="str">
        <f>IF(BJ108="","",IFERROR(IF(INDEX(CODIFICACION!$E$2:$E$500,MATCH("D3.14h|"&amp;BJ108,CODIFICACION!$F$2:$F$500,0))="sin dato","",INDEX(CODIFICACION!$E$2:$E$500,MATCH("D3.14h|"&amp;BJ108,CODIFICACION!$F$2:$F$500,0))),"⚠"))</f>
        <v/>
      </c>
      <c r="AF108" t="str">
        <f>IF(BK108="","",IFERROR(IF(INDEX(CODIFICACION!$E$2:$E$500,MATCH("D3.14i|"&amp;BK108,CODIFICACION!$F$2:$F$500,0))="sin dato","",INDEX(CODIFICACION!$E$2:$E$500,MATCH("D3.14i|"&amp;BK108,CODIFICACION!$F$2:$F$500,0))),"⚠"))</f>
        <v/>
      </c>
      <c r="AG108" t="str">
        <f>IF(BL108="","",IFERROR(IF(INDEX(CODIFICACION!$E$2:$E$500,MATCH("D4.15|"&amp;BL108,CODIFICACION!$F$2:$F$500,0))="sin dato","",INDEX(CODIFICACION!$E$2:$E$500,MATCH("D4.15|"&amp;BL108,CODIFICACION!$F$2:$F$500,0))),"⚠"))</f>
        <v/>
      </c>
      <c r="AH108" t="str">
        <f t="shared" si="81"/>
        <v/>
      </c>
      <c r="AI108" t="str">
        <f>IF(BN108="","",IFERROR(IF(INDEX(CODIFICACION!$E$2:$E$500,MATCH("D4.17|"&amp;BN108,CODIFICACION!$F$2:$F$500,0))="sin dato","",INDEX(CODIFICACION!$E$2:$E$500,MATCH("D4.17|"&amp;BN108,CODIFICACION!$F$2:$F$500,0))),"⚠"))</f>
        <v/>
      </c>
      <c r="AJ108" t="str">
        <f>IF(BO108="","",IFERROR(IF(INDEX(CODIFICACION!$E$2:$E$500,MATCH("D4.15a|"&amp;BO108,CODIFICACION!$F$2:$F$500,0))="sin dato","",INDEX(CODIFICACION!$E$2:$E$500,MATCH("D4.15a|"&amp;BO108,CODIFICACION!$F$2:$F$500,0))),"⚠"))</f>
        <v/>
      </c>
      <c r="AK108" t="str">
        <f t="shared" si="82"/>
        <v/>
      </c>
      <c r="AL108" t="str">
        <f t="shared" si="83"/>
        <v/>
      </c>
      <c r="AM108" t="str">
        <f>IF(BR108="","",IFERROR(IF(INDEX(CODIFICACION!$E$2:$E$500,MATCH("D5.18b|"&amp;BR108,CODIFICACION!$F$2:$F$500,0))="sin dato","",INDEX(CODIFICACION!$E$2:$E$500,MATCH("D5.18b|"&amp;BR108,CODIFICACION!$F$2:$F$500,0))),"⚠"))</f>
        <v/>
      </c>
      <c r="AN108" t="str">
        <f>IF(BS108="","",IFERROR(IF(INDEX(CODIFICACION!$E$2:$E$500,MATCH("D5.19|"&amp;BS108,CODIFICACION!$F$2:$F$500,0))="sin dato","",INDEX(CODIFICACION!$E$2:$E$500,MATCH("D5.19|"&amp;BS108,CODIFICACION!$F$2:$F$500,0))),"⚠"))</f>
        <v/>
      </c>
      <c r="AO108" t="str">
        <f t="shared" si="84"/>
        <v/>
      </c>
      <c r="AP108" t="str">
        <f>IF(BU108="","",IFERROR(IF(INDEX(CODIFICACION!$E$2:$E$500,MATCH("D5.20|"&amp;BU108,CODIFICACION!$F$2:$F$500,0))="sin dato","",INDEX(CODIFICACION!$E$2:$E$500,MATCH("D5.20|"&amp;BU108,CODIFICACION!$F$2:$F$500,0))),"⚠"))</f>
        <v/>
      </c>
      <c r="AQ108" t="str">
        <f>IF(BV108="","",IFERROR(IF(INDEX(CODIFICACION!$E$2:$E$500,MATCH("D5.21|"&amp;BV108,CODIFICACION!$F$2:$F$500,0))="sin dato","",INDEX(CODIFICACION!$E$2:$E$500,MATCH("D5.21|"&amp;BV108,CODIFICACION!$F$2:$F$500,0))),"⚠"))</f>
        <v/>
      </c>
      <c r="AR108" t="str">
        <f>IF(BW108="","",IFERROR(IF(INDEX(CODIFICACION!$E$2:$E$500,MATCH("D5.21a|"&amp;BW108,CODIFICACION!$F$2:$F$500,0))="sin dato","",INDEX(CODIFICACION!$E$2:$E$500,MATCH("D5.21a|"&amp;BW108,CODIFICACION!$F$2:$F$500,0))),"⚠"))</f>
        <v/>
      </c>
      <c r="AS108" t="str">
        <f>IF(BX108="","",IFERROR(IF(INDEX(CODIFICACION!$E$2:$E$500,MATCH("D5.21b|"&amp;BX108,CODIFICACION!$F$2:$F$500,0))="sin dato","",INDEX(CODIFICACION!$E$2:$E$500,MATCH("D5.21b|"&amp;BX108,CODIFICACION!$F$2:$F$500,0))),"⚠"))</f>
        <v/>
      </c>
      <c r="AT108" t="str">
        <f>IF(BY108="","",IFERROR(IF(INDEX(CODIFICACION!$E$2:$E$500,MATCH("D6.22|"&amp;BY108,CODIFICACION!$F$2:$F$500,0))="sin dato","",INDEX(CODIFICACION!$E$2:$E$500,MATCH("D6.22|"&amp;BY108,CODIFICACION!$F$2:$F$500,0))),"⚠"))</f>
        <v/>
      </c>
      <c r="AU108" t="str">
        <f>IF(BZ108="","",IFERROR(IF(INDEX(CODIFICACION!$E$2:$E$500,MATCH("D6.22a|"&amp;BZ108,CODIFICACION!$F$2:$F$500,0))="sin dato","",INDEX(CODIFICACION!$E$2:$E$500,MATCH("D6.22a|"&amp;BZ108,CODIFICACION!$F$2:$F$500,0))),"⚠"))</f>
        <v/>
      </c>
      <c r="AV108" t="str">
        <f>IF(CA108="","",IFERROR(IF(INDEX(CODIFICACION!$E$2:$E$500,MATCH("D6.22b|"&amp;CA108,CODIFICACION!$F$2:$F$500,0))="sin dato","",INDEX(CODIFICACION!$E$2:$E$500,MATCH("D6.22b|"&amp;CA108,CODIFICACION!$F$2:$F$500,0))),"⚠"))</f>
        <v/>
      </c>
      <c r="AW108" t="str">
        <f>IF(CB108="","",IFERROR(IF(INDEX(CODIFICACION!$E$2:$E$500,MATCH("D6.23|"&amp;CB108,CODIFICACION!$F$2:$F$500,0))="sin dato","",INDEX(CODIFICACION!$E$2:$E$500,MATCH("D6.23|"&amp;CB108,CODIFICACION!$F$2:$F$500,0))),"⚠"))</f>
        <v/>
      </c>
      <c r="AX108" t="str">
        <f ca="1">IF(CC108="","",IFERROR(IF(INDEX(CODIFICACION!$E$2:$E$500,MATCH("D6.24|"&amp;CC108,CODIFICACION!$F$2:$F$500,0))="sin dato","",INDEX(CODIFICACION!$E$2:$E$500,MATCH("D6.24|"&amp;CC108,CODIFICACION!$F$2:$F$500,0))),"⚠"))</f>
        <v/>
      </c>
      <c r="AY108" t="str">
        <f ca="1">IF(CD108="","",IFERROR(IF(INDEX(CODIFICACION!$E$2:$E$500,MATCH("D6.25|"&amp;CD108,CODIFICACION!$F$2:$F$500,0))="sin dato","",INDEX(CODIFICACION!$E$2:$E$500,MATCH("D6.25|"&amp;CD108,CODIFICACION!$F$2:$F$500,0))),"⚠"))</f>
        <v/>
      </c>
      <c r="AZ108" t="str">
        <f>IF(CE108="","",IFERROR(IF(INDEX(CODIFICACION!$E$2:$E$500,MATCH("D6.25a|"&amp;CE108,CODIFICACION!$F$2:$F$500,0))="sin dato","",INDEX(CODIFICACION!$E$2:$E$500,MATCH("D6.25a|"&amp;CE108,CODIFICACION!$F$2:$F$500,0))),"⚠"))</f>
        <v/>
      </c>
      <c r="BA108" t="str">
        <f>IF(CF108="","",IFERROR(IF(INDEX(CODIFICACION!$E$2:$E$500,MATCH("D6.25b|"&amp;CF108,CODIFICACION!$F$2:$F$500,0))="sin dato","",INDEX(CODIFICACION!$E$2:$E$500,MATCH("D6.25b|"&amp;CF108,CODIFICACION!$F$2:$F$500,0))),"⚠"))</f>
        <v/>
      </c>
      <c r="BB108" t="str">
        <f ca="1">IF(CG108="","",IFERROR(IF(INDEX(CODIFICACION!$E$2:$E$500,MATCH("D6.22c|"&amp;CG108,CODIFICACION!$F$2:$F$500,0))="sin dato","",INDEX(CODIFICACION!$E$2:$E$500,MATCH("D6.22c|"&amp;CG108,CODIFICACION!$F$2:$F$500,0))),"⚠"))</f>
        <v/>
      </c>
      <c r="BC108" t="str">
        <f ca="1">IF(CH108="","",IFERROR(IF(INDEX(CODIFICACION!$E$2:$E$500,MATCH("D7.26|"&amp;CH108,CODIFICACION!$F$2:$F$500,0))="sin dato","",INDEX(CODIFICACION!$E$2:$E$500,MATCH("D7.26|"&amp;CH108,CODIFICACION!$F$2:$F$500,0))),"⚠"))</f>
        <v/>
      </c>
      <c r="BD108" t="str">
        <f>IF(CI108="","",IFERROR(IF(INDEX(CODIFICACION!$E$2:$E$500,MATCH("D7.27|"&amp;CI108,CODIFICACION!$F$2:$F$500,0))="sin dato","",INDEX(CODIFICACION!$E$2:$E$500,MATCH("D7.27|"&amp;CI108,CODIFICACION!$F$2:$F$500,0))),"⚠"))</f>
        <v/>
      </c>
      <c r="BE108" t="str">
        <f>IF(CJ108="","",IFERROR(IF(INDEX(CODIFICACION!$E$2:$E$500,MATCH("D7.28|"&amp;CJ108,CODIFICACION!$F$2:$F$500,0))="sin dato","",INDEX(CODIFICACION!$E$2:$E$500,MATCH("D7.28|"&amp;CJ108,CODIFICACION!$F$2:$F$500,0))),"⚠"))</f>
        <v/>
      </c>
      <c r="BF108" t="str">
        <f>IF(CK108="","",IFERROR(IF(INDEX(CODIFICACION!$E$2:$E$500,MATCH("D7.28b|"&amp;CK108,CODIFICACION!$F$2:$F$500,0))="sin dato","",INDEX(CODIFICACION!$E$2:$E$500,MATCH("D7.28b|"&amp;CK108,CODIFICACION!$F$2:$F$500,0))),"⚠"))</f>
        <v/>
      </c>
      <c r="BG108" t="str">
        <f t="shared" si="85"/>
        <v/>
      </c>
      <c r="BH108" t="str">
        <f>IF(CM108="","",IFERROR(IF(INDEX(CODIFICACION!$E$2:$E$500,MATCH("D7.26a|"&amp;CM108,CODIFICACION!$F$2:$F$500,0))="sin dato","",INDEX(CODIFICACION!$E$2:$E$500,MATCH("D7.26a|"&amp;CM108,CODIFICACION!$F$2:$F$500,0))),"⚠"))</f>
        <v/>
      </c>
      <c r="BI108" t="str">
        <f>IF(CN108="","",IFERROR(IF(INDEX(CODIFICACION!$E$2:$E$500,MATCH("D7.26b|"&amp;CN108,CODIFICACION!$F$2:$F$500,0))="sin dato","",INDEX(CODIFICACION!$E$2:$E$500,MATCH("D7.26b|"&amp;CN108,CODIFICACION!$F$2:$F$500,0))),"⚠"))</f>
        <v/>
      </c>
      <c r="BJ108" t="str">
        <f t="shared" si="86"/>
        <v/>
      </c>
      <c r="BK108" t="str">
        <f t="shared" si="87"/>
        <v/>
      </c>
      <c r="BL108" t="str">
        <f>IF(CQ108="","",IFERROR(IF(INDEX(CODIFICACION!$E$2:$E$500,MATCH("D8.31|"&amp;CQ108,CODIFICACION!$F$2:$F$500,0))="sin dato","",INDEX(CODIFICACION!$E$2:$E$500,MATCH("D8.31|"&amp;CQ108,CODIFICACION!$F$2:$F$500,0))),"⚠"))</f>
        <v/>
      </c>
      <c r="BM108" t="str">
        <f>IF(CR108="","",IFERROR(IF(INDEX(CODIFICACION!$E$2:$E$500,MATCH("D8.32|"&amp;CR108,CODIFICACION!$F$2:$F$500,0))="sin dato","",INDEX(CODIFICACION!$E$2:$E$500,MATCH("D8.32|"&amp;CR108,CODIFICACION!$F$2:$F$500,0))),"⚠"))</f>
        <v/>
      </c>
      <c r="BN108" t="str">
        <f>IF(CS108="","",IFERROR(IF(INDEX(CODIFICACION!$E$2:$E$500,MATCH("D9.33|"&amp;CS108,CODIFICACION!$F$2:$F$500,0))="sin dato","",INDEX(CODIFICACION!$E$2:$E$500,MATCH("D9.33|"&amp;CS108,CODIFICACION!$F$2:$F$500,0))),"⚠"))</f>
        <v/>
      </c>
      <c r="BO108" t="str">
        <f>IF(CT108="","",IFERROR(IF(INDEX(CODIFICACION!$E$2:$E$500,MATCH("D9.34|"&amp;CT108,CODIFICACION!$F$2:$F$500,0))="sin dato","",INDEX(CODIFICACION!$E$2:$E$500,MATCH("D9.34|"&amp;CT108,CODIFICACION!$F$2:$F$500,0))),"⚠"))</f>
        <v/>
      </c>
      <c r="BP108" t="str">
        <f>IF(CU108="","",IFERROR(IF(INDEX(CODIFICACION!$E$2:$E$500,MATCH("D9.35|"&amp;CU108,CODIFICACION!$F$2:$F$500,0))="sin dato","",INDEX(CODIFICACION!$E$2:$E$500,MATCH("D9.35|"&amp;CU108,CODIFICACION!$F$2:$F$500,0))),"⚠"))</f>
        <v/>
      </c>
      <c r="BQ108" t="str">
        <f>IF(CV108="","",IFERROR(IF(INDEX(CODIFICACION!$E$2:$E$500,MATCH("D10.36|"&amp;CV108,CODIFICACION!$F$2:$F$500,0))="sin dato","",INDEX(CODIFICACION!$E$2:$E$500,MATCH("D10.36|"&amp;CV108,CODIFICACION!$F$2:$F$500,0))),"⚠"))</f>
        <v/>
      </c>
      <c r="BR108" t="str">
        <f>IF(CW108="","",IFERROR(IF(INDEX(CODIFICACION!$E$2:$E$500,MATCH("D10.37|"&amp;CW108,CODIFICACION!$F$2:$F$500,0))="sin dato","",INDEX(CODIFICACION!$E$2:$E$500,MATCH("D10.37|"&amp;CW108,CODIFICACION!$F$2:$F$500,0))),"⚠"))</f>
        <v/>
      </c>
      <c r="BS108" t="str">
        <f>IF(CX108="","",IFERROR(IF(INDEX(CODIFICACION!$E$2:$E$500,MATCH("D10.36a|"&amp;CX108,CODIFICACION!$F$2:$F$500,0))="sin dato","",INDEX(CODIFICACION!$E$2:$E$500,MATCH("D10.36a|"&amp;CX108,CODIFICACION!$F$2:$F$500,0))),"⚠"))</f>
        <v/>
      </c>
      <c r="BT108" t="str">
        <f t="shared" si="88"/>
        <v/>
      </c>
      <c r="BU108" t="str">
        <f>IF(DA108="","",IFERROR(IF(INDEX(CODIFICACION!$E$2:$E$500,MATCH("D11.39a|"&amp;DA108,CODIFICACION!$F$2:$F$500,0))="sin dato","",INDEX(CODIFICACION!$E$2:$E$500,MATCH("D11.39a|"&amp;DA108,CODIFICACION!$F$2:$F$500,0))),"⚠"))</f>
        <v/>
      </c>
      <c r="BV108" t="str">
        <f>IF(DB108="","",IFERROR(IF(INDEX(CODIFICACION!$E$2:$E$500,MATCH("D12.42|"&amp;DB108,CODIFICACION!$F$2:$F$500,0))="sin dato","",INDEX(CODIFICACION!$E$2:$E$500,MATCH("D12.42|"&amp;DB108,CODIFICACION!$F$2:$F$500,0))),"⚠"))</f>
        <v/>
      </c>
      <c r="BW108" t="str">
        <f>IF(DC108="","",IFERROR(IF(INDEX(CODIFICACION!$E$2:$E$500,MATCH("D13.45|"&amp;DC108,CODIFICACION!$F$2:$F$500,0))="sin dato","",INDEX(CODIFICACION!$E$2:$E$500,MATCH("D13.45|"&amp;DC108,CODIFICACION!$F$2:$F$500,0))),"⚠"))</f>
        <v/>
      </c>
      <c r="BX108" t="str">
        <f>IF(DD108="","",IFERROR(IF(INDEX(CODIFICACION!$E$2:$E$500,MATCH("D14.51|"&amp;DD108,CODIFICACION!$F$2:$F$500,0))="sin dato","",INDEX(CODIFICACION!$E$2:$E$500,MATCH("D14.51|"&amp;DD108,CODIFICACION!$F$2:$F$500,0))),"⚠"))</f>
        <v/>
      </c>
      <c r="BY108" t="str">
        <f>IF(DE108="","",IFERROR(IF(INDEX(CODIFICACION!$E$2:$E$500,MATCH("D15.58|"&amp;DE108,CODIFICACION!$F$2:$F$500,0))="sin dato","",INDEX(CODIFICACION!$E$2:$E$500,MATCH("D15.58|"&amp;DE108,CODIFICACION!$F$2:$F$500,0))),"⚠"))</f>
        <v/>
      </c>
      <c r="BZ108" t="str">
        <f>IF(DF108="","",IFERROR(IF(INDEX(CODIFICACION!$E$2:$E$500,MATCH("PP1|"&amp;DF108,CODIFICACION!$F$2:$F$500,0))="sin dato","",INDEX(CODIFICACION!$E$2:$E$500,MATCH("PP1|"&amp;DF108,CODIFICACION!$F$2:$F$500,0))),"⚠"))</f>
        <v/>
      </c>
      <c r="CA108" t="str">
        <f>IF(DG108="","",IFERROR(IF(INDEX(CODIFICACION!$E$2:$E$500,MATCH("PP2|"&amp;DG108,CODIFICACION!$F$2:$F$500,0))="sin dato","",INDEX(CODIFICACION!$E$2:$E$500,MATCH("PP2|"&amp;DG108,CODIFICACION!$F$2:$F$500,0))),"⚠"))</f>
        <v/>
      </c>
      <c r="CB108" t="str">
        <f t="shared" si="89"/>
        <v/>
      </c>
      <c r="CC108" t="str">
        <f t="shared" ca="1" si="90"/>
        <v/>
      </c>
      <c r="CD108" t="str">
        <f t="shared" ca="1" si="91"/>
        <v/>
      </c>
      <c r="CE108" t="str">
        <f t="shared" si="92"/>
        <v/>
      </c>
      <c r="CF108" t="str">
        <f t="shared" si="93"/>
        <v/>
      </c>
      <c r="CG108" t="str">
        <f t="shared" ca="1" si="94"/>
        <v/>
      </c>
      <c r="CH108" t="str">
        <f t="shared" ca="1" si="95"/>
        <v/>
      </c>
      <c r="CI108" t="str">
        <f t="shared" si="96"/>
        <v/>
      </c>
      <c r="CJ108" t="str">
        <f t="shared" si="97"/>
        <v/>
      </c>
      <c r="CK108" t="str">
        <f t="shared" si="98"/>
        <v/>
      </c>
      <c r="CL108" t="str">
        <f t="shared" si="99"/>
        <v/>
      </c>
    </row>
    <row r="109" spans="1:90" x14ac:dyDescent="0.3">
      <c r="A109">
        <f>CAPTURA!A109</f>
        <v>20600529693</v>
      </c>
      <c r="B109">
        <f>CAPTURA!C109</f>
        <v>0</v>
      </c>
      <c r="C109" t="str">
        <f t="shared" si="75"/>
        <v/>
      </c>
      <c r="D109" t="str">
        <f>IF(AE109="","",IFERROR(IF(INDEX(CODIFICACION!$E$2:$E$500,MATCH("P8|"&amp;AE109,CODIFICACION!$F$2:$F$500,0))="sin dato","",INDEX(CODIFICACION!$E$2:$E$500,MATCH("P8|"&amp;AE109,CODIFICACION!$F$2:$F$500,0))),"⚠"))</f>
        <v/>
      </c>
      <c r="E109" t="str">
        <f>IF(AG109="","",IFERROR(IF(INDEX(CODIFICACION!$E$2:$E$500,MATCH("P10|"&amp;AG109,CODIFICACION!$F$2:$F$500,0))="sin dato","",INDEX(CODIFICACION!$E$2:$E$500,MATCH("P10|"&amp;AG109,CODIFICACION!$F$2:$F$500,0))),"⚠"))</f>
        <v/>
      </c>
      <c r="F109" t="str">
        <f>IF(AJ109="","",IFERROR(IF(INDEX(CODIFICACION!$E$2:$E$500,MATCH("P13|"&amp;AJ109,CODIFICACION!$F$2:$F$500,0))="sin dato","",INDEX(CODIFICACION!$E$2:$E$500,MATCH("P13|"&amp;AJ109,CODIFICACION!$F$2:$F$500,0))),"⚠"))</f>
        <v/>
      </c>
      <c r="G109" t="str">
        <f>IF(AK109="","",IFERROR(IF(INDEX(CODIFICACION!$E$2:$E$500,MATCH("P14|"&amp;AK109,CODIFICACION!$F$2:$F$500,0))="sin dato","",INDEX(CODIFICACION!$E$2:$E$500,MATCH("P14|"&amp;AK109,CODIFICACION!$F$2:$F$500,0))),"⚠"))</f>
        <v/>
      </c>
      <c r="H109" t="str">
        <f>IF(AL109="","",IFERROR(IF(INDEX(CODIFICACION!$E$2:$E$500,MATCH("D1.1|"&amp;AL109,CODIFICACION!$F$2:$F$500,0))="sin dato","",INDEX(CODIFICACION!$E$2:$E$500,MATCH("D1.1|"&amp;AL109,CODIFICACION!$F$2:$F$500,0))),"⚠"))</f>
        <v/>
      </c>
      <c r="I109" t="str">
        <f>IF(AN109="","",IFERROR(IF(INDEX(CODIFICACION!$E$2:$E$500,MATCH("D1.3|"&amp;AN109,CODIFICACION!$F$2:$F$500,0))="sin dato","",INDEX(CODIFICACION!$E$2:$E$500,MATCH("D1.3|"&amp;AN109,CODIFICACION!$F$2:$F$500,0))),"⚠"))</f>
        <v/>
      </c>
      <c r="J109" t="str">
        <f>IF(AO109="","",IFERROR(IF(INDEX(CODIFICACION!$E$2:$E$500,MATCH("D1.4|"&amp;AO109,CODIFICACION!$F$2:$F$500,0))="sin dato","",INDEX(CODIFICACION!$E$2:$E$500,MATCH("D1.4|"&amp;AO109,CODIFICACION!$F$2:$F$500,0))),"⚠"))</f>
        <v/>
      </c>
      <c r="K109" t="str">
        <f>IF(AP109="","",IFERROR(IF(INDEX(CODIFICACION!$E$2:$E$500,MATCH("D1.3a|"&amp;AP109,CODIFICACION!$F$2:$F$500,0))="sin dato","",INDEX(CODIFICACION!$E$2:$E$500,MATCH("D1.3a|"&amp;AP109,CODIFICACION!$F$2:$F$500,0))),"⚠"))</f>
        <v/>
      </c>
      <c r="L109" t="str">
        <f t="shared" si="76"/>
        <v/>
      </c>
      <c r="M109" t="str">
        <f t="shared" si="77"/>
        <v/>
      </c>
      <c r="N109" t="str">
        <f t="shared" si="78"/>
        <v/>
      </c>
      <c r="O109" t="str">
        <f>IF(AT109="","",IFERROR(IF(INDEX(CODIFICACION!$E$2:$E$500,MATCH("D2.8|"&amp;AT109,CODIFICACION!$F$2:$F$500,0))="sin dato","",INDEX(CODIFICACION!$E$2:$E$500,MATCH("D2.8|"&amp;AT109,CODIFICACION!$F$2:$F$500,0))),"⚠"))</f>
        <v/>
      </c>
      <c r="P109" t="str">
        <f>IF(AU109="","",IFERROR(IF(INDEX(CODIFICACION!$E$2:$E$500,MATCH("D2.9|"&amp;AU109,CODIFICACION!$F$2:$F$500,0))="sin dato","",INDEX(CODIFICACION!$E$2:$E$500,MATCH("D2.9|"&amp;AU109,CODIFICACION!$F$2:$F$500,0))),"⚠"))</f>
        <v/>
      </c>
      <c r="Q109" t="str">
        <f>IF(AV109="","",IFERROR(IF(INDEX(CODIFICACION!$E$2:$E$500,MATCH("D2.10|"&amp;AV109,CODIFICACION!$F$2:$F$500,0))="sin dato","",INDEX(CODIFICACION!$E$2:$E$500,MATCH("D2.10|"&amp;AV109,CODIFICACION!$F$2:$F$500,0))),"⚠"))</f>
        <v/>
      </c>
      <c r="R109" t="str">
        <f>IF(AW109="","",IFERROR(IF(INDEX(CODIFICACION!$E$2:$E$500,MATCH("D2.5a|"&amp;AW109,CODIFICACION!$F$2:$F$500,0))="sin dato","",INDEX(CODIFICACION!$E$2:$E$500,MATCH("D2.5a|"&amp;AW109,CODIFICACION!$F$2:$F$500,0))),"⚠"))</f>
        <v/>
      </c>
      <c r="S109" t="str">
        <f ca="1">IF(AX109="","",IFERROR(IF(INDEX(CODIFICACION!$E$2:$E$500,MATCH("D2.5b|"&amp;AX109,CODIFICACION!$F$2:$F$500,0))="sin dato","",INDEX(CODIFICACION!$E$2:$E$500,MATCH("D2.5b|"&amp;AX109,CODIFICACION!$F$2:$F$500,0))),"⚠"))</f>
        <v/>
      </c>
      <c r="T109" t="str">
        <f t="shared" ca="1" si="79"/>
        <v/>
      </c>
      <c r="U109" t="str">
        <f>IF(AZ109="","",IFERROR(IF(INDEX(CODIFICACION!$E$2:$E$500,MATCH("D3.12|"&amp;AZ109,CODIFICACION!$F$2:$F$500,0))="sin dato","",INDEX(CODIFICACION!$E$2:$E$500,MATCH("D3.12|"&amp;AZ109,CODIFICACION!$F$2:$F$500,0))),"⚠"))</f>
        <v/>
      </c>
      <c r="V109" t="str">
        <f t="shared" si="80"/>
        <v/>
      </c>
      <c r="W109" t="str">
        <f ca="1">IF(BB109="","",IFERROR(IF(INDEX(CODIFICACION!$E$2:$E$500,MATCH("D3.14|"&amp;BB109,CODIFICACION!$F$2:$F$500,0))="sin dato","",INDEX(CODIFICACION!$E$2:$E$500,MATCH("D3.14|"&amp;BB109,CODIFICACION!$F$2:$F$500,0))),"⚠"))</f>
        <v/>
      </c>
      <c r="X109" t="str">
        <f ca="1">IF(BC109="","",IFERROR(IF(INDEX(CODIFICACION!$E$2:$E$500,MATCH("D3.14a|"&amp;BC109,CODIFICACION!$F$2:$F$500,0))="sin dato","",INDEX(CODIFICACION!$E$2:$E$500,MATCH("D3.14a|"&amp;BC109,CODIFICACION!$F$2:$F$500,0))),"⚠"))</f>
        <v/>
      </c>
      <c r="Y109" t="str">
        <f>IF(BD109="","",IFERROR(IF(INDEX(CODIFICACION!$E$2:$E$500,MATCH("D3.14b|"&amp;BD109,CODIFICACION!$F$2:$F$500,0))="sin dato","",INDEX(CODIFICACION!$E$2:$E$500,MATCH("D3.14b|"&amp;BD109,CODIFICACION!$F$2:$F$500,0))),"⚠"))</f>
        <v/>
      </c>
      <c r="Z109" t="str">
        <f>IF(BE109="","",IFERROR(IF(INDEX(CODIFICACION!$E$2:$E$500,MATCH("D3.14c|"&amp;BE109,CODIFICACION!$F$2:$F$500,0))="sin dato","",INDEX(CODIFICACION!$E$2:$E$500,MATCH("D3.14c|"&amp;BE109,CODIFICACION!$F$2:$F$500,0))),"⚠"))</f>
        <v/>
      </c>
      <c r="AA109" t="str">
        <f>IF(BF109="","",IFERROR(IF(INDEX(CODIFICACION!$E$2:$E$500,MATCH("D3.14d|"&amp;BF109,CODIFICACION!$F$2:$F$500,0))="sin dato","",INDEX(CODIFICACION!$E$2:$E$500,MATCH("D3.14d|"&amp;BF109,CODIFICACION!$F$2:$F$500,0))),"⚠"))</f>
        <v/>
      </c>
      <c r="AB109" t="str">
        <f>IF(BG109="","",IFERROR(IF(INDEX(CODIFICACION!$E$2:$E$500,MATCH("D3.14e|"&amp;BG109,CODIFICACION!$F$2:$F$500,0))="sin dato","",INDEX(CODIFICACION!$E$2:$E$500,MATCH("D3.14e|"&amp;BG109,CODIFICACION!$F$2:$F$500,0))),"⚠"))</f>
        <v/>
      </c>
      <c r="AC109" t="str">
        <f>IF(BH109="","",IFERROR(IF(INDEX(CODIFICACION!$E$2:$E$500,MATCH("D3.14f|"&amp;BH109,CODIFICACION!$F$2:$F$500,0))="sin dato","",INDEX(CODIFICACION!$E$2:$E$500,MATCH("D3.14f|"&amp;BH109,CODIFICACION!$F$2:$F$500,0))),"⚠"))</f>
        <v/>
      </c>
      <c r="AD109" t="str">
        <f>IF(BI109="","",IFERROR(IF(INDEX(CODIFICACION!$E$2:$E$500,MATCH("D3.14g|"&amp;BI109,CODIFICACION!$F$2:$F$500,0))="sin dato","",INDEX(CODIFICACION!$E$2:$E$500,MATCH("D3.14g|"&amp;BI109,CODIFICACION!$F$2:$F$500,0))),"⚠"))</f>
        <v/>
      </c>
      <c r="AE109" t="str">
        <f>IF(BJ109="","",IFERROR(IF(INDEX(CODIFICACION!$E$2:$E$500,MATCH("D3.14h|"&amp;BJ109,CODIFICACION!$F$2:$F$500,0))="sin dato","",INDEX(CODIFICACION!$E$2:$E$500,MATCH("D3.14h|"&amp;BJ109,CODIFICACION!$F$2:$F$500,0))),"⚠"))</f>
        <v/>
      </c>
      <c r="AF109" t="str">
        <f>IF(BK109="","",IFERROR(IF(INDEX(CODIFICACION!$E$2:$E$500,MATCH("D3.14i|"&amp;BK109,CODIFICACION!$F$2:$F$500,0))="sin dato","",INDEX(CODIFICACION!$E$2:$E$500,MATCH("D3.14i|"&amp;BK109,CODIFICACION!$F$2:$F$500,0))),"⚠"))</f>
        <v/>
      </c>
      <c r="AG109" t="str">
        <f>IF(BL109="","",IFERROR(IF(INDEX(CODIFICACION!$E$2:$E$500,MATCH("D4.15|"&amp;BL109,CODIFICACION!$F$2:$F$500,0))="sin dato","",INDEX(CODIFICACION!$E$2:$E$500,MATCH("D4.15|"&amp;BL109,CODIFICACION!$F$2:$F$500,0))),"⚠"))</f>
        <v/>
      </c>
      <c r="AH109" t="str">
        <f t="shared" si="81"/>
        <v/>
      </c>
      <c r="AI109" t="str">
        <f>IF(BN109="","",IFERROR(IF(INDEX(CODIFICACION!$E$2:$E$500,MATCH("D4.17|"&amp;BN109,CODIFICACION!$F$2:$F$500,0))="sin dato","",INDEX(CODIFICACION!$E$2:$E$500,MATCH("D4.17|"&amp;BN109,CODIFICACION!$F$2:$F$500,0))),"⚠"))</f>
        <v/>
      </c>
      <c r="AJ109" t="str">
        <f>IF(BO109="","",IFERROR(IF(INDEX(CODIFICACION!$E$2:$E$500,MATCH("D4.15a|"&amp;BO109,CODIFICACION!$F$2:$F$500,0))="sin dato","",INDEX(CODIFICACION!$E$2:$E$500,MATCH("D4.15a|"&amp;BO109,CODIFICACION!$F$2:$F$500,0))),"⚠"))</f>
        <v/>
      </c>
      <c r="AK109" t="str">
        <f t="shared" si="82"/>
        <v/>
      </c>
      <c r="AL109" t="str">
        <f t="shared" si="83"/>
        <v/>
      </c>
      <c r="AM109" t="str">
        <f>IF(BR109="","",IFERROR(IF(INDEX(CODIFICACION!$E$2:$E$500,MATCH("D5.18b|"&amp;BR109,CODIFICACION!$F$2:$F$500,0))="sin dato","",INDEX(CODIFICACION!$E$2:$E$500,MATCH("D5.18b|"&amp;BR109,CODIFICACION!$F$2:$F$500,0))),"⚠"))</f>
        <v/>
      </c>
      <c r="AN109" t="str">
        <f>IF(BS109="","",IFERROR(IF(INDEX(CODIFICACION!$E$2:$E$500,MATCH("D5.19|"&amp;BS109,CODIFICACION!$F$2:$F$500,0))="sin dato","",INDEX(CODIFICACION!$E$2:$E$500,MATCH("D5.19|"&amp;BS109,CODIFICACION!$F$2:$F$500,0))),"⚠"))</f>
        <v/>
      </c>
      <c r="AO109" t="str">
        <f t="shared" si="84"/>
        <v/>
      </c>
      <c r="AP109" t="str">
        <f>IF(BU109="","",IFERROR(IF(INDEX(CODIFICACION!$E$2:$E$500,MATCH("D5.20|"&amp;BU109,CODIFICACION!$F$2:$F$500,0))="sin dato","",INDEX(CODIFICACION!$E$2:$E$500,MATCH("D5.20|"&amp;BU109,CODIFICACION!$F$2:$F$500,0))),"⚠"))</f>
        <v/>
      </c>
      <c r="AQ109" t="str">
        <f>IF(BV109="","",IFERROR(IF(INDEX(CODIFICACION!$E$2:$E$500,MATCH("D5.21|"&amp;BV109,CODIFICACION!$F$2:$F$500,0))="sin dato","",INDEX(CODIFICACION!$E$2:$E$500,MATCH("D5.21|"&amp;BV109,CODIFICACION!$F$2:$F$500,0))),"⚠"))</f>
        <v/>
      </c>
      <c r="AR109" t="str">
        <f>IF(BW109="","",IFERROR(IF(INDEX(CODIFICACION!$E$2:$E$500,MATCH("D5.21a|"&amp;BW109,CODIFICACION!$F$2:$F$500,0))="sin dato","",INDEX(CODIFICACION!$E$2:$E$500,MATCH("D5.21a|"&amp;BW109,CODIFICACION!$F$2:$F$500,0))),"⚠"))</f>
        <v/>
      </c>
      <c r="AS109" t="str">
        <f>IF(BX109="","",IFERROR(IF(INDEX(CODIFICACION!$E$2:$E$500,MATCH("D5.21b|"&amp;BX109,CODIFICACION!$F$2:$F$500,0))="sin dato","",INDEX(CODIFICACION!$E$2:$E$500,MATCH("D5.21b|"&amp;BX109,CODIFICACION!$F$2:$F$500,0))),"⚠"))</f>
        <v/>
      </c>
      <c r="AT109" t="str">
        <f>IF(BY109="","",IFERROR(IF(INDEX(CODIFICACION!$E$2:$E$500,MATCH("D6.22|"&amp;BY109,CODIFICACION!$F$2:$F$500,0))="sin dato","",INDEX(CODIFICACION!$E$2:$E$500,MATCH("D6.22|"&amp;BY109,CODIFICACION!$F$2:$F$500,0))),"⚠"))</f>
        <v/>
      </c>
      <c r="AU109" t="str">
        <f>IF(BZ109="","",IFERROR(IF(INDEX(CODIFICACION!$E$2:$E$500,MATCH("D6.22a|"&amp;BZ109,CODIFICACION!$F$2:$F$500,0))="sin dato","",INDEX(CODIFICACION!$E$2:$E$500,MATCH("D6.22a|"&amp;BZ109,CODIFICACION!$F$2:$F$500,0))),"⚠"))</f>
        <v/>
      </c>
      <c r="AV109" t="str">
        <f>IF(CA109="","",IFERROR(IF(INDEX(CODIFICACION!$E$2:$E$500,MATCH("D6.22b|"&amp;CA109,CODIFICACION!$F$2:$F$500,0))="sin dato","",INDEX(CODIFICACION!$E$2:$E$500,MATCH("D6.22b|"&amp;CA109,CODIFICACION!$F$2:$F$500,0))),"⚠"))</f>
        <v/>
      </c>
      <c r="AW109" t="str">
        <f>IF(CB109="","",IFERROR(IF(INDEX(CODIFICACION!$E$2:$E$500,MATCH("D6.23|"&amp;CB109,CODIFICACION!$F$2:$F$500,0))="sin dato","",INDEX(CODIFICACION!$E$2:$E$500,MATCH("D6.23|"&amp;CB109,CODIFICACION!$F$2:$F$500,0))),"⚠"))</f>
        <v/>
      </c>
      <c r="AX109" t="str">
        <f ca="1">IF(CC109="","",IFERROR(IF(INDEX(CODIFICACION!$E$2:$E$500,MATCH("D6.24|"&amp;CC109,CODIFICACION!$F$2:$F$500,0))="sin dato","",INDEX(CODIFICACION!$E$2:$E$500,MATCH("D6.24|"&amp;CC109,CODIFICACION!$F$2:$F$500,0))),"⚠"))</f>
        <v/>
      </c>
      <c r="AY109" t="str">
        <f ca="1">IF(CD109="","",IFERROR(IF(INDEX(CODIFICACION!$E$2:$E$500,MATCH("D6.25|"&amp;CD109,CODIFICACION!$F$2:$F$500,0))="sin dato","",INDEX(CODIFICACION!$E$2:$E$500,MATCH("D6.25|"&amp;CD109,CODIFICACION!$F$2:$F$500,0))),"⚠"))</f>
        <v/>
      </c>
      <c r="AZ109" t="str">
        <f>IF(CE109="","",IFERROR(IF(INDEX(CODIFICACION!$E$2:$E$500,MATCH("D6.25a|"&amp;CE109,CODIFICACION!$F$2:$F$500,0))="sin dato","",INDEX(CODIFICACION!$E$2:$E$500,MATCH("D6.25a|"&amp;CE109,CODIFICACION!$F$2:$F$500,0))),"⚠"))</f>
        <v/>
      </c>
      <c r="BA109" t="str">
        <f>IF(CF109="","",IFERROR(IF(INDEX(CODIFICACION!$E$2:$E$500,MATCH("D6.25b|"&amp;CF109,CODIFICACION!$F$2:$F$500,0))="sin dato","",INDEX(CODIFICACION!$E$2:$E$500,MATCH("D6.25b|"&amp;CF109,CODIFICACION!$F$2:$F$500,0))),"⚠"))</f>
        <v/>
      </c>
      <c r="BB109" t="str">
        <f ca="1">IF(CG109="","",IFERROR(IF(INDEX(CODIFICACION!$E$2:$E$500,MATCH("D6.22c|"&amp;CG109,CODIFICACION!$F$2:$F$500,0))="sin dato","",INDEX(CODIFICACION!$E$2:$E$500,MATCH("D6.22c|"&amp;CG109,CODIFICACION!$F$2:$F$500,0))),"⚠"))</f>
        <v/>
      </c>
      <c r="BC109" t="str">
        <f ca="1">IF(CH109="","",IFERROR(IF(INDEX(CODIFICACION!$E$2:$E$500,MATCH("D7.26|"&amp;CH109,CODIFICACION!$F$2:$F$500,0))="sin dato","",INDEX(CODIFICACION!$E$2:$E$500,MATCH("D7.26|"&amp;CH109,CODIFICACION!$F$2:$F$500,0))),"⚠"))</f>
        <v/>
      </c>
      <c r="BD109" t="str">
        <f>IF(CI109="","",IFERROR(IF(INDEX(CODIFICACION!$E$2:$E$500,MATCH("D7.27|"&amp;CI109,CODIFICACION!$F$2:$F$500,0))="sin dato","",INDEX(CODIFICACION!$E$2:$E$500,MATCH("D7.27|"&amp;CI109,CODIFICACION!$F$2:$F$500,0))),"⚠"))</f>
        <v/>
      </c>
      <c r="BE109" t="str">
        <f>IF(CJ109="","",IFERROR(IF(INDEX(CODIFICACION!$E$2:$E$500,MATCH("D7.28|"&amp;CJ109,CODIFICACION!$F$2:$F$500,0))="sin dato","",INDEX(CODIFICACION!$E$2:$E$500,MATCH("D7.28|"&amp;CJ109,CODIFICACION!$F$2:$F$500,0))),"⚠"))</f>
        <v/>
      </c>
      <c r="BF109" t="str">
        <f>IF(CK109="","",IFERROR(IF(INDEX(CODIFICACION!$E$2:$E$500,MATCH("D7.28b|"&amp;CK109,CODIFICACION!$F$2:$F$500,0))="sin dato","",INDEX(CODIFICACION!$E$2:$E$500,MATCH("D7.28b|"&amp;CK109,CODIFICACION!$F$2:$F$500,0))),"⚠"))</f>
        <v/>
      </c>
      <c r="BG109" t="str">
        <f t="shared" si="85"/>
        <v/>
      </c>
      <c r="BH109" t="str">
        <f>IF(CM109="","",IFERROR(IF(INDEX(CODIFICACION!$E$2:$E$500,MATCH("D7.26a|"&amp;CM109,CODIFICACION!$F$2:$F$500,0))="sin dato","",INDEX(CODIFICACION!$E$2:$E$500,MATCH("D7.26a|"&amp;CM109,CODIFICACION!$F$2:$F$500,0))),"⚠"))</f>
        <v/>
      </c>
      <c r="BI109" t="str">
        <f>IF(CN109="","",IFERROR(IF(INDEX(CODIFICACION!$E$2:$E$500,MATCH("D7.26b|"&amp;CN109,CODIFICACION!$F$2:$F$500,0))="sin dato","",INDEX(CODIFICACION!$E$2:$E$500,MATCH("D7.26b|"&amp;CN109,CODIFICACION!$F$2:$F$500,0))),"⚠"))</f>
        <v/>
      </c>
      <c r="BJ109" t="str">
        <f t="shared" si="86"/>
        <v/>
      </c>
      <c r="BK109" t="str">
        <f t="shared" si="87"/>
        <v/>
      </c>
      <c r="BL109" t="str">
        <f>IF(CQ109="","",IFERROR(IF(INDEX(CODIFICACION!$E$2:$E$500,MATCH("D8.31|"&amp;CQ109,CODIFICACION!$F$2:$F$500,0))="sin dato","",INDEX(CODIFICACION!$E$2:$E$500,MATCH("D8.31|"&amp;CQ109,CODIFICACION!$F$2:$F$500,0))),"⚠"))</f>
        <v/>
      </c>
      <c r="BM109" t="str">
        <f>IF(CR109="","",IFERROR(IF(INDEX(CODIFICACION!$E$2:$E$500,MATCH("D8.32|"&amp;CR109,CODIFICACION!$F$2:$F$500,0))="sin dato","",INDEX(CODIFICACION!$E$2:$E$500,MATCH("D8.32|"&amp;CR109,CODIFICACION!$F$2:$F$500,0))),"⚠"))</f>
        <v/>
      </c>
      <c r="BN109" t="str">
        <f>IF(CS109="","",IFERROR(IF(INDEX(CODIFICACION!$E$2:$E$500,MATCH("D9.33|"&amp;CS109,CODIFICACION!$F$2:$F$500,0))="sin dato","",INDEX(CODIFICACION!$E$2:$E$500,MATCH("D9.33|"&amp;CS109,CODIFICACION!$F$2:$F$500,0))),"⚠"))</f>
        <v/>
      </c>
      <c r="BO109" t="str">
        <f>IF(CT109="","",IFERROR(IF(INDEX(CODIFICACION!$E$2:$E$500,MATCH("D9.34|"&amp;CT109,CODIFICACION!$F$2:$F$500,0))="sin dato","",INDEX(CODIFICACION!$E$2:$E$500,MATCH("D9.34|"&amp;CT109,CODIFICACION!$F$2:$F$500,0))),"⚠"))</f>
        <v/>
      </c>
      <c r="BP109" t="str">
        <f>IF(CU109="","",IFERROR(IF(INDEX(CODIFICACION!$E$2:$E$500,MATCH("D9.35|"&amp;CU109,CODIFICACION!$F$2:$F$500,0))="sin dato","",INDEX(CODIFICACION!$E$2:$E$500,MATCH("D9.35|"&amp;CU109,CODIFICACION!$F$2:$F$500,0))),"⚠"))</f>
        <v/>
      </c>
      <c r="BQ109" t="str">
        <f>IF(CV109="","",IFERROR(IF(INDEX(CODIFICACION!$E$2:$E$500,MATCH("D10.36|"&amp;CV109,CODIFICACION!$F$2:$F$500,0))="sin dato","",INDEX(CODIFICACION!$E$2:$E$500,MATCH("D10.36|"&amp;CV109,CODIFICACION!$F$2:$F$500,0))),"⚠"))</f>
        <v/>
      </c>
      <c r="BR109" t="str">
        <f>IF(CW109="","",IFERROR(IF(INDEX(CODIFICACION!$E$2:$E$500,MATCH("D10.37|"&amp;CW109,CODIFICACION!$F$2:$F$500,0))="sin dato","",INDEX(CODIFICACION!$E$2:$E$500,MATCH("D10.37|"&amp;CW109,CODIFICACION!$F$2:$F$500,0))),"⚠"))</f>
        <v/>
      </c>
      <c r="BS109" t="str">
        <f>IF(CX109="","",IFERROR(IF(INDEX(CODIFICACION!$E$2:$E$500,MATCH("D10.36a|"&amp;CX109,CODIFICACION!$F$2:$F$500,0))="sin dato","",INDEX(CODIFICACION!$E$2:$E$500,MATCH("D10.36a|"&amp;CX109,CODIFICACION!$F$2:$F$500,0))),"⚠"))</f>
        <v/>
      </c>
      <c r="BT109" t="str">
        <f t="shared" si="88"/>
        <v/>
      </c>
      <c r="BU109" t="str">
        <f>IF(DA109="","",IFERROR(IF(INDEX(CODIFICACION!$E$2:$E$500,MATCH("D11.39a|"&amp;DA109,CODIFICACION!$F$2:$F$500,0))="sin dato","",INDEX(CODIFICACION!$E$2:$E$500,MATCH("D11.39a|"&amp;DA109,CODIFICACION!$F$2:$F$500,0))),"⚠"))</f>
        <v/>
      </c>
      <c r="BV109" t="str">
        <f>IF(DB109="","",IFERROR(IF(INDEX(CODIFICACION!$E$2:$E$500,MATCH("D12.42|"&amp;DB109,CODIFICACION!$F$2:$F$500,0))="sin dato","",INDEX(CODIFICACION!$E$2:$E$500,MATCH("D12.42|"&amp;DB109,CODIFICACION!$F$2:$F$500,0))),"⚠"))</f>
        <v/>
      </c>
      <c r="BW109" t="str">
        <f>IF(DC109="","",IFERROR(IF(INDEX(CODIFICACION!$E$2:$E$500,MATCH("D13.45|"&amp;DC109,CODIFICACION!$F$2:$F$500,0))="sin dato","",INDEX(CODIFICACION!$E$2:$E$500,MATCH("D13.45|"&amp;DC109,CODIFICACION!$F$2:$F$500,0))),"⚠"))</f>
        <v/>
      </c>
      <c r="BX109" t="str">
        <f>IF(DD109="","",IFERROR(IF(INDEX(CODIFICACION!$E$2:$E$500,MATCH("D14.51|"&amp;DD109,CODIFICACION!$F$2:$F$500,0))="sin dato","",INDEX(CODIFICACION!$E$2:$E$500,MATCH("D14.51|"&amp;DD109,CODIFICACION!$F$2:$F$500,0))),"⚠"))</f>
        <v/>
      </c>
      <c r="BY109" t="str">
        <f>IF(DE109="","",IFERROR(IF(INDEX(CODIFICACION!$E$2:$E$500,MATCH("D15.58|"&amp;DE109,CODIFICACION!$F$2:$F$500,0))="sin dato","",INDEX(CODIFICACION!$E$2:$E$500,MATCH("D15.58|"&amp;DE109,CODIFICACION!$F$2:$F$500,0))),"⚠"))</f>
        <v/>
      </c>
      <c r="BZ109" t="str">
        <f>IF(DF109="","",IFERROR(IF(INDEX(CODIFICACION!$E$2:$E$500,MATCH("PP1|"&amp;DF109,CODIFICACION!$F$2:$F$500,0))="sin dato","",INDEX(CODIFICACION!$E$2:$E$500,MATCH("PP1|"&amp;DF109,CODIFICACION!$F$2:$F$500,0))),"⚠"))</f>
        <v/>
      </c>
      <c r="CA109" t="str">
        <f>IF(DG109="","",IFERROR(IF(INDEX(CODIFICACION!$E$2:$E$500,MATCH("PP2|"&amp;DG109,CODIFICACION!$F$2:$F$500,0))="sin dato","",INDEX(CODIFICACION!$E$2:$E$500,MATCH("PP2|"&amp;DG109,CODIFICACION!$F$2:$F$500,0))),"⚠"))</f>
        <v/>
      </c>
      <c r="CB109" t="str">
        <f t="shared" si="89"/>
        <v/>
      </c>
      <c r="CC109" t="str">
        <f t="shared" ca="1" si="90"/>
        <v/>
      </c>
      <c r="CD109" t="str">
        <f t="shared" ca="1" si="91"/>
        <v/>
      </c>
      <c r="CE109" t="str">
        <f t="shared" si="92"/>
        <v/>
      </c>
      <c r="CF109" t="str">
        <f t="shared" si="93"/>
        <v/>
      </c>
      <c r="CG109" t="str">
        <f t="shared" ca="1" si="94"/>
        <v/>
      </c>
      <c r="CH109" t="str">
        <f t="shared" ca="1" si="95"/>
        <v/>
      </c>
      <c r="CI109" t="str">
        <f t="shared" si="96"/>
        <v/>
      </c>
      <c r="CJ109" t="str">
        <f t="shared" si="97"/>
        <v/>
      </c>
      <c r="CK109" t="str">
        <f t="shared" si="98"/>
        <v/>
      </c>
      <c r="CL109" t="str">
        <f t="shared" si="99"/>
        <v/>
      </c>
    </row>
    <row r="110" spans="1:90" x14ac:dyDescent="0.3">
      <c r="A110">
        <f>CAPTURA!A110</f>
        <v>20600668430</v>
      </c>
      <c r="B110">
        <f>CAPTURA!C110</f>
        <v>0</v>
      </c>
      <c r="C110" t="str">
        <f t="shared" si="75"/>
        <v/>
      </c>
      <c r="D110" t="str">
        <f>IF(AE110="","",IFERROR(IF(INDEX(CODIFICACION!$E$2:$E$500,MATCH("P8|"&amp;AE110,CODIFICACION!$F$2:$F$500,0))="sin dato","",INDEX(CODIFICACION!$E$2:$E$500,MATCH("P8|"&amp;AE110,CODIFICACION!$F$2:$F$500,0))),"⚠"))</f>
        <v/>
      </c>
      <c r="E110" t="str">
        <f>IF(AG110="","",IFERROR(IF(INDEX(CODIFICACION!$E$2:$E$500,MATCH("P10|"&amp;AG110,CODIFICACION!$F$2:$F$500,0))="sin dato","",INDEX(CODIFICACION!$E$2:$E$500,MATCH("P10|"&amp;AG110,CODIFICACION!$F$2:$F$500,0))),"⚠"))</f>
        <v/>
      </c>
      <c r="F110" t="str">
        <f>IF(AJ110="","",IFERROR(IF(INDEX(CODIFICACION!$E$2:$E$500,MATCH("P13|"&amp;AJ110,CODIFICACION!$F$2:$F$500,0))="sin dato","",INDEX(CODIFICACION!$E$2:$E$500,MATCH("P13|"&amp;AJ110,CODIFICACION!$F$2:$F$500,0))),"⚠"))</f>
        <v/>
      </c>
      <c r="G110" t="str">
        <f>IF(AK110="","",IFERROR(IF(INDEX(CODIFICACION!$E$2:$E$500,MATCH("P14|"&amp;AK110,CODIFICACION!$F$2:$F$500,0))="sin dato","",INDEX(CODIFICACION!$E$2:$E$500,MATCH("P14|"&amp;AK110,CODIFICACION!$F$2:$F$500,0))),"⚠"))</f>
        <v/>
      </c>
      <c r="H110" t="str">
        <f>IF(AL110="","",IFERROR(IF(INDEX(CODIFICACION!$E$2:$E$500,MATCH("D1.1|"&amp;AL110,CODIFICACION!$F$2:$F$500,0))="sin dato","",INDEX(CODIFICACION!$E$2:$E$500,MATCH("D1.1|"&amp;AL110,CODIFICACION!$F$2:$F$500,0))),"⚠"))</f>
        <v/>
      </c>
      <c r="I110" t="str">
        <f>IF(AN110="","",IFERROR(IF(INDEX(CODIFICACION!$E$2:$E$500,MATCH("D1.3|"&amp;AN110,CODIFICACION!$F$2:$F$500,0))="sin dato","",INDEX(CODIFICACION!$E$2:$E$500,MATCH("D1.3|"&amp;AN110,CODIFICACION!$F$2:$F$500,0))),"⚠"))</f>
        <v/>
      </c>
      <c r="J110" t="str">
        <f>IF(AO110="","",IFERROR(IF(INDEX(CODIFICACION!$E$2:$E$500,MATCH("D1.4|"&amp;AO110,CODIFICACION!$F$2:$F$500,0))="sin dato","",INDEX(CODIFICACION!$E$2:$E$500,MATCH("D1.4|"&amp;AO110,CODIFICACION!$F$2:$F$500,0))),"⚠"))</f>
        <v/>
      </c>
      <c r="K110" t="str">
        <f>IF(AP110="","",IFERROR(IF(INDEX(CODIFICACION!$E$2:$E$500,MATCH("D1.3a|"&amp;AP110,CODIFICACION!$F$2:$F$500,0))="sin dato","",INDEX(CODIFICACION!$E$2:$E$500,MATCH("D1.3a|"&amp;AP110,CODIFICACION!$F$2:$F$500,0))),"⚠"))</f>
        <v/>
      </c>
      <c r="L110" t="str">
        <f t="shared" si="76"/>
        <v/>
      </c>
      <c r="M110" t="str">
        <f t="shared" si="77"/>
        <v/>
      </c>
      <c r="N110" t="str">
        <f t="shared" si="78"/>
        <v/>
      </c>
      <c r="O110" t="str">
        <f>IF(AT110="","",IFERROR(IF(INDEX(CODIFICACION!$E$2:$E$500,MATCH("D2.8|"&amp;AT110,CODIFICACION!$F$2:$F$500,0))="sin dato","",INDEX(CODIFICACION!$E$2:$E$500,MATCH("D2.8|"&amp;AT110,CODIFICACION!$F$2:$F$500,0))),"⚠"))</f>
        <v/>
      </c>
      <c r="P110" t="str">
        <f>IF(AU110="","",IFERROR(IF(INDEX(CODIFICACION!$E$2:$E$500,MATCH("D2.9|"&amp;AU110,CODIFICACION!$F$2:$F$500,0))="sin dato","",INDEX(CODIFICACION!$E$2:$E$500,MATCH("D2.9|"&amp;AU110,CODIFICACION!$F$2:$F$500,0))),"⚠"))</f>
        <v/>
      </c>
      <c r="Q110" t="str">
        <f>IF(AV110="","",IFERROR(IF(INDEX(CODIFICACION!$E$2:$E$500,MATCH("D2.10|"&amp;AV110,CODIFICACION!$F$2:$F$500,0))="sin dato","",INDEX(CODIFICACION!$E$2:$E$500,MATCH("D2.10|"&amp;AV110,CODIFICACION!$F$2:$F$500,0))),"⚠"))</f>
        <v/>
      </c>
      <c r="R110" t="str">
        <f>IF(AW110="","",IFERROR(IF(INDEX(CODIFICACION!$E$2:$E$500,MATCH("D2.5a|"&amp;AW110,CODIFICACION!$F$2:$F$500,0))="sin dato","",INDEX(CODIFICACION!$E$2:$E$500,MATCH("D2.5a|"&amp;AW110,CODIFICACION!$F$2:$F$500,0))),"⚠"))</f>
        <v/>
      </c>
      <c r="S110" t="str">
        <f ca="1">IF(AX110="","",IFERROR(IF(INDEX(CODIFICACION!$E$2:$E$500,MATCH("D2.5b|"&amp;AX110,CODIFICACION!$F$2:$F$500,0))="sin dato","",INDEX(CODIFICACION!$E$2:$E$500,MATCH("D2.5b|"&amp;AX110,CODIFICACION!$F$2:$F$500,0))),"⚠"))</f>
        <v/>
      </c>
      <c r="T110" t="str">
        <f t="shared" ca="1" si="79"/>
        <v/>
      </c>
      <c r="U110" t="str">
        <f>IF(AZ110="","",IFERROR(IF(INDEX(CODIFICACION!$E$2:$E$500,MATCH("D3.12|"&amp;AZ110,CODIFICACION!$F$2:$F$500,0))="sin dato","",INDEX(CODIFICACION!$E$2:$E$500,MATCH("D3.12|"&amp;AZ110,CODIFICACION!$F$2:$F$500,0))),"⚠"))</f>
        <v/>
      </c>
      <c r="V110" t="str">
        <f t="shared" si="80"/>
        <v/>
      </c>
      <c r="W110" t="str">
        <f ca="1">IF(BB110="","",IFERROR(IF(INDEX(CODIFICACION!$E$2:$E$500,MATCH("D3.14|"&amp;BB110,CODIFICACION!$F$2:$F$500,0))="sin dato","",INDEX(CODIFICACION!$E$2:$E$500,MATCH("D3.14|"&amp;BB110,CODIFICACION!$F$2:$F$500,0))),"⚠"))</f>
        <v/>
      </c>
      <c r="X110" t="str">
        <f ca="1">IF(BC110="","",IFERROR(IF(INDEX(CODIFICACION!$E$2:$E$500,MATCH("D3.14a|"&amp;BC110,CODIFICACION!$F$2:$F$500,0))="sin dato","",INDEX(CODIFICACION!$E$2:$E$500,MATCH("D3.14a|"&amp;BC110,CODIFICACION!$F$2:$F$500,0))),"⚠"))</f>
        <v/>
      </c>
      <c r="Y110" t="str">
        <f>IF(BD110="","",IFERROR(IF(INDEX(CODIFICACION!$E$2:$E$500,MATCH("D3.14b|"&amp;BD110,CODIFICACION!$F$2:$F$500,0))="sin dato","",INDEX(CODIFICACION!$E$2:$E$500,MATCH("D3.14b|"&amp;BD110,CODIFICACION!$F$2:$F$500,0))),"⚠"))</f>
        <v/>
      </c>
      <c r="Z110" t="str">
        <f>IF(BE110="","",IFERROR(IF(INDEX(CODIFICACION!$E$2:$E$500,MATCH("D3.14c|"&amp;BE110,CODIFICACION!$F$2:$F$500,0))="sin dato","",INDEX(CODIFICACION!$E$2:$E$500,MATCH("D3.14c|"&amp;BE110,CODIFICACION!$F$2:$F$500,0))),"⚠"))</f>
        <v/>
      </c>
      <c r="AA110" t="str">
        <f>IF(BF110="","",IFERROR(IF(INDEX(CODIFICACION!$E$2:$E$500,MATCH("D3.14d|"&amp;BF110,CODIFICACION!$F$2:$F$500,0))="sin dato","",INDEX(CODIFICACION!$E$2:$E$500,MATCH("D3.14d|"&amp;BF110,CODIFICACION!$F$2:$F$500,0))),"⚠"))</f>
        <v/>
      </c>
      <c r="AB110" t="str">
        <f>IF(BG110="","",IFERROR(IF(INDEX(CODIFICACION!$E$2:$E$500,MATCH("D3.14e|"&amp;BG110,CODIFICACION!$F$2:$F$500,0))="sin dato","",INDEX(CODIFICACION!$E$2:$E$500,MATCH("D3.14e|"&amp;BG110,CODIFICACION!$F$2:$F$500,0))),"⚠"))</f>
        <v/>
      </c>
      <c r="AC110" t="str">
        <f>IF(BH110="","",IFERROR(IF(INDEX(CODIFICACION!$E$2:$E$500,MATCH("D3.14f|"&amp;BH110,CODIFICACION!$F$2:$F$500,0))="sin dato","",INDEX(CODIFICACION!$E$2:$E$500,MATCH("D3.14f|"&amp;BH110,CODIFICACION!$F$2:$F$500,0))),"⚠"))</f>
        <v/>
      </c>
      <c r="AD110" t="str">
        <f>IF(BI110="","",IFERROR(IF(INDEX(CODIFICACION!$E$2:$E$500,MATCH("D3.14g|"&amp;BI110,CODIFICACION!$F$2:$F$500,0))="sin dato","",INDEX(CODIFICACION!$E$2:$E$500,MATCH("D3.14g|"&amp;BI110,CODIFICACION!$F$2:$F$500,0))),"⚠"))</f>
        <v/>
      </c>
      <c r="AE110" t="str">
        <f>IF(BJ110="","",IFERROR(IF(INDEX(CODIFICACION!$E$2:$E$500,MATCH("D3.14h|"&amp;BJ110,CODIFICACION!$F$2:$F$500,0))="sin dato","",INDEX(CODIFICACION!$E$2:$E$500,MATCH("D3.14h|"&amp;BJ110,CODIFICACION!$F$2:$F$500,0))),"⚠"))</f>
        <v/>
      </c>
      <c r="AF110" t="str">
        <f>IF(BK110="","",IFERROR(IF(INDEX(CODIFICACION!$E$2:$E$500,MATCH("D3.14i|"&amp;BK110,CODIFICACION!$F$2:$F$500,0))="sin dato","",INDEX(CODIFICACION!$E$2:$E$500,MATCH("D3.14i|"&amp;BK110,CODIFICACION!$F$2:$F$500,0))),"⚠"))</f>
        <v/>
      </c>
      <c r="AG110" t="str">
        <f>IF(BL110="","",IFERROR(IF(INDEX(CODIFICACION!$E$2:$E$500,MATCH("D4.15|"&amp;BL110,CODIFICACION!$F$2:$F$500,0))="sin dato","",INDEX(CODIFICACION!$E$2:$E$500,MATCH("D4.15|"&amp;BL110,CODIFICACION!$F$2:$F$500,0))),"⚠"))</f>
        <v/>
      </c>
      <c r="AH110" t="str">
        <f t="shared" si="81"/>
        <v/>
      </c>
      <c r="AI110" t="str">
        <f>IF(BN110="","",IFERROR(IF(INDEX(CODIFICACION!$E$2:$E$500,MATCH("D4.17|"&amp;BN110,CODIFICACION!$F$2:$F$500,0))="sin dato","",INDEX(CODIFICACION!$E$2:$E$500,MATCH("D4.17|"&amp;BN110,CODIFICACION!$F$2:$F$500,0))),"⚠"))</f>
        <v/>
      </c>
      <c r="AJ110" t="str">
        <f>IF(BO110="","",IFERROR(IF(INDEX(CODIFICACION!$E$2:$E$500,MATCH("D4.15a|"&amp;BO110,CODIFICACION!$F$2:$F$500,0))="sin dato","",INDEX(CODIFICACION!$E$2:$E$500,MATCH("D4.15a|"&amp;BO110,CODIFICACION!$F$2:$F$500,0))),"⚠"))</f>
        <v/>
      </c>
      <c r="AK110" t="str">
        <f t="shared" si="82"/>
        <v/>
      </c>
      <c r="AL110" t="str">
        <f t="shared" si="83"/>
        <v/>
      </c>
      <c r="AM110" t="str">
        <f>IF(BR110="","",IFERROR(IF(INDEX(CODIFICACION!$E$2:$E$500,MATCH("D5.18b|"&amp;BR110,CODIFICACION!$F$2:$F$500,0))="sin dato","",INDEX(CODIFICACION!$E$2:$E$500,MATCH("D5.18b|"&amp;BR110,CODIFICACION!$F$2:$F$500,0))),"⚠"))</f>
        <v/>
      </c>
      <c r="AN110" t="str">
        <f>IF(BS110="","",IFERROR(IF(INDEX(CODIFICACION!$E$2:$E$500,MATCH("D5.19|"&amp;BS110,CODIFICACION!$F$2:$F$500,0))="sin dato","",INDEX(CODIFICACION!$E$2:$E$500,MATCH("D5.19|"&amp;BS110,CODIFICACION!$F$2:$F$500,0))),"⚠"))</f>
        <v/>
      </c>
      <c r="AO110" t="str">
        <f t="shared" si="84"/>
        <v/>
      </c>
      <c r="AP110" t="str">
        <f>IF(BU110="","",IFERROR(IF(INDEX(CODIFICACION!$E$2:$E$500,MATCH("D5.20|"&amp;BU110,CODIFICACION!$F$2:$F$500,0))="sin dato","",INDEX(CODIFICACION!$E$2:$E$500,MATCH("D5.20|"&amp;BU110,CODIFICACION!$F$2:$F$500,0))),"⚠"))</f>
        <v/>
      </c>
      <c r="AQ110" t="str">
        <f>IF(BV110="","",IFERROR(IF(INDEX(CODIFICACION!$E$2:$E$500,MATCH("D5.21|"&amp;BV110,CODIFICACION!$F$2:$F$500,0))="sin dato","",INDEX(CODIFICACION!$E$2:$E$500,MATCH("D5.21|"&amp;BV110,CODIFICACION!$F$2:$F$500,0))),"⚠"))</f>
        <v/>
      </c>
      <c r="AR110" t="str">
        <f>IF(BW110="","",IFERROR(IF(INDEX(CODIFICACION!$E$2:$E$500,MATCH("D5.21a|"&amp;BW110,CODIFICACION!$F$2:$F$500,0))="sin dato","",INDEX(CODIFICACION!$E$2:$E$500,MATCH("D5.21a|"&amp;BW110,CODIFICACION!$F$2:$F$500,0))),"⚠"))</f>
        <v/>
      </c>
      <c r="AS110" t="str">
        <f>IF(BX110="","",IFERROR(IF(INDEX(CODIFICACION!$E$2:$E$500,MATCH("D5.21b|"&amp;BX110,CODIFICACION!$F$2:$F$500,0))="sin dato","",INDEX(CODIFICACION!$E$2:$E$500,MATCH("D5.21b|"&amp;BX110,CODIFICACION!$F$2:$F$500,0))),"⚠"))</f>
        <v/>
      </c>
      <c r="AT110" t="str">
        <f>IF(BY110="","",IFERROR(IF(INDEX(CODIFICACION!$E$2:$E$500,MATCH("D6.22|"&amp;BY110,CODIFICACION!$F$2:$F$500,0))="sin dato","",INDEX(CODIFICACION!$E$2:$E$500,MATCH("D6.22|"&amp;BY110,CODIFICACION!$F$2:$F$500,0))),"⚠"))</f>
        <v/>
      </c>
      <c r="AU110" t="str">
        <f>IF(BZ110="","",IFERROR(IF(INDEX(CODIFICACION!$E$2:$E$500,MATCH("D6.22a|"&amp;BZ110,CODIFICACION!$F$2:$F$500,0))="sin dato","",INDEX(CODIFICACION!$E$2:$E$500,MATCH("D6.22a|"&amp;BZ110,CODIFICACION!$F$2:$F$500,0))),"⚠"))</f>
        <v/>
      </c>
      <c r="AV110" t="str">
        <f>IF(CA110="","",IFERROR(IF(INDEX(CODIFICACION!$E$2:$E$500,MATCH("D6.22b|"&amp;CA110,CODIFICACION!$F$2:$F$500,0))="sin dato","",INDEX(CODIFICACION!$E$2:$E$500,MATCH("D6.22b|"&amp;CA110,CODIFICACION!$F$2:$F$500,0))),"⚠"))</f>
        <v/>
      </c>
      <c r="AW110" t="str">
        <f>IF(CB110="","",IFERROR(IF(INDEX(CODIFICACION!$E$2:$E$500,MATCH("D6.23|"&amp;CB110,CODIFICACION!$F$2:$F$500,0))="sin dato","",INDEX(CODIFICACION!$E$2:$E$500,MATCH("D6.23|"&amp;CB110,CODIFICACION!$F$2:$F$500,0))),"⚠"))</f>
        <v/>
      </c>
      <c r="AX110" t="str">
        <f ca="1">IF(CC110="","",IFERROR(IF(INDEX(CODIFICACION!$E$2:$E$500,MATCH("D6.24|"&amp;CC110,CODIFICACION!$F$2:$F$500,0))="sin dato","",INDEX(CODIFICACION!$E$2:$E$500,MATCH("D6.24|"&amp;CC110,CODIFICACION!$F$2:$F$500,0))),"⚠"))</f>
        <v/>
      </c>
      <c r="AY110" t="str">
        <f ca="1">IF(CD110="","",IFERROR(IF(INDEX(CODIFICACION!$E$2:$E$500,MATCH("D6.25|"&amp;CD110,CODIFICACION!$F$2:$F$500,0))="sin dato","",INDEX(CODIFICACION!$E$2:$E$500,MATCH("D6.25|"&amp;CD110,CODIFICACION!$F$2:$F$500,0))),"⚠"))</f>
        <v/>
      </c>
      <c r="AZ110" t="str">
        <f>IF(CE110="","",IFERROR(IF(INDEX(CODIFICACION!$E$2:$E$500,MATCH("D6.25a|"&amp;CE110,CODIFICACION!$F$2:$F$500,0))="sin dato","",INDEX(CODIFICACION!$E$2:$E$500,MATCH("D6.25a|"&amp;CE110,CODIFICACION!$F$2:$F$500,0))),"⚠"))</f>
        <v/>
      </c>
      <c r="BA110" t="str">
        <f>IF(CF110="","",IFERROR(IF(INDEX(CODIFICACION!$E$2:$E$500,MATCH("D6.25b|"&amp;CF110,CODIFICACION!$F$2:$F$500,0))="sin dato","",INDEX(CODIFICACION!$E$2:$E$500,MATCH("D6.25b|"&amp;CF110,CODIFICACION!$F$2:$F$500,0))),"⚠"))</f>
        <v/>
      </c>
      <c r="BB110" t="str">
        <f ca="1">IF(CG110="","",IFERROR(IF(INDEX(CODIFICACION!$E$2:$E$500,MATCH("D6.22c|"&amp;CG110,CODIFICACION!$F$2:$F$500,0))="sin dato","",INDEX(CODIFICACION!$E$2:$E$500,MATCH("D6.22c|"&amp;CG110,CODIFICACION!$F$2:$F$500,0))),"⚠"))</f>
        <v/>
      </c>
      <c r="BC110" t="str">
        <f ca="1">IF(CH110="","",IFERROR(IF(INDEX(CODIFICACION!$E$2:$E$500,MATCH("D7.26|"&amp;CH110,CODIFICACION!$F$2:$F$500,0))="sin dato","",INDEX(CODIFICACION!$E$2:$E$500,MATCH("D7.26|"&amp;CH110,CODIFICACION!$F$2:$F$500,0))),"⚠"))</f>
        <v/>
      </c>
      <c r="BD110" t="str">
        <f>IF(CI110="","",IFERROR(IF(INDEX(CODIFICACION!$E$2:$E$500,MATCH("D7.27|"&amp;CI110,CODIFICACION!$F$2:$F$500,0))="sin dato","",INDEX(CODIFICACION!$E$2:$E$500,MATCH("D7.27|"&amp;CI110,CODIFICACION!$F$2:$F$500,0))),"⚠"))</f>
        <v/>
      </c>
      <c r="BE110" t="str">
        <f>IF(CJ110="","",IFERROR(IF(INDEX(CODIFICACION!$E$2:$E$500,MATCH("D7.28|"&amp;CJ110,CODIFICACION!$F$2:$F$500,0))="sin dato","",INDEX(CODIFICACION!$E$2:$E$500,MATCH("D7.28|"&amp;CJ110,CODIFICACION!$F$2:$F$500,0))),"⚠"))</f>
        <v/>
      </c>
      <c r="BF110" t="str">
        <f>IF(CK110="","",IFERROR(IF(INDEX(CODIFICACION!$E$2:$E$500,MATCH("D7.28b|"&amp;CK110,CODIFICACION!$F$2:$F$500,0))="sin dato","",INDEX(CODIFICACION!$E$2:$E$500,MATCH("D7.28b|"&amp;CK110,CODIFICACION!$F$2:$F$500,0))),"⚠"))</f>
        <v/>
      </c>
      <c r="BG110" t="str">
        <f t="shared" si="85"/>
        <v/>
      </c>
      <c r="BH110" t="str">
        <f>IF(CM110="","",IFERROR(IF(INDEX(CODIFICACION!$E$2:$E$500,MATCH("D7.26a|"&amp;CM110,CODIFICACION!$F$2:$F$500,0))="sin dato","",INDEX(CODIFICACION!$E$2:$E$500,MATCH("D7.26a|"&amp;CM110,CODIFICACION!$F$2:$F$500,0))),"⚠"))</f>
        <v/>
      </c>
      <c r="BI110" t="str">
        <f>IF(CN110="","",IFERROR(IF(INDEX(CODIFICACION!$E$2:$E$500,MATCH("D7.26b|"&amp;CN110,CODIFICACION!$F$2:$F$500,0))="sin dato","",INDEX(CODIFICACION!$E$2:$E$500,MATCH("D7.26b|"&amp;CN110,CODIFICACION!$F$2:$F$500,0))),"⚠"))</f>
        <v/>
      </c>
      <c r="BJ110" t="str">
        <f t="shared" si="86"/>
        <v/>
      </c>
      <c r="BK110" t="str">
        <f t="shared" si="87"/>
        <v/>
      </c>
      <c r="BL110" t="str">
        <f>IF(CQ110="","",IFERROR(IF(INDEX(CODIFICACION!$E$2:$E$500,MATCH("D8.31|"&amp;CQ110,CODIFICACION!$F$2:$F$500,0))="sin dato","",INDEX(CODIFICACION!$E$2:$E$500,MATCH("D8.31|"&amp;CQ110,CODIFICACION!$F$2:$F$500,0))),"⚠"))</f>
        <v/>
      </c>
      <c r="BM110" t="str">
        <f>IF(CR110="","",IFERROR(IF(INDEX(CODIFICACION!$E$2:$E$500,MATCH("D8.32|"&amp;CR110,CODIFICACION!$F$2:$F$500,0))="sin dato","",INDEX(CODIFICACION!$E$2:$E$500,MATCH("D8.32|"&amp;CR110,CODIFICACION!$F$2:$F$500,0))),"⚠"))</f>
        <v/>
      </c>
      <c r="BN110" t="str">
        <f>IF(CS110="","",IFERROR(IF(INDEX(CODIFICACION!$E$2:$E$500,MATCH("D9.33|"&amp;CS110,CODIFICACION!$F$2:$F$500,0))="sin dato","",INDEX(CODIFICACION!$E$2:$E$500,MATCH("D9.33|"&amp;CS110,CODIFICACION!$F$2:$F$500,0))),"⚠"))</f>
        <v/>
      </c>
      <c r="BO110" t="str">
        <f>IF(CT110="","",IFERROR(IF(INDEX(CODIFICACION!$E$2:$E$500,MATCH("D9.34|"&amp;CT110,CODIFICACION!$F$2:$F$500,0))="sin dato","",INDEX(CODIFICACION!$E$2:$E$500,MATCH("D9.34|"&amp;CT110,CODIFICACION!$F$2:$F$500,0))),"⚠"))</f>
        <v/>
      </c>
      <c r="BP110" t="str">
        <f>IF(CU110="","",IFERROR(IF(INDEX(CODIFICACION!$E$2:$E$500,MATCH("D9.35|"&amp;CU110,CODIFICACION!$F$2:$F$500,0))="sin dato","",INDEX(CODIFICACION!$E$2:$E$500,MATCH("D9.35|"&amp;CU110,CODIFICACION!$F$2:$F$500,0))),"⚠"))</f>
        <v/>
      </c>
      <c r="BQ110" t="str">
        <f>IF(CV110="","",IFERROR(IF(INDEX(CODIFICACION!$E$2:$E$500,MATCH("D10.36|"&amp;CV110,CODIFICACION!$F$2:$F$500,0))="sin dato","",INDEX(CODIFICACION!$E$2:$E$500,MATCH("D10.36|"&amp;CV110,CODIFICACION!$F$2:$F$500,0))),"⚠"))</f>
        <v/>
      </c>
      <c r="BR110" t="str">
        <f>IF(CW110="","",IFERROR(IF(INDEX(CODIFICACION!$E$2:$E$500,MATCH("D10.37|"&amp;CW110,CODIFICACION!$F$2:$F$500,0))="sin dato","",INDEX(CODIFICACION!$E$2:$E$500,MATCH("D10.37|"&amp;CW110,CODIFICACION!$F$2:$F$500,0))),"⚠"))</f>
        <v/>
      </c>
      <c r="BS110" t="str">
        <f>IF(CX110="","",IFERROR(IF(INDEX(CODIFICACION!$E$2:$E$500,MATCH("D10.36a|"&amp;CX110,CODIFICACION!$F$2:$F$500,0))="sin dato","",INDEX(CODIFICACION!$E$2:$E$500,MATCH("D10.36a|"&amp;CX110,CODIFICACION!$F$2:$F$500,0))),"⚠"))</f>
        <v/>
      </c>
      <c r="BT110" t="str">
        <f t="shared" si="88"/>
        <v/>
      </c>
      <c r="BU110" t="str">
        <f>IF(DA110="","",IFERROR(IF(INDEX(CODIFICACION!$E$2:$E$500,MATCH("D11.39a|"&amp;DA110,CODIFICACION!$F$2:$F$500,0))="sin dato","",INDEX(CODIFICACION!$E$2:$E$500,MATCH("D11.39a|"&amp;DA110,CODIFICACION!$F$2:$F$500,0))),"⚠"))</f>
        <v/>
      </c>
      <c r="BV110" t="str">
        <f>IF(DB110="","",IFERROR(IF(INDEX(CODIFICACION!$E$2:$E$500,MATCH("D12.42|"&amp;DB110,CODIFICACION!$F$2:$F$500,0))="sin dato","",INDEX(CODIFICACION!$E$2:$E$500,MATCH("D12.42|"&amp;DB110,CODIFICACION!$F$2:$F$500,0))),"⚠"))</f>
        <v/>
      </c>
      <c r="BW110" t="str">
        <f>IF(DC110="","",IFERROR(IF(INDEX(CODIFICACION!$E$2:$E$500,MATCH("D13.45|"&amp;DC110,CODIFICACION!$F$2:$F$500,0))="sin dato","",INDEX(CODIFICACION!$E$2:$E$500,MATCH("D13.45|"&amp;DC110,CODIFICACION!$F$2:$F$500,0))),"⚠"))</f>
        <v/>
      </c>
      <c r="BX110" t="str">
        <f>IF(DD110="","",IFERROR(IF(INDEX(CODIFICACION!$E$2:$E$500,MATCH("D14.51|"&amp;DD110,CODIFICACION!$F$2:$F$500,0))="sin dato","",INDEX(CODIFICACION!$E$2:$E$500,MATCH("D14.51|"&amp;DD110,CODIFICACION!$F$2:$F$500,0))),"⚠"))</f>
        <v/>
      </c>
      <c r="BY110" t="str">
        <f>IF(DE110="","",IFERROR(IF(INDEX(CODIFICACION!$E$2:$E$500,MATCH("D15.58|"&amp;DE110,CODIFICACION!$F$2:$F$500,0))="sin dato","",INDEX(CODIFICACION!$E$2:$E$500,MATCH("D15.58|"&amp;DE110,CODIFICACION!$F$2:$F$500,0))),"⚠"))</f>
        <v/>
      </c>
      <c r="BZ110" t="str">
        <f>IF(DF110="","",IFERROR(IF(INDEX(CODIFICACION!$E$2:$E$500,MATCH("PP1|"&amp;DF110,CODIFICACION!$F$2:$F$500,0))="sin dato","",INDEX(CODIFICACION!$E$2:$E$500,MATCH("PP1|"&amp;DF110,CODIFICACION!$F$2:$F$500,0))),"⚠"))</f>
        <v/>
      </c>
      <c r="CA110" t="str">
        <f>IF(DG110="","",IFERROR(IF(INDEX(CODIFICACION!$E$2:$E$500,MATCH("PP2|"&amp;DG110,CODIFICACION!$F$2:$F$500,0))="sin dato","",INDEX(CODIFICACION!$E$2:$E$500,MATCH("PP2|"&amp;DG110,CODIFICACION!$F$2:$F$500,0))),"⚠"))</f>
        <v/>
      </c>
      <c r="CB110" t="str">
        <f t="shared" si="89"/>
        <v/>
      </c>
      <c r="CC110" t="str">
        <f t="shared" ca="1" si="90"/>
        <v/>
      </c>
      <c r="CD110" t="str">
        <f t="shared" ca="1" si="91"/>
        <v/>
      </c>
      <c r="CE110" t="str">
        <f t="shared" si="92"/>
        <v/>
      </c>
      <c r="CF110" t="str">
        <f t="shared" si="93"/>
        <v/>
      </c>
      <c r="CG110" t="str">
        <f t="shared" ca="1" si="94"/>
        <v/>
      </c>
      <c r="CH110" t="str">
        <f t="shared" ca="1" si="95"/>
        <v/>
      </c>
      <c r="CI110" t="str">
        <f t="shared" si="96"/>
        <v/>
      </c>
      <c r="CJ110" t="str">
        <f t="shared" si="97"/>
        <v/>
      </c>
      <c r="CK110" t="str">
        <f t="shared" si="98"/>
        <v/>
      </c>
      <c r="CL110" t="str">
        <f t="shared" si="99"/>
        <v/>
      </c>
    </row>
    <row r="111" spans="1:90" x14ac:dyDescent="0.3">
      <c r="A111">
        <f>CAPTURA!A111</f>
        <v>20600682386</v>
      </c>
      <c r="B111">
        <f>CAPTURA!C111</f>
        <v>0</v>
      </c>
      <c r="C111" t="str">
        <f t="shared" si="75"/>
        <v/>
      </c>
      <c r="D111" t="str">
        <f>IF(AE111="","",IFERROR(IF(INDEX(CODIFICACION!$E$2:$E$500,MATCH("P8|"&amp;AE111,CODIFICACION!$F$2:$F$500,0))="sin dato","",INDEX(CODIFICACION!$E$2:$E$500,MATCH("P8|"&amp;AE111,CODIFICACION!$F$2:$F$500,0))),"⚠"))</f>
        <v/>
      </c>
      <c r="E111" t="str">
        <f>IF(AG111="","",IFERROR(IF(INDEX(CODIFICACION!$E$2:$E$500,MATCH("P10|"&amp;AG111,CODIFICACION!$F$2:$F$500,0))="sin dato","",INDEX(CODIFICACION!$E$2:$E$500,MATCH("P10|"&amp;AG111,CODIFICACION!$F$2:$F$500,0))),"⚠"))</f>
        <v/>
      </c>
      <c r="F111" t="str">
        <f>IF(AJ111="","",IFERROR(IF(INDEX(CODIFICACION!$E$2:$E$500,MATCH("P13|"&amp;AJ111,CODIFICACION!$F$2:$F$500,0))="sin dato","",INDEX(CODIFICACION!$E$2:$E$500,MATCH("P13|"&amp;AJ111,CODIFICACION!$F$2:$F$500,0))),"⚠"))</f>
        <v/>
      </c>
      <c r="G111" t="str">
        <f>IF(AK111="","",IFERROR(IF(INDEX(CODIFICACION!$E$2:$E$500,MATCH("P14|"&amp;AK111,CODIFICACION!$F$2:$F$500,0))="sin dato","",INDEX(CODIFICACION!$E$2:$E$500,MATCH("P14|"&amp;AK111,CODIFICACION!$F$2:$F$500,0))),"⚠"))</f>
        <v/>
      </c>
      <c r="H111" t="str">
        <f>IF(AL111="","",IFERROR(IF(INDEX(CODIFICACION!$E$2:$E$500,MATCH("D1.1|"&amp;AL111,CODIFICACION!$F$2:$F$500,0))="sin dato","",INDEX(CODIFICACION!$E$2:$E$500,MATCH("D1.1|"&amp;AL111,CODIFICACION!$F$2:$F$500,0))),"⚠"))</f>
        <v/>
      </c>
      <c r="I111" t="str">
        <f>IF(AN111="","",IFERROR(IF(INDEX(CODIFICACION!$E$2:$E$500,MATCH("D1.3|"&amp;AN111,CODIFICACION!$F$2:$F$500,0))="sin dato","",INDEX(CODIFICACION!$E$2:$E$500,MATCH("D1.3|"&amp;AN111,CODIFICACION!$F$2:$F$500,0))),"⚠"))</f>
        <v/>
      </c>
      <c r="J111" t="str">
        <f>IF(AO111="","",IFERROR(IF(INDEX(CODIFICACION!$E$2:$E$500,MATCH("D1.4|"&amp;AO111,CODIFICACION!$F$2:$F$500,0))="sin dato","",INDEX(CODIFICACION!$E$2:$E$500,MATCH("D1.4|"&amp;AO111,CODIFICACION!$F$2:$F$500,0))),"⚠"))</f>
        <v/>
      </c>
      <c r="K111" t="str">
        <f>IF(AP111="","",IFERROR(IF(INDEX(CODIFICACION!$E$2:$E$500,MATCH("D1.3a|"&amp;AP111,CODIFICACION!$F$2:$F$500,0))="sin dato","",INDEX(CODIFICACION!$E$2:$E$500,MATCH("D1.3a|"&amp;AP111,CODIFICACION!$F$2:$F$500,0))),"⚠"))</f>
        <v/>
      </c>
      <c r="L111" t="str">
        <f t="shared" si="76"/>
        <v/>
      </c>
      <c r="M111" t="str">
        <f t="shared" si="77"/>
        <v/>
      </c>
      <c r="N111" t="str">
        <f t="shared" si="78"/>
        <v/>
      </c>
      <c r="O111" t="str">
        <f>IF(AT111="","",IFERROR(IF(INDEX(CODIFICACION!$E$2:$E$500,MATCH("D2.8|"&amp;AT111,CODIFICACION!$F$2:$F$500,0))="sin dato","",INDEX(CODIFICACION!$E$2:$E$500,MATCH("D2.8|"&amp;AT111,CODIFICACION!$F$2:$F$500,0))),"⚠"))</f>
        <v/>
      </c>
      <c r="P111" t="str">
        <f>IF(AU111="","",IFERROR(IF(INDEX(CODIFICACION!$E$2:$E$500,MATCH("D2.9|"&amp;AU111,CODIFICACION!$F$2:$F$500,0))="sin dato","",INDEX(CODIFICACION!$E$2:$E$500,MATCH("D2.9|"&amp;AU111,CODIFICACION!$F$2:$F$500,0))),"⚠"))</f>
        <v/>
      </c>
      <c r="Q111" t="str">
        <f>IF(AV111="","",IFERROR(IF(INDEX(CODIFICACION!$E$2:$E$500,MATCH("D2.10|"&amp;AV111,CODIFICACION!$F$2:$F$500,0))="sin dato","",INDEX(CODIFICACION!$E$2:$E$500,MATCH("D2.10|"&amp;AV111,CODIFICACION!$F$2:$F$500,0))),"⚠"))</f>
        <v/>
      </c>
      <c r="R111" t="str">
        <f>IF(AW111="","",IFERROR(IF(INDEX(CODIFICACION!$E$2:$E$500,MATCH("D2.5a|"&amp;AW111,CODIFICACION!$F$2:$F$500,0))="sin dato","",INDEX(CODIFICACION!$E$2:$E$500,MATCH("D2.5a|"&amp;AW111,CODIFICACION!$F$2:$F$500,0))),"⚠"))</f>
        <v/>
      </c>
      <c r="S111" t="str">
        <f ca="1">IF(AX111="","",IFERROR(IF(INDEX(CODIFICACION!$E$2:$E$500,MATCH("D2.5b|"&amp;AX111,CODIFICACION!$F$2:$F$500,0))="sin dato","",INDEX(CODIFICACION!$E$2:$E$500,MATCH("D2.5b|"&amp;AX111,CODIFICACION!$F$2:$F$500,0))),"⚠"))</f>
        <v/>
      </c>
      <c r="T111" t="str">
        <f t="shared" ca="1" si="79"/>
        <v/>
      </c>
      <c r="U111" t="str">
        <f>IF(AZ111="","",IFERROR(IF(INDEX(CODIFICACION!$E$2:$E$500,MATCH("D3.12|"&amp;AZ111,CODIFICACION!$F$2:$F$500,0))="sin dato","",INDEX(CODIFICACION!$E$2:$E$500,MATCH("D3.12|"&amp;AZ111,CODIFICACION!$F$2:$F$500,0))),"⚠"))</f>
        <v/>
      </c>
      <c r="V111" t="str">
        <f t="shared" si="80"/>
        <v/>
      </c>
      <c r="W111" t="str">
        <f ca="1">IF(BB111="","",IFERROR(IF(INDEX(CODIFICACION!$E$2:$E$500,MATCH("D3.14|"&amp;BB111,CODIFICACION!$F$2:$F$500,0))="sin dato","",INDEX(CODIFICACION!$E$2:$E$500,MATCH("D3.14|"&amp;BB111,CODIFICACION!$F$2:$F$500,0))),"⚠"))</f>
        <v/>
      </c>
      <c r="X111" t="str">
        <f ca="1">IF(BC111="","",IFERROR(IF(INDEX(CODIFICACION!$E$2:$E$500,MATCH("D3.14a|"&amp;BC111,CODIFICACION!$F$2:$F$500,0))="sin dato","",INDEX(CODIFICACION!$E$2:$E$500,MATCH("D3.14a|"&amp;BC111,CODIFICACION!$F$2:$F$500,0))),"⚠"))</f>
        <v/>
      </c>
      <c r="Y111" t="str">
        <f>IF(BD111="","",IFERROR(IF(INDEX(CODIFICACION!$E$2:$E$500,MATCH("D3.14b|"&amp;BD111,CODIFICACION!$F$2:$F$500,0))="sin dato","",INDEX(CODIFICACION!$E$2:$E$500,MATCH("D3.14b|"&amp;BD111,CODIFICACION!$F$2:$F$500,0))),"⚠"))</f>
        <v/>
      </c>
      <c r="Z111" t="str">
        <f>IF(BE111="","",IFERROR(IF(INDEX(CODIFICACION!$E$2:$E$500,MATCH("D3.14c|"&amp;BE111,CODIFICACION!$F$2:$F$500,0))="sin dato","",INDEX(CODIFICACION!$E$2:$E$500,MATCH("D3.14c|"&amp;BE111,CODIFICACION!$F$2:$F$500,0))),"⚠"))</f>
        <v/>
      </c>
      <c r="AA111" t="str">
        <f>IF(BF111="","",IFERROR(IF(INDEX(CODIFICACION!$E$2:$E$500,MATCH("D3.14d|"&amp;BF111,CODIFICACION!$F$2:$F$500,0))="sin dato","",INDEX(CODIFICACION!$E$2:$E$500,MATCH("D3.14d|"&amp;BF111,CODIFICACION!$F$2:$F$500,0))),"⚠"))</f>
        <v/>
      </c>
      <c r="AB111" t="str">
        <f>IF(BG111="","",IFERROR(IF(INDEX(CODIFICACION!$E$2:$E$500,MATCH("D3.14e|"&amp;BG111,CODIFICACION!$F$2:$F$500,0))="sin dato","",INDEX(CODIFICACION!$E$2:$E$500,MATCH("D3.14e|"&amp;BG111,CODIFICACION!$F$2:$F$500,0))),"⚠"))</f>
        <v/>
      </c>
      <c r="AC111" t="str">
        <f>IF(BH111="","",IFERROR(IF(INDEX(CODIFICACION!$E$2:$E$500,MATCH("D3.14f|"&amp;BH111,CODIFICACION!$F$2:$F$500,0))="sin dato","",INDEX(CODIFICACION!$E$2:$E$500,MATCH("D3.14f|"&amp;BH111,CODIFICACION!$F$2:$F$500,0))),"⚠"))</f>
        <v/>
      </c>
      <c r="AD111" t="str">
        <f>IF(BI111="","",IFERROR(IF(INDEX(CODIFICACION!$E$2:$E$500,MATCH("D3.14g|"&amp;BI111,CODIFICACION!$F$2:$F$500,0))="sin dato","",INDEX(CODIFICACION!$E$2:$E$500,MATCH("D3.14g|"&amp;BI111,CODIFICACION!$F$2:$F$500,0))),"⚠"))</f>
        <v/>
      </c>
      <c r="AE111" t="str">
        <f>IF(BJ111="","",IFERROR(IF(INDEX(CODIFICACION!$E$2:$E$500,MATCH("D3.14h|"&amp;BJ111,CODIFICACION!$F$2:$F$500,0))="sin dato","",INDEX(CODIFICACION!$E$2:$E$500,MATCH("D3.14h|"&amp;BJ111,CODIFICACION!$F$2:$F$500,0))),"⚠"))</f>
        <v/>
      </c>
      <c r="AF111" t="str">
        <f>IF(BK111="","",IFERROR(IF(INDEX(CODIFICACION!$E$2:$E$500,MATCH("D3.14i|"&amp;BK111,CODIFICACION!$F$2:$F$500,0))="sin dato","",INDEX(CODIFICACION!$E$2:$E$500,MATCH("D3.14i|"&amp;BK111,CODIFICACION!$F$2:$F$500,0))),"⚠"))</f>
        <v/>
      </c>
      <c r="AG111" t="str">
        <f>IF(BL111="","",IFERROR(IF(INDEX(CODIFICACION!$E$2:$E$500,MATCH("D4.15|"&amp;BL111,CODIFICACION!$F$2:$F$500,0))="sin dato","",INDEX(CODIFICACION!$E$2:$E$500,MATCH("D4.15|"&amp;BL111,CODIFICACION!$F$2:$F$500,0))),"⚠"))</f>
        <v/>
      </c>
      <c r="AH111" t="str">
        <f t="shared" si="81"/>
        <v/>
      </c>
      <c r="AI111" t="str">
        <f>IF(BN111="","",IFERROR(IF(INDEX(CODIFICACION!$E$2:$E$500,MATCH("D4.17|"&amp;BN111,CODIFICACION!$F$2:$F$500,0))="sin dato","",INDEX(CODIFICACION!$E$2:$E$500,MATCH("D4.17|"&amp;BN111,CODIFICACION!$F$2:$F$500,0))),"⚠"))</f>
        <v/>
      </c>
      <c r="AJ111" t="str">
        <f>IF(BO111="","",IFERROR(IF(INDEX(CODIFICACION!$E$2:$E$500,MATCH("D4.15a|"&amp;BO111,CODIFICACION!$F$2:$F$500,0))="sin dato","",INDEX(CODIFICACION!$E$2:$E$500,MATCH("D4.15a|"&amp;BO111,CODIFICACION!$F$2:$F$500,0))),"⚠"))</f>
        <v/>
      </c>
      <c r="AK111" t="str">
        <f t="shared" si="82"/>
        <v/>
      </c>
      <c r="AL111" t="str">
        <f t="shared" si="83"/>
        <v/>
      </c>
      <c r="AM111" t="str">
        <f>IF(BR111="","",IFERROR(IF(INDEX(CODIFICACION!$E$2:$E$500,MATCH("D5.18b|"&amp;BR111,CODIFICACION!$F$2:$F$500,0))="sin dato","",INDEX(CODIFICACION!$E$2:$E$500,MATCH("D5.18b|"&amp;BR111,CODIFICACION!$F$2:$F$500,0))),"⚠"))</f>
        <v/>
      </c>
      <c r="AN111" t="str">
        <f>IF(BS111="","",IFERROR(IF(INDEX(CODIFICACION!$E$2:$E$500,MATCH("D5.19|"&amp;BS111,CODIFICACION!$F$2:$F$500,0))="sin dato","",INDEX(CODIFICACION!$E$2:$E$500,MATCH("D5.19|"&amp;BS111,CODIFICACION!$F$2:$F$500,0))),"⚠"))</f>
        <v/>
      </c>
      <c r="AO111" t="str">
        <f t="shared" si="84"/>
        <v/>
      </c>
      <c r="AP111" t="str">
        <f>IF(BU111="","",IFERROR(IF(INDEX(CODIFICACION!$E$2:$E$500,MATCH("D5.20|"&amp;BU111,CODIFICACION!$F$2:$F$500,0))="sin dato","",INDEX(CODIFICACION!$E$2:$E$500,MATCH("D5.20|"&amp;BU111,CODIFICACION!$F$2:$F$500,0))),"⚠"))</f>
        <v/>
      </c>
      <c r="AQ111" t="str">
        <f>IF(BV111="","",IFERROR(IF(INDEX(CODIFICACION!$E$2:$E$500,MATCH("D5.21|"&amp;BV111,CODIFICACION!$F$2:$F$500,0))="sin dato","",INDEX(CODIFICACION!$E$2:$E$500,MATCH("D5.21|"&amp;BV111,CODIFICACION!$F$2:$F$500,0))),"⚠"))</f>
        <v/>
      </c>
      <c r="AR111" t="str">
        <f>IF(BW111="","",IFERROR(IF(INDEX(CODIFICACION!$E$2:$E$500,MATCH("D5.21a|"&amp;BW111,CODIFICACION!$F$2:$F$500,0))="sin dato","",INDEX(CODIFICACION!$E$2:$E$500,MATCH("D5.21a|"&amp;BW111,CODIFICACION!$F$2:$F$500,0))),"⚠"))</f>
        <v/>
      </c>
      <c r="AS111" t="str">
        <f>IF(BX111="","",IFERROR(IF(INDEX(CODIFICACION!$E$2:$E$500,MATCH("D5.21b|"&amp;BX111,CODIFICACION!$F$2:$F$500,0))="sin dato","",INDEX(CODIFICACION!$E$2:$E$500,MATCH("D5.21b|"&amp;BX111,CODIFICACION!$F$2:$F$500,0))),"⚠"))</f>
        <v/>
      </c>
      <c r="AT111" t="str">
        <f>IF(BY111="","",IFERROR(IF(INDEX(CODIFICACION!$E$2:$E$500,MATCH("D6.22|"&amp;BY111,CODIFICACION!$F$2:$F$500,0))="sin dato","",INDEX(CODIFICACION!$E$2:$E$500,MATCH("D6.22|"&amp;BY111,CODIFICACION!$F$2:$F$500,0))),"⚠"))</f>
        <v/>
      </c>
      <c r="AU111" t="str">
        <f>IF(BZ111="","",IFERROR(IF(INDEX(CODIFICACION!$E$2:$E$500,MATCH("D6.22a|"&amp;BZ111,CODIFICACION!$F$2:$F$500,0))="sin dato","",INDEX(CODIFICACION!$E$2:$E$500,MATCH("D6.22a|"&amp;BZ111,CODIFICACION!$F$2:$F$500,0))),"⚠"))</f>
        <v/>
      </c>
      <c r="AV111" t="str">
        <f>IF(CA111="","",IFERROR(IF(INDEX(CODIFICACION!$E$2:$E$500,MATCH("D6.22b|"&amp;CA111,CODIFICACION!$F$2:$F$500,0))="sin dato","",INDEX(CODIFICACION!$E$2:$E$500,MATCH("D6.22b|"&amp;CA111,CODIFICACION!$F$2:$F$500,0))),"⚠"))</f>
        <v/>
      </c>
      <c r="AW111" t="str">
        <f>IF(CB111="","",IFERROR(IF(INDEX(CODIFICACION!$E$2:$E$500,MATCH("D6.23|"&amp;CB111,CODIFICACION!$F$2:$F$500,0))="sin dato","",INDEX(CODIFICACION!$E$2:$E$500,MATCH("D6.23|"&amp;CB111,CODIFICACION!$F$2:$F$500,0))),"⚠"))</f>
        <v/>
      </c>
      <c r="AX111" t="str">
        <f ca="1">IF(CC111="","",IFERROR(IF(INDEX(CODIFICACION!$E$2:$E$500,MATCH("D6.24|"&amp;CC111,CODIFICACION!$F$2:$F$500,0))="sin dato","",INDEX(CODIFICACION!$E$2:$E$500,MATCH("D6.24|"&amp;CC111,CODIFICACION!$F$2:$F$500,0))),"⚠"))</f>
        <v/>
      </c>
      <c r="AY111" t="str">
        <f ca="1">IF(CD111="","",IFERROR(IF(INDEX(CODIFICACION!$E$2:$E$500,MATCH("D6.25|"&amp;CD111,CODIFICACION!$F$2:$F$500,0))="sin dato","",INDEX(CODIFICACION!$E$2:$E$500,MATCH("D6.25|"&amp;CD111,CODIFICACION!$F$2:$F$500,0))),"⚠"))</f>
        <v/>
      </c>
      <c r="AZ111" t="str">
        <f>IF(CE111="","",IFERROR(IF(INDEX(CODIFICACION!$E$2:$E$500,MATCH("D6.25a|"&amp;CE111,CODIFICACION!$F$2:$F$500,0))="sin dato","",INDEX(CODIFICACION!$E$2:$E$500,MATCH("D6.25a|"&amp;CE111,CODIFICACION!$F$2:$F$500,0))),"⚠"))</f>
        <v/>
      </c>
      <c r="BA111" t="str">
        <f>IF(CF111="","",IFERROR(IF(INDEX(CODIFICACION!$E$2:$E$500,MATCH("D6.25b|"&amp;CF111,CODIFICACION!$F$2:$F$500,0))="sin dato","",INDEX(CODIFICACION!$E$2:$E$500,MATCH("D6.25b|"&amp;CF111,CODIFICACION!$F$2:$F$500,0))),"⚠"))</f>
        <v/>
      </c>
      <c r="BB111" t="str">
        <f ca="1">IF(CG111="","",IFERROR(IF(INDEX(CODIFICACION!$E$2:$E$500,MATCH("D6.22c|"&amp;CG111,CODIFICACION!$F$2:$F$500,0))="sin dato","",INDEX(CODIFICACION!$E$2:$E$500,MATCH("D6.22c|"&amp;CG111,CODIFICACION!$F$2:$F$500,0))),"⚠"))</f>
        <v/>
      </c>
      <c r="BC111" t="str">
        <f ca="1">IF(CH111="","",IFERROR(IF(INDEX(CODIFICACION!$E$2:$E$500,MATCH("D7.26|"&amp;CH111,CODIFICACION!$F$2:$F$500,0))="sin dato","",INDEX(CODIFICACION!$E$2:$E$500,MATCH("D7.26|"&amp;CH111,CODIFICACION!$F$2:$F$500,0))),"⚠"))</f>
        <v/>
      </c>
      <c r="BD111" t="str">
        <f>IF(CI111="","",IFERROR(IF(INDEX(CODIFICACION!$E$2:$E$500,MATCH("D7.27|"&amp;CI111,CODIFICACION!$F$2:$F$500,0))="sin dato","",INDEX(CODIFICACION!$E$2:$E$500,MATCH("D7.27|"&amp;CI111,CODIFICACION!$F$2:$F$500,0))),"⚠"))</f>
        <v/>
      </c>
      <c r="BE111" t="str">
        <f>IF(CJ111="","",IFERROR(IF(INDEX(CODIFICACION!$E$2:$E$500,MATCH("D7.28|"&amp;CJ111,CODIFICACION!$F$2:$F$500,0))="sin dato","",INDEX(CODIFICACION!$E$2:$E$500,MATCH("D7.28|"&amp;CJ111,CODIFICACION!$F$2:$F$500,0))),"⚠"))</f>
        <v/>
      </c>
      <c r="BF111" t="str">
        <f>IF(CK111="","",IFERROR(IF(INDEX(CODIFICACION!$E$2:$E$500,MATCH("D7.28b|"&amp;CK111,CODIFICACION!$F$2:$F$500,0))="sin dato","",INDEX(CODIFICACION!$E$2:$E$500,MATCH("D7.28b|"&amp;CK111,CODIFICACION!$F$2:$F$500,0))),"⚠"))</f>
        <v/>
      </c>
      <c r="BG111" t="str">
        <f t="shared" si="85"/>
        <v/>
      </c>
      <c r="BH111" t="str">
        <f>IF(CM111="","",IFERROR(IF(INDEX(CODIFICACION!$E$2:$E$500,MATCH("D7.26a|"&amp;CM111,CODIFICACION!$F$2:$F$500,0))="sin dato","",INDEX(CODIFICACION!$E$2:$E$500,MATCH("D7.26a|"&amp;CM111,CODIFICACION!$F$2:$F$500,0))),"⚠"))</f>
        <v/>
      </c>
      <c r="BI111" t="str">
        <f>IF(CN111="","",IFERROR(IF(INDEX(CODIFICACION!$E$2:$E$500,MATCH("D7.26b|"&amp;CN111,CODIFICACION!$F$2:$F$500,0))="sin dato","",INDEX(CODIFICACION!$E$2:$E$500,MATCH("D7.26b|"&amp;CN111,CODIFICACION!$F$2:$F$500,0))),"⚠"))</f>
        <v/>
      </c>
      <c r="BJ111" t="str">
        <f t="shared" si="86"/>
        <v/>
      </c>
      <c r="BK111" t="str">
        <f t="shared" si="87"/>
        <v/>
      </c>
      <c r="BL111" t="str">
        <f>IF(CQ111="","",IFERROR(IF(INDEX(CODIFICACION!$E$2:$E$500,MATCH("D8.31|"&amp;CQ111,CODIFICACION!$F$2:$F$500,0))="sin dato","",INDEX(CODIFICACION!$E$2:$E$500,MATCH("D8.31|"&amp;CQ111,CODIFICACION!$F$2:$F$500,0))),"⚠"))</f>
        <v/>
      </c>
      <c r="BM111" t="str">
        <f>IF(CR111="","",IFERROR(IF(INDEX(CODIFICACION!$E$2:$E$500,MATCH("D8.32|"&amp;CR111,CODIFICACION!$F$2:$F$500,0))="sin dato","",INDEX(CODIFICACION!$E$2:$E$500,MATCH("D8.32|"&amp;CR111,CODIFICACION!$F$2:$F$500,0))),"⚠"))</f>
        <v/>
      </c>
      <c r="BN111" t="str">
        <f>IF(CS111="","",IFERROR(IF(INDEX(CODIFICACION!$E$2:$E$500,MATCH("D9.33|"&amp;CS111,CODIFICACION!$F$2:$F$500,0))="sin dato","",INDEX(CODIFICACION!$E$2:$E$500,MATCH("D9.33|"&amp;CS111,CODIFICACION!$F$2:$F$500,0))),"⚠"))</f>
        <v/>
      </c>
      <c r="BO111" t="str">
        <f>IF(CT111="","",IFERROR(IF(INDEX(CODIFICACION!$E$2:$E$500,MATCH("D9.34|"&amp;CT111,CODIFICACION!$F$2:$F$500,0))="sin dato","",INDEX(CODIFICACION!$E$2:$E$500,MATCH("D9.34|"&amp;CT111,CODIFICACION!$F$2:$F$500,0))),"⚠"))</f>
        <v/>
      </c>
      <c r="BP111" t="str">
        <f>IF(CU111="","",IFERROR(IF(INDEX(CODIFICACION!$E$2:$E$500,MATCH("D9.35|"&amp;CU111,CODIFICACION!$F$2:$F$500,0))="sin dato","",INDEX(CODIFICACION!$E$2:$E$500,MATCH("D9.35|"&amp;CU111,CODIFICACION!$F$2:$F$500,0))),"⚠"))</f>
        <v/>
      </c>
      <c r="BQ111" t="str">
        <f>IF(CV111="","",IFERROR(IF(INDEX(CODIFICACION!$E$2:$E$500,MATCH("D10.36|"&amp;CV111,CODIFICACION!$F$2:$F$500,0))="sin dato","",INDEX(CODIFICACION!$E$2:$E$500,MATCH("D10.36|"&amp;CV111,CODIFICACION!$F$2:$F$500,0))),"⚠"))</f>
        <v/>
      </c>
      <c r="BR111" t="str">
        <f>IF(CW111="","",IFERROR(IF(INDEX(CODIFICACION!$E$2:$E$500,MATCH("D10.37|"&amp;CW111,CODIFICACION!$F$2:$F$500,0))="sin dato","",INDEX(CODIFICACION!$E$2:$E$500,MATCH("D10.37|"&amp;CW111,CODIFICACION!$F$2:$F$500,0))),"⚠"))</f>
        <v/>
      </c>
      <c r="BS111" t="str">
        <f>IF(CX111="","",IFERROR(IF(INDEX(CODIFICACION!$E$2:$E$500,MATCH("D10.36a|"&amp;CX111,CODIFICACION!$F$2:$F$500,0))="sin dato","",INDEX(CODIFICACION!$E$2:$E$500,MATCH("D10.36a|"&amp;CX111,CODIFICACION!$F$2:$F$500,0))),"⚠"))</f>
        <v/>
      </c>
      <c r="BT111" t="str">
        <f t="shared" si="88"/>
        <v/>
      </c>
      <c r="BU111" t="str">
        <f>IF(DA111="","",IFERROR(IF(INDEX(CODIFICACION!$E$2:$E$500,MATCH("D11.39a|"&amp;DA111,CODIFICACION!$F$2:$F$500,0))="sin dato","",INDEX(CODIFICACION!$E$2:$E$500,MATCH("D11.39a|"&amp;DA111,CODIFICACION!$F$2:$F$500,0))),"⚠"))</f>
        <v/>
      </c>
      <c r="BV111" t="str">
        <f>IF(DB111="","",IFERROR(IF(INDEX(CODIFICACION!$E$2:$E$500,MATCH("D12.42|"&amp;DB111,CODIFICACION!$F$2:$F$500,0))="sin dato","",INDEX(CODIFICACION!$E$2:$E$500,MATCH("D12.42|"&amp;DB111,CODIFICACION!$F$2:$F$500,0))),"⚠"))</f>
        <v/>
      </c>
      <c r="BW111" t="str">
        <f>IF(DC111="","",IFERROR(IF(INDEX(CODIFICACION!$E$2:$E$500,MATCH("D13.45|"&amp;DC111,CODIFICACION!$F$2:$F$500,0))="sin dato","",INDEX(CODIFICACION!$E$2:$E$500,MATCH("D13.45|"&amp;DC111,CODIFICACION!$F$2:$F$500,0))),"⚠"))</f>
        <v/>
      </c>
      <c r="BX111" t="str">
        <f>IF(DD111="","",IFERROR(IF(INDEX(CODIFICACION!$E$2:$E$500,MATCH("D14.51|"&amp;DD111,CODIFICACION!$F$2:$F$500,0))="sin dato","",INDEX(CODIFICACION!$E$2:$E$500,MATCH("D14.51|"&amp;DD111,CODIFICACION!$F$2:$F$500,0))),"⚠"))</f>
        <v/>
      </c>
      <c r="BY111" t="str">
        <f>IF(DE111="","",IFERROR(IF(INDEX(CODIFICACION!$E$2:$E$500,MATCH("D15.58|"&amp;DE111,CODIFICACION!$F$2:$F$500,0))="sin dato","",INDEX(CODIFICACION!$E$2:$E$500,MATCH("D15.58|"&amp;DE111,CODIFICACION!$F$2:$F$500,0))),"⚠"))</f>
        <v/>
      </c>
      <c r="BZ111" t="str">
        <f>IF(DF111="","",IFERROR(IF(INDEX(CODIFICACION!$E$2:$E$500,MATCH("PP1|"&amp;DF111,CODIFICACION!$F$2:$F$500,0))="sin dato","",INDEX(CODIFICACION!$E$2:$E$500,MATCH("PP1|"&amp;DF111,CODIFICACION!$F$2:$F$500,0))),"⚠"))</f>
        <v/>
      </c>
      <c r="CA111" t="str">
        <f>IF(DG111="","",IFERROR(IF(INDEX(CODIFICACION!$E$2:$E$500,MATCH("PP2|"&amp;DG111,CODIFICACION!$F$2:$F$500,0))="sin dato","",INDEX(CODIFICACION!$E$2:$E$500,MATCH("PP2|"&amp;DG111,CODIFICACION!$F$2:$F$500,0))),"⚠"))</f>
        <v/>
      </c>
      <c r="CB111" t="str">
        <f t="shared" si="89"/>
        <v/>
      </c>
      <c r="CC111" t="str">
        <f t="shared" ca="1" si="90"/>
        <v/>
      </c>
      <c r="CD111" t="str">
        <f t="shared" ca="1" si="91"/>
        <v/>
      </c>
      <c r="CE111" t="str">
        <f t="shared" si="92"/>
        <v/>
      </c>
      <c r="CF111" t="str">
        <f t="shared" si="93"/>
        <v/>
      </c>
      <c r="CG111" t="str">
        <f t="shared" ca="1" si="94"/>
        <v/>
      </c>
      <c r="CH111" t="str">
        <f t="shared" ca="1" si="95"/>
        <v/>
      </c>
      <c r="CI111" t="str">
        <f t="shared" si="96"/>
        <v/>
      </c>
      <c r="CJ111" t="str">
        <f t="shared" si="97"/>
        <v/>
      </c>
      <c r="CK111" t="str">
        <f t="shared" si="98"/>
        <v/>
      </c>
      <c r="CL111" t="str">
        <f t="shared" si="99"/>
        <v/>
      </c>
    </row>
    <row r="112" spans="1:90" x14ac:dyDescent="0.3">
      <c r="A112">
        <f>CAPTURA!A112</f>
        <v>20600720733</v>
      </c>
      <c r="B112">
        <f>CAPTURA!C112</f>
        <v>0</v>
      </c>
      <c r="C112" t="str">
        <f t="shared" si="75"/>
        <v/>
      </c>
      <c r="D112" t="str">
        <f>IF(AE112="","",IFERROR(IF(INDEX(CODIFICACION!$E$2:$E$500,MATCH("P8|"&amp;AE112,CODIFICACION!$F$2:$F$500,0))="sin dato","",INDEX(CODIFICACION!$E$2:$E$500,MATCH("P8|"&amp;AE112,CODIFICACION!$F$2:$F$500,0))),"⚠"))</f>
        <v/>
      </c>
      <c r="E112" t="str">
        <f>IF(AG112="","",IFERROR(IF(INDEX(CODIFICACION!$E$2:$E$500,MATCH("P10|"&amp;AG112,CODIFICACION!$F$2:$F$500,0))="sin dato","",INDEX(CODIFICACION!$E$2:$E$500,MATCH("P10|"&amp;AG112,CODIFICACION!$F$2:$F$500,0))),"⚠"))</f>
        <v/>
      </c>
      <c r="F112" t="str">
        <f>IF(AJ112="","",IFERROR(IF(INDEX(CODIFICACION!$E$2:$E$500,MATCH("P13|"&amp;AJ112,CODIFICACION!$F$2:$F$500,0))="sin dato","",INDEX(CODIFICACION!$E$2:$E$500,MATCH("P13|"&amp;AJ112,CODIFICACION!$F$2:$F$500,0))),"⚠"))</f>
        <v/>
      </c>
      <c r="G112" t="str">
        <f>IF(AK112="","",IFERROR(IF(INDEX(CODIFICACION!$E$2:$E$500,MATCH("P14|"&amp;AK112,CODIFICACION!$F$2:$F$500,0))="sin dato","",INDEX(CODIFICACION!$E$2:$E$500,MATCH("P14|"&amp;AK112,CODIFICACION!$F$2:$F$500,0))),"⚠"))</f>
        <v/>
      </c>
      <c r="H112" t="str">
        <f>IF(AL112="","",IFERROR(IF(INDEX(CODIFICACION!$E$2:$E$500,MATCH("D1.1|"&amp;AL112,CODIFICACION!$F$2:$F$500,0))="sin dato","",INDEX(CODIFICACION!$E$2:$E$500,MATCH("D1.1|"&amp;AL112,CODIFICACION!$F$2:$F$500,0))),"⚠"))</f>
        <v/>
      </c>
      <c r="I112" t="str">
        <f>IF(AN112="","",IFERROR(IF(INDEX(CODIFICACION!$E$2:$E$500,MATCH("D1.3|"&amp;AN112,CODIFICACION!$F$2:$F$500,0))="sin dato","",INDEX(CODIFICACION!$E$2:$E$500,MATCH("D1.3|"&amp;AN112,CODIFICACION!$F$2:$F$500,0))),"⚠"))</f>
        <v/>
      </c>
      <c r="J112" t="str">
        <f>IF(AO112="","",IFERROR(IF(INDEX(CODIFICACION!$E$2:$E$500,MATCH("D1.4|"&amp;AO112,CODIFICACION!$F$2:$F$500,0))="sin dato","",INDEX(CODIFICACION!$E$2:$E$500,MATCH("D1.4|"&amp;AO112,CODIFICACION!$F$2:$F$500,0))),"⚠"))</f>
        <v/>
      </c>
      <c r="K112" t="str">
        <f>IF(AP112="","",IFERROR(IF(INDEX(CODIFICACION!$E$2:$E$500,MATCH("D1.3a|"&amp;AP112,CODIFICACION!$F$2:$F$500,0))="sin dato","",INDEX(CODIFICACION!$E$2:$E$500,MATCH("D1.3a|"&amp;AP112,CODIFICACION!$F$2:$F$500,0))),"⚠"))</f>
        <v/>
      </c>
      <c r="L112" t="str">
        <f t="shared" si="76"/>
        <v/>
      </c>
      <c r="M112" t="str">
        <f t="shared" si="77"/>
        <v/>
      </c>
      <c r="N112" t="str">
        <f t="shared" si="78"/>
        <v/>
      </c>
      <c r="O112" t="str">
        <f>IF(AT112="","",IFERROR(IF(INDEX(CODIFICACION!$E$2:$E$500,MATCH("D2.8|"&amp;AT112,CODIFICACION!$F$2:$F$500,0))="sin dato","",INDEX(CODIFICACION!$E$2:$E$500,MATCH("D2.8|"&amp;AT112,CODIFICACION!$F$2:$F$500,0))),"⚠"))</f>
        <v/>
      </c>
      <c r="P112" t="str">
        <f>IF(AU112="","",IFERROR(IF(INDEX(CODIFICACION!$E$2:$E$500,MATCH("D2.9|"&amp;AU112,CODIFICACION!$F$2:$F$500,0))="sin dato","",INDEX(CODIFICACION!$E$2:$E$500,MATCH("D2.9|"&amp;AU112,CODIFICACION!$F$2:$F$500,0))),"⚠"))</f>
        <v/>
      </c>
      <c r="Q112" t="str">
        <f>IF(AV112="","",IFERROR(IF(INDEX(CODIFICACION!$E$2:$E$500,MATCH("D2.10|"&amp;AV112,CODIFICACION!$F$2:$F$500,0))="sin dato","",INDEX(CODIFICACION!$E$2:$E$500,MATCH("D2.10|"&amp;AV112,CODIFICACION!$F$2:$F$500,0))),"⚠"))</f>
        <v/>
      </c>
      <c r="R112" t="str">
        <f>IF(AW112="","",IFERROR(IF(INDEX(CODIFICACION!$E$2:$E$500,MATCH("D2.5a|"&amp;AW112,CODIFICACION!$F$2:$F$500,0))="sin dato","",INDEX(CODIFICACION!$E$2:$E$500,MATCH("D2.5a|"&amp;AW112,CODIFICACION!$F$2:$F$500,0))),"⚠"))</f>
        <v/>
      </c>
      <c r="S112" t="str">
        <f ca="1">IF(AX112="","",IFERROR(IF(INDEX(CODIFICACION!$E$2:$E$500,MATCH("D2.5b|"&amp;AX112,CODIFICACION!$F$2:$F$500,0))="sin dato","",INDEX(CODIFICACION!$E$2:$E$500,MATCH("D2.5b|"&amp;AX112,CODIFICACION!$F$2:$F$500,0))),"⚠"))</f>
        <v/>
      </c>
      <c r="T112" t="str">
        <f t="shared" ca="1" si="79"/>
        <v/>
      </c>
      <c r="U112" t="str">
        <f>IF(AZ112="","",IFERROR(IF(INDEX(CODIFICACION!$E$2:$E$500,MATCH("D3.12|"&amp;AZ112,CODIFICACION!$F$2:$F$500,0))="sin dato","",INDEX(CODIFICACION!$E$2:$E$500,MATCH("D3.12|"&amp;AZ112,CODIFICACION!$F$2:$F$500,0))),"⚠"))</f>
        <v/>
      </c>
      <c r="V112" t="str">
        <f t="shared" si="80"/>
        <v/>
      </c>
      <c r="W112" t="str">
        <f ca="1">IF(BB112="","",IFERROR(IF(INDEX(CODIFICACION!$E$2:$E$500,MATCH("D3.14|"&amp;BB112,CODIFICACION!$F$2:$F$500,0))="sin dato","",INDEX(CODIFICACION!$E$2:$E$500,MATCH("D3.14|"&amp;BB112,CODIFICACION!$F$2:$F$500,0))),"⚠"))</f>
        <v/>
      </c>
      <c r="X112" t="str">
        <f ca="1">IF(BC112="","",IFERROR(IF(INDEX(CODIFICACION!$E$2:$E$500,MATCH("D3.14a|"&amp;BC112,CODIFICACION!$F$2:$F$500,0))="sin dato","",INDEX(CODIFICACION!$E$2:$E$500,MATCH("D3.14a|"&amp;BC112,CODIFICACION!$F$2:$F$500,0))),"⚠"))</f>
        <v/>
      </c>
      <c r="Y112" t="str">
        <f>IF(BD112="","",IFERROR(IF(INDEX(CODIFICACION!$E$2:$E$500,MATCH("D3.14b|"&amp;BD112,CODIFICACION!$F$2:$F$500,0))="sin dato","",INDEX(CODIFICACION!$E$2:$E$500,MATCH("D3.14b|"&amp;BD112,CODIFICACION!$F$2:$F$500,0))),"⚠"))</f>
        <v/>
      </c>
      <c r="Z112" t="str">
        <f>IF(BE112="","",IFERROR(IF(INDEX(CODIFICACION!$E$2:$E$500,MATCH("D3.14c|"&amp;BE112,CODIFICACION!$F$2:$F$500,0))="sin dato","",INDEX(CODIFICACION!$E$2:$E$500,MATCH("D3.14c|"&amp;BE112,CODIFICACION!$F$2:$F$500,0))),"⚠"))</f>
        <v/>
      </c>
      <c r="AA112" t="str">
        <f>IF(BF112="","",IFERROR(IF(INDEX(CODIFICACION!$E$2:$E$500,MATCH("D3.14d|"&amp;BF112,CODIFICACION!$F$2:$F$500,0))="sin dato","",INDEX(CODIFICACION!$E$2:$E$500,MATCH("D3.14d|"&amp;BF112,CODIFICACION!$F$2:$F$500,0))),"⚠"))</f>
        <v/>
      </c>
      <c r="AB112" t="str">
        <f>IF(BG112="","",IFERROR(IF(INDEX(CODIFICACION!$E$2:$E$500,MATCH("D3.14e|"&amp;BG112,CODIFICACION!$F$2:$F$500,0))="sin dato","",INDEX(CODIFICACION!$E$2:$E$500,MATCH("D3.14e|"&amp;BG112,CODIFICACION!$F$2:$F$500,0))),"⚠"))</f>
        <v/>
      </c>
      <c r="AC112" t="str">
        <f>IF(BH112="","",IFERROR(IF(INDEX(CODIFICACION!$E$2:$E$500,MATCH("D3.14f|"&amp;BH112,CODIFICACION!$F$2:$F$500,0))="sin dato","",INDEX(CODIFICACION!$E$2:$E$500,MATCH("D3.14f|"&amp;BH112,CODIFICACION!$F$2:$F$500,0))),"⚠"))</f>
        <v/>
      </c>
      <c r="AD112" t="str">
        <f>IF(BI112="","",IFERROR(IF(INDEX(CODIFICACION!$E$2:$E$500,MATCH("D3.14g|"&amp;BI112,CODIFICACION!$F$2:$F$500,0))="sin dato","",INDEX(CODIFICACION!$E$2:$E$500,MATCH("D3.14g|"&amp;BI112,CODIFICACION!$F$2:$F$500,0))),"⚠"))</f>
        <v/>
      </c>
      <c r="AE112" t="str">
        <f>IF(BJ112="","",IFERROR(IF(INDEX(CODIFICACION!$E$2:$E$500,MATCH("D3.14h|"&amp;BJ112,CODIFICACION!$F$2:$F$500,0))="sin dato","",INDEX(CODIFICACION!$E$2:$E$500,MATCH("D3.14h|"&amp;BJ112,CODIFICACION!$F$2:$F$500,0))),"⚠"))</f>
        <v/>
      </c>
      <c r="AF112" t="str">
        <f>IF(BK112="","",IFERROR(IF(INDEX(CODIFICACION!$E$2:$E$500,MATCH("D3.14i|"&amp;BK112,CODIFICACION!$F$2:$F$500,0))="sin dato","",INDEX(CODIFICACION!$E$2:$E$500,MATCH("D3.14i|"&amp;BK112,CODIFICACION!$F$2:$F$500,0))),"⚠"))</f>
        <v/>
      </c>
      <c r="AG112" t="str">
        <f>IF(BL112="","",IFERROR(IF(INDEX(CODIFICACION!$E$2:$E$500,MATCH("D4.15|"&amp;BL112,CODIFICACION!$F$2:$F$500,0))="sin dato","",INDEX(CODIFICACION!$E$2:$E$500,MATCH("D4.15|"&amp;BL112,CODIFICACION!$F$2:$F$500,0))),"⚠"))</f>
        <v/>
      </c>
      <c r="AH112" t="str">
        <f t="shared" si="81"/>
        <v/>
      </c>
      <c r="AI112" t="str">
        <f>IF(BN112="","",IFERROR(IF(INDEX(CODIFICACION!$E$2:$E$500,MATCH("D4.17|"&amp;BN112,CODIFICACION!$F$2:$F$500,0))="sin dato","",INDEX(CODIFICACION!$E$2:$E$500,MATCH("D4.17|"&amp;BN112,CODIFICACION!$F$2:$F$500,0))),"⚠"))</f>
        <v/>
      </c>
      <c r="AJ112" t="str">
        <f>IF(BO112="","",IFERROR(IF(INDEX(CODIFICACION!$E$2:$E$500,MATCH("D4.15a|"&amp;BO112,CODIFICACION!$F$2:$F$500,0))="sin dato","",INDEX(CODIFICACION!$E$2:$E$500,MATCH("D4.15a|"&amp;BO112,CODIFICACION!$F$2:$F$500,0))),"⚠"))</f>
        <v/>
      </c>
      <c r="AK112" t="str">
        <f t="shared" si="82"/>
        <v/>
      </c>
      <c r="AL112" t="str">
        <f t="shared" si="83"/>
        <v/>
      </c>
      <c r="AM112" t="str">
        <f>IF(BR112="","",IFERROR(IF(INDEX(CODIFICACION!$E$2:$E$500,MATCH("D5.18b|"&amp;BR112,CODIFICACION!$F$2:$F$500,0))="sin dato","",INDEX(CODIFICACION!$E$2:$E$500,MATCH("D5.18b|"&amp;BR112,CODIFICACION!$F$2:$F$500,0))),"⚠"))</f>
        <v/>
      </c>
      <c r="AN112" t="str">
        <f>IF(BS112="","",IFERROR(IF(INDEX(CODIFICACION!$E$2:$E$500,MATCH("D5.19|"&amp;BS112,CODIFICACION!$F$2:$F$500,0))="sin dato","",INDEX(CODIFICACION!$E$2:$E$500,MATCH("D5.19|"&amp;BS112,CODIFICACION!$F$2:$F$500,0))),"⚠"))</f>
        <v/>
      </c>
      <c r="AO112" t="str">
        <f t="shared" si="84"/>
        <v/>
      </c>
      <c r="AP112" t="str">
        <f>IF(BU112="","",IFERROR(IF(INDEX(CODIFICACION!$E$2:$E$500,MATCH("D5.20|"&amp;BU112,CODIFICACION!$F$2:$F$500,0))="sin dato","",INDEX(CODIFICACION!$E$2:$E$500,MATCH("D5.20|"&amp;BU112,CODIFICACION!$F$2:$F$500,0))),"⚠"))</f>
        <v/>
      </c>
      <c r="AQ112" t="str">
        <f>IF(BV112="","",IFERROR(IF(INDEX(CODIFICACION!$E$2:$E$500,MATCH("D5.21|"&amp;BV112,CODIFICACION!$F$2:$F$500,0))="sin dato","",INDEX(CODIFICACION!$E$2:$E$500,MATCH("D5.21|"&amp;BV112,CODIFICACION!$F$2:$F$500,0))),"⚠"))</f>
        <v/>
      </c>
      <c r="AR112" t="str">
        <f>IF(BW112="","",IFERROR(IF(INDEX(CODIFICACION!$E$2:$E$500,MATCH("D5.21a|"&amp;BW112,CODIFICACION!$F$2:$F$500,0))="sin dato","",INDEX(CODIFICACION!$E$2:$E$500,MATCH("D5.21a|"&amp;BW112,CODIFICACION!$F$2:$F$500,0))),"⚠"))</f>
        <v/>
      </c>
      <c r="AS112" t="str">
        <f>IF(BX112="","",IFERROR(IF(INDEX(CODIFICACION!$E$2:$E$500,MATCH("D5.21b|"&amp;BX112,CODIFICACION!$F$2:$F$500,0))="sin dato","",INDEX(CODIFICACION!$E$2:$E$500,MATCH("D5.21b|"&amp;BX112,CODIFICACION!$F$2:$F$500,0))),"⚠"))</f>
        <v/>
      </c>
      <c r="AT112" t="str">
        <f>IF(BY112="","",IFERROR(IF(INDEX(CODIFICACION!$E$2:$E$500,MATCH("D6.22|"&amp;BY112,CODIFICACION!$F$2:$F$500,0))="sin dato","",INDEX(CODIFICACION!$E$2:$E$500,MATCH("D6.22|"&amp;BY112,CODIFICACION!$F$2:$F$500,0))),"⚠"))</f>
        <v/>
      </c>
      <c r="AU112" t="str">
        <f>IF(BZ112="","",IFERROR(IF(INDEX(CODIFICACION!$E$2:$E$500,MATCH("D6.22a|"&amp;BZ112,CODIFICACION!$F$2:$F$500,0))="sin dato","",INDEX(CODIFICACION!$E$2:$E$500,MATCH("D6.22a|"&amp;BZ112,CODIFICACION!$F$2:$F$500,0))),"⚠"))</f>
        <v/>
      </c>
      <c r="AV112" t="str">
        <f>IF(CA112="","",IFERROR(IF(INDEX(CODIFICACION!$E$2:$E$500,MATCH("D6.22b|"&amp;CA112,CODIFICACION!$F$2:$F$500,0))="sin dato","",INDEX(CODIFICACION!$E$2:$E$500,MATCH("D6.22b|"&amp;CA112,CODIFICACION!$F$2:$F$500,0))),"⚠"))</f>
        <v/>
      </c>
      <c r="AW112" t="str">
        <f>IF(CB112="","",IFERROR(IF(INDEX(CODIFICACION!$E$2:$E$500,MATCH("D6.23|"&amp;CB112,CODIFICACION!$F$2:$F$500,0))="sin dato","",INDEX(CODIFICACION!$E$2:$E$500,MATCH("D6.23|"&amp;CB112,CODIFICACION!$F$2:$F$500,0))),"⚠"))</f>
        <v/>
      </c>
      <c r="AX112" t="str">
        <f ca="1">IF(CC112="","",IFERROR(IF(INDEX(CODIFICACION!$E$2:$E$500,MATCH("D6.24|"&amp;CC112,CODIFICACION!$F$2:$F$500,0))="sin dato","",INDEX(CODIFICACION!$E$2:$E$500,MATCH("D6.24|"&amp;CC112,CODIFICACION!$F$2:$F$500,0))),"⚠"))</f>
        <v/>
      </c>
      <c r="AY112" t="str">
        <f ca="1">IF(CD112="","",IFERROR(IF(INDEX(CODIFICACION!$E$2:$E$500,MATCH("D6.25|"&amp;CD112,CODIFICACION!$F$2:$F$500,0))="sin dato","",INDEX(CODIFICACION!$E$2:$E$500,MATCH("D6.25|"&amp;CD112,CODIFICACION!$F$2:$F$500,0))),"⚠"))</f>
        <v/>
      </c>
      <c r="AZ112" t="str">
        <f>IF(CE112="","",IFERROR(IF(INDEX(CODIFICACION!$E$2:$E$500,MATCH("D6.25a|"&amp;CE112,CODIFICACION!$F$2:$F$500,0))="sin dato","",INDEX(CODIFICACION!$E$2:$E$500,MATCH("D6.25a|"&amp;CE112,CODIFICACION!$F$2:$F$500,0))),"⚠"))</f>
        <v/>
      </c>
      <c r="BA112" t="str">
        <f>IF(CF112="","",IFERROR(IF(INDEX(CODIFICACION!$E$2:$E$500,MATCH("D6.25b|"&amp;CF112,CODIFICACION!$F$2:$F$500,0))="sin dato","",INDEX(CODIFICACION!$E$2:$E$500,MATCH("D6.25b|"&amp;CF112,CODIFICACION!$F$2:$F$500,0))),"⚠"))</f>
        <v/>
      </c>
      <c r="BB112" t="str">
        <f ca="1">IF(CG112="","",IFERROR(IF(INDEX(CODIFICACION!$E$2:$E$500,MATCH("D6.22c|"&amp;CG112,CODIFICACION!$F$2:$F$500,0))="sin dato","",INDEX(CODIFICACION!$E$2:$E$500,MATCH("D6.22c|"&amp;CG112,CODIFICACION!$F$2:$F$500,0))),"⚠"))</f>
        <v/>
      </c>
      <c r="BC112" t="str">
        <f ca="1">IF(CH112="","",IFERROR(IF(INDEX(CODIFICACION!$E$2:$E$500,MATCH("D7.26|"&amp;CH112,CODIFICACION!$F$2:$F$500,0))="sin dato","",INDEX(CODIFICACION!$E$2:$E$500,MATCH("D7.26|"&amp;CH112,CODIFICACION!$F$2:$F$500,0))),"⚠"))</f>
        <v/>
      </c>
      <c r="BD112" t="str">
        <f>IF(CI112="","",IFERROR(IF(INDEX(CODIFICACION!$E$2:$E$500,MATCH("D7.27|"&amp;CI112,CODIFICACION!$F$2:$F$500,0))="sin dato","",INDEX(CODIFICACION!$E$2:$E$500,MATCH("D7.27|"&amp;CI112,CODIFICACION!$F$2:$F$500,0))),"⚠"))</f>
        <v/>
      </c>
      <c r="BE112" t="str">
        <f>IF(CJ112="","",IFERROR(IF(INDEX(CODIFICACION!$E$2:$E$500,MATCH("D7.28|"&amp;CJ112,CODIFICACION!$F$2:$F$500,0))="sin dato","",INDEX(CODIFICACION!$E$2:$E$500,MATCH("D7.28|"&amp;CJ112,CODIFICACION!$F$2:$F$500,0))),"⚠"))</f>
        <v/>
      </c>
      <c r="BF112" t="str">
        <f>IF(CK112="","",IFERROR(IF(INDEX(CODIFICACION!$E$2:$E$500,MATCH("D7.28b|"&amp;CK112,CODIFICACION!$F$2:$F$500,0))="sin dato","",INDEX(CODIFICACION!$E$2:$E$500,MATCH("D7.28b|"&amp;CK112,CODIFICACION!$F$2:$F$500,0))),"⚠"))</f>
        <v/>
      </c>
      <c r="BG112" t="str">
        <f t="shared" si="85"/>
        <v/>
      </c>
      <c r="BH112" t="str">
        <f>IF(CM112="","",IFERROR(IF(INDEX(CODIFICACION!$E$2:$E$500,MATCH("D7.26a|"&amp;CM112,CODIFICACION!$F$2:$F$500,0))="sin dato","",INDEX(CODIFICACION!$E$2:$E$500,MATCH("D7.26a|"&amp;CM112,CODIFICACION!$F$2:$F$500,0))),"⚠"))</f>
        <v/>
      </c>
      <c r="BI112" t="str">
        <f>IF(CN112="","",IFERROR(IF(INDEX(CODIFICACION!$E$2:$E$500,MATCH("D7.26b|"&amp;CN112,CODIFICACION!$F$2:$F$500,0))="sin dato","",INDEX(CODIFICACION!$E$2:$E$500,MATCH("D7.26b|"&amp;CN112,CODIFICACION!$F$2:$F$500,0))),"⚠"))</f>
        <v/>
      </c>
      <c r="BJ112" t="str">
        <f t="shared" si="86"/>
        <v/>
      </c>
      <c r="BK112" t="str">
        <f t="shared" si="87"/>
        <v/>
      </c>
      <c r="BL112" t="str">
        <f>IF(CQ112="","",IFERROR(IF(INDEX(CODIFICACION!$E$2:$E$500,MATCH("D8.31|"&amp;CQ112,CODIFICACION!$F$2:$F$500,0))="sin dato","",INDEX(CODIFICACION!$E$2:$E$500,MATCH("D8.31|"&amp;CQ112,CODIFICACION!$F$2:$F$500,0))),"⚠"))</f>
        <v/>
      </c>
      <c r="BM112" t="str">
        <f>IF(CR112="","",IFERROR(IF(INDEX(CODIFICACION!$E$2:$E$500,MATCH("D8.32|"&amp;CR112,CODIFICACION!$F$2:$F$500,0))="sin dato","",INDEX(CODIFICACION!$E$2:$E$500,MATCH("D8.32|"&amp;CR112,CODIFICACION!$F$2:$F$500,0))),"⚠"))</f>
        <v/>
      </c>
      <c r="BN112" t="str">
        <f>IF(CS112="","",IFERROR(IF(INDEX(CODIFICACION!$E$2:$E$500,MATCH("D9.33|"&amp;CS112,CODIFICACION!$F$2:$F$500,0))="sin dato","",INDEX(CODIFICACION!$E$2:$E$500,MATCH("D9.33|"&amp;CS112,CODIFICACION!$F$2:$F$500,0))),"⚠"))</f>
        <v/>
      </c>
      <c r="BO112" t="str">
        <f>IF(CT112="","",IFERROR(IF(INDEX(CODIFICACION!$E$2:$E$500,MATCH("D9.34|"&amp;CT112,CODIFICACION!$F$2:$F$500,0))="sin dato","",INDEX(CODIFICACION!$E$2:$E$500,MATCH("D9.34|"&amp;CT112,CODIFICACION!$F$2:$F$500,0))),"⚠"))</f>
        <v/>
      </c>
      <c r="BP112" t="str">
        <f>IF(CU112="","",IFERROR(IF(INDEX(CODIFICACION!$E$2:$E$500,MATCH("D9.35|"&amp;CU112,CODIFICACION!$F$2:$F$500,0))="sin dato","",INDEX(CODIFICACION!$E$2:$E$500,MATCH("D9.35|"&amp;CU112,CODIFICACION!$F$2:$F$500,0))),"⚠"))</f>
        <v/>
      </c>
      <c r="BQ112" t="str">
        <f>IF(CV112="","",IFERROR(IF(INDEX(CODIFICACION!$E$2:$E$500,MATCH("D10.36|"&amp;CV112,CODIFICACION!$F$2:$F$500,0))="sin dato","",INDEX(CODIFICACION!$E$2:$E$500,MATCH("D10.36|"&amp;CV112,CODIFICACION!$F$2:$F$500,0))),"⚠"))</f>
        <v/>
      </c>
      <c r="BR112" t="str">
        <f>IF(CW112="","",IFERROR(IF(INDEX(CODIFICACION!$E$2:$E$500,MATCH("D10.37|"&amp;CW112,CODIFICACION!$F$2:$F$500,0))="sin dato","",INDEX(CODIFICACION!$E$2:$E$500,MATCH("D10.37|"&amp;CW112,CODIFICACION!$F$2:$F$500,0))),"⚠"))</f>
        <v/>
      </c>
      <c r="BS112" t="str">
        <f>IF(CX112="","",IFERROR(IF(INDEX(CODIFICACION!$E$2:$E$500,MATCH("D10.36a|"&amp;CX112,CODIFICACION!$F$2:$F$500,0))="sin dato","",INDEX(CODIFICACION!$E$2:$E$500,MATCH("D10.36a|"&amp;CX112,CODIFICACION!$F$2:$F$500,0))),"⚠"))</f>
        <v/>
      </c>
      <c r="BT112" t="str">
        <f t="shared" si="88"/>
        <v/>
      </c>
      <c r="BU112" t="str">
        <f>IF(DA112="","",IFERROR(IF(INDEX(CODIFICACION!$E$2:$E$500,MATCH("D11.39a|"&amp;DA112,CODIFICACION!$F$2:$F$500,0))="sin dato","",INDEX(CODIFICACION!$E$2:$E$500,MATCH("D11.39a|"&amp;DA112,CODIFICACION!$F$2:$F$500,0))),"⚠"))</f>
        <v/>
      </c>
      <c r="BV112" t="str">
        <f>IF(DB112="","",IFERROR(IF(INDEX(CODIFICACION!$E$2:$E$500,MATCH("D12.42|"&amp;DB112,CODIFICACION!$F$2:$F$500,0))="sin dato","",INDEX(CODIFICACION!$E$2:$E$500,MATCH("D12.42|"&amp;DB112,CODIFICACION!$F$2:$F$500,0))),"⚠"))</f>
        <v/>
      </c>
      <c r="BW112" t="str">
        <f>IF(DC112="","",IFERROR(IF(INDEX(CODIFICACION!$E$2:$E$500,MATCH("D13.45|"&amp;DC112,CODIFICACION!$F$2:$F$500,0))="sin dato","",INDEX(CODIFICACION!$E$2:$E$500,MATCH("D13.45|"&amp;DC112,CODIFICACION!$F$2:$F$500,0))),"⚠"))</f>
        <v/>
      </c>
      <c r="BX112" t="str">
        <f>IF(DD112="","",IFERROR(IF(INDEX(CODIFICACION!$E$2:$E$500,MATCH("D14.51|"&amp;DD112,CODIFICACION!$F$2:$F$500,0))="sin dato","",INDEX(CODIFICACION!$E$2:$E$500,MATCH("D14.51|"&amp;DD112,CODIFICACION!$F$2:$F$500,0))),"⚠"))</f>
        <v/>
      </c>
      <c r="BY112" t="str">
        <f>IF(DE112="","",IFERROR(IF(INDEX(CODIFICACION!$E$2:$E$500,MATCH("D15.58|"&amp;DE112,CODIFICACION!$F$2:$F$500,0))="sin dato","",INDEX(CODIFICACION!$E$2:$E$500,MATCH("D15.58|"&amp;DE112,CODIFICACION!$F$2:$F$500,0))),"⚠"))</f>
        <v/>
      </c>
      <c r="BZ112" t="str">
        <f>IF(DF112="","",IFERROR(IF(INDEX(CODIFICACION!$E$2:$E$500,MATCH("PP1|"&amp;DF112,CODIFICACION!$F$2:$F$500,0))="sin dato","",INDEX(CODIFICACION!$E$2:$E$500,MATCH("PP1|"&amp;DF112,CODIFICACION!$F$2:$F$500,0))),"⚠"))</f>
        <v/>
      </c>
      <c r="CA112" t="str">
        <f>IF(DG112="","",IFERROR(IF(INDEX(CODIFICACION!$E$2:$E$500,MATCH("PP2|"&amp;DG112,CODIFICACION!$F$2:$F$500,0))="sin dato","",INDEX(CODIFICACION!$E$2:$E$500,MATCH("PP2|"&amp;DG112,CODIFICACION!$F$2:$F$500,0))),"⚠"))</f>
        <v/>
      </c>
      <c r="CB112" t="str">
        <f t="shared" si="89"/>
        <v/>
      </c>
      <c r="CC112" t="str">
        <f t="shared" ca="1" si="90"/>
        <v/>
      </c>
      <c r="CD112" t="str">
        <f t="shared" ca="1" si="91"/>
        <v/>
      </c>
      <c r="CE112" t="str">
        <f t="shared" si="92"/>
        <v/>
      </c>
      <c r="CF112" t="str">
        <f t="shared" si="93"/>
        <v/>
      </c>
      <c r="CG112" t="str">
        <f t="shared" ca="1" si="94"/>
        <v/>
      </c>
      <c r="CH112" t="str">
        <f t="shared" ca="1" si="95"/>
        <v/>
      </c>
      <c r="CI112" t="str">
        <f t="shared" si="96"/>
        <v/>
      </c>
      <c r="CJ112" t="str">
        <f t="shared" si="97"/>
        <v/>
      </c>
      <c r="CK112" t="str">
        <f t="shared" si="98"/>
        <v/>
      </c>
      <c r="CL112" t="str">
        <f t="shared" si="99"/>
        <v/>
      </c>
    </row>
    <row r="113" spans="1:90" x14ac:dyDescent="0.3">
      <c r="A113">
        <f>CAPTURA!A113</f>
        <v>20600785541</v>
      </c>
      <c r="B113">
        <f>CAPTURA!C113</f>
        <v>0</v>
      </c>
      <c r="C113" t="str">
        <f t="shared" si="75"/>
        <v/>
      </c>
      <c r="D113" t="str">
        <f>IF(AE113="","",IFERROR(IF(INDEX(CODIFICACION!$E$2:$E$500,MATCH("P8|"&amp;AE113,CODIFICACION!$F$2:$F$500,0))="sin dato","",INDEX(CODIFICACION!$E$2:$E$500,MATCH("P8|"&amp;AE113,CODIFICACION!$F$2:$F$500,0))),"⚠"))</f>
        <v/>
      </c>
      <c r="E113" t="str">
        <f>IF(AG113="","",IFERROR(IF(INDEX(CODIFICACION!$E$2:$E$500,MATCH("P10|"&amp;AG113,CODIFICACION!$F$2:$F$500,0))="sin dato","",INDEX(CODIFICACION!$E$2:$E$500,MATCH("P10|"&amp;AG113,CODIFICACION!$F$2:$F$500,0))),"⚠"))</f>
        <v/>
      </c>
      <c r="F113" t="str">
        <f>IF(AJ113="","",IFERROR(IF(INDEX(CODIFICACION!$E$2:$E$500,MATCH("P13|"&amp;AJ113,CODIFICACION!$F$2:$F$500,0))="sin dato","",INDEX(CODIFICACION!$E$2:$E$500,MATCH("P13|"&amp;AJ113,CODIFICACION!$F$2:$F$500,0))),"⚠"))</f>
        <v/>
      </c>
      <c r="G113" t="str">
        <f>IF(AK113="","",IFERROR(IF(INDEX(CODIFICACION!$E$2:$E$500,MATCH("P14|"&amp;AK113,CODIFICACION!$F$2:$F$500,0))="sin dato","",INDEX(CODIFICACION!$E$2:$E$500,MATCH("P14|"&amp;AK113,CODIFICACION!$F$2:$F$500,0))),"⚠"))</f>
        <v/>
      </c>
      <c r="H113" t="str">
        <f>IF(AL113="","",IFERROR(IF(INDEX(CODIFICACION!$E$2:$E$500,MATCH("D1.1|"&amp;AL113,CODIFICACION!$F$2:$F$500,0))="sin dato","",INDEX(CODIFICACION!$E$2:$E$500,MATCH("D1.1|"&amp;AL113,CODIFICACION!$F$2:$F$500,0))),"⚠"))</f>
        <v/>
      </c>
      <c r="I113" t="str">
        <f>IF(AN113="","",IFERROR(IF(INDEX(CODIFICACION!$E$2:$E$500,MATCH("D1.3|"&amp;AN113,CODIFICACION!$F$2:$F$500,0))="sin dato","",INDEX(CODIFICACION!$E$2:$E$500,MATCH("D1.3|"&amp;AN113,CODIFICACION!$F$2:$F$500,0))),"⚠"))</f>
        <v/>
      </c>
      <c r="J113" t="str">
        <f>IF(AO113="","",IFERROR(IF(INDEX(CODIFICACION!$E$2:$E$500,MATCH("D1.4|"&amp;AO113,CODIFICACION!$F$2:$F$500,0))="sin dato","",INDEX(CODIFICACION!$E$2:$E$500,MATCH("D1.4|"&amp;AO113,CODIFICACION!$F$2:$F$500,0))),"⚠"))</f>
        <v/>
      </c>
      <c r="K113" t="str">
        <f>IF(AP113="","",IFERROR(IF(INDEX(CODIFICACION!$E$2:$E$500,MATCH("D1.3a|"&amp;AP113,CODIFICACION!$F$2:$F$500,0))="sin dato","",INDEX(CODIFICACION!$E$2:$E$500,MATCH("D1.3a|"&amp;AP113,CODIFICACION!$F$2:$F$500,0))),"⚠"))</f>
        <v/>
      </c>
      <c r="L113" t="str">
        <f t="shared" si="76"/>
        <v/>
      </c>
      <c r="M113" t="str">
        <f t="shared" si="77"/>
        <v/>
      </c>
      <c r="N113" t="str">
        <f t="shared" si="78"/>
        <v/>
      </c>
      <c r="O113" t="str">
        <f>IF(AT113="","",IFERROR(IF(INDEX(CODIFICACION!$E$2:$E$500,MATCH("D2.8|"&amp;AT113,CODIFICACION!$F$2:$F$500,0))="sin dato","",INDEX(CODIFICACION!$E$2:$E$500,MATCH("D2.8|"&amp;AT113,CODIFICACION!$F$2:$F$500,0))),"⚠"))</f>
        <v/>
      </c>
      <c r="P113" t="str">
        <f>IF(AU113="","",IFERROR(IF(INDEX(CODIFICACION!$E$2:$E$500,MATCH("D2.9|"&amp;AU113,CODIFICACION!$F$2:$F$500,0))="sin dato","",INDEX(CODIFICACION!$E$2:$E$500,MATCH("D2.9|"&amp;AU113,CODIFICACION!$F$2:$F$500,0))),"⚠"))</f>
        <v/>
      </c>
      <c r="Q113" t="str">
        <f>IF(AV113="","",IFERROR(IF(INDEX(CODIFICACION!$E$2:$E$500,MATCH("D2.10|"&amp;AV113,CODIFICACION!$F$2:$F$500,0))="sin dato","",INDEX(CODIFICACION!$E$2:$E$500,MATCH("D2.10|"&amp;AV113,CODIFICACION!$F$2:$F$500,0))),"⚠"))</f>
        <v/>
      </c>
      <c r="R113" t="str">
        <f>IF(AW113="","",IFERROR(IF(INDEX(CODIFICACION!$E$2:$E$500,MATCH("D2.5a|"&amp;AW113,CODIFICACION!$F$2:$F$500,0))="sin dato","",INDEX(CODIFICACION!$E$2:$E$500,MATCH("D2.5a|"&amp;AW113,CODIFICACION!$F$2:$F$500,0))),"⚠"))</f>
        <v/>
      </c>
      <c r="S113" t="str">
        <f ca="1">IF(AX113="","",IFERROR(IF(INDEX(CODIFICACION!$E$2:$E$500,MATCH("D2.5b|"&amp;AX113,CODIFICACION!$F$2:$F$500,0))="sin dato","",INDEX(CODIFICACION!$E$2:$E$500,MATCH("D2.5b|"&amp;AX113,CODIFICACION!$F$2:$F$500,0))),"⚠"))</f>
        <v/>
      </c>
      <c r="T113" t="str">
        <f t="shared" ca="1" si="79"/>
        <v/>
      </c>
      <c r="U113" t="str">
        <f>IF(AZ113="","",IFERROR(IF(INDEX(CODIFICACION!$E$2:$E$500,MATCH("D3.12|"&amp;AZ113,CODIFICACION!$F$2:$F$500,0))="sin dato","",INDEX(CODIFICACION!$E$2:$E$500,MATCH("D3.12|"&amp;AZ113,CODIFICACION!$F$2:$F$500,0))),"⚠"))</f>
        <v/>
      </c>
      <c r="V113" t="str">
        <f t="shared" si="80"/>
        <v/>
      </c>
      <c r="W113" t="str">
        <f ca="1">IF(BB113="","",IFERROR(IF(INDEX(CODIFICACION!$E$2:$E$500,MATCH("D3.14|"&amp;BB113,CODIFICACION!$F$2:$F$500,0))="sin dato","",INDEX(CODIFICACION!$E$2:$E$500,MATCH("D3.14|"&amp;BB113,CODIFICACION!$F$2:$F$500,0))),"⚠"))</f>
        <v/>
      </c>
      <c r="X113" t="str">
        <f ca="1">IF(BC113="","",IFERROR(IF(INDEX(CODIFICACION!$E$2:$E$500,MATCH("D3.14a|"&amp;BC113,CODIFICACION!$F$2:$F$500,0))="sin dato","",INDEX(CODIFICACION!$E$2:$E$500,MATCH("D3.14a|"&amp;BC113,CODIFICACION!$F$2:$F$500,0))),"⚠"))</f>
        <v/>
      </c>
      <c r="Y113" t="str">
        <f>IF(BD113="","",IFERROR(IF(INDEX(CODIFICACION!$E$2:$E$500,MATCH("D3.14b|"&amp;BD113,CODIFICACION!$F$2:$F$500,0))="sin dato","",INDEX(CODIFICACION!$E$2:$E$500,MATCH("D3.14b|"&amp;BD113,CODIFICACION!$F$2:$F$500,0))),"⚠"))</f>
        <v/>
      </c>
      <c r="Z113" t="str">
        <f>IF(BE113="","",IFERROR(IF(INDEX(CODIFICACION!$E$2:$E$500,MATCH("D3.14c|"&amp;BE113,CODIFICACION!$F$2:$F$500,0))="sin dato","",INDEX(CODIFICACION!$E$2:$E$500,MATCH("D3.14c|"&amp;BE113,CODIFICACION!$F$2:$F$500,0))),"⚠"))</f>
        <v/>
      </c>
      <c r="AA113" t="str">
        <f>IF(BF113="","",IFERROR(IF(INDEX(CODIFICACION!$E$2:$E$500,MATCH("D3.14d|"&amp;BF113,CODIFICACION!$F$2:$F$500,0))="sin dato","",INDEX(CODIFICACION!$E$2:$E$500,MATCH("D3.14d|"&amp;BF113,CODIFICACION!$F$2:$F$500,0))),"⚠"))</f>
        <v/>
      </c>
      <c r="AB113" t="str">
        <f>IF(BG113="","",IFERROR(IF(INDEX(CODIFICACION!$E$2:$E$500,MATCH("D3.14e|"&amp;BG113,CODIFICACION!$F$2:$F$500,0))="sin dato","",INDEX(CODIFICACION!$E$2:$E$500,MATCH("D3.14e|"&amp;BG113,CODIFICACION!$F$2:$F$500,0))),"⚠"))</f>
        <v/>
      </c>
      <c r="AC113" t="str">
        <f>IF(BH113="","",IFERROR(IF(INDEX(CODIFICACION!$E$2:$E$500,MATCH("D3.14f|"&amp;BH113,CODIFICACION!$F$2:$F$500,0))="sin dato","",INDEX(CODIFICACION!$E$2:$E$500,MATCH("D3.14f|"&amp;BH113,CODIFICACION!$F$2:$F$500,0))),"⚠"))</f>
        <v/>
      </c>
      <c r="AD113" t="str">
        <f>IF(BI113="","",IFERROR(IF(INDEX(CODIFICACION!$E$2:$E$500,MATCH("D3.14g|"&amp;BI113,CODIFICACION!$F$2:$F$500,0))="sin dato","",INDEX(CODIFICACION!$E$2:$E$500,MATCH("D3.14g|"&amp;BI113,CODIFICACION!$F$2:$F$500,0))),"⚠"))</f>
        <v/>
      </c>
      <c r="AE113" t="str">
        <f>IF(BJ113="","",IFERROR(IF(INDEX(CODIFICACION!$E$2:$E$500,MATCH("D3.14h|"&amp;BJ113,CODIFICACION!$F$2:$F$500,0))="sin dato","",INDEX(CODIFICACION!$E$2:$E$500,MATCH("D3.14h|"&amp;BJ113,CODIFICACION!$F$2:$F$500,0))),"⚠"))</f>
        <v/>
      </c>
      <c r="AF113" t="str">
        <f>IF(BK113="","",IFERROR(IF(INDEX(CODIFICACION!$E$2:$E$500,MATCH("D3.14i|"&amp;BK113,CODIFICACION!$F$2:$F$500,0))="sin dato","",INDEX(CODIFICACION!$E$2:$E$500,MATCH("D3.14i|"&amp;BK113,CODIFICACION!$F$2:$F$500,0))),"⚠"))</f>
        <v/>
      </c>
      <c r="AG113" t="str">
        <f>IF(BL113="","",IFERROR(IF(INDEX(CODIFICACION!$E$2:$E$500,MATCH("D4.15|"&amp;BL113,CODIFICACION!$F$2:$F$500,0))="sin dato","",INDEX(CODIFICACION!$E$2:$E$500,MATCH("D4.15|"&amp;BL113,CODIFICACION!$F$2:$F$500,0))),"⚠"))</f>
        <v/>
      </c>
      <c r="AH113" t="str">
        <f t="shared" si="81"/>
        <v/>
      </c>
      <c r="AI113" t="str">
        <f>IF(BN113="","",IFERROR(IF(INDEX(CODIFICACION!$E$2:$E$500,MATCH("D4.17|"&amp;BN113,CODIFICACION!$F$2:$F$500,0))="sin dato","",INDEX(CODIFICACION!$E$2:$E$500,MATCH("D4.17|"&amp;BN113,CODIFICACION!$F$2:$F$500,0))),"⚠"))</f>
        <v/>
      </c>
      <c r="AJ113" t="str">
        <f>IF(BO113="","",IFERROR(IF(INDEX(CODIFICACION!$E$2:$E$500,MATCH("D4.15a|"&amp;BO113,CODIFICACION!$F$2:$F$500,0))="sin dato","",INDEX(CODIFICACION!$E$2:$E$500,MATCH("D4.15a|"&amp;BO113,CODIFICACION!$F$2:$F$500,0))),"⚠"))</f>
        <v/>
      </c>
      <c r="AK113" t="str">
        <f t="shared" si="82"/>
        <v/>
      </c>
      <c r="AL113" t="str">
        <f t="shared" si="83"/>
        <v/>
      </c>
      <c r="AM113" t="str">
        <f>IF(BR113="","",IFERROR(IF(INDEX(CODIFICACION!$E$2:$E$500,MATCH("D5.18b|"&amp;BR113,CODIFICACION!$F$2:$F$500,0))="sin dato","",INDEX(CODIFICACION!$E$2:$E$500,MATCH("D5.18b|"&amp;BR113,CODIFICACION!$F$2:$F$500,0))),"⚠"))</f>
        <v/>
      </c>
      <c r="AN113" t="str">
        <f>IF(BS113="","",IFERROR(IF(INDEX(CODIFICACION!$E$2:$E$500,MATCH("D5.19|"&amp;BS113,CODIFICACION!$F$2:$F$500,0))="sin dato","",INDEX(CODIFICACION!$E$2:$E$500,MATCH("D5.19|"&amp;BS113,CODIFICACION!$F$2:$F$500,0))),"⚠"))</f>
        <v/>
      </c>
      <c r="AO113" t="str">
        <f t="shared" si="84"/>
        <v/>
      </c>
      <c r="AP113" t="str">
        <f>IF(BU113="","",IFERROR(IF(INDEX(CODIFICACION!$E$2:$E$500,MATCH("D5.20|"&amp;BU113,CODIFICACION!$F$2:$F$500,0))="sin dato","",INDEX(CODIFICACION!$E$2:$E$500,MATCH("D5.20|"&amp;BU113,CODIFICACION!$F$2:$F$500,0))),"⚠"))</f>
        <v/>
      </c>
      <c r="AQ113" t="str">
        <f>IF(BV113="","",IFERROR(IF(INDEX(CODIFICACION!$E$2:$E$500,MATCH("D5.21|"&amp;BV113,CODIFICACION!$F$2:$F$500,0))="sin dato","",INDEX(CODIFICACION!$E$2:$E$500,MATCH("D5.21|"&amp;BV113,CODIFICACION!$F$2:$F$500,0))),"⚠"))</f>
        <v/>
      </c>
      <c r="AR113" t="str">
        <f>IF(BW113="","",IFERROR(IF(INDEX(CODIFICACION!$E$2:$E$500,MATCH("D5.21a|"&amp;BW113,CODIFICACION!$F$2:$F$500,0))="sin dato","",INDEX(CODIFICACION!$E$2:$E$500,MATCH("D5.21a|"&amp;BW113,CODIFICACION!$F$2:$F$500,0))),"⚠"))</f>
        <v/>
      </c>
      <c r="AS113" t="str">
        <f>IF(BX113="","",IFERROR(IF(INDEX(CODIFICACION!$E$2:$E$500,MATCH("D5.21b|"&amp;BX113,CODIFICACION!$F$2:$F$500,0))="sin dato","",INDEX(CODIFICACION!$E$2:$E$500,MATCH("D5.21b|"&amp;BX113,CODIFICACION!$F$2:$F$500,0))),"⚠"))</f>
        <v/>
      </c>
      <c r="AT113" t="str">
        <f>IF(BY113="","",IFERROR(IF(INDEX(CODIFICACION!$E$2:$E$500,MATCH("D6.22|"&amp;BY113,CODIFICACION!$F$2:$F$500,0))="sin dato","",INDEX(CODIFICACION!$E$2:$E$500,MATCH("D6.22|"&amp;BY113,CODIFICACION!$F$2:$F$500,0))),"⚠"))</f>
        <v/>
      </c>
      <c r="AU113" t="str">
        <f>IF(BZ113="","",IFERROR(IF(INDEX(CODIFICACION!$E$2:$E$500,MATCH("D6.22a|"&amp;BZ113,CODIFICACION!$F$2:$F$500,0))="sin dato","",INDEX(CODIFICACION!$E$2:$E$500,MATCH("D6.22a|"&amp;BZ113,CODIFICACION!$F$2:$F$500,0))),"⚠"))</f>
        <v/>
      </c>
      <c r="AV113" t="str">
        <f>IF(CA113="","",IFERROR(IF(INDEX(CODIFICACION!$E$2:$E$500,MATCH("D6.22b|"&amp;CA113,CODIFICACION!$F$2:$F$500,0))="sin dato","",INDEX(CODIFICACION!$E$2:$E$500,MATCH("D6.22b|"&amp;CA113,CODIFICACION!$F$2:$F$500,0))),"⚠"))</f>
        <v/>
      </c>
      <c r="AW113" t="str">
        <f>IF(CB113="","",IFERROR(IF(INDEX(CODIFICACION!$E$2:$E$500,MATCH("D6.23|"&amp;CB113,CODIFICACION!$F$2:$F$500,0))="sin dato","",INDEX(CODIFICACION!$E$2:$E$500,MATCH("D6.23|"&amp;CB113,CODIFICACION!$F$2:$F$500,0))),"⚠"))</f>
        <v/>
      </c>
      <c r="AX113" t="str">
        <f ca="1">IF(CC113="","",IFERROR(IF(INDEX(CODIFICACION!$E$2:$E$500,MATCH("D6.24|"&amp;CC113,CODIFICACION!$F$2:$F$500,0))="sin dato","",INDEX(CODIFICACION!$E$2:$E$500,MATCH("D6.24|"&amp;CC113,CODIFICACION!$F$2:$F$500,0))),"⚠"))</f>
        <v/>
      </c>
      <c r="AY113" t="str">
        <f ca="1">IF(CD113="","",IFERROR(IF(INDEX(CODIFICACION!$E$2:$E$500,MATCH("D6.25|"&amp;CD113,CODIFICACION!$F$2:$F$500,0))="sin dato","",INDEX(CODIFICACION!$E$2:$E$500,MATCH("D6.25|"&amp;CD113,CODIFICACION!$F$2:$F$500,0))),"⚠"))</f>
        <v/>
      </c>
      <c r="AZ113" t="str">
        <f>IF(CE113="","",IFERROR(IF(INDEX(CODIFICACION!$E$2:$E$500,MATCH("D6.25a|"&amp;CE113,CODIFICACION!$F$2:$F$500,0))="sin dato","",INDEX(CODIFICACION!$E$2:$E$500,MATCH("D6.25a|"&amp;CE113,CODIFICACION!$F$2:$F$500,0))),"⚠"))</f>
        <v/>
      </c>
      <c r="BA113" t="str">
        <f>IF(CF113="","",IFERROR(IF(INDEX(CODIFICACION!$E$2:$E$500,MATCH("D6.25b|"&amp;CF113,CODIFICACION!$F$2:$F$500,0))="sin dato","",INDEX(CODIFICACION!$E$2:$E$500,MATCH("D6.25b|"&amp;CF113,CODIFICACION!$F$2:$F$500,0))),"⚠"))</f>
        <v/>
      </c>
      <c r="BB113" t="str">
        <f ca="1">IF(CG113="","",IFERROR(IF(INDEX(CODIFICACION!$E$2:$E$500,MATCH("D6.22c|"&amp;CG113,CODIFICACION!$F$2:$F$500,0))="sin dato","",INDEX(CODIFICACION!$E$2:$E$500,MATCH("D6.22c|"&amp;CG113,CODIFICACION!$F$2:$F$500,0))),"⚠"))</f>
        <v/>
      </c>
      <c r="BC113" t="str">
        <f ca="1">IF(CH113="","",IFERROR(IF(INDEX(CODIFICACION!$E$2:$E$500,MATCH("D7.26|"&amp;CH113,CODIFICACION!$F$2:$F$500,0))="sin dato","",INDEX(CODIFICACION!$E$2:$E$500,MATCH("D7.26|"&amp;CH113,CODIFICACION!$F$2:$F$500,0))),"⚠"))</f>
        <v/>
      </c>
      <c r="BD113" t="str">
        <f>IF(CI113="","",IFERROR(IF(INDEX(CODIFICACION!$E$2:$E$500,MATCH("D7.27|"&amp;CI113,CODIFICACION!$F$2:$F$500,0))="sin dato","",INDEX(CODIFICACION!$E$2:$E$500,MATCH("D7.27|"&amp;CI113,CODIFICACION!$F$2:$F$500,0))),"⚠"))</f>
        <v/>
      </c>
      <c r="BE113" t="str">
        <f>IF(CJ113="","",IFERROR(IF(INDEX(CODIFICACION!$E$2:$E$500,MATCH("D7.28|"&amp;CJ113,CODIFICACION!$F$2:$F$500,0))="sin dato","",INDEX(CODIFICACION!$E$2:$E$500,MATCH("D7.28|"&amp;CJ113,CODIFICACION!$F$2:$F$500,0))),"⚠"))</f>
        <v/>
      </c>
      <c r="BF113" t="str">
        <f>IF(CK113="","",IFERROR(IF(INDEX(CODIFICACION!$E$2:$E$500,MATCH("D7.28b|"&amp;CK113,CODIFICACION!$F$2:$F$500,0))="sin dato","",INDEX(CODIFICACION!$E$2:$E$500,MATCH("D7.28b|"&amp;CK113,CODIFICACION!$F$2:$F$500,0))),"⚠"))</f>
        <v/>
      </c>
      <c r="BG113" t="str">
        <f t="shared" si="85"/>
        <v/>
      </c>
      <c r="BH113" t="str">
        <f>IF(CM113="","",IFERROR(IF(INDEX(CODIFICACION!$E$2:$E$500,MATCH("D7.26a|"&amp;CM113,CODIFICACION!$F$2:$F$500,0))="sin dato","",INDEX(CODIFICACION!$E$2:$E$500,MATCH("D7.26a|"&amp;CM113,CODIFICACION!$F$2:$F$500,0))),"⚠"))</f>
        <v/>
      </c>
      <c r="BI113" t="str">
        <f>IF(CN113="","",IFERROR(IF(INDEX(CODIFICACION!$E$2:$E$500,MATCH("D7.26b|"&amp;CN113,CODIFICACION!$F$2:$F$500,0))="sin dato","",INDEX(CODIFICACION!$E$2:$E$500,MATCH("D7.26b|"&amp;CN113,CODIFICACION!$F$2:$F$500,0))),"⚠"))</f>
        <v/>
      </c>
      <c r="BJ113" t="str">
        <f t="shared" si="86"/>
        <v/>
      </c>
      <c r="BK113" t="str">
        <f t="shared" si="87"/>
        <v/>
      </c>
      <c r="BL113" t="str">
        <f>IF(CQ113="","",IFERROR(IF(INDEX(CODIFICACION!$E$2:$E$500,MATCH("D8.31|"&amp;CQ113,CODIFICACION!$F$2:$F$500,0))="sin dato","",INDEX(CODIFICACION!$E$2:$E$500,MATCH("D8.31|"&amp;CQ113,CODIFICACION!$F$2:$F$500,0))),"⚠"))</f>
        <v/>
      </c>
      <c r="BM113" t="str">
        <f>IF(CR113="","",IFERROR(IF(INDEX(CODIFICACION!$E$2:$E$500,MATCH("D8.32|"&amp;CR113,CODIFICACION!$F$2:$F$500,0))="sin dato","",INDEX(CODIFICACION!$E$2:$E$500,MATCH("D8.32|"&amp;CR113,CODIFICACION!$F$2:$F$500,0))),"⚠"))</f>
        <v/>
      </c>
      <c r="BN113" t="str">
        <f>IF(CS113="","",IFERROR(IF(INDEX(CODIFICACION!$E$2:$E$500,MATCH("D9.33|"&amp;CS113,CODIFICACION!$F$2:$F$500,0))="sin dato","",INDEX(CODIFICACION!$E$2:$E$500,MATCH("D9.33|"&amp;CS113,CODIFICACION!$F$2:$F$500,0))),"⚠"))</f>
        <v/>
      </c>
      <c r="BO113" t="str">
        <f>IF(CT113="","",IFERROR(IF(INDEX(CODIFICACION!$E$2:$E$500,MATCH("D9.34|"&amp;CT113,CODIFICACION!$F$2:$F$500,0))="sin dato","",INDEX(CODIFICACION!$E$2:$E$500,MATCH("D9.34|"&amp;CT113,CODIFICACION!$F$2:$F$500,0))),"⚠"))</f>
        <v/>
      </c>
      <c r="BP113" t="str">
        <f>IF(CU113="","",IFERROR(IF(INDEX(CODIFICACION!$E$2:$E$500,MATCH("D9.35|"&amp;CU113,CODIFICACION!$F$2:$F$500,0))="sin dato","",INDEX(CODIFICACION!$E$2:$E$500,MATCH("D9.35|"&amp;CU113,CODIFICACION!$F$2:$F$500,0))),"⚠"))</f>
        <v/>
      </c>
      <c r="BQ113" t="str">
        <f>IF(CV113="","",IFERROR(IF(INDEX(CODIFICACION!$E$2:$E$500,MATCH("D10.36|"&amp;CV113,CODIFICACION!$F$2:$F$500,0))="sin dato","",INDEX(CODIFICACION!$E$2:$E$500,MATCH("D10.36|"&amp;CV113,CODIFICACION!$F$2:$F$500,0))),"⚠"))</f>
        <v/>
      </c>
      <c r="BR113" t="str">
        <f>IF(CW113="","",IFERROR(IF(INDEX(CODIFICACION!$E$2:$E$500,MATCH("D10.37|"&amp;CW113,CODIFICACION!$F$2:$F$500,0))="sin dato","",INDEX(CODIFICACION!$E$2:$E$500,MATCH("D10.37|"&amp;CW113,CODIFICACION!$F$2:$F$500,0))),"⚠"))</f>
        <v/>
      </c>
      <c r="BS113" t="str">
        <f>IF(CX113="","",IFERROR(IF(INDEX(CODIFICACION!$E$2:$E$500,MATCH("D10.36a|"&amp;CX113,CODIFICACION!$F$2:$F$500,0))="sin dato","",INDEX(CODIFICACION!$E$2:$E$500,MATCH("D10.36a|"&amp;CX113,CODIFICACION!$F$2:$F$500,0))),"⚠"))</f>
        <v/>
      </c>
      <c r="BT113" t="str">
        <f t="shared" si="88"/>
        <v/>
      </c>
      <c r="BU113" t="str">
        <f>IF(DA113="","",IFERROR(IF(INDEX(CODIFICACION!$E$2:$E$500,MATCH("D11.39a|"&amp;DA113,CODIFICACION!$F$2:$F$500,0))="sin dato","",INDEX(CODIFICACION!$E$2:$E$500,MATCH("D11.39a|"&amp;DA113,CODIFICACION!$F$2:$F$500,0))),"⚠"))</f>
        <v/>
      </c>
      <c r="BV113" t="str">
        <f>IF(DB113="","",IFERROR(IF(INDEX(CODIFICACION!$E$2:$E$500,MATCH("D12.42|"&amp;DB113,CODIFICACION!$F$2:$F$500,0))="sin dato","",INDEX(CODIFICACION!$E$2:$E$500,MATCH("D12.42|"&amp;DB113,CODIFICACION!$F$2:$F$500,0))),"⚠"))</f>
        <v/>
      </c>
      <c r="BW113" t="str">
        <f>IF(DC113="","",IFERROR(IF(INDEX(CODIFICACION!$E$2:$E$500,MATCH("D13.45|"&amp;DC113,CODIFICACION!$F$2:$F$500,0))="sin dato","",INDEX(CODIFICACION!$E$2:$E$500,MATCH("D13.45|"&amp;DC113,CODIFICACION!$F$2:$F$500,0))),"⚠"))</f>
        <v/>
      </c>
      <c r="BX113" t="str">
        <f>IF(DD113="","",IFERROR(IF(INDEX(CODIFICACION!$E$2:$E$500,MATCH("D14.51|"&amp;DD113,CODIFICACION!$F$2:$F$500,0))="sin dato","",INDEX(CODIFICACION!$E$2:$E$500,MATCH("D14.51|"&amp;DD113,CODIFICACION!$F$2:$F$500,0))),"⚠"))</f>
        <v/>
      </c>
      <c r="BY113" t="str">
        <f>IF(DE113="","",IFERROR(IF(INDEX(CODIFICACION!$E$2:$E$500,MATCH("D15.58|"&amp;DE113,CODIFICACION!$F$2:$F$500,0))="sin dato","",INDEX(CODIFICACION!$E$2:$E$500,MATCH("D15.58|"&amp;DE113,CODIFICACION!$F$2:$F$500,0))),"⚠"))</f>
        <v/>
      </c>
      <c r="BZ113" t="str">
        <f>IF(DF113="","",IFERROR(IF(INDEX(CODIFICACION!$E$2:$E$500,MATCH("PP1|"&amp;DF113,CODIFICACION!$F$2:$F$500,0))="sin dato","",INDEX(CODIFICACION!$E$2:$E$500,MATCH("PP1|"&amp;DF113,CODIFICACION!$F$2:$F$500,0))),"⚠"))</f>
        <v/>
      </c>
      <c r="CA113" t="str">
        <f>IF(DG113="","",IFERROR(IF(INDEX(CODIFICACION!$E$2:$E$500,MATCH("PP2|"&amp;DG113,CODIFICACION!$F$2:$F$500,0))="sin dato","",INDEX(CODIFICACION!$E$2:$E$500,MATCH("PP2|"&amp;DG113,CODIFICACION!$F$2:$F$500,0))),"⚠"))</f>
        <v/>
      </c>
      <c r="CB113" t="str">
        <f t="shared" si="89"/>
        <v/>
      </c>
      <c r="CC113" t="str">
        <f t="shared" ca="1" si="90"/>
        <v/>
      </c>
      <c r="CD113" t="str">
        <f t="shared" ca="1" si="91"/>
        <v/>
      </c>
      <c r="CE113" t="str">
        <f t="shared" si="92"/>
        <v/>
      </c>
      <c r="CF113" t="str">
        <f t="shared" si="93"/>
        <v/>
      </c>
      <c r="CG113" t="str">
        <f t="shared" ca="1" si="94"/>
        <v/>
      </c>
      <c r="CH113" t="str">
        <f t="shared" ca="1" si="95"/>
        <v/>
      </c>
      <c r="CI113" t="str">
        <f t="shared" si="96"/>
        <v/>
      </c>
      <c r="CJ113" t="str">
        <f t="shared" si="97"/>
        <v/>
      </c>
      <c r="CK113" t="str">
        <f t="shared" si="98"/>
        <v/>
      </c>
      <c r="CL113" t="str">
        <f t="shared" si="99"/>
        <v/>
      </c>
    </row>
    <row r="114" spans="1:90" x14ac:dyDescent="0.3">
      <c r="A114">
        <f>CAPTURA!A114</f>
        <v>20600796683</v>
      </c>
      <c r="B114">
        <f>CAPTURA!C114</f>
        <v>0</v>
      </c>
      <c r="C114" t="str">
        <f t="shared" si="75"/>
        <v/>
      </c>
      <c r="D114" t="str">
        <f>IF(AE114="","",IFERROR(IF(INDEX(CODIFICACION!$E$2:$E$500,MATCH("P8|"&amp;AE114,CODIFICACION!$F$2:$F$500,0))="sin dato","",INDEX(CODIFICACION!$E$2:$E$500,MATCH("P8|"&amp;AE114,CODIFICACION!$F$2:$F$500,0))),"⚠"))</f>
        <v/>
      </c>
      <c r="E114" t="str">
        <f>IF(AG114="","",IFERROR(IF(INDEX(CODIFICACION!$E$2:$E$500,MATCH("P10|"&amp;AG114,CODIFICACION!$F$2:$F$500,0))="sin dato","",INDEX(CODIFICACION!$E$2:$E$500,MATCH("P10|"&amp;AG114,CODIFICACION!$F$2:$F$500,0))),"⚠"))</f>
        <v/>
      </c>
      <c r="F114" t="str">
        <f>IF(AJ114="","",IFERROR(IF(INDEX(CODIFICACION!$E$2:$E$500,MATCH("P13|"&amp;AJ114,CODIFICACION!$F$2:$F$500,0))="sin dato","",INDEX(CODIFICACION!$E$2:$E$500,MATCH("P13|"&amp;AJ114,CODIFICACION!$F$2:$F$500,0))),"⚠"))</f>
        <v/>
      </c>
      <c r="G114" t="str">
        <f>IF(AK114="","",IFERROR(IF(INDEX(CODIFICACION!$E$2:$E$500,MATCH("P14|"&amp;AK114,CODIFICACION!$F$2:$F$500,0))="sin dato","",INDEX(CODIFICACION!$E$2:$E$500,MATCH("P14|"&amp;AK114,CODIFICACION!$F$2:$F$500,0))),"⚠"))</f>
        <v/>
      </c>
      <c r="H114" t="str">
        <f>IF(AL114="","",IFERROR(IF(INDEX(CODIFICACION!$E$2:$E$500,MATCH("D1.1|"&amp;AL114,CODIFICACION!$F$2:$F$500,0))="sin dato","",INDEX(CODIFICACION!$E$2:$E$500,MATCH("D1.1|"&amp;AL114,CODIFICACION!$F$2:$F$500,0))),"⚠"))</f>
        <v/>
      </c>
      <c r="I114" t="str">
        <f>IF(AN114="","",IFERROR(IF(INDEX(CODIFICACION!$E$2:$E$500,MATCH("D1.3|"&amp;AN114,CODIFICACION!$F$2:$F$500,0))="sin dato","",INDEX(CODIFICACION!$E$2:$E$500,MATCH("D1.3|"&amp;AN114,CODIFICACION!$F$2:$F$500,0))),"⚠"))</f>
        <v/>
      </c>
      <c r="J114" t="str">
        <f>IF(AO114="","",IFERROR(IF(INDEX(CODIFICACION!$E$2:$E$500,MATCH("D1.4|"&amp;AO114,CODIFICACION!$F$2:$F$500,0))="sin dato","",INDEX(CODIFICACION!$E$2:$E$500,MATCH("D1.4|"&amp;AO114,CODIFICACION!$F$2:$F$500,0))),"⚠"))</f>
        <v/>
      </c>
      <c r="K114" t="str">
        <f>IF(AP114="","",IFERROR(IF(INDEX(CODIFICACION!$E$2:$E$500,MATCH("D1.3a|"&amp;AP114,CODIFICACION!$F$2:$F$500,0))="sin dato","",INDEX(CODIFICACION!$E$2:$E$500,MATCH("D1.3a|"&amp;AP114,CODIFICACION!$F$2:$F$500,0))),"⚠"))</f>
        <v/>
      </c>
      <c r="L114" t="str">
        <f t="shared" si="76"/>
        <v/>
      </c>
      <c r="M114" t="str">
        <f t="shared" si="77"/>
        <v/>
      </c>
      <c r="N114" t="str">
        <f t="shared" si="78"/>
        <v/>
      </c>
      <c r="O114" t="str">
        <f>IF(AT114="","",IFERROR(IF(INDEX(CODIFICACION!$E$2:$E$500,MATCH("D2.8|"&amp;AT114,CODIFICACION!$F$2:$F$500,0))="sin dato","",INDEX(CODIFICACION!$E$2:$E$500,MATCH("D2.8|"&amp;AT114,CODIFICACION!$F$2:$F$500,0))),"⚠"))</f>
        <v/>
      </c>
      <c r="P114" t="str">
        <f>IF(AU114="","",IFERROR(IF(INDEX(CODIFICACION!$E$2:$E$500,MATCH("D2.9|"&amp;AU114,CODIFICACION!$F$2:$F$500,0))="sin dato","",INDEX(CODIFICACION!$E$2:$E$500,MATCH("D2.9|"&amp;AU114,CODIFICACION!$F$2:$F$500,0))),"⚠"))</f>
        <v/>
      </c>
      <c r="Q114" t="str">
        <f>IF(AV114="","",IFERROR(IF(INDEX(CODIFICACION!$E$2:$E$500,MATCH("D2.10|"&amp;AV114,CODIFICACION!$F$2:$F$500,0))="sin dato","",INDEX(CODIFICACION!$E$2:$E$500,MATCH("D2.10|"&amp;AV114,CODIFICACION!$F$2:$F$500,0))),"⚠"))</f>
        <v/>
      </c>
      <c r="R114" t="str">
        <f>IF(AW114="","",IFERROR(IF(INDEX(CODIFICACION!$E$2:$E$500,MATCH("D2.5a|"&amp;AW114,CODIFICACION!$F$2:$F$500,0))="sin dato","",INDEX(CODIFICACION!$E$2:$E$500,MATCH("D2.5a|"&amp;AW114,CODIFICACION!$F$2:$F$500,0))),"⚠"))</f>
        <v/>
      </c>
      <c r="S114" t="str">
        <f ca="1">IF(AX114="","",IFERROR(IF(INDEX(CODIFICACION!$E$2:$E$500,MATCH("D2.5b|"&amp;AX114,CODIFICACION!$F$2:$F$500,0))="sin dato","",INDEX(CODIFICACION!$E$2:$E$500,MATCH("D2.5b|"&amp;AX114,CODIFICACION!$F$2:$F$500,0))),"⚠"))</f>
        <v/>
      </c>
      <c r="T114" t="str">
        <f t="shared" ca="1" si="79"/>
        <v/>
      </c>
      <c r="U114" t="str">
        <f>IF(AZ114="","",IFERROR(IF(INDEX(CODIFICACION!$E$2:$E$500,MATCH("D3.12|"&amp;AZ114,CODIFICACION!$F$2:$F$500,0))="sin dato","",INDEX(CODIFICACION!$E$2:$E$500,MATCH("D3.12|"&amp;AZ114,CODIFICACION!$F$2:$F$500,0))),"⚠"))</f>
        <v/>
      </c>
      <c r="V114" t="str">
        <f t="shared" si="80"/>
        <v/>
      </c>
      <c r="W114" t="str">
        <f ca="1">IF(BB114="","",IFERROR(IF(INDEX(CODIFICACION!$E$2:$E$500,MATCH("D3.14|"&amp;BB114,CODIFICACION!$F$2:$F$500,0))="sin dato","",INDEX(CODIFICACION!$E$2:$E$500,MATCH("D3.14|"&amp;BB114,CODIFICACION!$F$2:$F$500,0))),"⚠"))</f>
        <v/>
      </c>
      <c r="X114" t="str">
        <f ca="1">IF(BC114="","",IFERROR(IF(INDEX(CODIFICACION!$E$2:$E$500,MATCH("D3.14a|"&amp;BC114,CODIFICACION!$F$2:$F$500,0))="sin dato","",INDEX(CODIFICACION!$E$2:$E$500,MATCH("D3.14a|"&amp;BC114,CODIFICACION!$F$2:$F$500,0))),"⚠"))</f>
        <v/>
      </c>
      <c r="Y114" t="str">
        <f>IF(BD114="","",IFERROR(IF(INDEX(CODIFICACION!$E$2:$E$500,MATCH("D3.14b|"&amp;BD114,CODIFICACION!$F$2:$F$500,0))="sin dato","",INDEX(CODIFICACION!$E$2:$E$500,MATCH("D3.14b|"&amp;BD114,CODIFICACION!$F$2:$F$500,0))),"⚠"))</f>
        <v/>
      </c>
      <c r="Z114" t="str">
        <f>IF(BE114="","",IFERROR(IF(INDEX(CODIFICACION!$E$2:$E$500,MATCH("D3.14c|"&amp;BE114,CODIFICACION!$F$2:$F$500,0))="sin dato","",INDEX(CODIFICACION!$E$2:$E$500,MATCH("D3.14c|"&amp;BE114,CODIFICACION!$F$2:$F$500,0))),"⚠"))</f>
        <v/>
      </c>
      <c r="AA114" t="str">
        <f>IF(BF114="","",IFERROR(IF(INDEX(CODIFICACION!$E$2:$E$500,MATCH("D3.14d|"&amp;BF114,CODIFICACION!$F$2:$F$500,0))="sin dato","",INDEX(CODIFICACION!$E$2:$E$500,MATCH("D3.14d|"&amp;BF114,CODIFICACION!$F$2:$F$500,0))),"⚠"))</f>
        <v/>
      </c>
      <c r="AB114" t="str">
        <f>IF(BG114="","",IFERROR(IF(INDEX(CODIFICACION!$E$2:$E$500,MATCH("D3.14e|"&amp;BG114,CODIFICACION!$F$2:$F$500,0))="sin dato","",INDEX(CODIFICACION!$E$2:$E$500,MATCH("D3.14e|"&amp;BG114,CODIFICACION!$F$2:$F$500,0))),"⚠"))</f>
        <v/>
      </c>
      <c r="AC114" t="str">
        <f>IF(BH114="","",IFERROR(IF(INDEX(CODIFICACION!$E$2:$E$500,MATCH("D3.14f|"&amp;BH114,CODIFICACION!$F$2:$F$500,0))="sin dato","",INDEX(CODIFICACION!$E$2:$E$500,MATCH("D3.14f|"&amp;BH114,CODIFICACION!$F$2:$F$500,0))),"⚠"))</f>
        <v/>
      </c>
      <c r="AD114" t="str">
        <f>IF(BI114="","",IFERROR(IF(INDEX(CODIFICACION!$E$2:$E$500,MATCH("D3.14g|"&amp;BI114,CODIFICACION!$F$2:$F$500,0))="sin dato","",INDEX(CODIFICACION!$E$2:$E$500,MATCH("D3.14g|"&amp;BI114,CODIFICACION!$F$2:$F$500,0))),"⚠"))</f>
        <v/>
      </c>
      <c r="AE114" t="str">
        <f>IF(BJ114="","",IFERROR(IF(INDEX(CODIFICACION!$E$2:$E$500,MATCH("D3.14h|"&amp;BJ114,CODIFICACION!$F$2:$F$500,0))="sin dato","",INDEX(CODIFICACION!$E$2:$E$500,MATCH("D3.14h|"&amp;BJ114,CODIFICACION!$F$2:$F$500,0))),"⚠"))</f>
        <v/>
      </c>
      <c r="AF114" t="str">
        <f>IF(BK114="","",IFERROR(IF(INDEX(CODIFICACION!$E$2:$E$500,MATCH("D3.14i|"&amp;BK114,CODIFICACION!$F$2:$F$500,0))="sin dato","",INDEX(CODIFICACION!$E$2:$E$500,MATCH("D3.14i|"&amp;BK114,CODIFICACION!$F$2:$F$500,0))),"⚠"))</f>
        <v/>
      </c>
      <c r="AG114" t="str">
        <f>IF(BL114="","",IFERROR(IF(INDEX(CODIFICACION!$E$2:$E$500,MATCH("D4.15|"&amp;BL114,CODIFICACION!$F$2:$F$500,0))="sin dato","",INDEX(CODIFICACION!$E$2:$E$500,MATCH("D4.15|"&amp;BL114,CODIFICACION!$F$2:$F$500,0))),"⚠"))</f>
        <v/>
      </c>
      <c r="AH114" t="str">
        <f t="shared" si="81"/>
        <v/>
      </c>
      <c r="AI114" t="str">
        <f>IF(BN114="","",IFERROR(IF(INDEX(CODIFICACION!$E$2:$E$500,MATCH("D4.17|"&amp;BN114,CODIFICACION!$F$2:$F$500,0))="sin dato","",INDEX(CODIFICACION!$E$2:$E$500,MATCH("D4.17|"&amp;BN114,CODIFICACION!$F$2:$F$500,0))),"⚠"))</f>
        <v/>
      </c>
      <c r="AJ114" t="str">
        <f>IF(BO114="","",IFERROR(IF(INDEX(CODIFICACION!$E$2:$E$500,MATCH("D4.15a|"&amp;BO114,CODIFICACION!$F$2:$F$500,0))="sin dato","",INDEX(CODIFICACION!$E$2:$E$500,MATCH("D4.15a|"&amp;BO114,CODIFICACION!$F$2:$F$500,0))),"⚠"))</f>
        <v/>
      </c>
      <c r="AK114" t="str">
        <f t="shared" si="82"/>
        <v/>
      </c>
      <c r="AL114" t="str">
        <f t="shared" si="83"/>
        <v/>
      </c>
      <c r="AM114" t="str">
        <f>IF(BR114="","",IFERROR(IF(INDEX(CODIFICACION!$E$2:$E$500,MATCH("D5.18b|"&amp;BR114,CODIFICACION!$F$2:$F$500,0))="sin dato","",INDEX(CODIFICACION!$E$2:$E$500,MATCH("D5.18b|"&amp;BR114,CODIFICACION!$F$2:$F$500,0))),"⚠"))</f>
        <v/>
      </c>
      <c r="AN114" t="str">
        <f>IF(BS114="","",IFERROR(IF(INDEX(CODIFICACION!$E$2:$E$500,MATCH("D5.19|"&amp;BS114,CODIFICACION!$F$2:$F$500,0))="sin dato","",INDEX(CODIFICACION!$E$2:$E$500,MATCH("D5.19|"&amp;BS114,CODIFICACION!$F$2:$F$500,0))),"⚠"))</f>
        <v/>
      </c>
      <c r="AO114" t="str">
        <f t="shared" si="84"/>
        <v/>
      </c>
      <c r="AP114" t="str">
        <f>IF(BU114="","",IFERROR(IF(INDEX(CODIFICACION!$E$2:$E$500,MATCH("D5.20|"&amp;BU114,CODIFICACION!$F$2:$F$500,0))="sin dato","",INDEX(CODIFICACION!$E$2:$E$500,MATCH("D5.20|"&amp;BU114,CODIFICACION!$F$2:$F$500,0))),"⚠"))</f>
        <v/>
      </c>
      <c r="AQ114" t="str">
        <f>IF(BV114="","",IFERROR(IF(INDEX(CODIFICACION!$E$2:$E$500,MATCH("D5.21|"&amp;BV114,CODIFICACION!$F$2:$F$500,0))="sin dato","",INDEX(CODIFICACION!$E$2:$E$500,MATCH("D5.21|"&amp;BV114,CODIFICACION!$F$2:$F$500,0))),"⚠"))</f>
        <v/>
      </c>
      <c r="AR114" t="str">
        <f>IF(BW114="","",IFERROR(IF(INDEX(CODIFICACION!$E$2:$E$500,MATCH("D5.21a|"&amp;BW114,CODIFICACION!$F$2:$F$500,0))="sin dato","",INDEX(CODIFICACION!$E$2:$E$500,MATCH("D5.21a|"&amp;BW114,CODIFICACION!$F$2:$F$500,0))),"⚠"))</f>
        <v/>
      </c>
      <c r="AS114" t="str">
        <f>IF(BX114="","",IFERROR(IF(INDEX(CODIFICACION!$E$2:$E$500,MATCH("D5.21b|"&amp;BX114,CODIFICACION!$F$2:$F$500,0))="sin dato","",INDEX(CODIFICACION!$E$2:$E$500,MATCH("D5.21b|"&amp;BX114,CODIFICACION!$F$2:$F$500,0))),"⚠"))</f>
        <v/>
      </c>
      <c r="AT114" t="str">
        <f>IF(BY114="","",IFERROR(IF(INDEX(CODIFICACION!$E$2:$E$500,MATCH("D6.22|"&amp;BY114,CODIFICACION!$F$2:$F$500,0))="sin dato","",INDEX(CODIFICACION!$E$2:$E$500,MATCH("D6.22|"&amp;BY114,CODIFICACION!$F$2:$F$500,0))),"⚠"))</f>
        <v/>
      </c>
      <c r="AU114" t="str">
        <f>IF(BZ114="","",IFERROR(IF(INDEX(CODIFICACION!$E$2:$E$500,MATCH("D6.22a|"&amp;BZ114,CODIFICACION!$F$2:$F$500,0))="sin dato","",INDEX(CODIFICACION!$E$2:$E$500,MATCH("D6.22a|"&amp;BZ114,CODIFICACION!$F$2:$F$500,0))),"⚠"))</f>
        <v/>
      </c>
      <c r="AV114" t="str">
        <f>IF(CA114="","",IFERROR(IF(INDEX(CODIFICACION!$E$2:$E$500,MATCH("D6.22b|"&amp;CA114,CODIFICACION!$F$2:$F$500,0))="sin dato","",INDEX(CODIFICACION!$E$2:$E$500,MATCH("D6.22b|"&amp;CA114,CODIFICACION!$F$2:$F$500,0))),"⚠"))</f>
        <v/>
      </c>
      <c r="AW114" t="str">
        <f>IF(CB114="","",IFERROR(IF(INDEX(CODIFICACION!$E$2:$E$500,MATCH("D6.23|"&amp;CB114,CODIFICACION!$F$2:$F$500,0))="sin dato","",INDEX(CODIFICACION!$E$2:$E$500,MATCH("D6.23|"&amp;CB114,CODIFICACION!$F$2:$F$500,0))),"⚠"))</f>
        <v/>
      </c>
      <c r="AX114" t="str">
        <f ca="1">IF(CC114="","",IFERROR(IF(INDEX(CODIFICACION!$E$2:$E$500,MATCH("D6.24|"&amp;CC114,CODIFICACION!$F$2:$F$500,0))="sin dato","",INDEX(CODIFICACION!$E$2:$E$500,MATCH("D6.24|"&amp;CC114,CODIFICACION!$F$2:$F$500,0))),"⚠"))</f>
        <v/>
      </c>
      <c r="AY114" t="str">
        <f ca="1">IF(CD114="","",IFERROR(IF(INDEX(CODIFICACION!$E$2:$E$500,MATCH("D6.25|"&amp;CD114,CODIFICACION!$F$2:$F$500,0))="sin dato","",INDEX(CODIFICACION!$E$2:$E$500,MATCH("D6.25|"&amp;CD114,CODIFICACION!$F$2:$F$500,0))),"⚠"))</f>
        <v/>
      </c>
      <c r="AZ114" t="str">
        <f>IF(CE114="","",IFERROR(IF(INDEX(CODIFICACION!$E$2:$E$500,MATCH("D6.25a|"&amp;CE114,CODIFICACION!$F$2:$F$500,0))="sin dato","",INDEX(CODIFICACION!$E$2:$E$500,MATCH("D6.25a|"&amp;CE114,CODIFICACION!$F$2:$F$500,0))),"⚠"))</f>
        <v/>
      </c>
      <c r="BA114" t="str">
        <f>IF(CF114="","",IFERROR(IF(INDEX(CODIFICACION!$E$2:$E$500,MATCH("D6.25b|"&amp;CF114,CODIFICACION!$F$2:$F$500,0))="sin dato","",INDEX(CODIFICACION!$E$2:$E$500,MATCH("D6.25b|"&amp;CF114,CODIFICACION!$F$2:$F$500,0))),"⚠"))</f>
        <v/>
      </c>
      <c r="BB114" t="str">
        <f ca="1">IF(CG114="","",IFERROR(IF(INDEX(CODIFICACION!$E$2:$E$500,MATCH("D6.22c|"&amp;CG114,CODIFICACION!$F$2:$F$500,0))="sin dato","",INDEX(CODIFICACION!$E$2:$E$500,MATCH("D6.22c|"&amp;CG114,CODIFICACION!$F$2:$F$500,0))),"⚠"))</f>
        <v/>
      </c>
      <c r="BC114" t="str">
        <f ca="1">IF(CH114="","",IFERROR(IF(INDEX(CODIFICACION!$E$2:$E$500,MATCH("D7.26|"&amp;CH114,CODIFICACION!$F$2:$F$500,0))="sin dato","",INDEX(CODIFICACION!$E$2:$E$500,MATCH("D7.26|"&amp;CH114,CODIFICACION!$F$2:$F$500,0))),"⚠"))</f>
        <v/>
      </c>
      <c r="BD114" t="str">
        <f>IF(CI114="","",IFERROR(IF(INDEX(CODIFICACION!$E$2:$E$500,MATCH("D7.27|"&amp;CI114,CODIFICACION!$F$2:$F$500,0))="sin dato","",INDEX(CODIFICACION!$E$2:$E$500,MATCH("D7.27|"&amp;CI114,CODIFICACION!$F$2:$F$500,0))),"⚠"))</f>
        <v/>
      </c>
      <c r="BE114" t="str">
        <f>IF(CJ114="","",IFERROR(IF(INDEX(CODIFICACION!$E$2:$E$500,MATCH("D7.28|"&amp;CJ114,CODIFICACION!$F$2:$F$500,0))="sin dato","",INDEX(CODIFICACION!$E$2:$E$500,MATCH("D7.28|"&amp;CJ114,CODIFICACION!$F$2:$F$500,0))),"⚠"))</f>
        <v/>
      </c>
      <c r="BF114" t="str">
        <f>IF(CK114="","",IFERROR(IF(INDEX(CODIFICACION!$E$2:$E$500,MATCH("D7.28b|"&amp;CK114,CODIFICACION!$F$2:$F$500,0))="sin dato","",INDEX(CODIFICACION!$E$2:$E$500,MATCH("D7.28b|"&amp;CK114,CODIFICACION!$F$2:$F$500,0))),"⚠"))</f>
        <v/>
      </c>
      <c r="BG114" t="str">
        <f t="shared" si="85"/>
        <v/>
      </c>
      <c r="BH114" t="str">
        <f>IF(CM114="","",IFERROR(IF(INDEX(CODIFICACION!$E$2:$E$500,MATCH("D7.26a|"&amp;CM114,CODIFICACION!$F$2:$F$500,0))="sin dato","",INDEX(CODIFICACION!$E$2:$E$500,MATCH("D7.26a|"&amp;CM114,CODIFICACION!$F$2:$F$500,0))),"⚠"))</f>
        <v/>
      </c>
      <c r="BI114" t="str">
        <f>IF(CN114="","",IFERROR(IF(INDEX(CODIFICACION!$E$2:$E$500,MATCH("D7.26b|"&amp;CN114,CODIFICACION!$F$2:$F$500,0))="sin dato","",INDEX(CODIFICACION!$E$2:$E$500,MATCH("D7.26b|"&amp;CN114,CODIFICACION!$F$2:$F$500,0))),"⚠"))</f>
        <v/>
      </c>
      <c r="BJ114" t="str">
        <f t="shared" si="86"/>
        <v/>
      </c>
      <c r="BK114" t="str">
        <f t="shared" si="87"/>
        <v/>
      </c>
      <c r="BL114" t="str">
        <f>IF(CQ114="","",IFERROR(IF(INDEX(CODIFICACION!$E$2:$E$500,MATCH("D8.31|"&amp;CQ114,CODIFICACION!$F$2:$F$500,0))="sin dato","",INDEX(CODIFICACION!$E$2:$E$500,MATCH("D8.31|"&amp;CQ114,CODIFICACION!$F$2:$F$500,0))),"⚠"))</f>
        <v/>
      </c>
      <c r="BM114" t="str">
        <f>IF(CR114="","",IFERROR(IF(INDEX(CODIFICACION!$E$2:$E$500,MATCH("D8.32|"&amp;CR114,CODIFICACION!$F$2:$F$500,0))="sin dato","",INDEX(CODIFICACION!$E$2:$E$500,MATCH("D8.32|"&amp;CR114,CODIFICACION!$F$2:$F$500,0))),"⚠"))</f>
        <v/>
      </c>
      <c r="BN114" t="str">
        <f>IF(CS114="","",IFERROR(IF(INDEX(CODIFICACION!$E$2:$E$500,MATCH("D9.33|"&amp;CS114,CODIFICACION!$F$2:$F$500,0))="sin dato","",INDEX(CODIFICACION!$E$2:$E$500,MATCH("D9.33|"&amp;CS114,CODIFICACION!$F$2:$F$500,0))),"⚠"))</f>
        <v/>
      </c>
      <c r="BO114" t="str">
        <f>IF(CT114="","",IFERROR(IF(INDEX(CODIFICACION!$E$2:$E$500,MATCH("D9.34|"&amp;CT114,CODIFICACION!$F$2:$F$500,0))="sin dato","",INDEX(CODIFICACION!$E$2:$E$500,MATCH("D9.34|"&amp;CT114,CODIFICACION!$F$2:$F$500,0))),"⚠"))</f>
        <v/>
      </c>
      <c r="BP114" t="str">
        <f>IF(CU114="","",IFERROR(IF(INDEX(CODIFICACION!$E$2:$E$500,MATCH("D9.35|"&amp;CU114,CODIFICACION!$F$2:$F$500,0))="sin dato","",INDEX(CODIFICACION!$E$2:$E$500,MATCH("D9.35|"&amp;CU114,CODIFICACION!$F$2:$F$500,0))),"⚠"))</f>
        <v/>
      </c>
      <c r="BQ114" t="str">
        <f>IF(CV114="","",IFERROR(IF(INDEX(CODIFICACION!$E$2:$E$500,MATCH("D10.36|"&amp;CV114,CODIFICACION!$F$2:$F$500,0))="sin dato","",INDEX(CODIFICACION!$E$2:$E$500,MATCH("D10.36|"&amp;CV114,CODIFICACION!$F$2:$F$500,0))),"⚠"))</f>
        <v/>
      </c>
      <c r="BR114" t="str">
        <f>IF(CW114="","",IFERROR(IF(INDEX(CODIFICACION!$E$2:$E$500,MATCH("D10.37|"&amp;CW114,CODIFICACION!$F$2:$F$500,0))="sin dato","",INDEX(CODIFICACION!$E$2:$E$500,MATCH("D10.37|"&amp;CW114,CODIFICACION!$F$2:$F$500,0))),"⚠"))</f>
        <v/>
      </c>
      <c r="BS114" t="str">
        <f>IF(CX114="","",IFERROR(IF(INDEX(CODIFICACION!$E$2:$E$500,MATCH("D10.36a|"&amp;CX114,CODIFICACION!$F$2:$F$500,0))="sin dato","",INDEX(CODIFICACION!$E$2:$E$500,MATCH("D10.36a|"&amp;CX114,CODIFICACION!$F$2:$F$500,0))),"⚠"))</f>
        <v/>
      </c>
      <c r="BT114" t="str">
        <f t="shared" si="88"/>
        <v/>
      </c>
      <c r="BU114" t="str">
        <f>IF(DA114="","",IFERROR(IF(INDEX(CODIFICACION!$E$2:$E$500,MATCH("D11.39a|"&amp;DA114,CODIFICACION!$F$2:$F$500,0))="sin dato","",INDEX(CODIFICACION!$E$2:$E$500,MATCH("D11.39a|"&amp;DA114,CODIFICACION!$F$2:$F$500,0))),"⚠"))</f>
        <v/>
      </c>
      <c r="BV114" t="str">
        <f>IF(DB114="","",IFERROR(IF(INDEX(CODIFICACION!$E$2:$E$500,MATCH("D12.42|"&amp;DB114,CODIFICACION!$F$2:$F$500,0))="sin dato","",INDEX(CODIFICACION!$E$2:$E$500,MATCH("D12.42|"&amp;DB114,CODIFICACION!$F$2:$F$500,0))),"⚠"))</f>
        <v/>
      </c>
      <c r="BW114" t="str">
        <f>IF(DC114="","",IFERROR(IF(INDEX(CODIFICACION!$E$2:$E$500,MATCH("D13.45|"&amp;DC114,CODIFICACION!$F$2:$F$500,0))="sin dato","",INDEX(CODIFICACION!$E$2:$E$500,MATCH("D13.45|"&amp;DC114,CODIFICACION!$F$2:$F$500,0))),"⚠"))</f>
        <v/>
      </c>
      <c r="BX114" t="str">
        <f>IF(DD114="","",IFERROR(IF(INDEX(CODIFICACION!$E$2:$E$500,MATCH("D14.51|"&amp;DD114,CODIFICACION!$F$2:$F$500,0))="sin dato","",INDEX(CODIFICACION!$E$2:$E$500,MATCH("D14.51|"&amp;DD114,CODIFICACION!$F$2:$F$500,0))),"⚠"))</f>
        <v/>
      </c>
      <c r="BY114" t="str">
        <f>IF(DE114="","",IFERROR(IF(INDEX(CODIFICACION!$E$2:$E$500,MATCH("D15.58|"&amp;DE114,CODIFICACION!$F$2:$F$500,0))="sin dato","",INDEX(CODIFICACION!$E$2:$E$500,MATCH("D15.58|"&amp;DE114,CODIFICACION!$F$2:$F$500,0))),"⚠"))</f>
        <v/>
      </c>
      <c r="BZ114" t="str">
        <f>IF(DF114="","",IFERROR(IF(INDEX(CODIFICACION!$E$2:$E$500,MATCH("PP1|"&amp;DF114,CODIFICACION!$F$2:$F$500,0))="sin dato","",INDEX(CODIFICACION!$E$2:$E$500,MATCH("PP1|"&amp;DF114,CODIFICACION!$F$2:$F$500,0))),"⚠"))</f>
        <v/>
      </c>
      <c r="CA114" t="str">
        <f>IF(DG114="","",IFERROR(IF(INDEX(CODIFICACION!$E$2:$E$500,MATCH("PP2|"&amp;DG114,CODIFICACION!$F$2:$F$500,0))="sin dato","",INDEX(CODIFICACION!$E$2:$E$500,MATCH("PP2|"&amp;DG114,CODIFICACION!$F$2:$F$500,0))),"⚠"))</f>
        <v/>
      </c>
      <c r="CB114" t="str">
        <f t="shared" si="89"/>
        <v/>
      </c>
      <c r="CC114" t="str">
        <f t="shared" ca="1" si="90"/>
        <v/>
      </c>
      <c r="CD114" t="str">
        <f t="shared" ca="1" si="91"/>
        <v/>
      </c>
      <c r="CE114" t="str">
        <f t="shared" si="92"/>
        <v/>
      </c>
      <c r="CF114" t="str">
        <f t="shared" si="93"/>
        <v/>
      </c>
      <c r="CG114" t="str">
        <f t="shared" ca="1" si="94"/>
        <v/>
      </c>
      <c r="CH114" t="str">
        <f t="shared" ca="1" si="95"/>
        <v/>
      </c>
      <c r="CI114" t="str">
        <f t="shared" si="96"/>
        <v/>
      </c>
      <c r="CJ114" t="str">
        <f t="shared" si="97"/>
        <v/>
      </c>
      <c r="CK114" t="str">
        <f t="shared" si="98"/>
        <v/>
      </c>
      <c r="CL114" t="str">
        <f t="shared" si="99"/>
        <v/>
      </c>
    </row>
    <row r="115" spans="1:90" x14ac:dyDescent="0.3">
      <c r="A115">
        <f>CAPTURA!A115</f>
        <v>20600796721</v>
      </c>
      <c r="B115">
        <f>CAPTURA!C115</f>
        <v>0</v>
      </c>
      <c r="C115" t="str">
        <f t="shared" si="75"/>
        <v/>
      </c>
      <c r="D115" t="str">
        <f>IF(AE115="","",IFERROR(IF(INDEX(CODIFICACION!$E$2:$E$500,MATCH("P8|"&amp;AE115,CODIFICACION!$F$2:$F$500,0))="sin dato","",INDEX(CODIFICACION!$E$2:$E$500,MATCH("P8|"&amp;AE115,CODIFICACION!$F$2:$F$500,0))),"⚠"))</f>
        <v/>
      </c>
      <c r="E115" t="str">
        <f>IF(AG115="","",IFERROR(IF(INDEX(CODIFICACION!$E$2:$E$500,MATCH("P10|"&amp;AG115,CODIFICACION!$F$2:$F$500,0))="sin dato","",INDEX(CODIFICACION!$E$2:$E$500,MATCH("P10|"&amp;AG115,CODIFICACION!$F$2:$F$500,0))),"⚠"))</f>
        <v/>
      </c>
      <c r="F115" t="str">
        <f>IF(AJ115="","",IFERROR(IF(INDEX(CODIFICACION!$E$2:$E$500,MATCH("P13|"&amp;AJ115,CODIFICACION!$F$2:$F$500,0))="sin dato","",INDEX(CODIFICACION!$E$2:$E$500,MATCH("P13|"&amp;AJ115,CODIFICACION!$F$2:$F$500,0))),"⚠"))</f>
        <v/>
      </c>
      <c r="G115" t="str">
        <f>IF(AK115="","",IFERROR(IF(INDEX(CODIFICACION!$E$2:$E$500,MATCH("P14|"&amp;AK115,CODIFICACION!$F$2:$F$500,0))="sin dato","",INDEX(CODIFICACION!$E$2:$E$500,MATCH("P14|"&amp;AK115,CODIFICACION!$F$2:$F$500,0))),"⚠"))</f>
        <v/>
      </c>
      <c r="H115" t="str">
        <f>IF(AL115="","",IFERROR(IF(INDEX(CODIFICACION!$E$2:$E$500,MATCH("D1.1|"&amp;AL115,CODIFICACION!$F$2:$F$500,0))="sin dato","",INDEX(CODIFICACION!$E$2:$E$500,MATCH("D1.1|"&amp;AL115,CODIFICACION!$F$2:$F$500,0))),"⚠"))</f>
        <v/>
      </c>
      <c r="I115" t="str">
        <f>IF(AN115="","",IFERROR(IF(INDEX(CODIFICACION!$E$2:$E$500,MATCH("D1.3|"&amp;AN115,CODIFICACION!$F$2:$F$500,0))="sin dato","",INDEX(CODIFICACION!$E$2:$E$500,MATCH("D1.3|"&amp;AN115,CODIFICACION!$F$2:$F$500,0))),"⚠"))</f>
        <v/>
      </c>
      <c r="J115" t="str">
        <f>IF(AO115="","",IFERROR(IF(INDEX(CODIFICACION!$E$2:$E$500,MATCH("D1.4|"&amp;AO115,CODIFICACION!$F$2:$F$500,0))="sin dato","",INDEX(CODIFICACION!$E$2:$E$500,MATCH("D1.4|"&amp;AO115,CODIFICACION!$F$2:$F$500,0))),"⚠"))</f>
        <v/>
      </c>
      <c r="K115" t="str">
        <f>IF(AP115="","",IFERROR(IF(INDEX(CODIFICACION!$E$2:$E$500,MATCH("D1.3a|"&amp;AP115,CODIFICACION!$F$2:$F$500,0))="sin dato","",INDEX(CODIFICACION!$E$2:$E$500,MATCH("D1.3a|"&amp;AP115,CODIFICACION!$F$2:$F$500,0))),"⚠"))</f>
        <v/>
      </c>
      <c r="L115" t="str">
        <f t="shared" si="76"/>
        <v/>
      </c>
      <c r="M115" t="str">
        <f t="shared" si="77"/>
        <v/>
      </c>
      <c r="N115" t="str">
        <f t="shared" si="78"/>
        <v/>
      </c>
      <c r="O115" t="str">
        <f>IF(AT115="","",IFERROR(IF(INDEX(CODIFICACION!$E$2:$E$500,MATCH("D2.8|"&amp;AT115,CODIFICACION!$F$2:$F$500,0))="sin dato","",INDEX(CODIFICACION!$E$2:$E$500,MATCH("D2.8|"&amp;AT115,CODIFICACION!$F$2:$F$500,0))),"⚠"))</f>
        <v/>
      </c>
      <c r="P115" t="str">
        <f>IF(AU115="","",IFERROR(IF(INDEX(CODIFICACION!$E$2:$E$500,MATCH("D2.9|"&amp;AU115,CODIFICACION!$F$2:$F$500,0))="sin dato","",INDEX(CODIFICACION!$E$2:$E$500,MATCH("D2.9|"&amp;AU115,CODIFICACION!$F$2:$F$500,0))),"⚠"))</f>
        <v/>
      </c>
      <c r="Q115" t="str">
        <f>IF(AV115="","",IFERROR(IF(INDEX(CODIFICACION!$E$2:$E$500,MATCH("D2.10|"&amp;AV115,CODIFICACION!$F$2:$F$500,0))="sin dato","",INDEX(CODIFICACION!$E$2:$E$500,MATCH("D2.10|"&amp;AV115,CODIFICACION!$F$2:$F$500,0))),"⚠"))</f>
        <v/>
      </c>
      <c r="R115" t="str">
        <f>IF(AW115="","",IFERROR(IF(INDEX(CODIFICACION!$E$2:$E$500,MATCH("D2.5a|"&amp;AW115,CODIFICACION!$F$2:$F$500,0))="sin dato","",INDEX(CODIFICACION!$E$2:$E$500,MATCH("D2.5a|"&amp;AW115,CODIFICACION!$F$2:$F$500,0))),"⚠"))</f>
        <v/>
      </c>
      <c r="S115" t="str">
        <f ca="1">IF(AX115="","",IFERROR(IF(INDEX(CODIFICACION!$E$2:$E$500,MATCH("D2.5b|"&amp;AX115,CODIFICACION!$F$2:$F$500,0))="sin dato","",INDEX(CODIFICACION!$E$2:$E$500,MATCH("D2.5b|"&amp;AX115,CODIFICACION!$F$2:$F$500,0))),"⚠"))</f>
        <v/>
      </c>
      <c r="T115" t="str">
        <f t="shared" ca="1" si="79"/>
        <v/>
      </c>
      <c r="U115" t="str">
        <f>IF(AZ115="","",IFERROR(IF(INDEX(CODIFICACION!$E$2:$E$500,MATCH("D3.12|"&amp;AZ115,CODIFICACION!$F$2:$F$500,0))="sin dato","",INDEX(CODIFICACION!$E$2:$E$500,MATCH("D3.12|"&amp;AZ115,CODIFICACION!$F$2:$F$500,0))),"⚠"))</f>
        <v/>
      </c>
      <c r="V115" t="str">
        <f t="shared" si="80"/>
        <v/>
      </c>
      <c r="W115" t="str">
        <f ca="1">IF(BB115="","",IFERROR(IF(INDEX(CODIFICACION!$E$2:$E$500,MATCH("D3.14|"&amp;BB115,CODIFICACION!$F$2:$F$500,0))="sin dato","",INDEX(CODIFICACION!$E$2:$E$500,MATCH("D3.14|"&amp;BB115,CODIFICACION!$F$2:$F$500,0))),"⚠"))</f>
        <v/>
      </c>
      <c r="X115" t="str">
        <f ca="1">IF(BC115="","",IFERROR(IF(INDEX(CODIFICACION!$E$2:$E$500,MATCH("D3.14a|"&amp;BC115,CODIFICACION!$F$2:$F$500,0))="sin dato","",INDEX(CODIFICACION!$E$2:$E$500,MATCH("D3.14a|"&amp;BC115,CODIFICACION!$F$2:$F$500,0))),"⚠"))</f>
        <v/>
      </c>
      <c r="Y115" t="str">
        <f>IF(BD115="","",IFERROR(IF(INDEX(CODIFICACION!$E$2:$E$500,MATCH("D3.14b|"&amp;BD115,CODIFICACION!$F$2:$F$500,0))="sin dato","",INDEX(CODIFICACION!$E$2:$E$500,MATCH("D3.14b|"&amp;BD115,CODIFICACION!$F$2:$F$500,0))),"⚠"))</f>
        <v/>
      </c>
      <c r="Z115" t="str">
        <f>IF(BE115="","",IFERROR(IF(INDEX(CODIFICACION!$E$2:$E$500,MATCH("D3.14c|"&amp;BE115,CODIFICACION!$F$2:$F$500,0))="sin dato","",INDEX(CODIFICACION!$E$2:$E$500,MATCH("D3.14c|"&amp;BE115,CODIFICACION!$F$2:$F$500,0))),"⚠"))</f>
        <v/>
      </c>
      <c r="AA115" t="str">
        <f>IF(BF115="","",IFERROR(IF(INDEX(CODIFICACION!$E$2:$E$500,MATCH("D3.14d|"&amp;BF115,CODIFICACION!$F$2:$F$500,0))="sin dato","",INDEX(CODIFICACION!$E$2:$E$500,MATCH("D3.14d|"&amp;BF115,CODIFICACION!$F$2:$F$500,0))),"⚠"))</f>
        <v/>
      </c>
      <c r="AB115" t="str">
        <f>IF(BG115="","",IFERROR(IF(INDEX(CODIFICACION!$E$2:$E$500,MATCH("D3.14e|"&amp;BG115,CODIFICACION!$F$2:$F$500,0))="sin dato","",INDEX(CODIFICACION!$E$2:$E$500,MATCH("D3.14e|"&amp;BG115,CODIFICACION!$F$2:$F$500,0))),"⚠"))</f>
        <v/>
      </c>
      <c r="AC115" t="str">
        <f>IF(BH115="","",IFERROR(IF(INDEX(CODIFICACION!$E$2:$E$500,MATCH("D3.14f|"&amp;BH115,CODIFICACION!$F$2:$F$500,0))="sin dato","",INDEX(CODIFICACION!$E$2:$E$500,MATCH("D3.14f|"&amp;BH115,CODIFICACION!$F$2:$F$500,0))),"⚠"))</f>
        <v/>
      </c>
      <c r="AD115" t="str">
        <f>IF(BI115="","",IFERROR(IF(INDEX(CODIFICACION!$E$2:$E$500,MATCH("D3.14g|"&amp;BI115,CODIFICACION!$F$2:$F$500,0))="sin dato","",INDEX(CODIFICACION!$E$2:$E$500,MATCH("D3.14g|"&amp;BI115,CODIFICACION!$F$2:$F$500,0))),"⚠"))</f>
        <v/>
      </c>
      <c r="AE115" t="str">
        <f>IF(BJ115="","",IFERROR(IF(INDEX(CODIFICACION!$E$2:$E$500,MATCH("D3.14h|"&amp;BJ115,CODIFICACION!$F$2:$F$500,0))="sin dato","",INDEX(CODIFICACION!$E$2:$E$500,MATCH("D3.14h|"&amp;BJ115,CODIFICACION!$F$2:$F$500,0))),"⚠"))</f>
        <v/>
      </c>
      <c r="AF115" t="str">
        <f>IF(BK115="","",IFERROR(IF(INDEX(CODIFICACION!$E$2:$E$500,MATCH("D3.14i|"&amp;BK115,CODIFICACION!$F$2:$F$500,0))="sin dato","",INDEX(CODIFICACION!$E$2:$E$500,MATCH("D3.14i|"&amp;BK115,CODIFICACION!$F$2:$F$500,0))),"⚠"))</f>
        <v/>
      </c>
      <c r="AG115" t="str">
        <f>IF(BL115="","",IFERROR(IF(INDEX(CODIFICACION!$E$2:$E$500,MATCH("D4.15|"&amp;BL115,CODIFICACION!$F$2:$F$500,0))="sin dato","",INDEX(CODIFICACION!$E$2:$E$500,MATCH("D4.15|"&amp;BL115,CODIFICACION!$F$2:$F$500,0))),"⚠"))</f>
        <v/>
      </c>
      <c r="AH115" t="str">
        <f t="shared" si="81"/>
        <v/>
      </c>
      <c r="AI115" t="str">
        <f>IF(BN115="","",IFERROR(IF(INDEX(CODIFICACION!$E$2:$E$500,MATCH("D4.17|"&amp;BN115,CODIFICACION!$F$2:$F$500,0))="sin dato","",INDEX(CODIFICACION!$E$2:$E$500,MATCH("D4.17|"&amp;BN115,CODIFICACION!$F$2:$F$500,0))),"⚠"))</f>
        <v/>
      </c>
      <c r="AJ115" t="str">
        <f>IF(BO115="","",IFERROR(IF(INDEX(CODIFICACION!$E$2:$E$500,MATCH("D4.15a|"&amp;BO115,CODIFICACION!$F$2:$F$500,0))="sin dato","",INDEX(CODIFICACION!$E$2:$E$500,MATCH("D4.15a|"&amp;BO115,CODIFICACION!$F$2:$F$500,0))),"⚠"))</f>
        <v/>
      </c>
      <c r="AK115" t="str">
        <f t="shared" si="82"/>
        <v/>
      </c>
      <c r="AL115" t="str">
        <f t="shared" si="83"/>
        <v/>
      </c>
      <c r="AM115" t="str">
        <f>IF(BR115="","",IFERROR(IF(INDEX(CODIFICACION!$E$2:$E$500,MATCH("D5.18b|"&amp;BR115,CODIFICACION!$F$2:$F$500,0))="sin dato","",INDEX(CODIFICACION!$E$2:$E$500,MATCH("D5.18b|"&amp;BR115,CODIFICACION!$F$2:$F$500,0))),"⚠"))</f>
        <v/>
      </c>
      <c r="AN115" t="str">
        <f>IF(BS115="","",IFERROR(IF(INDEX(CODIFICACION!$E$2:$E$500,MATCH("D5.19|"&amp;BS115,CODIFICACION!$F$2:$F$500,0))="sin dato","",INDEX(CODIFICACION!$E$2:$E$500,MATCH("D5.19|"&amp;BS115,CODIFICACION!$F$2:$F$500,0))),"⚠"))</f>
        <v/>
      </c>
      <c r="AO115" t="str">
        <f t="shared" si="84"/>
        <v/>
      </c>
      <c r="AP115" t="str">
        <f>IF(BU115="","",IFERROR(IF(INDEX(CODIFICACION!$E$2:$E$500,MATCH("D5.20|"&amp;BU115,CODIFICACION!$F$2:$F$500,0))="sin dato","",INDEX(CODIFICACION!$E$2:$E$500,MATCH("D5.20|"&amp;BU115,CODIFICACION!$F$2:$F$500,0))),"⚠"))</f>
        <v/>
      </c>
      <c r="AQ115" t="str">
        <f>IF(BV115="","",IFERROR(IF(INDEX(CODIFICACION!$E$2:$E$500,MATCH("D5.21|"&amp;BV115,CODIFICACION!$F$2:$F$500,0))="sin dato","",INDEX(CODIFICACION!$E$2:$E$500,MATCH("D5.21|"&amp;BV115,CODIFICACION!$F$2:$F$500,0))),"⚠"))</f>
        <v/>
      </c>
      <c r="AR115" t="str">
        <f>IF(BW115="","",IFERROR(IF(INDEX(CODIFICACION!$E$2:$E$500,MATCH("D5.21a|"&amp;BW115,CODIFICACION!$F$2:$F$500,0))="sin dato","",INDEX(CODIFICACION!$E$2:$E$500,MATCH("D5.21a|"&amp;BW115,CODIFICACION!$F$2:$F$500,0))),"⚠"))</f>
        <v/>
      </c>
      <c r="AS115" t="str">
        <f>IF(BX115="","",IFERROR(IF(INDEX(CODIFICACION!$E$2:$E$500,MATCH("D5.21b|"&amp;BX115,CODIFICACION!$F$2:$F$500,0))="sin dato","",INDEX(CODIFICACION!$E$2:$E$500,MATCH("D5.21b|"&amp;BX115,CODIFICACION!$F$2:$F$500,0))),"⚠"))</f>
        <v/>
      </c>
      <c r="AT115" t="str">
        <f>IF(BY115="","",IFERROR(IF(INDEX(CODIFICACION!$E$2:$E$500,MATCH("D6.22|"&amp;BY115,CODIFICACION!$F$2:$F$500,0))="sin dato","",INDEX(CODIFICACION!$E$2:$E$500,MATCH("D6.22|"&amp;BY115,CODIFICACION!$F$2:$F$500,0))),"⚠"))</f>
        <v/>
      </c>
      <c r="AU115" t="str">
        <f>IF(BZ115="","",IFERROR(IF(INDEX(CODIFICACION!$E$2:$E$500,MATCH("D6.22a|"&amp;BZ115,CODIFICACION!$F$2:$F$500,0))="sin dato","",INDEX(CODIFICACION!$E$2:$E$500,MATCH("D6.22a|"&amp;BZ115,CODIFICACION!$F$2:$F$500,0))),"⚠"))</f>
        <v/>
      </c>
      <c r="AV115" t="str">
        <f>IF(CA115="","",IFERROR(IF(INDEX(CODIFICACION!$E$2:$E$500,MATCH("D6.22b|"&amp;CA115,CODIFICACION!$F$2:$F$500,0))="sin dato","",INDEX(CODIFICACION!$E$2:$E$500,MATCH("D6.22b|"&amp;CA115,CODIFICACION!$F$2:$F$500,0))),"⚠"))</f>
        <v/>
      </c>
      <c r="AW115" t="str">
        <f>IF(CB115="","",IFERROR(IF(INDEX(CODIFICACION!$E$2:$E$500,MATCH("D6.23|"&amp;CB115,CODIFICACION!$F$2:$F$500,0))="sin dato","",INDEX(CODIFICACION!$E$2:$E$500,MATCH("D6.23|"&amp;CB115,CODIFICACION!$F$2:$F$500,0))),"⚠"))</f>
        <v/>
      </c>
      <c r="AX115" t="str">
        <f ca="1">IF(CC115="","",IFERROR(IF(INDEX(CODIFICACION!$E$2:$E$500,MATCH("D6.24|"&amp;CC115,CODIFICACION!$F$2:$F$500,0))="sin dato","",INDEX(CODIFICACION!$E$2:$E$500,MATCH("D6.24|"&amp;CC115,CODIFICACION!$F$2:$F$500,0))),"⚠"))</f>
        <v/>
      </c>
      <c r="AY115" t="str">
        <f ca="1">IF(CD115="","",IFERROR(IF(INDEX(CODIFICACION!$E$2:$E$500,MATCH("D6.25|"&amp;CD115,CODIFICACION!$F$2:$F$500,0))="sin dato","",INDEX(CODIFICACION!$E$2:$E$500,MATCH("D6.25|"&amp;CD115,CODIFICACION!$F$2:$F$500,0))),"⚠"))</f>
        <v/>
      </c>
      <c r="AZ115" t="str">
        <f>IF(CE115="","",IFERROR(IF(INDEX(CODIFICACION!$E$2:$E$500,MATCH("D6.25a|"&amp;CE115,CODIFICACION!$F$2:$F$500,0))="sin dato","",INDEX(CODIFICACION!$E$2:$E$500,MATCH("D6.25a|"&amp;CE115,CODIFICACION!$F$2:$F$500,0))),"⚠"))</f>
        <v/>
      </c>
      <c r="BA115" t="str">
        <f>IF(CF115="","",IFERROR(IF(INDEX(CODIFICACION!$E$2:$E$500,MATCH("D6.25b|"&amp;CF115,CODIFICACION!$F$2:$F$500,0))="sin dato","",INDEX(CODIFICACION!$E$2:$E$500,MATCH("D6.25b|"&amp;CF115,CODIFICACION!$F$2:$F$500,0))),"⚠"))</f>
        <v/>
      </c>
      <c r="BB115" t="str">
        <f ca="1">IF(CG115="","",IFERROR(IF(INDEX(CODIFICACION!$E$2:$E$500,MATCH("D6.22c|"&amp;CG115,CODIFICACION!$F$2:$F$500,0))="sin dato","",INDEX(CODIFICACION!$E$2:$E$500,MATCH("D6.22c|"&amp;CG115,CODIFICACION!$F$2:$F$500,0))),"⚠"))</f>
        <v/>
      </c>
      <c r="BC115" t="str">
        <f ca="1">IF(CH115="","",IFERROR(IF(INDEX(CODIFICACION!$E$2:$E$500,MATCH("D7.26|"&amp;CH115,CODIFICACION!$F$2:$F$500,0))="sin dato","",INDEX(CODIFICACION!$E$2:$E$500,MATCH("D7.26|"&amp;CH115,CODIFICACION!$F$2:$F$500,0))),"⚠"))</f>
        <v/>
      </c>
      <c r="BD115" t="str">
        <f>IF(CI115="","",IFERROR(IF(INDEX(CODIFICACION!$E$2:$E$500,MATCH("D7.27|"&amp;CI115,CODIFICACION!$F$2:$F$500,0))="sin dato","",INDEX(CODIFICACION!$E$2:$E$500,MATCH("D7.27|"&amp;CI115,CODIFICACION!$F$2:$F$500,0))),"⚠"))</f>
        <v/>
      </c>
      <c r="BE115" t="str">
        <f>IF(CJ115="","",IFERROR(IF(INDEX(CODIFICACION!$E$2:$E$500,MATCH("D7.28|"&amp;CJ115,CODIFICACION!$F$2:$F$500,0))="sin dato","",INDEX(CODIFICACION!$E$2:$E$500,MATCH("D7.28|"&amp;CJ115,CODIFICACION!$F$2:$F$500,0))),"⚠"))</f>
        <v/>
      </c>
      <c r="BF115" t="str">
        <f>IF(CK115="","",IFERROR(IF(INDEX(CODIFICACION!$E$2:$E$500,MATCH("D7.28b|"&amp;CK115,CODIFICACION!$F$2:$F$500,0))="sin dato","",INDEX(CODIFICACION!$E$2:$E$500,MATCH("D7.28b|"&amp;CK115,CODIFICACION!$F$2:$F$500,0))),"⚠"))</f>
        <v/>
      </c>
      <c r="BG115" t="str">
        <f t="shared" si="85"/>
        <v/>
      </c>
      <c r="BH115" t="str">
        <f>IF(CM115="","",IFERROR(IF(INDEX(CODIFICACION!$E$2:$E$500,MATCH("D7.26a|"&amp;CM115,CODIFICACION!$F$2:$F$500,0))="sin dato","",INDEX(CODIFICACION!$E$2:$E$500,MATCH("D7.26a|"&amp;CM115,CODIFICACION!$F$2:$F$500,0))),"⚠"))</f>
        <v/>
      </c>
      <c r="BI115" t="str">
        <f>IF(CN115="","",IFERROR(IF(INDEX(CODIFICACION!$E$2:$E$500,MATCH("D7.26b|"&amp;CN115,CODIFICACION!$F$2:$F$500,0))="sin dato","",INDEX(CODIFICACION!$E$2:$E$500,MATCH("D7.26b|"&amp;CN115,CODIFICACION!$F$2:$F$500,0))),"⚠"))</f>
        <v/>
      </c>
      <c r="BJ115" t="str">
        <f t="shared" si="86"/>
        <v/>
      </c>
      <c r="BK115" t="str">
        <f t="shared" si="87"/>
        <v/>
      </c>
      <c r="BL115" t="str">
        <f>IF(CQ115="","",IFERROR(IF(INDEX(CODIFICACION!$E$2:$E$500,MATCH("D8.31|"&amp;CQ115,CODIFICACION!$F$2:$F$500,0))="sin dato","",INDEX(CODIFICACION!$E$2:$E$500,MATCH("D8.31|"&amp;CQ115,CODIFICACION!$F$2:$F$500,0))),"⚠"))</f>
        <v/>
      </c>
      <c r="BM115" t="str">
        <f>IF(CR115="","",IFERROR(IF(INDEX(CODIFICACION!$E$2:$E$500,MATCH("D8.32|"&amp;CR115,CODIFICACION!$F$2:$F$500,0))="sin dato","",INDEX(CODIFICACION!$E$2:$E$500,MATCH("D8.32|"&amp;CR115,CODIFICACION!$F$2:$F$500,0))),"⚠"))</f>
        <v/>
      </c>
      <c r="BN115" t="str">
        <f>IF(CS115="","",IFERROR(IF(INDEX(CODIFICACION!$E$2:$E$500,MATCH("D9.33|"&amp;CS115,CODIFICACION!$F$2:$F$500,0))="sin dato","",INDEX(CODIFICACION!$E$2:$E$500,MATCH("D9.33|"&amp;CS115,CODIFICACION!$F$2:$F$500,0))),"⚠"))</f>
        <v/>
      </c>
      <c r="BO115" t="str">
        <f>IF(CT115="","",IFERROR(IF(INDEX(CODIFICACION!$E$2:$E$500,MATCH("D9.34|"&amp;CT115,CODIFICACION!$F$2:$F$500,0))="sin dato","",INDEX(CODIFICACION!$E$2:$E$500,MATCH("D9.34|"&amp;CT115,CODIFICACION!$F$2:$F$500,0))),"⚠"))</f>
        <v/>
      </c>
      <c r="BP115" t="str">
        <f>IF(CU115="","",IFERROR(IF(INDEX(CODIFICACION!$E$2:$E$500,MATCH("D9.35|"&amp;CU115,CODIFICACION!$F$2:$F$500,0))="sin dato","",INDEX(CODIFICACION!$E$2:$E$500,MATCH("D9.35|"&amp;CU115,CODIFICACION!$F$2:$F$500,0))),"⚠"))</f>
        <v/>
      </c>
      <c r="BQ115" t="str">
        <f>IF(CV115="","",IFERROR(IF(INDEX(CODIFICACION!$E$2:$E$500,MATCH("D10.36|"&amp;CV115,CODIFICACION!$F$2:$F$500,0))="sin dato","",INDEX(CODIFICACION!$E$2:$E$500,MATCH("D10.36|"&amp;CV115,CODIFICACION!$F$2:$F$500,0))),"⚠"))</f>
        <v/>
      </c>
      <c r="BR115" t="str">
        <f>IF(CW115="","",IFERROR(IF(INDEX(CODIFICACION!$E$2:$E$500,MATCH("D10.37|"&amp;CW115,CODIFICACION!$F$2:$F$500,0))="sin dato","",INDEX(CODIFICACION!$E$2:$E$500,MATCH("D10.37|"&amp;CW115,CODIFICACION!$F$2:$F$500,0))),"⚠"))</f>
        <v/>
      </c>
      <c r="BS115" t="str">
        <f>IF(CX115="","",IFERROR(IF(INDEX(CODIFICACION!$E$2:$E$500,MATCH("D10.36a|"&amp;CX115,CODIFICACION!$F$2:$F$500,0))="sin dato","",INDEX(CODIFICACION!$E$2:$E$500,MATCH("D10.36a|"&amp;CX115,CODIFICACION!$F$2:$F$500,0))),"⚠"))</f>
        <v/>
      </c>
      <c r="BT115" t="str">
        <f t="shared" si="88"/>
        <v/>
      </c>
      <c r="BU115" t="str">
        <f>IF(DA115="","",IFERROR(IF(INDEX(CODIFICACION!$E$2:$E$500,MATCH("D11.39a|"&amp;DA115,CODIFICACION!$F$2:$F$500,0))="sin dato","",INDEX(CODIFICACION!$E$2:$E$500,MATCH("D11.39a|"&amp;DA115,CODIFICACION!$F$2:$F$500,0))),"⚠"))</f>
        <v/>
      </c>
      <c r="BV115" t="str">
        <f>IF(DB115="","",IFERROR(IF(INDEX(CODIFICACION!$E$2:$E$500,MATCH("D12.42|"&amp;DB115,CODIFICACION!$F$2:$F$500,0))="sin dato","",INDEX(CODIFICACION!$E$2:$E$500,MATCH("D12.42|"&amp;DB115,CODIFICACION!$F$2:$F$500,0))),"⚠"))</f>
        <v/>
      </c>
      <c r="BW115" t="str">
        <f>IF(DC115="","",IFERROR(IF(INDEX(CODIFICACION!$E$2:$E$500,MATCH("D13.45|"&amp;DC115,CODIFICACION!$F$2:$F$500,0))="sin dato","",INDEX(CODIFICACION!$E$2:$E$500,MATCH("D13.45|"&amp;DC115,CODIFICACION!$F$2:$F$500,0))),"⚠"))</f>
        <v/>
      </c>
      <c r="BX115" t="str">
        <f>IF(DD115="","",IFERROR(IF(INDEX(CODIFICACION!$E$2:$E$500,MATCH("D14.51|"&amp;DD115,CODIFICACION!$F$2:$F$500,0))="sin dato","",INDEX(CODIFICACION!$E$2:$E$500,MATCH("D14.51|"&amp;DD115,CODIFICACION!$F$2:$F$500,0))),"⚠"))</f>
        <v/>
      </c>
      <c r="BY115" t="str">
        <f>IF(DE115="","",IFERROR(IF(INDEX(CODIFICACION!$E$2:$E$500,MATCH("D15.58|"&amp;DE115,CODIFICACION!$F$2:$F$500,0))="sin dato","",INDEX(CODIFICACION!$E$2:$E$500,MATCH("D15.58|"&amp;DE115,CODIFICACION!$F$2:$F$500,0))),"⚠"))</f>
        <v/>
      </c>
      <c r="BZ115" t="str">
        <f>IF(DF115="","",IFERROR(IF(INDEX(CODIFICACION!$E$2:$E$500,MATCH("PP1|"&amp;DF115,CODIFICACION!$F$2:$F$500,0))="sin dato","",INDEX(CODIFICACION!$E$2:$E$500,MATCH("PP1|"&amp;DF115,CODIFICACION!$F$2:$F$500,0))),"⚠"))</f>
        <v/>
      </c>
      <c r="CA115" t="str">
        <f>IF(DG115="","",IFERROR(IF(INDEX(CODIFICACION!$E$2:$E$500,MATCH("PP2|"&amp;DG115,CODIFICACION!$F$2:$F$500,0))="sin dato","",INDEX(CODIFICACION!$E$2:$E$500,MATCH("PP2|"&amp;DG115,CODIFICACION!$F$2:$F$500,0))),"⚠"))</f>
        <v/>
      </c>
      <c r="CB115" t="str">
        <f t="shared" si="89"/>
        <v/>
      </c>
      <c r="CC115" t="str">
        <f t="shared" ca="1" si="90"/>
        <v/>
      </c>
      <c r="CD115" t="str">
        <f t="shared" ca="1" si="91"/>
        <v/>
      </c>
      <c r="CE115" t="str">
        <f t="shared" si="92"/>
        <v/>
      </c>
      <c r="CF115" t="str">
        <f t="shared" si="93"/>
        <v/>
      </c>
      <c r="CG115" t="str">
        <f t="shared" ca="1" si="94"/>
        <v/>
      </c>
      <c r="CH115" t="str">
        <f t="shared" ca="1" si="95"/>
        <v/>
      </c>
      <c r="CI115" t="str">
        <f t="shared" si="96"/>
        <v/>
      </c>
      <c r="CJ115" t="str">
        <f t="shared" si="97"/>
        <v/>
      </c>
      <c r="CK115" t="str">
        <f t="shared" si="98"/>
        <v/>
      </c>
      <c r="CL115" t="str">
        <f t="shared" si="99"/>
        <v/>
      </c>
    </row>
    <row r="116" spans="1:90" x14ac:dyDescent="0.3">
      <c r="A116">
        <f>CAPTURA!A116</f>
        <v>20600874919</v>
      </c>
      <c r="B116">
        <f>CAPTURA!C116</f>
        <v>0</v>
      </c>
      <c r="C116" t="str">
        <f t="shared" si="75"/>
        <v/>
      </c>
      <c r="D116" t="str">
        <f>IF(AE116="","",IFERROR(IF(INDEX(CODIFICACION!$E$2:$E$500,MATCH("P8|"&amp;AE116,CODIFICACION!$F$2:$F$500,0))="sin dato","",INDEX(CODIFICACION!$E$2:$E$500,MATCH("P8|"&amp;AE116,CODIFICACION!$F$2:$F$500,0))),"⚠"))</f>
        <v/>
      </c>
      <c r="E116" t="str">
        <f>IF(AG116="","",IFERROR(IF(INDEX(CODIFICACION!$E$2:$E$500,MATCH("P10|"&amp;AG116,CODIFICACION!$F$2:$F$500,0))="sin dato","",INDEX(CODIFICACION!$E$2:$E$500,MATCH("P10|"&amp;AG116,CODIFICACION!$F$2:$F$500,0))),"⚠"))</f>
        <v/>
      </c>
      <c r="F116" t="str">
        <f>IF(AJ116="","",IFERROR(IF(INDEX(CODIFICACION!$E$2:$E$500,MATCH("P13|"&amp;AJ116,CODIFICACION!$F$2:$F$500,0))="sin dato","",INDEX(CODIFICACION!$E$2:$E$500,MATCH("P13|"&amp;AJ116,CODIFICACION!$F$2:$F$500,0))),"⚠"))</f>
        <v/>
      </c>
      <c r="G116" t="str">
        <f>IF(AK116="","",IFERROR(IF(INDEX(CODIFICACION!$E$2:$E$500,MATCH("P14|"&amp;AK116,CODIFICACION!$F$2:$F$500,0))="sin dato","",INDEX(CODIFICACION!$E$2:$E$500,MATCH("P14|"&amp;AK116,CODIFICACION!$F$2:$F$500,0))),"⚠"))</f>
        <v/>
      </c>
      <c r="H116" t="str">
        <f>IF(AL116="","",IFERROR(IF(INDEX(CODIFICACION!$E$2:$E$500,MATCH("D1.1|"&amp;AL116,CODIFICACION!$F$2:$F$500,0))="sin dato","",INDEX(CODIFICACION!$E$2:$E$500,MATCH("D1.1|"&amp;AL116,CODIFICACION!$F$2:$F$500,0))),"⚠"))</f>
        <v/>
      </c>
      <c r="I116" t="str">
        <f>IF(AN116="","",IFERROR(IF(INDEX(CODIFICACION!$E$2:$E$500,MATCH("D1.3|"&amp;AN116,CODIFICACION!$F$2:$F$500,0))="sin dato","",INDEX(CODIFICACION!$E$2:$E$500,MATCH("D1.3|"&amp;AN116,CODIFICACION!$F$2:$F$500,0))),"⚠"))</f>
        <v/>
      </c>
      <c r="J116" t="str">
        <f>IF(AO116="","",IFERROR(IF(INDEX(CODIFICACION!$E$2:$E$500,MATCH("D1.4|"&amp;AO116,CODIFICACION!$F$2:$F$500,0))="sin dato","",INDEX(CODIFICACION!$E$2:$E$500,MATCH("D1.4|"&amp;AO116,CODIFICACION!$F$2:$F$500,0))),"⚠"))</f>
        <v/>
      </c>
      <c r="K116" t="str">
        <f>IF(AP116="","",IFERROR(IF(INDEX(CODIFICACION!$E$2:$E$500,MATCH("D1.3a|"&amp;AP116,CODIFICACION!$F$2:$F$500,0))="sin dato","",INDEX(CODIFICACION!$E$2:$E$500,MATCH("D1.3a|"&amp;AP116,CODIFICACION!$F$2:$F$500,0))),"⚠"))</f>
        <v/>
      </c>
      <c r="L116" t="str">
        <f t="shared" si="76"/>
        <v/>
      </c>
      <c r="M116" t="str">
        <f t="shared" si="77"/>
        <v/>
      </c>
      <c r="N116" t="str">
        <f t="shared" si="78"/>
        <v/>
      </c>
      <c r="O116" t="str">
        <f>IF(AT116="","",IFERROR(IF(INDEX(CODIFICACION!$E$2:$E$500,MATCH("D2.8|"&amp;AT116,CODIFICACION!$F$2:$F$500,0))="sin dato","",INDEX(CODIFICACION!$E$2:$E$500,MATCH("D2.8|"&amp;AT116,CODIFICACION!$F$2:$F$500,0))),"⚠"))</f>
        <v/>
      </c>
      <c r="P116" t="str">
        <f>IF(AU116="","",IFERROR(IF(INDEX(CODIFICACION!$E$2:$E$500,MATCH("D2.9|"&amp;AU116,CODIFICACION!$F$2:$F$500,0))="sin dato","",INDEX(CODIFICACION!$E$2:$E$500,MATCH("D2.9|"&amp;AU116,CODIFICACION!$F$2:$F$500,0))),"⚠"))</f>
        <v/>
      </c>
      <c r="Q116" t="str">
        <f>IF(AV116="","",IFERROR(IF(INDEX(CODIFICACION!$E$2:$E$500,MATCH("D2.10|"&amp;AV116,CODIFICACION!$F$2:$F$500,0))="sin dato","",INDEX(CODIFICACION!$E$2:$E$500,MATCH("D2.10|"&amp;AV116,CODIFICACION!$F$2:$F$500,0))),"⚠"))</f>
        <v/>
      </c>
      <c r="R116" t="str">
        <f>IF(AW116="","",IFERROR(IF(INDEX(CODIFICACION!$E$2:$E$500,MATCH("D2.5a|"&amp;AW116,CODIFICACION!$F$2:$F$500,0))="sin dato","",INDEX(CODIFICACION!$E$2:$E$500,MATCH("D2.5a|"&amp;AW116,CODIFICACION!$F$2:$F$500,0))),"⚠"))</f>
        <v/>
      </c>
      <c r="S116" t="str">
        <f ca="1">IF(AX116="","",IFERROR(IF(INDEX(CODIFICACION!$E$2:$E$500,MATCH("D2.5b|"&amp;AX116,CODIFICACION!$F$2:$F$500,0))="sin dato","",INDEX(CODIFICACION!$E$2:$E$500,MATCH("D2.5b|"&amp;AX116,CODIFICACION!$F$2:$F$500,0))),"⚠"))</f>
        <v/>
      </c>
      <c r="T116" t="str">
        <f t="shared" ca="1" si="79"/>
        <v/>
      </c>
      <c r="U116" t="str">
        <f>IF(AZ116="","",IFERROR(IF(INDEX(CODIFICACION!$E$2:$E$500,MATCH("D3.12|"&amp;AZ116,CODIFICACION!$F$2:$F$500,0))="sin dato","",INDEX(CODIFICACION!$E$2:$E$500,MATCH("D3.12|"&amp;AZ116,CODIFICACION!$F$2:$F$500,0))),"⚠"))</f>
        <v/>
      </c>
      <c r="V116" t="str">
        <f t="shared" si="80"/>
        <v/>
      </c>
      <c r="W116" t="str">
        <f ca="1">IF(BB116="","",IFERROR(IF(INDEX(CODIFICACION!$E$2:$E$500,MATCH("D3.14|"&amp;BB116,CODIFICACION!$F$2:$F$500,0))="sin dato","",INDEX(CODIFICACION!$E$2:$E$500,MATCH("D3.14|"&amp;BB116,CODIFICACION!$F$2:$F$500,0))),"⚠"))</f>
        <v/>
      </c>
      <c r="X116" t="str">
        <f ca="1">IF(BC116="","",IFERROR(IF(INDEX(CODIFICACION!$E$2:$E$500,MATCH("D3.14a|"&amp;BC116,CODIFICACION!$F$2:$F$500,0))="sin dato","",INDEX(CODIFICACION!$E$2:$E$500,MATCH("D3.14a|"&amp;BC116,CODIFICACION!$F$2:$F$500,0))),"⚠"))</f>
        <v/>
      </c>
      <c r="Y116" t="str">
        <f>IF(BD116="","",IFERROR(IF(INDEX(CODIFICACION!$E$2:$E$500,MATCH("D3.14b|"&amp;BD116,CODIFICACION!$F$2:$F$500,0))="sin dato","",INDEX(CODIFICACION!$E$2:$E$500,MATCH("D3.14b|"&amp;BD116,CODIFICACION!$F$2:$F$500,0))),"⚠"))</f>
        <v/>
      </c>
      <c r="Z116" t="str">
        <f>IF(BE116="","",IFERROR(IF(INDEX(CODIFICACION!$E$2:$E$500,MATCH("D3.14c|"&amp;BE116,CODIFICACION!$F$2:$F$500,0))="sin dato","",INDEX(CODIFICACION!$E$2:$E$500,MATCH("D3.14c|"&amp;BE116,CODIFICACION!$F$2:$F$500,0))),"⚠"))</f>
        <v/>
      </c>
      <c r="AA116" t="str">
        <f>IF(BF116="","",IFERROR(IF(INDEX(CODIFICACION!$E$2:$E$500,MATCH("D3.14d|"&amp;BF116,CODIFICACION!$F$2:$F$500,0))="sin dato","",INDEX(CODIFICACION!$E$2:$E$500,MATCH("D3.14d|"&amp;BF116,CODIFICACION!$F$2:$F$500,0))),"⚠"))</f>
        <v/>
      </c>
      <c r="AB116" t="str">
        <f>IF(BG116="","",IFERROR(IF(INDEX(CODIFICACION!$E$2:$E$500,MATCH("D3.14e|"&amp;BG116,CODIFICACION!$F$2:$F$500,0))="sin dato","",INDEX(CODIFICACION!$E$2:$E$500,MATCH("D3.14e|"&amp;BG116,CODIFICACION!$F$2:$F$500,0))),"⚠"))</f>
        <v/>
      </c>
      <c r="AC116" t="str">
        <f>IF(BH116="","",IFERROR(IF(INDEX(CODIFICACION!$E$2:$E$500,MATCH("D3.14f|"&amp;BH116,CODIFICACION!$F$2:$F$500,0))="sin dato","",INDEX(CODIFICACION!$E$2:$E$500,MATCH("D3.14f|"&amp;BH116,CODIFICACION!$F$2:$F$500,0))),"⚠"))</f>
        <v/>
      </c>
      <c r="AD116" t="str">
        <f>IF(BI116="","",IFERROR(IF(INDEX(CODIFICACION!$E$2:$E$500,MATCH("D3.14g|"&amp;BI116,CODIFICACION!$F$2:$F$500,0))="sin dato","",INDEX(CODIFICACION!$E$2:$E$500,MATCH("D3.14g|"&amp;BI116,CODIFICACION!$F$2:$F$500,0))),"⚠"))</f>
        <v/>
      </c>
      <c r="AE116" t="str">
        <f>IF(BJ116="","",IFERROR(IF(INDEX(CODIFICACION!$E$2:$E$500,MATCH("D3.14h|"&amp;BJ116,CODIFICACION!$F$2:$F$500,0))="sin dato","",INDEX(CODIFICACION!$E$2:$E$500,MATCH("D3.14h|"&amp;BJ116,CODIFICACION!$F$2:$F$500,0))),"⚠"))</f>
        <v/>
      </c>
      <c r="AF116" t="str">
        <f>IF(BK116="","",IFERROR(IF(INDEX(CODIFICACION!$E$2:$E$500,MATCH("D3.14i|"&amp;BK116,CODIFICACION!$F$2:$F$500,0))="sin dato","",INDEX(CODIFICACION!$E$2:$E$500,MATCH("D3.14i|"&amp;BK116,CODIFICACION!$F$2:$F$500,0))),"⚠"))</f>
        <v/>
      </c>
      <c r="AG116" t="str">
        <f>IF(BL116="","",IFERROR(IF(INDEX(CODIFICACION!$E$2:$E$500,MATCH("D4.15|"&amp;BL116,CODIFICACION!$F$2:$F$500,0))="sin dato","",INDEX(CODIFICACION!$E$2:$E$500,MATCH("D4.15|"&amp;BL116,CODIFICACION!$F$2:$F$500,0))),"⚠"))</f>
        <v/>
      </c>
      <c r="AH116" t="str">
        <f t="shared" si="81"/>
        <v/>
      </c>
      <c r="AI116" t="str">
        <f>IF(BN116="","",IFERROR(IF(INDEX(CODIFICACION!$E$2:$E$500,MATCH("D4.17|"&amp;BN116,CODIFICACION!$F$2:$F$500,0))="sin dato","",INDEX(CODIFICACION!$E$2:$E$500,MATCH("D4.17|"&amp;BN116,CODIFICACION!$F$2:$F$500,0))),"⚠"))</f>
        <v/>
      </c>
      <c r="AJ116" t="str">
        <f>IF(BO116="","",IFERROR(IF(INDEX(CODIFICACION!$E$2:$E$500,MATCH("D4.15a|"&amp;BO116,CODIFICACION!$F$2:$F$500,0))="sin dato","",INDEX(CODIFICACION!$E$2:$E$500,MATCH("D4.15a|"&amp;BO116,CODIFICACION!$F$2:$F$500,0))),"⚠"))</f>
        <v/>
      </c>
      <c r="AK116" t="str">
        <f t="shared" si="82"/>
        <v/>
      </c>
      <c r="AL116" t="str">
        <f t="shared" si="83"/>
        <v/>
      </c>
      <c r="AM116" t="str">
        <f>IF(BR116="","",IFERROR(IF(INDEX(CODIFICACION!$E$2:$E$500,MATCH("D5.18b|"&amp;BR116,CODIFICACION!$F$2:$F$500,0))="sin dato","",INDEX(CODIFICACION!$E$2:$E$500,MATCH("D5.18b|"&amp;BR116,CODIFICACION!$F$2:$F$500,0))),"⚠"))</f>
        <v/>
      </c>
      <c r="AN116" t="str">
        <f>IF(BS116="","",IFERROR(IF(INDEX(CODIFICACION!$E$2:$E$500,MATCH("D5.19|"&amp;BS116,CODIFICACION!$F$2:$F$500,0))="sin dato","",INDEX(CODIFICACION!$E$2:$E$500,MATCH("D5.19|"&amp;BS116,CODIFICACION!$F$2:$F$500,0))),"⚠"))</f>
        <v/>
      </c>
      <c r="AO116" t="str">
        <f t="shared" si="84"/>
        <v/>
      </c>
      <c r="AP116" t="str">
        <f>IF(BU116="","",IFERROR(IF(INDEX(CODIFICACION!$E$2:$E$500,MATCH("D5.20|"&amp;BU116,CODIFICACION!$F$2:$F$500,0))="sin dato","",INDEX(CODIFICACION!$E$2:$E$500,MATCH("D5.20|"&amp;BU116,CODIFICACION!$F$2:$F$500,0))),"⚠"))</f>
        <v/>
      </c>
      <c r="AQ116" t="str">
        <f>IF(BV116="","",IFERROR(IF(INDEX(CODIFICACION!$E$2:$E$500,MATCH("D5.21|"&amp;BV116,CODIFICACION!$F$2:$F$500,0))="sin dato","",INDEX(CODIFICACION!$E$2:$E$500,MATCH("D5.21|"&amp;BV116,CODIFICACION!$F$2:$F$500,0))),"⚠"))</f>
        <v/>
      </c>
      <c r="AR116" t="str">
        <f>IF(BW116="","",IFERROR(IF(INDEX(CODIFICACION!$E$2:$E$500,MATCH("D5.21a|"&amp;BW116,CODIFICACION!$F$2:$F$500,0))="sin dato","",INDEX(CODIFICACION!$E$2:$E$500,MATCH("D5.21a|"&amp;BW116,CODIFICACION!$F$2:$F$500,0))),"⚠"))</f>
        <v/>
      </c>
      <c r="AS116" t="str">
        <f>IF(BX116="","",IFERROR(IF(INDEX(CODIFICACION!$E$2:$E$500,MATCH("D5.21b|"&amp;BX116,CODIFICACION!$F$2:$F$500,0))="sin dato","",INDEX(CODIFICACION!$E$2:$E$500,MATCH("D5.21b|"&amp;BX116,CODIFICACION!$F$2:$F$500,0))),"⚠"))</f>
        <v/>
      </c>
      <c r="AT116" t="str">
        <f>IF(BY116="","",IFERROR(IF(INDEX(CODIFICACION!$E$2:$E$500,MATCH("D6.22|"&amp;BY116,CODIFICACION!$F$2:$F$500,0))="sin dato","",INDEX(CODIFICACION!$E$2:$E$500,MATCH("D6.22|"&amp;BY116,CODIFICACION!$F$2:$F$500,0))),"⚠"))</f>
        <v/>
      </c>
      <c r="AU116" t="str">
        <f>IF(BZ116="","",IFERROR(IF(INDEX(CODIFICACION!$E$2:$E$500,MATCH("D6.22a|"&amp;BZ116,CODIFICACION!$F$2:$F$500,0))="sin dato","",INDEX(CODIFICACION!$E$2:$E$500,MATCH("D6.22a|"&amp;BZ116,CODIFICACION!$F$2:$F$500,0))),"⚠"))</f>
        <v/>
      </c>
      <c r="AV116" t="str">
        <f>IF(CA116="","",IFERROR(IF(INDEX(CODIFICACION!$E$2:$E$500,MATCH("D6.22b|"&amp;CA116,CODIFICACION!$F$2:$F$500,0))="sin dato","",INDEX(CODIFICACION!$E$2:$E$500,MATCH("D6.22b|"&amp;CA116,CODIFICACION!$F$2:$F$500,0))),"⚠"))</f>
        <v/>
      </c>
      <c r="AW116" t="str">
        <f>IF(CB116="","",IFERROR(IF(INDEX(CODIFICACION!$E$2:$E$500,MATCH("D6.23|"&amp;CB116,CODIFICACION!$F$2:$F$500,0))="sin dato","",INDEX(CODIFICACION!$E$2:$E$500,MATCH("D6.23|"&amp;CB116,CODIFICACION!$F$2:$F$500,0))),"⚠"))</f>
        <v/>
      </c>
      <c r="AX116" t="str">
        <f ca="1">IF(CC116="","",IFERROR(IF(INDEX(CODIFICACION!$E$2:$E$500,MATCH("D6.24|"&amp;CC116,CODIFICACION!$F$2:$F$500,0))="sin dato","",INDEX(CODIFICACION!$E$2:$E$500,MATCH("D6.24|"&amp;CC116,CODIFICACION!$F$2:$F$500,0))),"⚠"))</f>
        <v/>
      </c>
      <c r="AY116" t="str">
        <f ca="1">IF(CD116="","",IFERROR(IF(INDEX(CODIFICACION!$E$2:$E$500,MATCH("D6.25|"&amp;CD116,CODIFICACION!$F$2:$F$500,0))="sin dato","",INDEX(CODIFICACION!$E$2:$E$500,MATCH("D6.25|"&amp;CD116,CODIFICACION!$F$2:$F$500,0))),"⚠"))</f>
        <v/>
      </c>
      <c r="AZ116" t="str">
        <f>IF(CE116="","",IFERROR(IF(INDEX(CODIFICACION!$E$2:$E$500,MATCH("D6.25a|"&amp;CE116,CODIFICACION!$F$2:$F$500,0))="sin dato","",INDEX(CODIFICACION!$E$2:$E$500,MATCH("D6.25a|"&amp;CE116,CODIFICACION!$F$2:$F$500,0))),"⚠"))</f>
        <v/>
      </c>
      <c r="BA116" t="str">
        <f>IF(CF116="","",IFERROR(IF(INDEX(CODIFICACION!$E$2:$E$500,MATCH("D6.25b|"&amp;CF116,CODIFICACION!$F$2:$F$500,0))="sin dato","",INDEX(CODIFICACION!$E$2:$E$500,MATCH("D6.25b|"&amp;CF116,CODIFICACION!$F$2:$F$500,0))),"⚠"))</f>
        <v/>
      </c>
      <c r="BB116" t="str">
        <f ca="1">IF(CG116="","",IFERROR(IF(INDEX(CODIFICACION!$E$2:$E$500,MATCH("D6.22c|"&amp;CG116,CODIFICACION!$F$2:$F$500,0))="sin dato","",INDEX(CODIFICACION!$E$2:$E$500,MATCH("D6.22c|"&amp;CG116,CODIFICACION!$F$2:$F$500,0))),"⚠"))</f>
        <v/>
      </c>
      <c r="BC116" t="str">
        <f ca="1">IF(CH116="","",IFERROR(IF(INDEX(CODIFICACION!$E$2:$E$500,MATCH("D7.26|"&amp;CH116,CODIFICACION!$F$2:$F$500,0))="sin dato","",INDEX(CODIFICACION!$E$2:$E$500,MATCH("D7.26|"&amp;CH116,CODIFICACION!$F$2:$F$500,0))),"⚠"))</f>
        <v/>
      </c>
      <c r="BD116" t="str">
        <f>IF(CI116="","",IFERROR(IF(INDEX(CODIFICACION!$E$2:$E$500,MATCH("D7.27|"&amp;CI116,CODIFICACION!$F$2:$F$500,0))="sin dato","",INDEX(CODIFICACION!$E$2:$E$500,MATCH("D7.27|"&amp;CI116,CODIFICACION!$F$2:$F$500,0))),"⚠"))</f>
        <v/>
      </c>
      <c r="BE116" t="str">
        <f>IF(CJ116="","",IFERROR(IF(INDEX(CODIFICACION!$E$2:$E$500,MATCH("D7.28|"&amp;CJ116,CODIFICACION!$F$2:$F$500,0))="sin dato","",INDEX(CODIFICACION!$E$2:$E$500,MATCH("D7.28|"&amp;CJ116,CODIFICACION!$F$2:$F$500,0))),"⚠"))</f>
        <v/>
      </c>
      <c r="BF116" t="str">
        <f>IF(CK116="","",IFERROR(IF(INDEX(CODIFICACION!$E$2:$E$500,MATCH("D7.28b|"&amp;CK116,CODIFICACION!$F$2:$F$500,0))="sin dato","",INDEX(CODIFICACION!$E$2:$E$500,MATCH("D7.28b|"&amp;CK116,CODIFICACION!$F$2:$F$500,0))),"⚠"))</f>
        <v/>
      </c>
      <c r="BG116" t="str">
        <f t="shared" si="85"/>
        <v/>
      </c>
      <c r="BH116" t="str">
        <f>IF(CM116="","",IFERROR(IF(INDEX(CODIFICACION!$E$2:$E$500,MATCH("D7.26a|"&amp;CM116,CODIFICACION!$F$2:$F$500,0))="sin dato","",INDEX(CODIFICACION!$E$2:$E$500,MATCH("D7.26a|"&amp;CM116,CODIFICACION!$F$2:$F$500,0))),"⚠"))</f>
        <v/>
      </c>
      <c r="BI116" t="str">
        <f>IF(CN116="","",IFERROR(IF(INDEX(CODIFICACION!$E$2:$E$500,MATCH("D7.26b|"&amp;CN116,CODIFICACION!$F$2:$F$500,0))="sin dato","",INDEX(CODIFICACION!$E$2:$E$500,MATCH("D7.26b|"&amp;CN116,CODIFICACION!$F$2:$F$500,0))),"⚠"))</f>
        <v/>
      </c>
      <c r="BJ116" t="str">
        <f t="shared" si="86"/>
        <v/>
      </c>
      <c r="BK116" t="str">
        <f t="shared" si="87"/>
        <v/>
      </c>
      <c r="BL116" t="str">
        <f>IF(CQ116="","",IFERROR(IF(INDEX(CODIFICACION!$E$2:$E$500,MATCH("D8.31|"&amp;CQ116,CODIFICACION!$F$2:$F$500,0))="sin dato","",INDEX(CODIFICACION!$E$2:$E$500,MATCH("D8.31|"&amp;CQ116,CODIFICACION!$F$2:$F$500,0))),"⚠"))</f>
        <v/>
      </c>
      <c r="BM116" t="str">
        <f>IF(CR116="","",IFERROR(IF(INDEX(CODIFICACION!$E$2:$E$500,MATCH("D8.32|"&amp;CR116,CODIFICACION!$F$2:$F$500,0))="sin dato","",INDEX(CODIFICACION!$E$2:$E$500,MATCH("D8.32|"&amp;CR116,CODIFICACION!$F$2:$F$500,0))),"⚠"))</f>
        <v/>
      </c>
      <c r="BN116" t="str">
        <f>IF(CS116="","",IFERROR(IF(INDEX(CODIFICACION!$E$2:$E$500,MATCH("D9.33|"&amp;CS116,CODIFICACION!$F$2:$F$500,0))="sin dato","",INDEX(CODIFICACION!$E$2:$E$500,MATCH("D9.33|"&amp;CS116,CODIFICACION!$F$2:$F$500,0))),"⚠"))</f>
        <v/>
      </c>
      <c r="BO116" t="str">
        <f>IF(CT116="","",IFERROR(IF(INDEX(CODIFICACION!$E$2:$E$500,MATCH("D9.34|"&amp;CT116,CODIFICACION!$F$2:$F$500,0))="sin dato","",INDEX(CODIFICACION!$E$2:$E$500,MATCH("D9.34|"&amp;CT116,CODIFICACION!$F$2:$F$500,0))),"⚠"))</f>
        <v/>
      </c>
      <c r="BP116" t="str">
        <f>IF(CU116="","",IFERROR(IF(INDEX(CODIFICACION!$E$2:$E$500,MATCH("D9.35|"&amp;CU116,CODIFICACION!$F$2:$F$500,0))="sin dato","",INDEX(CODIFICACION!$E$2:$E$500,MATCH("D9.35|"&amp;CU116,CODIFICACION!$F$2:$F$500,0))),"⚠"))</f>
        <v/>
      </c>
      <c r="BQ116" t="str">
        <f>IF(CV116="","",IFERROR(IF(INDEX(CODIFICACION!$E$2:$E$500,MATCH("D10.36|"&amp;CV116,CODIFICACION!$F$2:$F$500,0))="sin dato","",INDEX(CODIFICACION!$E$2:$E$500,MATCH("D10.36|"&amp;CV116,CODIFICACION!$F$2:$F$500,0))),"⚠"))</f>
        <v/>
      </c>
      <c r="BR116" t="str">
        <f>IF(CW116="","",IFERROR(IF(INDEX(CODIFICACION!$E$2:$E$500,MATCH("D10.37|"&amp;CW116,CODIFICACION!$F$2:$F$500,0))="sin dato","",INDEX(CODIFICACION!$E$2:$E$500,MATCH("D10.37|"&amp;CW116,CODIFICACION!$F$2:$F$500,0))),"⚠"))</f>
        <v/>
      </c>
      <c r="BS116" t="str">
        <f>IF(CX116="","",IFERROR(IF(INDEX(CODIFICACION!$E$2:$E$500,MATCH("D10.36a|"&amp;CX116,CODIFICACION!$F$2:$F$500,0))="sin dato","",INDEX(CODIFICACION!$E$2:$E$500,MATCH("D10.36a|"&amp;CX116,CODIFICACION!$F$2:$F$500,0))),"⚠"))</f>
        <v/>
      </c>
      <c r="BT116" t="str">
        <f t="shared" si="88"/>
        <v/>
      </c>
      <c r="BU116" t="str">
        <f>IF(DA116="","",IFERROR(IF(INDEX(CODIFICACION!$E$2:$E$500,MATCH("D11.39a|"&amp;DA116,CODIFICACION!$F$2:$F$500,0))="sin dato","",INDEX(CODIFICACION!$E$2:$E$500,MATCH("D11.39a|"&amp;DA116,CODIFICACION!$F$2:$F$500,0))),"⚠"))</f>
        <v/>
      </c>
      <c r="BV116" t="str">
        <f>IF(DB116="","",IFERROR(IF(INDEX(CODIFICACION!$E$2:$E$500,MATCH("D12.42|"&amp;DB116,CODIFICACION!$F$2:$F$500,0))="sin dato","",INDEX(CODIFICACION!$E$2:$E$500,MATCH("D12.42|"&amp;DB116,CODIFICACION!$F$2:$F$500,0))),"⚠"))</f>
        <v/>
      </c>
      <c r="BW116" t="str">
        <f>IF(DC116="","",IFERROR(IF(INDEX(CODIFICACION!$E$2:$E$500,MATCH("D13.45|"&amp;DC116,CODIFICACION!$F$2:$F$500,0))="sin dato","",INDEX(CODIFICACION!$E$2:$E$500,MATCH("D13.45|"&amp;DC116,CODIFICACION!$F$2:$F$500,0))),"⚠"))</f>
        <v/>
      </c>
      <c r="BX116" t="str">
        <f>IF(DD116="","",IFERROR(IF(INDEX(CODIFICACION!$E$2:$E$500,MATCH("D14.51|"&amp;DD116,CODIFICACION!$F$2:$F$500,0))="sin dato","",INDEX(CODIFICACION!$E$2:$E$500,MATCH("D14.51|"&amp;DD116,CODIFICACION!$F$2:$F$500,0))),"⚠"))</f>
        <v/>
      </c>
      <c r="BY116" t="str">
        <f>IF(DE116="","",IFERROR(IF(INDEX(CODIFICACION!$E$2:$E$500,MATCH("D15.58|"&amp;DE116,CODIFICACION!$F$2:$F$500,0))="sin dato","",INDEX(CODIFICACION!$E$2:$E$500,MATCH("D15.58|"&amp;DE116,CODIFICACION!$F$2:$F$500,0))),"⚠"))</f>
        <v/>
      </c>
      <c r="BZ116" t="str">
        <f>IF(DF116="","",IFERROR(IF(INDEX(CODIFICACION!$E$2:$E$500,MATCH("PP1|"&amp;DF116,CODIFICACION!$F$2:$F$500,0))="sin dato","",INDEX(CODIFICACION!$E$2:$E$500,MATCH("PP1|"&amp;DF116,CODIFICACION!$F$2:$F$500,0))),"⚠"))</f>
        <v/>
      </c>
      <c r="CA116" t="str">
        <f>IF(DG116="","",IFERROR(IF(INDEX(CODIFICACION!$E$2:$E$500,MATCH("PP2|"&amp;DG116,CODIFICACION!$F$2:$F$500,0))="sin dato","",INDEX(CODIFICACION!$E$2:$E$500,MATCH("PP2|"&amp;DG116,CODIFICACION!$F$2:$F$500,0))),"⚠"))</f>
        <v/>
      </c>
      <c r="CB116" t="str">
        <f t="shared" si="89"/>
        <v/>
      </c>
      <c r="CC116" t="str">
        <f t="shared" ca="1" si="90"/>
        <v/>
      </c>
      <c r="CD116" t="str">
        <f t="shared" ca="1" si="91"/>
        <v/>
      </c>
      <c r="CE116" t="str">
        <f t="shared" si="92"/>
        <v/>
      </c>
      <c r="CF116" t="str">
        <f t="shared" si="93"/>
        <v/>
      </c>
      <c r="CG116" t="str">
        <f t="shared" ca="1" si="94"/>
        <v/>
      </c>
      <c r="CH116" t="str">
        <f t="shared" ca="1" si="95"/>
        <v/>
      </c>
      <c r="CI116" t="str">
        <f t="shared" si="96"/>
        <v/>
      </c>
      <c r="CJ116" t="str">
        <f t="shared" si="97"/>
        <v/>
      </c>
      <c r="CK116" t="str">
        <f t="shared" si="98"/>
        <v/>
      </c>
      <c r="CL116" t="str">
        <f t="shared" si="99"/>
        <v/>
      </c>
    </row>
    <row r="117" spans="1:90" x14ac:dyDescent="0.3">
      <c r="A117">
        <f>CAPTURA!A117</f>
        <v>20600964080</v>
      </c>
      <c r="B117">
        <f>CAPTURA!C117</f>
        <v>0</v>
      </c>
      <c r="C117" t="str">
        <f t="shared" si="75"/>
        <v/>
      </c>
      <c r="D117" t="str">
        <f>IF(AE117="","",IFERROR(IF(INDEX(CODIFICACION!$E$2:$E$500,MATCH("P8|"&amp;AE117,CODIFICACION!$F$2:$F$500,0))="sin dato","",INDEX(CODIFICACION!$E$2:$E$500,MATCH("P8|"&amp;AE117,CODIFICACION!$F$2:$F$500,0))),"⚠"))</f>
        <v/>
      </c>
      <c r="E117" t="str">
        <f>IF(AG117="","",IFERROR(IF(INDEX(CODIFICACION!$E$2:$E$500,MATCH("P10|"&amp;AG117,CODIFICACION!$F$2:$F$500,0))="sin dato","",INDEX(CODIFICACION!$E$2:$E$500,MATCH("P10|"&amp;AG117,CODIFICACION!$F$2:$F$500,0))),"⚠"))</f>
        <v/>
      </c>
      <c r="F117" t="str">
        <f>IF(AJ117="","",IFERROR(IF(INDEX(CODIFICACION!$E$2:$E$500,MATCH("P13|"&amp;AJ117,CODIFICACION!$F$2:$F$500,0))="sin dato","",INDEX(CODIFICACION!$E$2:$E$500,MATCH("P13|"&amp;AJ117,CODIFICACION!$F$2:$F$500,0))),"⚠"))</f>
        <v/>
      </c>
      <c r="G117" t="str">
        <f>IF(AK117="","",IFERROR(IF(INDEX(CODIFICACION!$E$2:$E$500,MATCH("P14|"&amp;AK117,CODIFICACION!$F$2:$F$500,0))="sin dato","",INDEX(CODIFICACION!$E$2:$E$500,MATCH("P14|"&amp;AK117,CODIFICACION!$F$2:$F$500,0))),"⚠"))</f>
        <v/>
      </c>
      <c r="H117" t="str">
        <f>IF(AL117="","",IFERROR(IF(INDEX(CODIFICACION!$E$2:$E$500,MATCH("D1.1|"&amp;AL117,CODIFICACION!$F$2:$F$500,0))="sin dato","",INDEX(CODIFICACION!$E$2:$E$500,MATCH("D1.1|"&amp;AL117,CODIFICACION!$F$2:$F$500,0))),"⚠"))</f>
        <v/>
      </c>
      <c r="I117" t="str">
        <f>IF(AN117="","",IFERROR(IF(INDEX(CODIFICACION!$E$2:$E$500,MATCH("D1.3|"&amp;AN117,CODIFICACION!$F$2:$F$500,0))="sin dato","",INDEX(CODIFICACION!$E$2:$E$500,MATCH("D1.3|"&amp;AN117,CODIFICACION!$F$2:$F$500,0))),"⚠"))</f>
        <v/>
      </c>
      <c r="J117" t="str">
        <f>IF(AO117="","",IFERROR(IF(INDEX(CODIFICACION!$E$2:$E$500,MATCH("D1.4|"&amp;AO117,CODIFICACION!$F$2:$F$500,0))="sin dato","",INDEX(CODIFICACION!$E$2:$E$500,MATCH("D1.4|"&amp;AO117,CODIFICACION!$F$2:$F$500,0))),"⚠"))</f>
        <v/>
      </c>
      <c r="K117" t="str">
        <f>IF(AP117="","",IFERROR(IF(INDEX(CODIFICACION!$E$2:$E$500,MATCH("D1.3a|"&amp;AP117,CODIFICACION!$F$2:$F$500,0))="sin dato","",INDEX(CODIFICACION!$E$2:$E$500,MATCH("D1.3a|"&amp;AP117,CODIFICACION!$F$2:$F$500,0))),"⚠"))</f>
        <v/>
      </c>
      <c r="L117" t="str">
        <f t="shared" si="76"/>
        <v/>
      </c>
      <c r="M117" t="str">
        <f t="shared" si="77"/>
        <v/>
      </c>
      <c r="N117" t="str">
        <f t="shared" si="78"/>
        <v/>
      </c>
      <c r="O117" t="str">
        <f>IF(AT117="","",IFERROR(IF(INDEX(CODIFICACION!$E$2:$E$500,MATCH("D2.8|"&amp;AT117,CODIFICACION!$F$2:$F$500,0))="sin dato","",INDEX(CODIFICACION!$E$2:$E$500,MATCH("D2.8|"&amp;AT117,CODIFICACION!$F$2:$F$500,0))),"⚠"))</f>
        <v/>
      </c>
      <c r="P117" t="str">
        <f>IF(AU117="","",IFERROR(IF(INDEX(CODIFICACION!$E$2:$E$500,MATCH("D2.9|"&amp;AU117,CODIFICACION!$F$2:$F$500,0))="sin dato","",INDEX(CODIFICACION!$E$2:$E$500,MATCH("D2.9|"&amp;AU117,CODIFICACION!$F$2:$F$500,0))),"⚠"))</f>
        <v/>
      </c>
      <c r="Q117" t="str">
        <f>IF(AV117="","",IFERROR(IF(INDEX(CODIFICACION!$E$2:$E$500,MATCH("D2.10|"&amp;AV117,CODIFICACION!$F$2:$F$500,0))="sin dato","",INDEX(CODIFICACION!$E$2:$E$500,MATCH("D2.10|"&amp;AV117,CODIFICACION!$F$2:$F$500,0))),"⚠"))</f>
        <v/>
      </c>
      <c r="R117" t="str">
        <f>IF(AW117="","",IFERROR(IF(INDEX(CODIFICACION!$E$2:$E$500,MATCH("D2.5a|"&amp;AW117,CODIFICACION!$F$2:$F$500,0))="sin dato","",INDEX(CODIFICACION!$E$2:$E$500,MATCH("D2.5a|"&amp;AW117,CODIFICACION!$F$2:$F$500,0))),"⚠"))</f>
        <v/>
      </c>
      <c r="S117" t="str">
        <f ca="1">IF(AX117="","",IFERROR(IF(INDEX(CODIFICACION!$E$2:$E$500,MATCH("D2.5b|"&amp;AX117,CODIFICACION!$F$2:$F$500,0))="sin dato","",INDEX(CODIFICACION!$E$2:$E$500,MATCH("D2.5b|"&amp;AX117,CODIFICACION!$F$2:$F$500,0))),"⚠"))</f>
        <v/>
      </c>
      <c r="T117" t="str">
        <f t="shared" ca="1" si="79"/>
        <v/>
      </c>
      <c r="U117" t="str">
        <f>IF(AZ117="","",IFERROR(IF(INDEX(CODIFICACION!$E$2:$E$500,MATCH("D3.12|"&amp;AZ117,CODIFICACION!$F$2:$F$500,0))="sin dato","",INDEX(CODIFICACION!$E$2:$E$500,MATCH("D3.12|"&amp;AZ117,CODIFICACION!$F$2:$F$500,0))),"⚠"))</f>
        <v/>
      </c>
      <c r="V117" t="str">
        <f t="shared" si="80"/>
        <v/>
      </c>
      <c r="W117" t="str">
        <f ca="1">IF(BB117="","",IFERROR(IF(INDEX(CODIFICACION!$E$2:$E$500,MATCH("D3.14|"&amp;BB117,CODIFICACION!$F$2:$F$500,0))="sin dato","",INDEX(CODIFICACION!$E$2:$E$500,MATCH("D3.14|"&amp;BB117,CODIFICACION!$F$2:$F$500,0))),"⚠"))</f>
        <v/>
      </c>
      <c r="X117" t="str">
        <f ca="1">IF(BC117="","",IFERROR(IF(INDEX(CODIFICACION!$E$2:$E$500,MATCH("D3.14a|"&amp;BC117,CODIFICACION!$F$2:$F$500,0))="sin dato","",INDEX(CODIFICACION!$E$2:$E$500,MATCH("D3.14a|"&amp;BC117,CODIFICACION!$F$2:$F$500,0))),"⚠"))</f>
        <v/>
      </c>
      <c r="Y117" t="str">
        <f>IF(BD117="","",IFERROR(IF(INDEX(CODIFICACION!$E$2:$E$500,MATCH("D3.14b|"&amp;BD117,CODIFICACION!$F$2:$F$500,0))="sin dato","",INDEX(CODIFICACION!$E$2:$E$500,MATCH("D3.14b|"&amp;BD117,CODIFICACION!$F$2:$F$500,0))),"⚠"))</f>
        <v/>
      </c>
      <c r="Z117" t="str">
        <f>IF(BE117="","",IFERROR(IF(INDEX(CODIFICACION!$E$2:$E$500,MATCH("D3.14c|"&amp;BE117,CODIFICACION!$F$2:$F$500,0))="sin dato","",INDEX(CODIFICACION!$E$2:$E$500,MATCH("D3.14c|"&amp;BE117,CODIFICACION!$F$2:$F$500,0))),"⚠"))</f>
        <v/>
      </c>
      <c r="AA117" t="str">
        <f>IF(BF117="","",IFERROR(IF(INDEX(CODIFICACION!$E$2:$E$500,MATCH("D3.14d|"&amp;BF117,CODIFICACION!$F$2:$F$500,0))="sin dato","",INDEX(CODIFICACION!$E$2:$E$500,MATCH("D3.14d|"&amp;BF117,CODIFICACION!$F$2:$F$500,0))),"⚠"))</f>
        <v/>
      </c>
      <c r="AB117" t="str">
        <f>IF(BG117="","",IFERROR(IF(INDEX(CODIFICACION!$E$2:$E$500,MATCH("D3.14e|"&amp;BG117,CODIFICACION!$F$2:$F$500,0))="sin dato","",INDEX(CODIFICACION!$E$2:$E$500,MATCH("D3.14e|"&amp;BG117,CODIFICACION!$F$2:$F$500,0))),"⚠"))</f>
        <v/>
      </c>
      <c r="AC117" t="str">
        <f>IF(BH117="","",IFERROR(IF(INDEX(CODIFICACION!$E$2:$E$500,MATCH("D3.14f|"&amp;BH117,CODIFICACION!$F$2:$F$500,0))="sin dato","",INDEX(CODIFICACION!$E$2:$E$500,MATCH("D3.14f|"&amp;BH117,CODIFICACION!$F$2:$F$500,0))),"⚠"))</f>
        <v/>
      </c>
      <c r="AD117" t="str">
        <f>IF(BI117="","",IFERROR(IF(INDEX(CODIFICACION!$E$2:$E$500,MATCH("D3.14g|"&amp;BI117,CODIFICACION!$F$2:$F$500,0))="sin dato","",INDEX(CODIFICACION!$E$2:$E$500,MATCH("D3.14g|"&amp;BI117,CODIFICACION!$F$2:$F$500,0))),"⚠"))</f>
        <v/>
      </c>
      <c r="AE117" t="str">
        <f>IF(BJ117="","",IFERROR(IF(INDEX(CODIFICACION!$E$2:$E$500,MATCH("D3.14h|"&amp;BJ117,CODIFICACION!$F$2:$F$500,0))="sin dato","",INDEX(CODIFICACION!$E$2:$E$500,MATCH("D3.14h|"&amp;BJ117,CODIFICACION!$F$2:$F$500,0))),"⚠"))</f>
        <v/>
      </c>
      <c r="AF117" t="str">
        <f>IF(BK117="","",IFERROR(IF(INDEX(CODIFICACION!$E$2:$E$500,MATCH("D3.14i|"&amp;BK117,CODIFICACION!$F$2:$F$500,0))="sin dato","",INDEX(CODIFICACION!$E$2:$E$500,MATCH("D3.14i|"&amp;BK117,CODIFICACION!$F$2:$F$500,0))),"⚠"))</f>
        <v/>
      </c>
      <c r="AG117" t="str">
        <f>IF(BL117="","",IFERROR(IF(INDEX(CODIFICACION!$E$2:$E$500,MATCH("D4.15|"&amp;BL117,CODIFICACION!$F$2:$F$500,0))="sin dato","",INDEX(CODIFICACION!$E$2:$E$500,MATCH("D4.15|"&amp;BL117,CODIFICACION!$F$2:$F$500,0))),"⚠"))</f>
        <v/>
      </c>
      <c r="AH117" t="str">
        <f t="shared" si="81"/>
        <v/>
      </c>
      <c r="AI117" t="str">
        <f>IF(BN117="","",IFERROR(IF(INDEX(CODIFICACION!$E$2:$E$500,MATCH("D4.17|"&amp;BN117,CODIFICACION!$F$2:$F$500,0))="sin dato","",INDEX(CODIFICACION!$E$2:$E$500,MATCH("D4.17|"&amp;BN117,CODIFICACION!$F$2:$F$500,0))),"⚠"))</f>
        <v/>
      </c>
      <c r="AJ117" t="str">
        <f>IF(BO117="","",IFERROR(IF(INDEX(CODIFICACION!$E$2:$E$500,MATCH("D4.15a|"&amp;BO117,CODIFICACION!$F$2:$F$500,0))="sin dato","",INDEX(CODIFICACION!$E$2:$E$500,MATCH("D4.15a|"&amp;BO117,CODIFICACION!$F$2:$F$500,0))),"⚠"))</f>
        <v/>
      </c>
      <c r="AK117" t="str">
        <f t="shared" si="82"/>
        <v/>
      </c>
      <c r="AL117" t="str">
        <f t="shared" si="83"/>
        <v/>
      </c>
      <c r="AM117" t="str">
        <f>IF(BR117="","",IFERROR(IF(INDEX(CODIFICACION!$E$2:$E$500,MATCH("D5.18b|"&amp;BR117,CODIFICACION!$F$2:$F$500,0))="sin dato","",INDEX(CODIFICACION!$E$2:$E$500,MATCH("D5.18b|"&amp;BR117,CODIFICACION!$F$2:$F$500,0))),"⚠"))</f>
        <v/>
      </c>
      <c r="AN117" t="str">
        <f>IF(BS117="","",IFERROR(IF(INDEX(CODIFICACION!$E$2:$E$500,MATCH("D5.19|"&amp;BS117,CODIFICACION!$F$2:$F$500,0))="sin dato","",INDEX(CODIFICACION!$E$2:$E$500,MATCH("D5.19|"&amp;BS117,CODIFICACION!$F$2:$F$500,0))),"⚠"))</f>
        <v/>
      </c>
      <c r="AO117" t="str">
        <f t="shared" si="84"/>
        <v/>
      </c>
      <c r="AP117" t="str">
        <f>IF(BU117="","",IFERROR(IF(INDEX(CODIFICACION!$E$2:$E$500,MATCH("D5.20|"&amp;BU117,CODIFICACION!$F$2:$F$500,0))="sin dato","",INDEX(CODIFICACION!$E$2:$E$500,MATCH("D5.20|"&amp;BU117,CODIFICACION!$F$2:$F$500,0))),"⚠"))</f>
        <v/>
      </c>
      <c r="AQ117" t="str">
        <f>IF(BV117="","",IFERROR(IF(INDEX(CODIFICACION!$E$2:$E$500,MATCH("D5.21|"&amp;BV117,CODIFICACION!$F$2:$F$500,0))="sin dato","",INDEX(CODIFICACION!$E$2:$E$500,MATCH("D5.21|"&amp;BV117,CODIFICACION!$F$2:$F$500,0))),"⚠"))</f>
        <v/>
      </c>
      <c r="AR117" t="str">
        <f>IF(BW117="","",IFERROR(IF(INDEX(CODIFICACION!$E$2:$E$500,MATCH("D5.21a|"&amp;BW117,CODIFICACION!$F$2:$F$500,0))="sin dato","",INDEX(CODIFICACION!$E$2:$E$500,MATCH("D5.21a|"&amp;BW117,CODIFICACION!$F$2:$F$500,0))),"⚠"))</f>
        <v/>
      </c>
      <c r="AS117" t="str">
        <f>IF(BX117="","",IFERROR(IF(INDEX(CODIFICACION!$E$2:$E$500,MATCH("D5.21b|"&amp;BX117,CODIFICACION!$F$2:$F$500,0))="sin dato","",INDEX(CODIFICACION!$E$2:$E$500,MATCH("D5.21b|"&amp;BX117,CODIFICACION!$F$2:$F$500,0))),"⚠"))</f>
        <v/>
      </c>
      <c r="AT117" t="str">
        <f>IF(BY117="","",IFERROR(IF(INDEX(CODIFICACION!$E$2:$E$500,MATCH("D6.22|"&amp;BY117,CODIFICACION!$F$2:$F$500,0))="sin dato","",INDEX(CODIFICACION!$E$2:$E$500,MATCH("D6.22|"&amp;BY117,CODIFICACION!$F$2:$F$500,0))),"⚠"))</f>
        <v/>
      </c>
      <c r="AU117" t="str">
        <f>IF(BZ117="","",IFERROR(IF(INDEX(CODIFICACION!$E$2:$E$500,MATCH("D6.22a|"&amp;BZ117,CODIFICACION!$F$2:$F$500,0))="sin dato","",INDEX(CODIFICACION!$E$2:$E$500,MATCH("D6.22a|"&amp;BZ117,CODIFICACION!$F$2:$F$500,0))),"⚠"))</f>
        <v/>
      </c>
      <c r="AV117" t="str">
        <f>IF(CA117="","",IFERROR(IF(INDEX(CODIFICACION!$E$2:$E$500,MATCH("D6.22b|"&amp;CA117,CODIFICACION!$F$2:$F$500,0))="sin dato","",INDEX(CODIFICACION!$E$2:$E$500,MATCH("D6.22b|"&amp;CA117,CODIFICACION!$F$2:$F$500,0))),"⚠"))</f>
        <v/>
      </c>
      <c r="AW117" t="str">
        <f>IF(CB117="","",IFERROR(IF(INDEX(CODIFICACION!$E$2:$E$500,MATCH("D6.23|"&amp;CB117,CODIFICACION!$F$2:$F$500,0))="sin dato","",INDEX(CODIFICACION!$E$2:$E$500,MATCH("D6.23|"&amp;CB117,CODIFICACION!$F$2:$F$500,0))),"⚠"))</f>
        <v/>
      </c>
      <c r="AX117" t="str">
        <f ca="1">IF(CC117="","",IFERROR(IF(INDEX(CODIFICACION!$E$2:$E$500,MATCH("D6.24|"&amp;CC117,CODIFICACION!$F$2:$F$500,0))="sin dato","",INDEX(CODIFICACION!$E$2:$E$500,MATCH("D6.24|"&amp;CC117,CODIFICACION!$F$2:$F$500,0))),"⚠"))</f>
        <v/>
      </c>
      <c r="AY117" t="str">
        <f ca="1">IF(CD117="","",IFERROR(IF(INDEX(CODIFICACION!$E$2:$E$500,MATCH("D6.25|"&amp;CD117,CODIFICACION!$F$2:$F$500,0))="sin dato","",INDEX(CODIFICACION!$E$2:$E$500,MATCH("D6.25|"&amp;CD117,CODIFICACION!$F$2:$F$500,0))),"⚠"))</f>
        <v/>
      </c>
      <c r="AZ117" t="str">
        <f>IF(CE117="","",IFERROR(IF(INDEX(CODIFICACION!$E$2:$E$500,MATCH("D6.25a|"&amp;CE117,CODIFICACION!$F$2:$F$500,0))="sin dato","",INDEX(CODIFICACION!$E$2:$E$500,MATCH("D6.25a|"&amp;CE117,CODIFICACION!$F$2:$F$500,0))),"⚠"))</f>
        <v/>
      </c>
      <c r="BA117" t="str">
        <f>IF(CF117="","",IFERROR(IF(INDEX(CODIFICACION!$E$2:$E$500,MATCH("D6.25b|"&amp;CF117,CODIFICACION!$F$2:$F$500,0))="sin dato","",INDEX(CODIFICACION!$E$2:$E$500,MATCH("D6.25b|"&amp;CF117,CODIFICACION!$F$2:$F$500,0))),"⚠"))</f>
        <v/>
      </c>
      <c r="BB117" t="str">
        <f ca="1">IF(CG117="","",IFERROR(IF(INDEX(CODIFICACION!$E$2:$E$500,MATCH("D6.22c|"&amp;CG117,CODIFICACION!$F$2:$F$500,0))="sin dato","",INDEX(CODIFICACION!$E$2:$E$500,MATCH("D6.22c|"&amp;CG117,CODIFICACION!$F$2:$F$500,0))),"⚠"))</f>
        <v/>
      </c>
      <c r="BC117" t="str">
        <f ca="1">IF(CH117="","",IFERROR(IF(INDEX(CODIFICACION!$E$2:$E$500,MATCH("D7.26|"&amp;CH117,CODIFICACION!$F$2:$F$500,0))="sin dato","",INDEX(CODIFICACION!$E$2:$E$500,MATCH("D7.26|"&amp;CH117,CODIFICACION!$F$2:$F$500,0))),"⚠"))</f>
        <v/>
      </c>
      <c r="BD117" t="str">
        <f>IF(CI117="","",IFERROR(IF(INDEX(CODIFICACION!$E$2:$E$500,MATCH("D7.27|"&amp;CI117,CODIFICACION!$F$2:$F$500,0))="sin dato","",INDEX(CODIFICACION!$E$2:$E$500,MATCH("D7.27|"&amp;CI117,CODIFICACION!$F$2:$F$500,0))),"⚠"))</f>
        <v/>
      </c>
      <c r="BE117" t="str">
        <f>IF(CJ117="","",IFERROR(IF(INDEX(CODIFICACION!$E$2:$E$500,MATCH("D7.28|"&amp;CJ117,CODIFICACION!$F$2:$F$500,0))="sin dato","",INDEX(CODIFICACION!$E$2:$E$500,MATCH("D7.28|"&amp;CJ117,CODIFICACION!$F$2:$F$500,0))),"⚠"))</f>
        <v/>
      </c>
      <c r="BF117" t="str">
        <f>IF(CK117="","",IFERROR(IF(INDEX(CODIFICACION!$E$2:$E$500,MATCH("D7.28b|"&amp;CK117,CODIFICACION!$F$2:$F$500,0))="sin dato","",INDEX(CODIFICACION!$E$2:$E$500,MATCH("D7.28b|"&amp;CK117,CODIFICACION!$F$2:$F$500,0))),"⚠"))</f>
        <v/>
      </c>
      <c r="BG117" t="str">
        <f t="shared" si="85"/>
        <v/>
      </c>
      <c r="BH117" t="str">
        <f>IF(CM117="","",IFERROR(IF(INDEX(CODIFICACION!$E$2:$E$500,MATCH("D7.26a|"&amp;CM117,CODIFICACION!$F$2:$F$500,0))="sin dato","",INDEX(CODIFICACION!$E$2:$E$500,MATCH("D7.26a|"&amp;CM117,CODIFICACION!$F$2:$F$500,0))),"⚠"))</f>
        <v/>
      </c>
      <c r="BI117" t="str">
        <f>IF(CN117="","",IFERROR(IF(INDEX(CODIFICACION!$E$2:$E$500,MATCH("D7.26b|"&amp;CN117,CODIFICACION!$F$2:$F$500,0))="sin dato","",INDEX(CODIFICACION!$E$2:$E$500,MATCH("D7.26b|"&amp;CN117,CODIFICACION!$F$2:$F$500,0))),"⚠"))</f>
        <v/>
      </c>
      <c r="BJ117" t="str">
        <f t="shared" si="86"/>
        <v/>
      </c>
      <c r="BK117" t="str">
        <f t="shared" si="87"/>
        <v/>
      </c>
      <c r="BL117" t="str">
        <f>IF(CQ117="","",IFERROR(IF(INDEX(CODIFICACION!$E$2:$E$500,MATCH("D8.31|"&amp;CQ117,CODIFICACION!$F$2:$F$500,0))="sin dato","",INDEX(CODIFICACION!$E$2:$E$500,MATCH("D8.31|"&amp;CQ117,CODIFICACION!$F$2:$F$500,0))),"⚠"))</f>
        <v/>
      </c>
      <c r="BM117" t="str">
        <f>IF(CR117="","",IFERROR(IF(INDEX(CODIFICACION!$E$2:$E$500,MATCH("D8.32|"&amp;CR117,CODIFICACION!$F$2:$F$500,0))="sin dato","",INDEX(CODIFICACION!$E$2:$E$500,MATCH("D8.32|"&amp;CR117,CODIFICACION!$F$2:$F$500,0))),"⚠"))</f>
        <v/>
      </c>
      <c r="BN117" t="str">
        <f>IF(CS117="","",IFERROR(IF(INDEX(CODIFICACION!$E$2:$E$500,MATCH("D9.33|"&amp;CS117,CODIFICACION!$F$2:$F$500,0))="sin dato","",INDEX(CODIFICACION!$E$2:$E$500,MATCH("D9.33|"&amp;CS117,CODIFICACION!$F$2:$F$500,0))),"⚠"))</f>
        <v/>
      </c>
      <c r="BO117" t="str">
        <f>IF(CT117="","",IFERROR(IF(INDEX(CODIFICACION!$E$2:$E$500,MATCH("D9.34|"&amp;CT117,CODIFICACION!$F$2:$F$500,0))="sin dato","",INDEX(CODIFICACION!$E$2:$E$500,MATCH("D9.34|"&amp;CT117,CODIFICACION!$F$2:$F$500,0))),"⚠"))</f>
        <v/>
      </c>
      <c r="BP117" t="str">
        <f>IF(CU117="","",IFERROR(IF(INDEX(CODIFICACION!$E$2:$E$500,MATCH("D9.35|"&amp;CU117,CODIFICACION!$F$2:$F$500,0))="sin dato","",INDEX(CODIFICACION!$E$2:$E$500,MATCH("D9.35|"&amp;CU117,CODIFICACION!$F$2:$F$500,0))),"⚠"))</f>
        <v/>
      </c>
      <c r="BQ117" t="str">
        <f>IF(CV117="","",IFERROR(IF(INDEX(CODIFICACION!$E$2:$E$500,MATCH("D10.36|"&amp;CV117,CODIFICACION!$F$2:$F$500,0))="sin dato","",INDEX(CODIFICACION!$E$2:$E$500,MATCH("D10.36|"&amp;CV117,CODIFICACION!$F$2:$F$500,0))),"⚠"))</f>
        <v/>
      </c>
      <c r="BR117" t="str">
        <f>IF(CW117="","",IFERROR(IF(INDEX(CODIFICACION!$E$2:$E$500,MATCH("D10.37|"&amp;CW117,CODIFICACION!$F$2:$F$500,0))="sin dato","",INDEX(CODIFICACION!$E$2:$E$500,MATCH("D10.37|"&amp;CW117,CODIFICACION!$F$2:$F$500,0))),"⚠"))</f>
        <v/>
      </c>
      <c r="BS117" t="str">
        <f>IF(CX117="","",IFERROR(IF(INDEX(CODIFICACION!$E$2:$E$500,MATCH("D10.36a|"&amp;CX117,CODIFICACION!$F$2:$F$500,0))="sin dato","",INDEX(CODIFICACION!$E$2:$E$500,MATCH("D10.36a|"&amp;CX117,CODIFICACION!$F$2:$F$500,0))),"⚠"))</f>
        <v/>
      </c>
      <c r="BT117" t="str">
        <f t="shared" si="88"/>
        <v/>
      </c>
      <c r="BU117" t="str">
        <f>IF(DA117="","",IFERROR(IF(INDEX(CODIFICACION!$E$2:$E$500,MATCH("D11.39a|"&amp;DA117,CODIFICACION!$F$2:$F$500,0))="sin dato","",INDEX(CODIFICACION!$E$2:$E$500,MATCH("D11.39a|"&amp;DA117,CODIFICACION!$F$2:$F$500,0))),"⚠"))</f>
        <v/>
      </c>
      <c r="BV117" t="str">
        <f>IF(DB117="","",IFERROR(IF(INDEX(CODIFICACION!$E$2:$E$500,MATCH("D12.42|"&amp;DB117,CODIFICACION!$F$2:$F$500,0))="sin dato","",INDEX(CODIFICACION!$E$2:$E$500,MATCH("D12.42|"&amp;DB117,CODIFICACION!$F$2:$F$500,0))),"⚠"))</f>
        <v/>
      </c>
      <c r="BW117" t="str">
        <f>IF(DC117="","",IFERROR(IF(INDEX(CODIFICACION!$E$2:$E$500,MATCH("D13.45|"&amp;DC117,CODIFICACION!$F$2:$F$500,0))="sin dato","",INDEX(CODIFICACION!$E$2:$E$500,MATCH("D13.45|"&amp;DC117,CODIFICACION!$F$2:$F$500,0))),"⚠"))</f>
        <v/>
      </c>
      <c r="BX117" t="str">
        <f>IF(DD117="","",IFERROR(IF(INDEX(CODIFICACION!$E$2:$E$500,MATCH("D14.51|"&amp;DD117,CODIFICACION!$F$2:$F$500,0))="sin dato","",INDEX(CODIFICACION!$E$2:$E$500,MATCH("D14.51|"&amp;DD117,CODIFICACION!$F$2:$F$500,0))),"⚠"))</f>
        <v/>
      </c>
      <c r="BY117" t="str">
        <f>IF(DE117="","",IFERROR(IF(INDEX(CODIFICACION!$E$2:$E$500,MATCH("D15.58|"&amp;DE117,CODIFICACION!$F$2:$F$500,0))="sin dato","",INDEX(CODIFICACION!$E$2:$E$500,MATCH("D15.58|"&amp;DE117,CODIFICACION!$F$2:$F$500,0))),"⚠"))</f>
        <v/>
      </c>
      <c r="BZ117" t="str">
        <f>IF(DF117="","",IFERROR(IF(INDEX(CODIFICACION!$E$2:$E$500,MATCH("PP1|"&amp;DF117,CODIFICACION!$F$2:$F$500,0))="sin dato","",INDEX(CODIFICACION!$E$2:$E$500,MATCH("PP1|"&amp;DF117,CODIFICACION!$F$2:$F$500,0))),"⚠"))</f>
        <v/>
      </c>
      <c r="CA117" t="str">
        <f>IF(DG117="","",IFERROR(IF(INDEX(CODIFICACION!$E$2:$E$500,MATCH("PP2|"&amp;DG117,CODIFICACION!$F$2:$F$500,0))="sin dato","",INDEX(CODIFICACION!$E$2:$E$500,MATCH("PP2|"&amp;DG117,CODIFICACION!$F$2:$F$500,0))),"⚠"))</f>
        <v/>
      </c>
      <c r="CB117" t="str">
        <f t="shared" si="89"/>
        <v/>
      </c>
      <c r="CC117" t="str">
        <f t="shared" ca="1" si="90"/>
        <v/>
      </c>
      <c r="CD117" t="str">
        <f t="shared" ca="1" si="91"/>
        <v/>
      </c>
      <c r="CE117" t="str">
        <f t="shared" si="92"/>
        <v/>
      </c>
      <c r="CF117" t="str">
        <f t="shared" si="93"/>
        <v/>
      </c>
      <c r="CG117" t="str">
        <f t="shared" ca="1" si="94"/>
        <v/>
      </c>
      <c r="CH117" t="str">
        <f t="shared" ca="1" si="95"/>
        <v/>
      </c>
      <c r="CI117" t="str">
        <f t="shared" si="96"/>
        <v/>
      </c>
      <c r="CJ117" t="str">
        <f t="shared" si="97"/>
        <v/>
      </c>
      <c r="CK117" t="str">
        <f t="shared" si="98"/>
        <v/>
      </c>
      <c r="CL117" t="str">
        <f t="shared" si="99"/>
        <v/>
      </c>
    </row>
    <row r="118" spans="1:90" x14ac:dyDescent="0.3">
      <c r="A118">
        <f>CAPTURA!A118</f>
        <v>20601067146</v>
      </c>
      <c r="B118">
        <f>CAPTURA!C118</f>
        <v>0</v>
      </c>
      <c r="C118" t="str">
        <f t="shared" si="75"/>
        <v/>
      </c>
      <c r="D118" t="str">
        <f>IF(AE118="","",IFERROR(IF(INDEX(CODIFICACION!$E$2:$E$500,MATCH("P8|"&amp;AE118,CODIFICACION!$F$2:$F$500,0))="sin dato","",INDEX(CODIFICACION!$E$2:$E$500,MATCH("P8|"&amp;AE118,CODIFICACION!$F$2:$F$500,0))),"⚠"))</f>
        <v/>
      </c>
      <c r="E118" t="str">
        <f>IF(AG118="","",IFERROR(IF(INDEX(CODIFICACION!$E$2:$E$500,MATCH("P10|"&amp;AG118,CODIFICACION!$F$2:$F$500,0))="sin dato","",INDEX(CODIFICACION!$E$2:$E$500,MATCH("P10|"&amp;AG118,CODIFICACION!$F$2:$F$500,0))),"⚠"))</f>
        <v/>
      </c>
      <c r="F118" t="str">
        <f>IF(AJ118="","",IFERROR(IF(INDEX(CODIFICACION!$E$2:$E$500,MATCH("P13|"&amp;AJ118,CODIFICACION!$F$2:$F$500,0))="sin dato","",INDEX(CODIFICACION!$E$2:$E$500,MATCH("P13|"&amp;AJ118,CODIFICACION!$F$2:$F$500,0))),"⚠"))</f>
        <v/>
      </c>
      <c r="G118" t="str">
        <f>IF(AK118="","",IFERROR(IF(INDEX(CODIFICACION!$E$2:$E$500,MATCH("P14|"&amp;AK118,CODIFICACION!$F$2:$F$500,0))="sin dato","",INDEX(CODIFICACION!$E$2:$E$500,MATCH("P14|"&amp;AK118,CODIFICACION!$F$2:$F$500,0))),"⚠"))</f>
        <v/>
      </c>
      <c r="H118" t="str">
        <f>IF(AL118="","",IFERROR(IF(INDEX(CODIFICACION!$E$2:$E$500,MATCH("D1.1|"&amp;AL118,CODIFICACION!$F$2:$F$500,0))="sin dato","",INDEX(CODIFICACION!$E$2:$E$500,MATCH("D1.1|"&amp;AL118,CODIFICACION!$F$2:$F$500,0))),"⚠"))</f>
        <v/>
      </c>
      <c r="I118" t="str">
        <f>IF(AN118="","",IFERROR(IF(INDEX(CODIFICACION!$E$2:$E$500,MATCH("D1.3|"&amp;AN118,CODIFICACION!$F$2:$F$500,0))="sin dato","",INDEX(CODIFICACION!$E$2:$E$500,MATCH("D1.3|"&amp;AN118,CODIFICACION!$F$2:$F$500,0))),"⚠"))</f>
        <v/>
      </c>
      <c r="J118" t="str">
        <f>IF(AO118="","",IFERROR(IF(INDEX(CODIFICACION!$E$2:$E$500,MATCH("D1.4|"&amp;AO118,CODIFICACION!$F$2:$F$500,0))="sin dato","",INDEX(CODIFICACION!$E$2:$E$500,MATCH("D1.4|"&amp;AO118,CODIFICACION!$F$2:$F$500,0))),"⚠"))</f>
        <v/>
      </c>
      <c r="K118" t="str">
        <f>IF(AP118="","",IFERROR(IF(INDEX(CODIFICACION!$E$2:$E$500,MATCH("D1.3a|"&amp;AP118,CODIFICACION!$F$2:$F$500,0))="sin dato","",INDEX(CODIFICACION!$E$2:$E$500,MATCH("D1.3a|"&amp;AP118,CODIFICACION!$F$2:$F$500,0))),"⚠"))</f>
        <v/>
      </c>
      <c r="L118" t="str">
        <f t="shared" si="76"/>
        <v/>
      </c>
      <c r="M118" t="str">
        <f t="shared" si="77"/>
        <v/>
      </c>
      <c r="N118" t="str">
        <f t="shared" si="78"/>
        <v/>
      </c>
      <c r="O118" t="str">
        <f>IF(AT118="","",IFERROR(IF(INDEX(CODIFICACION!$E$2:$E$500,MATCH("D2.8|"&amp;AT118,CODIFICACION!$F$2:$F$500,0))="sin dato","",INDEX(CODIFICACION!$E$2:$E$500,MATCH("D2.8|"&amp;AT118,CODIFICACION!$F$2:$F$500,0))),"⚠"))</f>
        <v/>
      </c>
      <c r="P118" t="str">
        <f>IF(AU118="","",IFERROR(IF(INDEX(CODIFICACION!$E$2:$E$500,MATCH("D2.9|"&amp;AU118,CODIFICACION!$F$2:$F$500,0))="sin dato","",INDEX(CODIFICACION!$E$2:$E$500,MATCH("D2.9|"&amp;AU118,CODIFICACION!$F$2:$F$500,0))),"⚠"))</f>
        <v/>
      </c>
      <c r="Q118" t="str">
        <f>IF(AV118="","",IFERROR(IF(INDEX(CODIFICACION!$E$2:$E$500,MATCH("D2.10|"&amp;AV118,CODIFICACION!$F$2:$F$500,0))="sin dato","",INDEX(CODIFICACION!$E$2:$E$500,MATCH("D2.10|"&amp;AV118,CODIFICACION!$F$2:$F$500,0))),"⚠"))</f>
        <v/>
      </c>
      <c r="R118" t="str">
        <f>IF(AW118="","",IFERROR(IF(INDEX(CODIFICACION!$E$2:$E$500,MATCH("D2.5a|"&amp;AW118,CODIFICACION!$F$2:$F$500,0))="sin dato","",INDEX(CODIFICACION!$E$2:$E$500,MATCH("D2.5a|"&amp;AW118,CODIFICACION!$F$2:$F$500,0))),"⚠"))</f>
        <v/>
      </c>
      <c r="S118" t="str">
        <f ca="1">IF(AX118="","",IFERROR(IF(INDEX(CODIFICACION!$E$2:$E$500,MATCH("D2.5b|"&amp;AX118,CODIFICACION!$F$2:$F$500,0))="sin dato","",INDEX(CODIFICACION!$E$2:$E$500,MATCH("D2.5b|"&amp;AX118,CODIFICACION!$F$2:$F$500,0))),"⚠"))</f>
        <v/>
      </c>
      <c r="T118" t="str">
        <f t="shared" ca="1" si="79"/>
        <v/>
      </c>
      <c r="U118" t="str">
        <f>IF(AZ118="","",IFERROR(IF(INDEX(CODIFICACION!$E$2:$E$500,MATCH("D3.12|"&amp;AZ118,CODIFICACION!$F$2:$F$500,0))="sin dato","",INDEX(CODIFICACION!$E$2:$E$500,MATCH("D3.12|"&amp;AZ118,CODIFICACION!$F$2:$F$500,0))),"⚠"))</f>
        <v/>
      </c>
      <c r="V118" t="str">
        <f t="shared" si="80"/>
        <v/>
      </c>
      <c r="W118" t="str">
        <f ca="1">IF(BB118="","",IFERROR(IF(INDEX(CODIFICACION!$E$2:$E$500,MATCH("D3.14|"&amp;BB118,CODIFICACION!$F$2:$F$500,0))="sin dato","",INDEX(CODIFICACION!$E$2:$E$500,MATCH("D3.14|"&amp;BB118,CODIFICACION!$F$2:$F$500,0))),"⚠"))</f>
        <v/>
      </c>
      <c r="X118" t="str">
        <f ca="1">IF(BC118="","",IFERROR(IF(INDEX(CODIFICACION!$E$2:$E$500,MATCH("D3.14a|"&amp;BC118,CODIFICACION!$F$2:$F$500,0))="sin dato","",INDEX(CODIFICACION!$E$2:$E$500,MATCH("D3.14a|"&amp;BC118,CODIFICACION!$F$2:$F$500,0))),"⚠"))</f>
        <v/>
      </c>
      <c r="Y118" t="str">
        <f>IF(BD118="","",IFERROR(IF(INDEX(CODIFICACION!$E$2:$E$500,MATCH("D3.14b|"&amp;BD118,CODIFICACION!$F$2:$F$500,0))="sin dato","",INDEX(CODIFICACION!$E$2:$E$500,MATCH("D3.14b|"&amp;BD118,CODIFICACION!$F$2:$F$500,0))),"⚠"))</f>
        <v/>
      </c>
      <c r="Z118" t="str">
        <f>IF(BE118="","",IFERROR(IF(INDEX(CODIFICACION!$E$2:$E$500,MATCH("D3.14c|"&amp;BE118,CODIFICACION!$F$2:$F$500,0))="sin dato","",INDEX(CODIFICACION!$E$2:$E$500,MATCH("D3.14c|"&amp;BE118,CODIFICACION!$F$2:$F$500,0))),"⚠"))</f>
        <v/>
      </c>
      <c r="AA118" t="str">
        <f>IF(BF118="","",IFERROR(IF(INDEX(CODIFICACION!$E$2:$E$500,MATCH("D3.14d|"&amp;BF118,CODIFICACION!$F$2:$F$500,0))="sin dato","",INDEX(CODIFICACION!$E$2:$E$500,MATCH("D3.14d|"&amp;BF118,CODIFICACION!$F$2:$F$500,0))),"⚠"))</f>
        <v/>
      </c>
      <c r="AB118" t="str">
        <f>IF(BG118="","",IFERROR(IF(INDEX(CODIFICACION!$E$2:$E$500,MATCH("D3.14e|"&amp;BG118,CODIFICACION!$F$2:$F$500,0))="sin dato","",INDEX(CODIFICACION!$E$2:$E$500,MATCH("D3.14e|"&amp;BG118,CODIFICACION!$F$2:$F$500,0))),"⚠"))</f>
        <v/>
      </c>
      <c r="AC118" t="str">
        <f>IF(BH118="","",IFERROR(IF(INDEX(CODIFICACION!$E$2:$E$500,MATCH("D3.14f|"&amp;BH118,CODIFICACION!$F$2:$F$500,0))="sin dato","",INDEX(CODIFICACION!$E$2:$E$500,MATCH("D3.14f|"&amp;BH118,CODIFICACION!$F$2:$F$500,0))),"⚠"))</f>
        <v/>
      </c>
      <c r="AD118" t="str">
        <f>IF(BI118="","",IFERROR(IF(INDEX(CODIFICACION!$E$2:$E$500,MATCH("D3.14g|"&amp;BI118,CODIFICACION!$F$2:$F$500,0))="sin dato","",INDEX(CODIFICACION!$E$2:$E$500,MATCH("D3.14g|"&amp;BI118,CODIFICACION!$F$2:$F$500,0))),"⚠"))</f>
        <v/>
      </c>
      <c r="AE118" t="str">
        <f>IF(BJ118="","",IFERROR(IF(INDEX(CODIFICACION!$E$2:$E$500,MATCH("D3.14h|"&amp;BJ118,CODIFICACION!$F$2:$F$500,0))="sin dato","",INDEX(CODIFICACION!$E$2:$E$500,MATCH("D3.14h|"&amp;BJ118,CODIFICACION!$F$2:$F$500,0))),"⚠"))</f>
        <v/>
      </c>
      <c r="AF118" t="str">
        <f>IF(BK118="","",IFERROR(IF(INDEX(CODIFICACION!$E$2:$E$500,MATCH("D3.14i|"&amp;BK118,CODIFICACION!$F$2:$F$500,0))="sin dato","",INDEX(CODIFICACION!$E$2:$E$500,MATCH("D3.14i|"&amp;BK118,CODIFICACION!$F$2:$F$500,0))),"⚠"))</f>
        <v/>
      </c>
      <c r="AG118" t="str">
        <f>IF(BL118="","",IFERROR(IF(INDEX(CODIFICACION!$E$2:$E$500,MATCH("D4.15|"&amp;BL118,CODIFICACION!$F$2:$F$500,0))="sin dato","",INDEX(CODIFICACION!$E$2:$E$500,MATCH("D4.15|"&amp;BL118,CODIFICACION!$F$2:$F$500,0))),"⚠"))</f>
        <v/>
      </c>
      <c r="AH118" t="str">
        <f t="shared" si="81"/>
        <v/>
      </c>
      <c r="AI118" t="str">
        <f>IF(BN118="","",IFERROR(IF(INDEX(CODIFICACION!$E$2:$E$500,MATCH("D4.17|"&amp;BN118,CODIFICACION!$F$2:$F$500,0))="sin dato","",INDEX(CODIFICACION!$E$2:$E$500,MATCH("D4.17|"&amp;BN118,CODIFICACION!$F$2:$F$500,0))),"⚠"))</f>
        <v/>
      </c>
      <c r="AJ118" t="str">
        <f>IF(BO118="","",IFERROR(IF(INDEX(CODIFICACION!$E$2:$E$500,MATCH("D4.15a|"&amp;BO118,CODIFICACION!$F$2:$F$500,0))="sin dato","",INDEX(CODIFICACION!$E$2:$E$500,MATCH("D4.15a|"&amp;BO118,CODIFICACION!$F$2:$F$500,0))),"⚠"))</f>
        <v/>
      </c>
      <c r="AK118" t="str">
        <f t="shared" si="82"/>
        <v/>
      </c>
      <c r="AL118" t="str">
        <f t="shared" si="83"/>
        <v/>
      </c>
      <c r="AM118" t="str">
        <f>IF(BR118="","",IFERROR(IF(INDEX(CODIFICACION!$E$2:$E$500,MATCH("D5.18b|"&amp;BR118,CODIFICACION!$F$2:$F$500,0))="sin dato","",INDEX(CODIFICACION!$E$2:$E$500,MATCH("D5.18b|"&amp;BR118,CODIFICACION!$F$2:$F$500,0))),"⚠"))</f>
        <v/>
      </c>
      <c r="AN118" t="str">
        <f>IF(BS118="","",IFERROR(IF(INDEX(CODIFICACION!$E$2:$E$500,MATCH("D5.19|"&amp;BS118,CODIFICACION!$F$2:$F$500,0))="sin dato","",INDEX(CODIFICACION!$E$2:$E$500,MATCH("D5.19|"&amp;BS118,CODIFICACION!$F$2:$F$500,0))),"⚠"))</f>
        <v/>
      </c>
      <c r="AO118" t="str">
        <f t="shared" si="84"/>
        <v/>
      </c>
      <c r="AP118" t="str">
        <f>IF(BU118="","",IFERROR(IF(INDEX(CODIFICACION!$E$2:$E$500,MATCH("D5.20|"&amp;BU118,CODIFICACION!$F$2:$F$500,0))="sin dato","",INDEX(CODIFICACION!$E$2:$E$500,MATCH("D5.20|"&amp;BU118,CODIFICACION!$F$2:$F$500,0))),"⚠"))</f>
        <v/>
      </c>
      <c r="AQ118" t="str">
        <f>IF(BV118="","",IFERROR(IF(INDEX(CODIFICACION!$E$2:$E$500,MATCH("D5.21|"&amp;BV118,CODIFICACION!$F$2:$F$500,0))="sin dato","",INDEX(CODIFICACION!$E$2:$E$500,MATCH("D5.21|"&amp;BV118,CODIFICACION!$F$2:$F$500,0))),"⚠"))</f>
        <v/>
      </c>
      <c r="AR118" t="str">
        <f>IF(BW118="","",IFERROR(IF(INDEX(CODIFICACION!$E$2:$E$500,MATCH("D5.21a|"&amp;BW118,CODIFICACION!$F$2:$F$500,0))="sin dato","",INDEX(CODIFICACION!$E$2:$E$500,MATCH("D5.21a|"&amp;BW118,CODIFICACION!$F$2:$F$500,0))),"⚠"))</f>
        <v/>
      </c>
      <c r="AS118" t="str">
        <f>IF(BX118="","",IFERROR(IF(INDEX(CODIFICACION!$E$2:$E$500,MATCH("D5.21b|"&amp;BX118,CODIFICACION!$F$2:$F$500,0))="sin dato","",INDEX(CODIFICACION!$E$2:$E$500,MATCH("D5.21b|"&amp;BX118,CODIFICACION!$F$2:$F$500,0))),"⚠"))</f>
        <v/>
      </c>
      <c r="AT118" t="str">
        <f>IF(BY118="","",IFERROR(IF(INDEX(CODIFICACION!$E$2:$E$500,MATCH("D6.22|"&amp;BY118,CODIFICACION!$F$2:$F$500,0))="sin dato","",INDEX(CODIFICACION!$E$2:$E$500,MATCH("D6.22|"&amp;BY118,CODIFICACION!$F$2:$F$500,0))),"⚠"))</f>
        <v/>
      </c>
      <c r="AU118" t="str">
        <f>IF(BZ118="","",IFERROR(IF(INDEX(CODIFICACION!$E$2:$E$500,MATCH("D6.22a|"&amp;BZ118,CODIFICACION!$F$2:$F$500,0))="sin dato","",INDEX(CODIFICACION!$E$2:$E$500,MATCH("D6.22a|"&amp;BZ118,CODIFICACION!$F$2:$F$500,0))),"⚠"))</f>
        <v/>
      </c>
      <c r="AV118" t="str">
        <f>IF(CA118="","",IFERROR(IF(INDEX(CODIFICACION!$E$2:$E$500,MATCH("D6.22b|"&amp;CA118,CODIFICACION!$F$2:$F$500,0))="sin dato","",INDEX(CODIFICACION!$E$2:$E$500,MATCH("D6.22b|"&amp;CA118,CODIFICACION!$F$2:$F$500,0))),"⚠"))</f>
        <v/>
      </c>
      <c r="AW118" t="str">
        <f>IF(CB118="","",IFERROR(IF(INDEX(CODIFICACION!$E$2:$E$500,MATCH("D6.23|"&amp;CB118,CODIFICACION!$F$2:$F$500,0))="sin dato","",INDEX(CODIFICACION!$E$2:$E$500,MATCH("D6.23|"&amp;CB118,CODIFICACION!$F$2:$F$500,0))),"⚠"))</f>
        <v/>
      </c>
      <c r="AX118" t="str">
        <f ca="1">IF(CC118="","",IFERROR(IF(INDEX(CODIFICACION!$E$2:$E$500,MATCH("D6.24|"&amp;CC118,CODIFICACION!$F$2:$F$500,0))="sin dato","",INDEX(CODIFICACION!$E$2:$E$500,MATCH("D6.24|"&amp;CC118,CODIFICACION!$F$2:$F$500,0))),"⚠"))</f>
        <v/>
      </c>
      <c r="AY118" t="str">
        <f ca="1">IF(CD118="","",IFERROR(IF(INDEX(CODIFICACION!$E$2:$E$500,MATCH("D6.25|"&amp;CD118,CODIFICACION!$F$2:$F$500,0))="sin dato","",INDEX(CODIFICACION!$E$2:$E$500,MATCH("D6.25|"&amp;CD118,CODIFICACION!$F$2:$F$500,0))),"⚠"))</f>
        <v/>
      </c>
      <c r="AZ118" t="str">
        <f>IF(CE118="","",IFERROR(IF(INDEX(CODIFICACION!$E$2:$E$500,MATCH("D6.25a|"&amp;CE118,CODIFICACION!$F$2:$F$500,0))="sin dato","",INDEX(CODIFICACION!$E$2:$E$500,MATCH("D6.25a|"&amp;CE118,CODIFICACION!$F$2:$F$500,0))),"⚠"))</f>
        <v/>
      </c>
      <c r="BA118" t="str">
        <f>IF(CF118="","",IFERROR(IF(INDEX(CODIFICACION!$E$2:$E$500,MATCH("D6.25b|"&amp;CF118,CODIFICACION!$F$2:$F$500,0))="sin dato","",INDEX(CODIFICACION!$E$2:$E$500,MATCH("D6.25b|"&amp;CF118,CODIFICACION!$F$2:$F$500,0))),"⚠"))</f>
        <v/>
      </c>
      <c r="BB118" t="str">
        <f ca="1">IF(CG118="","",IFERROR(IF(INDEX(CODIFICACION!$E$2:$E$500,MATCH("D6.22c|"&amp;CG118,CODIFICACION!$F$2:$F$500,0))="sin dato","",INDEX(CODIFICACION!$E$2:$E$500,MATCH("D6.22c|"&amp;CG118,CODIFICACION!$F$2:$F$500,0))),"⚠"))</f>
        <v/>
      </c>
      <c r="BC118" t="str">
        <f ca="1">IF(CH118="","",IFERROR(IF(INDEX(CODIFICACION!$E$2:$E$500,MATCH("D7.26|"&amp;CH118,CODIFICACION!$F$2:$F$500,0))="sin dato","",INDEX(CODIFICACION!$E$2:$E$500,MATCH("D7.26|"&amp;CH118,CODIFICACION!$F$2:$F$500,0))),"⚠"))</f>
        <v/>
      </c>
      <c r="BD118" t="str">
        <f>IF(CI118="","",IFERROR(IF(INDEX(CODIFICACION!$E$2:$E$500,MATCH("D7.27|"&amp;CI118,CODIFICACION!$F$2:$F$500,0))="sin dato","",INDEX(CODIFICACION!$E$2:$E$500,MATCH("D7.27|"&amp;CI118,CODIFICACION!$F$2:$F$500,0))),"⚠"))</f>
        <v/>
      </c>
      <c r="BE118" t="str">
        <f>IF(CJ118="","",IFERROR(IF(INDEX(CODIFICACION!$E$2:$E$500,MATCH("D7.28|"&amp;CJ118,CODIFICACION!$F$2:$F$500,0))="sin dato","",INDEX(CODIFICACION!$E$2:$E$500,MATCH("D7.28|"&amp;CJ118,CODIFICACION!$F$2:$F$500,0))),"⚠"))</f>
        <v/>
      </c>
      <c r="BF118" t="str">
        <f>IF(CK118="","",IFERROR(IF(INDEX(CODIFICACION!$E$2:$E$500,MATCH("D7.28b|"&amp;CK118,CODIFICACION!$F$2:$F$500,0))="sin dato","",INDEX(CODIFICACION!$E$2:$E$500,MATCH("D7.28b|"&amp;CK118,CODIFICACION!$F$2:$F$500,0))),"⚠"))</f>
        <v/>
      </c>
      <c r="BG118" t="str">
        <f t="shared" si="85"/>
        <v/>
      </c>
      <c r="BH118" t="str">
        <f>IF(CM118="","",IFERROR(IF(INDEX(CODIFICACION!$E$2:$E$500,MATCH("D7.26a|"&amp;CM118,CODIFICACION!$F$2:$F$500,0))="sin dato","",INDEX(CODIFICACION!$E$2:$E$500,MATCH("D7.26a|"&amp;CM118,CODIFICACION!$F$2:$F$500,0))),"⚠"))</f>
        <v/>
      </c>
      <c r="BI118" t="str">
        <f>IF(CN118="","",IFERROR(IF(INDEX(CODIFICACION!$E$2:$E$500,MATCH("D7.26b|"&amp;CN118,CODIFICACION!$F$2:$F$500,0))="sin dato","",INDEX(CODIFICACION!$E$2:$E$500,MATCH("D7.26b|"&amp;CN118,CODIFICACION!$F$2:$F$500,0))),"⚠"))</f>
        <v/>
      </c>
      <c r="BJ118" t="str">
        <f t="shared" si="86"/>
        <v/>
      </c>
      <c r="BK118" t="str">
        <f t="shared" si="87"/>
        <v/>
      </c>
      <c r="BL118" t="str">
        <f>IF(CQ118="","",IFERROR(IF(INDEX(CODIFICACION!$E$2:$E$500,MATCH("D8.31|"&amp;CQ118,CODIFICACION!$F$2:$F$500,0))="sin dato","",INDEX(CODIFICACION!$E$2:$E$500,MATCH("D8.31|"&amp;CQ118,CODIFICACION!$F$2:$F$500,0))),"⚠"))</f>
        <v/>
      </c>
      <c r="BM118" t="str">
        <f>IF(CR118="","",IFERROR(IF(INDEX(CODIFICACION!$E$2:$E$500,MATCH("D8.32|"&amp;CR118,CODIFICACION!$F$2:$F$500,0))="sin dato","",INDEX(CODIFICACION!$E$2:$E$500,MATCH("D8.32|"&amp;CR118,CODIFICACION!$F$2:$F$500,0))),"⚠"))</f>
        <v/>
      </c>
      <c r="BN118" t="str">
        <f>IF(CS118="","",IFERROR(IF(INDEX(CODIFICACION!$E$2:$E$500,MATCH("D9.33|"&amp;CS118,CODIFICACION!$F$2:$F$500,0))="sin dato","",INDEX(CODIFICACION!$E$2:$E$500,MATCH("D9.33|"&amp;CS118,CODIFICACION!$F$2:$F$500,0))),"⚠"))</f>
        <v/>
      </c>
      <c r="BO118" t="str">
        <f>IF(CT118="","",IFERROR(IF(INDEX(CODIFICACION!$E$2:$E$500,MATCH("D9.34|"&amp;CT118,CODIFICACION!$F$2:$F$500,0))="sin dato","",INDEX(CODIFICACION!$E$2:$E$500,MATCH("D9.34|"&amp;CT118,CODIFICACION!$F$2:$F$500,0))),"⚠"))</f>
        <v/>
      </c>
      <c r="BP118" t="str">
        <f>IF(CU118="","",IFERROR(IF(INDEX(CODIFICACION!$E$2:$E$500,MATCH("D9.35|"&amp;CU118,CODIFICACION!$F$2:$F$500,0))="sin dato","",INDEX(CODIFICACION!$E$2:$E$500,MATCH("D9.35|"&amp;CU118,CODIFICACION!$F$2:$F$500,0))),"⚠"))</f>
        <v/>
      </c>
      <c r="BQ118" t="str">
        <f>IF(CV118="","",IFERROR(IF(INDEX(CODIFICACION!$E$2:$E$500,MATCH("D10.36|"&amp;CV118,CODIFICACION!$F$2:$F$500,0))="sin dato","",INDEX(CODIFICACION!$E$2:$E$500,MATCH("D10.36|"&amp;CV118,CODIFICACION!$F$2:$F$500,0))),"⚠"))</f>
        <v/>
      </c>
      <c r="BR118" t="str">
        <f>IF(CW118="","",IFERROR(IF(INDEX(CODIFICACION!$E$2:$E$500,MATCH("D10.37|"&amp;CW118,CODIFICACION!$F$2:$F$500,0))="sin dato","",INDEX(CODIFICACION!$E$2:$E$500,MATCH("D10.37|"&amp;CW118,CODIFICACION!$F$2:$F$500,0))),"⚠"))</f>
        <v/>
      </c>
      <c r="BS118" t="str">
        <f>IF(CX118="","",IFERROR(IF(INDEX(CODIFICACION!$E$2:$E$500,MATCH("D10.36a|"&amp;CX118,CODIFICACION!$F$2:$F$500,0))="sin dato","",INDEX(CODIFICACION!$E$2:$E$500,MATCH("D10.36a|"&amp;CX118,CODIFICACION!$F$2:$F$500,0))),"⚠"))</f>
        <v/>
      </c>
      <c r="BT118" t="str">
        <f t="shared" si="88"/>
        <v/>
      </c>
      <c r="BU118" t="str">
        <f>IF(DA118="","",IFERROR(IF(INDEX(CODIFICACION!$E$2:$E$500,MATCH("D11.39a|"&amp;DA118,CODIFICACION!$F$2:$F$500,0))="sin dato","",INDEX(CODIFICACION!$E$2:$E$500,MATCH("D11.39a|"&amp;DA118,CODIFICACION!$F$2:$F$500,0))),"⚠"))</f>
        <v/>
      </c>
      <c r="BV118" t="str">
        <f>IF(DB118="","",IFERROR(IF(INDEX(CODIFICACION!$E$2:$E$500,MATCH("D12.42|"&amp;DB118,CODIFICACION!$F$2:$F$500,0))="sin dato","",INDEX(CODIFICACION!$E$2:$E$500,MATCH("D12.42|"&amp;DB118,CODIFICACION!$F$2:$F$500,0))),"⚠"))</f>
        <v/>
      </c>
      <c r="BW118" t="str">
        <f>IF(DC118="","",IFERROR(IF(INDEX(CODIFICACION!$E$2:$E$500,MATCH("D13.45|"&amp;DC118,CODIFICACION!$F$2:$F$500,0))="sin dato","",INDEX(CODIFICACION!$E$2:$E$500,MATCH("D13.45|"&amp;DC118,CODIFICACION!$F$2:$F$500,0))),"⚠"))</f>
        <v/>
      </c>
      <c r="BX118" t="str">
        <f>IF(DD118="","",IFERROR(IF(INDEX(CODIFICACION!$E$2:$E$500,MATCH("D14.51|"&amp;DD118,CODIFICACION!$F$2:$F$500,0))="sin dato","",INDEX(CODIFICACION!$E$2:$E$500,MATCH("D14.51|"&amp;DD118,CODIFICACION!$F$2:$F$500,0))),"⚠"))</f>
        <v/>
      </c>
      <c r="BY118" t="str">
        <f>IF(DE118="","",IFERROR(IF(INDEX(CODIFICACION!$E$2:$E$500,MATCH("D15.58|"&amp;DE118,CODIFICACION!$F$2:$F$500,0))="sin dato","",INDEX(CODIFICACION!$E$2:$E$500,MATCH("D15.58|"&amp;DE118,CODIFICACION!$F$2:$F$500,0))),"⚠"))</f>
        <v/>
      </c>
      <c r="BZ118" t="str">
        <f>IF(DF118="","",IFERROR(IF(INDEX(CODIFICACION!$E$2:$E$500,MATCH("PP1|"&amp;DF118,CODIFICACION!$F$2:$F$500,0))="sin dato","",INDEX(CODIFICACION!$E$2:$E$500,MATCH("PP1|"&amp;DF118,CODIFICACION!$F$2:$F$500,0))),"⚠"))</f>
        <v/>
      </c>
      <c r="CA118" t="str">
        <f>IF(DG118="","",IFERROR(IF(INDEX(CODIFICACION!$E$2:$E$500,MATCH("PP2|"&amp;DG118,CODIFICACION!$F$2:$F$500,0))="sin dato","",INDEX(CODIFICACION!$E$2:$E$500,MATCH("PP2|"&amp;DG118,CODIFICACION!$F$2:$F$500,0))),"⚠"))</f>
        <v/>
      </c>
      <c r="CB118" t="str">
        <f t="shared" si="89"/>
        <v/>
      </c>
      <c r="CC118" t="str">
        <f t="shared" ca="1" si="90"/>
        <v/>
      </c>
      <c r="CD118" t="str">
        <f t="shared" ca="1" si="91"/>
        <v/>
      </c>
      <c r="CE118" t="str">
        <f t="shared" si="92"/>
        <v/>
      </c>
      <c r="CF118" t="str">
        <f t="shared" si="93"/>
        <v/>
      </c>
      <c r="CG118" t="str">
        <f t="shared" ca="1" si="94"/>
        <v/>
      </c>
      <c r="CH118" t="str">
        <f t="shared" ca="1" si="95"/>
        <v/>
      </c>
      <c r="CI118" t="str">
        <f t="shared" si="96"/>
        <v/>
      </c>
      <c r="CJ118" t="str">
        <f t="shared" si="97"/>
        <v/>
      </c>
      <c r="CK118" t="str">
        <f t="shared" si="98"/>
        <v/>
      </c>
      <c r="CL118" t="str">
        <f t="shared" si="99"/>
        <v/>
      </c>
    </row>
    <row r="119" spans="1:90" x14ac:dyDescent="0.3">
      <c r="A119">
        <f>CAPTURA!A119</f>
        <v>20601119316</v>
      </c>
      <c r="B119">
        <f>CAPTURA!C119</f>
        <v>0</v>
      </c>
      <c r="C119" t="str">
        <f t="shared" si="75"/>
        <v/>
      </c>
      <c r="D119" t="str">
        <f>IF(AE119="","",IFERROR(IF(INDEX(CODIFICACION!$E$2:$E$500,MATCH("P8|"&amp;AE119,CODIFICACION!$F$2:$F$500,0))="sin dato","",INDEX(CODIFICACION!$E$2:$E$500,MATCH("P8|"&amp;AE119,CODIFICACION!$F$2:$F$500,0))),"⚠"))</f>
        <v/>
      </c>
      <c r="E119" t="str">
        <f>IF(AG119="","",IFERROR(IF(INDEX(CODIFICACION!$E$2:$E$500,MATCH("P10|"&amp;AG119,CODIFICACION!$F$2:$F$500,0))="sin dato","",INDEX(CODIFICACION!$E$2:$E$500,MATCH("P10|"&amp;AG119,CODIFICACION!$F$2:$F$500,0))),"⚠"))</f>
        <v/>
      </c>
      <c r="F119" t="str">
        <f>IF(AJ119="","",IFERROR(IF(INDEX(CODIFICACION!$E$2:$E$500,MATCH("P13|"&amp;AJ119,CODIFICACION!$F$2:$F$500,0))="sin dato","",INDEX(CODIFICACION!$E$2:$E$500,MATCH("P13|"&amp;AJ119,CODIFICACION!$F$2:$F$500,0))),"⚠"))</f>
        <v/>
      </c>
      <c r="G119" t="str">
        <f>IF(AK119="","",IFERROR(IF(INDEX(CODIFICACION!$E$2:$E$500,MATCH("P14|"&amp;AK119,CODIFICACION!$F$2:$F$500,0))="sin dato","",INDEX(CODIFICACION!$E$2:$E$500,MATCH("P14|"&amp;AK119,CODIFICACION!$F$2:$F$500,0))),"⚠"))</f>
        <v/>
      </c>
      <c r="H119" t="str">
        <f>IF(AL119="","",IFERROR(IF(INDEX(CODIFICACION!$E$2:$E$500,MATCH("D1.1|"&amp;AL119,CODIFICACION!$F$2:$F$500,0))="sin dato","",INDEX(CODIFICACION!$E$2:$E$500,MATCH("D1.1|"&amp;AL119,CODIFICACION!$F$2:$F$500,0))),"⚠"))</f>
        <v/>
      </c>
      <c r="I119" t="str">
        <f>IF(AN119="","",IFERROR(IF(INDEX(CODIFICACION!$E$2:$E$500,MATCH("D1.3|"&amp;AN119,CODIFICACION!$F$2:$F$500,0))="sin dato","",INDEX(CODIFICACION!$E$2:$E$500,MATCH("D1.3|"&amp;AN119,CODIFICACION!$F$2:$F$500,0))),"⚠"))</f>
        <v/>
      </c>
      <c r="J119" t="str">
        <f>IF(AO119="","",IFERROR(IF(INDEX(CODIFICACION!$E$2:$E$500,MATCH("D1.4|"&amp;AO119,CODIFICACION!$F$2:$F$500,0))="sin dato","",INDEX(CODIFICACION!$E$2:$E$500,MATCH("D1.4|"&amp;AO119,CODIFICACION!$F$2:$F$500,0))),"⚠"))</f>
        <v/>
      </c>
      <c r="K119" t="str">
        <f>IF(AP119="","",IFERROR(IF(INDEX(CODIFICACION!$E$2:$E$500,MATCH("D1.3a|"&amp;AP119,CODIFICACION!$F$2:$F$500,0))="sin dato","",INDEX(CODIFICACION!$E$2:$E$500,MATCH("D1.3a|"&amp;AP119,CODIFICACION!$F$2:$F$500,0))),"⚠"))</f>
        <v/>
      </c>
      <c r="L119" t="str">
        <f t="shared" si="76"/>
        <v/>
      </c>
      <c r="M119" t="str">
        <f t="shared" si="77"/>
        <v/>
      </c>
      <c r="N119" t="str">
        <f t="shared" si="78"/>
        <v/>
      </c>
      <c r="O119" t="str">
        <f>IF(AT119="","",IFERROR(IF(INDEX(CODIFICACION!$E$2:$E$500,MATCH("D2.8|"&amp;AT119,CODIFICACION!$F$2:$F$500,0))="sin dato","",INDEX(CODIFICACION!$E$2:$E$500,MATCH("D2.8|"&amp;AT119,CODIFICACION!$F$2:$F$500,0))),"⚠"))</f>
        <v/>
      </c>
      <c r="P119" t="str">
        <f>IF(AU119="","",IFERROR(IF(INDEX(CODIFICACION!$E$2:$E$500,MATCH("D2.9|"&amp;AU119,CODIFICACION!$F$2:$F$500,0))="sin dato","",INDEX(CODIFICACION!$E$2:$E$500,MATCH("D2.9|"&amp;AU119,CODIFICACION!$F$2:$F$500,0))),"⚠"))</f>
        <v/>
      </c>
      <c r="Q119" t="str">
        <f>IF(AV119="","",IFERROR(IF(INDEX(CODIFICACION!$E$2:$E$500,MATCH("D2.10|"&amp;AV119,CODIFICACION!$F$2:$F$500,0))="sin dato","",INDEX(CODIFICACION!$E$2:$E$500,MATCH("D2.10|"&amp;AV119,CODIFICACION!$F$2:$F$500,0))),"⚠"))</f>
        <v/>
      </c>
      <c r="R119" t="str">
        <f>IF(AW119="","",IFERROR(IF(INDEX(CODIFICACION!$E$2:$E$500,MATCH("D2.5a|"&amp;AW119,CODIFICACION!$F$2:$F$500,0))="sin dato","",INDEX(CODIFICACION!$E$2:$E$500,MATCH("D2.5a|"&amp;AW119,CODIFICACION!$F$2:$F$500,0))),"⚠"))</f>
        <v/>
      </c>
      <c r="S119" t="str">
        <f ca="1">IF(AX119="","",IFERROR(IF(INDEX(CODIFICACION!$E$2:$E$500,MATCH("D2.5b|"&amp;AX119,CODIFICACION!$F$2:$F$500,0))="sin dato","",INDEX(CODIFICACION!$E$2:$E$500,MATCH("D2.5b|"&amp;AX119,CODIFICACION!$F$2:$F$500,0))),"⚠"))</f>
        <v/>
      </c>
      <c r="T119" t="str">
        <f t="shared" ca="1" si="79"/>
        <v/>
      </c>
      <c r="U119" t="str">
        <f>IF(AZ119="","",IFERROR(IF(INDEX(CODIFICACION!$E$2:$E$500,MATCH("D3.12|"&amp;AZ119,CODIFICACION!$F$2:$F$500,0))="sin dato","",INDEX(CODIFICACION!$E$2:$E$500,MATCH("D3.12|"&amp;AZ119,CODIFICACION!$F$2:$F$500,0))),"⚠"))</f>
        <v/>
      </c>
      <c r="V119" t="str">
        <f t="shared" si="80"/>
        <v/>
      </c>
      <c r="W119" t="str">
        <f ca="1">IF(BB119="","",IFERROR(IF(INDEX(CODIFICACION!$E$2:$E$500,MATCH("D3.14|"&amp;BB119,CODIFICACION!$F$2:$F$500,0))="sin dato","",INDEX(CODIFICACION!$E$2:$E$500,MATCH("D3.14|"&amp;BB119,CODIFICACION!$F$2:$F$500,0))),"⚠"))</f>
        <v/>
      </c>
      <c r="X119" t="str">
        <f ca="1">IF(BC119="","",IFERROR(IF(INDEX(CODIFICACION!$E$2:$E$500,MATCH("D3.14a|"&amp;BC119,CODIFICACION!$F$2:$F$500,0))="sin dato","",INDEX(CODIFICACION!$E$2:$E$500,MATCH("D3.14a|"&amp;BC119,CODIFICACION!$F$2:$F$500,0))),"⚠"))</f>
        <v/>
      </c>
      <c r="Y119" t="str">
        <f>IF(BD119="","",IFERROR(IF(INDEX(CODIFICACION!$E$2:$E$500,MATCH("D3.14b|"&amp;BD119,CODIFICACION!$F$2:$F$500,0))="sin dato","",INDEX(CODIFICACION!$E$2:$E$500,MATCH("D3.14b|"&amp;BD119,CODIFICACION!$F$2:$F$500,0))),"⚠"))</f>
        <v/>
      </c>
      <c r="Z119" t="str">
        <f>IF(BE119="","",IFERROR(IF(INDEX(CODIFICACION!$E$2:$E$500,MATCH("D3.14c|"&amp;BE119,CODIFICACION!$F$2:$F$500,0))="sin dato","",INDEX(CODIFICACION!$E$2:$E$500,MATCH("D3.14c|"&amp;BE119,CODIFICACION!$F$2:$F$500,0))),"⚠"))</f>
        <v/>
      </c>
      <c r="AA119" t="str">
        <f>IF(BF119="","",IFERROR(IF(INDEX(CODIFICACION!$E$2:$E$500,MATCH("D3.14d|"&amp;BF119,CODIFICACION!$F$2:$F$500,0))="sin dato","",INDEX(CODIFICACION!$E$2:$E$500,MATCH("D3.14d|"&amp;BF119,CODIFICACION!$F$2:$F$500,0))),"⚠"))</f>
        <v/>
      </c>
      <c r="AB119" t="str">
        <f>IF(BG119="","",IFERROR(IF(INDEX(CODIFICACION!$E$2:$E$500,MATCH("D3.14e|"&amp;BG119,CODIFICACION!$F$2:$F$500,0))="sin dato","",INDEX(CODIFICACION!$E$2:$E$500,MATCH("D3.14e|"&amp;BG119,CODIFICACION!$F$2:$F$500,0))),"⚠"))</f>
        <v/>
      </c>
      <c r="AC119" t="str">
        <f>IF(BH119="","",IFERROR(IF(INDEX(CODIFICACION!$E$2:$E$500,MATCH("D3.14f|"&amp;BH119,CODIFICACION!$F$2:$F$500,0))="sin dato","",INDEX(CODIFICACION!$E$2:$E$500,MATCH("D3.14f|"&amp;BH119,CODIFICACION!$F$2:$F$500,0))),"⚠"))</f>
        <v/>
      </c>
      <c r="AD119" t="str">
        <f>IF(BI119="","",IFERROR(IF(INDEX(CODIFICACION!$E$2:$E$500,MATCH("D3.14g|"&amp;BI119,CODIFICACION!$F$2:$F$500,0))="sin dato","",INDEX(CODIFICACION!$E$2:$E$500,MATCH("D3.14g|"&amp;BI119,CODIFICACION!$F$2:$F$500,0))),"⚠"))</f>
        <v/>
      </c>
      <c r="AE119" t="str">
        <f>IF(BJ119="","",IFERROR(IF(INDEX(CODIFICACION!$E$2:$E$500,MATCH("D3.14h|"&amp;BJ119,CODIFICACION!$F$2:$F$500,0))="sin dato","",INDEX(CODIFICACION!$E$2:$E$500,MATCH("D3.14h|"&amp;BJ119,CODIFICACION!$F$2:$F$500,0))),"⚠"))</f>
        <v/>
      </c>
      <c r="AF119" t="str">
        <f>IF(BK119="","",IFERROR(IF(INDEX(CODIFICACION!$E$2:$E$500,MATCH("D3.14i|"&amp;BK119,CODIFICACION!$F$2:$F$500,0))="sin dato","",INDEX(CODIFICACION!$E$2:$E$500,MATCH("D3.14i|"&amp;BK119,CODIFICACION!$F$2:$F$500,0))),"⚠"))</f>
        <v/>
      </c>
      <c r="AG119" t="str">
        <f>IF(BL119="","",IFERROR(IF(INDEX(CODIFICACION!$E$2:$E$500,MATCH("D4.15|"&amp;BL119,CODIFICACION!$F$2:$F$500,0))="sin dato","",INDEX(CODIFICACION!$E$2:$E$500,MATCH("D4.15|"&amp;BL119,CODIFICACION!$F$2:$F$500,0))),"⚠"))</f>
        <v/>
      </c>
      <c r="AH119" t="str">
        <f t="shared" si="81"/>
        <v/>
      </c>
      <c r="AI119" t="str">
        <f>IF(BN119="","",IFERROR(IF(INDEX(CODIFICACION!$E$2:$E$500,MATCH("D4.17|"&amp;BN119,CODIFICACION!$F$2:$F$500,0))="sin dato","",INDEX(CODIFICACION!$E$2:$E$500,MATCH("D4.17|"&amp;BN119,CODIFICACION!$F$2:$F$500,0))),"⚠"))</f>
        <v/>
      </c>
      <c r="AJ119" t="str">
        <f>IF(BO119="","",IFERROR(IF(INDEX(CODIFICACION!$E$2:$E$500,MATCH("D4.15a|"&amp;BO119,CODIFICACION!$F$2:$F$500,0))="sin dato","",INDEX(CODIFICACION!$E$2:$E$500,MATCH("D4.15a|"&amp;BO119,CODIFICACION!$F$2:$F$500,0))),"⚠"))</f>
        <v/>
      </c>
      <c r="AK119" t="str">
        <f t="shared" si="82"/>
        <v/>
      </c>
      <c r="AL119" t="str">
        <f t="shared" si="83"/>
        <v/>
      </c>
      <c r="AM119" t="str">
        <f>IF(BR119="","",IFERROR(IF(INDEX(CODIFICACION!$E$2:$E$500,MATCH("D5.18b|"&amp;BR119,CODIFICACION!$F$2:$F$500,0))="sin dato","",INDEX(CODIFICACION!$E$2:$E$500,MATCH("D5.18b|"&amp;BR119,CODIFICACION!$F$2:$F$500,0))),"⚠"))</f>
        <v/>
      </c>
      <c r="AN119" t="str">
        <f>IF(BS119="","",IFERROR(IF(INDEX(CODIFICACION!$E$2:$E$500,MATCH("D5.19|"&amp;BS119,CODIFICACION!$F$2:$F$500,0))="sin dato","",INDEX(CODIFICACION!$E$2:$E$500,MATCH("D5.19|"&amp;BS119,CODIFICACION!$F$2:$F$500,0))),"⚠"))</f>
        <v/>
      </c>
      <c r="AO119" t="str">
        <f t="shared" si="84"/>
        <v/>
      </c>
      <c r="AP119" t="str">
        <f>IF(BU119="","",IFERROR(IF(INDEX(CODIFICACION!$E$2:$E$500,MATCH("D5.20|"&amp;BU119,CODIFICACION!$F$2:$F$500,0))="sin dato","",INDEX(CODIFICACION!$E$2:$E$500,MATCH("D5.20|"&amp;BU119,CODIFICACION!$F$2:$F$500,0))),"⚠"))</f>
        <v/>
      </c>
      <c r="AQ119" t="str">
        <f>IF(BV119="","",IFERROR(IF(INDEX(CODIFICACION!$E$2:$E$500,MATCH("D5.21|"&amp;BV119,CODIFICACION!$F$2:$F$500,0))="sin dato","",INDEX(CODIFICACION!$E$2:$E$500,MATCH("D5.21|"&amp;BV119,CODIFICACION!$F$2:$F$500,0))),"⚠"))</f>
        <v/>
      </c>
      <c r="AR119" t="str">
        <f>IF(BW119="","",IFERROR(IF(INDEX(CODIFICACION!$E$2:$E$500,MATCH("D5.21a|"&amp;BW119,CODIFICACION!$F$2:$F$500,0))="sin dato","",INDEX(CODIFICACION!$E$2:$E$500,MATCH("D5.21a|"&amp;BW119,CODIFICACION!$F$2:$F$500,0))),"⚠"))</f>
        <v/>
      </c>
      <c r="AS119" t="str">
        <f>IF(BX119="","",IFERROR(IF(INDEX(CODIFICACION!$E$2:$E$500,MATCH("D5.21b|"&amp;BX119,CODIFICACION!$F$2:$F$500,0))="sin dato","",INDEX(CODIFICACION!$E$2:$E$500,MATCH("D5.21b|"&amp;BX119,CODIFICACION!$F$2:$F$500,0))),"⚠"))</f>
        <v/>
      </c>
      <c r="AT119" t="str">
        <f>IF(BY119="","",IFERROR(IF(INDEX(CODIFICACION!$E$2:$E$500,MATCH("D6.22|"&amp;BY119,CODIFICACION!$F$2:$F$500,0))="sin dato","",INDEX(CODIFICACION!$E$2:$E$500,MATCH("D6.22|"&amp;BY119,CODIFICACION!$F$2:$F$500,0))),"⚠"))</f>
        <v/>
      </c>
      <c r="AU119" t="str">
        <f>IF(BZ119="","",IFERROR(IF(INDEX(CODIFICACION!$E$2:$E$500,MATCH("D6.22a|"&amp;BZ119,CODIFICACION!$F$2:$F$500,0))="sin dato","",INDEX(CODIFICACION!$E$2:$E$500,MATCH("D6.22a|"&amp;BZ119,CODIFICACION!$F$2:$F$500,0))),"⚠"))</f>
        <v/>
      </c>
      <c r="AV119" t="str">
        <f>IF(CA119="","",IFERROR(IF(INDEX(CODIFICACION!$E$2:$E$500,MATCH("D6.22b|"&amp;CA119,CODIFICACION!$F$2:$F$500,0))="sin dato","",INDEX(CODIFICACION!$E$2:$E$500,MATCH("D6.22b|"&amp;CA119,CODIFICACION!$F$2:$F$500,0))),"⚠"))</f>
        <v/>
      </c>
      <c r="AW119" t="str">
        <f>IF(CB119="","",IFERROR(IF(INDEX(CODIFICACION!$E$2:$E$500,MATCH("D6.23|"&amp;CB119,CODIFICACION!$F$2:$F$500,0))="sin dato","",INDEX(CODIFICACION!$E$2:$E$500,MATCH("D6.23|"&amp;CB119,CODIFICACION!$F$2:$F$500,0))),"⚠"))</f>
        <v/>
      </c>
      <c r="AX119" t="str">
        <f ca="1">IF(CC119="","",IFERROR(IF(INDEX(CODIFICACION!$E$2:$E$500,MATCH("D6.24|"&amp;CC119,CODIFICACION!$F$2:$F$500,0))="sin dato","",INDEX(CODIFICACION!$E$2:$E$500,MATCH("D6.24|"&amp;CC119,CODIFICACION!$F$2:$F$500,0))),"⚠"))</f>
        <v/>
      </c>
      <c r="AY119" t="str">
        <f ca="1">IF(CD119="","",IFERROR(IF(INDEX(CODIFICACION!$E$2:$E$500,MATCH("D6.25|"&amp;CD119,CODIFICACION!$F$2:$F$500,0))="sin dato","",INDEX(CODIFICACION!$E$2:$E$500,MATCH("D6.25|"&amp;CD119,CODIFICACION!$F$2:$F$500,0))),"⚠"))</f>
        <v/>
      </c>
      <c r="AZ119" t="str">
        <f>IF(CE119="","",IFERROR(IF(INDEX(CODIFICACION!$E$2:$E$500,MATCH("D6.25a|"&amp;CE119,CODIFICACION!$F$2:$F$500,0))="sin dato","",INDEX(CODIFICACION!$E$2:$E$500,MATCH("D6.25a|"&amp;CE119,CODIFICACION!$F$2:$F$500,0))),"⚠"))</f>
        <v/>
      </c>
      <c r="BA119" t="str">
        <f>IF(CF119="","",IFERROR(IF(INDEX(CODIFICACION!$E$2:$E$500,MATCH("D6.25b|"&amp;CF119,CODIFICACION!$F$2:$F$500,0))="sin dato","",INDEX(CODIFICACION!$E$2:$E$500,MATCH("D6.25b|"&amp;CF119,CODIFICACION!$F$2:$F$500,0))),"⚠"))</f>
        <v/>
      </c>
      <c r="BB119" t="str">
        <f ca="1">IF(CG119="","",IFERROR(IF(INDEX(CODIFICACION!$E$2:$E$500,MATCH("D6.22c|"&amp;CG119,CODIFICACION!$F$2:$F$500,0))="sin dato","",INDEX(CODIFICACION!$E$2:$E$500,MATCH("D6.22c|"&amp;CG119,CODIFICACION!$F$2:$F$500,0))),"⚠"))</f>
        <v/>
      </c>
      <c r="BC119" t="str">
        <f ca="1">IF(CH119="","",IFERROR(IF(INDEX(CODIFICACION!$E$2:$E$500,MATCH("D7.26|"&amp;CH119,CODIFICACION!$F$2:$F$500,0))="sin dato","",INDEX(CODIFICACION!$E$2:$E$500,MATCH("D7.26|"&amp;CH119,CODIFICACION!$F$2:$F$500,0))),"⚠"))</f>
        <v/>
      </c>
      <c r="BD119" t="str">
        <f>IF(CI119="","",IFERROR(IF(INDEX(CODIFICACION!$E$2:$E$500,MATCH("D7.27|"&amp;CI119,CODIFICACION!$F$2:$F$500,0))="sin dato","",INDEX(CODIFICACION!$E$2:$E$500,MATCH("D7.27|"&amp;CI119,CODIFICACION!$F$2:$F$500,0))),"⚠"))</f>
        <v/>
      </c>
      <c r="BE119" t="str">
        <f>IF(CJ119="","",IFERROR(IF(INDEX(CODIFICACION!$E$2:$E$500,MATCH("D7.28|"&amp;CJ119,CODIFICACION!$F$2:$F$500,0))="sin dato","",INDEX(CODIFICACION!$E$2:$E$500,MATCH("D7.28|"&amp;CJ119,CODIFICACION!$F$2:$F$500,0))),"⚠"))</f>
        <v/>
      </c>
      <c r="BF119" t="str">
        <f>IF(CK119="","",IFERROR(IF(INDEX(CODIFICACION!$E$2:$E$500,MATCH("D7.28b|"&amp;CK119,CODIFICACION!$F$2:$F$500,0))="sin dato","",INDEX(CODIFICACION!$E$2:$E$500,MATCH("D7.28b|"&amp;CK119,CODIFICACION!$F$2:$F$500,0))),"⚠"))</f>
        <v/>
      </c>
      <c r="BG119" t="str">
        <f t="shared" si="85"/>
        <v/>
      </c>
      <c r="BH119" t="str">
        <f>IF(CM119="","",IFERROR(IF(INDEX(CODIFICACION!$E$2:$E$500,MATCH("D7.26a|"&amp;CM119,CODIFICACION!$F$2:$F$500,0))="sin dato","",INDEX(CODIFICACION!$E$2:$E$500,MATCH("D7.26a|"&amp;CM119,CODIFICACION!$F$2:$F$500,0))),"⚠"))</f>
        <v/>
      </c>
      <c r="BI119" t="str">
        <f>IF(CN119="","",IFERROR(IF(INDEX(CODIFICACION!$E$2:$E$500,MATCH("D7.26b|"&amp;CN119,CODIFICACION!$F$2:$F$500,0))="sin dato","",INDEX(CODIFICACION!$E$2:$E$500,MATCH("D7.26b|"&amp;CN119,CODIFICACION!$F$2:$F$500,0))),"⚠"))</f>
        <v/>
      </c>
      <c r="BJ119" t="str">
        <f t="shared" si="86"/>
        <v/>
      </c>
      <c r="BK119" t="str">
        <f t="shared" si="87"/>
        <v/>
      </c>
      <c r="BL119" t="str">
        <f>IF(CQ119="","",IFERROR(IF(INDEX(CODIFICACION!$E$2:$E$500,MATCH("D8.31|"&amp;CQ119,CODIFICACION!$F$2:$F$500,0))="sin dato","",INDEX(CODIFICACION!$E$2:$E$500,MATCH("D8.31|"&amp;CQ119,CODIFICACION!$F$2:$F$500,0))),"⚠"))</f>
        <v/>
      </c>
      <c r="BM119" t="str">
        <f>IF(CR119="","",IFERROR(IF(INDEX(CODIFICACION!$E$2:$E$500,MATCH("D8.32|"&amp;CR119,CODIFICACION!$F$2:$F$500,0))="sin dato","",INDEX(CODIFICACION!$E$2:$E$500,MATCH("D8.32|"&amp;CR119,CODIFICACION!$F$2:$F$500,0))),"⚠"))</f>
        <v/>
      </c>
      <c r="BN119" t="str">
        <f>IF(CS119="","",IFERROR(IF(INDEX(CODIFICACION!$E$2:$E$500,MATCH("D9.33|"&amp;CS119,CODIFICACION!$F$2:$F$500,0))="sin dato","",INDEX(CODIFICACION!$E$2:$E$500,MATCH("D9.33|"&amp;CS119,CODIFICACION!$F$2:$F$500,0))),"⚠"))</f>
        <v/>
      </c>
      <c r="BO119" t="str">
        <f>IF(CT119="","",IFERROR(IF(INDEX(CODIFICACION!$E$2:$E$500,MATCH("D9.34|"&amp;CT119,CODIFICACION!$F$2:$F$500,0))="sin dato","",INDEX(CODIFICACION!$E$2:$E$500,MATCH("D9.34|"&amp;CT119,CODIFICACION!$F$2:$F$500,0))),"⚠"))</f>
        <v/>
      </c>
      <c r="BP119" t="str">
        <f>IF(CU119="","",IFERROR(IF(INDEX(CODIFICACION!$E$2:$E$500,MATCH("D9.35|"&amp;CU119,CODIFICACION!$F$2:$F$500,0))="sin dato","",INDEX(CODIFICACION!$E$2:$E$500,MATCH("D9.35|"&amp;CU119,CODIFICACION!$F$2:$F$500,0))),"⚠"))</f>
        <v/>
      </c>
      <c r="BQ119" t="str">
        <f>IF(CV119="","",IFERROR(IF(INDEX(CODIFICACION!$E$2:$E$500,MATCH("D10.36|"&amp;CV119,CODIFICACION!$F$2:$F$500,0))="sin dato","",INDEX(CODIFICACION!$E$2:$E$500,MATCH("D10.36|"&amp;CV119,CODIFICACION!$F$2:$F$500,0))),"⚠"))</f>
        <v/>
      </c>
      <c r="BR119" t="str">
        <f>IF(CW119="","",IFERROR(IF(INDEX(CODIFICACION!$E$2:$E$500,MATCH("D10.37|"&amp;CW119,CODIFICACION!$F$2:$F$500,0))="sin dato","",INDEX(CODIFICACION!$E$2:$E$500,MATCH("D10.37|"&amp;CW119,CODIFICACION!$F$2:$F$500,0))),"⚠"))</f>
        <v/>
      </c>
      <c r="BS119" t="str">
        <f>IF(CX119="","",IFERROR(IF(INDEX(CODIFICACION!$E$2:$E$500,MATCH("D10.36a|"&amp;CX119,CODIFICACION!$F$2:$F$500,0))="sin dato","",INDEX(CODIFICACION!$E$2:$E$500,MATCH("D10.36a|"&amp;CX119,CODIFICACION!$F$2:$F$500,0))),"⚠"))</f>
        <v/>
      </c>
      <c r="BT119" t="str">
        <f t="shared" si="88"/>
        <v/>
      </c>
      <c r="BU119" t="str">
        <f>IF(DA119="","",IFERROR(IF(INDEX(CODIFICACION!$E$2:$E$500,MATCH("D11.39a|"&amp;DA119,CODIFICACION!$F$2:$F$500,0))="sin dato","",INDEX(CODIFICACION!$E$2:$E$500,MATCH("D11.39a|"&amp;DA119,CODIFICACION!$F$2:$F$500,0))),"⚠"))</f>
        <v/>
      </c>
      <c r="BV119" t="str">
        <f>IF(DB119="","",IFERROR(IF(INDEX(CODIFICACION!$E$2:$E$500,MATCH("D12.42|"&amp;DB119,CODIFICACION!$F$2:$F$500,0))="sin dato","",INDEX(CODIFICACION!$E$2:$E$500,MATCH("D12.42|"&amp;DB119,CODIFICACION!$F$2:$F$500,0))),"⚠"))</f>
        <v/>
      </c>
      <c r="BW119" t="str">
        <f>IF(DC119="","",IFERROR(IF(INDEX(CODIFICACION!$E$2:$E$500,MATCH("D13.45|"&amp;DC119,CODIFICACION!$F$2:$F$500,0))="sin dato","",INDEX(CODIFICACION!$E$2:$E$500,MATCH("D13.45|"&amp;DC119,CODIFICACION!$F$2:$F$500,0))),"⚠"))</f>
        <v/>
      </c>
      <c r="BX119" t="str">
        <f>IF(DD119="","",IFERROR(IF(INDEX(CODIFICACION!$E$2:$E$500,MATCH("D14.51|"&amp;DD119,CODIFICACION!$F$2:$F$500,0))="sin dato","",INDEX(CODIFICACION!$E$2:$E$500,MATCH("D14.51|"&amp;DD119,CODIFICACION!$F$2:$F$500,0))),"⚠"))</f>
        <v/>
      </c>
      <c r="BY119" t="str">
        <f>IF(DE119="","",IFERROR(IF(INDEX(CODIFICACION!$E$2:$E$500,MATCH("D15.58|"&amp;DE119,CODIFICACION!$F$2:$F$500,0))="sin dato","",INDEX(CODIFICACION!$E$2:$E$500,MATCH("D15.58|"&amp;DE119,CODIFICACION!$F$2:$F$500,0))),"⚠"))</f>
        <v/>
      </c>
      <c r="BZ119" t="str">
        <f>IF(DF119="","",IFERROR(IF(INDEX(CODIFICACION!$E$2:$E$500,MATCH("PP1|"&amp;DF119,CODIFICACION!$F$2:$F$500,0))="sin dato","",INDEX(CODIFICACION!$E$2:$E$500,MATCH("PP1|"&amp;DF119,CODIFICACION!$F$2:$F$500,0))),"⚠"))</f>
        <v/>
      </c>
      <c r="CA119" t="str">
        <f>IF(DG119="","",IFERROR(IF(INDEX(CODIFICACION!$E$2:$E$500,MATCH("PP2|"&amp;DG119,CODIFICACION!$F$2:$F$500,0))="sin dato","",INDEX(CODIFICACION!$E$2:$E$500,MATCH("PP2|"&amp;DG119,CODIFICACION!$F$2:$F$500,0))),"⚠"))</f>
        <v/>
      </c>
      <c r="CB119" t="str">
        <f t="shared" si="89"/>
        <v/>
      </c>
      <c r="CC119" t="str">
        <f t="shared" ca="1" si="90"/>
        <v/>
      </c>
      <c r="CD119" t="str">
        <f t="shared" ca="1" si="91"/>
        <v/>
      </c>
      <c r="CE119" t="str">
        <f t="shared" si="92"/>
        <v/>
      </c>
      <c r="CF119" t="str">
        <f t="shared" si="93"/>
        <v/>
      </c>
      <c r="CG119" t="str">
        <f t="shared" ca="1" si="94"/>
        <v/>
      </c>
      <c r="CH119" t="str">
        <f t="shared" ca="1" si="95"/>
        <v/>
      </c>
      <c r="CI119" t="str">
        <f t="shared" si="96"/>
        <v/>
      </c>
      <c r="CJ119" t="str">
        <f t="shared" si="97"/>
        <v/>
      </c>
      <c r="CK119" t="str">
        <f t="shared" si="98"/>
        <v/>
      </c>
      <c r="CL119" t="str">
        <f t="shared" si="99"/>
        <v/>
      </c>
    </row>
    <row r="120" spans="1:90" x14ac:dyDescent="0.3">
      <c r="A120">
        <f>CAPTURA!A120</f>
        <v>20601186986</v>
      </c>
      <c r="B120">
        <f>CAPTURA!C120</f>
        <v>0</v>
      </c>
      <c r="C120" t="str">
        <f t="shared" si="75"/>
        <v/>
      </c>
      <c r="D120" t="str">
        <f>IF(AE120="","",IFERROR(IF(INDEX(CODIFICACION!$E$2:$E$500,MATCH("P8|"&amp;AE120,CODIFICACION!$F$2:$F$500,0))="sin dato","",INDEX(CODIFICACION!$E$2:$E$500,MATCH("P8|"&amp;AE120,CODIFICACION!$F$2:$F$500,0))),"⚠"))</f>
        <v/>
      </c>
      <c r="E120" t="str">
        <f>IF(AG120="","",IFERROR(IF(INDEX(CODIFICACION!$E$2:$E$500,MATCH("P10|"&amp;AG120,CODIFICACION!$F$2:$F$500,0))="sin dato","",INDEX(CODIFICACION!$E$2:$E$500,MATCH("P10|"&amp;AG120,CODIFICACION!$F$2:$F$500,0))),"⚠"))</f>
        <v/>
      </c>
      <c r="F120" t="str">
        <f>IF(AJ120="","",IFERROR(IF(INDEX(CODIFICACION!$E$2:$E$500,MATCH("P13|"&amp;AJ120,CODIFICACION!$F$2:$F$500,0))="sin dato","",INDEX(CODIFICACION!$E$2:$E$500,MATCH("P13|"&amp;AJ120,CODIFICACION!$F$2:$F$500,0))),"⚠"))</f>
        <v/>
      </c>
      <c r="G120" t="str">
        <f>IF(AK120="","",IFERROR(IF(INDEX(CODIFICACION!$E$2:$E$500,MATCH("P14|"&amp;AK120,CODIFICACION!$F$2:$F$500,0))="sin dato","",INDEX(CODIFICACION!$E$2:$E$500,MATCH("P14|"&amp;AK120,CODIFICACION!$F$2:$F$500,0))),"⚠"))</f>
        <v/>
      </c>
      <c r="H120" t="str">
        <f>IF(AL120="","",IFERROR(IF(INDEX(CODIFICACION!$E$2:$E$500,MATCH("D1.1|"&amp;AL120,CODIFICACION!$F$2:$F$500,0))="sin dato","",INDEX(CODIFICACION!$E$2:$E$500,MATCH("D1.1|"&amp;AL120,CODIFICACION!$F$2:$F$500,0))),"⚠"))</f>
        <v/>
      </c>
      <c r="I120" t="str">
        <f>IF(AN120="","",IFERROR(IF(INDEX(CODIFICACION!$E$2:$E$500,MATCH("D1.3|"&amp;AN120,CODIFICACION!$F$2:$F$500,0))="sin dato","",INDEX(CODIFICACION!$E$2:$E$500,MATCH("D1.3|"&amp;AN120,CODIFICACION!$F$2:$F$500,0))),"⚠"))</f>
        <v/>
      </c>
      <c r="J120" t="str">
        <f>IF(AO120="","",IFERROR(IF(INDEX(CODIFICACION!$E$2:$E$500,MATCH("D1.4|"&amp;AO120,CODIFICACION!$F$2:$F$500,0))="sin dato","",INDEX(CODIFICACION!$E$2:$E$500,MATCH("D1.4|"&amp;AO120,CODIFICACION!$F$2:$F$500,0))),"⚠"))</f>
        <v/>
      </c>
      <c r="K120" t="str">
        <f>IF(AP120="","",IFERROR(IF(INDEX(CODIFICACION!$E$2:$E$500,MATCH("D1.3a|"&amp;AP120,CODIFICACION!$F$2:$F$500,0))="sin dato","",INDEX(CODIFICACION!$E$2:$E$500,MATCH("D1.3a|"&amp;AP120,CODIFICACION!$F$2:$F$500,0))),"⚠"))</f>
        <v/>
      </c>
      <c r="L120" t="str">
        <f t="shared" si="76"/>
        <v/>
      </c>
      <c r="M120" t="str">
        <f t="shared" si="77"/>
        <v/>
      </c>
      <c r="N120" t="str">
        <f t="shared" si="78"/>
        <v/>
      </c>
      <c r="O120" t="str">
        <f>IF(AT120="","",IFERROR(IF(INDEX(CODIFICACION!$E$2:$E$500,MATCH("D2.8|"&amp;AT120,CODIFICACION!$F$2:$F$500,0))="sin dato","",INDEX(CODIFICACION!$E$2:$E$500,MATCH("D2.8|"&amp;AT120,CODIFICACION!$F$2:$F$500,0))),"⚠"))</f>
        <v/>
      </c>
      <c r="P120" t="str">
        <f>IF(AU120="","",IFERROR(IF(INDEX(CODIFICACION!$E$2:$E$500,MATCH("D2.9|"&amp;AU120,CODIFICACION!$F$2:$F$500,0))="sin dato","",INDEX(CODIFICACION!$E$2:$E$500,MATCH("D2.9|"&amp;AU120,CODIFICACION!$F$2:$F$500,0))),"⚠"))</f>
        <v/>
      </c>
      <c r="Q120" t="str">
        <f>IF(AV120="","",IFERROR(IF(INDEX(CODIFICACION!$E$2:$E$500,MATCH("D2.10|"&amp;AV120,CODIFICACION!$F$2:$F$500,0))="sin dato","",INDEX(CODIFICACION!$E$2:$E$500,MATCH("D2.10|"&amp;AV120,CODIFICACION!$F$2:$F$500,0))),"⚠"))</f>
        <v/>
      </c>
      <c r="R120" t="str">
        <f>IF(AW120="","",IFERROR(IF(INDEX(CODIFICACION!$E$2:$E$500,MATCH("D2.5a|"&amp;AW120,CODIFICACION!$F$2:$F$500,0))="sin dato","",INDEX(CODIFICACION!$E$2:$E$500,MATCH("D2.5a|"&amp;AW120,CODIFICACION!$F$2:$F$500,0))),"⚠"))</f>
        <v/>
      </c>
      <c r="S120" t="str">
        <f ca="1">IF(AX120="","",IFERROR(IF(INDEX(CODIFICACION!$E$2:$E$500,MATCH("D2.5b|"&amp;AX120,CODIFICACION!$F$2:$F$500,0))="sin dato","",INDEX(CODIFICACION!$E$2:$E$500,MATCH("D2.5b|"&amp;AX120,CODIFICACION!$F$2:$F$500,0))),"⚠"))</f>
        <v/>
      </c>
      <c r="T120" t="str">
        <f t="shared" ca="1" si="79"/>
        <v/>
      </c>
      <c r="U120" t="str">
        <f>IF(AZ120="","",IFERROR(IF(INDEX(CODIFICACION!$E$2:$E$500,MATCH("D3.12|"&amp;AZ120,CODIFICACION!$F$2:$F$500,0))="sin dato","",INDEX(CODIFICACION!$E$2:$E$500,MATCH("D3.12|"&amp;AZ120,CODIFICACION!$F$2:$F$500,0))),"⚠"))</f>
        <v/>
      </c>
      <c r="V120" t="str">
        <f t="shared" si="80"/>
        <v/>
      </c>
      <c r="W120" t="str">
        <f ca="1">IF(BB120="","",IFERROR(IF(INDEX(CODIFICACION!$E$2:$E$500,MATCH("D3.14|"&amp;BB120,CODIFICACION!$F$2:$F$500,0))="sin dato","",INDEX(CODIFICACION!$E$2:$E$500,MATCH("D3.14|"&amp;BB120,CODIFICACION!$F$2:$F$500,0))),"⚠"))</f>
        <v/>
      </c>
      <c r="X120" t="str">
        <f ca="1">IF(BC120="","",IFERROR(IF(INDEX(CODIFICACION!$E$2:$E$500,MATCH("D3.14a|"&amp;BC120,CODIFICACION!$F$2:$F$500,0))="sin dato","",INDEX(CODIFICACION!$E$2:$E$500,MATCH("D3.14a|"&amp;BC120,CODIFICACION!$F$2:$F$500,0))),"⚠"))</f>
        <v/>
      </c>
      <c r="Y120" t="str">
        <f>IF(BD120="","",IFERROR(IF(INDEX(CODIFICACION!$E$2:$E$500,MATCH("D3.14b|"&amp;BD120,CODIFICACION!$F$2:$F$500,0))="sin dato","",INDEX(CODIFICACION!$E$2:$E$500,MATCH("D3.14b|"&amp;BD120,CODIFICACION!$F$2:$F$500,0))),"⚠"))</f>
        <v/>
      </c>
      <c r="Z120" t="str">
        <f>IF(BE120="","",IFERROR(IF(INDEX(CODIFICACION!$E$2:$E$500,MATCH("D3.14c|"&amp;BE120,CODIFICACION!$F$2:$F$500,0))="sin dato","",INDEX(CODIFICACION!$E$2:$E$500,MATCH("D3.14c|"&amp;BE120,CODIFICACION!$F$2:$F$500,0))),"⚠"))</f>
        <v/>
      </c>
      <c r="AA120" t="str">
        <f>IF(BF120="","",IFERROR(IF(INDEX(CODIFICACION!$E$2:$E$500,MATCH("D3.14d|"&amp;BF120,CODIFICACION!$F$2:$F$500,0))="sin dato","",INDEX(CODIFICACION!$E$2:$E$500,MATCH("D3.14d|"&amp;BF120,CODIFICACION!$F$2:$F$500,0))),"⚠"))</f>
        <v/>
      </c>
      <c r="AB120" t="str">
        <f>IF(BG120="","",IFERROR(IF(INDEX(CODIFICACION!$E$2:$E$500,MATCH("D3.14e|"&amp;BG120,CODIFICACION!$F$2:$F$500,0))="sin dato","",INDEX(CODIFICACION!$E$2:$E$500,MATCH("D3.14e|"&amp;BG120,CODIFICACION!$F$2:$F$500,0))),"⚠"))</f>
        <v/>
      </c>
      <c r="AC120" t="str">
        <f>IF(BH120="","",IFERROR(IF(INDEX(CODIFICACION!$E$2:$E$500,MATCH("D3.14f|"&amp;BH120,CODIFICACION!$F$2:$F$500,0))="sin dato","",INDEX(CODIFICACION!$E$2:$E$500,MATCH("D3.14f|"&amp;BH120,CODIFICACION!$F$2:$F$500,0))),"⚠"))</f>
        <v/>
      </c>
      <c r="AD120" t="str">
        <f>IF(BI120="","",IFERROR(IF(INDEX(CODIFICACION!$E$2:$E$500,MATCH("D3.14g|"&amp;BI120,CODIFICACION!$F$2:$F$500,0))="sin dato","",INDEX(CODIFICACION!$E$2:$E$500,MATCH("D3.14g|"&amp;BI120,CODIFICACION!$F$2:$F$500,0))),"⚠"))</f>
        <v/>
      </c>
      <c r="AE120" t="str">
        <f>IF(BJ120="","",IFERROR(IF(INDEX(CODIFICACION!$E$2:$E$500,MATCH("D3.14h|"&amp;BJ120,CODIFICACION!$F$2:$F$500,0))="sin dato","",INDEX(CODIFICACION!$E$2:$E$500,MATCH("D3.14h|"&amp;BJ120,CODIFICACION!$F$2:$F$500,0))),"⚠"))</f>
        <v/>
      </c>
      <c r="AF120" t="str">
        <f>IF(BK120="","",IFERROR(IF(INDEX(CODIFICACION!$E$2:$E$500,MATCH("D3.14i|"&amp;BK120,CODIFICACION!$F$2:$F$500,0))="sin dato","",INDEX(CODIFICACION!$E$2:$E$500,MATCH("D3.14i|"&amp;BK120,CODIFICACION!$F$2:$F$500,0))),"⚠"))</f>
        <v/>
      </c>
      <c r="AG120" t="str">
        <f>IF(BL120="","",IFERROR(IF(INDEX(CODIFICACION!$E$2:$E$500,MATCH("D4.15|"&amp;BL120,CODIFICACION!$F$2:$F$500,0))="sin dato","",INDEX(CODIFICACION!$E$2:$E$500,MATCH("D4.15|"&amp;BL120,CODIFICACION!$F$2:$F$500,0))),"⚠"))</f>
        <v/>
      </c>
      <c r="AH120" t="str">
        <f t="shared" si="81"/>
        <v/>
      </c>
      <c r="AI120" t="str">
        <f>IF(BN120="","",IFERROR(IF(INDEX(CODIFICACION!$E$2:$E$500,MATCH("D4.17|"&amp;BN120,CODIFICACION!$F$2:$F$500,0))="sin dato","",INDEX(CODIFICACION!$E$2:$E$500,MATCH("D4.17|"&amp;BN120,CODIFICACION!$F$2:$F$500,0))),"⚠"))</f>
        <v/>
      </c>
      <c r="AJ120" t="str">
        <f>IF(BO120="","",IFERROR(IF(INDEX(CODIFICACION!$E$2:$E$500,MATCH("D4.15a|"&amp;BO120,CODIFICACION!$F$2:$F$500,0))="sin dato","",INDEX(CODIFICACION!$E$2:$E$500,MATCH("D4.15a|"&amp;BO120,CODIFICACION!$F$2:$F$500,0))),"⚠"))</f>
        <v/>
      </c>
      <c r="AK120" t="str">
        <f t="shared" si="82"/>
        <v/>
      </c>
      <c r="AL120" t="str">
        <f t="shared" si="83"/>
        <v/>
      </c>
      <c r="AM120" t="str">
        <f>IF(BR120="","",IFERROR(IF(INDEX(CODIFICACION!$E$2:$E$500,MATCH("D5.18b|"&amp;BR120,CODIFICACION!$F$2:$F$500,0))="sin dato","",INDEX(CODIFICACION!$E$2:$E$500,MATCH("D5.18b|"&amp;BR120,CODIFICACION!$F$2:$F$500,0))),"⚠"))</f>
        <v/>
      </c>
      <c r="AN120" t="str">
        <f>IF(BS120="","",IFERROR(IF(INDEX(CODIFICACION!$E$2:$E$500,MATCH("D5.19|"&amp;BS120,CODIFICACION!$F$2:$F$500,0))="sin dato","",INDEX(CODIFICACION!$E$2:$E$500,MATCH("D5.19|"&amp;BS120,CODIFICACION!$F$2:$F$500,0))),"⚠"))</f>
        <v/>
      </c>
      <c r="AO120" t="str">
        <f t="shared" si="84"/>
        <v/>
      </c>
      <c r="AP120" t="str">
        <f>IF(BU120="","",IFERROR(IF(INDEX(CODIFICACION!$E$2:$E$500,MATCH("D5.20|"&amp;BU120,CODIFICACION!$F$2:$F$500,0))="sin dato","",INDEX(CODIFICACION!$E$2:$E$500,MATCH("D5.20|"&amp;BU120,CODIFICACION!$F$2:$F$500,0))),"⚠"))</f>
        <v/>
      </c>
      <c r="AQ120" t="str">
        <f>IF(BV120="","",IFERROR(IF(INDEX(CODIFICACION!$E$2:$E$500,MATCH("D5.21|"&amp;BV120,CODIFICACION!$F$2:$F$500,0))="sin dato","",INDEX(CODIFICACION!$E$2:$E$500,MATCH("D5.21|"&amp;BV120,CODIFICACION!$F$2:$F$500,0))),"⚠"))</f>
        <v/>
      </c>
      <c r="AR120" t="str">
        <f>IF(BW120="","",IFERROR(IF(INDEX(CODIFICACION!$E$2:$E$500,MATCH("D5.21a|"&amp;BW120,CODIFICACION!$F$2:$F$500,0))="sin dato","",INDEX(CODIFICACION!$E$2:$E$500,MATCH("D5.21a|"&amp;BW120,CODIFICACION!$F$2:$F$500,0))),"⚠"))</f>
        <v/>
      </c>
      <c r="AS120" t="str">
        <f>IF(BX120="","",IFERROR(IF(INDEX(CODIFICACION!$E$2:$E$500,MATCH("D5.21b|"&amp;BX120,CODIFICACION!$F$2:$F$500,0))="sin dato","",INDEX(CODIFICACION!$E$2:$E$500,MATCH("D5.21b|"&amp;BX120,CODIFICACION!$F$2:$F$500,0))),"⚠"))</f>
        <v/>
      </c>
      <c r="AT120" t="str">
        <f>IF(BY120="","",IFERROR(IF(INDEX(CODIFICACION!$E$2:$E$500,MATCH("D6.22|"&amp;BY120,CODIFICACION!$F$2:$F$500,0))="sin dato","",INDEX(CODIFICACION!$E$2:$E$500,MATCH("D6.22|"&amp;BY120,CODIFICACION!$F$2:$F$500,0))),"⚠"))</f>
        <v/>
      </c>
      <c r="AU120" t="str">
        <f>IF(BZ120="","",IFERROR(IF(INDEX(CODIFICACION!$E$2:$E$500,MATCH("D6.22a|"&amp;BZ120,CODIFICACION!$F$2:$F$500,0))="sin dato","",INDEX(CODIFICACION!$E$2:$E$500,MATCH("D6.22a|"&amp;BZ120,CODIFICACION!$F$2:$F$500,0))),"⚠"))</f>
        <v/>
      </c>
      <c r="AV120" t="str">
        <f>IF(CA120="","",IFERROR(IF(INDEX(CODIFICACION!$E$2:$E$500,MATCH("D6.22b|"&amp;CA120,CODIFICACION!$F$2:$F$500,0))="sin dato","",INDEX(CODIFICACION!$E$2:$E$500,MATCH("D6.22b|"&amp;CA120,CODIFICACION!$F$2:$F$500,0))),"⚠"))</f>
        <v/>
      </c>
      <c r="AW120" t="str">
        <f>IF(CB120="","",IFERROR(IF(INDEX(CODIFICACION!$E$2:$E$500,MATCH("D6.23|"&amp;CB120,CODIFICACION!$F$2:$F$500,0))="sin dato","",INDEX(CODIFICACION!$E$2:$E$500,MATCH("D6.23|"&amp;CB120,CODIFICACION!$F$2:$F$500,0))),"⚠"))</f>
        <v/>
      </c>
      <c r="AX120" t="str">
        <f ca="1">IF(CC120="","",IFERROR(IF(INDEX(CODIFICACION!$E$2:$E$500,MATCH("D6.24|"&amp;CC120,CODIFICACION!$F$2:$F$500,0))="sin dato","",INDEX(CODIFICACION!$E$2:$E$500,MATCH("D6.24|"&amp;CC120,CODIFICACION!$F$2:$F$500,0))),"⚠"))</f>
        <v/>
      </c>
      <c r="AY120" t="str">
        <f ca="1">IF(CD120="","",IFERROR(IF(INDEX(CODIFICACION!$E$2:$E$500,MATCH("D6.25|"&amp;CD120,CODIFICACION!$F$2:$F$500,0))="sin dato","",INDEX(CODIFICACION!$E$2:$E$500,MATCH("D6.25|"&amp;CD120,CODIFICACION!$F$2:$F$500,0))),"⚠"))</f>
        <v/>
      </c>
      <c r="AZ120" t="str">
        <f>IF(CE120="","",IFERROR(IF(INDEX(CODIFICACION!$E$2:$E$500,MATCH("D6.25a|"&amp;CE120,CODIFICACION!$F$2:$F$500,0))="sin dato","",INDEX(CODIFICACION!$E$2:$E$500,MATCH("D6.25a|"&amp;CE120,CODIFICACION!$F$2:$F$500,0))),"⚠"))</f>
        <v/>
      </c>
      <c r="BA120" t="str">
        <f>IF(CF120="","",IFERROR(IF(INDEX(CODIFICACION!$E$2:$E$500,MATCH("D6.25b|"&amp;CF120,CODIFICACION!$F$2:$F$500,0))="sin dato","",INDEX(CODIFICACION!$E$2:$E$500,MATCH("D6.25b|"&amp;CF120,CODIFICACION!$F$2:$F$500,0))),"⚠"))</f>
        <v/>
      </c>
      <c r="BB120" t="str">
        <f ca="1">IF(CG120="","",IFERROR(IF(INDEX(CODIFICACION!$E$2:$E$500,MATCH("D6.22c|"&amp;CG120,CODIFICACION!$F$2:$F$500,0))="sin dato","",INDEX(CODIFICACION!$E$2:$E$500,MATCH("D6.22c|"&amp;CG120,CODIFICACION!$F$2:$F$500,0))),"⚠"))</f>
        <v/>
      </c>
      <c r="BC120" t="str">
        <f ca="1">IF(CH120="","",IFERROR(IF(INDEX(CODIFICACION!$E$2:$E$500,MATCH("D7.26|"&amp;CH120,CODIFICACION!$F$2:$F$500,0))="sin dato","",INDEX(CODIFICACION!$E$2:$E$500,MATCH("D7.26|"&amp;CH120,CODIFICACION!$F$2:$F$500,0))),"⚠"))</f>
        <v/>
      </c>
      <c r="BD120" t="str">
        <f>IF(CI120="","",IFERROR(IF(INDEX(CODIFICACION!$E$2:$E$500,MATCH("D7.27|"&amp;CI120,CODIFICACION!$F$2:$F$500,0))="sin dato","",INDEX(CODIFICACION!$E$2:$E$500,MATCH("D7.27|"&amp;CI120,CODIFICACION!$F$2:$F$500,0))),"⚠"))</f>
        <v/>
      </c>
      <c r="BE120" t="str">
        <f>IF(CJ120="","",IFERROR(IF(INDEX(CODIFICACION!$E$2:$E$500,MATCH("D7.28|"&amp;CJ120,CODIFICACION!$F$2:$F$500,0))="sin dato","",INDEX(CODIFICACION!$E$2:$E$500,MATCH("D7.28|"&amp;CJ120,CODIFICACION!$F$2:$F$500,0))),"⚠"))</f>
        <v/>
      </c>
      <c r="BF120" t="str">
        <f>IF(CK120="","",IFERROR(IF(INDEX(CODIFICACION!$E$2:$E$500,MATCH("D7.28b|"&amp;CK120,CODIFICACION!$F$2:$F$500,0))="sin dato","",INDEX(CODIFICACION!$E$2:$E$500,MATCH("D7.28b|"&amp;CK120,CODIFICACION!$F$2:$F$500,0))),"⚠"))</f>
        <v/>
      </c>
      <c r="BG120" t="str">
        <f t="shared" si="85"/>
        <v/>
      </c>
      <c r="BH120" t="str">
        <f>IF(CM120="","",IFERROR(IF(INDEX(CODIFICACION!$E$2:$E$500,MATCH("D7.26a|"&amp;CM120,CODIFICACION!$F$2:$F$500,0))="sin dato","",INDEX(CODIFICACION!$E$2:$E$500,MATCH("D7.26a|"&amp;CM120,CODIFICACION!$F$2:$F$500,0))),"⚠"))</f>
        <v/>
      </c>
      <c r="BI120" t="str">
        <f>IF(CN120="","",IFERROR(IF(INDEX(CODIFICACION!$E$2:$E$500,MATCH("D7.26b|"&amp;CN120,CODIFICACION!$F$2:$F$500,0))="sin dato","",INDEX(CODIFICACION!$E$2:$E$500,MATCH("D7.26b|"&amp;CN120,CODIFICACION!$F$2:$F$500,0))),"⚠"))</f>
        <v/>
      </c>
      <c r="BJ120" t="str">
        <f t="shared" si="86"/>
        <v/>
      </c>
      <c r="BK120" t="str">
        <f t="shared" si="87"/>
        <v/>
      </c>
      <c r="BL120" t="str">
        <f>IF(CQ120="","",IFERROR(IF(INDEX(CODIFICACION!$E$2:$E$500,MATCH("D8.31|"&amp;CQ120,CODIFICACION!$F$2:$F$500,0))="sin dato","",INDEX(CODIFICACION!$E$2:$E$500,MATCH("D8.31|"&amp;CQ120,CODIFICACION!$F$2:$F$500,0))),"⚠"))</f>
        <v/>
      </c>
      <c r="BM120" t="str">
        <f>IF(CR120="","",IFERROR(IF(INDEX(CODIFICACION!$E$2:$E$500,MATCH("D8.32|"&amp;CR120,CODIFICACION!$F$2:$F$500,0))="sin dato","",INDEX(CODIFICACION!$E$2:$E$500,MATCH("D8.32|"&amp;CR120,CODIFICACION!$F$2:$F$500,0))),"⚠"))</f>
        <v/>
      </c>
      <c r="BN120" t="str">
        <f>IF(CS120="","",IFERROR(IF(INDEX(CODIFICACION!$E$2:$E$500,MATCH("D9.33|"&amp;CS120,CODIFICACION!$F$2:$F$500,0))="sin dato","",INDEX(CODIFICACION!$E$2:$E$500,MATCH("D9.33|"&amp;CS120,CODIFICACION!$F$2:$F$500,0))),"⚠"))</f>
        <v/>
      </c>
      <c r="BO120" t="str">
        <f>IF(CT120="","",IFERROR(IF(INDEX(CODIFICACION!$E$2:$E$500,MATCH("D9.34|"&amp;CT120,CODIFICACION!$F$2:$F$500,0))="sin dato","",INDEX(CODIFICACION!$E$2:$E$500,MATCH("D9.34|"&amp;CT120,CODIFICACION!$F$2:$F$500,0))),"⚠"))</f>
        <v/>
      </c>
      <c r="BP120" t="str">
        <f>IF(CU120="","",IFERROR(IF(INDEX(CODIFICACION!$E$2:$E$500,MATCH("D9.35|"&amp;CU120,CODIFICACION!$F$2:$F$500,0))="sin dato","",INDEX(CODIFICACION!$E$2:$E$500,MATCH("D9.35|"&amp;CU120,CODIFICACION!$F$2:$F$500,0))),"⚠"))</f>
        <v/>
      </c>
      <c r="BQ120" t="str">
        <f>IF(CV120="","",IFERROR(IF(INDEX(CODIFICACION!$E$2:$E$500,MATCH("D10.36|"&amp;CV120,CODIFICACION!$F$2:$F$500,0))="sin dato","",INDEX(CODIFICACION!$E$2:$E$500,MATCH("D10.36|"&amp;CV120,CODIFICACION!$F$2:$F$500,0))),"⚠"))</f>
        <v/>
      </c>
      <c r="BR120" t="str">
        <f>IF(CW120="","",IFERROR(IF(INDEX(CODIFICACION!$E$2:$E$500,MATCH("D10.37|"&amp;CW120,CODIFICACION!$F$2:$F$500,0))="sin dato","",INDEX(CODIFICACION!$E$2:$E$500,MATCH("D10.37|"&amp;CW120,CODIFICACION!$F$2:$F$500,0))),"⚠"))</f>
        <v/>
      </c>
      <c r="BS120" t="str">
        <f>IF(CX120="","",IFERROR(IF(INDEX(CODIFICACION!$E$2:$E$500,MATCH("D10.36a|"&amp;CX120,CODIFICACION!$F$2:$F$500,0))="sin dato","",INDEX(CODIFICACION!$E$2:$E$500,MATCH("D10.36a|"&amp;CX120,CODIFICACION!$F$2:$F$500,0))),"⚠"))</f>
        <v/>
      </c>
      <c r="BT120" t="str">
        <f t="shared" si="88"/>
        <v/>
      </c>
      <c r="BU120" t="str">
        <f>IF(DA120="","",IFERROR(IF(INDEX(CODIFICACION!$E$2:$E$500,MATCH("D11.39a|"&amp;DA120,CODIFICACION!$F$2:$F$500,0))="sin dato","",INDEX(CODIFICACION!$E$2:$E$500,MATCH("D11.39a|"&amp;DA120,CODIFICACION!$F$2:$F$500,0))),"⚠"))</f>
        <v/>
      </c>
      <c r="BV120" t="str">
        <f>IF(DB120="","",IFERROR(IF(INDEX(CODIFICACION!$E$2:$E$500,MATCH("D12.42|"&amp;DB120,CODIFICACION!$F$2:$F$500,0))="sin dato","",INDEX(CODIFICACION!$E$2:$E$500,MATCH("D12.42|"&amp;DB120,CODIFICACION!$F$2:$F$500,0))),"⚠"))</f>
        <v/>
      </c>
      <c r="BW120" t="str">
        <f>IF(DC120="","",IFERROR(IF(INDEX(CODIFICACION!$E$2:$E$500,MATCH("D13.45|"&amp;DC120,CODIFICACION!$F$2:$F$500,0))="sin dato","",INDEX(CODIFICACION!$E$2:$E$500,MATCH("D13.45|"&amp;DC120,CODIFICACION!$F$2:$F$500,0))),"⚠"))</f>
        <v/>
      </c>
      <c r="BX120" t="str">
        <f>IF(DD120="","",IFERROR(IF(INDEX(CODIFICACION!$E$2:$E$500,MATCH("D14.51|"&amp;DD120,CODIFICACION!$F$2:$F$500,0))="sin dato","",INDEX(CODIFICACION!$E$2:$E$500,MATCH("D14.51|"&amp;DD120,CODIFICACION!$F$2:$F$500,0))),"⚠"))</f>
        <v/>
      </c>
      <c r="BY120" t="str">
        <f>IF(DE120="","",IFERROR(IF(INDEX(CODIFICACION!$E$2:$E$500,MATCH("D15.58|"&amp;DE120,CODIFICACION!$F$2:$F$500,0))="sin dato","",INDEX(CODIFICACION!$E$2:$E$500,MATCH("D15.58|"&amp;DE120,CODIFICACION!$F$2:$F$500,0))),"⚠"))</f>
        <v/>
      </c>
      <c r="BZ120" t="str">
        <f>IF(DF120="","",IFERROR(IF(INDEX(CODIFICACION!$E$2:$E$500,MATCH("PP1|"&amp;DF120,CODIFICACION!$F$2:$F$500,0))="sin dato","",INDEX(CODIFICACION!$E$2:$E$500,MATCH("PP1|"&amp;DF120,CODIFICACION!$F$2:$F$500,0))),"⚠"))</f>
        <v/>
      </c>
      <c r="CA120" t="str">
        <f>IF(DG120="","",IFERROR(IF(INDEX(CODIFICACION!$E$2:$E$500,MATCH("PP2|"&amp;DG120,CODIFICACION!$F$2:$F$500,0))="sin dato","",INDEX(CODIFICACION!$E$2:$E$500,MATCH("PP2|"&amp;DG120,CODIFICACION!$F$2:$F$500,0))),"⚠"))</f>
        <v/>
      </c>
      <c r="CB120" t="str">
        <f t="shared" si="89"/>
        <v/>
      </c>
      <c r="CC120" t="str">
        <f t="shared" ca="1" si="90"/>
        <v/>
      </c>
      <c r="CD120" t="str">
        <f t="shared" ca="1" si="91"/>
        <v/>
      </c>
      <c r="CE120" t="str">
        <f t="shared" si="92"/>
        <v/>
      </c>
      <c r="CF120" t="str">
        <f t="shared" si="93"/>
        <v/>
      </c>
      <c r="CG120" t="str">
        <f t="shared" ca="1" si="94"/>
        <v/>
      </c>
      <c r="CH120" t="str">
        <f t="shared" ca="1" si="95"/>
        <v/>
      </c>
      <c r="CI120" t="str">
        <f t="shared" si="96"/>
        <v/>
      </c>
      <c r="CJ120" t="str">
        <f t="shared" si="97"/>
        <v/>
      </c>
      <c r="CK120" t="str">
        <f t="shared" si="98"/>
        <v/>
      </c>
      <c r="CL120" t="str">
        <f t="shared" si="99"/>
        <v/>
      </c>
    </row>
    <row r="121" spans="1:90" x14ac:dyDescent="0.3">
      <c r="A121">
        <f>CAPTURA!A121</f>
        <v>20601329159</v>
      </c>
      <c r="B121">
        <f>CAPTURA!C121</f>
        <v>0</v>
      </c>
      <c r="C121" t="str">
        <f t="shared" si="75"/>
        <v/>
      </c>
      <c r="D121" t="str">
        <f>IF(AE121="","",IFERROR(IF(INDEX(CODIFICACION!$E$2:$E$500,MATCH("P8|"&amp;AE121,CODIFICACION!$F$2:$F$500,0))="sin dato","",INDEX(CODIFICACION!$E$2:$E$500,MATCH("P8|"&amp;AE121,CODIFICACION!$F$2:$F$500,0))),"⚠"))</f>
        <v/>
      </c>
      <c r="E121" t="str">
        <f>IF(AG121="","",IFERROR(IF(INDEX(CODIFICACION!$E$2:$E$500,MATCH("P10|"&amp;AG121,CODIFICACION!$F$2:$F$500,0))="sin dato","",INDEX(CODIFICACION!$E$2:$E$500,MATCH("P10|"&amp;AG121,CODIFICACION!$F$2:$F$500,0))),"⚠"))</f>
        <v/>
      </c>
      <c r="F121" t="str">
        <f>IF(AJ121="","",IFERROR(IF(INDEX(CODIFICACION!$E$2:$E$500,MATCH("P13|"&amp;AJ121,CODIFICACION!$F$2:$F$500,0))="sin dato","",INDEX(CODIFICACION!$E$2:$E$500,MATCH("P13|"&amp;AJ121,CODIFICACION!$F$2:$F$500,0))),"⚠"))</f>
        <v/>
      </c>
      <c r="G121" t="str">
        <f>IF(AK121="","",IFERROR(IF(INDEX(CODIFICACION!$E$2:$E$500,MATCH("P14|"&amp;AK121,CODIFICACION!$F$2:$F$500,0))="sin dato","",INDEX(CODIFICACION!$E$2:$E$500,MATCH("P14|"&amp;AK121,CODIFICACION!$F$2:$F$500,0))),"⚠"))</f>
        <v/>
      </c>
      <c r="H121" t="str">
        <f>IF(AL121="","",IFERROR(IF(INDEX(CODIFICACION!$E$2:$E$500,MATCH("D1.1|"&amp;AL121,CODIFICACION!$F$2:$F$500,0))="sin dato","",INDEX(CODIFICACION!$E$2:$E$500,MATCH("D1.1|"&amp;AL121,CODIFICACION!$F$2:$F$500,0))),"⚠"))</f>
        <v/>
      </c>
      <c r="I121" t="str">
        <f>IF(AN121="","",IFERROR(IF(INDEX(CODIFICACION!$E$2:$E$500,MATCH("D1.3|"&amp;AN121,CODIFICACION!$F$2:$F$500,0))="sin dato","",INDEX(CODIFICACION!$E$2:$E$500,MATCH("D1.3|"&amp;AN121,CODIFICACION!$F$2:$F$500,0))),"⚠"))</f>
        <v/>
      </c>
      <c r="J121" t="str">
        <f>IF(AO121="","",IFERROR(IF(INDEX(CODIFICACION!$E$2:$E$500,MATCH("D1.4|"&amp;AO121,CODIFICACION!$F$2:$F$500,0))="sin dato","",INDEX(CODIFICACION!$E$2:$E$500,MATCH("D1.4|"&amp;AO121,CODIFICACION!$F$2:$F$500,0))),"⚠"))</f>
        <v/>
      </c>
      <c r="K121" t="str">
        <f>IF(AP121="","",IFERROR(IF(INDEX(CODIFICACION!$E$2:$E$500,MATCH("D1.3a|"&amp;AP121,CODIFICACION!$F$2:$F$500,0))="sin dato","",INDEX(CODIFICACION!$E$2:$E$500,MATCH("D1.3a|"&amp;AP121,CODIFICACION!$F$2:$F$500,0))),"⚠"))</f>
        <v/>
      </c>
      <c r="L121" t="str">
        <f t="shared" si="76"/>
        <v/>
      </c>
      <c r="M121" t="str">
        <f t="shared" si="77"/>
        <v/>
      </c>
      <c r="N121" t="str">
        <f t="shared" si="78"/>
        <v/>
      </c>
      <c r="O121" t="str">
        <f>IF(AT121="","",IFERROR(IF(INDEX(CODIFICACION!$E$2:$E$500,MATCH("D2.8|"&amp;AT121,CODIFICACION!$F$2:$F$500,0))="sin dato","",INDEX(CODIFICACION!$E$2:$E$500,MATCH("D2.8|"&amp;AT121,CODIFICACION!$F$2:$F$500,0))),"⚠"))</f>
        <v/>
      </c>
      <c r="P121" t="str">
        <f>IF(AU121="","",IFERROR(IF(INDEX(CODIFICACION!$E$2:$E$500,MATCH("D2.9|"&amp;AU121,CODIFICACION!$F$2:$F$500,0))="sin dato","",INDEX(CODIFICACION!$E$2:$E$500,MATCH("D2.9|"&amp;AU121,CODIFICACION!$F$2:$F$500,0))),"⚠"))</f>
        <v/>
      </c>
      <c r="Q121" t="str">
        <f>IF(AV121="","",IFERROR(IF(INDEX(CODIFICACION!$E$2:$E$500,MATCH("D2.10|"&amp;AV121,CODIFICACION!$F$2:$F$500,0))="sin dato","",INDEX(CODIFICACION!$E$2:$E$500,MATCH("D2.10|"&amp;AV121,CODIFICACION!$F$2:$F$500,0))),"⚠"))</f>
        <v/>
      </c>
      <c r="R121" t="str">
        <f>IF(AW121="","",IFERROR(IF(INDEX(CODIFICACION!$E$2:$E$500,MATCH("D2.5a|"&amp;AW121,CODIFICACION!$F$2:$F$500,0))="sin dato","",INDEX(CODIFICACION!$E$2:$E$500,MATCH("D2.5a|"&amp;AW121,CODIFICACION!$F$2:$F$500,0))),"⚠"))</f>
        <v/>
      </c>
      <c r="S121" t="str">
        <f ca="1">IF(AX121="","",IFERROR(IF(INDEX(CODIFICACION!$E$2:$E$500,MATCH("D2.5b|"&amp;AX121,CODIFICACION!$F$2:$F$500,0))="sin dato","",INDEX(CODIFICACION!$E$2:$E$500,MATCH("D2.5b|"&amp;AX121,CODIFICACION!$F$2:$F$500,0))),"⚠"))</f>
        <v/>
      </c>
      <c r="T121" t="str">
        <f t="shared" ca="1" si="79"/>
        <v/>
      </c>
      <c r="U121" t="str">
        <f>IF(AZ121="","",IFERROR(IF(INDEX(CODIFICACION!$E$2:$E$500,MATCH("D3.12|"&amp;AZ121,CODIFICACION!$F$2:$F$500,0))="sin dato","",INDEX(CODIFICACION!$E$2:$E$500,MATCH("D3.12|"&amp;AZ121,CODIFICACION!$F$2:$F$500,0))),"⚠"))</f>
        <v/>
      </c>
      <c r="V121" t="str">
        <f t="shared" si="80"/>
        <v/>
      </c>
      <c r="W121" t="str">
        <f ca="1">IF(BB121="","",IFERROR(IF(INDEX(CODIFICACION!$E$2:$E$500,MATCH("D3.14|"&amp;BB121,CODIFICACION!$F$2:$F$500,0))="sin dato","",INDEX(CODIFICACION!$E$2:$E$500,MATCH("D3.14|"&amp;BB121,CODIFICACION!$F$2:$F$500,0))),"⚠"))</f>
        <v/>
      </c>
      <c r="X121" t="str">
        <f ca="1">IF(BC121="","",IFERROR(IF(INDEX(CODIFICACION!$E$2:$E$500,MATCH("D3.14a|"&amp;BC121,CODIFICACION!$F$2:$F$500,0))="sin dato","",INDEX(CODIFICACION!$E$2:$E$500,MATCH("D3.14a|"&amp;BC121,CODIFICACION!$F$2:$F$500,0))),"⚠"))</f>
        <v/>
      </c>
      <c r="Y121" t="str">
        <f>IF(BD121="","",IFERROR(IF(INDEX(CODIFICACION!$E$2:$E$500,MATCH("D3.14b|"&amp;BD121,CODIFICACION!$F$2:$F$500,0))="sin dato","",INDEX(CODIFICACION!$E$2:$E$500,MATCH("D3.14b|"&amp;BD121,CODIFICACION!$F$2:$F$500,0))),"⚠"))</f>
        <v/>
      </c>
      <c r="Z121" t="str">
        <f>IF(BE121="","",IFERROR(IF(INDEX(CODIFICACION!$E$2:$E$500,MATCH("D3.14c|"&amp;BE121,CODIFICACION!$F$2:$F$500,0))="sin dato","",INDEX(CODIFICACION!$E$2:$E$500,MATCH("D3.14c|"&amp;BE121,CODIFICACION!$F$2:$F$500,0))),"⚠"))</f>
        <v/>
      </c>
      <c r="AA121" t="str">
        <f>IF(BF121="","",IFERROR(IF(INDEX(CODIFICACION!$E$2:$E$500,MATCH("D3.14d|"&amp;BF121,CODIFICACION!$F$2:$F$500,0))="sin dato","",INDEX(CODIFICACION!$E$2:$E$500,MATCH("D3.14d|"&amp;BF121,CODIFICACION!$F$2:$F$500,0))),"⚠"))</f>
        <v/>
      </c>
      <c r="AB121" t="str">
        <f>IF(BG121="","",IFERROR(IF(INDEX(CODIFICACION!$E$2:$E$500,MATCH("D3.14e|"&amp;BG121,CODIFICACION!$F$2:$F$500,0))="sin dato","",INDEX(CODIFICACION!$E$2:$E$500,MATCH("D3.14e|"&amp;BG121,CODIFICACION!$F$2:$F$500,0))),"⚠"))</f>
        <v/>
      </c>
      <c r="AC121" t="str">
        <f>IF(BH121="","",IFERROR(IF(INDEX(CODIFICACION!$E$2:$E$500,MATCH("D3.14f|"&amp;BH121,CODIFICACION!$F$2:$F$500,0))="sin dato","",INDEX(CODIFICACION!$E$2:$E$500,MATCH("D3.14f|"&amp;BH121,CODIFICACION!$F$2:$F$500,0))),"⚠"))</f>
        <v/>
      </c>
      <c r="AD121" t="str">
        <f>IF(BI121="","",IFERROR(IF(INDEX(CODIFICACION!$E$2:$E$500,MATCH("D3.14g|"&amp;BI121,CODIFICACION!$F$2:$F$500,0))="sin dato","",INDEX(CODIFICACION!$E$2:$E$500,MATCH("D3.14g|"&amp;BI121,CODIFICACION!$F$2:$F$500,0))),"⚠"))</f>
        <v/>
      </c>
      <c r="AE121" t="str">
        <f>IF(BJ121="","",IFERROR(IF(INDEX(CODIFICACION!$E$2:$E$500,MATCH("D3.14h|"&amp;BJ121,CODIFICACION!$F$2:$F$500,0))="sin dato","",INDEX(CODIFICACION!$E$2:$E$500,MATCH("D3.14h|"&amp;BJ121,CODIFICACION!$F$2:$F$500,0))),"⚠"))</f>
        <v/>
      </c>
      <c r="AF121" t="str">
        <f>IF(BK121="","",IFERROR(IF(INDEX(CODIFICACION!$E$2:$E$500,MATCH("D3.14i|"&amp;BK121,CODIFICACION!$F$2:$F$500,0))="sin dato","",INDEX(CODIFICACION!$E$2:$E$500,MATCH("D3.14i|"&amp;BK121,CODIFICACION!$F$2:$F$500,0))),"⚠"))</f>
        <v/>
      </c>
      <c r="AG121" t="str">
        <f>IF(BL121="","",IFERROR(IF(INDEX(CODIFICACION!$E$2:$E$500,MATCH("D4.15|"&amp;BL121,CODIFICACION!$F$2:$F$500,0))="sin dato","",INDEX(CODIFICACION!$E$2:$E$500,MATCH("D4.15|"&amp;BL121,CODIFICACION!$F$2:$F$500,0))),"⚠"))</f>
        <v/>
      </c>
      <c r="AH121" t="str">
        <f t="shared" si="81"/>
        <v/>
      </c>
      <c r="AI121" t="str">
        <f>IF(BN121="","",IFERROR(IF(INDEX(CODIFICACION!$E$2:$E$500,MATCH("D4.17|"&amp;BN121,CODIFICACION!$F$2:$F$500,0))="sin dato","",INDEX(CODIFICACION!$E$2:$E$500,MATCH("D4.17|"&amp;BN121,CODIFICACION!$F$2:$F$500,0))),"⚠"))</f>
        <v/>
      </c>
      <c r="AJ121" t="str">
        <f>IF(BO121="","",IFERROR(IF(INDEX(CODIFICACION!$E$2:$E$500,MATCH("D4.15a|"&amp;BO121,CODIFICACION!$F$2:$F$500,0))="sin dato","",INDEX(CODIFICACION!$E$2:$E$500,MATCH("D4.15a|"&amp;BO121,CODIFICACION!$F$2:$F$500,0))),"⚠"))</f>
        <v/>
      </c>
      <c r="AK121" t="str">
        <f t="shared" si="82"/>
        <v/>
      </c>
      <c r="AL121" t="str">
        <f t="shared" si="83"/>
        <v/>
      </c>
      <c r="AM121" t="str">
        <f>IF(BR121="","",IFERROR(IF(INDEX(CODIFICACION!$E$2:$E$500,MATCH("D5.18b|"&amp;BR121,CODIFICACION!$F$2:$F$500,0))="sin dato","",INDEX(CODIFICACION!$E$2:$E$500,MATCH("D5.18b|"&amp;BR121,CODIFICACION!$F$2:$F$500,0))),"⚠"))</f>
        <v/>
      </c>
      <c r="AN121" t="str">
        <f>IF(BS121="","",IFERROR(IF(INDEX(CODIFICACION!$E$2:$E$500,MATCH("D5.19|"&amp;BS121,CODIFICACION!$F$2:$F$500,0))="sin dato","",INDEX(CODIFICACION!$E$2:$E$500,MATCH("D5.19|"&amp;BS121,CODIFICACION!$F$2:$F$500,0))),"⚠"))</f>
        <v/>
      </c>
      <c r="AO121" t="str">
        <f t="shared" si="84"/>
        <v/>
      </c>
      <c r="AP121" t="str">
        <f>IF(BU121="","",IFERROR(IF(INDEX(CODIFICACION!$E$2:$E$500,MATCH("D5.20|"&amp;BU121,CODIFICACION!$F$2:$F$500,0))="sin dato","",INDEX(CODIFICACION!$E$2:$E$500,MATCH("D5.20|"&amp;BU121,CODIFICACION!$F$2:$F$500,0))),"⚠"))</f>
        <v/>
      </c>
      <c r="AQ121" t="str">
        <f>IF(BV121="","",IFERROR(IF(INDEX(CODIFICACION!$E$2:$E$500,MATCH("D5.21|"&amp;BV121,CODIFICACION!$F$2:$F$500,0))="sin dato","",INDEX(CODIFICACION!$E$2:$E$500,MATCH("D5.21|"&amp;BV121,CODIFICACION!$F$2:$F$500,0))),"⚠"))</f>
        <v/>
      </c>
      <c r="AR121" t="str">
        <f>IF(BW121="","",IFERROR(IF(INDEX(CODIFICACION!$E$2:$E$500,MATCH("D5.21a|"&amp;BW121,CODIFICACION!$F$2:$F$500,0))="sin dato","",INDEX(CODIFICACION!$E$2:$E$500,MATCH("D5.21a|"&amp;BW121,CODIFICACION!$F$2:$F$500,0))),"⚠"))</f>
        <v/>
      </c>
      <c r="AS121" t="str">
        <f>IF(BX121="","",IFERROR(IF(INDEX(CODIFICACION!$E$2:$E$500,MATCH("D5.21b|"&amp;BX121,CODIFICACION!$F$2:$F$500,0))="sin dato","",INDEX(CODIFICACION!$E$2:$E$500,MATCH("D5.21b|"&amp;BX121,CODIFICACION!$F$2:$F$500,0))),"⚠"))</f>
        <v/>
      </c>
      <c r="AT121" t="str">
        <f>IF(BY121="","",IFERROR(IF(INDEX(CODIFICACION!$E$2:$E$500,MATCH("D6.22|"&amp;BY121,CODIFICACION!$F$2:$F$500,0))="sin dato","",INDEX(CODIFICACION!$E$2:$E$500,MATCH("D6.22|"&amp;BY121,CODIFICACION!$F$2:$F$500,0))),"⚠"))</f>
        <v/>
      </c>
      <c r="AU121" t="str">
        <f>IF(BZ121="","",IFERROR(IF(INDEX(CODIFICACION!$E$2:$E$500,MATCH("D6.22a|"&amp;BZ121,CODIFICACION!$F$2:$F$500,0))="sin dato","",INDEX(CODIFICACION!$E$2:$E$500,MATCH("D6.22a|"&amp;BZ121,CODIFICACION!$F$2:$F$500,0))),"⚠"))</f>
        <v/>
      </c>
      <c r="AV121" t="str">
        <f>IF(CA121="","",IFERROR(IF(INDEX(CODIFICACION!$E$2:$E$500,MATCH("D6.22b|"&amp;CA121,CODIFICACION!$F$2:$F$500,0))="sin dato","",INDEX(CODIFICACION!$E$2:$E$500,MATCH("D6.22b|"&amp;CA121,CODIFICACION!$F$2:$F$500,0))),"⚠"))</f>
        <v/>
      </c>
      <c r="AW121" t="str">
        <f>IF(CB121="","",IFERROR(IF(INDEX(CODIFICACION!$E$2:$E$500,MATCH("D6.23|"&amp;CB121,CODIFICACION!$F$2:$F$500,0))="sin dato","",INDEX(CODIFICACION!$E$2:$E$500,MATCH("D6.23|"&amp;CB121,CODIFICACION!$F$2:$F$500,0))),"⚠"))</f>
        <v/>
      </c>
      <c r="AX121" t="str">
        <f ca="1">IF(CC121="","",IFERROR(IF(INDEX(CODIFICACION!$E$2:$E$500,MATCH("D6.24|"&amp;CC121,CODIFICACION!$F$2:$F$500,0))="sin dato","",INDEX(CODIFICACION!$E$2:$E$500,MATCH("D6.24|"&amp;CC121,CODIFICACION!$F$2:$F$500,0))),"⚠"))</f>
        <v/>
      </c>
      <c r="AY121" t="str">
        <f ca="1">IF(CD121="","",IFERROR(IF(INDEX(CODIFICACION!$E$2:$E$500,MATCH("D6.25|"&amp;CD121,CODIFICACION!$F$2:$F$500,0))="sin dato","",INDEX(CODIFICACION!$E$2:$E$500,MATCH("D6.25|"&amp;CD121,CODIFICACION!$F$2:$F$500,0))),"⚠"))</f>
        <v/>
      </c>
      <c r="AZ121" t="str">
        <f>IF(CE121="","",IFERROR(IF(INDEX(CODIFICACION!$E$2:$E$500,MATCH("D6.25a|"&amp;CE121,CODIFICACION!$F$2:$F$500,0))="sin dato","",INDEX(CODIFICACION!$E$2:$E$500,MATCH("D6.25a|"&amp;CE121,CODIFICACION!$F$2:$F$500,0))),"⚠"))</f>
        <v/>
      </c>
      <c r="BA121" t="str">
        <f>IF(CF121="","",IFERROR(IF(INDEX(CODIFICACION!$E$2:$E$500,MATCH("D6.25b|"&amp;CF121,CODIFICACION!$F$2:$F$500,0))="sin dato","",INDEX(CODIFICACION!$E$2:$E$500,MATCH("D6.25b|"&amp;CF121,CODIFICACION!$F$2:$F$500,0))),"⚠"))</f>
        <v/>
      </c>
      <c r="BB121" t="str">
        <f ca="1">IF(CG121="","",IFERROR(IF(INDEX(CODIFICACION!$E$2:$E$500,MATCH("D6.22c|"&amp;CG121,CODIFICACION!$F$2:$F$500,0))="sin dato","",INDEX(CODIFICACION!$E$2:$E$500,MATCH("D6.22c|"&amp;CG121,CODIFICACION!$F$2:$F$500,0))),"⚠"))</f>
        <v/>
      </c>
      <c r="BC121" t="str">
        <f ca="1">IF(CH121="","",IFERROR(IF(INDEX(CODIFICACION!$E$2:$E$500,MATCH("D7.26|"&amp;CH121,CODIFICACION!$F$2:$F$500,0))="sin dato","",INDEX(CODIFICACION!$E$2:$E$500,MATCH("D7.26|"&amp;CH121,CODIFICACION!$F$2:$F$500,0))),"⚠"))</f>
        <v/>
      </c>
      <c r="BD121" t="str">
        <f>IF(CI121="","",IFERROR(IF(INDEX(CODIFICACION!$E$2:$E$500,MATCH("D7.27|"&amp;CI121,CODIFICACION!$F$2:$F$500,0))="sin dato","",INDEX(CODIFICACION!$E$2:$E$500,MATCH("D7.27|"&amp;CI121,CODIFICACION!$F$2:$F$500,0))),"⚠"))</f>
        <v/>
      </c>
      <c r="BE121" t="str">
        <f>IF(CJ121="","",IFERROR(IF(INDEX(CODIFICACION!$E$2:$E$500,MATCH("D7.28|"&amp;CJ121,CODIFICACION!$F$2:$F$500,0))="sin dato","",INDEX(CODIFICACION!$E$2:$E$500,MATCH("D7.28|"&amp;CJ121,CODIFICACION!$F$2:$F$500,0))),"⚠"))</f>
        <v/>
      </c>
      <c r="BF121" t="str">
        <f>IF(CK121="","",IFERROR(IF(INDEX(CODIFICACION!$E$2:$E$500,MATCH("D7.28b|"&amp;CK121,CODIFICACION!$F$2:$F$500,0))="sin dato","",INDEX(CODIFICACION!$E$2:$E$500,MATCH("D7.28b|"&amp;CK121,CODIFICACION!$F$2:$F$500,0))),"⚠"))</f>
        <v/>
      </c>
      <c r="BG121" t="str">
        <f t="shared" si="85"/>
        <v/>
      </c>
      <c r="BH121" t="str">
        <f>IF(CM121="","",IFERROR(IF(INDEX(CODIFICACION!$E$2:$E$500,MATCH("D7.26a|"&amp;CM121,CODIFICACION!$F$2:$F$500,0))="sin dato","",INDEX(CODIFICACION!$E$2:$E$500,MATCH("D7.26a|"&amp;CM121,CODIFICACION!$F$2:$F$500,0))),"⚠"))</f>
        <v/>
      </c>
      <c r="BI121" t="str">
        <f>IF(CN121="","",IFERROR(IF(INDEX(CODIFICACION!$E$2:$E$500,MATCH("D7.26b|"&amp;CN121,CODIFICACION!$F$2:$F$500,0))="sin dato","",INDEX(CODIFICACION!$E$2:$E$500,MATCH("D7.26b|"&amp;CN121,CODIFICACION!$F$2:$F$500,0))),"⚠"))</f>
        <v/>
      </c>
      <c r="BJ121" t="str">
        <f t="shared" si="86"/>
        <v/>
      </c>
      <c r="BK121" t="str">
        <f t="shared" si="87"/>
        <v/>
      </c>
      <c r="BL121" t="str">
        <f>IF(CQ121="","",IFERROR(IF(INDEX(CODIFICACION!$E$2:$E$500,MATCH("D8.31|"&amp;CQ121,CODIFICACION!$F$2:$F$500,0))="sin dato","",INDEX(CODIFICACION!$E$2:$E$500,MATCH("D8.31|"&amp;CQ121,CODIFICACION!$F$2:$F$500,0))),"⚠"))</f>
        <v/>
      </c>
      <c r="BM121" t="str">
        <f>IF(CR121="","",IFERROR(IF(INDEX(CODIFICACION!$E$2:$E$500,MATCH("D8.32|"&amp;CR121,CODIFICACION!$F$2:$F$500,0))="sin dato","",INDEX(CODIFICACION!$E$2:$E$500,MATCH("D8.32|"&amp;CR121,CODIFICACION!$F$2:$F$500,0))),"⚠"))</f>
        <v/>
      </c>
      <c r="BN121" t="str">
        <f>IF(CS121="","",IFERROR(IF(INDEX(CODIFICACION!$E$2:$E$500,MATCH("D9.33|"&amp;CS121,CODIFICACION!$F$2:$F$500,0))="sin dato","",INDEX(CODIFICACION!$E$2:$E$500,MATCH("D9.33|"&amp;CS121,CODIFICACION!$F$2:$F$500,0))),"⚠"))</f>
        <v/>
      </c>
      <c r="BO121" t="str">
        <f>IF(CT121="","",IFERROR(IF(INDEX(CODIFICACION!$E$2:$E$500,MATCH("D9.34|"&amp;CT121,CODIFICACION!$F$2:$F$500,0))="sin dato","",INDEX(CODIFICACION!$E$2:$E$500,MATCH("D9.34|"&amp;CT121,CODIFICACION!$F$2:$F$500,0))),"⚠"))</f>
        <v/>
      </c>
      <c r="BP121" t="str">
        <f>IF(CU121="","",IFERROR(IF(INDEX(CODIFICACION!$E$2:$E$500,MATCH("D9.35|"&amp;CU121,CODIFICACION!$F$2:$F$500,0))="sin dato","",INDEX(CODIFICACION!$E$2:$E$500,MATCH("D9.35|"&amp;CU121,CODIFICACION!$F$2:$F$500,0))),"⚠"))</f>
        <v/>
      </c>
      <c r="BQ121" t="str">
        <f>IF(CV121="","",IFERROR(IF(INDEX(CODIFICACION!$E$2:$E$500,MATCH("D10.36|"&amp;CV121,CODIFICACION!$F$2:$F$500,0))="sin dato","",INDEX(CODIFICACION!$E$2:$E$500,MATCH("D10.36|"&amp;CV121,CODIFICACION!$F$2:$F$500,0))),"⚠"))</f>
        <v/>
      </c>
      <c r="BR121" t="str">
        <f>IF(CW121="","",IFERROR(IF(INDEX(CODIFICACION!$E$2:$E$500,MATCH("D10.37|"&amp;CW121,CODIFICACION!$F$2:$F$500,0))="sin dato","",INDEX(CODIFICACION!$E$2:$E$500,MATCH("D10.37|"&amp;CW121,CODIFICACION!$F$2:$F$500,0))),"⚠"))</f>
        <v/>
      </c>
      <c r="BS121" t="str">
        <f>IF(CX121="","",IFERROR(IF(INDEX(CODIFICACION!$E$2:$E$500,MATCH("D10.36a|"&amp;CX121,CODIFICACION!$F$2:$F$500,0))="sin dato","",INDEX(CODIFICACION!$E$2:$E$500,MATCH("D10.36a|"&amp;CX121,CODIFICACION!$F$2:$F$500,0))),"⚠"))</f>
        <v/>
      </c>
      <c r="BT121" t="str">
        <f t="shared" si="88"/>
        <v/>
      </c>
      <c r="BU121" t="str">
        <f>IF(DA121="","",IFERROR(IF(INDEX(CODIFICACION!$E$2:$E$500,MATCH("D11.39a|"&amp;DA121,CODIFICACION!$F$2:$F$500,0))="sin dato","",INDEX(CODIFICACION!$E$2:$E$500,MATCH("D11.39a|"&amp;DA121,CODIFICACION!$F$2:$F$500,0))),"⚠"))</f>
        <v/>
      </c>
      <c r="BV121" t="str">
        <f>IF(DB121="","",IFERROR(IF(INDEX(CODIFICACION!$E$2:$E$500,MATCH("D12.42|"&amp;DB121,CODIFICACION!$F$2:$F$500,0))="sin dato","",INDEX(CODIFICACION!$E$2:$E$500,MATCH("D12.42|"&amp;DB121,CODIFICACION!$F$2:$F$500,0))),"⚠"))</f>
        <v/>
      </c>
      <c r="BW121" t="str">
        <f>IF(DC121="","",IFERROR(IF(INDEX(CODIFICACION!$E$2:$E$500,MATCH("D13.45|"&amp;DC121,CODIFICACION!$F$2:$F$500,0))="sin dato","",INDEX(CODIFICACION!$E$2:$E$500,MATCH("D13.45|"&amp;DC121,CODIFICACION!$F$2:$F$500,0))),"⚠"))</f>
        <v/>
      </c>
      <c r="BX121" t="str">
        <f>IF(DD121="","",IFERROR(IF(INDEX(CODIFICACION!$E$2:$E$500,MATCH("D14.51|"&amp;DD121,CODIFICACION!$F$2:$F$500,0))="sin dato","",INDEX(CODIFICACION!$E$2:$E$500,MATCH("D14.51|"&amp;DD121,CODIFICACION!$F$2:$F$500,0))),"⚠"))</f>
        <v/>
      </c>
      <c r="BY121" t="str">
        <f>IF(DE121="","",IFERROR(IF(INDEX(CODIFICACION!$E$2:$E$500,MATCH("D15.58|"&amp;DE121,CODIFICACION!$F$2:$F$500,0))="sin dato","",INDEX(CODIFICACION!$E$2:$E$500,MATCH("D15.58|"&amp;DE121,CODIFICACION!$F$2:$F$500,0))),"⚠"))</f>
        <v/>
      </c>
      <c r="BZ121" t="str">
        <f>IF(DF121="","",IFERROR(IF(INDEX(CODIFICACION!$E$2:$E$500,MATCH("PP1|"&amp;DF121,CODIFICACION!$F$2:$F$500,0))="sin dato","",INDEX(CODIFICACION!$E$2:$E$500,MATCH("PP1|"&amp;DF121,CODIFICACION!$F$2:$F$500,0))),"⚠"))</f>
        <v/>
      </c>
      <c r="CA121" t="str">
        <f>IF(DG121="","",IFERROR(IF(INDEX(CODIFICACION!$E$2:$E$500,MATCH("PP2|"&amp;DG121,CODIFICACION!$F$2:$F$500,0))="sin dato","",INDEX(CODIFICACION!$E$2:$E$500,MATCH("PP2|"&amp;DG121,CODIFICACION!$F$2:$F$500,0))),"⚠"))</f>
        <v/>
      </c>
      <c r="CB121" t="str">
        <f t="shared" si="89"/>
        <v/>
      </c>
      <c r="CC121" t="str">
        <f t="shared" ca="1" si="90"/>
        <v/>
      </c>
      <c r="CD121" t="str">
        <f t="shared" ca="1" si="91"/>
        <v/>
      </c>
      <c r="CE121" t="str">
        <f t="shared" si="92"/>
        <v/>
      </c>
      <c r="CF121" t="str">
        <f t="shared" si="93"/>
        <v/>
      </c>
      <c r="CG121" t="str">
        <f t="shared" ca="1" si="94"/>
        <v/>
      </c>
      <c r="CH121" t="str">
        <f t="shared" ca="1" si="95"/>
        <v/>
      </c>
      <c r="CI121" t="str">
        <f t="shared" si="96"/>
        <v/>
      </c>
      <c r="CJ121" t="str">
        <f t="shared" si="97"/>
        <v/>
      </c>
      <c r="CK121" t="str">
        <f t="shared" si="98"/>
        <v/>
      </c>
      <c r="CL121" t="str">
        <f t="shared" si="99"/>
        <v/>
      </c>
    </row>
    <row r="122" spans="1:90" x14ac:dyDescent="0.3">
      <c r="A122">
        <f>CAPTURA!A122</f>
        <v>20601339090</v>
      </c>
      <c r="B122">
        <f>CAPTURA!C122</f>
        <v>0</v>
      </c>
      <c r="C122" t="str">
        <f t="shared" si="75"/>
        <v/>
      </c>
      <c r="D122" t="str">
        <f>IF(AE122="","",IFERROR(IF(INDEX(CODIFICACION!$E$2:$E$500,MATCH("P8|"&amp;AE122,CODIFICACION!$F$2:$F$500,0))="sin dato","",INDEX(CODIFICACION!$E$2:$E$500,MATCH("P8|"&amp;AE122,CODIFICACION!$F$2:$F$500,0))),"⚠"))</f>
        <v/>
      </c>
      <c r="E122" t="str">
        <f>IF(AG122="","",IFERROR(IF(INDEX(CODIFICACION!$E$2:$E$500,MATCH("P10|"&amp;AG122,CODIFICACION!$F$2:$F$500,0))="sin dato","",INDEX(CODIFICACION!$E$2:$E$500,MATCH("P10|"&amp;AG122,CODIFICACION!$F$2:$F$500,0))),"⚠"))</f>
        <v/>
      </c>
      <c r="F122" t="str">
        <f>IF(AJ122="","",IFERROR(IF(INDEX(CODIFICACION!$E$2:$E$500,MATCH("P13|"&amp;AJ122,CODIFICACION!$F$2:$F$500,0))="sin dato","",INDEX(CODIFICACION!$E$2:$E$500,MATCH("P13|"&amp;AJ122,CODIFICACION!$F$2:$F$500,0))),"⚠"))</f>
        <v/>
      </c>
      <c r="G122" t="str">
        <f>IF(AK122="","",IFERROR(IF(INDEX(CODIFICACION!$E$2:$E$500,MATCH("P14|"&amp;AK122,CODIFICACION!$F$2:$F$500,0))="sin dato","",INDEX(CODIFICACION!$E$2:$E$500,MATCH("P14|"&amp;AK122,CODIFICACION!$F$2:$F$500,0))),"⚠"))</f>
        <v/>
      </c>
      <c r="H122" t="str">
        <f>IF(AL122="","",IFERROR(IF(INDEX(CODIFICACION!$E$2:$E$500,MATCH("D1.1|"&amp;AL122,CODIFICACION!$F$2:$F$500,0))="sin dato","",INDEX(CODIFICACION!$E$2:$E$500,MATCH("D1.1|"&amp;AL122,CODIFICACION!$F$2:$F$500,0))),"⚠"))</f>
        <v/>
      </c>
      <c r="I122" t="str">
        <f>IF(AN122="","",IFERROR(IF(INDEX(CODIFICACION!$E$2:$E$500,MATCH("D1.3|"&amp;AN122,CODIFICACION!$F$2:$F$500,0))="sin dato","",INDEX(CODIFICACION!$E$2:$E$500,MATCH("D1.3|"&amp;AN122,CODIFICACION!$F$2:$F$500,0))),"⚠"))</f>
        <v/>
      </c>
      <c r="J122" t="str">
        <f>IF(AO122="","",IFERROR(IF(INDEX(CODIFICACION!$E$2:$E$500,MATCH("D1.4|"&amp;AO122,CODIFICACION!$F$2:$F$500,0))="sin dato","",INDEX(CODIFICACION!$E$2:$E$500,MATCH("D1.4|"&amp;AO122,CODIFICACION!$F$2:$F$500,0))),"⚠"))</f>
        <v/>
      </c>
      <c r="K122" t="str">
        <f>IF(AP122="","",IFERROR(IF(INDEX(CODIFICACION!$E$2:$E$500,MATCH("D1.3a|"&amp;AP122,CODIFICACION!$F$2:$F$500,0))="sin dato","",INDEX(CODIFICACION!$E$2:$E$500,MATCH("D1.3a|"&amp;AP122,CODIFICACION!$F$2:$F$500,0))),"⚠"))</f>
        <v/>
      </c>
      <c r="L122" t="str">
        <f t="shared" si="76"/>
        <v/>
      </c>
      <c r="M122" t="str">
        <f t="shared" si="77"/>
        <v/>
      </c>
      <c r="N122" t="str">
        <f t="shared" si="78"/>
        <v/>
      </c>
      <c r="O122" t="str">
        <f>IF(AT122="","",IFERROR(IF(INDEX(CODIFICACION!$E$2:$E$500,MATCH("D2.8|"&amp;AT122,CODIFICACION!$F$2:$F$500,0))="sin dato","",INDEX(CODIFICACION!$E$2:$E$500,MATCH("D2.8|"&amp;AT122,CODIFICACION!$F$2:$F$500,0))),"⚠"))</f>
        <v/>
      </c>
      <c r="P122" t="str">
        <f>IF(AU122="","",IFERROR(IF(INDEX(CODIFICACION!$E$2:$E$500,MATCH("D2.9|"&amp;AU122,CODIFICACION!$F$2:$F$500,0))="sin dato","",INDEX(CODIFICACION!$E$2:$E$500,MATCH("D2.9|"&amp;AU122,CODIFICACION!$F$2:$F$500,0))),"⚠"))</f>
        <v/>
      </c>
      <c r="Q122" t="str">
        <f>IF(AV122="","",IFERROR(IF(INDEX(CODIFICACION!$E$2:$E$500,MATCH("D2.10|"&amp;AV122,CODIFICACION!$F$2:$F$500,0))="sin dato","",INDEX(CODIFICACION!$E$2:$E$500,MATCH("D2.10|"&amp;AV122,CODIFICACION!$F$2:$F$500,0))),"⚠"))</f>
        <v/>
      </c>
      <c r="R122" t="str">
        <f>IF(AW122="","",IFERROR(IF(INDEX(CODIFICACION!$E$2:$E$500,MATCH("D2.5a|"&amp;AW122,CODIFICACION!$F$2:$F$500,0))="sin dato","",INDEX(CODIFICACION!$E$2:$E$500,MATCH("D2.5a|"&amp;AW122,CODIFICACION!$F$2:$F$500,0))),"⚠"))</f>
        <v/>
      </c>
      <c r="S122" t="str">
        <f ca="1">IF(AX122="","",IFERROR(IF(INDEX(CODIFICACION!$E$2:$E$500,MATCH("D2.5b|"&amp;AX122,CODIFICACION!$F$2:$F$500,0))="sin dato","",INDEX(CODIFICACION!$E$2:$E$500,MATCH("D2.5b|"&amp;AX122,CODIFICACION!$F$2:$F$500,0))),"⚠"))</f>
        <v/>
      </c>
      <c r="T122" t="str">
        <f t="shared" ca="1" si="79"/>
        <v/>
      </c>
      <c r="U122" t="str">
        <f>IF(AZ122="","",IFERROR(IF(INDEX(CODIFICACION!$E$2:$E$500,MATCH("D3.12|"&amp;AZ122,CODIFICACION!$F$2:$F$500,0))="sin dato","",INDEX(CODIFICACION!$E$2:$E$500,MATCH("D3.12|"&amp;AZ122,CODIFICACION!$F$2:$F$500,0))),"⚠"))</f>
        <v/>
      </c>
      <c r="V122" t="str">
        <f t="shared" si="80"/>
        <v/>
      </c>
      <c r="W122" t="str">
        <f ca="1">IF(BB122="","",IFERROR(IF(INDEX(CODIFICACION!$E$2:$E$500,MATCH("D3.14|"&amp;BB122,CODIFICACION!$F$2:$F$500,0))="sin dato","",INDEX(CODIFICACION!$E$2:$E$500,MATCH("D3.14|"&amp;BB122,CODIFICACION!$F$2:$F$500,0))),"⚠"))</f>
        <v/>
      </c>
      <c r="X122" t="str">
        <f ca="1">IF(BC122="","",IFERROR(IF(INDEX(CODIFICACION!$E$2:$E$500,MATCH("D3.14a|"&amp;BC122,CODIFICACION!$F$2:$F$500,0))="sin dato","",INDEX(CODIFICACION!$E$2:$E$500,MATCH("D3.14a|"&amp;BC122,CODIFICACION!$F$2:$F$500,0))),"⚠"))</f>
        <v/>
      </c>
      <c r="Y122" t="str">
        <f>IF(BD122="","",IFERROR(IF(INDEX(CODIFICACION!$E$2:$E$500,MATCH("D3.14b|"&amp;BD122,CODIFICACION!$F$2:$F$500,0))="sin dato","",INDEX(CODIFICACION!$E$2:$E$500,MATCH("D3.14b|"&amp;BD122,CODIFICACION!$F$2:$F$500,0))),"⚠"))</f>
        <v/>
      </c>
      <c r="Z122" t="str">
        <f>IF(BE122="","",IFERROR(IF(INDEX(CODIFICACION!$E$2:$E$500,MATCH("D3.14c|"&amp;BE122,CODIFICACION!$F$2:$F$500,0))="sin dato","",INDEX(CODIFICACION!$E$2:$E$500,MATCH("D3.14c|"&amp;BE122,CODIFICACION!$F$2:$F$500,0))),"⚠"))</f>
        <v/>
      </c>
      <c r="AA122" t="str">
        <f>IF(BF122="","",IFERROR(IF(INDEX(CODIFICACION!$E$2:$E$500,MATCH("D3.14d|"&amp;BF122,CODIFICACION!$F$2:$F$500,0))="sin dato","",INDEX(CODIFICACION!$E$2:$E$500,MATCH("D3.14d|"&amp;BF122,CODIFICACION!$F$2:$F$500,0))),"⚠"))</f>
        <v/>
      </c>
      <c r="AB122" t="str">
        <f>IF(BG122="","",IFERROR(IF(INDEX(CODIFICACION!$E$2:$E$500,MATCH("D3.14e|"&amp;BG122,CODIFICACION!$F$2:$F$500,0))="sin dato","",INDEX(CODIFICACION!$E$2:$E$500,MATCH("D3.14e|"&amp;BG122,CODIFICACION!$F$2:$F$500,0))),"⚠"))</f>
        <v/>
      </c>
      <c r="AC122" t="str">
        <f>IF(BH122="","",IFERROR(IF(INDEX(CODIFICACION!$E$2:$E$500,MATCH("D3.14f|"&amp;BH122,CODIFICACION!$F$2:$F$500,0))="sin dato","",INDEX(CODIFICACION!$E$2:$E$500,MATCH("D3.14f|"&amp;BH122,CODIFICACION!$F$2:$F$500,0))),"⚠"))</f>
        <v/>
      </c>
      <c r="AD122" t="str">
        <f>IF(BI122="","",IFERROR(IF(INDEX(CODIFICACION!$E$2:$E$500,MATCH("D3.14g|"&amp;BI122,CODIFICACION!$F$2:$F$500,0))="sin dato","",INDEX(CODIFICACION!$E$2:$E$500,MATCH("D3.14g|"&amp;BI122,CODIFICACION!$F$2:$F$500,0))),"⚠"))</f>
        <v/>
      </c>
      <c r="AE122" t="str">
        <f>IF(BJ122="","",IFERROR(IF(INDEX(CODIFICACION!$E$2:$E$500,MATCH("D3.14h|"&amp;BJ122,CODIFICACION!$F$2:$F$500,0))="sin dato","",INDEX(CODIFICACION!$E$2:$E$500,MATCH("D3.14h|"&amp;BJ122,CODIFICACION!$F$2:$F$500,0))),"⚠"))</f>
        <v/>
      </c>
      <c r="AF122" t="str">
        <f>IF(BK122="","",IFERROR(IF(INDEX(CODIFICACION!$E$2:$E$500,MATCH("D3.14i|"&amp;BK122,CODIFICACION!$F$2:$F$500,0))="sin dato","",INDEX(CODIFICACION!$E$2:$E$500,MATCH("D3.14i|"&amp;BK122,CODIFICACION!$F$2:$F$500,0))),"⚠"))</f>
        <v/>
      </c>
      <c r="AG122" t="str">
        <f>IF(BL122="","",IFERROR(IF(INDEX(CODIFICACION!$E$2:$E$500,MATCH("D4.15|"&amp;BL122,CODIFICACION!$F$2:$F$500,0))="sin dato","",INDEX(CODIFICACION!$E$2:$E$500,MATCH("D4.15|"&amp;BL122,CODIFICACION!$F$2:$F$500,0))),"⚠"))</f>
        <v/>
      </c>
      <c r="AH122" t="str">
        <f t="shared" si="81"/>
        <v/>
      </c>
      <c r="AI122" t="str">
        <f>IF(BN122="","",IFERROR(IF(INDEX(CODIFICACION!$E$2:$E$500,MATCH("D4.17|"&amp;BN122,CODIFICACION!$F$2:$F$500,0))="sin dato","",INDEX(CODIFICACION!$E$2:$E$500,MATCH("D4.17|"&amp;BN122,CODIFICACION!$F$2:$F$500,0))),"⚠"))</f>
        <v/>
      </c>
      <c r="AJ122" t="str">
        <f>IF(BO122="","",IFERROR(IF(INDEX(CODIFICACION!$E$2:$E$500,MATCH("D4.15a|"&amp;BO122,CODIFICACION!$F$2:$F$500,0))="sin dato","",INDEX(CODIFICACION!$E$2:$E$500,MATCH("D4.15a|"&amp;BO122,CODIFICACION!$F$2:$F$500,0))),"⚠"))</f>
        <v/>
      </c>
      <c r="AK122" t="str">
        <f t="shared" si="82"/>
        <v/>
      </c>
      <c r="AL122" t="str">
        <f t="shared" si="83"/>
        <v/>
      </c>
      <c r="AM122" t="str">
        <f>IF(BR122="","",IFERROR(IF(INDEX(CODIFICACION!$E$2:$E$500,MATCH("D5.18b|"&amp;BR122,CODIFICACION!$F$2:$F$500,0))="sin dato","",INDEX(CODIFICACION!$E$2:$E$500,MATCH("D5.18b|"&amp;BR122,CODIFICACION!$F$2:$F$500,0))),"⚠"))</f>
        <v/>
      </c>
      <c r="AN122" t="str">
        <f>IF(BS122="","",IFERROR(IF(INDEX(CODIFICACION!$E$2:$E$500,MATCH("D5.19|"&amp;BS122,CODIFICACION!$F$2:$F$500,0))="sin dato","",INDEX(CODIFICACION!$E$2:$E$500,MATCH("D5.19|"&amp;BS122,CODIFICACION!$F$2:$F$500,0))),"⚠"))</f>
        <v/>
      </c>
      <c r="AO122" t="str">
        <f t="shared" si="84"/>
        <v/>
      </c>
      <c r="AP122" t="str">
        <f>IF(BU122="","",IFERROR(IF(INDEX(CODIFICACION!$E$2:$E$500,MATCH("D5.20|"&amp;BU122,CODIFICACION!$F$2:$F$500,0))="sin dato","",INDEX(CODIFICACION!$E$2:$E$500,MATCH("D5.20|"&amp;BU122,CODIFICACION!$F$2:$F$500,0))),"⚠"))</f>
        <v/>
      </c>
      <c r="AQ122" t="str">
        <f>IF(BV122="","",IFERROR(IF(INDEX(CODIFICACION!$E$2:$E$500,MATCH("D5.21|"&amp;BV122,CODIFICACION!$F$2:$F$500,0))="sin dato","",INDEX(CODIFICACION!$E$2:$E$500,MATCH("D5.21|"&amp;BV122,CODIFICACION!$F$2:$F$500,0))),"⚠"))</f>
        <v/>
      </c>
      <c r="AR122" t="str">
        <f>IF(BW122="","",IFERROR(IF(INDEX(CODIFICACION!$E$2:$E$500,MATCH("D5.21a|"&amp;BW122,CODIFICACION!$F$2:$F$500,0))="sin dato","",INDEX(CODIFICACION!$E$2:$E$500,MATCH("D5.21a|"&amp;BW122,CODIFICACION!$F$2:$F$500,0))),"⚠"))</f>
        <v/>
      </c>
      <c r="AS122" t="str">
        <f>IF(BX122="","",IFERROR(IF(INDEX(CODIFICACION!$E$2:$E$500,MATCH("D5.21b|"&amp;BX122,CODIFICACION!$F$2:$F$500,0))="sin dato","",INDEX(CODIFICACION!$E$2:$E$500,MATCH("D5.21b|"&amp;BX122,CODIFICACION!$F$2:$F$500,0))),"⚠"))</f>
        <v/>
      </c>
      <c r="AT122" t="str">
        <f>IF(BY122="","",IFERROR(IF(INDEX(CODIFICACION!$E$2:$E$500,MATCH("D6.22|"&amp;BY122,CODIFICACION!$F$2:$F$500,0))="sin dato","",INDEX(CODIFICACION!$E$2:$E$500,MATCH("D6.22|"&amp;BY122,CODIFICACION!$F$2:$F$500,0))),"⚠"))</f>
        <v/>
      </c>
      <c r="AU122" t="str">
        <f>IF(BZ122="","",IFERROR(IF(INDEX(CODIFICACION!$E$2:$E$500,MATCH("D6.22a|"&amp;BZ122,CODIFICACION!$F$2:$F$500,0))="sin dato","",INDEX(CODIFICACION!$E$2:$E$500,MATCH("D6.22a|"&amp;BZ122,CODIFICACION!$F$2:$F$500,0))),"⚠"))</f>
        <v/>
      </c>
      <c r="AV122" t="str">
        <f>IF(CA122="","",IFERROR(IF(INDEX(CODIFICACION!$E$2:$E$500,MATCH("D6.22b|"&amp;CA122,CODIFICACION!$F$2:$F$500,0))="sin dato","",INDEX(CODIFICACION!$E$2:$E$500,MATCH("D6.22b|"&amp;CA122,CODIFICACION!$F$2:$F$500,0))),"⚠"))</f>
        <v/>
      </c>
      <c r="AW122" t="str">
        <f>IF(CB122="","",IFERROR(IF(INDEX(CODIFICACION!$E$2:$E$500,MATCH("D6.23|"&amp;CB122,CODIFICACION!$F$2:$F$500,0))="sin dato","",INDEX(CODIFICACION!$E$2:$E$500,MATCH("D6.23|"&amp;CB122,CODIFICACION!$F$2:$F$500,0))),"⚠"))</f>
        <v/>
      </c>
      <c r="AX122" t="str">
        <f ca="1">IF(CC122="","",IFERROR(IF(INDEX(CODIFICACION!$E$2:$E$500,MATCH("D6.24|"&amp;CC122,CODIFICACION!$F$2:$F$500,0))="sin dato","",INDEX(CODIFICACION!$E$2:$E$500,MATCH("D6.24|"&amp;CC122,CODIFICACION!$F$2:$F$500,0))),"⚠"))</f>
        <v/>
      </c>
      <c r="AY122" t="str">
        <f ca="1">IF(CD122="","",IFERROR(IF(INDEX(CODIFICACION!$E$2:$E$500,MATCH("D6.25|"&amp;CD122,CODIFICACION!$F$2:$F$500,0))="sin dato","",INDEX(CODIFICACION!$E$2:$E$500,MATCH("D6.25|"&amp;CD122,CODIFICACION!$F$2:$F$500,0))),"⚠"))</f>
        <v/>
      </c>
      <c r="AZ122" t="str">
        <f>IF(CE122="","",IFERROR(IF(INDEX(CODIFICACION!$E$2:$E$500,MATCH("D6.25a|"&amp;CE122,CODIFICACION!$F$2:$F$500,0))="sin dato","",INDEX(CODIFICACION!$E$2:$E$500,MATCH("D6.25a|"&amp;CE122,CODIFICACION!$F$2:$F$500,0))),"⚠"))</f>
        <v/>
      </c>
      <c r="BA122" t="str">
        <f>IF(CF122="","",IFERROR(IF(INDEX(CODIFICACION!$E$2:$E$500,MATCH("D6.25b|"&amp;CF122,CODIFICACION!$F$2:$F$500,0))="sin dato","",INDEX(CODIFICACION!$E$2:$E$500,MATCH("D6.25b|"&amp;CF122,CODIFICACION!$F$2:$F$500,0))),"⚠"))</f>
        <v/>
      </c>
      <c r="BB122" t="str">
        <f ca="1">IF(CG122="","",IFERROR(IF(INDEX(CODIFICACION!$E$2:$E$500,MATCH("D6.22c|"&amp;CG122,CODIFICACION!$F$2:$F$500,0))="sin dato","",INDEX(CODIFICACION!$E$2:$E$500,MATCH("D6.22c|"&amp;CG122,CODIFICACION!$F$2:$F$500,0))),"⚠"))</f>
        <v/>
      </c>
      <c r="BC122" t="str">
        <f ca="1">IF(CH122="","",IFERROR(IF(INDEX(CODIFICACION!$E$2:$E$500,MATCH("D7.26|"&amp;CH122,CODIFICACION!$F$2:$F$500,0))="sin dato","",INDEX(CODIFICACION!$E$2:$E$500,MATCH("D7.26|"&amp;CH122,CODIFICACION!$F$2:$F$500,0))),"⚠"))</f>
        <v/>
      </c>
      <c r="BD122" t="str">
        <f>IF(CI122="","",IFERROR(IF(INDEX(CODIFICACION!$E$2:$E$500,MATCH("D7.27|"&amp;CI122,CODIFICACION!$F$2:$F$500,0))="sin dato","",INDEX(CODIFICACION!$E$2:$E$500,MATCH("D7.27|"&amp;CI122,CODIFICACION!$F$2:$F$500,0))),"⚠"))</f>
        <v/>
      </c>
      <c r="BE122" t="str">
        <f>IF(CJ122="","",IFERROR(IF(INDEX(CODIFICACION!$E$2:$E$500,MATCH("D7.28|"&amp;CJ122,CODIFICACION!$F$2:$F$500,0))="sin dato","",INDEX(CODIFICACION!$E$2:$E$500,MATCH("D7.28|"&amp;CJ122,CODIFICACION!$F$2:$F$500,0))),"⚠"))</f>
        <v/>
      </c>
      <c r="BF122" t="str">
        <f>IF(CK122="","",IFERROR(IF(INDEX(CODIFICACION!$E$2:$E$500,MATCH("D7.28b|"&amp;CK122,CODIFICACION!$F$2:$F$500,0))="sin dato","",INDEX(CODIFICACION!$E$2:$E$500,MATCH("D7.28b|"&amp;CK122,CODIFICACION!$F$2:$F$500,0))),"⚠"))</f>
        <v/>
      </c>
      <c r="BG122" t="str">
        <f t="shared" si="85"/>
        <v/>
      </c>
      <c r="BH122" t="str">
        <f>IF(CM122="","",IFERROR(IF(INDEX(CODIFICACION!$E$2:$E$500,MATCH("D7.26a|"&amp;CM122,CODIFICACION!$F$2:$F$500,0))="sin dato","",INDEX(CODIFICACION!$E$2:$E$500,MATCH("D7.26a|"&amp;CM122,CODIFICACION!$F$2:$F$500,0))),"⚠"))</f>
        <v/>
      </c>
      <c r="BI122" t="str">
        <f>IF(CN122="","",IFERROR(IF(INDEX(CODIFICACION!$E$2:$E$500,MATCH("D7.26b|"&amp;CN122,CODIFICACION!$F$2:$F$500,0))="sin dato","",INDEX(CODIFICACION!$E$2:$E$500,MATCH("D7.26b|"&amp;CN122,CODIFICACION!$F$2:$F$500,0))),"⚠"))</f>
        <v/>
      </c>
      <c r="BJ122" t="str">
        <f t="shared" si="86"/>
        <v/>
      </c>
      <c r="BK122" t="str">
        <f t="shared" si="87"/>
        <v/>
      </c>
      <c r="BL122" t="str">
        <f>IF(CQ122="","",IFERROR(IF(INDEX(CODIFICACION!$E$2:$E$500,MATCH("D8.31|"&amp;CQ122,CODIFICACION!$F$2:$F$500,0))="sin dato","",INDEX(CODIFICACION!$E$2:$E$500,MATCH("D8.31|"&amp;CQ122,CODIFICACION!$F$2:$F$500,0))),"⚠"))</f>
        <v/>
      </c>
      <c r="BM122" t="str">
        <f>IF(CR122="","",IFERROR(IF(INDEX(CODIFICACION!$E$2:$E$500,MATCH("D8.32|"&amp;CR122,CODIFICACION!$F$2:$F$500,0))="sin dato","",INDEX(CODIFICACION!$E$2:$E$500,MATCH("D8.32|"&amp;CR122,CODIFICACION!$F$2:$F$500,0))),"⚠"))</f>
        <v/>
      </c>
      <c r="BN122" t="str">
        <f>IF(CS122="","",IFERROR(IF(INDEX(CODIFICACION!$E$2:$E$500,MATCH("D9.33|"&amp;CS122,CODIFICACION!$F$2:$F$500,0))="sin dato","",INDEX(CODIFICACION!$E$2:$E$500,MATCH("D9.33|"&amp;CS122,CODIFICACION!$F$2:$F$500,0))),"⚠"))</f>
        <v/>
      </c>
      <c r="BO122" t="str">
        <f>IF(CT122="","",IFERROR(IF(INDEX(CODIFICACION!$E$2:$E$500,MATCH("D9.34|"&amp;CT122,CODIFICACION!$F$2:$F$500,0))="sin dato","",INDEX(CODIFICACION!$E$2:$E$500,MATCH("D9.34|"&amp;CT122,CODIFICACION!$F$2:$F$500,0))),"⚠"))</f>
        <v/>
      </c>
      <c r="BP122" t="str">
        <f>IF(CU122="","",IFERROR(IF(INDEX(CODIFICACION!$E$2:$E$500,MATCH("D9.35|"&amp;CU122,CODIFICACION!$F$2:$F$500,0))="sin dato","",INDEX(CODIFICACION!$E$2:$E$500,MATCH("D9.35|"&amp;CU122,CODIFICACION!$F$2:$F$500,0))),"⚠"))</f>
        <v/>
      </c>
      <c r="BQ122" t="str">
        <f>IF(CV122="","",IFERROR(IF(INDEX(CODIFICACION!$E$2:$E$500,MATCH("D10.36|"&amp;CV122,CODIFICACION!$F$2:$F$500,0))="sin dato","",INDEX(CODIFICACION!$E$2:$E$500,MATCH("D10.36|"&amp;CV122,CODIFICACION!$F$2:$F$500,0))),"⚠"))</f>
        <v/>
      </c>
      <c r="BR122" t="str">
        <f>IF(CW122="","",IFERROR(IF(INDEX(CODIFICACION!$E$2:$E$500,MATCH("D10.37|"&amp;CW122,CODIFICACION!$F$2:$F$500,0))="sin dato","",INDEX(CODIFICACION!$E$2:$E$500,MATCH("D10.37|"&amp;CW122,CODIFICACION!$F$2:$F$500,0))),"⚠"))</f>
        <v/>
      </c>
      <c r="BS122" t="str">
        <f>IF(CX122="","",IFERROR(IF(INDEX(CODIFICACION!$E$2:$E$500,MATCH("D10.36a|"&amp;CX122,CODIFICACION!$F$2:$F$500,0))="sin dato","",INDEX(CODIFICACION!$E$2:$E$500,MATCH("D10.36a|"&amp;CX122,CODIFICACION!$F$2:$F$500,0))),"⚠"))</f>
        <v/>
      </c>
      <c r="BT122" t="str">
        <f t="shared" si="88"/>
        <v/>
      </c>
      <c r="BU122" t="str">
        <f>IF(DA122="","",IFERROR(IF(INDEX(CODIFICACION!$E$2:$E$500,MATCH("D11.39a|"&amp;DA122,CODIFICACION!$F$2:$F$500,0))="sin dato","",INDEX(CODIFICACION!$E$2:$E$500,MATCH("D11.39a|"&amp;DA122,CODIFICACION!$F$2:$F$500,0))),"⚠"))</f>
        <v/>
      </c>
      <c r="BV122" t="str">
        <f>IF(DB122="","",IFERROR(IF(INDEX(CODIFICACION!$E$2:$E$500,MATCH("D12.42|"&amp;DB122,CODIFICACION!$F$2:$F$500,0))="sin dato","",INDEX(CODIFICACION!$E$2:$E$500,MATCH("D12.42|"&amp;DB122,CODIFICACION!$F$2:$F$500,0))),"⚠"))</f>
        <v/>
      </c>
      <c r="BW122" t="str">
        <f>IF(DC122="","",IFERROR(IF(INDEX(CODIFICACION!$E$2:$E$500,MATCH("D13.45|"&amp;DC122,CODIFICACION!$F$2:$F$500,0))="sin dato","",INDEX(CODIFICACION!$E$2:$E$500,MATCH("D13.45|"&amp;DC122,CODIFICACION!$F$2:$F$500,0))),"⚠"))</f>
        <v/>
      </c>
      <c r="BX122" t="str">
        <f>IF(DD122="","",IFERROR(IF(INDEX(CODIFICACION!$E$2:$E$500,MATCH("D14.51|"&amp;DD122,CODIFICACION!$F$2:$F$500,0))="sin dato","",INDEX(CODIFICACION!$E$2:$E$500,MATCH("D14.51|"&amp;DD122,CODIFICACION!$F$2:$F$500,0))),"⚠"))</f>
        <v/>
      </c>
      <c r="BY122" t="str">
        <f>IF(DE122="","",IFERROR(IF(INDEX(CODIFICACION!$E$2:$E$500,MATCH("D15.58|"&amp;DE122,CODIFICACION!$F$2:$F$500,0))="sin dato","",INDEX(CODIFICACION!$E$2:$E$500,MATCH("D15.58|"&amp;DE122,CODIFICACION!$F$2:$F$500,0))),"⚠"))</f>
        <v/>
      </c>
      <c r="BZ122" t="str">
        <f>IF(DF122="","",IFERROR(IF(INDEX(CODIFICACION!$E$2:$E$500,MATCH("PP1|"&amp;DF122,CODIFICACION!$F$2:$F$500,0))="sin dato","",INDEX(CODIFICACION!$E$2:$E$500,MATCH("PP1|"&amp;DF122,CODIFICACION!$F$2:$F$500,0))),"⚠"))</f>
        <v/>
      </c>
      <c r="CA122" t="str">
        <f>IF(DG122="","",IFERROR(IF(INDEX(CODIFICACION!$E$2:$E$500,MATCH("PP2|"&amp;DG122,CODIFICACION!$F$2:$F$500,0))="sin dato","",INDEX(CODIFICACION!$E$2:$E$500,MATCH("PP2|"&amp;DG122,CODIFICACION!$F$2:$F$500,0))),"⚠"))</f>
        <v/>
      </c>
      <c r="CB122" t="str">
        <f t="shared" si="89"/>
        <v/>
      </c>
      <c r="CC122" t="str">
        <f t="shared" ca="1" si="90"/>
        <v/>
      </c>
      <c r="CD122" t="str">
        <f t="shared" ca="1" si="91"/>
        <v/>
      </c>
      <c r="CE122" t="str">
        <f t="shared" si="92"/>
        <v/>
      </c>
      <c r="CF122" t="str">
        <f t="shared" si="93"/>
        <v/>
      </c>
      <c r="CG122" t="str">
        <f t="shared" ca="1" si="94"/>
        <v/>
      </c>
      <c r="CH122" t="str">
        <f t="shared" ca="1" si="95"/>
        <v/>
      </c>
      <c r="CI122" t="str">
        <f t="shared" si="96"/>
        <v/>
      </c>
      <c r="CJ122" t="str">
        <f t="shared" si="97"/>
        <v/>
      </c>
      <c r="CK122" t="str">
        <f t="shared" si="98"/>
        <v/>
      </c>
      <c r="CL122" t="str">
        <f t="shared" si="99"/>
        <v/>
      </c>
    </row>
    <row r="123" spans="1:90" x14ac:dyDescent="0.3">
      <c r="A123">
        <f>CAPTURA!A123</f>
        <v>20601537771</v>
      </c>
      <c r="B123">
        <f>CAPTURA!C123</f>
        <v>0</v>
      </c>
      <c r="C123" t="str">
        <f t="shared" si="75"/>
        <v/>
      </c>
      <c r="D123" t="str">
        <f>IF(AE123="","",IFERROR(IF(INDEX(CODIFICACION!$E$2:$E$500,MATCH("P8|"&amp;AE123,CODIFICACION!$F$2:$F$500,0))="sin dato","",INDEX(CODIFICACION!$E$2:$E$500,MATCH("P8|"&amp;AE123,CODIFICACION!$F$2:$F$500,0))),"⚠"))</f>
        <v/>
      </c>
      <c r="E123" t="str">
        <f>IF(AG123="","",IFERROR(IF(INDEX(CODIFICACION!$E$2:$E$500,MATCH("P10|"&amp;AG123,CODIFICACION!$F$2:$F$500,0))="sin dato","",INDEX(CODIFICACION!$E$2:$E$500,MATCH("P10|"&amp;AG123,CODIFICACION!$F$2:$F$500,0))),"⚠"))</f>
        <v/>
      </c>
      <c r="F123" t="str">
        <f>IF(AJ123="","",IFERROR(IF(INDEX(CODIFICACION!$E$2:$E$500,MATCH("P13|"&amp;AJ123,CODIFICACION!$F$2:$F$500,0))="sin dato","",INDEX(CODIFICACION!$E$2:$E$500,MATCH("P13|"&amp;AJ123,CODIFICACION!$F$2:$F$500,0))),"⚠"))</f>
        <v/>
      </c>
      <c r="G123" t="str">
        <f>IF(AK123="","",IFERROR(IF(INDEX(CODIFICACION!$E$2:$E$500,MATCH("P14|"&amp;AK123,CODIFICACION!$F$2:$F$500,0))="sin dato","",INDEX(CODIFICACION!$E$2:$E$500,MATCH("P14|"&amp;AK123,CODIFICACION!$F$2:$F$500,0))),"⚠"))</f>
        <v/>
      </c>
      <c r="H123" t="str">
        <f>IF(AL123="","",IFERROR(IF(INDEX(CODIFICACION!$E$2:$E$500,MATCH("D1.1|"&amp;AL123,CODIFICACION!$F$2:$F$500,0))="sin dato","",INDEX(CODIFICACION!$E$2:$E$500,MATCH("D1.1|"&amp;AL123,CODIFICACION!$F$2:$F$500,0))),"⚠"))</f>
        <v/>
      </c>
      <c r="I123" t="str">
        <f>IF(AN123="","",IFERROR(IF(INDEX(CODIFICACION!$E$2:$E$500,MATCH("D1.3|"&amp;AN123,CODIFICACION!$F$2:$F$500,0))="sin dato","",INDEX(CODIFICACION!$E$2:$E$500,MATCH("D1.3|"&amp;AN123,CODIFICACION!$F$2:$F$500,0))),"⚠"))</f>
        <v/>
      </c>
      <c r="J123" t="str">
        <f>IF(AO123="","",IFERROR(IF(INDEX(CODIFICACION!$E$2:$E$500,MATCH("D1.4|"&amp;AO123,CODIFICACION!$F$2:$F$500,0))="sin dato","",INDEX(CODIFICACION!$E$2:$E$500,MATCH("D1.4|"&amp;AO123,CODIFICACION!$F$2:$F$500,0))),"⚠"))</f>
        <v/>
      </c>
      <c r="K123" t="str">
        <f>IF(AP123="","",IFERROR(IF(INDEX(CODIFICACION!$E$2:$E$500,MATCH("D1.3a|"&amp;AP123,CODIFICACION!$F$2:$F$500,0))="sin dato","",INDEX(CODIFICACION!$E$2:$E$500,MATCH("D1.3a|"&amp;AP123,CODIFICACION!$F$2:$F$500,0))),"⚠"))</f>
        <v/>
      </c>
      <c r="L123" t="str">
        <f t="shared" si="76"/>
        <v/>
      </c>
      <c r="M123" t="str">
        <f t="shared" si="77"/>
        <v/>
      </c>
      <c r="N123" t="str">
        <f t="shared" si="78"/>
        <v/>
      </c>
      <c r="O123" t="str">
        <f>IF(AT123="","",IFERROR(IF(INDEX(CODIFICACION!$E$2:$E$500,MATCH("D2.8|"&amp;AT123,CODIFICACION!$F$2:$F$500,0))="sin dato","",INDEX(CODIFICACION!$E$2:$E$500,MATCH("D2.8|"&amp;AT123,CODIFICACION!$F$2:$F$500,0))),"⚠"))</f>
        <v/>
      </c>
      <c r="P123" t="str">
        <f>IF(AU123="","",IFERROR(IF(INDEX(CODIFICACION!$E$2:$E$500,MATCH("D2.9|"&amp;AU123,CODIFICACION!$F$2:$F$500,0))="sin dato","",INDEX(CODIFICACION!$E$2:$E$500,MATCH("D2.9|"&amp;AU123,CODIFICACION!$F$2:$F$500,0))),"⚠"))</f>
        <v/>
      </c>
      <c r="Q123" t="str">
        <f>IF(AV123="","",IFERROR(IF(INDEX(CODIFICACION!$E$2:$E$500,MATCH("D2.10|"&amp;AV123,CODIFICACION!$F$2:$F$500,0))="sin dato","",INDEX(CODIFICACION!$E$2:$E$500,MATCH("D2.10|"&amp;AV123,CODIFICACION!$F$2:$F$500,0))),"⚠"))</f>
        <v/>
      </c>
      <c r="R123" t="str">
        <f>IF(AW123="","",IFERROR(IF(INDEX(CODIFICACION!$E$2:$E$500,MATCH("D2.5a|"&amp;AW123,CODIFICACION!$F$2:$F$500,0))="sin dato","",INDEX(CODIFICACION!$E$2:$E$500,MATCH("D2.5a|"&amp;AW123,CODIFICACION!$F$2:$F$500,0))),"⚠"))</f>
        <v/>
      </c>
      <c r="S123" t="str">
        <f ca="1">IF(AX123="","",IFERROR(IF(INDEX(CODIFICACION!$E$2:$E$500,MATCH("D2.5b|"&amp;AX123,CODIFICACION!$F$2:$F$500,0))="sin dato","",INDEX(CODIFICACION!$E$2:$E$500,MATCH("D2.5b|"&amp;AX123,CODIFICACION!$F$2:$F$500,0))),"⚠"))</f>
        <v/>
      </c>
      <c r="T123" t="str">
        <f t="shared" ca="1" si="79"/>
        <v/>
      </c>
      <c r="U123" t="str">
        <f>IF(AZ123="","",IFERROR(IF(INDEX(CODIFICACION!$E$2:$E$500,MATCH("D3.12|"&amp;AZ123,CODIFICACION!$F$2:$F$500,0))="sin dato","",INDEX(CODIFICACION!$E$2:$E$500,MATCH("D3.12|"&amp;AZ123,CODIFICACION!$F$2:$F$500,0))),"⚠"))</f>
        <v/>
      </c>
      <c r="V123" t="str">
        <f t="shared" si="80"/>
        <v/>
      </c>
      <c r="W123" t="str">
        <f ca="1">IF(BB123="","",IFERROR(IF(INDEX(CODIFICACION!$E$2:$E$500,MATCH("D3.14|"&amp;BB123,CODIFICACION!$F$2:$F$500,0))="sin dato","",INDEX(CODIFICACION!$E$2:$E$500,MATCH("D3.14|"&amp;BB123,CODIFICACION!$F$2:$F$500,0))),"⚠"))</f>
        <v/>
      </c>
      <c r="X123" t="str">
        <f ca="1">IF(BC123="","",IFERROR(IF(INDEX(CODIFICACION!$E$2:$E$500,MATCH("D3.14a|"&amp;BC123,CODIFICACION!$F$2:$F$500,0))="sin dato","",INDEX(CODIFICACION!$E$2:$E$500,MATCH("D3.14a|"&amp;BC123,CODIFICACION!$F$2:$F$500,0))),"⚠"))</f>
        <v/>
      </c>
      <c r="Y123" t="str">
        <f>IF(BD123="","",IFERROR(IF(INDEX(CODIFICACION!$E$2:$E$500,MATCH("D3.14b|"&amp;BD123,CODIFICACION!$F$2:$F$500,0))="sin dato","",INDEX(CODIFICACION!$E$2:$E$500,MATCH("D3.14b|"&amp;BD123,CODIFICACION!$F$2:$F$500,0))),"⚠"))</f>
        <v/>
      </c>
      <c r="Z123" t="str">
        <f>IF(BE123="","",IFERROR(IF(INDEX(CODIFICACION!$E$2:$E$500,MATCH("D3.14c|"&amp;BE123,CODIFICACION!$F$2:$F$500,0))="sin dato","",INDEX(CODIFICACION!$E$2:$E$500,MATCH("D3.14c|"&amp;BE123,CODIFICACION!$F$2:$F$500,0))),"⚠"))</f>
        <v/>
      </c>
      <c r="AA123" t="str">
        <f>IF(BF123="","",IFERROR(IF(INDEX(CODIFICACION!$E$2:$E$500,MATCH("D3.14d|"&amp;BF123,CODIFICACION!$F$2:$F$500,0))="sin dato","",INDEX(CODIFICACION!$E$2:$E$500,MATCH("D3.14d|"&amp;BF123,CODIFICACION!$F$2:$F$500,0))),"⚠"))</f>
        <v/>
      </c>
      <c r="AB123" t="str">
        <f>IF(BG123="","",IFERROR(IF(INDEX(CODIFICACION!$E$2:$E$500,MATCH("D3.14e|"&amp;BG123,CODIFICACION!$F$2:$F$500,0))="sin dato","",INDEX(CODIFICACION!$E$2:$E$500,MATCH("D3.14e|"&amp;BG123,CODIFICACION!$F$2:$F$500,0))),"⚠"))</f>
        <v/>
      </c>
      <c r="AC123" t="str">
        <f>IF(BH123="","",IFERROR(IF(INDEX(CODIFICACION!$E$2:$E$500,MATCH("D3.14f|"&amp;BH123,CODIFICACION!$F$2:$F$500,0))="sin dato","",INDEX(CODIFICACION!$E$2:$E$500,MATCH("D3.14f|"&amp;BH123,CODIFICACION!$F$2:$F$500,0))),"⚠"))</f>
        <v/>
      </c>
      <c r="AD123" t="str">
        <f>IF(BI123="","",IFERROR(IF(INDEX(CODIFICACION!$E$2:$E$500,MATCH("D3.14g|"&amp;BI123,CODIFICACION!$F$2:$F$500,0))="sin dato","",INDEX(CODIFICACION!$E$2:$E$500,MATCH("D3.14g|"&amp;BI123,CODIFICACION!$F$2:$F$500,0))),"⚠"))</f>
        <v/>
      </c>
      <c r="AE123" t="str">
        <f>IF(BJ123="","",IFERROR(IF(INDEX(CODIFICACION!$E$2:$E$500,MATCH("D3.14h|"&amp;BJ123,CODIFICACION!$F$2:$F$500,0))="sin dato","",INDEX(CODIFICACION!$E$2:$E$500,MATCH("D3.14h|"&amp;BJ123,CODIFICACION!$F$2:$F$500,0))),"⚠"))</f>
        <v/>
      </c>
      <c r="AF123" t="str">
        <f>IF(BK123="","",IFERROR(IF(INDEX(CODIFICACION!$E$2:$E$500,MATCH("D3.14i|"&amp;BK123,CODIFICACION!$F$2:$F$500,0))="sin dato","",INDEX(CODIFICACION!$E$2:$E$500,MATCH("D3.14i|"&amp;BK123,CODIFICACION!$F$2:$F$500,0))),"⚠"))</f>
        <v/>
      </c>
      <c r="AG123" t="str">
        <f>IF(BL123="","",IFERROR(IF(INDEX(CODIFICACION!$E$2:$E$500,MATCH("D4.15|"&amp;BL123,CODIFICACION!$F$2:$F$500,0))="sin dato","",INDEX(CODIFICACION!$E$2:$E$500,MATCH("D4.15|"&amp;BL123,CODIFICACION!$F$2:$F$500,0))),"⚠"))</f>
        <v/>
      </c>
      <c r="AH123" t="str">
        <f t="shared" si="81"/>
        <v/>
      </c>
      <c r="AI123" t="str">
        <f>IF(BN123="","",IFERROR(IF(INDEX(CODIFICACION!$E$2:$E$500,MATCH("D4.17|"&amp;BN123,CODIFICACION!$F$2:$F$500,0))="sin dato","",INDEX(CODIFICACION!$E$2:$E$500,MATCH("D4.17|"&amp;BN123,CODIFICACION!$F$2:$F$500,0))),"⚠"))</f>
        <v/>
      </c>
      <c r="AJ123" t="str">
        <f>IF(BO123="","",IFERROR(IF(INDEX(CODIFICACION!$E$2:$E$500,MATCH("D4.15a|"&amp;BO123,CODIFICACION!$F$2:$F$500,0))="sin dato","",INDEX(CODIFICACION!$E$2:$E$500,MATCH("D4.15a|"&amp;BO123,CODIFICACION!$F$2:$F$500,0))),"⚠"))</f>
        <v/>
      </c>
      <c r="AK123" t="str">
        <f t="shared" si="82"/>
        <v/>
      </c>
      <c r="AL123" t="str">
        <f t="shared" si="83"/>
        <v/>
      </c>
      <c r="AM123" t="str">
        <f>IF(BR123="","",IFERROR(IF(INDEX(CODIFICACION!$E$2:$E$500,MATCH("D5.18b|"&amp;BR123,CODIFICACION!$F$2:$F$500,0))="sin dato","",INDEX(CODIFICACION!$E$2:$E$500,MATCH("D5.18b|"&amp;BR123,CODIFICACION!$F$2:$F$500,0))),"⚠"))</f>
        <v/>
      </c>
      <c r="AN123" t="str">
        <f>IF(BS123="","",IFERROR(IF(INDEX(CODIFICACION!$E$2:$E$500,MATCH("D5.19|"&amp;BS123,CODIFICACION!$F$2:$F$500,0))="sin dato","",INDEX(CODIFICACION!$E$2:$E$500,MATCH("D5.19|"&amp;BS123,CODIFICACION!$F$2:$F$500,0))),"⚠"))</f>
        <v/>
      </c>
      <c r="AO123" t="str">
        <f t="shared" si="84"/>
        <v/>
      </c>
      <c r="AP123" t="str">
        <f>IF(BU123="","",IFERROR(IF(INDEX(CODIFICACION!$E$2:$E$500,MATCH("D5.20|"&amp;BU123,CODIFICACION!$F$2:$F$500,0))="sin dato","",INDEX(CODIFICACION!$E$2:$E$500,MATCH("D5.20|"&amp;BU123,CODIFICACION!$F$2:$F$500,0))),"⚠"))</f>
        <v/>
      </c>
      <c r="AQ123" t="str">
        <f>IF(BV123="","",IFERROR(IF(INDEX(CODIFICACION!$E$2:$E$500,MATCH("D5.21|"&amp;BV123,CODIFICACION!$F$2:$F$500,0))="sin dato","",INDEX(CODIFICACION!$E$2:$E$500,MATCH("D5.21|"&amp;BV123,CODIFICACION!$F$2:$F$500,0))),"⚠"))</f>
        <v/>
      </c>
      <c r="AR123" t="str">
        <f>IF(BW123="","",IFERROR(IF(INDEX(CODIFICACION!$E$2:$E$500,MATCH("D5.21a|"&amp;BW123,CODIFICACION!$F$2:$F$500,0))="sin dato","",INDEX(CODIFICACION!$E$2:$E$500,MATCH("D5.21a|"&amp;BW123,CODIFICACION!$F$2:$F$500,0))),"⚠"))</f>
        <v/>
      </c>
      <c r="AS123" t="str">
        <f>IF(BX123="","",IFERROR(IF(INDEX(CODIFICACION!$E$2:$E$500,MATCH("D5.21b|"&amp;BX123,CODIFICACION!$F$2:$F$500,0))="sin dato","",INDEX(CODIFICACION!$E$2:$E$500,MATCH("D5.21b|"&amp;BX123,CODIFICACION!$F$2:$F$500,0))),"⚠"))</f>
        <v/>
      </c>
      <c r="AT123" t="str">
        <f>IF(BY123="","",IFERROR(IF(INDEX(CODIFICACION!$E$2:$E$500,MATCH("D6.22|"&amp;BY123,CODIFICACION!$F$2:$F$500,0))="sin dato","",INDEX(CODIFICACION!$E$2:$E$500,MATCH("D6.22|"&amp;BY123,CODIFICACION!$F$2:$F$500,0))),"⚠"))</f>
        <v/>
      </c>
      <c r="AU123" t="str">
        <f>IF(BZ123="","",IFERROR(IF(INDEX(CODIFICACION!$E$2:$E$500,MATCH("D6.22a|"&amp;BZ123,CODIFICACION!$F$2:$F$500,0))="sin dato","",INDEX(CODIFICACION!$E$2:$E$500,MATCH("D6.22a|"&amp;BZ123,CODIFICACION!$F$2:$F$500,0))),"⚠"))</f>
        <v/>
      </c>
      <c r="AV123" t="str">
        <f>IF(CA123="","",IFERROR(IF(INDEX(CODIFICACION!$E$2:$E$500,MATCH("D6.22b|"&amp;CA123,CODIFICACION!$F$2:$F$500,0))="sin dato","",INDEX(CODIFICACION!$E$2:$E$500,MATCH("D6.22b|"&amp;CA123,CODIFICACION!$F$2:$F$500,0))),"⚠"))</f>
        <v/>
      </c>
      <c r="AW123" t="str">
        <f>IF(CB123="","",IFERROR(IF(INDEX(CODIFICACION!$E$2:$E$500,MATCH("D6.23|"&amp;CB123,CODIFICACION!$F$2:$F$500,0))="sin dato","",INDEX(CODIFICACION!$E$2:$E$500,MATCH("D6.23|"&amp;CB123,CODIFICACION!$F$2:$F$500,0))),"⚠"))</f>
        <v/>
      </c>
      <c r="AX123" t="str">
        <f ca="1">IF(CC123="","",IFERROR(IF(INDEX(CODIFICACION!$E$2:$E$500,MATCH("D6.24|"&amp;CC123,CODIFICACION!$F$2:$F$500,0))="sin dato","",INDEX(CODIFICACION!$E$2:$E$500,MATCH("D6.24|"&amp;CC123,CODIFICACION!$F$2:$F$500,0))),"⚠"))</f>
        <v/>
      </c>
      <c r="AY123" t="str">
        <f ca="1">IF(CD123="","",IFERROR(IF(INDEX(CODIFICACION!$E$2:$E$500,MATCH("D6.25|"&amp;CD123,CODIFICACION!$F$2:$F$500,0))="sin dato","",INDEX(CODIFICACION!$E$2:$E$500,MATCH("D6.25|"&amp;CD123,CODIFICACION!$F$2:$F$500,0))),"⚠"))</f>
        <v/>
      </c>
      <c r="AZ123" t="str">
        <f>IF(CE123="","",IFERROR(IF(INDEX(CODIFICACION!$E$2:$E$500,MATCH("D6.25a|"&amp;CE123,CODIFICACION!$F$2:$F$500,0))="sin dato","",INDEX(CODIFICACION!$E$2:$E$500,MATCH("D6.25a|"&amp;CE123,CODIFICACION!$F$2:$F$500,0))),"⚠"))</f>
        <v/>
      </c>
      <c r="BA123" t="str">
        <f>IF(CF123="","",IFERROR(IF(INDEX(CODIFICACION!$E$2:$E$500,MATCH("D6.25b|"&amp;CF123,CODIFICACION!$F$2:$F$500,0))="sin dato","",INDEX(CODIFICACION!$E$2:$E$500,MATCH("D6.25b|"&amp;CF123,CODIFICACION!$F$2:$F$500,0))),"⚠"))</f>
        <v/>
      </c>
      <c r="BB123" t="str">
        <f ca="1">IF(CG123="","",IFERROR(IF(INDEX(CODIFICACION!$E$2:$E$500,MATCH("D6.22c|"&amp;CG123,CODIFICACION!$F$2:$F$500,0))="sin dato","",INDEX(CODIFICACION!$E$2:$E$500,MATCH("D6.22c|"&amp;CG123,CODIFICACION!$F$2:$F$500,0))),"⚠"))</f>
        <v/>
      </c>
      <c r="BC123" t="str">
        <f ca="1">IF(CH123="","",IFERROR(IF(INDEX(CODIFICACION!$E$2:$E$500,MATCH("D7.26|"&amp;CH123,CODIFICACION!$F$2:$F$500,0))="sin dato","",INDEX(CODIFICACION!$E$2:$E$500,MATCH("D7.26|"&amp;CH123,CODIFICACION!$F$2:$F$500,0))),"⚠"))</f>
        <v/>
      </c>
      <c r="BD123" t="str">
        <f>IF(CI123="","",IFERROR(IF(INDEX(CODIFICACION!$E$2:$E$500,MATCH("D7.27|"&amp;CI123,CODIFICACION!$F$2:$F$500,0))="sin dato","",INDEX(CODIFICACION!$E$2:$E$500,MATCH("D7.27|"&amp;CI123,CODIFICACION!$F$2:$F$500,0))),"⚠"))</f>
        <v/>
      </c>
      <c r="BE123" t="str">
        <f>IF(CJ123="","",IFERROR(IF(INDEX(CODIFICACION!$E$2:$E$500,MATCH("D7.28|"&amp;CJ123,CODIFICACION!$F$2:$F$500,0))="sin dato","",INDEX(CODIFICACION!$E$2:$E$500,MATCH("D7.28|"&amp;CJ123,CODIFICACION!$F$2:$F$500,0))),"⚠"))</f>
        <v/>
      </c>
      <c r="BF123" t="str">
        <f>IF(CK123="","",IFERROR(IF(INDEX(CODIFICACION!$E$2:$E$500,MATCH("D7.28b|"&amp;CK123,CODIFICACION!$F$2:$F$500,0))="sin dato","",INDEX(CODIFICACION!$E$2:$E$500,MATCH("D7.28b|"&amp;CK123,CODIFICACION!$F$2:$F$500,0))),"⚠"))</f>
        <v/>
      </c>
      <c r="BG123" t="str">
        <f t="shared" si="85"/>
        <v/>
      </c>
      <c r="BH123" t="str">
        <f>IF(CM123="","",IFERROR(IF(INDEX(CODIFICACION!$E$2:$E$500,MATCH("D7.26a|"&amp;CM123,CODIFICACION!$F$2:$F$500,0))="sin dato","",INDEX(CODIFICACION!$E$2:$E$500,MATCH("D7.26a|"&amp;CM123,CODIFICACION!$F$2:$F$500,0))),"⚠"))</f>
        <v/>
      </c>
      <c r="BI123" t="str">
        <f>IF(CN123="","",IFERROR(IF(INDEX(CODIFICACION!$E$2:$E$500,MATCH("D7.26b|"&amp;CN123,CODIFICACION!$F$2:$F$500,0))="sin dato","",INDEX(CODIFICACION!$E$2:$E$500,MATCH("D7.26b|"&amp;CN123,CODIFICACION!$F$2:$F$500,0))),"⚠"))</f>
        <v/>
      </c>
      <c r="BJ123" t="str">
        <f t="shared" si="86"/>
        <v/>
      </c>
      <c r="BK123" t="str">
        <f t="shared" si="87"/>
        <v/>
      </c>
      <c r="BL123" t="str">
        <f>IF(CQ123="","",IFERROR(IF(INDEX(CODIFICACION!$E$2:$E$500,MATCH("D8.31|"&amp;CQ123,CODIFICACION!$F$2:$F$500,0))="sin dato","",INDEX(CODIFICACION!$E$2:$E$500,MATCH("D8.31|"&amp;CQ123,CODIFICACION!$F$2:$F$500,0))),"⚠"))</f>
        <v/>
      </c>
      <c r="BM123" t="str">
        <f>IF(CR123="","",IFERROR(IF(INDEX(CODIFICACION!$E$2:$E$500,MATCH("D8.32|"&amp;CR123,CODIFICACION!$F$2:$F$500,0))="sin dato","",INDEX(CODIFICACION!$E$2:$E$500,MATCH("D8.32|"&amp;CR123,CODIFICACION!$F$2:$F$500,0))),"⚠"))</f>
        <v/>
      </c>
      <c r="BN123" t="str">
        <f>IF(CS123="","",IFERROR(IF(INDEX(CODIFICACION!$E$2:$E$500,MATCH("D9.33|"&amp;CS123,CODIFICACION!$F$2:$F$500,0))="sin dato","",INDEX(CODIFICACION!$E$2:$E$500,MATCH("D9.33|"&amp;CS123,CODIFICACION!$F$2:$F$500,0))),"⚠"))</f>
        <v/>
      </c>
      <c r="BO123" t="str">
        <f>IF(CT123="","",IFERROR(IF(INDEX(CODIFICACION!$E$2:$E$500,MATCH("D9.34|"&amp;CT123,CODIFICACION!$F$2:$F$500,0))="sin dato","",INDEX(CODIFICACION!$E$2:$E$500,MATCH("D9.34|"&amp;CT123,CODIFICACION!$F$2:$F$500,0))),"⚠"))</f>
        <v/>
      </c>
      <c r="BP123" t="str">
        <f>IF(CU123="","",IFERROR(IF(INDEX(CODIFICACION!$E$2:$E$500,MATCH("D9.35|"&amp;CU123,CODIFICACION!$F$2:$F$500,0))="sin dato","",INDEX(CODIFICACION!$E$2:$E$500,MATCH("D9.35|"&amp;CU123,CODIFICACION!$F$2:$F$500,0))),"⚠"))</f>
        <v/>
      </c>
      <c r="BQ123" t="str">
        <f>IF(CV123="","",IFERROR(IF(INDEX(CODIFICACION!$E$2:$E$500,MATCH("D10.36|"&amp;CV123,CODIFICACION!$F$2:$F$500,0))="sin dato","",INDEX(CODIFICACION!$E$2:$E$500,MATCH("D10.36|"&amp;CV123,CODIFICACION!$F$2:$F$500,0))),"⚠"))</f>
        <v/>
      </c>
      <c r="BR123" t="str">
        <f>IF(CW123="","",IFERROR(IF(INDEX(CODIFICACION!$E$2:$E$500,MATCH("D10.37|"&amp;CW123,CODIFICACION!$F$2:$F$500,0))="sin dato","",INDEX(CODIFICACION!$E$2:$E$500,MATCH("D10.37|"&amp;CW123,CODIFICACION!$F$2:$F$500,0))),"⚠"))</f>
        <v/>
      </c>
      <c r="BS123" t="str">
        <f>IF(CX123="","",IFERROR(IF(INDEX(CODIFICACION!$E$2:$E$500,MATCH("D10.36a|"&amp;CX123,CODIFICACION!$F$2:$F$500,0))="sin dato","",INDEX(CODIFICACION!$E$2:$E$500,MATCH("D10.36a|"&amp;CX123,CODIFICACION!$F$2:$F$500,0))),"⚠"))</f>
        <v/>
      </c>
      <c r="BT123" t="str">
        <f t="shared" si="88"/>
        <v/>
      </c>
      <c r="BU123" t="str">
        <f>IF(DA123="","",IFERROR(IF(INDEX(CODIFICACION!$E$2:$E$500,MATCH("D11.39a|"&amp;DA123,CODIFICACION!$F$2:$F$500,0))="sin dato","",INDEX(CODIFICACION!$E$2:$E$500,MATCH("D11.39a|"&amp;DA123,CODIFICACION!$F$2:$F$500,0))),"⚠"))</f>
        <v/>
      </c>
      <c r="BV123" t="str">
        <f>IF(DB123="","",IFERROR(IF(INDEX(CODIFICACION!$E$2:$E$500,MATCH("D12.42|"&amp;DB123,CODIFICACION!$F$2:$F$500,0))="sin dato","",INDEX(CODIFICACION!$E$2:$E$500,MATCH("D12.42|"&amp;DB123,CODIFICACION!$F$2:$F$500,0))),"⚠"))</f>
        <v/>
      </c>
      <c r="BW123" t="str">
        <f>IF(DC123="","",IFERROR(IF(INDEX(CODIFICACION!$E$2:$E$500,MATCH("D13.45|"&amp;DC123,CODIFICACION!$F$2:$F$500,0))="sin dato","",INDEX(CODIFICACION!$E$2:$E$500,MATCH("D13.45|"&amp;DC123,CODIFICACION!$F$2:$F$500,0))),"⚠"))</f>
        <v/>
      </c>
      <c r="BX123" t="str">
        <f>IF(DD123="","",IFERROR(IF(INDEX(CODIFICACION!$E$2:$E$500,MATCH("D14.51|"&amp;DD123,CODIFICACION!$F$2:$F$500,0))="sin dato","",INDEX(CODIFICACION!$E$2:$E$500,MATCH("D14.51|"&amp;DD123,CODIFICACION!$F$2:$F$500,0))),"⚠"))</f>
        <v/>
      </c>
      <c r="BY123" t="str">
        <f>IF(DE123="","",IFERROR(IF(INDEX(CODIFICACION!$E$2:$E$500,MATCH("D15.58|"&amp;DE123,CODIFICACION!$F$2:$F$500,0))="sin dato","",INDEX(CODIFICACION!$E$2:$E$500,MATCH("D15.58|"&amp;DE123,CODIFICACION!$F$2:$F$500,0))),"⚠"))</f>
        <v/>
      </c>
      <c r="BZ123" t="str">
        <f>IF(DF123="","",IFERROR(IF(INDEX(CODIFICACION!$E$2:$E$500,MATCH("PP1|"&amp;DF123,CODIFICACION!$F$2:$F$500,0))="sin dato","",INDEX(CODIFICACION!$E$2:$E$500,MATCH("PP1|"&amp;DF123,CODIFICACION!$F$2:$F$500,0))),"⚠"))</f>
        <v/>
      </c>
      <c r="CA123" t="str">
        <f>IF(DG123="","",IFERROR(IF(INDEX(CODIFICACION!$E$2:$E$500,MATCH("PP2|"&amp;DG123,CODIFICACION!$F$2:$F$500,0))="sin dato","",INDEX(CODIFICACION!$E$2:$E$500,MATCH("PP2|"&amp;DG123,CODIFICACION!$F$2:$F$500,0))),"⚠"))</f>
        <v/>
      </c>
      <c r="CB123" t="str">
        <f t="shared" si="89"/>
        <v/>
      </c>
      <c r="CC123" t="str">
        <f t="shared" ca="1" si="90"/>
        <v/>
      </c>
      <c r="CD123" t="str">
        <f t="shared" ca="1" si="91"/>
        <v/>
      </c>
      <c r="CE123" t="str">
        <f t="shared" si="92"/>
        <v/>
      </c>
      <c r="CF123" t="str">
        <f t="shared" si="93"/>
        <v/>
      </c>
      <c r="CG123" t="str">
        <f t="shared" ca="1" si="94"/>
        <v/>
      </c>
      <c r="CH123" t="str">
        <f t="shared" ca="1" si="95"/>
        <v/>
      </c>
      <c r="CI123" t="str">
        <f t="shared" si="96"/>
        <v/>
      </c>
      <c r="CJ123" t="str">
        <f t="shared" si="97"/>
        <v/>
      </c>
      <c r="CK123" t="str">
        <f t="shared" si="98"/>
        <v/>
      </c>
      <c r="CL123" t="str">
        <f t="shared" si="99"/>
        <v/>
      </c>
    </row>
    <row r="124" spans="1:90" x14ac:dyDescent="0.3">
      <c r="A124">
        <f>CAPTURA!A124</f>
        <v>20601558204</v>
      </c>
      <c r="B124">
        <f>CAPTURA!C124</f>
        <v>0</v>
      </c>
      <c r="C124" t="str">
        <f t="shared" si="75"/>
        <v/>
      </c>
      <c r="D124" t="str">
        <f>IF(AE124="","",IFERROR(IF(INDEX(CODIFICACION!$E$2:$E$500,MATCH("P8|"&amp;AE124,CODIFICACION!$F$2:$F$500,0))="sin dato","",INDEX(CODIFICACION!$E$2:$E$500,MATCH("P8|"&amp;AE124,CODIFICACION!$F$2:$F$500,0))),"⚠"))</f>
        <v/>
      </c>
      <c r="E124" t="str">
        <f>IF(AG124="","",IFERROR(IF(INDEX(CODIFICACION!$E$2:$E$500,MATCH("P10|"&amp;AG124,CODIFICACION!$F$2:$F$500,0))="sin dato","",INDEX(CODIFICACION!$E$2:$E$500,MATCH("P10|"&amp;AG124,CODIFICACION!$F$2:$F$500,0))),"⚠"))</f>
        <v/>
      </c>
      <c r="F124" t="str">
        <f>IF(AJ124="","",IFERROR(IF(INDEX(CODIFICACION!$E$2:$E$500,MATCH("P13|"&amp;AJ124,CODIFICACION!$F$2:$F$500,0))="sin dato","",INDEX(CODIFICACION!$E$2:$E$500,MATCH("P13|"&amp;AJ124,CODIFICACION!$F$2:$F$500,0))),"⚠"))</f>
        <v/>
      </c>
      <c r="G124" t="str">
        <f>IF(AK124="","",IFERROR(IF(INDEX(CODIFICACION!$E$2:$E$500,MATCH("P14|"&amp;AK124,CODIFICACION!$F$2:$F$500,0))="sin dato","",INDEX(CODIFICACION!$E$2:$E$500,MATCH("P14|"&amp;AK124,CODIFICACION!$F$2:$F$500,0))),"⚠"))</f>
        <v/>
      </c>
      <c r="H124" t="str">
        <f>IF(AL124="","",IFERROR(IF(INDEX(CODIFICACION!$E$2:$E$500,MATCH("D1.1|"&amp;AL124,CODIFICACION!$F$2:$F$500,0))="sin dato","",INDEX(CODIFICACION!$E$2:$E$500,MATCH("D1.1|"&amp;AL124,CODIFICACION!$F$2:$F$500,0))),"⚠"))</f>
        <v/>
      </c>
      <c r="I124" t="str">
        <f>IF(AN124="","",IFERROR(IF(INDEX(CODIFICACION!$E$2:$E$500,MATCH("D1.3|"&amp;AN124,CODIFICACION!$F$2:$F$500,0))="sin dato","",INDEX(CODIFICACION!$E$2:$E$500,MATCH("D1.3|"&amp;AN124,CODIFICACION!$F$2:$F$500,0))),"⚠"))</f>
        <v/>
      </c>
      <c r="J124" t="str">
        <f>IF(AO124="","",IFERROR(IF(INDEX(CODIFICACION!$E$2:$E$500,MATCH("D1.4|"&amp;AO124,CODIFICACION!$F$2:$F$500,0))="sin dato","",INDEX(CODIFICACION!$E$2:$E$500,MATCH("D1.4|"&amp;AO124,CODIFICACION!$F$2:$F$500,0))),"⚠"))</f>
        <v/>
      </c>
      <c r="K124" t="str">
        <f>IF(AP124="","",IFERROR(IF(INDEX(CODIFICACION!$E$2:$E$500,MATCH("D1.3a|"&amp;AP124,CODIFICACION!$F$2:$F$500,0))="sin dato","",INDEX(CODIFICACION!$E$2:$E$500,MATCH("D1.3a|"&amp;AP124,CODIFICACION!$F$2:$F$500,0))),"⚠"))</f>
        <v/>
      </c>
      <c r="L124" t="str">
        <f t="shared" si="76"/>
        <v/>
      </c>
      <c r="M124" t="str">
        <f t="shared" si="77"/>
        <v/>
      </c>
      <c r="N124" t="str">
        <f t="shared" si="78"/>
        <v/>
      </c>
      <c r="O124" t="str">
        <f>IF(AT124="","",IFERROR(IF(INDEX(CODIFICACION!$E$2:$E$500,MATCH("D2.8|"&amp;AT124,CODIFICACION!$F$2:$F$500,0))="sin dato","",INDEX(CODIFICACION!$E$2:$E$500,MATCH("D2.8|"&amp;AT124,CODIFICACION!$F$2:$F$500,0))),"⚠"))</f>
        <v/>
      </c>
      <c r="P124" t="str">
        <f>IF(AU124="","",IFERROR(IF(INDEX(CODIFICACION!$E$2:$E$500,MATCH("D2.9|"&amp;AU124,CODIFICACION!$F$2:$F$500,0))="sin dato","",INDEX(CODIFICACION!$E$2:$E$500,MATCH("D2.9|"&amp;AU124,CODIFICACION!$F$2:$F$500,0))),"⚠"))</f>
        <v/>
      </c>
      <c r="Q124" t="str">
        <f>IF(AV124="","",IFERROR(IF(INDEX(CODIFICACION!$E$2:$E$500,MATCH("D2.10|"&amp;AV124,CODIFICACION!$F$2:$F$500,0))="sin dato","",INDEX(CODIFICACION!$E$2:$E$500,MATCH("D2.10|"&amp;AV124,CODIFICACION!$F$2:$F$500,0))),"⚠"))</f>
        <v/>
      </c>
      <c r="R124" t="str">
        <f>IF(AW124="","",IFERROR(IF(INDEX(CODIFICACION!$E$2:$E$500,MATCH("D2.5a|"&amp;AW124,CODIFICACION!$F$2:$F$500,0))="sin dato","",INDEX(CODIFICACION!$E$2:$E$500,MATCH("D2.5a|"&amp;AW124,CODIFICACION!$F$2:$F$500,0))),"⚠"))</f>
        <v/>
      </c>
      <c r="S124" t="str">
        <f ca="1">IF(AX124="","",IFERROR(IF(INDEX(CODIFICACION!$E$2:$E$500,MATCH("D2.5b|"&amp;AX124,CODIFICACION!$F$2:$F$500,0))="sin dato","",INDEX(CODIFICACION!$E$2:$E$500,MATCH("D2.5b|"&amp;AX124,CODIFICACION!$F$2:$F$500,0))),"⚠"))</f>
        <v/>
      </c>
      <c r="T124" t="str">
        <f t="shared" ca="1" si="79"/>
        <v/>
      </c>
      <c r="U124" t="str">
        <f>IF(AZ124="","",IFERROR(IF(INDEX(CODIFICACION!$E$2:$E$500,MATCH("D3.12|"&amp;AZ124,CODIFICACION!$F$2:$F$500,0))="sin dato","",INDEX(CODIFICACION!$E$2:$E$500,MATCH("D3.12|"&amp;AZ124,CODIFICACION!$F$2:$F$500,0))),"⚠"))</f>
        <v/>
      </c>
      <c r="V124" t="str">
        <f t="shared" si="80"/>
        <v/>
      </c>
      <c r="W124" t="str">
        <f ca="1">IF(BB124="","",IFERROR(IF(INDEX(CODIFICACION!$E$2:$E$500,MATCH("D3.14|"&amp;BB124,CODIFICACION!$F$2:$F$500,0))="sin dato","",INDEX(CODIFICACION!$E$2:$E$500,MATCH("D3.14|"&amp;BB124,CODIFICACION!$F$2:$F$500,0))),"⚠"))</f>
        <v/>
      </c>
      <c r="X124" t="str">
        <f ca="1">IF(BC124="","",IFERROR(IF(INDEX(CODIFICACION!$E$2:$E$500,MATCH("D3.14a|"&amp;BC124,CODIFICACION!$F$2:$F$500,0))="sin dato","",INDEX(CODIFICACION!$E$2:$E$500,MATCH("D3.14a|"&amp;BC124,CODIFICACION!$F$2:$F$500,0))),"⚠"))</f>
        <v/>
      </c>
      <c r="Y124" t="str">
        <f>IF(BD124="","",IFERROR(IF(INDEX(CODIFICACION!$E$2:$E$500,MATCH("D3.14b|"&amp;BD124,CODIFICACION!$F$2:$F$500,0))="sin dato","",INDEX(CODIFICACION!$E$2:$E$500,MATCH("D3.14b|"&amp;BD124,CODIFICACION!$F$2:$F$500,0))),"⚠"))</f>
        <v/>
      </c>
      <c r="Z124" t="str">
        <f>IF(BE124="","",IFERROR(IF(INDEX(CODIFICACION!$E$2:$E$500,MATCH("D3.14c|"&amp;BE124,CODIFICACION!$F$2:$F$500,0))="sin dato","",INDEX(CODIFICACION!$E$2:$E$500,MATCH("D3.14c|"&amp;BE124,CODIFICACION!$F$2:$F$500,0))),"⚠"))</f>
        <v/>
      </c>
      <c r="AA124" t="str">
        <f>IF(BF124="","",IFERROR(IF(INDEX(CODIFICACION!$E$2:$E$500,MATCH("D3.14d|"&amp;BF124,CODIFICACION!$F$2:$F$500,0))="sin dato","",INDEX(CODIFICACION!$E$2:$E$500,MATCH("D3.14d|"&amp;BF124,CODIFICACION!$F$2:$F$500,0))),"⚠"))</f>
        <v/>
      </c>
      <c r="AB124" t="str">
        <f>IF(BG124="","",IFERROR(IF(INDEX(CODIFICACION!$E$2:$E$500,MATCH("D3.14e|"&amp;BG124,CODIFICACION!$F$2:$F$500,0))="sin dato","",INDEX(CODIFICACION!$E$2:$E$500,MATCH("D3.14e|"&amp;BG124,CODIFICACION!$F$2:$F$500,0))),"⚠"))</f>
        <v/>
      </c>
      <c r="AC124" t="str">
        <f>IF(BH124="","",IFERROR(IF(INDEX(CODIFICACION!$E$2:$E$500,MATCH("D3.14f|"&amp;BH124,CODIFICACION!$F$2:$F$500,0))="sin dato","",INDEX(CODIFICACION!$E$2:$E$500,MATCH("D3.14f|"&amp;BH124,CODIFICACION!$F$2:$F$500,0))),"⚠"))</f>
        <v/>
      </c>
      <c r="AD124" t="str">
        <f>IF(BI124="","",IFERROR(IF(INDEX(CODIFICACION!$E$2:$E$500,MATCH("D3.14g|"&amp;BI124,CODIFICACION!$F$2:$F$500,0))="sin dato","",INDEX(CODIFICACION!$E$2:$E$500,MATCH("D3.14g|"&amp;BI124,CODIFICACION!$F$2:$F$500,0))),"⚠"))</f>
        <v/>
      </c>
      <c r="AE124" t="str">
        <f>IF(BJ124="","",IFERROR(IF(INDEX(CODIFICACION!$E$2:$E$500,MATCH("D3.14h|"&amp;BJ124,CODIFICACION!$F$2:$F$500,0))="sin dato","",INDEX(CODIFICACION!$E$2:$E$500,MATCH("D3.14h|"&amp;BJ124,CODIFICACION!$F$2:$F$500,0))),"⚠"))</f>
        <v/>
      </c>
      <c r="AF124" t="str">
        <f>IF(BK124="","",IFERROR(IF(INDEX(CODIFICACION!$E$2:$E$500,MATCH("D3.14i|"&amp;BK124,CODIFICACION!$F$2:$F$500,0))="sin dato","",INDEX(CODIFICACION!$E$2:$E$500,MATCH("D3.14i|"&amp;BK124,CODIFICACION!$F$2:$F$500,0))),"⚠"))</f>
        <v/>
      </c>
      <c r="AG124" t="str">
        <f>IF(BL124="","",IFERROR(IF(INDEX(CODIFICACION!$E$2:$E$500,MATCH("D4.15|"&amp;BL124,CODIFICACION!$F$2:$F$500,0))="sin dato","",INDEX(CODIFICACION!$E$2:$E$500,MATCH("D4.15|"&amp;BL124,CODIFICACION!$F$2:$F$500,0))),"⚠"))</f>
        <v/>
      </c>
      <c r="AH124" t="str">
        <f t="shared" si="81"/>
        <v/>
      </c>
      <c r="AI124" t="str">
        <f>IF(BN124="","",IFERROR(IF(INDEX(CODIFICACION!$E$2:$E$500,MATCH("D4.17|"&amp;BN124,CODIFICACION!$F$2:$F$500,0))="sin dato","",INDEX(CODIFICACION!$E$2:$E$500,MATCH("D4.17|"&amp;BN124,CODIFICACION!$F$2:$F$500,0))),"⚠"))</f>
        <v/>
      </c>
      <c r="AJ124" t="str">
        <f>IF(BO124="","",IFERROR(IF(INDEX(CODIFICACION!$E$2:$E$500,MATCH("D4.15a|"&amp;BO124,CODIFICACION!$F$2:$F$500,0))="sin dato","",INDEX(CODIFICACION!$E$2:$E$500,MATCH("D4.15a|"&amp;BO124,CODIFICACION!$F$2:$F$500,0))),"⚠"))</f>
        <v/>
      </c>
      <c r="AK124" t="str">
        <f t="shared" si="82"/>
        <v/>
      </c>
      <c r="AL124" t="str">
        <f t="shared" si="83"/>
        <v/>
      </c>
      <c r="AM124" t="str">
        <f>IF(BR124="","",IFERROR(IF(INDEX(CODIFICACION!$E$2:$E$500,MATCH("D5.18b|"&amp;BR124,CODIFICACION!$F$2:$F$500,0))="sin dato","",INDEX(CODIFICACION!$E$2:$E$500,MATCH("D5.18b|"&amp;BR124,CODIFICACION!$F$2:$F$500,0))),"⚠"))</f>
        <v/>
      </c>
      <c r="AN124" t="str">
        <f>IF(BS124="","",IFERROR(IF(INDEX(CODIFICACION!$E$2:$E$500,MATCH("D5.19|"&amp;BS124,CODIFICACION!$F$2:$F$500,0))="sin dato","",INDEX(CODIFICACION!$E$2:$E$500,MATCH("D5.19|"&amp;BS124,CODIFICACION!$F$2:$F$500,0))),"⚠"))</f>
        <v/>
      </c>
      <c r="AO124" t="str">
        <f t="shared" si="84"/>
        <v/>
      </c>
      <c r="AP124" t="str">
        <f>IF(BU124="","",IFERROR(IF(INDEX(CODIFICACION!$E$2:$E$500,MATCH("D5.20|"&amp;BU124,CODIFICACION!$F$2:$F$500,0))="sin dato","",INDEX(CODIFICACION!$E$2:$E$500,MATCH("D5.20|"&amp;BU124,CODIFICACION!$F$2:$F$500,0))),"⚠"))</f>
        <v/>
      </c>
      <c r="AQ124" t="str">
        <f>IF(BV124="","",IFERROR(IF(INDEX(CODIFICACION!$E$2:$E$500,MATCH("D5.21|"&amp;BV124,CODIFICACION!$F$2:$F$500,0))="sin dato","",INDEX(CODIFICACION!$E$2:$E$500,MATCH("D5.21|"&amp;BV124,CODIFICACION!$F$2:$F$500,0))),"⚠"))</f>
        <v/>
      </c>
      <c r="AR124" t="str">
        <f>IF(BW124="","",IFERROR(IF(INDEX(CODIFICACION!$E$2:$E$500,MATCH("D5.21a|"&amp;BW124,CODIFICACION!$F$2:$F$500,0))="sin dato","",INDEX(CODIFICACION!$E$2:$E$500,MATCH("D5.21a|"&amp;BW124,CODIFICACION!$F$2:$F$500,0))),"⚠"))</f>
        <v/>
      </c>
      <c r="AS124" t="str">
        <f>IF(BX124="","",IFERROR(IF(INDEX(CODIFICACION!$E$2:$E$500,MATCH("D5.21b|"&amp;BX124,CODIFICACION!$F$2:$F$500,0))="sin dato","",INDEX(CODIFICACION!$E$2:$E$500,MATCH("D5.21b|"&amp;BX124,CODIFICACION!$F$2:$F$500,0))),"⚠"))</f>
        <v/>
      </c>
      <c r="AT124" t="str">
        <f>IF(BY124="","",IFERROR(IF(INDEX(CODIFICACION!$E$2:$E$500,MATCH("D6.22|"&amp;BY124,CODIFICACION!$F$2:$F$500,0))="sin dato","",INDEX(CODIFICACION!$E$2:$E$500,MATCH("D6.22|"&amp;BY124,CODIFICACION!$F$2:$F$500,0))),"⚠"))</f>
        <v/>
      </c>
      <c r="AU124" t="str">
        <f>IF(BZ124="","",IFERROR(IF(INDEX(CODIFICACION!$E$2:$E$500,MATCH("D6.22a|"&amp;BZ124,CODIFICACION!$F$2:$F$500,0))="sin dato","",INDEX(CODIFICACION!$E$2:$E$500,MATCH("D6.22a|"&amp;BZ124,CODIFICACION!$F$2:$F$500,0))),"⚠"))</f>
        <v/>
      </c>
      <c r="AV124" t="str">
        <f>IF(CA124="","",IFERROR(IF(INDEX(CODIFICACION!$E$2:$E$500,MATCH("D6.22b|"&amp;CA124,CODIFICACION!$F$2:$F$500,0))="sin dato","",INDEX(CODIFICACION!$E$2:$E$500,MATCH("D6.22b|"&amp;CA124,CODIFICACION!$F$2:$F$500,0))),"⚠"))</f>
        <v/>
      </c>
      <c r="AW124" t="str">
        <f>IF(CB124="","",IFERROR(IF(INDEX(CODIFICACION!$E$2:$E$500,MATCH("D6.23|"&amp;CB124,CODIFICACION!$F$2:$F$500,0))="sin dato","",INDEX(CODIFICACION!$E$2:$E$500,MATCH("D6.23|"&amp;CB124,CODIFICACION!$F$2:$F$500,0))),"⚠"))</f>
        <v/>
      </c>
      <c r="AX124" t="str">
        <f ca="1">IF(CC124="","",IFERROR(IF(INDEX(CODIFICACION!$E$2:$E$500,MATCH("D6.24|"&amp;CC124,CODIFICACION!$F$2:$F$500,0))="sin dato","",INDEX(CODIFICACION!$E$2:$E$500,MATCH("D6.24|"&amp;CC124,CODIFICACION!$F$2:$F$500,0))),"⚠"))</f>
        <v/>
      </c>
      <c r="AY124" t="str">
        <f ca="1">IF(CD124="","",IFERROR(IF(INDEX(CODIFICACION!$E$2:$E$500,MATCH("D6.25|"&amp;CD124,CODIFICACION!$F$2:$F$500,0))="sin dato","",INDEX(CODIFICACION!$E$2:$E$500,MATCH("D6.25|"&amp;CD124,CODIFICACION!$F$2:$F$500,0))),"⚠"))</f>
        <v/>
      </c>
      <c r="AZ124" t="str">
        <f>IF(CE124="","",IFERROR(IF(INDEX(CODIFICACION!$E$2:$E$500,MATCH("D6.25a|"&amp;CE124,CODIFICACION!$F$2:$F$500,0))="sin dato","",INDEX(CODIFICACION!$E$2:$E$500,MATCH("D6.25a|"&amp;CE124,CODIFICACION!$F$2:$F$500,0))),"⚠"))</f>
        <v/>
      </c>
      <c r="BA124" t="str">
        <f>IF(CF124="","",IFERROR(IF(INDEX(CODIFICACION!$E$2:$E$500,MATCH("D6.25b|"&amp;CF124,CODIFICACION!$F$2:$F$500,0))="sin dato","",INDEX(CODIFICACION!$E$2:$E$500,MATCH("D6.25b|"&amp;CF124,CODIFICACION!$F$2:$F$500,0))),"⚠"))</f>
        <v/>
      </c>
      <c r="BB124" t="str">
        <f ca="1">IF(CG124="","",IFERROR(IF(INDEX(CODIFICACION!$E$2:$E$500,MATCH("D6.22c|"&amp;CG124,CODIFICACION!$F$2:$F$500,0))="sin dato","",INDEX(CODIFICACION!$E$2:$E$500,MATCH("D6.22c|"&amp;CG124,CODIFICACION!$F$2:$F$500,0))),"⚠"))</f>
        <v/>
      </c>
      <c r="BC124" t="str">
        <f ca="1">IF(CH124="","",IFERROR(IF(INDEX(CODIFICACION!$E$2:$E$500,MATCH("D7.26|"&amp;CH124,CODIFICACION!$F$2:$F$500,0))="sin dato","",INDEX(CODIFICACION!$E$2:$E$500,MATCH("D7.26|"&amp;CH124,CODIFICACION!$F$2:$F$500,0))),"⚠"))</f>
        <v/>
      </c>
      <c r="BD124" t="str">
        <f>IF(CI124="","",IFERROR(IF(INDEX(CODIFICACION!$E$2:$E$500,MATCH("D7.27|"&amp;CI124,CODIFICACION!$F$2:$F$500,0))="sin dato","",INDEX(CODIFICACION!$E$2:$E$500,MATCH("D7.27|"&amp;CI124,CODIFICACION!$F$2:$F$500,0))),"⚠"))</f>
        <v/>
      </c>
      <c r="BE124" t="str">
        <f>IF(CJ124="","",IFERROR(IF(INDEX(CODIFICACION!$E$2:$E$500,MATCH("D7.28|"&amp;CJ124,CODIFICACION!$F$2:$F$500,0))="sin dato","",INDEX(CODIFICACION!$E$2:$E$500,MATCH("D7.28|"&amp;CJ124,CODIFICACION!$F$2:$F$500,0))),"⚠"))</f>
        <v/>
      </c>
      <c r="BF124" t="str">
        <f>IF(CK124="","",IFERROR(IF(INDEX(CODIFICACION!$E$2:$E$500,MATCH("D7.28b|"&amp;CK124,CODIFICACION!$F$2:$F$500,0))="sin dato","",INDEX(CODIFICACION!$E$2:$E$500,MATCH("D7.28b|"&amp;CK124,CODIFICACION!$F$2:$F$500,0))),"⚠"))</f>
        <v/>
      </c>
      <c r="BG124" t="str">
        <f t="shared" si="85"/>
        <v/>
      </c>
      <c r="BH124" t="str">
        <f>IF(CM124="","",IFERROR(IF(INDEX(CODIFICACION!$E$2:$E$500,MATCH("D7.26a|"&amp;CM124,CODIFICACION!$F$2:$F$500,0))="sin dato","",INDEX(CODIFICACION!$E$2:$E$500,MATCH("D7.26a|"&amp;CM124,CODIFICACION!$F$2:$F$500,0))),"⚠"))</f>
        <v/>
      </c>
      <c r="BI124" t="str">
        <f>IF(CN124="","",IFERROR(IF(INDEX(CODIFICACION!$E$2:$E$500,MATCH("D7.26b|"&amp;CN124,CODIFICACION!$F$2:$F$500,0))="sin dato","",INDEX(CODIFICACION!$E$2:$E$500,MATCH("D7.26b|"&amp;CN124,CODIFICACION!$F$2:$F$500,0))),"⚠"))</f>
        <v/>
      </c>
      <c r="BJ124" t="str">
        <f t="shared" si="86"/>
        <v/>
      </c>
      <c r="BK124" t="str">
        <f t="shared" si="87"/>
        <v/>
      </c>
      <c r="BL124" t="str">
        <f>IF(CQ124="","",IFERROR(IF(INDEX(CODIFICACION!$E$2:$E$500,MATCH("D8.31|"&amp;CQ124,CODIFICACION!$F$2:$F$500,0))="sin dato","",INDEX(CODIFICACION!$E$2:$E$500,MATCH("D8.31|"&amp;CQ124,CODIFICACION!$F$2:$F$500,0))),"⚠"))</f>
        <v/>
      </c>
      <c r="BM124" t="str">
        <f>IF(CR124="","",IFERROR(IF(INDEX(CODIFICACION!$E$2:$E$500,MATCH("D8.32|"&amp;CR124,CODIFICACION!$F$2:$F$500,0))="sin dato","",INDEX(CODIFICACION!$E$2:$E$500,MATCH("D8.32|"&amp;CR124,CODIFICACION!$F$2:$F$500,0))),"⚠"))</f>
        <v/>
      </c>
      <c r="BN124" t="str">
        <f>IF(CS124="","",IFERROR(IF(INDEX(CODIFICACION!$E$2:$E$500,MATCH("D9.33|"&amp;CS124,CODIFICACION!$F$2:$F$500,0))="sin dato","",INDEX(CODIFICACION!$E$2:$E$500,MATCH("D9.33|"&amp;CS124,CODIFICACION!$F$2:$F$500,0))),"⚠"))</f>
        <v/>
      </c>
      <c r="BO124" t="str">
        <f>IF(CT124="","",IFERROR(IF(INDEX(CODIFICACION!$E$2:$E$500,MATCH("D9.34|"&amp;CT124,CODIFICACION!$F$2:$F$500,0))="sin dato","",INDEX(CODIFICACION!$E$2:$E$500,MATCH("D9.34|"&amp;CT124,CODIFICACION!$F$2:$F$500,0))),"⚠"))</f>
        <v/>
      </c>
      <c r="BP124" t="str">
        <f>IF(CU124="","",IFERROR(IF(INDEX(CODIFICACION!$E$2:$E$500,MATCH("D9.35|"&amp;CU124,CODIFICACION!$F$2:$F$500,0))="sin dato","",INDEX(CODIFICACION!$E$2:$E$500,MATCH("D9.35|"&amp;CU124,CODIFICACION!$F$2:$F$500,0))),"⚠"))</f>
        <v/>
      </c>
      <c r="BQ124" t="str">
        <f>IF(CV124="","",IFERROR(IF(INDEX(CODIFICACION!$E$2:$E$500,MATCH("D10.36|"&amp;CV124,CODIFICACION!$F$2:$F$500,0))="sin dato","",INDEX(CODIFICACION!$E$2:$E$500,MATCH("D10.36|"&amp;CV124,CODIFICACION!$F$2:$F$500,0))),"⚠"))</f>
        <v/>
      </c>
      <c r="BR124" t="str">
        <f>IF(CW124="","",IFERROR(IF(INDEX(CODIFICACION!$E$2:$E$500,MATCH("D10.37|"&amp;CW124,CODIFICACION!$F$2:$F$500,0))="sin dato","",INDEX(CODIFICACION!$E$2:$E$500,MATCH("D10.37|"&amp;CW124,CODIFICACION!$F$2:$F$500,0))),"⚠"))</f>
        <v/>
      </c>
      <c r="BS124" t="str">
        <f>IF(CX124="","",IFERROR(IF(INDEX(CODIFICACION!$E$2:$E$500,MATCH("D10.36a|"&amp;CX124,CODIFICACION!$F$2:$F$500,0))="sin dato","",INDEX(CODIFICACION!$E$2:$E$500,MATCH("D10.36a|"&amp;CX124,CODIFICACION!$F$2:$F$500,0))),"⚠"))</f>
        <v/>
      </c>
      <c r="BT124" t="str">
        <f t="shared" si="88"/>
        <v/>
      </c>
      <c r="BU124" t="str">
        <f>IF(DA124="","",IFERROR(IF(INDEX(CODIFICACION!$E$2:$E$500,MATCH("D11.39a|"&amp;DA124,CODIFICACION!$F$2:$F$500,0))="sin dato","",INDEX(CODIFICACION!$E$2:$E$500,MATCH("D11.39a|"&amp;DA124,CODIFICACION!$F$2:$F$500,0))),"⚠"))</f>
        <v/>
      </c>
      <c r="BV124" t="str">
        <f>IF(DB124="","",IFERROR(IF(INDEX(CODIFICACION!$E$2:$E$500,MATCH("D12.42|"&amp;DB124,CODIFICACION!$F$2:$F$500,0))="sin dato","",INDEX(CODIFICACION!$E$2:$E$500,MATCH("D12.42|"&amp;DB124,CODIFICACION!$F$2:$F$500,0))),"⚠"))</f>
        <v/>
      </c>
      <c r="BW124" t="str">
        <f>IF(DC124="","",IFERROR(IF(INDEX(CODIFICACION!$E$2:$E$500,MATCH("D13.45|"&amp;DC124,CODIFICACION!$F$2:$F$500,0))="sin dato","",INDEX(CODIFICACION!$E$2:$E$500,MATCH("D13.45|"&amp;DC124,CODIFICACION!$F$2:$F$500,0))),"⚠"))</f>
        <v/>
      </c>
      <c r="BX124" t="str">
        <f>IF(DD124="","",IFERROR(IF(INDEX(CODIFICACION!$E$2:$E$500,MATCH("D14.51|"&amp;DD124,CODIFICACION!$F$2:$F$500,0))="sin dato","",INDEX(CODIFICACION!$E$2:$E$500,MATCH("D14.51|"&amp;DD124,CODIFICACION!$F$2:$F$500,0))),"⚠"))</f>
        <v/>
      </c>
      <c r="BY124" t="str">
        <f>IF(DE124="","",IFERROR(IF(INDEX(CODIFICACION!$E$2:$E$500,MATCH("D15.58|"&amp;DE124,CODIFICACION!$F$2:$F$500,0))="sin dato","",INDEX(CODIFICACION!$E$2:$E$500,MATCH("D15.58|"&amp;DE124,CODIFICACION!$F$2:$F$500,0))),"⚠"))</f>
        <v/>
      </c>
      <c r="BZ124" t="str">
        <f>IF(DF124="","",IFERROR(IF(INDEX(CODIFICACION!$E$2:$E$500,MATCH("PP1|"&amp;DF124,CODIFICACION!$F$2:$F$500,0))="sin dato","",INDEX(CODIFICACION!$E$2:$E$500,MATCH("PP1|"&amp;DF124,CODIFICACION!$F$2:$F$500,0))),"⚠"))</f>
        <v/>
      </c>
      <c r="CA124" t="str">
        <f>IF(DG124="","",IFERROR(IF(INDEX(CODIFICACION!$E$2:$E$500,MATCH("PP2|"&amp;DG124,CODIFICACION!$F$2:$F$500,0))="sin dato","",INDEX(CODIFICACION!$E$2:$E$500,MATCH("PP2|"&amp;DG124,CODIFICACION!$F$2:$F$500,0))),"⚠"))</f>
        <v/>
      </c>
      <c r="CB124" t="str">
        <f t="shared" si="89"/>
        <v/>
      </c>
      <c r="CC124" t="str">
        <f t="shared" ca="1" si="90"/>
        <v/>
      </c>
      <c r="CD124" t="str">
        <f t="shared" ca="1" si="91"/>
        <v/>
      </c>
      <c r="CE124" t="str">
        <f t="shared" si="92"/>
        <v/>
      </c>
      <c r="CF124" t="str">
        <f t="shared" si="93"/>
        <v/>
      </c>
      <c r="CG124" t="str">
        <f t="shared" ca="1" si="94"/>
        <v/>
      </c>
      <c r="CH124" t="str">
        <f t="shared" ca="1" si="95"/>
        <v/>
      </c>
      <c r="CI124" t="str">
        <f t="shared" si="96"/>
        <v/>
      </c>
      <c r="CJ124" t="str">
        <f t="shared" si="97"/>
        <v/>
      </c>
      <c r="CK124" t="str">
        <f t="shared" si="98"/>
        <v/>
      </c>
      <c r="CL124" t="str">
        <f t="shared" si="99"/>
        <v/>
      </c>
    </row>
    <row r="125" spans="1:90" x14ac:dyDescent="0.3">
      <c r="A125">
        <f>CAPTURA!A125</f>
        <v>20601667526</v>
      </c>
      <c r="B125">
        <f>CAPTURA!C125</f>
        <v>0</v>
      </c>
      <c r="C125" t="str">
        <f t="shared" si="75"/>
        <v/>
      </c>
      <c r="D125" t="str">
        <f>IF(AE125="","",IFERROR(IF(INDEX(CODIFICACION!$E$2:$E$500,MATCH("P8|"&amp;AE125,CODIFICACION!$F$2:$F$500,0))="sin dato","",INDEX(CODIFICACION!$E$2:$E$500,MATCH("P8|"&amp;AE125,CODIFICACION!$F$2:$F$500,0))),"⚠"))</f>
        <v/>
      </c>
      <c r="E125" t="str">
        <f>IF(AG125="","",IFERROR(IF(INDEX(CODIFICACION!$E$2:$E$500,MATCH("P10|"&amp;AG125,CODIFICACION!$F$2:$F$500,0))="sin dato","",INDEX(CODIFICACION!$E$2:$E$500,MATCH("P10|"&amp;AG125,CODIFICACION!$F$2:$F$500,0))),"⚠"))</f>
        <v/>
      </c>
      <c r="F125" t="str">
        <f>IF(AJ125="","",IFERROR(IF(INDEX(CODIFICACION!$E$2:$E$500,MATCH("P13|"&amp;AJ125,CODIFICACION!$F$2:$F$500,0))="sin dato","",INDEX(CODIFICACION!$E$2:$E$500,MATCH("P13|"&amp;AJ125,CODIFICACION!$F$2:$F$500,0))),"⚠"))</f>
        <v/>
      </c>
      <c r="G125" t="str">
        <f>IF(AK125="","",IFERROR(IF(INDEX(CODIFICACION!$E$2:$E$500,MATCH("P14|"&amp;AK125,CODIFICACION!$F$2:$F$500,0))="sin dato","",INDEX(CODIFICACION!$E$2:$E$500,MATCH("P14|"&amp;AK125,CODIFICACION!$F$2:$F$500,0))),"⚠"))</f>
        <v/>
      </c>
      <c r="H125" t="str">
        <f>IF(AL125="","",IFERROR(IF(INDEX(CODIFICACION!$E$2:$E$500,MATCH("D1.1|"&amp;AL125,CODIFICACION!$F$2:$F$500,0))="sin dato","",INDEX(CODIFICACION!$E$2:$E$500,MATCH("D1.1|"&amp;AL125,CODIFICACION!$F$2:$F$500,0))),"⚠"))</f>
        <v/>
      </c>
      <c r="I125" t="str">
        <f>IF(AN125="","",IFERROR(IF(INDEX(CODIFICACION!$E$2:$E$500,MATCH("D1.3|"&amp;AN125,CODIFICACION!$F$2:$F$500,0))="sin dato","",INDEX(CODIFICACION!$E$2:$E$500,MATCH("D1.3|"&amp;AN125,CODIFICACION!$F$2:$F$500,0))),"⚠"))</f>
        <v/>
      </c>
      <c r="J125" t="str">
        <f>IF(AO125="","",IFERROR(IF(INDEX(CODIFICACION!$E$2:$E$500,MATCH("D1.4|"&amp;AO125,CODIFICACION!$F$2:$F$500,0))="sin dato","",INDEX(CODIFICACION!$E$2:$E$500,MATCH("D1.4|"&amp;AO125,CODIFICACION!$F$2:$F$500,0))),"⚠"))</f>
        <v/>
      </c>
      <c r="K125" t="str">
        <f>IF(AP125="","",IFERROR(IF(INDEX(CODIFICACION!$E$2:$E$500,MATCH("D1.3a|"&amp;AP125,CODIFICACION!$F$2:$F$500,0))="sin dato","",INDEX(CODIFICACION!$E$2:$E$500,MATCH("D1.3a|"&amp;AP125,CODIFICACION!$F$2:$F$500,0))),"⚠"))</f>
        <v/>
      </c>
      <c r="L125" t="str">
        <f t="shared" si="76"/>
        <v/>
      </c>
      <c r="M125" t="str">
        <f t="shared" si="77"/>
        <v/>
      </c>
      <c r="N125" t="str">
        <f t="shared" si="78"/>
        <v/>
      </c>
      <c r="O125" t="str">
        <f>IF(AT125="","",IFERROR(IF(INDEX(CODIFICACION!$E$2:$E$500,MATCH("D2.8|"&amp;AT125,CODIFICACION!$F$2:$F$500,0))="sin dato","",INDEX(CODIFICACION!$E$2:$E$500,MATCH("D2.8|"&amp;AT125,CODIFICACION!$F$2:$F$500,0))),"⚠"))</f>
        <v/>
      </c>
      <c r="P125" t="str">
        <f>IF(AU125="","",IFERROR(IF(INDEX(CODIFICACION!$E$2:$E$500,MATCH("D2.9|"&amp;AU125,CODIFICACION!$F$2:$F$500,0))="sin dato","",INDEX(CODIFICACION!$E$2:$E$500,MATCH("D2.9|"&amp;AU125,CODIFICACION!$F$2:$F$500,0))),"⚠"))</f>
        <v/>
      </c>
      <c r="Q125" t="str">
        <f>IF(AV125="","",IFERROR(IF(INDEX(CODIFICACION!$E$2:$E$500,MATCH("D2.10|"&amp;AV125,CODIFICACION!$F$2:$F$500,0))="sin dato","",INDEX(CODIFICACION!$E$2:$E$500,MATCH("D2.10|"&amp;AV125,CODIFICACION!$F$2:$F$500,0))),"⚠"))</f>
        <v/>
      </c>
      <c r="R125" t="str">
        <f>IF(AW125="","",IFERROR(IF(INDEX(CODIFICACION!$E$2:$E$500,MATCH("D2.5a|"&amp;AW125,CODIFICACION!$F$2:$F$500,0))="sin dato","",INDEX(CODIFICACION!$E$2:$E$500,MATCH("D2.5a|"&amp;AW125,CODIFICACION!$F$2:$F$500,0))),"⚠"))</f>
        <v/>
      </c>
      <c r="S125" t="str">
        <f ca="1">IF(AX125="","",IFERROR(IF(INDEX(CODIFICACION!$E$2:$E$500,MATCH("D2.5b|"&amp;AX125,CODIFICACION!$F$2:$F$500,0))="sin dato","",INDEX(CODIFICACION!$E$2:$E$500,MATCH("D2.5b|"&amp;AX125,CODIFICACION!$F$2:$F$500,0))),"⚠"))</f>
        <v/>
      </c>
      <c r="T125" t="str">
        <f t="shared" ca="1" si="79"/>
        <v/>
      </c>
      <c r="U125" t="str">
        <f>IF(AZ125="","",IFERROR(IF(INDEX(CODIFICACION!$E$2:$E$500,MATCH("D3.12|"&amp;AZ125,CODIFICACION!$F$2:$F$500,0))="sin dato","",INDEX(CODIFICACION!$E$2:$E$500,MATCH("D3.12|"&amp;AZ125,CODIFICACION!$F$2:$F$500,0))),"⚠"))</f>
        <v/>
      </c>
      <c r="V125" t="str">
        <f t="shared" si="80"/>
        <v/>
      </c>
      <c r="W125" t="str">
        <f ca="1">IF(BB125="","",IFERROR(IF(INDEX(CODIFICACION!$E$2:$E$500,MATCH("D3.14|"&amp;BB125,CODIFICACION!$F$2:$F$500,0))="sin dato","",INDEX(CODIFICACION!$E$2:$E$500,MATCH("D3.14|"&amp;BB125,CODIFICACION!$F$2:$F$500,0))),"⚠"))</f>
        <v/>
      </c>
      <c r="X125" t="str">
        <f ca="1">IF(BC125="","",IFERROR(IF(INDEX(CODIFICACION!$E$2:$E$500,MATCH("D3.14a|"&amp;BC125,CODIFICACION!$F$2:$F$500,0))="sin dato","",INDEX(CODIFICACION!$E$2:$E$500,MATCH("D3.14a|"&amp;BC125,CODIFICACION!$F$2:$F$500,0))),"⚠"))</f>
        <v/>
      </c>
      <c r="Y125" t="str">
        <f>IF(BD125="","",IFERROR(IF(INDEX(CODIFICACION!$E$2:$E$500,MATCH("D3.14b|"&amp;BD125,CODIFICACION!$F$2:$F$500,0))="sin dato","",INDEX(CODIFICACION!$E$2:$E$500,MATCH("D3.14b|"&amp;BD125,CODIFICACION!$F$2:$F$500,0))),"⚠"))</f>
        <v/>
      </c>
      <c r="Z125" t="str">
        <f>IF(BE125="","",IFERROR(IF(INDEX(CODIFICACION!$E$2:$E$500,MATCH("D3.14c|"&amp;BE125,CODIFICACION!$F$2:$F$500,0))="sin dato","",INDEX(CODIFICACION!$E$2:$E$500,MATCH("D3.14c|"&amp;BE125,CODIFICACION!$F$2:$F$500,0))),"⚠"))</f>
        <v/>
      </c>
      <c r="AA125" t="str">
        <f>IF(BF125="","",IFERROR(IF(INDEX(CODIFICACION!$E$2:$E$500,MATCH("D3.14d|"&amp;BF125,CODIFICACION!$F$2:$F$500,0))="sin dato","",INDEX(CODIFICACION!$E$2:$E$500,MATCH("D3.14d|"&amp;BF125,CODIFICACION!$F$2:$F$500,0))),"⚠"))</f>
        <v/>
      </c>
      <c r="AB125" t="str">
        <f>IF(BG125="","",IFERROR(IF(INDEX(CODIFICACION!$E$2:$E$500,MATCH("D3.14e|"&amp;BG125,CODIFICACION!$F$2:$F$500,0))="sin dato","",INDEX(CODIFICACION!$E$2:$E$500,MATCH("D3.14e|"&amp;BG125,CODIFICACION!$F$2:$F$500,0))),"⚠"))</f>
        <v/>
      </c>
      <c r="AC125" t="str">
        <f>IF(BH125="","",IFERROR(IF(INDEX(CODIFICACION!$E$2:$E$500,MATCH("D3.14f|"&amp;BH125,CODIFICACION!$F$2:$F$500,0))="sin dato","",INDEX(CODIFICACION!$E$2:$E$500,MATCH("D3.14f|"&amp;BH125,CODIFICACION!$F$2:$F$500,0))),"⚠"))</f>
        <v/>
      </c>
      <c r="AD125" t="str">
        <f>IF(BI125="","",IFERROR(IF(INDEX(CODIFICACION!$E$2:$E$500,MATCH("D3.14g|"&amp;BI125,CODIFICACION!$F$2:$F$500,0))="sin dato","",INDEX(CODIFICACION!$E$2:$E$500,MATCH("D3.14g|"&amp;BI125,CODIFICACION!$F$2:$F$500,0))),"⚠"))</f>
        <v/>
      </c>
      <c r="AE125" t="str">
        <f>IF(BJ125="","",IFERROR(IF(INDEX(CODIFICACION!$E$2:$E$500,MATCH("D3.14h|"&amp;BJ125,CODIFICACION!$F$2:$F$500,0))="sin dato","",INDEX(CODIFICACION!$E$2:$E$500,MATCH("D3.14h|"&amp;BJ125,CODIFICACION!$F$2:$F$500,0))),"⚠"))</f>
        <v/>
      </c>
      <c r="AF125" t="str">
        <f>IF(BK125="","",IFERROR(IF(INDEX(CODIFICACION!$E$2:$E$500,MATCH("D3.14i|"&amp;BK125,CODIFICACION!$F$2:$F$500,0))="sin dato","",INDEX(CODIFICACION!$E$2:$E$500,MATCH("D3.14i|"&amp;BK125,CODIFICACION!$F$2:$F$500,0))),"⚠"))</f>
        <v/>
      </c>
      <c r="AG125" t="str">
        <f>IF(BL125="","",IFERROR(IF(INDEX(CODIFICACION!$E$2:$E$500,MATCH("D4.15|"&amp;BL125,CODIFICACION!$F$2:$F$500,0))="sin dato","",INDEX(CODIFICACION!$E$2:$E$500,MATCH("D4.15|"&amp;BL125,CODIFICACION!$F$2:$F$500,0))),"⚠"))</f>
        <v/>
      </c>
      <c r="AH125" t="str">
        <f t="shared" si="81"/>
        <v/>
      </c>
      <c r="AI125" t="str">
        <f>IF(BN125="","",IFERROR(IF(INDEX(CODIFICACION!$E$2:$E$500,MATCH("D4.17|"&amp;BN125,CODIFICACION!$F$2:$F$500,0))="sin dato","",INDEX(CODIFICACION!$E$2:$E$500,MATCH("D4.17|"&amp;BN125,CODIFICACION!$F$2:$F$500,0))),"⚠"))</f>
        <v/>
      </c>
      <c r="AJ125" t="str">
        <f>IF(BO125="","",IFERROR(IF(INDEX(CODIFICACION!$E$2:$E$500,MATCH("D4.15a|"&amp;BO125,CODIFICACION!$F$2:$F$500,0))="sin dato","",INDEX(CODIFICACION!$E$2:$E$500,MATCH("D4.15a|"&amp;BO125,CODIFICACION!$F$2:$F$500,0))),"⚠"))</f>
        <v/>
      </c>
      <c r="AK125" t="str">
        <f t="shared" si="82"/>
        <v/>
      </c>
      <c r="AL125" t="str">
        <f t="shared" si="83"/>
        <v/>
      </c>
      <c r="AM125" t="str">
        <f>IF(BR125="","",IFERROR(IF(INDEX(CODIFICACION!$E$2:$E$500,MATCH("D5.18b|"&amp;BR125,CODIFICACION!$F$2:$F$500,0))="sin dato","",INDEX(CODIFICACION!$E$2:$E$500,MATCH("D5.18b|"&amp;BR125,CODIFICACION!$F$2:$F$500,0))),"⚠"))</f>
        <v/>
      </c>
      <c r="AN125" t="str">
        <f>IF(BS125="","",IFERROR(IF(INDEX(CODIFICACION!$E$2:$E$500,MATCH("D5.19|"&amp;BS125,CODIFICACION!$F$2:$F$500,0))="sin dato","",INDEX(CODIFICACION!$E$2:$E$500,MATCH("D5.19|"&amp;BS125,CODIFICACION!$F$2:$F$500,0))),"⚠"))</f>
        <v/>
      </c>
      <c r="AO125" t="str">
        <f t="shared" si="84"/>
        <v/>
      </c>
      <c r="AP125" t="str">
        <f>IF(BU125="","",IFERROR(IF(INDEX(CODIFICACION!$E$2:$E$500,MATCH("D5.20|"&amp;BU125,CODIFICACION!$F$2:$F$500,0))="sin dato","",INDEX(CODIFICACION!$E$2:$E$500,MATCH("D5.20|"&amp;BU125,CODIFICACION!$F$2:$F$500,0))),"⚠"))</f>
        <v/>
      </c>
      <c r="AQ125" t="str">
        <f>IF(BV125="","",IFERROR(IF(INDEX(CODIFICACION!$E$2:$E$500,MATCH("D5.21|"&amp;BV125,CODIFICACION!$F$2:$F$500,0))="sin dato","",INDEX(CODIFICACION!$E$2:$E$500,MATCH("D5.21|"&amp;BV125,CODIFICACION!$F$2:$F$500,0))),"⚠"))</f>
        <v/>
      </c>
      <c r="AR125" t="str">
        <f>IF(BW125="","",IFERROR(IF(INDEX(CODIFICACION!$E$2:$E$500,MATCH("D5.21a|"&amp;BW125,CODIFICACION!$F$2:$F$500,0))="sin dato","",INDEX(CODIFICACION!$E$2:$E$500,MATCH("D5.21a|"&amp;BW125,CODIFICACION!$F$2:$F$500,0))),"⚠"))</f>
        <v/>
      </c>
      <c r="AS125" t="str">
        <f>IF(BX125="","",IFERROR(IF(INDEX(CODIFICACION!$E$2:$E$500,MATCH("D5.21b|"&amp;BX125,CODIFICACION!$F$2:$F$500,0))="sin dato","",INDEX(CODIFICACION!$E$2:$E$500,MATCH("D5.21b|"&amp;BX125,CODIFICACION!$F$2:$F$500,0))),"⚠"))</f>
        <v/>
      </c>
      <c r="AT125" t="str">
        <f>IF(BY125="","",IFERROR(IF(INDEX(CODIFICACION!$E$2:$E$500,MATCH("D6.22|"&amp;BY125,CODIFICACION!$F$2:$F$500,0))="sin dato","",INDEX(CODIFICACION!$E$2:$E$500,MATCH("D6.22|"&amp;BY125,CODIFICACION!$F$2:$F$500,0))),"⚠"))</f>
        <v/>
      </c>
      <c r="AU125" t="str">
        <f>IF(BZ125="","",IFERROR(IF(INDEX(CODIFICACION!$E$2:$E$500,MATCH("D6.22a|"&amp;BZ125,CODIFICACION!$F$2:$F$500,0))="sin dato","",INDEX(CODIFICACION!$E$2:$E$500,MATCH("D6.22a|"&amp;BZ125,CODIFICACION!$F$2:$F$500,0))),"⚠"))</f>
        <v/>
      </c>
      <c r="AV125" t="str">
        <f>IF(CA125="","",IFERROR(IF(INDEX(CODIFICACION!$E$2:$E$500,MATCH("D6.22b|"&amp;CA125,CODIFICACION!$F$2:$F$500,0))="sin dato","",INDEX(CODIFICACION!$E$2:$E$500,MATCH("D6.22b|"&amp;CA125,CODIFICACION!$F$2:$F$500,0))),"⚠"))</f>
        <v/>
      </c>
      <c r="AW125" t="str">
        <f>IF(CB125="","",IFERROR(IF(INDEX(CODIFICACION!$E$2:$E$500,MATCH("D6.23|"&amp;CB125,CODIFICACION!$F$2:$F$500,0))="sin dato","",INDEX(CODIFICACION!$E$2:$E$500,MATCH("D6.23|"&amp;CB125,CODIFICACION!$F$2:$F$500,0))),"⚠"))</f>
        <v/>
      </c>
      <c r="AX125" t="str">
        <f ca="1">IF(CC125="","",IFERROR(IF(INDEX(CODIFICACION!$E$2:$E$500,MATCH("D6.24|"&amp;CC125,CODIFICACION!$F$2:$F$500,0))="sin dato","",INDEX(CODIFICACION!$E$2:$E$500,MATCH("D6.24|"&amp;CC125,CODIFICACION!$F$2:$F$500,0))),"⚠"))</f>
        <v/>
      </c>
      <c r="AY125" t="str">
        <f ca="1">IF(CD125="","",IFERROR(IF(INDEX(CODIFICACION!$E$2:$E$500,MATCH("D6.25|"&amp;CD125,CODIFICACION!$F$2:$F$500,0))="sin dato","",INDEX(CODIFICACION!$E$2:$E$500,MATCH("D6.25|"&amp;CD125,CODIFICACION!$F$2:$F$500,0))),"⚠"))</f>
        <v/>
      </c>
      <c r="AZ125" t="str">
        <f>IF(CE125="","",IFERROR(IF(INDEX(CODIFICACION!$E$2:$E$500,MATCH("D6.25a|"&amp;CE125,CODIFICACION!$F$2:$F$500,0))="sin dato","",INDEX(CODIFICACION!$E$2:$E$500,MATCH("D6.25a|"&amp;CE125,CODIFICACION!$F$2:$F$500,0))),"⚠"))</f>
        <v/>
      </c>
      <c r="BA125" t="str">
        <f>IF(CF125="","",IFERROR(IF(INDEX(CODIFICACION!$E$2:$E$500,MATCH("D6.25b|"&amp;CF125,CODIFICACION!$F$2:$F$500,0))="sin dato","",INDEX(CODIFICACION!$E$2:$E$500,MATCH("D6.25b|"&amp;CF125,CODIFICACION!$F$2:$F$500,0))),"⚠"))</f>
        <v/>
      </c>
      <c r="BB125" t="str">
        <f ca="1">IF(CG125="","",IFERROR(IF(INDEX(CODIFICACION!$E$2:$E$500,MATCH("D6.22c|"&amp;CG125,CODIFICACION!$F$2:$F$500,0))="sin dato","",INDEX(CODIFICACION!$E$2:$E$500,MATCH("D6.22c|"&amp;CG125,CODIFICACION!$F$2:$F$500,0))),"⚠"))</f>
        <v/>
      </c>
      <c r="BC125" t="str">
        <f ca="1">IF(CH125="","",IFERROR(IF(INDEX(CODIFICACION!$E$2:$E$500,MATCH("D7.26|"&amp;CH125,CODIFICACION!$F$2:$F$500,0))="sin dato","",INDEX(CODIFICACION!$E$2:$E$500,MATCH("D7.26|"&amp;CH125,CODIFICACION!$F$2:$F$500,0))),"⚠"))</f>
        <v/>
      </c>
      <c r="BD125" t="str">
        <f>IF(CI125="","",IFERROR(IF(INDEX(CODIFICACION!$E$2:$E$500,MATCH("D7.27|"&amp;CI125,CODIFICACION!$F$2:$F$500,0))="sin dato","",INDEX(CODIFICACION!$E$2:$E$500,MATCH("D7.27|"&amp;CI125,CODIFICACION!$F$2:$F$500,0))),"⚠"))</f>
        <v/>
      </c>
      <c r="BE125" t="str">
        <f>IF(CJ125="","",IFERROR(IF(INDEX(CODIFICACION!$E$2:$E$500,MATCH("D7.28|"&amp;CJ125,CODIFICACION!$F$2:$F$500,0))="sin dato","",INDEX(CODIFICACION!$E$2:$E$500,MATCH("D7.28|"&amp;CJ125,CODIFICACION!$F$2:$F$500,0))),"⚠"))</f>
        <v/>
      </c>
      <c r="BF125" t="str">
        <f>IF(CK125="","",IFERROR(IF(INDEX(CODIFICACION!$E$2:$E$500,MATCH("D7.28b|"&amp;CK125,CODIFICACION!$F$2:$F$500,0))="sin dato","",INDEX(CODIFICACION!$E$2:$E$500,MATCH("D7.28b|"&amp;CK125,CODIFICACION!$F$2:$F$500,0))),"⚠"))</f>
        <v/>
      </c>
      <c r="BG125" t="str">
        <f t="shared" si="85"/>
        <v/>
      </c>
      <c r="BH125" t="str">
        <f>IF(CM125="","",IFERROR(IF(INDEX(CODIFICACION!$E$2:$E$500,MATCH("D7.26a|"&amp;CM125,CODIFICACION!$F$2:$F$500,0))="sin dato","",INDEX(CODIFICACION!$E$2:$E$500,MATCH("D7.26a|"&amp;CM125,CODIFICACION!$F$2:$F$500,0))),"⚠"))</f>
        <v/>
      </c>
      <c r="BI125" t="str">
        <f>IF(CN125="","",IFERROR(IF(INDEX(CODIFICACION!$E$2:$E$500,MATCH("D7.26b|"&amp;CN125,CODIFICACION!$F$2:$F$500,0))="sin dato","",INDEX(CODIFICACION!$E$2:$E$500,MATCH("D7.26b|"&amp;CN125,CODIFICACION!$F$2:$F$500,0))),"⚠"))</f>
        <v/>
      </c>
      <c r="BJ125" t="str">
        <f t="shared" si="86"/>
        <v/>
      </c>
      <c r="BK125" t="str">
        <f t="shared" si="87"/>
        <v/>
      </c>
      <c r="BL125" t="str">
        <f>IF(CQ125="","",IFERROR(IF(INDEX(CODIFICACION!$E$2:$E$500,MATCH("D8.31|"&amp;CQ125,CODIFICACION!$F$2:$F$500,0))="sin dato","",INDEX(CODIFICACION!$E$2:$E$500,MATCH("D8.31|"&amp;CQ125,CODIFICACION!$F$2:$F$500,0))),"⚠"))</f>
        <v/>
      </c>
      <c r="BM125" t="str">
        <f>IF(CR125="","",IFERROR(IF(INDEX(CODIFICACION!$E$2:$E$500,MATCH("D8.32|"&amp;CR125,CODIFICACION!$F$2:$F$500,0))="sin dato","",INDEX(CODIFICACION!$E$2:$E$500,MATCH("D8.32|"&amp;CR125,CODIFICACION!$F$2:$F$500,0))),"⚠"))</f>
        <v/>
      </c>
      <c r="BN125" t="str">
        <f>IF(CS125="","",IFERROR(IF(INDEX(CODIFICACION!$E$2:$E$500,MATCH("D9.33|"&amp;CS125,CODIFICACION!$F$2:$F$500,0))="sin dato","",INDEX(CODIFICACION!$E$2:$E$500,MATCH("D9.33|"&amp;CS125,CODIFICACION!$F$2:$F$500,0))),"⚠"))</f>
        <v/>
      </c>
      <c r="BO125" t="str">
        <f>IF(CT125="","",IFERROR(IF(INDEX(CODIFICACION!$E$2:$E$500,MATCH("D9.34|"&amp;CT125,CODIFICACION!$F$2:$F$500,0))="sin dato","",INDEX(CODIFICACION!$E$2:$E$500,MATCH("D9.34|"&amp;CT125,CODIFICACION!$F$2:$F$500,0))),"⚠"))</f>
        <v/>
      </c>
      <c r="BP125" t="str">
        <f>IF(CU125="","",IFERROR(IF(INDEX(CODIFICACION!$E$2:$E$500,MATCH("D9.35|"&amp;CU125,CODIFICACION!$F$2:$F$500,0))="sin dato","",INDEX(CODIFICACION!$E$2:$E$500,MATCH("D9.35|"&amp;CU125,CODIFICACION!$F$2:$F$500,0))),"⚠"))</f>
        <v/>
      </c>
      <c r="BQ125" t="str">
        <f>IF(CV125="","",IFERROR(IF(INDEX(CODIFICACION!$E$2:$E$500,MATCH("D10.36|"&amp;CV125,CODIFICACION!$F$2:$F$500,0))="sin dato","",INDEX(CODIFICACION!$E$2:$E$500,MATCH("D10.36|"&amp;CV125,CODIFICACION!$F$2:$F$500,0))),"⚠"))</f>
        <v/>
      </c>
      <c r="BR125" t="str">
        <f>IF(CW125="","",IFERROR(IF(INDEX(CODIFICACION!$E$2:$E$500,MATCH("D10.37|"&amp;CW125,CODIFICACION!$F$2:$F$500,0))="sin dato","",INDEX(CODIFICACION!$E$2:$E$500,MATCH("D10.37|"&amp;CW125,CODIFICACION!$F$2:$F$500,0))),"⚠"))</f>
        <v/>
      </c>
      <c r="BS125" t="str">
        <f>IF(CX125="","",IFERROR(IF(INDEX(CODIFICACION!$E$2:$E$500,MATCH("D10.36a|"&amp;CX125,CODIFICACION!$F$2:$F$500,0))="sin dato","",INDEX(CODIFICACION!$E$2:$E$500,MATCH("D10.36a|"&amp;CX125,CODIFICACION!$F$2:$F$500,0))),"⚠"))</f>
        <v/>
      </c>
      <c r="BT125" t="str">
        <f t="shared" si="88"/>
        <v/>
      </c>
      <c r="BU125" t="str">
        <f>IF(DA125="","",IFERROR(IF(INDEX(CODIFICACION!$E$2:$E$500,MATCH("D11.39a|"&amp;DA125,CODIFICACION!$F$2:$F$500,0))="sin dato","",INDEX(CODIFICACION!$E$2:$E$500,MATCH("D11.39a|"&amp;DA125,CODIFICACION!$F$2:$F$500,0))),"⚠"))</f>
        <v/>
      </c>
      <c r="BV125" t="str">
        <f>IF(DB125="","",IFERROR(IF(INDEX(CODIFICACION!$E$2:$E$500,MATCH("D12.42|"&amp;DB125,CODIFICACION!$F$2:$F$500,0))="sin dato","",INDEX(CODIFICACION!$E$2:$E$500,MATCH("D12.42|"&amp;DB125,CODIFICACION!$F$2:$F$500,0))),"⚠"))</f>
        <v/>
      </c>
      <c r="BW125" t="str">
        <f>IF(DC125="","",IFERROR(IF(INDEX(CODIFICACION!$E$2:$E$500,MATCH("D13.45|"&amp;DC125,CODIFICACION!$F$2:$F$500,0))="sin dato","",INDEX(CODIFICACION!$E$2:$E$500,MATCH("D13.45|"&amp;DC125,CODIFICACION!$F$2:$F$500,0))),"⚠"))</f>
        <v/>
      </c>
      <c r="BX125" t="str">
        <f>IF(DD125="","",IFERROR(IF(INDEX(CODIFICACION!$E$2:$E$500,MATCH("D14.51|"&amp;DD125,CODIFICACION!$F$2:$F$500,0))="sin dato","",INDEX(CODIFICACION!$E$2:$E$500,MATCH("D14.51|"&amp;DD125,CODIFICACION!$F$2:$F$500,0))),"⚠"))</f>
        <v/>
      </c>
      <c r="BY125" t="str">
        <f>IF(DE125="","",IFERROR(IF(INDEX(CODIFICACION!$E$2:$E$500,MATCH("D15.58|"&amp;DE125,CODIFICACION!$F$2:$F$500,0))="sin dato","",INDEX(CODIFICACION!$E$2:$E$500,MATCH("D15.58|"&amp;DE125,CODIFICACION!$F$2:$F$500,0))),"⚠"))</f>
        <v/>
      </c>
      <c r="BZ125" t="str">
        <f>IF(DF125="","",IFERROR(IF(INDEX(CODIFICACION!$E$2:$E$500,MATCH("PP1|"&amp;DF125,CODIFICACION!$F$2:$F$500,0))="sin dato","",INDEX(CODIFICACION!$E$2:$E$500,MATCH("PP1|"&amp;DF125,CODIFICACION!$F$2:$F$500,0))),"⚠"))</f>
        <v/>
      </c>
      <c r="CA125" t="str">
        <f>IF(DG125="","",IFERROR(IF(INDEX(CODIFICACION!$E$2:$E$500,MATCH("PP2|"&amp;DG125,CODIFICACION!$F$2:$F$500,0))="sin dato","",INDEX(CODIFICACION!$E$2:$E$500,MATCH("PP2|"&amp;DG125,CODIFICACION!$F$2:$F$500,0))),"⚠"))</f>
        <v/>
      </c>
      <c r="CB125" t="str">
        <f t="shared" si="89"/>
        <v/>
      </c>
      <c r="CC125" t="str">
        <f t="shared" ca="1" si="90"/>
        <v/>
      </c>
      <c r="CD125" t="str">
        <f t="shared" ca="1" si="91"/>
        <v/>
      </c>
      <c r="CE125" t="str">
        <f t="shared" si="92"/>
        <v/>
      </c>
      <c r="CF125" t="str">
        <f t="shared" si="93"/>
        <v/>
      </c>
      <c r="CG125" t="str">
        <f t="shared" ca="1" si="94"/>
        <v/>
      </c>
      <c r="CH125" t="str">
        <f t="shared" ca="1" si="95"/>
        <v/>
      </c>
      <c r="CI125" t="str">
        <f t="shared" si="96"/>
        <v/>
      </c>
      <c r="CJ125" t="str">
        <f t="shared" si="97"/>
        <v/>
      </c>
      <c r="CK125" t="str">
        <f t="shared" si="98"/>
        <v/>
      </c>
      <c r="CL125" t="str">
        <f t="shared" si="99"/>
        <v/>
      </c>
    </row>
    <row r="126" spans="1:90" x14ac:dyDescent="0.3">
      <c r="A126">
        <f>CAPTURA!A126</f>
        <v>20601919657</v>
      </c>
      <c r="B126">
        <f>CAPTURA!C126</f>
        <v>0</v>
      </c>
      <c r="C126" t="str">
        <f t="shared" si="75"/>
        <v/>
      </c>
      <c r="D126" t="str">
        <f>IF(AE126="","",IFERROR(IF(INDEX(CODIFICACION!$E$2:$E$500,MATCH("P8|"&amp;AE126,CODIFICACION!$F$2:$F$500,0))="sin dato","",INDEX(CODIFICACION!$E$2:$E$500,MATCH("P8|"&amp;AE126,CODIFICACION!$F$2:$F$500,0))),"⚠"))</f>
        <v/>
      </c>
      <c r="E126" t="str">
        <f>IF(AG126="","",IFERROR(IF(INDEX(CODIFICACION!$E$2:$E$500,MATCH("P10|"&amp;AG126,CODIFICACION!$F$2:$F$500,0))="sin dato","",INDEX(CODIFICACION!$E$2:$E$500,MATCH("P10|"&amp;AG126,CODIFICACION!$F$2:$F$500,0))),"⚠"))</f>
        <v/>
      </c>
      <c r="F126" t="str">
        <f>IF(AJ126="","",IFERROR(IF(INDEX(CODIFICACION!$E$2:$E$500,MATCH("P13|"&amp;AJ126,CODIFICACION!$F$2:$F$500,0))="sin dato","",INDEX(CODIFICACION!$E$2:$E$500,MATCH("P13|"&amp;AJ126,CODIFICACION!$F$2:$F$500,0))),"⚠"))</f>
        <v/>
      </c>
      <c r="G126" t="str">
        <f>IF(AK126="","",IFERROR(IF(INDEX(CODIFICACION!$E$2:$E$500,MATCH("P14|"&amp;AK126,CODIFICACION!$F$2:$F$500,0))="sin dato","",INDEX(CODIFICACION!$E$2:$E$500,MATCH("P14|"&amp;AK126,CODIFICACION!$F$2:$F$500,0))),"⚠"))</f>
        <v/>
      </c>
      <c r="H126" t="str">
        <f>IF(AL126="","",IFERROR(IF(INDEX(CODIFICACION!$E$2:$E$500,MATCH("D1.1|"&amp;AL126,CODIFICACION!$F$2:$F$500,0))="sin dato","",INDEX(CODIFICACION!$E$2:$E$500,MATCH("D1.1|"&amp;AL126,CODIFICACION!$F$2:$F$500,0))),"⚠"))</f>
        <v/>
      </c>
      <c r="I126" t="str">
        <f>IF(AN126="","",IFERROR(IF(INDEX(CODIFICACION!$E$2:$E$500,MATCH("D1.3|"&amp;AN126,CODIFICACION!$F$2:$F$500,0))="sin dato","",INDEX(CODIFICACION!$E$2:$E$500,MATCH("D1.3|"&amp;AN126,CODIFICACION!$F$2:$F$500,0))),"⚠"))</f>
        <v/>
      </c>
      <c r="J126" t="str">
        <f>IF(AO126="","",IFERROR(IF(INDEX(CODIFICACION!$E$2:$E$500,MATCH("D1.4|"&amp;AO126,CODIFICACION!$F$2:$F$500,0))="sin dato","",INDEX(CODIFICACION!$E$2:$E$500,MATCH("D1.4|"&amp;AO126,CODIFICACION!$F$2:$F$500,0))),"⚠"))</f>
        <v/>
      </c>
      <c r="K126" t="str">
        <f>IF(AP126="","",IFERROR(IF(INDEX(CODIFICACION!$E$2:$E$500,MATCH("D1.3a|"&amp;AP126,CODIFICACION!$F$2:$F$500,0))="sin dato","",INDEX(CODIFICACION!$E$2:$E$500,MATCH("D1.3a|"&amp;AP126,CODIFICACION!$F$2:$F$500,0))),"⚠"))</f>
        <v/>
      </c>
      <c r="L126" t="str">
        <f t="shared" si="76"/>
        <v/>
      </c>
      <c r="M126" t="str">
        <f t="shared" si="77"/>
        <v/>
      </c>
      <c r="N126" t="str">
        <f t="shared" si="78"/>
        <v/>
      </c>
      <c r="O126" t="str">
        <f>IF(AT126="","",IFERROR(IF(INDEX(CODIFICACION!$E$2:$E$500,MATCH("D2.8|"&amp;AT126,CODIFICACION!$F$2:$F$500,0))="sin dato","",INDEX(CODIFICACION!$E$2:$E$500,MATCH("D2.8|"&amp;AT126,CODIFICACION!$F$2:$F$500,0))),"⚠"))</f>
        <v/>
      </c>
      <c r="P126" t="str">
        <f>IF(AU126="","",IFERROR(IF(INDEX(CODIFICACION!$E$2:$E$500,MATCH("D2.9|"&amp;AU126,CODIFICACION!$F$2:$F$500,0))="sin dato","",INDEX(CODIFICACION!$E$2:$E$500,MATCH("D2.9|"&amp;AU126,CODIFICACION!$F$2:$F$500,0))),"⚠"))</f>
        <v/>
      </c>
      <c r="Q126" t="str">
        <f>IF(AV126="","",IFERROR(IF(INDEX(CODIFICACION!$E$2:$E$500,MATCH("D2.10|"&amp;AV126,CODIFICACION!$F$2:$F$500,0))="sin dato","",INDEX(CODIFICACION!$E$2:$E$500,MATCH("D2.10|"&amp;AV126,CODIFICACION!$F$2:$F$500,0))),"⚠"))</f>
        <v/>
      </c>
      <c r="R126" t="str">
        <f>IF(AW126="","",IFERROR(IF(INDEX(CODIFICACION!$E$2:$E$500,MATCH("D2.5a|"&amp;AW126,CODIFICACION!$F$2:$F$500,0))="sin dato","",INDEX(CODIFICACION!$E$2:$E$500,MATCH("D2.5a|"&amp;AW126,CODIFICACION!$F$2:$F$500,0))),"⚠"))</f>
        <v/>
      </c>
      <c r="S126" t="str">
        <f ca="1">IF(AX126="","",IFERROR(IF(INDEX(CODIFICACION!$E$2:$E$500,MATCH("D2.5b|"&amp;AX126,CODIFICACION!$F$2:$F$500,0))="sin dato","",INDEX(CODIFICACION!$E$2:$E$500,MATCH("D2.5b|"&amp;AX126,CODIFICACION!$F$2:$F$500,0))),"⚠"))</f>
        <v/>
      </c>
      <c r="T126" t="str">
        <f t="shared" ca="1" si="79"/>
        <v/>
      </c>
      <c r="U126" t="str">
        <f>IF(AZ126="","",IFERROR(IF(INDEX(CODIFICACION!$E$2:$E$500,MATCH("D3.12|"&amp;AZ126,CODIFICACION!$F$2:$F$500,0))="sin dato","",INDEX(CODIFICACION!$E$2:$E$500,MATCH("D3.12|"&amp;AZ126,CODIFICACION!$F$2:$F$500,0))),"⚠"))</f>
        <v/>
      </c>
      <c r="V126" t="str">
        <f t="shared" si="80"/>
        <v/>
      </c>
      <c r="W126" t="str">
        <f ca="1">IF(BB126="","",IFERROR(IF(INDEX(CODIFICACION!$E$2:$E$500,MATCH("D3.14|"&amp;BB126,CODIFICACION!$F$2:$F$500,0))="sin dato","",INDEX(CODIFICACION!$E$2:$E$500,MATCH("D3.14|"&amp;BB126,CODIFICACION!$F$2:$F$500,0))),"⚠"))</f>
        <v/>
      </c>
      <c r="X126" t="str">
        <f ca="1">IF(BC126="","",IFERROR(IF(INDEX(CODIFICACION!$E$2:$E$500,MATCH("D3.14a|"&amp;BC126,CODIFICACION!$F$2:$F$500,0))="sin dato","",INDEX(CODIFICACION!$E$2:$E$500,MATCH("D3.14a|"&amp;BC126,CODIFICACION!$F$2:$F$500,0))),"⚠"))</f>
        <v/>
      </c>
      <c r="Y126" t="str">
        <f>IF(BD126="","",IFERROR(IF(INDEX(CODIFICACION!$E$2:$E$500,MATCH("D3.14b|"&amp;BD126,CODIFICACION!$F$2:$F$500,0))="sin dato","",INDEX(CODIFICACION!$E$2:$E$500,MATCH("D3.14b|"&amp;BD126,CODIFICACION!$F$2:$F$500,0))),"⚠"))</f>
        <v/>
      </c>
      <c r="Z126" t="str">
        <f>IF(BE126="","",IFERROR(IF(INDEX(CODIFICACION!$E$2:$E$500,MATCH("D3.14c|"&amp;BE126,CODIFICACION!$F$2:$F$500,0))="sin dato","",INDEX(CODIFICACION!$E$2:$E$500,MATCH("D3.14c|"&amp;BE126,CODIFICACION!$F$2:$F$500,0))),"⚠"))</f>
        <v/>
      </c>
      <c r="AA126" t="str">
        <f>IF(BF126="","",IFERROR(IF(INDEX(CODIFICACION!$E$2:$E$500,MATCH("D3.14d|"&amp;BF126,CODIFICACION!$F$2:$F$500,0))="sin dato","",INDEX(CODIFICACION!$E$2:$E$500,MATCH("D3.14d|"&amp;BF126,CODIFICACION!$F$2:$F$500,0))),"⚠"))</f>
        <v/>
      </c>
      <c r="AB126" t="str">
        <f>IF(BG126="","",IFERROR(IF(INDEX(CODIFICACION!$E$2:$E$500,MATCH("D3.14e|"&amp;BG126,CODIFICACION!$F$2:$F$500,0))="sin dato","",INDEX(CODIFICACION!$E$2:$E$500,MATCH("D3.14e|"&amp;BG126,CODIFICACION!$F$2:$F$500,0))),"⚠"))</f>
        <v/>
      </c>
      <c r="AC126" t="str">
        <f>IF(BH126="","",IFERROR(IF(INDEX(CODIFICACION!$E$2:$E$500,MATCH("D3.14f|"&amp;BH126,CODIFICACION!$F$2:$F$500,0))="sin dato","",INDEX(CODIFICACION!$E$2:$E$500,MATCH("D3.14f|"&amp;BH126,CODIFICACION!$F$2:$F$500,0))),"⚠"))</f>
        <v/>
      </c>
      <c r="AD126" t="str">
        <f>IF(BI126="","",IFERROR(IF(INDEX(CODIFICACION!$E$2:$E$500,MATCH("D3.14g|"&amp;BI126,CODIFICACION!$F$2:$F$500,0))="sin dato","",INDEX(CODIFICACION!$E$2:$E$500,MATCH("D3.14g|"&amp;BI126,CODIFICACION!$F$2:$F$500,0))),"⚠"))</f>
        <v/>
      </c>
      <c r="AE126" t="str">
        <f>IF(BJ126="","",IFERROR(IF(INDEX(CODIFICACION!$E$2:$E$500,MATCH("D3.14h|"&amp;BJ126,CODIFICACION!$F$2:$F$500,0))="sin dato","",INDEX(CODIFICACION!$E$2:$E$500,MATCH("D3.14h|"&amp;BJ126,CODIFICACION!$F$2:$F$500,0))),"⚠"))</f>
        <v/>
      </c>
      <c r="AF126" t="str">
        <f>IF(BK126="","",IFERROR(IF(INDEX(CODIFICACION!$E$2:$E$500,MATCH("D3.14i|"&amp;BK126,CODIFICACION!$F$2:$F$500,0))="sin dato","",INDEX(CODIFICACION!$E$2:$E$500,MATCH("D3.14i|"&amp;BK126,CODIFICACION!$F$2:$F$500,0))),"⚠"))</f>
        <v/>
      </c>
      <c r="AG126" t="str">
        <f>IF(BL126="","",IFERROR(IF(INDEX(CODIFICACION!$E$2:$E$500,MATCH("D4.15|"&amp;BL126,CODIFICACION!$F$2:$F$500,0))="sin dato","",INDEX(CODIFICACION!$E$2:$E$500,MATCH("D4.15|"&amp;BL126,CODIFICACION!$F$2:$F$500,0))),"⚠"))</f>
        <v/>
      </c>
      <c r="AH126" t="str">
        <f t="shared" si="81"/>
        <v/>
      </c>
      <c r="AI126" t="str">
        <f>IF(BN126="","",IFERROR(IF(INDEX(CODIFICACION!$E$2:$E$500,MATCH("D4.17|"&amp;BN126,CODIFICACION!$F$2:$F$500,0))="sin dato","",INDEX(CODIFICACION!$E$2:$E$500,MATCH("D4.17|"&amp;BN126,CODIFICACION!$F$2:$F$500,0))),"⚠"))</f>
        <v/>
      </c>
      <c r="AJ126" t="str">
        <f>IF(BO126="","",IFERROR(IF(INDEX(CODIFICACION!$E$2:$E$500,MATCH("D4.15a|"&amp;BO126,CODIFICACION!$F$2:$F$500,0))="sin dato","",INDEX(CODIFICACION!$E$2:$E$500,MATCH("D4.15a|"&amp;BO126,CODIFICACION!$F$2:$F$500,0))),"⚠"))</f>
        <v/>
      </c>
      <c r="AK126" t="str">
        <f t="shared" si="82"/>
        <v/>
      </c>
      <c r="AL126" t="str">
        <f t="shared" si="83"/>
        <v/>
      </c>
      <c r="AM126" t="str">
        <f>IF(BR126="","",IFERROR(IF(INDEX(CODIFICACION!$E$2:$E$500,MATCH("D5.18b|"&amp;BR126,CODIFICACION!$F$2:$F$500,0))="sin dato","",INDEX(CODIFICACION!$E$2:$E$500,MATCH("D5.18b|"&amp;BR126,CODIFICACION!$F$2:$F$500,0))),"⚠"))</f>
        <v/>
      </c>
      <c r="AN126" t="str">
        <f>IF(BS126="","",IFERROR(IF(INDEX(CODIFICACION!$E$2:$E$500,MATCH("D5.19|"&amp;BS126,CODIFICACION!$F$2:$F$500,0))="sin dato","",INDEX(CODIFICACION!$E$2:$E$500,MATCH("D5.19|"&amp;BS126,CODIFICACION!$F$2:$F$500,0))),"⚠"))</f>
        <v/>
      </c>
      <c r="AO126" t="str">
        <f t="shared" si="84"/>
        <v/>
      </c>
      <c r="AP126" t="str">
        <f>IF(BU126="","",IFERROR(IF(INDEX(CODIFICACION!$E$2:$E$500,MATCH("D5.20|"&amp;BU126,CODIFICACION!$F$2:$F$500,0))="sin dato","",INDEX(CODIFICACION!$E$2:$E$500,MATCH("D5.20|"&amp;BU126,CODIFICACION!$F$2:$F$500,0))),"⚠"))</f>
        <v/>
      </c>
      <c r="AQ126" t="str">
        <f>IF(BV126="","",IFERROR(IF(INDEX(CODIFICACION!$E$2:$E$500,MATCH("D5.21|"&amp;BV126,CODIFICACION!$F$2:$F$500,0))="sin dato","",INDEX(CODIFICACION!$E$2:$E$500,MATCH("D5.21|"&amp;BV126,CODIFICACION!$F$2:$F$500,0))),"⚠"))</f>
        <v/>
      </c>
      <c r="AR126" t="str">
        <f>IF(BW126="","",IFERROR(IF(INDEX(CODIFICACION!$E$2:$E$500,MATCH("D5.21a|"&amp;BW126,CODIFICACION!$F$2:$F$500,0))="sin dato","",INDEX(CODIFICACION!$E$2:$E$500,MATCH("D5.21a|"&amp;BW126,CODIFICACION!$F$2:$F$500,0))),"⚠"))</f>
        <v/>
      </c>
      <c r="AS126" t="str">
        <f>IF(BX126="","",IFERROR(IF(INDEX(CODIFICACION!$E$2:$E$500,MATCH("D5.21b|"&amp;BX126,CODIFICACION!$F$2:$F$500,0))="sin dato","",INDEX(CODIFICACION!$E$2:$E$500,MATCH("D5.21b|"&amp;BX126,CODIFICACION!$F$2:$F$500,0))),"⚠"))</f>
        <v/>
      </c>
      <c r="AT126" t="str">
        <f>IF(BY126="","",IFERROR(IF(INDEX(CODIFICACION!$E$2:$E$500,MATCH("D6.22|"&amp;BY126,CODIFICACION!$F$2:$F$500,0))="sin dato","",INDEX(CODIFICACION!$E$2:$E$500,MATCH("D6.22|"&amp;BY126,CODIFICACION!$F$2:$F$500,0))),"⚠"))</f>
        <v/>
      </c>
      <c r="AU126" t="str">
        <f>IF(BZ126="","",IFERROR(IF(INDEX(CODIFICACION!$E$2:$E$500,MATCH("D6.22a|"&amp;BZ126,CODIFICACION!$F$2:$F$500,0))="sin dato","",INDEX(CODIFICACION!$E$2:$E$500,MATCH("D6.22a|"&amp;BZ126,CODIFICACION!$F$2:$F$500,0))),"⚠"))</f>
        <v/>
      </c>
      <c r="AV126" t="str">
        <f>IF(CA126="","",IFERROR(IF(INDEX(CODIFICACION!$E$2:$E$500,MATCH("D6.22b|"&amp;CA126,CODIFICACION!$F$2:$F$500,0))="sin dato","",INDEX(CODIFICACION!$E$2:$E$500,MATCH("D6.22b|"&amp;CA126,CODIFICACION!$F$2:$F$500,0))),"⚠"))</f>
        <v/>
      </c>
      <c r="AW126" t="str">
        <f>IF(CB126="","",IFERROR(IF(INDEX(CODIFICACION!$E$2:$E$500,MATCH("D6.23|"&amp;CB126,CODIFICACION!$F$2:$F$500,0))="sin dato","",INDEX(CODIFICACION!$E$2:$E$500,MATCH("D6.23|"&amp;CB126,CODIFICACION!$F$2:$F$500,0))),"⚠"))</f>
        <v/>
      </c>
      <c r="AX126" t="str">
        <f ca="1">IF(CC126="","",IFERROR(IF(INDEX(CODIFICACION!$E$2:$E$500,MATCH("D6.24|"&amp;CC126,CODIFICACION!$F$2:$F$500,0))="sin dato","",INDEX(CODIFICACION!$E$2:$E$500,MATCH("D6.24|"&amp;CC126,CODIFICACION!$F$2:$F$500,0))),"⚠"))</f>
        <v/>
      </c>
      <c r="AY126" t="str">
        <f ca="1">IF(CD126="","",IFERROR(IF(INDEX(CODIFICACION!$E$2:$E$500,MATCH("D6.25|"&amp;CD126,CODIFICACION!$F$2:$F$500,0))="sin dato","",INDEX(CODIFICACION!$E$2:$E$500,MATCH("D6.25|"&amp;CD126,CODIFICACION!$F$2:$F$500,0))),"⚠"))</f>
        <v/>
      </c>
      <c r="AZ126" t="str">
        <f>IF(CE126="","",IFERROR(IF(INDEX(CODIFICACION!$E$2:$E$500,MATCH("D6.25a|"&amp;CE126,CODIFICACION!$F$2:$F$500,0))="sin dato","",INDEX(CODIFICACION!$E$2:$E$500,MATCH("D6.25a|"&amp;CE126,CODIFICACION!$F$2:$F$500,0))),"⚠"))</f>
        <v/>
      </c>
      <c r="BA126" t="str">
        <f>IF(CF126="","",IFERROR(IF(INDEX(CODIFICACION!$E$2:$E$500,MATCH("D6.25b|"&amp;CF126,CODIFICACION!$F$2:$F$500,0))="sin dato","",INDEX(CODIFICACION!$E$2:$E$500,MATCH("D6.25b|"&amp;CF126,CODIFICACION!$F$2:$F$500,0))),"⚠"))</f>
        <v/>
      </c>
      <c r="BB126" t="str">
        <f ca="1">IF(CG126="","",IFERROR(IF(INDEX(CODIFICACION!$E$2:$E$500,MATCH("D6.22c|"&amp;CG126,CODIFICACION!$F$2:$F$500,0))="sin dato","",INDEX(CODIFICACION!$E$2:$E$500,MATCH("D6.22c|"&amp;CG126,CODIFICACION!$F$2:$F$500,0))),"⚠"))</f>
        <v/>
      </c>
      <c r="BC126" t="str">
        <f ca="1">IF(CH126="","",IFERROR(IF(INDEX(CODIFICACION!$E$2:$E$500,MATCH("D7.26|"&amp;CH126,CODIFICACION!$F$2:$F$500,0))="sin dato","",INDEX(CODIFICACION!$E$2:$E$500,MATCH("D7.26|"&amp;CH126,CODIFICACION!$F$2:$F$500,0))),"⚠"))</f>
        <v/>
      </c>
      <c r="BD126" t="str">
        <f>IF(CI126="","",IFERROR(IF(INDEX(CODIFICACION!$E$2:$E$500,MATCH("D7.27|"&amp;CI126,CODIFICACION!$F$2:$F$500,0))="sin dato","",INDEX(CODIFICACION!$E$2:$E$500,MATCH("D7.27|"&amp;CI126,CODIFICACION!$F$2:$F$500,0))),"⚠"))</f>
        <v/>
      </c>
      <c r="BE126" t="str">
        <f>IF(CJ126="","",IFERROR(IF(INDEX(CODIFICACION!$E$2:$E$500,MATCH("D7.28|"&amp;CJ126,CODIFICACION!$F$2:$F$500,0))="sin dato","",INDEX(CODIFICACION!$E$2:$E$500,MATCH("D7.28|"&amp;CJ126,CODIFICACION!$F$2:$F$500,0))),"⚠"))</f>
        <v/>
      </c>
      <c r="BF126" t="str">
        <f>IF(CK126="","",IFERROR(IF(INDEX(CODIFICACION!$E$2:$E$500,MATCH("D7.28b|"&amp;CK126,CODIFICACION!$F$2:$F$500,0))="sin dato","",INDEX(CODIFICACION!$E$2:$E$500,MATCH("D7.28b|"&amp;CK126,CODIFICACION!$F$2:$F$500,0))),"⚠"))</f>
        <v/>
      </c>
      <c r="BG126" t="str">
        <f t="shared" si="85"/>
        <v/>
      </c>
      <c r="BH126" t="str">
        <f>IF(CM126="","",IFERROR(IF(INDEX(CODIFICACION!$E$2:$E$500,MATCH("D7.26a|"&amp;CM126,CODIFICACION!$F$2:$F$500,0))="sin dato","",INDEX(CODIFICACION!$E$2:$E$500,MATCH("D7.26a|"&amp;CM126,CODIFICACION!$F$2:$F$500,0))),"⚠"))</f>
        <v/>
      </c>
      <c r="BI126" t="str">
        <f>IF(CN126="","",IFERROR(IF(INDEX(CODIFICACION!$E$2:$E$500,MATCH("D7.26b|"&amp;CN126,CODIFICACION!$F$2:$F$500,0))="sin dato","",INDEX(CODIFICACION!$E$2:$E$500,MATCH("D7.26b|"&amp;CN126,CODIFICACION!$F$2:$F$500,0))),"⚠"))</f>
        <v/>
      </c>
      <c r="BJ126" t="str">
        <f t="shared" si="86"/>
        <v/>
      </c>
      <c r="BK126" t="str">
        <f t="shared" si="87"/>
        <v/>
      </c>
      <c r="BL126" t="str">
        <f>IF(CQ126="","",IFERROR(IF(INDEX(CODIFICACION!$E$2:$E$500,MATCH("D8.31|"&amp;CQ126,CODIFICACION!$F$2:$F$500,0))="sin dato","",INDEX(CODIFICACION!$E$2:$E$500,MATCH("D8.31|"&amp;CQ126,CODIFICACION!$F$2:$F$500,0))),"⚠"))</f>
        <v/>
      </c>
      <c r="BM126" t="str">
        <f>IF(CR126="","",IFERROR(IF(INDEX(CODIFICACION!$E$2:$E$500,MATCH("D8.32|"&amp;CR126,CODIFICACION!$F$2:$F$500,0))="sin dato","",INDEX(CODIFICACION!$E$2:$E$500,MATCH("D8.32|"&amp;CR126,CODIFICACION!$F$2:$F$500,0))),"⚠"))</f>
        <v/>
      </c>
      <c r="BN126" t="str">
        <f>IF(CS126="","",IFERROR(IF(INDEX(CODIFICACION!$E$2:$E$500,MATCH("D9.33|"&amp;CS126,CODIFICACION!$F$2:$F$500,0))="sin dato","",INDEX(CODIFICACION!$E$2:$E$500,MATCH("D9.33|"&amp;CS126,CODIFICACION!$F$2:$F$500,0))),"⚠"))</f>
        <v/>
      </c>
      <c r="BO126" t="str">
        <f>IF(CT126="","",IFERROR(IF(INDEX(CODIFICACION!$E$2:$E$500,MATCH("D9.34|"&amp;CT126,CODIFICACION!$F$2:$F$500,0))="sin dato","",INDEX(CODIFICACION!$E$2:$E$500,MATCH("D9.34|"&amp;CT126,CODIFICACION!$F$2:$F$500,0))),"⚠"))</f>
        <v/>
      </c>
      <c r="BP126" t="str">
        <f>IF(CU126="","",IFERROR(IF(INDEX(CODIFICACION!$E$2:$E$500,MATCH("D9.35|"&amp;CU126,CODIFICACION!$F$2:$F$500,0))="sin dato","",INDEX(CODIFICACION!$E$2:$E$500,MATCH("D9.35|"&amp;CU126,CODIFICACION!$F$2:$F$500,0))),"⚠"))</f>
        <v/>
      </c>
      <c r="BQ126" t="str">
        <f>IF(CV126="","",IFERROR(IF(INDEX(CODIFICACION!$E$2:$E$500,MATCH("D10.36|"&amp;CV126,CODIFICACION!$F$2:$F$500,0))="sin dato","",INDEX(CODIFICACION!$E$2:$E$500,MATCH("D10.36|"&amp;CV126,CODIFICACION!$F$2:$F$500,0))),"⚠"))</f>
        <v/>
      </c>
      <c r="BR126" t="str">
        <f>IF(CW126="","",IFERROR(IF(INDEX(CODIFICACION!$E$2:$E$500,MATCH("D10.37|"&amp;CW126,CODIFICACION!$F$2:$F$500,0))="sin dato","",INDEX(CODIFICACION!$E$2:$E$500,MATCH("D10.37|"&amp;CW126,CODIFICACION!$F$2:$F$500,0))),"⚠"))</f>
        <v/>
      </c>
      <c r="BS126" t="str">
        <f>IF(CX126="","",IFERROR(IF(INDEX(CODIFICACION!$E$2:$E$500,MATCH("D10.36a|"&amp;CX126,CODIFICACION!$F$2:$F$500,0))="sin dato","",INDEX(CODIFICACION!$E$2:$E$500,MATCH("D10.36a|"&amp;CX126,CODIFICACION!$F$2:$F$500,0))),"⚠"))</f>
        <v/>
      </c>
      <c r="BT126" t="str">
        <f t="shared" si="88"/>
        <v/>
      </c>
      <c r="BU126" t="str">
        <f>IF(DA126="","",IFERROR(IF(INDEX(CODIFICACION!$E$2:$E$500,MATCH("D11.39a|"&amp;DA126,CODIFICACION!$F$2:$F$500,0))="sin dato","",INDEX(CODIFICACION!$E$2:$E$500,MATCH("D11.39a|"&amp;DA126,CODIFICACION!$F$2:$F$500,0))),"⚠"))</f>
        <v/>
      </c>
      <c r="BV126" t="str">
        <f>IF(DB126="","",IFERROR(IF(INDEX(CODIFICACION!$E$2:$E$500,MATCH("D12.42|"&amp;DB126,CODIFICACION!$F$2:$F$500,0))="sin dato","",INDEX(CODIFICACION!$E$2:$E$500,MATCH("D12.42|"&amp;DB126,CODIFICACION!$F$2:$F$500,0))),"⚠"))</f>
        <v/>
      </c>
      <c r="BW126" t="str">
        <f>IF(DC126="","",IFERROR(IF(INDEX(CODIFICACION!$E$2:$E$500,MATCH("D13.45|"&amp;DC126,CODIFICACION!$F$2:$F$500,0))="sin dato","",INDEX(CODIFICACION!$E$2:$E$500,MATCH("D13.45|"&amp;DC126,CODIFICACION!$F$2:$F$500,0))),"⚠"))</f>
        <v/>
      </c>
      <c r="BX126" t="str">
        <f>IF(DD126="","",IFERROR(IF(INDEX(CODIFICACION!$E$2:$E$500,MATCH("D14.51|"&amp;DD126,CODIFICACION!$F$2:$F$500,0))="sin dato","",INDEX(CODIFICACION!$E$2:$E$500,MATCH("D14.51|"&amp;DD126,CODIFICACION!$F$2:$F$500,0))),"⚠"))</f>
        <v/>
      </c>
      <c r="BY126" t="str">
        <f>IF(DE126="","",IFERROR(IF(INDEX(CODIFICACION!$E$2:$E$500,MATCH("D15.58|"&amp;DE126,CODIFICACION!$F$2:$F$500,0))="sin dato","",INDEX(CODIFICACION!$E$2:$E$500,MATCH("D15.58|"&amp;DE126,CODIFICACION!$F$2:$F$500,0))),"⚠"))</f>
        <v/>
      </c>
      <c r="BZ126" t="str">
        <f>IF(DF126="","",IFERROR(IF(INDEX(CODIFICACION!$E$2:$E$500,MATCH("PP1|"&amp;DF126,CODIFICACION!$F$2:$F$500,0))="sin dato","",INDEX(CODIFICACION!$E$2:$E$500,MATCH("PP1|"&amp;DF126,CODIFICACION!$F$2:$F$500,0))),"⚠"))</f>
        <v/>
      </c>
      <c r="CA126" t="str">
        <f>IF(DG126="","",IFERROR(IF(INDEX(CODIFICACION!$E$2:$E$500,MATCH("PP2|"&amp;DG126,CODIFICACION!$F$2:$F$500,0))="sin dato","",INDEX(CODIFICACION!$E$2:$E$500,MATCH("PP2|"&amp;DG126,CODIFICACION!$F$2:$F$500,0))),"⚠"))</f>
        <v/>
      </c>
      <c r="CB126" t="str">
        <f t="shared" si="89"/>
        <v/>
      </c>
      <c r="CC126" t="str">
        <f t="shared" ca="1" si="90"/>
        <v/>
      </c>
      <c r="CD126" t="str">
        <f t="shared" ca="1" si="91"/>
        <v/>
      </c>
      <c r="CE126" t="str">
        <f t="shared" si="92"/>
        <v/>
      </c>
      <c r="CF126" t="str">
        <f t="shared" si="93"/>
        <v/>
      </c>
      <c r="CG126" t="str">
        <f t="shared" ca="1" si="94"/>
        <v/>
      </c>
      <c r="CH126" t="str">
        <f t="shared" ca="1" si="95"/>
        <v/>
      </c>
      <c r="CI126" t="str">
        <f t="shared" si="96"/>
        <v/>
      </c>
      <c r="CJ126" t="str">
        <f t="shared" si="97"/>
        <v/>
      </c>
      <c r="CK126" t="str">
        <f t="shared" si="98"/>
        <v/>
      </c>
      <c r="CL126" t="str">
        <f t="shared" si="99"/>
        <v/>
      </c>
    </row>
    <row r="127" spans="1:90" x14ac:dyDescent="0.3">
      <c r="A127">
        <f>CAPTURA!A127</f>
        <v>20601939402</v>
      </c>
      <c r="B127">
        <f>CAPTURA!C127</f>
        <v>0</v>
      </c>
      <c r="C127" t="str">
        <f t="shared" si="75"/>
        <v/>
      </c>
      <c r="D127" t="str">
        <f>IF(AE127="","",IFERROR(IF(INDEX(CODIFICACION!$E$2:$E$500,MATCH("P8|"&amp;AE127,CODIFICACION!$F$2:$F$500,0))="sin dato","",INDEX(CODIFICACION!$E$2:$E$500,MATCH("P8|"&amp;AE127,CODIFICACION!$F$2:$F$500,0))),"⚠"))</f>
        <v/>
      </c>
      <c r="E127" t="str">
        <f>IF(AG127="","",IFERROR(IF(INDEX(CODIFICACION!$E$2:$E$500,MATCH("P10|"&amp;AG127,CODIFICACION!$F$2:$F$500,0))="sin dato","",INDEX(CODIFICACION!$E$2:$E$500,MATCH("P10|"&amp;AG127,CODIFICACION!$F$2:$F$500,0))),"⚠"))</f>
        <v/>
      </c>
      <c r="F127" t="str">
        <f>IF(AJ127="","",IFERROR(IF(INDEX(CODIFICACION!$E$2:$E$500,MATCH("P13|"&amp;AJ127,CODIFICACION!$F$2:$F$500,0))="sin dato","",INDEX(CODIFICACION!$E$2:$E$500,MATCH("P13|"&amp;AJ127,CODIFICACION!$F$2:$F$500,0))),"⚠"))</f>
        <v/>
      </c>
      <c r="G127" t="str">
        <f>IF(AK127="","",IFERROR(IF(INDEX(CODIFICACION!$E$2:$E$500,MATCH("P14|"&amp;AK127,CODIFICACION!$F$2:$F$500,0))="sin dato","",INDEX(CODIFICACION!$E$2:$E$500,MATCH("P14|"&amp;AK127,CODIFICACION!$F$2:$F$500,0))),"⚠"))</f>
        <v/>
      </c>
      <c r="H127" t="str">
        <f>IF(AL127="","",IFERROR(IF(INDEX(CODIFICACION!$E$2:$E$500,MATCH("D1.1|"&amp;AL127,CODIFICACION!$F$2:$F$500,0))="sin dato","",INDEX(CODIFICACION!$E$2:$E$500,MATCH("D1.1|"&amp;AL127,CODIFICACION!$F$2:$F$500,0))),"⚠"))</f>
        <v/>
      </c>
      <c r="I127" t="str">
        <f>IF(AN127="","",IFERROR(IF(INDEX(CODIFICACION!$E$2:$E$500,MATCH("D1.3|"&amp;AN127,CODIFICACION!$F$2:$F$500,0))="sin dato","",INDEX(CODIFICACION!$E$2:$E$500,MATCH("D1.3|"&amp;AN127,CODIFICACION!$F$2:$F$500,0))),"⚠"))</f>
        <v/>
      </c>
      <c r="J127" t="str">
        <f>IF(AO127="","",IFERROR(IF(INDEX(CODIFICACION!$E$2:$E$500,MATCH("D1.4|"&amp;AO127,CODIFICACION!$F$2:$F$500,0))="sin dato","",INDEX(CODIFICACION!$E$2:$E$500,MATCH("D1.4|"&amp;AO127,CODIFICACION!$F$2:$F$500,0))),"⚠"))</f>
        <v/>
      </c>
      <c r="K127" t="str">
        <f>IF(AP127="","",IFERROR(IF(INDEX(CODIFICACION!$E$2:$E$500,MATCH("D1.3a|"&amp;AP127,CODIFICACION!$F$2:$F$500,0))="sin dato","",INDEX(CODIFICACION!$E$2:$E$500,MATCH("D1.3a|"&amp;AP127,CODIFICACION!$F$2:$F$500,0))),"⚠"))</f>
        <v/>
      </c>
      <c r="L127" t="str">
        <f t="shared" si="76"/>
        <v/>
      </c>
      <c r="M127" t="str">
        <f t="shared" si="77"/>
        <v/>
      </c>
      <c r="N127" t="str">
        <f t="shared" si="78"/>
        <v/>
      </c>
      <c r="O127" t="str">
        <f>IF(AT127="","",IFERROR(IF(INDEX(CODIFICACION!$E$2:$E$500,MATCH("D2.8|"&amp;AT127,CODIFICACION!$F$2:$F$500,0))="sin dato","",INDEX(CODIFICACION!$E$2:$E$500,MATCH("D2.8|"&amp;AT127,CODIFICACION!$F$2:$F$500,0))),"⚠"))</f>
        <v/>
      </c>
      <c r="P127" t="str">
        <f>IF(AU127="","",IFERROR(IF(INDEX(CODIFICACION!$E$2:$E$500,MATCH("D2.9|"&amp;AU127,CODIFICACION!$F$2:$F$500,0))="sin dato","",INDEX(CODIFICACION!$E$2:$E$500,MATCH("D2.9|"&amp;AU127,CODIFICACION!$F$2:$F$500,0))),"⚠"))</f>
        <v/>
      </c>
      <c r="Q127" t="str">
        <f>IF(AV127="","",IFERROR(IF(INDEX(CODIFICACION!$E$2:$E$500,MATCH("D2.10|"&amp;AV127,CODIFICACION!$F$2:$F$500,0))="sin dato","",INDEX(CODIFICACION!$E$2:$E$500,MATCH("D2.10|"&amp;AV127,CODIFICACION!$F$2:$F$500,0))),"⚠"))</f>
        <v/>
      </c>
      <c r="R127" t="str">
        <f>IF(AW127="","",IFERROR(IF(INDEX(CODIFICACION!$E$2:$E$500,MATCH("D2.5a|"&amp;AW127,CODIFICACION!$F$2:$F$500,0))="sin dato","",INDEX(CODIFICACION!$E$2:$E$500,MATCH("D2.5a|"&amp;AW127,CODIFICACION!$F$2:$F$500,0))),"⚠"))</f>
        <v/>
      </c>
      <c r="S127" t="str">
        <f ca="1">IF(AX127="","",IFERROR(IF(INDEX(CODIFICACION!$E$2:$E$500,MATCH("D2.5b|"&amp;AX127,CODIFICACION!$F$2:$F$500,0))="sin dato","",INDEX(CODIFICACION!$E$2:$E$500,MATCH("D2.5b|"&amp;AX127,CODIFICACION!$F$2:$F$500,0))),"⚠"))</f>
        <v/>
      </c>
      <c r="T127" t="str">
        <f t="shared" ca="1" si="79"/>
        <v/>
      </c>
      <c r="U127" t="str">
        <f>IF(AZ127="","",IFERROR(IF(INDEX(CODIFICACION!$E$2:$E$500,MATCH("D3.12|"&amp;AZ127,CODIFICACION!$F$2:$F$500,0))="sin dato","",INDEX(CODIFICACION!$E$2:$E$500,MATCH("D3.12|"&amp;AZ127,CODIFICACION!$F$2:$F$500,0))),"⚠"))</f>
        <v/>
      </c>
      <c r="V127" t="str">
        <f t="shared" si="80"/>
        <v/>
      </c>
      <c r="W127" t="str">
        <f ca="1">IF(BB127="","",IFERROR(IF(INDEX(CODIFICACION!$E$2:$E$500,MATCH("D3.14|"&amp;BB127,CODIFICACION!$F$2:$F$500,0))="sin dato","",INDEX(CODIFICACION!$E$2:$E$500,MATCH("D3.14|"&amp;BB127,CODIFICACION!$F$2:$F$500,0))),"⚠"))</f>
        <v/>
      </c>
      <c r="X127" t="str">
        <f ca="1">IF(BC127="","",IFERROR(IF(INDEX(CODIFICACION!$E$2:$E$500,MATCH("D3.14a|"&amp;BC127,CODIFICACION!$F$2:$F$500,0))="sin dato","",INDEX(CODIFICACION!$E$2:$E$500,MATCH("D3.14a|"&amp;BC127,CODIFICACION!$F$2:$F$500,0))),"⚠"))</f>
        <v/>
      </c>
      <c r="Y127" t="str">
        <f>IF(BD127="","",IFERROR(IF(INDEX(CODIFICACION!$E$2:$E$500,MATCH("D3.14b|"&amp;BD127,CODIFICACION!$F$2:$F$500,0))="sin dato","",INDEX(CODIFICACION!$E$2:$E$500,MATCH("D3.14b|"&amp;BD127,CODIFICACION!$F$2:$F$500,0))),"⚠"))</f>
        <v/>
      </c>
      <c r="Z127" t="str">
        <f>IF(BE127="","",IFERROR(IF(INDEX(CODIFICACION!$E$2:$E$500,MATCH("D3.14c|"&amp;BE127,CODIFICACION!$F$2:$F$500,0))="sin dato","",INDEX(CODIFICACION!$E$2:$E$500,MATCH("D3.14c|"&amp;BE127,CODIFICACION!$F$2:$F$500,0))),"⚠"))</f>
        <v/>
      </c>
      <c r="AA127" t="str">
        <f>IF(BF127="","",IFERROR(IF(INDEX(CODIFICACION!$E$2:$E$500,MATCH("D3.14d|"&amp;BF127,CODIFICACION!$F$2:$F$500,0))="sin dato","",INDEX(CODIFICACION!$E$2:$E$500,MATCH("D3.14d|"&amp;BF127,CODIFICACION!$F$2:$F$500,0))),"⚠"))</f>
        <v/>
      </c>
      <c r="AB127" t="str">
        <f>IF(BG127="","",IFERROR(IF(INDEX(CODIFICACION!$E$2:$E$500,MATCH("D3.14e|"&amp;BG127,CODIFICACION!$F$2:$F$500,0))="sin dato","",INDEX(CODIFICACION!$E$2:$E$500,MATCH("D3.14e|"&amp;BG127,CODIFICACION!$F$2:$F$500,0))),"⚠"))</f>
        <v/>
      </c>
      <c r="AC127" t="str">
        <f>IF(BH127="","",IFERROR(IF(INDEX(CODIFICACION!$E$2:$E$500,MATCH("D3.14f|"&amp;BH127,CODIFICACION!$F$2:$F$500,0))="sin dato","",INDEX(CODIFICACION!$E$2:$E$500,MATCH("D3.14f|"&amp;BH127,CODIFICACION!$F$2:$F$500,0))),"⚠"))</f>
        <v/>
      </c>
      <c r="AD127" t="str">
        <f>IF(BI127="","",IFERROR(IF(INDEX(CODIFICACION!$E$2:$E$500,MATCH("D3.14g|"&amp;BI127,CODIFICACION!$F$2:$F$500,0))="sin dato","",INDEX(CODIFICACION!$E$2:$E$500,MATCH("D3.14g|"&amp;BI127,CODIFICACION!$F$2:$F$500,0))),"⚠"))</f>
        <v/>
      </c>
      <c r="AE127" t="str">
        <f>IF(BJ127="","",IFERROR(IF(INDEX(CODIFICACION!$E$2:$E$500,MATCH("D3.14h|"&amp;BJ127,CODIFICACION!$F$2:$F$500,0))="sin dato","",INDEX(CODIFICACION!$E$2:$E$500,MATCH("D3.14h|"&amp;BJ127,CODIFICACION!$F$2:$F$500,0))),"⚠"))</f>
        <v/>
      </c>
      <c r="AF127" t="str">
        <f>IF(BK127="","",IFERROR(IF(INDEX(CODIFICACION!$E$2:$E$500,MATCH("D3.14i|"&amp;BK127,CODIFICACION!$F$2:$F$500,0))="sin dato","",INDEX(CODIFICACION!$E$2:$E$500,MATCH("D3.14i|"&amp;BK127,CODIFICACION!$F$2:$F$500,0))),"⚠"))</f>
        <v/>
      </c>
      <c r="AG127" t="str">
        <f>IF(BL127="","",IFERROR(IF(INDEX(CODIFICACION!$E$2:$E$500,MATCH("D4.15|"&amp;BL127,CODIFICACION!$F$2:$F$500,0))="sin dato","",INDEX(CODIFICACION!$E$2:$E$500,MATCH("D4.15|"&amp;BL127,CODIFICACION!$F$2:$F$500,0))),"⚠"))</f>
        <v/>
      </c>
      <c r="AH127" t="str">
        <f t="shared" si="81"/>
        <v/>
      </c>
      <c r="AI127" t="str">
        <f>IF(BN127="","",IFERROR(IF(INDEX(CODIFICACION!$E$2:$E$500,MATCH("D4.17|"&amp;BN127,CODIFICACION!$F$2:$F$500,0))="sin dato","",INDEX(CODIFICACION!$E$2:$E$500,MATCH("D4.17|"&amp;BN127,CODIFICACION!$F$2:$F$500,0))),"⚠"))</f>
        <v/>
      </c>
      <c r="AJ127" t="str">
        <f>IF(BO127="","",IFERROR(IF(INDEX(CODIFICACION!$E$2:$E$500,MATCH("D4.15a|"&amp;BO127,CODIFICACION!$F$2:$F$500,0))="sin dato","",INDEX(CODIFICACION!$E$2:$E$500,MATCH("D4.15a|"&amp;BO127,CODIFICACION!$F$2:$F$500,0))),"⚠"))</f>
        <v/>
      </c>
      <c r="AK127" t="str">
        <f t="shared" si="82"/>
        <v/>
      </c>
      <c r="AL127" t="str">
        <f t="shared" si="83"/>
        <v/>
      </c>
      <c r="AM127" t="str">
        <f>IF(BR127="","",IFERROR(IF(INDEX(CODIFICACION!$E$2:$E$500,MATCH("D5.18b|"&amp;BR127,CODIFICACION!$F$2:$F$500,0))="sin dato","",INDEX(CODIFICACION!$E$2:$E$500,MATCH("D5.18b|"&amp;BR127,CODIFICACION!$F$2:$F$500,0))),"⚠"))</f>
        <v/>
      </c>
      <c r="AN127" t="str">
        <f>IF(BS127="","",IFERROR(IF(INDEX(CODIFICACION!$E$2:$E$500,MATCH("D5.19|"&amp;BS127,CODIFICACION!$F$2:$F$500,0))="sin dato","",INDEX(CODIFICACION!$E$2:$E$500,MATCH("D5.19|"&amp;BS127,CODIFICACION!$F$2:$F$500,0))),"⚠"))</f>
        <v/>
      </c>
      <c r="AO127" t="str">
        <f t="shared" si="84"/>
        <v/>
      </c>
      <c r="AP127" t="str">
        <f>IF(BU127="","",IFERROR(IF(INDEX(CODIFICACION!$E$2:$E$500,MATCH("D5.20|"&amp;BU127,CODIFICACION!$F$2:$F$500,0))="sin dato","",INDEX(CODIFICACION!$E$2:$E$500,MATCH("D5.20|"&amp;BU127,CODIFICACION!$F$2:$F$500,0))),"⚠"))</f>
        <v/>
      </c>
      <c r="AQ127" t="str">
        <f>IF(BV127="","",IFERROR(IF(INDEX(CODIFICACION!$E$2:$E$500,MATCH("D5.21|"&amp;BV127,CODIFICACION!$F$2:$F$500,0))="sin dato","",INDEX(CODIFICACION!$E$2:$E$500,MATCH("D5.21|"&amp;BV127,CODIFICACION!$F$2:$F$500,0))),"⚠"))</f>
        <v/>
      </c>
      <c r="AR127" t="str">
        <f>IF(BW127="","",IFERROR(IF(INDEX(CODIFICACION!$E$2:$E$500,MATCH("D5.21a|"&amp;BW127,CODIFICACION!$F$2:$F$500,0))="sin dato","",INDEX(CODIFICACION!$E$2:$E$500,MATCH("D5.21a|"&amp;BW127,CODIFICACION!$F$2:$F$500,0))),"⚠"))</f>
        <v/>
      </c>
      <c r="AS127" t="str">
        <f>IF(BX127="","",IFERROR(IF(INDEX(CODIFICACION!$E$2:$E$500,MATCH("D5.21b|"&amp;BX127,CODIFICACION!$F$2:$F$500,0))="sin dato","",INDEX(CODIFICACION!$E$2:$E$500,MATCH("D5.21b|"&amp;BX127,CODIFICACION!$F$2:$F$500,0))),"⚠"))</f>
        <v/>
      </c>
      <c r="AT127" t="str">
        <f>IF(BY127="","",IFERROR(IF(INDEX(CODIFICACION!$E$2:$E$500,MATCH("D6.22|"&amp;BY127,CODIFICACION!$F$2:$F$500,0))="sin dato","",INDEX(CODIFICACION!$E$2:$E$500,MATCH("D6.22|"&amp;BY127,CODIFICACION!$F$2:$F$500,0))),"⚠"))</f>
        <v/>
      </c>
      <c r="AU127" t="str">
        <f>IF(BZ127="","",IFERROR(IF(INDEX(CODIFICACION!$E$2:$E$500,MATCH("D6.22a|"&amp;BZ127,CODIFICACION!$F$2:$F$500,0))="sin dato","",INDEX(CODIFICACION!$E$2:$E$500,MATCH("D6.22a|"&amp;BZ127,CODIFICACION!$F$2:$F$500,0))),"⚠"))</f>
        <v/>
      </c>
      <c r="AV127" t="str">
        <f>IF(CA127="","",IFERROR(IF(INDEX(CODIFICACION!$E$2:$E$500,MATCH("D6.22b|"&amp;CA127,CODIFICACION!$F$2:$F$500,0))="sin dato","",INDEX(CODIFICACION!$E$2:$E$500,MATCH("D6.22b|"&amp;CA127,CODIFICACION!$F$2:$F$500,0))),"⚠"))</f>
        <v/>
      </c>
      <c r="AW127" t="str">
        <f>IF(CB127="","",IFERROR(IF(INDEX(CODIFICACION!$E$2:$E$500,MATCH("D6.23|"&amp;CB127,CODIFICACION!$F$2:$F$500,0))="sin dato","",INDEX(CODIFICACION!$E$2:$E$500,MATCH("D6.23|"&amp;CB127,CODIFICACION!$F$2:$F$500,0))),"⚠"))</f>
        <v/>
      </c>
      <c r="AX127" t="str">
        <f ca="1">IF(CC127="","",IFERROR(IF(INDEX(CODIFICACION!$E$2:$E$500,MATCH("D6.24|"&amp;CC127,CODIFICACION!$F$2:$F$500,0))="sin dato","",INDEX(CODIFICACION!$E$2:$E$500,MATCH("D6.24|"&amp;CC127,CODIFICACION!$F$2:$F$500,0))),"⚠"))</f>
        <v/>
      </c>
      <c r="AY127" t="str">
        <f ca="1">IF(CD127="","",IFERROR(IF(INDEX(CODIFICACION!$E$2:$E$500,MATCH("D6.25|"&amp;CD127,CODIFICACION!$F$2:$F$500,0))="sin dato","",INDEX(CODIFICACION!$E$2:$E$500,MATCH("D6.25|"&amp;CD127,CODIFICACION!$F$2:$F$500,0))),"⚠"))</f>
        <v/>
      </c>
      <c r="AZ127" t="str">
        <f>IF(CE127="","",IFERROR(IF(INDEX(CODIFICACION!$E$2:$E$500,MATCH("D6.25a|"&amp;CE127,CODIFICACION!$F$2:$F$500,0))="sin dato","",INDEX(CODIFICACION!$E$2:$E$500,MATCH("D6.25a|"&amp;CE127,CODIFICACION!$F$2:$F$500,0))),"⚠"))</f>
        <v/>
      </c>
      <c r="BA127" t="str">
        <f>IF(CF127="","",IFERROR(IF(INDEX(CODIFICACION!$E$2:$E$500,MATCH("D6.25b|"&amp;CF127,CODIFICACION!$F$2:$F$500,0))="sin dato","",INDEX(CODIFICACION!$E$2:$E$500,MATCH("D6.25b|"&amp;CF127,CODIFICACION!$F$2:$F$500,0))),"⚠"))</f>
        <v/>
      </c>
      <c r="BB127" t="str">
        <f ca="1">IF(CG127="","",IFERROR(IF(INDEX(CODIFICACION!$E$2:$E$500,MATCH("D6.22c|"&amp;CG127,CODIFICACION!$F$2:$F$500,0))="sin dato","",INDEX(CODIFICACION!$E$2:$E$500,MATCH("D6.22c|"&amp;CG127,CODIFICACION!$F$2:$F$500,0))),"⚠"))</f>
        <v/>
      </c>
      <c r="BC127" t="str">
        <f ca="1">IF(CH127="","",IFERROR(IF(INDEX(CODIFICACION!$E$2:$E$500,MATCH("D7.26|"&amp;CH127,CODIFICACION!$F$2:$F$500,0))="sin dato","",INDEX(CODIFICACION!$E$2:$E$500,MATCH("D7.26|"&amp;CH127,CODIFICACION!$F$2:$F$500,0))),"⚠"))</f>
        <v/>
      </c>
      <c r="BD127" t="str">
        <f>IF(CI127="","",IFERROR(IF(INDEX(CODIFICACION!$E$2:$E$500,MATCH("D7.27|"&amp;CI127,CODIFICACION!$F$2:$F$500,0))="sin dato","",INDEX(CODIFICACION!$E$2:$E$500,MATCH("D7.27|"&amp;CI127,CODIFICACION!$F$2:$F$500,0))),"⚠"))</f>
        <v/>
      </c>
      <c r="BE127" t="str">
        <f>IF(CJ127="","",IFERROR(IF(INDEX(CODIFICACION!$E$2:$E$500,MATCH("D7.28|"&amp;CJ127,CODIFICACION!$F$2:$F$500,0))="sin dato","",INDEX(CODIFICACION!$E$2:$E$500,MATCH("D7.28|"&amp;CJ127,CODIFICACION!$F$2:$F$500,0))),"⚠"))</f>
        <v/>
      </c>
      <c r="BF127" t="str">
        <f>IF(CK127="","",IFERROR(IF(INDEX(CODIFICACION!$E$2:$E$500,MATCH("D7.28b|"&amp;CK127,CODIFICACION!$F$2:$F$500,0))="sin dato","",INDEX(CODIFICACION!$E$2:$E$500,MATCH("D7.28b|"&amp;CK127,CODIFICACION!$F$2:$F$500,0))),"⚠"))</f>
        <v/>
      </c>
      <c r="BG127" t="str">
        <f t="shared" si="85"/>
        <v/>
      </c>
      <c r="BH127" t="str">
        <f>IF(CM127="","",IFERROR(IF(INDEX(CODIFICACION!$E$2:$E$500,MATCH("D7.26a|"&amp;CM127,CODIFICACION!$F$2:$F$500,0))="sin dato","",INDEX(CODIFICACION!$E$2:$E$500,MATCH("D7.26a|"&amp;CM127,CODIFICACION!$F$2:$F$500,0))),"⚠"))</f>
        <v/>
      </c>
      <c r="BI127" t="str">
        <f>IF(CN127="","",IFERROR(IF(INDEX(CODIFICACION!$E$2:$E$500,MATCH("D7.26b|"&amp;CN127,CODIFICACION!$F$2:$F$500,0))="sin dato","",INDEX(CODIFICACION!$E$2:$E$500,MATCH("D7.26b|"&amp;CN127,CODIFICACION!$F$2:$F$500,0))),"⚠"))</f>
        <v/>
      </c>
      <c r="BJ127" t="str">
        <f t="shared" si="86"/>
        <v/>
      </c>
      <c r="BK127" t="str">
        <f t="shared" si="87"/>
        <v/>
      </c>
      <c r="BL127" t="str">
        <f>IF(CQ127="","",IFERROR(IF(INDEX(CODIFICACION!$E$2:$E$500,MATCH("D8.31|"&amp;CQ127,CODIFICACION!$F$2:$F$500,0))="sin dato","",INDEX(CODIFICACION!$E$2:$E$500,MATCH("D8.31|"&amp;CQ127,CODIFICACION!$F$2:$F$500,0))),"⚠"))</f>
        <v/>
      </c>
      <c r="BM127" t="str">
        <f>IF(CR127="","",IFERROR(IF(INDEX(CODIFICACION!$E$2:$E$500,MATCH("D8.32|"&amp;CR127,CODIFICACION!$F$2:$F$500,0))="sin dato","",INDEX(CODIFICACION!$E$2:$E$500,MATCH("D8.32|"&amp;CR127,CODIFICACION!$F$2:$F$500,0))),"⚠"))</f>
        <v/>
      </c>
      <c r="BN127" t="str">
        <f>IF(CS127="","",IFERROR(IF(INDEX(CODIFICACION!$E$2:$E$500,MATCH("D9.33|"&amp;CS127,CODIFICACION!$F$2:$F$500,0))="sin dato","",INDEX(CODIFICACION!$E$2:$E$500,MATCH("D9.33|"&amp;CS127,CODIFICACION!$F$2:$F$500,0))),"⚠"))</f>
        <v/>
      </c>
      <c r="BO127" t="str">
        <f>IF(CT127="","",IFERROR(IF(INDEX(CODIFICACION!$E$2:$E$500,MATCH("D9.34|"&amp;CT127,CODIFICACION!$F$2:$F$500,0))="sin dato","",INDEX(CODIFICACION!$E$2:$E$500,MATCH("D9.34|"&amp;CT127,CODIFICACION!$F$2:$F$500,0))),"⚠"))</f>
        <v/>
      </c>
      <c r="BP127" t="str">
        <f>IF(CU127="","",IFERROR(IF(INDEX(CODIFICACION!$E$2:$E$500,MATCH("D9.35|"&amp;CU127,CODIFICACION!$F$2:$F$500,0))="sin dato","",INDEX(CODIFICACION!$E$2:$E$500,MATCH("D9.35|"&amp;CU127,CODIFICACION!$F$2:$F$500,0))),"⚠"))</f>
        <v/>
      </c>
      <c r="BQ127" t="str">
        <f>IF(CV127="","",IFERROR(IF(INDEX(CODIFICACION!$E$2:$E$500,MATCH("D10.36|"&amp;CV127,CODIFICACION!$F$2:$F$500,0))="sin dato","",INDEX(CODIFICACION!$E$2:$E$500,MATCH("D10.36|"&amp;CV127,CODIFICACION!$F$2:$F$500,0))),"⚠"))</f>
        <v/>
      </c>
      <c r="BR127" t="str">
        <f>IF(CW127="","",IFERROR(IF(INDEX(CODIFICACION!$E$2:$E$500,MATCH("D10.37|"&amp;CW127,CODIFICACION!$F$2:$F$500,0))="sin dato","",INDEX(CODIFICACION!$E$2:$E$500,MATCH("D10.37|"&amp;CW127,CODIFICACION!$F$2:$F$500,0))),"⚠"))</f>
        <v/>
      </c>
      <c r="BS127" t="str">
        <f>IF(CX127="","",IFERROR(IF(INDEX(CODIFICACION!$E$2:$E$500,MATCH("D10.36a|"&amp;CX127,CODIFICACION!$F$2:$F$500,0))="sin dato","",INDEX(CODIFICACION!$E$2:$E$500,MATCH("D10.36a|"&amp;CX127,CODIFICACION!$F$2:$F$500,0))),"⚠"))</f>
        <v/>
      </c>
      <c r="BT127" t="str">
        <f t="shared" si="88"/>
        <v/>
      </c>
      <c r="BU127" t="str">
        <f>IF(DA127="","",IFERROR(IF(INDEX(CODIFICACION!$E$2:$E$500,MATCH("D11.39a|"&amp;DA127,CODIFICACION!$F$2:$F$500,0))="sin dato","",INDEX(CODIFICACION!$E$2:$E$500,MATCH("D11.39a|"&amp;DA127,CODIFICACION!$F$2:$F$500,0))),"⚠"))</f>
        <v/>
      </c>
      <c r="BV127" t="str">
        <f>IF(DB127="","",IFERROR(IF(INDEX(CODIFICACION!$E$2:$E$500,MATCH("D12.42|"&amp;DB127,CODIFICACION!$F$2:$F$500,0))="sin dato","",INDEX(CODIFICACION!$E$2:$E$500,MATCH("D12.42|"&amp;DB127,CODIFICACION!$F$2:$F$500,0))),"⚠"))</f>
        <v/>
      </c>
      <c r="BW127" t="str">
        <f>IF(DC127="","",IFERROR(IF(INDEX(CODIFICACION!$E$2:$E$500,MATCH("D13.45|"&amp;DC127,CODIFICACION!$F$2:$F$500,0))="sin dato","",INDEX(CODIFICACION!$E$2:$E$500,MATCH("D13.45|"&amp;DC127,CODIFICACION!$F$2:$F$500,0))),"⚠"))</f>
        <v/>
      </c>
      <c r="BX127" t="str">
        <f>IF(DD127="","",IFERROR(IF(INDEX(CODIFICACION!$E$2:$E$500,MATCH("D14.51|"&amp;DD127,CODIFICACION!$F$2:$F$500,0))="sin dato","",INDEX(CODIFICACION!$E$2:$E$500,MATCH("D14.51|"&amp;DD127,CODIFICACION!$F$2:$F$500,0))),"⚠"))</f>
        <v/>
      </c>
      <c r="BY127" t="str">
        <f>IF(DE127="","",IFERROR(IF(INDEX(CODIFICACION!$E$2:$E$500,MATCH("D15.58|"&amp;DE127,CODIFICACION!$F$2:$F$500,0))="sin dato","",INDEX(CODIFICACION!$E$2:$E$500,MATCH("D15.58|"&amp;DE127,CODIFICACION!$F$2:$F$500,0))),"⚠"))</f>
        <v/>
      </c>
      <c r="BZ127" t="str">
        <f>IF(DF127="","",IFERROR(IF(INDEX(CODIFICACION!$E$2:$E$500,MATCH("PP1|"&amp;DF127,CODIFICACION!$F$2:$F$500,0))="sin dato","",INDEX(CODIFICACION!$E$2:$E$500,MATCH("PP1|"&amp;DF127,CODIFICACION!$F$2:$F$500,0))),"⚠"))</f>
        <v/>
      </c>
      <c r="CA127" t="str">
        <f>IF(DG127="","",IFERROR(IF(INDEX(CODIFICACION!$E$2:$E$500,MATCH("PP2|"&amp;DG127,CODIFICACION!$F$2:$F$500,0))="sin dato","",INDEX(CODIFICACION!$E$2:$E$500,MATCH("PP2|"&amp;DG127,CODIFICACION!$F$2:$F$500,0))),"⚠"))</f>
        <v/>
      </c>
      <c r="CB127" t="str">
        <f t="shared" si="89"/>
        <v/>
      </c>
      <c r="CC127" t="str">
        <f t="shared" ca="1" si="90"/>
        <v/>
      </c>
      <c r="CD127" t="str">
        <f t="shared" ca="1" si="91"/>
        <v/>
      </c>
      <c r="CE127" t="str">
        <f t="shared" si="92"/>
        <v/>
      </c>
      <c r="CF127" t="str">
        <f t="shared" si="93"/>
        <v/>
      </c>
      <c r="CG127" t="str">
        <f t="shared" ca="1" si="94"/>
        <v/>
      </c>
      <c r="CH127" t="str">
        <f t="shared" ca="1" si="95"/>
        <v/>
      </c>
      <c r="CI127" t="str">
        <f t="shared" si="96"/>
        <v/>
      </c>
      <c r="CJ127" t="str">
        <f t="shared" si="97"/>
        <v/>
      </c>
      <c r="CK127" t="str">
        <f t="shared" si="98"/>
        <v/>
      </c>
      <c r="CL127" t="str">
        <f t="shared" si="99"/>
        <v/>
      </c>
    </row>
    <row r="128" spans="1:90" x14ac:dyDescent="0.3">
      <c r="A128">
        <f>CAPTURA!A128</f>
        <v>20601958911</v>
      </c>
      <c r="B128">
        <f>CAPTURA!C128</f>
        <v>0</v>
      </c>
      <c r="C128" t="str">
        <f t="shared" si="75"/>
        <v/>
      </c>
      <c r="D128" t="str">
        <f>IF(AE128="","",IFERROR(IF(INDEX(CODIFICACION!$E$2:$E$500,MATCH("P8|"&amp;AE128,CODIFICACION!$F$2:$F$500,0))="sin dato","",INDEX(CODIFICACION!$E$2:$E$500,MATCH("P8|"&amp;AE128,CODIFICACION!$F$2:$F$500,0))),"⚠"))</f>
        <v/>
      </c>
      <c r="E128" t="str">
        <f>IF(AG128="","",IFERROR(IF(INDEX(CODIFICACION!$E$2:$E$500,MATCH("P10|"&amp;AG128,CODIFICACION!$F$2:$F$500,0))="sin dato","",INDEX(CODIFICACION!$E$2:$E$500,MATCH("P10|"&amp;AG128,CODIFICACION!$F$2:$F$500,0))),"⚠"))</f>
        <v/>
      </c>
      <c r="F128" t="str">
        <f>IF(AJ128="","",IFERROR(IF(INDEX(CODIFICACION!$E$2:$E$500,MATCH("P13|"&amp;AJ128,CODIFICACION!$F$2:$F$500,0))="sin dato","",INDEX(CODIFICACION!$E$2:$E$500,MATCH("P13|"&amp;AJ128,CODIFICACION!$F$2:$F$500,0))),"⚠"))</f>
        <v/>
      </c>
      <c r="G128" t="str">
        <f>IF(AK128="","",IFERROR(IF(INDEX(CODIFICACION!$E$2:$E$500,MATCH("P14|"&amp;AK128,CODIFICACION!$F$2:$F$500,0))="sin dato","",INDEX(CODIFICACION!$E$2:$E$500,MATCH("P14|"&amp;AK128,CODIFICACION!$F$2:$F$500,0))),"⚠"))</f>
        <v/>
      </c>
      <c r="H128" t="str">
        <f>IF(AL128="","",IFERROR(IF(INDEX(CODIFICACION!$E$2:$E$500,MATCH("D1.1|"&amp;AL128,CODIFICACION!$F$2:$F$500,0))="sin dato","",INDEX(CODIFICACION!$E$2:$E$500,MATCH("D1.1|"&amp;AL128,CODIFICACION!$F$2:$F$500,0))),"⚠"))</f>
        <v/>
      </c>
      <c r="I128" t="str">
        <f>IF(AN128="","",IFERROR(IF(INDEX(CODIFICACION!$E$2:$E$500,MATCH("D1.3|"&amp;AN128,CODIFICACION!$F$2:$F$500,0))="sin dato","",INDEX(CODIFICACION!$E$2:$E$500,MATCH("D1.3|"&amp;AN128,CODIFICACION!$F$2:$F$500,0))),"⚠"))</f>
        <v/>
      </c>
      <c r="J128" t="str">
        <f>IF(AO128="","",IFERROR(IF(INDEX(CODIFICACION!$E$2:$E$500,MATCH("D1.4|"&amp;AO128,CODIFICACION!$F$2:$F$500,0))="sin dato","",INDEX(CODIFICACION!$E$2:$E$500,MATCH("D1.4|"&amp;AO128,CODIFICACION!$F$2:$F$500,0))),"⚠"))</f>
        <v/>
      </c>
      <c r="K128" t="str">
        <f>IF(AP128="","",IFERROR(IF(INDEX(CODIFICACION!$E$2:$E$500,MATCH("D1.3a|"&amp;AP128,CODIFICACION!$F$2:$F$500,0))="sin dato","",INDEX(CODIFICACION!$E$2:$E$500,MATCH("D1.3a|"&amp;AP128,CODIFICACION!$F$2:$F$500,0))),"⚠"))</f>
        <v/>
      </c>
      <c r="L128" t="str">
        <f t="shared" si="76"/>
        <v/>
      </c>
      <c r="M128" t="str">
        <f t="shared" si="77"/>
        <v/>
      </c>
      <c r="N128" t="str">
        <f t="shared" si="78"/>
        <v/>
      </c>
      <c r="O128" t="str">
        <f>IF(AT128="","",IFERROR(IF(INDEX(CODIFICACION!$E$2:$E$500,MATCH("D2.8|"&amp;AT128,CODIFICACION!$F$2:$F$500,0))="sin dato","",INDEX(CODIFICACION!$E$2:$E$500,MATCH("D2.8|"&amp;AT128,CODIFICACION!$F$2:$F$500,0))),"⚠"))</f>
        <v/>
      </c>
      <c r="P128" t="str">
        <f>IF(AU128="","",IFERROR(IF(INDEX(CODIFICACION!$E$2:$E$500,MATCH("D2.9|"&amp;AU128,CODIFICACION!$F$2:$F$500,0))="sin dato","",INDEX(CODIFICACION!$E$2:$E$500,MATCH("D2.9|"&amp;AU128,CODIFICACION!$F$2:$F$500,0))),"⚠"))</f>
        <v/>
      </c>
      <c r="Q128" t="str">
        <f>IF(AV128="","",IFERROR(IF(INDEX(CODIFICACION!$E$2:$E$500,MATCH("D2.10|"&amp;AV128,CODIFICACION!$F$2:$F$500,0))="sin dato","",INDEX(CODIFICACION!$E$2:$E$500,MATCH("D2.10|"&amp;AV128,CODIFICACION!$F$2:$F$500,0))),"⚠"))</f>
        <v/>
      </c>
      <c r="R128" t="str">
        <f>IF(AW128="","",IFERROR(IF(INDEX(CODIFICACION!$E$2:$E$500,MATCH("D2.5a|"&amp;AW128,CODIFICACION!$F$2:$F$500,0))="sin dato","",INDEX(CODIFICACION!$E$2:$E$500,MATCH("D2.5a|"&amp;AW128,CODIFICACION!$F$2:$F$500,0))),"⚠"))</f>
        <v/>
      </c>
      <c r="S128" t="str">
        <f ca="1">IF(AX128="","",IFERROR(IF(INDEX(CODIFICACION!$E$2:$E$500,MATCH("D2.5b|"&amp;AX128,CODIFICACION!$F$2:$F$500,0))="sin dato","",INDEX(CODIFICACION!$E$2:$E$500,MATCH("D2.5b|"&amp;AX128,CODIFICACION!$F$2:$F$500,0))),"⚠"))</f>
        <v/>
      </c>
      <c r="T128" t="str">
        <f t="shared" ca="1" si="79"/>
        <v/>
      </c>
      <c r="U128" t="str">
        <f>IF(AZ128="","",IFERROR(IF(INDEX(CODIFICACION!$E$2:$E$500,MATCH("D3.12|"&amp;AZ128,CODIFICACION!$F$2:$F$500,0))="sin dato","",INDEX(CODIFICACION!$E$2:$E$500,MATCH("D3.12|"&amp;AZ128,CODIFICACION!$F$2:$F$500,0))),"⚠"))</f>
        <v/>
      </c>
      <c r="V128" t="str">
        <f t="shared" si="80"/>
        <v/>
      </c>
      <c r="W128" t="str">
        <f ca="1">IF(BB128="","",IFERROR(IF(INDEX(CODIFICACION!$E$2:$E$500,MATCH("D3.14|"&amp;BB128,CODIFICACION!$F$2:$F$500,0))="sin dato","",INDEX(CODIFICACION!$E$2:$E$500,MATCH("D3.14|"&amp;BB128,CODIFICACION!$F$2:$F$500,0))),"⚠"))</f>
        <v/>
      </c>
      <c r="X128" t="str">
        <f ca="1">IF(BC128="","",IFERROR(IF(INDEX(CODIFICACION!$E$2:$E$500,MATCH("D3.14a|"&amp;BC128,CODIFICACION!$F$2:$F$500,0))="sin dato","",INDEX(CODIFICACION!$E$2:$E$500,MATCH("D3.14a|"&amp;BC128,CODIFICACION!$F$2:$F$500,0))),"⚠"))</f>
        <v/>
      </c>
      <c r="Y128" t="str">
        <f>IF(BD128="","",IFERROR(IF(INDEX(CODIFICACION!$E$2:$E$500,MATCH("D3.14b|"&amp;BD128,CODIFICACION!$F$2:$F$500,0))="sin dato","",INDEX(CODIFICACION!$E$2:$E$500,MATCH("D3.14b|"&amp;BD128,CODIFICACION!$F$2:$F$500,0))),"⚠"))</f>
        <v/>
      </c>
      <c r="Z128" t="str">
        <f>IF(BE128="","",IFERROR(IF(INDEX(CODIFICACION!$E$2:$E$500,MATCH("D3.14c|"&amp;BE128,CODIFICACION!$F$2:$F$500,0))="sin dato","",INDEX(CODIFICACION!$E$2:$E$500,MATCH("D3.14c|"&amp;BE128,CODIFICACION!$F$2:$F$500,0))),"⚠"))</f>
        <v/>
      </c>
      <c r="AA128" t="str">
        <f>IF(BF128="","",IFERROR(IF(INDEX(CODIFICACION!$E$2:$E$500,MATCH("D3.14d|"&amp;BF128,CODIFICACION!$F$2:$F$500,0))="sin dato","",INDEX(CODIFICACION!$E$2:$E$500,MATCH("D3.14d|"&amp;BF128,CODIFICACION!$F$2:$F$500,0))),"⚠"))</f>
        <v/>
      </c>
      <c r="AB128" t="str">
        <f>IF(BG128="","",IFERROR(IF(INDEX(CODIFICACION!$E$2:$E$500,MATCH("D3.14e|"&amp;BG128,CODIFICACION!$F$2:$F$500,0))="sin dato","",INDEX(CODIFICACION!$E$2:$E$500,MATCH("D3.14e|"&amp;BG128,CODIFICACION!$F$2:$F$500,0))),"⚠"))</f>
        <v/>
      </c>
      <c r="AC128" t="str">
        <f>IF(BH128="","",IFERROR(IF(INDEX(CODIFICACION!$E$2:$E$500,MATCH("D3.14f|"&amp;BH128,CODIFICACION!$F$2:$F$500,0))="sin dato","",INDEX(CODIFICACION!$E$2:$E$500,MATCH("D3.14f|"&amp;BH128,CODIFICACION!$F$2:$F$500,0))),"⚠"))</f>
        <v/>
      </c>
      <c r="AD128" t="str">
        <f>IF(BI128="","",IFERROR(IF(INDEX(CODIFICACION!$E$2:$E$500,MATCH("D3.14g|"&amp;BI128,CODIFICACION!$F$2:$F$500,0))="sin dato","",INDEX(CODIFICACION!$E$2:$E$500,MATCH("D3.14g|"&amp;BI128,CODIFICACION!$F$2:$F$500,0))),"⚠"))</f>
        <v/>
      </c>
      <c r="AE128" t="str">
        <f>IF(BJ128="","",IFERROR(IF(INDEX(CODIFICACION!$E$2:$E$500,MATCH("D3.14h|"&amp;BJ128,CODIFICACION!$F$2:$F$500,0))="sin dato","",INDEX(CODIFICACION!$E$2:$E$500,MATCH("D3.14h|"&amp;BJ128,CODIFICACION!$F$2:$F$500,0))),"⚠"))</f>
        <v/>
      </c>
      <c r="AF128" t="str">
        <f>IF(BK128="","",IFERROR(IF(INDEX(CODIFICACION!$E$2:$E$500,MATCH("D3.14i|"&amp;BK128,CODIFICACION!$F$2:$F$500,0))="sin dato","",INDEX(CODIFICACION!$E$2:$E$500,MATCH("D3.14i|"&amp;BK128,CODIFICACION!$F$2:$F$500,0))),"⚠"))</f>
        <v/>
      </c>
      <c r="AG128" t="str">
        <f>IF(BL128="","",IFERROR(IF(INDEX(CODIFICACION!$E$2:$E$500,MATCH("D4.15|"&amp;BL128,CODIFICACION!$F$2:$F$500,0))="sin dato","",INDEX(CODIFICACION!$E$2:$E$500,MATCH("D4.15|"&amp;BL128,CODIFICACION!$F$2:$F$500,0))),"⚠"))</f>
        <v/>
      </c>
      <c r="AH128" t="str">
        <f t="shared" si="81"/>
        <v/>
      </c>
      <c r="AI128" t="str">
        <f>IF(BN128="","",IFERROR(IF(INDEX(CODIFICACION!$E$2:$E$500,MATCH("D4.17|"&amp;BN128,CODIFICACION!$F$2:$F$500,0))="sin dato","",INDEX(CODIFICACION!$E$2:$E$500,MATCH("D4.17|"&amp;BN128,CODIFICACION!$F$2:$F$500,0))),"⚠"))</f>
        <v/>
      </c>
      <c r="AJ128" t="str">
        <f>IF(BO128="","",IFERROR(IF(INDEX(CODIFICACION!$E$2:$E$500,MATCH("D4.15a|"&amp;BO128,CODIFICACION!$F$2:$F$500,0))="sin dato","",INDEX(CODIFICACION!$E$2:$E$500,MATCH("D4.15a|"&amp;BO128,CODIFICACION!$F$2:$F$500,0))),"⚠"))</f>
        <v/>
      </c>
      <c r="AK128" t="str">
        <f t="shared" si="82"/>
        <v/>
      </c>
      <c r="AL128" t="str">
        <f t="shared" si="83"/>
        <v/>
      </c>
      <c r="AM128" t="str">
        <f>IF(BR128="","",IFERROR(IF(INDEX(CODIFICACION!$E$2:$E$500,MATCH("D5.18b|"&amp;BR128,CODIFICACION!$F$2:$F$500,0))="sin dato","",INDEX(CODIFICACION!$E$2:$E$500,MATCH("D5.18b|"&amp;BR128,CODIFICACION!$F$2:$F$500,0))),"⚠"))</f>
        <v/>
      </c>
      <c r="AN128" t="str">
        <f>IF(BS128="","",IFERROR(IF(INDEX(CODIFICACION!$E$2:$E$500,MATCH("D5.19|"&amp;BS128,CODIFICACION!$F$2:$F$500,0))="sin dato","",INDEX(CODIFICACION!$E$2:$E$500,MATCH("D5.19|"&amp;BS128,CODIFICACION!$F$2:$F$500,0))),"⚠"))</f>
        <v/>
      </c>
      <c r="AO128" t="str">
        <f t="shared" si="84"/>
        <v/>
      </c>
      <c r="AP128" t="str">
        <f>IF(BU128="","",IFERROR(IF(INDEX(CODIFICACION!$E$2:$E$500,MATCH("D5.20|"&amp;BU128,CODIFICACION!$F$2:$F$500,0))="sin dato","",INDEX(CODIFICACION!$E$2:$E$500,MATCH("D5.20|"&amp;BU128,CODIFICACION!$F$2:$F$500,0))),"⚠"))</f>
        <v/>
      </c>
      <c r="AQ128" t="str">
        <f>IF(BV128="","",IFERROR(IF(INDEX(CODIFICACION!$E$2:$E$500,MATCH("D5.21|"&amp;BV128,CODIFICACION!$F$2:$F$500,0))="sin dato","",INDEX(CODIFICACION!$E$2:$E$500,MATCH("D5.21|"&amp;BV128,CODIFICACION!$F$2:$F$500,0))),"⚠"))</f>
        <v/>
      </c>
      <c r="AR128" t="str">
        <f>IF(BW128="","",IFERROR(IF(INDEX(CODIFICACION!$E$2:$E$500,MATCH("D5.21a|"&amp;BW128,CODIFICACION!$F$2:$F$500,0))="sin dato","",INDEX(CODIFICACION!$E$2:$E$500,MATCH("D5.21a|"&amp;BW128,CODIFICACION!$F$2:$F$500,0))),"⚠"))</f>
        <v/>
      </c>
      <c r="AS128" t="str">
        <f>IF(BX128="","",IFERROR(IF(INDEX(CODIFICACION!$E$2:$E$500,MATCH("D5.21b|"&amp;BX128,CODIFICACION!$F$2:$F$500,0))="sin dato","",INDEX(CODIFICACION!$E$2:$E$500,MATCH("D5.21b|"&amp;BX128,CODIFICACION!$F$2:$F$500,0))),"⚠"))</f>
        <v/>
      </c>
      <c r="AT128" t="str">
        <f>IF(BY128="","",IFERROR(IF(INDEX(CODIFICACION!$E$2:$E$500,MATCH("D6.22|"&amp;BY128,CODIFICACION!$F$2:$F$500,0))="sin dato","",INDEX(CODIFICACION!$E$2:$E$500,MATCH("D6.22|"&amp;BY128,CODIFICACION!$F$2:$F$500,0))),"⚠"))</f>
        <v/>
      </c>
      <c r="AU128" t="str">
        <f>IF(BZ128="","",IFERROR(IF(INDEX(CODIFICACION!$E$2:$E$500,MATCH("D6.22a|"&amp;BZ128,CODIFICACION!$F$2:$F$500,0))="sin dato","",INDEX(CODIFICACION!$E$2:$E$500,MATCH("D6.22a|"&amp;BZ128,CODIFICACION!$F$2:$F$500,0))),"⚠"))</f>
        <v/>
      </c>
      <c r="AV128" t="str">
        <f>IF(CA128="","",IFERROR(IF(INDEX(CODIFICACION!$E$2:$E$500,MATCH("D6.22b|"&amp;CA128,CODIFICACION!$F$2:$F$500,0))="sin dato","",INDEX(CODIFICACION!$E$2:$E$500,MATCH("D6.22b|"&amp;CA128,CODIFICACION!$F$2:$F$500,0))),"⚠"))</f>
        <v/>
      </c>
      <c r="AW128" t="str">
        <f>IF(CB128="","",IFERROR(IF(INDEX(CODIFICACION!$E$2:$E$500,MATCH("D6.23|"&amp;CB128,CODIFICACION!$F$2:$F$500,0))="sin dato","",INDEX(CODIFICACION!$E$2:$E$500,MATCH("D6.23|"&amp;CB128,CODIFICACION!$F$2:$F$500,0))),"⚠"))</f>
        <v/>
      </c>
      <c r="AX128" t="str">
        <f ca="1">IF(CC128="","",IFERROR(IF(INDEX(CODIFICACION!$E$2:$E$500,MATCH("D6.24|"&amp;CC128,CODIFICACION!$F$2:$F$500,0))="sin dato","",INDEX(CODIFICACION!$E$2:$E$500,MATCH("D6.24|"&amp;CC128,CODIFICACION!$F$2:$F$500,0))),"⚠"))</f>
        <v/>
      </c>
      <c r="AY128" t="str">
        <f ca="1">IF(CD128="","",IFERROR(IF(INDEX(CODIFICACION!$E$2:$E$500,MATCH("D6.25|"&amp;CD128,CODIFICACION!$F$2:$F$500,0))="sin dato","",INDEX(CODIFICACION!$E$2:$E$500,MATCH("D6.25|"&amp;CD128,CODIFICACION!$F$2:$F$500,0))),"⚠"))</f>
        <v/>
      </c>
      <c r="AZ128" t="str">
        <f>IF(CE128="","",IFERROR(IF(INDEX(CODIFICACION!$E$2:$E$500,MATCH("D6.25a|"&amp;CE128,CODIFICACION!$F$2:$F$500,0))="sin dato","",INDEX(CODIFICACION!$E$2:$E$500,MATCH("D6.25a|"&amp;CE128,CODIFICACION!$F$2:$F$500,0))),"⚠"))</f>
        <v/>
      </c>
      <c r="BA128" t="str">
        <f>IF(CF128="","",IFERROR(IF(INDEX(CODIFICACION!$E$2:$E$500,MATCH("D6.25b|"&amp;CF128,CODIFICACION!$F$2:$F$500,0))="sin dato","",INDEX(CODIFICACION!$E$2:$E$500,MATCH("D6.25b|"&amp;CF128,CODIFICACION!$F$2:$F$500,0))),"⚠"))</f>
        <v/>
      </c>
      <c r="BB128" t="str">
        <f ca="1">IF(CG128="","",IFERROR(IF(INDEX(CODIFICACION!$E$2:$E$500,MATCH("D6.22c|"&amp;CG128,CODIFICACION!$F$2:$F$500,0))="sin dato","",INDEX(CODIFICACION!$E$2:$E$500,MATCH("D6.22c|"&amp;CG128,CODIFICACION!$F$2:$F$500,0))),"⚠"))</f>
        <v/>
      </c>
      <c r="BC128" t="str">
        <f ca="1">IF(CH128="","",IFERROR(IF(INDEX(CODIFICACION!$E$2:$E$500,MATCH("D7.26|"&amp;CH128,CODIFICACION!$F$2:$F$500,0))="sin dato","",INDEX(CODIFICACION!$E$2:$E$500,MATCH("D7.26|"&amp;CH128,CODIFICACION!$F$2:$F$500,0))),"⚠"))</f>
        <v/>
      </c>
      <c r="BD128" t="str">
        <f>IF(CI128="","",IFERROR(IF(INDEX(CODIFICACION!$E$2:$E$500,MATCH("D7.27|"&amp;CI128,CODIFICACION!$F$2:$F$500,0))="sin dato","",INDEX(CODIFICACION!$E$2:$E$500,MATCH("D7.27|"&amp;CI128,CODIFICACION!$F$2:$F$500,0))),"⚠"))</f>
        <v/>
      </c>
      <c r="BE128" t="str">
        <f>IF(CJ128="","",IFERROR(IF(INDEX(CODIFICACION!$E$2:$E$500,MATCH("D7.28|"&amp;CJ128,CODIFICACION!$F$2:$F$500,0))="sin dato","",INDEX(CODIFICACION!$E$2:$E$500,MATCH("D7.28|"&amp;CJ128,CODIFICACION!$F$2:$F$500,0))),"⚠"))</f>
        <v/>
      </c>
      <c r="BF128" t="str">
        <f>IF(CK128="","",IFERROR(IF(INDEX(CODIFICACION!$E$2:$E$500,MATCH("D7.28b|"&amp;CK128,CODIFICACION!$F$2:$F$500,0))="sin dato","",INDEX(CODIFICACION!$E$2:$E$500,MATCH("D7.28b|"&amp;CK128,CODIFICACION!$F$2:$F$500,0))),"⚠"))</f>
        <v/>
      </c>
      <c r="BG128" t="str">
        <f t="shared" si="85"/>
        <v/>
      </c>
      <c r="BH128" t="str">
        <f>IF(CM128="","",IFERROR(IF(INDEX(CODIFICACION!$E$2:$E$500,MATCH("D7.26a|"&amp;CM128,CODIFICACION!$F$2:$F$500,0))="sin dato","",INDEX(CODIFICACION!$E$2:$E$500,MATCH("D7.26a|"&amp;CM128,CODIFICACION!$F$2:$F$500,0))),"⚠"))</f>
        <v/>
      </c>
      <c r="BI128" t="str">
        <f>IF(CN128="","",IFERROR(IF(INDEX(CODIFICACION!$E$2:$E$500,MATCH("D7.26b|"&amp;CN128,CODIFICACION!$F$2:$F$500,0))="sin dato","",INDEX(CODIFICACION!$E$2:$E$500,MATCH("D7.26b|"&amp;CN128,CODIFICACION!$F$2:$F$500,0))),"⚠"))</f>
        <v/>
      </c>
      <c r="BJ128" t="str">
        <f t="shared" si="86"/>
        <v/>
      </c>
      <c r="BK128" t="str">
        <f t="shared" si="87"/>
        <v/>
      </c>
      <c r="BL128" t="str">
        <f>IF(CQ128="","",IFERROR(IF(INDEX(CODIFICACION!$E$2:$E$500,MATCH("D8.31|"&amp;CQ128,CODIFICACION!$F$2:$F$500,0))="sin dato","",INDEX(CODIFICACION!$E$2:$E$500,MATCH("D8.31|"&amp;CQ128,CODIFICACION!$F$2:$F$500,0))),"⚠"))</f>
        <v/>
      </c>
      <c r="BM128" t="str">
        <f>IF(CR128="","",IFERROR(IF(INDEX(CODIFICACION!$E$2:$E$500,MATCH("D8.32|"&amp;CR128,CODIFICACION!$F$2:$F$500,0))="sin dato","",INDEX(CODIFICACION!$E$2:$E$500,MATCH("D8.32|"&amp;CR128,CODIFICACION!$F$2:$F$500,0))),"⚠"))</f>
        <v/>
      </c>
      <c r="BN128" t="str">
        <f>IF(CS128="","",IFERROR(IF(INDEX(CODIFICACION!$E$2:$E$500,MATCH("D9.33|"&amp;CS128,CODIFICACION!$F$2:$F$500,0))="sin dato","",INDEX(CODIFICACION!$E$2:$E$500,MATCH("D9.33|"&amp;CS128,CODIFICACION!$F$2:$F$500,0))),"⚠"))</f>
        <v/>
      </c>
      <c r="BO128" t="str">
        <f>IF(CT128="","",IFERROR(IF(INDEX(CODIFICACION!$E$2:$E$500,MATCH("D9.34|"&amp;CT128,CODIFICACION!$F$2:$F$500,0))="sin dato","",INDEX(CODIFICACION!$E$2:$E$500,MATCH("D9.34|"&amp;CT128,CODIFICACION!$F$2:$F$500,0))),"⚠"))</f>
        <v/>
      </c>
      <c r="BP128" t="str">
        <f>IF(CU128="","",IFERROR(IF(INDEX(CODIFICACION!$E$2:$E$500,MATCH("D9.35|"&amp;CU128,CODIFICACION!$F$2:$F$500,0))="sin dato","",INDEX(CODIFICACION!$E$2:$E$500,MATCH("D9.35|"&amp;CU128,CODIFICACION!$F$2:$F$500,0))),"⚠"))</f>
        <v/>
      </c>
      <c r="BQ128" t="str">
        <f>IF(CV128="","",IFERROR(IF(INDEX(CODIFICACION!$E$2:$E$500,MATCH("D10.36|"&amp;CV128,CODIFICACION!$F$2:$F$500,0))="sin dato","",INDEX(CODIFICACION!$E$2:$E$500,MATCH("D10.36|"&amp;CV128,CODIFICACION!$F$2:$F$500,0))),"⚠"))</f>
        <v/>
      </c>
      <c r="BR128" t="str">
        <f>IF(CW128="","",IFERROR(IF(INDEX(CODIFICACION!$E$2:$E$500,MATCH("D10.37|"&amp;CW128,CODIFICACION!$F$2:$F$500,0))="sin dato","",INDEX(CODIFICACION!$E$2:$E$500,MATCH("D10.37|"&amp;CW128,CODIFICACION!$F$2:$F$500,0))),"⚠"))</f>
        <v/>
      </c>
      <c r="BS128" t="str">
        <f>IF(CX128="","",IFERROR(IF(INDEX(CODIFICACION!$E$2:$E$500,MATCH("D10.36a|"&amp;CX128,CODIFICACION!$F$2:$F$500,0))="sin dato","",INDEX(CODIFICACION!$E$2:$E$500,MATCH("D10.36a|"&amp;CX128,CODIFICACION!$F$2:$F$500,0))),"⚠"))</f>
        <v/>
      </c>
      <c r="BT128" t="str">
        <f t="shared" si="88"/>
        <v/>
      </c>
      <c r="BU128" t="str">
        <f>IF(DA128="","",IFERROR(IF(INDEX(CODIFICACION!$E$2:$E$500,MATCH("D11.39a|"&amp;DA128,CODIFICACION!$F$2:$F$500,0))="sin dato","",INDEX(CODIFICACION!$E$2:$E$500,MATCH("D11.39a|"&amp;DA128,CODIFICACION!$F$2:$F$500,0))),"⚠"))</f>
        <v/>
      </c>
      <c r="BV128" t="str">
        <f>IF(DB128="","",IFERROR(IF(INDEX(CODIFICACION!$E$2:$E$500,MATCH("D12.42|"&amp;DB128,CODIFICACION!$F$2:$F$500,0))="sin dato","",INDEX(CODIFICACION!$E$2:$E$500,MATCH("D12.42|"&amp;DB128,CODIFICACION!$F$2:$F$500,0))),"⚠"))</f>
        <v/>
      </c>
      <c r="BW128" t="str">
        <f>IF(DC128="","",IFERROR(IF(INDEX(CODIFICACION!$E$2:$E$500,MATCH("D13.45|"&amp;DC128,CODIFICACION!$F$2:$F$500,0))="sin dato","",INDEX(CODIFICACION!$E$2:$E$500,MATCH("D13.45|"&amp;DC128,CODIFICACION!$F$2:$F$500,0))),"⚠"))</f>
        <v/>
      </c>
      <c r="BX128" t="str">
        <f>IF(DD128="","",IFERROR(IF(INDEX(CODIFICACION!$E$2:$E$500,MATCH("D14.51|"&amp;DD128,CODIFICACION!$F$2:$F$500,0))="sin dato","",INDEX(CODIFICACION!$E$2:$E$500,MATCH("D14.51|"&amp;DD128,CODIFICACION!$F$2:$F$500,0))),"⚠"))</f>
        <v/>
      </c>
      <c r="BY128" t="str">
        <f>IF(DE128="","",IFERROR(IF(INDEX(CODIFICACION!$E$2:$E$500,MATCH("D15.58|"&amp;DE128,CODIFICACION!$F$2:$F$500,0))="sin dato","",INDEX(CODIFICACION!$E$2:$E$500,MATCH("D15.58|"&amp;DE128,CODIFICACION!$F$2:$F$500,0))),"⚠"))</f>
        <v/>
      </c>
      <c r="BZ128" t="str">
        <f>IF(DF128="","",IFERROR(IF(INDEX(CODIFICACION!$E$2:$E$500,MATCH("PP1|"&amp;DF128,CODIFICACION!$F$2:$F$500,0))="sin dato","",INDEX(CODIFICACION!$E$2:$E$500,MATCH("PP1|"&amp;DF128,CODIFICACION!$F$2:$F$500,0))),"⚠"))</f>
        <v/>
      </c>
      <c r="CA128" t="str">
        <f>IF(DG128="","",IFERROR(IF(INDEX(CODIFICACION!$E$2:$E$500,MATCH("PP2|"&amp;DG128,CODIFICACION!$F$2:$F$500,0))="sin dato","",INDEX(CODIFICACION!$E$2:$E$500,MATCH("PP2|"&amp;DG128,CODIFICACION!$F$2:$F$500,0))),"⚠"))</f>
        <v/>
      </c>
      <c r="CB128" t="str">
        <f t="shared" si="89"/>
        <v/>
      </c>
      <c r="CC128" t="str">
        <f t="shared" ca="1" si="90"/>
        <v/>
      </c>
      <c r="CD128" t="str">
        <f t="shared" ca="1" si="91"/>
        <v/>
      </c>
      <c r="CE128" t="str">
        <f t="shared" si="92"/>
        <v/>
      </c>
      <c r="CF128" t="str">
        <f t="shared" si="93"/>
        <v/>
      </c>
      <c r="CG128" t="str">
        <f t="shared" ca="1" si="94"/>
        <v/>
      </c>
      <c r="CH128" t="str">
        <f t="shared" ca="1" si="95"/>
        <v/>
      </c>
      <c r="CI128" t="str">
        <f t="shared" si="96"/>
        <v/>
      </c>
      <c r="CJ128" t="str">
        <f t="shared" si="97"/>
        <v/>
      </c>
      <c r="CK128" t="str">
        <f t="shared" si="98"/>
        <v/>
      </c>
      <c r="CL128" t="str">
        <f t="shared" si="99"/>
        <v/>
      </c>
    </row>
    <row r="129" spans="1:90" x14ac:dyDescent="0.3">
      <c r="A129">
        <f>CAPTURA!A129</f>
        <v>20602047025</v>
      </c>
      <c r="B129">
        <f>CAPTURA!C129</f>
        <v>0</v>
      </c>
      <c r="C129" t="str">
        <f t="shared" si="75"/>
        <v/>
      </c>
      <c r="D129" t="str">
        <f>IF(AE129="","",IFERROR(IF(INDEX(CODIFICACION!$E$2:$E$500,MATCH("P8|"&amp;AE129,CODIFICACION!$F$2:$F$500,0))="sin dato","",INDEX(CODIFICACION!$E$2:$E$500,MATCH("P8|"&amp;AE129,CODIFICACION!$F$2:$F$500,0))),"⚠"))</f>
        <v/>
      </c>
      <c r="E129" t="str">
        <f>IF(AG129="","",IFERROR(IF(INDEX(CODIFICACION!$E$2:$E$500,MATCH("P10|"&amp;AG129,CODIFICACION!$F$2:$F$500,0))="sin dato","",INDEX(CODIFICACION!$E$2:$E$500,MATCH("P10|"&amp;AG129,CODIFICACION!$F$2:$F$500,0))),"⚠"))</f>
        <v/>
      </c>
      <c r="F129" t="str">
        <f>IF(AJ129="","",IFERROR(IF(INDEX(CODIFICACION!$E$2:$E$500,MATCH("P13|"&amp;AJ129,CODIFICACION!$F$2:$F$500,0))="sin dato","",INDEX(CODIFICACION!$E$2:$E$500,MATCH("P13|"&amp;AJ129,CODIFICACION!$F$2:$F$500,0))),"⚠"))</f>
        <v/>
      </c>
      <c r="G129" t="str">
        <f>IF(AK129="","",IFERROR(IF(INDEX(CODIFICACION!$E$2:$E$500,MATCH("P14|"&amp;AK129,CODIFICACION!$F$2:$F$500,0))="sin dato","",INDEX(CODIFICACION!$E$2:$E$500,MATCH("P14|"&amp;AK129,CODIFICACION!$F$2:$F$500,0))),"⚠"))</f>
        <v/>
      </c>
      <c r="H129" t="str">
        <f>IF(AL129="","",IFERROR(IF(INDEX(CODIFICACION!$E$2:$E$500,MATCH("D1.1|"&amp;AL129,CODIFICACION!$F$2:$F$500,0))="sin dato","",INDEX(CODIFICACION!$E$2:$E$500,MATCH("D1.1|"&amp;AL129,CODIFICACION!$F$2:$F$500,0))),"⚠"))</f>
        <v/>
      </c>
      <c r="I129" t="str">
        <f>IF(AN129="","",IFERROR(IF(INDEX(CODIFICACION!$E$2:$E$500,MATCH("D1.3|"&amp;AN129,CODIFICACION!$F$2:$F$500,0))="sin dato","",INDEX(CODIFICACION!$E$2:$E$500,MATCH("D1.3|"&amp;AN129,CODIFICACION!$F$2:$F$500,0))),"⚠"))</f>
        <v/>
      </c>
      <c r="J129" t="str">
        <f>IF(AO129="","",IFERROR(IF(INDEX(CODIFICACION!$E$2:$E$500,MATCH("D1.4|"&amp;AO129,CODIFICACION!$F$2:$F$500,0))="sin dato","",INDEX(CODIFICACION!$E$2:$E$500,MATCH("D1.4|"&amp;AO129,CODIFICACION!$F$2:$F$500,0))),"⚠"))</f>
        <v/>
      </c>
      <c r="K129" t="str">
        <f>IF(AP129="","",IFERROR(IF(INDEX(CODIFICACION!$E$2:$E$500,MATCH("D1.3a|"&amp;AP129,CODIFICACION!$F$2:$F$500,0))="sin dato","",INDEX(CODIFICACION!$E$2:$E$500,MATCH("D1.3a|"&amp;AP129,CODIFICACION!$F$2:$F$500,0))),"⚠"))</f>
        <v/>
      </c>
      <c r="L129" t="str">
        <f t="shared" si="76"/>
        <v/>
      </c>
      <c r="M129" t="str">
        <f t="shared" si="77"/>
        <v/>
      </c>
      <c r="N129" t="str">
        <f t="shared" si="78"/>
        <v/>
      </c>
      <c r="O129" t="str">
        <f>IF(AT129="","",IFERROR(IF(INDEX(CODIFICACION!$E$2:$E$500,MATCH("D2.8|"&amp;AT129,CODIFICACION!$F$2:$F$500,0))="sin dato","",INDEX(CODIFICACION!$E$2:$E$500,MATCH("D2.8|"&amp;AT129,CODIFICACION!$F$2:$F$500,0))),"⚠"))</f>
        <v/>
      </c>
      <c r="P129" t="str">
        <f>IF(AU129="","",IFERROR(IF(INDEX(CODIFICACION!$E$2:$E$500,MATCH("D2.9|"&amp;AU129,CODIFICACION!$F$2:$F$500,0))="sin dato","",INDEX(CODIFICACION!$E$2:$E$500,MATCH("D2.9|"&amp;AU129,CODIFICACION!$F$2:$F$500,0))),"⚠"))</f>
        <v/>
      </c>
      <c r="Q129" t="str">
        <f>IF(AV129="","",IFERROR(IF(INDEX(CODIFICACION!$E$2:$E$500,MATCH("D2.10|"&amp;AV129,CODIFICACION!$F$2:$F$500,0))="sin dato","",INDEX(CODIFICACION!$E$2:$E$500,MATCH("D2.10|"&amp;AV129,CODIFICACION!$F$2:$F$500,0))),"⚠"))</f>
        <v/>
      </c>
      <c r="R129" t="str">
        <f>IF(AW129="","",IFERROR(IF(INDEX(CODIFICACION!$E$2:$E$500,MATCH("D2.5a|"&amp;AW129,CODIFICACION!$F$2:$F$500,0))="sin dato","",INDEX(CODIFICACION!$E$2:$E$500,MATCH("D2.5a|"&amp;AW129,CODIFICACION!$F$2:$F$500,0))),"⚠"))</f>
        <v/>
      </c>
      <c r="S129" t="str">
        <f ca="1">IF(AX129="","",IFERROR(IF(INDEX(CODIFICACION!$E$2:$E$500,MATCH("D2.5b|"&amp;AX129,CODIFICACION!$F$2:$F$500,0))="sin dato","",INDEX(CODIFICACION!$E$2:$E$500,MATCH("D2.5b|"&amp;AX129,CODIFICACION!$F$2:$F$500,0))),"⚠"))</f>
        <v/>
      </c>
      <c r="T129" t="str">
        <f t="shared" ca="1" si="79"/>
        <v/>
      </c>
      <c r="U129" t="str">
        <f>IF(AZ129="","",IFERROR(IF(INDEX(CODIFICACION!$E$2:$E$500,MATCH("D3.12|"&amp;AZ129,CODIFICACION!$F$2:$F$500,0))="sin dato","",INDEX(CODIFICACION!$E$2:$E$500,MATCH("D3.12|"&amp;AZ129,CODIFICACION!$F$2:$F$500,0))),"⚠"))</f>
        <v/>
      </c>
      <c r="V129" t="str">
        <f t="shared" si="80"/>
        <v/>
      </c>
      <c r="W129" t="str">
        <f ca="1">IF(BB129="","",IFERROR(IF(INDEX(CODIFICACION!$E$2:$E$500,MATCH("D3.14|"&amp;BB129,CODIFICACION!$F$2:$F$500,0))="sin dato","",INDEX(CODIFICACION!$E$2:$E$500,MATCH("D3.14|"&amp;BB129,CODIFICACION!$F$2:$F$500,0))),"⚠"))</f>
        <v/>
      </c>
      <c r="X129" t="str">
        <f ca="1">IF(BC129="","",IFERROR(IF(INDEX(CODIFICACION!$E$2:$E$500,MATCH("D3.14a|"&amp;BC129,CODIFICACION!$F$2:$F$500,0))="sin dato","",INDEX(CODIFICACION!$E$2:$E$500,MATCH("D3.14a|"&amp;BC129,CODIFICACION!$F$2:$F$500,0))),"⚠"))</f>
        <v/>
      </c>
      <c r="Y129" t="str">
        <f>IF(BD129="","",IFERROR(IF(INDEX(CODIFICACION!$E$2:$E$500,MATCH("D3.14b|"&amp;BD129,CODIFICACION!$F$2:$F$500,0))="sin dato","",INDEX(CODIFICACION!$E$2:$E$500,MATCH("D3.14b|"&amp;BD129,CODIFICACION!$F$2:$F$500,0))),"⚠"))</f>
        <v/>
      </c>
      <c r="Z129" t="str">
        <f>IF(BE129="","",IFERROR(IF(INDEX(CODIFICACION!$E$2:$E$500,MATCH("D3.14c|"&amp;BE129,CODIFICACION!$F$2:$F$500,0))="sin dato","",INDEX(CODIFICACION!$E$2:$E$500,MATCH("D3.14c|"&amp;BE129,CODIFICACION!$F$2:$F$500,0))),"⚠"))</f>
        <v/>
      </c>
      <c r="AA129" t="str">
        <f>IF(BF129="","",IFERROR(IF(INDEX(CODIFICACION!$E$2:$E$500,MATCH("D3.14d|"&amp;BF129,CODIFICACION!$F$2:$F$500,0))="sin dato","",INDEX(CODIFICACION!$E$2:$E$500,MATCH("D3.14d|"&amp;BF129,CODIFICACION!$F$2:$F$500,0))),"⚠"))</f>
        <v/>
      </c>
      <c r="AB129" t="str">
        <f>IF(BG129="","",IFERROR(IF(INDEX(CODIFICACION!$E$2:$E$500,MATCH("D3.14e|"&amp;BG129,CODIFICACION!$F$2:$F$500,0))="sin dato","",INDEX(CODIFICACION!$E$2:$E$500,MATCH("D3.14e|"&amp;BG129,CODIFICACION!$F$2:$F$500,0))),"⚠"))</f>
        <v/>
      </c>
      <c r="AC129" t="str">
        <f>IF(BH129="","",IFERROR(IF(INDEX(CODIFICACION!$E$2:$E$500,MATCH("D3.14f|"&amp;BH129,CODIFICACION!$F$2:$F$500,0))="sin dato","",INDEX(CODIFICACION!$E$2:$E$500,MATCH("D3.14f|"&amp;BH129,CODIFICACION!$F$2:$F$500,0))),"⚠"))</f>
        <v/>
      </c>
      <c r="AD129" t="str">
        <f>IF(BI129="","",IFERROR(IF(INDEX(CODIFICACION!$E$2:$E$500,MATCH("D3.14g|"&amp;BI129,CODIFICACION!$F$2:$F$500,0))="sin dato","",INDEX(CODIFICACION!$E$2:$E$500,MATCH("D3.14g|"&amp;BI129,CODIFICACION!$F$2:$F$500,0))),"⚠"))</f>
        <v/>
      </c>
      <c r="AE129" t="str">
        <f>IF(BJ129="","",IFERROR(IF(INDEX(CODIFICACION!$E$2:$E$500,MATCH("D3.14h|"&amp;BJ129,CODIFICACION!$F$2:$F$500,0))="sin dato","",INDEX(CODIFICACION!$E$2:$E$500,MATCH("D3.14h|"&amp;BJ129,CODIFICACION!$F$2:$F$500,0))),"⚠"))</f>
        <v/>
      </c>
      <c r="AF129" t="str">
        <f>IF(BK129="","",IFERROR(IF(INDEX(CODIFICACION!$E$2:$E$500,MATCH("D3.14i|"&amp;BK129,CODIFICACION!$F$2:$F$500,0))="sin dato","",INDEX(CODIFICACION!$E$2:$E$500,MATCH("D3.14i|"&amp;BK129,CODIFICACION!$F$2:$F$500,0))),"⚠"))</f>
        <v/>
      </c>
      <c r="AG129" t="str">
        <f>IF(BL129="","",IFERROR(IF(INDEX(CODIFICACION!$E$2:$E$500,MATCH("D4.15|"&amp;BL129,CODIFICACION!$F$2:$F$500,0))="sin dato","",INDEX(CODIFICACION!$E$2:$E$500,MATCH("D4.15|"&amp;BL129,CODIFICACION!$F$2:$F$500,0))),"⚠"))</f>
        <v/>
      </c>
      <c r="AH129" t="str">
        <f t="shared" si="81"/>
        <v/>
      </c>
      <c r="AI129" t="str">
        <f>IF(BN129="","",IFERROR(IF(INDEX(CODIFICACION!$E$2:$E$500,MATCH("D4.17|"&amp;BN129,CODIFICACION!$F$2:$F$500,0))="sin dato","",INDEX(CODIFICACION!$E$2:$E$500,MATCH("D4.17|"&amp;BN129,CODIFICACION!$F$2:$F$500,0))),"⚠"))</f>
        <v/>
      </c>
      <c r="AJ129" t="str">
        <f>IF(BO129="","",IFERROR(IF(INDEX(CODIFICACION!$E$2:$E$500,MATCH("D4.15a|"&amp;BO129,CODIFICACION!$F$2:$F$500,0))="sin dato","",INDEX(CODIFICACION!$E$2:$E$500,MATCH("D4.15a|"&amp;BO129,CODIFICACION!$F$2:$F$500,0))),"⚠"))</f>
        <v/>
      </c>
      <c r="AK129" t="str">
        <f t="shared" si="82"/>
        <v/>
      </c>
      <c r="AL129" t="str">
        <f t="shared" si="83"/>
        <v/>
      </c>
      <c r="AM129" t="str">
        <f>IF(BR129="","",IFERROR(IF(INDEX(CODIFICACION!$E$2:$E$500,MATCH("D5.18b|"&amp;BR129,CODIFICACION!$F$2:$F$500,0))="sin dato","",INDEX(CODIFICACION!$E$2:$E$500,MATCH("D5.18b|"&amp;BR129,CODIFICACION!$F$2:$F$500,0))),"⚠"))</f>
        <v/>
      </c>
      <c r="AN129" t="str">
        <f>IF(BS129="","",IFERROR(IF(INDEX(CODIFICACION!$E$2:$E$500,MATCH("D5.19|"&amp;BS129,CODIFICACION!$F$2:$F$500,0))="sin dato","",INDEX(CODIFICACION!$E$2:$E$500,MATCH("D5.19|"&amp;BS129,CODIFICACION!$F$2:$F$500,0))),"⚠"))</f>
        <v/>
      </c>
      <c r="AO129" t="str">
        <f t="shared" si="84"/>
        <v/>
      </c>
      <c r="AP129" t="str">
        <f>IF(BU129="","",IFERROR(IF(INDEX(CODIFICACION!$E$2:$E$500,MATCH("D5.20|"&amp;BU129,CODIFICACION!$F$2:$F$500,0))="sin dato","",INDEX(CODIFICACION!$E$2:$E$500,MATCH("D5.20|"&amp;BU129,CODIFICACION!$F$2:$F$500,0))),"⚠"))</f>
        <v/>
      </c>
      <c r="AQ129" t="str">
        <f>IF(BV129="","",IFERROR(IF(INDEX(CODIFICACION!$E$2:$E$500,MATCH("D5.21|"&amp;BV129,CODIFICACION!$F$2:$F$500,0))="sin dato","",INDEX(CODIFICACION!$E$2:$E$500,MATCH("D5.21|"&amp;BV129,CODIFICACION!$F$2:$F$500,0))),"⚠"))</f>
        <v/>
      </c>
      <c r="AR129" t="str">
        <f>IF(BW129="","",IFERROR(IF(INDEX(CODIFICACION!$E$2:$E$500,MATCH("D5.21a|"&amp;BW129,CODIFICACION!$F$2:$F$500,0))="sin dato","",INDEX(CODIFICACION!$E$2:$E$500,MATCH("D5.21a|"&amp;BW129,CODIFICACION!$F$2:$F$500,0))),"⚠"))</f>
        <v/>
      </c>
      <c r="AS129" t="str">
        <f>IF(BX129="","",IFERROR(IF(INDEX(CODIFICACION!$E$2:$E$500,MATCH("D5.21b|"&amp;BX129,CODIFICACION!$F$2:$F$500,0))="sin dato","",INDEX(CODIFICACION!$E$2:$E$500,MATCH("D5.21b|"&amp;BX129,CODIFICACION!$F$2:$F$500,0))),"⚠"))</f>
        <v/>
      </c>
      <c r="AT129" t="str">
        <f>IF(BY129="","",IFERROR(IF(INDEX(CODIFICACION!$E$2:$E$500,MATCH("D6.22|"&amp;BY129,CODIFICACION!$F$2:$F$500,0))="sin dato","",INDEX(CODIFICACION!$E$2:$E$500,MATCH("D6.22|"&amp;BY129,CODIFICACION!$F$2:$F$500,0))),"⚠"))</f>
        <v/>
      </c>
      <c r="AU129" t="str">
        <f>IF(BZ129="","",IFERROR(IF(INDEX(CODIFICACION!$E$2:$E$500,MATCH("D6.22a|"&amp;BZ129,CODIFICACION!$F$2:$F$500,0))="sin dato","",INDEX(CODIFICACION!$E$2:$E$500,MATCH("D6.22a|"&amp;BZ129,CODIFICACION!$F$2:$F$500,0))),"⚠"))</f>
        <v/>
      </c>
      <c r="AV129" t="str">
        <f>IF(CA129="","",IFERROR(IF(INDEX(CODIFICACION!$E$2:$E$500,MATCH("D6.22b|"&amp;CA129,CODIFICACION!$F$2:$F$500,0))="sin dato","",INDEX(CODIFICACION!$E$2:$E$500,MATCH("D6.22b|"&amp;CA129,CODIFICACION!$F$2:$F$500,0))),"⚠"))</f>
        <v/>
      </c>
      <c r="AW129" t="str">
        <f>IF(CB129="","",IFERROR(IF(INDEX(CODIFICACION!$E$2:$E$500,MATCH("D6.23|"&amp;CB129,CODIFICACION!$F$2:$F$500,0))="sin dato","",INDEX(CODIFICACION!$E$2:$E$500,MATCH("D6.23|"&amp;CB129,CODIFICACION!$F$2:$F$500,0))),"⚠"))</f>
        <v/>
      </c>
      <c r="AX129" t="str">
        <f ca="1">IF(CC129="","",IFERROR(IF(INDEX(CODIFICACION!$E$2:$E$500,MATCH("D6.24|"&amp;CC129,CODIFICACION!$F$2:$F$500,0))="sin dato","",INDEX(CODIFICACION!$E$2:$E$500,MATCH("D6.24|"&amp;CC129,CODIFICACION!$F$2:$F$500,0))),"⚠"))</f>
        <v/>
      </c>
      <c r="AY129" t="str">
        <f ca="1">IF(CD129="","",IFERROR(IF(INDEX(CODIFICACION!$E$2:$E$500,MATCH("D6.25|"&amp;CD129,CODIFICACION!$F$2:$F$500,0))="sin dato","",INDEX(CODIFICACION!$E$2:$E$500,MATCH("D6.25|"&amp;CD129,CODIFICACION!$F$2:$F$500,0))),"⚠"))</f>
        <v/>
      </c>
      <c r="AZ129" t="str">
        <f>IF(CE129="","",IFERROR(IF(INDEX(CODIFICACION!$E$2:$E$500,MATCH("D6.25a|"&amp;CE129,CODIFICACION!$F$2:$F$500,0))="sin dato","",INDEX(CODIFICACION!$E$2:$E$500,MATCH("D6.25a|"&amp;CE129,CODIFICACION!$F$2:$F$500,0))),"⚠"))</f>
        <v/>
      </c>
      <c r="BA129" t="str">
        <f>IF(CF129="","",IFERROR(IF(INDEX(CODIFICACION!$E$2:$E$500,MATCH("D6.25b|"&amp;CF129,CODIFICACION!$F$2:$F$500,0))="sin dato","",INDEX(CODIFICACION!$E$2:$E$500,MATCH("D6.25b|"&amp;CF129,CODIFICACION!$F$2:$F$500,0))),"⚠"))</f>
        <v/>
      </c>
      <c r="BB129" t="str">
        <f ca="1">IF(CG129="","",IFERROR(IF(INDEX(CODIFICACION!$E$2:$E$500,MATCH("D6.22c|"&amp;CG129,CODIFICACION!$F$2:$F$500,0))="sin dato","",INDEX(CODIFICACION!$E$2:$E$500,MATCH("D6.22c|"&amp;CG129,CODIFICACION!$F$2:$F$500,0))),"⚠"))</f>
        <v/>
      </c>
      <c r="BC129" t="str">
        <f ca="1">IF(CH129="","",IFERROR(IF(INDEX(CODIFICACION!$E$2:$E$500,MATCH("D7.26|"&amp;CH129,CODIFICACION!$F$2:$F$500,0))="sin dato","",INDEX(CODIFICACION!$E$2:$E$500,MATCH("D7.26|"&amp;CH129,CODIFICACION!$F$2:$F$500,0))),"⚠"))</f>
        <v/>
      </c>
      <c r="BD129" t="str">
        <f>IF(CI129="","",IFERROR(IF(INDEX(CODIFICACION!$E$2:$E$500,MATCH("D7.27|"&amp;CI129,CODIFICACION!$F$2:$F$500,0))="sin dato","",INDEX(CODIFICACION!$E$2:$E$500,MATCH("D7.27|"&amp;CI129,CODIFICACION!$F$2:$F$500,0))),"⚠"))</f>
        <v/>
      </c>
      <c r="BE129" t="str">
        <f>IF(CJ129="","",IFERROR(IF(INDEX(CODIFICACION!$E$2:$E$500,MATCH("D7.28|"&amp;CJ129,CODIFICACION!$F$2:$F$500,0))="sin dato","",INDEX(CODIFICACION!$E$2:$E$500,MATCH("D7.28|"&amp;CJ129,CODIFICACION!$F$2:$F$500,0))),"⚠"))</f>
        <v/>
      </c>
      <c r="BF129" t="str">
        <f>IF(CK129="","",IFERROR(IF(INDEX(CODIFICACION!$E$2:$E$500,MATCH("D7.28b|"&amp;CK129,CODIFICACION!$F$2:$F$500,0))="sin dato","",INDEX(CODIFICACION!$E$2:$E$500,MATCH("D7.28b|"&amp;CK129,CODIFICACION!$F$2:$F$500,0))),"⚠"))</f>
        <v/>
      </c>
      <c r="BG129" t="str">
        <f t="shared" si="85"/>
        <v/>
      </c>
      <c r="BH129" t="str">
        <f>IF(CM129="","",IFERROR(IF(INDEX(CODIFICACION!$E$2:$E$500,MATCH("D7.26a|"&amp;CM129,CODIFICACION!$F$2:$F$500,0))="sin dato","",INDEX(CODIFICACION!$E$2:$E$500,MATCH("D7.26a|"&amp;CM129,CODIFICACION!$F$2:$F$500,0))),"⚠"))</f>
        <v/>
      </c>
      <c r="BI129" t="str">
        <f>IF(CN129="","",IFERROR(IF(INDEX(CODIFICACION!$E$2:$E$500,MATCH("D7.26b|"&amp;CN129,CODIFICACION!$F$2:$F$500,0))="sin dato","",INDEX(CODIFICACION!$E$2:$E$500,MATCH("D7.26b|"&amp;CN129,CODIFICACION!$F$2:$F$500,0))),"⚠"))</f>
        <v/>
      </c>
      <c r="BJ129" t="str">
        <f t="shared" si="86"/>
        <v/>
      </c>
      <c r="BK129" t="str">
        <f t="shared" si="87"/>
        <v/>
      </c>
      <c r="BL129" t="str">
        <f>IF(CQ129="","",IFERROR(IF(INDEX(CODIFICACION!$E$2:$E$500,MATCH("D8.31|"&amp;CQ129,CODIFICACION!$F$2:$F$500,0))="sin dato","",INDEX(CODIFICACION!$E$2:$E$500,MATCH("D8.31|"&amp;CQ129,CODIFICACION!$F$2:$F$500,0))),"⚠"))</f>
        <v/>
      </c>
      <c r="BM129" t="str">
        <f>IF(CR129="","",IFERROR(IF(INDEX(CODIFICACION!$E$2:$E$500,MATCH("D8.32|"&amp;CR129,CODIFICACION!$F$2:$F$500,0))="sin dato","",INDEX(CODIFICACION!$E$2:$E$500,MATCH("D8.32|"&amp;CR129,CODIFICACION!$F$2:$F$500,0))),"⚠"))</f>
        <v/>
      </c>
      <c r="BN129" t="str">
        <f>IF(CS129="","",IFERROR(IF(INDEX(CODIFICACION!$E$2:$E$500,MATCH("D9.33|"&amp;CS129,CODIFICACION!$F$2:$F$500,0))="sin dato","",INDEX(CODIFICACION!$E$2:$E$500,MATCH("D9.33|"&amp;CS129,CODIFICACION!$F$2:$F$500,0))),"⚠"))</f>
        <v/>
      </c>
      <c r="BO129" t="str">
        <f>IF(CT129="","",IFERROR(IF(INDEX(CODIFICACION!$E$2:$E$500,MATCH("D9.34|"&amp;CT129,CODIFICACION!$F$2:$F$500,0))="sin dato","",INDEX(CODIFICACION!$E$2:$E$500,MATCH("D9.34|"&amp;CT129,CODIFICACION!$F$2:$F$500,0))),"⚠"))</f>
        <v/>
      </c>
      <c r="BP129" t="str">
        <f>IF(CU129="","",IFERROR(IF(INDEX(CODIFICACION!$E$2:$E$500,MATCH("D9.35|"&amp;CU129,CODIFICACION!$F$2:$F$500,0))="sin dato","",INDEX(CODIFICACION!$E$2:$E$500,MATCH("D9.35|"&amp;CU129,CODIFICACION!$F$2:$F$500,0))),"⚠"))</f>
        <v/>
      </c>
      <c r="BQ129" t="str">
        <f>IF(CV129="","",IFERROR(IF(INDEX(CODIFICACION!$E$2:$E$500,MATCH("D10.36|"&amp;CV129,CODIFICACION!$F$2:$F$500,0))="sin dato","",INDEX(CODIFICACION!$E$2:$E$500,MATCH("D10.36|"&amp;CV129,CODIFICACION!$F$2:$F$500,0))),"⚠"))</f>
        <v/>
      </c>
      <c r="BR129" t="str">
        <f>IF(CW129="","",IFERROR(IF(INDEX(CODIFICACION!$E$2:$E$500,MATCH("D10.37|"&amp;CW129,CODIFICACION!$F$2:$F$500,0))="sin dato","",INDEX(CODIFICACION!$E$2:$E$500,MATCH("D10.37|"&amp;CW129,CODIFICACION!$F$2:$F$500,0))),"⚠"))</f>
        <v/>
      </c>
      <c r="BS129" t="str">
        <f>IF(CX129="","",IFERROR(IF(INDEX(CODIFICACION!$E$2:$E$500,MATCH("D10.36a|"&amp;CX129,CODIFICACION!$F$2:$F$500,0))="sin dato","",INDEX(CODIFICACION!$E$2:$E$500,MATCH("D10.36a|"&amp;CX129,CODIFICACION!$F$2:$F$500,0))),"⚠"))</f>
        <v/>
      </c>
      <c r="BT129" t="str">
        <f t="shared" si="88"/>
        <v/>
      </c>
      <c r="BU129" t="str">
        <f>IF(DA129="","",IFERROR(IF(INDEX(CODIFICACION!$E$2:$E$500,MATCH("D11.39a|"&amp;DA129,CODIFICACION!$F$2:$F$500,0))="sin dato","",INDEX(CODIFICACION!$E$2:$E$500,MATCH("D11.39a|"&amp;DA129,CODIFICACION!$F$2:$F$500,0))),"⚠"))</f>
        <v/>
      </c>
      <c r="BV129" t="str">
        <f>IF(DB129="","",IFERROR(IF(INDEX(CODIFICACION!$E$2:$E$500,MATCH("D12.42|"&amp;DB129,CODIFICACION!$F$2:$F$500,0))="sin dato","",INDEX(CODIFICACION!$E$2:$E$500,MATCH("D12.42|"&amp;DB129,CODIFICACION!$F$2:$F$500,0))),"⚠"))</f>
        <v/>
      </c>
      <c r="BW129" t="str">
        <f>IF(DC129="","",IFERROR(IF(INDEX(CODIFICACION!$E$2:$E$500,MATCH("D13.45|"&amp;DC129,CODIFICACION!$F$2:$F$500,0))="sin dato","",INDEX(CODIFICACION!$E$2:$E$500,MATCH("D13.45|"&amp;DC129,CODIFICACION!$F$2:$F$500,0))),"⚠"))</f>
        <v/>
      </c>
      <c r="BX129" t="str">
        <f>IF(DD129="","",IFERROR(IF(INDEX(CODIFICACION!$E$2:$E$500,MATCH("D14.51|"&amp;DD129,CODIFICACION!$F$2:$F$500,0))="sin dato","",INDEX(CODIFICACION!$E$2:$E$500,MATCH("D14.51|"&amp;DD129,CODIFICACION!$F$2:$F$500,0))),"⚠"))</f>
        <v/>
      </c>
      <c r="BY129" t="str">
        <f>IF(DE129="","",IFERROR(IF(INDEX(CODIFICACION!$E$2:$E$500,MATCH("D15.58|"&amp;DE129,CODIFICACION!$F$2:$F$500,0))="sin dato","",INDEX(CODIFICACION!$E$2:$E$500,MATCH("D15.58|"&amp;DE129,CODIFICACION!$F$2:$F$500,0))),"⚠"))</f>
        <v/>
      </c>
      <c r="BZ129" t="str">
        <f>IF(DF129="","",IFERROR(IF(INDEX(CODIFICACION!$E$2:$E$500,MATCH("PP1|"&amp;DF129,CODIFICACION!$F$2:$F$500,0))="sin dato","",INDEX(CODIFICACION!$E$2:$E$500,MATCH("PP1|"&amp;DF129,CODIFICACION!$F$2:$F$500,0))),"⚠"))</f>
        <v/>
      </c>
      <c r="CA129" t="str">
        <f>IF(DG129="","",IFERROR(IF(INDEX(CODIFICACION!$E$2:$E$500,MATCH("PP2|"&amp;DG129,CODIFICACION!$F$2:$F$500,0))="sin dato","",INDEX(CODIFICACION!$E$2:$E$500,MATCH("PP2|"&amp;DG129,CODIFICACION!$F$2:$F$500,0))),"⚠"))</f>
        <v/>
      </c>
      <c r="CB129" t="str">
        <f t="shared" si="89"/>
        <v/>
      </c>
      <c r="CC129" t="str">
        <f t="shared" ca="1" si="90"/>
        <v/>
      </c>
      <c r="CD129" t="str">
        <f t="shared" ca="1" si="91"/>
        <v/>
      </c>
      <c r="CE129" t="str">
        <f t="shared" si="92"/>
        <v/>
      </c>
      <c r="CF129" t="str">
        <f t="shared" si="93"/>
        <v/>
      </c>
      <c r="CG129" t="str">
        <f t="shared" ca="1" si="94"/>
        <v/>
      </c>
      <c r="CH129" t="str">
        <f t="shared" ca="1" si="95"/>
        <v/>
      </c>
      <c r="CI129" t="str">
        <f t="shared" si="96"/>
        <v/>
      </c>
      <c r="CJ129" t="str">
        <f t="shared" si="97"/>
        <v/>
      </c>
      <c r="CK129" t="str">
        <f t="shared" si="98"/>
        <v/>
      </c>
      <c r="CL129" t="str">
        <f t="shared" si="99"/>
        <v/>
      </c>
    </row>
    <row r="130" spans="1:90" x14ac:dyDescent="0.3">
      <c r="A130">
        <f>CAPTURA!A130</f>
        <v>20602054480</v>
      </c>
      <c r="B130">
        <f>CAPTURA!C130</f>
        <v>0</v>
      </c>
      <c r="C130" t="str">
        <f t="shared" si="75"/>
        <v/>
      </c>
      <c r="D130" t="str">
        <f>IF(AE130="","",IFERROR(IF(INDEX(CODIFICACION!$E$2:$E$500,MATCH("P8|"&amp;AE130,CODIFICACION!$F$2:$F$500,0))="sin dato","",INDEX(CODIFICACION!$E$2:$E$500,MATCH("P8|"&amp;AE130,CODIFICACION!$F$2:$F$500,0))),"⚠"))</f>
        <v/>
      </c>
      <c r="E130" t="str">
        <f>IF(AG130="","",IFERROR(IF(INDEX(CODIFICACION!$E$2:$E$500,MATCH("P10|"&amp;AG130,CODIFICACION!$F$2:$F$500,0))="sin dato","",INDEX(CODIFICACION!$E$2:$E$500,MATCH("P10|"&amp;AG130,CODIFICACION!$F$2:$F$500,0))),"⚠"))</f>
        <v/>
      </c>
      <c r="F130" t="str">
        <f>IF(AJ130="","",IFERROR(IF(INDEX(CODIFICACION!$E$2:$E$500,MATCH("P13|"&amp;AJ130,CODIFICACION!$F$2:$F$500,0))="sin dato","",INDEX(CODIFICACION!$E$2:$E$500,MATCH("P13|"&amp;AJ130,CODIFICACION!$F$2:$F$500,0))),"⚠"))</f>
        <v/>
      </c>
      <c r="G130" t="str">
        <f>IF(AK130="","",IFERROR(IF(INDEX(CODIFICACION!$E$2:$E$500,MATCH("P14|"&amp;AK130,CODIFICACION!$F$2:$F$500,0))="sin dato","",INDEX(CODIFICACION!$E$2:$E$500,MATCH("P14|"&amp;AK130,CODIFICACION!$F$2:$F$500,0))),"⚠"))</f>
        <v/>
      </c>
      <c r="H130" t="str">
        <f>IF(AL130="","",IFERROR(IF(INDEX(CODIFICACION!$E$2:$E$500,MATCH("D1.1|"&amp;AL130,CODIFICACION!$F$2:$F$500,0))="sin dato","",INDEX(CODIFICACION!$E$2:$E$500,MATCH("D1.1|"&amp;AL130,CODIFICACION!$F$2:$F$500,0))),"⚠"))</f>
        <v/>
      </c>
      <c r="I130" t="str">
        <f>IF(AN130="","",IFERROR(IF(INDEX(CODIFICACION!$E$2:$E$500,MATCH("D1.3|"&amp;AN130,CODIFICACION!$F$2:$F$500,0))="sin dato","",INDEX(CODIFICACION!$E$2:$E$500,MATCH("D1.3|"&amp;AN130,CODIFICACION!$F$2:$F$500,0))),"⚠"))</f>
        <v/>
      </c>
      <c r="J130" t="str">
        <f>IF(AO130="","",IFERROR(IF(INDEX(CODIFICACION!$E$2:$E$500,MATCH("D1.4|"&amp;AO130,CODIFICACION!$F$2:$F$500,0))="sin dato","",INDEX(CODIFICACION!$E$2:$E$500,MATCH("D1.4|"&amp;AO130,CODIFICACION!$F$2:$F$500,0))),"⚠"))</f>
        <v/>
      </c>
      <c r="K130" t="str">
        <f>IF(AP130="","",IFERROR(IF(INDEX(CODIFICACION!$E$2:$E$500,MATCH("D1.3a|"&amp;AP130,CODIFICACION!$F$2:$F$500,0))="sin dato","",INDEX(CODIFICACION!$E$2:$E$500,MATCH("D1.3a|"&amp;AP130,CODIFICACION!$F$2:$F$500,0))),"⚠"))</f>
        <v/>
      </c>
      <c r="L130" t="str">
        <f t="shared" si="76"/>
        <v/>
      </c>
      <c r="M130" t="str">
        <f t="shared" si="77"/>
        <v/>
      </c>
      <c r="N130" t="str">
        <f t="shared" si="78"/>
        <v/>
      </c>
      <c r="O130" t="str">
        <f>IF(AT130="","",IFERROR(IF(INDEX(CODIFICACION!$E$2:$E$500,MATCH("D2.8|"&amp;AT130,CODIFICACION!$F$2:$F$500,0))="sin dato","",INDEX(CODIFICACION!$E$2:$E$500,MATCH("D2.8|"&amp;AT130,CODIFICACION!$F$2:$F$500,0))),"⚠"))</f>
        <v/>
      </c>
      <c r="P130" t="str">
        <f>IF(AU130="","",IFERROR(IF(INDEX(CODIFICACION!$E$2:$E$500,MATCH("D2.9|"&amp;AU130,CODIFICACION!$F$2:$F$500,0))="sin dato","",INDEX(CODIFICACION!$E$2:$E$500,MATCH("D2.9|"&amp;AU130,CODIFICACION!$F$2:$F$500,0))),"⚠"))</f>
        <v/>
      </c>
      <c r="Q130" t="str">
        <f>IF(AV130="","",IFERROR(IF(INDEX(CODIFICACION!$E$2:$E$500,MATCH("D2.10|"&amp;AV130,CODIFICACION!$F$2:$F$500,0))="sin dato","",INDEX(CODIFICACION!$E$2:$E$500,MATCH("D2.10|"&amp;AV130,CODIFICACION!$F$2:$F$500,0))),"⚠"))</f>
        <v/>
      </c>
      <c r="R130" t="str">
        <f>IF(AW130="","",IFERROR(IF(INDEX(CODIFICACION!$E$2:$E$500,MATCH("D2.5a|"&amp;AW130,CODIFICACION!$F$2:$F$500,0))="sin dato","",INDEX(CODIFICACION!$E$2:$E$500,MATCH("D2.5a|"&amp;AW130,CODIFICACION!$F$2:$F$500,0))),"⚠"))</f>
        <v/>
      </c>
      <c r="S130" t="str">
        <f ca="1">IF(AX130="","",IFERROR(IF(INDEX(CODIFICACION!$E$2:$E$500,MATCH("D2.5b|"&amp;AX130,CODIFICACION!$F$2:$F$500,0))="sin dato","",INDEX(CODIFICACION!$E$2:$E$500,MATCH("D2.5b|"&amp;AX130,CODIFICACION!$F$2:$F$500,0))),"⚠"))</f>
        <v/>
      </c>
      <c r="T130" t="str">
        <f t="shared" ca="1" si="79"/>
        <v/>
      </c>
      <c r="U130" t="str">
        <f>IF(AZ130="","",IFERROR(IF(INDEX(CODIFICACION!$E$2:$E$500,MATCH("D3.12|"&amp;AZ130,CODIFICACION!$F$2:$F$500,0))="sin dato","",INDEX(CODIFICACION!$E$2:$E$500,MATCH("D3.12|"&amp;AZ130,CODIFICACION!$F$2:$F$500,0))),"⚠"))</f>
        <v/>
      </c>
      <c r="V130" t="str">
        <f t="shared" si="80"/>
        <v/>
      </c>
      <c r="W130" t="str">
        <f ca="1">IF(BB130="","",IFERROR(IF(INDEX(CODIFICACION!$E$2:$E$500,MATCH("D3.14|"&amp;BB130,CODIFICACION!$F$2:$F$500,0))="sin dato","",INDEX(CODIFICACION!$E$2:$E$500,MATCH("D3.14|"&amp;BB130,CODIFICACION!$F$2:$F$500,0))),"⚠"))</f>
        <v/>
      </c>
      <c r="X130" t="str">
        <f ca="1">IF(BC130="","",IFERROR(IF(INDEX(CODIFICACION!$E$2:$E$500,MATCH("D3.14a|"&amp;BC130,CODIFICACION!$F$2:$F$500,0))="sin dato","",INDEX(CODIFICACION!$E$2:$E$500,MATCH("D3.14a|"&amp;BC130,CODIFICACION!$F$2:$F$500,0))),"⚠"))</f>
        <v/>
      </c>
      <c r="Y130" t="str">
        <f>IF(BD130="","",IFERROR(IF(INDEX(CODIFICACION!$E$2:$E$500,MATCH("D3.14b|"&amp;BD130,CODIFICACION!$F$2:$F$500,0))="sin dato","",INDEX(CODIFICACION!$E$2:$E$500,MATCH("D3.14b|"&amp;BD130,CODIFICACION!$F$2:$F$500,0))),"⚠"))</f>
        <v/>
      </c>
      <c r="Z130" t="str">
        <f>IF(BE130="","",IFERROR(IF(INDEX(CODIFICACION!$E$2:$E$500,MATCH("D3.14c|"&amp;BE130,CODIFICACION!$F$2:$F$500,0))="sin dato","",INDEX(CODIFICACION!$E$2:$E$500,MATCH("D3.14c|"&amp;BE130,CODIFICACION!$F$2:$F$500,0))),"⚠"))</f>
        <v/>
      </c>
      <c r="AA130" t="str">
        <f>IF(BF130="","",IFERROR(IF(INDEX(CODIFICACION!$E$2:$E$500,MATCH("D3.14d|"&amp;BF130,CODIFICACION!$F$2:$F$500,0))="sin dato","",INDEX(CODIFICACION!$E$2:$E$500,MATCH("D3.14d|"&amp;BF130,CODIFICACION!$F$2:$F$500,0))),"⚠"))</f>
        <v/>
      </c>
      <c r="AB130" t="str">
        <f>IF(BG130="","",IFERROR(IF(INDEX(CODIFICACION!$E$2:$E$500,MATCH("D3.14e|"&amp;BG130,CODIFICACION!$F$2:$F$500,0))="sin dato","",INDEX(CODIFICACION!$E$2:$E$500,MATCH("D3.14e|"&amp;BG130,CODIFICACION!$F$2:$F$500,0))),"⚠"))</f>
        <v/>
      </c>
      <c r="AC130" t="str">
        <f>IF(BH130="","",IFERROR(IF(INDEX(CODIFICACION!$E$2:$E$500,MATCH("D3.14f|"&amp;BH130,CODIFICACION!$F$2:$F$500,0))="sin dato","",INDEX(CODIFICACION!$E$2:$E$500,MATCH("D3.14f|"&amp;BH130,CODIFICACION!$F$2:$F$500,0))),"⚠"))</f>
        <v/>
      </c>
      <c r="AD130" t="str">
        <f>IF(BI130="","",IFERROR(IF(INDEX(CODIFICACION!$E$2:$E$500,MATCH("D3.14g|"&amp;BI130,CODIFICACION!$F$2:$F$500,0))="sin dato","",INDEX(CODIFICACION!$E$2:$E$500,MATCH("D3.14g|"&amp;BI130,CODIFICACION!$F$2:$F$500,0))),"⚠"))</f>
        <v/>
      </c>
      <c r="AE130" t="str">
        <f>IF(BJ130="","",IFERROR(IF(INDEX(CODIFICACION!$E$2:$E$500,MATCH("D3.14h|"&amp;BJ130,CODIFICACION!$F$2:$F$500,0))="sin dato","",INDEX(CODIFICACION!$E$2:$E$500,MATCH("D3.14h|"&amp;BJ130,CODIFICACION!$F$2:$F$500,0))),"⚠"))</f>
        <v/>
      </c>
      <c r="AF130" t="str">
        <f>IF(BK130="","",IFERROR(IF(INDEX(CODIFICACION!$E$2:$E$500,MATCH("D3.14i|"&amp;BK130,CODIFICACION!$F$2:$F$500,0))="sin dato","",INDEX(CODIFICACION!$E$2:$E$500,MATCH("D3.14i|"&amp;BK130,CODIFICACION!$F$2:$F$500,0))),"⚠"))</f>
        <v/>
      </c>
      <c r="AG130" t="str">
        <f>IF(BL130="","",IFERROR(IF(INDEX(CODIFICACION!$E$2:$E$500,MATCH("D4.15|"&amp;BL130,CODIFICACION!$F$2:$F$500,0))="sin dato","",INDEX(CODIFICACION!$E$2:$E$500,MATCH("D4.15|"&amp;BL130,CODIFICACION!$F$2:$F$500,0))),"⚠"))</f>
        <v/>
      </c>
      <c r="AH130" t="str">
        <f t="shared" si="81"/>
        <v/>
      </c>
      <c r="AI130" t="str">
        <f>IF(BN130="","",IFERROR(IF(INDEX(CODIFICACION!$E$2:$E$500,MATCH("D4.17|"&amp;BN130,CODIFICACION!$F$2:$F$500,0))="sin dato","",INDEX(CODIFICACION!$E$2:$E$500,MATCH("D4.17|"&amp;BN130,CODIFICACION!$F$2:$F$500,0))),"⚠"))</f>
        <v/>
      </c>
      <c r="AJ130" t="str">
        <f>IF(BO130="","",IFERROR(IF(INDEX(CODIFICACION!$E$2:$E$500,MATCH("D4.15a|"&amp;BO130,CODIFICACION!$F$2:$F$500,0))="sin dato","",INDEX(CODIFICACION!$E$2:$E$500,MATCH("D4.15a|"&amp;BO130,CODIFICACION!$F$2:$F$500,0))),"⚠"))</f>
        <v/>
      </c>
      <c r="AK130" t="str">
        <f t="shared" si="82"/>
        <v/>
      </c>
      <c r="AL130" t="str">
        <f t="shared" si="83"/>
        <v/>
      </c>
      <c r="AM130" t="str">
        <f>IF(BR130="","",IFERROR(IF(INDEX(CODIFICACION!$E$2:$E$500,MATCH("D5.18b|"&amp;BR130,CODIFICACION!$F$2:$F$500,0))="sin dato","",INDEX(CODIFICACION!$E$2:$E$500,MATCH("D5.18b|"&amp;BR130,CODIFICACION!$F$2:$F$500,0))),"⚠"))</f>
        <v/>
      </c>
      <c r="AN130" t="str">
        <f>IF(BS130="","",IFERROR(IF(INDEX(CODIFICACION!$E$2:$E$500,MATCH("D5.19|"&amp;BS130,CODIFICACION!$F$2:$F$500,0))="sin dato","",INDEX(CODIFICACION!$E$2:$E$500,MATCH("D5.19|"&amp;BS130,CODIFICACION!$F$2:$F$500,0))),"⚠"))</f>
        <v/>
      </c>
      <c r="AO130" t="str">
        <f t="shared" si="84"/>
        <v/>
      </c>
      <c r="AP130" t="str">
        <f>IF(BU130="","",IFERROR(IF(INDEX(CODIFICACION!$E$2:$E$500,MATCH("D5.20|"&amp;BU130,CODIFICACION!$F$2:$F$500,0))="sin dato","",INDEX(CODIFICACION!$E$2:$E$500,MATCH("D5.20|"&amp;BU130,CODIFICACION!$F$2:$F$500,0))),"⚠"))</f>
        <v/>
      </c>
      <c r="AQ130" t="str">
        <f>IF(BV130="","",IFERROR(IF(INDEX(CODIFICACION!$E$2:$E$500,MATCH("D5.21|"&amp;BV130,CODIFICACION!$F$2:$F$500,0))="sin dato","",INDEX(CODIFICACION!$E$2:$E$500,MATCH("D5.21|"&amp;BV130,CODIFICACION!$F$2:$F$500,0))),"⚠"))</f>
        <v/>
      </c>
      <c r="AR130" t="str">
        <f>IF(BW130="","",IFERROR(IF(INDEX(CODIFICACION!$E$2:$E$500,MATCH("D5.21a|"&amp;BW130,CODIFICACION!$F$2:$F$500,0))="sin dato","",INDEX(CODIFICACION!$E$2:$E$500,MATCH("D5.21a|"&amp;BW130,CODIFICACION!$F$2:$F$500,0))),"⚠"))</f>
        <v/>
      </c>
      <c r="AS130" t="str">
        <f>IF(BX130="","",IFERROR(IF(INDEX(CODIFICACION!$E$2:$E$500,MATCH("D5.21b|"&amp;BX130,CODIFICACION!$F$2:$F$500,0))="sin dato","",INDEX(CODIFICACION!$E$2:$E$500,MATCH("D5.21b|"&amp;BX130,CODIFICACION!$F$2:$F$500,0))),"⚠"))</f>
        <v/>
      </c>
      <c r="AT130" t="str">
        <f>IF(BY130="","",IFERROR(IF(INDEX(CODIFICACION!$E$2:$E$500,MATCH("D6.22|"&amp;BY130,CODIFICACION!$F$2:$F$500,0))="sin dato","",INDEX(CODIFICACION!$E$2:$E$500,MATCH("D6.22|"&amp;BY130,CODIFICACION!$F$2:$F$500,0))),"⚠"))</f>
        <v/>
      </c>
      <c r="AU130" t="str">
        <f>IF(BZ130="","",IFERROR(IF(INDEX(CODIFICACION!$E$2:$E$500,MATCH("D6.22a|"&amp;BZ130,CODIFICACION!$F$2:$F$500,0))="sin dato","",INDEX(CODIFICACION!$E$2:$E$500,MATCH("D6.22a|"&amp;BZ130,CODIFICACION!$F$2:$F$500,0))),"⚠"))</f>
        <v/>
      </c>
      <c r="AV130" t="str">
        <f>IF(CA130="","",IFERROR(IF(INDEX(CODIFICACION!$E$2:$E$500,MATCH("D6.22b|"&amp;CA130,CODIFICACION!$F$2:$F$500,0))="sin dato","",INDEX(CODIFICACION!$E$2:$E$500,MATCH("D6.22b|"&amp;CA130,CODIFICACION!$F$2:$F$500,0))),"⚠"))</f>
        <v/>
      </c>
      <c r="AW130" t="str">
        <f>IF(CB130="","",IFERROR(IF(INDEX(CODIFICACION!$E$2:$E$500,MATCH("D6.23|"&amp;CB130,CODIFICACION!$F$2:$F$500,0))="sin dato","",INDEX(CODIFICACION!$E$2:$E$500,MATCH("D6.23|"&amp;CB130,CODIFICACION!$F$2:$F$500,0))),"⚠"))</f>
        <v/>
      </c>
      <c r="AX130" t="str">
        <f ca="1">IF(CC130="","",IFERROR(IF(INDEX(CODIFICACION!$E$2:$E$500,MATCH("D6.24|"&amp;CC130,CODIFICACION!$F$2:$F$500,0))="sin dato","",INDEX(CODIFICACION!$E$2:$E$500,MATCH("D6.24|"&amp;CC130,CODIFICACION!$F$2:$F$500,0))),"⚠"))</f>
        <v/>
      </c>
      <c r="AY130" t="str">
        <f ca="1">IF(CD130="","",IFERROR(IF(INDEX(CODIFICACION!$E$2:$E$500,MATCH("D6.25|"&amp;CD130,CODIFICACION!$F$2:$F$500,0))="sin dato","",INDEX(CODIFICACION!$E$2:$E$500,MATCH("D6.25|"&amp;CD130,CODIFICACION!$F$2:$F$500,0))),"⚠"))</f>
        <v/>
      </c>
      <c r="AZ130" t="str">
        <f>IF(CE130="","",IFERROR(IF(INDEX(CODIFICACION!$E$2:$E$500,MATCH("D6.25a|"&amp;CE130,CODIFICACION!$F$2:$F$500,0))="sin dato","",INDEX(CODIFICACION!$E$2:$E$500,MATCH("D6.25a|"&amp;CE130,CODIFICACION!$F$2:$F$500,0))),"⚠"))</f>
        <v/>
      </c>
      <c r="BA130" t="str">
        <f>IF(CF130="","",IFERROR(IF(INDEX(CODIFICACION!$E$2:$E$500,MATCH("D6.25b|"&amp;CF130,CODIFICACION!$F$2:$F$500,0))="sin dato","",INDEX(CODIFICACION!$E$2:$E$500,MATCH("D6.25b|"&amp;CF130,CODIFICACION!$F$2:$F$500,0))),"⚠"))</f>
        <v/>
      </c>
      <c r="BB130" t="str">
        <f ca="1">IF(CG130="","",IFERROR(IF(INDEX(CODIFICACION!$E$2:$E$500,MATCH("D6.22c|"&amp;CG130,CODIFICACION!$F$2:$F$500,0))="sin dato","",INDEX(CODIFICACION!$E$2:$E$500,MATCH("D6.22c|"&amp;CG130,CODIFICACION!$F$2:$F$500,0))),"⚠"))</f>
        <v/>
      </c>
      <c r="BC130" t="str">
        <f ca="1">IF(CH130="","",IFERROR(IF(INDEX(CODIFICACION!$E$2:$E$500,MATCH("D7.26|"&amp;CH130,CODIFICACION!$F$2:$F$500,0))="sin dato","",INDEX(CODIFICACION!$E$2:$E$500,MATCH("D7.26|"&amp;CH130,CODIFICACION!$F$2:$F$500,0))),"⚠"))</f>
        <v/>
      </c>
      <c r="BD130" t="str">
        <f>IF(CI130="","",IFERROR(IF(INDEX(CODIFICACION!$E$2:$E$500,MATCH("D7.27|"&amp;CI130,CODIFICACION!$F$2:$F$500,0))="sin dato","",INDEX(CODIFICACION!$E$2:$E$500,MATCH("D7.27|"&amp;CI130,CODIFICACION!$F$2:$F$500,0))),"⚠"))</f>
        <v/>
      </c>
      <c r="BE130" t="str">
        <f>IF(CJ130="","",IFERROR(IF(INDEX(CODIFICACION!$E$2:$E$500,MATCH("D7.28|"&amp;CJ130,CODIFICACION!$F$2:$F$500,0))="sin dato","",INDEX(CODIFICACION!$E$2:$E$500,MATCH("D7.28|"&amp;CJ130,CODIFICACION!$F$2:$F$500,0))),"⚠"))</f>
        <v/>
      </c>
      <c r="BF130" t="str">
        <f>IF(CK130="","",IFERROR(IF(INDEX(CODIFICACION!$E$2:$E$500,MATCH("D7.28b|"&amp;CK130,CODIFICACION!$F$2:$F$500,0))="sin dato","",INDEX(CODIFICACION!$E$2:$E$500,MATCH("D7.28b|"&amp;CK130,CODIFICACION!$F$2:$F$500,0))),"⚠"))</f>
        <v/>
      </c>
      <c r="BG130" t="str">
        <f t="shared" si="85"/>
        <v/>
      </c>
      <c r="BH130" t="str">
        <f>IF(CM130="","",IFERROR(IF(INDEX(CODIFICACION!$E$2:$E$500,MATCH("D7.26a|"&amp;CM130,CODIFICACION!$F$2:$F$500,0))="sin dato","",INDEX(CODIFICACION!$E$2:$E$500,MATCH("D7.26a|"&amp;CM130,CODIFICACION!$F$2:$F$500,0))),"⚠"))</f>
        <v/>
      </c>
      <c r="BI130" t="str">
        <f>IF(CN130="","",IFERROR(IF(INDEX(CODIFICACION!$E$2:$E$500,MATCH("D7.26b|"&amp;CN130,CODIFICACION!$F$2:$F$500,0))="sin dato","",INDEX(CODIFICACION!$E$2:$E$500,MATCH("D7.26b|"&amp;CN130,CODIFICACION!$F$2:$F$500,0))),"⚠"))</f>
        <v/>
      </c>
      <c r="BJ130" t="str">
        <f t="shared" si="86"/>
        <v/>
      </c>
      <c r="BK130" t="str">
        <f t="shared" si="87"/>
        <v/>
      </c>
      <c r="BL130" t="str">
        <f>IF(CQ130="","",IFERROR(IF(INDEX(CODIFICACION!$E$2:$E$500,MATCH("D8.31|"&amp;CQ130,CODIFICACION!$F$2:$F$500,0))="sin dato","",INDEX(CODIFICACION!$E$2:$E$500,MATCH("D8.31|"&amp;CQ130,CODIFICACION!$F$2:$F$500,0))),"⚠"))</f>
        <v/>
      </c>
      <c r="BM130" t="str">
        <f>IF(CR130="","",IFERROR(IF(INDEX(CODIFICACION!$E$2:$E$500,MATCH("D8.32|"&amp;CR130,CODIFICACION!$F$2:$F$500,0))="sin dato","",INDEX(CODIFICACION!$E$2:$E$500,MATCH("D8.32|"&amp;CR130,CODIFICACION!$F$2:$F$500,0))),"⚠"))</f>
        <v/>
      </c>
      <c r="BN130" t="str">
        <f>IF(CS130="","",IFERROR(IF(INDEX(CODIFICACION!$E$2:$E$500,MATCH("D9.33|"&amp;CS130,CODIFICACION!$F$2:$F$500,0))="sin dato","",INDEX(CODIFICACION!$E$2:$E$500,MATCH("D9.33|"&amp;CS130,CODIFICACION!$F$2:$F$500,0))),"⚠"))</f>
        <v/>
      </c>
      <c r="BO130" t="str">
        <f>IF(CT130="","",IFERROR(IF(INDEX(CODIFICACION!$E$2:$E$500,MATCH("D9.34|"&amp;CT130,CODIFICACION!$F$2:$F$500,0))="sin dato","",INDEX(CODIFICACION!$E$2:$E$500,MATCH("D9.34|"&amp;CT130,CODIFICACION!$F$2:$F$500,0))),"⚠"))</f>
        <v/>
      </c>
      <c r="BP130" t="str">
        <f>IF(CU130="","",IFERROR(IF(INDEX(CODIFICACION!$E$2:$E$500,MATCH("D9.35|"&amp;CU130,CODIFICACION!$F$2:$F$500,0))="sin dato","",INDEX(CODIFICACION!$E$2:$E$500,MATCH("D9.35|"&amp;CU130,CODIFICACION!$F$2:$F$500,0))),"⚠"))</f>
        <v/>
      </c>
      <c r="BQ130" t="str">
        <f>IF(CV130="","",IFERROR(IF(INDEX(CODIFICACION!$E$2:$E$500,MATCH("D10.36|"&amp;CV130,CODIFICACION!$F$2:$F$500,0))="sin dato","",INDEX(CODIFICACION!$E$2:$E$500,MATCH("D10.36|"&amp;CV130,CODIFICACION!$F$2:$F$500,0))),"⚠"))</f>
        <v/>
      </c>
      <c r="BR130" t="str">
        <f>IF(CW130="","",IFERROR(IF(INDEX(CODIFICACION!$E$2:$E$500,MATCH("D10.37|"&amp;CW130,CODIFICACION!$F$2:$F$500,0))="sin dato","",INDEX(CODIFICACION!$E$2:$E$500,MATCH("D10.37|"&amp;CW130,CODIFICACION!$F$2:$F$500,0))),"⚠"))</f>
        <v/>
      </c>
      <c r="BS130" t="str">
        <f>IF(CX130="","",IFERROR(IF(INDEX(CODIFICACION!$E$2:$E$500,MATCH("D10.36a|"&amp;CX130,CODIFICACION!$F$2:$F$500,0))="sin dato","",INDEX(CODIFICACION!$E$2:$E$500,MATCH("D10.36a|"&amp;CX130,CODIFICACION!$F$2:$F$500,0))),"⚠"))</f>
        <v/>
      </c>
      <c r="BT130" t="str">
        <f t="shared" si="88"/>
        <v/>
      </c>
      <c r="BU130" t="str">
        <f>IF(DA130="","",IFERROR(IF(INDEX(CODIFICACION!$E$2:$E$500,MATCH("D11.39a|"&amp;DA130,CODIFICACION!$F$2:$F$500,0))="sin dato","",INDEX(CODIFICACION!$E$2:$E$500,MATCH("D11.39a|"&amp;DA130,CODIFICACION!$F$2:$F$500,0))),"⚠"))</f>
        <v/>
      </c>
      <c r="BV130" t="str">
        <f>IF(DB130="","",IFERROR(IF(INDEX(CODIFICACION!$E$2:$E$500,MATCH("D12.42|"&amp;DB130,CODIFICACION!$F$2:$F$500,0))="sin dato","",INDEX(CODIFICACION!$E$2:$E$500,MATCH("D12.42|"&amp;DB130,CODIFICACION!$F$2:$F$500,0))),"⚠"))</f>
        <v/>
      </c>
      <c r="BW130" t="str">
        <f>IF(DC130="","",IFERROR(IF(INDEX(CODIFICACION!$E$2:$E$500,MATCH("D13.45|"&amp;DC130,CODIFICACION!$F$2:$F$500,0))="sin dato","",INDEX(CODIFICACION!$E$2:$E$500,MATCH("D13.45|"&amp;DC130,CODIFICACION!$F$2:$F$500,0))),"⚠"))</f>
        <v/>
      </c>
      <c r="BX130" t="str">
        <f>IF(DD130="","",IFERROR(IF(INDEX(CODIFICACION!$E$2:$E$500,MATCH("D14.51|"&amp;DD130,CODIFICACION!$F$2:$F$500,0))="sin dato","",INDEX(CODIFICACION!$E$2:$E$500,MATCH("D14.51|"&amp;DD130,CODIFICACION!$F$2:$F$500,0))),"⚠"))</f>
        <v/>
      </c>
      <c r="BY130" t="str">
        <f>IF(DE130="","",IFERROR(IF(INDEX(CODIFICACION!$E$2:$E$500,MATCH("D15.58|"&amp;DE130,CODIFICACION!$F$2:$F$500,0))="sin dato","",INDEX(CODIFICACION!$E$2:$E$500,MATCH("D15.58|"&amp;DE130,CODIFICACION!$F$2:$F$500,0))),"⚠"))</f>
        <v/>
      </c>
      <c r="BZ130" t="str">
        <f>IF(DF130="","",IFERROR(IF(INDEX(CODIFICACION!$E$2:$E$500,MATCH("PP1|"&amp;DF130,CODIFICACION!$F$2:$F$500,0))="sin dato","",INDEX(CODIFICACION!$E$2:$E$500,MATCH("PP1|"&amp;DF130,CODIFICACION!$F$2:$F$500,0))),"⚠"))</f>
        <v/>
      </c>
      <c r="CA130" t="str">
        <f>IF(DG130="","",IFERROR(IF(INDEX(CODIFICACION!$E$2:$E$500,MATCH("PP2|"&amp;DG130,CODIFICACION!$F$2:$F$500,0))="sin dato","",INDEX(CODIFICACION!$E$2:$E$500,MATCH("PP2|"&amp;DG130,CODIFICACION!$F$2:$F$500,0))),"⚠"))</f>
        <v/>
      </c>
      <c r="CB130" t="str">
        <f t="shared" si="89"/>
        <v/>
      </c>
      <c r="CC130" t="str">
        <f t="shared" ca="1" si="90"/>
        <v/>
      </c>
      <c r="CD130" t="str">
        <f t="shared" ca="1" si="91"/>
        <v/>
      </c>
      <c r="CE130" t="str">
        <f t="shared" si="92"/>
        <v/>
      </c>
      <c r="CF130" t="str">
        <f t="shared" si="93"/>
        <v/>
      </c>
      <c r="CG130" t="str">
        <f t="shared" ca="1" si="94"/>
        <v/>
      </c>
      <c r="CH130" t="str">
        <f t="shared" ca="1" si="95"/>
        <v/>
      </c>
      <c r="CI130" t="str">
        <f t="shared" si="96"/>
        <v/>
      </c>
      <c r="CJ130" t="str">
        <f t="shared" si="97"/>
        <v/>
      </c>
      <c r="CK130" t="str">
        <f t="shared" si="98"/>
        <v/>
      </c>
      <c r="CL130" t="str">
        <f t="shared" si="99"/>
        <v/>
      </c>
    </row>
    <row r="131" spans="1:90" x14ac:dyDescent="0.3">
      <c r="A131">
        <f>CAPTURA!A131</f>
        <v>20602161081</v>
      </c>
      <c r="B131">
        <f>CAPTURA!C131</f>
        <v>0</v>
      </c>
      <c r="C131" t="str">
        <f t="shared" ref="C131:C162" si="100">IF(M131="","",ROUND((ISNUMBER(SEARCH("Alemania",M131))+ISNUMBER(SEARCH("Bélgica",M131))+ISNUMBER(SEARCH("Países Bajos",M131))+ISNUMBER(SEARCH("Francia",M131))+ISNUMBER(SEARCH("Italia",M131))+ISNUMBER(SEARCH("España",M131))+ISNUMBER(SEARCH("Suecia",M131))+ISNUMBER(SEARCH("Dinamarca",M131)))/((LEN(M131)-LEN(SUBSTITUTE(M131,";","")))+1)*100,1))</f>
        <v/>
      </c>
      <c r="D131" t="str">
        <f>IF(AE131="","",IFERROR(IF(INDEX(CODIFICACION!$E$2:$E$500,MATCH("P8|"&amp;AE131,CODIFICACION!$F$2:$F$500,0))="sin dato","",INDEX(CODIFICACION!$E$2:$E$500,MATCH("P8|"&amp;AE131,CODIFICACION!$F$2:$F$500,0))),"⚠"))</f>
        <v/>
      </c>
      <c r="E131" t="str">
        <f>IF(AG131="","",IFERROR(IF(INDEX(CODIFICACION!$E$2:$E$500,MATCH("P10|"&amp;AG131,CODIFICACION!$F$2:$F$500,0))="sin dato","",INDEX(CODIFICACION!$E$2:$E$500,MATCH("P10|"&amp;AG131,CODIFICACION!$F$2:$F$500,0))),"⚠"))</f>
        <v/>
      </c>
      <c r="F131" t="str">
        <f>IF(AJ131="","",IFERROR(IF(INDEX(CODIFICACION!$E$2:$E$500,MATCH("P13|"&amp;AJ131,CODIFICACION!$F$2:$F$500,0))="sin dato","",INDEX(CODIFICACION!$E$2:$E$500,MATCH("P13|"&amp;AJ131,CODIFICACION!$F$2:$F$500,0))),"⚠"))</f>
        <v/>
      </c>
      <c r="G131" t="str">
        <f>IF(AK131="","",IFERROR(IF(INDEX(CODIFICACION!$E$2:$E$500,MATCH("P14|"&amp;AK131,CODIFICACION!$F$2:$F$500,0))="sin dato","",INDEX(CODIFICACION!$E$2:$E$500,MATCH("P14|"&amp;AK131,CODIFICACION!$F$2:$F$500,0))),"⚠"))</f>
        <v/>
      </c>
      <c r="H131" t="str">
        <f>IF(AL131="","",IFERROR(IF(INDEX(CODIFICACION!$E$2:$E$500,MATCH("D1.1|"&amp;AL131,CODIFICACION!$F$2:$F$500,0))="sin dato","",INDEX(CODIFICACION!$E$2:$E$500,MATCH("D1.1|"&amp;AL131,CODIFICACION!$F$2:$F$500,0))),"⚠"))</f>
        <v/>
      </c>
      <c r="I131" t="str">
        <f>IF(AN131="","",IFERROR(IF(INDEX(CODIFICACION!$E$2:$E$500,MATCH("D1.3|"&amp;AN131,CODIFICACION!$F$2:$F$500,0))="sin dato","",INDEX(CODIFICACION!$E$2:$E$500,MATCH("D1.3|"&amp;AN131,CODIFICACION!$F$2:$F$500,0))),"⚠"))</f>
        <v/>
      </c>
      <c r="J131" t="str">
        <f>IF(AO131="","",IFERROR(IF(INDEX(CODIFICACION!$E$2:$E$500,MATCH("D1.4|"&amp;AO131,CODIFICACION!$F$2:$F$500,0))="sin dato","",INDEX(CODIFICACION!$E$2:$E$500,MATCH("D1.4|"&amp;AO131,CODIFICACION!$F$2:$F$500,0))),"⚠"))</f>
        <v/>
      </c>
      <c r="K131" t="str">
        <f>IF(AP131="","",IFERROR(IF(INDEX(CODIFICACION!$E$2:$E$500,MATCH("D1.3a|"&amp;AP131,CODIFICACION!$F$2:$F$500,0))="sin dato","",INDEX(CODIFICACION!$E$2:$E$500,MATCH("D1.3a|"&amp;AP131,CODIFICACION!$F$2:$F$500,0))),"⚠"))</f>
        <v/>
      </c>
      <c r="L131" t="str">
        <f t="shared" ref="L131:L162" si="101">IF(AQ131="","",IF(AND(ISNUMBER(AQ131),AQ131&gt;=0,AQ131&lt;=4),AQ131*25,"⚠"))</f>
        <v/>
      </c>
      <c r="M131" t="str">
        <f t="shared" ref="M131:M162" si="102">IF(AR131="","",IF(ISNUMBER(AR131),MAX(0,MIN(100,AR131)),"⚠"))</f>
        <v/>
      </c>
      <c r="N131" t="str">
        <f t="shared" ref="N131:N162" si="103">IF(AS131="","",IF(AND(ISNUMBER(AS131),AS131&gt;=0,AS131&lt;=4),AS131*25,"⚠"))</f>
        <v/>
      </c>
      <c r="O131" t="str">
        <f>IF(AT131="","",IFERROR(IF(INDEX(CODIFICACION!$E$2:$E$500,MATCH("D2.8|"&amp;AT131,CODIFICACION!$F$2:$F$500,0))="sin dato","",INDEX(CODIFICACION!$E$2:$E$500,MATCH("D2.8|"&amp;AT131,CODIFICACION!$F$2:$F$500,0))),"⚠"))</f>
        <v/>
      </c>
      <c r="P131" t="str">
        <f>IF(AU131="","",IFERROR(IF(INDEX(CODIFICACION!$E$2:$E$500,MATCH("D2.9|"&amp;AU131,CODIFICACION!$F$2:$F$500,0))="sin dato","",INDEX(CODIFICACION!$E$2:$E$500,MATCH("D2.9|"&amp;AU131,CODIFICACION!$F$2:$F$500,0))),"⚠"))</f>
        <v/>
      </c>
      <c r="Q131" t="str">
        <f>IF(AV131="","",IFERROR(IF(INDEX(CODIFICACION!$E$2:$E$500,MATCH("D2.10|"&amp;AV131,CODIFICACION!$F$2:$F$500,0))="sin dato","",INDEX(CODIFICACION!$E$2:$E$500,MATCH("D2.10|"&amp;AV131,CODIFICACION!$F$2:$F$500,0))),"⚠"))</f>
        <v/>
      </c>
      <c r="R131" t="str">
        <f>IF(AW131="","",IFERROR(IF(INDEX(CODIFICACION!$E$2:$E$500,MATCH("D2.5a|"&amp;AW131,CODIFICACION!$F$2:$F$500,0))="sin dato","",INDEX(CODIFICACION!$E$2:$E$500,MATCH("D2.5a|"&amp;AW131,CODIFICACION!$F$2:$F$500,0))),"⚠"))</f>
        <v/>
      </c>
      <c r="S131" t="str">
        <f ca="1">IF(AX131="","",IFERROR(IF(INDEX(CODIFICACION!$E$2:$E$500,MATCH("D2.5b|"&amp;AX131,CODIFICACION!$F$2:$F$500,0))="sin dato","",INDEX(CODIFICACION!$E$2:$E$500,MATCH("D2.5b|"&amp;AX131,CODIFICACION!$F$2:$F$500,0))),"⚠"))</f>
        <v/>
      </c>
      <c r="T131" t="str">
        <f t="shared" ref="T131:T162" ca="1" si="104">IF(AY131="","",IF(ISNUMBER(AY131),MAX(0,MIN(100,AY131)),"⚠"))</f>
        <v/>
      </c>
      <c r="U131" t="str">
        <f>IF(AZ131="","",IFERROR(IF(INDEX(CODIFICACION!$E$2:$E$500,MATCH("D3.12|"&amp;AZ131,CODIFICACION!$F$2:$F$500,0))="sin dato","",INDEX(CODIFICACION!$E$2:$E$500,MATCH("D3.12|"&amp;AZ131,CODIFICACION!$F$2:$F$500,0))),"⚠"))</f>
        <v/>
      </c>
      <c r="V131" t="str">
        <f t="shared" ref="V131:V162" si="105">IF(BA131="","",IF(AND(ISNUMBER(BA131),BA131&gt;=0,BA131&lt;=4),BA131*25,"⚠"))</f>
        <v/>
      </c>
      <c r="W131" t="str">
        <f ca="1">IF(BB131="","",IFERROR(IF(INDEX(CODIFICACION!$E$2:$E$500,MATCH("D3.14|"&amp;BB131,CODIFICACION!$F$2:$F$500,0))="sin dato","",INDEX(CODIFICACION!$E$2:$E$500,MATCH("D3.14|"&amp;BB131,CODIFICACION!$F$2:$F$500,0))),"⚠"))</f>
        <v/>
      </c>
      <c r="X131" t="str">
        <f ca="1">IF(BC131="","",IFERROR(IF(INDEX(CODIFICACION!$E$2:$E$500,MATCH("D3.14a|"&amp;BC131,CODIFICACION!$F$2:$F$500,0))="sin dato","",INDEX(CODIFICACION!$E$2:$E$500,MATCH("D3.14a|"&amp;BC131,CODIFICACION!$F$2:$F$500,0))),"⚠"))</f>
        <v/>
      </c>
      <c r="Y131" t="str">
        <f>IF(BD131="","",IFERROR(IF(INDEX(CODIFICACION!$E$2:$E$500,MATCH("D3.14b|"&amp;BD131,CODIFICACION!$F$2:$F$500,0))="sin dato","",INDEX(CODIFICACION!$E$2:$E$500,MATCH("D3.14b|"&amp;BD131,CODIFICACION!$F$2:$F$500,0))),"⚠"))</f>
        <v/>
      </c>
      <c r="Z131" t="str">
        <f>IF(BE131="","",IFERROR(IF(INDEX(CODIFICACION!$E$2:$E$500,MATCH("D3.14c|"&amp;BE131,CODIFICACION!$F$2:$F$500,0))="sin dato","",INDEX(CODIFICACION!$E$2:$E$500,MATCH("D3.14c|"&amp;BE131,CODIFICACION!$F$2:$F$500,0))),"⚠"))</f>
        <v/>
      </c>
      <c r="AA131" t="str">
        <f>IF(BF131="","",IFERROR(IF(INDEX(CODIFICACION!$E$2:$E$500,MATCH("D3.14d|"&amp;BF131,CODIFICACION!$F$2:$F$500,0))="sin dato","",INDEX(CODIFICACION!$E$2:$E$500,MATCH("D3.14d|"&amp;BF131,CODIFICACION!$F$2:$F$500,0))),"⚠"))</f>
        <v/>
      </c>
      <c r="AB131" t="str">
        <f>IF(BG131="","",IFERROR(IF(INDEX(CODIFICACION!$E$2:$E$500,MATCH("D3.14e|"&amp;BG131,CODIFICACION!$F$2:$F$500,0))="sin dato","",INDEX(CODIFICACION!$E$2:$E$500,MATCH("D3.14e|"&amp;BG131,CODIFICACION!$F$2:$F$500,0))),"⚠"))</f>
        <v/>
      </c>
      <c r="AC131" t="str">
        <f>IF(BH131="","",IFERROR(IF(INDEX(CODIFICACION!$E$2:$E$500,MATCH("D3.14f|"&amp;BH131,CODIFICACION!$F$2:$F$500,0))="sin dato","",INDEX(CODIFICACION!$E$2:$E$500,MATCH("D3.14f|"&amp;BH131,CODIFICACION!$F$2:$F$500,0))),"⚠"))</f>
        <v/>
      </c>
      <c r="AD131" t="str">
        <f>IF(BI131="","",IFERROR(IF(INDEX(CODIFICACION!$E$2:$E$500,MATCH("D3.14g|"&amp;BI131,CODIFICACION!$F$2:$F$500,0))="sin dato","",INDEX(CODIFICACION!$E$2:$E$500,MATCH("D3.14g|"&amp;BI131,CODIFICACION!$F$2:$F$500,0))),"⚠"))</f>
        <v/>
      </c>
      <c r="AE131" t="str">
        <f>IF(BJ131="","",IFERROR(IF(INDEX(CODIFICACION!$E$2:$E$500,MATCH("D3.14h|"&amp;BJ131,CODIFICACION!$F$2:$F$500,0))="sin dato","",INDEX(CODIFICACION!$E$2:$E$500,MATCH("D3.14h|"&amp;BJ131,CODIFICACION!$F$2:$F$500,0))),"⚠"))</f>
        <v/>
      </c>
      <c r="AF131" t="str">
        <f>IF(BK131="","",IFERROR(IF(INDEX(CODIFICACION!$E$2:$E$500,MATCH("D3.14i|"&amp;BK131,CODIFICACION!$F$2:$F$500,0))="sin dato","",INDEX(CODIFICACION!$E$2:$E$500,MATCH("D3.14i|"&amp;BK131,CODIFICACION!$F$2:$F$500,0))),"⚠"))</f>
        <v/>
      </c>
      <c r="AG131" t="str">
        <f>IF(BL131="","",IFERROR(IF(INDEX(CODIFICACION!$E$2:$E$500,MATCH("D4.15|"&amp;BL131,CODIFICACION!$F$2:$F$500,0))="sin dato","",INDEX(CODIFICACION!$E$2:$E$500,MATCH("D4.15|"&amp;BL131,CODIFICACION!$F$2:$F$500,0))),"⚠"))</f>
        <v/>
      </c>
      <c r="AH131" t="str">
        <f t="shared" ref="AH131:AH162" si="106">IF(BM131="","",IF(AND(ISNUMBER(BM131),BM131&gt;=0,BM131&lt;=4),BM131*25,"⚠"))</f>
        <v/>
      </c>
      <c r="AI131" t="str">
        <f>IF(BN131="","",IFERROR(IF(INDEX(CODIFICACION!$E$2:$E$500,MATCH("D4.17|"&amp;BN131,CODIFICACION!$F$2:$F$500,0))="sin dato","",INDEX(CODIFICACION!$E$2:$E$500,MATCH("D4.17|"&amp;BN131,CODIFICACION!$F$2:$F$500,0))),"⚠"))</f>
        <v/>
      </c>
      <c r="AJ131" t="str">
        <f>IF(BO131="","",IFERROR(IF(INDEX(CODIFICACION!$E$2:$E$500,MATCH("D4.15a|"&amp;BO131,CODIFICACION!$F$2:$F$500,0))="sin dato","",INDEX(CODIFICACION!$E$2:$E$500,MATCH("D4.15a|"&amp;BO131,CODIFICACION!$F$2:$F$500,0))),"⚠"))</f>
        <v/>
      </c>
      <c r="AK131" t="str">
        <f t="shared" ref="AK131:AK162" si="107">IF(BP131="","",IF(AND(ISNUMBER(BP131),BP131&gt;=0,BP131&lt;=4),BP131*25,"⚠"))</f>
        <v/>
      </c>
      <c r="AL131" t="str">
        <f t="shared" ref="AL131:AL162" si="108">IF(BQ131="","",IF(AND(ISNUMBER(BQ131),BQ131&gt;=0,BQ131&lt;=4),BQ131*25,"⚠"))</f>
        <v/>
      </c>
      <c r="AM131" t="str">
        <f>IF(BR131="","",IFERROR(IF(INDEX(CODIFICACION!$E$2:$E$500,MATCH("D5.18b|"&amp;BR131,CODIFICACION!$F$2:$F$500,0))="sin dato","",INDEX(CODIFICACION!$E$2:$E$500,MATCH("D5.18b|"&amp;BR131,CODIFICACION!$F$2:$F$500,0))),"⚠"))</f>
        <v/>
      </c>
      <c r="AN131" t="str">
        <f>IF(BS131="","",IFERROR(IF(INDEX(CODIFICACION!$E$2:$E$500,MATCH("D5.19|"&amp;BS131,CODIFICACION!$F$2:$F$500,0))="sin dato","",INDEX(CODIFICACION!$E$2:$E$500,MATCH("D5.19|"&amp;BS131,CODIFICACION!$F$2:$F$500,0))),"⚠"))</f>
        <v/>
      </c>
      <c r="AO131" t="str">
        <f t="shared" ref="AO131:AO162" si="109">IF(BT131="","",ROUND((LEN(BT131)-LEN(SUBSTITUTE(BT131,";",""))+1)/7*100,1))</f>
        <v/>
      </c>
      <c r="AP131" t="str">
        <f>IF(BU131="","",IFERROR(IF(INDEX(CODIFICACION!$E$2:$E$500,MATCH("D5.20|"&amp;BU131,CODIFICACION!$F$2:$F$500,0))="sin dato","",INDEX(CODIFICACION!$E$2:$E$500,MATCH("D5.20|"&amp;BU131,CODIFICACION!$F$2:$F$500,0))),"⚠"))</f>
        <v/>
      </c>
      <c r="AQ131" t="str">
        <f>IF(BV131="","",IFERROR(IF(INDEX(CODIFICACION!$E$2:$E$500,MATCH("D5.21|"&amp;BV131,CODIFICACION!$F$2:$F$500,0))="sin dato","",INDEX(CODIFICACION!$E$2:$E$500,MATCH("D5.21|"&amp;BV131,CODIFICACION!$F$2:$F$500,0))),"⚠"))</f>
        <v/>
      </c>
      <c r="AR131" t="str">
        <f>IF(BW131="","",IFERROR(IF(INDEX(CODIFICACION!$E$2:$E$500,MATCH("D5.21a|"&amp;BW131,CODIFICACION!$F$2:$F$500,0))="sin dato","",INDEX(CODIFICACION!$E$2:$E$500,MATCH("D5.21a|"&amp;BW131,CODIFICACION!$F$2:$F$500,0))),"⚠"))</f>
        <v/>
      </c>
      <c r="AS131" t="str">
        <f>IF(BX131="","",IFERROR(IF(INDEX(CODIFICACION!$E$2:$E$500,MATCH("D5.21b|"&amp;BX131,CODIFICACION!$F$2:$F$500,0))="sin dato","",INDEX(CODIFICACION!$E$2:$E$500,MATCH("D5.21b|"&amp;BX131,CODIFICACION!$F$2:$F$500,0))),"⚠"))</f>
        <v/>
      </c>
      <c r="AT131" t="str">
        <f>IF(BY131="","",IFERROR(IF(INDEX(CODIFICACION!$E$2:$E$500,MATCH("D6.22|"&amp;BY131,CODIFICACION!$F$2:$F$500,0))="sin dato","",INDEX(CODIFICACION!$E$2:$E$500,MATCH("D6.22|"&amp;BY131,CODIFICACION!$F$2:$F$500,0))),"⚠"))</f>
        <v/>
      </c>
      <c r="AU131" t="str">
        <f>IF(BZ131="","",IFERROR(IF(INDEX(CODIFICACION!$E$2:$E$500,MATCH("D6.22a|"&amp;BZ131,CODIFICACION!$F$2:$F$500,0))="sin dato","",INDEX(CODIFICACION!$E$2:$E$500,MATCH("D6.22a|"&amp;BZ131,CODIFICACION!$F$2:$F$500,0))),"⚠"))</f>
        <v/>
      </c>
      <c r="AV131" t="str">
        <f>IF(CA131="","",IFERROR(IF(INDEX(CODIFICACION!$E$2:$E$500,MATCH("D6.22b|"&amp;CA131,CODIFICACION!$F$2:$F$500,0))="sin dato","",INDEX(CODIFICACION!$E$2:$E$500,MATCH("D6.22b|"&amp;CA131,CODIFICACION!$F$2:$F$500,0))),"⚠"))</f>
        <v/>
      </c>
      <c r="AW131" t="str">
        <f>IF(CB131="","",IFERROR(IF(INDEX(CODIFICACION!$E$2:$E$500,MATCH("D6.23|"&amp;CB131,CODIFICACION!$F$2:$F$500,0))="sin dato","",INDEX(CODIFICACION!$E$2:$E$500,MATCH("D6.23|"&amp;CB131,CODIFICACION!$F$2:$F$500,0))),"⚠"))</f>
        <v/>
      </c>
      <c r="AX131" t="str">
        <f ca="1">IF(CC131="","",IFERROR(IF(INDEX(CODIFICACION!$E$2:$E$500,MATCH("D6.24|"&amp;CC131,CODIFICACION!$F$2:$F$500,0))="sin dato","",INDEX(CODIFICACION!$E$2:$E$500,MATCH("D6.24|"&amp;CC131,CODIFICACION!$F$2:$F$500,0))),"⚠"))</f>
        <v/>
      </c>
      <c r="AY131" t="str">
        <f ca="1">IF(CD131="","",IFERROR(IF(INDEX(CODIFICACION!$E$2:$E$500,MATCH("D6.25|"&amp;CD131,CODIFICACION!$F$2:$F$500,0))="sin dato","",INDEX(CODIFICACION!$E$2:$E$500,MATCH("D6.25|"&amp;CD131,CODIFICACION!$F$2:$F$500,0))),"⚠"))</f>
        <v/>
      </c>
      <c r="AZ131" t="str">
        <f>IF(CE131="","",IFERROR(IF(INDEX(CODIFICACION!$E$2:$E$500,MATCH("D6.25a|"&amp;CE131,CODIFICACION!$F$2:$F$500,0))="sin dato","",INDEX(CODIFICACION!$E$2:$E$500,MATCH("D6.25a|"&amp;CE131,CODIFICACION!$F$2:$F$500,0))),"⚠"))</f>
        <v/>
      </c>
      <c r="BA131" t="str">
        <f>IF(CF131="","",IFERROR(IF(INDEX(CODIFICACION!$E$2:$E$500,MATCH("D6.25b|"&amp;CF131,CODIFICACION!$F$2:$F$500,0))="sin dato","",INDEX(CODIFICACION!$E$2:$E$500,MATCH("D6.25b|"&amp;CF131,CODIFICACION!$F$2:$F$500,0))),"⚠"))</f>
        <v/>
      </c>
      <c r="BB131" t="str">
        <f ca="1">IF(CG131="","",IFERROR(IF(INDEX(CODIFICACION!$E$2:$E$500,MATCH("D6.22c|"&amp;CG131,CODIFICACION!$F$2:$F$500,0))="sin dato","",INDEX(CODIFICACION!$E$2:$E$500,MATCH("D6.22c|"&amp;CG131,CODIFICACION!$F$2:$F$500,0))),"⚠"))</f>
        <v/>
      </c>
      <c r="BC131" t="str">
        <f ca="1">IF(CH131="","",IFERROR(IF(INDEX(CODIFICACION!$E$2:$E$500,MATCH("D7.26|"&amp;CH131,CODIFICACION!$F$2:$F$500,0))="sin dato","",INDEX(CODIFICACION!$E$2:$E$500,MATCH("D7.26|"&amp;CH131,CODIFICACION!$F$2:$F$500,0))),"⚠"))</f>
        <v/>
      </c>
      <c r="BD131" t="str">
        <f>IF(CI131="","",IFERROR(IF(INDEX(CODIFICACION!$E$2:$E$500,MATCH("D7.27|"&amp;CI131,CODIFICACION!$F$2:$F$500,0))="sin dato","",INDEX(CODIFICACION!$E$2:$E$500,MATCH("D7.27|"&amp;CI131,CODIFICACION!$F$2:$F$500,0))),"⚠"))</f>
        <v/>
      </c>
      <c r="BE131" t="str">
        <f>IF(CJ131="","",IFERROR(IF(INDEX(CODIFICACION!$E$2:$E$500,MATCH("D7.28|"&amp;CJ131,CODIFICACION!$F$2:$F$500,0))="sin dato","",INDEX(CODIFICACION!$E$2:$E$500,MATCH("D7.28|"&amp;CJ131,CODIFICACION!$F$2:$F$500,0))),"⚠"))</f>
        <v/>
      </c>
      <c r="BF131" t="str">
        <f>IF(CK131="","",IFERROR(IF(INDEX(CODIFICACION!$E$2:$E$500,MATCH("D7.28b|"&amp;CK131,CODIFICACION!$F$2:$F$500,0))="sin dato","",INDEX(CODIFICACION!$E$2:$E$500,MATCH("D7.28b|"&amp;CK131,CODIFICACION!$F$2:$F$500,0))),"⚠"))</f>
        <v/>
      </c>
      <c r="BG131" t="str">
        <f t="shared" ref="BG131:BG162" si="110">IF(CL131="","",ROUND((LEN(CL131)-LEN(SUBSTITUTE(CL131,";",""))+1)/8*100,1))</f>
        <v/>
      </c>
      <c r="BH131" t="str">
        <f>IF(CM131="","",IFERROR(IF(INDEX(CODIFICACION!$E$2:$E$500,MATCH("D7.26a|"&amp;CM131,CODIFICACION!$F$2:$F$500,0))="sin dato","",INDEX(CODIFICACION!$E$2:$E$500,MATCH("D7.26a|"&amp;CM131,CODIFICACION!$F$2:$F$500,0))),"⚠"))</f>
        <v/>
      </c>
      <c r="BI131" t="str">
        <f>IF(CN131="","",IFERROR(IF(INDEX(CODIFICACION!$E$2:$E$500,MATCH("D7.26b|"&amp;CN131,CODIFICACION!$F$2:$F$500,0))="sin dato","",INDEX(CODIFICACION!$E$2:$E$500,MATCH("D7.26b|"&amp;CN131,CODIFICACION!$F$2:$F$500,0))),"⚠"))</f>
        <v/>
      </c>
      <c r="BJ131" t="str">
        <f t="shared" ref="BJ131:BJ162" si="111">IF(CO131="","",IF(AND(ISNUMBER(CO131),CO131&gt;=0,CO131&lt;=4),CO131*25,"⚠"))</f>
        <v/>
      </c>
      <c r="BK131" t="str">
        <f t="shared" ref="BK131:BK162" si="112">IF(CP131="","",IF(ISNUMBER(CP131),MAX(0,MIN(100,CP131)),"⚠"))</f>
        <v/>
      </c>
      <c r="BL131" t="str">
        <f>IF(CQ131="","",IFERROR(IF(INDEX(CODIFICACION!$E$2:$E$500,MATCH("D8.31|"&amp;CQ131,CODIFICACION!$F$2:$F$500,0))="sin dato","",INDEX(CODIFICACION!$E$2:$E$500,MATCH("D8.31|"&amp;CQ131,CODIFICACION!$F$2:$F$500,0))),"⚠"))</f>
        <v/>
      </c>
      <c r="BM131" t="str">
        <f>IF(CR131="","",IFERROR(IF(INDEX(CODIFICACION!$E$2:$E$500,MATCH("D8.32|"&amp;CR131,CODIFICACION!$F$2:$F$500,0))="sin dato","",INDEX(CODIFICACION!$E$2:$E$500,MATCH("D8.32|"&amp;CR131,CODIFICACION!$F$2:$F$500,0))),"⚠"))</f>
        <v/>
      </c>
      <c r="BN131" t="str">
        <f>IF(CS131="","",IFERROR(IF(INDEX(CODIFICACION!$E$2:$E$500,MATCH("D9.33|"&amp;CS131,CODIFICACION!$F$2:$F$500,0))="sin dato","",INDEX(CODIFICACION!$E$2:$E$500,MATCH("D9.33|"&amp;CS131,CODIFICACION!$F$2:$F$500,0))),"⚠"))</f>
        <v/>
      </c>
      <c r="BO131" t="str">
        <f>IF(CT131="","",IFERROR(IF(INDEX(CODIFICACION!$E$2:$E$500,MATCH("D9.34|"&amp;CT131,CODIFICACION!$F$2:$F$500,0))="sin dato","",INDEX(CODIFICACION!$E$2:$E$500,MATCH("D9.34|"&amp;CT131,CODIFICACION!$F$2:$F$500,0))),"⚠"))</f>
        <v/>
      </c>
      <c r="BP131" t="str">
        <f>IF(CU131="","",IFERROR(IF(INDEX(CODIFICACION!$E$2:$E$500,MATCH("D9.35|"&amp;CU131,CODIFICACION!$F$2:$F$500,0))="sin dato","",INDEX(CODIFICACION!$E$2:$E$500,MATCH("D9.35|"&amp;CU131,CODIFICACION!$F$2:$F$500,0))),"⚠"))</f>
        <v/>
      </c>
      <c r="BQ131" t="str">
        <f>IF(CV131="","",IFERROR(IF(INDEX(CODIFICACION!$E$2:$E$500,MATCH("D10.36|"&amp;CV131,CODIFICACION!$F$2:$F$500,0))="sin dato","",INDEX(CODIFICACION!$E$2:$E$500,MATCH("D10.36|"&amp;CV131,CODIFICACION!$F$2:$F$500,0))),"⚠"))</f>
        <v/>
      </c>
      <c r="BR131" t="str">
        <f>IF(CW131="","",IFERROR(IF(INDEX(CODIFICACION!$E$2:$E$500,MATCH("D10.37|"&amp;CW131,CODIFICACION!$F$2:$F$500,0))="sin dato","",INDEX(CODIFICACION!$E$2:$E$500,MATCH("D10.37|"&amp;CW131,CODIFICACION!$F$2:$F$500,0))),"⚠"))</f>
        <v/>
      </c>
      <c r="BS131" t="str">
        <f>IF(CX131="","",IFERROR(IF(INDEX(CODIFICACION!$E$2:$E$500,MATCH("D10.36a|"&amp;CX131,CODIFICACION!$F$2:$F$500,0))="sin dato","",INDEX(CODIFICACION!$E$2:$E$500,MATCH("D10.36a|"&amp;CX131,CODIFICACION!$F$2:$F$500,0))),"⚠"))</f>
        <v/>
      </c>
      <c r="BT131" t="str">
        <f t="shared" ref="BT131:BT162" si="113">IF(CY131="","",IF(ISNUMBER(SEARCH("Ninguno",CY131)),0,ROUND((LEN(CY131)-LEN(SUBSTITUTE(CY131,";",""))+1)/6*100,1)))</f>
        <v/>
      </c>
      <c r="BU131" t="str">
        <f>IF(DA131="","",IFERROR(IF(INDEX(CODIFICACION!$E$2:$E$500,MATCH("D11.39a|"&amp;DA131,CODIFICACION!$F$2:$F$500,0))="sin dato","",INDEX(CODIFICACION!$E$2:$E$500,MATCH("D11.39a|"&amp;DA131,CODIFICACION!$F$2:$F$500,0))),"⚠"))</f>
        <v/>
      </c>
      <c r="BV131" t="str">
        <f>IF(DB131="","",IFERROR(IF(INDEX(CODIFICACION!$E$2:$E$500,MATCH("D12.42|"&amp;DB131,CODIFICACION!$F$2:$F$500,0))="sin dato","",INDEX(CODIFICACION!$E$2:$E$500,MATCH("D12.42|"&amp;DB131,CODIFICACION!$F$2:$F$500,0))),"⚠"))</f>
        <v/>
      </c>
      <c r="BW131" t="str">
        <f>IF(DC131="","",IFERROR(IF(INDEX(CODIFICACION!$E$2:$E$500,MATCH("D13.45|"&amp;DC131,CODIFICACION!$F$2:$F$500,0))="sin dato","",INDEX(CODIFICACION!$E$2:$E$500,MATCH("D13.45|"&amp;DC131,CODIFICACION!$F$2:$F$500,0))),"⚠"))</f>
        <v/>
      </c>
      <c r="BX131" t="str">
        <f>IF(DD131="","",IFERROR(IF(INDEX(CODIFICACION!$E$2:$E$500,MATCH("D14.51|"&amp;DD131,CODIFICACION!$F$2:$F$500,0))="sin dato","",INDEX(CODIFICACION!$E$2:$E$500,MATCH("D14.51|"&amp;DD131,CODIFICACION!$F$2:$F$500,0))),"⚠"))</f>
        <v/>
      </c>
      <c r="BY131" t="str">
        <f>IF(DE131="","",IFERROR(IF(INDEX(CODIFICACION!$E$2:$E$500,MATCH("D15.58|"&amp;DE131,CODIFICACION!$F$2:$F$500,0))="sin dato","",INDEX(CODIFICACION!$E$2:$E$500,MATCH("D15.58|"&amp;DE131,CODIFICACION!$F$2:$F$500,0))),"⚠"))</f>
        <v/>
      </c>
      <c r="BZ131" t="str">
        <f>IF(DF131="","",IFERROR(IF(INDEX(CODIFICACION!$E$2:$E$500,MATCH("PP1|"&amp;DF131,CODIFICACION!$F$2:$F$500,0))="sin dato","",INDEX(CODIFICACION!$E$2:$E$500,MATCH("PP1|"&amp;DF131,CODIFICACION!$F$2:$F$500,0))),"⚠"))</f>
        <v/>
      </c>
      <c r="CA131" t="str">
        <f>IF(DG131="","",IFERROR(IF(INDEX(CODIFICACION!$E$2:$E$500,MATCH("PP2|"&amp;DG131,CODIFICACION!$F$2:$F$500,0))="sin dato","",INDEX(CODIFICACION!$E$2:$E$500,MATCH("PP2|"&amp;DG131,CODIFICACION!$F$2:$F$500,0))),"⚠"))</f>
        <v/>
      </c>
      <c r="CB131" t="str">
        <f t="shared" ref="CB131:CB162" si="114">IFERROR(AVERAGE(H131,I131,J131,K131),"")</f>
        <v/>
      </c>
      <c r="CC131" t="str">
        <f t="shared" ref="CC131:CC162" ca="1" si="115">IFERROR(AVERAGE(L131,M131,N131,O131,P131,Q131,R131,S131),"")</f>
        <v/>
      </c>
      <c r="CD131" t="str">
        <f t="shared" ref="CD131:CD162" ca="1" si="116">IFERROR(AVERAGE(T131,U131,V131,W131,X131,Y131,Z131,AA131,AB131,AC131,AD131,AE131,AF131),"")</f>
        <v/>
      </c>
      <c r="CE131" t="str">
        <f t="shared" ref="CE131:CE162" si="117">IFERROR(AVERAGE(AG131,AH131,AI131,AJ131),"")</f>
        <v/>
      </c>
      <c r="CF131" t="str">
        <f t="shared" ref="CF131:CF162" si="118">IFERROR(AVERAGE(D131,AK131,AL131,AM131,AN131,AO131,AP131,AQ131,AR131,AS131),"")</f>
        <v/>
      </c>
      <c r="CG131" t="str">
        <f t="shared" ref="CG131:CG162" ca="1" si="119">IFERROR(AVERAGE(AT131,AU131,AV131,BB131,AW131,AX131,AY131,AZ131,BA131),"")</f>
        <v/>
      </c>
      <c r="CH131" t="str">
        <f t="shared" ref="CH131:CH162" ca="1" si="120">IFERROR(AVERAGE(C131,E131,F131,BC131,BH131,BI131,BD131,BE131,BF131,BG131),"")</f>
        <v/>
      </c>
      <c r="CI131" t="str">
        <f t="shared" ref="CI131:CI162" si="121">IFERROR(AVERAGE(BJ131,BK131,BL131,BM131),"")</f>
        <v/>
      </c>
      <c r="CJ131" t="str">
        <f t="shared" ref="CJ131:CJ162" si="122">IFERROR(AVERAGE(G131,BN131,BO131,BP131),"")</f>
        <v/>
      </c>
      <c r="CK131" t="str">
        <f t="shared" ref="CK131:CK162" si="123">IFERROR(AVERAGE(BQ131,BS131,BR131),"")</f>
        <v/>
      </c>
      <c r="CL131" t="str">
        <f t="shared" ref="CL131:CL162" si="124">IFERROR(AVERAGE(BT131,BU131),"")</f>
        <v/>
      </c>
    </row>
    <row r="132" spans="1:90" x14ac:dyDescent="0.3">
      <c r="A132">
        <f>CAPTURA!A132</f>
        <v>20602194265</v>
      </c>
      <c r="B132">
        <f>CAPTURA!C132</f>
        <v>0</v>
      </c>
      <c r="C132" t="str">
        <f t="shared" si="100"/>
        <v/>
      </c>
      <c r="D132" t="str">
        <f>IF(AE132="","",IFERROR(IF(INDEX(CODIFICACION!$E$2:$E$500,MATCH("P8|"&amp;AE132,CODIFICACION!$F$2:$F$500,0))="sin dato","",INDEX(CODIFICACION!$E$2:$E$500,MATCH("P8|"&amp;AE132,CODIFICACION!$F$2:$F$500,0))),"⚠"))</f>
        <v/>
      </c>
      <c r="E132" t="str">
        <f>IF(AG132="","",IFERROR(IF(INDEX(CODIFICACION!$E$2:$E$500,MATCH("P10|"&amp;AG132,CODIFICACION!$F$2:$F$500,0))="sin dato","",INDEX(CODIFICACION!$E$2:$E$500,MATCH("P10|"&amp;AG132,CODIFICACION!$F$2:$F$500,0))),"⚠"))</f>
        <v/>
      </c>
      <c r="F132" t="str">
        <f>IF(AJ132="","",IFERROR(IF(INDEX(CODIFICACION!$E$2:$E$500,MATCH("P13|"&amp;AJ132,CODIFICACION!$F$2:$F$500,0))="sin dato","",INDEX(CODIFICACION!$E$2:$E$500,MATCH("P13|"&amp;AJ132,CODIFICACION!$F$2:$F$500,0))),"⚠"))</f>
        <v/>
      </c>
      <c r="G132" t="str">
        <f>IF(AK132="","",IFERROR(IF(INDEX(CODIFICACION!$E$2:$E$500,MATCH("P14|"&amp;AK132,CODIFICACION!$F$2:$F$500,0))="sin dato","",INDEX(CODIFICACION!$E$2:$E$500,MATCH("P14|"&amp;AK132,CODIFICACION!$F$2:$F$500,0))),"⚠"))</f>
        <v/>
      </c>
      <c r="H132" t="str">
        <f>IF(AL132="","",IFERROR(IF(INDEX(CODIFICACION!$E$2:$E$500,MATCH("D1.1|"&amp;AL132,CODIFICACION!$F$2:$F$500,0))="sin dato","",INDEX(CODIFICACION!$E$2:$E$500,MATCH("D1.1|"&amp;AL132,CODIFICACION!$F$2:$F$500,0))),"⚠"))</f>
        <v/>
      </c>
      <c r="I132" t="str">
        <f>IF(AN132="","",IFERROR(IF(INDEX(CODIFICACION!$E$2:$E$500,MATCH("D1.3|"&amp;AN132,CODIFICACION!$F$2:$F$500,0))="sin dato","",INDEX(CODIFICACION!$E$2:$E$500,MATCH("D1.3|"&amp;AN132,CODIFICACION!$F$2:$F$500,0))),"⚠"))</f>
        <v/>
      </c>
      <c r="J132" t="str">
        <f>IF(AO132="","",IFERROR(IF(INDEX(CODIFICACION!$E$2:$E$500,MATCH("D1.4|"&amp;AO132,CODIFICACION!$F$2:$F$500,0))="sin dato","",INDEX(CODIFICACION!$E$2:$E$500,MATCH("D1.4|"&amp;AO132,CODIFICACION!$F$2:$F$500,0))),"⚠"))</f>
        <v/>
      </c>
      <c r="K132" t="str">
        <f>IF(AP132="","",IFERROR(IF(INDEX(CODIFICACION!$E$2:$E$500,MATCH("D1.3a|"&amp;AP132,CODIFICACION!$F$2:$F$500,0))="sin dato","",INDEX(CODIFICACION!$E$2:$E$500,MATCH("D1.3a|"&amp;AP132,CODIFICACION!$F$2:$F$500,0))),"⚠"))</f>
        <v/>
      </c>
      <c r="L132" t="str">
        <f t="shared" si="101"/>
        <v/>
      </c>
      <c r="M132" t="str">
        <f t="shared" si="102"/>
        <v/>
      </c>
      <c r="N132" t="str">
        <f t="shared" si="103"/>
        <v/>
      </c>
      <c r="O132" t="str">
        <f>IF(AT132="","",IFERROR(IF(INDEX(CODIFICACION!$E$2:$E$500,MATCH("D2.8|"&amp;AT132,CODIFICACION!$F$2:$F$500,0))="sin dato","",INDEX(CODIFICACION!$E$2:$E$500,MATCH("D2.8|"&amp;AT132,CODIFICACION!$F$2:$F$500,0))),"⚠"))</f>
        <v/>
      </c>
      <c r="P132" t="str">
        <f>IF(AU132="","",IFERROR(IF(INDEX(CODIFICACION!$E$2:$E$500,MATCH("D2.9|"&amp;AU132,CODIFICACION!$F$2:$F$500,0))="sin dato","",INDEX(CODIFICACION!$E$2:$E$500,MATCH("D2.9|"&amp;AU132,CODIFICACION!$F$2:$F$500,0))),"⚠"))</f>
        <v/>
      </c>
      <c r="Q132" t="str">
        <f>IF(AV132="","",IFERROR(IF(INDEX(CODIFICACION!$E$2:$E$500,MATCH("D2.10|"&amp;AV132,CODIFICACION!$F$2:$F$500,0))="sin dato","",INDEX(CODIFICACION!$E$2:$E$500,MATCH("D2.10|"&amp;AV132,CODIFICACION!$F$2:$F$500,0))),"⚠"))</f>
        <v/>
      </c>
      <c r="R132" t="str">
        <f>IF(AW132="","",IFERROR(IF(INDEX(CODIFICACION!$E$2:$E$500,MATCH("D2.5a|"&amp;AW132,CODIFICACION!$F$2:$F$500,0))="sin dato","",INDEX(CODIFICACION!$E$2:$E$500,MATCH("D2.5a|"&amp;AW132,CODIFICACION!$F$2:$F$500,0))),"⚠"))</f>
        <v/>
      </c>
      <c r="S132" t="str">
        <f ca="1">IF(AX132="","",IFERROR(IF(INDEX(CODIFICACION!$E$2:$E$500,MATCH("D2.5b|"&amp;AX132,CODIFICACION!$F$2:$F$500,0))="sin dato","",INDEX(CODIFICACION!$E$2:$E$500,MATCH("D2.5b|"&amp;AX132,CODIFICACION!$F$2:$F$500,0))),"⚠"))</f>
        <v/>
      </c>
      <c r="T132" t="str">
        <f t="shared" ca="1" si="104"/>
        <v/>
      </c>
      <c r="U132" t="str">
        <f>IF(AZ132="","",IFERROR(IF(INDEX(CODIFICACION!$E$2:$E$500,MATCH("D3.12|"&amp;AZ132,CODIFICACION!$F$2:$F$500,0))="sin dato","",INDEX(CODIFICACION!$E$2:$E$500,MATCH("D3.12|"&amp;AZ132,CODIFICACION!$F$2:$F$500,0))),"⚠"))</f>
        <v/>
      </c>
      <c r="V132" t="str">
        <f t="shared" si="105"/>
        <v/>
      </c>
      <c r="W132" t="str">
        <f ca="1">IF(BB132="","",IFERROR(IF(INDEX(CODIFICACION!$E$2:$E$500,MATCH("D3.14|"&amp;BB132,CODIFICACION!$F$2:$F$500,0))="sin dato","",INDEX(CODIFICACION!$E$2:$E$500,MATCH("D3.14|"&amp;BB132,CODIFICACION!$F$2:$F$500,0))),"⚠"))</f>
        <v/>
      </c>
      <c r="X132" t="str">
        <f ca="1">IF(BC132="","",IFERROR(IF(INDEX(CODIFICACION!$E$2:$E$500,MATCH("D3.14a|"&amp;BC132,CODIFICACION!$F$2:$F$500,0))="sin dato","",INDEX(CODIFICACION!$E$2:$E$500,MATCH("D3.14a|"&amp;BC132,CODIFICACION!$F$2:$F$500,0))),"⚠"))</f>
        <v/>
      </c>
      <c r="Y132" t="str">
        <f>IF(BD132="","",IFERROR(IF(INDEX(CODIFICACION!$E$2:$E$500,MATCH("D3.14b|"&amp;BD132,CODIFICACION!$F$2:$F$500,0))="sin dato","",INDEX(CODIFICACION!$E$2:$E$500,MATCH("D3.14b|"&amp;BD132,CODIFICACION!$F$2:$F$500,0))),"⚠"))</f>
        <v/>
      </c>
      <c r="Z132" t="str">
        <f>IF(BE132="","",IFERROR(IF(INDEX(CODIFICACION!$E$2:$E$500,MATCH("D3.14c|"&amp;BE132,CODIFICACION!$F$2:$F$500,0))="sin dato","",INDEX(CODIFICACION!$E$2:$E$500,MATCH("D3.14c|"&amp;BE132,CODIFICACION!$F$2:$F$500,0))),"⚠"))</f>
        <v/>
      </c>
      <c r="AA132" t="str">
        <f>IF(BF132="","",IFERROR(IF(INDEX(CODIFICACION!$E$2:$E$500,MATCH("D3.14d|"&amp;BF132,CODIFICACION!$F$2:$F$500,0))="sin dato","",INDEX(CODIFICACION!$E$2:$E$500,MATCH("D3.14d|"&amp;BF132,CODIFICACION!$F$2:$F$500,0))),"⚠"))</f>
        <v/>
      </c>
      <c r="AB132" t="str">
        <f>IF(BG132="","",IFERROR(IF(INDEX(CODIFICACION!$E$2:$E$500,MATCH("D3.14e|"&amp;BG132,CODIFICACION!$F$2:$F$500,0))="sin dato","",INDEX(CODIFICACION!$E$2:$E$500,MATCH("D3.14e|"&amp;BG132,CODIFICACION!$F$2:$F$500,0))),"⚠"))</f>
        <v/>
      </c>
      <c r="AC132" t="str">
        <f>IF(BH132="","",IFERROR(IF(INDEX(CODIFICACION!$E$2:$E$500,MATCH("D3.14f|"&amp;BH132,CODIFICACION!$F$2:$F$500,0))="sin dato","",INDEX(CODIFICACION!$E$2:$E$500,MATCH("D3.14f|"&amp;BH132,CODIFICACION!$F$2:$F$500,0))),"⚠"))</f>
        <v/>
      </c>
      <c r="AD132" t="str">
        <f>IF(BI132="","",IFERROR(IF(INDEX(CODIFICACION!$E$2:$E$500,MATCH("D3.14g|"&amp;BI132,CODIFICACION!$F$2:$F$500,0))="sin dato","",INDEX(CODIFICACION!$E$2:$E$500,MATCH("D3.14g|"&amp;BI132,CODIFICACION!$F$2:$F$500,0))),"⚠"))</f>
        <v/>
      </c>
      <c r="AE132" t="str">
        <f>IF(BJ132="","",IFERROR(IF(INDEX(CODIFICACION!$E$2:$E$500,MATCH("D3.14h|"&amp;BJ132,CODIFICACION!$F$2:$F$500,0))="sin dato","",INDEX(CODIFICACION!$E$2:$E$500,MATCH("D3.14h|"&amp;BJ132,CODIFICACION!$F$2:$F$500,0))),"⚠"))</f>
        <v/>
      </c>
      <c r="AF132" t="str">
        <f>IF(BK132="","",IFERROR(IF(INDEX(CODIFICACION!$E$2:$E$500,MATCH("D3.14i|"&amp;BK132,CODIFICACION!$F$2:$F$500,0))="sin dato","",INDEX(CODIFICACION!$E$2:$E$500,MATCH("D3.14i|"&amp;BK132,CODIFICACION!$F$2:$F$500,0))),"⚠"))</f>
        <v/>
      </c>
      <c r="AG132" t="str">
        <f>IF(BL132="","",IFERROR(IF(INDEX(CODIFICACION!$E$2:$E$500,MATCH("D4.15|"&amp;BL132,CODIFICACION!$F$2:$F$500,0))="sin dato","",INDEX(CODIFICACION!$E$2:$E$500,MATCH("D4.15|"&amp;BL132,CODIFICACION!$F$2:$F$500,0))),"⚠"))</f>
        <v/>
      </c>
      <c r="AH132" t="str">
        <f t="shared" si="106"/>
        <v/>
      </c>
      <c r="AI132" t="str">
        <f>IF(BN132="","",IFERROR(IF(INDEX(CODIFICACION!$E$2:$E$500,MATCH("D4.17|"&amp;BN132,CODIFICACION!$F$2:$F$500,0))="sin dato","",INDEX(CODIFICACION!$E$2:$E$500,MATCH("D4.17|"&amp;BN132,CODIFICACION!$F$2:$F$500,0))),"⚠"))</f>
        <v/>
      </c>
      <c r="AJ132" t="str">
        <f>IF(BO132="","",IFERROR(IF(INDEX(CODIFICACION!$E$2:$E$500,MATCH("D4.15a|"&amp;BO132,CODIFICACION!$F$2:$F$500,0))="sin dato","",INDEX(CODIFICACION!$E$2:$E$500,MATCH("D4.15a|"&amp;BO132,CODIFICACION!$F$2:$F$500,0))),"⚠"))</f>
        <v/>
      </c>
      <c r="AK132" t="str">
        <f t="shared" si="107"/>
        <v/>
      </c>
      <c r="AL132" t="str">
        <f t="shared" si="108"/>
        <v/>
      </c>
      <c r="AM132" t="str">
        <f>IF(BR132="","",IFERROR(IF(INDEX(CODIFICACION!$E$2:$E$500,MATCH("D5.18b|"&amp;BR132,CODIFICACION!$F$2:$F$500,0))="sin dato","",INDEX(CODIFICACION!$E$2:$E$500,MATCH("D5.18b|"&amp;BR132,CODIFICACION!$F$2:$F$500,0))),"⚠"))</f>
        <v/>
      </c>
      <c r="AN132" t="str">
        <f>IF(BS132="","",IFERROR(IF(INDEX(CODIFICACION!$E$2:$E$500,MATCH("D5.19|"&amp;BS132,CODIFICACION!$F$2:$F$500,0))="sin dato","",INDEX(CODIFICACION!$E$2:$E$500,MATCH("D5.19|"&amp;BS132,CODIFICACION!$F$2:$F$500,0))),"⚠"))</f>
        <v/>
      </c>
      <c r="AO132" t="str">
        <f t="shared" si="109"/>
        <v/>
      </c>
      <c r="AP132" t="str">
        <f>IF(BU132="","",IFERROR(IF(INDEX(CODIFICACION!$E$2:$E$500,MATCH("D5.20|"&amp;BU132,CODIFICACION!$F$2:$F$500,0))="sin dato","",INDEX(CODIFICACION!$E$2:$E$500,MATCH("D5.20|"&amp;BU132,CODIFICACION!$F$2:$F$500,0))),"⚠"))</f>
        <v/>
      </c>
      <c r="AQ132" t="str">
        <f>IF(BV132="","",IFERROR(IF(INDEX(CODIFICACION!$E$2:$E$500,MATCH("D5.21|"&amp;BV132,CODIFICACION!$F$2:$F$500,0))="sin dato","",INDEX(CODIFICACION!$E$2:$E$500,MATCH("D5.21|"&amp;BV132,CODIFICACION!$F$2:$F$500,0))),"⚠"))</f>
        <v/>
      </c>
      <c r="AR132" t="str">
        <f>IF(BW132="","",IFERROR(IF(INDEX(CODIFICACION!$E$2:$E$500,MATCH("D5.21a|"&amp;BW132,CODIFICACION!$F$2:$F$500,0))="sin dato","",INDEX(CODIFICACION!$E$2:$E$500,MATCH("D5.21a|"&amp;BW132,CODIFICACION!$F$2:$F$500,0))),"⚠"))</f>
        <v/>
      </c>
      <c r="AS132" t="str">
        <f>IF(BX132="","",IFERROR(IF(INDEX(CODIFICACION!$E$2:$E$500,MATCH("D5.21b|"&amp;BX132,CODIFICACION!$F$2:$F$500,0))="sin dato","",INDEX(CODIFICACION!$E$2:$E$500,MATCH("D5.21b|"&amp;BX132,CODIFICACION!$F$2:$F$500,0))),"⚠"))</f>
        <v/>
      </c>
      <c r="AT132" t="str">
        <f>IF(BY132="","",IFERROR(IF(INDEX(CODIFICACION!$E$2:$E$500,MATCH("D6.22|"&amp;BY132,CODIFICACION!$F$2:$F$500,0))="sin dato","",INDEX(CODIFICACION!$E$2:$E$500,MATCH("D6.22|"&amp;BY132,CODIFICACION!$F$2:$F$500,0))),"⚠"))</f>
        <v/>
      </c>
      <c r="AU132" t="str">
        <f>IF(BZ132="","",IFERROR(IF(INDEX(CODIFICACION!$E$2:$E$500,MATCH("D6.22a|"&amp;BZ132,CODIFICACION!$F$2:$F$500,0))="sin dato","",INDEX(CODIFICACION!$E$2:$E$500,MATCH("D6.22a|"&amp;BZ132,CODIFICACION!$F$2:$F$500,0))),"⚠"))</f>
        <v/>
      </c>
      <c r="AV132" t="str">
        <f>IF(CA132="","",IFERROR(IF(INDEX(CODIFICACION!$E$2:$E$500,MATCH("D6.22b|"&amp;CA132,CODIFICACION!$F$2:$F$500,0))="sin dato","",INDEX(CODIFICACION!$E$2:$E$500,MATCH("D6.22b|"&amp;CA132,CODIFICACION!$F$2:$F$500,0))),"⚠"))</f>
        <v/>
      </c>
      <c r="AW132" t="str">
        <f>IF(CB132="","",IFERROR(IF(INDEX(CODIFICACION!$E$2:$E$500,MATCH("D6.23|"&amp;CB132,CODIFICACION!$F$2:$F$500,0))="sin dato","",INDEX(CODIFICACION!$E$2:$E$500,MATCH("D6.23|"&amp;CB132,CODIFICACION!$F$2:$F$500,0))),"⚠"))</f>
        <v/>
      </c>
      <c r="AX132" t="str">
        <f ca="1">IF(CC132="","",IFERROR(IF(INDEX(CODIFICACION!$E$2:$E$500,MATCH("D6.24|"&amp;CC132,CODIFICACION!$F$2:$F$500,0))="sin dato","",INDEX(CODIFICACION!$E$2:$E$500,MATCH("D6.24|"&amp;CC132,CODIFICACION!$F$2:$F$500,0))),"⚠"))</f>
        <v/>
      </c>
      <c r="AY132" t="str">
        <f ca="1">IF(CD132="","",IFERROR(IF(INDEX(CODIFICACION!$E$2:$E$500,MATCH("D6.25|"&amp;CD132,CODIFICACION!$F$2:$F$500,0))="sin dato","",INDEX(CODIFICACION!$E$2:$E$500,MATCH("D6.25|"&amp;CD132,CODIFICACION!$F$2:$F$500,0))),"⚠"))</f>
        <v/>
      </c>
      <c r="AZ132" t="str">
        <f>IF(CE132="","",IFERROR(IF(INDEX(CODIFICACION!$E$2:$E$500,MATCH("D6.25a|"&amp;CE132,CODIFICACION!$F$2:$F$500,0))="sin dato","",INDEX(CODIFICACION!$E$2:$E$500,MATCH("D6.25a|"&amp;CE132,CODIFICACION!$F$2:$F$500,0))),"⚠"))</f>
        <v/>
      </c>
      <c r="BA132" t="str">
        <f>IF(CF132="","",IFERROR(IF(INDEX(CODIFICACION!$E$2:$E$500,MATCH("D6.25b|"&amp;CF132,CODIFICACION!$F$2:$F$500,0))="sin dato","",INDEX(CODIFICACION!$E$2:$E$500,MATCH("D6.25b|"&amp;CF132,CODIFICACION!$F$2:$F$500,0))),"⚠"))</f>
        <v/>
      </c>
      <c r="BB132" t="str">
        <f ca="1">IF(CG132="","",IFERROR(IF(INDEX(CODIFICACION!$E$2:$E$500,MATCH("D6.22c|"&amp;CG132,CODIFICACION!$F$2:$F$500,0))="sin dato","",INDEX(CODIFICACION!$E$2:$E$500,MATCH("D6.22c|"&amp;CG132,CODIFICACION!$F$2:$F$500,0))),"⚠"))</f>
        <v/>
      </c>
      <c r="BC132" t="str">
        <f ca="1">IF(CH132="","",IFERROR(IF(INDEX(CODIFICACION!$E$2:$E$500,MATCH("D7.26|"&amp;CH132,CODIFICACION!$F$2:$F$500,0))="sin dato","",INDEX(CODIFICACION!$E$2:$E$500,MATCH("D7.26|"&amp;CH132,CODIFICACION!$F$2:$F$500,0))),"⚠"))</f>
        <v/>
      </c>
      <c r="BD132" t="str">
        <f>IF(CI132="","",IFERROR(IF(INDEX(CODIFICACION!$E$2:$E$500,MATCH("D7.27|"&amp;CI132,CODIFICACION!$F$2:$F$500,0))="sin dato","",INDEX(CODIFICACION!$E$2:$E$500,MATCH("D7.27|"&amp;CI132,CODIFICACION!$F$2:$F$500,0))),"⚠"))</f>
        <v/>
      </c>
      <c r="BE132" t="str">
        <f>IF(CJ132="","",IFERROR(IF(INDEX(CODIFICACION!$E$2:$E$500,MATCH("D7.28|"&amp;CJ132,CODIFICACION!$F$2:$F$500,0))="sin dato","",INDEX(CODIFICACION!$E$2:$E$500,MATCH("D7.28|"&amp;CJ132,CODIFICACION!$F$2:$F$500,0))),"⚠"))</f>
        <v/>
      </c>
      <c r="BF132" t="str">
        <f>IF(CK132="","",IFERROR(IF(INDEX(CODIFICACION!$E$2:$E$500,MATCH("D7.28b|"&amp;CK132,CODIFICACION!$F$2:$F$500,0))="sin dato","",INDEX(CODIFICACION!$E$2:$E$500,MATCH("D7.28b|"&amp;CK132,CODIFICACION!$F$2:$F$500,0))),"⚠"))</f>
        <v/>
      </c>
      <c r="BG132" t="str">
        <f t="shared" si="110"/>
        <v/>
      </c>
      <c r="BH132" t="str">
        <f>IF(CM132="","",IFERROR(IF(INDEX(CODIFICACION!$E$2:$E$500,MATCH("D7.26a|"&amp;CM132,CODIFICACION!$F$2:$F$500,0))="sin dato","",INDEX(CODIFICACION!$E$2:$E$500,MATCH("D7.26a|"&amp;CM132,CODIFICACION!$F$2:$F$500,0))),"⚠"))</f>
        <v/>
      </c>
      <c r="BI132" t="str">
        <f>IF(CN132="","",IFERROR(IF(INDEX(CODIFICACION!$E$2:$E$500,MATCH("D7.26b|"&amp;CN132,CODIFICACION!$F$2:$F$500,0))="sin dato","",INDEX(CODIFICACION!$E$2:$E$500,MATCH("D7.26b|"&amp;CN132,CODIFICACION!$F$2:$F$500,0))),"⚠"))</f>
        <v/>
      </c>
      <c r="BJ132" t="str">
        <f t="shared" si="111"/>
        <v/>
      </c>
      <c r="BK132" t="str">
        <f t="shared" si="112"/>
        <v/>
      </c>
      <c r="BL132" t="str">
        <f>IF(CQ132="","",IFERROR(IF(INDEX(CODIFICACION!$E$2:$E$500,MATCH("D8.31|"&amp;CQ132,CODIFICACION!$F$2:$F$500,0))="sin dato","",INDEX(CODIFICACION!$E$2:$E$500,MATCH("D8.31|"&amp;CQ132,CODIFICACION!$F$2:$F$500,0))),"⚠"))</f>
        <v/>
      </c>
      <c r="BM132" t="str">
        <f>IF(CR132="","",IFERROR(IF(INDEX(CODIFICACION!$E$2:$E$500,MATCH("D8.32|"&amp;CR132,CODIFICACION!$F$2:$F$500,0))="sin dato","",INDEX(CODIFICACION!$E$2:$E$500,MATCH("D8.32|"&amp;CR132,CODIFICACION!$F$2:$F$500,0))),"⚠"))</f>
        <v/>
      </c>
      <c r="BN132" t="str">
        <f>IF(CS132="","",IFERROR(IF(INDEX(CODIFICACION!$E$2:$E$500,MATCH("D9.33|"&amp;CS132,CODIFICACION!$F$2:$F$500,0))="sin dato","",INDEX(CODIFICACION!$E$2:$E$500,MATCH("D9.33|"&amp;CS132,CODIFICACION!$F$2:$F$500,0))),"⚠"))</f>
        <v/>
      </c>
      <c r="BO132" t="str">
        <f>IF(CT132="","",IFERROR(IF(INDEX(CODIFICACION!$E$2:$E$500,MATCH("D9.34|"&amp;CT132,CODIFICACION!$F$2:$F$500,0))="sin dato","",INDEX(CODIFICACION!$E$2:$E$500,MATCH("D9.34|"&amp;CT132,CODIFICACION!$F$2:$F$500,0))),"⚠"))</f>
        <v/>
      </c>
      <c r="BP132" t="str">
        <f>IF(CU132="","",IFERROR(IF(INDEX(CODIFICACION!$E$2:$E$500,MATCH("D9.35|"&amp;CU132,CODIFICACION!$F$2:$F$500,0))="sin dato","",INDEX(CODIFICACION!$E$2:$E$500,MATCH("D9.35|"&amp;CU132,CODIFICACION!$F$2:$F$500,0))),"⚠"))</f>
        <v/>
      </c>
      <c r="BQ132" t="str">
        <f>IF(CV132="","",IFERROR(IF(INDEX(CODIFICACION!$E$2:$E$500,MATCH("D10.36|"&amp;CV132,CODIFICACION!$F$2:$F$500,0))="sin dato","",INDEX(CODIFICACION!$E$2:$E$500,MATCH("D10.36|"&amp;CV132,CODIFICACION!$F$2:$F$500,0))),"⚠"))</f>
        <v/>
      </c>
      <c r="BR132" t="str">
        <f>IF(CW132="","",IFERROR(IF(INDEX(CODIFICACION!$E$2:$E$500,MATCH("D10.37|"&amp;CW132,CODIFICACION!$F$2:$F$500,0))="sin dato","",INDEX(CODIFICACION!$E$2:$E$500,MATCH("D10.37|"&amp;CW132,CODIFICACION!$F$2:$F$500,0))),"⚠"))</f>
        <v/>
      </c>
      <c r="BS132" t="str">
        <f>IF(CX132="","",IFERROR(IF(INDEX(CODIFICACION!$E$2:$E$500,MATCH("D10.36a|"&amp;CX132,CODIFICACION!$F$2:$F$500,0))="sin dato","",INDEX(CODIFICACION!$E$2:$E$500,MATCH("D10.36a|"&amp;CX132,CODIFICACION!$F$2:$F$500,0))),"⚠"))</f>
        <v/>
      </c>
      <c r="BT132" t="str">
        <f t="shared" si="113"/>
        <v/>
      </c>
      <c r="BU132" t="str">
        <f>IF(DA132="","",IFERROR(IF(INDEX(CODIFICACION!$E$2:$E$500,MATCH("D11.39a|"&amp;DA132,CODIFICACION!$F$2:$F$500,0))="sin dato","",INDEX(CODIFICACION!$E$2:$E$500,MATCH("D11.39a|"&amp;DA132,CODIFICACION!$F$2:$F$500,0))),"⚠"))</f>
        <v/>
      </c>
      <c r="BV132" t="str">
        <f>IF(DB132="","",IFERROR(IF(INDEX(CODIFICACION!$E$2:$E$500,MATCH("D12.42|"&amp;DB132,CODIFICACION!$F$2:$F$500,0))="sin dato","",INDEX(CODIFICACION!$E$2:$E$500,MATCH("D12.42|"&amp;DB132,CODIFICACION!$F$2:$F$500,0))),"⚠"))</f>
        <v/>
      </c>
      <c r="BW132" t="str">
        <f>IF(DC132="","",IFERROR(IF(INDEX(CODIFICACION!$E$2:$E$500,MATCH("D13.45|"&amp;DC132,CODIFICACION!$F$2:$F$500,0))="sin dato","",INDEX(CODIFICACION!$E$2:$E$500,MATCH("D13.45|"&amp;DC132,CODIFICACION!$F$2:$F$500,0))),"⚠"))</f>
        <v/>
      </c>
      <c r="BX132" t="str">
        <f>IF(DD132="","",IFERROR(IF(INDEX(CODIFICACION!$E$2:$E$500,MATCH("D14.51|"&amp;DD132,CODIFICACION!$F$2:$F$500,0))="sin dato","",INDEX(CODIFICACION!$E$2:$E$500,MATCH("D14.51|"&amp;DD132,CODIFICACION!$F$2:$F$500,0))),"⚠"))</f>
        <v/>
      </c>
      <c r="BY132" t="str">
        <f>IF(DE132="","",IFERROR(IF(INDEX(CODIFICACION!$E$2:$E$500,MATCH("D15.58|"&amp;DE132,CODIFICACION!$F$2:$F$500,0))="sin dato","",INDEX(CODIFICACION!$E$2:$E$500,MATCH("D15.58|"&amp;DE132,CODIFICACION!$F$2:$F$500,0))),"⚠"))</f>
        <v/>
      </c>
      <c r="BZ132" t="str">
        <f>IF(DF132="","",IFERROR(IF(INDEX(CODIFICACION!$E$2:$E$500,MATCH("PP1|"&amp;DF132,CODIFICACION!$F$2:$F$500,0))="sin dato","",INDEX(CODIFICACION!$E$2:$E$500,MATCH("PP1|"&amp;DF132,CODIFICACION!$F$2:$F$500,0))),"⚠"))</f>
        <v/>
      </c>
      <c r="CA132" t="str">
        <f>IF(DG132="","",IFERROR(IF(INDEX(CODIFICACION!$E$2:$E$500,MATCH("PP2|"&amp;DG132,CODIFICACION!$F$2:$F$500,0))="sin dato","",INDEX(CODIFICACION!$E$2:$E$500,MATCH("PP2|"&amp;DG132,CODIFICACION!$F$2:$F$500,0))),"⚠"))</f>
        <v/>
      </c>
      <c r="CB132" t="str">
        <f t="shared" si="114"/>
        <v/>
      </c>
      <c r="CC132" t="str">
        <f t="shared" ca="1" si="115"/>
        <v/>
      </c>
      <c r="CD132" t="str">
        <f t="shared" ca="1" si="116"/>
        <v/>
      </c>
      <c r="CE132" t="str">
        <f t="shared" si="117"/>
        <v/>
      </c>
      <c r="CF132" t="str">
        <f t="shared" si="118"/>
        <v/>
      </c>
      <c r="CG132" t="str">
        <f t="shared" ca="1" si="119"/>
        <v/>
      </c>
      <c r="CH132" t="str">
        <f t="shared" ca="1" si="120"/>
        <v/>
      </c>
      <c r="CI132" t="str">
        <f t="shared" si="121"/>
        <v/>
      </c>
      <c r="CJ132" t="str">
        <f t="shared" si="122"/>
        <v/>
      </c>
      <c r="CK132" t="str">
        <f t="shared" si="123"/>
        <v/>
      </c>
      <c r="CL132" t="str">
        <f t="shared" si="124"/>
        <v/>
      </c>
    </row>
    <row r="133" spans="1:90" x14ac:dyDescent="0.3">
      <c r="A133">
        <f>CAPTURA!A133</f>
        <v>20602242464</v>
      </c>
      <c r="B133">
        <f>CAPTURA!C133</f>
        <v>0</v>
      </c>
      <c r="C133" t="str">
        <f t="shared" si="100"/>
        <v/>
      </c>
      <c r="D133" t="str">
        <f>IF(AE133="","",IFERROR(IF(INDEX(CODIFICACION!$E$2:$E$500,MATCH("P8|"&amp;AE133,CODIFICACION!$F$2:$F$500,0))="sin dato","",INDEX(CODIFICACION!$E$2:$E$500,MATCH("P8|"&amp;AE133,CODIFICACION!$F$2:$F$500,0))),"⚠"))</f>
        <v/>
      </c>
      <c r="E133" t="str">
        <f>IF(AG133="","",IFERROR(IF(INDEX(CODIFICACION!$E$2:$E$500,MATCH("P10|"&amp;AG133,CODIFICACION!$F$2:$F$500,0))="sin dato","",INDEX(CODIFICACION!$E$2:$E$500,MATCH("P10|"&amp;AG133,CODIFICACION!$F$2:$F$500,0))),"⚠"))</f>
        <v/>
      </c>
      <c r="F133" t="str">
        <f>IF(AJ133="","",IFERROR(IF(INDEX(CODIFICACION!$E$2:$E$500,MATCH("P13|"&amp;AJ133,CODIFICACION!$F$2:$F$500,0))="sin dato","",INDEX(CODIFICACION!$E$2:$E$500,MATCH("P13|"&amp;AJ133,CODIFICACION!$F$2:$F$500,0))),"⚠"))</f>
        <v/>
      </c>
      <c r="G133" t="str">
        <f>IF(AK133="","",IFERROR(IF(INDEX(CODIFICACION!$E$2:$E$500,MATCH("P14|"&amp;AK133,CODIFICACION!$F$2:$F$500,0))="sin dato","",INDEX(CODIFICACION!$E$2:$E$500,MATCH("P14|"&amp;AK133,CODIFICACION!$F$2:$F$500,0))),"⚠"))</f>
        <v/>
      </c>
      <c r="H133" t="str">
        <f>IF(AL133="","",IFERROR(IF(INDEX(CODIFICACION!$E$2:$E$500,MATCH("D1.1|"&amp;AL133,CODIFICACION!$F$2:$F$500,0))="sin dato","",INDEX(CODIFICACION!$E$2:$E$500,MATCH("D1.1|"&amp;AL133,CODIFICACION!$F$2:$F$500,0))),"⚠"))</f>
        <v/>
      </c>
      <c r="I133" t="str">
        <f>IF(AN133="","",IFERROR(IF(INDEX(CODIFICACION!$E$2:$E$500,MATCH("D1.3|"&amp;AN133,CODIFICACION!$F$2:$F$500,0))="sin dato","",INDEX(CODIFICACION!$E$2:$E$500,MATCH("D1.3|"&amp;AN133,CODIFICACION!$F$2:$F$500,0))),"⚠"))</f>
        <v/>
      </c>
      <c r="J133" t="str">
        <f>IF(AO133="","",IFERROR(IF(INDEX(CODIFICACION!$E$2:$E$500,MATCH("D1.4|"&amp;AO133,CODIFICACION!$F$2:$F$500,0))="sin dato","",INDEX(CODIFICACION!$E$2:$E$500,MATCH("D1.4|"&amp;AO133,CODIFICACION!$F$2:$F$500,0))),"⚠"))</f>
        <v/>
      </c>
      <c r="K133" t="str">
        <f>IF(AP133="","",IFERROR(IF(INDEX(CODIFICACION!$E$2:$E$500,MATCH("D1.3a|"&amp;AP133,CODIFICACION!$F$2:$F$500,0))="sin dato","",INDEX(CODIFICACION!$E$2:$E$500,MATCH("D1.3a|"&amp;AP133,CODIFICACION!$F$2:$F$500,0))),"⚠"))</f>
        <v/>
      </c>
      <c r="L133" t="str">
        <f t="shared" si="101"/>
        <v/>
      </c>
      <c r="M133" t="str">
        <f t="shared" si="102"/>
        <v/>
      </c>
      <c r="N133" t="str">
        <f t="shared" si="103"/>
        <v/>
      </c>
      <c r="O133" t="str">
        <f>IF(AT133="","",IFERROR(IF(INDEX(CODIFICACION!$E$2:$E$500,MATCH("D2.8|"&amp;AT133,CODIFICACION!$F$2:$F$500,0))="sin dato","",INDEX(CODIFICACION!$E$2:$E$500,MATCH("D2.8|"&amp;AT133,CODIFICACION!$F$2:$F$500,0))),"⚠"))</f>
        <v/>
      </c>
      <c r="P133" t="str">
        <f>IF(AU133="","",IFERROR(IF(INDEX(CODIFICACION!$E$2:$E$500,MATCH("D2.9|"&amp;AU133,CODIFICACION!$F$2:$F$500,0))="sin dato","",INDEX(CODIFICACION!$E$2:$E$500,MATCH("D2.9|"&amp;AU133,CODIFICACION!$F$2:$F$500,0))),"⚠"))</f>
        <v/>
      </c>
      <c r="Q133" t="str">
        <f>IF(AV133="","",IFERROR(IF(INDEX(CODIFICACION!$E$2:$E$500,MATCH("D2.10|"&amp;AV133,CODIFICACION!$F$2:$F$500,0))="sin dato","",INDEX(CODIFICACION!$E$2:$E$500,MATCH("D2.10|"&amp;AV133,CODIFICACION!$F$2:$F$500,0))),"⚠"))</f>
        <v/>
      </c>
      <c r="R133" t="str">
        <f>IF(AW133="","",IFERROR(IF(INDEX(CODIFICACION!$E$2:$E$500,MATCH("D2.5a|"&amp;AW133,CODIFICACION!$F$2:$F$500,0))="sin dato","",INDEX(CODIFICACION!$E$2:$E$500,MATCH("D2.5a|"&amp;AW133,CODIFICACION!$F$2:$F$500,0))),"⚠"))</f>
        <v/>
      </c>
      <c r="S133" t="str">
        <f ca="1">IF(AX133="","",IFERROR(IF(INDEX(CODIFICACION!$E$2:$E$500,MATCH("D2.5b|"&amp;AX133,CODIFICACION!$F$2:$F$500,0))="sin dato","",INDEX(CODIFICACION!$E$2:$E$500,MATCH("D2.5b|"&amp;AX133,CODIFICACION!$F$2:$F$500,0))),"⚠"))</f>
        <v/>
      </c>
      <c r="T133" t="str">
        <f t="shared" ca="1" si="104"/>
        <v/>
      </c>
      <c r="U133" t="str">
        <f>IF(AZ133="","",IFERROR(IF(INDEX(CODIFICACION!$E$2:$E$500,MATCH("D3.12|"&amp;AZ133,CODIFICACION!$F$2:$F$500,0))="sin dato","",INDEX(CODIFICACION!$E$2:$E$500,MATCH("D3.12|"&amp;AZ133,CODIFICACION!$F$2:$F$500,0))),"⚠"))</f>
        <v/>
      </c>
      <c r="V133" t="str">
        <f t="shared" si="105"/>
        <v/>
      </c>
      <c r="W133" t="str">
        <f ca="1">IF(BB133="","",IFERROR(IF(INDEX(CODIFICACION!$E$2:$E$500,MATCH("D3.14|"&amp;BB133,CODIFICACION!$F$2:$F$500,0))="sin dato","",INDEX(CODIFICACION!$E$2:$E$500,MATCH("D3.14|"&amp;BB133,CODIFICACION!$F$2:$F$500,0))),"⚠"))</f>
        <v/>
      </c>
      <c r="X133" t="str">
        <f ca="1">IF(BC133="","",IFERROR(IF(INDEX(CODIFICACION!$E$2:$E$500,MATCH("D3.14a|"&amp;BC133,CODIFICACION!$F$2:$F$500,0))="sin dato","",INDEX(CODIFICACION!$E$2:$E$500,MATCH("D3.14a|"&amp;BC133,CODIFICACION!$F$2:$F$500,0))),"⚠"))</f>
        <v/>
      </c>
      <c r="Y133" t="str">
        <f>IF(BD133="","",IFERROR(IF(INDEX(CODIFICACION!$E$2:$E$500,MATCH("D3.14b|"&amp;BD133,CODIFICACION!$F$2:$F$500,0))="sin dato","",INDEX(CODIFICACION!$E$2:$E$500,MATCH("D3.14b|"&amp;BD133,CODIFICACION!$F$2:$F$500,0))),"⚠"))</f>
        <v/>
      </c>
      <c r="Z133" t="str">
        <f>IF(BE133="","",IFERROR(IF(INDEX(CODIFICACION!$E$2:$E$500,MATCH("D3.14c|"&amp;BE133,CODIFICACION!$F$2:$F$500,0))="sin dato","",INDEX(CODIFICACION!$E$2:$E$500,MATCH("D3.14c|"&amp;BE133,CODIFICACION!$F$2:$F$500,0))),"⚠"))</f>
        <v/>
      </c>
      <c r="AA133" t="str">
        <f>IF(BF133="","",IFERROR(IF(INDEX(CODIFICACION!$E$2:$E$500,MATCH("D3.14d|"&amp;BF133,CODIFICACION!$F$2:$F$500,0))="sin dato","",INDEX(CODIFICACION!$E$2:$E$500,MATCH("D3.14d|"&amp;BF133,CODIFICACION!$F$2:$F$500,0))),"⚠"))</f>
        <v/>
      </c>
      <c r="AB133" t="str">
        <f>IF(BG133="","",IFERROR(IF(INDEX(CODIFICACION!$E$2:$E$500,MATCH("D3.14e|"&amp;BG133,CODIFICACION!$F$2:$F$500,0))="sin dato","",INDEX(CODIFICACION!$E$2:$E$500,MATCH("D3.14e|"&amp;BG133,CODIFICACION!$F$2:$F$500,0))),"⚠"))</f>
        <v/>
      </c>
      <c r="AC133" t="str">
        <f>IF(BH133="","",IFERROR(IF(INDEX(CODIFICACION!$E$2:$E$500,MATCH("D3.14f|"&amp;BH133,CODIFICACION!$F$2:$F$500,0))="sin dato","",INDEX(CODIFICACION!$E$2:$E$500,MATCH("D3.14f|"&amp;BH133,CODIFICACION!$F$2:$F$500,0))),"⚠"))</f>
        <v/>
      </c>
      <c r="AD133" t="str">
        <f>IF(BI133="","",IFERROR(IF(INDEX(CODIFICACION!$E$2:$E$500,MATCH("D3.14g|"&amp;BI133,CODIFICACION!$F$2:$F$500,0))="sin dato","",INDEX(CODIFICACION!$E$2:$E$500,MATCH("D3.14g|"&amp;BI133,CODIFICACION!$F$2:$F$500,0))),"⚠"))</f>
        <v/>
      </c>
      <c r="AE133" t="str">
        <f>IF(BJ133="","",IFERROR(IF(INDEX(CODIFICACION!$E$2:$E$500,MATCH("D3.14h|"&amp;BJ133,CODIFICACION!$F$2:$F$500,0))="sin dato","",INDEX(CODIFICACION!$E$2:$E$500,MATCH("D3.14h|"&amp;BJ133,CODIFICACION!$F$2:$F$500,0))),"⚠"))</f>
        <v/>
      </c>
      <c r="AF133" t="str">
        <f>IF(BK133="","",IFERROR(IF(INDEX(CODIFICACION!$E$2:$E$500,MATCH("D3.14i|"&amp;BK133,CODIFICACION!$F$2:$F$500,0))="sin dato","",INDEX(CODIFICACION!$E$2:$E$500,MATCH("D3.14i|"&amp;BK133,CODIFICACION!$F$2:$F$500,0))),"⚠"))</f>
        <v/>
      </c>
      <c r="AG133" t="str">
        <f>IF(BL133="","",IFERROR(IF(INDEX(CODIFICACION!$E$2:$E$500,MATCH("D4.15|"&amp;BL133,CODIFICACION!$F$2:$F$500,0))="sin dato","",INDEX(CODIFICACION!$E$2:$E$500,MATCH("D4.15|"&amp;BL133,CODIFICACION!$F$2:$F$500,0))),"⚠"))</f>
        <v/>
      </c>
      <c r="AH133" t="str">
        <f t="shared" si="106"/>
        <v/>
      </c>
      <c r="AI133" t="str">
        <f>IF(BN133="","",IFERROR(IF(INDEX(CODIFICACION!$E$2:$E$500,MATCH("D4.17|"&amp;BN133,CODIFICACION!$F$2:$F$500,0))="sin dato","",INDEX(CODIFICACION!$E$2:$E$500,MATCH("D4.17|"&amp;BN133,CODIFICACION!$F$2:$F$500,0))),"⚠"))</f>
        <v/>
      </c>
      <c r="AJ133" t="str">
        <f>IF(BO133="","",IFERROR(IF(INDEX(CODIFICACION!$E$2:$E$500,MATCH("D4.15a|"&amp;BO133,CODIFICACION!$F$2:$F$500,0))="sin dato","",INDEX(CODIFICACION!$E$2:$E$500,MATCH("D4.15a|"&amp;BO133,CODIFICACION!$F$2:$F$500,0))),"⚠"))</f>
        <v/>
      </c>
      <c r="AK133" t="str">
        <f t="shared" si="107"/>
        <v/>
      </c>
      <c r="AL133" t="str">
        <f t="shared" si="108"/>
        <v/>
      </c>
      <c r="AM133" t="str">
        <f>IF(BR133="","",IFERROR(IF(INDEX(CODIFICACION!$E$2:$E$500,MATCH("D5.18b|"&amp;BR133,CODIFICACION!$F$2:$F$500,0))="sin dato","",INDEX(CODIFICACION!$E$2:$E$500,MATCH("D5.18b|"&amp;BR133,CODIFICACION!$F$2:$F$500,0))),"⚠"))</f>
        <v/>
      </c>
      <c r="AN133" t="str">
        <f>IF(BS133="","",IFERROR(IF(INDEX(CODIFICACION!$E$2:$E$500,MATCH("D5.19|"&amp;BS133,CODIFICACION!$F$2:$F$500,0))="sin dato","",INDEX(CODIFICACION!$E$2:$E$500,MATCH("D5.19|"&amp;BS133,CODIFICACION!$F$2:$F$500,0))),"⚠"))</f>
        <v/>
      </c>
      <c r="AO133" t="str">
        <f t="shared" si="109"/>
        <v/>
      </c>
      <c r="AP133" t="str">
        <f>IF(BU133="","",IFERROR(IF(INDEX(CODIFICACION!$E$2:$E$500,MATCH("D5.20|"&amp;BU133,CODIFICACION!$F$2:$F$500,0))="sin dato","",INDEX(CODIFICACION!$E$2:$E$500,MATCH("D5.20|"&amp;BU133,CODIFICACION!$F$2:$F$500,0))),"⚠"))</f>
        <v/>
      </c>
      <c r="AQ133" t="str">
        <f>IF(BV133="","",IFERROR(IF(INDEX(CODIFICACION!$E$2:$E$500,MATCH("D5.21|"&amp;BV133,CODIFICACION!$F$2:$F$500,0))="sin dato","",INDEX(CODIFICACION!$E$2:$E$500,MATCH("D5.21|"&amp;BV133,CODIFICACION!$F$2:$F$500,0))),"⚠"))</f>
        <v/>
      </c>
      <c r="AR133" t="str">
        <f>IF(BW133="","",IFERROR(IF(INDEX(CODIFICACION!$E$2:$E$500,MATCH("D5.21a|"&amp;BW133,CODIFICACION!$F$2:$F$500,0))="sin dato","",INDEX(CODIFICACION!$E$2:$E$500,MATCH("D5.21a|"&amp;BW133,CODIFICACION!$F$2:$F$500,0))),"⚠"))</f>
        <v/>
      </c>
      <c r="AS133" t="str">
        <f>IF(BX133="","",IFERROR(IF(INDEX(CODIFICACION!$E$2:$E$500,MATCH("D5.21b|"&amp;BX133,CODIFICACION!$F$2:$F$500,0))="sin dato","",INDEX(CODIFICACION!$E$2:$E$500,MATCH("D5.21b|"&amp;BX133,CODIFICACION!$F$2:$F$500,0))),"⚠"))</f>
        <v/>
      </c>
      <c r="AT133" t="str">
        <f>IF(BY133="","",IFERROR(IF(INDEX(CODIFICACION!$E$2:$E$500,MATCH("D6.22|"&amp;BY133,CODIFICACION!$F$2:$F$500,0))="sin dato","",INDEX(CODIFICACION!$E$2:$E$500,MATCH("D6.22|"&amp;BY133,CODIFICACION!$F$2:$F$500,0))),"⚠"))</f>
        <v/>
      </c>
      <c r="AU133" t="str">
        <f>IF(BZ133="","",IFERROR(IF(INDEX(CODIFICACION!$E$2:$E$500,MATCH("D6.22a|"&amp;BZ133,CODIFICACION!$F$2:$F$500,0))="sin dato","",INDEX(CODIFICACION!$E$2:$E$500,MATCH("D6.22a|"&amp;BZ133,CODIFICACION!$F$2:$F$500,0))),"⚠"))</f>
        <v/>
      </c>
      <c r="AV133" t="str">
        <f>IF(CA133="","",IFERROR(IF(INDEX(CODIFICACION!$E$2:$E$500,MATCH("D6.22b|"&amp;CA133,CODIFICACION!$F$2:$F$500,0))="sin dato","",INDEX(CODIFICACION!$E$2:$E$500,MATCH("D6.22b|"&amp;CA133,CODIFICACION!$F$2:$F$500,0))),"⚠"))</f>
        <v/>
      </c>
      <c r="AW133" t="str">
        <f>IF(CB133="","",IFERROR(IF(INDEX(CODIFICACION!$E$2:$E$500,MATCH("D6.23|"&amp;CB133,CODIFICACION!$F$2:$F$500,0))="sin dato","",INDEX(CODIFICACION!$E$2:$E$500,MATCH("D6.23|"&amp;CB133,CODIFICACION!$F$2:$F$500,0))),"⚠"))</f>
        <v/>
      </c>
      <c r="AX133" t="str">
        <f ca="1">IF(CC133="","",IFERROR(IF(INDEX(CODIFICACION!$E$2:$E$500,MATCH("D6.24|"&amp;CC133,CODIFICACION!$F$2:$F$500,0))="sin dato","",INDEX(CODIFICACION!$E$2:$E$500,MATCH("D6.24|"&amp;CC133,CODIFICACION!$F$2:$F$500,0))),"⚠"))</f>
        <v/>
      </c>
      <c r="AY133" t="str">
        <f ca="1">IF(CD133="","",IFERROR(IF(INDEX(CODIFICACION!$E$2:$E$500,MATCH("D6.25|"&amp;CD133,CODIFICACION!$F$2:$F$500,0))="sin dato","",INDEX(CODIFICACION!$E$2:$E$500,MATCH("D6.25|"&amp;CD133,CODIFICACION!$F$2:$F$500,0))),"⚠"))</f>
        <v/>
      </c>
      <c r="AZ133" t="str">
        <f>IF(CE133="","",IFERROR(IF(INDEX(CODIFICACION!$E$2:$E$500,MATCH("D6.25a|"&amp;CE133,CODIFICACION!$F$2:$F$500,0))="sin dato","",INDEX(CODIFICACION!$E$2:$E$500,MATCH("D6.25a|"&amp;CE133,CODIFICACION!$F$2:$F$500,0))),"⚠"))</f>
        <v/>
      </c>
      <c r="BA133" t="str">
        <f>IF(CF133="","",IFERROR(IF(INDEX(CODIFICACION!$E$2:$E$500,MATCH("D6.25b|"&amp;CF133,CODIFICACION!$F$2:$F$500,0))="sin dato","",INDEX(CODIFICACION!$E$2:$E$500,MATCH("D6.25b|"&amp;CF133,CODIFICACION!$F$2:$F$500,0))),"⚠"))</f>
        <v/>
      </c>
      <c r="BB133" t="str">
        <f ca="1">IF(CG133="","",IFERROR(IF(INDEX(CODIFICACION!$E$2:$E$500,MATCH("D6.22c|"&amp;CG133,CODIFICACION!$F$2:$F$500,0))="sin dato","",INDEX(CODIFICACION!$E$2:$E$500,MATCH("D6.22c|"&amp;CG133,CODIFICACION!$F$2:$F$500,0))),"⚠"))</f>
        <v/>
      </c>
      <c r="BC133" t="str">
        <f ca="1">IF(CH133="","",IFERROR(IF(INDEX(CODIFICACION!$E$2:$E$500,MATCH("D7.26|"&amp;CH133,CODIFICACION!$F$2:$F$500,0))="sin dato","",INDEX(CODIFICACION!$E$2:$E$500,MATCH("D7.26|"&amp;CH133,CODIFICACION!$F$2:$F$500,0))),"⚠"))</f>
        <v/>
      </c>
      <c r="BD133" t="str">
        <f>IF(CI133="","",IFERROR(IF(INDEX(CODIFICACION!$E$2:$E$500,MATCH("D7.27|"&amp;CI133,CODIFICACION!$F$2:$F$500,0))="sin dato","",INDEX(CODIFICACION!$E$2:$E$500,MATCH("D7.27|"&amp;CI133,CODIFICACION!$F$2:$F$500,0))),"⚠"))</f>
        <v/>
      </c>
      <c r="BE133" t="str">
        <f>IF(CJ133="","",IFERROR(IF(INDEX(CODIFICACION!$E$2:$E$500,MATCH("D7.28|"&amp;CJ133,CODIFICACION!$F$2:$F$500,0))="sin dato","",INDEX(CODIFICACION!$E$2:$E$500,MATCH("D7.28|"&amp;CJ133,CODIFICACION!$F$2:$F$500,0))),"⚠"))</f>
        <v/>
      </c>
      <c r="BF133" t="str">
        <f>IF(CK133="","",IFERROR(IF(INDEX(CODIFICACION!$E$2:$E$500,MATCH("D7.28b|"&amp;CK133,CODIFICACION!$F$2:$F$500,0))="sin dato","",INDEX(CODIFICACION!$E$2:$E$500,MATCH("D7.28b|"&amp;CK133,CODIFICACION!$F$2:$F$500,0))),"⚠"))</f>
        <v/>
      </c>
      <c r="BG133" t="str">
        <f t="shared" si="110"/>
        <v/>
      </c>
      <c r="BH133" t="str">
        <f>IF(CM133="","",IFERROR(IF(INDEX(CODIFICACION!$E$2:$E$500,MATCH("D7.26a|"&amp;CM133,CODIFICACION!$F$2:$F$500,0))="sin dato","",INDEX(CODIFICACION!$E$2:$E$500,MATCH("D7.26a|"&amp;CM133,CODIFICACION!$F$2:$F$500,0))),"⚠"))</f>
        <v/>
      </c>
      <c r="BI133" t="str">
        <f>IF(CN133="","",IFERROR(IF(INDEX(CODIFICACION!$E$2:$E$500,MATCH("D7.26b|"&amp;CN133,CODIFICACION!$F$2:$F$500,0))="sin dato","",INDEX(CODIFICACION!$E$2:$E$500,MATCH("D7.26b|"&amp;CN133,CODIFICACION!$F$2:$F$500,0))),"⚠"))</f>
        <v/>
      </c>
      <c r="BJ133" t="str">
        <f t="shared" si="111"/>
        <v/>
      </c>
      <c r="BK133" t="str">
        <f t="shared" si="112"/>
        <v/>
      </c>
      <c r="BL133" t="str">
        <f>IF(CQ133="","",IFERROR(IF(INDEX(CODIFICACION!$E$2:$E$500,MATCH("D8.31|"&amp;CQ133,CODIFICACION!$F$2:$F$500,0))="sin dato","",INDEX(CODIFICACION!$E$2:$E$500,MATCH("D8.31|"&amp;CQ133,CODIFICACION!$F$2:$F$500,0))),"⚠"))</f>
        <v/>
      </c>
      <c r="BM133" t="str">
        <f>IF(CR133="","",IFERROR(IF(INDEX(CODIFICACION!$E$2:$E$500,MATCH("D8.32|"&amp;CR133,CODIFICACION!$F$2:$F$500,0))="sin dato","",INDEX(CODIFICACION!$E$2:$E$500,MATCH("D8.32|"&amp;CR133,CODIFICACION!$F$2:$F$500,0))),"⚠"))</f>
        <v/>
      </c>
      <c r="BN133" t="str">
        <f>IF(CS133="","",IFERROR(IF(INDEX(CODIFICACION!$E$2:$E$500,MATCH("D9.33|"&amp;CS133,CODIFICACION!$F$2:$F$500,0))="sin dato","",INDEX(CODIFICACION!$E$2:$E$500,MATCH("D9.33|"&amp;CS133,CODIFICACION!$F$2:$F$500,0))),"⚠"))</f>
        <v/>
      </c>
      <c r="BO133" t="str">
        <f>IF(CT133="","",IFERROR(IF(INDEX(CODIFICACION!$E$2:$E$500,MATCH("D9.34|"&amp;CT133,CODIFICACION!$F$2:$F$500,0))="sin dato","",INDEX(CODIFICACION!$E$2:$E$500,MATCH("D9.34|"&amp;CT133,CODIFICACION!$F$2:$F$500,0))),"⚠"))</f>
        <v/>
      </c>
      <c r="BP133" t="str">
        <f>IF(CU133="","",IFERROR(IF(INDEX(CODIFICACION!$E$2:$E$500,MATCH("D9.35|"&amp;CU133,CODIFICACION!$F$2:$F$500,0))="sin dato","",INDEX(CODIFICACION!$E$2:$E$500,MATCH("D9.35|"&amp;CU133,CODIFICACION!$F$2:$F$500,0))),"⚠"))</f>
        <v/>
      </c>
      <c r="BQ133" t="str">
        <f>IF(CV133="","",IFERROR(IF(INDEX(CODIFICACION!$E$2:$E$500,MATCH("D10.36|"&amp;CV133,CODIFICACION!$F$2:$F$500,0))="sin dato","",INDEX(CODIFICACION!$E$2:$E$500,MATCH("D10.36|"&amp;CV133,CODIFICACION!$F$2:$F$500,0))),"⚠"))</f>
        <v/>
      </c>
      <c r="BR133" t="str">
        <f>IF(CW133="","",IFERROR(IF(INDEX(CODIFICACION!$E$2:$E$500,MATCH("D10.37|"&amp;CW133,CODIFICACION!$F$2:$F$500,0))="sin dato","",INDEX(CODIFICACION!$E$2:$E$500,MATCH("D10.37|"&amp;CW133,CODIFICACION!$F$2:$F$500,0))),"⚠"))</f>
        <v/>
      </c>
      <c r="BS133" t="str">
        <f>IF(CX133="","",IFERROR(IF(INDEX(CODIFICACION!$E$2:$E$500,MATCH("D10.36a|"&amp;CX133,CODIFICACION!$F$2:$F$500,0))="sin dato","",INDEX(CODIFICACION!$E$2:$E$500,MATCH("D10.36a|"&amp;CX133,CODIFICACION!$F$2:$F$500,0))),"⚠"))</f>
        <v/>
      </c>
      <c r="BT133" t="str">
        <f t="shared" si="113"/>
        <v/>
      </c>
      <c r="BU133" t="str">
        <f>IF(DA133="","",IFERROR(IF(INDEX(CODIFICACION!$E$2:$E$500,MATCH("D11.39a|"&amp;DA133,CODIFICACION!$F$2:$F$500,0))="sin dato","",INDEX(CODIFICACION!$E$2:$E$500,MATCH("D11.39a|"&amp;DA133,CODIFICACION!$F$2:$F$500,0))),"⚠"))</f>
        <v/>
      </c>
      <c r="BV133" t="str">
        <f>IF(DB133="","",IFERROR(IF(INDEX(CODIFICACION!$E$2:$E$500,MATCH("D12.42|"&amp;DB133,CODIFICACION!$F$2:$F$500,0))="sin dato","",INDEX(CODIFICACION!$E$2:$E$500,MATCH("D12.42|"&amp;DB133,CODIFICACION!$F$2:$F$500,0))),"⚠"))</f>
        <v/>
      </c>
      <c r="BW133" t="str">
        <f>IF(DC133="","",IFERROR(IF(INDEX(CODIFICACION!$E$2:$E$500,MATCH("D13.45|"&amp;DC133,CODIFICACION!$F$2:$F$500,0))="sin dato","",INDEX(CODIFICACION!$E$2:$E$500,MATCH("D13.45|"&amp;DC133,CODIFICACION!$F$2:$F$500,0))),"⚠"))</f>
        <v/>
      </c>
      <c r="BX133" t="str">
        <f>IF(DD133="","",IFERROR(IF(INDEX(CODIFICACION!$E$2:$E$500,MATCH("D14.51|"&amp;DD133,CODIFICACION!$F$2:$F$500,0))="sin dato","",INDEX(CODIFICACION!$E$2:$E$500,MATCH("D14.51|"&amp;DD133,CODIFICACION!$F$2:$F$500,0))),"⚠"))</f>
        <v/>
      </c>
      <c r="BY133" t="str">
        <f>IF(DE133="","",IFERROR(IF(INDEX(CODIFICACION!$E$2:$E$500,MATCH("D15.58|"&amp;DE133,CODIFICACION!$F$2:$F$500,0))="sin dato","",INDEX(CODIFICACION!$E$2:$E$500,MATCH("D15.58|"&amp;DE133,CODIFICACION!$F$2:$F$500,0))),"⚠"))</f>
        <v/>
      </c>
      <c r="BZ133" t="str">
        <f>IF(DF133="","",IFERROR(IF(INDEX(CODIFICACION!$E$2:$E$500,MATCH("PP1|"&amp;DF133,CODIFICACION!$F$2:$F$500,0))="sin dato","",INDEX(CODIFICACION!$E$2:$E$500,MATCH("PP1|"&amp;DF133,CODIFICACION!$F$2:$F$500,0))),"⚠"))</f>
        <v/>
      </c>
      <c r="CA133" t="str">
        <f>IF(DG133="","",IFERROR(IF(INDEX(CODIFICACION!$E$2:$E$500,MATCH("PP2|"&amp;DG133,CODIFICACION!$F$2:$F$500,0))="sin dato","",INDEX(CODIFICACION!$E$2:$E$500,MATCH("PP2|"&amp;DG133,CODIFICACION!$F$2:$F$500,0))),"⚠"))</f>
        <v/>
      </c>
      <c r="CB133" t="str">
        <f t="shared" si="114"/>
        <v/>
      </c>
      <c r="CC133" t="str">
        <f t="shared" ca="1" si="115"/>
        <v/>
      </c>
      <c r="CD133" t="str">
        <f t="shared" ca="1" si="116"/>
        <v/>
      </c>
      <c r="CE133" t="str">
        <f t="shared" si="117"/>
        <v/>
      </c>
      <c r="CF133" t="str">
        <f t="shared" si="118"/>
        <v/>
      </c>
      <c r="CG133" t="str">
        <f t="shared" ca="1" si="119"/>
        <v/>
      </c>
      <c r="CH133" t="str">
        <f t="shared" ca="1" si="120"/>
        <v/>
      </c>
      <c r="CI133" t="str">
        <f t="shared" si="121"/>
        <v/>
      </c>
      <c r="CJ133" t="str">
        <f t="shared" si="122"/>
        <v/>
      </c>
      <c r="CK133" t="str">
        <f t="shared" si="123"/>
        <v/>
      </c>
      <c r="CL133" t="str">
        <f t="shared" si="124"/>
        <v/>
      </c>
    </row>
    <row r="134" spans="1:90" x14ac:dyDescent="0.3">
      <c r="A134">
        <f>CAPTURA!A134</f>
        <v>20602488927</v>
      </c>
      <c r="B134">
        <f>CAPTURA!C134</f>
        <v>0</v>
      </c>
      <c r="C134" t="str">
        <f t="shared" si="100"/>
        <v/>
      </c>
      <c r="D134" t="str">
        <f>IF(AE134="","",IFERROR(IF(INDEX(CODIFICACION!$E$2:$E$500,MATCH("P8|"&amp;AE134,CODIFICACION!$F$2:$F$500,0))="sin dato","",INDEX(CODIFICACION!$E$2:$E$500,MATCH("P8|"&amp;AE134,CODIFICACION!$F$2:$F$500,0))),"⚠"))</f>
        <v/>
      </c>
      <c r="E134" t="str">
        <f>IF(AG134="","",IFERROR(IF(INDEX(CODIFICACION!$E$2:$E$500,MATCH("P10|"&amp;AG134,CODIFICACION!$F$2:$F$500,0))="sin dato","",INDEX(CODIFICACION!$E$2:$E$500,MATCH("P10|"&amp;AG134,CODIFICACION!$F$2:$F$500,0))),"⚠"))</f>
        <v/>
      </c>
      <c r="F134" t="str">
        <f>IF(AJ134="","",IFERROR(IF(INDEX(CODIFICACION!$E$2:$E$500,MATCH("P13|"&amp;AJ134,CODIFICACION!$F$2:$F$500,0))="sin dato","",INDEX(CODIFICACION!$E$2:$E$500,MATCH("P13|"&amp;AJ134,CODIFICACION!$F$2:$F$500,0))),"⚠"))</f>
        <v/>
      </c>
      <c r="G134" t="str">
        <f>IF(AK134="","",IFERROR(IF(INDEX(CODIFICACION!$E$2:$E$500,MATCH("P14|"&amp;AK134,CODIFICACION!$F$2:$F$500,0))="sin dato","",INDEX(CODIFICACION!$E$2:$E$500,MATCH("P14|"&amp;AK134,CODIFICACION!$F$2:$F$500,0))),"⚠"))</f>
        <v/>
      </c>
      <c r="H134" t="str">
        <f>IF(AL134="","",IFERROR(IF(INDEX(CODIFICACION!$E$2:$E$500,MATCH("D1.1|"&amp;AL134,CODIFICACION!$F$2:$F$500,0))="sin dato","",INDEX(CODIFICACION!$E$2:$E$500,MATCH("D1.1|"&amp;AL134,CODIFICACION!$F$2:$F$500,0))),"⚠"))</f>
        <v/>
      </c>
      <c r="I134" t="str">
        <f>IF(AN134="","",IFERROR(IF(INDEX(CODIFICACION!$E$2:$E$500,MATCH("D1.3|"&amp;AN134,CODIFICACION!$F$2:$F$500,0))="sin dato","",INDEX(CODIFICACION!$E$2:$E$500,MATCH("D1.3|"&amp;AN134,CODIFICACION!$F$2:$F$500,0))),"⚠"))</f>
        <v/>
      </c>
      <c r="J134" t="str">
        <f>IF(AO134="","",IFERROR(IF(INDEX(CODIFICACION!$E$2:$E$500,MATCH("D1.4|"&amp;AO134,CODIFICACION!$F$2:$F$500,0))="sin dato","",INDEX(CODIFICACION!$E$2:$E$500,MATCH("D1.4|"&amp;AO134,CODIFICACION!$F$2:$F$500,0))),"⚠"))</f>
        <v/>
      </c>
      <c r="K134" t="str">
        <f>IF(AP134="","",IFERROR(IF(INDEX(CODIFICACION!$E$2:$E$500,MATCH("D1.3a|"&amp;AP134,CODIFICACION!$F$2:$F$500,0))="sin dato","",INDEX(CODIFICACION!$E$2:$E$500,MATCH("D1.3a|"&amp;AP134,CODIFICACION!$F$2:$F$500,0))),"⚠"))</f>
        <v/>
      </c>
      <c r="L134" t="str">
        <f t="shared" si="101"/>
        <v/>
      </c>
      <c r="M134" t="str">
        <f t="shared" si="102"/>
        <v/>
      </c>
      <c r="N134" t="str">
        <f t="shared" si="103"/>
        <v/>
      </c>
      <c r="O134" t="str">
        <f>IF(AT134="","",IFERROR(IF(INDEX(CODIFICACION!$E$2:$E$500,MATCH("D2.8|"&amp;AT134,CODIFICACION!$F$2:$F$500,0))="sin dato","",INDEX(CODIFICACION!$E$2:$E$500,MATCH("D2.8|"&amp;AT134,CODIFICACION!$F$2:$F$500,0))),"⚠"))</f>
        <v/>
      </c>
      <c r="P134" t="str">
        <f>IF(AU134="","",IFERROR(IF(INDEX(CODIFICACION!$E$2:$E$500,MATCH("D2.9|"&amp;AU134,CODIFICACION!$F$2:$F$500,0))="sin dato","",INDEX(CODIFICACION!$E$2:$E$500,MATCH("D2.9|"&amp;AU134,CODIFICACION!$F$2:$F$500,0))),"⚠"))</f>
        <v/>
      </c>
      <c r="Q134" t="str">
        <f>IF(AV134="","",IFERROR(IF(INDEX(CODIFICACION!$E$2:$E$500,MATCH("D2.10|"&amp;AV134,CODIFICACION!$F$2:$F$500,0))="sin dato","",INDEX(CODIFICACION!$E$2:$E$500,MATCH("D2.10|"&amp;AV134,CODIFICACION!$F$2:$F$500,0))),"⚠"))</f>
        <v/>
      </c>
      <c r="R134" t="str">
        <f>IF(AW134="","",IFERROR(IF(INDEX(CODIFICACION!$E$2:$E$500,MATCH("D2.5a|"&amp;AW134,CODIFICACION!$F$2:$F$500,0))="sin dato","",INDEX(CODIFICACION!$E$2:$E$500,MATCH("D2.5a|"&amp;AW134,CODIFICACION!$F$2:$F$500,0))),"⚠"))</f>
        <v/>
      </c>
      <c r="S134" t="str">
        <f ca="1">IF(AX134="","",IFERROR(IF(INDEX(CODIFICACION!$E$2:$E$500,MATCH("D2.5b|"&amp;AX134,CODIFICACION!$F$2:$F$500,0))="sin dato","",INDEX(CODIFICACION!$E$2:$E$500,MATCH("D2.5b|"&amp;AX134,CODIFICACION!$F$2:$F$500,0))),"⚠"))</f>
        <v/>
      </c>
      <c r="T134" t="str">
        <f t="shared" ca="1" si="104"/>
        <v/>
      </c>
      <c r="U134" t="str">
        <f>IF(AZ134="","",IFERROR(IF(INDEX(CODIFICACION!$E$2:$E$500,MATCH("D3.12|"&amp;AZ134,CODIFICACION!$F$2:$F$500,0))="sin dato","",INDEX(CODIFICACION!$E$2:$E$500,MATCH("D3.12|"&amp;AZ134,CODIFICACION!$F$2:$F$500,0))),"⚠"))</f>
        <v/>
      </c>
      <c r="V134" t="str">
        <f t="shared" si="105"/>
        <v/>
      </c>
      <c r="W134" t="str">
        <f ca="1">IF(BB134="","",IFERROR(IF(INDEX(CODIFICACION!$E$2:$E$500,MATCH("D3.14|"&amp;BB134,CODIFICACION!$F$2:$F$500,0))="sin dato","",INDEX(CODIFICACION!$E$2:$E$500,MATCH("D3.14|"&amp;BB134,CODIFICACION!$F$2:$F$500,0))),"⚠"))</f>
        <v/>
      </c>
      <c r="X134" t="str">
        <f ca="1">IF(BC134="","",IFERROR(IF(INDEX(CODIFICACION!$E$2:$E$500,MATCH("D3.14a|"&amp;BC134,CODIFICACION!$F$2:$F$500,0))="sin dato","",INDEX(CODIFICACION!$E$2:$E$500,MATCH("D3.14a|"&amp;BC134,CODIFICACION!$F$2:$F$500,0))),"⚠"))</f>
        <v/>
      </c>
      <c r="Y134" t="str">
        <f>IF(BD134="","",IFERROR(IF(INDEX(CODIFICACION!$E$2:$E$500,MATCH("D3.14b|"&amp;BD134,CODIFICACION!$F$2:$F$500,0))="sin dato","",INDEX(CODIFICACION!$E$2:$E$500,MATCH("D3.14b|"&amp;BD134,CODIFICACION!$F$2:$F$500,0))),"⚠"))</f>
        <v/>
      </c>
      <c r="Z134" t="str">
        <f>IF(BE134="","",IFERROR(IF(INDEX(CODIFICACION!$E$2:$E$500,MATCH("D3.14c|"&amp;BE134,CODIFICACION!$F$2:$F$500,0))="sin dato","",INDEX(CODIFICACION!$E$2:$E$500,MATCH("D3.14c|"&amp;BE134,CODIFICACION!$F$2:$F$500,0))),"⚠"))</f>
        <v/>
      </c>
      <c r="AA134" t="str">
        <f>IF(BF134="","",IFERROR(IF(INDEX(CODIFICACION!$E$2:$E$500,MATCH("D3.14d|"&amp;BF134,CODIFICACION!$F$2:$F$500,0))="sin dato","",INDEX(CODIFICACION!$E$2:$E$500,MATCH("D3.14d|"&amp;BF134,CODIFICACION!$F$2:$F$500,0))),"⚠"))</f>
        <v/>
      </c>
      <c r="AB134" t="str">
        <f>IF(BG134="","",IFERROR(IF(INDEX(CODIFICACION!$E$2:$E$500,MATCH("D3.14e|"&amp;BG134,CODIFICACION!$F$2:$F$500,0))="sin dato","",INDEX(CODIFICACION!$E$2:$E$500,MATCH("D3.14e|"&amp;BG134,CODIFICACION!$F$2:$F$500,0))),"⚠"))</f>
        <v/>
      </c>
      <c r="AC134" t="str">
        <f>IF(BH134="","",IFERROR(IF(INDEX(CODIFICACION!$E$2:$E$500,MATCH("D3.14f|"&amp;BH134,CODIFICACION!$F$2:$F$500,0))="sin dato","",INDEX(CODIFICACION!$E$2:$E$500,MATCH("D3.14f|"&amp;BH134,CODIFICACION!$F$2:$F$500,0))),"⚠"))</f>
        <v/>
      </c>
      <c r="AD134" t="str">
        <f>IF(BI134="","",IFERROR(IF(INDEX(CODIFICACION!$E$2:$E$500,MATCH("D3.14g|"&amp;BI134,CODIFICACION!$F$2:$F$500,0))="sin dato","",INDEX(CODIFICACION!$E$2:$E$500,MATCH("D3.14g|"&amp;BI134,CODIFICACION!$F$2:$F$500,0))),"⚠"))</f>
        <v/>
      </c>
      <c r="AE134" t="str">
        <f>IF(BJ134="","",IFERROR(IF(INDEX(CODIFICACION!$E$2:$E$500,MATCH("D3.14h|"&amp;BJ134,CODIFICACION!$F$2:$F$500,0))="sin dato","",INDEX(CODIFICACION!$E$2:$E$500,MATCH("D3.14h|"&amp;BJ134,CODIFICACION!$F$2:$F$500,0))),"⚠"))</f>
        <v/>
      </c>
      <c r="AF134" t="str">
        <f>IF(BK134="","",IFERROR(IF(INDEX(CODIFICACION!$E$2:$E$500,MATCH("D3.14i|"&amp;BK134,CODIFICACION!$F$2:$F$500,0))="sin dato","",INDEX(CODIFICACION!$E$2:$E$500,MATCH("D3.14i|"&amp;BK134,CODIFICACION!$F$2:$F$500,0))),"⚠"))</f>
        <v/>
      </c>
      <c r="AG134" t="str">
        <f>IF(BL134="","",IFERROR(IF(INDEX(CODIFICACION!$E$2:$E$500,MATCH("D4.15|"&amp;BL134,CODIFICACION!$F$2:$F$500,0))="sin dato","",INDEX(CODIFICACION!$E$2:$E$500,MATCH("D4.15|"&amp;BL134,CODIFICACION!$F$2:$F$500,0))),"⚠"))</f>
        <v/>
      </c>
      <c r="AH134" t="str">
        <f t="shared" si="106"/>
        <v/>
      </c>
      <c r="AI134" t="str">
        <f>IF(BN134="","",IFERROR(IF(INDEX(CODIFICACION!$E$2:$E$500,MATCH("D4.17|"&amp;BN134,CODIFICACION!$F$2:$F$500,0))="sin dato","",INDEX(CODIFICACION!$E$2:$E$500,MATCH("D4.17|"&amp;BN134,CODIFICACION!$F$2:$F$500,0))),"⚠"))</f>
        <v/>
      </c>
      <c r="AJ134" t="str">
        <f>IF(BO134="","",IFERROR(IF(INDEX(CODIFICACION!$E$2:$E$500,MATCH("D4.15a|"&amp;BO134,CODIFICACION!$F$2:$F$500,0))="sin dato","",INDEX(CODIFICACION!$E$2:$E$500,MATCH("D4.15a|"&amp;BO134,CODIFICACION!$F$2:$F$500,0))),"⚠"))</f>
        <v/>
      </c>
      <c r="AK134" t="str">
        <f t="shared" si="107"/>
        <v/>
      </c>
      <c r="AL134" t="str">
        <f t="shared" si="108"/>
        <v/>
      </c>
      <c r="AM134" t="str">
        <f>IF(BR134="","",IFERROR(IF(INDEX(CODIFICACION!$E$2:$E$500,MATCH("D5.18b|"&amp;BR134,CODIFICACION!$F$2:$F$500,0))="sin dato","",INDEX(CODIFICACION!$E$2:$E$500,MATCH("D5.18b|"&amp;BR134,CODIFICACION!$F$2:$F$500,0))),"⚠"))</f>
        <v/>
      </c>
      <c r="AN134" t="str">
        <f>IF(BS134="","",IFERROR(IF(INDEX(CODIFICACION!$E$2:$E$500,MATCH("D5.19|"&amp;BS134,CODIFICACION!$F$2:$F$500,0))="sin dato","",INDEX(CODIFICACION!$E$2:$E$500,MATCH("D5.19|"&amp;BS134,CODIFICACION!$F$2:$F$500,0))),"⚠"))</f>
        <v/>
      </c>
      <c r="AO134" t="str">
        <f t="shared" si="109"/>
        <v/>
      </c>
      <c r="AP134" t="str">
        <f>IF(BU134="","",IFERROR(IF(INDEX(CODIFICACION!$E$2:$E$500,MATCH("D5.20|"&amp;BU134,CODIFICACION!$F$2:$F$500,0))="sin dato","",INDEX(CODIFICACION!$E$2:$E$500,MATCH("D5.20|"&amp;BU134,CODIFICACION!$F$2:$F$500,0))),"⚠"))</f>
        <v/>
      </c>
      <c r="AQ134" t="str">
        <f>IF(BV134="","",IFERROR(IF(INDEX(CODIFICACION!$E$2:$E$500,MATCH("D5.21|"&amp;BV134,CODIFICACION!$F$2:$F$500,0))="sin dato","",INDEX(CODIFICACION!$E$2:$E$500,MATCH("D5.21|"&amp;BV134,CODIFICACION!$F$2:$F$500,0))),"⚠"))</f>
        <v/>
      </c>
      <c r="AR134" t="str">
        <f>IF(BW134="","",IFERROR(IF(INDEX(CODIFICACION!$E$2:$E$500,MATCH("D5.21a|"&amp;BW134,CODIFICACION!$F$2:$F$500,0))="sin dato","",INDEX(CODIFICACION!$E$2:$E$500,MATCH("D5.21a|"&amp;BW134,CODIFICACION!$F$2:$F$500,0))),"⚠"))</f>
        <v/>
      </c>
      <c r="AS134" t="str">
        <f>IF(BX134="","",IFERROR(IF(INDEX(CODIFICACION!$E$2:$E$500,MATCH("D5.21b|"&amp;BX134,CODIFICACION!$F$2:$F$500,0))="sin dato","",INDEX(CODIFICACION!$E$2:$E$500,MATCH("D5.21b|"&amp;BX134,CODIFICACION!$F$2:$F$500,0))),"⚠"))</f>
        <v/>
      </c>
      <c r="AT134" t="str">
        <f>IF(BY134="","",IFERROR(IF(INDEX(CODIFICACION!$E$2:$E$500,MATCH("D6.22|"&amp;BY134,CODIFICACION!$F$2:$F$500,0))="sin dato","",INDEX(CODIFICACION!$E$2:$E$500,MATCH("D6.22|"&amp;BY134,CODIFICACION!$F$2:$F$500,0))),"⚠"))</f>
        <v/>
      </c>
      <c r="AU134" t="str">
        <f>IF(BZ134="","",IFERROR(IF(INDEX(CODIFICACION!$E$2:$E$500,MATCH("D6.22a|"&amp;BZ134,CODIFICACION!$F$2:$F$500,0))="sin dato","",INDEX(CODIFICACION!$E$2:$E$500,MATCH("D6.22a|"&amp;BZ134,CODIFICACION!$F$2:$F$500,0))),"⚠"))</f>
        <v/>
      </c>
      <c r="AV134" t="str">
        <f>IF(CA134="","",IFERROR(IF(INDEX(CODIFICACION!$E$2:$E$500,MATCH("D6.22b|"&amp;CA134,CODIFICACION!$F$2:$F$500,0))="sin dato","",INDEX(CODIFICACION!$E$2:$E$500,MATCH("D6.22b|"&amp;CA134,CODIFICACION!$F$2:$F$500,0))),"⚠"))</f>
        <v/>
      </c>
      <c r="AW134" t="str">
        <f>IF(CB134="","",IFERROR(IF(INDEX(CODIFICACION!$E$2:$E$500,MATCH("D6.23|"&amp;CB134,CODIFICACION!$F$2:$F$500,0))="sin dato","",INDEX(CODIFICACION!$E$2:$E$500,MATCH("D6.23|"&amp;CB134,CODIFICACION!$F$2:$F$500,0))),"⚠"))</f>
        <v/>
      </c>
      <c r="AX134" t="str">
        <f ca="1">IF(CC134="","",IFERROR(IF(INDEX(CODIFICACION!$E$2:$E$500,MATCH("D6.24|"&amp;CC134,CODIFICACION!$F$2:$F$500,0))="sin dato","",INDEX(CODIFICACION!$E$2:$E$500,MATCH("D6.24|"&amp;CC134,CODIFICACION!$F$2:$F$500,0))),"⚠"))</f>
        <v/>
      </c>
      <c r="AY134" t="str">
        <f ca="1">IF(CD134="","",IFERROR(IF(INDEX(CODIFICACION!$E$2:$E$500,MATCH("D6.25|"&amp;CD134,CODIFICACION!$F$2:$F$500,0))="sin dato","",INDEX(CODIFICACION!$E$2:$E$500,MATCH("D6.25|"&amp;CD134,CODIFICACION!$F$2:$F$500,0))),"⚠"))</f>
        <v/>
      </c>
      <c r="AZ134" t="str">
        <f>IF(CE134="","",IFERROR(IF(INDEX(CODIFICACION!$E$2:$E$500,MATCH("D6.25a|"&amp;CE134,CODIFICACION!$F$2:$F$500,0))="sin dato","",INDEX(CODIFICACION!$E$2:$E$500,MATCH("D6.25a|"&amp;CE134,CODIFICACION!$F$2:$F$500,0))),"⚠"))</f>
        <v/>
      </c>
      <c r="BA134" t="str">
        <f>IF(CF134="","",IFERROR(IF(INDEX(CODIFICACION!$E$2:$E$500,MATCH("D6.25b|"&amp;CF134,CODIFICACION!$F$2:$F$500,0))="sin dato","",INDEX(CODIFICACION!$E$2:$E$500,MATCH("D6.25b|"&amp;CF134,CODIFICACION!$F$2:$F$500,0))),"⚠"))</f>
        <v/>
      </c>
      <c r="BB134" t="str">
        <f ca="1">IF(CG134="","",IFERROR(IF(INDEX(CODIFICACION!$E$2:$E$500,MATCH("D6.22c|"&amp;CG134,CODIFICACION!$F$2:$F$500,0))="sin dato","",INDEX(CODIFICACION!$E$2:$E$500,MATCH("D6.22c|"&amp;CG134,CODIFICACION!$F$2:$F$500,0))),"⚠"))</f>
        <v/>
      </c>
      <c r="BC134" t="str">
        <f ca="1">IF(CH134="","",IFERROR(IF(INDEX(CODIFICACION!$E$2:$E$500,MATCH("D7.26|"&amp;CH134,CODIFICACION!$F$2:$F$500,0))="sin dato","",INDEX(CODIFICACION!$E$2:$E$500,MATCH("D7.26|"&amp;CH134,CODIFICACION!$F$2:$F$500,0))),"⚠"))</f>
        <v/>
      </c>
      <c r="BD134" t="str">
        <f>IF(CI134="","",IFERROR(IF(INDEX(CODIFICACION!$E$2:$E$500,MATCH("D7.27|"&amp;CI134,CODIFICACION!$F$2:$F$500,0))="sin dato","",INDEX(CODIFICACION!$E$2:$E$500,MATCH("D7.27|"&amp;CI134,CODIFICACION!$F$2:$F$500,0))),"⚠"))</f>
        <v/>
      </c>
      <c r="BE134" t="str">
        <f>IF(CJ134="","",IFERROR(IF(INDEX(CODIFICACION!$E$2:$E$500,MATCH("D7.28|"&amp;CJ134,CODIFICACION!$F$2:$F$500,0))="sin dato","",INDEX(CODIFICACION!$E$2:$E$500,MATCH("D7.28|"&amp;CJ134,CODIFICACION!$F$2:$F$500,0))),"⚠"))</f>
        <v/>
      </c>
      <c r="BF134" t="str">
        <f>IF(CK134="","",IFERROR(IF(INDEX(CODIFICACION!$E$2:$E$500,MATCH("D7.28b|"&amp;CK134,CODIFICACION!$F$2:$F$500,0))="sin dato","",INDEX(CODIFICACION!$E$2:$E$500,MATCH("D7.28b|"&amp;CK134,CODIFICACION!$F$2:$F$500,0))),"⚠"))</f>
        <v/>
      </c>
      <c r="BG134" t="str">
        <f t="shared" si="110"/>
        <v/>
      </c>
      <c r="BH134" t="str">
        <f>IF(CM134="","",IFERROR(IF(INDEX(CODIFICACION!$E$2:$E$500,MATCH("D7.26a|"&amp;CM134,CODIFICACION!$F$2:$F$500,0))="sin dato","",INDEX(CODIFICACION!$E$2:$E$500,MATCH("D7.26a|"&amp;CM134,CODIFICACION!$F$2:$F$500,0))),"⚠"))</f>
        <v/>
      </c>
      <c r="BI134" t="str">
        <f>IF(CN134="","",IFERROR(IF(INDEX(CODIFICACION!$E$2:$E$500,MATCH("D7.26b|"&amp;CN134,CODIFICACION!$F$2:$F$500,0))="sin dato","",INDEX(CODIFICACION!$E$2:$E$500,MATCH("D7.26b|"&amp;CN134,CODIFICACION!$F$2:$F$500,0))),"⚠"))</f>
        <v/>
      </c>
      <c r="BJ134" t="str">
        <f t="shared" si="111"/>
        <v/>
      </c>
      <c r="BK134" t="str">
        <f t="shared" si="112"/>
        <v/>
      </c>
      <c r="BL134" t="str">
        <f>IF(CQ134="","",IFERROR(IF(INDEX(CODIFICACION!$E$2:$E$500,MATCH("D8.31|"&amp;CQ134,CODIFICACION!$F$2:$F$500,0))="sin dato","",INDEX(CODIFICACION!$E$2:$E$500,MATCH("D8.31|"&amp;CQ134,CODIFICACION!$F$2:$F$500,0))),"⚠"))</f>
        <v/>
      </c>
      <c r="BM134" t="str">
        <f>IF(CR134="","",IFERROR(IF(INDEX(CODIFICACION!$E$2:$E$500,MATCH("D8.32|"&amp;CR134,CODIFICACION!$F$2:$F$500,0))="sin dato","",INDEX(CODIFICACION!$E$2:$E$500,MATCH("D8.32|"&amp;CR134,CODIFICACION!$F$2:$F$500,0))),"⚠"))</f>
        <v/>
      </c>
      <c r="BN134" t="str">
        <f>IF(CS134="","",IFERROR(IF(INDEX(CODIFICACION!$E$2:$E$500,MATCH("D9.33|"&amp;CS134,CODIFICACION!$F$2:$F$500,0))="sin dato","",INDEX(CODIFICACION!$E$2:$E$500,MATCH("D9.33|"&amp;CS134,CODIFICACION!$F$2:$F$500,0))),"⚠"))</f>
        <v/>
      </c>
      <c r="BO134" t="str">
        <f>IF(CT134="","",IFERROR(IF(INDEX(CODIFICACION!$E$2:$E$500,MATCH("D9.34|"&amp;CT134,CODIFICACION!$F$2:$F$500,0))="sin dato","",INDEX(CODIFICACION!$E$2:$E$500,MATCH("D9.34|"&amp;CT134,CODIFICACION!$F$2:$F$500,0))),"⚠"))</f>
        <v/>
      </c>
      <c r="BP134" t="str">
        <f>IF(CU134="","",IFERROR(IF(INDEX(CODIFICACION!$E$2:$E$500,MATCH("D9.35|"&amp;CU134,CODIFICACION!$F$2:$F$500,0))="sin dato","",INDEX(CODIFICACION!$E$2:$E$500,MATCH("D9.35|"&amp;CU134,CODIFICACION!$F$2:$F$500,0))),"⚠"))</f>
        <v/>
      </c>
      <c r="BQ134" t="str">
        <f>IF(CV134="","",IFERROR(IF(INDEX(CODIFICACION!$E$2:$E$500,MATCH("D10.36|"&amp;CV134,CODIFICACION!$F$2:$F$500,0))="sin dato","",INDEX(CODIFICACION!$E$2:$E$500,MATCH("D10.36|"&amp;CV134,CODIFICACION!$F$2:$F$500,0))),"⚠"))</f>
        <v/>
      </c>
      <c r="BR134" t="str">
        <f>IF(CW134="","",IFERROR(IF(INDEX(CODIFICACION!$E$2:$E$500,MATCH("D10.37|"&amp;CW134,CODIFICACION!$F$2:$F$500,0))="sin dato","",INDEX(CODIFICACION!$E$2:$E$500,MATCH("D10.37|"&amp;CW134,CODIFICACION!$F$2:$F$500,0))),"⚠"))</f>
        <v/>
      </c>
      <c r="BS134" t="str">
        <f>IF(CX134="","",IFERROR(IF(INDEX(CODIFICACION!$E$2:$E$500,MATCH("D10.36a|"&amp;CX134,CODIFICACION!$F$2:$F$500,0))="sin dato","",INDEX(CODIFICACION!$E$2:$E$500,MATCH("D10.36a|"&amp;CX134,CODIFICACION!$F$2:$F$500,0))),"⚠"))</f>
        <v/>
      </c>
      <c r="BT134" t="str">
        <f t="shared" si="113"/>
        <v/>
      </c>
      <c r="BU134" t="str">
        <f>IF(DA134="","",IFERROR(IF(INDEX(CODIFICACION!$E$2:$E$500,MATCH("D11.39a|"&amp;DA134,CODIFICACION!$F$2:$F$500,0))="sin dato","",INDEX(CODIFICACION!$E$2:$E$500,MATCH("D11.39a|"&amp;DA134,CODIFICACION!$F$2:$F$500,0))),"⚠"))</f>
        <v/>
      </c>
      <c r="BV134" t="str">
        <f>IF(DB134="","",IFERROR(IF(INDEX(CODIFICACION!$E$2:$E$500,MATCH("D12.42|"&amp;DB134,CODIFICACION!$F$2:$F$500,0))="sin dato","",INDEX(CODIFICACION!$E$2:$E$500,MATCH("D12.42|"&amp;DB134,CODIFICACION!$F$2:$F$500,0))),"⚠"))</f>
        <v/>
      </c>
      <c r="BW134" t="str">
        <f>IF(DC134="","",IFERROR(IF(INDEX(CODIFICACION!$E$2:$E$500,MATCH("D13.45|"&amp;DC134,CODIFICACION!$F$2:$F$500,0))="sin dato","",INDEX(CODIFICACION!$E$2:$E$500,MATCH("D13.45|"&amp;DC134,CODIFICACION!$F$2:$F$500,0))),"⚠"))</f>
        <v/>
      </c>
      <c r="BX134" t="str">
        <f>IF(DD134="","",IFERROR(IF(INDEX(CODIFICACION!$E$2:$E$500,MATCH("D14.51|"&amp;DD134,CODIFICACION!$F$2:$F$500,0))="sin dato","",INDEX(CODIFICACION!$E$2:$E$500,MATCH("D14.51|"&amp;DD134,CODIFICACION!$F$2:$F$500,0))),"⚠"))</f>
        <v/>
      </c>
      <c r="BY134" t="str">
        <f>IF(DE134="","",IFERROR(IF(INDEX(CODIFICACION!$E$2:$E$500,MATCH("D15.58|"&amp;DE134,CODIFICACION!$F$2:$F$500,0))="sin dato","",INDEX(CODIFICACION!$E$2:$E$500,MATCH("D15.58|"&amp;DE134,CODIFICACION!$F$2:$F$500,0))),"⚠"))</f>
        <v/>
      </c>
      <c r="BZ134" t="str">
        <f>IF(DF134="","",IFERROR(IF(INDEX(CODIFICACION!$E$2:$E$500,MATCH("PP1|"&amp;DF134,CODIFICACION!$F$2:$F$500,0))="sin dato","",INDEX(CODIFICACION!$E$2:$E$500,MATCH("PP1|"&amp;DF134,CODIFICACION!$F$2:$F$500,0))),"⚠"))</f>
        <v/>
      </c>
      <c r="CA134" t="str">
        <f>IF(DG134="","",IFERROR(IF(INDEX(CODIFICACION!$E$2:$E$500,MATCH("PP2|"&amp;DG134,CODIFICACION!$F$2:$F$500,0))="sin dato","",INDEX(CODIFICACION!$E$2:$E$500,MATCH("PP2|"&amp;DG134,CODIFICACION!$F$2:$F$500,0))),"⚠"))</f>
        <v/>
      </c>
      <c r="CB134" t="str">
        <f t="shared" si="114"/>
        <v/>
      </c>
      <c r="CC134" t="str">
        <f t="shared" ca="1" si="115"/>
        <v/>
      </c>
      <c r="CD134" t="str">
        <f t="shared" ca="1" si="116"/>
        <v/>
      </c>
      <c r="CE134" t="str">
        <f t="shared" si="117"/>
        <v/>
      </c>
      <c r="CF134" t="str">
        <f t="shared" si="118"/>
        <v/>
      </c>
      <c r="CG134" t="str">
        <f t="shared" ca="1" si="119"/>
        <v/>
      </c>
      <c r="CH134" t="str">
        <f t="shared" ca="1" si="120"/>
        <v/>
      </c>
      <c r="CI134" t="str">
        <f t="shared" si="121"/>
        <v/>
      </c>
      <c r="CJ134" t="str">
        <f t="shared" si="122"/>
        <v/>
      </c>
      <c r="CK134" t="str">
        <f t="shared" si="123"/>
        <v/>
      </c>
      <c r="CL134" t="str">
        <f t="shared" si="124"/>
        <v/>
      </c>
    </row>
    <row r="135" spans="1:90" x14ac:dyDescent="0.3">
      <c r="A135">
        <f>CAPTURA!A135</f>
        <v>20602650643</v>
      </c>
      <c r="B135">
        <f>CAPTURA!C135</f>
        <v>0</v>
      </c>
      <c r="C135" t="str">
        <f t="shared" si="100"/>
        <v/>
      </c>
      <c r="D135" t="str">
        <f>IF(AE135="","",IFERROR(IF(INDEX(CODIFICACION!$E$2:$E$500,MATCH("P8|"&amp;AE135,CODIFICACION!$F$2:$F$500,0))="sin dato","",INDEX(CODIFICACION!$E$2:$E$500,MATCH("P8|"&amp;AE135,CODIFICACION!$F$2:$F$500,0))),"⚠"))</f>
        <v/>
      </c>
      <c r="E135" t="str">
        <f>IF(AG135="","",IFERROR(IF(INDEX(CODIFICACION!$E$2:$E$500,MATCH("P10|"&amp;AG135,CODIFICACION!$F$2:$F$500,0))="sin dato","",INDEX(CODIFICACION!$E$2:$E$500,MATCH("P10|"&amp;AG135,CODIFICACION!$F$2:$F$500,0))),"⚠"))</f>
        <v/>
      </c>
      <c r="F135" t="str">
        <f>IF(AJ135="","",IFERROR(IF(INDEX(CODIFICACION!$E$2:$E$500,MATCH("P13|"&amp;AJ135,CODIFICACION!$F$2:$F$500,0))="sin dato","",INDEX(CODIFICACION!$E$2:$E$500,MATCH("P13|"&amp;AJ135,CODIFICACION!$F$2:$F$500,0))),"⚠"))</f>
        <v/>
      </c>
      <c r="G135" t="str">
        <f>IF(AK135="","",IFERROR(IF(INDEX(CODIFICACION!$E$2:$E$500,MATCH("P14|"&amp;AK135,CODIFICACION!$F$2:$F$500,0))="sin dato","",INDEX(CODIFICACION!$E$2:$E$500,MATCH("P14|"&amp;AK135,CODIFICACION!$F$2:$F$500,0))),"⚠"))</f>
        <v/>
      </c>
      <c r="H135" t="str">
        <f>IF(AL135="","",IFERROR(IF(INDEX(CODIFICACION!$E$2:$E$500,MATCH("D1.1|"&amp;AL135,CODIFICACION!$F$2:$F$500,0))="sin dato","",INDEX(CODIFICACION!$E$2:$E$500,MATCH("D1.1|"&amp;AL135,CODIFICACION!$F$2:$F$500,0))),"⚠"))</f>
        <v/>
      </c>
      <c r="I135" t="str">
        <f>IF(AN135="","",IFERROR(IF(INDEX(CODIFICACION!$E$2:$E$500,MATCH("D1.3|"&amp;AN135,CODIFICACION!$F$2:$F$500,0))="sin dato","",INDEX(CODIFICACION!$E$2:$E$500,MATCH("D1.3|"&amp;AN135,CODIFICACION!$F$2:$F$500,0))),"⚠"))</f>
        <v/>
      </c>
      <c r="J135" t="str">
        <f>IF(AO135="","",IFERROR(IF(INDEX(CODIFICACION!$E$2:$E$500,MATCH("D1.4|"&amp;AO135,CODIFICACION!$F$2:$F$500,0))="sin dato","",INDEX(CODIFICACION!$E$2:$E$500,MATCH("D1.4|"&amp;AO135,CODIFICACION!$F$2:$F$500,0))),"⚠"))</f>
        <v/>
      </c>
      <c r="K135" t="str">
        <f>IF(AP135="","",IFERROR(IF(INDEX(CODIFICACION!$E$2:$E$500,MATCH("D1.3a|"&amp;AP135,CODIFICACION!$F$2:$F$500,0))="sin dato","",INDEX(CODIFICACION!$E$2:$E$500,MATCH("D1.3a|"&amp;AP135,CODIFICACION!$F$2:$F$500,0))),"⚠"))</f>
        <v/>
      </c>
      <c r="L135" t="str">
        <f t="shared" si="101"/>
        <v/>
      </c>
      <c r="M135" t="str">
        <f t="shared" si="102"/>
        <v/>
      </c>
      <c r="N135" t="str">
        <f t="shared" si="103"/>
        <v/>
      </c>
      <c r="O135" t="str">
        <f>IF(AT135="","",IFERROR(IF(INDEX(CODIFICACION!$E$2:$E$500,MATCH("D2.8|"&amp;AT135,CODIFICACION!$F$2:$F$500,0))="sin dato","",INDEX(CODIFICACION!$E$2:$E$500,MATCH("D2.8|"&amp;AT135,CODIFICACION!$F$2:$F$500,0))),"⚠"))</f>
        <v/>
      </c>
      <c r="P135" t="str">
        <f>IF(AU135="","",IFERROR(IF(INDEX(CODIFICACION!$E$2:$E$500,MATCH("D2.9|"&amp;AU135,CODIFICACION!$F$2:$F$500,0))="sin dato","",INDEX(CODIFICACION!$E$2:$E$500,MATCH("D2.9|"&amp;AU135,CODIFICACION!$F$2:$F$500,0))),"⚠"))</f>
        <v/>
      </c>
      <c r="Q135" t="str">
        <f>IF(AV135="","",IFERROR(IF(INDEX(CODIFICACION!$E$2:$E$500,MATCH("D2.10|"&amp;AV135,CODIFICACION!$F$2:$F$500,0))="sin dato","",INDEX(CODIFICACION!$E$2:$E$500,MATCH("D2.10|"&amp;AV135,CODIFICACION!$F$2:$F$500,0))),"⚠"))</f>
        <v/>
      </c>
      <c r="R135" t="str">
        <f>IF(AW135="","",IFERROR(IF(INDEX(CODIFICACION!$E$2:$E$500,MATCH("D2.5a|"&amp;AW135,CODIFICACION!$F$2:$F$500,0))="sin dato","",INDEX(CODIFICACION!$E$2:$E$500,MATCH("D2.5a|"&amp;AW135,CODIFICACION!$F$2:$F$500,0))),"⚠"))</f>
        <v/>
      </c>
      <c r="S135" t="str">
        <f ca="1">IF(AX135="","",IFERROR(IF(INDEX(CODIFICACION!$E$2:$E$500,MATCH("D2.5b|"&amp;AX135,CODIFICACION!$F$2:$F$500,0))="sin dato","",INDEX(CODIFICACION!$E$2:$E$500,MATCH("D2.5b|"&amp;AX135,CODIFICACION!$F$2:$F$500,0))),"⚠"))</f>
        <v/>
      </c>
      <c r="T135" t="str">
        <f t="shared" ca="1" si="104"/>
        <v/>
      </c>
      <c r="U135" t="str">
        <f>IF(AZ135="","",IFERROR(IF(INDEX(CODIFICACION!$E$2:$E$500,MATCH("D3.12|"&amp;AZ135,CODIFICACION!$F$2:$F$500,0))="sin dato","",INDEX(CODIFICACION!$E$2:$E$500,MATCH("D3.12|"&amp;AZ135,CODIFICACION!$F$2:$F$500,0))),"⚠"))</f>
        <v/>
      </c>
      <c r="V135" t="str">
        <f t="shared" si="105"/>
        <v/>
      </c>
      <c r="W135" t="str">
        <f ca="1">IF(BB135="","",IFERROR(IF(INDEX(CODIFICACION!$E$2:$E$500,MATCH("D3.14|"&amp;BB135,CODIFICACION!$F$2:$F$500,0))="sin dato","",INDEX(CODIFICACION!$E$2:$E$500,MATCH("D3.14|"&amp;BB135,CODIFICACION!$F$2:$F$500,0))),"⚠"))</f>
        <v/>
      </c>
      <c r="X135" t="str">
        <f ca="1">IF(BC135="","",IFERROR(IF(INDEX(CODIFICACION!$E$2:$E$500,MATCH("D3.14a|"&amp;BC135,CODIFICACION!$F$2:$F$500,0))="sin dato","",INDEX(CODIFICACION!$E$2:$E$500,MATCH("D3.14a|"&amp;BC135,CODIFICACION!$F$2:$F$500,0))),"⚠"))</f>
        <v/>
      </c>
      <c r="Y135" t="str">
        <f>IF(BD135="","",IFERROR(IF(INDEX(CODIFICACION!$E$2:$E$500,MATCH("D3.14b|"&amp;BD135,CODIFICACION!$F$2:$F$500,0))="sin dato","",INDEX(CODIFICACION!$E$2:$E$500,MATCH("D3.14b|"&amp;BD135,CODIFICACION!$F$2:$F$500,0))),"⚠"))</f>
        <v/>
      </c>
      <c r="Z135" t="str">
        <f>IF(BE135="","",IFERROR(IF(INDEX(CODIFICACION!$E$2:$E$500,MATCH("D3.14c|"&amp;BE135,CODIFICACION!$F$2:$F$500,0))="sin dato","",INDEX(CODIFICACION!$E$2:$E$500,MATCH("D3.14c|"&amp;BE135,CODIFICACION!$F$2:$F$500,0))),"⚠"))</f>
        <v/>
      </c>
      <c r="AA135" t="str">
        <f>IF(BF135="","",IFERROR(IF(INDEX(CODIFICACION!$E$2:$E$500,MATCH("D3.14d|"&amp;BF135,CODIFICACION!$F$2:$F$500,0))="sin dato","",INDEX(CODIFICACION!$E$2:$E$500,MATCH("D3.14d|"&amp;BF135,CODIFICACION!$F$2:$F$500,0))),"⚠"))</f>
        <v/>
      </c>
      <c r="AB135" t="str">
        <f>IF(BG135="","",IFERROR(IF(INDEX(CODIFICACION!$E$2:$E$500,MATCH("D3.14e|"&amp;BG135,CODIFICACION!$F$2:$F$500,0))="sin dato","",INDEX(CODIFICACION!$E$2:$E$500,MATCH("D3.14e|"&amp;BG135,CODIFICACION!$F$2:$F$500,0))),"⚠"))</f>
        <v/>
      </c>
      <c r="AC135" t="str">
        <f>IF(BH135="","",IFERROR(IF(INDEX(CODIFICACION!$E$2:$E$500,MATCH("D3.14f|"&amp;BH135,CODIFICACION!$F$2:$F$500,0))="sin dato","",INDEX(CODIFICACION!$E$2:$E$500,MATCH("D3.14f|"&amp;BH135,CODIFICACION!$F$2:$F$500,0))),"⚠"))</f>
        <v/>
      </c>
      <c r="AD135" t="str">
        <f>IF(BI135="","",IFERROR(IF(INDEX(CODIFICACION!$E$2:$E$500,MATCH("D3.14g|"&amp;BI135,CODIFICACION!$F$2:$F$500,0))="sin dato","",INDEX(CODIFICACION!$E$2:$E$500,MATCH("D3.14g|"&amp;BI135,CODIFICACION!$F$2:$F$500,0))),"⚠"))</f>
        <v/>
      </c>
      <c r="AE135" t="str">
        <f>IF(BJ135="","",IFERROR(IF(INDEX(CODIFICACION!$E$2:$E$500,MATCH("D3.14h|"&amp;BJ135,CODIFICACION!$F$2:$F$500,0))="sin dato","",INDEX(CODIFICACION!$E$2:$E$500,MATCH("D3.14h|"&amp;BJ135,CODIFICACION!$F$2:$F$500,0))),"⚠"))</f>
        <v/>
      </c>
      <c r="AF135" t="str">
        <f>IF(BK135="","",IFERROR(IF(INDEX(CODIFICACION!$E$2:$E$500,MATCH("D3.14i|"&amp;BK135,CODIFICACION!$F$2:$F$500,0))="sin dato","",INDEX(CODIFICACION!$E$2:$E$500,MATCH("D3.14i|"&amp;BK135,CODIFICACION!$F$2:$F$500,0))),"⚠"))</f>
        <v/>
      </c>
      <c r="AG135" t="str">
        <f>IF(BL135="","",IFERROR(IF(INDEX(CODIFICACION!$E$2:$E$500,MATCH("D4.15|"&amp;BL135,CODIFICACION!$F$2:$F$500,0))="sin dato","",INDEX(CODIFICACION!$E$2:$E$500,MATCH("D4.15|"&amp;BL135,CODIFICACION!$F$2:$F$500,0))),"⚠"))</f>
        <v/>
      </c>
      <c r="AH135" t="str">
        <f t="shared" si="106"/>
        <v/>
      </c>
      <c r="AI135" t="str">
        <f>IF(BN135="","",IFERROR(IF(INDEX(CODIFICACION!$E$2:$E$500,MATCH("D4.17|"&amp;BN135,CODIFICACION!$F$2:$F$500,0))="sin dato","",INDEX(CODIFICACION!$E$2:$E$500,MATCH("D4.17|"&amp;BN135,CODIFICACION!$F$2:$F$500,0))),"⚠"))</f>
        <v/>
      </c>
      <c r="AJ135" t="str">
        <f>IF(BO135="","",IFERROR(IF(INDEX(CODIFICACION!$E$2:$E$500,MATCH("D4.15a|"&amp;BO135,CODIFICACION!$F$2:$F$500,0))="sin dato","",INDEX(CODIFICACION!$E$2:$E$500,MATCH("D4.15a|"&amp;BO135,CODIFICACION!$F$2:$F$500,0))),"⚠"))</f>
        <v/>
      </c>
      <c r="AK135" t="str">
        <f t="shared" si="107"/>
        <v/>
      </c>
      <c r="AL135" t="str">
        <f t="shared" si="108"/>
        <v/>
      </c>
      <c r="AM135" t="str">
        <f>IF(BR135="","",IFERROR(IF(INDEX(CODIFICACION!$E$2:$E$500,MATCH("D5.18b|"&amp;BR135,CODIFICACION!$F$2:$F$500,0))="sin dato","",INDEX(CODIFICACION!$E$2:$E$500,MATCH("D5.18b|"&amp;BR135,CODIFICACION!$F$2:$F$500,0))),"⚠"))</f>
        <v/>
      </c>
      <c r="AN135" t="str">
        <f>IF(BS135="","",IFERROR(IF(INDEX(CODIFICACION!$E$2:$E$500,MATCH("D5.19|"&amp;BS135,CODIFICACION!$F$2:$F$500,0))="sin dato","",INDEX(CODIFICACION!$E$2:$E$500,MATCH("D5.19|"&amp;BS135,CODIFICACION!$F$2:$F$500,0))),"⚠"))</f>
        <v/>
      </c>
      <c r="AO135" t="str">
        <f t="shared" si="109"/>
        <v/>
      </c>
      <c r="AP135" t="str">
        <f>IF(BU135="","",IFERROR(IF(INDEX(CODIFICACION!$E$2:$E$500,MATCH("D5.20|"&amp;BU135,CODIFICACION!$F$2:$F$500,0))="sin dato","",INDEX(CODIFICACION!$E$2:$E$500,MATCH("D5.20|"&amp;BU135,CODIFICACION!$F$2:$F$500,0))),"⚠"))</f>
        <v/>
      </c>
      <c r="AQ135" t="str">
        <f>IF(BV135="","",IFERROR(IF(INDEX(CODIFICACION!$E$2:$E$500,MATCH("D5.21|"&amp;BV135,CODIFICACION!$F$2:$F$500,0))="sin dato","",INDEX(CODIFICACION!$E$2:$E$500,MATCH("D5.21|"&amp;BV135,CODIFICACION!$F$2:$F$500,0))),"⚠"))</f>
        <v/>
      </c>
      <c r="AR135" t="str">
        <f>IF(BW135="","",IFERROR(IF(INDEX(CODIFICACION!$E$2:$E$500,MATCH("D5.21a|"&amp;BW135,CODIFICACION!$F$2:$F$500,0))="sin dato","",INDEX(CODIFICACION!$E$2:$E$500,MATCH("D5.21a|"&amp;BW135,CODIFICACION!$F$2:$F$500,0))),"⚠"))</f>
        <v/>
      </c>
      <c r="AS135" t="str">
        <f>IF(BX135="","",IFERROR(IF(INDEX(CODIFICACION!$E$2:$E$500,MATCH("D5.21b|"&amp;BX135,CODIFICACION!$F$2:$F$500,0))="sin dato","",INDEX(CODIFICACION!$E$2:$E$500,MATCH("D5.21b|"&amp;BX135,CODIFICACION!$F$2:$F$500,0))),"⚠"))</f>
        <v/>
      </c>
      <c r="AT135" t="str">
        <f>IF(BY135="","",IFERROR(IF(INDEX(CODIFICACION!$E$2:$E$500,MATCH("D6.22|"&amp;BY135,CODIFICACION!$F$2:$F$500,0))="sin dato","",INDEX(CODIFICACION!$E$2:$E$500,MATCH("D6.22|"&amp;BY135,CODIFICACION!$F$2:$F$500,0))),"⚠"))</f>
        <v/>
      </c>
      <c r="AU135" t="str">
        <f>IF(BZ135="","",IFERROR(IF(INDEX(CODIFICACION!$E$2:$E$500,MATCH("D6.22a|"&amp;BZ135,CODIFICACION!$F$2:$F$500,0))="sin dato","",INDEX(CODIFICACION!$E$2:$E$500,MATCH("D6.22a|"&amp;BZ135,CODIFICACION!$F$2:$F$500,0))),"⚠"))</f>
        <v/>
      </c>
      <c r="AV135" t="str">
        <f>IF(CA135="","",IFERROR(IF(INDEX(CODIFICACION!$E$2:$E$500,MATCH("D6.22b|"&amp;CA135,CODIFICACION!$F$2:$F$500,0))="sin dato","",INDEX(CODIFICACION!$E$2:$E$500,MATCH("D6.22b|"&amp;CA135,CODIFICACION!$F$2:$F$500,0))),"⚠"))</f>
        <v/>
      </c>
      <c r="AW135" t="str">
        <f>IF(CB135="","",IFERROR(IF(INDEX(CODIFICACION!$E$2:$E$500,MATCH("D6.23|"&amp;CB135,CODIFICACION!$F$2:$F$500,0))="sin dato","",INDEX(CODIFICACION!$E$2:$E$500,MATCH("D6.23|"&amp;CB135,CODIFICACION!$F$2:$F$500,0))),"⚠"))</f>
        <v/>
      </c>
      <c r="AX135" t="str">
        <f ca="1">IF(CC135="","",IFERROR(IF(INDEX(CODIFICACION!$E$2:$E$500,MATCH("D6.24|"&amp;CC135,CODIFICACION!$F$2:$F$500,0))="sin dato","",INDEX(CODIFICACION!$E$2:$E$500,MATCH("D6.24|"&amp;CC135,CODIFICACION!$F$2:$F$500,0))),"⚠"))</f>
        <v/>
      </c>
      <c r="AY135" t="str">
        <f ca="1">IF(CD135="","",IFERROR(IF(INDEX(CODIFICACION!$E$2:$E$500,MATCH("D6.25|"&amp;CD135,CODIFICACION!$F$2:$F$500,0))="sin dato","",INDEX(CODIFICACION!$E$2:$E$500,MATCH("D6.25|"&amp;CD135,CODIFICACION!$F$2:$F$500,0))),"⚠"))</f>
        <v/>
      </c>
      <c r="AZ135" t="str">
        <f>IF(CE135="","",IFERROR(IF(INDEX(CODIFICACION!$E$2:$E$500,MATCH("D6.25a|"&amp;CE135,CODIFICACION!$F$2:$F$500,0))="sin dato","",INDEX(CODIFICACION!$E$2:$E$500,MATCH("D6.25a|"&amp;CE135,CODIFICACION!$F$2:$F$500,0))),"⚠"))</f>
        <v/>
      </c>
      <c r="BA135" t="str">
        <f>IF(CF135="","",IFERROR(IF(INDEX(CODIFICACION!$E$2:$E$500,MATCH("D6.25b|"&amp;CF135,CODIFICACION!$F$2:$F$500,0))="sin dato","",INDEX(CODIFICACION!$E$2:$E$500,MATCH("D6.25b|"&amp;CF135,CODIFICACION!$F$2:$F$500,0))),"⚠"))</f>
        <v/>
      </c>
      <c r="BB135" t="str">
        <f ca="1">IF(CG135="","",IFERROR(IF(INDEX(CODIFICACION!$E$2:$E$500,MATCH("D6.22c|"&amp;CG135,CODIFICACION!$F$2:$F$500,0))="sin dato","",INDEX(CODIFICACION!$E$2:$E$500,MATCH("D6.22c|"&amp;CG135,CODIFICACION!$F$2:$F$500,0))),"⚠"))</f>
        <v/>
      </c>
      <c r="BC135" t="str">
        <f ca="1">IF(CH135="","",IFERROR(IF(INDEX(CODIFICACION!$E$2:$E$500,MATCH("D7.26|"&amp;CH135,CODIFICACION!$F$2:$F$500,0))="sin dato","",INDEX(CODIFICACION!$E$2:$E$500,MATCH("D7.26|"&amp;CH135,CODIFICACION!$F$2:$F$500,0))),"⚠"))</f>
        <v/>
      </c>
      <c r="BD135" t="str">
        <f>IF(CI135="","",IFERROR(IF(INDEX(CODIFICACION!$E$2:$E$500,MATCH("D7.27|"&amp;CI135,CODIFICACION!$F$2:$F$500,0))="sin dato","",INDEX(CODIFICACION!$E$2:$E$500,MATCH("D7.27|"&amp;CI135,CODIFICACION!$F$2:$F$500,0))),"⚠"))</f>
        <v/>
      </c>
      <c r="BE135" t="str">
        <f>IF(CJ135="","",IFERROR(IF(INDEX(CODIFICACION!$E$2:$E$500,MATCH("D7.28|"&amp;CJ135,CODIFICACION!$F$2:$F$500,0))="sin dato","",INDEX(CODIFICACION!$E$2:$E$500,MATCH("D7.28|"&amp;CJ135,CODIFICACION!$F$2:$F$500,0))),"⚠"))</f>
        <v/>
      </c>
      <c r="BF135" t="str">
        <f>IF(CK135="","",IFERROR(IF(INDEX(CODIFICACION!$E$2:$E$500,MATCH("D7.28b|"&amp;CK135,CODIFICACION!$F$2:$F$500,0))="sin dato","",INDEX(CODIFICACION!$E$2:$E$500,MATCH("D7.28b|"&amp;CK135,CODIFICACION!$F$2:$F$500,0))),"⚠"))</f>
        <v/>
      </c>
      <c r="BG135" t="str">
        <f t="shared" si="110"/>
        <v/>
      </c>
      <c r="BH135" t="str">
        <f>IF(CM135="","",IFERROR(IF(INDEX(CODIFICACION!$E$2:$E$500,MATCH("D7.26a|"&amp;CM135,CODIFICACION!$F$2:$F$500,0))="sin dato","",INDEX(CODIFICACION!$E$2:$E$500,MATCH("D7.26a|"&amp;CM135,CODIFICACION!$F$2:$F$500,0))),"⚠"))</f>
        <v/>
      </c>
      <c r="BI135" t="str">
        <f>IF(CN135="","",IFERROR(IF(INDEX(CODIFICACION!$E$2:$E$500,MATCH("D7.26b|"&amp;CN135,CODIFICACION!$F$2:$F$500,0))="sin dato","",INDEX(CODIFICACION!$E$2:$E$500,MATCH("D7.26b|"&amp;CN135,CODIFICACION!$F$2:$F$500,0))),"⚠"))</f>
        <v/>
      </c>
      <c r="BJ135" t="str">
        <f t="shared" si="111"/>
        <v/>
      </c>
      <c r="BK135" t="str">
        <f t="shared" si="112"/>
        <v/>
      </c>
      <c r="BL135" t="str">
        <f>IF(CQ135="","",IFERROR(IF(INDEX(CODIFICACION!$E$2:$E$500,MATCH("D8.31|"&amp;CQ135,CODIFICACION!$F$2:$F$500,0))="sin dato","",INDEX(CODIFICACION!$E$2:$E$500,MATCH("D8.31|"&amp;CQ135,CODIFICACION!$F$2:$F$500,0))),"⚠"))</f>
        <v/>
      </c>
      <c r="BM135" t="str">
        <f>IF(CR135="","",IFERROR(IF(INDEX(CODIFICACION!$E$2:$E$500,MATCH("D8.32|"&amp;CR135,CODIFICACION!$F$2:$F$500,0))="sin dato","",INDEX(CODIFICACION!$E$2:$E$500,MATCH("D8.32|"&amp;CR135,CODIFICACION!$F$2:$F$500,0))),"⚠"))</f>
        <v/>
      </c>
      <c r="BN135" t="str">
        <f>IF(CS135="","",IFERROR(IF(INDEX(CODIFICACION!$E$2:$E$500,MATCH("D9.33|"&amp;CS135,CODIFICACION!$F$2:$F$500,0))="sin dato","",INDEX(CODIFICACION!$E$2:$E$500,MATCH("D9.33|"&amp;CS135,CODIFICACION!$F$2:$F$500,0))),"⚠"))</f>
        <v/>
      </c>
      <c r="BO135" t="str">
        <f>IF(CT135="","",IFERROR(IF(INDEX(CODIFICACION!$E$2:$E$500,MATCH("D9.34|"&amp;CT135,CODIFICACION!$F$2:$F$500,0))="sin dato","",INDEX(CODIFICACION!$E$2:$E$500,MATCH("D9.34|"&amp;CT135,CODIFICACION!$F$2:$F$500,0))),"⚠"))</f>
        <v/>
      </c>
      <c r="BP135" t="str">
        <f>IF(CU135="","",IFERROR(IF(INDEX(CODIFICACION!$E$2:$E$500,MATCH("D9.35|"&amp;CU135,CODIFICACION!$F$2:$F$500,0))="sin dato","",INDEX(CODIFICACION!$E$2:$E$500,MATCH("D9.35|"&amp;CU135,CODIFICACION!$F$2:$F$500,0))),"⚠"))</f>
        <v/>
      </c>
      <c r="BQ135" t="str">
        <f>IF(CV135="","",IFERROR(IF(INDEX(CODIFICACION!$E$2:$E$500,MATCH("D10.36|"&amp;CV135,CODIFICACION!$F$2:$F$500,0))="sin dato","",INDEX(CODIFICACION!$E$2:$E$500,MATCH("D10.36|"&amp;CV135,CODIFICACION!$F$2:$F$500,0))),"⚠"))</f>
        <v/>
      </c>
      <c r="BR135" t="str">
        <f>IF(CW135="","",IFERROR(IF(INDEX(CODIFICACION!$E$2:$E$500,MATCH("D10.37|"&amp;CW135,CODIFICACION!$F$2:$F$500,0))="sin dato","",INDEX(CODIFICACION!$E$2:$E$500,MATCH("D10.37|"&amp;CW135,CODIFICACION!$F$2:$F$500,0))),"⚠"))</f>
        <v/>
      </c>
      <c r="BS135" t="str">
        <f>IF(CX135="","",IFERROR(IF(INDEX(CODIFICACION!$E$2:$E$500,MATCH("D10.36a|"&amp;CX135,CODIFICACION!$F$2:$F$500,0))="sin dato","",INDEX(CODIFICACION!$E$2:$E$500,MATCH("D10.36a|"&amp;CX135,CODIFICACION!$F$2:$F$500,0))),"⚠"))</f>
        <v/>
      </c>
      <c r="BT135" t="str">
        <f t="shared" si="113"/>
        <v/>
      </c>
      <c r="BU135" t="str">
        <f>IF(DA135="","",IFERROR(IF(INDEX(CODIFICACION!$E$2:$E$500,MATCH("D11.39a|"&amp;DA135,CODIFICACION!$F$2:$F$500,0))="sin dato","",INDEX(CODIFICACION!$E$2:$E$500,MATCH("D11.39a|"&amp;DA135,CODIFICACION!$F$2:$F$500,0))),"⚠"))</f>
        <v/>
      </c>
      <c r="BV135" t="str">
        <f>IF(DB135="","",IFERROR(IF(INDEX(CODIFICACION!$E$2:$E$500,MATCH("D12.42|"&amp;DB135,CODIFICACION!$F$2:$F$500,0))="sin dato","",INDEX(CODIFICACION!$E$2:$E$500,MATCH("D12.42|"&amp;DB135,CODIFICACION!$F$2:$F$500,0))),"⚠"))</f>
        <v/>
      </c>
      <c r="BW135" t="str">
        <f>IF(DC135="","",IFERROR(IF(INDEX(CODIFICACION!$E$2:$E$500,MATCH("D13.45|"&amp;DC135,CODIFICACION!$F$2:$F$500,0))="sin dato","",INDEX(CODIFICACION!$E$2:$E$500,MATCH("D13.45|"&amp;DC135,CODIFICACION!$F$2:$F$500,0))),"⚠"))</f>
        <v/>
      </c>
      <c r="BX135" t="str">
        <f>IF(DD135="","",IFERROR(IF(INDEX(CODIFICACION!$E$2:$E$500,MATCH("D14.51|"&amp;DD135,CODIFICACION!$F$2:$F$500,0))="sin dato","",INDEX(CODIFICACION!$E$2:$E$500,MATCH("D14.51|"&amp;DD135,CODIFICACION!$F$2:$F$500,0))),"⚠"))</f>
        <v/>
      </c>
      <c r="BY135" t="str">
        <f>IF(DE135="","",IFERROR(IF(INDEX(CODIFICACION!$E$2:$E$500,MATCH("D15.58|"&amp;DE135,CODIFICACION!$F$2:$F$500,0))="sin dato","",INDEX(CODIFICACION!$E$2:$E$500,MATCH("D15.58|"&amp;DE135,CODIFICACION!$F$2:$F$500,0))),"⚠"))</f>
        <v/>
      </c>
      <c r="BZ135" t="str">
        <f>IF(DF135="","",IFERROR(IF(INDEX(CODIFICACION!$E$2:$E$500,MATCH("PP1|"&amp;DF135,CODIFICACION!$F$2:$F$500,0))="sin dato","",INDEX(CODIFICACION!$E$2:$E$500,MATCH("PP1|"&amp;DF135,CODIFICACION!$F$2:$F$500,0))),"⚠"))</f>
        <v/>
      </c>
      <c r="CA135" t="str">
        <f>IF(DG135="","",IFERROR(IF(INDEX(CODIFICACION!$E$2:$E$500,MATCH("PP2|"&amp;DG135,CODIFICACION!$F$2:$F$500,0))="sin dato","",INDEX(CODIFICACION!$E$2:$E$500,MATCH("PP2|"&amp;DG135,CODIFICACION!$F$2:$F$500,0))),"⚠"))</f>
        <v/>
      </c>
      <c r="CB135" t="str">
        <f t="shared" si="114"/>
        <v/>
      </c>
      <c r="CC135" t="str">
        <f t="shared" ca="1" si="115"/>
        <v/>
      </c>
      <c r="CD135" t="str">
        <f t="shared" ca="1" si="116"/>
        <v/>
      </c>
      <c r="CE135" t="str">
        <f t="shared" si="117"/>
        <v/>
      </c>
      <c r="CF135" t="str">
        <f t="shared" si="118"/>
        <v/>
      </c>
      <c r="CG135" t="str">
        <f t="shared" ca="1" si="119"/>
        <v/>
      </c>
      <c r="CH135" t="str">
        <f t="shared" ca="1" si="120"/>
        <v/>
      </c>
      <c r="CI135" t="str">
        <f t="shared" si="121"/>
        <v/>
      </c>
      <c r="CJ135" t="str">
        <f t="shared" si="122"/>
        <v/>
      </c>
      <c r="CK135" t="str">
        <f t="shared" si="123"/>
        <v/>
      </c>
      <c r="CL135" t="str">
        <f t="shared" si="124"/>
        <v/>
      </c>
    </row>
    <row r="136" spans="1:90" x14ac:dyDescent="0.3">
      <c r="A136">
        <f>CAPTURA!A136</f>
        <v>20602712657</v>
      </c>
      <c r="B136">
        <f>CAPTURA!C136</f>
        <v>0</v>
      </c>
      <c r="C136" t="str">
        <f t="shared" si="100"/>
        <v/>
      </c>
      <c r="D136" t="str">
        <f>IF(AE136="","",IFERROR(IF(INDEX(CODIFICACION!$E$2:$E$500,MATCH("P8|"&amp;AE136,CODIFICACION!$F$2:$F$500,0))="sin dato","",INDEX(CODIFICACION!$E$2:$E$500,MATCH("P8|"&amp;AE136,CODIFICACION!$F$2:$F$500,0))),"⚠"))</f>
        <v/>
      </c>
      <c r="E136" t="str">
        <f>IF(AG136="","",IFERROR(IF(INDEX(CODIFICACION!$E$2:$E$500,MATCH("P10|"&amp;AG136,CODIFICACION!$F$2:$F$500,0))="sin dato","",INDEX(CODIFICACION!$E$2:$E$500,MATCH("P10|"&amp;AG136,CODIFICACION!$F$2:$F$500,0))),"⚠"))</f>
        <v/>
      </c>
      <c r="F136" t="str">
        <f>IF(AJ136="","",IFERROR(IF(INDEX(CODIFICACION!$E$2:$E$500,MATCH("P13|"&amp;AJ136,CODIFICACION!$F$2:$F$500,0))="sin dato","",INDEX(CODIFICACION!$E$2:$E$500,MATCH("P13|"&amp;AJ136,CODIFICACION!$F$2:$F$500,0))),"⚠"))</f>
        <v/>
      </c>
      <c r="G136" t="str">
        <f>IF(AK136="","",IFERROR(IF(INDEX(CODIFICACION!$E$2:$E$500,MATCH("P14|"&amp;AK136,CODIFICACION!$F$2:$F$500,0))="sin dato","",INDEX(CODIFICACION!$E$2:$E$500,MATCH("P14|"&amp;AK136,CODIFICACION!$F$2:$F$500,0))),"⚠"))</f>
        <v/>
      </c>
      <c r="H136" t="str">
        <f>IF(AL136="","",IFERROR(IF(INDEX(CODIFICACION!$E$2:$E$500,MATCH("D1.1|"&amp;AL136,CODIFICACION!$F$2:$F$500,0))="sin dato","",INDEX(CODIFICACION!$E$2:$E$500,MATCH("D1.1|"&amp;AL136,CODIFICACION!$F$2:$F$500,0))),"⚠"))</f>
        <v/>
      </c>
      <c r="I136" t="str">
        <f>IF(AN136="","",IFERROR(IF(INDEX(CODIFICACION!$E$2:$E$500,MATCH("D1.3|"&amp;AN136,CODIFICACION!$F$2:$F$500,0))="sin dato","",INDEX(CODIFICACION!$E$2:$E$500,MATCH("D1.3|"&amp;AN136,CODIFICACION!$F$2:$F$500,0))),"⚠"))</f>
        <v/>
      </c>
      <c r="J136" t="str">
        <f>IF(AO136="","",IFERROR(IF(INDEX(CODIFICACION!$E$2:$E$500,MATCH("D1.4|"&amp;AO136,CODIFICACION!$F$2:$F$500,0))="sin dato","",INDEX(CODIFICACION!$E$2:$E$500,MATCH("D1.4|"&amp;AO136,CODIFICACION!$F$2:$F$500,0))),"⚠"))</f>
        <v/>
      </c>
      <c r="K136" t="str">
        <f>IF(AP136="","",IFERROR(IF(INDEX(CODIFICACION!$E$2:$E$500,MATCH("D1.3a|"&amp;AP136,CODIFICACION!$F$2:$F$500,0))="sin dato","",INDEX(CODIFICACION!$E$2:$E$500,MATCH("D1.3a|"&amp;AP136,CODIFICACION!$F$2:$F$500,0))),"⚠"))</f>
        <v/>
      </c>
      <c r="L136" t="str">
        <f t="shared" si="101"/>
        <v/>
      </c>
      <c r="M136" t="str">
        <f t="shared" si="102"/>
        <v/>
      </c>
      <c r="N136" t="str">
        <f t="shared" si="103"/>
        <v/>
      </c>
      <c r="O136" t="str">
        <f>IF(AT136="","",IFERROR(IF(INDEX(CODIFICACION!$E$2:$E$500,MATCH("D2.8|"&amp;AT136,CODIFICACION!$F$2:$F$500,0))="sin dato","",INDEX(CODIFICACION!$E$2:$E$500,MATCH("D2.8|"&amp;AT136,CODIFICACION!$F$2:$F$500,0))),"⚠"))</f>
        <v/>
      </c>
      <c r="P136" t="str">
        <f>IF(AU136="","",IFERROR(IF(INDEX(CODIFICACION!$E$2:$E$500,MATCH("D2.9|"&amp;AU136,CODIFICACION!$F$2:$F$500,0))="sin dato","",INDEX(CODIFICACION!$E$2:$E$500,MATCH("D2.9|"&amp;AU136,CODIFICACION!$F$2:$F$500,0))),"⚠"))</f>
        <v/>
      </c>
      <c r="Q136" t="str">
        <f>IF(AV136="","",IFERROR(IF(INDEX(CODIFICACION!$E$2:$E$500,MATCH("D2.10|"&amp;AV136,CODIFICACION!$F$2:$F$500,0))="sin dato","",INDEX(CODIFICACION!$E$2:$E$500,MATCH("D2.10|"&amp;AV136,CODIFICACION!$F$2:$F$500,0))),"⚠"))</f>
        <v/>
      </c>
      <c r="R136" t="str">
        <f>IF(AW136="","",IFERROR(IF(INDEX(CODIFICACION!$E$2:$E$500,MATCH("D2.5a|"&amp;AW136,CODIFICACION!$F$2:$F$500,0))="sin dato","",INDEX(CODIFICACION!$E$2:$E$500,MATCH("D2.5a|"&amp;AW136,CODIFICACION!$F$2:$F$500,0))),"⚠"))</f>
        <v/>
      </c>
      <c r="S136" t="str">
        <f ca="1">IF(AX136="","",IFERROR(IF(INDEX(CODIFICACION!$E$2:$E$500,MATCH("D2.5b|"&amp;AX136,CODIFICACION!$F$2:$F$500,0))="sin dato","",INDEX(CODIFICACION!$E$2:$E$500,MATCH("D2.5b|"&amp;AX136,CODIFICACION!$F$2:$F$500,0))),"⚠"))</f>
        <v/>
      </c>
      <c r="T136" t="str">
        <f t="shared" ca="1" si="104"/>
        <v/>
      </c>
      <c r="U136" t="str">
        <f>IF(AZ136="","",IFERROR(IF(INDEX(CODIFICACION!$E$2:$E$500,MATCH("D3.12|"&amp;AZ136,CODIFICACION!$F$2:$F$500,0))="sin dato","",INDEX(CODIFICACION!$E$2:$E$500,MATCH("D3.12|"&amp;AZ136,CODIFICACION!$F$2:$F$500,0))),"⚠"))</f>
        <v/>
      </c>
      <c r="V136" t="str">
        <f t="shared" si="105"/>
        <v/>
      </c>
      <c r="W136" t="str">
        <f ca="1">IF(BB136="","",IFERROR(IF(INDEX(CODIFICACION!$E$2:$E$500,MATCH("D3.14|"&amp;BB136,CODIFICACION!$F$2:$F$500,0))="sin dato","",INDEX(CODIFICACION!$E$2:$E$500,MATCH("D3.14|"&amp;BB136,CODIFICACION!$F$2:$F$500,0))),"⚠"))</f>
        <v/>
      </c>
      <c r="X136" t="str">
        <f ca="1">IF(BC136="","",IFERROR(IF(INDEX(CODIFICACION!$E$2:$E$500,MATCH("D3.14a|"&amp;BC136,CODIFICACION!$F$2:$F$500,0))="sin dato","",INDEX(CODIFICACION!$E$2:$E$500,MATCH("D3.14a|"&amp;BC136,CODIFICACION!$F$2:$F$500,0))),"⚠"))</f>
        <v/>
      </c>
      <c r="Y136" t="str">
        <f>IF(BD136="","",IFERROR(IF(INDEX(CODIFICACION!$E$2:$E$500,MATCH("D3.14b|"&amp;BD136,CODIFICACION!$F$2:$F$500,0))="sin dato","",INDEX(CODIFICACION!$E$2:$E$500,MATCH("D3.14b|"&amp;BD136,CODIFICACION!$F$2:$F$500,0))),"⚠"))</f>
        <v/>
      </c>
      <c r="Z136" t="str">
        <f>IF(BE136="","",IFERROR(IF(INDEX(CODIFICACION!$E$2:$E$500,MATCH("D3.14c|"&amp;BE136,CODIFICACION!$F$2:$F$500,0))="sin dato","",INDEX(CODIFICACION!$E$2:$E$500,MATCH("D3.14c|"&amp;BE136,CODIFICACION!$F$2:$F$500,0))),"⚠"))</f>
        <v/>
      </c>
      <c r="AA136" t="str">
        <f>IF(BF136="","",IFERROR(IF(INDEX(CODIFICACION!$E$2:$E$500,MATCH("D3.14d|"&amp;BF136,CODIFICACION!$F$2:$F$500,0))="sin dato","",INDEX(CODIFICACION!$E$2:$E$500,MATCH("D3.14d|"&amp;BF136,CODIFICACION!$F$2:$F$500,0))),"⚠"))</f>
        <v/>
      </c>
      <c r="AB136" t="str">
        <f>IF(BG136="","",IFERROR(IF(INDEX(CODIFICACION!$E$2:$E$500,MATCH("D3.14e|"&amp;BG136,CODIFICACION!$F$2:$F$500,0))="sin dato","",INDEX(CODIFICACION!$E$2:$E$500,MATCH("D3.14e|"&amp;BG136,CODIFICACION!$F$2:$F$500,0))),"⚠"))</f>
        <v/>
      </c>
      <c r="AC136" t="str">
        <f>IF(BH136="","",IFERROR(IF(INDEX(CODIFICACION!$E$2:$E$500,MATCH("D3.14f|"&amp;BH136,CODIFICACION!$F$2:$F$500,0))="sin dato","",INDEX(CODIFICACION!$E$2:$E$500,MATCH("D3.14f|"&amp;BH136,CODIFICACION!$F$2:$F$500,0))),"⚠"))</f>
        <v/>
      </c>
      <c r="AD136" t="str">
        <f>IF(BI136="","",IFERROR(IF(INDEX(CODIFICACION!$E$2:$E$500,MATCH("D3.14g|"&amp;BI136,CODIFICACION!$F$2:$F$500,0))="sin dato","",INDEX(CODIFICACION!$E$2:$E$500,MATCH("D3.14g|"&amp;BI136,CODIFICACION!$F$2:$F$500,0))),"⚠"))</f>
        <v/>
      </c>
      <c r="AE136" t="str">
        <f>IF(BJ136="","",IFERROR(IF(INDEX(CODIFICACION!$E$2:$E$500,MATCH("D3.14h|"&amp;BJ136,CODIFICACION!$F$2:$F$500,0))="sin dato","",INDEX(CODIFICACION!$E$2:$E$500,MATCH("D3.14h|"&amp;BJ136,CODIFICACION!$F$2:$F$500,0))),"⚠"))</f>
        <v/>
      </c>
      <c r="AF136" t="str">
        <f>IF(BK136="","",IFERROR(IF(INDEX(CODIFICACION!$E$2:$E$500,MATCH("D3.14i|"&amp;BK136,CODIFICACION!$F$2:$F$500,0))="sin dato","",INDEX(CODIFICACION!$E$2:$E$500,MATCH("D3.14i|"&amp;BK136,CODIFICACION!$F$2:$F$500,0))),"⚠"))</f>
        <v/>
      </c>
      <c r="AG136" t="str">
        <f>IF(BL136="","",IFERROR(IF(INDEX(CODIFICACION!$E$2:$E$500,MATCH("D4.15|"&amp;BL136,CODIFICACION!$F$2:$F$500,0))="sin dato","",INDEX(CODIFICACION!$E$2:$E$500,MATCH("D4.15|"&amp;BL136,CODIFICACION!$F$2:$F$500,0))),"⚠"))</f>
        <v/>
      </c>
      <c r="AH136" t="str">
        <f t="shared" si="106"/>
        <v/>
      </c>
      <c r="AI136" t="str">
        <f>IF(BN136="","",IFERROR(IF(INDEX(CODIFICACION!$E$2:$E$500,MATCH("D4.17|"&amp;BN136,CODIFICACION!$F$2:$F$500,0))="sin dato","",INDEX(CODIFICACION!$E$2:$E$500,MATCH("D4.17|"&amp;BN136,CODIFICACION!$F$2:$F$500,0))),"⚠"))</f>
        <v/>
      </c>
      <c r="AJ136" t="str">
        <f>IF(BO136="","",IFERROR(IF(INDEX(CODIFICACION!$E$2:$E$500,MATCH("D4.15a|"&amp;BO136,CODIFICACION!$F$2:$F$500,0))="sin dato","",INDEX(CODIFICACION!$E$2:$E$500,MATCH("D4.15a|"&amp;BO136,CODIFICACION!$F$2:$F$500,0))),"⚠"))</f>
        <v/>
      </c>
      <c r="AK136" t="str">
        <f t="shared" si="107"/>
        <v/>
      </c>
      <c r="AL136" t="str">
        <f t="shared" si="108"/>
        <v/>
      </c>
      <c r="AM136" t="str">
        <f>IF(BR136="","",IFERROR(IF(INDEX(CODIFICACION!$E$2:$E$500,MATCH("D5.18b|"&amp;BR136,CODIFICACION!$F$2:$F$500,0))="sin dato","",INDEX(CODIFICACION!$E$2:$E$500,MATCH("D5.18b|"&amp;BR136,CODIFICACION!$F$2:$F$500,0))),"⚠"))</f>
        <v/>
      </c>
      <c r="AN136" t="str">
        <f>IF(BS136="","",IFERROR(IF(INDEX(CODIFICACION!$E$2:$E$500,MATCH("D5.19|"&amp;BS136,CODIFICACION!$F$2:$F$500,0))="sin dato","",INDEX(CODIFICACION!$E$2:$E$500,MATCH("D5.19|"&amp;BS136,CODIFICACION!$F$2:$F$500,0))),"⚠"))</f>
        <v/>
      </c>
      <c r="AO136" t="str">
        <f t="shared" si="109"/>
        <v/>
      </c>
      <c r="AP136" t="str">
        <f>IF(BU136="","",IFERROR(IF(INDEX(CODIFICACION!$E$2:$E$500,MATCH("D5.20|"&amp;BU136,CODIFICACION!$F$2:$F$500,0))="sin dato","",INDEX(CODIFICACION!$E$2:$E$500,MATCH("D5.20|"&amp;BU136,CODIFICACION!$F$2:$F$500,0))),"⚠"))</f>
        <v/>
      </c>
      <c r="AQ136" t="str">
        <f>IF(BV136="","",IFERROR(IF(INDEX(CODIFICACION!$E$2:$E$500,MATCH("D5.21|"&amp;BV136,CODIFICACION!$F$2:$F$500,0))="sin dato","",INDEX(CODIFICACION!$E$2:$E$500,MATCH("D5.21|"&amp;BV136,CODIFICACION!$F$2:$F$500,0))),"⚠"))</f>
        <v/>
      </c>
      <c r="AR136" t="str">
        <f>IF(BW136="","",IFERROR(IF(INDEX(CODIFICACION!$E$2:$E$500,MATCH("D5.21a|"&amp;BW136,CODIFICACION!$F$2:$F$500,0))="sin dato","",INDEX(CODIFICACION!$E$2:$E$500,MATCH("D5.21a|"&amp;BW136,CODIFICACION!$F$2:$F$500,0))),"⚠"))</f>
        <v/>
      </c>
      <c r="AS136" t="str">
        <f>IF(BX136="","",IFERROR(IF(INDEX(CODIFICACION!$E$2:$E$500,MATCH("D5.21b|"&amp;BX136,CODIFICACION!$F$2:$F$500,0))="sin dato","",INDEX(CODIFICACION!$E$2:$E$500,MATCH("D5.21b|"&amp;BX136,CODIFICACION!$F$2:$F$500,0))),"⚠"))</f>
        <v/>
      </c>
      <c r="AT136" t="str">
        <f>IF(BY136="","",IFERROR(IF(INDEX(CODIFICACION!$E$2:$E$500,MATCH("D6.22|"&amp;BY136,CODIFICACION!$F$2:$F$500,0))="sin dato","",INDEX(CODIFICACION!$E$2:$E$500,MATCH("D6.22|"&amp;BY136,CODIFICACION!$F$2:$F$500,0))),"⚠"))</f>
        <v/>
      </c>
      <c r="AU136" t="str">
        <f>IF(BZ136="","",IFERROR(IF(INDEX(CODIFICACION!$E$2:$E$500,MATCH("D6.22a|"&amp;BZ136,CODIFICACION!$F$2:$F$500,0))="sin dato","",INDEX(CODIFICACION!$E$2:$E$500,MATCH("D6.22a|"&amp;BZ136,CODIFICACION!$F$2:$F$500,0))),"⚠"))</f>
        <v/>
      </c>
      <c r="AV136" t="str">
        <f>IF(CA136="","",IFERROR(IF(INDEX(CODIFICACION!$E$2:$E$500,MATCH("D6.22b|"&amp;CA136,CODIFICACION!$F$2:$F$500,0))="sin dato","",INDEX(CODIFICACION!$E$2:$E$500,MATCH("D6.22b|"&amp;CA136,CODIFICACION!$F$2:$F$500,0))),"⚠"))</f>
        <v/>
      </c>
      <c r="AW136" t="str">
        <f>IF(CB136="","",IFERROR(IF(INDEX(CODIFICACION!$E$2:$E$500,MATCH("D6.23|"&amp;CB136,CODIFICACION!$F$2:$F$500,0))="sin dato","",INDEX(CODIFICACION!$E$2:$E$500,MATCH("D6.23|"&amp;CB136,CODIFICACION!$F$2:$F$500,0))),"⚠"))</f>
        <v/>
      </c>
      <c r="AX136" t="str">
        <f ca="1">IF(CC136="","",IFERROR(IF(INDEX(CODIFICACION!$E$2:$E$500,MATCH("D6.24|"&amp;CC136,CODIFICACION!$F$2:$F$500,0))="sin dato","",INDEX(CODIFICACION!$E$2:$E$500,MATCH("D6.24|"&amp;CC136,CODIFICACION!$F$2:$F$500,0))),"⚠"))</f>
        <v/>
      </c>
      <c r="AY136" t="str">
        <f ca="1">IF(CD136="","",IFERROR(IF(INDEX(CODIFICACION!$E$2:$E$500,MATCH("D6.25|"&amp;CD136,CODIFICACION!$F$2:$F$500,0))="sin dato","",INDEX(CODIFICACION!$E$2:$E$500,MATCH("D6.25|"&amp;CD136,CODIFICACION!$F$2:$F$500,0))),"⚠"))</f>
        <v/>
      </c>
      <c r="AZ136" t="str">
        <f>IF(CE136="","",IFERROR(IF(INDEX(CODIFICACION!$E$2:$E$500,MATCH("D6.25a|"&amp;CE136,CODIFICACION!$F$2:$F$500,0))="sin dato","",INDEX(CODIFICACION!$E$2:$E$500,MATCH("D6.25a|"&amp;CE136,CODIFICACION!$F$2:$F$500,0))),"⚠"))</f>
        <v/>
      </c>
      <c r="BA136" t="str">
        <f>IF(CF136="","",IFERROR(IF(INDEX(CODIFICACION!$E$2:$E$500,MATCH("D6.25b|"&amp;CF136,CODIFICACION!$F$2:$F$500,0))="sin dato","",INDEX(CODIFICACION!$E$2:$E$500,MATCH("D6.25b|"&amp;CF136,CODIFICACION!$F$2:$F$500,0))),"⚠"))</f>
        <v/>
      </c>
      <c r="BB136" t="str">
        <f ca="1">IF(CG136="","",IFERROR(IF(INDEX(CODIFICACION!$E$2:$E$500,MATCH("D6.22c|"&amp;CG136,CODIFICACION!$F$2:$F$500,0))="sin dato","",INDEX(CODIFICACION!$E$2:$E$500,MATCH("D6.22c|"&amp;CG136,CODIFICACION!$F$2:$F$500,0))),"⚠"))</f>
        <v/>
      </c>
      <c r="BC136" t="str">
        <f ca="1">IF(CH136="","",IFERROR(IF(INDEX(CODIFICACION!$E$2:$E$500,MATCH("D7.26|"&amp;CH136,CODIFICACION!$F$2:$F$500,0))="sin dato","",INDEX(CODIFICACION!$E$2:$E$500,MATCH("D7.26|"&amp;CH136,CODIFICACION!$F$2:$F$500,0))),"⚠"))</f>
        <v/>
      </c>
      <c r="BD136" t="str">
        <f>IF(CI136="","",IFERROR(IF(INDEX(CODIFICACION!$E$2:$E$500,MATCH("D7.27|"&amp;CI136,CODIFICACION!$F$2:$F$500,0))="sin dato","",INDEX(CODIFICACION!$E$2:$E$500,MATCH("D7.27|"&amp;CI136,CODIFICACION!$F$2:$F$500,0))),"⚠"))</f>
        <v/>
      </c>
      <c r="BE136" t="str">
        <f>IF(CJ136="","",IFERROR(IF(INDEX(CODIFICACION!$E$2:$E$500,MATCH("D7.28|"&amp;CJ136,CODIFICACION!$F$2:$F$500,0))="sin dato","",INDEX(CODIFICACION!$E$2:$E$500,MATCH("D7.28|"&amp;CJ136,CODIFICACION!$F$2:$F$500,0))),"⚠"))</f>
        <v/>
      </c>
      <c r="BF136" t="str">
        <f>IF(CK136="","",IFERROR(IF(INDEX(CODIFICACION!$E$2:$E$500,MATCH("D7.28b|"&amp;CK136,CODIFICACION!$F$2:$F$500,0))="sin dato","",INDEX(CODIFICACION!$E$2:$E$500,MATCH("D7.28b|"&amp;CK136,CODIFICACION!$F$2:$F$500,0))),"⚠"))</f>
        <v/>
      </c>
      <c r="BG136" t="str">
        <f t="shared" si="110"/>
        <v/>
      </c>
      <c r="BH136" t="str">
        <f>IF(CM136="","",IFERROR(IF(INDEX(CODIFICACION!$E$2:$E$500,MATCH("D7.26a|"&amp;CM136,CODIFICACION!$F$2:$F$500,0))="sin dato","",INDEX(CODIFICACION!$E$2:$E$500,MATCH("D7.26a|"&amp;CM136,CODIFICACION!$F$2:$F$500,0))),"⚠"))</f>
        <v/>
      </c>
      <c r="BI136" t="str">
        <f>IF(CN136="","",IFERROR(IF(INDEX(CODIFICACION!$E$2:$E$500,MATCH("D7.26b|"&amp;CN136,CODIFICACION!$F$2:$F$500,0))="sin dato","",INDEX(CODIFICACION!$E$2:$E$500,MATCH("D7.26b|"&amp;CN136,CODIFICACION!$F$2:$F$500,0))),"⚠"))</f>
        <v/>
      </c>
      <c r="BJ136" t="str">
        <f t="shared" si="111"/>
        <v/>
      </c>
      <c r="BK136" t="str">
        <f t="shared" si="112"/>
        <v/>
      </c>
      <c r="BL136" t="str">
        <f>IF(CQ136="","",IFERROR(IF(INDEX(CODIFICACION!$E$2:$E$500,MATCH("D8.31|"&amp;CQ136,CODIFICACION!$F$2:$F$500,0))="sin dato","",INDEX(CODIFICACION!$E$2:$E$500,MATCH("D8.31|"&amp;CQ136,CODIFICACION!$F$2:$F$500,0))),"⚠"))</f>
        <v/>
      </c>
      <c r="BM136" t="str">
        <f>IF(CR136="","",IFERROR(IF(INDEX(CODIFICACION!$E$2:$E$500,MATCH("D8.32|"&amp;CR136,CODIFICACION!$F$2:$F$500,0))="sin dato","",INDEX(CODIFICACION!$E$2:$E$500,MATCH("D8.32|"&amp;CR136,CODIFICACION!$F$2:$F$500,0))),"⚠"))</f>
        <v/>
      </c>
      <c r="BN136" t="str">
        <f>IF(CS136="","",IFERROR(IF(INDEX(CODIFICACION!$E$2:$E$500,MATCH("D9.33|"&amp;CS136,CODIFICACION!$F$2:$F$500,0))="sin dato","",INDEX(CODIFICACION!$E$2:$E$500,MATCH("D9.33|"&amp;CS136,CODIFICACION!$F$2:$F$500,0))),"⚠"))</f>
        <v/>
      </c>
      <c r="BO136" t="str">
        <f>IF(CT136="","",IFERROR(IF(INDEX(CODIFICACION!$E$2:$E$500,MATCH("D9.34|"&amp;CT136,CODIFICACION!$F$2:$F$500,0))="sin dato","",INDEX(CODIFICACION!$E$2:$E$500,MATCH("D9.34|"&amp;CT136,CODIFICACION!$F$2:$F$500,0))),"⚠"))</f>
        <v/>
      </c>
      <c r="BP136" t="str">
        <f>IF(CU136="","",IFERROR(IF(INDEX(CODIFICACION!$E$2:$E$500,MATCH("D9.35|"&amp;CU136,CODIFICACION!$F$2:$F$500,0))="sin dato","",INDEX(CODIFICACION!$E$2:$E$500,MATCH("D9.35|"&amp;CU136,CODIFICACION!$F$2:$F$500,0))),"⚠"))</f>
        <v/>
      </c>
      <c r="BQ136" t="str">
        <f>IF(CV136="","",IFERROR(IF(INDEX(CODIFICACION!$E$2:$E$500,MATCH("D10.36|"&amp;CV136,CODIFICACION!$F$2:$F$500,0))="sin dato","",INDEX(CODIFICACION!$E$2:$E$500,MATCH("D10.36|"&amp;CV136,CODIFICACION!$F$2:$F$500,0))),"⚠"))</f>
        <v/>
      </c>
      <c r="BR136" t="str">
        <f>IF(CW136="","",IFERROR(IF(INDEX(CODIFICACION!$E$2:$E$500,MATCH("D10.37|"&amp;CW136,CODIFICACION!$F$2:$F$500,0))="sin dato","",INDEX(CODIFICACION!$E$2:$E$500,MATCH("D10.37|"&amp;CW136,CODIFICACION!$F$2:$F$500,0))),"⚠"))</f>
        <v/>
      </c>
      <c r="BS136" t="str">
        <f>IF(CX136="","",IFERROR(IF(INDEX(CODIFICACION!$E$2:$E$500,MATCH("D10.36a|"&amp;CX136,CODIFICACION!$F$2:$F$500,0))="sin dato","",INDEX(CODIFICACION!$E$2:$E$500,MATCH("D10.36a|"&amp;CX136,CODIFICACION!$F$2:$F$500,0))),"⚠"))</f>
        <v/>
      </c>
      <c r="BT136" t="str">
        <f t="shared" si="113"/>
        <v/>
      </c>
      <c r="BU136" t="str">
        <f>IF(DA136="","",IFERROR(IF(INDEX(CODIFICACION!$E$2:$E$500,MATCH("D11.39a|"&amp;DA136,CODIFICACION!$F$2:$F$500,0))="sin dato","",INDEX(CODIFICACION!$E$2:$E$500,MATCH("D11.39a|"&amp;DA136,CODIFICACION!$F$2:$F$500,0))),"⚠"))</f>
        <v/>
      </c>
      <c r="BV136" t="str">
        <f>IF(DB136="","",IFERROR(IF(INDEX(CODIFICACION!$E$2:$E$500,MATCH("D12.42|"&amp;DB136,CODIFICACION!$F$2:$F$500,0))="sin dato","",INDEX(CODIFICACION!$E$2:$E$500,MATCH("D12.42|"&amp;DB136,CODIFICACION!$F$2:$F$500,0))),"⚠"))</f>
        <v/>
      </c>
      <c r="BW136" t="str">
        <f>IF(DC136="","",IFERROR(IF(INDEX(CODIFICACION!$E$2:$E$500,MATCH("D13.45|"&amp;DC136,CODIFICACION!$F$2:$F$500,0))="sin dato","",INDEX(CODIFICACION!$E$2:$E$500,MATCH("D13.45|"&amp;DC136,CODIFICACION!$F$2:$F$500,0))),"⚠"))</f>
        <v/>
      </c>
      <c r="BX136" t="str">
        <f>IF(DD136="","",IFERROR(IF(INDEX(CODIFICACION!$E$2:$E$500,MATCH("D14.51|"&amp;DD136,CODIFICACION!$F$2:$F$500,0))="sin dato","",INDEX(CODIFICACION!$E$2:$E$500,MATCH("D14.51|"&amp;DD136,CODIFICACION!$F$2:$F$500,0))),"⚠"))</f>
        <v/>
      </c>
      <c r="BY136" t="str">
        <f>IF(DE136="","",IFERROR(IF(INDEX(CODIFICACION!$E$2:$E$500,MATCH("D15.58|"&amp;DE136,CODIFICACION!$F$2:$F$500,0))="sin dato","",INDEX(CODIFICACION!$E$2:$E$500,MATCH("D15.58|"&amp;DE136,CODIFICACION!$F$2:$F$500,0))),"⚠"))</f>
        <v/>
      </c>
      <c r="BZ136" t="str">
        <f>IF(DF136="","",IFERROR(IF(INDEX(CODIFICACION!$E$2:$E$500,MATCH("PP1|"&amp;DF136,CODIFICACION!$F$2:$F$500,0))="sin dato","",INDEX(CODIFICACION!$E$2:$E$500,MATCH("PP1|"&amp;DF136,CODIFICACION!$F$2:$F$500,0))),"⚠"))</f>
        <v/>
      </c>
      <c r="CA136" t="str">
        <f>IF(DG136="","",IFERROR(IF(INDEX(CODIFICACION!$E$2:$E$500,MATCH("PP2|"&amp;DG136,CODIFICACION!$F$2:$F$500,0))="sin dato","",INDEX(CODIFICACION!$E$2:$E$500,MATCH("PP2|"&amp;DG136,CODIFICACION!$F$2:$F$500,0))),"⚠"))</f>
        <v/>
      </c>
      <c r="CB136" t="str">
        <f t="shared" si="114"/>
        <v/>
      </c>
      <c r="CC136" t="str">
        <f t="shared" ca="1" si="115"/>
        <v/>
      </c>
      <c r="CD136" t="str">
        <f t="shared" ca="1" si="116"/>
        <v/>
      </c>
      <c r="CE136" t="str">
        <f t="shared" si="117"/>
        <v/>
      </c>
      <c r="CF136" t="str">
        <f t="shared" si="118"/>
        <v/>
      </c>
      <c r="CG136" t="str">
        <f t="shared" ca="1" si="119"/>
        <v/>
      </c>
      <c r="CH136" t="str">
        <f t="shared" ca="1" si="120"/>
        <v/>
      </c>
      <c r="CI136" t="str">
        <f t="shared" si="121"/>
        <v/>
      </c>
      <c r="CJ136" t="str">
        <f t="shared" si="122"/>
        <v/>
      </c>
      <c r="CK136" t="str">
        <f t="shared" si="123"/>
        <v/>
      </c>
      <c r="CL136" t="str">
        <f t="shared" si="124"/>
        <v/>
      </c>
    </row>
    <row r="137" spans="1:90" x14ac:dyDescent="0.3">
      <c r="A137">
        <f>CAPTURA!A137</f>
        <v>20602881971</v>
      </c>
      <c r="B137">
        <f>CAPTURA!C137</f>
        <v>0</v>
      </c>
      <c r="C137" t="str">
        <f t="shared" si="100"/>
        <v/>
      </c>
      <c r="D137" t="str">
        <f>IF(AE137="","",IFERROR(IF(INDEX(CODIFICACION!$E$2:$E$500,MATCH("P8|"&amp;AE137,CODIFICACION!$F$2:$F$500,0))="sin dato","",INDEX(CODIFICACION!$E$2:$E$500,MATCH("P8|"&amp;AE137,CODIFICACION!$F$2:$F$500,0))),"⚠"))</f>
        <v/>
      </c>
      <c r="E137" t="str">
        <f>IF(AG137="","",IFERROR(IF(INDEX(CODIFICACION!$E$2:$E$500,MATCH("P10|"&amp;AG137,CODIFICACION!$F$2:$F$500,0))="sin dato","",INDEX(CODIFICACION!$E$2:$E$500,MATCH("P10|"&amp;AG137,CODIFICACION!$F$2:$F$500,0))),"⚠"))</f>
        <v/>
      </c>
      <c r="F137" t="str">
        <f>IF(AJ137="","",IFERROR(IF(INDEX(CODIFICACION!$E$2:$E$500,MATCH("P13|"&amp;AJ137,CODIFICACION!$F$2:$F$500,0))="sin dato","",INDEX(CODIFICACION!$E$2:$E$500,MATCH("P13|"&amp;AJ137,CODIFICACION!$F$2:$F$500,0))),"⚠"))</f>
        <v/>
      </c>
      <c r="G137" t="str">
        <f>IF(AK137="","",IFERROR(IF(INDEX(CODIFICACION!$E$2:$E$500,MATCH("P14|"&amp;AK137,CODIFICACION!$F$2:$F$500,0))="sin dato","",INDEX(CODIFICACION!$E$2:$E$500,MATCH("P14|"&amp;AK137,CODIFICACION!$F$2:$F$500,0))),"⚠"))</f>
        <v/>
      </c>
      <c r="H137" t="str">
        <f>IF(AL137="","",IFERROR(IF(INDEX(CODIFICACION!$E$2:$E$500,MATCH("D1.1|"&amp;AL137,CODIFICACION!$F$2:$F$500,0))="sin dato","",INDEX(CODIFICACION!$E$2:$E$500,MATCH("D1.1|"&amp;AL137,CODIFICACION!$F$2:$F$500,0))),"⚠"))</f>
        <v/>
      </c>
      <c r="I137" t="str">
        <f>IF(AN137="","",IFERROR(IF(INDEX(CODIFICACION!$E$2:$E$500,MATCH("D1.3|"&amp;AN137,CODIFICACION!$F$2:$F$500,0))="sin dato","",INDEX(CODIFICACION!$E$2:$E$500,MATCH("D1.3|"&amp;AN137,CODIFICACION!$F$2:$F$500,0))),"⚠"))</f>
        <v/>
      </c>
      <c r="J137" t="str">
        <f>IF(AO137="","",IFERROR(IF(INDEX(CODIFICACION!$E$2:$E$500,MATCH("D1.4|"&amp;AO137,CODIFICACION!$F$2:$F$500,0))="sin dato","",INDEX(CODIFICACION!$E$2:$E$500,MATCH("D1.4|"&amp;AO137,CODIFICACION!$F$2:$F$500,0))),"⚠"))</f>
        <v/>
      </c>
      <c r="K137" t="str">
        <f>IF(AP137="","",IFERROR(IF(INDEX(CODIFICACION!$E$2:$E$500,MATCH("D1.3a|"&amp;AP137,CODIFICACION!$F$2:$F$500,0))="sin dato","",INDEX(CODIFICACION!$E$2:$E$500,MATCH("D1.3a|"&amp;AP137,CODIFICACION!$F$2:$F$500,0))),"⚠"))</f>
        <v/>
      </c>
      <c r="L137" t="str">
        <f t="shared" si="101"/>
        <v/>
      </c>
      <c r="M137" t="str">
        <f t="shared" si="102"/>
        <v/>
      </c>
      <c r="N137" t="str">
        <f t="shared" si="103"/>
        <v/>
      </c>
      <c r="O137" t="str">
        <f>IF(AT137="","",IFERROR(IF(INDEX(CODIFICACION!$E$2:$E$500,MATCH("D2.8|"&amp;AT137,CODIFICACION!$F$2:$F$500,0))="sin dato","",INDEX(CODIFICACION!$E$2:$E$500,MATCH("D2.8|"&amp;AT137,CODIFICACION!$F$2:$F$500,0))),"⚠"))</f>
        <v/>
      </c>
      <c r="P137" t="str">
        <f>IF(AU137="","",IFERROR(IF(INDEX(CODIFICACION!$E$2:$E$500,MATCH("D2.9|"&amp;AU137,CODIFICACION!$F$2:$F$500,0))="sin dato","",INDEX(CODIFICACION!$E$2:$E$500,MATCH("D2.9|"&amp;AU137,CODIFICACION!$F$2:$F$500,0))),"⚠"))</f>
        <v/>
      </c>
      <c r="Q137" t="str">
        <f>IF(AV137="","",IFERROR(IF(INDEX(CODIFICACION!$E$2:$E$500,MATCH("D2.10|"&amp;AV137,CODIFICACION!$F$2:$F$500,0))="sin dato","",INDEX(CODIFICACION!$E$2:$E$500,MATCH("D2.10|"&amp;AV137,CODIFICACION!$F$2:$F$500,0))),"⚠"))</f>
        <v/>
      </c>
      <c r="R137" t="str">
        <f>IF(AW137="","",IFERROR(IF(INDEX(CODIFICACION!$E$2:$E$500,MATCH("D2.5a|"&amp;AW137,CODIFICACION!$F$2:$F$500,0))="sin dato","",INDEX(CODIFICACION!$E$2:$E$500,MATCH("D2.5a|"&amp;AW137,CODIFICACION!$F$2:$F$500,0))),"⚠"))</f>
        <v/>
      </c>
      <c r="S137" t="str">
        <f ca="1">IF(AX137="","",IFERROR(IF(INDEX(CODIFICACION!$E$2:$E$500,MATCH("D2.5b|"&amp;AX137,CODIFICACION!$F$2:$F$500,0))="sin dato","",INDEX(CODIFICACION!$E$2:$E$500,MATCH("D2.5b|"&amp;AX137,CODIFICACION!$F$2:$F$500,0))),"⚠"))</f>
        <v/>
      </c>
      <c r="T137" t="str">
        <f t="shared" ca="1" si="104"/>
        <v/>
      </c>
      <c r="U137" t="str">
        <f>IF(AZ137="","",IFERROR(IF(INDEX(CODIFICACION!$E$2:$E$500,MATCH("D3.12|"&amp;AZ137,CODIFICACION!$F$2:$F$500,0))="sin dato","",INDEX(CODIFICACION!$E$2:$E$500,MATCH("D3.12|"&amp;AZ137,CODIFICACION!$F$2:$F$500,0))),"⚠"))</f>
        <v/>
      </c>
      <c r="V137" t="str">
        <f t="shared" si="105"/>
        <v/>
      </c>
      <c r="W137" t="str">
        <f ca="1">IF(BB137="","",IFERROR(IF(INDEX(CODIFICACION!$E$2:$E$500,MATCH("D3.14|"&amp;BB137,CODIFICACION!$F$2:$F$500,0))="sin dato","",INDEX(CODIFICACION!$E$2:$E$500,MATCH("D3.14|"&amp;BB137,CODIFICACION!$F$2:$F$500,0))),"⚠"))</f>
        <v/>
      </c>
      <c r="X137" t="str">
        <f ca="1">IF(BC137="","",IFERROR(IF(INDEX(CODIFICACION!$E$2:$E$500,MATCH("D3.14a|"&amp;BC137,CODIFICACION!$F$2:$F$500,0))="sin dato","",INDEX(CODIFICACION!$E$2:$E$500,MATCH("D3.14a|"&amp;BC137,CODIFICACION!$F$2:$F$500,0))),"⚠"))</f>
        <v/>
      </c>
      <c r="Y137" t="str">
        <f>IF(BD137="","",IFERROR(IF(INDEX(CODIFICACION!$E$2:$E$500,MATCH("D3.14b|"&amp;BD137,CODIFICACION!$F$2:$F$500,0))="sin dato","",INDEX(CODIFICACION!$E$2:$E$500,MATCH("D3.14b|"&amp;BD137,CODIFICACION!$F$2:$F$500,0))),"⚠"))</f>
        <v/>
      </c>
      <c r="Z137" t="str">
        <f>IF(BE137="","",IFERROR(IF(INDEX(CODIFICACION!$E$2:$E$500,MATCH("D3.14c|"&amp;BE137,CODIFICACION!$F$2:$F$500,0))="sin dato","",INDEX(CODIFICACION!$E$2:$E$500,MATCH("D3.14c|"&amp;BE137,CODIFICACION!$F$2:$F$500,0))),"⚠"))</f>
        <v/>
      </c>
      <c r="AA137" t="str">
        <f>IF(BF137="","",IFERROR(IF(INDEX(CODIFICACION!$E$2:$E$500,MATCH("D3.14d|"&amp;BF137,CODIFICACION!$F$2:$F$500,0))="sin dato","",INDEX(CODIFICACION!$E$2:$E$500,MATCH("D3.14d|"&amp;BF137,CODIFICACION!$F$2:$F$500,0))),"⚠"))</f>
        <v/>
      </c>
      <c r="AB137" t="str">
        <f>IF(BG137="","",IFERROR(IF(INDEX(CODIFICACION!$E$2:$E$500,MATCH("D3.14e|"&amp;BG137,CODIFICACION!$F$2:$F$500,0))="sin dato","",INDEX(CODIFICACION!$E$2:$E$500,MATCH("D3.14e|"&amp;BG137,CODIFICACION!$F$2:$F$500,0))),"⚠"))</f>
        <v/>
      </c>
      <c r="AC137" t="str">
        <f>IF(BH137="","",IFERROR(IF(INDEX(CODIFICACION!$E$2:$E$500,MATCH("D3.14f|"&amp;BH137,CODIFICACION!$F$2:$F$500,0))="sin dato","",INDEX(CODIFICACION!$E$2:$E$500,MATCH("D3.14f|"&amp;BH137,CODIFICACION!$F$2:$F$500,0))),"⚠"))</f>
        <v/>
      </c>
      <c r="AD137" t="str">
        <f>IF(BI137="","",IFERROR(IF(INDEX(CODIFICACION!$E$2:$E$500,MATCH("D3.14g|"&amp;BI137,CODIFICACION!$F$2:$F$500,0))="sin dato","",INDEX(CODIFICACION!$E$2:$E$500,MATCH("D3.14g|"&amp;BI137,CODIFICACION!$F$2:$F$500,0))),"⚠"))</f>
        <v/>
      </c>
      <c r="AE137" t="str">
        <f>IF(BJ137="","",IFERROR(IF(INDEX(CODIFICACION!$E$2:$E$500,MATCH("D3.14h|"&amp;BJ137,CODIFICACION!$F$2:$F$500,0))="sin dato","",INDEX(CODIFICACION!$E$2:$E$500,MATCH("D3.14h|"&amp;BJ137,CODIFICACION!$F$2:$F$500,0))),"⚠"))</f>
        <v/>
      </c>
      <c r="AF137" t="str">
        <f>IF(BK137="","",IFERROR(IF(INDEX(CODIFICACION!$E$2:$E$500,MATCH("D3.14i|"&amp;BK137,CODIFICACION!$F$2:$F$500,0))="sin dato","",INDEX(CODIFICACION!$E$2:$E$500,MATCH("D3.14i|"&amp;BK137,CODIFICACION!$F$2:$F$500,0))),"⚠"))</f>
        <v/>
      </c>
      <c r="AG137" t="str">
        <f>IF(BL137="","",IFERROR(IF(INDEX(CODIFICACION!$E$2:$E$500,MATCH("D4.15|"&amp;BL137,CODIFICACION!$F$2:$F$500,0))="sin dato","",INDEX(CODIFICACION!$E$2:$E$500,MATCH("D4.15|"&amp;BL137,CODIFICACION!$F$2:$F$500,0))),"⚠"))</f>
        <v/>
      </c>
      <c r="AH137" t="str">
        <f t="shared" si="106"/>
        <v/>
      </c>
      <c r="AI137" t="str">
        <f>IF(BN137="","",IFERROR(IF(INDEX(CODIFICACION!$E$2:$E$500,MATCH("D4.17|"&amp;BN137,CODIFICACION!$F$2:$F$500,0))="sin dato","",INDEX(CODIFICACION!$E$2:$E$500,MATCH("D4.17|"&amp;BN137,CODIFICACION!$F$2:$F$500,0))),"⚠"))</f>
        <v/>
      </c>
      <c r="AJ137" t="str">
        <f>IF(BO137="","",IFERROR(IF(INDEX(CODIFICACION!$E$2:$E$500,MATCH("D4.15a|"&amp;BO137,CODIFICACION!$F$2:$F$500,0))="sin dato","",INDEX(CODIFICACION!$E$2:$E$500,MATCH("D4.15a|"&amp;BO137,CODIFICACION!$F$2:$F$500,0))),"⚠"))</f>
        <v/>
      </c>
      <c r="AK137" t="str">
        <f t="shared" si="107"/>
        <v/>
      </c>
      <c r="AL137" t="str">
        <f t="shared" si="108"/>
        <v/>
      </c>
      <c r="AM137" t="str">
        <f>IF(BR137="","",IFERROR(IF(INDEX(CODIFICACION!$E$2:$E$500,MATCH("D5.18b|"&amp;BR137,CODIFICACION!$F$2:$F$500,0))="sin dato","",INDEX(CODIFICACION!$E$2:$E$500,MATCH("D5.18b|"&amp;BR137,CODIFICACION!$F$2:$F$500,0))),"⚠"))</f>
        <v/>
      </c>
      <c r="AN137" t="str">
        <f>IF(BS137="","",IFERROR(IF(INDEX(CODIFICACION!$E$2:$E$500,MATCH("D5.19|"&amp;BS137,CODIFICACION!$F$2:$F$500,0))="sin dato","",INDEX(CODIFICACION!$E$2:$E$500,MATCH("D5.19|"&amp;BS137,CODIFICACION!$F$2:$F$500,0))),"⚠"))</f>
        <v/>
      </c>
      <c r="AO137" t="str">
        <f t="shared" si="109"/>
        <v/>
      </c>
      <c r="AP137" t="str">
        <f>IF(BU137="","",IFERROR(IF(INDEX(CODIFICACION!$E$2:$E$500,MATCH("D5.20|"&amp;BU137,CODIFICACION!$F$2:$F$500,0))="sin dato","",INDEX(CODIFICACION!$E$2:$E$500,MATCH("D5.20|"&amp;BU137,CODIFICACION!$F$2:$F$500,0))),"⚠"))</f>
        <v/>
      </c>
      <c r="AQ137" t="str">
        <f>IF(BV137="","",IFERROR(IF(INDEX(CODIFICACION!$E$2:$E$500,MATCH("D5.21|"&amp;BV137,CODIFICACION!$F$2:$F$500,0))="sin dato","",INDEX(CODIFICACION!$E$2:$E$500,MATCH("D5.21|"&amp;BV137,CODIFICACION!$F$2:$F$500,0))),"⚠"))</f>
        <v/>
      </c>
      <c r="AR137" t="str">
        <f>IF(BW137="","",IFERROR(IF(INDEX(CODIFICACION!$E$2:$E$500,MATCH("D5.21a|"&amp;BW137,CODIFICACION!$F$2:$F$500,0))="sin dato","",INDEX(CODIFICACION!$E$2:$E$500,MATCH("D5.21a|"&amp;BW137,CODIFICACION!$F$2:$F$500,0))),"⚠"))</f>
        <v/>
      </c>
      <c r="AS137" t="str">
        <f>IF(BX137="","",IFERROR(IF(INDEX(CODIFICACION!$E$2:$E$500,MATCH("D5.21b|"&amp;BX137,CODIFICACION!$F$2:$F$500,0))="sin dato","",INDEX(CODIFICACION!$E$2:$E$500,MATCH("D5.21b|"&amp;BX137,CODIFICACION!$F$2:$F$500,0))),"⚠"))</f>
        <v/>
      </c>
      <c r="AT137" t="str">
        <f>IF(BY137="","",IFERROR(IF(INDEX(CODIFICACION!$E$2:$E$500,MATCH("D6.22|"&amp;BY137,CODIFICACION!$F$2:$F$500,0))="sin dato","",INDEX(CODIFICACION!$E$2:$E$500,MATCH("D6.22|"&amp;BY137,CODIFICACION!$F$2:$F$500,0))),"⚠"))</f>
        <v/>
      </c>
      <c r="AU137" t="str">
        <f>IF(BZ137="","",IFERROR(IF(INDEX(CODIFICACION!$E$2:$E$500,MATCH("D6.22a|"&amp;BZ137,CODIFICACION!$F$2:$F$500,0))="sin dato","",INDEX(CODIFICACION!$E$2:$E$500,MATCH("D6.22a|"&amp;BZ137,CODIFICACION!$F$2:$F$500,0))),"⚠"))</f>
        <v/>
      </c>
      <c r="AV137" t="str">
        <f>IF(CA137="","",IFERROR(IF(INDEX(CODIFICACION!$E$2:$E$500,MATCH("D6.22b|"&amp;CA137,CODIFICACION!$F$2:$F$500,0))="sin dato","",INDEX(CODIFICACION!$E$2:$E$500,MATCH("D6.22b|"&amp;CA137,CODIFICACION!$F$2:$F$500,0))),"⚠"))</f>
        <v/>
      </c>
      <c r="AW137" t="str">
        <f>IF(CB137="","",IFERROR(IF(INDEX(CODIFICACION!$E$2:$E$500,MATCH("D6.23|"&amp;CB137,CODIFICACION!$F$2:$F$500,0))="sin dato","",INDEX(CODIFICACION!$E$2:$E$500,MATCH("D6.23|"&amp;CB137,CODIFICACION!$F$2:$F$500,0))),"⚠"))</f>
        <v/>
      </c>
      <c r="AX137" t="str">
        <f ca="1">IF(CC137="","",IFERROR(IF(INDEX(CODIFICACION!$E$2:$E$500,MATCH("D6.24|"&amp;CC137,CODIFICACION!$F$2:$F$500,0))="sin dato","",INDEX(CODIFICACION!$E$2:$E$500,MATCH("D6.24|"&amp;CC137,CODIFICACION!$F$2:$F$500,0))),"⚠"))</f>
        <v/>
      </c>
      <c r="AY137" t="str">
        <f ca="1">IF(CD137="","",IFERROR(IF(INDEX(CODIFICACION!$E$2:$E$500,MATCH("D6.25|"&amp;CD137,CODIFICACION!$F$2:$F$500,0))="sin dato","",INDEX(CODIFICACION!$E$2:$E$500,MATCH("D6.25|"&amp;CD137,CODIFICACION!$F$2:$F$500,0))),"⚠"))</f>
        <v/>
      </c>
      <c r="AZ137" t="str">
        <f>IF(CE137="","",IFERROR(IF(INDEX(CODIFICACION!$E$2:$E$500,MATCH("D6.25a|"&amp;CE137,CODIFICACION!$F$2:$F$500,0))="sin dato","",INDEX(CODIFICACION!$E$2:$E$500,MATCH("D6.25a|"&amp;CE137,CODIFICACION!$F$2:$F$500,0))),"⚠"))</f>
        <v/>
      </c>
      <c r="BA137" t="str">
        <f>IF(CF137="","",IFERROR(IF(INDEX(CODIFICACION!$E$2:$E$500,MATCH("D6.25b|"&amp;CF137,CODIFICACION!$F$2:$F$500,0))="sin dato","",INDEX(CODIFICACION!$E$2:$E$500,MATCH("D6.25b|"&amp;CF137,CODIFICACION!$F$2:$F$500,0))),"⚠"))</f>
        <v/>
      </c>
      <c r="BB137" t="str">
        <f ca="1">IF(CG137="","",IFERROR(IF(INDEX(CODIFICACION!$E$2:$E$500,MATCH("D6.22c|"&amp;CG137,CODIFICACION!$F$2:$F$500,0))="sin dato","",INDEX(CODIFICACION!$E$2:$E$500,MATCH("D6.22c|"&amp;CG137,CODIFICACION!$F$2:$F$500,0))),"⚠"))</f>
        <v/>
      </c>
      <c r="BC137" t="str">
        <f ca="1">IF(CH137="","",IFERROR(IF(INDEX(CODIFICACION!$E$2:$E$500,MATCH("D7.26|"&amp;CH137,CODIFICACION!$F$2:$F$500,0))="sin dato","",INDEX(CODIFICACION!$E$2:$E$500,MATCH("D7.26|"&amp;CH137,CODIFICACION!$F$2:$F$500,0))),"⚠"))</f>
        <v/>
      </c>
      <c r="BD137" t="str">
        <f>IF(CI137="","",IFERROR(IF(INDEX(CODIFICACION!$E$2:$E$500,MATCH("D7.27|"&amp;CI137,CODIFICACION!$F$2:$F$500,0))="sin dato","",INDEX(CODIFICACION!$E$2:$E$500,MATCH("D7.27|"&amp;CI137,CODIFICACION!$F$2:$F$500,0))),"⚠"))</f>
        <v/>
      </c>
      <c r="BE137" t="str">
        <f>IF(CJ137="","",IFERROR(IF(INDEX(CODIFICACION!$E$2:$E$500,MATCH("D7.28|"&amp;CJ137,CODIFICACION!$F$2:$F$500,0))="sin dato","",INDEX(CODIFICACION!$E$2:$E$500,MATCH("D7.28|"&amp;CJ137,CODIFICACION!$F$2:$F$500,0))),"⚠"))</f>
        <v/>
      </c>
      <c r="BF137" t="str">
        <f>IF(CK137="","",IFERROR(IF(INDEX(CODIFICACION!$E$2:$E$500,MATCH("D7.28b|"&amp;CK137,CODIFICACION!$F$2:$F$500,0))="sin dato","",INDEX(CODIFICACION!$E$2:$E$500,MATCH("D7.28b|"&amp;CK137,CODIFICACION!$F$2:$F$500,0))),"⚠"))</f>
        <v/>
      </c>
      <c r="BG137" t="str">
        <f t="shared" si="110"/>
        <v/>
      </c>
      <c r="BH137" t="str">
        <f>IF(CM137="","",IFERROR(IF(INDEX(CODIFICACION!$E$2:$E$500,MATCH("D7.26a|"&amp;CM137,CODIFICACION!$F$2:$F$500,0))="sin dato","",INDEX(CODIFICACION!$E$2:$E$500,MATCH("D7.26a|"&amp;CM137,CODIFICACION!$F$2:$F$500,0))),"⚠"))</f>
        <v/>
      </c>
      <c r="BI137" t="str">
        <f>IF(CN137="","",IFERROR(IF(INDEX(CODIFICACION!$E$2:$E$500,MATCH("D7.26b|"&amp;CN137,CODIFICACION!$F$2:$F$500,0))="sin dato","",INDEX(CODIFICACION!$E$2:$E$500,MATCH("D7.26b|"&amp;CN137,CODIFICACION!$F$2:$F$500,0))),"⚠"))</f>
        <v/>
      </c>
      <c r="BJ137" t="str">
        <f t="shared" si="111"/>
        <v/>
      </c>
      <c r="BK137" t="str">
        <f t="shared" si="112"/>
        <v/>
      </c>
      <c r="BL137" t="str">
        <f>IF(CQ137="","",IFERROR(IF(INDEX(CODIFICACION!$E$2:$E$500,MATCH("D8.31|"&amp;CQ137,CODIFICACION!$F$2:$F$500,0))="sin dato","",INDEX(CODIFICACION!$E$2:$E$500,MATCH("D8.31|"&amp;CQ137,CODIFICACION!$F$2:$F$500,0))),"⚠"))</f>
        <v/>
      </c>
      <c r="BM137" t="str">
        <f>IF(CR137="","",IFERROR(IF(INDEX(CODIFICACION!$E$2:$E$500,MATCH("D8.32|"&amp;CR137,CODIFICACION!$F$2:$F$500,0))="sin dato","",INDEX(CODIFICACION!$E$2:$E$500,MATCH("D8.32|"&amp;CR137,CODIFICACION!$F$2:$F$500,0))),"⚠"))</f>
        <v/>
      </c>
      <c r="BN137" t="str">
        <f>IF(CS137="","",IFERROR(IF(INDEX(CODIFICACION!$E$2:$E$500,MATCH("D9.33|"&amp;CS137,CODIFICACION!$F$2:$F$500,0))="sin dato","",INDEX(CODIFICACION!$E$2:$E$500,MATCH("D9.33|"&amp;CS137,CODIFICACION!$F$2:$F$500,0))),"⚠"))</f>
        <v/>
      </c>
      <c r="BO137" t="str">
        <f>IF(CT137="","",IFERROR(IF(INDEX(CODIFICACION!$E$2:$E$500,MATCH("D9.34|"&amp;CT137,CODIFICACION!$F$2:$F$500,0))="sin dato","",INDEX(CODIFICACION!$E$2:$E$500,MATCH("D9.34|"&amp;CT137,CODIFICACION!$F$2:$F$500,0))),"⚠"))</f>
        <v/>
      </c>
      <c r="BP137" t="str">
        <f>IF(CU137="","",IFERROR(IF(INDEX(CODIFICACION!$E$2:$E$500,MATCH("D9.35|"&amp;CU137,CODIFICACION!$F$2:$F$500,0))="sin dato","",INDEX(CODIFICACION!$E$2:$E$500,MATCH("D9.35|"&amp;CU137,CODIFICACION!$F$2:$F$500,0))),"⚠"))</f>
        <v/>
      </c>
      <c r="BQ137" t="str">
        <f>IF(CV137="","",IFERROR(IF(INDEX(CODIFICACION!$E$2:$E$500,MATCH("D10.36|"&amp;CV137,CODIFICACION!$F$2:$F$500,0))="sin dato","",INDEX(CODIFICACION!$E$2:$E$500,MATCH("D10.36|"&amp;CV137,CODIFICACION!$F$2:$F$500,0))),"⚠"))</f>
        <v/>
      </c>
      <c r="BR137" t="str">
        <f>IF(CW137="","",IFERROR(IF(INDEX(CODIFICACION!$E$2:$E$500,MATCH("D10.37|"&amp;CW137,CODIFICACION!$F$2:$F$500,0))="sin dato","",INDEX(CODIFICACION!$E$2:$E$500,MATCH("D10.37|"&amp;CW137,CODIFICACION!$F$2:$F$500,0))),"⚠"))</f>
        <v/>
      </c>
      <c r="BS137" t="str">
        <f>IF(CX137="","",IFERROR(IF(INDEX(CODIFICACION!$E$2:$E$500,MATCH("D10.36a|"&amp;CX137,CODIFICACION!$F$2:$F$500,0))="sin dato","",INDEX(CODIFICACION!$E$2:$E$500,MATCH("D10.36a|"&amp;CX137,CODIFICACION!$F$2:$F$500,0))),"⚠"))</f>
        <v/>
      </c>
      <c r="BT137" t="str">
        <f t="shared" si="113"/>
        <v/>
      </c>
      <c r="BU137" t="str">
        <f>IF(DA137="","",IFERROR(IF(INDEX(CODIFICACION!$E$2:$E$500,MATCH("D11.39a|"&amp;DA137,CODIFICACION!$F$2:$F$500,0))="sin dato","",INDEX(CODIFICACION!$E$2:$E$500,MATCH("D11.39a|"&amp;DA137,CODIFICACION!$F$2:$F$500,0))),"⚠"))</f>
        <v/>
      </c>
      <c r="BV137" t="str">
        <f>IF(DB137="","",IFERROR(IF(INDEX(CODIFICACION!$E$2:$E$500,MATCH("D12.42|"&amp;DB137,CODIFICACION!$F$2:$F$500,0))="sin dato","",INDEX(CODIFICACION!$E$2:$E$500,MATCH("D12.42|"&amp;DB137,CODIFICACION!$F$2:$F$500,0))),"⚠"))</f>
        <v/>
      </c>
      <c r="BW137" t="str">
        <f>IF(DC137="","",IFERROR(IF(INDEX(CODIFICACION!$E$2:$E$500,MATCH("D13.45|"&amp;DC137,CODIFICACION!$F$2:$F$500,0))="sin dato","",INDEX(CODIFICACION!$E$2:$E$500,MATCH("D13.45|"&amp;DC137,CODIFICACION!$F$2:$F$500,0))),"⚠"))</f>
        <v/>
      </c>
      <c r="BX137" t="str">
        <f>IF(DD137="","",IFERROR(IF(INDEX(CODIFICACION!$E$2:$E$500,MATCH("D14.51|"&amp;DD137,CODIFICACION!$F$2:$F$500,0))="sin dato","",INDEX(CODIFICACION!$E$2:$E$500,MATCH("D14.51|"&amp;DD137,CODIFICACION!$F$2:$F$500,0))),"⚠"))</f>
        <v/>
      </c>
      <c r="BY137" t="str">
        <f>IF(DE137="","",IFERROR(IF(INDEX(CODIFICACION!$E$2:$E$500,MATCH("D15.58|"&amp;DE137,CODIFICACION!$F$2:$F$500,0))="sin dato","",INDEX(CODIFICACION!$E$2:$E$500,MATCH("D15.58|"&amp;DE137,CODIFICACION!$F$2:$F$500,0))),"⚠"))</f>
        <v/>
      </c>
      <c r="BZ137" t="str">
        <f>IF(DF137="","",IFERROR(IF(INDEX(CODIFICACION!$E$2:$E$500,MATCH("PP1|"&amp;DF137,CODIFICACION!$F$2:$F$500,0))="sin dato","",INDEX(CODIFICACION!$E$2:$E$500,MATCH("PP1|"&amp;DF137,CODIFICACION!$F$2:$F$500,0))),"⚠"))</f>
        <v/>
      </c>
      <c r="CA137" t="str">
        <f>IF(DG137="","",IFERROR(IF(INDEX(CODIFICACION!$E$2:$E$500,MATCH("PP2|"&amp;DG137,CODIFICACION!$F$2:$F$500,0))="sin dato","",INDEX(CODIFICACION!$E$2:$E$500,MATCH("PP2|"&amp;DG137,CODIFICACION!$F$2:$F$500,0))),"⚠"))</f>
        <v/>
      </c>
      <c r="CB137" t="str">
        <f t="shared" si="114"/>
        <v/>
      </c>
      <c r="CC137" t="str">
        <f t="shared" ca="1" si="115"/>
        <v/>
      </c>
      <c r="CD137" t="str">
        <f t="shared" ca="1" si="116"/>
        <v/>
      </c>
      <c r="CE137" t="str">
        <f t="shared" si="117"/>
        <v/>
      </c>
      <c r="CF137" t="str">
        <f t="shared" si="118"/>
        <v/>
      </c>
      <c r="CG137" t="str">
        <f t="shared" ca="1" si="119"/>
        <v/>
      </c>
      <c r="CH137" t="str">
        <f t="shared" ca="1" si="120"/>
        <v/>
      </c>
      <c r="CI137" t="str">
        <f t="shared" si="121"/>
        <v/>
      </c>
      <c r="CJ137" t="str">
        <f t="shared" si="122"/>
        <v/>
      </c>
      <c r="CK137" t="str">
        <f t="shared" si="123"/>
        <v/>
      </c>
      <c r="CL137" t="str">
        <f t="shared" si="124"/>
        <v/>
      </c>
    </row>
    <row r="138" spans="1:90" x14ac:dyDescent="0.3">
      <c r="A138">
        <f>CAPTURA!A138</f>
        <v>20603320621</v>
      </c>
      <c r="B138">
        <f>CAPTURA!C138</f>
        <v>0</v>
      </c>
      <c r="C138" t="str">
        <f t="shared" si="100"/>
        <v/>
      </c>
      <c r="D138" t="str">
        <f>IF(AE138="","",IFERROR(IF(INDEX(CODIFICACION!$E$2:$E$500,MATCH("P8|"&amp;AE138,CODIFICACION!$F$2:$F$500,0))="sin dato","",INDEX(CODIFICACION!$E$2:$E$500,MATCH("P8|"&amp;AE138,CODIFICACION!$F$2:$F$500,0))),"⚠"))</f>
        <v/>
      </c>
      <c r="E138" t="str">
        <f>IF(AG138="","",IFERROR(IF(INDEX(CODIFICACION!$E$2:$E$500,MATCH("P10|"&amp;AG138,CODIFICACION!$F$2:$F$500,0))="sin dato","",INDEX(CODIFICACION!$E$2:$E$500,MATCH("P10|"&amp;AG138,CODIFICACION!$F$2:$F$500,0))),"⚠"))</f>
        <v/>
      </c>
      <c r="F138" t="str">
        <f>IF(AJ138="","",IFERROR(IF(INDEX(CODIFICACION!$E$2:$E$500,MATCH("P13|"&amp;AJ138,CODIFICACION!$F$2:$F$500,0))="sin dato","",INDEX(CODIFICACION!$E$2:$E$500,MATCH("P13|"&amp;AJ138,CODIFICACION!$F$2:$F$500,0))),"⚠"))</f>
        <v/>
      </c>
      <c r="G138" t="str">
        <f>IF(AK138="","",IFERROR(IF(INDEX(CODIFICACION!$E$2:$E$500,MATCH("P14|"&amp;AK138,CODIFICACION!$F$2:$F$500,0))="sin dato","",INDEX(CODIFICACION!$E$2:$E$500,MATCH("P14|"&amp;AK138,CODIFICACION!$F$2:$F$500,0))),"⚠"))</f>
        <v/>
      </c>
      <c r="H138" t="str">
        <f>IF(AL138="","",IFERROR(IF(INDEX(CODIFICACION!$E$2:$E$500,MATCH("D1.1|"&amp;AL138,CODIFICACION!$F$2:$F$500,0))="sin dato","",INDEX(CODIFICACION!$E$2:$E$500,MATCH("D1.1|"&amp;AL138,CODIFICACION!$F$2:$F$500,0))),"⚠"))</f>
        <v/>
      </c>
      <c r="I138" t="str">
        <f>IF(AN138="","",IFERROR(IF(INDEX(CODIFICACION!$E$2:$E$500,MATCH("D1.3|"&amp;AN138,CODIFICACION!$F$2:$F$500,0))="sin dato","",INDEX(CODIFICACION!$E$2:$E$500,MATCH("D1.3|"&amp;AN138,CODIFICACION!$F$2:$F$500,0))),"⚠"))</f>
        <v/>
      </c>
      <c r="J138" t="str">
        <f>IF(AO138="","",IFERROR(IF(INDEX(CODIFICACION!$E$2:$E$500,MATCH("D1.4|"&amp;AO138,CODIFICACION!$F$2:$F$500,0))="sin dato","",INDEX(CODIFICACION!$E$2:$E$500,MATCH("D1.4|"&amp;AO138,CODIFICACION!$F$2:$F$500,0))),"⚠"))</f>
        <v/>
      </c>
      <c r="K138" t="str">
        <f>IF(AP138="","",IFERROR(IF(INDEX(CODIFICACION!$E$2:$E$500,MATCH("D1.3a|"&amp;AP138,CODIFICACION!$F$2:$F$500,0))="sin dato","",INDEX(CODIFICACION!$E$2:$E$500,MATCH("D1.3a|"&amp;AP138,CODIFICACION!$F$2:$F$500,0))),"⚠"))</f>
        <v/>
      </c>
      <c r="L138" t="str">
        <f t="shared" si="101"/>
        <v/>
      </c>
      <c r="M138" t="str">
        <f t="shared" si="102"/>
        <v/>
      </c>
      <c r="N138" t="str">
        <f t="shared" si="103"/>
        <v/>
      </c>
      <c r="O138" t="str">
        <f>IF(AT138="","",IFERROR(IF(INDEX(CODIFICACION!$E$2:$E$500,MATCH("D2.8|"&amp;AT138,CODIFICACION!$F$2:$F$500,0))="sin dato","",INDEX(CODIFICACION!$E$2:$E$500,MATCH("D2.8|"&amp;AT138,CODIFICACION!$F$2:$F$500,0))),"⚠"))</f>
        <v/>
      </c>
      <c r="P138" t="str">
        <f>IF(AU138="","",IFERROR(IF(INDEX(CODIFICACION!$E$2:$E$500,MATCH("D2.9|"&amp;AU138,CODIFICACION!$F$2:$F$500,0))="sin dato","",INDEX(CODIFICACION!$E$2:$E$500,MATCH("D2.9|"&amp;AU138,CODIFICACION!$F$2:$F$500,0))),"⚠"))</f>
        <v/>
      </c>
      <c r="Q138" t="str">
        <f>IF(AV138="","",IFERROR(IF(INDEX(CODIFICACION!$E$2:$E$500,MATCH("D2.10|"&amp;AV138,CODIFICACION!$F$2:$F$500,0))="sin dato","",INDEX(CODIFICACION!$E$2:$E$500,MATCH("D2.10|"&amp;AV138,CODIFICACION!$F$2:$F$500,0))),"⚠"))</f>
        <v/>
      </c>
      <c r="R138" t="str">
        <f>IF(AW138="","",IFERROR(IF(INDEX(CODIFICACION!$E$2:$E$500,MATCH("D2.5a|"&amp;AW138,CODIFICACION!$F$2:$F$500,0))="sin dato","",INDEX(CODIFICACION!$E$2:$E$500,MATCH("D2.5a|"&amp;AW138,CODIFICACION!$F$2:$F$500,0))),"⚠"))</f>
        <v/>
      </c>
      <c r="S138" t="str">
        <f ca="1">IF(AX138="","",IFERROR(IF(INDEX(CODIFICACION!$E$2:$E$500,MATCH("D2.5b|"&amp;AX138,CODIFICACION!$F$2:$F$500,0))="sin dato","",INDEX(CODIFICACION!$E$2:$E$500,MATCH("D2.5b|"&amp;AX138,CODIFICACION!$F$2:$F$500,0))),"⚠"))</f>
        <v/>
      </c>
      <c r="T138" t="str">
        <f t="shared" ca="1" si="104"/>
        <v/>
      </c>
      <c r="U138" t="str">
        <f>IF(AZ138="","",IFERROR(IF(INDEX(CODIFICACION!$E$2:$E$500,MATCH("D3.12|"&amp;AZ138,CODIFICACION!$F$2:$F$500,0))="sin dato","",INDEX(CODIFICACION!$E$2:$E$500,MATCH("D3.12|"&amp;AZ138,CODIFICACION!$F$2:$F$500,0))),"⚠"))</f>
        <v/>
      </c>
      <c r="V138" t="str">
        <f t="shared" si="105"/>
        <v/>
      </c>
      <c r="W138" t="str">
        <f ca="1">IF(BB138="","",IFERROR(IF(INDEX(CODIFICACION!$E$2:$E$500,MATCH("D3.14|"&amp;BB138,CODIFICACION!$F$2:$F$500,0))="sin dato","",INDEX(CODIFICACION!$E$2:$E$500,MATCH("D3.14|"&amp;BB138,CODIFICACION!$F$2:$F$500,0))),"⚠"))</f>
        <v/>
      </c>
      <c r="X138" t="str">
        <f ca="1">IF(BC138="","",IFERROR(IF(INDEX(CODIFICACION!$E$2:$E$500,MATCH("D3.14a|"&amp;BC138,CODIFICACION!$F$2:$F$500,0))="sin dato","",INDEX(CODIFICACION!$E$2:$E$500,MATCH("D3.14a|"&amp;BC138,CODIFICACION!$F$2:$F$500,0))),"⚠"))</f>
        <v/>
      </c>
      <c r="Y138" t="str">
        <f>IF(BD138="","",IFERROR(IF(INDEX(CODIFICACION!$E$2:$E$500,MATCH("D3.14b|"&amp;BD138,CODIFICACION!$F$2:$F$500,0))="sin dato","",INDEX(CODIFICACION!$E$2:$E$500,MATCH("D3.14b|"&amp;BD138,CODIFICACION!$F$2:$F$500,0))),"⚠"))</f>
        <v/>
      </c>
      <c r="Z138" t="str">
        <f>IF(BE138="","",IFERROR(IF(INDEX(CODIFICACION!$E$2:$E$500,MATCH("D3.14c|"&amp;BE138,CODIFICACION!$F$2:$F$500,0))="sin dato","",INDEX(CODIFICACION!$E$2:$E$500,MATCH("D3.14c|"&amp;BE138,CODIFICACION!$F$2:$F$500,0))),"⚠"))</f>
        <v/>
      </c>
      <c r="AA138" t="str">
        <f>IF(BF138="","",IFERROR(IF(INDEX(CODIFICACION!$E$2:$E$500,MATCH("D3.14d|"&amp;BF138,CODIFICACION!$F$2:$F$500,0))="sin dato","",INDEX(CODIFICACION!$E$2:$E$500,MATCH("D3.14d|"&amp;BF138,CODIFICACION!$F$2:$F$500,0))),"⚠"))</f>
        <v/>
      </c>
      <c r="AB138" t="str">
        <f>IF(BG138="","",IFERROR(IF(INDEX(CODIFICACION!$E$2:$E$500,MATCH("D3.14e|"&amp;BG138,CODIFICACION!$F$2:$F$500,0))="sin dato","",INDEX(CODIFICACION!$E$2:$E$500,MATCH("D3.14e|"&amp;BG138,CODIFICACION!$F$2:$F$500,0))),"⚠"))</f>
        <v/>
      </c>
      <c r="AC138" t="str">
        <f>IF(BH138="","",IFERROR(IF(INDEX(CODIFICACION!$E$2:$E$500,MATCH("D3.14f|"&amp;BH138,CODIFICACION!$F$2:$F$500,0))="sin dato","",INDEX(CODIFICACION!$E$2:$E$500,MATCH("D3.14f|"&amp;BH138,CODIFICACION!$F$2:$F$500,0))),"⚠"))</f>
        <v/>
      </c>
      <c r="AD138" t="str">
        <f>IF(BI138="","",IFERROR(IF(INDEX(CODIFICACION!$E$2:$E$500,MATCH("D3.14g|"&amp;BI138,CODIFICACION!$F$2:$F$500,0))="sin dato","",INDEX(CODIFICACION!$E$2:$E$500,MATCH("D3.14g|"&amp;BI138,CODIFICACION!$F$2:$F$500,0))),"⚠"))</f>
        <v/>
      </c>
      <c r="AE138" t="str">
        <f>IF(BJ138="","",IFERROR(IF(INDEX(CODIFICACION!$E$2:$E$500,MATCH("D3.14h|"&amp;BJ138,CODIFICACION!$F$2:$F$500,0))="sin dato","",INDEX(CODIFICACION!$E$2:$E$500,MATCH("D3.14h|"&amp;BJ138,CODIFICACION!$F$2:$F$500,0))),"⚠"))</f>
        <v/>
      </c>
      <c r="AF138" t="str">
        <f>IF(BK138="","",IFERROR(IF(INDEX(CODIFICACION!$E$2:$E$500,MATCH("D3.14i|"&amp;BK138,CODIFICACION!$F$2:$F$500,0))="sin dato","",INDEX(CODIFICACION!$E$2:$E$500,MATCH("D3.14i|"&amp;BK138,CODIFICACION!$F$2:$F$500,0))),"⚠"))</f>
        <v/>
      </c>
      <c r="AG138" t="str">
        <f>IF(BL138="","",IFERROR(IF(INDEX(CODIFICACION!$E$2:$E$500,MATCH("D4.15|"&amp;BL138,CODIFICACION!$F$2:$F$500,0))="sin dato","",INDEX(CODIFICACION!$E$2:$E$500,MATCH("D4.15|"&amp;BL138,CODIFICACION!$F$2:$F$500,0))),"⚠"))</f>
        <v/>
      </c>
      <c r="AH138" t="str">
        <f t="shared" si="106"/>
        <v/>
      </c>
      <c r="AI138" t="str">
        <f>IF(BN138="","",IFERROR(IF(INDEX(CODIFICACION!$E$2:$E$500,MATCH("D4.17|"&amp;BN138,CODIFICACION!$F$2:$F$500,0))="sin dato","",INDEX(CODIFICACION!$E$2:$E$500,MATCH("D4.17|"&amp;BN138,CODIFICACION!$F$2:$F$500,0))),"⚠"))</f>
        <v/>
      </c>
      <c r="AJ138" t="str">
        <f>IF(BO138="","",IFERROR(IF(INDEX(CODIFICACION!$E$2:$E$500,MATCH("D4.15a|"&amp;BO138,CODIFICACION!$F$2:$F$500,0))="sin dato","",INDEX(CODIFICACION!$E$2:$E$500,MATCH("D4.15a|"&amp;BO138,CODIFICACION!$F$2:$F$500,0))),"⚠"))</f>
        <v/>
      </c>
      <c r="AK138" t="str">
        <f t="shared" si="107"/>
        <v/>
      </c>
      <c r="AL138" t="str">
        <f t="shared" si="108"/>
        <v/>
      </c>
      <c r="AM138" t="str">
        <f>IF(BR138="","",IFERROR(IF(INDEX(CODIFICACION!$E$2:$E$500,MATCH("D5.18b|"&amp;BR138,CODIFICACION!$F$2:$F$500,0))="sin dato","",INDEX(CODIFICACION!$E$2:$E$500,MATCH("D5.18b|"&amp;BR138,CODIFICACION!$F$2:$F$500,0))),"⚠"))</f>
        <v/>
      </c>
      <c r="AN138" t="str">
        <f>IF(BS138="","",IFERROR(IF(INDEX(CODIFICACION!$E$2:$E$500,MATCH("D5.19|"&amp;BS138,CODIFICACION!$F$2:$F$500,0))="sin dato","",INDEX(CODIFICACION!$E$2:$E$500,MATCH("D5.19|"&amp;BS138,CODIFICACION!$F$2:$F$500,0))),"⚠"))</f>
        <v/>
      </c>
      <c r="AO138" t="str">
        <f t="shared" si="109"/>
        <v/>
      </c>
      <c r="AP138" t="str">
        <f>IF(BU138="","",IFERROR(IF(INDEX(CODIFICACION!$E$2:$E$500,MATCH("D5.20|"&amp;BU138,CODIFICACION!$F$2:$F$500,0))="sin dato","",INDEX(CODIFICACION!$E$2:$E$500,MATCH("D5.20|"&amp;BU138,CODIFICACION!$F$2:$F$500,0))),"⚠"))</f>
        <v/>
      </c>
      <c r="AQ138" t="str">
        <f>IF(BV138="","",IFERROR(IF(INDEX(CODIFICACION!$E$2:$E$500,MATCH("D5.21|"&amp;BV138,CODIFICACION!$F$2:$F$500,0))="sin dato","",INDEX(CODIFICACION!$E$2:$E$500,MATCH("D5.21|"&amp;BV138,CODIFICACION!$F$2:$F$500,0))),"⚠"))</f>
        <v/>
      </c>
      <c r="AR138" t="str">
        <f>IF(BW138="","",IFERROR(IF(INDEX(CODIFICACION!$E$2:$E$500,MATCH("D5.21a|"&amp;BW138,CODIFICACION!$F$2:$F$500,0))="sin dato","",INDEX(CODIFICACION!$E$2:$E$500,MATCH("D5.21a|"&amp;BW138,CODIFICACION!$F$2:$F$500,0))),"⚠"))</f>
        <v/>
      </c>
      <c r="AS138" t="str">
        <f>IF(BX138="","",IFERROR(IF(INDEX(CODIFICACION!$E$2:$E$500,MATCH("D5.21b|"&amp;BX138,CODIFICACION!$F$2:$F$500,0))="sin dato","",INDEX(CODIFICACION!$E$2:$E$500,MATCH("D5.21b|"&amp;BX138,CODIFICACION!$F$2:$F$500,0))),"⚠"))</f>
        <v/>
      </c>
      <c r="AT138" t="str">
        <f>IF(BY138="","",IFERROR(IF(INDEX(CODIFICACION!$E$2:$E$500,MATCH("D6.22|"&amp;BY138,CODIFICACION!$F$2:$F$500,0))="sin dato","",INDEX(CODIFICACION!$E$2:$E$500,MATCH("D6.22|"&amp;BY138,CODIFICACION!$F$2:$F$500,0))),"⚠"))</f>
        <v/>
      </c>
      <c r="AU138" t="str">
        <f>IF(BZ138="","",IFERROR(IF(INDEX(CODIFICACION!$E$2:$E$500,MATCH("D6.22a|"&amp;BZ138,CODIFICACION!$F$2:$F$500,0))="sin dato","",INDEX(CODIFICACION!$E$2:$E$500,MATCH("D6.22a|"&amp;BZ138,CODIFICACION!$F$2:$F$500,0))),"⚠"))</f>
        <v/>
      </c>
      <c r="AV138" t="str">
        <f>IF(CA138="","",IFERROR(IF(INDEX(CODIFICACION!$E$2:$E$500,MATCH("D6.22b|"&amp;CA138,CODIFICACION!$F$2:$F$500,0))="sin dato","",INDEX(CODIFICACION!$E$2:$E$500,MATCH("D6.22b|"&amp;CA138,CODIFICACION!$F$2:$F$500,0))),"⚠"))</f>
        <v/>
      </c>
      <c r="AW138" t="str">
        <f>IF(CB138="","",IFERROR(IF(INDEX(CODIFICACION!$E$2:$E$500,MATCH("D6.23|"&amp;CB138,CODIFICACION!$F$2:$F$500,0))="sin dato","",INDEX(CODIFICACION!$E$2:$E$500,MATCH("D6.23|"&amp;CB138,CODIFICACION!$F$2:$F$500,0))),"⚠"))</f>
        <v/>
      </c>
      <c r="AX138" t="str">
        <f ca="1">IF(CC138="","",IFERROR(IF(INDEX(CODIFICACION!$E$2:$E$500,MATCH("D6.24|"&amp;CC138,CODIFICACION!$F$2:$F$500,0))="sin dato","",INDEX(CODIFICACION!$E$2:$E$500,MATCH("D6.24|"&amp;CC138,CODIFICACION!$F$2:$F$500,0))),"⚠"))</f>
        <v/>
      </c>
      <c r="AY138" t="str">
        <f ca="1">IF(CD138="","",IFERROR(IF(INDEX(CODIFICACION!$E$2:$E$500,MATCH("D6.25|"&amp;CD138,CODIFICACION!$F$2:$F$500,0))="sin dato","",INDEX(CODIFICACION!$E$2:$E$500,MATCH("D6.25|"&amp;CD138,CODIFICACION!$F$2:$F$500,0))),"⚠"))</f>
        <v/>
      </c>
      <c r="AZ138" t="str">
        <f>IF(CE138="","",IFERROR(IF(INDEX(CODIFICACION!$E$2:$E$500,MATCH("D6.25a|"&amp;CE138,CODIFICACION!$F$2:$F$500,0))="sin dato","",INDEX(CODIFICACION!$E$2:$E$500,MATCH("D6.25a|"&amp;CE138,CODIFICACION!$F$2:$F$500,0))),"⚠"))</f>
        <v/>
      </c>
      <c r="BA138" t="str">
        <f>IF(CF138="","",IFERROR(IF(INDEX(CODIFICACION!$E$2:$E$500,MATCH("D6.25b|"&amp;CF138,CODIFICACION!$F$2:$F$500,0))="sin dato","",INDEX(CODIFICACION!$E$2:$E$500,MATCH("D6.25b|"&amp;CF138,CODIFICACION!$F$2:$F$500,0))),"⚠"))</f>
        <v/>
      </c>
      <c r="BB138" t="str">
        <f ca="1">IF(CG138="","",IFERROR(IF(INDEX(CODIFICACION!$E$2:$E$500,MATCH("D6.22c|"&amp;CG138,CODIFICACION!$F$2:$F$500,0))="sin dato","",INDEX(CODIFICACION!$E$2:$E$500,MATCH("D6.22c|"&amp;CG138,CODIFICACION!$F$2:$F$500,0))),"⚠"))</f>
        <v/>
      </c>
      <c r="BC138" t="str">
        <f ca="1">IF(CH138="","",IFERROR(IF(INDEX(CODIFICACION!$E$2:$E$500,MATCH("D7.26|"&amp;CH138,CODIFICACION!$F$2:$F$500,0))="sin dato","",INDEX(CODIFICACION!$E$2:$E$500,MATCH("D7.26|"&amp;CH138,CODIFICACION!$F$2:$F$500,0))),"⚠"))</f>
        <v/>
      </c>
      <c r="BD138" t="str">
        <f>IF(CI138="","",IFERROR(IF(INDEX(CODIFICACION!$E$2:$E$500,MATCH("D7.27|"&amp;CI138,CODIFICACION!$F$2:$F$500,0))="sin dato","",INDEX(CODIFICACION!$E$2:$E$500,MATCH("D7.27|"&amp;CI138,CODIFICACION!$F$2:$F$500,0))),"⚠"))</f>
        <v/>
      </c>
      <c r="BE138" t="str">
        <f>IF(CJ138="","",IFERROR(IF(INDEX(CODIFICACION!$E$2:$E$500,MATCH("D7.28|"&amp;CJ138,CODIFICACION!$F$2:$F$500,0))="sin dato","",INDEX(CODIFICACION!$E$2:$E$500,MATCH("D7.28|"&amp;CJ138,CODIFICACION!$F$2:$F$500,0))),"⚠"))</f>
        <v/>
      </c>
      <c r="BF138" t="str">
        <f>IF(CK138="","",IFERROR(IF(INDEX(CODIFICACION!$E$2:$E$500,MATCH("D7.28b|"&amp;CK138,CODIFICACION!$F$2:$F$500,0))="sin dato","",INDEX(CODIFICACION!$E$2:$E$500,MATCH("D7.28b|"&amp;CK138,CODIFICACION!$F$2:$F$500,0))),"⚠"))</f>
        <v/>
      </c>
      <c r="BG138" t="str">
        <f t="shared" si="110"/>
        <v/>
      </c>
      <c r="BH138" t="str">
        <f>IF(CM138="","",IFERROR(IF(INDEX(CODIFICACION!$E$2:$E$500,MATCH("D7.26a|"&amp;CM138,CODIFICACION!$F$2:$F$500,0))="sin dato","",INDEX(CODIFICACION!$E$2:$E$500,MATCH("D7.26a|"&amp;CM138,CODIFICACION!$F$2:$F$500,0))),"⚠"))</f>
        <v/>
      </c>
      <c r="BI138" t="str">
        <f>IF(CN138="","",IFERROR(IF(INDEX(CODIFICACION!$E$2:$E$500,MATCH("D7.26b|"&amp;CN138,CODIFICACION!$F$2:$F$500,0))="sin dato","",INDEX(CODIFICACION!$E$2:$E$500,MATCH("D7.26b|"&amp;CN138,CODIFICACION!$F$2:$F$500,0))),"⚠"))</f>
        <v/>
      </c>
      <c r="BJ138" t="str">
        <f t="shared" si="111"/>
        <v/>
      </c>
      <c r="BK138" t="str">
        <f t="shared" si="112"/>
        <v/>
      </c>
      <c r="BL138" t="str">
        <f>IF(CQ138="","",IFERROR(IF(INDEX(CODIFICACION!$E$2:$E$500,MATCH("D8.31|"&amp;CQ138,CODIFICACION!$F$2:$F$500,0))="sin dato","",INDEX(CODIFICACION!$E$2:$E$500,MATCH("D8.31|"&amp;CQ138,CODIFICACION!$F$2:$F$500,0))),"⚠"))</f>
        <v/>
      </c>
      <c r="BM138" t="str">
        <f>IF(CR138="","",IFERROR(IF(INDEX(CODIFICACION!$E$2:$E$500,MATCH("D8.32|"&amp;CR138,CODIFICACION!$F$2:$F$500,0))="sin dato","",INDEX(CODIFICACION!$E$2:$E$500,MATCH("D8.32|"&amp;CR138,CODIFICACION!$F$2:$F$500,0))),"⚠"))</f>
        <v/>
      </c>
      <c r="BN138" t="str">
        <f>IF(CS138="","",IFERROR(IF(INDEX(CODIFICACION!$E$2:$E$500,MATCH("D9.33|"&amp;CS138,CODIFICACION!$F$2:$F$500,0))="sin dato","",INDEX(CODIFICACION!$E$2:$E$500,MATCH("D9.33|"&amp;CS138,CODIFICACION!$F$2:$F$500,0))),"⚠"))</f>
        <v/>
      </c>
      <c r="BO138" t="str">
        <f>IF(CT138="","",IFERROR(IF(INDEX(CODIFICACION!$E$2:$E$500,MATCH("D9.34|"&amp;CT138,CODIFICACION!$F$2:$F$500,0))="sin dato","",INDEX(CODIFICACION!$E$2:$E$500,MATCH("D9.34|"&amp;CT138,CODIFICACION!$F$2:$F$500,0))),"⚠"))</f>
        <v/>
      </c>
      <c r="BP138" t="str">
        <f>IF(CU138="","",IFERROR(IF(INDEX(CODIFICACION!$E$2:$E$500,MATCH("D9.35|"&amp;CU138,CODIFICACION!$F$2:$F$500,0))="sin dato","",INDEX(CODIFICACION!$E$2:$E$500,MATCH("D9.35|"&amp;CU138,CODIFICACION!$F$2:$F$500,0))),"⚠"))</f>
        <v/>
      </c>
      <c r="BQ138" t="str">
        <f>IF(CV138="","",IFERROR(IF(INDEX(CODIFICACION!$E$2:$E$500,MATCH("D10.36|"&amp;CV138,CODIFICACION!$F$2:$F$500,0))="sin dato","",INDEX(CODIFICACION!$E$2:$E$500,MATCH("D10.36|"&amp;CV138,CODIFICACION!$F$2:$F$500,0))),"⚠"))</f>
        <v/>
      </c>
      <c r="BR138" t="str">
        <f>IF(CW138="","",IFERROR(IF(INDEX(CODIFICACION!$E$2:$E$500,MATCH("D10.37|"&amp;CW138,CODIFICACION!$F$2:$F$500,0))="sin dato","",INDEX(CODIFICACION!$E$2:$E$500,MATCH("D10.37|"&amp;CW138,CODIFICACION!$F$2:$F$500,0))),"⚠"))</f>
        <v/>
      </c>
      <c r="BS138" t="str">
        <f>IF(CX138="","",IFERROR(IF(INDEX(CODIFICACION!$E$2:$E$500,MATCH("D10.36a|"&amp;CX138,CODIFICACION!$F$2:$F$500,0))="sin dato","",INDEX(CODIFICACION!$E$2:$E$500,MATCH("D10.36a|"&amp;CX138,CODIFICACION!$F$2:$F$500,0))),"⚠"))</f>
        <v/>
      </c>
      <c r="BT138" t="str">
        <f t="shared" si="113"/>
        <v/>
      </c>
      <c r="BU138" t="str">
        <f>IF(DA138="","",IFERROR(IF(INDEX(CODIFICACION!$E$2:$E$500,MATCH("D11.39a|"&amp;DA138,CODIFICACION!$F$2:$F$500,0))="sin dato","",INDEX(CODIFICACION!$E$2:$E$500,MATCH("D11.39a|"&amp;DA138,CODIFICACION!$F$2:$F$500,0))),"⚠"))</f>
        <v/>
      </c>
      <c r="BV138" t="str">
        <f>IF(DB138="","",IFERROR(IF(INDEX(CODIFICACION!$E$2:$E$500,MATCH("D12.42|"&amp;DB138,CODIFICACION!$F$2:$F$500,0))="sin dato","",INDEX(CODIFICACION!$E$2:$E$500,MATCH("D12.42|"&amp;DB138,CODIFICACION!$F$2:$F$500,0))),"⚠"))</f>
        <v/>
      </c>
      <c r="BW138" t="str">
        <f>IF(DC138="","",IFERROR(IF(INDEX(CODIFICACION!$E$2:$E$500,MATCH("D13.45|"&amp;DC138,CODIFICACION!$F$2:$F$500,0))="sin dato","",INDEX(CODIFICACION!$E$2:$E$500,MATCH("D13.45|"&amp;DC138,CODIFICACION!$F$2:$F$500,0))),"⚠"))</f>
        <v/>
      </c>
      <c r="BX138" t="str">
        <f>IF(DD138="","",IFERROR(IF(INDEX(CODIFICACION!$E$2:$E$500,MATCH("D14.51|"&amp;DD138,CODIFICACION!$F$2:$F$500,0))="sin dato","",INDEX(CODIFICACION!$E$2:$E$500,MATCH("D14.51|"&amp;DD138,CODIFICACION!$F$2:$F$500,0))),"⚠"))</f>
        <v/>
      </c>
      <c r="BY138" t="str">
        <f>IF(DE138="","",IFERROR(IF(INDEX(CODIFICACION!$E$2:$E$500,MATCH("D15.58|"&amp;DE138,CODIFICACION!$F$2:$F$500,0))="sin dato","",INDEX(CODIFICACION!$E$2:$E$500,MATCH("D15.58|"&amp;DE138,CODIFICACION!$F$2:$F$500,0))),"⚠"))</f>
        <v/>
      </c>
      <c r="BZ138" t="str">
        <f>IF(DF138="","",IFERROR(IF(INDEX(CODIFICACION!$E$2:$E$500,MATCH("PP1|"&amp;DF138,CODIFICACION!$F$2:$F$500,0))="sin dato","",INDEX(CODIFICACION!$E$2:$E$500,MATCH("PP1|"&amp;DF138,CODIFICACION!$F$2:$F$500,0))),"⚠"))</f>
        <v/>
      </c>
      <c r="CA138" t="str">
        <f>IF(DG138="","",IFERROR(IF(INDEX(CODIFICACION!$E$2:$E$500,MATCH("PP2|"&amp;DG138,CODIFICACION!$F$2:$F$500,0))="sin dato","",INDEX(CODIFICACION!$E$2:$E$500,MATCH("PP2|"&amp;DG138,CODIFICACION!$F$2:$F$500,0))),"⚠"))</f>
        <v/>
      </c>
      <c r="CB138" t="str">
        <f t="shared" si="114"/>
        <v/>
      </c>
      <c r="CC138" t="str">
        <f t="shared" ca="1" si="115"/>
        <v/>
      </c>
      <c r="CD138" t="str">
        <f t="shared" ca="1" si="116"/>
        <v/>
      </c>
      <c r="CE138" t="str">
        <f t="shared" si="117"/>
        <v/>
      </c>
      <c r="CF138" t="str">
        <f t="shared" si="118"/>
        <v/>
      </c>
      <c r="CG138" t="str">
        <f t="shared" ca="1" si="119"/>
        <v/>
      </c>
      <c r="CH138" t="str">
        <f t="shared" ca="1" si="120"/>
        <v/>
      </c>
      <c r="CI138" t="str">
        <f t="shared" si="121"/>
        <v/>
      </c>
      <c r="CJ138" t="str">
        <f t="shared" si="122"/>
        <v/>
      </c>
      <c r="CK138" t="str">
        <f t="shared" si="123"/>
        <v/>
      </c>
      <c r="CL138" t="str">
        <f t="shared" si="124"/>
        <v/>
      </c>
    </row>
    <row r="139" spans="1:90" x14ac:dyDescent="0.3">
      <c r="A139">
        <f>CAPTURA!A139</f>
        <v>20603526423</v>
      </c>
      <c r="B139">
        <f>CAPTURA!C139</f>
        <v>0</v>
      </c>
      <c r="C139" t="str">
        <f t="shared" si="100"/>
        <v/>
      </c>
      <c r="D139" t="str">
        <f>IF(AE139="","",IFERROR(IF(INDEX(CODIFICACION!$E$2:$E$500,MATCH("P8|"&amp;AE139,CODIFICACION!$F$2:$F$500,0))="sin dato","",INDEX(CODIFICACION!$E$2:$E$500,MATCH("P8|"&amp;AE139,CODIFICACION!$F$2:$F$500,0))),"⚠"))</f>
        <v/>
      </c>
      <c r="E139" t="str">
        <f>IF(AG139="","",IFERROR(IF(INDEX(CODIFICACION!$E$2:$E$500,MATCH("P10|"&amp;AG139,CODIFICACION!$F$2:$F$500,0))="sin dato","",INDEX(CODIFICACION!$E$2:$E$500,MATCH("P10|"&amp;AG139,CODIFICACION!$F$2:$F$500,0))),"⚠"))</f>
        <v/>
      </c>
      <c r="F139" t="str">
        <f>IF(AJ139="","",IFERROR(IF(INDEX(CODIFICACION!$E$2:$E$500,MATCH("P13|"&amp;AJ139,CODIFICACION!$F$2:$F$500,0))="sin dato","",INDEX(CODIFICACION!$E$2:$E$500,MATCH("P13|"&amp;AJ139,CODIFICACION!$F$2:$F$500,0))),"⚠"))</f>
        <v/>
      </c>
      <c r="G139" t="str">
        <f>IF(AK139="","",IFERROR(IF(INDEX(CODIFICACION!$E$2:$E$500,MATCH("P14|"&amp;AK139,CODIFICACION!$F$2:$F$500,0))="sin dato","",INDEX(CODIFICACION!$E$2:$E$500,MATCH("P14|"&amp;AK139,CODIFICACION!$F$2:$F$500,0))),"⚠"))</f>
        <v/>
      </c>
      <c r="H139" t="str">
        <f>IF(AL139="","",IFERROR(IF(INDEX(CODIFICACION!$E$2:$E$500,MATCH("D1.1|"&amp;AL139,CODIFICACION!$F$2:$F$500,0))="sin dato","",INDEX(CODIFICACION!$E$2:$E$500,MATCH("D1.1|"&amp;AL139,CODIFICACION!$F$2:$F$500,0))),"⚠"))</f>
        <v/>
      </c>
      <c r="I139" t="str">
        <f>IF(AN139="","",IFERROR(IF(INDEX(CODIFICACION!$E$2:$E$500,MATCH("D1.3|"&amp;AN139,CODIFICACION!$F$2:$F$500,0))="sin dato","",INDEX(CODIFICACION!$E$2:$E$500,MATCH("D1.3|"&amp;AN139,CODIFICACION!$F$2:$F$500,0))),"⚠"))</f>
        <v/>
      </c>
      <c r="J139" t="str">
        <f>IF(AO139="","",IFERROR(IF(INDEX(CODIFICACION!$E$2:$E$500,MATCH("D1.4|"&amp;AO139,CODIFICACION!$F$2:$F$500,0))="sin dato","",INDEX(CODIFICACION!$E$2:$E$500,MATCH("D1.4|"&amp;AO139,CODIFICACION!$F$2:$F$500,0))),"⚠"))</f>
        <v/>
      </c>
      <c r="K139" t="str">
        <f>IF(AP139="","",IFERROR(IF(INDEX(CODIFICACION!$E$2:$E$500,MATCH("D1.3a|"&amp;AP139,CODIFICACION!$F$2:$F$500,0))="sin dato","",INDEX(CODIFICACION!$E$2:$E$500,MATCH("D1.3a|"&amp;AP139,CODIFICACION!$F$2:$F$500,0))),"⚠"))</f>
        <v/>
      </c>
      <c r="L139" t="str">
        <f t="shared" si="101"/>
        <v/>
      </c>
      <c r="M139" t="str">
        <f t="shared" si="102"/>
        <v/>
      </c>
      <c r="N139" t="str">
        <f t="shared" si="103"/>
        <v/>
      </c>
      <c r="O139" t="str">
        <f>IF(AT139="","",IFERROR(IF(INDEX(CODIFICACION!$E$2:$E$500,MATCH("D2.8|"&amp;AT139,CODIFICACION!$F$2:$F$500,0))="sin dato","",INDEX(CODIFICACION!$E$2:$E$500,MATCH("D2.8|"&amp;AT139,CODIFICACION!$F$2:$F$500,0))),"⚠"))</f>
        <v/>
      </c>
      <c r="P139" t="str">
        <f>IF(AU139="","",IFERROR(IF(INDEX(CODIFICACION!$E$2:$E$500,MATCH("D2.9|"&amp;AU139,CODIFICACION!$F$2:$F$500,0))="sin dato","",INDEX(CODIFICACION!$E$2:$E$500,MATCH("D2.9|"&amp;AU139,CODIFICACION!$F$2:$F$500,0))),"⚠"))</f>
        <v/>
      </c>
      <c r="Q139" t="str">
        <f>IF(AV139="","",IFERROR(IF(INDEX(CODIFICACION!$E$2:$E$500,MATCH("D2.10|"&amp;AV139,CODIFICACION!$F$2:$F$500,0))="sin dato","",INDEX(CODIFICACION!$E$2:$E$500,MATCH("D2.10|"&amp;AV139,CODIFICACION!$F$2:$F$500,0))),"⚠"))</f>
        <v/>
      </c>
      <c r="R139" t="str">
        <f>IF(AW139="","",IFERROR(IF(INDEX(CODIFICACION!$E$2:$E$500,MATCH("D2.5a|"&amp;AW139,CODIFICACION!$F$2:$F$500,0))="sin dato","",INDEX(CODIFICACION!$E$2:$E$500,MATCH("D2.5a|"&amp;AW139,CODIFICACION!$F$2:$F$500,0))),"⚠"))</f>
        <v/>
      </c>
      <c r="S139" t="str">
        <f ca="1">IF(AX139="","",IFERROR(IF(INDEX(CODIFICACION!$E$2:$E$500,MATCH("D2.5b|"&amp;AX139,CODIFICACION!$F$2:$F$500,0))="sin dato","",INDEX(CODIFICACION!$E$2:$E$500,MATCH("D2.5b|"&amp;AX139,CODIFICACION!$F$2:$F$500,0))),"⚠"))</f>
        <v/>
      </c>
      <c r="T139" t="str">
        <f t="shared" ca="1" si="104"/>
        <v/>
      </c>
      <c r="U139" t="str">
        <f>IF(AZ139="","",IFERROR(IF(INDEX(CODIFICACION!$E$2:$E$500,MATCH("D3.12|"&amp;AZ139,CODIFICACION!$F$2:$F$500,0))="sin dato","",INDEX(CODIFICACION!$E$2:$E$500,MATCH("D3.12|"&amp;AZ139,CODIFICACION!$F$2:$F$500,0))),"⚠"))</f>
        <v/>
      </c>
      <c r="V139" t="str">
        <f t="shared" si="105"/>
        <v/>
      </c>
      <c r="W139" t="str">
        <f ca="1">IF(BB139="","",IFERROR(IF(INDEX(CODIFICACION!$E$2:$E$500,MATCH("D3.14|"&amp;BB139,CODIFICACION!$F$2:$F$500,0))="sin dato","",INDEX(CODIFICACION!$E$2:$E$500,MATCH("D3.14|"&amp;BB139,CODIFICACION!$F$2:$F$500,0))),"⚠"))</f>
        <v/>
      </c>
      <c r="X139" t="str">
        <f ca="1">IF(BC139="","",IFERROR(IF(INDEX(CODIFICACION!$E$2:$E$500,MATCH("D3.14a|"&amp;BC139,CODIFICACION!$F$2:$F$500,0))="sin dato","",INDEX(CODIFICACION!$E$2:$E$500,MATCH("D3.14a|"&amp;BC139,CODIFICACION!$F$2:$F$500,0))),"⚠"))</f>
        <v/>
      </c>
      <c r="Y139" t="str">
        <f>IF(BD139="","",IFERROR(IF(INDEX(CODIFICACION!$E$2:$E$500,MATCH("D3.14b|"&amp;BD139,CODIFICACION!$F$2:$F$500,0))="sin dato","",INDEX(CODIFICACION!$E$2:$E$500,MATCH("D3.14b|"&amp;BD139,CODIFICACION!$F$2:$F$500,0))),"⚠"))</f>
        <v/>
      </c>
      <c r="Z139" t="str">
        <f>IF(BE139="","",IFERROR(IF(INDEX(CODIFICACION!$E$2:$E$500,MATCH("D3.14c|"&amp;BE139,CODIFICACION!$F$2:$F$500,0))="sin dato","",INDEX(CODIFICACION!$E$2:$E$500,MATCH("D3.14c|"&amp;BE139,CODIFICACION!$F$2:$F$500,0))),"⚠"))</f>
        <v/>
      </c>
      <c r="AA139" t="str">
        <f>IF(BF139="","",IFERROR(IF(INDEX(CODIFICACION!$E$2:$E$500,MATCH("D3.14d|"&amp;BF139,CODIFICACION!$F$2:$F$500,0))="sin dato","",INDEX(CODIFICACION!$E$2:$E$500,MATCH("D3.14d|"&amp;BF139,CODIFICACION!$F$2:$F$500,0))),"⚠"))</f>
        <v/>
      </c>
      <c r="AB139" t="str">
        <f>IF(BG139="","",IFERROR(IF(INDEX(CODIFICACION!$E$2:$E$500,MATCH("D3.14e|"&amp;BG139,CODIFICACION!$F$2:$F$500,0))="sin dato","",INDEX(CODIFICACION!$E$2:$E$500,MATCH("D3.14e|"&amp;BG139,CODIFICACION!$F$2:$F$500,0))),"⚠"))</f>
        <v/>
      </c>
      <c r="AC139" t="str">
        <f>IF(BH139="","",IFERROR(IF(INDEX(CODIFICACION!$E$2:$E$500,MATCH("D3.14f|"&amp;BH139,CODIFICACION!$F$2:$F$500,0))="sin dato","",INDEX(CODIFICACION!$E$2:$E$500,MATCH("D3.14f|"&amp;BH139,CODIFICACION!$F$2:$F$500,0))),"⚠"))</f>
        <v/>
      </c>
      <c r="AD139" t="str">
        <f>IF(BI139="","",IFERROR(IF(INDEX(CODIFICACION!$E$2:$E$500,MATCH("D3.14g|"&amp;BI139,CODIFICACION!$F$2:$F$500,0))="sin dato","",INDEX(CODIFICACION!$E$2:$E$500,MATCH("D3.14g|"&amp;BI139,CODIFICACION!$F$2:$F$500,0))),"⚠"))</f>
        <v/>
      </c>
      <c r="AE139" t="str">
        <f>IF(BJ139="","",IFERROR(IF(INDEX(CODIFICACION!$E$2:$E$500,MATCH("D3.14h|"&amp;BJ139,CODIFICACION!$F$2:$F$500,0))="sin dato","",INDEX(CODIFICACION!$E$2:$E$500,MATCH("D3.14h|"&amp;BJ139,CODIFICACION!$F$2:$F$500,0))),"⚠"))</f>
        <v/>
      </c>
      <c r="AF139" t="str">
        <f>IF(BK139="","",IFERROR(IF(INDEX(CODIFICACION!$E$2:$E$500,MATCH("D3.14i|"&amp;BK139,CODIFICACION!$F$2:$F$500,0))="sin dato","",INDEX(CODIFICACION!$E$2:$E$500,MATCH("D3.14i|"&amp;BK139,CODIFICACION!$F$2:$F$500,0))),"⚠"))</f>
        <v/>
      </c>
      <c r="AG139" t="str">
        <f>IF(BL139="","",IFERROR(IF(INDEX(CODIFICACION!$E$2:$E$500,MATCH("D4.15|"&amp;BL139,CODIFICACION!$F$2:$F$500,0))="sin dato","",INDEX(CODIFICACION!$E$2:$E$500,MATCH("D4.15|"&amp;BL139,CODIFICACION!$F$2:$F$500,0))),"⚠"))</f>
        <v/>
      </c>
      <c r="AH139" t="str">
        <f t="shared" si="106"/>
        <v/>
      </c>
      <c r="AI139" t="str">
        <f>IF(BN139="","",IFERROR(IF(INDEX(CODIFICACION!$E$2:$E$500,MATCH("D4.17|"&amp;BN139,CODIFICACION!$F$2:$F$500,0))="sin dato","",INDEX(CODIFICACION!$E$2:$E$500,MATCH("D4.17|"&amp;BN139,CODIFICACION!$F$2:$F$500,0))),"⚠"))</f>
        <v/>
      </c>
      <c r="AJ139" t="str">
        <f>IF(BO139="","",IFERROR(IF(INDEX(CODIFICACION!$E$2:$E$500,MATCH("D4.15a|"&amp;BO139,CODIFICACION!$F$2:$F$500,0))="sin dato","",INDEX(CODIFICACION!$E$2:$E$500,MATCH("D4.15a|"&amp;BO139,CODIFICACION!$F$2:$F$500,0))),"⚠"))</f>
        <v/>
      </c>
      <c r="AK139" t="str">
        <f t="shared" si="107"/>
        <v/>
      </c>
      <c r="AL139" t="str">
        <f t="shared" si="108"/>
        <v/>
      </c>
      <c r="AM139" t="str">
        <f>IF(BR139="","",IFERROR(IF(INDEX(CODIFICACION!$E$2:$E$500,MATCH("D5.18b|"&amp;BR139,CODIFICACION!$F$2:$F$500,0))="sin dato","",INDEX(CODIFICACION!$E$2:$E$500,MATCH("D5.18b|"&amp;BR139,CODIFICACION!$F$2:$F$500,0))),"⚠"))</f>
        <v/>
      </c>
      <c r="AN139" t="str">
        <f>IF(BS139="","",IFERROR(IF(INDEX(CODIFICACION!$E$2:$E$500,MATCH("D5.19|"&amp;BS139,CODIFICACION!$F$2:$F$500,0))="sin dato","",INDEX(CODIFICACION!$E$2:$E$500,MATCH("D5.19|"&amp;BS139,CODIFICACION!$F$2:$F$500,0))),"⚠"))</f>
        <v/>
      </c>
      <c r="AO139" t="str">
        <f t="shared" si="109"/>
        <v/>
      </c>
      <c r="AP139" t="str">
        <f>IF(BU139="","",IFERROR(IF(INDEX(CODIFICACION!$E$2:$E$500,MATCH("D5.20|"&amp;BU139,CODIFICACION!$F$2:$F$500,0))="sin dato","",INDEX(CODIFICACION!$E$2:$E$500,MATCH("D5.20|"&amp;BU139,CODIFICACION!$F$2:$F$500,0))),"⚠"))</f>
        <v/>
      </c>
      <c r="AQ139" t="str">
        <f>IF(BV139="","",IFERROR(IF(INDEX(CODIFICACION!$E$2:$E$500,MATCH("D5.21|"&amp;BV139,CODIFICACION!$F$2:$F$500,0))="sin dato","",INDEX(CODIFICACION!$E$2:$E$500,MATCH("D5.21|"&amp;BV139,CODIFICACION!$F$2:$F$500,0))),"⚠"))</f>
        <v/>
      </c>
      <c r="AR139" t="str">
        <f>IF(BW139="","",IFERROR(IF(INDEX(CODIFICACION!$E$2:$E$500,MATCH("D5.21a|"&amp;BW139,CODIFICACION!$F$2:$F$500,0))="sin dato","",INDEX(CODIFICACION!$E$2:$E$500,MATCH("D5.21a|"&amp;BW139,CODIFICACION!$F$2:$F$500,0))),"⚠"))</f>
        <v/>
      </c>
      <c r="AS139" t="str">
        <f>IF(BX139="","",IFERROR(IF(INDEX(CODIFICACION!$E$2:$E$500,MATCH("D5.21b|"&amp;BX139,CODIFICACION!$F$2:$F$500,0))="sin dato","",INDEX(CODIFICACION!$E$2:$E$500,MATCH("D5.21b|"&amp;BX139,CODIFICACION!$F$2:$F$500,0))),"⚠"))</f>
        <v/>
      </c>
      <c r="AT139" t="str">
        <f>IF(BY139="","",IFERROR(IF(INDEX(CODIFICACION!$E$2:$E$500,MATCH("D6.22|"&amp;BY139,CODIFICACION!$F$2:$F$500,0))="sin dato","",INDEX(CODIFICACION!$E$2:$E$500,MATCH("D6.22|"&amp;BY139,CODIFICACION!$F$2:$F$500,0))),"⚠"))</f>
        <v/>
      </c>
      <c r="AU139" t="str">
        <f>IF(BZ139="","",IFERROR(IF(INDEX(CODIFICACION!$E$2:$E$500,MATCH("D6.22a|"&amp;BZ139,CODIFICACION!$F$2:$F$500,0))="sin dato","",INDEX(CODIFICACION!$E$2:$E$500,MATCH("D6.22a|"&amp;BZ139,CODIFICACION!$F$2:$F$500,0))),"⚠"))</f>
        <v/>
      </c>
      <c r="AV139" t="str">
        <f>IF(CA139="","",IFERROR(IF(INDEX(CODIFICACION!$E$2:$E$500,MATCH("D6.22b|"&amp;CA139,CODIFICACION!$F$2:$F$500,0))="sin dato","",INDEX(CODIFICACION!$E$2:$E$500,MATCH("D6.22b|"&amp;CA139,CODIFICACION!$F$2:$F$500,0))),"⚠"))</f>
        <v/>
      </c>
      <c r="AW139" t="str">
        <f>IF(CB139="","",IFERROR(IF(INDEX(CODIFICACION!$E$2:$E$500,MATCH("D6.23|"&amp;CB139,CODIFICACION!$F$2:$F$500,0))="sin dato","",INDEX(CODIFICACION!$E$2:$E$500,MATCH("D6.23|"&amp;CB139,CODIFICACION!$F$2:$F$500,0))),"⚠"))</f>
        <v/>
      </c>
      <c r="AX139" t="str">
        <f ca="1">IF(CC139="","",IFERROR(IF(INDEX(CODIFICACION!$E$2:$E$500,MATCH("D6.24|"&amp;CC139,CODIFICACION!$F$2:$F$500,0))="sin dato","",INDEX(CODIFICACION!$E$2:$E$500,MATCH("D6.24|"&amp;CC139,CODIFICACION!$F$2:$F$500,0))),"⚠"))</f>
        <v/>
      </c>
      <c r="AY139" t="str">
        <f ca="1">IF(CD139="","",IFERROR(IF(INDEX(CODIFICACION!$E$2:$E$500,MATCH("D6.25|"&amp;CD139,CODIFICACION!$F$2:$F$500,0))="sin dato","",INDEX(CODIFICACION!$E$2:$E$500,MATCH("D6.25|"&amp;CD139,CODIFICACION!$F$2:$F$500,0))),"⚠"))</f>
        <v/>
      </c>
      <c r="AZ139" t="str">
        <f>IF(CE139="","",IFERROR(IF(INDEX(CODIFICACION!$E$2:$E$500,MATCH("D6.25a|"&amp;CE139,CODIFICACION!$F$2:$F$500,0))="sin dato","",INDEX(CODIFICACION!$E$2:$E$500,MATCH("D6.25a|"&amp;CE139,CODIFICACION!$F$2:$F$500,0))),"⚠"))</f>
        <v/>
      </c>
      <c r="BA139" t="str">
        <f>IF(CF139="","",IFERROR(IF(INDEX(CODIFICACION!$E$2:$E$500,MATCH("D6.25b|"&amp;CF139,CODIFICACION!$F$2:$F$500,0))="sin dato","",INDEX(CODIFICACION!$E$2:$E$500,MATCH("D6.25b|"&amp;CF139,CODIFICACION!$F$2:$F$500,0))),"⚠"))</f>
        <v/>
      </c>
      <c r="BB139" t="str">
        <f ca="1">IF(CG139="","",IFERROR(IF(INDEX(CODIFICACION!$E$2:$E$500,MATCH("D6.22c|"&amp;CG139,CODIFICACION!$F$2:$F$500,0))="sin dato","",INDEX(CODIFICACION!$E$2:$E$500,MATCH("D6.22c|"&amp;CG139,CODIFICACION!$F$2:$F$500,0))),"⚠"))</f>
        <v/>
      </c>
      <c r="BC139" t="str">
        <f ca="1">IF(CH139="","",IFERROR(IF(INDEX(CODIFICACION!$E$2:$E$500,MATCH("D7.26|"&amp;CH139,CODIFICACION!$F$2:$F$500,0))="sin dato","",INDEX(CODIFICACION!$E$2:$E$500,MATCH("D7.26|"&amp;CH139,CODIFICACION!$F$2:$F$500,0))),"⚠"))</f>
        <v/>
      </c>
      <c r="BD139" t="str">
        <f>IF(CI139="","",IFERROR(IF(INDEX(CODIFICACION!$E$2:$E$500,MATCH("D7.27|"&amp;CI139,CODIFICACION!$F$2:$F$500,0))="sin dato","",INDEX(CODIFICACION!$E$2:$E$500,MATCH("D7.27|"&amp;CI139,CODIFICACION!$F$2:$F$500,0))),"⚠"))</f>
        <v/>
      </c>
      <c r="BE139" t="str">
        <f>IF(CJ139="","",IFERROR(IF(INDEX(CODIFICACION!$E$2:$E$500,MATCH("D7.28|"&amp;CJ139,CODIFICACION!$F$2:$F$500,0))="sin dato","",INDEX(CODIFICACION!$E$2:$E$500,MATCH("D7.28|"&amp;CJ139,CODIFICACION!$F$2:$F$500,0))),"⚠"))</f>
        <v/>
      </c>
      <c r="BF139" t="str">
        <f>IF(CK139="","",IFERROR(IF(INDEX(CODIFICACION!$E$2:$E$500,MATCH("D7.28b|"&amp;CK139,CODIFICACION!$F$2:$F$500,0))="sin dato","",INDEX(CODIFICACION!$E$2:$E$500,MATCH("D7.28b|"&amp;CK139,CODIFICACION!$F$2:$F$500,0))),"⚠"))</f>
        <v/>
      </c>
      <c r="BG139" t="str">
        <f t="shared" si="110"/>
        <v/>
      </c>
      <c r="BH139" t="str">
        <f>IF(CM139="","",IFERROR(IF(INDEX(CODIFICACION!$E$2:$E$500,MATCH("D7.26a|"&amp;CM139,CODIFICACION!$F$2:$F$500,0))="sin dato","",INDEX(CODIFICACION!$E$2:$E$500,MATCH("D7.26a|"&amp;CM139,CODIFICACION!$F$2:$F$500,0))),"⚠"))</f>
        <v/>
      </c>
      <c r="BI139" t="str">
        <f>IF(CN139="","",IFERROR(IF(INDEX(CODIFICACION!$E$2:$E$500,MATCH("D7.26b|"&amp;CN139,CODIFICACION!$F$2:$F$500,0))="sin dato","",INDEX(CODIFICACION!$E$2:$E$500,MATCH("D7.26b|"&amp;CN139,CODIFICACION!$F$2:$F$500,0))),"⚠"))</f>
        <v/>
      </c>
      <c r="BJ139" t="str">
        <f t="shared" si="111"/>
        <v/>
      </c>
      <c r="BK139" t="str">
        <f t="shared" si="112"/>
        <v/>
      </c>
      <c r="BL139" t="str">
        <f>IF(CQ139="","",IFERROR(IF(INDEX(CODIFICACION!$E$2:$E$500,MATCH("D8.31|"&amp;CQ139,CODIFICACION!$F$2:$F$500,0))="sin dato","",INDEX(CODIFICACION!$E$2:$E$500,MATCH("D8.31|"&amp;CQ139,CODIFICACION!$F$2:$F$500,0))),"⚠"))</f>
        <v/>
      </c>
      <c r="BM139" t="str">
        <f>IF(CR139="","",IFERROR(IF(INDEX(CODIFICACION!$E$2:$E$500,MATCH("D8.32|"&amp;CR139,CODIFICACION!$F$2:$F$500,0))="sin dato","",INDEX(CODIFICACION!$E$2:$E$500,MATCH("D8.32|"&amp;CR139,CODIFICACION!$F$2:$F$500,0))),"⚠"))</f>
        <v/>
      </c>
      <c r="BN139" t="str">
        <f>IF(CS139="","",IFERROR(IF(INDEX(CODIFICACION!$E$2:$E$500,MATCH("D9.33|"&amp;CS139,CODIFICACION!$F$2:$F$500,0))="sin dato","",INDEX(CODIFICACION!$E$2:$E$500,MATCH("D9.33|"&amp;CS139,CODIFICACION!$F$2:$F$500,0))),"⚠"))</f>
        <v/>
      </c>
      <c r="BO139" t="str">
        <f>IF(CT139="","",IFERROR(IF(INDEX(CODIFICACION!$E$2:$E$500,MATCH("D9.34|"&amp;CT139,CODIFICACION!$F$2:$F$500,0))="sin dato","",INDEX(CODIFICACION!$E$2:$E$500,MATCH("D9.34|"&amp;CT139,CODIFICACION!$F$2:$F$500,0))),"⚠"))</f>
        <v/>
      </c>
      <c r="BP139" t="str">
        <f>IF(CU139="","",IFERROR(IF(INDEX(CODIFICACION!$E$2:$E$500,MATCH("D9.35|"&amp;CU139,CODIFICACION!$F$2:$F$500,0))="sin dato","",INDEX(CODIFICACION!$E$2:$E$500,MATCH("D9.35|"&amp;CU139,CODIFICACION!$F$2:$F$500,0))),"⚠"))</f>
        <v/>
      </c>
      <c r="BQ139" t="str">
        <f>IF(CV139="","",IFERROR(IF(INDEX(CODIFICACION!$E$2:$E$500,MATCH("D10.36|"&amp;CV139,CODIFICACION!$F$2:$F$500,0))="sin dato","",INDEX(CODIFICACION!$E$2:$E$500,MATCH("D10.36|"&amp;CV139,CODIFICACION!$F$2:$F$500,0))),"⚠"))</f>
        <v/>
      </c>
      <c r="BR139" t="str">
        <f>IF(CW139="","",IFERROR(IF(INDEX(CODIFICACION!$E$2:$E$500,MATCH("D10.37|"&amp;CW139,CODIFICACION!$F$2:$F$500,0))="sin dato","",INDEX(CODIFICACION!$E$2:$E$500,MATCH("D10.37|"&amp;CW139,CODIFICACION!$F$2:$F$500,0))),"⚠"))</f>
        <v/>
      </c>
      <c r="BS139" t="str">
        <f>IF(CX139="","",IFERROR(IF(INDEX(CODIFICACION!$E$2:$E$500,MATCH("D10.36a|"&amp;CX139,CODIFICACION!$F$2:$F$500,0))="sin dato","",INDEX(CODIFICACION!$E$2:$E$500,MATCH("D10.36a|"&amp;CX139,CODIFICACION!$F$2:$F$500,0))),"⚠"))</f>
        <v/>
      </c>
      <c r="BT139" t="str">
        <f t="shared" si="113"/>
        <v/>
      </c>
      <c r="BU139" t="str">
        <f>IF(DA139="","",IFERROR(IF(INDEX(CODIFICACION!$E$2:$E$500,MATCH("D11.39a|"&amp;DA139,CODIFICACION!$F$2:$F$500,0))="sin dato","",INDEX(CODIFICACION!$E$2:$E$500,MATCH("D11.39a|"&amp;DA139,CODIFICACION!$F$2:$F$500,0))),"⚠"))</f>
        <v/>
      </c>
      <c r="BV139" t="str">
        <f>IF(DB139="","",IFERROR(IF(INDEX(CODIFICACION!$E$2:$E$500,MATCH("D12.42|"&amp;DB139,CODIFICACION!$F$2:$F$500,0))="sin dato","",INDEX(CODIFICACION!$E$2:$E$500,MATCH("D12.42|"&amp;DB139,CODIFICACION!$F$2:$F$500,0))),"⚠"))</f>
        <v/>
      </c>
      <c r="BW139" t="str">
        <f>IF(DC139="","",IFERROR(IF(INDEX(CODIFICACION!$E$2:$E$500,MATCH("D13.45|"&amp;DC139,CODIFICACION!$F$2:$F$500,0))="sin dato","",INDEX(CODIFICACION!$E$2:$E$500,MATCH("D13.45|"&amp;DC139,CODIFICACION!$F$2:$F$500,0))),"⚠"))</f>
        <v/>
      </c>
      <c r="BX139" t="str">
        <f>IF(DD139="","",IFERROR(IF(INDEX(CODIFICACION!$E$2:$E$500,MATCH("D14.51|"&amp;DD139,CODIFICACION!$F$2:$F$500,0))="sin dato","",INDEX(CODIFICACION!$E$2:$E$500,MATCH("D14.51|"&amp;DD139,CODIFICACION!$F$2:$F$500,0))),"⚠"))</f>
        <v/>
      </c>
      <c r="BY139" t="str">
        <f>IF(DE139="","",IFERROR(IF(INDEX(CODIFICACION!$E$2:$E$500,MATCH("D15.58|"&amp;DE139,CODIFICACION!$F$2:$F$500,0))="sin dato","",INDEX(CODIFICACION!$E$2:$E$500,MATCH("D15.58|"&amp;DE139,CODIFICACION!$F$2:$F$500,0))),"⚠"))</f>
        <v/>
      </c>
      <c r="BZ139" t="str">
        <f>IF(DF139="","",IFERROR(IF(INDEX(CODIFICACION!$E$2:$E$500,MATCH("PP1|"&amp;DF139,CODIFICACION!$F$2:$F$500,0))="sin dato","",INDEX(CODIFICACION!$E$2:$E$500,MATCH("PP1|"&amp;DF139,CODIFICACION!$F$2:$F$500,0))),"⚠"))</f>
        <v/>
      </c>
      <c r="CA139" t="str">
        <f>IF(DG139="","",IFERROR(IF(INDEX(CODIFICACION!$E$2:$E$500,MATCH("PP2|"&amp;DG139,CODIFICACION!$F$2:$F$500,0))="sin dato","",INDEX(CODIFICACION!$E$2:$E$500,MATCH("PP2|"&amp;DG139,CODIFICACION!$F$2:$F$500,0))),"⚠"))</f>
        <v/>
      </c>
      <c r="CB139" t="str">
        <f t="shared" si="114"/>
        <v/>
      </c>
      <c r="CC139" t="str">
        <f t="shared" ca="1" si="115"/>
        <v/>
      </c>
      <c r="CD139" t="str">
        <f t="shared" ca="1" si="116"/>
        <v/>
      </c>
      <c r="CE139" t="str">
        <f t="shared" si="117"/>
        <v/>
      </c>
      <c r="CF139" t="str">
        <f t="shared" si="118"/>
        <v/>
      </c>
      <c r="CG139" t="str">
        <f t="shared" ca="1" si="119"/>
        <v/>
      </c>
      <c r="CH139" t="str">
        <f t="shared" ca="1" si="120"/>
        <v/>
      </c>
      <c r="CI139" t="str">
        <f t="shared" si="121"/>
        <v/>
      </c>
      <c r="CJ139" t="str">
        <f t="shared" si="122"/>
        <v/>
      </c>
      <c r="CK139" t="str">
        <f t="shared" si="123"/>
        <v/>
      </c>
      <c r="CL139" t="str">
        <f t="shared" si="124"/>
        <v/>
      </c>
    </row>
    <row r="140" spans="1:90" x14ac:dyDescent="0.3">
      <c r="A140">
        <f>CAPTURA!A140</f>
        <v>20603557825</v>
      </c>
      <c r="B140">
        <f>CAPTURA!C140</f>
        <v>0</v>
      </c>
      <c r="C140" t="str">
        <f t="shared" si="100"/>
        <v/>
      </c>
      <c r="D140" t="str">
        <f>IF(AE140="","",IFERROR(IF(INDEX(CODIFICACION!$E$2:$E$500,MATCH("P8|"&amp;AE140,CODIFICACION!$F$2:$F$500,0))="sin dato","",INDEX(CODIFICACION!$E$2:$E$500,MATCH("P8|"&amp;AE140,CODIFICACION!$F$2:$F$500,0))),"⚠"))</f>
        <v/>
      </c>
      <c r="E140" t="str">
        <f>IF(AG140="","",IFERROR(IF(INDEX(CODIFICACION!$E$2:$E$500,MATCH("P10|"&amp;AG140,CODIFICACION!$F$2:$F$500,0))="sin dato","",INDEX(CODIFICACION!$E$2:$E$500,MATCH("P10|"&amp;AG140,CODIFICACION!$F$2:$F$500,0))),"⚠"))</f>
        <v/>
      </c>
      <c r="F140" t="str">
        <f>IF(AJ140="","",IFERROR(IF(INDEX(CODIFICACION!$E$2:$E$500,MATCH("P13|"&amp;AJ140,CODIFICACION!$F$2:$F$500,0))="sin dato","",INDEX(CODIFICACION!$E$2:$E$500,MATCH("P13|"&amp;AJ140,CODIFICACION!$F$2:$F$500,0))),"⚠"))</f>
        <v/>
      </c>
      <c r="G140" t="str">
        <f>IF(AK140="","",IFERROR(IF(INDEX(CODIFICACION!$E$2:$E$500,MATCH("P14|"&amp;AK140,CODIFICACION!$F$2:$F$500,0))="sin dato","",INDEX(CODIFICACION!$E$2:$E$500,MATCH("P14|"&amp;AK140,CODIFICACION!$F$2:$F$500,0))),"⚠"))</f>
        <v/>
      </c>
      <c r="H140" t="str">
        <f>IF(AL140="","",IFERROR(IF(INDEX(CODIFICACION!$E$2:$E$500,MATCH("D1.1|"&amp;AL140,CODIFICACION!$F$2:$F$500,0))="sin dato","",INDEX(CODIFICACION!$E$2:$E$500,MATCH("D1.1|"&amp;AL140,CODIFICACION!$F$2:$F$500,0))),"⚠"))</f>
        <v/>
      </c>
      <c r="I140" t="str">
        <f>IF(AN140="","",IFERROR(IF(INDEX(CODIFICACION!$E$2:$E$500,MATCH("D1.3|"&amp;AN140,CODIFICACION!$F$2:$F$500,0))="sin dato","",INDEX(CODIFICACION!$E$2:$E$500,MATCH("D1.3|"&amp;AN140,CODIFICACION!$F$2:$F$500,0))),"⚠"))</f>
        <v/>
      </c>
      <c r="J140" t="str">
        <f>IF(AO140="","",IFERROR(IF(INDEX(CODIFICACION!$E$2:$E$500,MATCH("D1.4|"&amp;AO140,CODIFICACION!$F$2:$F$500,0))="sin dato","",INDEX(CODIFICACION!$E$2:$E$500,MATCH("D1.4|"&amp;AO140,CODIFICACION!$F$2:$F$500,0))),"⚠"))</f>
        <v/>
      </c>
      <c r="K140" t="str">
        <f>IF(AP140="","",IFERROR(IF(INDEX(CODIFICACION!$E$2:$E$500,MATCH("D1.3a|"&amp;AP140,CODIFICACION!$F$2:$F$500,0))="sin dato","",INDEX(CODIFICACION!$E$2:$E$500,MATCH("D1.3a|"&amp;AP140,CODIFICACION!$F$2:$F$500,0))),"⚠"))</f>
        <v/>
      </c>
      <c r="L140" t="str">
        <f t="shared" si="101"/>
        <v/>
      </c>
      <c r="M140" t="str">
        <f t="shared" si="102"/>
        <v/>
      </c>
      <c r="N140" t="str">
        <f t="shared" si="103"/>
        <v/>
      </c>
      <c r="O140" t="str">
        <f>IF(AT140="","",IFERROR(IF(INDEX(CODIFICACION!$E$2:$E$500,MATCH("D2.8|"&amp;AT140,CODIFICACION!$F$2:$F$500,0))="sin dato","",INDEX(CODIFICACION!$E$2:$E$500,MATCH("D2.8|"&amp;AT140,CODIFICACION!$F$2:$F$500,0))),"⚠"))</f>
        <v/>
      </c>
      <c r="P140" t="str">
        <f>IF(AU140="","",IFERROR(IF(INDEX(CODIFICACION!$E$2:$E$500,MATCH("D2.9|"&amp;AU140,CODIFICACION!$F$2:$F$500,0))="sin dato","",INDEX(CODIFICACION!$E$2:$E$500,MATCH("D2.9|"&amp;AU140,CODIFICACION!$F$2:$F$500,0))),"⚠"))</f>
        <v/>
      </c>
      <c r="Q140" t="str">
        <f>IF(AV140="","",IFERROR(IF(INDEX(CODIFICACION!$E$2:$E$500,MATCH("D2.10|"&amp;AV140,CODIFICACION!$F$2:$F$500,0))="sin dato","",INDEX(CODIFICACION!$E$2:$E$500,MATCH("D2.10|"&amp;AV140,CODIFICACION!$F$2:$F$500,0))),"⚠"))</f>
        <v/>
      </c>
      <c r="R140" t="str">
        <f>IF(AW140="","",IFERROR(IF(INDEX(CODIFICACION!$E$2:$E$500,MATCH("D2.5a|"&amp;AW140,CODIFICACION!$F$2:$F$500,0))="sin dato","",INDEX(CODIFICACION!$E$2:$E$500,MATCH("D2.5a|"&amp;AW140,CODIFICACION!$F$2:$F$500,0))),"⚠"))</f>
        <v/>
      </c>
      <c r="S140" t="str">
        <f ca="1">IF(AX140="","",IFERROR(IF(INDEX(CODIFICACION!$E$2:$E$500,MATCH("D2.5b|"&amp;AX140,CODIFICACION!$F$2:$F$500,0))="sin dato","",INDEX(CODIFICACION!$E$2:$E$500,MATCH("D2.5b|"&amp;AX140,CODIFICACION!$F$2:$F$500,0))),"⚠"))</f>
        <v/>
      </c>
      <c r="T140" t="str">
        <f t="shared" ca="1" si="104"/>
        <v/>
      </c>
      <c r="U140" t="str">
        <f>IF(AZ140="","",IFERROR(IF(INDEX(CODIFICACION!$E$2:$E$500,MATCH("D3.12|"&amp;AZ140,CODIFICACION!$F$2:$F$500,0))="sin dato","",INDEX(CODIFICACION!$E$2:$E$500,MATCH("D3.12|"&amp;AZ140,CODIFICACION!$F$2:$F$500,0))),"⚠"))</f>
        <v/>
      </c>
      <c r="V140" t="str">
        <f t="shared" si="105"/>
        <v/>
      </c>
      <c r="W140" t="str">
        <f ca="1">IF(BB140="","",IFERROR(IF(INDEX(CODIFICACION!$E$2:$E$500,MATCH("D3.14|"&amp;BB140,CODIFICACION!$F$2:$F$500,0))="sin dato","",INDEX(CODIFICACION!$E$2:$E$500,MATCH("D3.14|"&amp;BB140,CODIFICACION!$F$2:$F$500,0))),"⚠"))</f>
        <v/>
      </c>
      <c r="X140" t="str">
        <f ca="1">IF(BC140="","",IFERROR(IF(INDEX(CODIFICACION!$E$2:$E$500,MATCH("D3.14a|"&amp;BC140,CODIFICACION!$F$2:$F$500,0))="sin dato","",INDEX(CODIFICACION!$E$2:$E$500,MATCH("D3.14a|"&amp;BC140,CODIFICACION!$F$2:$F$500,0))),"⚠"))</f>
        <v/>
      </c>
      <c r="Y140" t="str">
        <f>IF(BD140="","",IFERROR(IF(INDEX(CODIFICACION!$E$2:$E$500,MATCH("D3.14b|"&amp;BD140,CODIFICACION!$F$2:$F$500,0))="sin dato","",INDEX(CODIFICACION!$E$2:$E$500,MATCH("D3.14b|"&amp;BD140,CODIFICACION!$F$2:$F$500,0))),"⚠"))</f>
        <v/>
      </c>
      <c r="Z140" t="str">
        <f>IF(BE140="","",IFERROR(IF(INDEX(CODIFICACION!$E$2:$E$500,MATCH("D3.14c|"&amp;BE140,CODIFICACION!$F$2:$F$500,0))="sin dato","",INDEX(CODIFICACION!$E$2:$E$500,MATCH("D3.14c|"&amp;BE140,CODIFICACION!$F$2:$F$500,0))),"⚠"))</f>
        <v/>
      </c>
      <c r="AA140" t="str">
        <f>IF(BF140="","",IFERROR(IF(INDEX(CODIFICACION!$E$2:$E$500,MATCH("D3.14d|"&amp;BF140,CODIFICACION!$F$2:$F$500,0))="sin dato","",INDEX(CODIFICACION!$E$2:$E$500,MATCH("D3.14d|"&amp;BF140,CODIFICACION!$F$2:$F$500,0))),"⚠"))</f>
        <v/>
      </c>
      <c r="AB140" t="str">
        <f>IF(BG140="","",IFERROR(IF(INDEX(CODIFICACION!$E$2:$E$500,MATCH("D3.14e|"&amp;BG140,CODIFICACION!$F$2:$F$500,0))="sin dato","",INDEX(CODIFICACION!$E$2:$E$500,MATCH("D3.14e|"&amp;BG140,CODIFICACION!$F$2:$F$500,0))),"⚠"))</f>
        <v/>
      </c>
      <c r="AC140" t="str">
        <f>IF(BH140="","",IFERROR(IF(INDEX(CODIFICACION!$E$2:$E$500,MATCH("D3.14f|"&amp;BH140,CODIFICACION!$F$2:$F$500,0))="sin dato","",INDEX(CODIFICACION!$E$2:$E$500,MATCH("D3.14f|"&amp;BH140,CODIFICACION!$F$2:$F$500,0))),"⚠"))</f>
        <v/>
      </c>
      <c r="AD140" t="str">
        <f>IF(BI140="","",IFERROR(IF(INDEX(CODIFICACION!$E$2:$E$500,MATCH("D3.14g|"&amp;BI140,CODIFICACION!$F$2:$F$500,0))="sin dato","",INDEX(CODIFICACION!$E$2:$E$500,MATCH("D3.14g|"&amp;BI140,CODIFICACION!$F$2:$F$500,0))),"⚠"))</f>
        <v/>
      </c>
      <c r="AE140" t="str">
        <f>IF(BJ140="","",IFERROR(IF(INDEX(CODIFICACION!$E$2:$E$500,MATCH("D3.14h|"&amp;BJ140,CODIFICACION!$F$2:$F$500,0))="sin dato","",INDEX(CODIFICACION!$E$2:$E$500,MATCH("D3.14h|"&amp;BJ140,CODIFICACION!$F$2:$F$500,0))),"⚠"))</f>
        <v/>
      </c>
      <c r="AF140" t="str">
        <f>IF(BK140="","",IFERROR(IF(INDEX(CODIFICACION!$E$2:$E$500,MATCH("D3.14i|"&amp;BK140,CODIFICACION!$F$2:$F$500,0))="sin dato","",INDEX(CODIFICACION!$E$2:$E$500,MATCH("D3.14i|"&amp;BK140,CODIFICACION!$F$2:$F$500,0))),"⚠"))</f>
        <v/>
      </c>
      <c r="AG140" t="str">
        <f>IF(BL140="","",IFERROR(IF(INDEX(CODIFICACION!$E$2:$E$500,MATCH("D4.15|"&amp;BL140,CODIFICACION!$F$2:$F$500,0))="sin dato","",INDEX(CODIFICACION!$E$2:$E$500,MATCH("D4.15|"&amp;BL140,CODIFICACION!$F$2:$F$500,0))),"⚠"))</f>
        <v/>
      </c>
      <c r="AH140" t="str">
        <f t="shared" si="106"/>
        <v/>
      </c>
      <c r="AI140" t="str">
        <f>IF(BN140="","",IFERROR(IF(INDEX(CODIFICACION!$E$2:$E$500,MATCH("D4.17|"&amp;BN140,CODIFICACION!$F$2:$F$500,0))="sin dato","",INDEX(CODIFICACION!$E$2:$E$500,MATCH("D4.17|"&amp;BN140,CODIFICACION!$F$2:$F$500,0))),"⚠"))</f>
        <v/>
      </c>
      <c r="AJ140" t="str">
        <f>IF(BO140="","",IFERROR(IF(INDEX(CODIFICACION!$E$2:$E$500,MATCH("D4.15a|"&amp;BO140,CODIFICACION!$F$2:$F$500,0))="sin dato","",INDEX(CODIFICACION!$E$2:$E$500,MATCH("D4.15a|"&amp;BO140,CODIFICACION!$F$2:$F$500,0))),"⚠"))</f>
        <v/>
      </c>
      <c r="AK140" t="str">
        <f t="shared" si="107"/>
        <v/>
      </c>
      <c r="AL140" t="str">
        <f t="shared" si="108"/>
        <v/>
      </c>
      <c r="AM140" t="str">
        <f>IF(BR140="","",IFERROR(IF(INDEX(CODIFICACION!$E$2:$E$500,MATCH("D5.18b|"&amp;BR140,CODIFICACION!$F$2:$F$500,0))="sin dato","",INDEX(CODIFICACION!$E$2:$E$500,MATCH("D5.18b|"&amp;BR140,CODIFICACION!$F$2:$F$500,0))),"⚠"))</f>
        <v/>
      </c>
      <c r="AN140" t="str">
        <f>IF(BS140="","",IFERROR(IF(INDEX(CODIFICACION!$E$2:$E$500,MATCH("D5.19|"&amp;BS140,CODIFICACION!$F$2:$F$500,0))="sin dato","",INDEX(CODIFICACION!$E$2:$E$500,MATCH("D5.19|"&amp;BS140,CODIFICACION!$F$2:$F$500,0))),"⚠"))</f>
        <v/>
      </c>
      <c r="AO140" t="str">
        <f t="shared" si="109"/>
        <v/>
      </c>
      <c r="AP140" t="str">
        <f>IF(BU140="","",IFERROR(IF(INDEX(CODIFICACION!$E$2:$E$500,MATCH("D5.20|"&amp;BU140,CODIFICACION!$F$2:$F$500,0))="sin dato","",INDEX(CODIFICACION!$E$2:$E$500,MATCH("D5.20|"&amp;BU140,CODIFICACION!$F$2:$F$500,0))),"⚠"))</f>
        <v/>
      </c>
      <c r="AQ140" t="str">
        <f>IF(BV140="","",IFERROR(IF(INDEX(CODIFICACION!$E$2:$E$500,MATCH("D5.21|"&amp;BV140,CODIFICACION!$F$2:$F$500,0))="sin dato","",INDEX(CODIFICACION!$E$2:$E$500,MATCH("D5.21|"&amp;BV140,CODIFICACION!$F$2:$F$500,0))),"⚠"))</f>
        <v/>
      </c>
      <c r="AR140" t="str">
        <f>IF(BW140="","",IFERROR(IF(INDEX(CODIFICACION!$E$2:$E$500,MATCH("D5.21a|"&amp;BW140,CODIFICACION!$F$2:$F$500,0))="sin dato","",INDEX(CODIFICACION!$E$2:$E$500,MATCH("D5.21a|"&amp;BW140,CODIFICACION!$F$2:$F$500,0))),"⚠"))</f>
        <v/>
      </c>
      <c r="AS140" t="str">
        <f>IF(BX140="","",IFERROR(IF(INDEX(CODIFICACION!$E$2:$E$500,MATCH("D5.21b|"&amp;BX140,CODIFICACION!$F$2:$F$500,0))="sin dato","",INDEX(CODIFICACION!$E$2:$E$500,MATCH("D5.21b|"&amp;BX140,CODIFICACION!$F$2:$F$500,0))),"⚠"))</f>
        <v/>
      </c>
      <c r="AT140" t="str">
        <f>IF(BY140="","",IFERROR(IF(INDEX(CODIFICACION!$E$2:$E$500,MATCH("D6.22|"&amp;BY140,CODIFICACION!$F$2:$F$500,0))="sin dato","",INDEX(CODIFICACION!$E$2:$E$500,MATCH("D6.22|"&amp;BY140,CODIFICACION!$F$2:$F$500,0))),"⚠"))</f>
        <v/>
      </c>
      <c r="AU140" t="str">
        <f>IF(BZ140="","",IFERROR(IF(INDEX(CODIFICACION!$E$2:$E$500,MATCH("D6.22a|"&amp;BZ140,CODIFICACION!$F$2:$F$500,0))="sin dato","",INDEX(CODIFICACION!$E$2:$E$500,MATCH("D6.22a|"&amp;BZ140,CODIFICACION!$F$2:$F$500,0))),"⚠"))</f>
        <v/>
      </c>
      <c r="AV140" t="str">
        <f>IF(CA140="","",IFERROR(IF(INDEX(CODIFICACION!$E$2:$E$500,MATCH("D6.22b|"&amp;CA140,CODIFICACION!$F$2:$F$500,0))="sin dato","",INDEX(CODIFICACION!$E$2:$E$500,MATCH("D6.22b|"&amp;CA140,CODIFICACION!$F$2:$F$500,0))),"⚠"))</f>
        <v/>
      </c>
      <c r="AW140" t="str">
        <f>IF(CB140="","",IFERROR(IF(INDEX(CODIFICACION!$E$2:$E$500,MATCH("D6.23|"&amp;CB140,CODIFICACION!$F$2:$F$500,0))="sin dato","",INDEX(CODIFICACION!$E$2:$E$500,MATCH("D6.23|"&amp;CB140,CODIFICACION!$F$2:$F$500,0))),"⚠"))</f>
        <v/>
      </c>
      <c r="AX140" t="str">
        <f ca="1">IF(CC140="","",IFERROR(IF(INDEX(CODIFICACION!$E$2:$E$500,MATCH("D6.24|"&amp;CC140,CODIFICACION!$F$2:$F$500,0))="sin dato","",INDEX(CODIFICACION!$E$2:$E$500,MATCH("D6.24|"&amp;CC140,CODIFICACION!$F$2:$F$500,0))),"⚠"))</f>
        <v/>
      </c>
      <c r="AY140" t="str">
        <f ca="1">IF(CD140="","",IFERROR(IF(INDEX(CODIFICACION!$E$2:$E$500,MATCH("D6.25|"&amp;CD140,CODIFICACION!$F$2:$F$500,0))="sin dato","",INDEX(CODIFICACION!$E$2:$E$500,MATCH("D6.25|"&amp;CD140,CODIFICACION!$F$2:$F$500,0))),"⚠"))</f>
        <v/>
      </c>
      <c r="AZ140" t="str">
        <f>IF(CE140="","",IFERROR(IF(INDEX(CODIFICACION!$E$2:$E$500,MATCH("D6.25a|"&amp;CE140,CODIFICACION!$F$2:$F$500,0))="sin dato","",INDEX(CODIFICACION!$E$2:$E$500,MATCH("D6.25a|"&amp;CE140,CODIFICACION!$F$2:$F$500,0))),"⚠"))</f>
        <v/>
      </c>
      <c r="BA140" t="str">
        <f>IF(CF140="","",IFERROR(IF(INDEX(CODIFICACION!$E$2:$E$500,MATCH("D6.25b|"&amp;CF140,CODIFICACION!$F$2:$F$500,0))="sin dato","",INDEX(CODIFICACION!$E$2:$E$500,MATCH("D6.25b|"&amp;CF140,CODIFICACION!$F$2:$F$500,0))),"⚠"))</f>
        <v/>
      </c>
      <c r="BB140" t="str">
        <f ca="1">IF(CG140="","",IFERROR(IF(INDEX(CODIFICACION!$E$2:$E$500,MATCH("D6.22c|"&amp;CG140,CODIFICACION!$F$2:$F$500,0))="sin dato","",INDEX(CODIFICACION!$E$2:$E$500,MATCH("D6.22c|"&amp;CG140,CODIFICACION!$F$2:$F$500,0))),"⚠"))</f>
        <v/>
      </c>
      <c r="BC140" t="str">
        <f ca="1">IF(CH140="","",IFERROR(IF(INDEX(CODIFICACION!$E$2:$E$500,MATCH("D7.26|"&amp;CH140,CODIFICACION!$F$2:$F$500,0))="sin dato","",INDEX(CODIFICACION!$E$2:$E$500,MATCH("D7.26|"&amp;CH140,CODIFICACION!$F$2:$F$500,0))),"⚠"))</f>
        <v/>
      </c>
      <c r="BD140" t="str">
        <f>IF(CI140="","",IFERROR(IF(INDEX(CODIFICACION!$E$2:$E$500,MATCH("D7.27|"&amp;CI140,CODIFICACION!$F$2:$F$500,0))="sin dato","",INDEX(CODIFICACION!$E$2:$E$500,MATCH("D7.27|"&amp;CI140,CODIFICACION!$F$2:$F$500,0))),"⚠"))</f>
        <v/>
      </c>
      <c r="BE140" t="str">
        <f>IF(CJ140="","",IFERROR(IF(INDEX(CODIFICACION!$E$2:$E$500,MATCH("D7.28|"&amp;CJ140,CODIFICACION!$F$2:$F$500,0))="sin dato","",INDEX(CODIFICACION!$E$2:$E$500,MATCH("D7.28|"&amp;CJ140,CODIFICACION!$F$2:$F$500,0))),"⚠"))</f>
        <v/>
      </c>
      <c r="BF140" t="str">
        <f>IF(CK140="","",IFERROR(IF(INDEX(CODIFICACION!$E$2:$E$500,MATCH("D7.28b|"&amp;CK140,CODIFICACION!$F$2:$F$500,0))="sin dato","",INDEX(CODIFICACION!$E$2:$E$500,MATCH("D7.28b|"&amp;CK140,CODIFICACION!$F$2:$F$500,0))),"⚠"))</f>
        <v/>
      </c>
      <c r="BG140" t="str">
        <f t="shared" si="110"/>
        <v/>
      </c>
      <c r="BH140" t="str">
        <f>IF(CM140="","",IFERROR(IF(INDEX(CODIFICACION!$E$2:$E$500,MATCH("D7.26a|"&amp;CM140,CODIFICACION!$F$2:$F$500,0))="sin dato","",INDEX(CODIFICACION!$E$2:$E$500,MATCH("D7.26a|"&amp;CM140,CODIFICACION!$F$2:$F$500,0))),"⚠"))</f>
        <v/>
      </c>
      <c r="BI140" t="str">
        <f>IF(CN140="","",IFERROR(IF(INDEX(CODIFICACION!$E$2:$E$500,MATCH("D7.26b|"&amp;CN140,CODIFICACION!$F$2:$F$500,0))="sin dato","",INDEX(CODIFICACION!$E$2:$E$500,MATCH("D7.26b|"&amp;CN140,CODIFICACION!$F$2:$F$500,0))),"⚠"))</f>
        <v/>
      </c>
      <c r="BJ140" t="str">
        <f t="shared" si="111"/>
        <v/>
      </c>
      <c r="BK140" t="str">
        <f t="shared" si="112"/>
        <v/>
      </c>
      <c r="BL140" t="str">
        <f>IF(CQ140="","",IFERROR(IF(INDEX(CODIFICACION!$E$2:$E$500,MATCH("D8.31|"&amp;CQ140,CODIFICACION!$F$2:$F$500,0))="sin dato","",INDEX(CODIFICACION!$E$2:$E$500,MATCH("D8.31|"&amp;CQ140,CODIFICACION!$F$2:$F$500,0))),"⚠"))</f>
        <v/>
      </c>
      <c r="BM140" t="str">
        <f>IF(CR140="","",IFERROR(IF(INDEX(CODIFICACION!$E$2:$E$500,MATCH("D8.32|"&amp;CR140,CODIFICACION!$F$2:$F$500,0))="sin dato","",INDEX(CODIFICACION!$E$2:$E$500,MATCH("D8.32|"&amp;CR140,CODIFICACION!$F$2:$F$500,0))),"⚠"))</f>
        <v/>
      </c>
      <c r="BN140" t="str">
        <f>IF(CS140="","",IFERROR(IF(INDEX(CODIFICACION!$E$2:$E$500,MATCH("D9.33|"&amp;CS140,CODIFICACION!$F$2:$F$500,0))="sin dato","",INDEX(CODIFICACION!$E$2:$E$500,MATCH("D9.33|"&amp;CS140,CODIFICACION!$F$2:$F$500,0))),"⚠"))</f>
        <v/>
      </c>
      <c r="BO140" t="str">
        <f>IF(CT140="","",IFERROR(IF(INDEX(CODIFICACION!$E$2:$E$500,MATCH("D9.34|"&amp;CT140,CODIFICACION!$F$2:$F$500,0))="sin dato","",INDEX(CODIFICACION!$E$2:$E$500,MATCH("D9.34|"&amp;CT140,CODIFICACION!$F$2:$F$500,0))),"⚠"))</f>
        <v/>
      </c>
      <c r="BP140" t="str">
        <f>IF(CU140="","",IFERROR(IF(INDEX(CODIFICACION!$E$2:$E$500,MATCH("D9.35|"&amp;CU140,CODIFICACION!$F$2:$F$500,0))="sin dato","",INDEX(CODIFICACION!$E$2:$E$500,MATCH("D9.35|"&amp;CU140,CODIFICACION!$F$2:$F$500,0))),"⚠"))</f>
        <v/>
      </c>
      <c r="BQ140" t="str">
        <f>IF(CV140="","",IFERROR(IF(INDEX(CODIFICACION!$E$2:$E$500,MATCH("D10.36|"&amp;CV140,CODIFICACION!$F$2:$F$500,0))="sin dato","",INDEX(CODIFICACION!$E$2:$E$500,MATCH("D10.36|"&amp;CV140,CODIFICACION!$F$2:$F$500,0))),"⚠"))</f>
        <v/>
      </c>
      <c r="BR140" t="str">
        <f>IF(CW140="","",IFERROR(IF(INDEX(CODIFICACION!$E$2:$E$500,MATCH("D10.37|"&amp;CW140,CODIFICACION!$F$2:$F$500,0))="sin dato","",INDEX(CODIFICACION!$E$2:$E$500,MATCH("D10.37|"&amp;CW140,CODIFICACION!$F$2:$F$500,0))),"⚠"))</f>
        <v/>
      </c>
      <c r="BS140" t="str">
        <f>IF(CX140="","",IFERROR(IF(INDEX(CODIFICACION!$E$2:$E$500,MATCH("D10.36a|"&amp;CX140,CODIFICACION!$F$2:$F$500,0))="sin dato","",INDEX(CODIFICACION!$E$2:$E$500,MATCH("D10.36a|"&amp;CX140,CODIFICACION!$F$2:$F$500,0))),"⚠"))</f>
        <v/>
      </c>
      <c r="BT140" t="str">
        <f t="shared" si="113"/>
        <v/>
      </c>
      <c r="BU140" t="str">
        <f>IF(DA140="","",IFERROR(IF(INDEX(CODIFICACION!$E$2:$E$500,MATCH("D11.39a|"&amp;DA140,CODIFICACION!$F$2:$F$500,0))="sin dato","",INDEX(CODIFICACION!$E$2:$E$500,MATCH("D11.39a|"&amp;DA140,CODIFICACION!$F$2:$F$500,0))),"⚠"))</f>
        <v/>
      </c>
      <c r="BV140" t="str">
        <f>IF(DB140="","",IFERROR(IF(INDEX(CODIFICACION!$E$2:$E$500,MATCH("D12.42|"&amp;DB140,CODIFICACION!$F$2:$F$500,0))="sin dato","",INDEX(CODIFICACION!$E$2:$E$500,MATCH("D12.42|"&amp;DB140,CODIFICACION!$F$2:$F$500,0))),"⚠"))</f>
        <v/>
      </c>
      <c r="BW140" t="str">
        <f>IF(DC140="","",IFERROR(IF(INDEX(CODIFICACION!$E$2:$E$500,MATCH("D13.45|"&amp;DC140,CODIFICACION!$F$2:$F$500,0))="sin dato","",INDEX(CODIFICACION!$E$2:$E$500,MATCH("D13.45|"&amp;DC140,CODIFICACION!$F$2:$F$500,0))),"⚠"))</f>
        <v/>
      </c>
      <c r="BX140" t="str">
        <f>IF(DD140="","",IFERROR(IF(INDEX(CODIFICACION!$E$2:$E$500,MATCH("D14.51|"&amp;DD140,CODIFICACION!$F$2:$F$500,0))="sin dato","",INDEX(CODIFICACION!$E$2:$E$500,MATCH("D14.51|"&amp;DD140,CODIFICACION!$F$2:$F$500,0))),"⚠"))</f>
        <v/>
      </c>
      <c r="BY140" t="str">
        <f>IF(DE140="","",IFERROR(IF(INDEX(CODIFICACION!$E$2:$E$500,MATCH("D15.58|"&amp;DE140,CODIFICACION!$F$2:$F$500,0))="sin dato","",INDEX(CODIFICACION!$E$2:$E$500,MATCH("D15.58|"&amp;DE140,CODIFICACION!$F$2:$F$500,0))),"⚠"))</f>
        <v/>
      </c>
      <c r="BZ140" t="str">
        <f>IF(DF140="","",IFERROR(IF(INDEX(CODIFICACION!$E$2:$E$500,MATCH("PP1|"&amp;DF140,CODIFICACION!$F$2:$F$500,0))="sin dato","",INDEX(CODIFICACION!$E$2:$E$500,MATCH("PP1|"&amp;DF140,CODIFICACION!$F$2:$F$500,0))),"⚠"))</f>
        <v/>
      </c>
      <c r="CA140" t="str">
        <f>IF(DG140="","",IFERROR(IF(INDEX(CODIFICACION!$E$2:$E$500,MATCH("PP2|"&amp;DG140,CODIFICACION!$F$2:$F$500,0))="sin dato","",INDEX(CODIFICACION!$E$2:$E$500,MATCH("PP2|"&amp;DG140,CODIFICACION!$F$2:$F$500,0))),"⚠"))</f>
        <v/>
      </c>
      <c r="CB140" t="str">
        <f t="shared" si="114"/>
        <v/>
      </c>
      <c r="CC140" t="str">
        <f t="shared" ca="1" si="115"/>
        <v/>
      </c>
      <c r="CD140" t="str">
        <f t="shared" ca="1" si="116"/>
        <v/>
      </c>
      <c r="CE140" t="str">
        <f t="shared" si="117"/>
        <v/>
      </c>
      <c r="CF140" t="str">
        <f t="shared" si="118"/>
        <v/>
      </c>
      <c r="CG140" t="str">
        <f t="shared" ca="1" si="119"/>
        <v/>
      </c>
      <c r="CH140" t="str">
        <f t="shared" ca="1" si="120"/>
        <v/>
      </c>
      <c r="CI140" t="str">
        <f t="shared" si="121"/>
        <v/>
      </c>
      <c r="CJ140" t="str">
        <f t="shared" si="122"/>
        <v/>
      </c>
      <c r="CK140" t="str">
        <f t="shared" si="123"/>
        <v/>
      </c>
      <c r="CL140" t="str">
        <f t="shared" si="124"/>
        <v/>
      </c>
    </row>
    <row r="141" spans="1:90" x14ac:dyDescent="0.3">
      <c r="A141">
        <f>CAPTURA!A141</f>
        <v>20603675551</v>
      </c>
      <c r="B141">
        <f>CAPTURA!C141</f>
        <v>0</v>
      </c>
      <c r="C141" t="str">
        <f t="shared" si="100"/>
        <v/>
      </c>
      <c r="D141" t="str">
        <f>IF(AE141="","",IFERROR(IF(INDEX(CODIFICACION!$E$2:$E$500,MATCH("P8|"&amp;AE141,CODIFICACION!$F$2:$F$500,0))="sin dato","",INDEX(CODIFICACION!$E$2:$E$500,MATCH("P8|"&amp;AE141,CODIFICACION!$F$2:$F$500,0))),"⚠"))</f>
        <v/>
      </c>
      <c r="E141" t="str">
        <f>IF(AG141="","",IFERROR(IF(INDEX(CODIFICACION!$E$2:$E$500,MATCH("P10|"&amp;AG141,CODIFICACION!$F$2:$F$500,0))="sin dato","",INDEX(CODIFICACION!$E$2:$E$500,MATCH("P10|"&amp;AG141,CODIFICACION!$F$2:$F$500,0))),"⚠"))</f>
        <v/>
      </c>
      <c r="F141" t="str">
        <f>IF(AJ141="","",IFERROR(IF(INDEX(CODIFICACION!$E$2:$E$500,MATCH("P13|"&amp;AJ141,CODIFICACION!$F$2:$F$500,0))="sin dato","",INDEX(CODIFICACION!$E$2:$E$500,MATCH("P13|"&amp;AJ141,CODIFICACION!$F$2:$F$500,0))),"⚠"))</f>
        <v/>
      </c>
      <c r="G141" t="str">
        <f>IF(AK141="","",IFERROR(IF(INDEX(CODIFICACION!$E$2:$E$500,MATCH("P14|"&amp;AK141,CODIFICACION!$F$2:$F$500,0))="sin dato","",INDEX(CODIFICACION!$E$2:$E$500,MATCH("P14|"&amp;AK141,CODIFICACION!$F$2:$F$500,0))),"⚠"))</f>
        <v/>
      </c>
      <c r="H141" t="str">
        <f>IF(AL141="","",IFERROR(IF(INDEX(CODIFICACION!$E$2:$E$500,MATCH("D1.1|"&amp;AL141,CODIFICACION!$F$2:$F$500,0))="sin dato","",INDEX(CODIFICACION!$E$2:$E$500,MATCH("D1.1|"&amp;AL141,CODIFICACION!$F$2:$F$500,0))),"⚠"))</f>
        <v/>
      </c>
      <c r="I141" t="str">
        <f>IF(AN141="","",IFERROR(IF(INDEX(CODIFICACION!$E$2:$E$500,MATCH("D1.3|"&amp;AN141,CODIFICACION!$F$2:$F$500,0))="sin dato","",INDEX(CODIFICACION!$E$2:$E$500,MATCH("D1.3|"&amp;AN141,CODIFICACION!$F$2:$F$500,0))),"⚠"))</f>
        <v/>
      </c>
      <c r="J141" t="str">
        <f>IF(AO141="","",IFERROR(IF(INDEX(CODIFICACION!$E$2:$E$500,MATCH("D1.4|"&amp;AO141,CODIFICACION!$F$2:$F$500,0))="sin dato","",INDEX(CODIFICACION!$E$2:$E$500,MATCH("D1.4|"&amp;AO141,CODIFICACION!$F$2:$F$500,0))),"⚠"))</f>
        <v/>
      </c>
      <c r="K141" t="str">
        <f>IF(AP141="","",IFERROR(IF(INDEX(CODIFICACION!$E$2:$E$500,MATCH("D1.3a|"&amp;AP141,CODIFICACION!$F$2:$F$500,0))="sin dato","",INDEX(CODIFICACION!$E$2:$E$500,MATCH("D1.3a|"&amp;AP141,CODIFICACION!$F$2:$F$500,0))),"⚠"))</f>
        <v/>
      </c>
      <c r="L141" t="str">
        <f t="shared" si="101"/>
        <v/>
      </c>
      <c r="M141" t="str">
        <f t="shared" si="102"/>
        <v/>
      </c>
      <c r="N141" t="str">
        <f t="shared" si="103"/>
        <v/>
      </c>
      <c r="O141" t="str">
        <f>IF(AT141="","",IFERROR(IF(INDEX(CODIFICACION!$E$2:$E$500,MATCH("D2.8|"&amp;AT141,CODIFICACION!$F$2:$F$500,0))="sin dato","",INDEX(CODIFICACION!$E$2:$E$500,MATCH("D2.8|"&amp;AT141,CODIFICACION!$F$2:$F$500,0))),"⚠"))</f>
        <v/>
      </c>
      <c r="P141" t="str">
        <f>IF(AU141="","",IFERROR(IF(INDEX(CODIFICACION!$E$2:$E$500,MATCH("D2.9|"&amp;AU141,CODIFICACION!$F$2:$F$500,0))="sin dato","",INDEX(CODIFICACION!$E$2:$E$500,MATCH("D2.9|"&amp;AU141,CODIFICACION!$F$2:$F$500,0))),"⚠"))</f>
        <v/>
      </c>
      <c r="Q141" t="str">
        <f>IF(AV141="","",IFERROR(IF(INDEX(CODIFICACION!$E$2:$E$500,MATCH("D2.10|"&amp;AV141,CODIFICACION!$F$2:$F$500,0))="sin dato","",INDEX(CODIFICACION!$E$2:$E$500,MATCH("D2.10|"&amp;AV141,CODIFICACION!$F$2:$F$500,0))),"⚠"))</f>
        <v/>
      </c>
      <c r="R141" t="str">
        <f>IF(AW141="","",IFERROR(IF(INDEX(CODIFICACION!$E$2:$E$500,MATCH("D2.5a|"&amp;AW141,CODIFICACION!$F$2:$F$500,0))="sin dato","",INDEX(CODIFICACION!$E$2:$E$500,MATCH("D2.5a|"&amp;AW141,CODIFICACION!$F$2:$F$500,0))),"⚠"))</f>
        <v/>
      </c>
      <c r="S141" t="str">
        <f ca="1">IF(AX141="","",IFERROR(IF(INDEX(CODIFICACION!$E$2:$E$500,MATCH("D2.5b|"&amp;AX141,CODIFICACION!$F$2:$F$500,0))="sin dato","",INDEX(CODIFICACION!$E$2:$E$500,MATCH("D2.5b|"&amp;AX141,CODIFICACION!$F$2:$F$500,0))),"⚠"))</f>
        <v/>
      </c>
      <c r="T141" t="str">
        <f t="shared" ca="1" si="104"/>
        <v/>
      </c>
      <c r="U141" t="str">
        <f>IF(AZ141="","",IFERROR(IF(INDEX(CODIFICACION!$E$2:$E$500,MATCH("D3.12|"&amp;AZ141,CODIFICACION!$F$2:$F$500,0))="sin dato","",INDEX(CODIFICACION!$E$2:$E$500,MATCH("D3.12|"&amp;AZ141,CODIFICACION!$F$2:$F$500,0))),"⚠"))</f>
        <v/>
      </c>
      <c r="V141" t="str">
        <f t="shared" si="105"/>
        <v/>
      </c>
      <c r="W141" t="str">
        <f ca="1">IF(BB141="","",IFERROR(IF(INDEX(CODIFICACION!$E$2:$E$500,MATCH("D3.14|"&amp;BB141,CODIFICACION!$F$2:$F$500,0))="sin dato","",INDEX(CODIFICACION!$E$2:$E$500,MATCH("D3.14|"&amp;BB141,CODIFICACION!$F$2:$F$500,0))),"⚠"))</f>
        <v/>
      </c>
      <c r="X141" t="str">
        <f ca="1">IF(BC141="","",IFERROR(IF(INDEX(CODIFICACION!$E$2:$E$500,MATCH("D3.14a|"&amp;BC141,CODIFICACION!$F$2:$F$500,0))="sin dato","",INDEX(CODIFICACION!$E$2:$E$500,MATCH("D3.14a|"&amp;BC141,CODIFICACION!$F$2:$F$500,0))),"⚠"))</f>
        <v/>
      </c>
      <c r="Y141" t="str">
        <f>IF(BD141="","",IFERROR(IF(INDEX(CODIFICACION!$E$2:$E$500,MATCH("D3.14b|"&amp;BD141,CODIFICACION!$F$2:$F$500,0))="sin dato","",INDEX(CODIFICACION!$E$2:$E$500,MATCH("D3.14b|"&amp;BD141,CODIFICACION!$F$2:$F$500,0))),"⚠"))</f>
        <v/>
      </c>
      <c r="Z141" t="str">
        <f>IF(BE141="","",IFERROR(IF(INDEX(CODIFICACION!$E$2:$E$500,MATCH("D3.14c|"&amp;BE141,CODIFICACION!$F$2:$F$500,0))="sin dato","",INDEX(CODIFICACION!$E$2:$E$500,MATCH("D3.14c|"&amp;BE141,CODIFICACION!$F$2:$F$500,0))),"⚠"))</f>
        <v/>
      </c>
      <c r="AA141" t="str">
        <f>IF(BF141="","",IFERROR(IF(INDEX(CODIFICACION!$E$2:$E$500,MATCH("D3.14d|"&amp;BF141,CODIFICACION!$F$2:$F$500,0))="sin dato","",INDEX(CODIFICACION!$E$2:$E$500,MATCH("D3.14d|"&amp;BF141,CODIFICACION!$F$2:$F$500,0))),"⚠"))</f>
        <v/>
      </c>
      <c r="AB141" t="str">
        <f>IF(BG141="","",IFERROR(IF(INDEX(CODIFICACION!$E$2:$E$500,MATCH("D3.14e|"&amp;BG141,CODIFICACION!$F$2:$F$500,0))="sin dato","",INDEX(CODIFICACION!$E$2:$E$500,MATCH("D3.14e|"&amp;BG141,CODIFICACION!$F$2:$F$500,0))),"⚠"))</f>
        <v/>
      </c>
      <c r="AC141" t="str">
        <f>IF(BH141="","",IFERROR(IF(INDEX(CODIFICACION!$E$2:$E$500,MATCH("D3.14f|"&amp;BH141,CODIFICACION!$F$2:$F$500,0))="sin dato","",INDEX(CODIFICACION!$E$2:$E$500,MATCH("D3.14f|"&amp;BH141,CODIFICACION!$F$2:$F$500,0))),"⚠"))</f>
        <v/>
      </c>
      <c r="AD141" t="str">
        <f>IF(BI141="","",IFERROR(IF(INDEX(CODIFICACION!$E$2:$E$500,MATCH("D3.14g|"&amp;BI141,CODIFICACION!$F$2:$F$500,0))="sin dato","",INDEX(CODIFICACION!$E$2:$E$500,MATCH("D3.14g|"&amp;BI141,CODIFICACION!$F$2:$F$500,0))),"⚠"))</f>
        <v/>
      </c>
      <c r="AE141" t="str">
        <f>IF(BJ141="","",IFERROR(IF(INDEX(CODIFICACION!$E$2:$E$500,MATCH("D3.14h|"&amp;BJ141,CODIFICACION!$F$2:$F$500,0))="sin dato","",INDEX(CODIFICACION!$E$2:$E$500,MATCH("D3.14h|"&amp;BJ141,CODIFICACION!$F$2:$F$500,0))),"⚠"))</f>
        <v/>
      </c>
      <c r="AF141" t="str">
        <f>IF(BK141="","",IFERROR(IF(INDEX(CODIFICACION!$E$2:$E$500,MATCH("D3.14i|"&amp;BK141,CODIFICACION!$F$2:$F$500,0))="sin dato","",INDEX(CODIFICACION!$E$2:$E$500,MATCH("D3.14i|"&amp;BK141,CODIFICACION!$F$2:$F$500,0))),"⚠"))</f>
        <v/>
      </c>
      <c r="AG141" t="str">
        <f>IF(BL141="","",IFERROR(IF(INDEX(CODIFICACION!$E$2:$E$500,MATCH("D4.15|"&amp;BL141,CODIFICACION!$F$2:$F$500,0))="sin dato","",INDEX(CODIFICACION!$E$2:$E$500,MATCH("D4.15|"&amp;BL141,CODIFICACION!$F$2:$F$500,0))),"⚠"))</f>
        <v/>
      </c>
      <c r="AH141" t="str">
        <f t="shared" si="106"/>
        <v/>
      </c>
      <c r="AI141" t="str">
        <f>IF(BN141="","",IFERROR(IF(INDEX(CODIFICACION!$E$2:$E$500,MATCH("D4.17|"&amp;BN141,CODIFICACION!$F$2:$F$500,0))="sin dato","",INDEX(CODIFICACION!$E$2:$E$500,MATCH("D4.17|"&amp;BN141,CODIFICACION!$F$2:$F$500,0))),"⚠"))</f>
        <v/>
      </c>
      <c r="AJ141" t="str">
        <f>IF(BO141="","",IFERROR(IF(INDEX(CODIFICACION!$E$2:$E$500,MATCH("D4.15a|"&amp;BO141,CODIFICACION!$F$2:$F$500,0))="sin dato","",INDEX(CODIFICACION!$E$2:$E$500,MATCH("D4.15a|"&amp;BO141,CODIFICACION!$F$2:$F$500,0))),"⚠"))</f>
        <v/>
      </c>
      <c r="AK141" t="str">
        <f t="shared" si="107"/>
        <v/>
      </c>
      <c r="AL141" t="str">
        <f t="shared" si="108"/>
        <v/>
      </c>
      <c r="AM141" t="str">
        <f>IF(BR141="","",IFERROR(IF(INDEX(CODIFICACION!$E$2:$E$500,MATCH("D5.18b|"&amp;BR141,CODIFICACION!$F$2:$F$500,0))="sin dato","",INDEX(CODIFICACION!$E$2:$E$500,MATCH("D5.18b|"&amp;BR141,CODIFICACION!$F$2:$F$500,0))),"⚠"))</f>
        <v/>
      </c>
      <c r="AN141" t="str">
        <f>IF(BS141="","",IFERROR(IF(INDEX(CODIFICACION!$E$2:$E$500,MATCH("D5.19|"&amp;BS141,CODIFICACION!$F$2:$F$500,0))="sin dato","",INDEX(CODIFICACION!$E$2:$E$500,MATCH("D5.19|"&amp;BS141,CODIFICACION!$F$2:$F$500,0))),"⚠"))</f>
        <v/>
      </c>
      <c r="AO141" t="str">
        <f t="shared" si="109"/>
        <v/>
      </c>
      <c r="AP141" t="str">
        <f>IF(BU141="","",IFERROR(IF(INDEX(CODIFICACION!$E$2:$E$500,MATCH("D5.20|"&amp;BU141,CODIFICACION!$F$2:$F$500,0))="sin dato","",INDEX(CODIFICACION!$E$2:$E$500,MATCH("D5.20|"&amp;BU141,CODIFICACION!$F$2:$F$500,0))),"⚠"))</f>
        <v/>
      </c>
      <c r="AQ141" t="str">
        <f>IF(BV141="","",IFERROR(IF(INDEX(CODIFICACION!$E$2:$E$500,MATCH("D5.21|"&amp;BV141,CODIFICACION!$F$2:$F$500,0))="sin dato","",INDEX(CODIFICACION!$E$2:$E$500,MATCH("D5.21|"&amp;BV141,CODIFICACION!$F$2:$F$500,0))),"⚠"))</f>
        <v/>
      </c>
      <c r="AR141" t="str">
        <f>IF(BW141="","",IFERROR(IF(INDEX(CODIFICACION!$E$2:$E$500,MATCH("D5.21a|"&amp;BW141,CODIFICACION!$F$2:$F$500,0))="sin dato","",INDEX(CODIFICACION!$E$2:$E$500,MATCH("D5.21a|"&amp;BW141,CODIFICACION!$F$2:$F$500,0))),"⚠"))</f>
        <v/>
      </c>
      <c r="AS141" t="str">
        <f>IF(BX141="","",IFERROR(IF(INDEX(CODIFICACION!$E$2:$E$500,MATCH("D5.21b|"&amp;BX141,CODIFICACION!$F$2:$F$500,0))="sin dato","",INDEX(CODIFICACION!$E$2:$E$500,MATCH("D5.21b|"&amp;BX141,CODIFICACION!$F$2:$F$500,0))),"⚠"))</f>
        <v/>
      </c>
      <c r="AT141" t="str">
        <f>IF(BY141="","",IFERROR(IF(INDEX(CODIFICACION!$E$2:$E$500,MATCH("D6.22|"&amp;BY141,CODIFICACION!$F$2:$F$500,0))="sin dato","",INDEX(CODIFICACION!$E$2:$E$500,MATCH("D6.22|"&amp;BY141,CODIFICACION!$F$2:$F$500,0))),"⚠"))</f>
        <v/>
      </c>
      <c r="AU141" t="str">
        <f>IF(BZ141="","",IFERROR(IF(INDEX(CODIFICACION!$E$2:$E$500,MATCH("D6.22a|"&amp;BZ141,CODIFICACION!$F$2:$F$500,0))="sin dato","",INDEX(CODIFICACION!$E$2:$E$500,MATCH("D6.22a|"&amp;BZ141,CODIFICACION!$F$2:$F$500,0))),"⚠"))</f>
        <v/>
      </c>
      <c r="AV141" t="str">
        <f>IF(CA141="","",IFERROR(IF(INDEX(CODIFICACION!$E$2:$E$500,MATCH("D6.22b|"&amp;CA141,CODIFICACION!$F$2:$F$500,0))="sin dato","",INDEX(CODIFICACION!$E$2:$E$500,MATCH("D6.22b|"&amp;CA141,CODIFICACION!$F$2:$F$500,0))),"⚠"))</f>
        <v/>
      </c>
      <c r="AW141" t="str">
        <f>IF(CB141="","",IFERROR(IF(INDEX(CODIFICACION!$E$2:$E$500,MATCH("D6.23|"&amp;CB141,CODIFICACION!$F$2:$F$500,0))="sin dato","",INDEX(CODIFICACION!$E$2:$E$500,MATCH("D6.23|"&amp;CB141,CODIFICACION!$F$2:$F$500,0))),"⚠"))</f>
        <v/>
      </c>
      <c r="AX141" t="str">
        <f ca="1">IF(CC141="","",IFERROR(IF(INDEX(CODIFICACION!$E$2:$E$500,MATCH("D6.24|"&amp;CC141,CODIFICACION!$F$2:$F$500,0))="sin dato","",INDEX(CODIFICACION!$E$2:$E$500,MATCH("D6.24|"&amp;CC141,CODIFICACION!$F$2:$F$500,0))),"⚠"))</f>
        <v/>
      </c>
      <c r="AY141" t="str">
        <f ca="1">IF(CD141="","",IFERROR(IF(INDEX(CODIFICACION!$E$2:$E$500,MATCH("D6.25|"&amp;CD141,CODIFICACION!$F$2:$F$500,0))="sin dato","",INDEX(CODIFICACION!$E$2:$E$500,MATCH("D6.25|"&amp;CD141,CODIFICACION!$F$2:$F$500,0))),"⚠"))</f>
        <v/>
      </c>
      <c r="AZ141" t="str">
        <f>IF(CE141="","",IFERROR(IF(INDEX(CODIFICACION!$E$2:$E$500,MATCH("D6.25a|"&amp;CE141,CODIFICACION!$F$2:$F$500,0))="sin dato","",INDEX(CODIFICACION!$E$2:$E$500,MATCH("D6.25a|"&amp;CE141,CODIFICACION!$F$2:$F$500,0))),"⚠"))</f>
        <v/>
      </c>
      <c r="BA141" t="str">
        <f>IF(CF141="","",IFERROR(IF(INDEX(CODIFICACION!$E$2:$E$500,MATCH("D6.25b|"&amp;CF141,CODIFICACION!$F$2:$F$500,0))="sin dato","",INDEX(CODIFICACION!$E$2:$E$500,MATCH("D6.25b|"&amp;CF141,CODIFICACION!$F$2:$F$500,0))),"⚠"))</f>
        <v/>
      </c>
      <c r="BB141" t="str">
        <f ca="1">IF(CG141="","",IFERROR(IF(INDEX(CODIFICACION!$E$2:$E$500,MATCH("D6.22c|"&amp;CG141,CODIFICACION!$F$2:$F$500,0))="sin dato","",INDEX(CODIFICACION!$E$2:$E$500,MATCH("D6.22c|"&amp;CG141,CODIFICACION!$F$2:$F$500,0))),"⚠"))</f>
        <v/>
      </c>
      <c r="BC141" t="str">
        <f ca="1">IF(CH141="","",IFERROR(IF(INDEX(CODIFICACION!$E$2:$E$500,MATCH("D7.26|"&amp;CH141,CODIFICACION!$F$2:$F$500,0))="sin dato","",INDEX(CODIFICACION!$E$2:$E$500,MATCH("D7.26|"&amp;CH141,CODIFICACION!$F$2:$F$500,0))),"⚠"))</f>
        <v/>
      </c>
      <c r="BD141" t="str">
        <f>IF(CI141="","",IFERROR(IF(INDEX(CODIFICACION!$E$2:$E$500,MATCH("D7.27|"&amp;CI141,CODIFICACION!$F$2:$F$500,0))="sin dato","",INDEX(CODIFICACION!$E$2:$E$500,MATCH("D7.27|"&amp;CI141,CODIFICACION!$F$2:$F$500,0))),"⚠"))</f>
        <v/>
      </c>
      <c r="BE141" t="str">
        <f>IF(CJ141="","",IFERROR(IF(INDEX(CODIFICACION!$E$2:$E$500,MATCH("D7.28|"&amp;CJ141,CODIFICACION!$F$2:$F$500,0))="sin dato","",INDEX(CODIFICACION!$E$2:$E$500,MATCH("D7.28|"&amp;CJ141,CODIFICACION!$F$2:$F$500,0))),"⚠"))</f>
        <v/>
      </c>
      <c r="BF141" t="str">
        <f>IF(CK141="","",IFERROR(IF(INDEX(CODIFICACION!$E$2:$E$500,MATCH("D7.28b|"&amp;CK141,CODIFICACION!$F$2:$F$500,0))="sin dato","",INDEX(CODIFICACION!$E$2:$E$500,MATCH("D7.28b|"&amp;CK141,CODIFICACION!$F$2:$F$500,0))),"⚠"))</f>
        <v/>
      </c>
      <c r="BG141" t="str">
        <f t="shared" si="110"/>
        <v/>
      </c>
      <c r="BH141" t="str">
        <f>IF(CM141="","",IFERROR(IF(INDEX(CODIFICACION!$E$2:$E$500,MATCH("D7.26a|"&amp;CM141,CODIFICACION!$F$2:$F$500,0))="sin dato","",INDEX(CODIFICACION!$E$2:$E$500,MATCH("D7.26a|"&amp;CM141,CODIFICACION!$F$2:$F$500,0))),"⚠"))</f>
        <v/>
      </c>
      <c r="BI141" t="str">
        <f>IF(CN141="","",IFERROR(IF(INDEX(CODIFICACION!$E$2:$E$500,MATCH("D7.26b|"&amp;CN141,CODIFICACION!$F$2:$F$500,0))="sin dato","",INDEX(CODIFICACION!$E$2:$E$500,MATCH("D7.26b|"&amp;CN141,CODIFICACION!$F$2:$F$500,0))),"⚠"))</f>
        <v/>
      </c>
      <c r="BJ141" t="str">
        <f t="shared" si="111"/>
        <v/>
      </c>
      <c r="BK141" t="str">
        <f t="shared" si="112"/>
        <v/>
      </c>
      <c r="BL141" t="str">
        <f>IF(CQ141="","",IFERROR(IF(INDEX(CODIFICACION!$E$2:$E$500,MATCH("D8.31|"&amp;CQ141,CODIFICACION!$F$2:$F$500,0))="sin dato","",INDEX(CODIFICACION!$E$2:$E$500,MATCH("D8.31|"&amp;CQ141,CODIFICACION!$F$2:$F$500,0))),"⚠"))</f>
        <v/>
      </c>
      <c r="BM141" t="str">
        <f>IF(CR141="","",IFERROR(IF(INDEX(CODIFICACION!$E$2:$E$500,MATCH("D8.32|"&amp;CR141,CODIFICACION!$F$2:$F$500,0))="sin dato","",INDEX(CODIFICACION!$E$2:$E$500,MATCH("D8.32|"&amp;CR141,CODIFICACION!$F$2:$F$500,0))),"⚠"))</f>
        <v/>
      </c>
      <c r="BN141" t="str">
        <f>IF(CS141="","",IFERROR(IF(INDEX(CODIFICACION!$E$2:$E$500,MATCH("D9.33|"&amp;CS141,CODIFICACION!$F$2:$F$500,0))="sin dato","",INDEX(CODIFICACION!$E$2:$E$500,MATCH("D9.33|"&amp;CS141,CODIFICACION!$F$2:$F$500,0))),"⚠"))</f>
        <v/>
      </c>
      <c r="BO141" t="str">
        <f>IF(CT141="","",IFERROR(IF(INDEX(CODIFICACION!$E$2:$E$500,MATCH("D9.34|"&amp;CT141,CODIFICACION!$F$2:$F$500,0))="sin dato","",INDEX(CODIFICACION!$E$2:$E$500,MATCH("D9.34|"&amp;CT141,CODIFICACION!$F$2:$F$500,0))),"⚠"))</f>
        <v/>
      </c>
      <c r="BP141" t="str">
        <f>IF(CU141="","",IFERROR(IF(INDEX(CODIFICACION!$E$2:$E$500,MATCH("D9.35|"&amp;CU141,CODIFICACION!$F$2:$F$500,0))="sin dato","",INDEX(CODIFICACION!$E$2:$E$500,MATCH("D9.35|"&amp;CU141,CODIFICACION!$F$2:$F$500,0))),"⚠"))</f>
        <v/>
      </c>
      <c r="BQ141" t="str">
        <f>IF(CV141="","",IFERROR(IF(INDEX(CODIFICACION!$E$2:$E$500,MATCH("D10.36|"&amp;CV141,CODIFICACION!$F$2:$F$500,0))="sin dato","",INDEX(CODIFICACION!$E$2:$E$500,MATCH("D10.36|"&amp;CV141,CODIFICACION!$F$2:$F$500,0))),"⚠"))</f>
        <v/>
      </c>
      <c r="BR141" t="str">
        <f>IF(CW141="","",IFERROR(IF(INDEX(CODIFICACION!$E$2:$E$500,MATCH("D10.37|"&amp;CW141,CODIFICACION!$F$2:$F$500,0))="sin dato","",INDEX(CODIFICACION!$E$2:$E$500,MATCH("D10.37|"&amp;CW141,CODIFICACION!$F$2:$F$500,0))),"⚠"))</f>
        <v/>
      </c>
      <c r="BS141" t="str">
        <f>IF(CX141="","",IFERROR(IF(INDEX(CODIFICACION!$E$2:$E$500,MATCH("D10.36a|"&amp;CX141,CODIFICACION!$F$2:$F$500,0))="sin dato","",INDEX(CODIFICACION!$E$2:$E$500,MATCH("D10.36a|"&amp;CX141,CODIFICACION!$F$2:$F$500,0))),"⚠"))</f>
        <v/>
      </c>
      <c r="BT141" t="str">
        <f t="shared" si="113"/>
        <v/>
      </c>
      <c r="BU141" t="str">
        <f>IF(DA141="","",IFERROR(IF(INDEX(CODIFICACION!$E$2:$E$500,MATCH("D11.39a|"&amp;DA141,CODIFICACION!$F$2:$F$500,0))="sin dato","",INDEX(CODIFICACION!$E$2:$E$500,MATCH("D11.39a|"&amp;DA141,CODIFICACION!$F$2:$F$500,0))),"⚠"))</f>
        <v/>
      </c>
      <c r="BV141" t="str">
        <f>IF(DB141="","",IFERROR(IF(INDEX(CODIFICACION!$E$2:$E$500,MATCH("D12.42|"&amp;DB141,CODIFICACION!$F$2:$F$500,0))="sin dato","",INDEX(CODIFICACION!$E$2:$E$500,MATCH("D12.42|"&amp;DB141,CODIFICACION!$F$2:$F$500,0))),"⚠"))</f>
        <v/>
      </c>
      <c r="BW141" t="str">
        <f>IF(DC141="","",IFERROR(IF(INDEX(CODIFICACION!$E$2:$E$500,MATCH("D13.45|"&amp;DC141,CODIFICACION!$F$2:$F$500,0))="sin dato","",INDEX(CODIFICACION!$E$2:$E$500,MATCH("D13.45|"&amp;DC141,CODIFICACION!$F$2:$F$500,0))),"⚠"))</f>
        <v/>
      </c>
      <c r="BX141" t="str">
        <f>IF(DD141="","",IFERROR(IF(INDEX(CODIFICACION!$E$2:$E$500,MATCH("D14.51|"&amp;DD141,CODIFICACION!$F$2:$F$500,0))="sin dato","",INDEX(CODIFICACION!$E$2:$E$500,MATCH("D14.51|"&amp;DD141,CODIFICACION!$F$2:$F$500,0))),"⚠"))</f>
        <v/>
      </c>
      <c r="BY141" t="str">
        <f>IF(DE141="","",IFERROR(IF(INDEX(CODIFICACION!$E$2:$E$500,MATCH("D15.58|"&amp;DE141,CODIFICACION!$F$2:$F$500,0))="sin dato","",INDEX(CODIFICACION!$E$2:$E$500,MATCH("D15.58|"&amp;DE141,CODIFICACION!$F$2:$F$500,0))),"⚠"))</f>
        <v/>
      </c>
      <c r="BZ141" t="str">
        <f>IF(DF141="","",IFERROR(IF(INDEX(CODIFICACION!$E$2:$E$500,MATCH("PP1|"&amp;DF141,CODIFICACION!$F$2:$F$500,0))="sin dato","",INDEX(CODIFICACION!$E$2:$E$500,MATCH("PP1|"&amp;DF141,CODIFICACION!$F$2:$F$500,0))),"⚠"))</f>
        <v/>
      </c>
      <c r="CA141" t="str">
        <f>IF(DG141="","",IFERROR(IF(INDEX(CODIFICACION!$E$2:$E$500,MATCH("PP2|"&amp;DG141,CODIFICACION!$F$2:$F$500,0))="sin dato","",INDEX(CODIFICACION!$E$2:$E$500,MATCH("PP2|"&amp;DG141,CODIFICACION!$F$2:$F$500,0))),"⚠"))</f>
        <v/>
      </c>
      <c r="CB141" t="str">
        <f t="shared" si="114"/>
        <v/>
      </c>
      <c r="CC141" t="str">
        <f t="shared" ca="1" si="115"/>
        <v/>
      </c>
      <c r="CD141" t="str">
        <f t="shared" ca="1" si="116"/>
        <v/>
      </c>
      <c r="CE141" t="str">
        <f t="shared" si="117"/>
        <v/>
      </c>
      <c r="CF141" t="str">
        <f t="shared" si="118"/>
        <v/>
      </c>
      <c r="CG141" t="str">
        <f t="shared" ca="1" si="119"/>
        <v/>
      </c>
      <c r="CH141" t="str">
        <f t="shared" ca="1" si="120"/>
        <v/>
      </c>
      <c r="CI141" t="str">
        <f t="shared" si="121"/>
        <v/>
      </c>
      <c r="CJ141" t="str">
        <f t="shared" si="122"/>
        <v/>
      </c>
      <c r="CK141" t="str">
        <f t="shared" si="123"/>
        <v/>
      </c>
      <c r="CL141" t="str">
        <f t="shared" si="124"/>
        <v/>
      </c>
    </row>
    <row r="142" spans="1:90" x14ac:dyDescent="0.3">
      <c r="A142">
        <f>CAPTURA!A142</f>
        <v>20603676476</v>
      </c>
      <c r="B142">
        <f>CAPTURA!C142</f>
        <v>0</v>
      </c>
      <c r="C142" t="str">
        <f t="shared" si="100"/>
        <v/>
      </c>
      <c r="D142" t="str">
        <f>IF(AE142="","",IFERROR(IF(INDEX(CODIFICACION!$E$2:$E$500,MATCH("P8|"&amp;AE142,CODIFICACION!$F$2:$F$500,0))="sin dato","",INDEX(CODIFICACION!$E$2:$E$500,MATCH("P8|"&amp;AE142,CODIFICACION!$F$2:$F$500,0))),"⚠"))</f>
        <v/>
      </c>
      <c r="E142" t="str">
        <f>IF(AG142="","",IFERROR(IF(INDEX(CODIFICACION!$E$2:$E$500,MATCH("P10|"&amp;AG142,CODIFICACION!$F$2:$F$500,0))="sin dato","",INDEX(CODIFICACION!$E$2:$E$500,MATCH("P10|"&amp;AG142,CODIFICACION!$F$2:$F$500,0))),"⚠"))</f>
        <v/>
      </c>
      <c r="F142" t="str">
        <f>IF(AJ142="","",IFERROR(IF(INDEX(CODIFICACION!$E$2:$E$500,MATCH("P13|"&amp;AJ142,CODIFICACION!$F$2:$F$500,0))="sin dato","",INDEX(CODIFICACION!$E$2:$E$500,MATCH("P13|"&amp;AJ142,CODIFICACION!$F$2:$F$500,0))),"⚠"))</f>
        <v/>
      </c>
      <c r="G142" t="str">
        <f>IF(AK142="","",IFERROR(IF(INDEX(CODIFICACION!$E$2:$E$500,MATCH("P14|"&amp;AK142,CODIFICACION!$F$2:$F$500,0))="sin dato","",INDEX(CODIFICACION!$E$2:$E$500,MATCH("P14|"&amp;AK142,CODIFICACION!$F$2:$F$500,0))),"⚠"))</f>
        <v/>
      </c>
      <c r="H142" t="str">
        <f>IF(AL142="","",IFERROR(IF(INDEX(CODIFICACION!$E$2:$E$500,MATCH("D1.1|"&amp;AL142,CODIFICACION!$F$2:$F$500,0))="sin dato","",INDEX(CODIFICACION!$E$2:$E$500,MATCH("D1.1|"&amp;AL142,CODIFICACION!$F$2:$F$500,0))),"⚠"))</f>
        <v/>
      </c>
      <c r="I142" t="str">
        <f>IF(AN142="","",IFERROR(IF(INDEX(CODIFICACION!$E$2:$E$500,MATCH("D1.3|"&amp;AN142,CODIFICACION!$F$2:$F$500,0))="sin dato","",INDEX(CODIFICACION!$E$2:$E$500,MATCH("D1.3|"&amp;AN142,CODIFICACION!$F$2:$F$500,0))),"⚠"))</f>
        <v/>
      </c>
      <c r="J142" t="str">
        <f>IF(AO142="","",IFERROR(IF(INDEX(CODIFICACION!$E$2:$E$500,MATCH("D1.4|"&amp;AO142,CODIFICACION!$F$2:$F$500,0))="sin dato","",INDEX(CODIFICACION!$E$2:$E$500,MATCH("D1.4|"&amp;AO142,CODIFICACION!$F$2:$F$500,0))),"⚠"))</f>
        <v/>
      </c>
      <c r="K142" t="str">
        <f>IF(AP142="","",IFERROR(IF(INDEX(CODIFICACION!$E$2:$E$500,MATCH("D1.3a|"&amp;AP142,CODIFICACION!$F$2:$F$500,0))="sin dato","",INDEX(CODIFICACION!$E$2:$E$500,MATCH("D1.3a|"&amp;AP142,CODIFICACION!$F$2:$F$500,0))),"⚠"))</f>
        <v/>
      </c>
      <c r="L142" t="str">
        <f t="shared" si="101"/>
        <v/>
      </c>
      <c r="M142" t="str">
        <f t="shared" si="102"/>
        <v/>
      </c>
      <c r="N142" t="str">
        <f t="shared" si="103"/>
        <v/>
      </c>
      <c r="O142" t="str">
        <f>IF(AT142="","",IFERROR(IF(INDEX(CODIFICACION!$E$2:$E$500,MATCH("D2.8|"&amp;AT142,CODIFICACION!$F$2:$F$500,0))="sin dato","",INDEX(CODIFICACION!$E$2:$E$500,MATCH("D2.8|"&amp;AT142,CODIFICACION!$F$2:$F$500,0))),"⚠"))</f>
        <v/>
      </c>
      <c r="P142" t="str">
        <f>IF(AU142="","",IFERROR(IF(INDEX(CODIFICACION!$E$2:$E$500,MATCH("D2.9|"&amp;AU142,CODIFICACION!$F$2:$F$500,0))="sin dato","",INDEX(CODIFICACION!$E$2:$E$500,MATCH("D2.9|"&amp;AU142,CODIFICACION!$F$2:$F$500,0))),"⚠"))</f>
        <v/>
      </c>
      <c r="Q142" t="str">
        <f>IF(AV142="","",IFERROR(IF(INDEX(CODIFICACION!$E$2:$E$500,MATCH("D2.10|"&amp;AV142,CODIFICACION!$F$2:$F$500,0))="sin dato","",INDEX(CODIFICACION!$E$2:$E$500,MATCH("D2.10|"&amp;AV142,CODIFICACION!$F$2:$F$500,0))),"⚠"))</f>
        <v/>
      </c>
      <c r="R142" t="str">
        <f>IF(AW142="","",IFERROR(IF(INDEX(CODIFICACION!$E$2:$E$500,MATCH("D2.5a|"&amp;AW142,CODIFICACION!$F$2:$F$500,0))="sin dato","",INDEX(CODIFICACION!$E$2:$E$500,MATCH("D2.5a|"&amp;AW142,CODIFICACION!$F$2:$F$500,0))),"⚠"))</f>
        <v/>
      </c>
      <c r="S142" t="str">
        <f ca="1">IF(AX142="","",IFERROR(IF(INDEX(CODIFICACION!$E$2:$E$500,MATCH("D2.5b|"&amp;AX142,CODIFICACION!$F$2:$F$500,0))="sin dato","",INDEX(CODIFICACION!$E$2:$E$500,MATCH("D2.5b|"&amp;AX142,CODIFICACION!$F$2:$F$500,0))),"⚠"))</f>
        <v/>
      </c>
      <c r="T142" t="str">
        <f t="shared" ca="1" si="104"/>
        <v/>
      </c>
      <c r="U142" t="str">
        <f>IF(AZ142="","",IFERROR(IF(INDEX(CODIFICACION!$E$2:$E$500,MATCH("D3.12|"&amp;AZ142,CODIFICACION!$F$2:$F$500,0))="sin dato","",INDEX(CODIFICACION!$E$2:$E$500,MATCH("D3.12|"&amp;AZ142,CODIFICACION!$F$2:$F$500,0))),"⚠"))</f>
        <v/>
      </c>
      <c r="V142" t="str">
        <f t="shared" si="105"/>
        <v/>
      </c>
      <c r="W142" t="str">
        <f ca="1">IF(BB142="","",IFERROR(IF(INDEX(CODIFICACION!$E$2:$E$500,MATCH("D3.14|"&amp;BB142,CODIFICACION!$F$2:$F$500,0))="sin dato","",INDEX(CODIFICACION!$E$2:$E$500,MATCH("D3.14|"&amp;BB142,CODIFICACION!$F$2:$F$500,0))),"⚠"))</f>
        <v/>
      </c>
      <c r="X142" t="str">
        <f ca="1">IF(BC142="","",IFERROR(IF(INDEX(CODIFICACION!$E$2:$E$500,MATCH("D3.14a|"&amp;BC142,CODIFICACION!$F$2:$F$500,0))="sin dato","",INDEX(CODIFICACION!$E$2:$E$500,MATCH("D3.14a|"&amp;BC142,CODIFICACION!$F$2:$F$500,0))),"⚠"))</f>
        <v/>
      </c>
      <c r="Y142" t="str">
        <f>IF(BD142="","",IFERROR(IF(INDEX(CODIFICACION!$E$2:$E$500,MATCH("D3.14b|"&amp;BD142,CODIFICACION!$F$2:$F$500,0))="sin dato","",INDEX(CODIFICACION!$E$2:$E$500,MATCH("D3.14b|"&amp;BD142,CODIFICACION!$F$2:$F$500,0))),"⚠"))</f>
        <v/>
      </c>
      <c r="Z142" t="str">
        <f>IF(BE142="","",IFERROR(IF(INDEX(CODIFICACION!$E$2:$E$500,MATCH("D3.14c|"&amp;BE142,CODIFICACION!$F$2:$F$500,0))="sin dato","",INDEX(CODIFICACION!$E$2:$E$500,MATCH("D3.14c|"&amp;BE142,CODIFICACION!$F$2:$F$500,0))),"⚠"))</f>
        <v/>
      </c>
      <c r="AA142" t="str">
        <f>IF(BF142="","",IFERROR(IF(INDEX(CODIFICACION!$E$2:$E$500,MATCH("D3.14d|"&amp;BF142,CODIFICACION!$F$2:$F$500,0))="sin dato","",INDEX(CODIFICACION!$E$2:$E$500,MATCH("D3.14d|"&amp;BF142,CODIFICACION!$F$2:$F$500,0))),"⚠"))</f>
        <v/>
      </c>
      <c r="AB142" t="str">
        <f>IF(BG142="","",IFERROR(IF(INDEX(CODIFICACION!$E$2:$E$500,MATCH("D3.14e|"&amp;BG142,CODIFICACION!$F$2:$F$500,0))="sin dato","",INDEX(CODIFICACION!$E$2:$E$500,MATCH("D3.14e|"&amp;BG142,CODIFICACION!$F$2:$F$500,0))),"⚠"))</f>
        <v/>
      </c>
      <c r="AC142" t="str">
        <f>IF(BH142="","",IFERROR(IF(INDEX(CODIFICACION!$E$2:$E$500,MATCH("D3.14f|"&amp;BH142,CODIFICACION!$F$2:$F$500,0))="sin dato","",INDEX(CODIFICACION!$E$2:$E$500,MATCH("D3.14f|"&amp;BH142,CODIFICACION!$F$2:$F$500,0))),"⚠"))</f>
        <v/>
      </c>
      <c r="AD142" t="str">
        <f>IF(BI142="","",IFERROR(IF(INDEX(CODIFICACION!$E$2:$E$500,MATCH("D3.14g|"&amp;BI142,CODIFICACION!$F$2:$F$500,0))="sin dato","",INDEX(CODIFICACION!$E$2:$E$500,MATCH("D3.14g|"&amp;BI142,CODIFICACION!$F$2:$F$500,0))),"⚠"))</f>
        <v/>
      </c>
      <c r="AE142" t="str">
        <f>IF(BJ142="","",IFERROR(IF(INDEX(CODIFICACION!$E$2:$E$500,MATCH("D3.14h|"&amp;BJ142,CODIFICACION!$F$2:$F$500,0))="sin dato","",INDEX(CODIFICACION!$E$2:$E$500,MATCH("D3.14h|"&amp;BJ142,CODIFICACION!$F$2:$F$500,0))),"⚠"))</f>
        <v/>
      </c>
      <c r="AF142" t="str">
        <f>IF(BK142="","",IFERROR(IF(INDEX(CODIFICACION!$E$2:$E$500,MATCH("D3.14i|"&amp;BK142,CODIFICACION!$F$2:$F$500,0))="sin dato","",INDEX(CODIFICACION!$E$2:$E$500,MATCH("D3.14i|"&amp;BK142,CODIFICACION!$F$2:$F$500,0))),"⚠"))</f>
        <v/>
      </c>
      <c r="AG142" t="str">
        <f>IF(BL142="","",IFERROR(IF(INDEX(CODIFICACION!$E$2:$E$500,MATCH("D4.15|"&amp;BL142,CODIFICACION!$F$2:$F$500,0))="sin dato","",INDEX(CODIFICACION!$E$2:$E$500,MATCH("D4.15|"&amp;BL142,CODIFICACION!$F$2:$F$500,0))),"⚠"))</f>
        <v/>
      </c>
      <c r="AH142" t="str">
        <f t="shared" si="106"/>
        <v/>
      </c>
      <c r="AI142" t="str">
        <f>IF(BN142="","",IFERROR(IF(INDEX(CODIFICACION!$E$2:$E$500,MATCH("D4.17|"&amp;BN142,CODIFICACION!$F$2:$F$500,0))="sin dato","",INDEX(CODIFICACION!$E$2:$E$500,MATCH("D4.17|"&amp;BN142,CODIFICACION!$F$2:$F$500,0))),"⚠"))</f>
        <v/>
      </c>
      <c r="AJ142" t="str">
        <f>IF(BO142="","",IFERROR(IF(INDEX(CODIFICACION!$E$2:$E$500,MATCH("D4.15a|"&amp;BO142,CODIFICACION!$F$2:$F$500,0))="sin dato","",INDEX(CODIFICACION!$E$2:$E$500,MATCH("D4.15a|"&amp;BO142,CODIFICACION!$F$2:$F$500,0))),"⚠"))</f>
        <v/>
      </c>
      <c r="AK142" t="str">
        <f t="shared" si="107"/>
        <v/>
      </c>
      <c r="AL142" t="str">
        <f t="shared" si="108"/>
        <v/>
      </c>
      <c r="AM142" t="str">
        <f>IF(BR142="","",IFERROR(IF(INDEX(CODIFICACION!$E$2:$E$500,MATCH("D5.18b|"&amp;BR142,CODIFICACION!$F$2:$F$500,0))="sin dato","",INDEX(CODIFICACION!$E$2:$E$500,MATCH("D5.18b|"&amp;BR142,CODIFICACION!$F$2:$F$500,0))),"⚠"))</f>
        <v/>
      </c>
      <c r="AN142" t="str">
        <f>IF(BS142="","",IFERROR(IF(INDEX(CODIFICACION!$E$2:$E$500,MATCH("D5.19|"&amp;BS142,CODIFICACION!$F$2:$F$500,0))="sin dato","",INDEX(CODIFICACION!$E$2:$E$500,MATCH("D5.19|"&amp;BS142,CODIFICACION!$F$2:$F$500,0))),"⚠"))</f>
        <v/>
      </c>
      <c r="AO142" t="str">
        <f t="shared" si="109"/>
        <v/>
      </c>
      <c r="AP142" t="str">
        <f>IF(BU142="","",IFERROR(IF(INDEX(CODIFICACION!$E$2:$E$500,MATCH("D5.20|"&amp;BU142,CODIFICACION!$F$2:$F$500,0))="sin dato","",INDEX(CODIFICACION!$E$2:$E$500,MATCH("D5.20|"&amp;BU142,CODIFICACION!$F$2:$F$500,0))),"⚠"))</f>
        <v/>
      </c>
      <c r="AQ142" t="str">
        <f>IF(BV142="","",IFERROR(IF(INDEX(CODIFICACION!$E$2:$E$500,MATCH("D5.21|"&amp;BV142,CODIFICACION!$F$2:$F$500,0))="sin dato","",INDEX(CODIFICACION!$E$2:$E$500,MATCH("D5.21|"&amp;BV142,CODIFICACION!$F$2:$F$500,0))),"⚠"))</f>
        <v/>
      </c>
      <c r="AR142" t="str">
        <f>IF(BW142="","",IFERROR(IF(INDEX(CODIFICACION!$E$2:$E$500,MATCH("D5.21a|"&amp;BW142,CODIFICACION!$F$2:$F$500,0))="sin dato","",INDEX(CODIFICACION!$E$2:$E$500,MATCH("D5.21a|"&amp;BW142,CODIFICACION!$F$2:$F$500,0))),"⚠"))</f>
        <v/>
      </c>
      <c r="AS142" t="str">
        <f>IF(BX142="","",IFERROR(IF(INDEX(CODIFICACION!$E$2:$E$500,MATCH("D5.21b|"&amp;BX142,CODIFICACION!$F$2:$F$500,0))="sin dato","",INDEX(CODIFICACION!$E$2:$E$500,MATCH("D5.21b|"&amp;BX142,CODIFICACION!$F$2:$F$500,0))),"⚠"))</f>
        <v/>
      </c>
      <c r="AT142" t="str">
        <f>IF(BY142="","",IFERROR(IF(INDEX(CODIFICACION!$E$2:$E$500,MATCH("D6.22|"&amp;BY142,CODIFICACION!$F$2:$F$500,0))="sin dato","",INDEX(CODIFICACION!$E$2:$E$500,MATCH("D6.22|"&amp;BY142,CODIFICACION!$F$2:$F$500,0))),"⚠"))</f>
        <v/>
      </c>
      <c r="AU142" t="str">
        <f>IF(BZ142="","",IFERROR(IF(INDEX(CODIFICACION!$E$2:$E$500,MATCH("D6.22a|"&amp;BZ142,CODIFICACION!$F$2:$F$500,0))="sin dato","",INDEX(CODIFICACION!$E$2:$E$500,MATCH("D6.22a|"&amp;BZ142,CODIFICACION!$F$2:$F$500,0))),"⚠"))</f>
        <v/>
      </c>
      <c r="AV142" t="str">
        <f>IF(CA142="","",IFERROR(IF(INDEX(CODIFICACION!$E$2:$E$500,MATCH("D6.22b|"&amp;CA142,CODIFICACION!$F$2:$F$500,0))="sin dato","",INDEX(CODIFICACION!$E$2:$E$500,MATCH("D6.22b|"&amp;CA142,CODIFICACION!$F$2:$F$500,0))),"⚠"))</f>
        <v/>
      </c>
      <c r="AW142" t="str">
        <f>IF(CB142="","",IFERROR(IF(INDEX(CODIFICACION!$E$2:$E$500,MATCH("D6.23|"&amp;CB142,CODIFICACION!$F$2:$F$500,0))="sin dato","",INDEX(CODIFICACION!$E$2:$E$500,MATCH("D6.23|"&amp;CB142,CODIFICACION!$F$2:$F$500,0))),"⚠"))</f>
        <v/>
      </c>
      <c r="AX142" t="str">
        <f ca="1">IF(CC142="","",IFERROR(IF(INDEX(CODIFICACION!$E$2:$E$500,MATCH("D6.24|"&amp;CC142,CODIFICACION!$F$2:$F$500,0))="sin dato","",INDEX(CODIFICACION!$E$2:$E$500,MATCH("D6.24|"&amp;CC142,CODIFICACION!$F$2:$F$500,0))),"⚠"))</f>
        <v/>
      </c>
      <c r="AY142" t="str">
        <f ca="1">IF(CD142="","",IFERROR(IF(INDEX(CODIFICACION!$E$2:$E$500,MATCH("D6.25|"&amp;CD142,CODIFICACION!$F$2:$F$500,0))="sin dato","",INDEX(CODIFICACION!$E$2:$E$500,MATCH("D6.25|"&amp;CD142,CODIFICACION!$F$2:$F$500,0))),"⚠"))</f>
        <v/>
      </c>
      <c r="AZ142" t="str">
        <f>IF(CE142="","",IFERROR(IF(INDEX(CODIFICACION!$E$2:$E$500,MATCH("D6.25a|"&amp;CE142,CODIFICACION!$F$2:$F$500,0))="sin dato","",INDEX(CODIFICACION!$E$2:$E$500,MATCH("D6.25a|"&amp;CE142,CODIFICACION!$F$2:$F$500,0))),"⚠"))</f>
        <v/>
      </c>
      <c r="BA142" t="str">
        <f>IF(CF142="","",IFERROR(IF(INDEX(CODIFICACION!$E$2:$E$500,MATCH("D6.25b|"&amp;CF142,CODIFICACION!$F$2:$F$500,0))="sin dato","",INDEX(CODIFICACION!$E$2:$E$500,MATCH("D6.25b|"&amp;CF142,CODIFICACION!$F$2:$F$500,0))),"⚠"))</f>
        <v/>
      </c>
      <c r="BB142" t="str">
        <f ca="1">IF(CG142="","",IFERROR(IF(INDEX(CODIFICACION!$E$2:$E$500,MATCH("D6.22c|"&amp;CG142,CODIFICACION!$F$2:$F$500,0))="sin dato","",INDEX(CODIFICACION!$E$2:$E$500,MATCH("D6.22c|"&amp;CG142,CODIFICACION!$F$2:$F$500,0))),"⚠"))</f>
        <v/>
      </c>
      <c r="BC142" t="str">
        <f ca="1">IF(CH142="","",IFERROR(IF(INDEX(CODIFICACION!$E$2:$E$500,MATCH("D7.26|"&amp;CH142,CODIFICACION!$F$2:$F$500,0))="sin dato","",INDEX(CODIFICACION!$E$2:$E$500,MATCH("D7.26|"&amp;CH142,CODIFICACION!$F$2:$F$500,0))),"⚠"))</f>
        <v/>
      </c>
      <c r="BD142" t="str">
        <f>IF(CI142="","",IFERROR(IF(INDEX(CODIFICACION!$E$2:$E$500,MATCH("D7.27|"&amp;CI142,CODIFICACION!$F$2:$F$500,0))="sin dato","",INDEX(CODIFICACION!$E$2:$E$500,MATCH("D7.27|"&amp;CI142,CODIFICACION!$F$2:$F$500,0))),"⚠"))</f>
        <v/>
      </c>
      <c r="BE142" t="str">
        <f>IF(CJ142="","",IFERROR(IF(INDEX(CODIFICACION!$E$2:$E$500,MATCH("D7.28|"&amp;CJ142,CODIFICACION!$F$2:$F$500,0))="sin dato","",INDEX(CODIFICACION!$E$2:$E$500,MATCH("D7.28|"&amp;CJ142,CODIFICACION!$F$2:$F$500,0))),"⚠"))</f>
        <v/>
      </c>
      <c r="BF142" t="str">
        <f>IF(CK142="","",IFERROR(IF(INDEX(CODIFICACION!$E$2:$E$500,MATCH("D7.28b|"&amp;CK142,CODIFICACION!$F$2:$F$500,0))="sin dato","",INDEX(CODIFICACION!$E$2:$E$500,MATCH("D7.28b|"&amp;CK142,CODIFICACION!$F$2:$F$500,0))),"⚠"))</f>
        <v/>
      </c>
      <c r="BG142" t="str">
        <f t="shared" si="110"/>
        <v/>
      </c>
      <c r="BH142" t="str">
        <f>IF(CM142="","",IFERROR(IF(INDEX(CODIFICACION!$E$2:$E$500,MATCH("D7.26a|"&amp;CM142,CODIFICACION!$F$2:$F$500,0))="sin dato","",INDEX(CODIFICACION!$E$2:$E$500,MATCH("D7.26a|"&amp;CM142,CODIFICACION!$F$2:$F$500,0))),"⚠"))</f>
        <v/>
      </c>
      <c r="BI142" t="str">
        <f>IF(CN142="","",IFERROR(IF(INDEX(CODIFICACION!$E$2:$E$500,MATCH("D7.26b|"&amp;CN142,CODIFICACION!$F$2:$F$500,0))="sin dato","",INDEX(CODIFICACION!$E$2:$E$500,MATCH("D7.26b|"&amp;CN142,CODIFICACION!$F$2:$F$500,0))),"⚠"))</f>
        <v/>
      </c>
      <c r="BJ142" t="str">
        <f t="shared" si="111"/>
        <v/>
      </c>
      <c r="BK142" t="str">
        <f t="shared" si="112"/>
        <v/>
      </c>
      <c r="BL142" t="str">
        <f>IF(CQ142="","",IFERROR(IF(INDEX(CODIFICACION!$E$2:$E$500,MATCH("D8.31|"&amp;CQ142,CODIFICACION!$F$2:$F$500,0))="sin dato","",INDEX(CODIFICACION!$E$2:$E$500,MATCH("D8.31|"&amp;CQ142,CODIFICACION!$F$2:$F$500,0))),"⚠"))</f>
        <v/>
      </c>
      <c r="BM142" t="str">
        <f>IF(CR142="","",IFERROR(IF(INDEX(CODIFICACION!$E$2:$E$500,MATCH("D8.32|"&amp;CR142,CODIFICACION!$F$2:$F$500,0))="sin dato","",INDEX(CODIFICACION!$E$2:$E$500,MATCH("D8.32|"&amp;CR142,CODIFICACION!$F$2:$F$500,0))),"⚠"))</f>
        <v/>
      </c>
      <c r="BN142" t="str">
        <f>IF(CS142="","",IFERROR(IF(INDEX(CODIFICACION!$E$2:$E$500,MATCH("D9.33|"&amp;CS142,CODIFICACION!$F$2:$F$500,0))="sin dato","",INDEX(CODIFICACION!$E$2:$E$500,MATCH("D9.33|"&amp;CS142,CODIFICACION!$F$2:$F$500,0))),"⚠"))</f>
        <v/>
      </c>
      <c r="BO142" t="str">
        <f>IF(CT142="","",IFERROR(IF(INDEX(CODIFICACION!$E$2:$E$500,MATCH("D9.34|"&amp;CT142,CODIFICACION!$F$2:$F$500,0))="sin dato","",INDEX(CODIFICACION!$E$2:$E$500,MATCH("D9.34|"&amp;CT142,CODIFICACION!$F$2:$F$500,0))),"⚠"))</f>
        <v/>
      </c>
      <c r="BP142" t="str">
        <f>IF(CU142="","",IFERROR(IF(INDEX(CODIFICACION!$E$2:$E$500,MATCH("D9.35|"&amp;CU142,CODIFICACION!$F$2:$F$500,0))="sin dato","",INDEX(CODIFICACION!$E$2:$E$500,MATCH("D9.35|"&amp;CU142,CODIFICACION!$F$2:$F$500,0))),"⚠"))</f>
        <v/>
      </c>
      <c r="BQ142" t="str">
        <f>IF(CV142="","",IFERROR(IF(INDEX(CODIFICACION!$E$2:$E$500,MATCH("D10.36|"&amp;CV142,CODIFICACION!$F$2:$F$500,0))="sin dato","",INDEX(CODIFICACION!$E$2:$E$500,MATCH("D10.36|"&amp;CV142,CODIFICACION!$F$2:$F$500,0))),"⚠"))</f>
        <v/>
      </c>
      <c r="BR142" t="str">
        <f>IF(CW142="","",IFERROR(IF(INDEX(CODIFICACION!$E$2:$E$500,MATCH("D10.37|"&amp;CW142,CODIFICACION!$F$2:$F$500,0))="sin dato","",INDEX(CODIFICACION!$E$2:$E$500,MATCH("D10.37|"&amp;CW142,CODIFICACION!$F$2:$F$500,0))),"⚠"))</f>
        <v/>
      </c>
      <c r="BS142" t="str">
        <f>IF(CX142="","",IFERROR(IF(INDEX(CODIFICACION!$E$2:$E$500,MATCH("D10.36a|"&amp;CX142,CODIFICACION!$F$2:$F$500,0))="sin dato","",INDEX(CODIFICACION!$E$2:$E$500,MATCH("D10.36a|"&amp;CX142,CODIFICACION!$F$2:$F$500,0))),"⚠"))</f>
        <v/>
      </c>
      <c r="BT142" t="str">
        <f t="shared" si="113"/>
        <v/>
      </c>
      <c r="BU142" t="str">
        <f>IF(DA142="","",IFERROR(IF(INDEX(CODIFICACION!$E$2:$E$500,MATCH("D11.39a|"&amp;DA142,CODIFICACION!$F$2:$F$500,0))="sin dato","",INDEX(CODIFICACION!$E$2:$E$500,MATCH("D11.39a|"&amp;DA142,CODIFICACION!$F$2:$F$500,0))),"⚠"))</f>
        <v/>
      </c>
      <c r="BV142" t="str">
        <f>IF(DB142="","",IFERROR(IF(INDEX(CODIFICACION!$E$2:$E$500,MATCH("D12.42|"&amp;DB142,CODIFICACION!$F$2:$F$500,0))="sin dato","",INDEX(CODIFICACION!$E$2:$E$500,MATCH("D12.42|"&amp;DB142,CODIFICACION!$F$2:$F$500,0))),"⚠"))</f>
        <v/>
      </c>
      <c r="BW142" t="str">
        <f>IF(DC142="","",IFERROR(IF(INDEX(CODIFICACION!$E$2:$E$500,MATCH("D13.45|"&amp;DC142,CODIFICACION!$F$2:$F$500,0))="sin dato","",INDEX(CODIFICACION!$E$2:$E$500,MATCH("D13.45|"&amp;DC142,CODIFICACION!$F$2:$F$500,0))),"⚠"))</f>
        <v/>
      </c>
      <c r="BX142" t="str">
        <f>IF(DD142="","",IFERROR(IF(INDEX(CODIFICACION!$E$2:$E$500,MATCH("D14.51|"&amp;DD142,CODIFICACION!$F$2:$F$500,0))="sin dato","",INDEX(CODIFICACION!$E$2:$E$500,MATCH("D14.51|"&amp;DD142,CODIFICACION!$F$2:$F$500,0))),"⚠"))</f>
        <v/>
      </c>
      <c r="BY142" t="str">
        <f>IF(DE142="","",IFERROR(IF(INDEX(CODIFICACION!$E$2:$E$500,MATCH("D15.58|"&amp;DE142,CODIFICACION!$F$2:$F$500,0))="sin dato","",INDEX(CODIFICACION!$E$2:$E$500,MATCH("D15.58|"&amp;DE142,CODIFICACION!$F$2:$F$500,0))),"⚠"))</f>
        <v/>
      </c>
      <c r="BZ142" t="str">
        <f>IF(DF142="","",IFERROR(IF(INDEX(CODIFICACION!$E$2:$E$500,MATCH("PP1|"&amp;DF142,CODIFICACION!$F$2:$F$500,0))="sin dato","",INDEX(CODIFICACION!$E$2:$E$500,MATCH("PP1|"&amp;DF142,CODIFICACION!$F$2:$F$500,0))),"⚠"))</f>
        <v/>
      </c>
      <c r="CA142" t="str">
        <f>IF(DG142="","",IFERROR(IF(INDEX(CODIFICACION!$E$2:$E$500,MATCH("PP2|"&amp;DG142,CODIFICACION!$F$2:$F$500,0))="sin dato","",INDEX(CODIFICACION!$E$2:$E$500,MATCH("PP2|"&amp;DG142,CODIFICACION!$F$2:$F$500,0))),"⚠"))</f>
        <v/>
      </c>
      <c r="CB142" t="str">
        <f t="shared" si="114"/>
        <v/>
      </c>
      <c r="CC142" t="str">
        <f t="shared" ca="1" si="115"/>
        <v/>
      </c>
      <c r="CD142" t="str">
        <f t="shared" ca="1" si="116"/>
        <v/>
      </c>
      <c r="CE142" t="str">
        <f t="shared" si="117"/>
        <v/>
      </c>
      <c r="CF142" t="str">
        <f t="shared" si="118"/>
        <v/>
      </c>
      <c r="CG142" t="str">
        <f t="shared" ca="1" si="119"/>
        <v/>
      </c>
      <c r="CH142" t="str">
        <f t="shared" ca="1" si="120"/>
        <v/>
      </c>
      <c r="CI142" t="str">
        <f t="shared" si="121"/>
        <v/>
      </c>
      <c r="CJ142" t="str">
        <f t="shared" si="122"/>
        <v/>
      </c>
      <c r="CK142" t="str">
        <f t="shared" si="123"/>
        <v/>
      </c>
      <c r="CL142" t="str">
        <f t="shared" si="124"/>
        <v/>
      </c>
    </row>
    <row r="143" spans="1:90" x14ac:dyDescent="0.3">
      <c r="A143">
        <f>CAPTURA!A143</f>
        <v>20603820691</v>
      </c>
      <c r="B143">
        <f>CAPTURA!C143</f>
        <v>0</v>
      </c>
      <c r="C143" t="str">
        <f t="shared" si="100"/>
        <v/>
      </c>
      <c r="D143" t="str">
        <f>IF(AE143="","",IFERROR(IF(INDEX(CODIFICACION!$E$2:$E$500,MATCH("P8|"&amp;AE143,CODIFICACION!$F$2:$F$500,0))="sin dato","",INDEX(CODIFICACION!$E$2:$E$500,MATCH("P8|"&amp;AE143,CODIFICACION!$F$2:$F$500,0))),"⚠"))</f>
        <v/>
      </c>
      <c r="E143" t="str">
        <f>IF(AG143="","",IFERROR(IF(INDEX(CODIFICACION!$E$2:$E$500,MATCH("P10|"&amp;AG143,CODIFICACION!$F$2:$F$500,0))="sin dato","",INDEX(CODIFICACION!$E$2:$E$500,MATCH("P10|"&amp;AG143,CODIFICACION!$F$2:$F$500,0))),"⚠"))</f>
        <v/>
      </c>
      <c r="F143" t="str">
        <f>IF(AJ143="","",IFERROR(IF(INDEX(CODIFICACION!$E$2:$E$500,MATCH("P13|"&amp;AJ143,CODIFICACION!$F$2:$F$500,0))="sin dato","",INDEX(CODIFICACION!$E$2:$E$500,MATCH("P13|"&amp;AJ143,CODIFICACION!$F$2:$F$500,0))),"⚠"))</f>
        <v/>
      </c>
      <c r="G143" t="str">
        <f>IF(AK143="","",IFERROR(IF(INDEX(CODIFICACION!$E$2:$E$500,MATCH("P14|"&amp;AK143,CODIFICACION!$F$2:$F$500,0))="sin dato","",INDEX(CODIFICACION!$E$2:$E$500,MATCH("P14|"&amp;AK143,CODIFICACION!$F$2:$F$500,0))),"⚠"))</f>
        <v/>
      </c>
      <c r="H143" t="str">
        <f>IF(AL143="","",IFERROR(IF(INDEX(CODIFICACION!$E$2:$E$500,MATCH("D1.1|"&amp;AL143,CODIFICACION!$F$2:$F$500,0))="sin dato","",INDEX(CODIFICACION!$E$2:$E$500,MATCH("D1.1|"&amp;AL143,CODIFICACION!$F$2:$F$500,0))),"⚠"))</f>
        <v/>
      </c>
      <c r="I143" t="str">
        <f>IF(AN143="","",IFERROR(IF(INDEX(CODIFICACION!$E$2:$E$500,MATCH("D1.3|"&amp;AN143,CODIFICACION!$F$2:$F$500,0))="sin dato","",INDEX(CODIFICACION!$E$2:$E$500,MATCH("D1.3|"&amp;AN143,CODIFICACION!$F$2:$F$500,0))),"⚠"))</f>
        <v/>
      </c>
      <c r="J143" t="str">
        <f>IF(AO143="","",IFERROR(IF(INDEX(CODIFICACION!$E$2:$E$500,MATCH("D1.4|"&amp;AO143,CODIFICACION!$F$2:$F$500,0))="sin dato","",INDEX(CODIFICACION!$E$2:$E$500,MATCH("D1.4|"&amp;AO143,CODIFICACION!$F$2:$F$500,0))),"⚠"))</f>
        <v/>
      </c>
      <c r="K143" t="str">
        <f>IF(AP143="","",IFERROR(IF(INDEX(CODIFICACION!$E$2:$E$500,MATCH("D1.3a|"&amp;AP143,CODIFICACION!$F$2:$F$500,0))="sin dato","",INDEX(CODIFICACION!$E$2:$E$500,MATCH("D1.3a|"&amp;AP143,CODIFICACION!$F$2:$F$500,0))),"⚠"))</f>
        <v/>
      </c>
      <c r="L143" t="str">
        <f t="shared" si="101"/>
        <v/>
      </c>
      <c r="M143" t="str">
        <f t="shared" si="102"/>
        <v/>
      </c>
      <c r="N143" t="str">
        <f t="shared" si="103"/>
        <v/>
      </c>
      <c r="O143" t="str">
        <f>IF(AT143="","",IFERROR(IF(INDEX(CODIFICACION!$E$2:$E$500,MATCH("D2.8|"&amp;AT143,CODIFICACION!$F$2:$F$500,0))="sin dato","",INDEX(CODIFICACION!$E$2:$E$500,MATCH("D2.8|"&amp;AT143,CODIFICACION!$F$2:$F$500,0))),"⚠"))</f>
        <v/>
      </c>
      <c r="P143" t="str">
        <f>IF(AU143="","",IFERROR(IF(INDEX(CODIFICACION!$E$2:$E$500,MATCH("D2.9|"&amp;AU143,CODIFICACION!$F$2:$F$500,0))="sin dato","",INDEX(CODIFICACION!$E$2:$E$500,MATCH("D2.9|"&amp;AU143,CODIFICACION!$F$2:$F$500,0))),"⚠"))</f>
        <v/>
      </c>
      <c r="Q143" t="str">
        <f>IF(AV143="","",IFERROR(IF(INDEX(CODIFICACION!$E$2:$E$500,MATCH("D2.10|"&amp;AV143,CODIFICACION!$F$2:$F$500,0))="sin dato","",INDEX(CODIFICACION!$E$2:$E$500,MATCH("D2.10|"&amp;AV143,CODIFICACION!$F$2:$F$500,0))),"⚠"))</f>
        <v/>
      </c>
      <c r="R143" t="str">
        <f>IF(AW143="","",IFERROR(IF(INDEX(CODIFICACION!$E$2:$E$500,MATCH("D2.5a|"&amp;AW143,CODIFICACION!$F$2:$F$500,0))="sin dato","",INDEX(CODIFICACION!$E$2:$E$500,MATCH("D2.5a|"&amp;AW143,CODIFICACION!$F$2:$F$500,0))),"⚠"))</f>
        <v/>
      </c>
      <c r="S143" t="str">
        <f ca="1">IF(AX143="","",IFERROR(IF(INDEX(CODIFICACION!$E$2:$E$500,MATCH("D2.5b|"&amp;AX143,CODIFICACION!$F$2:$F$500,0))="sin dato","",INDEX(CODIFICACION!$E$2:$E$500,MATCH("D2.5b|"&amp;AX143,CODIFICACION!$F$2:$F$500,0))),"⚠"))</f>
        <v/>
      </c>
      <c r="T143" t="str">
        <f t="shared" ca="1" si="104"/>
        <v/>
      </c>
      <c r="U143" t="str">
        <f>IF(AZ143="","",IFERROR(IF(INDEX(CODIFICACION!$E$2:$E$500,MATCH("D3.12|"&amp;AZ143,CODIFICACION!$F$2:$F$500,0))="sin dato","",INDEX(CODIFICACION!$E$2:$E$500,MATCH("D3.12|"&amp;AZ143,CODIFICACION!$F$2:$F$500,0))),"⚠"))</f>
        <v/>
      </c>
      <c r="V143" t="str">
        <f t="shared" si="105"/>
        <v/>
      </c>
      <c r="W143" t="str">
        <f ca="1">IF(BB143="","",IFERROR(IF(INDEX(CODIFICACION!$E$2:$E$500,MATCH("D3.14|"&amp;BB143,CODIFICACION!$F$2:$F$500,0))="sin dato","",INDEX(CODIFICACION!$E$2:$E$500,MATCH("D3.14|"&amp;BB143,CODIFICACION!$F$2:$F$500,0))),"⚠"))</f>
        <v/>
      </c>
      <c r="X143" t="str">
        <f ca="1">IF(BC143="","",IFERROR(IF(INDEX(CODIFICACION!$E$2:$E$500,MATCH("D3.14a|"&amp;BC143,CODIFICACION!$F$2:$F$500,0))="sin dato","",INDEX(CODIFICACION!$E$2:$E$500,MATCH("D3.14a|"&amp;BC143,CODIFICACION!$F$2:$F$500,0))),"⚠"))</f>
        <v/>
      </c>
      <c r="Y143" t="str">
        <f>IF(BD143="","",IFERROR(IF(INDEX(CODIFICACION!$E$2:$E$500,MATCH("D3.14b|"&amp;BD143,CODIFICACION!$F$2:$F$500,0))="sin dato","",INDEX(CODIFICACION!$E$2:$E$500,MATCH("D3.14b|"&amp;BD143,CODIFICACION!$F$2:$F$500,0))),"⚠"))</f>
        <v/>
      </c>
      <c r="Z143" t="str">
        <f>IF(BE143="","",IFERROR(IF(INDEX(CODIFICACION!$E$2:$E$500,MATCH("D3.14c|"&amp;BE143,CODIFICACION!$F$2:$F$500,0))="sin dato","",INDEX(CODIFICACION!$E$2:$E$500,MATCH("D3.14c|"&amp;BE143,CODIFICACION!$F$2:$F$500,0))),"⚠"))</f>
        <v/>
      </c>
      <c r="AA143" t="str">
        <f>IF(BF143="","",IFERROR(IF(INDEX(CODIFICACION!$E$2:$E$500,MATCH("D3.14d|"&amp;BF143,CODIFICACION!$F$2:$F$500,0))="sin dato","",INDEX(CODIFICACION!$E$2:$E$500,MATCH("D3.14d|"&amp;BF143,CODIFICACION!$F$2:$F$500,0))),"⚠"))</f>
        <v/>
      </c>
      <c r="AB143" t="str">
        <f>IF(BG143="","",IFERROR(IF(INDEX(CODIFICACION!$E$2:$E$500,MATCH("D3.14e|"&amp;BG143,CODIFICACION!$F$2:$F$500,0))="sin dato","",INDEX(CODIFICACION!$E$2:$E$500,MATCH("D3.14e|"&amp;BG143,CODIFICACION!$F$2:$F$500,0))),"⚠"))</f>
        <v/>
      </c>
      <c r="AC143" t="str">
        <f>IF(BH143="","",IFERROR(IF(INDEX(CODIFICACION!$E$2:$E$500,MATCH("D3.14f|"&amp;BH143,CODIFICACION!$F$2:$F$500,0))="sin dato","",INDEX(CODIFICACION!$E$2:$E$500,MATCH("D3.14f|"&amp;BH143,CODIFICACION!$F$2:$F$500,0))),"⚠"))</f>
        <v/>
      </c>
      <c r="AD143" t="str">
        <f>IF(BI143="","",IFERROR(IF(INDEX(CODIFICACION!$E$2:$E$500,MATCH("D3.14g|"&amp;BI143,CODIFICACION!$F$2:$F$500,0))="sin dato","",INDEX(CODIFICACION!$E$2:$E$500,MATCH("D3.14g|"&amp;BI143,CODIFICACION!$F$2:$F$500,0))),"⚠"))</f>
        <v/>
      </c>
      <c r="AE143" t="str">
        <f>IF(BJ143="","",IFERROR(IF(INDEX(CODIFICACION!$E$2:$E$500,MATCH("D3.14h|"&amp;BJ143,CODIFICACION!$F$2:$F$500,0))="sin dato","",INDEX(CODIFICACION!$E$2:$E$500,MATCH("D3.14h|"&amp;BJ143,CODIFICACION!$F$2:$F$500,0))),"⚠"))</f>
        <v/>
      </c>
      <c r="AF143" t="str">
        <f>IF(BK143="","",IFERROR(IF(INDEX(CODIFICACION!$E$2:$E$500,MATCH("D3.14i|"&amp;BK143,CODIFICACION!$F$2:$F$500,0))="sin dato","",INDEX(CODIFICACION!$E$2:$E$500,MATCH("D3.14i|"&amp;BK143,CODIFICACION!$F$2:$F$500,0))),"⚠"))</f>
        <v/>
      </c>
      <c r="AG143" t="str">
        <f>IF(BL143="","",IFERROR(IF(INDEX(CODIFICACION!$E$2:$E$500,MATCH("D4.15|"&amp;BL143,CODIFICACION!$F$2:$F$500,0))="sin dato","",INDEX(CODIFICACION!$E$2:$E$500,MATCH("D4.15|"&amp;BL143,CODIFICACION!$F$2:$F$500,0))),"⚠"))</f>
        <v/>
      </c>
      <c r="AH143" t="str">
        <f t="shared" si="106"/>
        <v/>
      </c>
      <c r="AI143" t="str">
        <f>IF(BN143="","",IFERROR(IF(INDEX(CODIFICACION!$E$2:$E$500,MATCH("D4.17|"&amp;BN143,CODIFICACION!$F$2:$F$500,0))="sin dato","",INDEX(CODIFICACION!$E$2:$E$500,MATCH("D4.17|"&amp;BN143,CODIFICACION!$F$2:$F$500,0))),"⚠"))</f>
        <v/>
      </c>
      <c r="AJ143" t="str">
        <f>IF(BO143="","",IFERROR(IF(INDEX(CODIFICACION!$E$2:$E$500,MATCH("D4.15a|"&amp;BO143,CODIFICACION!$F$2:$F$500,0))="sin dato","",INDEX(CODIFICACION!$E$2:$E$500,MATCH("D4.15a|"&amp;BO143,CODIFICACION!$F$2:$F$500,0))),"⚠"))</f>
        <v/>
      </c>
      <c r="AK143" t="str">
        <f t="shared" si="107"/>
        <v/>
      </c>
      <c r="AL143" t="str">
        <f t="shared" si="108"/>
        <v/>
      </c>
      <c r="AM143" t="str">
        <f>IF(BR143="","",IFERROR(IF(INDEX(CODIFICACION!$E$2:$E$500,MATCH("D5.18b|"&amp;BR143,CODIFICACION!$F$2:$F$500,0))="sin dato","",INDEX(CODIFICACION!$E$2:$E$500,MATCH("D5.18b|"&amp;BR143,CODIFICACION!$F$2:$F$500,0))),"⚠"))</f>
        <v/>
      </c>
      <c r="AN143" t="str">
        <f>IF(BS143="","",IFERROR(IF(INDEX(CODIFICACION!$E$2:$E$500,MATCH("D5.19|"&amp;BS143,CODIFICACION!$F$2:$F$500,0))="sin dato","",INDEX(CODIFICACION!$E$2:$E$500,MATCH("D5.19|"&amp;BS143,CODIFICACION!$F$2:$F$500,0))),"⚠"))</f>
        <v/>
      </c>
      <c r="AO143" t="str">
        <f t="shared" si="109"/>
        <v/>
      </c>
      <c r="AP143" t="str">
        <f>IF(BU143="","",IFERROR(IF(INDEX(CODIFICACION!$E$2:$E$500,MATCH("D5.20|"&amp;BU143,CODIFICACION!$F$2:$F$500,0))="sin dato","",INDEX(CODIFICACION!$E$2:$E$500,MATCH("D5.20|"&amp;BU143,CODIFICACION!$F$2:$F$500,0))),"⚠"))</f>
        <v/>
      </c>
      <c r="AQ143" t="str">
        <f>IF(BV143="","",IFERROR(IF(INDEX(CODIFICACION!$E$2:$E$500,MATCH("D5.21|"&amp;BV143,CODIFICACION!$F$2:$F$500,0))="sin dato","",INDEX(CODIFICACION!$E$2:$E$500,MATCH("D5.21|"&amp;BV143,CODIFICACION!$F$2:$F$500,0))),"⚠"))</f>
        <v/>
      </c>
      <c r="AR143" t="str">
        <f>IF(BW143="","",IFERROR(IF(INDEX(CODIFICACION!$E$2:$E$500,MATCH("D5.21a|"&amp;BW143,CODIFICACION!$F$2:$F$500,0))="sin dato","",INDEX(CODIFICACION!$E$2:$E$500,MATCH("D5.21a|"&amp;BW143,CODIFICACION!$F$2:$F$500,0))),"⚠"))</f>
        <v/>
      </c>
      <c r="AS143" t="str">
        <f>IF(BX143="","",IFERROR(IF(INDEX(CODIFICACION!$E$2:$E$500,MATCH("D5.21b|"&amp;BX143,CODIFICACION!$F$2:$F$500,0))="sin dato","",INDEX(CODIFICACION!$E$2:$E$500,MATCH("D5.21b|"&amp;BX143,CODIFICACION!$F$2:$F$500,0))),"⚠"))</f>
        <v/>
      </c>
      <c r="AT143" t="str">
        <f>IF(BY143="","",IFERROR(IF(INDEX(CODIFICACION!$E$2:$E$500,MATCH("D6.22|"&amp;BY143,CODIFICACION!$F$2:$F$500,0))="sin dato","",INDEX(CODIFICACION!$E$2:$E$500,MATCH("D6.22|"&amp;BY143,CODIFICACION!$F$2:$F$500,0))),"⚠"))</f>
        <v/>
      </c>
      <c r="AU143" t="str">
        <f>IF(BZ143="","",IFERROR(IF(INDEX(CODIFICACION!$E$2:$E$500,MATCH("D6.22a|"&amp;BZ143,CODIFICACION!$F$2:$F$500,0))="sin dato","",INDEX(CODIFICACION!$E$2:$E$500,MATCH("D6.22a|"&amp;BZ143,CODIFICACION!$F$2:$F$500,0))),"⚠"))</f>
        <v/>
      </c>
      <c r="AV143" t="str">
        <f>IF(CA143="","",IFERROR(IF(INDEX(CODIFICACION!$E$2:$E$500,MATCH("D6.22b|"&amp;CA143,CODIFICACION!$F$2:$F$500,0))="sin dato","",INDEX(CODIFICACION!$E$2:$E$500,MATCH("D6.22b|"&amp;CA143,CODIFICACION!$F$2:$F$500,0))),"⚠"))</f>
        <v/>
      </c>
      <c r="AW143" t="str">
        <f>IF(CB143="","",IFERROR(IF(INDEX(CODIFICACION!$E$2:$E$500,MATCH("D6.23|"&amp;CB143,CODIFICACION!$F$2:$F$500,0))="sin dato","",INDEX(CODIFICACION!$E$2:$E$500,MATCH("D6.23|"&amp;CB143,CODIFICACION!$F$2:$F$500,0))),"⚠"))</f>
        <v/>
      </c>
      <c r="AX143" t="str">
        <f ca="1">IF(CC143="","",IFERROR(IF(INDEX(CODIFICACION!$E$2:$E$500,MATCH("D6.24|"&amp;CC143,CODIFICACION!$F$2:$F$500,0))="sin dato","",INDEX(CODIFICACION!$E$2:$E$500,MATCH("D6.24|"&amp;CC143,CODIFICACION!$F$2:$F$500,0))),"⚠"))</f>
        <v/>
      </c>
      <c r="AY143" t="str">
        <f ca="1">IF(CD143="","",IFERROR(IF(INDEX(CODIFICACION!$E$2:$E$500,MATCH("D6.25|"&amp;CD143,CODIFICACION!$F$2:$F$500,0))="sin dato","",INDEX(CODIFICACION!$E$2:$E$500,MATCH("D6.25|"&amp;CD143,CODIFICACION!$F$2:$F$500,0))),"⚠"))</f>
        <v/>
      </c>
      <c r="AZ143" t="str">
        <f>IF(CE143="","",IFERROR(IF(INDEX(CODIFICACION!$E$2:$E$500,MATCH("D6.25a|"&amp;CE143,CODIFICACION!$F$2:$F$500,0))="sin dato","",INDEX(CODIFICACION!$E$2:$E$500,MATCH("D6.25a|"&amp;CE143,CODIFICACION!$F$2:$F$500,0))),"⚠"))</f>
        <v/>
      </c>
      <c r="BA143" t="str">
        <f>IF(CF143="","",IFERROR(IF(INDEX(CODIFICACION!$E$2:$E$500,MATCH("D6.25b|"&amp;CF143,CODIFICACION!$F$2:$F$500,0))="sin dato","",INDEX(CODIFICACION!$E$2:$E$500,MATCH("D6.25b|"&amp;CF143,CODIFICACION!$F$2:$F$500,0))),"⚠"))</f>
        <v/>
      </c>
      <c r="BB143" t="str">
        <f ca="1">IF(CG143="","",IFERROR(IF(INDEX(CODIFICACION!$E$2:$E$500,MATCH("D6.22c|"&amp;CG143,CODIFICACION!$F$2:$F$500,0))="sin dato","",INDEX(CODIFICACION!$E$2:$E$500,MATCH("D6.22c|"&amp;CG143,CODIFICACION!$F$2:$F$500,0))),"⚠"))</f>
        <v/>
      </c>
      <c r="BC143" t="str">
        <f ca="1">IF(CH143="","",IFERROR(IF(INDEX(CODIFICACION!$E$2:$E$500,MATCH("D7.26|"&amp;CH143,CODIFICACION!$F$2:$F$500,0))="sin dato","",INDEX(CODIFICACION!$E$2:$E$500,MATCH("D7.26|"&amp;CH143,CODIFICACION!$F$2:$F$500,0))),"⚠"))</f>
        <v/>
      </c>
      <c r="BD143" t="str">
        <f>IF(CI143="","",IFERROR(IF(INDEX(CODIFICACION!$E$2:$E$500,MATCH("D7.27|"&amp;CI143,CODIFICACION!$F$2:$F$500,0))="sin dato","",INDEX(CODIFICACION!$E$2:$E$500,MATCH("D7.27|"&amp;CI143,CODIFICACION!$F$2:$F$500,0))),"⚠"))</f>
        <v/>
      </c>
      <c r="BE143" t="str">
        <f>IF(CJ143="","",IFERROR(IF(INDEX(CODIFICACION!$E$2:$E$500,MATCH("D7.28|"&amp;CJ143,CODIFICACION!$F$2:$F$500,0))="sin dato","",INDEX(CODIFICACION!$E$2:$E$500,MATCH("D7.28|"&amp;CJ143,CODIFICACION!$F$2:$F$500,0))),"⚠"))</f>
        <v/>
      </c>
      <c r="BF143" t="str">
        <f>IF(CK143="","",IFERROR(IF(INDEX(CODIFICACION!$E$2:$E$500,MATCH("D7.28b|"&amp;CK143,CODIFICACION!$F$2:$F$500,0))="sin dato","",INDEX(CODIFICACION!$E$2:$E$500,MATCH("D7.28b|"&amp;CK143,CODIFICACION!$F$2:$F$500,0))),"⚠"))</f>
        <v/>
      </c>
      <c r="BG143" t="str">
        <f t="shared" si="110"/>
        <v/>
      </c>
      <c r="BH143" t="str">
        <f>IF(CM143="","",IFERROR(IF(INDEX(CODIFICACION!$E$2:$E$500,MATCH("D7.26a|"&amp;CM143,CODIFICACION!$F$2:$F$500,0))="sin dato","",INDEX(CODIFICACION!$E$2:$E$500,MATCH("D7.26a|"&amp;CM143,CODIFICACION!$F$2:$F$500,0))),"⚠"))</f>
        <v/>
      </c>
      <c r="BI143" t="str">
        <f>IF(CN143="","",IFERROR(IF(INDEX(CODIFICACION!$E$2:$E$500,MATCH("D7.26b|"&amp;CN143,CODIFICACION!$F$2:$F$500,0))="sin dato","",INDEX(CODIFICACION!$E$2:$E$500,MATCH("D7.26b|"&amp;CN143,CODIFICACION!$F$2:$F$500,0))),"⚠"))</f>
        <v/>
      </c>
      <c r="BJ143" t="str">
        <f t="shared" si="111"/>
        <v/>
      </c>
      <c r="BK143" t="str">
        <f t="shared" si="112"/>
        <v/>
      </c>
      <c r="BL143" t="str">
        <f>IF(CQ143="","",IFERROR(IF(INDEX(CODIFICACION!$E$2:$E$500,MATCH("D8.31|"&amp;CQ143,CODIFICACION!$F$2:$F$500,0))="sin dato","",INDEX(CODIFICACION!$E$2:$E$500,MATCH("D8.31|"&amp;CQ143,CODIFICACION!$F$2:$F$500,0))),"⚠"))</f>
        <v/>
      </c>
      <c r="BM143" t="str">
        <f>IF(CR143="","",IFERROR(IF(INDEX(CODIFICACION!$E$2:$E$500,MATCH("D8.32|"&amp;CR143,CODIFICACION!$F$2:$F$500,0))="sin dato","",INDEX(CODIFICACION!$E$2:$E$500,MATCH("D8.32|"&amp;CR143,CODIFICACION!$F$2:$F$500,0))),"⚠"))</f>
        <v/>
      </c>
      <c r="BN143" t="str">
        <f>IF(CS143="","",IFERROR(IF(INDEX(CODIFICACION!$E$2:$E$500,MATCH("D9.33|"&amp;CS143,CODIFICACION!$F$2:$F$500,0))="sin dato","",INDEX(CODIFICACION!$E$2:$E$500,MATCH("D9.33|"&amp;CS143,CODIFICACION!$F$2:$F$500,0))),"⚠"))</f>
        <v/>
      </c>
      <c r="BO143" t="str">
        <f>IF(CT143="","",IFERROR(IF(INDEX(CODIFICACION!$E$2:$E$500,MATCH("D9.34|"&amp;CT143,CODIFICACION!$F$2:$F$500,0))="sin dato","",INDEX(CODIFICACION!$E$2:$E$500,MATCH("D9.34|"&amp;CT143,CODIFICACION!$F$2:$F$500,0))),"⚠"))</f>
        <v/>
      </c>
      <c r="BP143" t="str">
        <f>IF(CU143="","",IFERROR(IF(INDEX(CODIFICACION!$E$2:$E$500,MATCH("D9.35|"&amp;CU143,CODIFICACION!$F$2:$F$500,0))="sin dato","",INDEX(CODIFICACION!$E$2:$E$500,MATCH("D9.35|"&amp;CU143,CODIFICACION!$F$2:$F$500,0))),"⚠"))</f>
        <v/>
      </c>
      <c r="BQ143" t="str">
        <f>IF(CV143="","",IFERROR(IF(INDEX(CODIFICACION!$E$2:$E$500,MATCH("D10.36|"&amp;CV143,CODIFICACION!$F$2:$F$500,0))="sin dato","",INDEX(CODIFICACION!$E$2:$E$500,MATCH("D10.36|"&amp;CV143,CODIFICACION!$F$2:$F$500,0))),"⚠"))</f>
        <v/>
      </c>
      <c r="BR143" t="str">
        <f>IF(CW143="","",IFERROR(IF(INDEX(CODIFICACION!$E$2:$E$500,MATCH("D10.37|"&amp;CW143,CODIFICACION!$F$2:$F$500,0))="sin dato","",INDEX(CODIFICACION!$E$2:$E$500,MATCH("D10.37|"&amp;CW143,CODIFICACION!$F$2:$F$500,0))),"⚠"))</f>
        <v/>
      </c>
      <c r="BS143" t="str">
        <f>IF(CX143="","",IFERROR(IF(INDEX(CODIFICACION!$E$2:$E$500,MATCH("D10.36a|"&amp;CX143,CODIFICACION!$F$2:$F$500,0))="sin dato","",INDEX(CODIFICACION!$E$2:$E$500,MATCH("D10.36a|"&amp;CX143,CODIFICACION!$F$2:$F$500,0))),"⚠"))</f>
        <v/>
      </c>
      <c r="BT143" t="str">
        <f t="shared" si="113"/>
        <v/>
      </c>
      <c r="BU143" t="str">
        <f>IF(DA143="","",IFERROR(IF(INDEX(CODIFICACION!$E$2:$E$500,MATCH("D11.39a|"&amp;DA143,CODIFICACION!$F$2:$F$500,0))="sin dato","",INDEX(CODIFICACION!$E$2:$E$500,MATCH("D11.39a|"&amp;DA143,CODIFICACION!$F$2:$F$500,0))),"⚠"))</f>
        <v/>
      </c>
      <c r="BV143" t="str">
        <f>IF(DB143="","",IFERROR(IF(INDEX(CODIFICACION!$E$2:$E$500,MATCH("D12.42|"&amp;DB143,CODIFICACION!$F$2:$F$500,0))="sin dato","",INDEX(CODIFICACION!$E$2:$E$500,MATCH("D12.42|"&amp;DB143,CODIFICACION!$F$2:$F$500,0))),"⚠"))</f>
        <v/>
      </c>
      <c r="BW143" t="str">
        <f>IF(DC143="","",IFERROR(IF(INDEX(CODIFICACION!$E$2:$E$500,MATCH("D13.45|"&amp;DC143,CODIFICACION!$F$2:$F$500,0))="sin dato","",INDEX(CODIFICACION!$E$2:$E$500,MATCH("D13.45|"&amp;DC143,CODIFICACION!$F$2:$F$500,0))),"⚠"))</f>
        <v/>
      </c>
      <c r="BX143" t="str">
        <f>IF(DD143="","",IFERROR(IF(INDEX(CODIFICACION!$E$2:$E$500,MATCH("D14.51|"&amp;DD143,CODIFICACION!$F$2:$F$500,0))="sin dato","",INDEX(CODIFICACION!$E$2:$E$500,MATCH("D14.51|"&amp;DD143,CODIFICACION!$F$2:$F$500,0))),"⚠"))</f>
        <v/>
      </c>
      <c r="BY143" t="str">
        <f>IF(DE143="","",IFERROR(IF(INDEX(CODIFICACION!$E$2:$E$500,MATCH("D15.58|"&amp;DE143,CODIFICACION!$F$2:$F$500,0))="sin dato","",INDEX(CODIFICACION!$E$2:$E$500,MATCH("D15.58|"&amp;DE143,CODIFICACION!$F$2:$F$500,0))),"⚠"))</f>
        <v/>
      </c>
      <c r="BZ143" t="str">
        <f>IF(DF143="","",IFERROR(IF(INDEX(CODIFICACION!$E$2:$E$500,MATCH("PP1|"&amp;DF143,CODIFICACION!$F$2:$F$500,0))="sin dato","",INDEX(CODIFICACION!$E$2:$E$500,MATCH("PP1|"&amp;DF143,CODIFICACION!$F$2:$F$500,0))),"⚠"))</f>
        <v/>
      </c>
      <c r="CA143" t="str">
        <f>IF(DG143="","",IFERROR(IF(INDEX(CODIFICACION!$E$2:$E$500,MATCH("PP2|"&amp;DG143,CODIFICACION!$F$2:$F$500,0))="sin dato","",INDEX(CODIFICACION!$E$2:$E$500,MATCH("PP2|"&amp;DG143,CODIFICACION!$F$2:$F$500,0))),"⚠"))</f>
        <v/>
      </c>
      <c r="CB143" t="str">
        <f t="shared" si="114"/>
        <v/>
      </c>
      <c r="CC143" t="str">
        <f t="shared" ca="1" si="115"/>
        <v/>
      </c>
      <c r="CD143" t="str">
        <f t="shared" ca="1" si="116"/>
        <v/>
      </c>
      <c r="CE143" t="str">
        <f t="shared" si="117"/>
        <v/>
      </c>
      <c r="CF143" t="str">
        <f t="shared" si="118"/>
        <v/>
      </c>
      <c r="CG143" t="str">
        <f t="shared" ca="1" si="119"/>
        <v/>
      </c>
      <c r="CH143" t="str">
        <f t="shared" ca="1" si="120"/>
        <v/>
      </c>
      <c r="CI143" t="str">
        <f t="shared" si="121"/>
        <v/>
      </c>
      <c r="CJ143" t="str">
        <f t="shared" si="122"/>
        <v/>
      </c>
      <c r="CK143" t="str">
        <f t="shared" si="123"/>
        <v/>
      </c>
      <c r="CL143" t="str">
        <f t="shared" si="124"/>
        <v/>
      </c>
    </row>
    <row r="144" spans="1:90" x14ac:dyDescent="0.3">
      <c r="A144">
        <f>CAPTURA!A144</f>
        <v>20603829515</v>
      </c>
      <c r="B144">
        <f>CAPTURA!C144</f>
        <v>0</v>
      </c>
      <c r="C144" t="str">
        <f t="shared" si="100"/>
        <v/>
      </c>
      <c r="D144" t="str">
        <f>IF(AE144="","",IFERROR(IF(INDEX(CODIFICACION!$E$2:$E$500,MATCH("P8|"&amp;AE144,CODIFICACION!$F$2:$F$500,0))="sin dato","",INDEX(CODIFICACION!$E$2:$E$500,MATCH("P8|"&amp;AE144,CODIFICACION!$F$2:$F$500,0))),"⚠"))</f>
        <v/>
      </c>
      <c r="E144" t="str">
        <f>IF(AG144="","",IFERROR(IF(INDEX(CODIFICACION!$E$2:$E$500,MATCH("P10|"&amp;AG144,CODIFICACION!$F$2:$F$500,0))="sin dato","",INDEX(CODIFICACION!$E$2:$E$500,MATCH("P10|"&amp;AG144,CODIFICACION!$F$2:$F$500,0))),"⚠"))</f>
        <v/>
      </c>
      <c r="F144" t="str">
        <f>IF(AJ144="","",IFERROR(IF(INDEX(CODIFICACION!$E$2:$E$500,MATCH("P13|"&amp;AJ144,CODIFICACION!$F$2:$F$500,0))="sin dato","",INDEX(CODIFICACION!$E$2:$E$500,MATCH("P13|"&amp;AJ144,CODIFICACION!$F$2:$F$500,0))),"⚠"))</f>
        <v/>
      </c>
      <c r="G144" t="str">
        <f>IF(AK144="","",IFERROR(IF(INDEX(CODIFICACION!$E$2:$E$500,MATCH("P14|"&amp;AK144,CODIFICACION!$F$2:$F$500,0))="sin dato","",INDEX(CODIFICACION!$E$2:$E$500,MATCH("P14|"&amp;AK144,CODIFICACION!$F$2:$F$500,0))),"⚠"))</f>
        <v/>
      </c>
      <c r="H144" t="str">
        <f>IF(AL144="","",IFERROR(IF(INDEX(CODIFICACION!$E$2:$E$500,MATCH("D1.1|"&amp;AL144,CODIFICACION!$F$2:$F$500,0))="sin dato","",INDEX(CODIFICACION!$E$2:$E$500,MATCH("D1.1|"&amp;AL144,CODIFICACION!$F$2:$F$500,0))),"⚠"))</f>
        <v/>
      </c>
      <c r="I144" t="str">
        <f>IF(AN144="","",IFERROR(IF(INDEX(CODIFICACION!$E$2:$E$500,MATCH("D1.3|"&amp;AN144,CODIFICACION!$F$2:$F$500,0))="sin dato","",INDEX(CODIFICACION!$E$2:$E$500,MATCH("D1.3|"&amp;AN144,CODIFICACION!$F$2:$F$500,0))),"⚠"))</f>
        <v/>
      </c>
      <c r="J144" t="str">
        <f>IF(AO144="","",IFERROR(IF(INDEX(CODIFICACION!$E$2:$E$500,MATCH("D1.4|"&amp;AO144,CODIFICACION!$F$2:$F$500,0))="sin dato","",INDEX(CODIFICACION!$E$2:$E$500,MATCH("D1.4|"&amp;AO144,CODIFICACION!$F$2:$F$500,0))),"⚠"))</f>
        <v/>
      </c>
      <c r="K144" t="str">
        <f>IF(AP144="","",IFERROR(IF(INDEX(CODIFICACION!$E$2:$E$500,MATCH("D1.3a|"&amp;AP144,CODIFICACION!$F$2:$F$500,0))="sin dato","",INDEX(CODIFICACION!$E$2:$E$500,MATCH("D1.3a|"&amp;AP144,CODIFICACION!$F$2:$F$500,0))),"⚠"))</f>
        <v/>
      </c>
      <c r="L144" t="str">
        <f t="shared" si="101"/>
        <v/>
      </c>
      <c r="M144" t="str">
        <f t="shared" si="102"/>
        <v/>
      </c>
      <c r="N144" t="str">
        <f t="shared" si="103"/>
        <v/>
      </c>
      <c r="O144" t="str">
        <f>IF(AT144="","",IFERROR(IF(INDEX(CODIFICACION!$E$2:$E$500,MATCH("D2.8|"&amp;AT144,CODIFICACION!$F$2:$F$500,0))="sin dato","",INDEX(CODIFICACION!$E$2:$E$500,MATCH("D2.8|"&amp;AT144,CODIFICACION!$F$2:$F$500,0))),"⚠"))</f>
        <v/>
      </c>
      <c r="P144" t="str">
        <f>IF(AU144="","",IFERROR(IF(INDEX(CODIFICACION!$E$2:$E$500,MATCH("D2.9|"&amp;AU144,CODIFICACION!$F$2:$F$500,0))="sin dato","",INDEX(CODIFICACION!$E$2:$E$500,MATCH("D2.9|"&amp;AU144,CODIFICACION!$F$2:$F$500,0))),"⚠"))</f>
        <v/>
      </c>
      <c r="Q144" t="str">
        <f>IF(AV144="","",IFERROR(IF(INDEX(CODIFICACION!$E$2:$E$500,MATCH("D2.10|"&amp;AV144,CODIFICACION!$F$2:$F$500,0))="sin dato","",INDEX(CODIFICACION!$E$2:$E$500,MATCH("D2.10|"&amp;AV144,CODIFICACION!$F$2:$F$500,0))),"⚠"))</f>
        <v/>
      </c>
      <c r="R144" t="str">
        <f>IF(AW144="","",IFERROR(IF(INDEX(CODIFICACION!$E$2:$E$500,MATCH("D2.5a|"&amp;AW144,CODIFICACION!$F$2:$F$500,0))="sin dato","",INDEX(CODIFICACION!$E$2:$E$500,MATCH("D2.5a|"&amp;AW144,CODIFICACION!$F$2:$F$500,0))),"⚠"))</f>
        <v/>
      </c>
      <c r="S144" t="str">
        <f ca="1">IF(AX144="","",IFERROR(IF(INDEX(CODIFICACION!$E$2:$E$500,MATCH("D2.5b|"&amp;AX144,CODIFICACION!$F$2:$F$500,0))="sin dato","",INDEX(CODIFICACION!$E$2:$E$500,MATCH("D2.5b|"&amp;AX144,CODIFICACION!$F$2:$F$500,0))),"⚠"))</f>
        <v/>
      </c>
      <c r="T144" t="str">
        <f t="shared" ca="1" si="104"/>
        <v/>
      </c>
      <c r="U144" t="str">
        <f>IF(AZ144="","",IFERROR(IF(INDEX(CODIFICACION!$E$2:$E$500,MATCH("D3.12|"&amp;AZ144,CODIFICACION!$F$2:$F$500,0))="sin dato","",INDEX(CODIFICACION!$E$2:$E$500,MATCH("D3.12|"&amp;AZ144,CODIFICACION!$F$2:$F$500,0))),"⚠"))</f>
        <v/>
      </c>
      <c r="V144" t="str">
        <f t="shared" si="105"/>
        <v/>
      </c>
      <c r="W144" t="str">
        <f ca="1">IF(BB144="","",IFERROR(IF(INDEX(CODIFICACION!$E$2:$E$500,MATCH("D3.14|"&amp;BB144,CODIFICACION!$F$2:$F$500,0))="sin dato","",INDEX(CODIFICACION!$E$2:$E$500,MATCH("D3.14|"&amp;BB144,CODIFICACION!$F$2:$F$500,0))),"⚠"))</f>
        <v/>
      </c>
      <c r="X144" t="str">
        <f ca="1">IF(BC144="","",IFERROR(IF(INDEX(CODIFICACION!$E$2:$E$500,MATCH("D3.14a|"&amp;BC144,CODIFICACION!$F$2:$F$500,0))="sin dato","",INDEX(CODIFICACION!$E$2:$E$500,MATCH("D3.14a|"&amp;BC144,CODIFICACION!$F$2:$F$500,0))),"⚠"))</f>
        <v/>
      </c>
      <c r="Y144" t="str">
        <f>IF(BD144="","",IFERROR(IF(INDEX(CODIFICACION!$E$2:$E$500,MATCH("D3.14b|"&amp;BD144,CODIFICACION!$F$2:$F$500,0))="sin dato","",INDEX(CODIFICACION!$E$2:$E$500,MATCH("D3.14b|"&amp;BD144,CODIFICACION!$F$2:$F$500,0))),"⚠"))</f>
        <v/>
      </c>
      <c r="Z144" t="str">
        <f>IF(BE144="","",IFERROR(IF(INDEX(CODIFICACION!$E$2:$E$500,MATCH("D3.14c|"&amp;BE144,CODIFICACION!$F$2:$F$500,0))="sin dato","",INDEX(CODIFICACION!$E$2:$E$500,MATCH("D3.14c|"&amp;BE144,CODIFICACION!$F$2:$F$500,0))),"⚠"))</f>
        <v/>
      </c>
      <c r="AA144" t="str">
        <f>IF(BF144="","",IFERROR(IF(INDEX(CODIFICACION!$E$2:$E$500,MATCH("D3.14d|"&amp;BF144,CODIFICACION!$F$2:$F$500,0))="sin dato","",INDEX(CODIFICACION!$E$2:$E$500,MATCH("D3.14d|"&amp;BF144,CODIFICACION!$F$2:$F$500,0))),"⚠"))</f>
        <v/>
      </c>
      <c r="AB144" t="str">
        <f>IF(BG144="","",IFERROR(IF(INDEX(CODIFICACION!$E$2:$E$500,MATCH("D3.14e|"&amp;BG144,CODIFICACION!$F$2:$F$500,0))="sin dato","",INDEX(CODIFICACION!$E$2:$E$500,MATCH("D3.14e|"&amp;BG144,CODIFICACION!$F$2:$F$500,0))),"⚠"))</f>
        <v/>
      </c>
      <c r="AC144" t="str">
        <f>IF(BH144="","",IFERROR(IF(INDEX(CODIFICACION!$E$2:$E$500,MATCH("D3.14f|"&amp;BH144,CODIFICACION!$F$2:$F$500,0))="sin dato","",INDEX(CODIFICACION!$E$2:$E$500,MATCH("D3.14f|"&amp;BH144,CODIFICACION!$F$2:$F$500,0))),"⚠"))</f>
        <v/>
      </c>
      <c r="AD144" t="str">
        <f>IF(BI144="","",IFERROR(IF(INDEX(CODIFICACION!$E$2:$E$500,MATCH("D3.14g|"&amp;BI144,CODIFICACION!$F$2:$F$500,0))="sin dato","",INDEX(CODIFICACION!$E$2:$E$500,MATCH("D3.14g|"&amp;BI144,CODIFICACION!$F$2:$F$500,0))),"⚠"))</f>
        <v/>
      </c>
      <c r="AE144" t="str">
        <f>IF(BJ144="","",IFERROR(IF(INDEX(CODIFICACION!$E$2:$E$500,MATCH("D3.14h|"&amp;BJ144,CODIFICACION!$F$2:$F$500,0))="sin dato","",INDEX(CODIFICACION!$E$2:$E$500,MATCH("D3.14h|"&amp;BJ144,CODIFICACION!$F$2:$F$500,0))),"⚠"))</f>
        <v/>
      </c>
      <c r="AF144" t="str">
        <f>IF(BK144="","",IFERROR(IF(INDEX(CODIFICACION!$E$2:$E$500,MATCH("D3.14i|"&amp;BK144,CODIFICACION!$F$2:$F$500,0))="sin dato","",INDEX(CODIFICACION!$E$2:$E$500,MATCH("D3.14i|"&amp;BK144,CODIFICACION!$F$2:$F$500,0))),"⚠"))</f>
        <v/>
      </c>
      <c r="AG144" t="str">
        <f>IF(BL144="","",IFERROR(IF(INDEX(CODIFICACION!$E$2:$E$500,MATCH("D4.15|"&amp;BL144,CODIFICACION!$F$2:$F$500,0))="sin dato","",INDEX(CODIFICACION!$E$2:$E$500,MATCH("D4.15|"&amp;BL144,CODIFICACION!$F$2:$F$500,0))),"⚠"))</f>
        <v/>
      </c>
      <c r="AH144" t="str">
        <f t="shared" si="106"/>
        <v/>
      </c>
      <c r="AI144" t="str">
        <f>IF(BN144="","",IFERROR(IF(INDEX(CODIFICACION!$E$2:$E$500,MATCH("D4.17|"&amp;BN144,CODIFICACION!$F$2:$F$500,0))="sin dato","",INDEX(CODIFICACION!$E$2:$E$500,MATCH("D4.17|"&amp;BN144,CODIFICACION!$F$2:$F$500,0))),"⚠"))</f>
        <v/>
      </c>
      <c r="AJ144" t="str">
        <f>IF(BO144="","",IFERROR(IF(INDEX(CODIFICACION!$E$2:$E$500,MATCH("D4.15a|"&amp;BO144,CODIFICACION!$F$2:$F$500,0))="sin dato","",INDEX(CODIFICACION!$E$2:$E$500,MATCH("D4.15a|"&amp;BO144,CODIFICACION!$F$2:$F$500,0))),"⚠"))</f>
        <v/>
      </c>
      <c r="AK144" t="str">
        <f t="shared" si="107"/>
        <v/>
      </c>
      <c r="AL144" t="str">
        <f t="shared" si="108"/>
        <v/>
      </c>
      <c r="AM144" t="str">
        <f>IF(BR144="","",IFERROR(IF(INDEX(CODIFICACION!$E$2:$E$500,MATCH("D5.18b|"&amp;BR144,CODIFICACION!$F$2:$F$500,0))="sin dato","",INDEX(CODIFICACION!$E$2:$E$500,MATCH("D5.18b|"&amp;BR144,CODIFICACION!$F$2:$F$500,0))),"⚠"))</f>
        <v/>
      </c>
      <c r="AN144" t="str">
        <f>IF(BS144="","",IFERROR(IF(INDEX(CODIFICACION!$E$2:$E$500,MATCH("D5.19|"&amp;BS144,CODIFICACION!$F$2:$F$500,0))="sin dato","",INDEX(CODIFICACION!$E$2:$E$500,MATCH("D5.19|"&amp;BS144,CODIFICACION!$F$2:$F$500,0))),"⚠"))</f>
        <v/>
      </c>
      <c r="AO144" t="str">
        <f t="shared" si="109"/>
        <v/>
      </c>
      <c r="AP144" t="str">
        <f>IF(BU144="","",IFERROR(IF(INDEX(CODIFICACION!$E$2:$E$500,MATCH("D5.20|"&amp;BU144,CODIFICACION!$F$2:$F$500,0))="sin dato","",INDEX(CODIFICACION!$E$2:$E$500,MATCH("D5.20|"&amp;BU144,CODIFICACION!$F$2:$F$500,0))),"⚠"))</f>
        <v/>
      </c>
      <c r="AQ144" t="str">
        <f>IF(BV144="","",IFERROR(IF(INDEX(CODIFICACION!$E$2:$E$500,MATCH("D5.21|"&amp;BV144,CODIFICACION!$F$2:$F$500,0))="sin dato","",INDEX(CODIFICACION!$E$2:$E$500,MATCH("D5.21|"&amp;BV144,CODIFICACION!$F$2:$F$500,0))),"⚠"))</f>
        <v/>
      </c>
      <c r="AR144" t="str">
        <f>IF(BW144="","",IFERROR(IF(INDEX(CODIFICACION!$E$2:$E$500,MATCH("D5.21a|"&amp;BW144,CODIFICACION!$F$2:$F$500,0))="sin dato","",INDEX(CODIFICACION!$E$2:$E$500,MATCH("D5.21a|"&amp;BW144,CODIFICACION!$F$2:$F$500,0))),"⚠"))</f>
        <v/>
      </c>
      <c r="AS144" t="str">
        <f>IF(BX144="","",IFERROR(IF(INDEX(CODIFICACION!$E$2:$E$500,MATCH("D5.21b|"&amp;BX144,CODIFICACION!$F$2:$F$500,0))="sin dato","",INDEX(CODIFICACION!$E$2:$E$500,MATCH("D5.21b|"&amp;BX144,CODIFICACION!$F$2:$F$500,0))),"⚠"))</f>
        <v/>
      </c>
      <c r="AT144" t="str">
        <f>IF(BY144="","",IFERROR(IF(INDEX(CODIFICACION!$E$2:$E$500,MATCH("D6.22|"&amp;BY144,CODIFICACION!$F$2:$F$500,0))="sin dato","",INDEX(CODIFICACION!$E$2:$E$500,MATCH("D6.22|"&amp;BY144,CODIFICACION!$F$2:$F$500,0))),"⚠"))</f>
        <v/>
      </c>
      <c r="AU144" t="str">
        <f>IF(BZ144="","",IFERROR(IF(INDEX(CODIFICACION!$E$2:$E$500,MATCH("D6.22a|"&amp;BZ144,CODIFICACION!$F$2:$F$500,0))="sin dato","",INDEX(CODIFICACION!$E$2:$E$500,MATCH("D6.22a|"&amp;BZ144,CODIFICACION!$F$2:$F$500,0))),"⚠"))</f>
        <v/>
      </c>
      <c r="AV144" t="str">
        <f>IF(CA144="","",IFERROR(IF(INDEX(CODIFICACION!$E$2:$E$500,MATCH("D6.22b|"&amp;CA144,CODIFICACION!$F$2:$F$500,0))="sin dato","",INDEX(CODIFICACION!$E$2:$E$500,MATCH("D6.22b|"&amp;CA144,CODIFICACION!$F$2:$F$500,0))),"⚠"))</f>
        <v/>
      </c>
      <c r="AW144" t="str">
        <f>IF(CB144="","",IFERROR(IF(INDEX(CODIFICACION!$E$2:$E$500,MATCH("D6.23|"&amp;CB144,CODIFICACION!$F$2:$F$500,0))="sin dato","",INDEX(CODIFICACION!$E$2:$E$500,MATCH("D6.23|"&amp;CB144,CODIFICACION!$F$2:$F$500,0))),"⚠"))</f>
        <v/>
      </c>
      <c r="AX144" t="str">
        <f ca="1">IF(CC144="","",IFERROR(IF(INDEX(CODIFICACION!$E$2:$E$500,MATCH("D6.24|"&amp;CC144,CODIFICACION!$F$2:$F$500,0))="sin dato","",INDEX(CODIFICACION!$E$2:$E$500,MATCH("D6.24|"&amp;CC144,CODIFICACION!$F$2:$F$500,0))),"⚠"))</f>
        <v/>
      </c>
      <c r="AY144" t="str">
        <f ca="1">IF(CD144="","",IFERROR(IF(INDEX(CODIFICACION!$E$2:$E$500,MATCH("D6.25|"&amp;CD144,CODIFICACION!$F$2:$F$500,0))="sin dato","",INDEX(CODIFICACION!$E$2:$E$500,MATCH("D6.25|"&amp;CD144,CODIFICACION!$F$2:$F$500,0))),"⚠"))</f>
        <v/>
      </c>
      <c r="AZ144" t="str">
        <f>IF(CE144="","",IFERROR(IF(INDEX(CODIFICACION!$E$2:$E$500,MATCH("D6.25a|"&amp;CE144,CODIFICACION!$F$2:$F$500,0))="sin dato","",INDEX(CODIFICACION!$E$2:$E$500,MATCH("D6.25a|"&amp;CE144,CODIFICACION!$F$2:$F$500,0))),"⚠"))</f>
        <v/>
      </c>
      <c r="BA144" t="str">
        <f>IF(CF144="","",IFERROR(IF(INDEX(CODIFICACION!$E$2:$E$500,MATCH("D6.25b|"&amp;CF144,CODIFICACION!$F$2:$F$500,0))="sin dato","",INDEX(CODIFICACION!$E$2:$E$500,MATCH("D6.25b|"&amp;CF144,CODIFICACION!$F$2:$F$500,0))),"⚠"))</f>
        <v/>
      </c>
      <c r="BB144" t="str">
        <f ca="1">IF(CG144="","",IFERROR(IF(INDEX(CODIFICACION!$E$2:$E$500,MATCH("D6.22c|"&amp;CG144,CODIFICACION!$F$2:$F$500,0))="sin dato","",INDEX(CODIFICACION!$E$2:$E$500,MATCH("D6.22c|"&amp;CG144,CODIFICACION!$F$2:$F$500,0))),"⚠"))</f>
        <v/>
      </c>
      <c r="BC144" t="str">
        <f ca="1">IF(CH144="","",IFERROR(IF(INDEX(CODIFICACION!$E$2:$E$500,MATCH("D7.26|"&amp;CH144,CODIFICACION!$F$2:$F$500,0))="sin dato","",INDEX(CODIFICACION!$E$2:$E$500,MATCH("D7.26|"&amp;CH144,CODIFICACION!$F$2:$F$500,0))),"⚠"))</f>
        <v/>
      </c>
      <c r="BD144" t="str">
        <f>IF(CI144="","",IFERROR(IF(INDEX(CODIFICACION!$E$2:$E$500,MATCH("D7.27|"&amp;CI144,CODIFICACION!$F$2:$F$500,0))="sin dato","",INDEX(CODIFICACION!$E$2:$E$500,MATCH("D7.27|"&amp;CI144,CODIFICACION!$F$2:$F$500,0))),"⚠"))</f>
        <v/>
      </c>
      <c r="BE144" t="str">
        <f>IF(CJ144="","",IFERROR(IF(INDEX(CODIFICACION!$E$2:$E$500,MATCH("D7.28|"&amp;CJ144,CODIFICACION!$F$2:$F$500,0))="sin dato","",INDEX(CODIFICACION!$E$2:$E$500,MATCH("D7.28|"&amp;CJ144,CODIFICACION!$F$2:$F$500,0))),"⚠"))</f>
        <v/>
      </c>
      <c r="BF144" t="str">
        <f>IF(CK144="","",IFERROR(IF(INDEX(CODIFICACION!$E$2:$E$500,MATCH("D7.28b|"&amp;CK144,CODIFICACION!$F$2:$F$500,0))="sin dato","",INDEX(CODIFICACION!$E$2:$E$500,MATCH("D7.28b|"&amp;CK144,CODIFICACION!$F$2:$F$500,0))),"⚠"))</f>
        <v/>
      </c>
      <c r="BG144" t="str">
        <f t="shared" si="110"/>
        <v/>
      </c>
      <c r="BH144" t="str">
        <f>IF(CM144="","",IFERROR(IF(INDEX(CODIFICACION!$E$2:$E$500,MATCH("D7.26a|"&amp;CM144,CODIFICACION!$F$2:$F$500,0))="sin dato","",INDEX(CODIFICACION!$E$2:$E$500,MATCH("D7.26a|"&amp;CM144,CODIFICACION!$F$2:$F$500,0))),"⚠"))</f>
        <v/>
      </c>
      <c r="BI144" t="str">
        <f>IF(CN144="","",IFERROR(IF(INDEX(CODIFICACION!$E$2:$E$500,MATCH("D7.26b|"&amp;CN144,CODIFICACION!$F$2:$F$500,0))="sin dato","",INDEX(CODIFICACION!$E$2:$E$500,MATCH("D7.26b|"&amp;CN144,CODIFICACION!$F$2:$F$500,0))),"⚠"))</f>
        <v/>
      </c>
      <c r="BJ144" t="str">
        <f t="shared" si="111"/>
        <v/>
      </c>
      <c r="BK144" t="str">
        <f t="shared" si="112"/>
        <v/>
      </c>
      <c r="BL144" t="str">
        <f>IF(CQ144="","",IFERROR(IF(INDEX(CODIFICACION!$E$2:$E$500,MATCH("D8.31|"&amp;CQ144,CODIFICACION!$F$2:$F$500,0))="sin dato","",INDEX(CODIFICACION!$E$2:$E$500,MATCH("D8.31|"&amp;CQ144,CODIFICACION!$F$2:$F$500,0))),"⚠"))</f>
        <v/>
      </c>
      <c r="BM144" t="str">
        <f>IF(CR144="","",IFERROR(IF(INDEX(CODIFICACION!$E$2:$E$500,MATCH("D8.32|"&amp;CR144,CODIFICACION!$F$2:$F$500,0))="sin dato","",INDEX(CODIFICACION!$E$2:$E$500,MATCH("D8.32|"&amp;CR144,CODIFICACION!$F$2:$F$500,0))),"⚠"))</f>
        <v/>
      </c>
      <c r="BN144" t="str">
        <f>IF(CS144="","",IFERROR(IF(INDEX(CODIFICACION!$E$2:$E$500,MATCH("D9.33|"&amp;CS144,CODIFICACION!$F$2:$F$500,0))="sin dato","",INDEX(CODIFICACION!$E$2:$E$500,MATCH("D9.33|"&amp;CS144,CODIFICACION!$F$2:$F$500,0))),"⚠"))</f>
        <v/>
      </c>
      <c r="BO144" t="str">
        <f>IF(CT144="","",IFERROR(IF(INDEX(CODIFICACION!$E$2:$E$500,MATCH("D9.34|"&amp;CT144,CODIFICACION!$F$2:$F$500,0))="sin dato","",INDEX(CODIFICACION!$E$2:$E$500,MATCH("D9.34|"&amp;CT144,CODIFICACION!$F$2:$F$500,0))),"⚠"))</f>
        <v/>
      </c>
      <c r="BP144" t="str">
        <f>IF(CU144="","",IFERROR(IF(INDEX(CODIFICACION!$E$2:$E$500,MATCH("D9.35|"&amp;CU144,CODIFICACION!$F$2:$F$500,0))="sin dato","",INDEX(CODIFICACION!$E$2:$E$500,MATCH("D9.35|"&amp;CU144,CODIFICACION!$F$2:$F$500,0))),"⚠"))</f>
        <v/>
      </c>
      <c r="BQ144" t="str">
        <f>IF(CV144="","",IFERROR(IF(INDEX(CODIFICACION!$E$2:$E$500,MATCH("D10.36|"&amp;CV144,CODIFICACION!$F$2:$F$500,0))="sin dato","",INDEX(CODIFICACION!$E$2:$E$500,MATCH("D10.36|"&amp;CV144,CODIFICACION!$F$2:$F$500,0))),"⚠"))</f>
        <v/>
      </c>
      <c r="BR144" t="str">
        <f>IF(CW144="","",IFERROR(IF(INDEX(CODIFICACION!$E$2:$E$500,MATCH("D10.37|"&amp;CW144,CODIFICACION!$F$2:$F$500,0))="sin dato","",INDEX(CODIFICACION!$E$2:$E$500,MATCH("D10.37|"&amp;CW144,CODIFICACION!$F$2:$F$500,0))),"⚠"))</f>
        <v/>
      </c>
      <c r="BS144" t="str">
        <f>IF(CX144="","",IFERROR(IF(INDEX(CODIFICACION!$E$2:$E$500,MATCH("D10.36a|"&amp;CX144,CODIFICACION!$F$2:$F$500,0))="sin dato","",INDEX(CODIFICACION!$E$2:$E$500,MATCH("D10.36a|"&amp;CX144,CODIFICACION!$F$2:$F$500,0))),"⚠"))</f>
        <v/>
      </c>
      <c r="BT144" t="str">
        <f t="shared" si="113"/>
        <v/>
      </c>
      <c r="BU144" t="str">
        <f>IF(DA144="","",IFERROR(IF(INDEX(CODIFICACION!$E$2:$E$500,MATCH("D11.39a|"&amp;DA144,CODIFICACION!$F$2:$F$500,0))="sin dato","",INDEX(CODIFICACION!$E$2:$E$500,MATCH("D11.39a|"&amp;DA144,CODIFICACION!$F$2:$F$500,0))),"⚠"))</f>
        <v/>
      </c>
      <c r="BV144" t="str">
        <f>IF(DB144="","",IFERROR(IF(INDEX(CODIFICACION!$E$2:$E$500,MATCH("D12.42|"&amp;DB144,CODIFICACION!$F$2:$F$500,0))="sin dato","",INDEX(CODIFICACION!$E$2:$E$500,MATCH("D12.42|"&amp;DB144,CODIFICACION!$F$2:$F$500,0))),"⚠"))</f>
        <v/>
      </c>
      <c r="BW144" t="str">
        <f>IF(DC144="","",IFERROR(IF(INDEX(CODIFICACION!$E$2:$E$500,MATCH("D13.45|"&amp;DC144,CODIFICACION!$F$2:$F$500,0))="sin dato","",INDEX(CODIFICACION!$E$2:$E$500,MATCH("D13.45|"&amp;DC144,CODIFICACION!$F$2:$F$500,0))),"⚠"))</f>
        <v/>
      </c>
      <c r="BX144" t="str">
        <f>IF(DD144="","",IFERROR(IF(INDEX(CODIFICACION!$E$2:$E$500,MATCH("D14.51|"&amp;DD144,CODIFICACION!$F$2:$F$500,0))="sin dato","",INDEX(CODIFICACION!$E$2:$E$500,MATCH("D14.51|"&amp;DD144,CODIFICACION!$F$2:$F$500,0))),"⚠"))</f>
        <v/>
      </c>
      <c r="BY144" t="str">
        <f>IF(DE144="","",IFERROR(IF(INDEX(CODIFICACION!$E$2:$E$500,MATCH("D15.58|"&amp;DE144,CODIFICACION!$F$2:$F$500,0))="sin dato","",INDEX(CODIFICACION!$E$2:$E$500,MATCH("D15.58|"&amp;DE144,CODIFICACION!$F$2:$F$500,0))),"⚠"))</f>
        <v/>
      </c>
      <c r="BZ144" t="str">
        <f>IF(DF144="","",IFERROR(IF(INDEX(CODIFICACION!$E$2:$E$500,MATCH("PP1|"&amp;DF144,CODIFICACION!$F$2:$F$500,0))="sin dato","",INDEX(CODIFICACION!$E$2:$E$500,MATCH("PP1|"&amp;DF144,CODIFICACION!$F$2:$F$500,0))),"⚠"))</f>
        <v/>
      </c>
      <c r="CA144" t="str">
        <f>IF(DG144="","",IFERROR(IF(INDEX(CODIFICACION!$E$2:$E$500,MATCH("PP2|"&amp;DG144,CODIFICACION!$F$2:$F$500,0))="sin dato","",INDEX(CODIFICACION!$E$2:$E$500,MATCH("PP2|"&amp;DG144,CODIFICACION!$F$2:$F$500,0))),"⚠"))</f>
        <v/>
      </c>
      <c r="CB144" t="str">
        <f t="shared" si="114"/>
        <v/>
      </c>
      <c r="CC144" t="str">
        <f t="shared" ca="1" si="115"/>
        <v/>
      </c>
      <c r="CD144" t="str">
        <f t="shared" ca="1" si="116"/>
        <v/>
      </c>
      <c r="CE144" t="str">
        <f t="shared" si="117"/>
        <v/>
      </c>
      <c r="CF144" t="str">
        <f t="shared" si="118"/>
        <v/>
      </c>
      <c r="CG144" t="str">
        <f t="shared" ca="1" si="119"/>
        <v/>
      </c>
      <c r="CH144" t="str">
        <f t="shared" ca="1" si="120"/>
        <v/>
      </c>
      <c r="CI144" t="str">
        <f t="shared" si="121"/>
        <v/>
      </c>
      <c r="CJ144" t="str">
        <f t="shared" si="122"/>
        <v/>
      </c>
      <c r="CK144" t="str">
        <f t="shared" si="123"/>
        <v/>
      </c>
      <c r="CL144" t="str">
        <f t="shared" si="124"/>
        <v/>
      </c>
    </row>
    <row r="145" spans="1:90" x14ac:dyDescent="0.3">
      <c r="A145">
        <f>CAPTURA!A145</f>
        <v>20603842511</v>
      </c>
      <c r="B145">
        <f>CAPTURA!C145</f>
        <v>0</v>
      </c>
      <c r="C145" t="str">
        <f t="shared" si="100"/>
        <v/>
      </c>
      <c r="D145" t="str">
        <f>IF(AE145="","",IFERROR(IF(INDEX(CODIFICACION!$E$2:$E$500,MATCH("P8|"&amp;AE145,CODIFICACION!$F$2:$F$500,0))="sin dato","",INDEX(CODIFICACION!$E$2:$E$500,MATCH("P8|"&amp;AE145,CODIFICACION!$F$2:$F$500,0))),"⚠"))</f>
        <v/>
      </c>
      <c r="E145" t="str">
        <f>IF(AG145="","",IFERROR(IF(INDEX(CODIFICACION!$E$2:$E$500,MATCH("P10|"&amp;AG145,CODIFICACION!$F$2:$F$500,0))="sin dato","",INDEX(CODIFICACION!$E$2:$E$500,MATCH("P10|"&amp;AG145,CODIFICACION!$F$2:$F$500,0))),"⚠"))</f>
        <v/>
      </c>
      <c r="F145" t="str">
        <f>IF(AJ145="","",IFERROR(IF(INDEX(CODIFICACION!$E$2:$E$500,MATCH("P13|"&amp;AJ145,CODIFICACION!$F$2:$F$500,0))="sin dato","",INDEX(CODIFICACION!$E$2:$E$500,MATCH("P13|"&amp;AJ145,CODIFICACION!$F$2:$F$500,0))),"⚠"))</f>
        <v/>
      </c>
      <c r="G145" t="str">
        <f>IF(AK145="","",IFERROR(IF(INDEX(CODIFICACION!$E$2:$E$500,MATCH("P14|"&amp;AK145,CODIFICACION!$F$2:$F$500,0))="sin dato","",INDEX(CODIFICACION!$E$2:$E$500,MATCH("P14|"&amp;AK145,CODIFICACION!$F$2:$F$500,0))),"⚠"))</f>
        <v/>
      </c>
      <c r="H145" t="str">
        <f>IF(AL145="","",IFERROR(IF(INDEX(CODIFICACION!$E$2:$E$500,MATCH("D1.1|"&amp;AL145,CODIFICACION!$F$2:$F$500,0))="sin dato","",INDEX(CODIFICACION!$E$2:$E$500,MATCH("D1.1|"&amp;AL145,CODIFICACION!$F$2:$F$500,0))),"⚠"))</f>
        <v/>
      </c>
      <c r="I145" t="str">
        <f>IF(AN145="","",IFERROR(IF(INDEX(CODIFICACION!$E$2:$E$500,MATCH("D1.3|"&amp;AN145,CODIFICACION!$F$2:$F$500,0))="sin dato","",INDEX(CODIFICACION!$E$2:$E$500,MATCH("D1.3|"&amp;AN145,CODIFICACION!$F$2:$F$500,0))),"⚠"))</f>
        <v/>
      </c>
      <c r="J145" t="str">
        <f>IF(AO145="","",IFERROR(IF(INDEX(CODIFICACION!$E$2:$E$500,MATCH("D1.4|"&amp;AO145,CODIFICACION!$F$2:$F$500,0))="sin dato","",INDEX(CODIFICACION!$E$2:$E$500,MATCH("D1.4|"&amp;AO145,CODIFICACION!$F$2:$F$500,0))),"⚠"))</f>
        <v/>
      </c>
      <c r="K145" t="str">
        <f>IF(AP145="","",IFERROR(IF(INDEX(CODIFICACION!$E$2:$E$500,MATCH("D1.3a|"&amp;AP145,CODIFICACION!$F$2:$F$500,0))="sin dato","",INDEX(CODIFICACION!$E$2:$E$500,MATCH("D1.3a|"&amp;AP145,CODIFICACION!$F$2:$F$500,0))),"⚠"))</f>
        <v/>
      </c>
      <c r="L145" t="str">
        <f t="shared" si="101"/>
        <v/>
      </c>
      <c r="M145" t="str">
        <f t="shared" si="102"/>
        <v/>
      </c>
      <c r="N145" t="str">
        <f t="shared" si="103"/>
        <v/>
      </c>
      <c r="O145" t="str">
        <f>IF(AT145="","",IFERROR(IF(INDEX(CODIFICACION!$E$2:$E$500,MATCH("D2.8|"&amp;AT145,CODIFICACION!$F$2:$F$500,0))="sin dato","",INDEX(CODIFICACION!$E$2:$E$500,MATCH("D2.8|"&amp;AT145,CODIFICACION!$F$2:$F$500,0))),"⚠"))</f>
        <v/>
      </c>
      <c r="P145" t="str">
        <f>IF(AU145="","",IFERROR(IF(INDEX(CODIFICACION!$E$2:$E$500,MATCH("D2.9|"&amp;AU145,CODIFICACION!$F$2:$F$500,0))="sin dato","",INDEX(CODIFICACION!$E$2:$E$500,MATCH("D2.9|"&amp;AU145,CODIFICACION!$F$2:$F$500,0))),"⚠"))</f>
        <v/>
      </c>
      <c r="Q145" t="str">
        <f>IF(AV145="","",IFERROR(IF(INDEX(CODIFICACION!$E$2:$E$500,MATCH("D2.10|"&amp;AV145,CODIFICACION!$F$2:$F$500,0))="sin dato","",INDEX(CODIFICACION!$E$2:$E$500,MATCH("D2.10|"&amp;AV145,CODIFICACION!$F$2:$F$500,0))),"⚠"))</f>
        <v/>
      </c>
      <c r="R145" t="str">
        <f>IF(AW145="","",IFERROR(IF(INDEX(CODIFICACION!$E$2:$E$500,MATCH("D2.5a|"&amp;AW145,CODIFICACION!$F$2:$F$500,0))="sin dato","",INDEX(CODIFICACION!$E$2:$E$500,MATCH("D2.5a|"&amp;AW145,CODIFICACION!$F$2:$F$500,0))),"⚠"))</f>
        <v/>
      </c>
      <c r="S145" t="str">
        <f ca="1">IF(AX145="","",IFERROR(IF(INDEX(CODIFICACION!$E$2:$E$500,MATCH("D2.5b|"&amp;AX145,CODIFICACION!$F$2:$F$500,0))="sin dato","",INDEX(CODIFICACION!$E$2:$E$500,MATCH("D2.5b|"&amp;AX145,CODIFICACION!$F$2:$F$500,0))),"⚠"))</f>
        <v/>
      </c>
      <c r="T145" t="str">
        <f t="shared" ca="1" si="104"/>
        <v/>
      </c>
      <c r="U145" t="str">
        <f>IF(AZ145="","",IFERROR(IF(INDEX(CODIFICACION!$E$2:$E$500,MATCH("D3.12|"&amp;AZ145,CODIFICACION!$F$2:$F$500,0))="sin dato","",INDEX(CODIFICACION!$E$2:$E$500,MATCH("D3.12|"&amp;AZ145,CODIFICACION!$F$2:$F$500,0))),"⚠"))</f>
        <v/>
      </c>
      <c r="V145" t="str">
        <f t="shared" si="105"/>
        <v/>
      </c>
      <c r="W145" t="str">
        <f ca="1">IF(BB145="","",IFERROR(IF(INDEX(CODIFICACION!$E$2:$E$500,MATCH("D3.14|"&amp;BB145,CODIFICACION!$F$2:$F$500,0))="sin dato","",INDEX(CODIFICACION!$E$2:$E$500,MATCH("D3.14|"&amp;BB145,CODIFICACION!$F$2:$F$500,0))),"⚠"))</f>
        <v/>
      </c>
      <c r="X145" t="str">
        <f ca="1">IF(BC145="","",IFERROR(IF(INDEX(CODIFICACION!$E$2:$E$500,MATCH("D3.14a|"&amp;BC145,CODIFICACION!$F$2:$F$500,0))="sin dato","",INDEX(CODIFICACION!$E$2:$E$500,MATCH("D3.14a|"&amp;BC145,CODIFICACION!$F$2:$F$500,0))),"⚠"))</f>
        <v/>
      </c>
      <c r="Y145" t="str">
        <f>IF(BD145="","",IFERROR(IF(INDEX(CODIFICACION!$E$2:$E$500,MATCH("D3.14b|"&amp;BD145,CODIFICACION!$F$2:$F$500,0))="sin dato","",INDEX(CODIFICACION!$E$2:$E$500,MATCH("D3.14b|"&amp;BD145,CODIFICACION!$F$2:$F$500,0))),"⚠"))</f>
        <v/>
      </c>
      <c r="Z145" t="str">
        <f>IF(BE145="","",IFERROR(IF(INDEX(CODIFICACION!$E$2:$E$500,MATCH("D3.14c|"&amp;BE145,CODIFICACION!$F$2:$F$500,0))="sin dato","",INDEX(CODIFICACION!$E$2:$E$500,MATCH("D3.14c|"&amp;BE145,CODIFICACION!$F$2:$F$500,0))),"⚠"))</f>
        <v/>
      </c>
      <c r="AA145" t="str">
        <f>IF(BF145="","",IFERROR(IF(INDEX(CODIFICACION!$E$2:$E$500,MATCH("D3.14d|"&amp;BF145,CODIFICACION!$F$2:$F$500,0))="sin dato","",INDEX(CODIFICACION!$E$2:$E$500,MATCH("D3.14d|"&amp;BF145,CODIFICACION!$F$2:$F$500,0))),"⚠"))</f>
        <v/>
      </c>
      <c r="AB145" t="str">
        <f>IF(BG145="","",IFERROR(IF(INDEX(CODIFICACION!$E$2:$E$500,MATCH("D3.14e|"&amp;BG145,CODIFICACION!$F$2:$F$500,0))="sin dato","",INDEX(CODIFICACION!$E$2:$E$500,MATCH("D3.14e|"&amp;BG145,CODIFICACION!$F$2:$F$500,0))),"⚠"))</f>
        <v/>
      </c>
      <c r="AC145" t="str">
        <f>IF(BH145="","",IFERROR(IF(INDEX(CODIFICACION!$E$2:$E$500,MATCH("D3.14f|"&amp;BH145,CODIFICACION!$F$2:$F$500,0))="sin dato","",INDEX(CODIFICACION!$E$2:$E$500,MATCH("D3.14f|"&amp;BH145,CODIFICACION!$F$2:$F$500,0))),"⚠"))</f>
        <v/>
      </c>
      <c r="AD145" t="str">
        <f>IF(BI145="","",IFERROR(IF(INDEX(CODIFICACION!$E$2:$E$500,MATCH("D3.14g|"&amp;BI145,CODIFICACION!$F$2:$F$500,0))="sin dato","",INDEX(CODIFICACION!$E$2:$E$500,MATCH("D3.14g|"&amp;BI145,CODIFICACION!$F$2:$F$500,0))),"⚠"))</f>
        <v/>
      </c>
      <c r="AE145" t="str">
        <f>IF(BJ145="","",IFERROR(IF(INDEX(CODIFICACION!$E$2:$E$500,MATCH("D3.14h|"&amp;BJ145,CODIFICACION!$F$2:$F$500,0))="sin dato","",INDEX(CODIFICACION!$E$2:$E$500,MATCH("D3.14h|"&amp;BJ145,CODIFICACION!$F$2:$F$500,0))),"⚠"))</f>
        <v/>
      </c>
      <c r="AF145" t="str">
        <f>IF(BK145="","",IFERROR(IF(INDEX(CODIFICACION!$E$2:$E$500,MATCH("D3.14i|"&amp;BK145,CODIFICACION!$F$2:$F$500,0))="sin dato","",INDEX(CODIFICACION!$E$2:$E$500,MATCH("D3.14i|"&amp;BK145,CODIFICACION!$F$2:$F$500,0))),"⚠"))</f>
        <v/>
      </c>
      <c r="AG145" t="str">
        <f>IF(BL145="","",IFERROR(IF(INDEX(CODIFICACION!$E$2:$E$500,MATCH("D4.15|"&amp;BL145,CODIFICACION!$F$2:$F$500,0))="sin dato","",INDEX(CODIFICACION!$E$2:$E$500,MATCH("D4.15|"&amp;BL145,CODIFICACION!$F$2:$F$500,0))),"⚠"))</f>
        <v/>
      </c>
      <c r="AH145" t="str">
        <f t="shared" si="106"/>
        <v/>
      </c>
      <c r="AI145" t="str">
        <f>IF(BN145="","",IFERROR(IF(INDEX(CODIFICACION!$E$2:$E$500,MATCH("D4.17|"&amp;BN145,CODIFICACION!$F$2:$F$500,0))="sin dato","",INDEX(CODIFICACION!$E$2:$E$500,MATCH("D4.17|"&amp;BN145,CODIFICACION!$F$2:$F$500,0))),"⚠"))</f>
        <v/>
      </c>
      <c r="AJ145" t="str">
        <f>IF(BO145="","",IFERROR(IF(INDEX(CODIFICACION!$E$2:$E$500,MATCH("D4.15a|"&amp;BO145,CODIFICACION!$F$2:$F$500,0))="sin dato","",INDEX(CODIFICACION!$E$2:$E$500,MATCH("D4.15a|"&amp;BO145,CODIFICACION!$F$2:$F$500,0))),"⚠"))</f>
        <v/>
      </c>
      <c r="AK145" t="str">
        <f t="shared" si="107"/>
        <v/>
      </c>
      <c r="AL145" t="str">
        <f t="shared" si="108"/>
        <v/>
      </c>
      <c r="AM145" t="str">
        <f>IF(BR145="","",IFERROR(IF(INDEX(CODIFICACION!$E$2:$E$500,MATCH("D5.18b|"&amp;BR145,CODIFICACION!$F$2:$F$500,0))="sin dato","",INDEX(CODIFICACION!$E$2:$E$500,MATCH("D5.18b|"&amp;BR145,CODIFICACION!$F$2:$F$500,0))),"⚠"))</f>
        <v/>
      </c>
      <c r="AN145" t="str">
        <f>IF(BS145="","",IFERROR(IF(INDEX(CODIFICACION!$E$2:$E$500,MATCH("D5.19|"&amp;BS145,CODIFICACION!$F$2:$F$500,0))="sin dato","",INDEX(CODIFICACION!$E$2:$E$500,MATCH("D5.19|"&amp;BS145,CODIFICACION!$F$2:$F$500,0))),"⚠"))</f>
        <v/>
      </c>
      <c r="AO145" t="str">
        <f t="shared" si="109"/>
        <v/>
      </c>
      <c r="AP145" t="str">
        <f>IF(BU145="","",IFERROR(IF(INDEX(CODIFICACION!$E$2:$E$500,MATCH("D5.20|"&amp;BU145,CODIFICACION!$F$2:$F$500,0))="sin dato","",INDEX(CODIFICACION!$E$2:$E$500,MATCH("D5.20|"&amp;BU145,CODIFICACION!$F$2:$F$500,0))),"⚠"))</f>
        <v/>
      </c>
      <c r="AQ145" t="str">
        <f>IF(BV145="","",IFERROR(IF(INDEX(CODIFICACION!$E$2:$E$500,MATCH("D5.21|"&amp;BV145,CODIFICACION!$F$2:$F$500,0))="sin dato","",INDEX(CODIFICACION!$E$2:$E$500,MATCH("D5.21|"&amp;BV145,CODIFICACION!$F$2:$F$500,0))),"⚠"))</f>
        <v/>
      </c>
      <c r="AR145" t="str">
        <f>IF(BW145="","",IFERROR(IF(INDEX(CODIFICACION!$E$2:$E$500,MATCH("D5.21a|"&amp;BW145,CODIFICACION!$F$2:$F$500,0))="sin dato","",INDEX(CODIFICACION!$E$2:$E$500,MATCH("D5.21a|"&amp;BW145,CODIFICACION!$F$2:$F$500,0))),"⚠"))</f>
        <v/>
      </c>
      <c r="AS145" t="str">
        <f>IF(BX145="","",IFERROR(IF(INDEX(CODIFICACION!$E$2:$E$500,MATCH("D5.21b|"&amp;BX145,CODIFICACION!$F$2:$F$500,0))="sin dato","",INDEX(CODIFICACION!$E$2:$E$500,MATCH("D5.21b|"&amp;BX145,CODIFICACION!$F$2:$F$500,0))),"⚠"))</f>
        <v/>
      </c>
      <c r="AT145" t="str">
        <f>IF(BY145="","",IFERROR(IF(INDEX(CODIFICACION!$E$2:$E$500,MATCH("D6.22|"&amp;BY145,CODIFICACION!$F$2:$F$500,0))="sin dato","",INDEX(CODIFICACION!$E$2:$E$500,MATCH("D6.22|"&amp;BY145,CODIFICACION!$F$2:$F$500,0))),"⚠"))</f>
        <v/>
      </c>
      <c r="AU145" t="str">
        <f>IF(BZ145="","",IFERROR(IF(INDEX(CODIFICACION!$E$2:$E$500,MATCH("D6.22a|"&amp;BZ145,CODIFICACION!$F$2:$F$500,0))="sin dato","",INDEX(CODIFICACION!$E$2:$E$500,MATCH("D6.22a|"&amp;BZ145,CODIFICACION!$F$2:$F$500,0))),"⚠"))</f>
        <v/>
      </c>
      <c r="AV145" t="str">
        <f>IF(CA145="","",IFERROR(IF(INDEX(CODIFICACION!$E$2:$E$500,MATCH("D6.22b|"&amp;CA145,CODIFICACION!$F$2:$F$500,0))="sin dato","",INDEX(CODIFICACION!$E$2:$E$500,MATCH("D6.22b|"&amp;CA145,CODIFICACION!$F$2:$F$500,0))),"⚠"))</f>
        <v/>
      </c>
      <c r="AW145" t="str">
        <f>IF(CB145="","",IFERROR(IF(INDEX(CODIFICACION!$E$2:$E$500,MATCH("D6.23|"&amp;CB145,CODIFICACION!$F$2:$F$500,0))="sin dato","",INDEX(CODIFICACION!$E$2:$E$500,MATCH("D6.23|"&amp;CB145,CODIFICACION!$F$2:$F$500,0))),"⚠"))</f>
        <v/>
      </c>
      <c r="AX145" t="str">
        <f ca="1">IF(CC145="","",IFERROR(IF(INDEX(CODIFICACION!$E$2:$E$500,MATCH("D6.24|"&amp;CC145,CODIFICACION!$F$2:$F$500,0))="sin dato","",INDEX(CODIFICACION!$E$2:$E$500,MATCH("D6.24|"&amp;CC145,CODIFICACION!$F$2:$F$500,0))),"⚠"))</f>
        <v/>
      </c>
      <c r="AY145" t="str">
        <f ca="1">IF(CD145="","",IFERROR(IF(INDEX(CODIFICACION!$E$2:$E$500,MATCH("D6.25|"&amp;CD145,CODIFICACION!$F$2:$F$500,0))="sin dato","",INDEX(CODIFICACION!$E$2:$E$500,MATCH("D6.25|"&amp;CD145,CODIFICACION!$F$2:$F$500,0))),"⚠"))</f>
        <v/>
      </c>
      <c r="AZ145" t="str">
        <f>IF(CE145="","",IFERROR(IF(INDEX(CODIFICACION!$E$2:$E$500,MATCH("D6.25a|"&amp;CE145,CODIFICACION!$F$2:$F$500,0))="sin dato","",INDEX(CODIFICACION!$E$2:$E$500,MATCH("D6.25a|"&amp;CE145,CODIFICACION!$F$2:$F$500,0))),"⚠"))</f>
        <v/>
      </c>
      <c r="BA145" t="str">
        <f>IF(CF145="","",IFERROR(IF(INDEX(CODIFICACION!$E$2:$E$500,MATCH("D6.25b|"&amp;CF145,CODIFICACION!$F$2:$F$500,0))="sin dato","",INDEX(CODIFICACION!$E$2:$E$500,MATCH("D6.25b|"&amp;CF145,CODIFICACION!$F$2:$F$500,0))),"⚠"))</f>
        <v/>
      </c>
      <c r="BB145" t="str">
        <f ca="1">IF(CG145="","",IFERROR(IF(INDEX(CODIFICACION!$E$2:$E$500,MATCH("D6.22c|"&amp;CG145,CODIFICACION!$F$2:$F$500,0))="sin dato","",INDEX(CODIFICACION!$E$2:$E$500,MATCH("D6.22c|"&amp;CG145,CODIFICACION!$F$2:$F$500,0))),"⚠"))</f>
        <v/>
      </c>
      <c r="BC145" t="str">
        <f ca="1">IF(CH145="","",IFERROR(IF(INDEX(CODIFICACION!$E$2:$E$500,MATCH("D7.26|"&amp;CH145,CODIFICACION!$F$2:$F$500,0))="sin dato","",INDEX(CODIFICACION!$E$2:$E$500,MATCH("D7.26|"&amp;CH145,CODIFICACION!$F$2:$F$500,0))),"⚠"))</f>
        <v/>
      </c>
      <c r="BD145" t="str">
        <f>IF(CI145="","",IFERROR(IF(INDEX(CODIFICACION!$E$2:$E$500,MATCH("D7.27|"&amp;CI145,CODIFICACION!$F$2:$F$500,0))="sin dato","",INDEX(CODIFICACION!$E$2:$E$500,MATCH("D7.27|"&amp;CI145,CODIFICACION!$F$2:$F$500,0))),"⚠"))</f>
        <v/>
      </c>
      <c r="BE145" t="str">
        <f>IF(CJ145="","",IFERROR(IF(INDEX(CODIFICACION!$E$2:$E$500,MATCH("D7.28|"&amp;CJ145,CODIFICACION!$F$2:$F$500,0))="sin dato","",INDEX(CODIFICACION!$E$2:$E$500,MATCH("D7.28|"&amp;CJ145,CODIFICACION!$F$2:$F$500,0))),"⚠"))</f>
        <v/>
      </c>
      <c r="BF145" t="str">
        <f>IF(CK145="","",IFERROR(IF(INDEX(CODIFICACION!$E$2:$E$500,MATCH("D7.28b|"&amp;CK145,CODIFICACION!$F$2:$F$500,0))="sin dato","",INDEX(CODIFICACION!$E$2:$E$500,MATCH("D7.28b|"&amp;CK145,CODIFICACION!$F$2:$F$500,0))),"⚠"))</f>
        <v/>
      </c>
      <c r="BG145" t="str">
        <f t="shared" si="110"/>
        <v/>
      </c>
      <c r="BH145" t="str">
        <f>IF(CM145="","",IFERROR(IF(INDEX(CODIFICACION!$E$2:$E$500,MATCH("D7.26a|"&amp;CM145,CODIFICACION!$F$2:$F$500,0))="sin dato","",INDEX(CODIFICACION!$E$2:$E$500,MATCH("D7.26a|"&amp;CM145,CODIFICACION!$F$2:$F$500,0))),"⚠"))</f>
        <v/>
      </c>
      <c r="BI145" t="str">
        <f>IF(CN145="","",IFERROR(IF(INDEX(CODIFICACION!$E$2:$E$500,MATCH("D7.26b|"&amp;CN145,CODIFICACION!$F$2:$F$500,0))="sin dato","",INDEX(CODIFICACION!$E$2:$E$500,MATCH("D7.26b|"&amp;CN145,CODIFICACION!$F$2:$F$500,0))),"⚠"))</f>
        <v/>
      </c>
      <c r="BJ145" t="str">
        <f t="shared" si="111"/>
        <v/>
      </c>
      <c r="BK145" t="str">
        <f t="shared" si="112"/>
        <v/>
      </c>
      <c r="BL145" t="str">
        <f>IF(CQ145="","",IFERROR(IF(INDEX(CODIFICACION!$E$2:$E$500,MATCH("D8.31|"&amp;CQ145,CODIFICACION!$F$2:$F$500,0))="sin dato","",INDEX(CODIFICACION!$E$2:$E$500,MATCH("D8.31|"&amp;CQ145,CODIFICACION!$F$2:$F$500,0))),"⚠"))</f>
        <v/>
      </c>
      <c r="BM145" t="str">
        <f>IF(CR145="","",IFERROR(IF(INDEX(CODIFICACION!$E$2:$E$500,MATCH("D8.32|"&amp;CR145,CODIFICACION!$F$2:$F$500,0))="sin dato","",INDEX(CODIFICACION!$E$2:$E$500,MATCH("D8.32|"&amp;CR145,CODIFICACION!$F$2:$F$500,0))),"⚠"))</f>
        <v/>
      </c>
      <c r="BN145" t="str">
        <f>IF(CS145="","",IFERROR(IF(INDEX(CODIFICACION!$E$2:$E$500,MATCH("D9.33|"&amp;CS145,CODIFICACION!$F$2:$F$500,0))="sin dato","",INDEX(CODIFICACION!$E$2:$E$500,MATCH("D9.33|"&amp;CS145,CODIFICACION!$F$2:$F$500,0))),"⚠"))</f>
        <v/>
      </c>
      <c r="BO145" t="str">
        <f>IF(CT145="","",IFERROR(IF(INDEX(CODIFICACION!$E$2:$E$500,MATCH("D9.34|"&amp;CT145,CODIFICACION!$F$2:$F$500,0))="sin dato","",INDEX(CODIFICACION!$E$2:$E$500,MATCH("D9.34|"&amp;CT145,CODIFICACION!$F$2:$F$500,0))),"⚠"))</f>
        <v/>
      </c>
      <c r="BP145" t="str">
        <f>IF(CU145="","",IFERROR(IF(INDEX(CODIFICACION!$E$2:$E$500,MATCH("D9.35|"&amp;CU145,CODIFICACION!$F$2:$F$500,0))="sin dato","",INDEX(CODIFICACION!$E$2:$E$500,MATCH("D9.35|"&amp;CU145,CODIFICACION!$F$2:$F$500,0))),"⚠"))</f>
        <v/>
      </c>
      <c r="BQ145" t="str">
        <f>IF(CV145="","",IFERROR(IF(INDEX(CODIFICACION!$E$2:$E$500,MATCH("D10.36|"&amp;CV145,CODIFICACION!$F$2:$F$500,0))="sin dato","",INDEX(CODIFICACION!$E$2:$E$500,MATCH("D10.36|"&amp;CV145,CODIFICACION!$F$2:$F$500,0))),"⚠"))</f>
        <v/>
      </c>
      <c r="BR145" t="str">
        <f>IF(CW145="","",IFERROR(IF(INDEX(CODIFICACION!$E$2:$E$500,MATCH("D10.37|"&amp;CW145,CODIFICACION!$F$2:$F$500,0))="sin dato","",INDEX(CODIFICACION!$E$2:$E$500,MATCH("D10.37|"&amp;CW145,CODIFICACION!$F$2:$F$500,0))),"⚠"))</f>
        <v/>
      </c>
      <c r="BS145" t="str">
        <f>IF(CX145="","",IFERROR(IF(INDEX(CODIFICACION!$E$2:$E$500,MATCH("D10.36a|"&amp;CX145,CODIFICACION!$F$2:$F$500,0))="sin dato","",INDEX(CODIFICACION!$E$2:$E$500,MATCH("D10.36a|"&amp;CX145,CODIFICACION!$F$2:$F$500,0))),"⚠"))</f>
        <v/>
      </c>
      <c r="BT145" t="str">
        <f t="shared" si="113"/>
        <v/>
      </c>
      <c r="BU145" t="str">
        <f>IF(DA145="","",IFERROR(IF(INDEX(CODIFICACION!$E$2:$E$500,MATCH("D11.39a|"&amp;DA145,CODIFICACION!$F$2:$F$500,0))="sin dato","",INDEX(CODIFICACION!$E$2:$E$500,MATCH("D11.39a|"&amp;DA145,CODIFICACION!$F$2:$F$500,0))),"⚠"))</f>
        <v/>
      </c>
      <c r="BV145" t="str">
        <f>IF(DB145="","",IFERROR(IF(INDEX(CODIFICACION!$E$2:$E$500,MATCH("D12.42|"&amp;DB145,CODIFICACION!$F$2:$F$500,0))="sin dato","",INDEX(CODIFICACION!$E$2:$E$500,MATCH("D12.42|"&amp;DB145,CODIFICACION!$F$2:$F$500,0))),"⚠"))</f>
        <v/>
      </c>
      <c r="BW145" t="str">
        <f>IF(DC145="","",IFERROR(IF(INDEX(CODIFICACION!$E$2:$E$500,MATCH("D13.45|"&amp;DC145,CODIFICACION!$F$2:$F$500,0))="sin dato","",INDEX(CODIFICACION!$E$2:$E$500,MATCH("D13.45|"&amp;DC145,CODIFICACION!$F$2:$F$500,0))),"⚠"))</f>
        <v/>
      </c>
      <c r="BX145" t="str">
        <f>IF(DD145="","",IFERROR(IF(INDEX(CODIFICACION!$E$2:$E$500,MATCH("D14.51|"&amp;DD145,CODIFICACION!$F$2:$F$500,0))="sin dato","",INDEX(CODIFICACION!$E$2:$E$500,MATCH("D14.51|"&amp;DD145,CODIFICACION!$F$2:$F$500,0))),"⚠"))</f>
        <v/>
      </c>
      <c r="BY145" t="str">
        <f>IF(DE145="","",IFERROR(IF(INDEX(CODIFICACION!$E$2:$E$500,MATCH("D15.58|"&amp;DE145,CODIFICACION!$F$2:$F$500,0))="sin dato","",INDEX(CODIFICACION!$E$2:$E$500,MATCH("D15.58|"&amp;DE145,CODIFICACION!$F$2:$F$500,0))),"⚠"))</f>
        <v/>
      </c>
      <c r="BZ145" t="str">
        <f>IF(DF145="","",IFERROR(IF(INDEX(CODIFICACION!$E$2:$E$500,MATCH("PP1|"&amp;DF145,CODIFICACION!$F$2:$F$500,0))="sin dato","",INDEX(CODIFICACION!$E$2:$E$500,MATCH("PP1|"&amp;DF145,CODIFICACION!$F$2:$F$500,0))),"⚠"))</f>
        <v/>
      </c>
      <c r="CA145" t="str">
        <f>IF(DG145="","",IFERROR(IF(INDEX(CODIFICACION!$E$2:$E$500,MATCH("PP2|"&amp;DG145,CODIFICACION!$F$2:$F$500,0))="sin dato","",INDEX(CODIFICACION!$E$2:$E$500,MATCH("PP2|"&amp;DG145,CODIFICACION!$F$2:$F$500,0))),"⚠"))</f>
        <v/>
      </c>
      <c r="CB145" t="str">
        <f t="shared" si="114"/>
        <v/>
      </c>
      <c r="CC145" t="str">
        <f t="shared" ca="1" si="115"/>
        <v/>
      </c>
      <c r="CD145" t="str">
        <f t="shared" ca="1" si="116"/>
        <v/>
      </c>
      <c r="CE145" t="str">
        <f t="shared" si="117"/>
        <v/>
      </c>
      <c r="CF145" t="str">
        <f t="shared" si="118"/>
        <v/>
      </c>
      <c r="CG145" t="str">
        <f t="shared" ca="1" si="119"/>
        <v/>
      </c>
      <c r="CH145" t="str">
        <f t="shared" ca="1" si="120"/>
        <v/>
      </c>
      <c r="CI145" t="str">
        <f t="shared" si="121"/>
        <v/>
      </c>
      <c r="CJ145" t="str">
        <f t="shared" si="122"/>
        <v/>
      </c>
      <c r="CK145" t="str">
        <f t="shared" si="123"/>
        <v/>
      </c>
      <c r="CL145" t="str">
        <f t="shared" si="124"/>
        <v/>
      </c>
    </row>
    <row r="146" spans="1:90" x14ac:dyDescent="0.3">
      <c r="A146">
        <f>CAPTURA!A146</f>
        <v>20603862369</v>
      </c>
      <c r="B146">
        <f>CAPTURA!C146</f>
        <v>0</v>
      </c>
      <c r="C146" t="str">
        <f t="shared" si="100"/>
        <v/>
      </c>
      <c r="D146" t="str">
        <f>IF(AE146="","",IFERROR(IF(INDEX(CODIFICACION!$E$2:$E$500,MATCH("P8|"&amp;AE146,CODIFICACION!$F$2:$F$500,0))="sin dato","",INDEX(CODIFICACION!$E$2:$E$500,MATCH("P8|"&amp;AE146,CODIFICACION!$F$2:$F$500,0))),"⚠"))</f>
        <v/>
      </c>
      <c r="E146" t="str">
        <f>IF(AG146="","",IFERROR(IF(INDEX(CODIFICACION!$E$2:$E$500,MATCH("P10|"&amp;AG146,CODIFICACION!$F$2:$F$500,0))="sin dato","",INDEX(CODIFICACION!$E$2:$E$500,MATCH("P10|"&amp;AG146,CODIFICACION!$F$2:$F$500,0))),"⚠"))</f>
        <v/>
      </c>
      <c r="F146" t="str">
        <f>IF(AJ146="","",IFERROR(IF(INDEX(CODIFICACION!$E$2:$E$500,MATCH("P13|"&amp;AJ146,CODIFICACION!$F$2:$F$500,0))="sin dato","",INDEX(CODIFICACION!$E$2:$E$500,MATCH("P13|"&amp;AJ146,CODIFICACION!$F$2:$F$500,0))),"⚠"))</f>
        <v/>
      </c>
      <c r="G146" t="str">
        <f>IF(AK146="","",IFERROR(IF(INDEX(CODIFICACION!$E$2:$E$500,MATCH("P14|"&amp;AK146,CODIFICACION!$F$2:$F$500,0))="sin dato","",INDEX(CODIFICACION!$E$2:$E$500,MATCH("P14|"&amp;AK146,CODIFICACION!$F$2:$F$500,0))),"⚠"))</f>
        <v/>
      </c>
      <c r="H146" t="str">
        <f>IF(AL146="","",IFERROR(IF(INDEX(CODIFICACION!$E$2:$E$500,MATCH("D1.1|"&amp;AL146,CODIFICACION!$F$2:$F$500,0))="sin dato","",INDEX(CODIFICACION!$E$2:$E$500,MATCH("D1.1|"&amp;AL146,CODIFICACION!$F$2:$F$500,0))),"⚠"))</f>
        <v/>
      </c>
      <c r="I146" t="str">
        <f>IF(AN146="","",IFERROR(IF(INDEX(CODIFICACION!$E$2:$E$500,MATCH("D1.3|"&amp;AN146,CODIFICACION!$F$2:$F$500,0))="sin dato","",INDEX(CODIFICACION!$E$2:$E$500,MATCH("D1.3|"&amp;AN146,CODIFICACION!$F$2:$F$500,0))),"⚠"))</f>
        <v/>
      </c>
      <c r="J146" t="str">
        <f>IF(AO146="","",IFERROR(IF(INDEX(CODIFICACION!$E$2:$E$500,MATCH("D1.4|"&amp;AO146,CODIFICACION!$F$2:$F$500,0))="sin dato","",INDEX(CODIFICACION!$E$2:$E$500,MATCH("D1.4|"&amp;AO146,CODIFICACION!$F$2:$F$500,0))),"⚠"))</f>
        <v/>
      </c>
      <c r="K146" t="str">
        <f>IF(AP146="","",IFERROR(IF(INDEX(CODIFICACION!$E$2:$E$500,MATCH("D1.3a|"&amp;AP146,CODIFICACION!$F$2:$F$500,0))="sin dato","",INDEX(CODIFICACION!$E$2:$E$500,MATCH("D1.3a|"&amp;AP146,CODIFICACION!$F$2:$F$500,0))),"⚠"))</f>
        <v/>
      </c>
      <c r="L146" t="str">
        <f t="shared" si="101"/>
        <v/>
      </c>
      <c r="M146" t="str">
        <f t="shared" si="102"/>
        <v/>
      </c>
      <c r="N146" t="str">
        <f t="shared" si="103"/>
        <v/>
      </c>
      <c r="O146" t="str">
        <f>IF(AT146="","",IFERROR(IF(INDEX(CODIFICACION!$E$2:$E$500,MATCH("D2.8|"&amp;AT146,CODIFICACION!$F$2:$F$500,0))="sin dato","",INDEX(CODIFICACION!$E$2:$E$500,MATCH("D2.8|"&amp;AT146,CODIFICACION!$F$2:$F$500,0))),"⚠"))</f>
        <v/>
      </c>
      <c r="P146" t="str">
        <f>IF(AU146="","",IFERROR(IF(INDEX(CODIFICACION!$E$2:$E$500,MATCH("D2.9|"&amp;AU146,CODIFICACION!$F$2:$F$500,0))="sin dato","",INDEX(CODIFICACION!$E$2:$E$500,MATCH("D2.9|"&amp;AU146,CODIFICACION!$F$2:$F$500,0))),"⚠"))</f>
        <v/>
      </c>
      <c r="Q146" t="str">
        <f>IF(AV146="","",IFERROR(IF(INDEX(CODIFICACION!$E$2:$E$500,MATCH("D2.10|"&amp;AV146,CODIFICACION!$F$2:$F$500,0))="sin dato","",INDEX(CODIFICACION!$E$2:$E$500,MATCH("D2.10|"&amp;AV146,CODIFICACION!$F$2:$F$500,0))),"⚠"))</f>
        <v/>
      </c>
      <c r="R146" t="str">
        <f>IF(AW146="","",IFERROR(IF(INDEX(CODIFICACION!$E$2:$E$500,MATCH("D2.5a|"&amp;AW146,CODIFICACION!$F$2:$F$500,0))="sin dato","",INDEX(CODIFICACION!$E$2:$E$500,MATCH("D2.5a|"&amp;AW146,CODIFICACION!$F$2:$F$500,0))),"⚠"))</f>
        <v/>
      </c>
      <c r="S146" t="str">
        <f ca="1">IF(AX146="","",IFERROR(IF(INDEX(CODIFICACION!$E$2:$E$500,MATCH("D2.5b|"&amp;AX146,CODIFICACION!$F$2:$F$500,0))="sin dato","",INDEX(CODIFICACION!$E$2:$E$500,MATCH("D2.5b|"&amp;AX146,CODIFICACION!$F$2:$F$500,0))),"⚠"))</f>
        <v/>
      </c>
      <c r="T146" t="str">
        <f t="shared" ca="1" si="104"/>
        <v/>
      </c>
      <c r="U146" t="str">
        <f>IF(AZ146="","",IFERROR(IF(INDEX(CODIFICACION!$E$2:$E$500,MATCH("D3.12|"&amp;AZ146,CODIFICACION!$F$2:$F$500,0))="sin dato","",INDEX(CODIFICACION!$E$2:$E$500,MATCH("D3.12|"&amp;AZ146,CODIFICACION!$F$2:$F$500,0))),"⚠"))</f>
        <v/>
      </c>
      <c r="V146" t="str">
        <f t="shared" si="105"/>
        <v/>
      </c>
      <c r="W146" t="str">
        <f ca="1">IF(BB146="","",IFERROR(IF(INDEX(CODIFICACION!$E$2:$E$500,MATCH("D3.14|"&amp;BB146,CODIFICACION!$F$2:$F$500,0))="sin dato","",INDEX(CODIFICACION!$E$2:$E$500,MATCH("D3.14|"&amp;BB146,CODIFICACION!$F$2:$F$500,0))),"⚠"))</f>
        <v/>
      </c>
      <c r="X146" t="str">
        <f ca="1">IF(BC146="","",IFERROR(IF(INDEX(CODIFICACION!$E$2:$E$500,MATCH("D3.14a|"&amp;BC146,CODIFICACION!$F$2:$F$500,0))="sin dato","",INDEX(CODIFICACION!$E$2:$E$500,MATCH("D3.14a|"&amp;BC146,CODIFICACION!$F$2:$F$500,0))),"⚠"))</f>
        <v/>
      </c>
      <c r="Y146" t="str">
        <f>IF(BD146="","",IFERROR(IF(INDEX(CODIFICACION!$E$2:$E$500,MATCH("D3.14b|"&amp;BD146,CODIFICACION!$F$2:$F$500,0))="sin dato","",INDEX(CODIFICACION!$E$2:$E$500,MATCH("D3.14b|"&amp;BD146,CODIFICACION!$F$2:$F$500,0))),"⚠"))</f>
        <v/>
      </c>
      <c r="Z146" t="str">
        <f>IF(BE146="","",IFERROR(IF(INDEX(CODIFICACION!$E$2:$E$500,MATCH("D3.14c|"&amp;BE146,CODIFICACION!$F$2:$F$500,0))="sin dato","",INDEX(CODIFICACION!$E$2:$E$500,MATCH("D3.14c|"&amp;BE146,CODIFICACION!$F$2:$F$500,0))),"⚠"))</f>
        <v/>
      </c>
      <c r="AA146" t="str">
        <f>IF(BF146="","",IFERROR(IF(INDEX(CODIFICACION!$E$2:$E$500,MATCH("D3.14d|"&amp;BF146,CODIFICACION!$F$2:$F$500,0))="sin dato","",INDEX(CODIFICACION!$E$2:$E$500,MATCH("D3.14d|"&amp;BF146,CODIFICACION!$F$2:$F$500,0))),"⚠"))</f>
        <v/>
      </c>
      <c r="AB146" t="str">
        <f>IF(BG146="","",IFERROR(IF(INDEX(CODIFICACION!$E$2:$E$500,MATCH("D3.14e|"&amp;BG146,CODIFICACION!$F$2:$F$500,0))="sin dato","",INDEX(CODIFICACION!$E$2:$E$500,MATCH("D3.14e|"&amp;BG146,CODIFICACION!$F$2:$F$500,0))),"⚠"))</f>
        <v/>
      </c>
      <c r="AC146" t="str">
        <f>IF(BH146="","",IFERROR(IF(INDEX(CODIFICACION!$E$2:$E$500,MATCH("D3.14f|"&amp;BH146,CODIFICACION!$F$2:$F$500,0))="sin dato","",INDEX(CODIFICACION!$E$2:$E$500,MATCH("D3.14f|"&amp;BH146,CODIFICACION!$F$2:$F$500,0))),"⚠"))</f>
        <v/>
      </c>
      <c r="AD146" t="str">
        <f>IF(BI146="","",IFERROR(IF(INDEX(CODIFICACION!$E$2:$E$500,MATCH("D3.14g|"&amp;BI146,CODIFICACION!$F$2:$F$500,0))="sin dato","",INDEX(CODIFICACION!$E$2:$E$500,MATCH("D3.14g|"&amp;BI146,CODIFICACION!$F$2:$F$500,0))),"⚠"))</f>
        <v/>
      </c>
      <c r="AE146" t="str">
        <f>IF(BJ146="","",IFERROR(IF(INDEX(CODIFICACION!$E$2:$E$500,MATCH("D3.14h|"&amp;BJ146,CODIFICACION!$F$2:$F$500,0))="sin dato","",INDEX(CODIFICACION!$E$2:$E$500,MATCH("D3.14h|"&amp;BJ146,CODIFICACION!$F$2:$F$500,0))),"⚠"))</f>
        <v/>
      </c>
      <c r="AF146" t="str">
        <f>IF(BK146="","",IFERROR(IF(INDEX(CODIFICACION!$E$2:$E$500,MATCH("D3.14i|"&amp;BK146,CODIFICACION!$F$2:$F$500,0))="sin dato","",INDEX(CODIFICACION!$E$2:$E$500,MATCH("D3.14i|"&amp;BK146,CODIFICACION!$F$2:$F$500,0))),"⚠"))</f>
        <v/>
      </c>
      <c r="AG146" t="str">
        <f>IF(BL146="","",IFERROR(IF(INDEX(CODIFICACION!$E$2:$E$500,MATCH("D4.15|"&amp;BL146,CODIFICACION!$F$2:$F$500,0))="sin dato","",INDEX(CODIFICACION!$E$2:$E$500,MATCH("D4.15|"&amp;BL146,CODIFICACION!$F$2:$F$500,0))),"⚠"))</f>
        <v/>
      </c>
      <c r="AH146" t="str">
        <f t="shared" si="106"/>
        <v/>
      </c>
      <c r="AI146" t="str">
        <f>IF(BN146="","",IFERROR(IF(INDEX(CODIFICACION!$E$2:$E$500,MATCH("D4.17|"&amp;BN146,CODIFICACION!$F$2:$F$500,0))="sin dato","",INDEX(CODIFICACION!$E$2:$E$500,MATCH("D4.17|"&amp;BN146,CODIFICACION!$F$2:$F$500,0))),"⚠"))</f>
        <v/>
      </c>
      <c r="AJ146" t="str">
        <f>IF(BO146="","",IFERROR(IF(INDEX(CODIFICACION!$E$2:$E$500,MATCH("D4.15a|"&amp;BO146,CODIFICACION!$F$2:$F$500,0))="sin dato","",INDEX(CODIFICACION!$E$2:$E$500,MATCH("D4.15a|"&amp;BO146,CODIFICACION!$F$2:$F$500,0))),"⚠"))</f>
        <v/>
      </c>
      <c r="AK146" t="str">
        <f t="shared" si="107"/>
        <v/>
      </c>
      <c r="AL146" t="str">
        <f t="shared" si="108"/>
        <v/>
      </c>
      <c r="AM146" t="str">
        <f>IF(BR146="","",IFERROR(IF(INDEX(CODIFICACION!$E$2:$E$500,MATCH("D5.18b|"&amp;BR146,CODIFICACION!$F$2:$F$500,0))="sin dato","",INDEX(CODIFICACION!$E$2:$E$500,MATCH("D5.18b|"&amp;BR146,CODIFICACION!$F$2:$F$500,0))),"⚠"))</f>
        <v/>
      </c>
      <c r="AN146" t="str">
        <f>IF(BS146="","",IFERROR(IF(INDEX(CODIFICACION!$E$2:$E$500,MATCH("D5.19|"&amp;BS146,CODIFICACION!$F$2:$F$500,0))="sin dato","",INDEX(CODIFICACION!$E$2:$E$500,MATCH("D5.19|"&amp;BS146,CODIFICACION!$F$2:$F$500,0))),"⚠"))</f>
        <v/>
      </c>
      <c r="AO146" t="str">
        <f t="shared" si="109"/>
        <v/>
      </c>
      <c r="AP146" t="str">
        <f>IF(BU146="","",IFERROR(IF(INDEX(CODIFICACION!$E$2:$E$500,MATCH("D5.20|"&amp;BU146,CODIFICACION!$F$2:$F$500,0))="sin dato","",INDEX(CODIFICACION!$E$2:$E$500,MATCH("D5.20|"&amp;BU146,CODIFICACION!$F$2:$F$500,0))),"⚠"))</f>
        <v/>
      </c>
      <c r="AQ146" t="str">
        <f>IF(BV146="","",IFERROR(IF(INDEX(CODIFICACION!$E$2:$E$500,MATCH("D5.21|"&amp;BV146,CODIFICACION!$F$2:$F$500,0))="sin dato","",INDEX(CODIFICACION!$E$2:$E$500,MATCH("D5.21|"&amp;BV146,CODIFICACION!$F$2:$F$500,0))),"⚠"))</f>
        <v/>
      </c>
      <c r="AR146" t="str">
        <f>IF(BW146="","",IFERROR(IF(INDEX(CODIFICACION!$E$2:$E$500,MATCH("D5.21a|"&amp;BW146,CODIFICACION!$F$2:$F$500,0))="sin dato","",INDEX(CODIFICACION!$E$2:$E$500,MATCH("D5.21a|"&amp;BW146,CODIFICACION!$F$2:$F$500,0))),"⚠"))</f>
        <v/>
      </c>
      <c r="AS146" t="str">
        <f>IF(BX146="","",IFERROR(IF(INDEX(CODIFICACION!$E$2:$E$500,MATCH("D5.21b|"&amp;BX146,CODIFICACION!$F$2:$F$500,0))="sin dato","",INDEX(CODIFICACION!$E$2:$E$500,MATCH("D5.21b|"&amp;BX146,CODIFICACION!$F$2:$F$500,0))),"⚠"))</f>
        <v/>
      </c>
      <c r="AT146" t="str">
        <f>IF(BY146="","",IFERROR(IF(INDEX(CODIFICACION!$E$2:$E$500,MATCH("D6.22|"&amp;BY146,CODIFICACION!$F$2:$F$500,0))="sin dato","",INDEX(CODIFICACION!$E$2:$E$500,MATCH("D6.22|"&amp;BY146,CODIFICACION!$F$2:$F$500,0))),"⚠"))</f>
        <v/>
      </c>
      <c r="AU146" t="str">
        <f>IF(BZ146="","",IFERROR(IF(INDEX(CODIFICACION!$E$2:$E$500,MATCH("D6.22a|"&amp;BZ146,CODIFICACION!$F$2:$F$500,0))="sin dato","",INDEX(CODIFICACION!$E$2:$E$500,MATCH("D6.22a|"&amp;BZ146,CODIFICACION!$F$2:$F$500,0))),"⚠"))</f>
        <v/>
      </c>
      <c r="AV146" t="str">
        <f>IF(CA146="","",IFERROR(IF(INDEX(CODIFICACION!$E$2:$E$500,MATCH("D6.22b|"&amp;CA146,CODIFICACION!$F$2:$F$500,0))="sin dato","",INDEX(CODIFICACION!$E$2:$E$500,MATCH("D6.22b|"&amp;CA146,CODIFICACION!$F$2:$F$500,0))),"⚠"))</f>
        <v/>
      </c>
      <c r="AW146" t="str">
        <f>IF(CB146="","",IFERROR(IF(INDEX(CODIFICACION!$E$2:$E$500,MATCH("D6.23|"&amp;CB146,CODIFICACION!$F$2:$F$500,0))="sin dato","",INDEX(CODIFICACION!$E$2:$E$500,MATCH("D6.23|"&amp;CB146,CODIFICACION!$F$2:$F$500,0))),"⚠"))</f>
        <v/>
      </c>
      <c r="AX146" t="str">
        <f ca="1">IF(CC146="","",IFERROR(IF(INDEX(CODIFICACION!$E$2:$E$500,MATCH("D6.24|"&amp;CC146,CODIFICACION!$F$2:$F$500,0))="sin dato","",INDEX(CODIFICACION!$E$2:$E$500,MATCH("D6.24|"&amp;CC146,CODIFICACION!$F$2:$F$500,0))),"⚠"))</f>
        <v/>
      </c>
      <c r="AY146" t="str">
        <f ca="1">IF(CD146="","",IFERROR(IF(INDEX(CODIFICACION!$E$2:$E$500,MATCH("D6.25|"&amp;CD146,CODIFICACION!$F$2:$F$500,0))="sin dato","",INDEX(CODIFICACION!$E$2:$E$500,MATCH("D6.25|"&amp;CD146,CODIFICACION!$F$2:$F$500,0))),"⚠"))</f>
        <v/>
      </c>
      <c r="AZ146" t="str">
        <f>IF(CE146="","",IFERROR(IF(INDEX(CODIFICACION!$E$2:$E$500,MATCH("D6.25a|"&amp;CE146,CODIFICACION!$F$2:$F$500,0))="sin dato","",INDEX(CODIFICACION!$E$2:$E$500,MATCH("D6.25a|"&amp;CE146,CODIFICACION!$F$2:$F$500,0))),"⚠"))</f>
        <v/>
      </c>
      <c r="BA146" t="str">
        <f>IF(CF146="","",IFERROR(IF(INDEX(CODIFICACION!$E$2:$E$500,MATCH("D6.25b|"&amp;CF146,CODIFICACION!$F$2:$F$500,0))="sin dato","",INDEX(CODIFICACION!$E$2:$E$500,MATCH("D6.25b|"&amp;CF146,CODIFICACION!$F$2:$F$500,0))),"⚠"))</f>
        <v/>
      </c>
      <c r="BB146" t="str">
        <f ca="1">IF(CG146="","",IFERROR(IF(INDEX(CODIFICACION!$E$2:$E$500,MATCH("D6.22c|"&amp;CG146,CODIFICACION!$F$2:$F$500,0))="sin dato","",INDEX(CODIFICACION!$E$2:$E$500,MATCH("D6.22c|"&amp;CG146,CODIFICACION!$F$2:$F$500,0))),"⚠"))</f>
        <v/>
      </c>
      <c r="BC146" t="str">
        <f ca="1">IF(CH146="","",IFERROR(IF(INDEX(CODIFICACION!$E$2:$E$500,MATCH("D7.26|"&amp;CH146,CODIFICACION!$F$2:$F$500,0))="sin dato","",INDEX(CODIFICACION!$E$2:$E$500,MATCH("D7.26|"&amp;CH146,CODIFICACION!$F$2:$F$500,0))),"⚠"))</f>
        <v/>
      </c>
      <c r="BD146" t="str">
        <f>IF(CI146="","",IFERROR(IF(INDEX(CODIFICACION!$E$2:$E$500,MATCH("D7.27|"&amp;CI146,CODIFICACION!$F$2:$F$500,0))="sin dato","",INDEX(CODIFICACION!$E$2:$E$500,MATCH("D7.27|"&amp;CI146,CODIFICACION!$F$2:$F$500,0))),"⚠"))</f>
        <v/>
      </c>
      <c r="BE146" t="str">
        <f>IF(CJ146="","",IFERROR(IF(INDEX(CODIFICACION!$E$2:$E$500,MATCH("D7.28|"&amp;CJ146,CODIFICACION!$F$2:$F$500,0))="sin dato","",INDEX(CODIFICACION!$E$2:$E$500,MATCH("D7.28|"&amp;CJ146,CODIFICACION!$F$2:$F$500,0))),"⚠"))</f>
        <v/>
      </c>
      <c r="BF146" t="str">
        <f>IF(CK146="","",IFERROR(IF(INDEX(CODIFICACION!$E$2:$E$500,MATCH("D7.28b|"&amp;CK146,CODIFICACION!$F$2:$F$500,0))="sin dato","",INDEX(CODIFICACION!$E$2:$E$500,MATCH("D7.28b|"&amp;CK146,CODIFICACION!$F$2:$F$500,0))),"⚠"))</f>
        <v/>
      </c>
      <c r="BG146" t="str">
        <f t="shared" si="110"/>
        <v/>
      </c>
      <c r="BH146" t="str">
        <f>IF(CM146="","",IFERROR(IF(INDEX(CODIFICACION!$E$2:$E$500,MATCH("D7.26a|"&amp;CM146,CODIFICACION!$F$2:$F$500,0))="sin dato","",INDEX(CODIFICACION!$E$2:$E$500,MATCH("D7.26a|"&amp;CM146,CODIFICACION!$F$2:$F$500,0))),"⚠"))</f>
        <v/>
      </c>
      <c r="BI146" t="str">
        <f>IF(CN146="","",IFERROR(IF(INDEX(CODIFICACION!$E$2:$E$500,MATCH("D7.26b|"&amp;CN146,CODIFICACION!$F$2:$F$500,0))="sin dato","",INDEX(CODIFICACION!$E$2:$E$500,MATCH("D7.26b|"&amp;CN146,CODIFICACION!$F$2:$F$500,0))),"⚠"))</f>
        <v/>
      </c>
      <c r="BJ146" t="str">
        <f t="shared" si="111"/>
        <v/>
      </c>
      <c r="BK146" t="str">
        <f t="shared" si="112"/>
        <v/>
      </c>
      <c r="BL146" t="str">
        <f>IF(CQ146="","",IFERROR(IF(INDEX(CODIFICACION!$E$2:$E$500,MATCH("D8.31|"&amp;CQ146,CODIFICACION!$F$2:$F$500,0))="sin dato","",INDEX(CODIFICACION!$E$2:$E$500,MATCH("D8.31|"&amp;CQ146,CODIFICACION!$F$2:$F$500,0))),"⚠"))</f>
        <v/>
      </c>
      <c r="BM146" t="str">
        <f>IF(CR146="","",IFERROR(IF(INDEX(CODIFICACION!$E$2:$E$500,MATCH("D8.32|"&amp;CR146,CODIFICACION!$F$2:$F$500,0))="sin dato","",INDEX(CODIFICACION!$E$2:$E$500,MATCH("D8.32|"&amp;CR146,CODIFICACION!$F$2:$F$500,0))),"⚠"))</f>
        <v/>
      </c>
      <c r="BN146" t="str">
        <f>IF(CS146="","",IFERROR(IF(INDEX(CODIFICACION!$E$2:$E$500,MATCH("D9.33|"&amp;CS146,CODIFICACION!$F$2:$F$500,0))="sin dato","",INDEX(CODIFICACION!$E$2:$E$500,MATCH("D9.33|"&amp;CS146,CODIFICACION!$F$2:$F$500,0))),"⚠"))</f>
        <v/>
      </c>
      <c r="BO146" t="str">
        <f>IF(CT146="","",IFERROR(IF(INDEX(CODIFICACION!$E$2:$E$500,MATCH("D9.34|"&amp;CT146,CODIFICACION!$F$2:$F$500,0))="sin dato","",INDEX(CODIFICACION!$E$2:$E$500,MATCH("D9.34|"&amp;CT146,CODIFICACION!$F$2:$F$500,0))),"⚠"))</f>
        <v/>
      </c>
      <c r="BP146" t="str">
        <f>IF(CU146="","",IFERROR(IF(INDEX(CODIFICACION!$E$2:$E$500,MATCH("D9.35|"&amp;CU146,CODIFICACION!$F$2:$F$500,0))="sin dato","",INDEX(CODIFICACION!$E$2:$E$500,MATCH("D9.35|"&amp;CU146,CODIFICACION!$F$2:$F$500,0))),"⚠"))</f>
        <v/>
      </c>
      <c r="BQ146" t="str">
        <f>IF(CV146="","",IFERROR(IF(INDEX(CODIFICACION!$E$2:$E$500,MATCH("D10.36|"&amp;CV146,CODIFICACION!$F$2:$F$500,0))="sin dato","",INDEX(CODIFICACION!$E$2:$E$500,MATCH("D10.36|"&amp;CV146,CODIFICACION!$F$2:$F$500,0))),"⚠"))</f>
        <v/>
      </c>
      <c r="BR146" t="str">
        <f>IF(CW146="","",IFERROR(IF(INDEX(CODIFICACION!$E$2:$E$500,MATCH("D10.37|"&amp;CW146,CODIFICACION!$F$2:$F$500,0))="sin dato","",INDEX(CODIFICACION!$E$2:$E$500,MATCH("D10.37|"&amp;CW146,CODIFICACION!$F$2:$F$500,0))),"⚠"))</f>
        <v/>
      </c>
      <c r="BS146" t="str">
        <f>IF(CX146="","",IFERROR(IF(INDEX(CODIFICACION!$E$2:$E$500,MATCH("D10.36a|"&amp;CX146,CODIFICACION!$F$2:$F$500,0))="sin dato","",INDEX(CODIFICACION!$E$2:$E$500,MATCH("D10.36a|"&amp;CX146,CODIFICACION!$F$2:$F$500,0))),"⚠"))</f>
        <v/>
      </c>
      <c r="BT146" t="str">
        <f t="shared" si="113"/>
        <v/>
      </c>
      <c r="BU146" t="str">
        <f>IF(DA146="","",IFERROR(IF(INDEX(CODIFICACION!$E$2:$E$500,MATCH("D11.39a|"&amp;DA146,CODIFICACION!$F$2:$F$500,0))="sin dato","",INDEX(CODIFICACION!$E$2:$E$500,MATCH("D11.39a|"&amp;DA146,CODIFICACION!$F$2:$F$500,0))),"⚠"))</f>
        <v/>
      </c>
      <c r="BV146" t="str">
        <f>IF(DB146="","",IFERROR(IF(INDEX(CODIFICACION!$E$2:$E$500,MATCH("D12.42|"&amp;DB146,CODIFICACION!$F$2:$F$500,0))="sin dato","",INDEX(CODIFICACION!$E$2:$E$500,MATCH("D12.42|"&amp;DB146,CODIFICACION!$F$2:$F$500,0))),"⚠"))</f>
        <v/>
      </c>
      <c r="BW146" t="str">
        <f>IF(DC146="","",IFERROR(IF(INDEX(CODIFICACION!$E$2:$E$500,MATCH("D13.45|"&amp;DC146,CODIFICACION!$F$2:$F$500,0))="sin dato","",INDEX(CODIFICACION!$E$2:$E$500,MATCH("D13.45|"&amp;DC146,CODIFICACION!$F$2:$F$500,0))),"⚠"))</f>
        <v/>
      </c>
      <c r="BX146" t="str">
        <f>IF(DD146="","",IFERROR(IF(INDEX(CODIFICACION!$E$2:$E$500,MATCH("D14.51|"&amp;DD146,CODIFICACION!$F$2:$F$500,0))="sin dato","",INDEX(CODIFICACION!$E$2:$E$500,MATCH("D14.51|"&amp;DD146,CODIFICACION!$F$2:$F$500,0))),"⚠"))</f>
        <v/>
      </c>
      <c r="BY146" t="str">
        <f>IF(DE146="","",IFERROR(IF(INDEX(CODIFICACION!$E$2:$E$500,MATCH("D15.58|"&amp;DE146,CODIFICACION!$F$2:$F$500,0))="sin dato","",INDEX(CODIFICACION!$E$2:$E$500,MATCH("D15.58|"&amp;DE146,CODIFICACION!$F$2:$F$500,0))),"⚠"))</f>
        <v/>
      </c>
      <c r="BZ146" t="str">
        <f>IF(DF146="","",IFERROR(IF(INDEX(CODIFICACION!$E$2:$E$500,MATCH("PP1|"&amp;DF146,CODIFICACION!$F$2:$F$500,0))="sin dato","",INDEX(CODIFICACION!$E$2:$E$500,MATCH("PP1|"&amp;DF146,CODIFICACION!$F$2:$F$500,0))),"⚠"))</f>
        <v/>
      </c>
      <c r="CA146" t="str">
        <f>IF(DG146="","",IFERROR(IF(INDEX(CODIFICACION!$E$2:$E$500,MATCH("PP2|"&amp;DG146,CODIFICACION!$F$2:$F$500,0))="sin dato","",INDEX(CODIFICACION!$E$2:$E$500,MATCH("PP2|"&amp;DG146,CODIFICACION!$F$2:$F$500,0))),"⚠"))</f>
        <v/>
      </c>
      <c r="CB146" t="str">
        <f t="shared" si="114"/>
        <v/>
      </c>
      <c r="CC146" t="str">
        <f t="shared" ca="1" si="115"/>
        <v/>
      </c>
      <c r="CD146" t="str">
        <f t="shared" ca="1" si="116"/>
        <v/>
      </c>
      <c r="CE146" t="str">
        <f t="shared" si="117"/>
        <v/>
      </c>
      <c r="CF146" t="str">
        <f t="shared" si="118"/>
        <v/>
      </c>
      <c r="CG146" t="str">
        <f t="shared" ca="1" si="119"/>
        <v/>
      </c>
      <c r="CH146" t="str">
        <f t="shared" ca="1" si="120"/>
        <v/>
      </c>
      <c r="CI146" t="str">
        <f t="shared" si="121"/>
        <v/>
      </c>
      <c r="CJ146" t="str">
        <f t="shared" si="122"/>
        <v/>
      </c>
      <c r="CK146" t="str">
        <f t="shared" si="123"/>
        <v/>
      </c>
      <c r="CL146" t="str">
        <f t="shared" si="124"/>
        <v/>
      </c>
    </row>
    <row r="147" spans="1:90" x14ac:dyDescent="0.3">
      <c r="A147">
        <f>CAPTURA!A147</f>
        <v>20604151954</v>
      </c>
      <c r="B147">
        <f>CAPTURA!C147</f>
        <v>0</v>
      </c>
      <c r="C147" t="str">
        <f t="shared" si="100"/>
        <v/>
      </c>
      <c r="D147" t="str">
        <f>IF(AE147="","",IFERROR(IF(INDEX(CODIFICACION!$E$2:$E$500,MATCH("P8|"&amp;AE147,CODIFICACION!$F$2:$F$500,0))="sin dato","",INDEX(CODIFICACION!$E$2:$E$500,MATCH("P8|"&amp;AE147,CODIFICACION!$F$2:$F$500,0))),"⚠"))</f>
        <v/>
      </c>
      <c r="E147" t="str">
        <f>IF(AG147="","",IFERROR(IF(INDEX(CODIFICACION!$E$2:$E$500,MATCH("P10|"&amp;AG147,CODIFICACION!$F$2:$F$500,0))="sin dato","",INDEX(CODIFICACION!$E$2:$E$500,MATCH("P10|"&amp;AG147,CODIFICACION!$F$2:$F$500,0))),"⚠"))</f>
        <v/>
      </c>
      <c r="F147" t="str">
        <f>IF(AJ147="","",IFERROR(IF(INDEX(CODIFICACION!$E$2:$E$500,MATCH("P13|"&amp;AJ147,CODIFICACION!$F$2:$F$500,0))="sin dato","",INDEX(CODIFICACION!$E$2:$E$500,MATCH("P13|"&amp;AJ147,CODIFICACION!$F$2:$F$500,0))),"⚠"))</f>
        <v/>
      </c>
      <c r="G147" t="str">
        <f>IF(AK147="","",IFERROR(IF(INDEX(CODIFICACION!$E$2:$E$500,MATCH("P14|"&amp;AK147,CODIFICACION!$F$2:$F$500,0))="sin dato","",INDEX(CODIFICACION!$E$2:$E$500,MATCH("P14|"&amp;AK147,CODIFICACION!$F$2:$F$500,0))),"⚠"))</f>
        <v/>
      </c>
      <c r="H147" t="str">
        <f>IF(AL147="","",IFERROR(IF(INDEX(CODIFICACION!$E$2:$E$500,MATCH("D1.1|"&amp;AL147,CODIFICACION!$F$2:$F$500,0))="sin dato","",INDEX(CODIFICACION!$E$2:$E$500,MATCH("D1.1|"&amp;AL147,CODIFICACION!$F$2:$F$500,0))),"⚠"))</f>
        <v/>
      </c>
      <c r="I147" t="str">
        <f>IF(AN147="","",IFERROR(IF(INDEX(CODIFICACION!$E$2:$E$500,MATCH("D1.3|"&amp;AN147,CODIFICACION!$F$2:$F$500,0))="sin dato","",INDEX(CODIFICACION!$E$2:$E$500,MATCH("D1.3|"&amp;AN147,CODIFICACION!$F$2:$F$500,0))),"⚠"))</f>
        <v/>
      </c>
      <c r="J147" t="str">
        <f>IF(AO147="","",IFERROR(IF(INDEX(CODIFICACION!$E$2:$E$500,MATCH("D1.4|"&amp;AO147,CODIFICACION!$F$2:$F$500,0))="sin dato","",INDEX(CODIFICACION!$E$2:$E$500,MATCH("D1.4|"&amp;AO147,CODIFICACION!$F$2:$F$500,0))),"⚠"))</f>
        <v/>
      </c>
      <c r="K147" t="str">
        <f>IF(AP147="","",IFERROR(IF(INDEX(CODIFICACION!$E$2:$E$500,MATCH("D1.3a|"&amp;AP147,CODIFICACION!$F$2:$F$500,0))="sin dato","",INDEX(CODIFICACION!$E$2:$E$500,MATCH("D1.3a|"&amp;AP147,CODIFICACION!$F$2:$F$500,0))),"⚠"))</f>
        <v/>
      </c>
      <c r="L147" t="str">
        <f t="shared" si="101"/>
        <v/>
      </c>
      <c r="M147" t="str">
        <f t="shared" si="102"/>
        <v/>
      </c>
      <c r="N147" t="str">
        <f t="shared" si="103"/>
        <v/>
      </c>
      <c r="O147" t="str">
        <f>IF(AT147="","",IFERROR(IF(INDEX(CODIFICACION!$E$2:$E$500,MATCH("D2.8|"&amp;AT147,CODIFICACION!$F$2:$F$500,0))="sin dato","",INDEX(CODIFICACION!$E$2:$E$500,MATCH("D2.8|"&amp;AT147,CODIFICACION!$F$2:$F$500,0))),"⚠"))</f>
        <v/>
      </c>
      <c r="P147" t="str">
        <f>IF(AU147="","",IFERROR(IF(INDEX(CODIFICACION!$E$2:$E$500,MATCH("D2.9|"&amp;AU147,CODIFICACION!$F$2:$F$500,0))="sin dato","",INDEX(CODIFICACION!$E$2:$E$500,MATCH("D2.9|"&amp;AU147,CODIFICACION!$F$2:$F$500,0))),"⚠"))</f>
        <v/>
      </c>
      <c r="Q147" t="str">
        <f>IF(AV147="","",IFERROR(IF(INDEX(CODIFICACION!$E$2:$E$500,MATCH("D2.10|"&amp;AV147,CODIFICACION!$F$2:$F$500,0))="sin dato","",INDEX(CODIFICACION!$E$2:$E$500,MATCH("D2.10|"&amp;AV147,CODIFICACION!$F$2:$F$500,0))),"⚠"))</f>
        <v/>
      </c>
      <c r="R147" t="str">
        <f>IF(AW147="","",IFERROR(IF(INDEX(CODIFICACION!$E$2:$E$500,MATCH("D2.5a|"&amp;AW147,CODIFICACION!$F$2:$F$500,0))="sin dato","",INDEX(CODIFICACION!$E$2:$E$500,MATCH("D2.5a|"&amp;AW147,CODIFICACION!$F$2:$F$500,0))),"⚠"))</f>
        <v/>
      </c>
      <c r="S147" t="str">
        <f ca="1">IF(AX147="","",IFERROR(IF(INDEX(CODIFICACION!$E$2:$E$500,MATCH("D2.5b|"&amp;AX147,CODIFICACION!$F$2:$F$500,0))="sin dato","",INDEX(CODIFICACION!$E$2:$E$500,MATCH("D2.5b|"&amp;AX147,CODIFICACION!$F$2:$F$500,0))),"⚠"))</f>
        <v/>
      </c>
      <c r="T147" t="str">
        <f t="shared" ca="1" si="104"/>
        <v/>
      </c>
      <c r="U147" t="str">
        <f>IF(AZ147="","",IFERROR(IF(INDEX(CODIFICACION!$E$2:$E$500,MATCH("D3.12|"&amp;AZ147,CODIFICACION!$F$2:$F$500,0))="sin dato","",INDEX(CODIFICACION!$E$2:$E$500,MATCH("D3.12|"&amp;AZ147,CODIFICACION!$F$2:$F$500,0))),"⚠"))</f>
        <v/>
      </c>
      <c r="V147" t="str">
        <f t="shared" si="105"/>
        <v/>
      </c>
      <c r="W147" t="str">
        <f ca="1">IF(BB147="","",IFERROR(IF(INDEX(CODIFICACION!$E$2:$E$500,MATCH("D3.14|"&amp;BB147,CODIFICACION!$F$2:$F$500,0))="sin dato","",INDEX(CODIFICACION!$E$2:$E$500,MATCH("D3.14|"&amp;BB147,CODIFICACION!$F$2:$F$500,0))),"⚠"))</f>
        <v/>
      </c>
      <c r="X147" t="str">
        <f ca="1">IF(BC147="","",IFERROR(IF(INDEX(CODIFICACION!$E$2:$E$500,MATCH("D3.14a|"&amp;BC147,CODIFICACION!$F$2:$F$500,0))="sin dato","",INDEX(CODIFICACION!$E$2:$E$500,MATCH("D3.14a|"&amp;BC147,CODIFICACION!$F$2:$F$500,0))),"⚠"))</f>
        <v/>
      </c>
      <c r="Y147" t="str">
        <f>IF(BD147="","",IFERROR(IF(INDEX(CODIFICACION!$E$2:$E$500,MATCH("D3.14b|"&amp;BD147,CODIFICACION!$F$2:$F$500,0))="sin dato","",INDEX(CODIFICACION!$E$2:$E$500,MATCH("D3.14b|"&amp;BD147,CODIFICACION!$F$2:$F$500,0))),"⚠"))</f>
        <v/>
      </c>
      <c r="Z147" t="str">
        <f>IF(BE147="","",IFERROR(IF(INDEX(CODIFICACION!$E$2:$E$500,MATCH("D3.14c|"&amp;BE147,CODIFICACION!$F$2:$F$500,0))="sin dato","",INDEX(CODIFICACION!$E$2:$E$500,MATCH("D3.14c|"&amp;BE147,CODIFICACION!$F$2:$F$500,0))),"⚠"))</f>
        <v/>
      </c>
      <c r="AA147" t="str">
        <f>IF(BF147="","",IFERROR(IF(INDEX(CODIFICACION!$E$2:$E$500,MATCH("D3.14d|"&amp;BF147,CODIFICACION!$F$2:$F$500,0))="sin dato","",INDEX(CODIFICACION!$E$2:$E$500,MATCH("D3.14d|"&amp;BF147,CODIFICACION!$F$2:$F$500,0))),"⚠"))</f>
        <v/>
      </c>
      <c r="AB147" t="str">
        <f>IF(BG147="","",IFERROR(IF(INDEX(CODIFICACION!$E$2:$E$500,MATCH("D3.14e|"&amp;BG147,CODIFICACION!$F$2:$F$500,0))="sin dato","",INDEX(CODIFICACION!$E$2:$E$500,MATCH("D3.14e|"&amp;BG147,CODIFICACION!$F$2:$F$500,0))),"⚠"))</f>
        <v/>
      </c>
      <c r="AC147" t="str">
        <f>IF(BH147="","",IFERROR(IF(INDEX(CODIFICACION!$E$2:$E$500,MATCH("D3.14f|"&amp;BH147,CODIFICACION!$F$2:$F$500,0))="sin dato","",INDEX(CODIFICACION!$E$2:$E$500,MATCH("D3.14f|"&amp;BH147,CODIFICACION!$F$2:$F$500,0))),"⚠"))</f>
        <v/>
      </c>
      <c r="AD147" t="str">
        <f>IF(BI147="","",IFERROR(IF(INDEX(CODIFICACION!$E$2:$E$500,MATCH("D3.14g|"&amp;BI147,CODIFICACION!$F$2:$F$500,0))="sin dato","",INDEX(CODIFICACION!$E$2:$E$500,MATCH("D3.14g|"&amp;BI147,CODIFICACION!$F$2:$F$500,0))),"⚠"))</f>
        <v/>
      </c>
      <c r="AE147" t="str">
        <f>IF(BJ147="","",IFERROR(IF(INDEX(CODIFICACION!$E$2:$E$500,MATCH("D3.14h|"&amp;BJ147,CODIFICACION!$F$2:$F$500,0))="sin dato","",INDEX(CODIFICACION!$E$2:$E$500,MATCH("D3.14h|"&amp;BJ147,CODIFICACION!$F$2:$F$500,0))),"⚠"))</f>
        <v/>
      </c>
      <c r="AF147" t="str">
        <f>IF(BK147="","",IFERROR(IF(INDEX(CODIFICACION!$E$2:$E$500,MATCH("D3.14i|"&amp;BK147,CODIFICACION!$F$2:$F$500,0))="sin dato","",INDEX(CODIFICACION!$E$2:$E$500,MATCH("D3.14i|"&amp;BK147,CODIFICACION!$F$2:$F$500,0))),"⚠"))</f>
        <v/>
      </c>
      <c r="AG147" t="str">
        <f>IF(BL147="","",IFERROR(IF(INDEX(CODIFICACION!$E$2:$E$500,MATCH("D4.15|"&amp;BL147,CODIFICACION!$F$2:$F$500,0))="sin dato","",INDEX(CODIFICACION!$E$2:$E$500,MATCH("D4.15|"&amp;BL147,CODIFICACION!$F$2:$F$500,0))),"⚠"))</f>
        <v/>
      </c>
      <c r="AH147" t="str">
        <f t="shared" si="106"/>
        <v/>
      </c>
      <c r="AI147" t="str">
        <f>IF(BN147="","",IFERROR(IF(INDEX(CODIFICACION!$E$2:$E$500,MATCH("D4.17|"&amp;BN147,CODIFICACION!$F$2:$F$500,0))="sin dato","",INDEX(CODIFICACION!$E$2:$E$500,MATCH("D4.17|"&amp;BN147,CODIFICACION!$F$2:$F$500,0))),"⚠"))</f>
        <v/>
      </c>
      <c r="AJ147" t="str">
        <f>IF(BO147="","",IFERROR(IF(INDEX(CODIFICACION!$E$2:$E$500,MATCH("D4.15a|"&amp;BO147,CODIFICACION!$F$2:$F$500,0))="sin dato","",INDEX(CODIFICACION!$E$2:$E$500,MATCH("D4.15a|"&amp;BO147,CODIFICACION!$F$2:$F$500,0))),"⚠"))</f>
        <v/>
      </c>
      <c r="AK147" t="str">
        <f t="shared" si="107"/>
        <v/>
      </c>
      <c r="AL147" t="str">
        <f t="shared" si="108"/>
        <v/>
      </c>
      <c r="AM147" t="str">
        <f>IF(BR147="","",IFERROR(IF(INDEX(CODIFICACION!$E$2:$E$500,MATCH("D5.18b|"&amp;BR147,CODIFICACION!$F$2:$F$500,0))="sin dato","",INDEX(CODIFICACION!$E$2:$E$500,MATCH("D5.18b|"&amp;BR147,CODIFICACION!$F$2:$F$500,0))),"⚠"))</f>
        <v/>
      </c>
      <c r="AN147" t="str">
        <f>IF(BS147="","",IFERROR(IF(INDEX(CODIFICACION!$E$2:$E$500,MATCH("D5.19|"&amp;BS147,CODIFICACION!$F$2:$F$500,0))="sin dato","",INDEX(CODIFICACION!$E$2:$E$500,MATCH("D5.19|"&amp;BS147,CODIFICACION!$F$2:$F$500,0))),"⚠"))</f>
        <v/>
      </c>
      <c r="AO147" t="str">
        <f t="shared" si="109"/>
        <v/>
      </c>
      <c r="AP147" t="str">
        <f>IF(BU147="","",IFERROR(IF(INDEX(CODIFICACION!$E$2:$E$500,MATCH("D5.20|"&amp;BU147,CODIFICACION!$F$2:$F$500,0))="sin dato","",INDEX(CODIFICACION!$E$2:$E$500,MATCH("D5.20|"&amp;BU147,CODIFICACION!$F$2:$F$500,0))),"⚠"))</f>
        <v/>
      </c>
      <c r="AQ147" t="str">
        <f>IF(BV147="","",IFERROR(IF(INDEX(CODIFICACION!$E$2:$E$500,MATCH("D5.21|"&amp;BV147,CODIFICACION!$F$2:$F$500,0))="sin dato","",INDEX(CODIFICACION!$E$2:$E$500,MATCH("D5.21|"&amp;BV147,CODIFICACION!$F$2:$F$500,0))),"⚠"))</f>
        <v/>
      </c>
      <c r="AR147" t="str">
        <f>IF(BW147="","",IFERROR(IF(INDEX(CODIFICACION!$E$2:$E$500,MATCH("D5.21a|"&amp;BW147,CODIFICACION!$F$2:$F$500,0))="sin dato","",INDEX(CODIFICACION!$E$2:$E$500,MATCH("D5.21a|"&amp;BW147,CODIFICACION!$F$2:$F$500,0))),"⚠"))</f>
        <v/>
      </c>
      <c r="AS147" t="str">
        <f>IF(BX147="","",IFERROR(IF(INDEX(CODIFICACION!$E$2:$E$500,MATCH("D5.21b|"&amp;BX147,CODIFICACION!$F$2:$F$500,0))="sin dato","",INDEX(CODIFICACION!$E$2:$E$500,MATCH("D5.21b|"&amp;BX147,CODIFICACION!$F$2:$F$500,0))),"⚠"))</f>
        <v/>
      </c>
      <c r="AT147" t="str">
        <f>IF(BY147="","",IFERROR(IF(INDEX(CODIFICACION!$E$2:$E$500,MATCH("D6.22|"&amp;BY147,CODIFICACION!$F$2:$F$500,0))="sin dato","",INDEX(CODIFICACION!$E$2:$E$500,MATCH("D6.22|"&amp;BY147,CODIFICACION!$F$2:$F$500,0))),"⚠"))</f>
        <v/>
      </c>
      <c r="AU147" t="str">
        <f>IF(BZ147="","",IFERROR(IF(INDEX(CODIFICACION!$E$2:$E$500,MATCH("D6.22a|"&amp;BZ147,CODIFICACION!$F$2:$F$500,0))="sin dato","",INDEX(CODIFICACION!$E$2:$E$500,MATCH("D6.22a|"&amp;BZ147,CODIFICACION!$F$2:$F$500,0))),"⚠"))</f>
        <v/>
      </c>
      <c r="AV147" t="str">
        <f>IF(CA147="","",IFERROR(IF(INDEX(CODIFICACION!$E$2:$E$500,MATCH("D6.22b|"&amp;CA147,CODIFICACION!$F$2:$F$500,0))="sin dato","",INDEX(CODIFICACION!$E$2:$E$500,MATCH("D6.22b|"&amp;CA147,CODIFICACION!$F$2:$F$500,0))),"⚠"))</f>
        <v/>
      </c>
      <c r="AW147" t="str">
        <f>IF(CB147="","",IFERROR(IF(INDEX(CODIFICACION!$E$2:$E$500,MATCH("D6.23|"&amp;CB147,CODIFICACION!$F$2:$F$500,0))="sin dato","",INDEX(CODIFICACION!$E$2:$E$500,MATCH("D6.23|"&amp;CB147,CODIFICACION!$F$2:$F$500,0))),"⚠"))</f>
        <v/>
      </c>
      <c r="AX147" t="str">
        <f ca="1">IF(CC147="","",IFERROR(IF(INDEX(CODIFICACION!$E$2:$E$500,MATCH("D6.24|"&amp;CC147,CODIFICACION!$F$2:$F$500,0))="sin dato","",INDEX(CODIFICACION!$E$2:$E$500,MATCH("D6.24|"&amp;CC147,CODIFICACION!$F$2:$F$500,0))),"⚠"))</f>
        <v/>
      </c>
      <c r="AY147" t="str">
        <f ca="1">IF(CD147="","",IFERROR(IF(INDEX(CODIFICACION!$E$2:$E$500,MATCH("D6.25|"&amp;CD147,CODIFICACION!$F$2:$F$500,0))="sin dato","",INDEX(CODIFICACION!$E$2:$E$500,MATCH("D6.25|"&amp;CD147,CODIFICACION!$F$2:$F$500,0))),"⚠"))</f>
        <v/>
      </c>
      <c r="AZ147" t="str">
        <f>IF(CE147="","",IFERROR(IF(INDEX(CODIFICACION!$E$2:$E$500,MATCH("D6.25a|"&amp;CE147,CODIFICACION!$F$2:$F$500,0))="sin dato","",INDEX(CODIFICACION!$E$2:$E$500,MATCH("D6.25a|"&amp;CE147,CODIFICACION!$F$2:$F$500,0))),"⚠"))</f>
        <v/>
      </c>
      <c r="BA147" t="str">
        <f>IF(CF147="","",IFERROR(IF(INDEX(CODIFICACION!$E$2:$E$500,MATCH("D6.25b|"&amp;CF147,CODIFICACION!$F$2:$F$500,0))="sin dato","",INDEX(CODIFICACION!$E$2:$E$500,MATCH("D6.25b|"&amp;CF147,CODIFICACION!$F$2:$F$500,0))),"⚠"))</f>
        <v/>
      </c>
      <c r="BB147" t="str">
        <f ca="1">IF(CG147="","",IFERROR(IF(INDEX(CODIFICACION!$E$2:$E$500,MATCH("D6.22c|"&amp;CG147,CODIFICACION!$F$2:$F$500,0))="sin dato","",INDEX(CODIFICACION!$E$2:$E$500,MATCH("D6.22c|"&amp;CG147,CODIFICACION!$F$2:$F$500,0))),"⚠"))</f>
        <v/>
      </c>
      <c r="BC147" t="str">
        <f ca="1">IF(CH147="","",IFERROR(IF(INDEX(CODIFICACION!$E$2:$E$500,MATCH("D7.26|"&amp;CH147,CODIFICACION!$F$2:$F$500,0))="sin dato","",INDEX(CODIFICACION!$E$2:$E$500,MATCH("D7.26|"&amp;CH147,CODIFICACION!$F$2:$F$500,0))),"⚠"))</f>
        <v/>
      </c>
      <c r="BD147" t="str">
        <f>IF(CI147="","",IFERROR(IF(INDEX(CODIFICACION!$E$2:$E$500,MATCH("D7.27|"&amp;CI147,CODIFICACION!$F$2:$F$500,0))="sin dato","",INDEX(CODIFICACION!$E$2:$E$500,MATCH("D7.27|"&amp;CI147,CODIFICACION!$F$2:$F$500,0))),"⚠"))</f>
        <v/>
      </c>
      <c r="BE147" t="str">
        <f>IF(CJ147="","",IFERROR(IF(INDEX(CODIFICACION!$E$2:$E$500,MATCH("D7.28|"&amp;CJ147,CODIFICACION!$F$2:$F$500,0))="sin dato","",INDEX(CODIFICACION!$E$2:$E$500,MATCH("D7.28|"&amp;CJ147,CODIFICACION!$F$2:$F$500,0))),"⚠"))</f>
        <v/>
      </c>
      <c r="BF147" t="str">
        <f>IF(CK147="","",IFERROR(IF(INDEX(CODIFICACION!$E$2:$E$500,MATCH("D7.28b|"&amp;CK147,CODIFICACION!$F$2:$F$500,0))="sin dato","",INDEX(CODIFICACION!$E$2:$E$500,MATCH("D7.28b|"&amp;CK147,CODIFICACION!$F$2:$F$500,0))),"⚠"))</f>
        <v/>
      </c>
      <c r="BG147" t="str">
        <f t="shared" si="110"/>
        <v/>
      </c>
      <c r="BH147" t="str">
        <f>IF(CM147="","",IFERROR(IF(INDEX(CODIFICACION!$E$2:$E$500,MATCH("D7.26a|"&amp;CM147,CODIFICACION!$F$2:$F$500,0))="sin dato","",INDEX(CODIFICACION!$E$2:$E$500,MATCH("D7.26a|"&amp;CM147,CODIFICACION!$F$2:$F$500,0))),"⚠"))</f>
        <v/>
      </c>
      <c r="BI147" t="str">
        <f>IF(CN147="","",IFERROR(IF(INDEX(CODIFICACION!$E$2:$E$500,MATCH("D7.26b|"&amp;CN147,CODIFICACION!$F$2:$F$500,0))="sin dato","",INDEX(CODIFICACION!$E$2:$E$500,MATCH("D7.26b|"&amp;CN147,CODIFICACION!$F$2:$F$500,0))),"⚠"))</f>
        <v/>
      </c>
      <c r="BJ147" t="str">
        <f t="shared" si="111"/>
        <v/>
      </c>
      <c r="BK147" t="str">
        <f t="shared" si="112"/>
        <v/>
      </c>
      <c r="BL147" t="str">
        <f>IF(CQ147="","",IFERROR(IF(INDEX(CODIFICACION!$E$2:$E$500,MATCH("D8.31|"&amp;CQ147,CODIFICACION!$F$2:$F$500,0))="sin dato","",INDEX(CODIFICACION!$E$2:$E$500,MATCH("D8.31|"&amp;CQ147,CODIFICACION!$F$2:$F$500,0))),"⚠"))</f>
        <v/>
      </c>
      <c r="BM147" t="str">
        <f>IF(CR147="","",IFERROR(IF(INDEX(CODIFICACION!$E$2:$E$500,MATCH("D8.32|"&amp;CR147,CODIFICACION!$F$2:$F$500,0))="sin dato","",INDEX(CODIFICACION!$E$2:$E$500,MATCH("D8.32|"&amp;CR147,CODIFICACION!$F$2:$F$500,0))),"⚠"))</f>
        <v/>
      </c>
      <c r="BN147" t="str">
        <f>IF(CS147="","",IFERROR(IF(INDEX(CODIFICACION!$E$2:$E$500,MATCH("D9.33|"&amp;CS147,CODIFICACION!$F$2:$F$500,0))="sin dato","",INDEX(CODIFICACION!$E$2:$E$500,MATCH("D9.33|"&amp;CS147,CODIFICACION!$F$2:$F$500,0))),"⚠"))</f>
        <v/>
      </c>
      <c r="BO147" t="str">
        <f>IF(CT147="","",IFERROR(IF(INDEX(CODIFICACION!$E$2:$E$500,MATCH("D9.34|"&amp;CT147,CODIFICACION!$F$2:$F$500,0))="sin dato","",INDEX(CODIFICACION!$E$2:$E$500,MATCH("D9.34|"&amp;CT147,CODIFICACION!$F$2:$F$500,0))),"⚠"))</f>
        <v/>
      </c>
      <c r="BP147" t="str">
        <f>IF(CU147="","",IFERROR(IF(INDEX(CODIFICACION!$E$2:$E$500,MATCH("D9.35|"&amp;CU147,CODIFICACION!$F$2:$F$500,0))="sin dato","",INDEX(CODIFICACION!$E$2:$E$500,MATCH("D9.35|"&amp;CU147,CODIFICACION!$F$2:$F$500,0))),"⚠"))</f>
        <v/>
      </c>
      <c r="BQ147" t="str">
        <f>IF(CV147="","",IFERROR(IF(INDEX(CODIFICACION!$E$2:$E$500,MATCH("D10.36|"&amp;CV147,CODIFICACION!$F$2:$F$500,0))="sin dato","",INDEX(CODIFICACION!$E$2:$E$500,MATCH("D10.36|"&amp;CV147,CODIFICACION!$F$2:$F$500,0))),"⚠"))</f>
        <v/>
      </c>
      <c r="BR147" t="str">
        <f>IF(CW147="","",IFERROR(IF(INDEX(CODIFICACION!$E$2:$E$500,MATCH("D10.37|"&amp;CW147,CODIFICACION!$F$2:$F$500,0))="sin dato","",INDEX(CODIFICACION!$E$2:$E$500,MATCH("D10.37|"&amp;CW147,CODIFICACION!$F$2:$F$500,0))),"⚠"))</f>
        <v/>
      </c>
      <c r="BS147" t="str">
        <f>IF(CX147="","",IFERROR(IF(INDEX(CODIFICACION!$E$2:$E$500,MATCH("D10.36a|"&amp;CX147,CODIFICACION!$F$2:$F$500,0))="sin dato","",INDEX(CODIFICACION!$E$2:$E$500,MATCH("D10.36a|"&amp;CX147,CODIFICACION!$F$2:$F$500,0))),"⚠"))</f>
        <v/>
      </c>
      <c r="BT147" t="str">
        <f t="shared" si="113"/>
        <v/>
      </c>
      <c r="BU147" t="str">
        <f>IF(DA147="","",IFERROR(IF(INDEX(CODIFICACION!$E$2:$E$500,MATCH("D11.39a|"&amp;DA147,CODIFICACION!$F$2:$F$500,0))="sin dato","",INDEX(CODIFICACION!$E$2:$E$500,MATCH("D11.39a|"&amp;DA147,CODIFICACION!$F$2:$F$500,0))),"⚠"))</f>
        <v/>
      </c>
      <c r="BV147" t="str">
        <f>IF(DB147="","",IFERROR(IF(INDEX(CODIFICACION!$E$2:$E$500,MATCH("D12.42|"&amp;DB147,CODIFICACION!$F$2:$F$500,0))="sin dato","",INDEX(CODIFICACION!$E$2:$E$500,MATCH("D12.42|"&amp;DB147,CODIFICACION!$F$2:$F$500,0))),"⚠"))</f>
        <v/>
      </c>
      <c r="BW147" t="str">
        <f>IF(DC147="","",IFERROR(IF(INDEX(CODIFICACION!$E$2:$E$500,MATCH("D13.45|"&amp;DC147,CODIFICACION!$F$2:$F$500,0))="sin dato","",INDEX(CODIFICACION!$E$2:$E$500,MATCH("D13.45|"&amp;DC147,CODIFICACION!$F$2:$F$500,0))),"⚠"))</f>
        <v/>
      </c>
      <c r="BX147" t="str">
        <f>IF(DD147="","",IFERROR(IF(INDEX(CODIFICACION!$E$2:$E$500,MATCH("D14.51|"&amp;DD147,CODIFICACION!$F$2:$F$500,0))="sin dato","",INDEX(CODIFICACION!$E$2:$E$500,MATCH("D14.51|"&amp;DD147,CODIFICACION!$F$2:$F$500,0))),"⚠"))</f>
        <v/>
      </c>
      <c r="BY147" t="str">
        <f>IF(DE147="","",IFERROR(IF(INDEX(CODIFICACION!$E$2:$E$500,MATCH("D15.58|"&amp;DE147,CODIFICACION!$F$2:$F$500,0))="sin dato","",INDEX(CODIFICACION!$E$2:$E$500,MATCH("D15.58|"&amp;DE147,CODIFICACION!$F$2:$F$500,0))),"⚠"))</f>
        <v/>
      </c>
      <c r="BZ147" t="str">
        <f>IF(DF147="","",IFERROR(IF(INDEX(CODIFICACION!$E$2:$E$500,MATCH("PP1|"&amp;DF147,CODIFICACION!$F$2:$F$500,0))="sin dato","",INDEX(CODIFICACION!$E$2:$E$500,MATCH("PP1|"&amp;DF147,CODIFICACION!$F$2:$F$500,0))),"⚠"))</f>
        <v/>
      </c>
      <c r="CA147" t="str">
        <f>IF(DG147="","",IFERROR(IF(INDEX(CODIFICACION!$E$2:$E$500,MATCH("PP2|"&amp;DG147,CODIFICACION!$F$2:$F$500,0))="sin dato","",INDEX(CODIFICACION!$E$2:$E$500,MATCH("PP2|"&amp;DG147,CODIFICACION!$F$2:$F$500,0))),"⚠"))</f>
        <v/>
      </c>
      <c r="CB147" t="str">
        <f t="shared" si="114"/>
        <v/>
      </c>
      <c r="CC147" t="str">
        <f t="shared" ca="1" si="115"/>
        <v/>
      </c>
      <c r="CD147" t="str">
        <f t="shared" ca="1" si="116"/>
        <v/>
      </c>
      <c r="CE147" t="str">
        <f t="shared" si="117"/>
        <v/>
      </c>
      <c r="CF147" t="str">
        <f t="shared" si="118"/>
        <v/>
      </c>
      <c r="CG147" t="str">
        <f t="shared" ca="1" si="119"/>
        <v/>
      </c>
      <c r="CH147" t="str">
        <f t="shared" ca="1" si="120"/>
        <v/>
      </c>
      <c r="CI147" t="str">
        <f t="shared" si="121"/>
        <v/>
      </c>
      <c r="CJ147" t="str">
        <f t="shared" si="122"/>
        <v/>
      </c>
      <c r="CK147" t="str">
        <f t="shared" si="123"/>
        <v/>
      </c>
      <c r="CL147" t="str">
        <f t="shared" si="124"/>
        <v/>
      </c>
    </row>
    <row r="148" spans="1:90" x14ac:dyDescent="0.3">
      <c r="A148">
        <f>CAPTURA!A148</f>
        <v>20604215600</v>
      </c>
      <c r="B148">
        <f>CAPTURA!C148</f>
        <v>0</v>
      </c>
      <c r="C148" t="str">
        <f t="shared" si="100"/>
        <v/>
      </c>
      <c r="D148" t="str">
        <f>IF(AE148="","",IFERROR(IF(INDEX(CODIFICACION!$E$2:$E$500,MATCH("P8|"&amp;AE148,CODIFICACION!$F$2:$F$500,0))="sin dato","",INDEX(CODIFICACION!$E$2:$E$500,MATCH("P8|"&amp;AE148,CODIFICACION!$F$2:$F$500,0))),"⚠"))</f>
        <v/>
      </c>
      <c r="E148" t="str">
        <f>IF(AG148="","",IFERROR(IF(INDEX(CODIFICACION!$E$2:$E$500,MATCH("P10|"&amp;AG148,CODIFICACION!$F$2:$F$500,0))="sin dato","",INDEX(CODIFICACION!$E$2:$E$500,MATCH("P10|"&amp;AG148,CODIFICACION!$F$2:$F$500,0))),"⚠"))</f>
        <v/>
      </c>
      <c r="F148" t="str">
        <f>IF(AJ148="","",IFERROR(IF(INDEX(CODIFICACION!$E$2:$E$500,MATCH("P13|"&amp;AJ148,CODIFICACION!$F$2:$F$500,0))="sin dato","",INDEX(CODIFICACION!$E$2:$E$500,MATCH("P13|"&amp;AJ148,CODIFICACION!$F$2:$F$500,0))),"⚠"))</f>
        <v/>
      </c>
      <c r="G148" t="str">
        <f>IF(AK148="","",IFERROR(IF(INDEX(CODIFICACION!$E$2:$E$500,MATCH("P14|"&amp;AK148,CODIFICACION!$F$2:$F$500,0))="sin dato","",INDEX(CODIFICACION!$E$2:$E$500,MATCH("P14|"&amp;AK148,CODIFICACION!$F$2:$F$500,0))),"⚠"))</f>
        <v/>
      </c>
      <c r="H148" t="str">
        <f>IF(AL148="","",IFERROR(IF(INDEX(CODIFICACION!$E$2:$E$500,MATCH("D1.1|"&amp;AL148,CODIFICACION!$F$2:$F$500,0))="sin dato","",INDEX(CODIFICACION!$E$2:$E$500,MATCH("D1.1|"&amp;AL148,CODIFICACION!$F$2:$F$500,0))),"⚠"))</f>
        <v/>
      </c>
      <c r="I148" t="str">
        <f>IF(AN148="","",IFERROR(IF(INDEX(CODIFICACION!$E$2:$E$500,MATCH("D1.3|"&amp;AN148,CODIFICACION!$F$2:$F$500,0))="sin dato","",INDEX(CODIFICACION!$E$2:$E$500,MATCH("D1.3|"&amp;AN148,CODIFICACION!$F$2:$F$500,0))),"⚠"))</f>
        <v/>
      </c>
      <c r="J148" t="str">
        <f>IF(AO148="","",IFERROR(IF(INDEX(CODIFICACION!$E$2:$E$500,MATCH("D1.4|"&amp;AO148,CODIFICACION!$F$2:$F$500,0))="sin dato","",INDEX(CODIFICACION!$E$2:$E$500,MATCH("D1.4|"&amp;AO148,CODIFICACION!$F$2:$F$500,0))),"⚠"))</f>
        <v/>
      </c>
      <c r="K148" t="str">
        <f>IF(AP148="","",IFERROR(IF(INDEX(CODIFICACION!$E$2:$E$500,MATCH("D1.3a|"&amp;AP148,CODIFICACION!$F$2:$F$500,0))="sin dato","",INDEX(CODIFICACION!$E$2:$E$500,MATCH("D1.3a|"&amp;AP148,CODIFICACION!$F$2:$F$500,0))),"⚠"))</f>
        <v/>
      </c>
      <c r="L148" t="str">
        <f t="shared" si="101"/>
        <v/>
      </c>
      <c r="M148" t="str">
        <f t="shared" si="102"/>
        <v/>
      </c>
      <c r="N148" t="str">
        <f t="shared" si="103"/>
        <v/>
      </c>
      <c r="O148" t="str">
        <f>IF(AT148="","",IFERROR(IF(INDEX(CODIFICACION!$E$2:$E$500,MATCH("D2.8|"&amp;AT148,CODIFICACION!$F$2:$F$500,0))="sin dato","",INDEX(CODIFICACION!$E$2:$E$500,MATCH("D2.8|"&amp;AT148,CODIFICACION!$F$2:$F$500,0))),"⚠"))</f>
        <v/>
      </c>
      <c r="P148" t="str">
        <f>IF(AU148="","",IFERROR(IF(INDEX(CODIFICACION!$E$2:$E$500,MATCH("D2.9|"&amp;AU148,CODIFICACION!$F$2:$F$500,0))="sin dato","",INDEX(CODIFICACION!$E$2:$E$500,MATCH("D2.9|"&amp;AU148,CODIFICACION!$F$2:$F$500,0))),"⚠"))</f>
        <v/>
      </c>
      <c r="Q148" t="str">
        <f>IF(AV148="","",IFERROR(IF(INDEX(CODIFICACION!$E$2:$E$500,MATCH("D2.10|"&amp;AV148,CODIFICACION!$F$2:$F$500,0))="sin dato","",INDEX(CODIFICACION!$E$2:$E$500,MATCH("D2.10|"&amp;AV148,CODIFICACION!$F$2:$F$500,0))),"⚠"))</f>
        <v/>
      </c>
      <c r="R148" t="str">
        <f>IF(AW148="","",IFERROR(IF(INDEX(CODIFICACION!$E$2:$E$500,MATCH("D2.5a|"&amp;AW148,CODIFICACION!$F$2:$F$500,0))="sin dato","",INDEX(CODIFICACION!$E$2:$E$500,MATCH("D2.5a|"&amp;AW148,CODIFICACION!$F$2:$F$500,0))),"⚠"))</f>
        <v/>
      </c>
      <c r="S148" t="str">
        <f ca="1">IF(AX148="","",IFERROR(IF(INDEX(CODIFICACION!$E$2:$E$500,MATCH("D2.5b|"&amp;AX148,CODIFICACION!$F$2:$F$500,0))="sin dato","",INDEX(CODIFICACION!$E$2:$E$500,MATCH("D2.5b|"&amp;AX148,CODIFICACION!$F$2:$F$500,0))),"⚠"))</f>
        <v/>
      </c>
      <c r="T148" t="str">
        <f t="shared" ca="1" si="104"/>
        <v/>
      </c>
      <c r="U148" t="str">
        <f>IF(AZ148="","",IFERROR(IF(INDEX(CODIFICACION!$E$2:$E$500,MATCH("D3.12|"&amp;AZ148,CODIFICACION!$F$2:$F$500,0))="sin dato","",INDEX(CODIFICACION!$E$2:$E$500,MATCH("D3.12|"&amp;AZ148,CODIFICACION!$F$2:$F$500,0))),"⚠"))</f>
        <v/>
      </c>
      <c r="V148" t="str">
        <f t="shared" si="105"/>
        <v/>
      </c>
      <c r="W148" t="str">
        <f ca="1">IF(BB148="","",IFERROR(IF(INDEX(CODIFICACION!$E$2:$E$500,MATCH("D3.14|"&amp;BB148,CODIFICACION!$F$2:$F$500,0))="sin dato","",INDEX(CODIFICACION!$E$2:$E$500,MATCH("D3.14|"&amp;BB148,CODIFICACION!$F$2:$F$500,0))),"⚠"))</f>
        <v/>
      </c>
      <c r="X148" t="str">
        <f ca="1">IF(BC148="","",IFERROR(IF(INDEX(CODIFICACION!$E$2:$E$500,MATCH("D3.14a|"&amp;BC148,CODIFICACION!$F$2:$F$500,0))="sin dato","",INDEX(CODIFICACION!$E$2:$E$500,MATCH("D3.14a|"&amp;BC148,CODIFICACION!$F$2:$F$500,0))),"⚠"))</f>
        <v/>
      </c>
      <c r="Y148" t="str">
        <f>IF(BD148="","",IFERROR(IF(INDEX(CODIFICACION!$E$2:$E$500,MATCH("D3.14b|"&amp;BD148,CODIFICACION!$F$2:$F$500,0))="sin dato","",INDEX(CODIFICACION!$E$2:$E$500,MATCH("D3.14b|"&amp;BD148,CODIFICACION!$F$2:$F$500,0))),"⚠"))</f>
        <v/>
      </c>
      <c r="Z148" t="str">
        <f>IF(BE148="","",IFERROR(IF(INDEX(CODIFICACION!$E$2:$E$500,MATCH("D3.14c|"&amp;BE148,CODIFICACION!$F$2:$F$500,0))="sin dato","",INDEX(CODIFICACION!$E$2:$E$500,MATCH("D3.14c|"&amp;BE148,CODIFICACION!$F$2:$F$500,0))),"⚠"))</f>
        <v/>
      </c>
      <c r="AA148" t="str">
        <f>IF(BF148="","",IFERROR(IF(INDEX(CODIFICACION!$E$2:$E$500,MATCH("D3.14d|"&amp;BF148,CODIFICACION!$F$2:$F$500,0))="sin dato","",INDEX(CODIFICACION!$E$2:$E$500,MATCH("D3.14d|"&amp;BF148,CODIFICACION!$F$2:$F$500,0))),"⚠"))</f>
        <v/>
      </c>
      <c r="AB148" t="str">
        <f>IF(BG148="","",IFERROR(IF(INDEX(CODIFICACION!$E$2:$E$500,MATCH("D3.14e|"&amp;BG148,CODIFICACION!$F$2:$F$500,0))="sin dato","",INDEX(CODIFICACION!$E$2:$E$500,MATCH("D3.14e|"&amp;BG148,CODIFICACION!$F$2:$F$500,0))),"⚠"))</f>
        <v/>
      </c>
      <c r="AC148" t="str">
        <f>IF(BH148="","",IFERROR(IF(INDEX(CODIFICACION!$E$2:$E$500,MATCH("D3.14f|"&amp;BH148,CODIFICACION!$F$2:$F$500,0))="sin dato","",INDEX(CODIFICACION!$E$2:$E$500,MATCH("D3.14f|"&amp;BH148,CODIFICACION!$F$2:$F$500,0))),"⚠"))</f>
        <v/>
      </c>
      <c r="AD148" t="str">
        <f>IF(BI148="","",IFERROR(IF(INDEX(CODIFICACION!$E$2:$E$500,MATCH("D3.14g|"&amp;BI148,CODIFICACION!$F$2:$F$500,0))="sin dato","",INDEX(CODIFICACION!$E$2:$E$500,MATCH("D3.14g|"&amp;BI148,CODIFICACION!$F$2:$F$500,0))),"⚠"))</f>
        <v/>
      </c>
      <c r="AE148" t="str">
        <f>IF(BJ148="","",IFERROR(IF(INDEX(CODIFICACION!$E$2:$E$500,MATCH("D3.14h|"&amp;BJ148,CODIFICACION!$F$2:$F$500,0))="sin dato","",INDEX(CODIFICACION!$E$2:$E$500,MATCH("D3.14h|"&amp;BJ148,CODIFICACION!$F$2:$F$500,0))),"⚠"))</f>
        <v/>
      </c>
      <c r="AF148" t="str">
        <f>IF(BK148="","",IFERROR(IF(INDEX(CODIFICACION!$E$2:$E$500,MATCH("D3.14i|"&amp;BK148,CODIFICACION!$F$2:$F$500,0))="sin dato","",INDEX(CODIFICACION!$E$2:$E$500,MATCH("D3.14i|"&amp;BK148,CODIFICACION!$F$2:$F$500,0))),"⚠"))</f>
        <v/>
      </c>
      <c r="AG148" t="str">
        <f>IF(BL148="","",IFERROR(IF(INDEX(CODIFICACION!$E$2:$E$500,MATCH("D4.15|"&amp;BL148,CODIFICACION!$F$2:$F$500,0))="sin dato","",INDEX(CODIFICACION!$E$2:$E$500,MATCH("D4.15|"&amp;BL148,CODIFICACION!$F$2:$F$500,0))),"⚠"))</f>
        <v/>
      </c>
      <c r="AH148" t="str">
        <f t="shared" si="106"/>
        <v/>
      </c>
      <c r="AI148" t="str">
        <f>IF(BN148="","",IFERROR(IF(INDEX(CODIFICACION!$E$2:$E$500,MATCH("D4.17|"&amp;BN148,CODIFICACION!$F$2:$F$500,0))="sin dato","",INDEX(CODIFICACION!$E$2:$E$500,MATCH("D4.17|"&amp;BN148,CODIFICACION!$F$2:$F$500,0))),"⚠"))</f>
        <v/>
      </c>
      <c r="AJ148" t="str">
        <f>IF(BO148="","",IFERROR(IF(INDEX(CODIFICACION!$E$2:$E$500,MATCH("D4.15a|"&amp;BO148,CODIFICACION!$F$2:$F$500,0))="sin dato","",INDEX(CODIFICACION!$E$2:$E$500,MATCH("D4.15a|"&amp;BO148,CODIFICACION!$F$2:$F$500,0))),"⚠"))</f>
        <v/>
      </c>
      <c r="AK148" t="str">
        <f t="shared" si="107"/>
        <v/>
      </c>
      <c r="AL148" t="str">
        <f t="shared" si="108"/>
        <v/>
      </c>
      <c r="AM148" t="str">
        <f>IF(BR148="","",IFERROR(IF(INDEX(CODIFICACION!$E$2:$E$500,MATCH("D5.18b|"&amp;BR148,CODIFICACION!$F$2:$F$500,0))="sin dato","",INDEX(CODIFICACION!$E$2:$E$500,MATCH("D5.18b|"&amp;BR148,CODIFICACION!$F$2:$F$500,0))),"⚠"))</f>
        <v/>
      </c>
      <c r="AN148" t="str">
        <f>IF(BS148="","",IFERROR(IF(INDEX(CODIFICACION!$E$2:$E$500,MATCH("D5.19|"&amp;BS148,CODIFICACION!$F$2:$F$500,0))="sin dato","",INDEX(CODIFICACION!$E$2:$E$500,MATCH("D5.19|"&amp;BS148,CODIFICACION!$F$2:$F$500,0))),"⚠"))</f>
        <v/>
      </c>
      <c r="AO148" t="str">
        <f t="shared" si="109"/>
        <v/>
      </c>
      <c r="AP148" t="str">
        <f>IF(BU148="","",IFERROR(IF(INDEX(CODIFICACION!$E$2:$E$500,MATCH("D5.20|"&amp;BU148,CODIFICACION!$F$2:$F$500,0))="sin dato","",INDEX(CODIFICACION!$E$2:$E$500,MATCH("D5.20|"&amp;BU148,CODIFICACION!$F$2:$F$500,0))),"⚠"))</f>
        <v/>
      </c>
      <c r="AQ148" t="str">
        <f>IF(BV148="","",IFERROR(IF(INDEX(CODIFICACION!$E$2:$E$500,MATCH("D5.21|"&amp;BV148,CODIFICACION!$F$2:$F$500,0))="sin dato","",INDEX(CODIFICACION!$E$2:$E$500,MATCH("D5.21|"&amp;BV148,CODIFICACION!$F$2:$F$500,0))),"⚠"))</f>
        <v/>
      </c>
      <c r="AR148" t="str">
        <f>IF(BW148="","",IFERROR(IF(INDEX(CODIFICACION!$E$2:$E$500,MATCH("D5.21a|"&amp;BW148,CODIFICACION!$F$2:$F$500,0))="sin dato","",INDEX(CODIFICACION!$E$2:$E$500,MATCH("D5.21a|"&amp;BW148,CODIFICACION!$F$2:$F$500,0))),"⚠"))</f>
        <v/>
      </c>
      <c r="AS148" t="str">
        <f>IF(BX148="","",IFERROR(IF(INDEX(CODIFICACION!$E$2:$E$500,MATCH("D5.21b|"&amp;BX148,CODIFICACION!$F$2:$F$500,0))="sin dato","",INDEX(CODIFICACION!$E$2:$E$500,MATCH("D5.21b|"&amp;BX148,CODIFICACION!$F$2:$F$500,0))),"⚠"))</f>
        <v/>
      </c>
      <c r="AT148" t="str">
        <f>IF(BY148="","",IFERROR(IF(INDEX(CODIFICACION!$E$2:$E$500,MATCH("D6.22|"&amp;BY148,CODIFICACION!$F$2:$F$500,0))="sin dato","",INDEX(CODIFICACION!$E$2:$E$500,MATCH("D6.22|"&amp;BY148,CODIFICACION!$F$2:$F$500,0))),"⚠"))</f>
        <v/>
      </c>
      <c r="AU148" t="str">
        <f>IF(BZ148="","",IFERROR(IF(INDEX(CODIFICACION!$E$2:$E$500,MATCH("D6.22a|"&amp;BZ148,CODIFICACION!$F$2:$F$500,0))="sin dato","",INDEX(CODIFICACION!$E$2:$E$500,MATCH("D6.22a|"&amp;BZ148,CODIFICACION!$F$2:$F$500,0))),"⚠"))</f>
        <v/>
      </c>
      <c r="AV148" t="str">
        <f>IF(CA148="","",IFERROR(IF(INDEX(CODIFICACION!$E$2:$E$500,MATCH("D6.22b|"&amp;CA148,CODIFICACION!$F$2:$F$500,0))="sin dato","",INDEX(CODIFICACION!$E$2:$E$500,MATCH("D6.22b|"&amp;CA148,CODIFICACION!$F$2:$F$500,0))),"⚠"))</f>
        <v/>
      </c>
      <c r="AW148" t="str">
        <f>IF(CB148="","",IFERROR(IF(INDEX(CODIFICACION!$E$2:$E$500,MATCH("D6.23|"&amp;CB148,CODIFICACION!$F$2:$F$500,0))="sin dato","",INDEX(CODIFICACION!$E$2:$E$500,MATCH("D6.23|"&amp;CB148,CODIFICACION!$F$2:$F$500,0))),"⚠"))</f>
        <v/>
      </c>
      <c r="AX148" t="str">
        <f ca="1">IF(CC148="","",IFERROR(IF(INDEX(CODIFICACION!$E$2:$E$500,MATCH("D6.24|"&amp;CC148,CODIFICACION!$F$2:$F$500,0))="sin dato","",INDEX(CODIFICACION!$E$2:$E$500,MATCH("D6.24|"&amp;CC148,CODIFICACION!$F$2:$F$500,0))),"⚠"))</f>
        <v/>
      </c>
      <c r="AY148" t="str">
        <f ca="1">IF(CD148="","",IFERROR(IF(INDEX(CODIFICACION!$E$2:$E$500,MATCH("D6.25|"&amp;CD148,CODIFICACION!$F$2:$F$500,0))="sin dato","",INDEX(CODIFICACION!$E$2:$E$500,MATCH("D6.25|"&amp;CD148,CODIFICACION!$F$2:$F$500,0))),"⚠"))</f>
        <v/>
      </c>
      <c r="AZ148" t="str">
        <f>IF(CE148="","",IFERROR(IF(INDEX(CODIFICACION!$E$2:$E$500,MATCH("D6.25a|"&amp;CE148,CODIFICACION!$F$2:$F$500,0))="sin dato","",INDEX(CODIFICACION!$E$2:$E$500,MATCH("D6.25a|"&amp;CE148,CODIFICACION!$F$2:$F$500,0))),"⚠"))</f>
        <v/>
      </c>
      <c r="BA148" t="str">
        <f>IF(CF148="","",IFERROR(IF(INDEX(CODIFICACION!$E$2:$E$500,MATCH("D6.25b|"&amp;CF148,CODIFICACION!$F$2:$F$500,0))="sin dato","",INDEX(CODIFICACION!$E$2:$E$500,MATCH("D6.25b|"&amp;CF148,CODIFICACION!$F$2:$F$500,0))),"⚠"))</f>
        <v/>
      </c>
      <c r="BB148" t="str">
        <f ca="1">IF(CG148="","",IFERROR(IF(INDEX(CODIFICACION!$E$2:$E$500,MATCH("D6.22c|"&amp;CG148,CODIFICACION!$F$2:$F$500,0))="sin dato","",INDEX(CODIFICACION!$E$2:$E$500,MATCH("D6.22c|"&amp;CG148,CODIFICACION!$F$2:$F$500,0))),"⚠"))</f>
        <v/>
      </c>
      <c r="BC148" t="str">
        <f ca="1">IF(CH148="","",IFERROR(IF(INDEX(CODIFICACION!$E$2:$E$500,MATCH("D7.26|"&amp;CH148,CODIFICACION!$F$2:$F$500,0))="sin dato","",INDEX(CODIFICACION!$E$2:$E$500,MATCH("D7.26|"&amp;CH148,CODIFICACION!$F$2:$F$500,0))),"⚠"))</f>
        <v/>
      </c>
      <c r="BD148" t="str">
        <f>IF(CI148="","",IFERROR(IF(INDEX(CODIFICACION!$E$2:$E$500,MATCH("D7.27|"&amp;CI148,CODIFICACION!$F$2:$F$500,0))="sin dato","",INDEX(CODIFICACION!$E$2:$E$500,MATCH("D7.27|"&amp;CI148,CODIFICACION!$F$2:$F$500,0))),"⚠"))</f>
        <v/>
      </c>
      <c r="BE148" t="str">
        <f>IF(CJ148="","",IFERROR(IF(INDEX(CODIFICACION!$E$2:$E$500,MATCH("D7.28|"&amp;CJ148,CODIFICACION!$F$2:$F$500,0))="sin dato","",INDEX(CODIFICACION!$E$2:$E$500,MATCH("D7.28|"&amp;CJ148,CODIFICACION!$F$2:$F$500,0))),"⚠"))</f>
        <v/>
      </c>
      <c r="BF148" t="str">
        <f>IF(CK148="","",IFERROR(IF(INDEX(CODIFICACION!$E$2:$E$500,MATCH("D7.28b|"&amp;CK148,CODIFICACION!$F$2:$F$500,0))="sin dato","",INDEX(CODIFICACION!$E$2:$E$500,MATCH("D7.28b|"&amp;CK148,CODIFICACION!$F$2:$F$500,0))),"⚠"))</f>
        <v/>
      </c>
      <c r="BG148" t="str">
        <f t="shared" si="110"/>
        <v/>
      </c>
      <c r="BH148" t="str">
        <f>IF(CM148="","",IFERROR(IF(INDEX(CODIFICACION!$E$2:$E$500,MATCH("D7.26a|"&amp;CM148,CODIFICACION!$F$2:$F$500,0))="sin dato","",INDEX(CODIFICACION!$E$2:$E$500,MATCH("D7.26a|"&amp;CM148,CODIFICACION!$F$2:$F$500,0))),"⚠"))</f>
        <v/>
      </c>
      <c r="BI148" t="str">
        <f>IF(CN148="","",IFERROR(IF(INDEX(CODIFICACION!$E$2:$E$500,MATCH("D7.26b|"&amp;CN148,CODIFICACION!$F$2:$F$500,0))="sin dato","",INDEX(CODIFICACION!$E$2:$E$500,MATCH("D7.26b|"&amp;CN148,CODIFICACION!$F$2:$F$500,0))),"⚠"))</f>
        <v/>
      </c>
      <c r="BJ148" t="str">
        <f t="shared" si="111"/>
        <v/>
      </c>
      <c r="BK148" t="str">
        <f t="shared" si="112"/>
        <v/>
      </c>
      <c r="BL148" t="str">
        <f>IF(CQ148="","",IFERROR(IF(INDEX(CODIFICACION!$E$2:$E$500,MATCH("D8.31|"&amp;CQ148,CODIFICACION!$F$2:$F$500,0))="sin dato","",INDEX(CODIFICACION!$E$2:$E$500,MATCH("D8.31|"&amp;CQ148,CODIFICACION!$F$2:$F$500,0))),"⚠"))</f>
        <v/>
      </c>
      <c r="BM148" t="str">
        <f>IF(CR148="","",IFERROR(IF(INDEX(CODIFICACION!$E$2:$E$500,MATCH("D8.32|"&amp;CR148,CODIFICACION!$F$2:$F$500,0))="sin dato","",INDEX(CODIFICACION!$E$2:$E$500,MATCH("D8.32|"&amp;CR148,CODIFICACION!$F$2:$F$500,0))),"⚠"))</f>
        <v/>
      </c>
      <c r="BN148" t="str">
        <f>IF(CS148="","",IFERROR(IF(INDEX(CODIFICACION!$E$2:$E$500,MATCH("D9.33|"&amp;CS148,CODIFICACION!$F$2:$F$500,0))="sin dato","",INDEX(CODIFICACION!$E$2:$E$500,MATCH("D9.33|"&amp;CS148,CODIFICACION!$F$2:$F$500,0))),"⚠"))</f>
        <v/>
      </c>
      <c r="BO148" t="str">
        <f>IF(CT148="","",IFERROR(IF(INDEX(CODIFICACION!$E$2:$E$500,MATCH("D9.34|"&amp;CT148,CODIFICACION!$F$2:$F$500,0))="sin dato","",INDEX(CODIFICACION!$E$2:$E$500,MATCH("D9.34|"&amp;CT148,CODIFICACION!$F$2:$F$500,0))),"⚠"))</f>
        <v/>
      </c>
      <c r="BP148" t="str">
        <f>IF(CU148="","",IFERROR(IF(INDEX(CODIFICACION!$E$2:$E$500,MATCH("D9.35|"&amp;CU148,CODIFICACION!$F$2:$F$500,0))="sin dato","",INDEX(CODIFICACION!$E$2:$E$500,MATCH("D9.35|"&amp;CU148,CODIFICACION!$F$2:$F$500,0))),"⚠"))</f>
        <v/>
      </c>
      <c r="BQ148" t="str">
        <f>IF(CV148="","",IFERROR(IF(INDEX(CODIFICACION!$E$2:$E$500,MATCH("D10.36|"&amp;CV148,CODIFICACION!$F$2:$F$500,0))="sin dato","",INDEX(CODIFICACION!$E$2:$E$500,MATCH("D10.36|"&amp;CV148,CODIFICACION!$F$2:$F$500,0))),"⚠"))</f>
        <v/>
      </c>
      <c r="BR148" t="str">
        <f>IF(CW148="","",IFERROR(IF(INDEX(CODIFICACION!$E$2:$E$500,MATCH("D10.37|"&amp;CW148,CODIFICACION!$F$2:$F$500,0))="sin dato","",INDEX(CODIFICACION!$E$2:$E$500,MATCH("D10.37|"&amp;CW148,CODIFICACION!$F$2:$F$500,0))),"⚠"))</f>
        <v/>
      </c>
      <c r="BS148" t="str">
        <f>IF(CX148="","",IFERROR(IF(INDEX(CODIFICACION!$E$2:$E$500,MATCH("D10.36a|"&amp;CX148,CODIFICACION!$F$2:$F$500,0))="sin dato","",INDEX(CODIFICACION!$E$2:$E$500,MATCH("D10.36a|"&amp;CX148,CODIFICACION!$F$2:$F$500,0))),"⚠"))</f>
        <v/>
      </c>
      <c r="BT148" t="str">
        <f t="shared" si="113"/>
        <v/>
      </c>
      <c r="BU148" t="str">
        <f>IF(DA148="","",IFERROR(IF(INDEX(CODIFICACION!$E$2:$E$500,MATCH("D11.39a|"&amp;DA148,CODIFICACION!$F$2:$F$500,0))="sin dato","",INDEX(CODIFICACION!$E$2:$E$500,MATCH("D11.39a|"&amp;DA148,CODIFICACION!$F$2:$F$500,0))),"⚠"))</f>
        <v/>
      </c>
      <c r="BV148" t="str">
        <f>IF(DB148="","",IFERROR(IF(INDEX(CODIFICACION!$E$2:$E$500,MATCH("D12.42|"&amp;DB148,CODIFICACION!$F$2:$F$500,0))="sin dato","",INDEX(CODIFICACION!$E$2:$E$500,MATCH("D12.42|"&amp;DB148,CODIFICACION!$F$2:$F$500,0))),"⚠"))</f>
        <v/>
      </c>
      <c r="BW148" t="str">
        <f>IF(DC148="","",IFERROR(IF(INDEX(CODIFICACION!$E$2:$E$500,MATCH("D13.45|"&amp;DC148,CODIFICACION!$F$2:$F$500,0))="sin dato","",INDEX(CODIFICACION!$E$2:$E$500,MATCH("D13.45|"&amp;DC148,CODIFICACION!$F$2:$F$500,0))),"⚠"))</f>
        <v/>
      </c>
      <c r="BX148" t="str">
        <f>IF(DD148="","",IFERROR(IF(INDEX(CODIFICACION!$E$2:$E$500,MATCH("D14.51|"&amp;DD148,CODIFICACION!$F$2:$F$500,0))="sin dato","",INDEX(CODIFICACION!$E$2:$E$500,MATCH("D14.51|"&amp;DD148,CODIFICACION!$F$2:$F$500,0))),"⚠"))</f>
        <v/>
      </c>
      <c r="BY148" t="str">
        <f>IF(DE148="","",IFERROR(IF(INDEX(CODIFICACION!$E$2:$E$500,MATCH("D15.58|"&amp;DE148,CODIFICACION!$F$2:$F$500,0))="sin dato","",INDEX(CODIFICACION!$E$2:$E$500,MATCH("D15.58|"&amp;DE148,CODIFICACION!$F$2:$F$500,0))),"⚠"))</f>
        <v/>
      </c>
      <c r="BZ148" t="str">
        <f>IF(DF148="","",IFERROR(IF(INDEX(CODIFICACION!$E$2:$E$500,MATCH("PP1|"&amp;DF148,CODIFICACION!$F$2:$F$500,0))="sin dato","",INDEX(CODIFICACION!$E$2:$E$500,MATCH("PP1|"&amp;DF148,CODIFICACION!$F$2:$F$500,0))),"⚠"))</f>
        <v/>
      </c>
      <c r="CA148" t="str">
        <f>IF(DG148="","",IFERROR(IF(INDEX(CODIFICACION!$E$2:$E$500,MATCH("PP2|"&amp;DG148,CODIFICACION!$F$2:$F$500,0))="sin dato","",INDEX(CODIFICACION!$E$2:$E$500,MATCH("PP2|"&amp;DG148,CODIFICACION!$F$2:$F$500,0))),"⚠"))</f>
        <v/>
      </c>
      <c r="CB148" t="str">
        <f t="shared" si="114"/>
        <v/>
      </c>
      <c r="CC148" t="str">
        <f t="shared" ca="1" si="115"/>
        <v/>
      </c>
      <c r="CD148" t="str">
        <f t="shared" ca="1" si="116"/>
        <v/>
      </c>
      <c r="CE148" t="str">
        <f t="shared" si="117"/>
        <v/>
      </c>
      <c r="CF148" t="str">
        <f t="shared" si="118"/>
        <v/>
      </c>
      <c r="CG148" t="str">
        <f t="shared" ca="1" si="119"/>
        <v/>
      </c>
      <c r="CH148" t="str">
        <f t="shared" ca="1" si="120"/>
        <v/>
      </c>
      <c r="CI148" t="str">
        <f t="shared" si="121"/>
        <v/>
      </c>
      <c r="CJ148" t="str">
        <f t="shared" si="122"/>
        <v/>
      </c>
      <c r="CK148" t="str">
        <f t="shared" si="123"/>
        <v/>
      </c>
      <c r="CL148" t="str">
        <f t="shared" si="124"/>
        <v/>
      </c>
    </row>
    <row r="149" spans="1:90" x14ac:dyDescent="0.3">
      <c r="A149">
        <f>CAPTURA!A149</f>
        <v>20604309728</v>
      </c>
      <c r="B149">
        <f>CAPTURA!C149</f>
        <v>0</v>
      </c>
      <c r="C149" t="str">
        <f t="shared" si="100"/>
        <v/>
      </c>
      <c r="D149" t="str">
        <f>IF(AE149="","",IFERROR(IF(INDEX(CODIFICACION!$E$2:$E$500,MATCH("P8|"&amp;AE149,CODIFICACION!$F$2:$F$500,0))="sin dato","",INDEX(CODIFICACION!$E$2:$E$500,MATCH("P8|"&amp;AE149,CODIFICACION!$F$2:$F$500,0))),"⚠"))</f>
        <v/>
      </c>
      <c r="E149" t="str">
        <f>IF(AG149="","",IFERROR(IF(INDEX(CODIFICACION!$E$2:$E$500,MATCH("P10|"&amp;AG149,CODIFICACION!$F$2:$F$500,0))="sin dato","",INDEX(CODIFICACION!$E$2:$E$500,MATCH("P10|"&amp;AG149,CODIFICACION!$F$2:$F$500,0))),"⚠"))</f>
        <v/>
      </c>
      <c r="F149" t="str">
        <f>IF(AJ149="","",IFERROR(IF(INDEX(CODIFICACION!$E$2:$E$500,MATCH("P13|"&amp;AJ149,CODIFICACION!$F$2:$F$500,0))="sin dato","",INDEX(CODIFICACION!$E$2:$E$500,MATCH("P13|"&amp;AJ149,CODIFICACION!$F$2:$F$500,0))),"⚠"))</f>
        <v/>
      </c>
      <c r="G149" t="str">
        <f>IF(AK149="","",IFERROR(IF(INDEX(CODIFICACION!$E$2:$E$500,MATCH("P14|"&amp;AK149,CODIFICACION!$F$2:$F$500,0))="sin dato","",INDEX(CODIFICACION!$E$2:$E$500,MATCH("P14|"&amp;AK149,CODIFICACION!$F$2:$F$500,0))),"⚠"))</f>
        <v/>
      </c>
      <c r="H149" t="str">
        <f>IF(AL149="","",IFERROR(IF(INDEX(CODIFICACION!$E$2:$E$500,MATCH("D1.1|"&amp;AL149,CODIFICACION!$F$2:$F$500,0))="sin dato","",INDEX(CODIFICACION!$E$2:$E$500,MATCH("D1.1|"&amp;AL149,CODIFICACION!$F$2:$F$500,0))),"⚠"))</f>
        <v/>
      </c>
      <c r="I149" t="str">
        <f>IF(AN149="","",IFERROR(IF(INDEX(CODIFICACION!$E$2:$E$500,MATCH("D1.3|"&amp;AN149,CODIFICACION!$F$2:$F$500,0))="sin dato","",INDEX(CODIFICACION!$E$2:$E$500,MATCH("D1.3|"&amp;AN149,CODIFICACION!$F$2:$F$500,0))),"⚠"))</f>
        <v/>
      </c>
      <c r="J149" t="str">
        <f>IF(AO149="","",IFERROR(IF(INDEX(CODIFICACION!$E$2:$E$500,MATCH("D1.4|"&amp;AO149,CODIFICACION!$F$2:$F$500,0))="sin dato","",INDEX(CODIFICACION!$E$2:$E$500,MATCH("D1.4|"&amp;AO149,CODIFICACION!$F$2:$F$500,0))),"⚠"))</f>
        <v/>
      </c>
      <c r="K149" t="str">
        <f>IF(AP149="","",IFERROR(IF(INDEX(CODIFICACION!$E$2:$E$500,MATCH("D1.3a|"&amp;AP149,CODIFICACION!$F$2:$F$500,0))="sin dato","",INDEX(CODIFICACION!$E$2:$E$500,MATCH("D1.3a|"&amp;AP149,CODIFICACION!$F$2:$F$500,0))),"⚠"))</f>
        <v/>
      </c>
      <c r="L149" t="str">
        <f t="shared" si="101"/>
        <v/>
      </c>
      <c r="M149" t="str">
        <f t="shared" si="102"/>
        <v/>
      </c>
      <c r="N149" t="str">
        <f t="shared" si="103"/>
        <v/>
      </c>
      <c r="O149" t="str">
        <f>IF(AT149="","",IFERROR(IF(INDEX(CODIFICACION!$E$2:$E$500,MATCH("D2.8|"&amp;AT149,CODIFICACION!$F$2:$F$500,0))="sin dato","",INDEX(CODIFICACION!$E$2:$E$500,MATCH("D2.8|"&amp;AT149,CODIFICACION!$F$2:$F$500,0))),"⚠"))</f>
        <v/>
      </c>
      <c r="P149" t="str">
        <f>IF(AU149="","",IFERROR(IF(INDEX(CODIFICACION!$E$2:$E$500,MATCH("D2.9|"&amp;AU149,CODIFICACION!$F$2:$F$500,0))="sin dato","",INDEX(CODIFICACION!$E$2:$E$500,MATCH("D2.9|"&amp;AU149,CODIFICACION!$F$2:$F$500,0))),"⚠"))</f>
        <v/>
      </c>
      <c r="Q149" t="str">
        <f>IF(AV149="","",IFERROR(IF(INDEX(CODIFICACION!$E$2:$E$500,MATCH("D2.10|"&amp;AV149,CODIFICACION!$F$2:$F$500,0))="sin dato","",INDEX(CODIFICACION!$E$2:$E$500,MATCH("D2.10|"&amp;AV149,CODIFICACION!$F$2:$F$500,0))),"⚠"))</f>
        <v/>
      </c>
      <c r="R149" t="str">
        <f>IF(AW149="","",IFERROR(IF(INDEX(CODIFICACION!$E$2:$E$500,MATCH("D2.5a|"&amp;AW149,CODIFICACION!$F$2:$F$500,0))="sin dato","",INDEX(CODIFICACION!$E$2:$E$500,MATCH("D2.5a|"&amp;AW149,CODIFICACION!$F$2:$F$500,0))),"⚠"))</f>
        <v/>
      </c>
      <c r="S149" t="str">
        <f ca="1">IF(AX149="","",IFERROR(IF(INDEX(CODIFICACION!$E$2:$E$500,MATCH("D2.5b|"&amp;AX149,CODIFICACION!$F$2:$F$500,0))="sin dato","",INDEX(CODIFICACION!$E$2:$E$500,MATCH("D2.5b|"&amp;AX149,CODIFICACION!$F$2:$F$500,0))),"⚠"))</f>
        <v/>
      </c>
      <c r="T149" t="str">
        <f t="shared" ca="1" si="104"/>
        <v/>
      </c>
      <c r="U149" t="str">
        <f>IF(AZ149="","",IFERROR(IF(INDEX(CODIFICACION!$E$2:$E$500,MATCH("D3.12|"&amp;AZ149,CODIFICACION!$F$2:$F$500,0))="sin dato","",INDEX(CODIFICACION!$E$2:$E$500,MATCH("D3.12|"&amp;AZ149,CODIFICACION!$F$2:$F$500,0))),"⚠"))</f>
        <v/>
      </c>
      <c r="V149" t="str">
        <f t="shared" si="105"/>
        <v/>
      </c>
      <c r="W149" t="str">
        <f ca="1">IF(BB149="","",IFERROR(IF(INDEX(CODIFICACION!$E$2:$E$500,MATCH("D3.14|"&amp;BB149,CODIFICACION!$F$2:$F$500,0))="sin dato","",INDEX(CODIFICACION!$E$2:$E$500,MATCH("D3.14|"&amp;BB149,CODIFICACION!$F$2:$F$500,0))),"⚠"))</f>
        <v/>
      </c>
      <c r="X149" t="str">
        <f ca="1">IF(BC149="","",IFERROR(IF(INDEX(CODIFICACION!$E$2:$E$500,MATCH("D3.14a|"&amp;BC149,CODIFICACION!$F$2:$F$500,0))="sin dato","",INDEX(CODIFICACION!$E$2:$E$500,MATCH("D3.14a|"&amp;BC149,CODIFICACION!$F$2:$F$500,0))),"⚠"))</f>
        <v/>
      </c>
      <c r="Y149" t="str">
        <f>IF(BD149="","",IFERROR(IF(INDEX(CODIFICACION!$E$2:$E$500,MATCH("D3.14b|"&amp;BD149,CODIFICACION!$F$2:$F$500,0))="sin dato","",INDEX(CODIFICACION!$E$2:$E$500,MATCH("D3.14b|"&amp;BD149,CODIFICACION!$F$2:$F$500,0))),"⚠"))</f>
        <v/>
      </c>
      <c r="Z149" t="str">
        <f>IF(BE149="","",IFERROR(IF(INDEX(CODIFICACION!$E$2:$E$500,MATCH("D3.14c|"&amp;BE149,CODIFICACION!$F$2:$F$500,0))="sin dato","",INDEX(CODIFICACION!$E$2:$E$500,MATCH("D3.14c|"&amp;BE149,CODIFICACION!$F$2:$F$500,0))),"⚠"))</f>
        <v/>
      </c>
      <c r="AA149" t="str">
        <f>IF(BF149="","",IFERROR(IF(INDEX(CODIFICACION!$E$2:$E$500,MATCH("D3.14d|"&amp;BF149,CODIFICACION!$F$2:$F$500,0))="sin dato","",INDEX(CODIFICACION!$E$2:$E$500,MATCH("D3.14d|"&amp;BF149,CODIFICACION!$F$2:$F$500,0))),"⚠"))</f>
        <v/>
      </c>
      <c r="AB149" t="str">
        <f>IF(BG149="","",IFERROR(IF(INDEX(CODIFICACION!$E$2:$E$500,MATCH("D3.14e|"&amp;BG149,CODIFICACION!$F$2:$F$500,0))="sin dato","",INDEX(CODIFICACION!$E$2:$E$500,MATCH("D3.14e|"&amp;BG149,CODIFICACION!$F$2:$F$500,0))),"⚠"))</f>
        <v/>
      </c>
      <c r="AC149" t="str">
        <f>IF(BH149="","",IFERROR(IF(INDEX(CODIFICACION!$E$2:$E$500,MATCH("D3.14f|"&amp;BH149,CODIFICACION!$F$2:$F$500,0))="sin dato","",INDEX(CODIFICACION!$E$2:$E$500,MATCH("D3.14f|"&amp;BH149,CODIFICACION!$F$2:$F$500,0))),"⚠"))</f>
        <v/>
      </c>
      <c r="AD149" t="str">
        <f>IF(BI149="","",IFERROR(IF(INDEX(CODIFICACION!$E$2:$E$500,MATCH("D3.14g|"&amp;BI149,CODIFICACION!$F$2:$F$500,0))="sin dato","",INDEX(CODIFICACION!$E$2:$E$500,MATCH("D3.14g|"&amp;BI149,CODIFICACION!$F$2:$F$500,0))),"⚠"))</f>
        <v/>
      </c>
      <c r="AE149" t="str">
        <f>IF(BJ149="","",IFERROR(IF(INDEX(CODIFICACION!$E$2:$E$500,MATCH("D3.14h|"&amp;BJ149,CODIFICACION!$F$2:$F$500,0))="sin dato","",INDEX(CODIFICACION!$E$2:$E$500,MATCH("D3.14h|"&amp;BJ149,CODIFICACION!$F$2:$F$500,0))),"⚠"))</f>
        <v/>
      </c>
      <c r="AF149" t="str">
        <f>IF(BK149="","",IFERROR(IF(INDEX(CODIFICACION!$E$2:$E$500,MATCH("D3.14i|"&amp;BK149,CODIFICACION!$F$2:$F$500,0))="sin dato","",INDEX(CODIFICACION!$E$2:$E$500,MATCH("D3.14i|"&amp;BK149,CODIFICACION!$F$2:$F$500,0))),"⚠"))</f>
        <v/>
      </c>
      <c r="AG149" t="str">
        <f>IF(BL149="","",IFERROR(IF(INDEX(CODIFICACION!$E$2:$E$500,MATCH("D4.15|"&amp;BL149,CODIFICACION!$F$2:$F$500,0))="sin dato","",INDEX(CODIFICACION!$E$2:$E$500,MATCH("D4.15|"&amp;BL149,CODIFICACION!$F$2:$F$500,0))),"⚠"))</f>
        <v/>
      </c>
      <c r="AH149" t="str">
        <f t="shared" si="106"/>
        <v/>
      </c>
      <c r="AI149" t="str">
        <f>IF(BN149="","",IFERROR(IF(INDEX(CODIFICACION!$E$2:$E$500,MATCH("D4.17|"&amp;BN149,CODIFICACION!$F$2:$F$500,0))="sin dato","",INDEX(CODIFICACION!$E$2:$E$500,MATCH("D4.17|"&amp;BN149,CODIFICACION!$F$2:$F$500,0))),"⚠"))</f>
        <v/>
      </c>
      <c r="AJ149" t="str">
        <f>IF(BO149="","",IFERROR(IF(INDEX(CODIFICACION!$E$2:$E$500,MATCH("D4.15a|"&amp;BO149,CODIFICACION!$F$2:$F$500,0))="sin dato","",INDEX(CODIFICACION!$E$2:$E$500,MATCH("D4.15a|"&amp;BO149,CODIFICACION!$F$2:$F$500,0))),"⚠"))</f>
        <v/>
      </c>
      <c r="AK149" t="str">
        <f t="shared" si="107"/>
        <v/>
      </c>
      <c r="AL149" t="str">
        <f t="shared" si="108"/>
        <v/>
      </c>
      <c r="AM149" t="str">
        <f>IF(BR149="","",IFERROR(IF(INDEX(CODIFICACION!$E$2:$E$500,MATCH("D5.18b|"&amp;BR149,CODIFICACION!$F$2:$F$500,0))="sin dato","",INDEX(CODIFICACION!$E$2:$E$500,MATCH("D5.18b|"&amp;BR149,CODIFICACION!$F$2:$F$500,0))),"⚠"))</f>
        <v/>
      </c>
      <c r="AN149" t="str">
        <f>IF(BS149="","",IFERROR(IF(INDEX(CODIFICACION!$E$2:$E$500,MATCH("D5.19|"&amp;BS149,CODIFICACION!$F$2:$F$500,0))="sin dato","",INDEX(CODIFICACION!$E$2:$E$500,MATCH("D5.19|"&amp;BS149,CODIFICACION!$F$2:$F$500,0))),"⚠"))</f>
        <v/>
      </c>
      <c r="AO149" t="str">
        <f t="shared" si="109"/>
        <v/>
      </c>
      <c r="AP149" t="str">
        <f>IF(BU149="","",IFERROR(IF(INDEX(CODIFICACION!$E$2:$E$500,MATCH("D5.20|"&amp;BU149,CODIFICACION!$F$2:$F$500,0))="sin dato","",INDEX(CODIFICACION!$E$2:$E$500,MATCH("D5.20|"&amp;BU149,CODIFICACION!$F$2:$F$500,0))),"⚠"))</f>
        <v/>
      </c>
      <c r="AQ149" t="str">
        <f>IF(BV149="","",IFERROR(IF(INDEX(CODIFICACION!$E$2:$E$500,MATCH("D5.21|"&amp;BV149,CODIFICACION!$F$2:$F$500,0))="sin dato","",INDEX(CODIFICACION!$E$2:$E$500,MATCH("D5.21|"&amp;BV149,CODIFICACION!$F$2:$F$500,0))),"⚠"))</f>
        <v/>
      </c>
      <c r="AR149" t="str">
        <f>IF(BW149="","",IFERROR(IF(INDEX(CODIFICACION!$E$2:$E$500,MATCH("D5.21a|"&amp;BW149,CODIFICACION!$F$2:$F$500,0))="sin dato","",INDEX(CODIFICACION!$E$2:$E$500,MATCH("D5.21a|"&amp;BW149,CODIFICACION!$F$2:$F$500,0))),"⚠"))</f>
        <v/>
      </c>
      <c r="AS149" t="str">
        <f>IF(BX149="","",IFERROR(IF(INDEX(CODIFICACION!$E$2:$E$500,MATCH("D5.21b|"&amp;BX149,CODIFICACION!$F$2:$F$500,0))="sin dato","",INDEX(CODIFICACION!$E$2:$E$500,MATCH("D5.21b|"&amp;BX149,CODIFICACION!$F$2:$F$500,0))),"⚠"))</f>
        <v/>
      </c>
      <c r="AT149" t="str">
        <f>IF(BY149="","",IFERROR(IF(INDEX(CODIFICACION!$E$2:$E$500,MATCH("D6.22|"&amp;BY149,CODIFICACION!$F$2:$F$500,0))="sin dato","",INDEX(CODIFICACION!$E$2:$E$500,MATCH("D6.22|"&amp;BY149,CODIFICACION!$F$2:$F$500,0))),"⚠"))</f>
        <v/>
      </c>
      <c r="AU149" t="str">
        <f>IF(BZ149="","",IFERROR(IF(INDEX(CODIFICACION!$E$2:$E$500,MATCH("D6.22a|"&amp;BZ149,CODIFICACION!$F$2:$F$500,0))="sin dato","",INDEX(CODIFICACION!$E$2:$E$500,MATCH("D6.22a|"&amp;BZ149,CODIFICACION!$F$2:$F$500,0))),"⚠"))</f>
        <v/>
      </c>
      <c r="AV149" t="str">
        <f>IF(CA149="","",IFERROR(IF(INDEX(CODIFICACION!$E$2:$E$500,MATCH("D6.22b|"&amp;CA149,CODIFICACION!$F$2:$F$500,0))="sin dato","",INDEX(CODIFICACION!$E$2:$E$500,MATCH("D6.22b|"&amp;CA149,CODIFICACION!$F$2:$F$500,0))),"⚠"))</f>
        <v/>
      </c>
      <c r="AW149" t="str">
        <f>IF(CB149="","",IFERROR(IF(INDEX(CODIFICACION!$E$2:$E$500,MATCH("D6.23|"&amp;CB149,CODIFICACION!$F$2:$F$500,0))="sin dato","",INDEX(CODIFICACION!$E$2:$E$500,MATCH("D6.23|"&amp;CB149,CODIFICACION!$F$2:$F$500,0))),"⚠"))</f>
        <v/>
      </c>
      <c r="AX149" t="str">
        <f ca="1">IF(CC149="","",IFERROR(IF(INDEX(CODIFICACION!$E$2:$E$500,MATCH("D6.24|"&amp;CC149,CODIFICACION!$F$2:$F$500,0))="sin dato","",INDEX(CODIFICACION!$E$2:$E$500,MATCH("D6.24|"&amp;CC149,CODIFICACION!$F$2:$F$500,0))),"⚠"))</f>
        <v/>
      </c>
      <c r="AY149" t="str">
        <f ca="1">IF(CD149="","",IFERROR(IF(INDEX(CODIFICACION!$E$2:$E$500,MATCH("D6.25|"&amp;CD149,CODIFICACION!$F$2:$F$500,0))="sin dato","",INDEX(CODIFICACION!$E$2:$E$500,MATCH("D6.25|"&amp;CD149,CODIFICACION!$F$2:$F$500,0))),"⚠"))</f>
        <v/>
      </c>
      <c r="AZ149" t="str">
        <f>IF(CE149="","",IFERROR(IF(INDEX(CODIFICACION!$E$2:$E$500,MATCH("D6.25a|"&amp;CE149,CODIFICACION!$F$2:$F$500,0))="sin dato","",INDEX(CODIFICACION!$E$2:$E$500,MATCH("D6.25a|"&amp;CE149,CODIFICACION!$F$2:$F$500,0))),"⚠"))</f>
        <v/>
      </c>
      <c r="BA149" t="str">
        <f>IF(CF149="","",IFERROR(IF(INDEX(CODIFICACION!$E$2:$E$500,MATCH("D6.25b|"&amp;CF149,CODIFICACION!$F$2:$F$500,0))="sin dato","",INDEX(CODIFICACION!$E$2:$E$500,MATCH("D6.25b|"&amp;CF149,CODIFICACION!$F$2:$F$500,0))),"⚠"))</f>
        <v/>
      </c>
      <c r="BB149" t="str">
        <f ca="1">IF(CG149="","",IFERROR(IF(INDEX(CODIFICACION!$E$2:$E$500,MATCH("D6.22c|"&amp;CG149,CODIFICACION!$F$2:$F$500,0))="sin dato","",INDEX(CODIFICACION!$E$2:$E$500,MATCH("D6.22c|"&amp;CG149,CODIFICACION!$F$2:$F$500,0))),"⚠"))</f>
        <v/>
      </c>
      <c r="BC149" t="str">
        <f ca="1">IF(CH149="","",IFERROR(IF(INDEX(CODIFICACION!$E$2:$E$500,MATCH("D7.26|"&amp;CH149,CODIFICACION!$F$2:$F$500,0))="sin dato","",INDEX(CODIFICACION!$E$2:$E$500,MATCH("D7.26|"&amp;CH149,CODIFICACION!$F$2:$F$500,0))),"⚠"))</f>
        <v/>
      </c>
      <c r="BD149" t="str">
        <f>IF(CI149="","",IFERROR(IF(INDEX(CODIFICACION!$E$2:$E$500,MATCH("D7.27|"&amp;CI149,CODIFICACION!$F$2:$F$500,0))="sin dato","",INDEX(CODIFICACION!$E$2:$E$500,MATCH("D7.27|"&amp;CI149,CODIFICACION!$F$2:$F$500,0))),"⚠"))</f>
        <v/>
      </c>
      <c r="BE149" t="str">
        <f>IF(CJ149="","",IFERROR(IF(INDEX(CODIFICACION!$E$2:$E$500,MATCH("D7.28|"&amp;CJ149,CODIFICACION!$F$2:$F$500,0))="sin dato","",INDEX(CODIFICACION!$E$2:$E$500,MATCH("D7.28|"&amp;CJ149,CODIFICACION!$F$2:$F$500,0))),"⚠"))</f>
        <v/>
      </c>
      <c r="BF149" t="str">
        <f>IF(CK149="","",IFERROR(IF(INDEX(CODIFICACION!$E$2:$E$500,MATCH("D7.28b|"&amp;CK149,CODIFICACION!$F$2:$F$500,0))="sin dato","",INDEX(CODIFICACION!$E$2:$E$500,MATCH("D7.28b|"&amp;CK149,CODIFICACION!$F$2:$F$500,0))),"⚠"))</f>
        <v/>
      </c>
      <c r="BG149" t="str">
        <f t="shared" si="110"/>
        <v/>
      </c>
      <c r="BH149" t="str">
        <f>IF(CM149="","",IFERROR(IF(INDEX(CODIFICACION!$E$2:$E$500,MATCH("D7.26a|"&amp;CM149,CODIFICACION!$F$2:$F$500,0))="sin dato","",INDEX(CODIFICACION!$E$2:$E$500,MATCH("D7.26a|"&amp;CM149,CODIFICACION!$F$2:$F$500,0))),"⚠"))</f>
        <v/>
      </c>
      <c r="BI149" t="str">
        <f>IF(CN149="","",IFERROR(IF(INDEX(CODIFICACION!$E$2:$E$500,MATCH("D7.26b|"&amp;CN149,CODIFICACION!$F$2:$F$500,0))="sin dato","",INDEX(CODIFICACION!$E$2:$E$500,MATCH("D7.26b|"&amp;CN149,CODIFICACION!$F$2:$F$500,0))),"⚠"))</f>
        <v/>
      </c>
      <c r="BJ149" t="str">
        <f t="shared" si="111"/>
        <v/>
      </c>
      <c r="BK149" t="str">
        <f t="shared" si="112"/>
        <v/>
      </c>
      <c r="BL149" t="str">
        <f>IF(CQ149="","",IFERROR(IF(INDEX(CODIFICACION!$E$2:$E$500,MATCH("D8.31|"&amp;CQ149,CODIFICACION!$F$2:$F$500,0))="sin dato","",INDEX(CODIFICACION!$E$2:$E$500,MATCH("D8.31|"&amp;CQ149,CODIFICACION!$F$2:$F$500,0))),"⚠"))</f>
        <v/>
      </c>
      <c r="BM149" t="str">
        <f>IF(CR149="","",IFERROR(IF(INDEX(CODIFICACION!$E$2:$E$500,MATCH("D8.32|"&amp;CR149,CODIFICACION!$F$2:$F$500,0))="sin dato","",INDEX(CODIFICACION!$E$2:$E$500,MATCH("D8.32|"&amp;CR149,CODIFICACION!$F$2:$F$500,0))),"⚠"))</f>
        <v/>
      </c>
      <c r="BN149" t="str">
        <f>IF(CS149="","",IFERROR(IF(INDEX(CODIFICACION!$E$2:$E$500,MATCH("D9.33|"&amp;CS149,CODIFICACION!$F$2:$F$500,0))="sin dato","",INDEX(CODIFICACION!$E$2:$E$500,MATCH("D9.33|"&amp;CS149,CODIFICACION!$F$2:$F$500,0))),"⚠"))</f>
        <v/>
      </c>
      <c r="BO149" t="str">
        <f>IF(CT149="","",IFERROR(IF(INDEX(CODIFICACION!$E$2:$E$500,MATCH("D9.34|"&amp;CT149,CODIFICACION!$F$2:$F$500,0))="sin dato","",INDEX(CODIFICACION!$E$2:$E$500,MATCH("D9.34|"&amp;CT149,CODIFICACION!$F$2:$F$500,0))),"⚠"))</f>
        <v/>
      </c>
      <c r="BP149" t="str">
        <f>IF(CU149="","",IFERROR(IF(INDEX(CODIFICACION!$E$2:$E$500,MATCH("D9.35|"&amp;CU149,CODIFICACION!$F$2:$F$500,0))="sin dato","",INDEX(CODIFICACION!$E$2:$E$500,MATCH("D9.35|"&amp;CU149,CODIFICACION!$F$2:$F$500,0))),"⚠"))</f>
        <v/>
      </c>
      <c r="BQ149" t="str">
        <f>IF(CV149="","",IFERROR(IF(INDEX(CODIFICACION!$E$2:$E$500,MATCH("D10.36|"&amp;CV149,CODIFICACION!$F$2:$F$500,0))="sin dato","",INDEX(CODIFICACION!$E$2:$E$500,MATCH("D10.36|"&amp;CV149,CODIFICACION!$F$2:$F$500,0))),"⚠"))</f>
        <v/>
      </c>
      <c r="BR149" t="str">
        <f>IF(CW149="","",IFERROR(IF(INDEX(CODIFICACION!$E$2:$E$500,MATCH("D10.37|"&amp;CW149,CODIFICACION!$F$2:$F$500,0))="sin dato","",INDEX(CODIFICACION!$E$2:$E$500,MATCH("D10.37|"&amp;CW149,CODIFICACION!$F$2:$F$500,0))),"⚠"))</f>
        <v/>
      </c>
      <c r="BS149" t="str">
        <f>IF(CX149="","",IFERROR(IF(INDEX(CODIFICACION!$E$2:$E$500,MATCH("D10.36a|"&amp;CX149,CODIFICACION!$F$2:$F$500,0))="sin dato","",INDEX(CODIFICACION!$E$2:$E$500,MATCH("D10.36a|"&amp;CX149,CODIFICACION!$F$2:$F$500,0))),"⚠"))</f>
        <v/>
      </c>
      <c r="BT149" t="str">
        <f t="shared" si="113"/>
        <v/>
      </c>
      <c r="BU149" t="str">
        <f>IF(DA149="","",IFERROR(IF(INDEX(CODIFICACION!$E$2:$E$500,MATCH("D11.39a|"&amp;DA149,CODIFICACION!$F$2:$F$500,0))="sin dato","",INDEX(CODIFICACION!$E$2:$E$500,MATCH("D11.39a|"&amp;DA149,CODIFICACION!$F$2:$F$500,0))),"⚠"))</f>
        <v/>
      </c>
      <c r="BV149" t="str">
        <f>IF(DB149="","",IFERROR(IF(INDEX(CODIFICACION!$E$2:$E$500,MATCH("D12.42|"&amp;DB149,CODIFICACION!$F$2:$F$500,0))="sin dato","",INDEX(CODIFICACION!$E$2:$E$500,MATCH("D12.42|"&amp;DB149,CODIFICACION!$F$2:$F$500,0))),"⚠"))</f>
        <v/>
      </c>
      <c r="BW149" t="str">
        <f>IF(DC149="","",IFERROR(IF(INDEX(CODIFICACION!$E$2:$E$500,MATCH("D13.45|"&amp;DC149,CODIFICACION!$F$2:$F$500,0))="sin dato","",INDEX(CODIFICACION!$E$2:$E$500,MATCH("D13.45|"&amp;DC149,CODIFICACION!$F$2:$F$500,0))),"⚠"))</f>
        <v/>
      </c>
      <c r="BX149" t="str">
        <f>IF(DD149="","",IFERROR(IF(INDEX(CODIFICACION!$E$2:$E$500,MATCH("D14.51|"&amp;DD149,CODIFICACION!$F$2:$F$500,0))="sin dato","",INDEX(CODIFICACION!$E$2:$E$500,MATCH("D14.51|"&amp;DD149,CODIFICACION!$F$2:$F$500,0))),"⚠"))</f>
        <v/>
      </c>
      <c r="BY149" t="str">
        <f>IF(DE149="","",IFERROR(IF(INDEX(CODIFICACION!$E$2:$E$500,MATCH("D15.58|"&amp;DE149,CODIFICACION!$F$2:$F$500,0))="sin dato","",INDEX(CODIFICACION!$E$2:$E$500,MATCH("D15.58|"&amp;DE149,CODIFICACION!$F$2:$F$500,0))),"⚠"))</f>
        <v/>
      </c>
      <c r="BZ149" t="str">
        <f>IF(DF149="","",IFERROR(IF(INDEX(CODIFICACION!$E$2:$E$500,MATCH("PP1|"&amp;DF149,CODIFICACION!$F$2:$F$500,0))="sin dato","",INDEX(CODIFICACION!$E$2:$E$500,MATCH("PP1|"&amp;DF149,CODIFICACION!$F$2:$F$500,0))),"⚠"))</f>
        <v/>
      </c>
      <c r="CA149" t="str">
        <f>IF(DG149="","",IFERROR(IF(INDEX(CODIFICACION!$E$2:$E$500,MATCH("PP2|"&amp;DG149,CODIFICACION!$F$2:$F$500,0))="sin dato","",INDEX(CODIFICACION!$E$2:$E$500,MATCH("PP2|"&amp;DG149,CODIFICACION!$F$2:$F$500,0))),"⚠"))</f>
        <v/>
      </c>
      <c r="CB149" t="str">
        <f t="shared" si="114"/>
        <v/>
      </c>
      <c r="CC149" t="str">
        <f t="shared" ca="1" si="115"/>
        <v/>
      </c>
      <c r="CD149" t="str">
        <f t="shared" ca="1" si="116"/>
        <v/>
      </c>
      <c r="CE149" t="str">
        <f t="shared" si="117"/>
        <v/>
      </c>
      <c r="CF149" t="str">
        <f t="shared" si="118"/>
        <v/>
      </c>
      <c r="CG149" t="str">
        <f t="shared" ca="1" si="119"/>
        <v/>
      </c>
      <c r="CH149" t="str">
        <f t="shared" ca="1" si="120"/>
        <v/>
      </c>
      <c r="CI149" t="str">
        <f t="shared" si="121"/>
        <v/>
      </c>
      <c r="CJ149" t="str">
        <f t="shared" si="122"/>
        <v/>
      </c>
      <c r="CK149" t="str">
        <f t="shared" si="123"/>
        <v/>
      </c>
      <c r="CL149" t="str">
        <f t="shared" si="124"/>
        <v/>
      </c>
    </row>
    <row r="150" spans="1:90" x14ac:dyDescent="0.3">
      <c r="A150">
        <f>CAPTURA!A150</f>
        <v>20604401187</v>
      </c>
      <c r="B150">
        <f>CAPTURA!C150</f>
        <v>0</v>
      </c>
      <c r="C150" t="str">
        <f t="shared" si="100"/>
        <v/>
      </c>
      <c r="D150" t="str">
        <f>IF(AE150="","",IFERROR(IF(INDEX(CODIFICACION!$E$2:$E$500,MATCH("P8|"&amp;AE150,CODIFICACION!$F$2:$F$500,0))="sin dato","",INDEX(CODIFICACION!$E$2:$E$500,MATCH("P8|"&amp;AE150,CODIFICACION!$F$2:$F$500,0))),"⚠"))</f>
        <v/>
      </c>
      <c r="E150" t="str">
        <f>IF(AG150="","",IFERROR(IF(INDEX(CODIFICACION!$E$2:$E$500,MATCH("P10|"&amp;AG150,CODIFICACION!$F$2:$F$500,0))="sin dato","",INDEX(CODIFICACION!$E$2:$E$500,MATCH("P10|"&amp;AG150,CODIFICACION!$F$2:$F$500,0))),"⚠"))</f>
        <v/>
      </c>
      <c r="F150" t="str">
        <f>IF(AJ150="","",IFERROR(IF(INDEX(CODIFICACION!$E$2:$E$500,MATCH("P13|"&amp;AJ150,CODIFICACION!$F$2:$F$500,0))="sin dato","",INDEX(CODIFICACION!$E$2:$E$500,MATCH("P13|"&amp;AJ150,CODIFICACION!$F$2:$F$500,0))),"⚠"))</f>
        <v/>
      </c>
      <c r="G150" t="str">
        <f>IF(AK150="","",IFERROR(IF(INDEX(CODIFICACION!$E$2:$E$500,MATCH("P14|"&amp;AK150,CODIFICACION!$F$2:$F$500,0))="sin dato","",INDEX(CODIFICACION!$E$2:$E$500,MATCH("P14|"&amp;AK150,CODIFICACION!$F$2:$F$500,0))),"⚠"))</f>
        <v/>
      </c>
      <c r="H150" t="str">
        <f>IF(AL150="","",IFERROR(IF(INDEX(CODIFICACION!$E$2:$E$500,MATCH("D1.1|"&amp;AL150,CODIFICACION!$F$2:$F$500,0))="sin dato","",INDEX(CODIFICACION!$E$2:$E$500,MATCH("D1.1|"&amp;AL150,CODIFICACION!$F$2:$F$500,0))),"⚠"))</f>
        <v/>
      </c>
      <c r="I150" t="str">
        <f>IF(AN150="","",IFERROR(IF(INDEX(CODIFICACION!$E$2:$E$500,MATCH("D1.3|"&amp;AN150,CODIFICACION!$F$2:$F$500,0))="sin dato","",INDEX(CODIFICACION!$E$2:$E$500,MATCH("D1.3|"&amp;AN150,CODIFICACION!$F$2:$F$500,0))),"⚠"))</f>
        <v/>
      </c>
      <c r="J150" t="str">
        <f>IF(AO150="","",IFERROR(IF(INDEX(CODIFICACION!$E$2:$E$500,MATCH("D1.4|"&amp;AO150,CODIFICACION!$F$2:$F$500,0))="sin dato","",INDEX(CODIFICACION!$E$2:$E$500,MATCH("D1.4|"&amp;AO150,CODIFICACION!$F$2:$F$500,0))),"⚠"))</f>
        <v/>
      </c>
      <c r="K150" t="str">
        <f>IF(AP150="","",IFERROR(IF(INDEX(CODIFICACION!$E$2:$E$500,MATCH("D1.3a|"&amp;AP150,CODIFICACION!$F$2:$F$500,0))="sin dato","",INDEX(CODIFICACION!$E$2:$E$500,MATCH("D1.3a|"&amp;AP150,CODIFICACION!$F$2:$F$500,0))),"⚠"))</f>
        <v/>
      </c>
      <c r="L150" t="str">
        <f t="shared" si="101"/>
        <v/>
      </c>
      <c r="M150" t="str">
        <f t="shared" si="102"/>
        <v/>
      </c>
      <c r="N150" t="str">
        <f t="shared" si="103"/>
        <v/>
      </c>
      <c r="O150" t="str">
        <f>IF(AT150="","",IFERROR(IF(INDEX(CODIFICACION!$E$2:$E$500,MATCH("D2.8|"&amp;AT150,CODIFICACION!$F$2:$F$500,0))="sin dato","",INDEX(CODIFICACION!$E$2:$E$500,MATCH("D2.8|"&amp;AT150,CODIFICACION!$F$2:$F$500,0))),"⚠"))</f>
        <v/>
      </c>
      <c r="P150" t="str">
        <f>IF(AU150="","",IFERROR(IF(INDEX(CODIFICACION!$E$2:$E$500,MATCH("D2.9|"&amp;AU150,CODIFICACION!$F$2:$F$500,0))="sin dato","",INDEX(CODIFICACION!$E$2:$E$500,MATCH("D2.9|"&amp;AU150,CODIFICACION!$F$2:$F$500,0))),"⚠"))</f>
        <v/>
      </c>
      <c r="Q150" t="str">
        <f>IF(AV150="","",IFERROR(IF(INDEX(CODIFICACION!$E$2:$E$500,MATCH("D2.10|"&amp;AV150,CODIFICACION!$F$2:$F$500,0))="sin dato","",INDEX(CODIFICACION!$E$2:$E$500,MATCH("D2.10|"&amp;AV150,CODIFICACION!$F$2:$F$500,0))),"⚠"))</f>
        <v/>
      </c>
      <c r="R150" t="str">
        <f>IF(AW150="","",IFERROR(IF(INDEX(CODIFICACION!$E$2:$E$500,MATCH("D2.5a|"&amp;AW150,CODIFICACION!$F$2:$F$500,0))="sin dato","",INDEX(CODIFICACION!$E$2:$E$500,MATCH("D2.5a|"&amp;AW150,CODIFICACION!$F$2:$F$500,0))),"⚠"))</f>
        <v/>
      </c>
      <c r="S150" t="str">
        <f ca="1">IF(AX150="","",IFERROR(IF(INDEX(CODIFICACION!$E$2:$E$500,MATCH("D2.5b|"&amp;AX150,CODIFICACION!$F$2:$F$500,0))="sin dato","",INDEX(CODIFICACION!$E$2:$E$500,MATCH("D2.5b|"&amp;AX150,CODIFICACION!$F$2:$F$500,0))),"⚠"))</f>
        <v/>
      </c>
      <c r="T150" t="str">
        <f t="shared" ca="1" si="104"/>
        <v/>
      </c>
      <c r="U150" t="str">
        <f>IF(AZ150="","",IFERROR(IF(INDEX(CODIFICACION!$E$2:$E$500,MATCH("D3.12|"&amp;AZ150,CODIFICACION!$F$2:$F$500,0))="sin dato","",INDEX(CODIFICACION!$E$2:$E$500,MATCH("D3.12|"&amp;AZ150,CODIFICACION!$F$2:$F$500,0))),"⚠"))</f>
        <v/>
      </c>
      <c r="V150" t="str">
        <f t="shared" si="105"/>
        <v/>
      </c>
      <c r="W150" t="str">
        <f ca="1">IF(BB150="","",IFERROR(IF(INDEX(CODIFICACION!$E$2:$E$500,MATCH("D3.14|"&amp;BB150,CODIFICACION!$F$2:$F$500,0))="sin dato","",INDEX(CODIFICACION!$E$2:$E$500,MATCH("D3.14|"&amp;BB150,CODIFICACION!$F$2:$F$500,0))),"⚠"))</f>
        <v/>
      </c>
      <c r="X150" t="str">
        <f ca="1">IF(BC150="","",IFERROR(IF(INDEX(CODIFICACION!$E$2:$E$500,MATCH("D3.14a|"&amp;BC150,CODIFICACION!$F$2:$F$500,0))="sin dato","",INDEX(CODIFICACION!$E$2:$E$500,MATCH("D3.14a|"&amp;BC150,CODIFICACION!$F$2:$F$500,0))),"⚠"))</f>
        <v/>
      </c>
      <c r="Y150" t="str">
        <f>IF(BD150="","",IFERROR(IF(INDEX(CODIFICACION!$E$2:$E$500,MATCH("D3.14b|"&amp;BD150,CODIFICACION!$F$2:$F$500,0))="sin dato","",INDEX(CODIFICACION!$E$2:$E$500,MATCH("D3.14b|"&amp;BD150,CODIFICACION!$F$2:$F$500,0))),"⚠"))</f>
        <v/>
      </c>
      <c r="Z150" t="str">
        <f>IF(BE150="","",IFERROR(IF(INDEX(CODIFICACION!$E$2:$E$500,MATCH("D3.14c|"&amp;BE150,CODIFICACION!$F$2:$F$500,0))="sin dato","",INDEX(CODIFICACION!$E$2:$E$500,MATCH("D3.14c|"&amp;BE150,CODIFICACION!$F$2:$F$500,0))),"⚠"))</f>
        <v/>
      </c>
      <c r="AA150" t="str">
        <f>IF(BF150="","",IFERROR(IF(INDEX(CODIFICACION!$E$2:$E$500,MATCH("D3.14d|"&amp;BF150,CODIFICACION!$F$2:$F$500,0))="sin dato","",INDEX(CODIFICACION!$E$2:$E$500,MATCH("D3.14d|"&amp;BF150,CODIFICACION!$F$2:$F$500,0))),"⚠"))</f>
        <v/>
      </c>
      <c r="AB150" t="str">
        <f>IF(BG150="","",IFERROR(IF(INDEX(CODIFICACION!$E$2:$E$500,MATCH("D3.14e|"&amp;BG150,CODIFICACION!$F$2:$F$500,0))="sin dato","",INDEX(CODIFICACION!$E$2:$E$500,MATCH("D3.14e|"&amp;BG150,CODIFICACION!$F$2:$F$500,0))),"⚠"))</f>
        <v/>
      </c>
      <c r="AC150" t="str">
        <f>IF(BH150="","",IFERROR(IF(INDEX(CODIFICACION!$E$2:$E$500,MATCH("D3.14f|"&amp;BH150,CODIFICACION!$F$2:$F$500,0))="sin dato","",INDEX(CODIFICACION!$E$2:$E$500,MATCH("D3.14f|"&amp;BH150,CODIFICACION!$F$2:$F$500,0))),"⚠"))</f>
        <v/>
      </c>
      <c r="AD150" t="str">
        <f>IF(BI150="","",IFERROR(IF(INDEX(CODIFICACION!$E$2:$E$500,MATCH("D3.14g|"&amp;BI150,CODIFICACION!$F$2:$F$500,0))="sin dato","",INDEX(CODIFICACION!$E$2:$E$500,MATCH("D3.14g|"&amp;BI150,CODIFICACION!$F$2:$F$500,0))),"⚠"))</f>
        <v/>
      </c>
      <c r="AE150" t="str">
        <f>IF(BJ150="","",IFERROR(IF(INDEX(CODIFICACION!$E$2:$E$500,MATCH("D3.14h|"&amp;BJ150,CODIFICACION!$F$2:$F$500,0))="sin dato","",INDEX(CODIFICACION!$E$2:$E$500,MATCH("D3.14h|"&amp;BJ150,CODIFICACION!$F$2:$F$500,0))),"⚠"))</f>
        <v/>
      </c>
      <c r="AF150" t="str">
        <f>IF(BK150="","",IFERROR(IF(INDEX(CODIFICACION!$E$2:$E$500,MATCH("D3.14i|"&amp;BK150,CODIFICACION!$F$2:$F$500,0))="sin dato","",INDEX(CODIFICACION!$E$2:$E$500,MATCH("D3.14i|"&amp;BK150,CODIFICACION!$F$2:$F$500,0))),"⚠"))</f>
        <v/>
      </c>
      <c r="AG150" t="str">
        <f>IF(BL150="","",IFERROR(IF(INDEX(CODIFICACION!$E$2:$E$500,MATCH("D4.15|"&amp;BL150,CODIFICACION!$F$2:$F$500,0))="sin dato","",INDEX(CODIFICACION!$E$2:$E$500,MATCH("D4.15|"&amp;BL150,CODIFICACION!$F$2:$F$500,0))),"⚠"))</f>
        <v/>
      </c>
      <c r="AH150" t="str">
        <f t="shared" si="106"/>
        <v/>
      </c>
      <c r="AI150" t="str">
        <f>IF(BN150="","",IFERROR(IF(INDEX(CODIFICACION!$E$2:$E$500,MATCH("D4.17|"&amp;BN150,CODIFICACION!$F$2:$F$500,0))="sin dato","",INDEX(CODIFICACION!$E$2:$E$500,MATCH("D4.17|"&amp;BN150,CODIFICACION!$F$2:$F$500,0))),"⚠"))</f>
        <v/>
      </c>
      <c r="AJ150" t="str">
        <f>IF(BO150="","",IFERROR(IF(INDEX(CODIFICACION!$E$2:$E$500,MATCH("D4.15a|"&amp;BO150,CODIFICACION!$F$2:$F$500,0))="sin dato","",INDEX(CODIFICACION!$E$2:$E$500,MATCH("D4.15a|"&amp;BO150,CODIFICACION!$F$2:$F$500,0))),"⚠"))</f>
        <v/>
      </c>
      <c r="AK150" t="str">
        <f t="shared" si="107"/>
        <v/>
      </c>
      <c r="AL150" t="str">
        <f t="shared" si="108"/>
        <v/>
      </c>
      <c r="AM150" t="str">
        <f>IF(BR150="","",IFERROR(IF(INDEX(CODIFICACION!$E$2:$E$500,MATCH("D5.18b|"&amp;BR150,CODIFICACION!$F$2:$F$500,0))="sin dato","",INDEX(CODIFICACION!$E$2:$E$500,MATCH("D5.18b|"&amp;BR150,CODIFICACION!$F$2:$F$500,0))),"⚠"))</f>
        <v/>
      </c>
      <c r="AN150" t="str">
        <f>IF(BS150="","",IFERROR(IF(INDEX(CODIFICACION!$E$2:$E$500,MATCH("D5.19|"&amp;BS150,CODIFICACION!$F$2:$F$500,0))="sin dato","",INDEX(CODIFICACION!$E$2:$E$500,MATCH("D5.19|"&amp;BS150,CODIFICACION!$F$2:$F$500,0))),"⚠"))</f>
        <v/>
      </c>
      <c r="AO150" t="str">
        <f t="shared" si="109"/>
        <v/>
      </c>
      <c r="AP150" t="str">
        <f>IF(BU150="","",IFERROR(IF(INDEX(CODIFICACION!$E$2:$E$500,MATCH("D5.20|"&amp;BU150,CODIFICACION!$F$2:$F$500,0))="sin dato","",INDEX(CODIFICACION!$E$2:$E$500,MATCH("D5.20|"&amp;BU150,CODIFICACION!$F$2:$F$500,0))),"⚠"))</f>
        <v/>
      </c>
      <c r="AQ150" t="str">
        <f>IF(BV150="","",IFERROR(IF(INDEX(CODIFICACION!$E$2:$E$500,MATCH("D5.21|"&amp;BV150,CODIFICACION!$F$2:$F$500,0))="sin dato","",INDEX(CODIFICACION!$E$2:$E$500,MATCH("D5.21|"&amp;BV150,CODIFICACION!$F$2:$F$500,0))),"⚠"))</f>
        <v/>
      </c>
      <c r="AR150" t="str">
        <f>IF(BW150="","",IFERROR(IF(INDEX(CODIFICACION!$E$2:$E$500,MATCH("D5.21a|"&amp;BW150,CODIFICACION!$F$2:$F$500,0))="sin dato","",INDEX(CODIFICACION!$E$2:$E$500,MATCH("D5.21a|"&amp;BW150,CODIFICACION!$F$2:$F$500,0))),"⚠"))</f>
        <v/>
      </c>
      <c r="AS150" t="str">
        <f>IF(BX150="","",IFERROR(IF(INDEX(CODIFICACION!$E$2:$E$500,MATCH("D5.21b|"&amp;BX150,CODIFICACION!$F$2:$F$500,0))="sin dato","",INDEX(CODIFICACION!$E$2:$E$500,MATCH("D5.21b|"&amp;BX150,CODIFICACION!$F$2:$F$500,0))),"⚠"))</f>
        <v/>
      </c>
      <c r="AT150" t="str">
        <f>IF(BY150="","",IFERROR(IF(INDEX(CODIFICACION!$E$2:$E$500,MATCH("D6.22|"&amp;BY150,CODIFICACION!$F$2:$F$500,0))="sin dato","",INDEX(CODIFICACION!$E$2:$E$500,MATCH("D6.22|"&amp;BY150,CODIFICACION!$F$2:$F$500,0))),"⚠"))</f>
        <v/>
      </c>
      <c r="AU150" t="str">
        <f>IF(BZ150="","",IFERROR(IF(INDEX(CODIFICACION!$E$2:$E$500,MATCH("D6.22a|"&amp;BZ150,CODIFICACION!$F$2:$F$500,0))="sin dato","",INDEX(CODIFICACION!$E$2:$E$500,MATCH("D6.22a|"&amp;BZ150,CODIFICACION!$F$2:$F$500,0))),"⚠"))</f>
        <v/>
      </c>
      <c r="AV150" t="str">
        <f>IF(CA150="","",IFERROR(IF(INDEX(CODIFICACION!$E$2:$E$500,MATCH("D6.22b|"&amp;CA150,CODIFICACION!$F$2:$F$500,0))="sin dato","",INDEX(CODIFICACION!$E$2:$E$500,MATCH("D6.22b|"&amp;CA150,CODIFICACION!$F$2:$F$500,0))),"⚠"))</f>
        <v/>
      </c>
      <c r="AW150" t="str">
        <f>IF(CB150="","",IFERROR(IF(INDEX(CODIFICACION!$E$2:$E$500,MATCH("D6.23|"&amp;CB150,CODIFICACION!$F$2:$F$500,0))="sin dato","",INDEX(CODIFICACION!$E$2:$E$500,MATCH("D6.23|"&amp;CB150,CODIFICACION!$F$2:$F$500,0))),"⚠"))</f>
        <v/>
      </c>
      <c r="AX150" t="str">
        <f ca="1">IF(CC150="","",IFERROR(IF(INDEX(CODIFICACION!$E$2:$E$500,MATCH("D6.24|"&amp;CC150,CODIFICACION!$F$2:$F$500,0))="sin dato","",INDEX(CODIFICACION!$E$2:$E$500,MATCH("D6.24|"&amp;CC150,CODIFICACION!$F$2:$F$500,0))),"⚠"))</f>
        <v/>
      </c>
      <c r="AY150" t="str">
        <f ca="1">IF(CD150="","",IFERROR(IF(INDEX(CODIFICACION!$E$2:$E$500,MATCH("D6.25|"&amp;CD150,CODIFICACION!$F$2:$F$500,0))="sin dato","",INDEX(CODIFICACION!$E$2:$E$500,MATCH("D6.25|"&amp;CD150,CODIFICACION!$F$2:$F$500,0))),"⚠"))</f>
        <v/>
      </c>
      <c r="AZ150" t="str">
        <f>IF(CE150="","",IFERROR(IF(INDEX(CODIFICACION!$E$2:$E$500,MATCH("D6.25a|"&amp;CE150,CODIFICACION!$F$2:$F$500,0))="sin dato","",INDEX(CODIFICACION!$E$2:$E$500,MATCH("D6.25a|"&amp;CE150,CODIFICACION!$F$2:$F$500,0))),"⚠"))</f>
        <v/>
      </c>
      <c r="BA150" t="str">
        <f>IF(CF150="","",IFERROR(IF(INDEX(CODIFICACION!$E$2:$E$500,MATCH("D6.25b|"&amp;CF150,CODIFICACION!$F$2:$F$500,0))="sin dato","",INDEX(CODIFICACION!$E$2:$E$500,MATCH("D6.25b|"&amp;CF150,CODIFICACION!$F$2:$F$500,0))),"⚠"))</f>
        <v/>
      </c>
      <c r="BB150" t="str">
        <f ca="1">IF(CG150="","",IFERROR(IF(INDEX(CODIFICACION!$E$2:$E$500,MATCH("D6.22c|"&amp;CG150,CODIFICACION!$F$2:$F$500,0))="sin dato","",INDEX(CODIFICACION!$E$2:$E$500,MATCH("D6.22c|"&amp;CG150,CODIFICACION!$F$2:$F$500,0))),"⚠"))</f>
        <v/>
      </c>
      <c r="BC150" t="str">
        <f ca="1">IF(CH150="","",IFERROR(IF(INDEX(CODIFICACION!$E$2:$E$500,MATCH("D7.26|"&amp;CH150,CODIFICACION!$F$2:$F$500,0))="sin dato","",INDEX(CODIFICACION!$E$2:$E$500,MATCH("D7.26|"&amp;CH150,CODIFICACION!$F$2:$F$500,0))),"⚠"))</f>
        <v/>
      </c>
      <c r="BD150" t="str">
        <f>IF(CI150="","",IFERROR(IF(INDEX(CODIFICACION!$E$2:$E$500,MATCH("D7.27|"&amp;CI150,CODIFICACION!$F$2:$F$500,0))="sin dato","",INDEX(CODIFICACION!$E$2:$E$500,MATCH("D7.27|"&amp;CI150,CODIFICACION!$F$2:$F$500,0))),"⚠"))</f>
        <v/>
      </c>
      <c r="BE150" t="str">
        <f>IF(CJ150="","",IFERROR(IF(INDEX(CODIFICACION!$E$2:$E$500,MATCH("D7.28|"&amp;CJ150,CODIFICACION!$F$2:$F$500,0))="sin dato","",INDEX(CODIFICACION!$E$2:$E$500,MATCH("D7.28|"&amp;CJ150,CODIFICACION!$F$2:$F$500,0))),"⚠"))</f>
        <v/>
      </c>
      <c r="BF150" t="str">
        <f>IF(CK150="","",IFERROR(IF(INDEX(CODIFICACION!$E$2:$E$500,MATCH("D7.28b|"&amp;CK150,CODIFICACION!$F$2:$F$500,0))="sin dato","",INDEX(CODIFICACION!$E$2:$E$500,MATCH("D7.28b|"&amp;CK150,CODIFICACION!$F$2:$F$500,0))),"⚠"))</f>
        <v/>
      </c>
      <c r="BG150" t="str">
        <f t="shared" si="110"/>
        <v/>
      </c>
      <c r="BH150" t="str">
        <f>IF(CM150="","",IFERROR(IF(INDEX(CODIFICACION!$E$2:$E$500,MATCH("D7.26a|"&amp;CM150,CODIFICACION!$F$2:$F$500,0))="sin dato","",INDEX(CODIFICACION!$E$2:$E$500,MATCH("D7.26a|"&amp;CM150,CODIFICACION!$F$2:$F$500,0))),"⚠"))</f>
        <v/>
      </c>
      <c r="BI150" t="str">
        <f>IF(CN150="","",IFERROR(IF(INDEX(CODIFICACION!$E$2:$E$500,MATCH("D7.26b|"&amp;CN150,CODIFICACION!$F$2:$F$500,0))="sin dato","",INDEX(CODIFICACION!$E$2:$E$500,MATCH("D7.26b|"&amp;CN150,CODIFICACION!$F$2:$F$500,0))),"⚠"))</f>
        <v/>
      </c>
      <c r="BJ150" t="str">
        <f t="shared" si="111"/>
        <v/>
      </c>
      <c r="BK150" t="str">
        <f t="shared" si="112"/>
        <v/>
      </c>
      <c r="BL150" t="str">
        <f>IF(CQ150="","",IFERROR(IF(INDEX(CODIFICACION!$E$2:$E$500,MATCH("D8.31|"&amp;CQ150,CODIFICACION!$F$2:$F$500,0))="sin dato","",INDEX(CODIFICACION!$E$2:$E$500,MATCH("D8.31|"&amp;CQ150,CODIFICACION!$F$2:$F$500,0))),"⚠"))</f>
        <v/>
      </c>
      <c r="BM150" t="str">
        <f>IF(CR150="","",IFERROR(IF(INDEX(CODIFICACION!$E$2:$E$500,MATCH("D8.32|"&amp;CR150,CODIFICACION!$F$2:$F$500,0))="sin dato","",INDEX(CODIFICACION!$E$2:$E$500,MATCH("D8.32|"&amp;CR150,CODIFICACION!$F$2:$F$500,0))),"⚠"))</f>
        <v/>
      </c>
      <c r="BN150" t="str">
        <f>IF(CS150="","",IFERROR(IF(INDEX(CODIFICACION!$E$2:$E$500,MATCH("D9.33|"&amp;CS150,CODIFICACION!$F$2:$F$500,0))="sin dato","",INDEX(CODIFICACION!$E$2:$E$500,MATCH("D9.33|"&amp;CS150,CODIFICACION!$F$2:$F$500,0))),"⚠"))</f>
        <v/>
      </c>
      <c r="BO150" t="str">
        <f>IF(CT150="","",IFERROR(IF(INDEX(CODIFICACION!$E$2:$E$500,MATCH("D9.34|"&amp;CT150,CODIFICACION!$F$2:$F$500,0))="sin dato","",INDEX(CODIFICACION!$E$2:$E$500,MATCH("D9.34|"&amp;CT150,CODIFICACION!$F$2:$F$500,0))),"⚠"))</f>
        <v/>
      </c>
      <c r="BP150" t="str">
        <f>IF(CU150="","",IFERROR(IF(INDEX(CODIFICACION!$E$2:$E$500,MATCH("D9.35|"&amp;CU150,CODIFICACION!$F$2:$F$500,0))="sin dato","",INDEX(CODIFICACION!$E$2:$E$500,MATCH("D9.35|"&amp;CU150,CODIFICACION!$F$2:$F$500,0))),"⚠"))</f>
        <v/>
      </c>
      <c r="BQ150" t="str">
        <f>IF(CV150="","",IFERROR(IF(INDEX(CODIFICACION!$E$2:$E$500,MATCH("D10.36|"&amp;CV150,CODIFICACION!$F$2:$F$500,0))="sin dato","",INDEX(CODIFICACION!$E$2:$E$500,MATCH("D10.36|"&amp;CV150,CODIFICACION!$F$2:$F$500,0))),"⚠"))</f>
        <v/>
      </c>
      <c r="BR150" t="str">
        <f>IF(CW150="","",IFERROR(IF(INDEX(CODIFICACION!$E$2:$E$500,MATCH("D10.37|"&amp;CW150,CODIFICACION!$F$2:$F$500,0))="sin dato","",INDEX(CODIFICACION!$E$2:$E$500,MATCH("D10.37|"&amp;CW150,CODIFICACION!$F$2:$F$500,0))),"⚠"))</f>
        <v/>
      </c>
      <c r="BS150" t="str">
        <f>IF(CX150="","",IFERROR(IF(INDEX(CODIFICACION!$E$2:$E$500,MATCH("D10.36a|"&amp;CX150,CODIFICACION!$F$2:$F$500,0))="sin dato","",INDEX(CODIFICACION!$E$2:$E$500,MATCH("D10.36a|"&amp;CX150,CODIFICACION!$F$2:$F$500,0))),"⚠"))</f>
        <v/>
      </c>
      <c r="BT150" t="str">
        <f t="shared" si="113"/>
        <v/>
      </c>
      <c r="BU150" t="str">
        <f>IF(DA150="","",IFERROR(IF(INDEX(CODIFICACION!$E$2:$E$500,MATCH("D11.39a|"&amp;DA150,CODIFICACION!$F$2:$F$500,0))="sin dato","",INDEX(CODIFICACION!$E$2:$E$500,MATCH("D11.39a|"&amp;DA150,CODIFICACION!$F$2:$F$500,0))),"⚠"))</f>
        <v/>
      </c>
      <c r="BV150" t="str">
        <f>IF(DB150="","",IFERROR(IF(INDEX(CODIFICACION!$E$2:$E$500,MATCH("D12.42|"&amp;DB150,CODIFICACION!$F$2:$F$500,0))="sin dato","",INDEX(CODIFICACION!$E$2:$E$500,MATCH("D12.42|"&amp;DB150,CODIFICACION!$F$2:$F$500,0))),"⚠"))</f>
        <v/>
      </c>
      <c r="BW150" t="str">
        <f>IF(DC150="","",IFERROR(IF(INDEX(CODIFICACION!$E$2:$E$500,MATCH("D13.45|"&amp;DC150,CODIFICACION!$F$2:$F$500,0))="sin dato","",INDEX(CODIFICACION!$E$2:$E$500,MATCH("D13.45|"&amp;DC150,CODIFICACION!$F$2:$F$500,0))),"⚠"))</f>
        <v/>
      </c>
      <c r="BX150" t="str">
        <f>IF(DD150="","",IFERROR(IF(INDEX(CODIFICACION!$E$2:$E$500,MATCH("D14.51|"&amp;DD150,CODIFICACION!$F$2:$F$500,0))="sin dato","",INDEX(CODIFICACION!$E$2:$E$500,MATCH("D14.51|"&amp;DD150,CODIFICACION!$F$2:$F$500,0))),"⚠"))</f>
        <v/>
      </c>
      <c r="BY150" t="str">
        <f>IF(DE150="","",IFERROR(IF(INDEX(CODIFICACION!$E$2:$E$500,MATCH("D15.58|"&amp;DE150,CODIFICACION!$F$2:$F$500,0))="sin dato","",INDEX(CODIFICACION!$E$2:$E$500,MATCH("D15.58|"&amp;DE150,CODIFICACION!$F$2:$F$500,0))),"⚠"))</f>
        <v/>
      </c>
      <c r="BZ150" t="str">
        <f>IF(DF150="","",IFERROR(IF(INDEX(CODIFICACION!$E$2:$E$500,MATCH("PP1|"&amp;DF150,CODIFICACION!$F$2:$F$500,0))="sin dato","",INDEX(CODIFICACION!$E$2:$E$500,MATCH("PP1|"&amp;DF150,CODIFICACION!$F$2:$F$500,0))),"⚠"))</f>
        <v/>
      </c>
      <c r="CA150" t="str">
        <f>IF(DG150="","",IFERROR(IF(INDEX(CODIFICACION!$E$2:$E$500,MATCH("PP2|"&amp;DG150,CODIFICACION!$F$2:$F$500,0))="sin dato","",INDEX(CODIFICACION!$E$2:$E$500,MATCH("PP2|"&amp;DG150,CODIFICACION!$F$2:$F$500,0))),"⚠"))</f>
        <v/>
      </c>
      <c r="CB150" t="str">
        <f t="shared" si="114"/>
        <v/>
      </c>
      <c r="CC150" t="str">
        <f t="shared" ca="1" si="115"/>
        <v/>
      </c>
      <c r="CD150" t="str">
        <f t="shared" ca="1" si="116"/>
        <v/>
      </c>
      <c r="CE150" t="str">
        <f t="shared" si="117"/>
        <v/>
      </c>
      <c r="CF150" t="str">
        <f t="shared" si="118"/>
        <v/>
      </c>
      <c r="CG150" t="str">
        <f t="shared" ca="1" si="119"/>
        <v/>
      </c>
      <c r="CH150" t="str">
        <f t="shared" ca="1" si="120"/>
        <v/>
      </c>
      <c r="CI150" t="str">
        <f t="shared" si="121"/>
        <v/>
      </c>
      <c r="CJ150" t="str">
        <f t="shared" si="122"/>
        <v/>
      </c>
      <c r="CK150" t="str">
        <f t="shared" si="123"/>
        <v/>
      </c>
      <c r="CL150" t="str">
        <f t="shared" si="124"/>
        <v/>
      </c>
    </row>
    <row r="151" spans="1:90" x14ac:dyDescent="0.3">
      <c r="A151">
        <f>CAPTURA!A151</f>
        <v>20604705411</v>
      </c>
      <c r="B151">
        <f>CAPTURA!C151</f>
        <v>0</v>
      </c>
      <c r="C151" t="str">
        <f t="shared" si="100"/>
        <v/>
      </c>
      <c r="D151" t="str">
        <f>IF(AE151="","",IFERROR(IF(INDEX(CODIFICACION!$E$2:$E$500,MATCH("P8|"&amp;AE151,CODIFICACION!$F$2:$F$500,0))="sin dato","",INDEX(CODIFICACION!$E$2:$E$500,MATCH("P8|"&amp;AE151,CODIFICACION!$F$2:$F$500,0))),"⚠"))</f>
        <v/>
      </c>
      <c r="E151" t="str">
        <f>IF(AG151="","",IFERROR(IF(INDEX(CODIFICACION!$E$2:$E$500,MATCH("P10|"&amp;AG151,CODIFICACION!$F$2:$F$500,0))="sin dato","",INDEX(CODIFICACION!$E$2:$E$500,MATCH("P10|"&amp;AG151,CODIFICACION!$F$2:$F$500,0))),"⚠"))</f>
        <v/>
      </c>
      <c r="F151" t="str">
        <f>IF(AJ151="","",IFERROR(IF(INDEX(CODIFICACION!$E$2:$E$500,MATCH("P13|"&amp;AJ151,CODIFICACION!$F$2:$F$500,0))="sin dato","",INDEX(CODIFICACION!$E$2:$E$500,MATCH("P13|"&amp;AJ151,CODIFICACION!$F$2:$F$500,0))),"⚠"))</f>
        <v/>
      </c>
      <c r="G151" t="str">
        <f>IF(AK151="","",IFERROR(IF(INDEX(CODIFICACION!$E$2:$E$500,MATCH("P14|"&amp;AK151,CODIFICACION!$F$2:$F$500,0))="sin dato","",INDEX(CODIFICACION!$E$2:$E$500,MATCH("P14|"&amp;AK151,CODIFICACION!$F$2:$F$500,0))),"⚠"))</f>
        <v/>
      </c>
      <c r="H151" t="str">
        <f>IF(AL151="","",IFERROR(IF(INDEX(CODIFICACION!$E$2:$E$500,MATCH("D1.1|"&amp;AL151,CODIFICACION!$F$2:$F$500,0))="sin dato","",INDEX(CODIFICACION!$E$2:$E$500,MATCH("D1.1|"&amp;AL151,CODIFICACION!$F$2:$F$500,0))),"⚠"))</f>
        <v/>
      </c>
      <c r="I151" t="str">
        <f>IF(AN151="","",IFERROR(IF(INDEX(CODIFICACION!$E$2:$E$500,MATCH("D1.3|"&amp;AN151,CODIFICACION!$F$2:$F$500,0))="sin dato","",INDEX(CODIFICACION!$E$2:$E$500,MATCH("D1.3|"&amp;AN151,CODIFICACION!$F$2:$F$500,0))),"⚠"))</f>
        <v/>
      </c>
      <c r="J151" t="str">
        <f>IF(AO151="","",IFERROR(IF(INDEX(CODIFICACION!$E$2:$E$500,MATCH("D1.4|"&amp;AO151,CODIFICACION!$F$2:$F$500,0))="sin dato","",INDEX(CODIFICACION!$E$2:$E$500,MATCH("D1.4|"&amp;AO151,CODIFICACION!$F$2:$F$500,0))),"⚠"))</f>
        <v/>
      </c>
      <c r="K151" t="str">
        <f>IF(AP151="","",IFERROR(IF(INDEX(CODIFICACION!$E$2:$E$500,MATCH("D1.3a|"&amp;AP151,CODIFICACION!$F$2:$F$500,0))="sin dato","",INDEX(CODIFICACION!$E$2:$E$500,MATCH("D1.3a|"&amp;AP151,CODIFICACION!$F$2:$F$500,0))),"⚠"))</f>
        <v/>
      </c>
      <c r="L151" t="str">
        <f t="shared" si="101"/>
        <v/>
      </c>
      <c r="M151" t="str">
        <f t="shared" si="102"/>
        <v/>
      </c>
      <c r="N151" t="str">
        <f t="shared" si="103"/>
        <v/>
      </c>
      <c r="O151" t="str">
        <f>IF(AT151="","",IFERROR(IF(INDEX(CODIFICACION!$E$2:$E$500,MATCH("D2.8|"&amp;AT151,CODIFICACION!$F$2:$F$500,0))="sin dato","",INDEX(CODIFICACION!$E$2:$E$500,MATCH("D2.8|"&amp;AT151,CODIFICACION!$F$2:$F$500,0))),"⚠"))</f>
        <v/>
      </c>
      <c r="P151" t="str">
        <f>IF(AU151="","",IFERROR(IF(INDEX(CODIFICACION!$E$2:$E$500,MATCH("D2.9|"&amp;AU151,CODIFICACION!$F$2:$F$500,0))="sin dato","",INDEX(CODIFICACION!$E$2:$E$500,MATCH("D2.9|"&amp;AU151,CODIFICACION!$F$2:$F$500,0))),"⚠"))</f>
        <v/>
      </c>
      <c r="Q151" t="str">
        <f>IF(AV151="","",IFERROR(IF(INDEX(CODIFICACION!$E$2:$E$500,MATCH("D2.10|"&amp;AV151,CODIFICACION!$F$2:$F$500,0))="sin dato","",INDEX(CODIFICACION!$E$2:$E$500,MATCH("D2.10|"&amp;AV151,CODIFICACION!$F$2:$F$500,0))),"⚠"))</f>
        <v/>
      </c>
      <c r="R151" t="str">
        <f>IF(AW151="","",IFERROR(IF(INDEX(CODIFICACION!$E$2:$E$500,MATCH("D2.5a|"&amp;AW151,CODIFICACION!$F$2:$F$500,0))="sin dato","",INDEX(CODIFICACION!$E$2:$E$500,MATCH("D2.5a|"&amp;AW151,CODIFICACION!$F$2:$F$500,0))),"⚠"))</f>
        <v/>
      </c>
      <c r="S151" t="str">
        <f ca="1">IF(AX151="","",IFERROR(IF(INDEX(CODIFICACION!$E$2:$E$500,MATCH("D2.5b|"&amp;AX151,CODIFICACION!$F$2:$F$500,0))="sin dato","",INDEX(CODIFICACION!$E$2:$E$500,MATCH("D2.5b|"&amp;AX151,CODIFICACION!$F$2:$F$500,0))),"⚠"))</f>
        <v/>
      </c>
      <c r="T151" t="str">
        <f t="shared" ca="1" si="104"/>
        <v/>
      </c>
      <c r="U151" t="str">
        <f>IF(AZ151="","",IFERROR(IF(INDEX(CODIFICACION!$E$2:$E$500,MATCH("D3.12|"&amp;AZ151,CODIFICACION!$F$2:$F$500,0))="sin dato","",INDEX(CODIFICACION!$E$2:$E$500,MATCH("D3.12|"&amp;AZ151,CODIFICACION!$F$2:$F$500,0))),"⚠"))</f>
        <v/>
      </c>
      <c r="V151" t="str">
        <f t="shared" si="105"/>
        <v/>
      </c>
      <c r="W151" t="str">
        <f ca="1">IF(BB151="","",IFERROR(IF(INDEX(CODIFICACION!$E$2:$E$500,MATCH("D3.14|"&amp;BB151,CODIFICACION!$F$2:$F$500,0))="sin dato","",INDEX(CODIFICACION!$E$2:$E$500,MATCH("D3.14|"&amp;BB151,CODIFICACION!$F$2:$F$500,0))),"⚠"))</f>
        <v/>
      </c>
      <c r="X151" t="str">
        <f ca="1">IF(BC151="","",IFERROR(IF(INDEX(CODIFICACION!$E$2:$E$500,MATCH("D3.14a|"&amp;BC151,CODIFICACION!$F$2:$F$500,0))="sin dato","",INDEX(CODIFICACION!$E$2:$E$500,MATCH("D3.14a|"&amp;BC151,CODIFICACION!$F$2:$F$500,0))),"⚠"))</f>
        <v/>
      </c>
      <c r="Y151" t="str">
        <f>IF(BD151="","",IFERROR(IF(INDEX(CODIFICACION!$E$2:$E$500,MATCH("D3.14b|"&amp;BD151,CODIFICACION!$F$2:$F$500,0))="sin dato","",INDEX(CODIFICACION!$E$2:$E$500,MATCH("D3.14b|"&amp;BD151,CODIFICACION!$F$2:$F$500,0))),"⚠"))</f>
        <v/>
      </c>
      <c r="Z151" t="str">
        <f>IF(BE151="","",IFERROR(IF(INDEX(CODIFICACION!$E$2:$E$500,MATCH("D3.14c|"&amp;BE151,CODIFICACION!$F$2:$F$500,0))="sin dato","",INDEX(CODIFICACION!$E$2:$E$500,MATCH("D3.14c|"&amp;BE151,CODIFICACION!$F$2:$F$500,0))),"⚠"))</f>
        <v/>
      </c>
      <c r="AA151" t="str">
        <f>IF(BF151="","",IFERROR(IF(INDEX(CODIFICACION!$E$2:$E$500,MATCH("D3.14d|"&amp;BF151,CODIFICACION!$F$2:$F$500,0))="sin dato","",INDEX(CODIFICACION!$E$2:$E$500,MATCH("D3.14d|"&amp;BF151,CODIFICACION!$F$2:$F$500,0))),"⚠"))</f>
        <v/>
      </c>
      <c r="AB151" t="str">
        <f>IF(BG151="","",IFERROR(IF(INDEX(CODIFICACION!$E$2:$E$500,MATCH("D3.14e|"&amp;BG151,CODIFICACION!$F$2:$F$500,0))="sin dato","",INDEX(CODIFICACION!$E$2:$E$500,MATCH("D3.14e|"&amp;BG151,CODIFICACION!$F$2:$F$500,0))),"⚠"))</f>
        <v/>
      </c>
      <c r="AC151" t="str">
        <f>IF(BH151="","",IFERROR(IF(INDEX(CODIFICACION!$E$2:$E$500,MATCH("D3.14f|"&amp;BH151,CODIFICACION!$F$2:$F$500,0))="sin dato","",INDEX(CODIFICACION!$E$2:$E$500,MATCH("D3.14f|"&amp;BH151,CODIFICACION!$F$2:$F$500,0))),"⚠"))</f>
        <v/>
      </c>
      <c r="AD151" t="str">
        <f>IF(BI151="","",IFERROR(IF(INDEX(CODIFICACION!$E$2:$E$500,MATCH("D3.14g|"&amp;BI151,CODIFICACION!$F$2:$F$500,0))="sin dato","",INDEX(CODIFICACION!$E$2:$E$500,MATCH("D3.14g|"&amp;BI151,CODIFICACION!$F$2:$F$500,0))),"⚠"))</f>
        <v/>
      </c>
      <c r="AE151" t="str">
        <f>IF(BJ151="","",IFERROR(IF(INDEX(CODIFICACION!$E$2:$E$500,MATCH("D3.14h|"&amp;BJ151,CODIFICACION!$F$2:$F$500,0))="sin dato","",INDEX(CODIFICACION!$E$2:$E$500,MATCH("D3.14h|"&amp;BJ151,CODIFICACION!$F$2:$F$500,0))),"⚠"))</f>
        <v/>
      </c>
      <c r="AF151" t="str">
        <f>IF(BK151="","",IFERROR(IF(INDEX(CODIFICACION!$E$2:$E$500,MATCH("D3.14i|"&amp;BK151,CODIFICACION!$F$2:$F$500,0))="sin dato","",INDEX(CODIFICACION!$E$2:$E$500,MATCH("D3.14i|"&amp;BK151,CODIFICACION!$F$2:$F$500,0))),"⚠"))</f>
        <v/>
      </c>
      <c r="AG151" t="str">
        <f>IF(BL151="","",IFERROR(IF(INDEX(CODIFICACION!$E$2:$E$500,MATCH("D4.15|"&amp;BL151,CODIFICACION!$F$2:$F$500,0))="sin dato","",INDEX(CODIFICACION!$E$2:$E$500,MATCH("D4.15|"&amp;BL151,CODIFICACION!$F$2:$F$500,0))),"⚠"))</f>
        <v/>
      </c>
      <c r="AH151" t="str">
        <f t="shared" si="106"/>
        <v/>
      </c>
      <c r="AI151" t="str">
        <f>IF(BN151="","",IFERROR(IF(INDEX(CODIFICACION!$E$2:$E$500,MATCH("D4.17|"&amp;BN151,CODIFICACION!$F$2:$F$500,0))="sin dato","",INDEX(CODIFICACION!$E$2:$E$500,MATCH("D4.17|"&amp;BN151,CODIFICACION!$F$2:$F$500,0))),"⚠"))</f>
        <v/>
      </c>
      <c r="AJ151" t="str">
        <f>IF(BO151="","",IFERROR(IF(INDEX(CODIFICACION!$E$2:$E$500,MATCH("D4.15a|"&amp;BO151,CODIFICACION!$F$2:$F$500,0))="sin dato","",INDEX(CODIFICACION!$E$2:$E$500,MATCH("D4.15a|"&amp;BO151,CODIFICACION!$F$2:$F$500,0))),"⚠"))</f>
        <v/>
      </c>
      <c r="AK151" t="str">
        <f t="shared" si="107"/>
        <v/>
      </c>
      <c r="AL151" t="str">
        <f t="shared" si="108"/>
        <v/>
      </c>
      <c r="AM151" t="str">
        <f>IF(BR151="","",IFERROR(IF(INDEX(CODIFICACION!$E$2:$E$500,MATCH("D5.18b|"&amp;BR151,CODIFICACION!$F$2:$F$500,0))="sin dato","",INDEX(CODIFICACION!$E$2:$E$500,MATCH("D5.18b|"&amp;BR151,CODIFICACION!$F$2:$F$500,0))),"⚠"))</f>
        <v/>
      </c>
      <c r="AN151" t="str">
        <f>IF(BS151="","",IFERROR(IF(INDEX(CODIFICACION!$E$2:$E$500,MATCH("D5.19|"&amp;BS151,CODIFICACION!$F$2:$F$500,0))="sin dato","",INDEX(CODIFICACION!$E$2:$E$500,MATCH("D5.19|"&amp;BS151,CODIFICACION!$F$2:$F$500,0))),"⚠"))</f>
        <v/>
      </c>
      <c r="AO151" t="str">
        <f t="shared" si="109"/>
        <v/>
      </c>
      <c r="AP151" t="str">
        <f>IF(BU151="","",IFERROR(IF(INDEX(CODIFICACION!$E$2:$E$500,MATCH("D5.20|"&amp;BU151,CODIFICACION!$F$2:$F$500,0))="sin dato","",INDEX(CODIFICACION!$E$2:$E$500,MATCH("D5.20|"&amp;BU151,CODIFICACION!$F$2:$F$500,0))),"⚠"))</f>
        <v/>
      </c>
      <c r="AQ151" t="str">
        <f>IF(BV151="","",IFERROR(IF(INDEX(CODIFICACION!$E$2:$E$500,MATCH("D5.21|"&amp;BV151,CODIFICACION!$F$2:$F$500,0))="sin dato","",INDEX(CODIFICACION!$E$2:$E$500,MATCH("D5.21|"&amp;BV151,CODIFICACION!$F$2:$F$500,0))),"⚠"))</f>
        <v/>
      </c>
      <c r="AR151" t="str">
        <f>IF(BW151="","",IFERROR(IF(INDEX(CODIFICACION!$E$2:$E$500,MATCH("D5.21a|"&amp;BW151,CODIFICACION!$F$2:$F$500,0))="sin dato","",INDEX(CODIFICACION!$E$2:$E$500,MATCH("D5.21a|"&amp;BW151,CODIFICACION!$F$2:$F$500,0))),"⚠"))</f>
        <v/>
      </c>
      <c r="AS151" t="str">
        <f>IF(BX151="","",IFERROR(IF(INDEX(CODIFICACION!$E$2:$E$500,MATCH("D5.21b|"&amp;BX151,CODIFICACION!$F$2:$F$500,0))="sin dato","",INDEX(CODIFICACION!$E$2:$E$500,MATCH("D5.21b|"&amp;BX151,CODIFICACION!$F$2:$F$500,0))),"⚠"))</f>
        <v/>
      </c>
      <c r="AT151" t="str">
        <f>IF(BY151="","",IFERROR(IF(INDEX(CODIFICACION!$E$2:$E$500,MATCH("D6.22|"&amp;BY151,CODIFICACION!$F$2:$F$500,0))="sin dato","",INDEX(CODIFICACION!$E$2:$E$500,MATCH("D6.22|"&amp;BY151,CODIFICACION!$F$2:$F$500,0))),"⚠"))</f>
        <v/>
      </c>
      <c r="AU151" t="str">
        <f>IF(BZ151="","",IFERROR(IF(INDEX(CODIFICACION!$E$2:$E$500,MATCH("D6.22a|"&amp;BZ151,CODIFICACION!$F$2:$F$500,0))="sin dato","",INDEX(CODIFICACION!$E$2:$E$500,MATCH("D6.22a|"&amp;BZ151,CODIFICACION!$F$2:$F$500,0))),"⚠"))</f>
        <v/>
      </c>
      <c r="AV151" t="str">
        <f>IF(CA151="","",IFERROR(IF(INDEX(CODIFICACION!$E$2:$E$500,MATCH("D6.22b|"&amp;CA151,CODIFICACION!$F$2:$F$500,0))="sin dato","",INDEX(CODIFICACION!$E$2:$E$500,MATCH("D6.22b|"&amp;CA151,CODIFICACION!$F$2:$F$500,0))),"⚠"))</f>
        <v/>
      </c>
      <c r="AW151" t="str">
        <f>IF(CB151="","",IFERROR(IF(INDEX(CODIFICACION!$E$2:$E$500,MATCH("D6.23|"&amp;CB151,CODIFICACION!$F$2:$F$500,0))="sin dato","",INDEX(CODIFICACION!$E$2:$E$500,MATCH("D6.23|"&amp;CB151,CODIFICACION!$F$2:$F$500,0))),"⚠"))</f>
        <v/>
      </c>
      <c r="AX151" t="str">
        <f ca="1">IF(CC151="","",IFERROR(IF(INDEX(CODIFICACION!$E$2:$E$500,MATCH("D6.24|"&amp;CC151,CODIFICACION!$F$2:$F$500,0))="sin dato","",INDEX(CODIFICACION!$E$2:$E$500,MATCH("D6.24|"&amp;CC151,CODIFICACION!$F$2:$F$500,0))),"⚠"))</f>
        <v/>
      </c>
      <c r="AY151" t="str">
        <f ca="1">IF(CD151="","",IFERROR(IF(INDEX(CODIFICACION!$E$2:$E$500,MATCH("D6.25|"&amp;CD151,CODIFICACION!$F$2:$F$500,0))="sin dato","",INDEX(CODIFICACION!$E$2:$E$500,MATCH("D6.25|"&amp;CD151,CODIFICACION!$F$2:$F$500,0))),"⚠"))</f>
        <v/>
      </c>
      <c r="AZ151" t="str">
        <f>IF(CE151="","",IFERROR(IF(INDEX(CODIFICACION!$E$2:$E$500,MATCH("D6.25a|"&amp;CE151,CODIFICACION!$F$2:$F$500,0))="sin dato","",INDEX(CODIFICACION!$E$2:$E$500,MATCH("D6.25a|"&amp;CE151,CODIFICACION!$F$2:$F$500,0))),"⚠"))</f>
        <v/>
      </c>
      <c r="BA151" t="str">
        <f>IF(CF151="","",IFERROR(IF(INDEX(CODIFICACION!$E$2:$E$500,MATCH("D6.25b|"&amp;CF151,CODIFICACION!$F$2:$F$500,0))="sin dato","",INDEX(CODIFICACION!$E$2:$E$500,MATCH("D6.25b|"&amp;CF151,CODIFICACION!$F$2:$F$500,0))),"⚠"))</f>
        <v/>
      </c>
      <c r="BB151" t="str">
        <f ca="1">IF(CG151="","",IFERROR(IF(INDEX(CODIFICACION!$E$2:$E$500,MATCH("D6.22c|"&amp;CG151,CODIFICACION!$F$2:$F$500,0))="sin dato","",INDEX(CODIFICACION!$E$2:$E$500,MATCH("D6.22c|"&amp;CG151,CODIFICACION!$F$2:$F$500,0))),"⚠"))</f>
        <v/>
      </c>
      <c r="BC151" t="str">
        <f ca="1">IF(CH151="","",IFERROR(IF(INDEX(CODIFICACION!$E$2:$E$500,MATCH("D7.26|"&amp;CH151,CODIFICACION!$F$2:$F$500,0))="sin dato","",INDEX(CODIFICACION!$E$2:$E$500,MATCH("D7.26|"&amp;CH151,CODIFICACION!$F$2:$F$500,0))),"⚠"))</f>
        <v/>
      </c>
      <c r="BD151" t="str">
        <f>IF(CI151="","",IFERROR(IF(INDEX(CODIFICACION!$E$2:$E$500,MATCH("D7.27|"&amp;CI151,CODIFICACION!$F$2:$F$500,0))="sin dato","",INDEX(CODIFICACION!$E$2:$E$500,MATCH("D7.27|"&amp;CI151,CODIFICACION!$F$2:$F$500,0))),"⚠"))</f>
        <v/>
      </c>
      <c r="BE151" t="str">
        <f>IF(CJ151="","",IFERROR(IF(INDEX(CODIFICACION!$E$2:$E$500,MATCH("D7.28|"&amp;CJ151,CODIFICACION!$F$2:$F$500,0))="sin dato","",INDEX(CODIFICACION!$E$2:$E$500,MATCH("D7.28|"&amp;CJ151,CODIFICACION!$F$2:$F$500,0))),"⚠"))</f>
        <v/>
      </c>
      <c r="BF151" t="str">
        <f>IF(CK151="","",IFERROR(IF(INDEX(CODIFICACION!$E$2:$E$500,MATCH("D7.28b|"&amp;CK151,CODIFICACION!$F$2:$F$500,0))="sin dato","",INDEX(CODIFICACION!$E$2:$E$500,MATCH("D7.28b|"&amp;CK151,CODIFICACION!$F$2:$F$500,0))),"⚠"))</f>
        <v/>
      </c>
      <c r="BG151" t="str">
        <f t="shared" si="110"/>
        <v/>
      </c>
      <c r="BH151" t="str">
        <f>IF(CM151="","",IFERROR(IF(INDEX(CODIFICACION!$E$2:$E$500,MATCH("D7.26a|"&amp;CM151,CODIFICACION!$F$2:$F$500,0))="sin dato","",INDEX(CODIFICACION!$E$2:$E$500,MATCH("D7.26a|"&amp;CM151,CODIFICACION!$F$2:$F$500,0))),"⚠"))</f>
        <v/>
      </c>
      <c r="BI151" t="str">
        <f>IF(CN151="","",IFERROR(IF(INDEX(CODIFICACION!$E$2:$E$500,MATCH("D7.26b|"&amp;CN151,CODIFICACION!$F$2:$F$500,0))="sin dato","",INDEX(CODIFICACION!$E$2:$E$500,MATCH("D7.26b|"&amp;CN151,CODIFICACION!$F$2:$F$500,0))),"⚠"))</f>
        <v/>
      </c>
      <c r="BJ151" t="str">
        <f t="shared" si="111"/>
        <v/>
      </c>
      <c r="BK151" t="str">
        <f t="shared" si="112"/>
        <v/>
      </c>
      <c r="BL151" t="str">
        <f>IF(CQ151="","",IFERROR(IF(INDEX(CODIFICACION!$E$2:$E$500,MATCH("D8.31|"&amp;CQ151,CODIFICACION!$F$2:$F$500,0))="sin dato","",INDEX(CODIFICACION!$E$2:$E$500,MATCH("D8.31|"&amp;CQ151,CODIFICACION!$F$2:$F$500,0))),"⚠"))</f>
        <v/>
      </c>
      <c r="BM151" t="str">
        <f>IF(CR151="","",IFERROR(IF(INDEX(CODIFICACION!$E$2:$E$500,MATCH("D8.32|"&amp;CR151,CODIFICACION!$F$2:$F$500,0))="sin dato","",INDEX(CODIFICACION!$E$2:$E$500,MATCH("D8.32|"&amp;CR151,CODIFICACION!$F$2:$F$500,0))),"⚠"))</f>
        <v/>
      </c>
      <c r="BN151" t="str">
        <f>IF(CS151="","",IFERROR(IF(INDEX(CODIFICACION!$E$2:$E$500,MATCH("D9.33|"&amp;CS151,CODIFICACION!$F$2:$F$500,0))="sin dato","",INDEX(CODIFICACION!$E$2:$E$500,MATCH("D9.33|"&amp;CS151,CODIFICACION!$F$2:$F$500,0))),"⚠"))</f>
        <v/>
      </c>
      <c r="BO151" t="str">
        <f>IF(CT151="","",IFERROR(IF(INDEX(CODIFICACION!$E$2:$E$500,MATCH("D9.34|"&amp;CT151,CODIFICACION!$F$2:$F$500,0))="sin dato","",INDEX(CODIFICACION!$E$2:$E$500,MATCH("D9.34|"&amp;CT151,CODIFICACION!$F$2:$F$500,0))),"⚠"))</f>
        <v/>
      </c>
      <c r="BP151" t="str">
        <f>IF(CU151="","",IFERROR(IF(INDEX(CODIFICACION!$E$2:$E$500,MATCH("D9.35|"&amp;CU151,CODIFICACION!$F$2:$F$500,0))="sin dato","",INDEX(CODIFICACION!$E$2:$E$500,MATCH("D9.35|"&amp;CU151,CODIFICACION!$F$2:$F$500,0))),"⚠"))</f>
        <v/>
      </c>
      <c r="BQ151" t="str">
        <f>IF(CV151="","",IFERROR(IF(INDEX(CODIFICACION!$E$2:$E$500,MATCH("D10.36|"&amp;CV151,CODIFICACION!$F$2:$F$500,0))="sin dato","",INDEX(CODIFICACION!$E$2:$E$500,MATCH("D10.36|"&amp;CV151,CODIFICACION!$F$2:$F$500,0))),"⚠"))</f>
        <v/>
      </c>
      <c r="BR151" t="str">
        <f>IF(CW151="","",IFERROR(IF(INDEX(CODIFICACION!$E$2:$E$500,MATCH("D10.37|"&amp;CW151,CODIFICACION!$F$2:$F$500,0))="sin dato","",INDEX(CODIFICACION!$E$2:$E$500,MATCH("D10.37|"&amp;CW151,CODIFICACION!$F$2:$F$500,0))),"⚠"))</f>
        <v/>
      </c>
      <c r="BS151" t="str">
        <f>IF(CX151="","",IFERROR(IF(INDEX(CODIFICACION!$E$2:$E$500,MATCH("D10.36a|"&amp;CX151,CODIFICACION!$F$2:$F$500,0))="sin dato","",INDEX(CODIFICACION!$E$2:$E$500,MATCH("D10.36a|"&amp;CX151,CODIFICACION!$F$2:$F$500,0))),"⚠"))</f>
        <v/>
      </c>
      <c r="BT151" t="str">
        <f t="shared" si="113"/>
        <v/>
      </c>
      <c r="BU151" t="str">
        <f>IF(DA151="","",IFERROR(IF(INDEX(CODIFICACION!$E$2:$E$500,MATCH("D11.39a|"&amp;DA151,CODIFICACION!$F$2:$F$500,0))="sin dato","",INDEX(CODIFICACION!$E$2:$E$500,MATCH("D11.39a|"&amp;DA151,CODIFICACION!$F$2:$F$500,0))),"⚠"))</f>
        <v/>
      </c>
      <c r="BV151" t="str">
        <f>IF(DB151="","",IFERROR(IF(INDEX(CODIFICACION!$E$2:$E$500,MATCH("D12.42|"&amp;DB151,CODIFICACION!$F$2:$F$500,0))="sin dato","",INDEX(CODIFICACION!$E$2:$E$500,MATCH("D12.42|"&amp;DB151,CODIFICACION!$F$2:$F$500,0))),"⚠"))</f>
        <v/>
      </c>
      <c r="BW151" t="str">
        <f>IF(DC151="","",IFERROR(IF(INDEX(CODIFICACION!$E$2:$E$500,MATCH("D13.45|"&amp;DC151,CODIFICACION!$F$2:$F$500,0))="sin dato","",INDEX(CODIFICACION!$E$2:$E$500,MATCH("D13.45|"&amp;DC151,CODIFICACION!$F$2:$F$500,0))),"⚠"))</f>
        <v/>
      </c>
      <c r="BX151" t="str">
        <f>IF(DD151="","",IFERROR(IF(INDEX(CODIFICACION!$E$2:$E$500,MATCH("D14.51|"&amp;DD151,CODIFICACION!$F$2:$F$500,0))="sin dato","",INDEX(CODIFICACION!$E$2:$E$500,MATCH("D14.51|"&amp;DD151,CODIFICACION!$F$2:$F$500,0))),"⚠"))</f>
        <v/>
      </c>
      <c r="BY151" t="str">
        <f>IF(DE151="","",IFERROR(IF(INDEX(CODIFICACION!$E$2:$E$500,MATCH("D15.58|"&amp;DE151,CODIFICACION!$F$2:$F$500,0))="sin dato","",INDEX(CODIFICACION!$E$2:$E$500,MATCH("D15.58|"&amp;DE151,CODIFICACION!$F$2:$F$500,0))),"⚠"))</f>
        <v/>
      </c>
      <c r="BZ151" t="str">
        <f>IF(DF151="","",IFERROR(IF(INDEX(CODIFICACION!$E$2:$E$500,MATCH("PP1|"&amp;DF151,CODIFICACION!$F$2:$F$500,0))="sin dato","",INDEX(CODIFICACION!$E$2:$E$500,MATCH("PP1|"&amp;DF151,CODIFICACION!$F$2:$F$500,0))),"⚠"))</f>
        <v/>
      </c>
      <c r="CA151" t="str">
        <f>IF(DG151="","",IFERROR(IF(INDEX(CODIFICACION!$E$2:$E$500,MATCH("PP2|"&amp;DG151,CODIFICACION!$F$2:$F$500,0))="sin dato","",INDEX(CODIFICACION!$E$2:$E$500,MATCH("PP2|"&amp;DG151,CODIFICACION!$F$2:$F$500,0))),"⚠"))</f>
        <v/>
      </c>
      <c r="CB151" t="str">
        <f t="shared" si="114"/>
        <v/>
      </c>
      <c r="CC151" t="str">
        <f t="shared" ca="1" si="115"/>
        <v/>
      </c>
      <c r="CD151" t="str">
        <f t="shared" ca="1" si="116"/>
        <v/>
      </c>
      <c r="CE151" t="str">
        <f t="shared" si="117"/>
        <v/>
      </c>
      <c r="CF151" t="str">
        <f t="shared" si="118"/>
        <v/>
      </c>
      <c r="CG151" t="str">
        <f t="shared" ca="1" si="119"/>
        <v/>
      </c>
      <c r="CH151" t="str">
        <f t="shared" ca="1" si="120"/>
        <v/>
      </c>
      <c r="CI151" t="str">
        <f t="shared" si="121"/>
        <v/>
      </c>
      <c r="CJ151" t="str">
        <f t="shared" si="122"/>
        <v/>
      </c>
      <c r="CK151" t="str">
        <f t="shared" si="123"/>
        <v/>
      </c>
      <c r="CL151" t="str">
        <f t="shared" si="124"/>
        <v/>
      </c>
    </row>
    <row r="152" spans="1:90" x14ac:dyDescent="0.3">
      <c r="A152">
        <f>CAPTURA!A152</f>
        <v>20604988200</v>
      </c>
      <c r="B152">
        <f>CAPTURA!C152</f>
        <v>0</v>
      </c>
      <c r="C152" t="str">
        <f t="shared" si="100"/>
        <v/>
      </c>
      <c r="D152" t="str">
        <f>IF(AE152="","",IFERROR(IF(INDEX(CODIFICACION!$E$2:$E$500,MATCH("P8|"&amp;AE152,CODIFICACION!$F$2:$F$500,0))="sin dato","",INDEX(CODIFICACION!$E$2:$E$500,MATCH("P8|"&amp;AE152,CODIFICACION!$F$2:$F$500,0))),"⚠"))</f>
        <v/>
      </c>
      <c r="E152" t="str">
        <f>IF(AG152="","",IFERROR(IF(INDEX(CODIFICACION!$E$2:$E$500,MATCH("P10|"&amp;AG152,CODIFICACION!$F$2:$F$500,0))="sin dato","",INDEX(CODIFICACION!$E$2:$E$500,MATCH("P10|"&amp;AG152,CODIFICACION!$F$2:$F$500,0))),"⚠"))</f>
        <v/>
      </c>
      <c r="F152" t="str">
        <f>IF(AJ152="","",IFERROR(IF(INDEX(CODIFICACION!$E$2:$E$500,MATCH("P13|"&amp;AJ152,CODIFICACION!$F$2:$F$500,0))="sin dato","",INDEX(CODIFICACION!$E$2:$E$500,MATCH("P13|"&amp;AJ152,CODIFICACION!$F$2:$F$500,0))),"⚠"))</f>
        <v/>
      </c>
      <c r="G152" t="str">
        <f>IF(AK152="","",IFERROR(IF(INDEX(CODIFICACION!$E$2:$E$500,MATCH("P14|"&amp;AK152,CODIFICACION!$F$2:$F$500,0))="sin dato","",INDEX(CODIFICACION!$E$2:$E$500,MATCH("P14|"&amp;AK152,CODIFICACION!$F$2:$F$500,0))),"⚠"))</f>
        <v/>
      </c>
      <c r="H152" t="str">
        <f>IF(AL152="","",IFERROR(IF(INDEX(CODIFICACION!$E$2:$E$500,MATCH("D1.1|"&amp;AL152,CODIFICACION!$F$2:$F$500,0))="sin dato","",INDEX(CODIFICACION!$E$2:$E$500,MATCH("D1.1|"&amp;AL152,CODIFICACION!$F$2:$F$500,0))),"⚠"))</f>
        <v/>
      </c>
      <c r="I152" t="str">
        <f>IF(AN152="","",IFERROR(IF(INDEX(CODIFICACION!$E$2:$E$500,MATCH("D1.3|"&amp;AN152,CODIFICACION!$F$2:$F$500,0))="sin dato","",INDEX(CODIFICACION!$E$2:$E$500,MATCH("D1.3|"&amp;AN152,CODIFICACION!$F$2:$F$500,0))),"⚠"))</f>
        <v/>
      </c>
      <c r="J152" t="str">
        <f>IF(AO152="","",IFERROR(IF(INDEX(CODIFICACION!$E$2:$E$500,MATCH("D1.4|"&amp;AO152,CODIFICACION!$F$2:$F$500,0))="sin dato","",INDEX(CODIFICACION!$E$2:$E$500,MATCH("D1.4|"&amp;AO152,CODIFICACION!$F$2:$F$500,0))),"⚠"))</f>
        <v/>
      </c>
      <c r="K152" t="str">
        <f>IF(AP152="","",IFERROR(IF(INDEX(CODIFICACION!$E$2:$E$500,MATCH("D1.3a|"&amp;AP152,CODIFICACION!$F$2:$F$500,0))="sin dato","",INDEX(CODIFICACION!$E$2:$E$500,MATCH("D1.3a|"&amp;AP152,CODIFICACION!$F$2:$F$500,0))),"⚠"))</f>
        <v/>
      </c>
      <c r="L152" t="str">
        <f t="shared" si="101"/>
        <v/>
      </c>
      <c r="M152" t="str">
        <f t="shared" si="102"/>
        <v/>
      </c>
      <c r="N152" t="str">
        <f t="shared" si="103"/>
        <v/>
      </c>
      <c r="O152" t="str">
        <f>IF(AT152="","",IFERROR(IF(INDEX(CODIFICACION!$E$2:$E$500,MATCH("D2.8|"&amp;AT152,CODIFICACION!$F$2:$F$500,0))="sin dato","",INDEX(CODIFICACION!$E$2:$E$500,MATCH("D2.8|"&amp;AT152,CODIFICACION!$F$2:$F$500,0))),"⚠"))</f>
        <v/>
      </c>
      <c r="P152" t="str">
        <f>IF(AU152="","",IFERROR(IF(INDEX(CODIFICACION!$E$2:$E$500,MATCH("D2.9|"&amp;AU152,CODIFICACION!$F$2:$F$500,0))="sin dato","",INDEX(CODIFICACION!$E$2:$E$500,MATCH("D2.9|"&amp;AU152,CODIFICACION!$F$2:$F$500,0))),"⚠"))</f>
        <v/>
      </c>
      <c r="Q152" t="str">
        <f>IF(AV152="","",IFERROR(IF(INDEX(CODIFICACION!$E$2:$E$500,MATCH("D2.10|"&amp;AV152,CODIFICACION!$F$2:$F$500,0))="sin dato","",INDEX(CODIFICACION!$E$2:$E$500,MATCH("D2.10|"&amp;AV152,CODIFICACION!$F$2:$F$500,0))),"⚠"))</f>
        <v/>
      </c>
      <c r="R152" t="str">
        <f>IF(AW152="","",IFERROR(IF(INDEX(CODIFICACION!$E$2:$E$500,MATCH("D2.5a|"&amp;AW152,CODIFICACION!$F$2:$F$500,0))="sin dato","",INDEX(CODIFICACION!$E$2:$E$500,MATCH("D2.5a|"&amp;AW152,CODIFICACION!$F$2:$F$500,0))),"⚠"))</f>
        <v/>
      </c>
      <c r="S152" t="str">
        <f ca="1">IF(AX152="","",IFERROR(IF(INDEX(CODIFICACION!$E$2:$E$500,MATCH("D2.5b|"&amp;AX152,CODIFICACION!$F$2:$F$500,0))="sin dato","",INDEX(CODIFICACION!$E$2:$E$500,MATCH("D2.5b|"&amp;AX152,CODIFICACION!$F$2:$F$500,0))),"⚠"))</f>
        <v/>
      </c>
      <c r="T152" t="str">
        <f t="shared" ca="1" si="104"/>
        <v/>
      </c>
      <c r="U152" t="str">
        <f>IF(AZ152="","",IFERROR(IF(INDEX(CODIFICACION!$E$2:$E$500,MATCH("D3.12|"&amp;AZ152,CODIFICACION!$F$2:$F$500,0))="sin dato","",INDEX(CODIFICACION!$E$2:$E$500,MATCH("D3.12|"&amp;AZ152,CODIFICACION!$F$2:$F$500,0))),"⚠"))</f>
        <v/>
      </c>
      <c r="V152" t="str">
        <f t="shared" si="105"/>
        <v/>
      </c>
      <c r="W152" t="str">
        <f ca="1">IF(BB152="","",IFERROR(IF(INDEX(CODIFICACION!$E$2:$E$500,MATCH("D3.14|"&amp;BB152,CODIFICACION!$F$2:$F$500,0))="sin dato","",INDEX(CODIFICACION!$E$2:$E$500,MATCH("D3.14|"&amp;BB152,CODIFICACION!$F$2:$F$500,0))),"⚠"))</f>
        <v/>
      </c>
      <c r="X152" t="str">
        <f ca="1">IF(BC152="","",IFERROR(IF(INDEX(CODIFICACION!$E$2:$E$500,MATCH("D3.14a|"&amp;BC152,CODIFICACION!$F$2:$F$500,0))="sin dato","",INDEX(CODIFICACION!$E$2:$E$500,MATCH("D3.14a|"&amp;BC152,CODIFICACION!$F$2:$F$500,0))),"⚠"))</f>
        <v/>
      </c>
      <c r="Y152" t="str">
        <f>IF(BD152="","",IFERROR(IF(INDEX(CODIFICACION!$E$2:$E$500,MATCH("D3.14b|"&amp;BD152,CODIFICACION!$F$2:$F$500,0))="sin dato","",INDEX(CODIFICACION!$E$2:$E$500,MATCH("D3.14b|"&amp;BD152,CODIFICACION!$F$2:$F$500,0))),"⚠"))</f>
        <v/>
      </c>
      <c r="Z152" t="str">
        <f>IF(BE152="","",IFERROR(IF(INDEX(CODIFICACION!$E$2:$E$500,MATCH("D3.14c|"&amp;BE152,CODIFICACION!$F$2:$F$500,0))="sin dato","",INDEX(CODIFICACION!$E$2:$E$500,MATCH("D3.14c|"&amp;BE152,CODIFICACION!$F$2:$F$500,0))),"⚠"))</f>
        <v/>
      </c>
      <c r="AA152" t="str">
        <f>IF(BF152="","",IFERROR(IF(INDEX(CODIFICACION!$E$2:$E$500,MATCH("D3.14d|"&amp;BF152,CODIFICACION!$F$2:$F$500,0))="sin dato","",INDEX(CODIFICACION!$E$2:$E$500,MATCH("D3.14d|"&amp;BF152,CODIFICACION!$F$2:$F$500,0))),"⚠"))</f>
        <v/>
      </c>
      <c r="AB152" t="str">
        <f>IF(BG152="","",IFERROR(IF(INDEX(CODIFICACION!$E$2:$E$500,MATCH("D3.14e|"&amp;BG152,CODIFICACION!$F$2:$F$500,0))="sin dato","",INDEX(CODIFICACION!$E$2:$E$500,MATCH("D3.14e|"&amp;BG152,CODIFICACION!$F$2:$F$500,0))),"⚠"))</f>
        <v/>
      </c>
      <c r="AC152" t="str">
        <f>IF(BH152="","",IFERROR(IF(INDEX(CODIFICACION!$E$2:$E$500,MATCH("D3.14f|"&amp;BH152,CODIFICACION!$F$2:$F$500,0))="sin dato","",INDEX(CODIFICACION!$E$2:$E$500,MATCH("D3.14f|"&amp;BH152,CODIFICACION!$F$2:$F$500,0))),"⚠"))</f>
        <v/>
      </c>
      <c r="AD152" t="str">
        <f>IF(BI152="","",IFERROR(IF(INDEX(CODIFICACION!$E$2:$E$500,MATCH("D3.14g|"&amp;BI152,CODIFICACION!$F$2:$F$500,0))="sin dato","",INDEX(CODIFICACION!$E$2:$E$500,MATCH("D3.14g|"&amp;BI152,CODIFICACION!$F$2:$F$500,0))),"⚠"))</f>
        <v/>
      </c>
      <c r="AE152" t="str">
        <f>IF(BJ152="","",IFERROR(IF(INDEX(CODIFICACION!$E$2:$E$500,MATCH("D3.14h|"&amp;BJ152,CODIFICACION!$F$2:$F$500,0))="sin dato","",INDEX(CODIFICACION!$E$2:$E$500,MATCH("D3.14h|"&amp;BJ152,CODIFICACION!$F$2:$F$500,0))),"⚠"))</f>
        <v/>
      </c>
      <c r="AF152" t="str">
        <f>IF(BK152="","",IFERROR(IF(INDEX(CODIFICACION!$E$2:$E$500,MATCH("D3.14i|"&amp;BK152,CODIFICACION!$F$2:$F$500,0))="sin dato","",INDEX(CODIFICACION!$E$2:$E$500,MATCH("D3.14i|"&amp;BK152,CODIFICACION!$F$2:$F$500,0))),"⚠"))</f>
        <v/>
      </c>
      <c r="AG152" t="str">
        <f>IF(BL152="","",IFERROR(IF(INDEX(CODIFICACION!$E$2:$E$500,MATCH("D4.15|"&amp;BL152,CODIFICACION!$F$2:$F$500,0))="sin dato","",INDEX(CODIFICACION!$E$2:$E$500,MATCH("D4.15|"&amp;BL152,CODIFICACION!$F$2:$F$500,0))),"⚠"))</f>
        <v/>
      </c>
      <c r="AH152" t="str">
        <f t="shared" si="106"/>
        <v/>
      </c>
      <c r="AI152" t="str">
        <f>IF(BN152="","",IFERROR(IF(INDEX(CODIFICACION!$E$2:$E$500,MATCH("D4.17|"&amp;BN152,CODIFICACION!$F$2:$F$500,0))="sin dato","",INDEX(CODIFICACION!$E$2:$E$500,MATCH("D4.17|"&amp;BN152,CODIFICACION!$F$2:$F$500,0))),"⚠"))</f>
        <v/>
      </c>
      <c r="AJ152" t="str">
        <f>IF(BO152="","",IFERROR(IF(INDEX(CODIFICACION!$E$2:$E$500,MATCH("D4.15a|"&amp;BO152,CODIFICACION!$F$2:$F$500,0))="sin dato","",INDEX(CODIFICACION!$E$2:$E$500,MATCH("D4.15a|"&amp;BO152,CODIFICACION!$F$2:$F$500,0))),"⚠"))</f>
        <v/>
      </c>
      <c r="AK152" t="str">
        <f t="shared" si="107"/>
        <v/>
      </c>
      <c r="AL152" t="str">
        <f t="shared" si="108"/>
        <v/>
      </c>
      <c r="AM152" t="str">
        <f>IF(BR152="","",IFERROR(IF(INDEX(CODIFICACION!$E$2:$E$500,MATCH("D5.18b|"&amp;BR152,CODIFICACION!$F$2:$F$500,0))="sin dato","",INDEX(CODIFICACION!$E$2:$E$500,MATCH("D5.18b|"&amp;BR152,CODIFICACION!$F$2:$F$500,0))),"⚠"))</f>
        <v/>
      </c>
      <c r="AN152" t="str">
        <f>IF(BS152="","",IFERROR(IF(INDEX(CODIFICACION!$E$2:$E$500,MATCH("D5.19|"&amp;BS152,CODIFICACION!$F$2:$F$500,0))="sin dato","",INDEX(CODIFICACION!$E$2:$E$500,MATCH("D5.19|"&amp;BS152,CODIFICACION!$F$2:$F$500,0))),"⚠"))</f>
        <v/>
      </c>
      <c r="AO152" t="str">
        <f t="shared" si="109"/>
        <v/>
      </c>
      <c r="AP152" t="str">
        <f>IF(BU152="","",IFERROR(IF(INDEX(CODIFICACION!$E$2:$E$500,MATCH("D5.20|"&amp;BU152,CODIFICACION!$F$2:$F$500,0))="sin dato","",INDEX(CODIFICACION!$E$2:$E$500,MATCH("D5.20|"&amp;BU152,CODIFICACION!$F$2:$F$500,0))),"⚠"))</f>
        <v/>
      </c>
      <c r="AQ152" t="str">
        <f>IF(BV152="","",IFERROR(IF(INDEX(CODIFICACION!$E$2:$E$500,MATCH("D5.21|"&amp;BV152,CODIFICACION!$F$2:$F$500,0))="sin dato","",INDEX(CODIFICACION!$E$2:$E$500,MATCH("D5.21|"&amp;BV152,CODIFICACION!$F$2:$F$500,0))),"⚠"))</f>
        <v/>
      </c>
      <c r="AR152" t="str">
        <f>IF(BW152="","",IFERROR(IF(INDEX(CODIFICACION!$E$2:$E$500,MATCH("D5.21a|"&amp;BW152,CODIFICACION!$F$2:$F$500,0))="sin dato","",INDEX(CODIFICACION!$E$2:$E$500,MATCH("D5.21a|"&amp;BW152,CODIFICACION!$F$2:$F$500,0))),"⚠"))</f>
        <v/>
      </c>
      <c r="AS152" t="str">
        <f>IF(BX152="","",IFERROR(IF(INDEX(CODIFICACION!$E$2:$E$500,MATCH("D5.21b|"&amp;BX152,CODIFICACION!$F$2:$F$500,0))="sin dato","",INDEX(CODIFICACION!$E$2:$E$500,MATCH("D5.21b|"&amp;BX152,CODIFICACION!$F$2:$F$500,0))),"⚠"))</f>
        <v/>
      </c>
      <c r="AT152" t="str">
        <f>IF(BY152="","",IFERROR(IF(INDEX(CODIFICACION!$E$2:$E$500,MATCH("D6.22|"&amp;BY152,CODIFICACION!$F$2:$F$500,0))="sin dato","",INDEX(CODIFICACION!$E$2:$E$500,MATCH("D6.22|"&amp;BY152,CODIFICACION!$F$2:$F$500,0))),"⚠"))</f>
        <v/>
      </c>
      <c r="AU152" t="str">
        <f>IF(BZ152="","",IFERROR(IF(INDEX(CODIFICACION!$E$2:$E$500,MATCH("D6.22a|"&amp;BZ152,CODIFICACION!$F$2:$F$500,0))="sin dato","",INDEX(CODIFICACION!$E$2:$E$500,MATCH("D6.22a|"&amp;BZ152,CODIFICACION!$F$2:$F$500,0))),"⚠"))</f>
        <v/>
      </c>
      <c r="AV152" t="str">
        <f>IF(CA152="","",IFERROR(IF(INDEX(CODIFICACION!$E$2:$E$500,MATCH("D6.22b|"&amp;CA152,CODIFICACION!$F$2:$F$500,0))="sin dato","",INDEX(CODIFICACION!$E$2:$E$500,MATCH("D6.22b|"&amp;CA152,CODIFICACION!$F$2:$F$500,0))),"⚠"))</f>
        <v/>
      </c>
      <c r="AW152" t="str">
        <f>IF(CB152="","",IFERROR(IF(INDEX(CODIFICACION!$E$2:$E$500,MATCH("D6.23|"&amp;CB152,CODIFICACION!$F$2:$F$500,0))="sin dato","",INDEX(CODIFICACION!$E$2:$E$500,MATCH("D6.23|"&amp;CB152,CODIFICACION!$F$2:$F$500,0))),"⚠"))</f>
        <v/>
      </c>
      <c r="AX152" t="str">
        <f ca="1">IF(CC152="","",IFERROR(IF(INDEX(CODIFICACION!$E$2:$E$500,MATCH("D6.24|"&amp;CC152,CODIFICACION!$F$2:$F$500,0))="sin dato","",INDEX(CODIFICACION!$E$2:$E$500,MATCH("D6.24|"&amp;CC152,CODIFICACION!$F$2:$F$500,0))),"⚠"))</f>
        <v/>
      </c>
      <c r="AY152" t="str">
        <f ca="1">IF(CD152="","",IFERROR(IF(INDEX(CODIFICACION!$E$2:$E$500,MATCH("D6.25|"&amp;CD152,CODIFICACION!$F$2:$F$500,0))="sin dato","",INDEX(CODIFICACION!$E$2:$E$500,MATCH("D6.25|"&amp;CD152,CODIFICACION!$F$2:$F$500,0))),"⚠"))</f>
        <v/>
      </c>
      <c r="AZ152" t="str">
        <f>IF(CE152="","",IFERROR(IF(INDEX(CODIFICACION!$E$2:$E$500,MATCH("D6.25a|"&amp;CE152,CODIFICACION!$F$2:$F$500,0))="sin dato","",INDEX(CODIFICACION!$E$2:$E$500,MATCH("D6.25a|"&amp;CE152,CODIFICACION!$F$2:$F$500,0))),"⚠"))</f>
        <v/>
      </c>
      <c r="BA152" t="str">
        <f>IF(CF152="","",IFERROR(IF(INDEX(CODIFICACION!$E$2:$E$500,MATCH("D6.25b|"&amp;CF152,CODIFICACION!$F$2:$F$500,0))="sin dato","",INDEX(CODIFICACION!$E$2:$E$500,MATCH("D6.25b|"&amp;CF152,CODIFICACION!$F$2:$F$500,0))),"⚠"))</f>
        <v/>
      </c>
      <c r="BB152" t="str">
        <f ca="1">IF(CG152="","",IFERROR(IF(INDEX(CODIFICACION!$E$2:$E$500,MATCH("D6.22c|"&amp;CG152,CODIFICACION!$F$2:$F$500,0))="sin dato","",INDEX(CODIFICACION!$E$2:$E$500,MATCH("D6.22c|"&amp;CG152,CODIFICACION!$F$2:$F$500,0))),"⚠"))</f>
        <v/>
      </c>
      <c r="BC152" t="str">
        <f ca="1">IF(CH152="","",IFERROR(IF(INDEX(CODIFICACION!$E$2:$E$500,MATCH("D7.26|"&amp;CH152,CODIFICACION!$F$2:$F$500,0))="sin dato","",INDEX(CODIFICACION!$E$2:$E$500,MATCH("D7.26|"&amp;CH152,CODIFICACION!$F$2:$F$500,0))),"⚠"))</f>
        <v/>
      </c>
      <c r="BD152" t="str">
        <f>IF(CI152="","",IFERROR(IF(INDEX(CODIFICACION!$E$2:$E$500,MATCH("D7.27|"&amp;CI152,CODIFICACION!$F$2:$F$500,0))="sin dato","",INDEX(CODIFICACION!$E$2:$E$500,MATCH("D7.27|"&amp;CI152,CODIFICACION!$F$2:$F$500,0))),"⚠"))</f>
        <v/>
      </c>
      <c r="BE152" t="str">
        <f>IF(CJ152="","",IFERROR(IF(INDEX(CODIFICACION!$E$2:$E$500,MATCH("D7.28|"&amp;CJ152,CODIFICACION!$F$2:$F$500,0))="sin dato","",INDEX(CODIFICACION!$E$2:$E$500,MATCH("D7.28|"&amp;CJ152,CODIFICACION!$F$2:$F$500,0))),"⚠"))</f>
        <v/>
      </c>
      <c r="BF152" t="str">
        <f>IF(CK152="","",IFERROR(IF(INDEX(CODIFICACION!$E$2:$E$500,MATCH("D7.28b|"&amp;CK152,CODIFICACION!$F$2:$F$500,0))="sin dato","",INDEX(CODIFICACION!$E$2:$E$500,MATCH("D7.28b|"&amp;CK152,CODIFICACION!$F$2:$F$500,0))),"⚠"))</f>
        <v/>
      </c>
      <c r="BG152" t="str">
        <f t="shared" si="110"/>
        <v/>
      </c>
      <c r="BH152" t="str">
        <f>IF(CM152="","",IFERROR(IF(INDEX(CODIFICACION!$E$2:$E$500,MATCH("D7.26a|"&amp;CM152,CODIFICACION!$F$2:$F$500,0))="sin dato","",INDEX(CODIFICACION!$E$2:$E$500,MATCH("D7.26a|"&amp;CM152,CODIFICACION!$F$2:$F$500,0))),"⚠"))</f>
        <v/>
      </c>
      <c r="BI152" t="str">
        <f>IF(CN152="","",IFERROR(IF(INDEX(CODIFICACION!$E$2:$E$500,MATCH("D7.26b|"&amp;CN152,CODIFICACION!$F$2:$F$500,0))="sin dato","",INDEX(CODIFICACION!$E$2:$E$500,MATCH("D7.26b|"&amp;CN152,CODIFICACION!$F$2:$F$500,0))),"⚠"))</f>
        <v/>
      </c>
      <c r="BJ152" t="str">
        <f t="shared" si="111"/>
        <v/>
      </c>
      <c r="BK152" t="str">
        <f t="shared" si="112"/>
        <v/>
      </c>
      <c r="BL152" t="str">
        <f>IF(CQ152="","",IFERROR(IF(INDEX(CODIFICACION!$E$2:$E$500,MATCH("D8.31|"&amp;CQ152,CODIFICACION!$F$2:$F$500,0))="sin dato","",INDEX(CODIFICACION!$E$2:$E$500,MATCH("D8.31|"&amp;CQ152,CODIFICACION!$F$2:$F$500,0))),"⚠"))</f>
        <v/>
      </c>
      <c r="BM152" t="str">
        <f>IF(CR152="","",IFERROR(IF(INDEX(CODIFICACION!$E$2:$E$500,MATCH("D8.32|"&amp;CR152,CODIFICACION!$F$2:$F$500,0))="sin dato","",INDEX(CODIFICACION!$E$2:$E$500,MATCH("D8.32|"&amp;CR152,CODIFICACION!$F$2:$F$500,0))),"⚠"))</f>
        <v/>
      </c>
      <c r="BN152" t="str">
        <f>IF(CS152="","",IFERROR(IF(INDEX(CODIFICACION!$E$2:$E$500,MATCH("D9.33|"&amp;CS152,CODIFICACION!$F$2:$F$500,0))="sin dato","",INDEX(CODIFICACION!$E$2:$E$500,MATCH("D9.33|"&amp;CS152,CODIFICACION!$F$2:$F$500,0))),"⚠"))</f>
        <v/>
      </c>
      <c r="BO152" t="str">
        <f>IF(CT152="","",IFERROR(IF(INDEX(CODIFICACION!$E$2:$E$500,MATCH("D9.34|"&amp;CT152,CODIFICACION!$F$2:$F$500,0))="sin dato","",INDEX(CODIFICACION!$E$2:$E$500,MATCH("D9.34|"&amp;CT152,CODIFICACION!$F$2:$F$500,0))),"⚠"))</f>
        <v/>
      </c>
      <c r="BP152" t="str">
        <f>IF(CU152="","",IFERROR(IF(INDEX(CODIFICACION!$E$2:$E$500,MATCH("D9.35|"&amp;CU152,CODIFICACION!$F$2:$F$500,0))="sin dato","",INDEX(CODIFICACION!$E$2:$E$500,MATCH("D9.35|"&amp;CU152,CODIFICACION!$F$2:$F$500,0))),"⚠"))</f>
        <v/>
      </c>
      <c r="BQ152" t="str">
        <f>IF(CV152="","",IFERROR(IF(INDEX(CODIFICACION!$E$2:$E$500,MATCH("D10.36|"&amp;CV152,CODIFICACION!$F$2:$F$500,0))="sin dato","",INDEX(CODIFICACION!$E$2:$E$500,MATCH("D10.36|"&amp;CV152,CODIFICACION!$F$2:$F$500,0))),"⚠"))</f>
        <v/>
      </c>
      <c r="BR152" t="str">
        <f>IF(CW152="","",IFERROR(IF(INDEX(CODIFICACION!$E$2:$E$500,MATCH("D10.37|"&amp;CW152,CODIFICACION!$F$2:$F$500,0))="sin dato","",INDEX(CODIFICACION!$E$2:$E$500,MATCH("D10.37|"&amp;CW152,CODIFICACION!$F$2:$F$500,0))),"⚠"))</f>
        <v/>
      </c>
      <c r="BS152" t="str">
        <f>IF(CX152="","",IFERROR(IF(INDEX(CODIFICACION!$E$2:$E$500,MATCH("D10.36a|"&amp;CX152,CODIFICACION!$F$2:$F$500,0))="sin dato","",INDEX(CODIFICACION!$E$2:$E$500,MATCH("D10.36a|"&amp;CX152,CODIFICACION!$F$2:$F$500,0))),"⚠"))</f>
        <v/>
      </c>
      <c r="BT152" t="str">
        <f t="shared" si="113"/>
        <v/>
      </c>
      <c r="BU152" t="str">
        <f>IF(DA152="","",IFERROR(IF(INDEX(CODIFICACION!$E$2:$E$500,MATCH("D11.39a|"&amp;DA152,CODIFICACION!$F$2:$F$500,0))="sin dato","",INDEX(CODIFICACION!$E$2:$E$500,MATCH("D11.39a|"&amp;DA152,CODIFICACION!$F$2:$F$500,0))),"⚠"))</f>
        <v/>
      </c>
      <c r="BV152" t="str">
        <f>IF(DB152="","",IFERROR(IF(INDEX(CODIFICACION!$E$2:$E$500,MATCH("D12.42|"&amp;DB152,CODIFICACION!$F$2:$F$500,0))="sin dato","",INDEX(CODIFICACION!$E$2:$E$500,MATCH("D12.42|"&amp;DB152,CODIFICACION!$F$2:$F$500,0))),"⚠"))</f>
        <v/>
      </c>
      <c r="BW152" t="str">
        <f>IF(DC152="","",IFERROR(IF(INDEX(CODIFICACION!$E$2:$E$500,MATCH("D13.45|"&amp;DC152,CODIFICACION!$F$2:$F$500,0))="sin dato","",INDEX(CODIFICACION!$E$2:$E$500,MATCH("D13.45|"&amp;DC152,CODIFICACION!$F$2:$F$500,0))),"⚠"))</f>
        <v/>
      </c>
      <c r="BX152" t="str">
        <f>IF(DD152="","",IFERROR(IF(INDEX(CODIFICACION!$E$2:$E$500,MATCH("D14.51|"&amp;DD152,CODIFICACION!$F$2:$F$500,0))="sin dato","",INDEX(CODIFICACION!$E$2:$E$500,MATCH("D14.51|"&amp;DD152,CODIFICACION!$F$2:$F$500,0))),"⚠"))</f>
        <v/>
      </c>
      <c r="BY152" t="str">
        <f>IF(DE152="","",IFERROR(IF(INDEX(CODIFICACION!$E$2:$E$500,MATCH("D15.58|"&amp;DE152,CODIFICACION!$F$2:$F$500,0))="sin dato","",INDEX(CODIFICACION!$E$2:$E$500,MATCH("D15.58|"&amp;DE152,CODIFICACION!$F$2:$F$500,0))),"⚠"))</f>
        <v/>
      </c>
      <c r="BZ152" t="str">
        <f>IF(DF152="","",IFERROR(IF(INDEX(CODIFICACION!$E$2:$E$500,MATCH("PP1|"&amp;DF152,CODIFICACION!$F$2:$F$500,0))="sin dato","",INDEX(CODIFICACION!$E$2:$E$500,MATCH("PP1|"&amp;DF152,CODIFICACION!$F$2:$F$500,0))),"⚠"))</f>
        <v/>
      </c>
      <c r="CA152" t="str">
        <f>IF(DG152="","",IFERROR(IF(INDEX(CODIFICACION!$E$2:$E$500,MATCH("PP2|"&amp;DG152,CODIFICACION!$F$2:$F$500,0))="sin dato","",INDEX(CODIFICACION!$E$2:$E$500,MATCH("PP2|"&amp;DG152,CODIFICACION!$F$2:$F$500,0))),"⚠"))</f>
        <v/>
      </c>
      <c r="CB152" t="str">
        <f t="shared" si="114"/>
        <v/>
      </c>
      <c r="CC152" t="str">
        <f t="shared" ca="1" si="115"/>
        <v/>
      </c>
      <c r="CD152" t="str">
        <f t="shared" ca="1" si="116"/>
        <v/>
      </c>
      <c r="CE152" t="str">
        <f t="shared" si="117"/>
        <v/>
      </c>
      <c r="CF152" t="str">
        <f t="shared" si="118"/>
        <v/>
      </c>
      <c r="CG152" t="str">
        <f t="shared" ca="1" si="119"/>
        <v/>
      </c>
      <c r="CH152" t="str">
        <f t="shared" ca="1" si="120"/>
        <v/>
      </c>
      <c r="CI152" t="str">
        <f t="shared" si="121"/>
        <v/>
      </c>
      <c r="CJ152" t="str">
        <f t="shared" si="122"/>
        <v/>
      </c>
      <c r="CK152" t="str">
        <f t="shared" si="123"/>
        <v/>
      </c>
      <c r="CL152" t="str">
        <f t="shared" si="124"/>
        <v/>
      </c>
    </row>
    <row r="153" spans="1:90" x14ac:dyDescent="0.3">
      <c r="A153">
        <f>CAPTURA!A153</f>
        <v>20605228489</v>
      </c>
      <c r="B153">
        <f>CAPTURA!C153</f>
        <v>0</v>
      </c>
      <c r="C153" t="str">
        <f t="shared" si="100"/>
        <v/>
      </c>
      <c r="D153" t="str">
        <f>IF(AE153="","",IFERROR(IF(INDEX(CODIFICACION!$E$2:$E$500,MATCH("P8|"&amp;AE153,CODIFICACION!$F$2:$F$500,0))="sin dato","",INDEX(CODIFICACION!$E$2:$E$500,MATCH("P8|"&amp;AE153,CODIFICACION!$F$2:$F$500,0))),"⚠"))</f>
        <v/>
      </c>
      <c r="E153" t="str">
        <f>IF(AG153="","",IFERROR(IF(INDEX(CODIFICACION!$E$2:$E$500,MATCH("P10|"&amp;AG153,CODIFICACION!$F$2:$F$500,0))="sin dato","",INDEX(CODIFICACION!$E$2:$E$500,MATCH("P10|"&amp;AG153,CODIFICACION!$F$2:$F$500,0))),"⚠"))</f>
        <v/>
      </c>
      <c r="F153" t="str">
        <f>IF(AJ153="","",IFERROR(IF(INDEX(CODIFICACION!$E$2:$E$500,MATCH("P13|"&amp;AJ153,CODIFICACION!$F$2:$F$500,0))="sin dato","",INDEX(CODIFICACION!$E$2:$E$500,MATCH("P13|"&amp;AJ153,CODIFICACION!$F$2:$F$500,0))),"⚠"))</f>
        <v/>
      </c>
      <c r="G153" t="str">
        <f>IF(AK153="","",IFERROR(IF(INDEX(CODIFICACION!$E$2:$E$500,MATCH("P14|"&amp;AK153,CODIFICACION!$F$2:$F$500,0))="sin dato","",INDEX(CODIFICACION!$E$2:$E$500,MATCH("P14|"&amp;AK153,CODIFICACION!$F$2:$F$500,0))),"⚠"))</f>
        <v/>
      </c>
      <c r="H153" t="str">
        <f>IF(AL153="","",IFERROR(IF(INDEX(CODIFICACION!$E$2:$E$500,MATCH("D1.1|"&amp;AL153,CODIFICACION!$F$2:$F$500,0))="sin dato","",INDEX(CODIFICACION!$E$2:$E$500,MATCH("D1.1|"&amp;AL153,CODIFICACION!$F$2:$F$500,0))),"⚠"))</f>
        <v/>
      </c>
      <c r="I153" t="str">
        <f>IF(AN153="","",IFERROR(IF(INDEX(CODIFICACION!$E$2:$E$500,MATCH("D1.3|"&amp;AN153,CODIFICACION!$F$2:$F$500,0))="sin dato","",INDEX(CODIFICACION!$E$2:$E$500,MATCH("D1.3|"&amp;AN153,CODIFICACION!$F$2:$F$500,0))),"⚠"))</f>
        <v/>
      </c>
      <c r="J153" t="str">
        <f>IF(AO153="","",IFERROR(IF(INDEX(CODIFICACION!$E$2:$E$500,MATCH("D1.4|"&amp;AO153,CODIFICACION!$F$2:$F$500,0))="sin dato","",INDEX(CODIFICACION!$E$2:$E$500,MATCH("D1.4|"&amp;AO153,CODIFICACION!$F$2:$F$500,0))),"⚠"))</f>
        <v/>
      </c>
      <c r="K153" t="str">
        <f>IF(AP153="","",IFERROR(IF(INDEX(CODIFICACION!$E$2:$E$500,MATCH("D1.3a|"&amp;AP153,CODIFICACION!$F$2:$F$500,0))="sin dato","",INDEX(CODIFICACION!$E$2:$E$500,MATCH("D1.3a|"&amp;AP153,CODIFICACION!$F$2:$F$500,0))),"⚠"))</f>
        <v/>
      </c>
      <c r="L153" t="str">
        <f t="shared" si="101"/>
        <v/>
      </c>
      <c r="M153" t="str">
        <f t="shared" si="102"/>
        <v/>
      </c>
      <c r="N153" t="str">
        <f t="shared" si="103"/>
        <v/>
      </c>
      <c r="O153" t="str">
        <f>IF(AT153="","",IFERROR(IF(INDEX(CODIFICACION!$E$2:$E$500,MATCH("D2.8|"&amp;AT153,CODIFICACION!$F$2:$F$500,0))="sin dato","",INDEX(CODIFICACION!$E$2:$E$500,MATCH("D2.8|"&amp;AT153,CODIFICACION!$F$2:$F$500,0))),"⚠"))</f>
        <v/>
      </c>
      <c r="P153" t="str">
        <f>IF(AU153="","",IFERROR(IF(INDEX(CODIFICACION!$E$2:$E$500,MATCH("D2.9|"&amp;AU153,CODIFICACION!$F$2:$F$500,0))="sin dato","",INDEX(CODIFICACION!$E$2:$E$500,MATCH("D2.9|"&amp;AU153,CODIFICACION!$F$2:$F$500,0))),"⚠"))</f>
        <v/>
      </c>
      <c r="Q153" t="str">
        <f>IF(AV153="","",IFERROR(IF(INDEX(CODIFICACION!$E$2:$E$500,MATCH("D2.10|"&amp;AV153,CODIFICACION!$F$2:$F$500,0))="sin dato","",INDEX(CODIFICACION!$E$2:$E$500,MATCH("D2.10|"&amp;AV153,CODIFICACION!$F$2:$F$500,0))),"⚠"))</f>
        <v/>
      </c>
      <c r="R153" t="str">
        <f>IF(AW153="","",IFERROR(IF(INDEX(CODIFICACION!$E$2:$E$500,MATCH("D2.5a|"&amp;AW153,CODIFICACION!$F$2:$F$500,0))="sin dato","",INDEX(CODIFICACION!$E$2:$E$500,MATCH("D2.5a|"&amp;AW153,CODIFICACION!$F$2:$F$500,0))),"⚠"))</f>
        <v/>
      </c>
      <c r="S153" t="str">
        <f ca="1">IF(AX153="","",IFERROR(IF(INDEX(CODIFICACION!$E$2:$E$500,MATCH("D2.5b|"&amp;AX153,CODIFICACION!$F$2:$F$500,0))="sin dato","",INDEX(CODIFICACION!$E$2:$E$500,MATCH("D2.5b|"&amp;AX153,CODIFICACION!$F$2:$F$500,0))),"⚠"))</f>
        <v/>
      </c>
      <c r="T153" t="str">
        <f t="shared" ca="1" si="104"/>
        <v/>
      </c>
      <c r="U153" t="str">
        <f>IF(AZ153="","",IFERROR(IF(INDEX(CODIFICACION!$E$2:$E$500,MATCH("D3.12|"&amp;AZ153,CODIFICACION!$F$2:$F$500,0))="sin dato","",INDEX(CODIFICACION!$E$2:$E$500,MATCH("D3.12|"&amp;AZ153,CODIFICACION!$F$2:$F$500,0))),"⚠"))</f>
        <v/>
      </c>
      <c r="V153" t="str">
        <f t="shared" si="105"/>
        <v/>
      </c>
      <c r="W153" t="str">
        <f ca="1">IF(BB153="","",IFERROR(IF(INDEX(CODIFICACION!$E$2:$E$500,MATCH("D3.14|"&amp;BB153,CODIFICACION!$F$2:$F$500,0))="sin dato","",INDEX(CODIFICACION!$E$2:$E$500,MATCH("D3.14|"&amp;BB153,CODIFICACION!$F$2:$F$500,0))),"⚠"))</f>
        <v/>
      </c>
      <c r="X153" t="str">
        <f ca="1">IF(BC153="","",IFERROR(IF(INDEX(CODIFICACION!$E$2:$E$500,MATCH("D3.14a|"&amp;BC153,CODIFICACION!$F$2:$F$500,0))="sin dato","",INDEX(CODIFICACION!$E$2:$E$500,MATCH("D3.14a|"&amp;BC153,CODIFICACION!$F$2:$F$500,0))),"⚠"))</f>
        <v/>
      </c>
      <c r="Y153" t="str">
        <f>IF(BD153="","",IFERROR(IF(INDEX(CODIFICACION!$E$2:$E$500,MATCH("D3.14b|"&amp;BD153,CODIFICACION!$F$2:$F$500,0))="sin dato","",INDEX(CODIFICACION!$E$2:$E$500,MATCH("D3.14b|"&amp;BD153,CODIFICACION!$F$2:$F$500,0))),"⚠"))</f>
        <v/>
      </c>
      <c r="Z153" t="str">
        <f>IF(BE153="","",IFERROR(IF(INDEX(CODIFICACION!$E$2:$E$500,MATCH("D3.14c|"&amp;BE153,CODIFICACION!$F$2:$F$500,0))="sin dato","",INDEX(CODIFICACION!$E$2:$E$500,MATCH("D3.14c|"&amp;BE153,CODIFICACION!$F$2:$F$500,0))),"⚠"))</f>
        <v/>
      </c>
      <c r="AA153" t="str">
        <f>IF(BF153="","",IFERROR(IF(INDEX(CODIFICACION!$E$2:$E$500,MATCH("D3.14d|"&amp;BF153,CODIFICACION!$F$2:$F$500,0))="sin dato","",INDEX(CODIFICACION!$E$2:$E$500,MATCH("D3.14d|"&amp;BF153,CODIFICACION!$F$2:$F$500,0))),"⚠"))</f>
        <v/>
      </c>
      <c r="AB153" t="str">
        <f>IF(BG153="","",IFERROR(IF(INDEX(CODIFICACION!$E$2:$E$500,MATCH("D3.14e|"&amp;BG153,CODIFICACION!$F$2:$F$500,0))="sin dato","",INDEX(CODIFICACION!$E$2:$E$500,MATCH("D3.14e|"&amp;BG153,CODIFICACION!$F$2:$F$500,0))),"⚠"))</f>
        <v/>
      </c>
      <c r="AC153" t="str">
        <f>IF(BH153="","",IFERROR(IF(INDEX(CODIFICACION!$E$2:$E$500,MATCH("D3.14f|"&amp;BH153,CODIFICACION!$F$2:$F$500,0))="sin dato","",INDEX(CODIFICACION!$E$2:$E$500,MATCH("D3.14f|"&amp;BH153,CODIFICACION!$F$2:$F$500,0))),"⚠"))</f>
        <v/>
      </c>
      <c r="AD153" t="str">
        <f>IF(BI153="","",IFERROR(IF(INDEX(CODIFICACION!$E$2:$E$500,MATCH("D3.14g|"&amp;BI153,CODIFICACION!$F$2:$F$500,0))="sin dato","",INDEX(CODIFICACION!$E$2:$E$500,MATCH("D3.14g|"&amp;BI153,CODIFICACION!$F$2:$F$500,0))),"⚠"))</f>
        <v/>
      </c>
      <c r="AE153" t="str">
        <f>IF(BJ153="","",IFERROR(IF(INDEX(CODIFICACION!$E$2:$E$500,MATCH("D3.14h|"&amp;BJ153,CODIFICACION!$F$2:$F$500,0))="sin dato","",INDEX(CODIFICACION!$E$2:$E$500,MATCH("D3.14h|"&amp;BJ153,CODIFICACION!$F$2:$F$500,0))),"⚠"))</f>
        <v/>
      </c>
      <c r="AF153" t="str">
        <f>IF(BK153="","",IFERROR(IF(INDEX(CODIFICACION!$E$2:$E$500,MATCH("D3.14i|"&amp;BK153,CODIFICACION!$F$2:$F$500,0))="sin dato","",INDEX(CODIFICACION!$E$2:$E$500,MATCH("D3.14i|"&amp;BK153,CODIFICACION!$F$2:$F$500,0))),"⚠"))</f>
        <v/>
      </c>
      <c r="AG153" t="str">
        <f>IF(BL153="","",IFERROR(IF(INDEX(CODIFICACION!$E$2:$E$500,MATCH("D4.15|"&amp;BL153,CODIFICACION!$F$2:$F$500,0))="sin dato","",INDEX(CODIFICACION!$E$2:$E$500,MATCH("D4.15|"&amp;BL153,CODIFICACION!$F$2:$F$500,0))),"⚠"))</f>
        <v/>
      </c>
      <c r="AH153" t="str">
        <f t="shared" si="106"/>
        <v/>
      </c>
      <c r="AI153" t="str">
        <f>IF(BN153="","",IFERROR(IF(INDEX(CODIFICACION!$E$2:$E$500,MATCH("D4.17|"&amp;BN153,CODIFICACION!$F$2:$F$500,0))="sin dato","",INDEX(CODIFICACION!$E$2:$E$500,MATCH("D4.17|"&amp;BN153,CODIFICACION!$F$2:$F$500,0))),"⚠"))</f>
        <v/>
      </c>
      <c r="AJ153" t="str">
        <f>IF(BO153="","",IFERROR(IF(INDEX(CODIFICACION!$E$2:$E$500,MATCH("D4.15a|"&amp;BO153,CODIFICACION!$F$2:$F$500,0))="sin dato","",INDEX(CODIFICACION!$E$2:$E$500,MATCH("D4.15a|"&amp;BO153,CODIFICACION!$F$2:$F$500,0))),"⚠"))</f>
        <v/>
      </c>
      <c r="AK153" t="str">
        <f t="shared" si="107"/>
        <v/>
      </c>
      <c r="AL153" t="str">
        <f t="shared" si="108"/>
        <v/>
      </c>
      <c r="AM153" t="str">
        <f>IF(BR153="","",IFERROR(IF(INDEX(CODIFICACION!$E$2:$E$500,MATCH("D5.18b|"&amp;BR153,CODIFICACION!$F$2:$F$500,0))="sin dato","",INDEX(CODIFICACION!$E$2:$E$500,MATCH("D5.18b|"&amp;BR153,CODIFICACION!$F$2:$F$500,0))),"⚠"))</f>
        <v/>
      </c>
      <c r="AN153" t="str">
        <f>IF(BS153="","",IFERROR(IF(INDEX(CODIFICACION!$E$2:$E$500,MATCH("D5.19|"&amp;BS153,CODIFICACION!$F$2:$F$500,0))="sin dato","",INDEX(CODIFICACION!$E$2:$E$500,MATCH("D5.19|"&amp;BS153,CODIFICACION!$F$2:$F$500,0))),"⚠"))</f>
        <v/>
      </c>
      <c r="AO153" t="str">
        <f t="shared" si="109"/>
        <v/>
      </c>
      <c r="AP153" t="str">
        <f>IF(BU153="","",IFERROR(IF(INDEX(CODIFICACION!$E$2:$E$500,MATCH("D5.20|"&amp;BU153,CODIFICACION!$F$2:$F$500,0))="sin dato","",INDEX(CODIFICACION!$E$2:$E$500,MATCH("D5.20|"&amp;BU153,CODIFICACION!$F$2:$F$500,0))),"⚠"))</f>
        <v/>
      </c>
      <c r="AQ153" t="str">
        <f>IF(BV153="","",IFERROR(IF(INDEX(CODIFICACION!$E$2:$E$500,MATCH("D5.21|"&amp;BV153,CODIFICACION!$F$2:$F$500,0))="sin dato","",INDEX(CODIFICACION!$E$2:$E$500,MATCH("D5.21|"&amp;BV153,CODIFICACION!$F$2:$F$500,0))),"⚠"))</f>
        <v/>
      </c>
      <c r="AR153" t="str">
        <f>IF(BW153="","",IFERROR(IF(INDEX(CODIFICACION!$E$2:$E$500,MATCH("D5.21a|"&amp;BW153,CODIFICACION!$F$2:$F$500,0))="sin dato","",INDEX(CODIFICACION!$E$2:$E$500,MATCH("D5.21a|"&amp;BW153,CODIFICACION!$F$2:$F$500,0))),"⚠"))</f>
        <v/>
      </c>
      <c r="AS153" t="str">
        <f>IF(BX153="","",IFERROR(IF(INDEX(CODIFICACION!$E$2:$E$500,MATCH("D5.21b|"&amp;BX153,CODIFICACION!$F$2:$F$500,0))="sin dato","",INDEX(CODIFICACION!$E$2:$E$500,MATCH("D5.21b|"&amp;BX153,CODIFICACION!$F$2:$F$500,0))),"⚠"))</f>
        <v/>
      </c>
      <c r="AT153" t="str">
        <f>IF(BY153="","",IFERROR(IF(INDEX(CODIFICACION!$E$2:$E$500,MATCH("D6.22|"&amp;BY153,CODIFICACION!$F$2:$F$500,0))="sin dato","",INDEX(CODIFICACION!$E$2:$E$500,MATCH("D6.22|"&amp;BY153,CODIFICACION!$F$2:$F$500,0))),"⚠"))</f>
        <v/>
      </c>
      <c r="AU153" t="str">
        <f>IF(BZ153="","",IFERROR(IF(INDEX(CODIFICACION!$E$2:$E$500,MATCH("D6.22a|"&amp;BZ153,CODIFICACION!$F$2:$F$500,0))="sin dato","",INDEX(CODIFICACION!$E$2:$E$500,MATCH("D6.22a|"&amp;BZ153,CODIFICACION!$F$2:$F$500,0))),"⚠"))</f>
        <v/>
      </c>
      <c r="AV153" t="str">
        <f>IF(CA153="","",IFERROR(IF(INDEX(CODIFICACION!$E$2:$E$500,MATCH("D6.22b|"&amp;CA153,CODIFICACION!$F$2:$F$500,0))="sin dato","",INDEX(CODIFICACION!$E$2:$E$500,MATCH("D6.22b|"&amp;CA153,CODIFICACION!$F$2:$F$500,0))),"⚠"))</f>
        <v/>
      </c>
      <c r="AW153" t="str">
        <f>IF(CB153="","",IFERROR(IF(INDEX(CODIFICACION!$E$2:$E$500,MATCH("D6.23|"&amp;CB153,CODIFICACION!$F$2:$F$500,0))="sin dato","",INDEX(CODIFICACION!$E$2:$E$500,MATCH("D6.23|"&amp;CB153,CODIFICACION!$F$2:$F$500,0))),"⚠"))</f>
        <v/>
      </c>
      <c r="AX153" t="str">
        <f ca="1">IF(CC153="","",IFERROR(IF(INDEX(CODIFICACION!$E$2:$E$500,MATCH("D6.24|"&amp;CC153,CODIFICACION!$F$2:$F$500,0))="sin dato","",INDEX(CODIFICACION!$E$2:$E$500,MATCH("D6.24|"&amp;CC153,CODIFICACION!$F$2:$F$500,0))),"⚠"))</f>
        <v/>
      </c>
      <c r="AY153" t="str">
        <f ca="1">IF(CD153="","",IFERROR(IF(INDEX(CODIFICACION!$E$2:$E$500,MATCH("D6.25|"&amp;CD153,CODIFICACION!$F$2:$F$500,0))="sin dato","",INDEX(CODIFICACION!$E$2:$E$500,MATCH("D6.25|"&amp;CD153,CODIFICACION!$F$2:$F$500,0))),"⚠"))</f>
        <v/>
      </c>
      <c r="AZ153" t="str">
        <f>IF(CE153="","",IFERROR(IF(INDEX(CODIFICACION!$E$2:$E$500,MATCH("D6.25a|"&amp;CE153,CODIFICACION!$F$2:$F$500,0))="sin dato","",INDEX(CODIFICACION!$E$2:$E$500,MATCH("D6.25a|"&amp;CE153,CODIFICACION!$F$2:$F$500,0))),"⚠"))</f>
        <v/>
      </c>
      <c r="BA153" t="str">
        <f>IF(CF153="","",IFERROR(IF(INDEX(CODIFICACION!$E$2:$E$500,MATCH("D6.25b|"&amp;CF153,CODIFICACION!$F$2:$F$500,0))="sin dato","",INDEX(CODIFICACION!$E$2:$E$500,MATCH("D6.25b|"&amp;CF153,CODIFICACION!$F$2:$F$500,0))),"⚠"))</f>
        <v/>
      </c>
      <c r="BB153" t="str">
        <f ca="1">IF(CG153="","",IFERROR(IF(INDEX(CODIFICACION!$E$2:$E$500,MATCH("D6.22c|"&amp;CG153,CODIFICACION!$F$2:$F$500,0))="sin dato","",INDEX(CODIFICACION!$E$2:$E$500,MATCH("D6.22c|"&amp;CG153,CODIFICACION!$F$2:$F$500,0))),"⚠"))</f>
        <v/>
      </c>
      <c r="BC153" t="str">
        <f ca="1">IF(CH153="","",IFERROR(IF(INDEX(CODIFICACION!$E$2:$E$500,MATCH("D7.26|"&amp;CH153,CODIFICACION!$F$2:$F$500,0))="sin dato","",INDEX(CODIFICACION!$E$2:$E$500,MATCH("D7.26|"&amp;CH153,CODIFICACION!$F$2:$F$500,0))),"⚠"))</f>
        <v/>
      </c>
      <c r="BD153" t="str">
        <f>IF(CI153="","",IFERROR(IF(INDEX(CODIFICACION!$E$2:$E$500,MATCH("D7.27|"&amp;CI153,CODIFICACION!$F$2:$F$500,0))="sin dato","",INDEX(CODIFICACION!$E$2:$E$500,MATCH("D7.27|"&amp;CI153,CODIFICACION!$F$2:$F$500,0))),"⚠"))</f>
        <v/>
      </c>
      <c r="BE153" t="str">
        <f>IF(CJ153="","",IFERROR(IF(INDEX(CODIFICACION!$E$2:$E$500,MATCH("D7.28|"&amp;CJ153,CODIFICACION!$F$2:$F$500,0))="sin dato","",INDEX(CODIFICACION!$E$2:$E$500,MATCH("D7.28|"&amp;CJ153,CODIFICACION!$F$2:$F$500,0))),"⚠"))</f>
        <v/>
      </c>
      <c r="BF153" t="str">
        <f>IF(CK153="","",IFERROR(IF(INDEX(CODIFICACION!$E$2:$E$500,MATCH("D7.28b|"&amp;CK153,CODIFICACION!$F$2:$F$500,0))="sin dato","",INDEX(CODIFICACION!$E$2:$E$500,MATCH("D7.28b|"&amp;CK153,CODIFICACION!$F$2:$F$500,0))),"⚠"))</f>
        <v/>
      </c>
      <c r="BG153" t="str">
        <f t="shared" si="110"/>
        <v/>
      </c>
      <c r="BH153" t="str">
        <f>IF(CM153="","",IFERROR(IF(INDEX(CODIFICACION!$E$2:$E$500,MATCH("D7.26a|"&amp;CM153,CODIFICACION!$F$2:$F$500,0))="sin dato","",INDEX(CODIFICACION!$E$2:$E$500,MATCH("D7.26a|"&amp;CM153,CODIFICACION!$F$2:$F$500,0))),"⚠"))</f>
        <v/>
      </c>
      <c r="BI153" t="str">
        <f>IF(CN153="","",IFERROR(IF(INDEX(CODIFICACION!$E$2:$E$500,MATCH("D7.26b|"&amp;CN153,CODIFICACION!$F$2:$F$500,0))="sin dato","",INDEX(CODIFICACION!$E$2:$E$500,MATCH("D7.26b|"&amp;CN153,CODIFICACION!$F$2:$F$500,0))),"⚠"))</f>
        <v/>
      </c>
      <c r="BJ153" t="str">
        <f t="shared" si="111"/>
        <v/>
      </c>
      <c r="BK153" t="str">
        <f t="shared" si="112"/>
        <v/>
      </c>
      <c r="BL153" t="str">
        <f>IF(CQ153="","",IFERROR(IF(INDEX(CODIFICACION!$E$2:$E$500,MATCH("D8.31|"&amp;CQ153,CODIFICACION!$F$2:$F$500,0))="sin dato","",INDEX(CODIFICACION!$E$2:$E$500,MATCH("D8.31|"&amp;CQ153,CODIFICACION!$F$2:$F$500,0))),"⚠"))</f>
        <v/>
      </c>
      <c r="BM153" t="str">
        <f>IF(CR153="","",IFERROR(IF(INDEX(CODIFICACION!$E$2:$E$500,MATCH("D8.32|"&amp;CR153,CODIFICACION!$F$2:$F$500,0))="sin dato","",INDEX(CODIFICACION!$E$2:$E$500,MATCH("D8.32|"&amp;CR153,CODIFICACION!$F$2:$F$500,0))),"⚠"))</f>
        <v/>
      </c>
      <c r="BN153" t="str">
        <f>IF(CS153="","",IFERROR(IF(INDEX(CODIFICACION!$E$2:$E$500,MATCH("D9.33|"&amp;CS153,CODIFICACION!$F$2:$F$500,0))="sin dato","",INDEX(CODIFICACION!$E$2:$E$500,MATCH("D9.33|"&amp;CS153,CODIFICACION!$F$2:$F$500,0))),"⚠"))</f>
        <v/>
      </c>
      <c r="BO153" t="str">
        <f>IF(CT153="","",IFERROR(IF(INDEX(CODIFICACION!$E$2:$E$500,MATCH("D9.34|"&amp;CT153,CODIFICACION!$F$2:$F$500,0))="sin dato","",INDEX(CODIFICACION!$E$2:$E$500,MATCH("D9.34|"&amp;CT153,CODIFICACION!$F$2:$F$500,0))),"⚠"))</f>
        <v/>
      </c>
      <c r="BP153" t="str">
        <f>IF(CU153="","",IFERROR(IF(INDEX(CODIFICACION!$E$2:$E$500,MATCH("D9.35|"&amp;CU153,CODIFICACION!$F$2:$F$500,0))="sin dato","",INDEX(CODIFICACION!$E$2:$E$500,MATCH("D9.35|"&amp;CU153,CODIFICACION!$F$2:$F$500,0))),"⚠"))</f>
        <v/>
      </c>
      <c r="BQ153" t="str">
        <f>IF(CV153="","",IFERROR(IF(INDEX(CODIFICACION!$E$2:$E$500,MATCH("D10.36|"&amp;CV153,CODIFICACION!$F$2:$F$500,0))="sin dato","",INDEX(CODIFICACION!$E$2:$E$500,MATCH("D10.36|"&amp;CV153,CODIFICACION!$F$2:$F$500,0))),"⚠"))</f>
        <v/>
      </c>
      <c r="BR153" t="str">
        <f>IF(CW153="","",IFERROR(IF(INDEX(CODIFICACION!$E$2:$E$500,MATCH("D10.37|"&amp;CW153,CODIFICACION!$F$2:$F$500,0))="sin dato","",INDEX(CODIFICACION!$E$2:$E$500,MATCH("D10.37|"&amp;CW153,CODIFICACION!$F$2:$F$500,0))),"⚠"))</f>
        <v/>
      </c>
      <c r="BS153" t="str">
        <f>IF(CX153="","",IFERROR(IF(INDEX(CODIFICACION!$E$2:$E$500,MATCH("D10.36a|"&amp;CX153,CODIFICACION!$F$2:$F$500,0))="sin dato","",INDEX(CODIFICACION!$E$2:$E$500,MATCH("D10.36a|"&amp;CX153,CODIFICACION!$F$2:$F$500,0))),"⚠"))</f>
        <v/>
      </c>
      <c r="BT153" t="str">
        <f t="shared" si="113"/>
        <v/>
      </c>
      <c r="BU153" t="str">
        <f>IF(DA153="","",IFERROR(IF(INDEX(CODIFICACION!$E$2:$E$500,MATCH("D11.39a|"&amp;DA153,CODIFICACION!$F$2:$F$500,0))="sin dato","",INDEX(CODIFICACION!$E$2:$E$500,MATCH("D11.39a|"&amp;DA153,CODIFICACION!$F$2:$F$500,0))),"⚠"))</f>
        <v/>
      </c>
      <c r="BV153" t="str">
        <f>IF(DB153="","",IFERROR(IF(INDEX(CODIFICACION!$E$2:$E$500,MATCH("D12.42|"&amp;DB153,CODIFICACION!$F$2:$F$500,0))="sin dato","",INDEX(CODIFICACION!$E$2:$E$500,MATCH("D12.42|"&amp;DB153,CODIFICACION!$F$2:$F$500,0))),"⚠"))</f>
        <v/>
      </c>
      <c r="BW153" t="str">
        <f>IF(DC153="","",IFERROR(IF(INDEX(CODIFICACION!$E$2:$E$500,MATCH("D13.45|"&amp;DC153,CODIFICACION!$F$2:$F$500,0))="sin dato","",INDEX(CODIFICACION!$E$2:$E$500,MATCH("D13.45|"&amp;DC153,CODIFICACION!$F$2:$F$500,0))),"⚠"))</f>
        <v/>
      </c>
      <c r="BX153" t="str">
        <f>IF(DD153="","",IFERROR(IF(INDEX(CODIFICACION!$E$2:$E$500,MATCH("D14.51|"&amp;DD153,CODIFICACION!$F$2:$F$500,0))="sin dato","",INDEX(CODIFICACION!$E$2:$E$500,MATCH("D14.51|"&amp;DD153,CODIFICACION!$F$2:$F$500,0))),"⚠"))</f>
        <v/>
      </c>
      <c r="BY153" t="str">
        <f>IF(DE153="","",IFERROR(IF(INDEX(CODIFICACION!$E$2:$E$500,MATCH("D15.58|"&amp;DE153,CODIFICACION!$F$2:$F$500,0))="sin dato","",INDEX(CODIFICACION!$E$2:$E$500,MATCH("D15.58|"&amp;DE153,CODIFICACION!$F$2:$F$500,0))),"⚠"))</f>
        <v/>
      </c>
      <c r="BZ153" t="str">
        <f>IF(DF153="","",IFERROR(IF(INDEX(CODIFICACION!$E$2:$E$500,MATCH("PP1|"&amp;DF153,CODIFICACION!$F$2:$F$500,0))="sin dato","",INDEX(CODIFICACION!$E$2:$E$500,MATCH("PP1|"&amp;DF153,CODIFICACION!$F$2:$F$500,0))),"⚠"))</f>
        <v/>
      </c>
      <c r="CA153" t="str">
        <f>IF(DG153="","",IFERROR(IF(INDEX(CODIFICACION!$E$2:$E$500,MATCH("PP2|"&amp;DG153,CODIFICACION!$F$2:$F$500,0))="sin dato","",INDEX(CODIFICACION!$E$2:$E$500,MATCH("PP2|"&amp;DG153,CODIFICACION!$F$2:$F$500,0))),"⚠"))</f>
        <v/>
      </c>
      <c r="CB153" t="str">
        <f t="shared" si="114"/>
        <v/>
      </c>
      <c r="CC153" t="str">
        <f t="shared" ca="1" si="115"/>
        <v/>
      </c>
      <c r="CD153" t="str">
        <f t="shared" ca="1" si="116"/>
        <v/>
      </c>
      <c r="CE153" t="str">
        <f t="shared" si="117"/>
        <v/>
      </c>
      <c r="CF153" t="str">
        <f t="shared" si="118"/>
        <v/>
      </c>
      <c r="CG153" t="str">
        <f t="shared" ca="1" si="119"/>
        <v/>
      </c>
      <c r="CH153" t="str">
        <f t="shared" ca="1" si="120"/>
        <v/>
      </c>
      <c r="CI153" t="str">
        <f t="shared" si="121"/>
        <v/>
      </c>
      <c r="CJ153" t="str">
        <f t="shared" si="122"/>
        <v/>
      </c>
      <c r="CK153" t="str">
        <f t="shared" si="123"/>
        <v/>
      </c>
      <c r="CL153" t="str">
        <f t="shared" si="124"/>
        <v/>
      </c>
    </row>
    <row r="154" spans="1:90" x14ac:dyDescent="0.3">
      <c r="A154">
        <f>CAPTURA!A154</f>
        <v>20605500430</v>
      </c>
      <c r="B154">
        <f>CAPTURA!C154</f>
        <v>0</v>
      </c>
      <c r="C154" t="str">
        <f t="shared" si="100"/>
        <v/>
      </c>
      <c r="D154" t="str">
        <f>IF(AE154="","",IFERROR(IF(INDEX(CODIFICACION!$E$2:$E$500,MATCH("P8|"&amp;AE154,CODIFICACION!$F$2:$F$500,0))="sin dato","",INDEX(CODIFICACION!$E$2:$E$500,MATCH("P8|"&amp;AE154,CODIFICACION!$F$2:$F$500,0))),"⚠"))</f>
        <v/>
      </c>
      <c r="E154" t="str">
        <f>IF(AG154="","",IFERROR(IF(INDEX(CODIFICACION!$E$2:$E$500,MATCH("P10|"&amp;AG154,CODIFICACION!$F$2:$F$500,0))="sin dato","",INDEX(CODIFICACION!$E$2:$E$500,MATCH("P10|"&amp;AG154,CODIFICACION!$F$2:$F$500,0))),"⚠"))</f>
        <v/>
      </c>
      <c r="F154" t="str">
        <f>IF(AJ154="","",IFERROR(IF(INDEX(CODIFICACION!$E$2:$E$500,MATCH("P13|"&amp;AJ154,CODIFICACION!$F$2:$F$500,0))="sin dato","",INDEX(CODIFICACION!$E$2:$E$500,MATCH("P13|"&amp;AJ154,CODIFICACION!$F$2:$F$500,0))),"⚠"))</f>
        <v/>
      </c>
      <c r="G154" t="str">
        <f>IF(AK154="","",IFERROR(IF(INDEX(CODIFICACION!$E$2:$E$500,MATCH("P14|"&amp;AK154,CODIFICACION!$F$2:$F$500,0))="sin dato","",INDEX(CODIFICACION!$E$2:$E$500,MATCH("P14|"&amp;AK154,CODIFICACION!$F$2:$F$500,0))),"⚠"))</f>
        <v/>
      </c>
      <c r="H154" t="str">
        <f>IF(AL154="","",IFERROR(IF(INDEX(CODIFICACION!$E$2:$E$500,MATCH("D1.1|"&amp;AL154,CODIFICACION!$F$2:$F$500,0))="sin dato","",INDEX(CODIFICACION!$E$2:$E$500,MATCH("D1.1|"&amp;AL154,CODIFICACION!$F$2:$F$500,0))),"⚠"))</f>
        <v/>
      </c>
      <c r="I154" t="str">
        <f>IF(AN154="","",IFERROR(IF(INDEX(CODIFICACION!$E$2:$E$500,MATCH("D1.3|"&amp;AN154,CODIFICACION!$F$2:$F$500,0))="sin dato","",INDEX(CODIFICACION!$E$2:$E$500,MATCH("D1.3|"&amp;AN154,CODIFICACION!$F$2:$F$500,0))),"⚠"))</f>
        <v/>
      </c>
      <c r="J154" t="str">
        <f>IF(AO154="","",IFERROR(IF(INDEX(CODIFICACION!$E$2:$E$500,MATCH("D1.4|"&amp;AO154,CODIFICACION!$F$2:$F$500,0))="sin dato","",INDEX(CODIFICACION!$E$2:$E$500,MATCH("D1.4|"&amp;AO154,CODIFICACION!$F$2:$F$500,0))),"⚠"))</f>
        <v/>
      </c>
      <c r="K154" t="str">
        <f>IF(AP154="","",IFERROR(IF(INDEX(CODIFICACION!$E$2:$E$500,MATCH("D1.3a|"&amp;AP154,CODIFICACION!$F$2:$F$500,0))="sin dato","",INDEX(CODIFICACION!$E$2:$E$500,MATCH("D1.3a|"&amp;AP154,CODIFICACION!$F$2:$F$500,0))),"⚠"))</f>
        <v/>
      </c>
      <c r="L154" t="str">
        <f t="shared" si="101"/>
        <v/>
      </c>
      <c r="M154" t="str">
        <f t="shared" si="102"/>
        <v/>
      </c>
      <c r="N154" t="str">
        <f t="shared" si="103"/>
        <v/>
      </c>
      <c r="O154" t="str">
        <f>IF(AT154="","",IFERROR(IF(INDEX(CODIFICACION!$E$2:$E$500,MATCH("D2.8|"&amp;AT154,CODIFICACION!$F$2:$F$500,0))="sin dato","",INDEX(CODIFICACION!$E$2:$E$500,MATCH("D2.8|"&amp;AT154,CODIFICACION!$F$2:$F$500,0))),"⚠"))</f>
        <v/>
      </c>
      <c r="P154" t="str">
        <f>IF(AU154="","",IFERROR(IF(INDEX(CODIFICACION!$E$2:$E$500,MATCH("D2.9|"&amp;AU154,CODIFICACION!$F$2:$F$500,0))="sin dato","",INDEX(CODIFICACION!$E$2:$E$500,MATCH("D2.9|"&amp;AU154,CODIFICACION!$F$2:$F$500,0))),"⚠"))</f>
        <v/>
      </c>
      <c r="Q154" t="str">
        <f>IF(AV154="","",IFERROR(IF(INDEX(CODIFICACION!$E$2:$E$500,MATCH("D2.10|"&amp;AV154,CODIFICACION!$F$2:$F$500,0))="sin dato","",INDEX(CODIFICACION!$E$2:$E$500,MATCH("D2.10|"&amp;AV154,CODIFICACION!$F$2:$F$500,0))),"⚠"))</f>
        <v/>
      </c>
      <c r="R154" t="str">
        <f>IF(AW154="","",IFERROR(IF(INDEX(CODIFICACION!$E$2:$E$500,MATCH("D2.5a|"&amp;AW154,CODIFICACION!$F$2:$F$500,0))="sin dato","",INDEX(CODIFICACION!$E$2:$E$500,MATCH("D2.5a|"&amp;AW154,CODIFICACION!$F$2:$F$500,0))),"⚠"))</f>
        <v/>
      </c>
      <c r="S154" t="str">
        <f ca="1">IF(AX154="","",IFERROR(IF(INDEX(CODIFICACION!$E$2:$E$500,MATCH("D2.5b|"&amp;AX154,CODIFICACION!$F$2:$F$500,0))="sin dato","",INDEX(CODIFICACION!$E$2:$E$500,MATCH("D2.5b|"&amp;AX154,CODIFICACION!$F$2:$F$500,0))),"⚠"))</f>
        <v/>
      </c>
      <c r="T154" t="str">
        <f t="shared" ca="1" si="104"/>
        <v/>
      </c>
      <c r="U154" t="str">
        <f>IF(AZ154="","",IFERROR(IF(INDEX(CODIFICACION!$E$2:$E$500,MATCH("D3.12|"&amp;AZ154,CODIFICACION!$F$2:$F$500,0))="sin dato","",INDEX(CODIFICACION!$E$2:$E$500,MATCH("D3.12|"&amp;AZ154,CODIFICACION!$F$2:$F$500,0))),"⚠"))</f>
        <v/>
      </c>
      <c r="V154" t="str">
        <f t="shared" si="105"/>
        <v/>
      </c>
      <c r="W154" t="str">
        <f ca="1">IF(BB154="","",IFERROR(IF(INDEX(CODIFICACION!$E$2:$E$500,MATCH("D3.14|"&amp;BB154,CODIFICACION!$F$2:$F$500,0))="sin dato","",INDEX(CODIFICACION!$E$2:$E$500,MATCH("D3.14|"&amp;BB154,CODIFICACION!$F$2:$F$500,0))),"⚠"))</f>
        <v/>
      </c>
      <c r="X154" t="str">
        <f ca="1">IF(BC154="","",IFERROR(IF(INDEX(CODIFICACION!$E$2:$E$500,MATCH("D3.14a|"&amp;BC154,CODIFICACION!$F$2:$F$500,0))="sin dato","",INDEX(CODIFICACION!$E$2:$E$500,MATCH("D3.14a|"&amp;BC154,CODIFICACION!$F$2:$F$500,0))),"⚠"))</f>
        <v/>
      </c>
      <c r="Y154" t="str">
        <f>IF(BD154="","",IFERROR(IF(INDEX(CODIFICACION!$E$2:$E$500,MATCH("D3.14b|"&amp;BD154,CODIFICACION!$F$2:$F$500,0))="sin dato","",INDEX(CODIFICACION!$E$2:$E$500,MATCH("D3.14b|"&amp;BD154,CODIFICACION!$F$2:$F$500,0))),"⚠"))</f>
        <v/>
      </c>
      <c r="Z154" t="str">
        <f>IF(BE154="","",IFERROR(IF(INDEX(CODIFICACION!$E$2:$E$500,MATCH("D3.14c|"&amp;BE154,CODIFICACION!$F$2:$F$500,0))="sin dato","",INDEX(CODIFICACION!$E$2:$E$500,MATCH("D3.14c|"&amp;BE154,CODIFICACION!$F$2:$F$500,0))),"⚠"))</f>
        <v/>
      </c>
      <c r="AA154" t="str">
        <f>IF(BF154="","",IFERROR(IF(INDEX(CODIFICACION!$E$2:$E$500,MATCH("D3.14d|"&amp;BF154,CODIFICACION!$F$2:$F$500,0))="sin dato","",INDEX(CODIFICACION!$E$2:$E$500,MATCH("D3.14d|"&amp;BF154,CODIFICACION!$F$2:$F$500,0))),"⚠"))</f>
        <v/>
      </c>
      <c r="AB154" t="str">
        <f>IF(BG154="","",IFERROR(IF(INDEX(CODIFICACION!$E$2:$E$500,MATCH("D3.14e|"&amp;BG154,CODIFICACION!$F$2:$F$500,0))="sin dato","",INDEX(CODIFICACION!$E$2:$E$500,MATCH("D3.14e|"&amp;BG154,CODIFICACION!$F$2:$F$500,0))),"⚠"))</f>
        <v/>
      </c>
      <c r="AC154" t="str">
        <f>IF(BH154="","",IFERROR(IF(INDEX(CODIFICACION!$E$2:$E$500,MATCH("D3.14f|"&amp;BH154,CODIFICACION!$F$2:$F$500,0))="sin dato","",INDEX(CODIFICACION!$E$2:$E$500,MATCH("D3.14f|"&amp;BH154,CODIFICACION!$F$2:$F$500,0))),"⚠"))</f>
        <v/>
      </c>
      <c r="AD154" t="str">
        <f>IF(BI154="","",IFERROR(IF(INDEX(CODIFICACION!$E$2:$E$500,MATCH("D3.14g|"&amp;BI154,CODIFICACION!$F$2:$F$500,0))="sin dato","",INDEX(CODIFICACION!$E$2:$E$500,MATCH("D3.14g|"&amp;BI154,CODIFICACION!$F$2:$F$500,0))),"⚠"))</f>
        <v/>
      </c>
      <c r="AE154" t="str">
        <f>IF(BJ154="","",IFERROR(IF(INDEX(CODIFICACION!$E$2:$E$500,MATCH("D3.14h|"&amp;BJ154,CODIFICACION!$F$2:$F$500,0))="sin dato","",INDEX(CODIFICACION!$E$2:$E$500,MATCH("D3.14h|"&amp;BJ154,CODIFICACION!$F$2:$F$500,0))),"⚠"))</f>
        <v/>
      </c>
      <c r="AF154" t="str">
        <f>IF(BK154="","",IFERROR(IF(INDEX(CODIFICACION!$E$2:$E$500,MATCH("D3.14i|"&amp;BK154,CODIFICACION!$F$2:$F$500,0))="sin dato","",INDEX(CODIFICACION!$E$2:$E$500,MATCH("D3.14i|"&amp;BK154,CODIFICACION!$F$2:$F$500,0))),"⚠"))</f>
        <v/>
      </c>
      <c r="AG154" t="str">
        <f>IF(BL154="","",IFERROR(IF(INDEX(CODIFICACION!$E$2:$E$500,MATCH("D4.15|"&amp;BL154,CODIFICACION!$F$2:$F$500,0))="sin dato","",INDEX(CODIFICACION!$E$2:$E$500,MATCH("D4.15|"&amp;BL154,CODIFICACION!$F$2:$F$500,0))),"⚠"))</f>
        <v/>
      </c>
      <c r="AH154" t="str">
        <f t="shared" si="106"/>
        <v/>
      </c>
      <c r="AI154" t="str">
        <f>IF(BN154="","",IFERROR(IF(INDEX(CODIFICACION!$E$2:$E$500,MATCH("D4.17|"&amp;BN154,CODIFICACION!$F$2:$F$500,0))="sin dato","",INDEX(CODIFICACION!$E$2:$E$500,MATCH("D4.17|"&amp;BN154,CODIFICACION!$F$2:$F$500,0))),"⚠"))</f>
        <v/>
      </c>
      <c r="AJ154" t="str">
        <f>IF(BO154="","",IFERROR(IF(INDEX(CODIFICACION!$E$2:$E$500,MATCH("D4.15a|"&amp;BO154,CODIFICACION!$F$2:$F$500,0))="sin dato","",INDEX(CODIFICACION!$E$2:$E$500,MATCH("D4.15a|"&amp;BO154,CODIFICACION!$F$2:$F$500,0))),"⚠"))</f>
        <v/>
      </c>
      <c r="AK154" t="str">
        <f t="shared" si="107"/>
        <v/>
      </c>
      <c r="AL154" t="str">
        <f t="shared" si="108"/>
        <v/>
      </c>
      <c r="AM154" t="str">
        <f>IF(BR154="","",IFERROR(IF(INDEX(CODIFICACION!$E$2:$E$500,MATCH("D5.18b|"&amp;BR154,CODIFICACION!$F$2:$F$500,0))="sin dato","",INDEX(CODIFICACION!$E$2:$E$500,MATCH("D5.18b|"&amp;BR154,CODIFICACION!$F$2:$F$500,0))),"⚠"))</f>
        <v/>
      </c>
      <c r="AN154" t="str">
        <f>IF(BS154="","",IFERROR(IF(INDEX(CODIFICACION!$E$2:$E$500,MATCH("D5.19|"&amp;BS154,CODIFICACION!$F$2:$F$500,0))="sin dato","",INDEX(CODIFICACION!$E$2:$E$500,MATCH("D5.19|"&amp;BS154,CODIFICACION!$F$2:$F$500,0))),"⚠"))</f>
        <v/>
      </c>
      <c r="AO154" t="str">
        <f t="shared" si="109"/>
        <v/>
      </c>
      <c r="AP154" t="str">
        <f>IF(BU154="","",IFERROR(IF(INDEX(CODIFICACION!$E$2:$E$500,MATCH("D5.20|"&amp;BU154,CODIFICACION!$F$2:$F$500,0))="sin dato","",INDEX(CODIFICACION!$E$2:$E$500,MATCH("D5.20|"&amp;BU154,CODIFICACION!$F$2:$F$500,0))),"⚠"))</f>
        <v/>
      </c>
      <c r="AQ154" t="str">
        <f>IF(BV154="","",IFERROR(IF(INDEX(CODIFICACION!$E$2:$E$500,MATCH("D5.21|"&amp;BV154,CODIFICACION!$F$2:$F$500,0))="sin dato","",INDEX(CODIFICACION!$E$2:$E$500,MATCH("D5.21|"&amp;BV154,CODIFICACION!$F$2:$F$500,0))),"⚠"))</f>
        <v/>
      </c>
      <c r="AR154" t="str">
        <f>IF(BW154="","",IFERROR(IF(INDEX(CODIFICACION!$E$2:$E$500,MATCH("D5.21a|"&amp;BW154,CODIFICACION!$F$2:$F$500,0))="sin dato","",INDEX(CODIFICACION!$E$2:$E$500,MATCH("D5.21a|"&amp;BW154,CODIFICACION!$F$2:$F$500,0))),"⚠"))</f>
        <v/>
      </c>
      <c r="AS154" t="str">
        <f>IF(BX154="","",IFERROR(IF(INDEX(CODIFICACION!$E$2:$E$500,MATCH("D5.21b|"&amp;BX154,CODIFICACION!$F$2:$F$500,0))="sin dato","",INDEX(CODIFICACION!$E$2:$E$500,MATCH("D5.21b|"&amp;BX154,CODIFICACION!$F$2:$F$500,0))),"⚠"))</f>
        <v/>
      </c>
      <c r="AT154" t="str">
        <f>IF(BY154="","",IFERROR(IF(INDEX(CODIFICACION!$E$2:$E$500,MATCH("D6.22|"&amp;BY154,CODIFICACION!$F$2:$F$500,0))="sin dato","",INDEX(CODIFICACION!$E$2:$E$500,MATCH("D6.22|"&amp;BY154,CODIFICACION!$F$2:$F$500,0))),"⚠"))</f>
        <v/>
      </c>
      <c r="AU154" t="str">
        <f>IF(BZ154="","",IFERROR(IF(INDEX(CODIFICACION!$E$2:$E$500,MATCH("D6.22a|"&amp;BZ154,CODIFICACION!$F$2:$F$500,0))="sin dato","",INDEX(CODIFICACION!$E$2:$E$500,MATCH("D6.22a|"&amp;BZ154,CODIFICACION!$F$2:$F$500,0))),"⚠"))</f>
        <v/>
      </c>
      <c r="AV154" t="str">
        <f>IF(CA154="","",IFERROR(IF(INDEX(CODIFICACION!$E$2:$E$500,MATCH("D6.22b|"&amp;CA154,CODIFICACION!$F$2:$F$500,0))="sin dato","",INDEX(CODIFICACION!$E$2:$E$500,MATCH("D6.22b|"&amp;CA154,CODIFICACION!$F$2:$F$500,0))),"⚠"))</f>
        <v/>
      </c>
      <c r="AW154" t="str">
        <f>IF(CB154="","",IFERROR(IF(INDEX(CODIFICACION!$E$2:$E$500,MATCH("D6.23|"&amp;CB154,CODIFICACION!$F$2:$F$500,0))="sin dato","",INDEX(CODIFICACION!$E$2:$E$500,MATCH("D6.23|"&amp;CB154,CODIFICACION!$F$2:$F$500,0))),"⚠"))</f>
        <v/>
      </c>
      <c r="AX154" t="str">
        <f ca="1">IF(CC154="","",IFERROR(IF(INDEX(CODIFICACION!$E$2:$E$500,MATCH("D6.24|"&amp;CC154,CODIFICACION!$F$2:$F$500,0))="sin dato","",INDEX(CODIFICACION!$E$2:$E$500,MATCH("D6.24|"&amp;CC154,CODIFICACION!$F$2:$F$500,0))),"⚠"))</f>
        <v/>
      </c>
      <c r="AY154" t="str">
        <f ca="1">IF(CD154="","",IFERROR(IF(INDEX(CODIFICACION!$E$2:$E$500,MATCH("D6.25|"&amp;CD154,CODIFICACION!$F$2:$F$500,0))="sin dato","",INDEX(CODIFICACION!$E$2:$E$500,MATCH("D6.25|"&amp;CD154,CODIFICACION!$F$2:$F$500,0))),"⚠"))</f>
        <v/>
      </c>
      <c r="AZ154" t="str">
        <f>IF(CE154="","",IFERROR(IF(INDEX(CODIFICACION!$E$2:$E$500,MATCH("D6.25a|"&amp;CE154,CODIFICACION!$F$2:$F$500,0))="sin dato","",INDEX(CODIFICACION!$E$2:$E$500,MATCH("D6.25a|"&amp;CE154,CODIFICACION!$F$2:$F$500,0))),"⚠"))</f>
        <v/>
      </c>
      <c r="BA154" t="str">
        <f>IF(CF154="","",IFERROR(IF(INDEX(CODIFICACION!$E$2:$E$500,MATCH("D6.25b|"&amp;CF154,CODIFICACION!$F$2:$F$500,0))="sin dato","",INDEX(CODIFICACION!$E$2:$E$500,MATCH("D6.25b|"&amp;CF154,CODIFICACION!$F$2:$F$500,0))),"⚠"))</f>
        <v/>
      </c>
      <c r="BB154" t="str">
        <f ca="1">IF(CG154="","",IFERROR(IF(INDEX(CODIFICACION!$E$2:$E$500,MATCH("D6.22c|"&amp;CG154,CODIFICACION!$F$2:$F$500,0))="sin dato","",INDEX(CODIFICACION!$E$2:$E$500,MATCH("D6.22c|"&amp;CG154,CODIFICACION!$F$2:$F$500,0))),"⚠"))</f>
        <v/>
      </c>
      <c r="BC154" t="str">
        <f ca="1">IF(CH154="","",IFERROR(IF(INDEX(CODIFICACION!$E$2:$E$500,MATCH("D7.26|"&amp;CH154,CODIFICACION!$F$2:$F$500,0))="sin dato","",INDEX(CODIFICACION!$E$2:$E$500,MATCH("D7.26|"&amp;CH154,CODIFICACION!$F$2:$F$500,0))),"⚠"))</f>
        <v/>
      </c>
      <c r="BD154" t="str">
        <f>IF(CI154="","",IFERROR(IF(INDEX(CODIFICACION!$E$2:$E$500,MATCH("D7.27|"&amp;CI154,CODIFICACION!$F$2:$F$500,0))="sin dato","",INDEX(CODIFICACION!$E$2:$E$500,MATCH("D7.27|"&amp;CI154,CODIFICACION!$F$2:$F$500,0))),"⚠"))</f>
        <v/>
      </c>
      <c r="BE154" t="str">
        <f>IF(CJ154="","",IFERROR(IF(INDEX(CODIFICACION!$E$2:$E$500,MATCH("D7.28|"&amp;CJ154,CODIFICACION!$F$2:$F$500,0))="sin dato","",INDEX(CODIFICACION!$E$2:$E$500,MATCH("D7.28|"&amp;CJ154,CODIFICACION!$F$2:$F$500,0))),"⚠"))</f>
        <v/>
      </c>
      <c r="BF154" t="str">
        <f>IF(CK154="","",IFERROR(IF(INDEX(CODIFICACION!$E$2:$E$500,MATCH("D7.28b|"&amp;CK154,CODIFICACION!$F$2:$F$500,0))="sin dato","",INDEX(CODIFICACION!$E$2:$E$500,MATCH("D7.28b|"&amp;CK154,CODIFICACION!$F$2:$F$500,0))),"⚠"))</f>
        <v/>
      </c>
      <c r="BG154" t="str">
        <f t="shared" si="110"/>
        <v/>
      </c>
      <c r="BH154" t="str">
        <f>IF(CM154="","",IFERROR(IF(INDEX(CODIFICACION!$E$2:$E$500,MATCH("D7.26a|"&amp;CM154,CODIFICACION!$F$2:$F$500,0))="sin dato","",INDEX(CODIFICACION!$E$2:$E$500,MATCH("D7.26a|"&amp;CM154,CODIFICACION!$F$2:$F$500,0))),"⚠"))</f>
        <v/>
      </c>
      <c r="BI154" t="str">
        <f>IF(CN154="","",IFERROR(IF(INDEX(CODIFICACION!$E$2:$E$500,MATCH("D7.26b|"&amp;CN154,CODIFICACION!$F$2:$F$500,0))="sin dato","",INDEX(CODIFICACION!$E$2:$E$500,MATCH("D7.26b|"&amp;CN154,CODIFICACION!$F$2:$F$500,0))),"⚠"))</f>
        <v/>
      </c>
      <c r="BJ154" t="str">
        <f t="shared" si="111"/>
        <v/>
      </c>
      <c r="BK154" t="str">
        <f t="shared" si="112"/>
        <v/>
      </c>
      <c r="BL154" t="str">
        <f>IF(CQ154="","",IFERROR(IF(INDEX(CODIFICACION!$E$2:$E$500,MATCH("D8.31|"&amp;CQ154,CODIFICACION!$F$2:$F$500,0))="sin dato","",INDEX(CODIFICACION!$E$2:$E$500,MATCH("D8.31|"&amp;CQ154,CODIFICACION!$F$2:$F$500,0))),"⚠"))</f>
        <v/>
      </c>
      <c r="BM154" t="str">
        <f>IF(CR154="","",IFERROR(IF(INDEX(CODIFICACION!$E$2:$E$500,MATCH("D8.32|"&amp;CR154,CODIFICACION!$F$2:$F$500,0))="sin dato","",INDEX(CODIFICACION!$E$2:$E$500,MATCH("D8.32|"&amp;CR154,CODIFICACION!$F$2:$F$500,0))),"⚠"))</f>
        <v/>
      </c>
      <c r="BN154" t="str">
        <f>IF(CS154="","",IFERROR(IF(INDEX(CODIFICACION!$E$2:$E$500,MATCH("D9.33|"&amp;CS154,CODIFICACION!$F$2:$F$500,0))="sin dato","",INDEX(CODIFICACION!$E$2:$E$500,MATCH("D9.33|"&amp;CS154,CODIFICACION!$F$2:$F$500,0))),"⚠"))</f>
        <v/>
      </c>
      <c r="BO154" t="str">
        <f>IF(CT154="","",IFERROR(IF(INDEX(CODIFICACION!$E$2:$E$500,MATCH("D9.34|"&amp;CT154,CODIFICACION!$F$2:$F$500,0))="sin dato","",INDEX(CODIFICACION!$E$2:$E$500,MATCH("D9.34|"&amp;CT154,CODIFICACION!$F$2:$F$500,0))),"⚠"))</f>
        <v/>
      </c>
      <c r="BP154" t="str">
        <f>IF(CU154="","",IFERROR(IF(INDEX(CODIFICACION!$E$2:$E$500,MATCH("D9.35|"&amp;CU154,CODIFICACION!$F$2:$F$500,0))="sin dato","",INDEX(CODIFICACION!$E$2:$E$500,MATCH("D9.35|"&amp;CU154,CODIFICACION!$F$2:$F$500,0))),"⚠"))</f>
        <v/>
      </c>
      <c r="BQ154" t="str">
        <f>IF(CV154="","",IFERROR(IF(INDEX(CODIFICACION!$E$2:$E$500,MATCH("D10.36|"&amp;CV154,CODIFICACION!$F$2:$F$500,0))="sin dato","",INDEX(CODIFICACION!$E$2:$E$500,MATCH("D10.36|"&amp;CV154,CODIFICACION!$F$2:$F$500,0))),"⚠"))</f>
        <v/>
      </c>
      <c r="BR154" t="str">
        <f>IF(CW154="","",IFERROR(IF(INDEX(CODIFICACION!$E$2:$E$500,MATCH("D10.37|"&amp;CW154,CODIFICACION!$F$2:$F$500,0))="sin dato","",INDEX(CODIFICACION!$E$2:$E$500,MATCH("D10.37|"&amp;CW154,CODIFICACION!$F$2:$F$500,0))),"⚠"))</f>
        <v/>
      </c>
      <c r="BS154" t="str">
        <f>IF(CX154="","",IFERROR(IF(INDEX(CODIFICACION!$E$2:$E$500,MATCH("D10.36a|"&amp;CX154,CODIFICACION!$F$2:$F$500,0))="sin dato","",INDEX(CODIFICACION!$E$2:$E$500,MATCH("D10.36a|"&amp;CX154,CODIFICACION!$F$2:$F$500,0))),"⚠"))</f>
        <v/>
      </c>
      <c r="BT154" t="str">
        <f t="shared" si="113"/>
        <v/>
      </c>
      <c r="BU154" t="str">
        <f>IF(DA154="","",IFERROR(IF(INDEX(CODIFICACION!$E$2:$E$500,MATCH("D11.39a|"&amp;DA154,CODIFICACION!$F$2:$F$500,0))="sin dato","",INDEX(CODIFICACION!$E$2:$E$500,MATCH("D11.39a|"&amp;DA154,CODIFICACION!$F$2:$F$500,0))),"⚠"))</f>
        <v/>
      </c>
      <c r="BV154" t="str">
        <f>IF(DB154="","",IFERROR(IF(INDEX(CODIFICACION!$E$2:$E$500,MATCH("D12.42|"&amp;DB154,CODIFICACION!$F$2:$F$500,0))="sin dato","",INDEX(CODIFICACION!$E$2:$E$500,MATCH("D12.42|"&amp;DB154,CODIFICACION!$F$2:$F$500,0))),"⚠"))</f>
        <v/>
      </c>
      <c r="BW154" t="str">
        <f>IF(DC154="","",IFERROR(IF(INDEX(CODIFICACION!$E$2:$E$500,MATCH("D13.45|"&amp;DC154,CODIFICACION!$F$2:$F$500,0))="sin dato","",INDEX(CODIFICACION!$E$2:$E$500,MATCH("D13.45|"&amp;DC154,CODIFICACION!$F$2:$F$500,0))),"⚠"))</f>
        <v/>
      </c>
      <c r="BX154" t="str">
        <f>IF(DD154="","",IFERROR(IF(INDEX(CODIFICACION!$E$2:$E$500,MATCH("D14.51|"&amp;DD154,CODIFICACION!$F$2:$F$500,0))="sin dato","",INDEX(CODIFICACION!$E$2:$E$500,MATCH("D14.51|"&amp;DD154,CODIFICACION!$F$2:$F$500,0))),"⚠"))</f>
        <v/>
      </c>
      <c r="BY154" t="str">
        <f>IF(DE154="","",IFERROR(IF(INDEX(CODIFICACION!$E$2:$E$500,MATCH("D15.58|"&amp;DE154,CODIFICACION!$F$2:$F$500,0))="sin dato","",INDEX(CODIFICACION!$E$2:$E$500,MATCH("D15.58|"&amp;DE154,CODIFICACION!$F$2:$F$500,0))),"⚠"))</f>
        <v/>
      </c>
      <c r="BZ154" t="str">
        <f>IF(DF154="","",IFERROR(IF(INDEX(CODIFICACION!$E$2:$E$500,MATCH("PP1|"&amp;DF154,CODIFICACION!$F$2:$F$500,0))="sin dato","",INDEX(CODIFICACION!$E$2:$E$500,MATCH("PP1|"&amp;DF154,CODIFICACION!$F$2:$F$500,0))),"⚠"))</f>
        <v/>
      </c>
      <c r="CA154" t="str">
        <f>IF(DG154="","",IFERROR(IF(INDEX(CODIFICACION!$E$2:$E$500,MATCH("PP2|"&amp;DG154,CODIFICACION!$F$2:$F$500,0))="sin dato","",INDEX(CODIFICACION!$E$2:$E$500,MATCH("PP2|"&amp;DG154,CODIFICACION!$F$2:$F$500,0))),"⚠"))</f>
        <v/>
      </c>
      <c r="CB154" t="str">
        <f t="shared" si="114"/>
        <v/>
      </c>
      <c r="CC154" t="str">
        <f t="shared" ca="1" si="115"/>
        <v/>
      </c>
      <c r="CD154" t="str">
        <f t="shared" ca="1" si="116"/>
        <v/>
      </c>
      <c r="CE154" t="str">
        <f t="shared" si="117"/>
        <v/>
      </c>
      <c r="CF154" t="str">
        <f t="shared" si="118"/>
        <v/>
      </c>
      <c r="CG154" t="str">
        <f t="shared" ca="1" si="119"/>
        <v/>
      </c>
      <c r="CH154" t="str">
        <f t="shared" ca="1" si="120"/>
        <v/>
      </c>
      <c r="CI154" t="str">
        <f t="shared" si="121"/>
        <v/>
      </c>
      <c r="CJ154" t="str">
        <f t="shared" si="122"/>
        <v/>
      </c>
      <c r="CK154" t="str">
        <f t="shared" si="123"/>
        <v/>
      </c>
      <c r="CL154" t="str">
        <f t="shared" si="124"/>
        <v/>
      </c>
    </row>
    <row r="155" spans="1:90" x14ac:dyDescent="0.3">
      <c r="A155">
        <f>CAPTURA!A155</f>
        <v>20605688170</v>
      </c>
      <c r="B155">
        <f>CAPTURA!C155</f>
        <v>0</v>
      </c>
      <c r="C155" t="str">
        <f t="shared" si="100"/>
        <v/>
      </c>
      <c r="D155" t="str">
        <f>IF(AE155="","",IFERROR(IF(INDEX(CODIFICACION!$E$2:$E$500,MATCH("P8|"&amp;AE155,CODIFICACION!$F$2:$F$500,0))="sin dato","",INDEX(CODIFICACION!$E$2:$E$500,MATCH("P8|"&amp;AE155,CODIFICACION!$F$2:$F$500,0))),"⚠"))</f>
        <v/>
      </c>
      <c r="E155" t="str">
        <f>IF(AG155="","",IFERROR(IF(INDEX(CODIFICACION!$E$2:$E$500,MATCH("P10|"&amp;AG155,CODIFICACION!$F$2:$F$500,0))="sin dato","",INDEX(CODIFICACION!$E$2:$E$500,MATCH("P10|"&amp;AG155,CODIFICACION!$F$2:$F$500,0))),"⚠"))</f>
        <v/>
      </c>
      <c r="F155" t="str">
        <f>IF(AJ155="","",IFERROR(IF(INDEX(CODIFICACION!$E$2:$E$500,MATCH("P13|"&amp;AJ155,CODIFICACION!$F$2:$F$500,0))="sin dato","",INDEX(CODIFICACION!$E$2:$E$500,MATCH("P13|"&amp;AJ155,CODIFICACION!$F$2:$F$500,0))),"⚠"))</f>
        <v/>
      </c>
      <c r="G155" t="str">
        <f>IF(AK155="","",IFERROR(IF(INDEX(CODIFICACION!$E$2:$E$500,MATCH("P14|"&amp;AK155,CODIFICACION!$F$2:$F$500,0))="sin dato","",INDEX(CODIFICACION!$E$2:$E$500,MATCH("P14|"&amp;AK155,CODIFICACION!$F$2:$F$500,0))),"⚠"))</f>
        <v/>
      </c>
      <c r="H155" t="str">
        <f>IF(AL155="","",IFERROR(IF(INDEX(CODIFICACION!$E$2:$E$500,MATCH("D1.1|"&amp;AL155,CODIFICACION!$F$2:$F$500,0))="sin dato","",INDEX(CODIFICACION!$E$2:$E$500,MATCH("D1.1|"&amp;AL155,CODIFICACION!$F$2:$F$500,0))),"⚠"))</f>
        <v/>
      </c>
      <c r="I155" t="str">
        <f>IF(AN155="","",IFERROR(IF(INDEX(CODIFICACION!$E$2:$E$500,MATCH("D1.3|"&amp;AN155,CODIFICACION!$F$2:$F$500,0))="sin dato","",INDEX(CODIFICACION!$E$2:$E$500,MATCH("D1.3|"&amp;AN155,CODIFICACION!$F$2:$F$500,0))),"⚠"))</f>
        <v/>
      </c>
      <c r="J155" t="str">
        <f>IF(AO155="","",IFERROR(IF(INDEX(CODIFICACION!$E$2:$E$500,MATCH("D1.4|"&amp;AO155,CODIFICACION!$F$2:$F$500,0))="sin dato","",INDEX(CODIFICACION!$E$2:$E$500,MATCH("D1.4|"&amp;AO155,CODIFICACION!$F$2:$F$500,0))),"⚠"))</f>
        <v/>
      </c>
      <c r="K155" t="str">
        <f>IF(AP155="","",IFERROR(IF(INDEX(CODIFICACION!$E$2:$E$500,MATCH("D1.3a|"&amp;AP155,CODIFICACION!$F$2:$F$500,0))="sin dato","",INDEX(CODIFICACION!$E$2:$E$500,MATCH("D1.3a|"&amp;AP155,CODIFICACION!$F$2:$F$500,0))),"⚠"))</f>
        <v/>
      </c>
      <c r="L155" t="str">
        <f t="shared" si="101"/>
        <v/>
      </c>
      <c r="M155" t="str">
        <f t="shared" si="102"/>
        <v/>
      </c>
      <c r="N155" t="str">
        <f t="shared" si="103"/>
        <v/>
      </c>
      <c r="O155" t="str">
        <f>IF(AT155="","",IFERROR(IF(INDEX(CODIFICACION!$E$2:$E$500,MATCH("D2.8|"&amp;AT155,CODIFICACION!$F$2:$F$500,0))="sin dato","",INDEX(CODIFICACION!$E$2:$E$500,MATCH("D2.8|"&amp;AT155,CODIFICACION!$F$2:$F$500,0))),"⚠"))</f>
        <v/>
      </c>
      <c r="P155" t="str">
        <f>IF(AU155="","",IFERROR(IF(INDEX(CODIFICACION!$E$2:$E$500,MATCH("D2.9|"&amp;AU155,CODIFICACION!$F$2:$F$500,0))="sin dato","",INDEX(CODIFICACION!$E$2:$E$500,MATCH("D2.9|"&amp;AU155,CODIFICACION!$F$2:$F$500,0))),"⚠"))</f>
        <v/>
      </c>
      <c r="Q155" t="str">
        <f>IF(AV155="","",IFERROR(IF(INDEX(CODIFICACION!$E$2:$E$500,MATCH("D2.10|"&amp;AV155,CODIFICACION!$F$2:$F$500,0))="sin dato","",INDEX(CODIFICACION!$E$2:$E$500,MATCH("D2.10|"&amp;AV155,CODIFICACION!$F$2:$F$500,0))),"⚠"))</f>
        <v/>
      </c>
      <c r="R155" t="str">
        <f>IF(AW155="","",IFERROR(IF(INDEX(CODIFICACION!$E$2:$E$500,MATCH("D2.5a|"&amp;AW155,CODIFICACION!$F$2:$F$500,0))="sin dato","",INDEX(CODIFICACION!$E$2:$E$500,MATCH("D2.5a|"&amp;AW155,CODIFICACION!$F$2:$F$500,0))),"⚠"))</f>
        <v/>
      </c>
      <c r="S155" t="str">
        <f ca="1">IF(AX155="","",IFERROR(IF(INDEX(CODIFICACION!$E$2:$E$500,MATCH("D2.5b|"&amp;AX155,CODIFICACION!$F$2:$F$500,0))="sin dato","",INDEX(CODIFICACION!$E$2:$E$500,MATCH("D2.5b|"&amp;AX155,CODIFICACION!$F$2:$F$500,0))),"⚠"))</f>
        <v/>
      </c>
      <c r="T155" t="str">
        <f t="shared" ca="1" si="104"/>
        <v/>
      </c>
      <c r="U155" t="str">
        <f>IF(AZ155="","",IFERROR(IF(INDEX(CODIFICACION!$E$2:$E$500,MATCH("D3.12|"&amp;AZ155,CODIFICACION!$F$2:$F$500,0))="sin dato","",INDEX(CODIFICACION!$E$2:$E$500,MATCH("D3.12|"&amp;AZ155,CODIFICACION!$F$2:$F$500,0))),"⚠"))</f>
        <v/>
      </c>
      <c r="V155" t="str">
        <f t="shared" si="105"/>
        <v/>
      </c>
      <c r="W155" t="str">
        <f ca="1">IF(BB155="","",IFERROR(IF(INDEX(CODIFICACION!$E$2:$E$500,MATCH("D3.14|"&amp;BB155,CODIFICACION!$F$2:$F$500,0))="sin dato","",INDEX(CODIFICACION!$E$2:$E$500,MATCH("D3.14|"&amp;BB155,CODIFICACION!$F$2:$F$500,0))),"⚠"))</f>
        <v/>
      </c>
      <c r="X155" t="str">
        <f ca="1">IF(BC155="","",IFERROR(IF(INDEX(CODIFICACION!$E$2:$E$500,MATCH("D3.14a|"&amp;BC155,CODIFICACION!$F$2:$F$500,0))="sin dato","",INDEX(CODIFICACION!$E$2:$E$500,MATCH("D3.14a|"&amp;BC155,CODIFICACION!$F$2:$F$500,0))),"⚠"))</f>
        <v/>
      </c>
      <c r="Y155" t="str">
        <f>IF(BD155="","",IFERROR(IF(INDEX(CODIFICACION!$E$2:$E$500,MATCH("D3.14b|"&amp;BD155,CODIFICACION!$F$2:$F$500,0))="sin dato","",INDEX(CODIFICACION!$E$2:$E$500,MATCH("D3.14b|"&amp;BD155,CODIFICACION!$F$2:$F$500,0))),"⚠"))</f>
        <v/>
      </c>
      <c r="Z155" t="str">
        <f>IF(BE155="","",IFERROR(IF(INDEX(CODIFICACION!$E$2:$E$500,MATCH("D3.14c|"&amp;BE155,CODIFICACION!$F$2:$F$500,0))="sin dato","",INDEX(CODIFICACION!$E$2:$E$500,MATCH("D3.14c|"&amp;BE155,CODIFICACION!$F$2:$F$500,0))),"⚠"))</f>
        <v/>
      </c>
      <c r="AA155" t="str">
        <f>IF(BF155="","",IFERROR(IF(INDEX(CODIFICACION!$E$2:$E$500,MATCH("D3.14d|"&amp;BF155,CODIFICACION!$F$2:$F$500,0))="sin dato","",INDEX(CODIFICACION!$E$2:$E$500,MATCH("D3.14d|"&amp;BF155,CODIFICACION!$F$2:$F$500,0))),"⚠"))</f>
        <v/>
      </c>
      <c r="AB155" t="str">
        <f>IF(BG155="","",IFERROR(IF(INDEX(CODIFICACION!$E$2:$E$500,MATCH("D3.14e|"&amp;BG155,CODIFICACION!$F$2:$F$500,0))="sin dato","",INDEX(CODIFICACION!$E$2:$E$500,MATCH("D3.14e|"&amp;BG155,CODIFICACION!$F$2:$F$500,0))),"⚠"))</f>
        <v/>
      </c>
      <c r="AC155" t="str">
        <f>IF(BH155="","",IFERROR(IF(INDEX(CODIFICACION!$E$2:$E$500,MATCH("D3.14f|"&amp;BH155,CODIFICACION!$F$2:$F$500,0))="sin dato","",INDEX(CODIFICACION!$E$2:$E$500,MATCH("D3.14f|"&amp;BH155,CODIFICACION!$F$2:$F$500,0))),"⚠"))</f>
        <v/>
      </c>
      <c r="AD155" t="str">
        <f>IF(BI155="","",IFERROR(IF(INDEX(CODIFICACION!$E$2:$E$500,MATCH("D3.14g|"&amp;BI155,CODIFICACION!$F$2:$F$500,0))="sin dato","",INDEX(CODIFICACION!$E$2:$E$500,MATCH("D3.14g|"&amp;BI155,CODIFICACION!$F$2:$F$500,0))),"⚠"))</f>
        <v/>
      </c>
      <c r="AE155" t="str">
        <f>IF(BJ155="","",IFERROR(IF(INDEX(CODIFICACION!$E$2:$E$500,MATCH("D3.14h|"&amp;BJ155,CODIFICACION!$F$2:$F$500,0))="sin dato","",INDEX(CODIFICACION!$E$2:$E$500,MATCH("D3.14h|"&amp;BJ155,CODIFICACION!$F$2:$F$500,0))),"⚠"))</f>
        <v/>
      </c>
      <c r="AF155" t="str">
        <f>IF(BK155="","",IFERROR(IF(INDEX(CODIFICACION!$E$2:$E$500,MATCH("D3.14i|"&amp;BK155,CODIFICACION!$F$2:$F$500,0))="sin dato","",INDEX(CODIFICACION!$E$2:$E$500,MATCH("D3.14i|"&amp;BK155,CODIFICACION!$F$2:$F$500,0))),"⚠"))</f>
        <v/>
      </c>
      <c r="AG155" t="str">
        <f>IF(BL155="","",IFERROR(IF(INDEX(CODIFICACION!$E$2:$E$500,MATCH("D4.15|"&amp;BL155,CODIFICACION!$F$2:$F$500,0))="sin dato","",INDEX(CODIFICACION!$E$2:$E$500,MATCH("D4.15|"&amp;BL155,CODIFICACION!$F$2:$F$500,0))),"⚠"))</f>
        <v/>
      </c>
      <c r="AH155" t="str">
        <f t="shared" si="106"/>
        <v/>
      </c>
      <c r="AI155" t="str">
        <f>IF(BN155="","",IFERROR(IF(INDEX(CODIFICACION!$E$2:$E$500,MATCH("D4.17|"&amp;BN155,CODIFICACION!$F$2:$F$500,0))="sin dato","",INDEX(CODIFICACION!$E$2:$E$500,MATCH("D4.17|"&amp;BN155,CODIFICACION!$F$2:$F$500,0))),"⚠"))</f>
        <v/>
      </c>
      <c r="AJ155" t="str">
        <f>IF(BO155="","",IFERROR(IF(INDEX(CODIFICACION!$E$2:$E$500,MATCH("D4.15a|"&amp;BO155,CODIFICACION!$F$2:$F$500,0))="sin dato","",INDEX(CODIFICACION!$E$2:$E$500,MATCH("D4.15a|"&amp;BO155,CODIFICACION!$F$2:$F$500,0))),"⚠"))</f>
        <v/>
      </c>
      <c r="AK155" t="str">
        <f t="shared" si="107"/>
        <v/>
      </c>
      <c r="AL155" t="str">
        <f t="shared" si="108"/>
        <v/>
      </c>
      <c r="AM155" t="str">
        <f>IF(BR155="","",IFERROR(IF(INDEX(CODIFICACION!$E$2:$E$500,MATCH("D5.18b|"&amp;BR155,CODIFICACION!$F$2:$F$500,0))="sin dato","",INDEX(CODIFICACION!$E$2:$E$500,MATCH("D5.18b|"&amp;BR155,CODIFICACION!$F$2:$F$500,0))),"⚠"))</f>
        <v/>
      </c>
      <c r="AN155" t="str">
        <f>IF(BS155="","",IFERROR(IF(INDEX(CODIFICACION!$E$2:$E$500,MATCH("D5.19|"&amp;BS155,CODIFICACION!$F$2:$F$500,0))="sin dato","",INDEX(CODIFICACION!$E$2:$E$500,MATCH("D5.19|"&amp;BS155,CODIFICACION!$F$2:$F$500,0))),"⚠"))</f>
        <v/>
      </c>
      <c r="AO155" t="str">
        <f t="shared" si="109"/>
        <v/>
      </c>
      <c r="AP155" t="str">
        <f>IF(BU155="","",IFERROR(IF(INDEX(CODIFICACION!$E$2:$E$500,MATCH("D5.20|"&amp;BU155,CODIFICACION!$F$2:$F$500,0))="sin dato","",INDEX(CODIFICACION!$E$2:$E$500,MATCH("D5.20|"&amp;BU155,CODIFICACION!$F$2:$F$500,0))),"⚠"))</f>
        <v/>
      </c>
      <c r="AQ155" t="str">
        <f>IF(BV155="","",IFERROR(IF(INDEX(CODIFICACION!$E$2:$E$500,MATCH("D5.21|"&amp;BV155,CODIFICACION!$F$2:$F$500,0))="sin dato","",INDEX(CODIFICACION!$E$2:$E$500,MATCH("D5.21|"&amp;BV155,CODIFICACION!$F$2:$F$500,0))),"⚠"))</f>
        <v/>
      </c>
      <c r="AR155" t="str">
        <f>IF(BW155="","",IFERROR(IF(INDEX(CODIFICACION!$E$2:$E$500,MATCH("D5.21a|"&amp;BW155,CODIFICACION!$F$2:$F$500,0))="sin dato","",INDEX(CODIFICACION!$E$2:$E$500,MATCH("D5.21a|"&amp;BW155,CODIFICACION!$F$2:$F$500,0))),"⚠"))</f>
        <v/>
      </c>
      <c r="AS155" t="str">
        <f>IF(BX155="","",IFERROR(IF(INDEX(CODIFICACION!$E$2:$E$500,MATCH("D5.21b|"&amp;BX155,CODIFICACION!$F$2:$F$500,0))="sin dato","",INDEX(CODIFICACION!$E$2:$E$500,MATCH("D5.21b|"&amp;BX155,CODIFICACION!$F$2:$F$500,0))),"⚠"))</f>
        <v/>
      </c>
      <c r="AT155" t="str">
        <f>IF(BY155="","",IFERROR(IF(INDEX(CODIFICACION!$E$2:$E$500,MATCH("D6.22|"&amp;BY155,CODIFICACION!$F$2:$F$500,0))="sin dato","",INDEX(CODIFICACION!$E$2:$E$500,MATCH("D6.22|"&amp;BY155,CODIFICACION!$F$2:$F$500,0))),"⚠"))</f>
        <v/>
      </c>
      <c r="AU155" t="str">
        <f>IF(BZ155="","",IFERROR(IF(INDEX(CODIFICACION!$E$2:$E$500,MATCH("D6.22a|"&amp;BZ155,CODIFICACION!$F$2:$F$500,0))="sin dato","",INDEX(CODIFICACION!$E$2:$E$500,MATCH("D6.22a|"&amp;BZ155,CODIFICACION!$F$2:$F$500,0))),"⚠"))</f>
        <v/>
      </c>
      <c r="AV155" t="str">
        <f>IF(CA155="","",IFERROR(IF(INDEX(CODIFICACION!$E$2:$E$500,MATCH("D6.22b|"&amp;CA155,CODIFICACION!$F$2:$F$500,0))="sin dato","",INDEX(CODIFICACION!$E$2:$E$500,MATCH("D6.22b|"&amp;CA155,CODIFICACION!$F$2:$F$500,0))),"⚠"))</f>
        <v/>
      </c>
      <c r="AW155" t="str">
        <f>IF(CB155="","",IFERROR(IF(INDEX(CODIFICACION!$E$2:$E$500,MATCH("D6.23|"&amp;CB155,CODIFICACION!$F$2:$F$500,0))="sin dato","",INDEX(CODIFICACION!$E$2:$E$500,MATCH("D6.23|"&amp;CB155,CODIFICACION!$F$2:$F$500,0))),"⚠"))</f>
        <v/>
      </c>
      <c r="AX155" t="str">
        <f ca="1">IF(CC155="","",IFERROR(IF(INDEX(CODIFICACION!$E$2:$E$500,MATCH("D6.24|"&amp;CC155,CODIFICACION!$F$2:$F$500,0))="sin dato","",INDEX(CODIFICACION!$E$2:$E$500,MATCH("D6.24|"&amp;CC155,CODIFICACION!$F$2:$F$500,0))),"⚠"))</f>
        <v/>
      </c>
      <c r="AY155" t="str">
        <f ca="1">IF(CD155="","",IFERROR(IF(INDEX(CODIFICACION!$E$2:$E$500,MATCH("D6.25|"&amp;CD155,CODIFICACION!$F$2:$F$500,0))="sin dato","",INDEX(CODIFICACION!$E$2:$E$500,MATCH("D6.25|"&amp;CD155,CODIFICACION!$F$2:$F$500,0))),"⚠"))</f>
        <v/>
      </c>
      <c r="AZ155" t="str">
        <f>IF(CE155="","",IFERROR(IF(INDEX(CODIFICACION!$E$2:$E$500,MATCH("D6.25a|"&amp;CE155,CODIFICACION!$F$2:$F$500,0))="sin dato","",INDEX(CODIFICACION!$E$2:$E$500,MATCH("D6.25a|"&amp;CE155,CODIFICACION!$F$2:$F$500,0))),"⚠"))</f>
        <v/>
      </c>
      <c r="BA155" t="str">
        <f>IF(CF155="","",IFERROR(IF(INDEX(CODIFICACION!$E$2:$E$500,MATCH("D6.25b|"&amp;CF155,CODIFICACION!$F$2:$F$500,0))="sin dato","",INDEX(CODIFICACION!$E$2:$E$500,MATCH("D6.25b|"&amp;CF155,CODIFICACION!$F$2:$F$500,0))),"⚠"))</f>
        <v/>
      </c>
      <c r="BB155" t="str">
        <f ca="1">IF(CG155="","",IFERROR(IF(INDEX(CODIFICACION!$E$2:$E$500,MATCH("D6.22c|"&amp;CG155,CODIFICACION!$F$2:$F$500,0))="sin dato","",INDEX(CODIFICACION!$E$2:$E$500,MATCH("D6.22c|"&amp;CG155,CODIFICACION!$F$2:$F$500,0))),"⚠"))</f>
        <v/>
      </c>
      <c r="BC155" t="str">
        <f ca="1">IF(CH155="","",IFERROR(IF(INDEX(CODIFICACION!$E$2:$E$500,MATCH("D7.26|"&amp;CH155,CODIFICACION!$F$2:$F$500,0))="sin dato","",INDEX(CODIFICACION!$E$2:$E$500,MATCH("D7.26|"&amp;CH155,CODIFICACION!$F$2:$F$500,0))),"⚠"))</f>
        <v/>
      </c>
      <c r="BD155" t="str">
        <f>IF(CI155="","",IFERROR(IF(INDEX(CODIFICACION!$E$2:$E$500,MATCH("D7.27|"&amp;CI155,CODIFICACION!$F$2:$F$500,0))="sin dato","",INDEX(CODIFICACION!$E$2:$E$500,MATCH("D7.27|"&amp;CI155,CODIFICACION!$F$2:$F$500,0))),"⚠"))</f>
        <v/>
      </c>
      <c r="BE155" t="str">
        <f>IF(CJ155="","",IFERROR(IF(INDEX(CODIFICACION!$E$2:$E$500,MATCH("D7.28|"&amp;CJ155,CODIFICACION!$F$2:$F$500,0))="sin dato","",INDEX(CODIFICACION!$E$2:$E$500,MATCH("D7.28|"&amp;CJ155,CODIFICACION!$F$2:$F$500,0))),"⚠"))</f>
        <v/>
      </c>
      <c r="BF155" t="str">
        <f>IF(CK155="","",IFERROR(IF(INDEX(CODIFICACION!$E$2:$E$500,MATCH("D7.28b|"&amp;CK155,CODIFICACION!$F$2:$F$500,0))="sin dato","",INDEX(CODIFICACION!$E$2:$E$500,MATCH("D7.28b|"&amp;CK155,CODIFICACION!$F$2:$F$500,0))),"⚠"))</f>
        <v/>
      </c>
      <c r="BG155" t="str">
        <f t="shared" si="110"/>
        <v/>
      </c>
      <c r="BH155" t="str">
        <f>IF(CM155="","",IFERROR(IF(INDEX(CODIFICACION!$E$2:$E$500,MATCH("D7.26a|"&amp;CM155,CODIFICACION!$F$2:$F$500,0))="sin dato","",INDEX(CODIFICACION!$E$2:$E$500,MATCH("D7.26a|"&amp;CM155,CODIFICACION!$F$2:$F$500,0))),"⚠"))</f>
        <v/>
      </c>
      <c r="BI155" t="str">
        <f>IF(CN155="","",IFERROR(IF(INDEX(CODIFICACION!$E$2:$E$500,MATCH("D7.26b|"&amp;CN155,CODIFICACION!$F$2:$F$500,0))="sin dato","",INDEX(CODIFICACION!$E$2:$E$500,MATCH("D7.26b|"&amp;CN155,CODIFICACION!$F$2:$F$500,0))),"⚠"))</f>
        <v/>
      </c>
      <c r="BJ155" t="str">
        <f t="shared" si="111"/>
        <v/>
      </c>
      <c r="BK155" t="str">
        <f t="shared" si="112"/>
        <v/>
      </c>
      <c r="BL155" t="str">
        <f>IF(CQ155="","",IFERROR(IF(INDEX(CODIFICACION!$E$2:$E$500,MATCH("D8.31|"&amp;CQ155,CODIFICACION!$F$2:$F$500,0))="sin dato","",INDEX(CODIFICACION!$E$2:$E$500,MATCH("D8.31|"&amp;CQ155,CODIFICACION!$F$2:$F$500,0))),"⚠"))</f>
        <v/>
      </c>
      <c r="BM155" t="str">
        <f>IF(CR155="","",IFERROR(IF(INDEX(CODIFICACION!$E$2:$E$500,MATCH("D8.32|"&amp;CR155,CODIFICACION!$F$2:$F$500,0))="sin dato","",INDEX(CODIFICACION!$E$2:$E$500,MATCH("D8.32|"&amp;CR155,CODIFICACION!$F$2:$F$500,0))),"⚠"))</f>
        <v/>
      </c>
      <c r="BN155" t="str">
        <f>IF(CS155="","",IFERROR(IF(INDEX(CODIFICACION!$E$2:$E$500,MATCH("D9.33|"&amp;CS155,CODIFICACION!$F$2:$F$500,0))="sin dato","",INDEX(CODIFICACION!$E$2:$E$500,MATCH("D9.33|"&amp;CS155,CODIFICACION!$F$2:$F$500,0))),"⚠"))</f>
        <v/>
      </c>
      <c r="BO155" t="str">
        <f>IF(CT155="","",IFERROR(IF(INDEX(CODIFICACION!$E$2:$E$500,MATCH("D9.34|"&amp;CT155,CODIFICACION!$F$2:$F$500,0))="sin dato","",INDEX(CODIFICACION!$E$2:$E$500,MATCH("D9.34|"&amp;CT155,CODIFICACION!$F$2:$F$500,0))),"⚠"))</f>
        <v/>
      </c>
      <c r="BP155" t="str">
        <f>IF(CU155="","",IFERROR(IF(INDEX(CODIFICACION!$E$2:$E$500,MATCH("D9.35|"&amp;CU155,CODIFICACION!$F$2:$F$500,0))="sin dato","",INDEX(CODIFICACION!$E$2:$E$500,MATCH("D9.35|"&amp;CU155,CODIFICACION!$F$2:$F$500,0))),"⚠"))</f>
        <v/>
      </c>
      <c r="BQ155" t="str">
        <f>IF(CV155="","",IFERROR(IF(INDEX(CODIFICACION!$E$2:$E$500,MATCH("D10.36|"&amp;CV155,CODIFICACION!$F$2:$F$500,0))="sin dato","",INDEX(CODIFICACION!$E$2:$E$500,MATCH("D10.36|"&amp;CV155,CODIFICACION!$F$2:$F$500,0))),"⚠"))</f>
        <v/>
      </c>
      <c r="BR155" t="str">
        <f>IF(CW155="","",IFERROR(IF(INDEX(CODIFICACION!$E$2:$E$500,MATCH("D10.37|"&amp;CW155,CODIFICACION!$F$2:$F$500,0))="sin dato","",INDEX(CODIFICACION!$E$2:$E$500,MATCH("D10.37|"&amp;CW155,CODIFICACION!$F$2:$F$500,0))),"⚠"))</f>
        <v/>
      </c>
      <c r="BS155" t="str">
        <f>IF(CX155="","",IFERROR(IF(INDEX(CODIFICACION!$E$2:$E$500,MATCH("D10.36a|"&amp;CX155,CODIFICACION!$F$2:$F$500,0))="sin dato","",INDEX(CODIFICACION!$E$2:$E$500,MATCH("D10.36a|"&amp;CX155,CODIFICACION!$F$2:$F$500,0))),"⚠"))</f>
        <v/>
      </c>
      <c r="BT155" t="str">
        <f t="shared" si="113"/>
        <v/>
      </c>
      <c r="BU155" t="str">
        <f>IF(DA155="","",IFERROR(IF(INDEX(CODIFICACION!$E$2:$E$500,MATCH("D11.39a|"&amp;DA155,CODIFICACION!$F$2:$F$500,0))="sin dato","",INDEX(CODIFICACION!$E$2:$E$500,MATCH("D11.39a|"&amp;DA155,CODIFICACION!$F$2:$F$500,0))),"⚠"))</f>
        <v/>
      </c>
      <c r="BV155" t="str">
        <f>IF(DB155="","",IFERROR(IF(INDEX(CODIFICACION!$E$2:$E$500,MATCH("D12.42|"&amp;DB155,CODIFICACION!$F$2:$F$500,0))="sin dato","",INDEX(CODIFICACION!$E$2:$E$500,MATCH("D12.42|"&amp;DB155,CODIFICACION!$F$2:$F$500,0))),"⚠"))</f>
        <v/>
      </c>
      <c r="BW155" t="str">
        <f>IF(DC155="","",IFERROR(IF(INDEX(CODIFICACION!$E$2:$E$500,MATCH("D13.45|"&amp;DC155,CODIFICACION!$F$2:$F$500,0))="sin dato","",INDEX(CODIFICACION!$E$2:$E$500,MATCH("D13.45|"&amp;DC155,CODIFICACION!$F$2:$F$500,0))),"⚠"))</f>
        <v/>
      </c>
      <c r="BX155" t="str">
        <f>IF(DD155="","",IFERROR(IF(INDEX(CODIFICACION!$E$2:$E$500,MATCH("D14.51|"&amp;DD155,CODIFICACION!$F$2:$F$500,0))="sin dato","",INDEX(CODIFICACION!$E$2:$E$500,MATCH("D14.51|"&amp;DD155,CODIFICACION!$F$2:$F$500,0))),"⚠"))</f>
        <v/>
      </c>
      <c r="BY155" t="str">
        <f>IF(DE155="","",IFERROR(IF(INDEX(CODIFICACION!$E$2:$E$500,MATCH("D15.58|"&amp;DE155,CODIFICACION!$F$2:$F$500,0))="sin dato","",INDEX(CODIFICACION!$E$2:$E$500,MATCH("D15.58|"&amp;DE155,CODIFICACION!$F$2:$F$500,0))),"⚠"))</f>
        <v/>
      </c>
      <c r="BZ155" t="str">
        <f>IF(DF155="","",IFERROR(IF(INDEX(CODIFICACION!$E$2:$E$500,MATCH("PP1|"&amp;DF155,CODIFICACION!$F$2:$F$500,0))="sin dato","",INDEX(CODIFICACION!$E$2:$E$500,MATCH("PP1|"&amp;DF155,CODIFICACION!$F$2:$F$500,0))),"⚠"))</f>
        <v/>
      </c>
      <c r="CA155" t="str">
        <f>IF(DG155="","",IFERROR(IF(INDEX(CODIFICACION!$E$2:$E$500,MATCH("PP2|"&amp;DG155,CODIFICACION!$F$2:$F$500,0))="sin dato","",INDEX(CODIFICACION!$E$2:$E$500,MATCH("PP2|"&amp;DG155,CODIFICACION!$F$2:$F$500,0))),"⚠"))</f>
        <v/>
      </c>
      <c r="CB155" t="str">
        <f t="shared" si="114"/>
        <v/>
      </c>
      <c r="CC155" t="str">
        <f t="shared" ca="1" si="115"/>
        <v/>
      </c>
      <c r="CD155" t="str">
        <f t="shared" ca="1" si="116"/>
        <v/>
      </c>
      <c r="CE155" t="str">
        <f t="shared" si="117"/>
        <v/>
      </c>
      <c r="CF155" t="str">
        <f t="shared" si="118"/>
        <v/>
      </c>
      <c r="CG155" t="str">
        <f t="shared" ca="1" si="119"/>
        <v/>
      </c>
      <c r="CH155" t="str">
        <f t="shared" ca="1" si="120"/>
        <v/>
      </c>
      <c r="CI155" t="str">
        <f t="shared" si="121"/>
        <v/>
      </c>
      <c r="CJ155" t="str">
        <f t="shared" si="122"/>
        <v/>
      </c>
      <c r="CK155" t="str">
        <f t="shared" si="123"/>
        <v/>
      </c>
      <c r="CL155" t="str">
        <f t="shared" si="124"/>
        <v/>
      </c>
    </row>
    <row r="156" spans="1:90" x14ac:dyDescent="0.3">
      <c r="A156">
        <f>CAPTURA!A156</f>
        <v>20606041382</v>
      </c>
      <c r="B156">
        <f>CAPTURA!C156</f>
        <v>0</v>
      </c>
      <c r="C156" t="str">
        <f t="shared" si="100"/>
        <v/>
      </c>
      <c r="D156" t="str">
        <f>IF(AE156="","",IFERROR(IF(INDEX(CODIFICACION!$E$2:$E$500,MATCH("P8|"&amp;AE156,CODIFICACION!$F$2:$F$500,0))="sin dato","",INDEX(CODIFICACION!$E$2:$E$500,MATCH("P8|"&amp;AE156,CODIFICACION!$F$2:$F$500,0))),"⚠"))</f>
        <v/>
      </c>
      <c r="E156" t="str">
        <f>IF(AG156="","",IFERROR(IF(INDEX(CODIFICACION!$E$2:$E$500,MATCH("P10|"&amp;AG156,CODIFICACION!$F$2:$F$500,0))="sin dato","",INDEX(CODIFICACION!$E$2:$E$500,MATCH("P10|"&amp;AG156,CODIFICACION!$F$2:$F$500,0))),"⚠"))</f>
        <v/>
      </c>
      <c r="F156" t="str">
        <f>IF(AJ156="","",IFERROR(IF(INDEX(CODIFICACION!$E$2:$E$500,MATCH("P13|"&amp;AJ156,CODIFICACION!$F$2:$F$500,0))="sin dato","",INDEX(CODIFICACION!$E$2:$E$500,MATCH("P13|"&amp;AJ156,CODIFICACION!$F$2:$F$500,0))),"⚠"))</f>
        <v/>
      </c>
      <c r="G156" t="str">
        <f>IF(AK156="","",IFERROR(IF(INDEX(CODIFICACION!$E$2:$E$500,MATCH("P14|"&amp;AK156,CODIFICACION!$F$2:$F$500,0))="sin dato","",INDEX(CODIFICACION!$E$2:$E$500,MATCH("P14|"&amp;AK156,CODIFICACION!$F$2:$F$500,0))),"⚠"))</f>
        <v/>
      </c>
      <c r="H156" t="str">
        <f>IF(AL156="","",IFERROR(IF(INDEX(CODIFICACION!$E$2:$E$500,MATCH("D1.1|"&amp;AL156,CODIFICACION!$F$2:$F$500,0))="sin dato","",INDEX(CODIFICACION!$E$2:$E$500,MATCH("D1.1|"&amp;AL156,CODIFICACION!$F$2:$F$500,0))),"⚠"))</f>
        <v/>
      </c>
      <c r="I156" t="str">
        <f>IF(AN156="","",IFERROR(IF(INDEX(CODIFICACION!$E$2:$E$500,MATCH("D1.3|"&amp;AN156,CODIFICACION!$F$2:$F$500,0))="sin dato","",INDEX(CODIFICACION!$E$2:$E$500,MATCH("D1.3|"&amp;AN156,CODIFICACION!$F$2:$F$500,0))),"⚠"))</f>
        <v/>
      </c>
      <c r="J156" t="str">
        <f>IF(AO156="","",IFERROR(IF(INDEX(CODIFICACION!$E$2:$E$500,MATCH("D1.4|"&amp;AO156,CODIFICACION!$F$2:$F$500,0))="sin dato","",INDEX(CODIFICACION!$E$2:$E$500,MATCH("D1.4|"&amp;AO156,CODIFICACION!$F$2:$F$500,0))),"⚠"))</f>
        <v/>
      </c>
      <c r="K156" t="str">
        <f>IF(AP156="","",IFERROR(IF(INDEX(CODIFICACION!$E$2:$E$500,MATCH("D1.3a|"&amp;AP156,CODIFICACION!$F$2:$F$500,0))="sin dato","",INDEX(CODIFICACION!$E$2:$E$500,MATCH("D1.3a|"&amp;AP156,CODIFICACION!$F$2:$F$500,0))),"⚠"))</f>
        <v/>
      </c>
      <c r="L156" t="str">
        <f t="shared" si="101"/>
        <v/>
      </c>
      <c r="M156" t="str">
        <f t="shared" si="102"/>
        <v/>
      </c>
      <c r="N156" t="str">
        <f t="shared" si="103"/>
        <v/>
      </c>
      <c r="O156" t="str">
        <f>IF(AT156="","",IFERROR(IF(INDEX(CODIFICACION!$E$2:$E$500,MATCH("D2.8|"&amp;AT156,CODIFICACION!$F$2:$F$500,0))="sin dato","",INDEX(CODIFICACION!$E$2:$E$500,MATCH("D2.8|"&amp;AT156,CODIFICACION!$F$2:$F$500,0))),"⚠"))</f>
        <v/>
      </c>
      <c r="P156" t="str">
        <f>IF(AU156="","",IFERROR(IF(INDEX(CODIFICACION!$E$2:$E$500,MATCH("D2.9|"&amp;AU156,CODIFICACION!$F$2:$F$500,0))="sin dato","",INDEX(CODIFICACION!$E$2:$E$500,MATCH("D2.9|"&amp;AU156,CODIFICACION!$F$2:$F$500,0))),"⚠"))</f>
        <v/>
      </c>
      <c r="Q156" t="str">
        <f>IF(AV156="","",IFERROR(IF(INDEX(CODIFICACION!$E$2:$E$500,MATCH("D2.10|"&amp;AV156,CODIFICACION!$F$2:$F$500,0))="sin dato","",INDEX(CODIFICACION!$E$2:$E$500,MATCH("D2.10|"&amp;AV156,CODIFICACION!$F$2:$F$500,0))),"⚠"))</f>
        <v/>
      </c>
      <c r="R156" t="str">
        <f>IF(AW156="","",IFERROR(IF(INDEX(CODIFICACION!$E$2:$E$500,MATCH("D2.5a|"&amp;AW156,CODIFICACION!$F$2:$F$500,0))="sin dato","",INDEX(CODIFICACION!$E$2:$E$500,MATCH("D2.5a|"&amp;AW156,CODIFICACION!$F$2:$F$500,0))),"⚠"))</f>
        <v/>
      </c>
      <c r="S156" t="str">
        <f ca="1">IF(AX156="","",IFERROR(IF(INDEX(CODIFICACION!$E$2:$E$500,MATCH("D2.5b|"&amp;AX156,CODIFICACION!$F$2:$F$500,0))="sin dato","",INDEX(CODIFICACION!$E$2:$E$500,MATCH("D2.5b|"&amp;AX156,CODIFICACION!$F$2:$F$500,0))),"⚠"))</f>
        <v/>
      </c>
      <c r="T156" t="str">
        <f t="shared" ca="1" si="104"/>
        <v/>
      </c>
      <c r="U156" t="str">
        <f>IF(AZ156="","",IFERROR(IF(INDEX(CODIFICACION!$E$2:$E$500,MATCH("D3.12|"&amp;AZ156,CODIFICACION!$F$2:$F$500,0))="sin dato","",INDEX(CODIFICACION!$E$2:$E$500,MATCH("D3.12|"&amp;AZ156,CODIFICACION!$F$2:$F$500,0))),"⚠"))</f>
        <v/>
      </c>
      <c r="V156" t="str">
        <f t="shared" si="105"/>
        <v/>
      </c>
      <c r="W156" t="str">
        <f ca="1">IF(BB156="","",IFERROR(IF(INDEX(CODIFICACION!$E$2:$E$500,MATCH("D3.14|"&amp;BB156,CODIFICACION!$F$2:$F$500,0))="sin dato","",INDEX(CODIFICACION!$E$2:$E$500,MATCH("D3.14|"&amp;BB156,CODIFICACION!$F$2:$F$500,0))),"⚠"))</f>
        <v/>
      </c>
      <c r="X156" t="str">
        <f ca="1">IF(BC156="","",IFERROR(IF(INDEX(CODIFICACION!$E$2:$E$500,MATCH("D3.14a|"&amp;BC156,CODIFICACION!$F$2:$F$500,0))="sin dato","",INDEX(CODIFICACION!$E$2:$E$500,MATCH("D3.14a|"&amp;BC156,CODIFICACION!$F$2:$F$500,0))),"⚠"))</f>
        <v/>
      </c>
      <c r="Y156" t="str">
        <f>IF(BD156="","",IFERROR(IF(INDEX(CODIFICACION!$E$2:$E$500,MATCH("D3.14b|"&amp;BD156,CODIFICACION!$F$2:$F$500,0))="sin dato","",INDEX(CODIFICACION!$E$2:$E$500,MATCH("D3.14b|"&amp;BD156,CODIFICACION!$F$2:$F$500,0))),"⚠"))</f>
        <v/>
      </c>
      <c r="Z156" t="str">
        <f>IF(BE156="","",IFERROR(IF(INDEX(CODIFICACION!$E$2:$E$500,MATCH("D3.14c|"&amp;BE156,CODIFICACION!$F$2:$F$500,0))="sin dato","",INDEX(CODIFICACION!$E$2:$E$500,MATCH("D3.14c|"&amp;BE156,CODIFICACION!$F$2:$F$500,0))),"⚠"))</f>
        <v/>
      </c>
      <c r="AA156" t="str">
        <f>IF(BF156="","",IFERROR(IF(INDEX(CODIFICACION!$E$2:$E$500,MATCH("D3.14d|"&amp;BF156,CODIFICACION!$F$2:$F$500,0))="sin dato","",INDEX(CODIFICACION!$E$2:$E$500,MATCH("D3.14d|"&amp;BF156,CODIFICACION!$F$2:$F$500,0))),"⚠"))</f>
        <v/>
      </c>
      <c r="AB156" t="str">
        <f>IF(BG156="","",IFERROR(IF(INDEX(CODIFICACION!$E$2:$E$500,MATCH("D3.14e|"&amp;BG156,CODIFICACION!$F$2:$F$500,0))="sin dato","",INDEX(CODIFICACION!$E$2:$E$500,MATCH("D3.14e|"&amp;BG156,CODIFICACION!$F$2:$F$500,0))),"⚠"))</f>
        <v/>
      </c>
      <c r="AC156" t="str">
        <f>IF(BH156="","",IFERROR(IF(INDEX(CODIFICACION!$E$2:$E$500,MATCH("D3.14f|"&amp;BH156,CODIFICACION!$F$2:$F$500,0))="sin dato","",INDEX(CODIFICACION!$E$2:$E$500,MATCH("D3.14f|"&amp;BH156,CODIFICACION!$F$2:$F$500,0))),"⚠"))</f>
        <v/>
      </c>
      <c r="AD156" t="str">
        <f>IF(BI156="","",IFERROR(IF(INDEX(CODIFICACION!$E$2:$E$500,MATCH("D3.14g|"&amp;BI156,CODIFICACION!$F$2:$F$500,0))="sin dato","",INDEX(CODIFICACION!$E$2:$E$500,MATCH("D3.14g|"&amp;BI156,CODIFICACION!$F$2:$F$500,0))),"⚠"))</f>
        <v/>
      </c>
      <c r="AE156" t="str">
        <f>IF(BJ156="","",IFERROR(IF(INDEX(CODIFICACION!$E$2:$E$500,MATCH("D3.14h|"&amp;BJ156,CODIFICACION!$F$2:$F$500,0))="sin dato","",INDEX(CODIFICACION!$E$2:$E$500,MATCH("D3.14h|"&amp;BJ156,CODIFICACION!$F$2:$F$500,0))),"⚠"))</f>
        <v/>
      </c>
      <c r="AF156" t="str">
        <f>IF(BK156="","",IFERROR(IF(INDEX(CODIFICACION!$E$2:$E$500,MATCH("D3.14i|"&amp;BK156,CODIFICACION!$F$2:$F$500,0))="sin dato","",INDEX(CODIFICACION!$E$2:$E$500,MATCH("D3.14i|"&amp;BK156,CODIFICACION!$F$2:$F$500,0))),"⚠"))</f>
        <v/>
      </c>
      <c r="AG156" t="str">
        <f>IF(BL156="","",IFERROR(IF(INDEX(CODIFICACION!$E$2:$E$500,MATCH("D4.15|"&amp;BL156,CODIFICACION!$F$2:$F$500,0))="sin dato","",INDEX(CODIFICACION!$E$2:$E$500,MATCH("D4.15|"&amp;BL156,CODIFICACION!$F$2:$F$500,0))),"⚠"))</f>
        <v/>
      </c>
      <c r="AH156" t="str">
        <f t="shared" si="106"/>
        <v/>
      </c>
      <c r="AI156" t="str">
        <f>IF(BN156="","",IFERROR(IF(INDEX(CODIFICACION!$E$2:$E$500,MATCH("D4.17|"&amp;BN156,CODIFICACION!$F$2:$F$500,0))="sin dato","",INDEX(CODIFICACION!$E$2:$E$500,MATCH("D4.17|"&amp;BN156,CODIFICACION!$F$2:$F$500,0))),"⚠"))</f>
        <v/>
      </c>
      <c r="AJ156" t="str">
        <f>IF(BO156="","",IFERROR(IF(INDEX(CODIFICACION!$E$2:$E$500,MATCH("D4.15a|"&amp;BO156,CODIFICACION!$F$2:$F$500,0))="sin dato","",INDEX(CODIFICACION!$E$2:$E$500,MATCH("D4.15a|"&amp;BO156,CODIFICACION!$F$2:$F$500,0))),"⚠"))</f>
        <v/>
      </c>
      <c r="AK156" t="str">
        <f t="shared" si="107"/>
        <v/>
      </c>
      <c r="AL156" t="str">
        <f t="shared" si="108"/>
        <v/>
      </c>
      <c r="AM156" t="str">
        <f>IF(BR156="","",IFERROR(IF(INDEX(CODIFICACION!$E$2:$E$500,MATCH("D5.18b|"&amp;BR156,CODIFICACION!$F$2:$F$500,0))="sin dato","",INDEX(CODIFICACION!$E$2:$E$500,MATCH("D5.18b|"&amp;BR156,CODIFICACION!$F$2:$F$500,0))),"⚠"))</f>
        <v/>
      </c>
      <c r="AN156" t="str">
        <f>IF(BS156="","",IFERROR(IF(INDEX(CODIFICACION!$E$2:$E$500,MATCH("D5.19|"&amp;BS156,CODIFICACION!$F$2:$F$500,0))="sin dato","",INDEX(CODIFICACION!$E$2:$E$500,MATCH("D5.19|"&amp;BS156,CODIFICACION!$F$2:$F$500,0))),"⚠"))</f>
        <v/>
      </c>
      <c r="AO156" t="str">
        <f t="shared" si="109"/>
        <v/>
      </c>
      <c r="AP156" t="str">
        <f>IF(BU156="","",IFERROR(IF(INDEX(CODIFICACION!$E$2:$E$500,MATCH("D5.20|"&amp;BU156,CODIFICACION!$F$2:$F$500,0))="sin dato","",INDEX(CODIFICACION!$E$2:$E$500,MATCH("D5.20|"&amp;BU156,CODIFICACION!$F$2:$F$500,0))),"⚠"))</f>
        <v/>
      </c>
      <c r="AQ156" t="str">
        <f>IF(BV156="","",IFERROR(IF(INDEX(CODIFICACION!$E$2:$E$500,MATCH("D5.21|"&amp;BV156,CODIFICACION!$F$2:$F$500,0))="sin dato","",INDEX(CODIFICACION!$E$2:$E$500,MATCH("D5.21|"&amp;BV156,CODIFICACION!$F$2:$F$500,0))),"⚠"))</f>
        <v/>
      </c>
      <c r="AR156" t="str">
        <f>IF(BW156="","",IFERROR(IF(INDEX(CODIFICACION!$E$2:$E$500,MATCH("D5.21a|"&amp;BW156,CODIFICACION!$F$2:$F$500,0))="sin dato","",INDEX(CODIFICACION!$E$2:$E$500,MATCH("D5.21a|"&amp;BW156,CODIFICACION!$F$2:$F$500,0))),"⚠"))</f>
        <v/>
      </c>
      <c r="AS156" t="str">
        <f>IF(BX156="","",IFERROR(IF(INDEX(CODIFICACION!$E$2:$E$500,MATCH("D5.21b|"&amp;BX156,CODIFICACION!$F$2:$F$500,0))="sin dato","",INDEX(CODIFICACION!$E$2:$E$500,MATCH("D5.21b|"&amp;BX156,CODIFICACION!$F$2:$F$500,0))),"⚠"))</f>
        <v/>
      </c>
      <c r="AT156" t="str">
        <f>IF(BY156="","",IFERROR(IF(INDEX(CODIFICACION!$E$2:$E$500,MATCH("D6.22|"&amp;BY156,CODIFICACION!$F$2:$F$500,0))="sin dato","",INDEX(CODIFICACION!$E$2:$E$500,MATCH("D6.22|"&amp;BY156,CODIFICACION!$F$2:$F$500,0))),"⚠"))</f>
        <v/>
      </c>
      <c r="AU156" t="str">
        <f>IF(BZ156="","",IFERROR(IF(INDEX(CODIFICACION!$E$2:$E$500,MATCH("D6.22a|"&amp;BZ156,CODIFICACION!$F$2:$F$500,0))="sin dato","",INDEX(CODIFICACION!$E$2:$E$500,MATCH("D6.22a|"&amp;BZ156,CODIFICACION!$F$2:$F$500,0))),"⚠"))</f>
        <v/>
      </c>
      <c r="AV156" t="str">
        <f>IF(CA156="","",IFERROR(IF(INDEX(CODIFICACION!$E$2:$E$500,MATCH("D6.22b|"&amp;CA156,CODIFICACION!$F$2:$F$500,0))="sin dato","",INDEX(CODIFICACION!$E$2:$E$500,MATCH("D6.22b|"&amp;CA156,CODIFICACION!$F$2:$F$500,0))),"⚠"))</f>
        <v/>
      </c>
      <c r="AW156" t="str">
        <f>IF(CB156="","",IFERROR(IF(INDEX(CODIFICACION!$E$2:$E$500,MATCH("D6.23|"&amp;CB156,CODIFICACION!$F$2:$F$500,0))="sin dato","",INDEX(CODIFICACION!$E$2:$E$500,MATCH("D6.23|"&amp;CB156,CODIFICACION!$F$2:$F$500,0))),"⚠"))</f>
        <v/>
      </c>
      <c r="AX156" t="str">
        <f ca="1">IF(CC156="","",IFERROR(IF(INDEX(CODIFICACION!$E$2:$E$500,MATCH("D6.24|"&amp;CC156,CODIFICACION!$F$2:$F$500,0))="sin dato","",INDEX(CODIFICACION!$E$2:$E$500,MATCH("D6.24|"&amp;CC156,CODIFICACION!$F$2:$F$500,0))),"⚠"))</f>
        <v/>
      </c>
      <c r="AY156" t="str">
        <f ca="1">IF(CD156="","",IFERROR(IF(INDEX(CODIFICACION!$E$2:$E$500,MATCH("D6.25|"&amp;CD156,CODIFICACION!$F$2:$F$500,0))="sin dato","",INDEX(CODIFICACION!$E$2:$E$500,MATCH("D6.25|"&amp;CD156,CODIFICACION!$F$2:$F$500,0))),"⚠"))</f>
        <v/>
      </c>
      <c r="AZ156" t="str">
        <f>IF(CE156="","",IFERROR(IF(INDEX(CODIFICACION!$E$2:$E$500,MATCH("D6.25a|"&amp;CE156,CODIFICACION!$F$2:$F$500,0))="sin dato","",INDEX(CODIFICACION!$E$2:$E$500,MATCH("D6.25a|"&amp;CE156,CODIFICACION!$F$2:$F$500,0))),"⚠"))</f>
        <v/>
      </c>
      <c r="BA156" t="str">
        <f>IF(CF156="","",IFERROR(IF(INDEX(CODIFICACION!$E$2:$E$500,MATCH("D6.25b|"&amp;CF156,CODIFICACION!$F$2:$F$500,0))="sin dato","",INDEX(CODIFICACION!$E$2:$E$500,MATCH("D6.25b|"&amp;CF156,CODIFICACION!$F$2:$F$500,0))),"⚠"))</f>
        <v/>
      </c>
      <c r="BB156" t="str">
        <f ca="1">IF(CG156="","",IFERROR(IF(INDEX(CODIFICACION!$E$2:$E$500,MATCH("D6.22c|"&amp;CG156,CODIFICACION!$F$2:$F$500,0))="sin dato","",INDEX(CODIFICACION!$E$2:$E$500,MATCH("D6.22c|"&amp;CG156,CODIFICACION!$F$2:$F$500,0))),"⚠"))</f>
        <v/>
      </c>
      <c r="BC156" t="str">
        <f ca="1">IF(CH156="","",IFERROR(IF(INDEX(CODIFICACION!$E$2:$E$500,MATCH("D7.26|"&amp;CH156,CODIFICACION!$F$2:$F$500,0))="sin dato","",INDEX(CODIFICACION!$E$2:$E$500,MATCH("D7.26|"&amp;CH156,CODIFICACION!$F$2:$F$500,0))),"⚠"))</f>
        <v/>
      </c>
      <c r="BD156" t="str">
        <f>IF(CI156="","",IFERROR(IF(INDEX(CODIFICACION!$E$2:$E$500,MATCH("D7.27|"&amp;CI156,CODIFICACION!$F$2:$F$500,0))="sin dato","",INDEX(CODIFICACION!$E$2:$E$500,MATCH("D7.27|"&amp;CI156,CODIFICACION!$F$2:$F$500,0))),"⚠"))</f>
        <v/>
      </c>
      <c r="BE156" t="str">
        <f>IF(CJ156="","",IFERROR(IF(INDEX(CODIFICACION!$E$2:$E$500,MATCH("D7.28|"&amp;CJ156,CODIFICACION!$F$2:$F$500,0))="sin dato","",INDEX(CODIFICACION!$E$2:$E$500,MATCH("D7.28|"&amp;CJ156,CODIFICACION!$F$2:$F$500,0))),"⚠"))</f>
        <v/>
      </c>
      <c r="BF156" t="str">
        <f>IF(CK156="","",IFERROR(IF(INDEX(CODIFICACION!$E$2:$E$500,MATCH("D7.28b|"&amp;CK156,CODIFICACION!$F$2:$F$500,0))="sin dato","",INDEX(CODIFICACION!$E$2:$E$500,MATCH("D7.28b|"&amp;CK156,CODIFICACION!$F$2:$F$500,0))),"⚠"))</f>
        <v/>
      </c>
      <c r="BG156" t="str">
        <f t="shared" si="110"/>
        <v/>
      </c>
      <c r="BH156" t="str">
        <f>IF(CM156="","",IFERROR(IF(INDEX(CODIFICACION!$E$2:$E$500,MATCH("D7.26a|"&amp;CM156,CODIFICACION!$F$2:$F$500,0))="sin dato","",INDEX(CODIFICACION!$E$2:$E$500,MATCH("D7.26a|"&amp;CM156,CODIFICACION!$F$2:$F$500,0))),"⚠"))</f>
        <v/>
      </c>
      <c r="BI156" t="str">
        <f>IF(CN156="","",IFERROR(IF(INDEX(CODIFICACION!$E$2:$E$500,MATCH("D7.26b|"&amp;CN156,CODIFICACION!$F$2:$F$500,0))="sin dato","",INDEX(CODIFICACION!$E$2:$E$500,MATCH("D7.26b|"&amp;CN156,CODIFICACION!$F$2:$F$500,0))),"⚠"))</f>
        <v/>
      </c>
      <c r="BJ156" t="str">
        <f t="shared" si="111"/>
        <v/>
      </c>
      <c r="BK156" t="str">
        <f t="shared" si="112"/>
        <v/>
      </c>
      <c r="BL156" t="str">
        <f>IF(CQ156="","",IFERROR(IF(INDEX(CODIFICACION!$E$2:$E$500,MATCH("D8.31|"&amp;CQ156,CODIFICACION!$F$2:$F$500,0))="sin dato","",INDEX(CODIFICACION!$E$2:$E$500,MATCH("D8.31|"&amp;CQ156,CODIFICACION!$F$2:$F$500,0))),"⚠"))</f>
        <v/>
      </c>
      <c r="BM156" t="str">
        <f>IF(CR156="","",IFERROR(IF(INDEX(CODIFICACION!$E$2:$E$500,MATCH("D8.32|"&amp;CR156,CODIFICACION!$F$2:$F$500,0))="sin dato","",INDEX(CODIFICACION!$E$2:$E$500,MATCH("D8.32|"&amp;CR156,CODIFICACION!$F$2:$F$500,0))),"⚠"))</f>
        <v/>
      </c>
      <c r="BN156" t="str">
        <f>IF(CS156="","",IFERROR(IF(INDEX(CODIFICACION!$E$2:$E$500,MATCH("D9.33|"&amp;CS156,CODIFICACION!$F$2:$F$500,0))="sin dato","",INDEX(CODIFICACION!$E$2:$E$500,MATCH("D9.33|"&amp;CS156,CODIFICACION!$F$2:$F$500,0))),"⚠"))</f>
        <v/>
      </c>
      <c r="BO156" t="str">
        <f>IF(CT156="","",IFERROR(IF(INDEX(CODIFICACION!$E$2:$E$500,MATCH("D9.34|"&amp;CT156,CODIFICACION!$F$2:$F$500,0))="sin dato","",INDEX(CODIFICACION!$E$2:$E$500,MATCH("D9.34|"&amp;CT156,CODIFICACION!$F$2:$F$500,0))),"⚠"))</f>
        <v/>
      </c>
      <c r="BP156" t="str">
        <f>IF(CU156="","",IFERROR(IF(INDEX(CODIFICACION!$E$2:$E$500,MATCH("D9.35|"&amp;CU156,CODIFICACION!$F$2:$F$500,0))="sin dato","",INDEX(CODIFICACION!$E$2:$E$500,MATCH("D9.35|"&amp;CU156,CODIFICACION!$F$2:$F$500,0))),"⚠"))</f>
        <v/>
      </c>
      <c r="BQ156" t="str">
        <f>IF(CV156="","",IFERROR(IF(INDEX(CODIFICACION!$E$2:$E$500,MATCH("D10.36|"&amp;CV156,CODIFICACION!$F$2:$F$500,0))="sin dato","",INDEX(CODIFICACION!$E$2:$E$500,MATCH("D10.36|"&amp;CV156,CODIFICACION!$F$2:$F$500,0))),"⚠"))</f>
        <v/>
      </c>
      <c r="BR156" t="str">
        <f>IF(CW156="","",IFERROR(IF(INDEX(CODIFICACION!$E$2:$E$500,MATCH("D10.37|"&amp;CW156,CODIFICACION!$F$2:$F$500,0))="sin dato","",INDEX(CODIFICACION!$E$2:$E$500,MATCH("D10.37|"&amp;CW156,CODIFICACION!$F$2:$F$500,0))),"⚠"))</f>
        <v/>
      </c>
      <c r="BS156" t="str">
        <f>IF(CX156="","",IFERROR(IF(INDEX(CODIFICACION!$E$2:$E$500,MATCH("D10.36a|"&amp;CX156,CODIFICACION!$F$2:$F$500,0))="sin dato","",INDEX(CODIFICACION!$E$2:$E$500,MATCH("D10.36a|"&amp;CX156,CODIFICACION!$F$2:$F$500,0))),"⚠"))</f>
        <v/>
      </c>
      <c r="BT156" t="str">
        <f t="shared" si="113"/>
        <v/>
      </c>
      <c r="BU156" t="str">
        <f>IF(DA156="","",IFERROR(IF(INDEX(CODIFICACION!$E$2:$E$500,MATCH("D11.39a|"&amp;DA156,CODIFICACION!$F$2:$F$500,0))="sin dato","",INDEX(CODIFICACION!$E$2:$E$500,MATCH("D11.39a|"&amp;DA156,CODIFICACION!$F$2:$F$500,0))),"⚠"))</f>
        <v/>
      </c>
      <c r="BV156" t="str">
        <f>IF(DB156="","",IFERROR(IF(INDEX(CODIFICACION!$E$2:$E$500,MATCH("D12.42|"&amp;DB156,CODIFICACION!$F$2:$F$500,0))="sin dato","",INDEX(CODIFICACION!$E$2:$E$500,MATCH("D12.42|"&amp;DB156,CODIFICACION!$F$2:$F$500,0))),"⚠"))</f>
        <v/>
      </c>
      <c r="BW156" t="str">
        <f>IF(DC156="","",IFERROR(IF(INDEX(CODIFICACION!$E$2:$E$500,MATCH("D13.45|"&amp;DC156,CODIFICACION!$F$2:$F$500,0))="sin dato","",INDEX(CODIFICACION!$E$2:$E$500,MATCH("D13.45|"&amp;DC156,CODIFICACION!$F$2:$F$500,0))),"⚠"))</f>
        <v/>
      </c>
      <c r="BX156" t="str">
        <f>IF(DD156="","",IFERROR(IF(INDEX(CODIFICACION!$E$2:$E$500,MATCH("D14.51|"&amp;DD156,CODIFICACION!$F$2:$F$500,0))="sin dato","",INDEX(CODIFICACION!$E$2:$E$500,MATCH("D14.51|"&amp;DD156,CODIFICACION!$F$2:$F$500,0))),"⚠"))</f>
        <v/>
      </c>
      <c r="BY156" t="str">
        <f>IF(DE156="","",IFERROR(IF(INDEX(CODIFICACION!$E$2:$E$500,MATCH("D15.58|"&amp;DE156,CODIFICACION!$F$2:$F$500,0))="sin dato","",INDEX(CODIFICACION!$E$2:$E$500,MATCH("D15.58|"&amp;DE156,CODIFICACION!$F$2:$F$500,0))),"⚠"))</f>
        <v/>
      </c>
      <c r="BZ156" t="str">
        <f>IF(DF156="","",IFERROR(IF(INDEX(CODIFICACION!$E$2:$E$500,MATCH("PP1|"&amp;DF156,CODIFICACION!$F$2:$F$500,0))="sin dato","",INDEX(CODIFICACION!$E$2:$E$500,MATCH("PP1|"&amp;DF156,CODIFICACION!$F$2:$F$500,0))),"⚠"))</f>
        <v/>
      </c>
      <c r="CA156" t="str">
        <f>IF(DG156="","",IFERROR(IF(INDEX(CODIFICACION!$E$2:$E$500,MATCH("PP2|"&amp;DG156,CODIFICACION!$F$2:$F$500,0))="sin dato","",INDEX(CODIFICACION!$E$2:$E$500,MATCH("PP2|"&amp;DG156,CODIFICACION!$F$2:$F$500,0))),"⚠"))</f>
        <v/>
      </c>
      <c r="CB156" t="str">
        <f t="shared" si="114"/>
        <v/>
      </c>
      <c r="CC156" t="str">
        <f t="shared" ca="1" si="115"/>
        <v/>
      </c>
      <c r="CD156" t="str">
        <f t="shared" ca="1" si="116"/>
        <v/>
      </c>
      <c r="CE156" t="str">
        <f t="shared" si="117"/>
        <v/>
      </c>
      <c r="CF156" t="str">
        <f t="shared" si="118"/>
        <v/>
      </c>
      <c r="CG156" t="str">
        <f t="shared" ca="1" si="119"/>
        <v/>
      </c>
      <c r="CH156" t="str">
        <f t="shared" ca="1" si="120"/>
        <v/>
      </c>
      <c r="CI156" t="str">
        <f t="shared" si="121"/>
        <v/>
      </c>
      <c r="CJ156" t="str">
        <f t="shared" si="122"/>
        <v/>
      </c>
      <c r="CK156" t="str">
        <f t="shared" si="123"/>
        <v/>
      </c>
      <c r="CL156" t="str">
        <f t="shared" si="124"/>
        <v/>
      </c>
    </row>
    <row r="157" spans="1:90" x14ac:dyDescent="0.3">
      <c r="A157">
        <f>CAPTURA!A157</f>
        <v>20606451122</v>
      </c>
      <c r="B157">
        <f>CAPTURA!C157</f>
        <v>0</v>
      </c>
      <c r="C157" t="str">
        <f t="shared" si="100"/>
        <v/>
      </c>
      <c r="D157" t="str">
        <f>IF(AE157="","",IFERROR(IF(INDEX(CODIFICACION!$E$2:$E$500,MATCH("P8|"&amp;AE157,CODIFICACION!$F$2:$F$500,0))="sin dato","",INDEX(CODIFICACION!$E$2:$E$500,MATCH("P8|"&amp;AE157,CODIFICACION!$F$2:$F$500,0))),"⚠"))</f>
        <v/>
      </c>
      <c r="E157" t="str">
        <f>IF(AG157="","",IFERROR(IF(INDEX(CODIFICACION!$E$2:$E$500,MATCH("P10|"&amp;AG157,CODIFICACION!$F$2:$F$500,0))="sin dato","",INDEX(CODIFICACION!$E$2:$E$500,MATCH("P10|"&amp;AG157,CODIFICACION!$F$2:$F$500,0))),"⚠"))</f>
        <v/>
      </c>
      <c r="F157" t="str">
        <f>IF(AJ157="","",IFERROR(IF(INDEX(CODIFICACION!$E$2:$E$500,MATCH("P13|"&amp;AJ157,CODIFICACION!$F$2:$F$500,0))="sin dato","",INDEX(CODIFICACION!$E$2:$E$500,MATCH("P13|"&amp;AJ157,CODIFICACION!$F$2:$F$500,0))),"⚠"))</f>
        <v/>
      </c>
      <c r="G157" t="str">
        <f>IF(AK157="","",IFERROR(IF(INDEX(CODIFICACION!$E$2:$E$500,MATCH("P14|"&amp;AK157,CODIFICACION!$F$2:$F$500,0))="sin dato","",INDEX(CODIFICACION!$E$2:$E$500,MATCH("P14|"&amp;AK157,CODIFICACION!$F$2:$F$500,0))),"⚠"))</f>
        <v/>
      </c>
      <c r="H157" t="str">
        <f>IF(AL157="","",IFERROR(IF(INDEX(CODIFICACION!$E$2:$E$500,MATCH("D1.1|"&amp;AL157,CODIFICACION!$F$2:$F$500,0))="sin dato","",INDEX(CODIFICACION!$E$2:$E$500,MATCH("D1.1|"&amp;AL157,CODIFICACION!$F$2:$F$500,0))),"⚠"))</f>
        <v/>
      </c>
      <c r="I157" t="str">
        <f>IF(AN157="","",IFERROR(IF(INDEX(CODIFICACION!$E$2:$E$500,MATCH("D1.3|"&amp;AN157,CODIFICACION!$F$2:$F$500,0))="sin dato","",INDEX(CODIFICACION!$E$2:$E$500,MATCH("D1.3|"&amp;AN157,CODIFICACION!$F$2:$F$500,0))),"⚠"))</f>
        <v/>
      </c>
      <c r="J157" t="str">
        <f>IF(AO157="","",IFERROR(IF(INDEX(CODIFICACION!$E$2:$E$500,MATCH("D1.4|"&amp;AO157,CODIFICACION!$F$2:$F$500,0))="sin dato","",INDEX(CODIFICACION!$E$2:$E$500,MATCH("D1.4|"&amp;AO157,CODIFICACION!$F$2:$F$500,0))),"⚠"))</f>
        <v/>
      </c>
      <c r="K157" t="str">
        <f>IF(AP157="","",IFERROR(IF(INDEX(CODIFICACION!$E$2:$E$500,MATCH("D1.3a|"&amp;AP157,CODIFICACION!$F$2:$F$500,0))="sin dato","",INDEX(CODIFICACION!$E$2:$E$500,MATCH("D1.3a|"&amp;AP157,CODIFICACION!$F$2:$F$500,0))),"⚠"))</f>
        <v/>
      </c>
      <c r="L157" t="str">
        <f t="shared" si="101"/>
        <v/>
      </c>
      <c r="M157" t="str">
        <f t="shared" si="102"/>
        <v/>
      </c>
      <c r="N157" t="str">
        <f t="shared" si="103"/>
        <v/>
      </c>
      <c r="O157" t="str">
        <f>IF(AT157="","",IFERROR(IF(INDEX(CODIFICACION!$E$2:$E$500,MATCH("D2.8|"&amp;AT157,CODIFICACION!$F$2:$F$500,0))="sin dato","",INDEX(CODIFICACION!$E$2:$E$500,MATCH("D2.8|"&amp;AT157,CODIFICACION!$F$2:$F$500,0))),"⚠"))</f>
        <v/>
      </c>
      <c r="P157" t="str">
        <f>IF(AU157="","",IFERROR(IF(INDEX(CODIFICACION!$E$2:$E$500,MATCH("D2.9|"&amp;AU157,CODIFICACION!$F$2:$F$500,0))="sin dato","",INDEX(CODIFICACION!$E$2:$E$500,MATCH("D2.9|"&amp;AU157,CODIFICACION!$F$2:$F$500,0))),"⚠"))</f>
        <v/>
      </c>
      <c r="Q157" t="str">
        <f>IF(AV157="","",IFERROR(IF(INDEX(CODIFICACION!$E$2:$E$500,MATCH("D2.10|"&amp;AV157,CODIFICACION!$F$2:$F$500,0))="sin dato","",INDEX(CODIFICACION!$E$2:$E$500,MATCH("D2.10|"&amp;AV157,CODIFICACION!$F$2:$F$500,0))),"⚠"))</f>
        <v/>
      </c>
      <c r="R157" t="str">
        <f>IF(AW157="","",IFERROR(IF(INDEX(CODIFICACION!$E$2:$E$500,MATCH("D2.5a|"&amp;AW157,CODIFICACION!$F$2:$F$500,0))="sin dato","",INDEX(CODIFICACION!$E$2:$E$500,MATCH("D2.5a|"&amp;AW157,CODIFICACION!$F$2:$F$500,0))),"⚠"))</f>
        <v/>
      </c>
      <c r="S157" t="str">
        <f ca="1">IF(AX157="","",IFERROR(IF(INDEX(CODIFICACION!$E$2:$E$500,MATCH("D2.5b|"&amp;AX157,CODIFICACION!$F$2:$F$500,0))="sin dato","",INDEX(CODIFICACION!$E$2:$E$500,MATCH("D2.5b|"&amp;AX157,CODIFICACION!$F$2:$F$500,0))),"⚠"))</f>
        <v/>
      </c>
      <c r="T157" t="str">
        <f t="shared" ca="1" si="104"/>
        <v/>
      </c>
      <c r="U157" t="str">
        <f>IF(AZ157="","",IFERROR(IF(INDEX(CODIFICACION!$E$2:$E$500,MATCH("D3.12|"&amp;AZ157,CODIFICACION!$F$2:$F$500,0))="sin dato","",INDEX(CODIFICACION!$E$2:$E$500,MATCH("D3.12|"&amp;AZ157,CODIFICACION!$F$2:$F$500,0))),"⚠"))</f>
        <v/>
      </c>
      <c r="V157" t="str">
        <f t="shared" si="105"/>
        <v/>
      </c>
      <c r="W157" t="str">
        <f ca="1">IF(BB157="","",IFERROR(IF(INDEX(CODIFICACION!$E$2:$E$500,MATCH("D3.14|"&amp;BB157,CODIFICACION!$F$2:$F$500,0))="sin dato","",INDEX(CODIFICACION!$E$2:$E$500,MATCH("D3.14|"&amp;BB157,CODIFICACION!$F$2:$F$500,0))),"⚠"))</f>
        <v/>
      </c>
      <c r="X157" t="str">
        <f ca="1">IF(BC157="","",IFERROR(IF(INDEX(CODIFICACION!$E$2:$E$500,MATCH("D3.14a|"&amp;BC157,CODIFICACION!$F$2:$F$500,0))="sin dato","",INDEX(CODIFICACION!$E$2:$E$500,MATCH("D3.14a|"&amp;BC157,CODIFICACION!$F$2:$F$500,0))),"⚠"))</f>
        <v/>
      </c>
      <c r="Y157" t="str">
        <f>IF(BD157="","",IFERROR(IF(INDEX(CODIFICACION!$E$2:$E$500,MATCH("D3.14b|"&amp;BD157,CODIFICACION!$F$2:$F$500,0))="sin dato","",INDEX(CODIFICACION!$E$2:$E$500,MATCH("D3.14b|"&amp;BD157,CODIFICACION!$F$2:$F$500,0))),"⚠"))</f>
        <v/>
      </c>
      <c r="Z157" t="str">
        <f>IF(BE157="","",IFERROR(IF(INDEX(CODIFICACION!$E$2:$E$500,MATCH("D3.14c|"&amp;BE157,CODIFICACION!$F$2:$F$500,0))="sin dato","",INDEX(CODIFICACION!$E$2:$E$500,MATCH("D3.14c|"&amp;BE157,CODIFICACION!$F$2:$F$500,0))),"⚠"))</f>
        <v/>
      </c>
      <c r="AA157" t="str">
        <f>IF(BF157="","",IFERROR(IF(INDEX(CODIFICACION!$E$2:$E$500,MATCH("D3.14d|"&amp;BF157,CODIFICACION!$F$2:$F$500,0))="sin dato","",INDEX(CODIFICACION!$E$2:$E$500,MATCH("D3.14d|"&amp;BF157,CODIFICACION!$F$2:$F$500,0))),"⚠"))</f>
        <v/>
      </c>
      <c r="AB157" t="str">
        <f>IF(BG157="","",IFERROR(IF(INDEX(CODIFICACION!$E$2:$E$500,MATCH("D3.14e|"&amp;BG157,CODIFICACION!$F$2:$F$500,0))="sin dato","",INDEX(CODIFICACION!$E$2:$E$500,MATCH("D3.14e|"&amp;BG157,CODIFICACION!$F$2:$F$500,0))),"⚠"))</f>
        <v/>
      </c>
      <c r="AC157" t="str">
        <f>IF(BH157="","",IFERROR(IF(INDEX(CODIFICACION!$E$2:$E$500,MATCH("D3.14f|"&amp;BH157,CODIFICACION!$F$2:$F$500,0))="sin dato","",INDEX(CODIFICACION!$E$2:$E$500,MATCH("D3.14f|"&amp;BH157,CODIFICACION!$F$2:$F$500,0))),"⚠"))</f>
        <v/>
      </c>
      <c r="AD157" t="str">
        <f>IF(BI157="","",IFERROR(IF(INDEX(CODIFICACION!$E$2:$E$500,MATCH("D3.14g|"&amp;BI157,CODIFICACION!$F$2:$F$500,0))="sin dato","",INDEX(CODIFICACION!$E$2:$E$500,MATCH("D3.14g|"&amp;BI157,CODIFICACION!$F$2:$F$500,0))),"⚠"))</f>
        <v/>
      </c>
      <c r="AE157" t="str">
        <f>IF(BJ157="","",IFERROR(IF(INDEX(CODIFICACION!$E$2:$E$500,MATCH("D3.14h|"&amp;BJ157,CODIFICACION!$F$2:$F$500,0))="sin dato","",INDEX(CODIFICACION!$E$2:$E$500,MATCH("D3.14h|"&amp;BJ157,CODIFICACION!$F$2:$F$500,0))),"⚠"))</f>
        <v/>
      </c>
      <c r="AF157" t="str">
        <f>IF(BK157="","",IFERROR(IF(INDEX(CODIFICACION!$E$2:$E$500,MATCH("D3.14i|"&amp;BK157,CODIFICACION!$F$2:$F$500,0))="sin dato","",INDEX(CODIFICACION!$E$2:$E$500,MATCH("D3.14i|"&amp;BK157,CODIFICACION!$F$2:$F$500,0))),"⚠"))</f>
        <v/>
      </c>
      <c r="AG157" t="str">
        <f>IF(BL157="","",IFERROR(IF(INDEX(CODIFICACION!$E$2:$E$500,MATCH("D4.15|"&amp;BL157,CODIFICACION!$F$2:$F$500,0))="sin dato","",INDEX(CODIFICACION!$E$2:$E$500,MATCH("D4.15|"&amp;BL157,CODIFICACION!$F$2:$F$500,0))),"⚠"))</f>
        <v/>
      </c>
      <c r="AH157" t="str">
        <f t="shared" si="106"/>
        <v/>
      </c>
      <c r="AI157" t="str">
        <f>IF(BN157="","",IFERROR(IF(INDEX(CODIFICACION!$E$2:$E$500,MATCH("D4.17|"&amp;BN157,CODIFICACION!$F$2:$F$500,0))="sin dato","",INDEX(CODIFICACION!$E$2:$E$500,MATCH("D4.17|"&amp;BN157,CODIFICACION!$F$2:$F$500,0))),"⚠"))</f>
        <v/>
      </c>
      <c r="AJ157" t="str">
        <f>IF(BO157="","",IFERROR(IF(INDEX(CODIFICACION!$E$2:$E$500,MATCH("D4.15a|"&amp;BO157,CODIFICACION!$F$2:$F$500,0))="sin dato","",INDEX(CODIFICACION!$E$2:$E$500,MATCH("D4.15a|"&amp;BO157,CODIFICACION!$F$2:$F$500,0))),"⚠"))</f>
        <v/>
      </c>
      <c r="AK157" t="str">
        <f t="shared" si="107"/>
        <v/>
      </c>
      <c r="AL157" t="str">
        <f t="shared" si="108"/>
        <v/>
      </c>
      <c r="AM157" t="str">
        <f>IF(BR157="","",IFERROR(IF(INDEX(CODIFICACION!$E$2:$E$500,MATCH("D5.18b|"&amp;BR157,CODIFICACION!$F$2:$F$500,0))="sin dato","",INDEX(CODIFICACION!$E$2:$E$500,MATCH("D5.18b|"&amp;BR157,CODIFICACION!$F$2:$F$500,0))),"⚠"))</f>
        <v/>
      </c>
      <c r="AN157" t="str">
        <f>IF(BS157="","",IFERROR(IF(INDEX(CODIFICACION!$E$2:$E$500,MATCH("D5.19|"&amp;BS157,CODIFICACION!$F$2:$F$500,0))="sin dato","",INDEX(CODIFICACION!$E$2:$E$500,MATCH("D5.19|"&amp;BS157,CODIFICACION!$F$2:$F$500,0))),"⚠"))</f>
        <v/>
      </c>
      <c r="AO157" t="str">
        <f t="shared" si="109"/>
        <v/>
      </c>
      <c r="AP157" t="str">
        <f>IF(BU157="","",IFERROR(IF(INDEX(CODIFICACION!$E$2:$E$500,MATCH("D5.20|"&amp;BU157,CODIFICACION!$F$2:$F$500,0))="sin dato","",INDEX(CODIFICACION!$E$2:$E$500,MATCH("D5.20|"&amp;BU157,CODIFICACION!$F$2:$F$500,0))),"⚠"))</f>
        <v/>
      </c>
      <c r="AQ157" t="str">
        <f>IF(BV157="","",IFERROR(IF(INDEX(CODIFICACION!$E$2:$E$500,MATCH("D5.21|"&amp;BV157,CODIFICACION!$F$2:$F$500,0))="sin dato","",INDEX(CODIFICACION!$E$2:$E$500,MATCH("D5.21|"&amp;BV157,CODIFICACION!$F$2:$F$500,0))),"⚠"))</f>
        <v/>
      </c>
      <c r="AR157" t="str">
        <f>IF(BW157="","",IFERROR(IF(INDEX(CODIFICACION!$E$2:$E$500,MATCH("D5.21a|"&amp;BW157,CODIFICACION!$F$2:$F$500,0))="sin dato","",INDEX(CODIFICACION!$E$2:$E$500,MATCH("D5.21a|"&amp;BW157,CODIFICACION!$F$2:$F$500,0))),"⚠"))</f>
        <v/>
      </c>
      <c r="AS157" t="str">
        <f>IF(BX157="","",IFERROR(IF(INDEX(CODIFICACION!$E$2:$E$500,MATCH("D5.21b|"&amp;BX157,CODIFICACION!$F$2:$F$500,0))="sin dato","",INDEX(CODIFICACION!$E$2:$E$500,MATCH("D5.21b|"&amp;BX157,CODIFICACION!$F$2:$F$500,0))),"⚠"))</f>
        <v/>
      </c>
      <c r="AT157" t="str">
        <f>IF(BY157="","",IFERROR(IF(INDEX(CODIFICACION!$E$2:$E$500,MATCH("D6.22|"&amp;BY157,CODIFICACION!$F$2:$F$500,0))="sin dato","",INDEX(CODIFICACION!$E$2:$E$500,MATCH("D6.22|"&amp;BY157,CODIFICACION!$F$2:$F$500,0))),"⚠"))</f>
        <v/>
      </c>
      <c r="AU157" t="str">
        <f>IF(BZ157="","",IFERROR(IF(INDEX(CODIFICACION!$E$2:$E$500,MATCH("D6.22a|"&amp;BZ157,CODIFICACION!$F$2:$F$500,0))="sin dato","",INDEX(CODIFICACION!$E$2:$E$500,MATCH("D6.22a|"&amp;BZ157,CODIFICACION!$F$2:$F$500,0))),"⚠"))</f>
        <v/>
      </c>
      <c r="AV157" t="str">
        <f>IF(CA157="","",IFERROR(IF(INDEX(CODIFICACION!$E$2:$E$500,MATCH("D6.22b|"&amp;CA157,CODIFICACION!$F$2:$F$500,0))="sin dato","",INDEX(CODIFICACION!$E$2:$E$500,MATCH("D6.22b|"&amp;CA157,CODIFICACION!$F$2:$F$500,0))),"⚠"))</f>
        <v/>
      </c>
      <c r="AW157" t="str">
        <f>IF(CB157="","",IFERROR(IF(INDEX(CODIFICACION!$E$2:$E$500,MATCH("D6.23|"&amp;CB157,CODIFICACION!$F$2:$F$500,0))="sin dato","",INDEX(CODIFICACION!$E$2:$E$500,MATCH("D6.23|"&amp;CB157,CODIFICACION!$F$2:$F$500,0))),"⚠"))</f>
        <v/>
      </c>
      <c r="AX157" t="str">
        <f ca="1">IF(CC157="","",IFERROR(IF(INDEX(CODIFICACION!$E$2:$E$500,MATCH("D6.24|"&amp;CC157,CODIFICACION!$F$2:$F$500,0))="sin dato","",INDEX(CODIFICACION!$E$2:$E$500,MATCH("D6.24|"&amp;CC157,CODIFICACION!$F$2:$F$500,0))),"⚠"))</f>
        <v/>
      </c>
      <c r="AY157" t="str">
        <f ca="1">IF(CD157="","",IFERROR(IF(INDEX(CODIFICACION!$E$2:$E$500,MATCH("D6.25|"&amp;CD157,CODIFICACION!$F$2:$F$500,0))="sin dato","",INDEX(CODIFICACION!$E$2:$E$500,MATCH("D6.25|"&amp;CD157,CODIFICACION!$F$2:$F$500,0))),"⚠"))</f>
        <v/>
      </c>
      <c r="AZ157" t="str">
        <f>IF(CE157="","",IFERROR(IF(INDEX(CODIFICACION!$E$2:$E$500,MATCH("D6.25a|"&amp;CE157,CODIFICACION!$F$2:$F$500,0))="sin dato","",INDEX(CODIFICACION!$E$2:$E$500,MATCH("D6.25a|"&amp;CE157,CODIFICACION!$F$2:$F$500,0))),"⚠"))</f>
        <v/>
      </c>
      <c r="BA157" t="str">
        <f>IF(CF157="","",IFERROR(IF(INDEX(CODIFICACION!$E$2:$E$500,MATCH("D6.25b|"&amp;CF157,CODIFICACION!$F$2:$F$500,0))="sin dato","",INDEX(CODIFICACION!$E$2:$E$500,MATCH("D6.25b|"&amp;CF157,CODIFICACION!$F$2:$F$500,0))),"⚠"))</f>
        <v/>
      </c>
      <c r="BB157" t="str">
        <f ca="1">IF(CG157="","",IFERROR(IF(INDEX(CODIFICACION!$E$2:$E$500,MATCH("D6.22c|"&amp;CG157,CODIFICACION!$F$2:$F$500,0))="sin dato","",INDEX(CODIFICACION!$E$2:$E$500,MATCH("D6.22c|"&amp;CG157,CODIFICACION!$F$2:$F$500,0))),"⚠"))</f>
        <v/>
      </c>
      <c r="BC157" t="str">
        <f ca="1">IF(CH157="","",IFERROR(IF(INDEX(CODIFICACION!$E$2:$E$500,MATCH("D7.26|"&amp;CH157,CODIFICACION!$F$2:$F$500,0))="sin dato","",INDEX(CODIFICACION!$E$2:$E$500,MATCH("D7.26|"&amp;CH157,CODIFICACION!$F$2:$F$500,0))),"⚠"))</f>
        <v/>
      </c>
      <c r="BD157" t="str">
        <f>IF(CI157="","",IFERROR(IF(INDEX(CODIFICACION!$E$2:$E$500,MATCH("D7.27|"&amp;CI157,CODIFICACION!$F$2:$F$500,0))="sin dato","",INDEX(CODIFICACION!$E$2:$E$500,MATCH("D7.27|"&amp;CI157,CODIFICACION!$F$2:$F$500,0))),"⚠"))</f>
        <v/>
      </c>
      <c r="BE157" t="str">
        <f>IF(CJ157="","",IFERROR(IF(INDEX(CODIFICACION!$E$2:$E$500,MATCH("D7.28|"&amp;CJ157,CODIFICACION!$F$2:$F$500,0))="sin dato","",INDEX(CODIFICACION!$E$2:$E$500,MATCH("D7.28|"&amp;CJ157,CODIFICACION!$F$2:$F$500,0))),"⚠"))</f>
        <v/>
      </c>
      <c r="BF157" t="str">
        <f>IF(CK157="","",IFERROR(IF(INDEX(CODIFICACION!$E$2:$E$500,MATCH("D7.28b|"&amp;CK157,CODIFICACION!$F$2:$F$500,0))="sin dato","",INDEX(CODIFICACION!$E$2:$E$500,MATCH("D7.28b|"&amp;CK157,CODIFICACION!$F$2:$F$500,0))),"⚠"))</f>
        <v/>
      </c>
      <c r="BG157" t="str">
        <f t="shared" si="110"/>
        <v/>
      </c>
      <c r="BH157" t="str">
        <f>IF(CM157="","",IFERROR(IF(INDEX(CODIFICACION!$E$2:$E$500,MATCH("D7.26a|"&amp;CM157,CODIFICACION!$F$2:$F$500,0))="sin dato","",INDEX(CODIFICACION!$E$2:$E$500,MATCH("D7.26a|"&amp;CM157,CODIFICACION!$F$2:$F$500,0))),"⚠"))</f>
        <v/>
      </c>
      <c r="BI157" t="str">
        <f>IF(CN157="","",IFERROR(IF(INDEX(CODIFICACION!$E$2:$E$500,MATCH("D7.26b|"&amp;CN157,CODIFICACION!$F$2:$F$500,0))="sin dato","",INDEX(CODIFICACION!$E$2:$E$500,MATCH("D7.26b|"&amp;CN157,CODIFICACION!$F$2:$F$500,0))),"⚠"))</f>
        <v/>
      </c>
      <c r="BJ157" t="str">
        <f t="shared" si="111"/>
        <v/>
      </c>
      <c r="BK157" t="str">
        <f t="shared" si="112"/>
        <v/>
      </c>
      <c r="BL157" t="str">
        <f>IF(CQ157="","",IFERROR(IF(INDEX(CODIFICACION!$E$2:$E$500,MATCH("D8.31|"&amp;CQ157,CODIFICACION!$F$2:$F$500,0))="sin dato","",INDEX(CODIFICACION!$E$2:$E$500,MATCH("D8.31|"&amp;CQ157,CODIFICACION!$F$2:$F$500,0))),"⚠"))</f>
        <v/>
      </c>
      <c r="BM157" t="str">
        <f>IF(CR157="","",IFERROR(IF(INDEX(CODIFICACION!$E$2:$E$500,MATCH("D8.32|"&amp;CR157,CODIFICACION!$F$2:$F$500,0))="sin dato","",INDEX(CODIFICACION!$E$2:$E$500,MATCH("D8.32|"&amp;CR157,CODIFICACION!$F$2:$F$500,0))),"⚠"))</f>
        <v/>
      </c>
      <c r="BN157" t="str">
        <f>IF(CS157="","",IFERROR(IF(INDEX(CODIFICACION!$E$2:$E$500,MATCH("D9.33|"&amp;CS157,CODIFICACION!$F$2:$F$500,0))="sin dato","",INDEX(CODIFICACION!$E$2:$E$500,MATCH("D9.33|"&amp;CS157,CODIFICACION!$F$2:$F$500,0))),"⚠"))</f>
        <v/>
      </c>
      <c r="BO157" t="str">
        <f>IF(CT157="","",IFERROR(IF(INDEX(CODIFICACION!$E$2:$E$500,MATCH("D9.34|"&amp;CT157,CODIFICACION!$F$2:$F$500,0))="sin dato","",INDEX(CODIFICACION!$E$2:$E$500,MATCH("D9.34|"&amp;CT157,CODIFICACION!$F$2:$F$500,0))),"⚠"))</f>
        <v/>
      </c>
      <c r="BP157" t="str">
        <f>IF(CU157="","",IFERROR(IF(INDEX(CODIFICACION!$E$2:$E$500,MATCH("D9.35|"&amp;CU157,CODIFICACION!$F$2:$F$500,0))="sin dato","",INDEX(CODIFICACION!$E$2:$E$500,MATCH("D9.35|"&amp;CU157,CODIFICACION!$F$2:$F$500,0))),"⚠"))</f>
        <v/>
      </c>
      <c r="BQ157" t="str">
        <f>IF(CV157="","",IFERROR(IF(INDEX(CODIFICACION!$E$2:$E$500,MATCH("D10.36|"&amp;CV157,CODIFICACION!$F$2:$F$500,0))="sin dato","",INDEX(CODIFICACION!$E$2:$E$500,MATCH("D10.36|"&amp;CV157,CODIFICACION!$F$2:$F$500,0))),"⚠"))</f>
        <v/>
      </c>
      <c r="BR157" t="str">
        <f>IF(CW157="","",IFERROR(IF(INDEX(CODIFICACION!$E$2:$E$500,MATCH("D10.37|"&amp;CW157,CODIFICACION!$F$2:$F$500,0))="sin dato","",INDEX(CODIFICACION!$E$2:$E$500,MATCH("D10.37|"&amp;CW157,CODIFICACION!$F$2:$F$500,0))),"⚠"))</f>
        <v/>
      </c>
      <c r="BS157" t="str">
        <f>IF(CX157="","",IFERROR(IF(INDEX(CODIFICACION!$E$2:$E$500,MATCH("D10.36a|"&amp;CX157,CODIFICACION!$F$2:$F$500,0))="sin dato","",INDEX(CODIFICACION!$E$2:$E$500,MATCH("D10.36a|"&amp;CX157,CODIFICACION!$F$2:$F$500,0))),"⚠"))</f>
        <v/>
      </c>
      <c r="BT157" t="str">
        <f t="shared" si="113"/>
        <v/>
      </c>
      <c r="BU157" t="str">
        <f>IF(DA157="","",IFERROR(IF(INDEX(CODIFICACION!$E$2:$E$500,MATCH("D11.39a|"&amp;DA157,CODIFICACION!$F$2:$F$500,0))="sin dato","",INDEX(CODIFICACION!$E$2:$E$500,MATCH("D11.39a|"&amp;DA157,CODIFICACION!$F$2:$F$500,0))),"⚠"))</f>
        <v/>
      </c>
      <c r="BV157" t="str">
        <f>IF(DB157="","",IFERROR(IF(INDEX(CODIFICACION!$E$2:$E$500,MATCH("D12.42|"&amp;DB157,CODIFICACION!$F$2:$F$500,0))="sin dato","",INDEX(CODIFICACION!$E$2:$E$500,MATCH("D12.42|"&amp;DB157,CODIFICACION!$F$2:$F$500,0))),"⚠"))</f>
        <v/>
      </c>
      <c r="BW157" t="str">
        <f>IF(DC157="","",IFERROR(IF(INDEX(CODIFICACION!$E$2:$E$500,MATCH("D13.45|"&amp;DC157,CODIFICACION!$F$2:$F$500,0))="sin dato","",INDEX(CODIFICACION!$E$2:$E$500,MATCH("D13.45|"&amp;DC157,CODIFICACION!$F$2:$F$500,0))),"⚠"))</f>
        <v/>
      </c>
      <c r="BX157" t="str">
        <f>IF(DD157="","",IFERROR(IF(INDEX(CODIFICACION!$E$2:$E$500,MATCH("D14.51|"&amp;DD157,CODIFICACION!$F$2:$F$500,0))="sin dato","",INDEX(CODIFICACION!$E$2:$E$500,MATCH("D14.51|"&amp;DD157,CODIFICACION!$F$2:$F$500,0))),"⚠"))</f>
        <v/>
      </c>
      <c r="BY157" t="str">
        <f>IF(DE157="","",IFERROR(IF(INDEX(CODIFICACION!$E$2:$E$500,MATCH("D15.58|"&amp;DE157,CODIFICACION!$F$2:$F$500,0))="sin dato","",INDEX(CODIFICACION!$E$2:$E$500,MATCH("D15.58|"&amp;DE157,CODIFICACION!$F$2:$F$500,0))),"⚠"))</f>
        <v/>
      </c>
      <c r="BZ157" t="str">
        <f>IF(DF157="","",IFERROR(IF(INDEX(CODIFICACION!$E$2:$E$500,MATCH("PP1|"&amp;DF157,CODIFICACION!$F$2:$F$500,0))="sin dato","",INDEX(CODIFICACION!$E$2:$E$500,MATCH("PP1|"&amp;DF157,CODIFICACION!$F$2:$F$500,0))),"⚠"))</f>
        <v/>
      </c>
      <c r="CA157" t="str">
        <f>IF(DG157="","",IFERROR(IF(INDEX(CODIFICACION!$E$2:$E$500,MATCH("PP2|"&amp;DG157,CODIFICACION!$F$2:$F$500,0))="sin dato","",INDEX(CODIFICACION!$E$2:$E$500,MATCH("PP2|"&amp;DG157,CODIFICACION!$F$2:$F$500,0))),"⚠"))</f>
        <v/>
      </c>
      <c r="CB157" t="str">
        <f t="shared" si="114"/>
        <v/>
      </c>
      <c r="CC157" t="str">
        <f t="shared" ca="1" si="115"/>
        <v/>
      </c>
      <c r="CD157" t="str">
        <f t="shared" ca="1" si="116"/>
        <v/>
      </c>
      <c r="CE157" t="str">
        <f t="shared" si="117"/>
        <v/>
      </c>
      <c r="CF157" t="str">
        <f t="shared" si="118"/>
        <v/>
      </c>
      <c r="CG157" t="str">
        <f t="shared" ca="1" si="119"/>
        <v/>
      </c>
      <c r="CH157" t="str">
        <f t="shared" ca="1" si="120"/>
        <v/>
      </c>
      <c r="CI157" t="str">
        <f t="shared" si="121"/>
        <v/>
      </c>
      <c r="CJ157" t="str">
        <f t="shared" si="122"/>
        <v/>
      </c>
      <c r="CK157" t="str">
        <f t="shared" si="123"/>
        <v/>
      </c>
      <c r="CL157" t="str">
        <f t="shared" si="124"/>
        <v/>
      </c>
    </row>
    <row r="158" spans="1:90" x14ac:dyDescent="0.3">
      <c r="A158">
        <f>CAPTURA!A158</f>
        <v>20606485281</v>
      </c>
      <c r="B158">
        <f>CAPTURA!C158</f>
        <v>0</v>
      </c>
      <c r="C158" t="str">
        <f t="shared" si="100"/>
        <v/>
      </c>
      <c r="D158" t="str">
        <f>IF(AE158="","",IFERROR(IF(INDEX(CODIFICACION!$E$2:$E$500,MATCH("P8|"&amp;AE158,CODIFICACION!$F$2:$F$500,0))="sin dato","",INDEX(CODIFICACION!$E$2:$E$500,MATCH("P8|"&amp;AE158,CODIFICACION!$F$2:$F$500,0))),"⚠"))</f>
        <v/>
      </c>
      <c r="E158" t="str">
        <f>IF(AG158="","",IFERROR(IF(INDEX(CODIFICACION!$E$2:$E$500,MATCH("P10|"&amp;AG158,CODIFICACION!$F$2:$F$500,0))="sin dato","",INDEX(CODIFICACION!$E$2:$E$500,MATCH("P10|"&amp;AG158,CODIFICACION!$F$2:$F$500,0))),"⚠"))</f>
        <v/>
      </c>
      <c r="F158" t="str">
        <f>IF(AJ158="","",IFERROR(IF(INDEX(CODIFICACION!$E$2:$E$500,MATCH("P13|"&amp;AJ158,CODIFICACION!$F$2:$F$500,0))="sin dato","",INDEX(CODIFICACION!$E$2:$E$500,MATCH("P13|"&amp;AJ158,CODIFICACION!$F$2:$F$500,0))),"⚠"))</f>
        <v/>
      </c>
      <c r="G158" t="str">
        <f>IF(AK158="","",IFERROR(IF(INDEX(CODIFICACION!$E$2:$E$500,MATCH("P14|"&amp;AK158,CODIFICACION!$F$2:$F$500,0))="sin dato","",INDEX(CODIFICACION!$E$2:$E$500,MATCH("P14|"&amp;AK158,CODIFICACION!$F$2:$F$500,0))),"⚠"))</f>
        <v/>
      </c>
      <c r="H158" t="str">
        <f>IF(AL158="","",IFERROR(IF(INDEX(CODIFICACION!$E$2:$E$500,MATCH("D1.1|"&amp;AL158,CODIFICACION!$F$2:$F$500,0))="sin dato","",INDEX(CODIFICACION!$E$2:$E$500,MATCH("D1.1|"&amp;AL158,CODIFICACION!$F$2:$F$500,0))),"⚠"))</f>
        <v/>
      </c>
      <c r="I158" t="str">
        <f>IF(AN158="","",IFERROR(IF(INDEX(CODIFICACION!$E$2:$E$500,MATCH("D1.3|"&amp;AN158,CODIFICACION!$F$2:$F$500,0))="sin dato","",INDEX(CODIFICACION!$E$2:$E$500,MATCH("D1.3|"&amp;AN158,CODIFICACION!$F$2:$F$500,0))),"⚠"))</f>
        <v/>
      </c>
      <c r="J158" t="str">
        <f>IF(AO158="","",IFERROR(IF(INDEX(CODIFICACION!$E$2:$E$500,MATCH("D1.4|"&amp;AO158,CODIFICACION!$F$2:$F$500,0))="sin dato","",INDEX(CODIFICACION!$E$2:$E$500,MATCH("D1.4|"&amp;AO158,CODIFICACION!$F$2:$F$500,0))),"⚠"))</f>
        <v/>
      </c>
      <c r="K158" t="str">
        <f>IF(AP158="","",IFERROR(IF(INDEX(CODIFICACION!$E$2:$E$500,MATCH("D1.3a|"&amp;AP158,CODIFICACION!$F$2:$F$500,0))="sin dato","",INDEX(CODIFICACION!$E$2:$E$500,MATCH("D1.3a|"&amp;AP158,CODIFICACION!$F$2:$F$500,0))),"⚠"))</f>
        <v/>
      </c>
      <c r="L158" t="str">
        <f t="shared" si="101"/>
        <v/>
      </c>
      <c r="M158" t="str">
        <f t="shared" si="102"/>
        <v/>
      </c>
      <c r="N158" t="str">
        <f t="shared" si="103"/>
        <v/>
      </c>
      <c r="O158" t="str">
        <f>IF(AT158="","",IFERROR(IF(INDEX(CODIFICACION!$E$2:$E$500,MATCH("D2.8|"&amp;AT158,CODIFICACION!$F$2:$F$500,0))="sin dato","",INDEX(CODIFICACION!$E$2:$E$500,MATCH("D2.8|"&amp;AT158,CODIFICACION!$F$2:$F$500,0))),"⚠"))</f>
        <v/>
      </c>
      <c r="P158" t="str">
        <f>IF(AU158="","",IFERROR(IF(INDEX(CODIFICACION!$E$2:$E$500,MATCH("D2.9|"&amp;AU158,CODIFICACION!$F$2:$F$500,0))="sin dato","",INDEX(CODIFICACION!$E$2:$E$500,MATCH("D2.9|"&amp;AU158,CODIFICACION!$F$2:$F$500,0))),"⚠"))</f>
        <v/>
      </c>
      <c r="Q158" t="str">
        <f>IF(AV158="","",IFERROR(IF(INDEX(CODIFICACION!$E$2:$E$500,MATCH("D2.10|"&amp;AV158,CODIFICACION!$F$2:$F$500,0))="sin dato","",INDEX(CODIFICACION!$E$2:$E$500,MATCH("D2.10|"&amp;AV158,CODIFICACION!$F$2:$F$500,0))),"⚠"))</f>
        <v/>
      </c>
      <c r="R158" t="str">
        <f>IF(AW158="","",IFERROR(IF(INDEX(CODIFICACION!$E$2:$E$500,MATCH("D2.5a|"&amp;AW158,CODIFICACION!$F$2:$F$500,0))="sin dato","",INDEX(CODIFICACION!$E$2:$E$500,MATCH("D2.5a|"&amp;AW158,CODIFICACION!$F$2:$F$500,0))),"⚠"))</f>
        <v/>
      </c>
      <c r="S158" t="str">
        <f ca="1">IF(AX158="","",IFERROR(IF(INDEX(CODIFICACION!$E$2:$E$500,MATCH("D2.5b|"&amp;AX158,CODIFICACION!$F$2:$F$500,0))="sin dato","",INDEX(CODIFICACION!$E$2:$E$500,MATCH("D2.5b|"&amp;AX158,CODIFICACION!$F$2:$F$500,0))),"⚠"))</f>
        <v/>
      </c>
      <c r="T158" t="str">
        <f t="shared" ca="1" si="104"/>
        <v/>
      </c>
      <c r="U158" t="str">
        <f>IF(AZ158="","",IFERROR(IF(INDEX(CODIFICACION!$E$2:$E$500,MATCH("D3.12|"&amp;AZ158,CODIFICACION!$F$2:$F$500,0))="sin dato","",INDEX(CODIFICACION!$E$2:$E$500,MATCH("D3.12|"&amp;AZ158,CODIFICACION!$F$2:$F$500,0))),"⚠"))</f>
        <v/>
      </c>
      <c r="V158" t="str">
        <f t="shared" si="105"/>
        <v/>
      </c>
      <c r="W158" t="str">
        <f ca="1">IF(BB158="","",IFERROR(IF(INDEX(CODIFICACION!$E$2:$E$500,MATCH("D3.14|"&amp;BB158,CODIFICACION!$F$2:$F$500,0))="sin dato","",INDEX(CODIFICACION!$E$2:$E$500,MATCH("D3.14|"&amp;BB158,CODIFICACION!$F$2:$F$500,0))),"⚠"))</f>
        <v/>
      </c>
      <c r="X158" t="str">
        <f ca="1">IF(BC158="","",IFERROR(IF(INDEX(CODIFICACION!$E$2:$E$500,MATCH("D3.14a|"&amp;BC158,CODIFICACION!$F$2:$F$500,0))="sin dato","",INDEX(CODIFICACION!$E$2:$E$500,MATCH("D3.14a|"&amp;BC158,CODIFICACION!$F$2:$F$500,0))),"⚠"))</f>
        <v/>
      </c>
      <c r="Y158" t="str">
        <f>IF(BD158="","",IFERROR(IF(INDEX(CODIFICACION!$E$2:$E$500,MATCH("D3.14b|"&amp;BD158,CODIFICACION!$F$2:$F$500,0))="sin dato","",INDEX(CODIFICACION!$E$2:$E$500,MATCH("D3.14b|"&amp;BD158,CODIFICACION!$F$2:$F$500,0))),"⚠"))</f>
        <v/>
      </c>
      <c r="Z158" t="str">
        <f>IF(BE158="","",IFERROR(IF(INDEX(CODIFICACION!$E$2:$E$500,MATCH("D3.14c|"&amp;BE158,CODIFICACION!$F$2:$F$500,0))="sin dato","",INDEX(CODIFICACION!$E$2:$E$500,MATCH("D3.14c|"&amp;BE158,CODIFICACION!$F$2:$F$500,0))),"⚠"))</f>
        <v/>
      </c>
      <c r="AA158" t="str">
        <f>IF(BF158="","",IFERROR(IF(INDEX(CODIFICACION!$E$2:$E$500,MATCH("D3.14d|"&amp;BF158,CODIFICACION!$F$2:$F$500,0))="sin dato","",INDEX(CODIFICACION!$E$2:$E$500,MATCH("D3.14d|"&amp;BF158,CODIFICACION!$F$2:$F$500,0))),"⚠"))</f>
        <v/>
      </c>
      <c r="AB158" t="str">
        <f>IF(BG158="","",IFERROR(IF(INDEX(CODIFICACION!$E$2:$E$500,MATCH("D3.14e|"&amp;BG158,CODIFICACION!$F$2:$F$500,0))="sin dato","",INDEX(CODIFICACION!$E$2:$E$500,MATCH("D3.14e|"&amp;BG158,CODIFICACION!$F$2:$F$500,0))),"⚠"))</f>
        <v/>
      </c>
      <c r="AC158" t="str">
        <f>IF(BH158="","",IFERROR(IF(INDEX(CODIFICACION!$E$2:$E$500,MATCH("D3.14f|"&amp;BH158,CODIFICACION!$F$2:$F$500,0))="sin dato","",INDEX(CODIFICACION!$E$2:$E$500,MATCH("D3.14f|"&amp;BH158,CODIFICACION!$F$2:$F$500,0))),"⚠"))</f>
        <v/>
      </c>
      <c r="AD158" t="str">
        <f>IF(BI158="","",IFERROR(IF(INDEX(CODIFICACION!$E$2:$E$500,MATCH("D3.14g|"&amp;BI158,CODIFICACION!$F$2:$F$500,0))="sin dato","",INDEX(CODIFICACION!$E$2:$E$500,MATCH("D3.14g|"&amp;BI158,CODIFICACION!$F$2:$F$500,0))),"⚠"))</f>
        <v/>
      </c>
      <c r="AE158" t="str">
        <f>IF(BJ158="","",IFERROR(IF(INDEX(CODIFICACION!$E$2:$E$500,MATCH("D3.14h|"&amp;BJ158,CODIFICACION!$F$2:$F$500,0))="sin dato","",INDEX(CODIFICACION!$E$2:$E$500,MATCH("D3.14h|"&amp;BJ158,CODIFICACION!$F$2:$F$500,0))),"⚠"))</f>
        <v/>
      </c>
      <c r="AF158" t="str">
        <f>IF(BK158="","",IFERROR(IF(INDEX(CODIFICACION!$E$2:$E$500,MATCH("D3.14i|"&amp;BK158,CODIFICACION!$F$2:$F$500,0))="sin dato","",INDEX(CODIFICACION!$E$2:$E$500,MATCH("D3.14i|"&amp;BK158,CODIFICACION!$F$2:$F$500,0))),"⚠"))</f>
        <v/>
      </c>
      <c r="AG158" t="str">
        <f>IF(BL158="","",IFERROR(IF(INDEX(CODIFICACION!$E$2:$E$500,MATCH("D4.15|"&amp;BL158,CODIFICACION!$F$2:$F$500,0))="sin dato","",INDEX(CODIFICACION!$E$2:$E$500,MATCH("D4.15|"&amp;BL158,CODIFICACION!$F$2:$F$500,0))),"⚠"))</f>
        <v/>
      </c>
      <c r="AH158" t="str">
        <f t="shared" si="106"/>
        <v/>
      </c>
      <c r="AI158" t="str">
        <f>IF(BN158="","",IFERROR(IF(INDEX(CODIFICACION!$E$2:$E$500,MATCH("D4.17|"&amp;BN158,CODIFICACION!$F$2:$F$500,0))="sin dato","",INDEX(CODIFICACION!$E$2:$E$500,MATCH("D4.17|"&amp;BN158,CODIFICACION!$F$2:$F$500,0))),"⚠"))</f>
        <v/>
      </c>
      <c r="AJ158" t="str">
        <f>IF(BO158="","",IFERROR(IF(INDEX(CODIFICACION!$E$2:$E$500,MATCH("D4.15a|"&amp;BO158,CODIFICACION!$F$2:$F$500,0))="sin dato","",INDEX(CODIFICACION!$E$2:$E$500,MATCH("D4.15a|"&amp;BO158,CODIFICACION!$F$2:$F$500,0))),"⚠"))</f>
        <v/>
      </c>
      <c r="AK158" t="str">
        <f t="shared" si="107"/>
        <v/>
      </c>
      <c r="AL158" t="str">
        <f t="shared" si="108"/>
        <v/>
      </c>
      <c r="AM158" t="str">
        <f>IF(BR158="","",IFERROR(IF(INDEX(CODIFICACION!$E$2:$E$500,MATCH("D5.18b|"&amp;BR158,CODIFICACION!$F$2:$F$500,0))="sin dato","",INDEX(CODIFICACION!$E$2:$E$500,MATCH("D5.18b|"&amp;BR158,CODIFICACION!$F$2:$F$500,0))),"⚠"))</f>
        <v/>
      </c>
      <c r="AN158" t="str">
        <f>IF(BS158="","",IFERROR(IF(INDEX(CODIFICACION!$E$2:$E$500,MATCH("D5.19|"&amp;BS158,CODIFICACION!$F$2:$F$500,0))="sin dato","",INDEX(CODIFICACION!$E$2:$E$500,MATCH("D5.19|"&amp;BS158,CODIFICACION!$F$2:$F$500,0))),"⚠"))</f>
        <v/>
      </c>
      <c r="AO158" t="str">
        <f t="shared" si="109"/>
        <v/>
      </c>
      <c r="AP158" t="str">
        <f>IF(BU158="","",IFERROR(IF(INDEX(CODIFICACION!$E$2:$E$500,MATCH("D5.20|"&amp;BU158,CODIFICACION!$F$2:$F$500,0))="sin dato","",INDEX(CODIFICACION!$E$2:$E$500,MATCH("D5.20|"&amp;BU158,CODIFICACION!$F$2:$F$500,0))),"⚠"))</f>
        <v/>
      </c>
      <c r="AQ158" t="str">
        <f>IF(BV158="","",IFERROR(IF(INDEX(CODIFICACION!$E$2:$E$500,MATCH("D5.21|"&amp;BV158,CODIFICACION!$F$2:$F$500,0))="sin dato","",INDEX(CODIFICACION!$E$2:$E$500,MATCH("D5.21|"&amp;BV158,CODIFICACION!$F$2:$F$500,0))),"⚠"))</f>
        <v/>
      </c>
      <c r="AR158" t="str">
        <f>IF(BW158="","",IFERROR(IF(INDEX(CODIFICACION!$E$2:$E$500,MATCH("D5.21a|"&amp;BW158,CODIFICACION!$F$2:$F$500,0))="sin dato","",INDEX(CODIFICACION!$E$2:$E$500,MATCH("D5.21a|"&amp;BW158,CODIFICACION!$F$2:$F$500,0))),"⚠"))</f>
        <v/>
      </c>
      <c r="AS158" t="str">
        <f>IF(BX158="","",IFERROR(IF(INDEX(CODIFICACION!$E$2:$E$500,MATCH("D5.21b|"&amp;BX158,CODIFICACION!$F$2:$F$500,0))="sin dato","",INDEX(CODIFICACION!$E$2:$E$500,MATCH("D5.21b|"&amp;BX158,CODIFICACION!$F$2:$F$500,0))),"⚠"))</f>
        <v/>
      </c>
      <c r="AT158" t="str">
        <f>IF(BY158="","",IFERROR(IF(INDEX(CODIFICACION!$E$2:$E$500,MATCH("D6.22|"&amp;BY158,CODIFICACION!$F$2:$F$500,0))="sin dato","",INDEX(CODIFICACION!$E$2:$E$500,MATCH("D6.22|"&amp;BY158,CODIFICACION!$F$2:$F$500,0))),"⚠"))</f>
        <v/>
      </c>
      <c r="AU158" t="str">
        <f>IF(BZ158="","",IFERROR(IF(INDEX(CODIFICACION!$E$2:$E$500,MATCH("D6.22a|"&amp;BZ158,CODIFICACION!$F$2:$F$500,0))="sin dato","",INDEX(CODIFICACION!$E$2:$E$500,MATCH("D6.22a|"&amp;BZ158,CODIFICACION!$F$2:$F$500,0))),"⚠"))</f>
        <v/>
      </c>
      <c r="AV158" t="str">
        <f>IF(CA158="","",IFERROR(IF(INDEX(CODIFICACION!$E$2:$E$500,MATCH("D6.22b|"&amp;CA158,CODIFICACION!$F$2:$F$500,0))="sin dato","",INDEX(CODIFICACION!$E$2:$E$500,MATCH("D6.22b|"&amp;CA158,CODIFICACION!$F$2:$F$500,0))),"⚠"))</f>
        <v/>
      </c>
      <c r="AW158" t="str">
        <f>IF(CB158="","",IFERROR(IF(INDEX(CODIFICACION!$E$2:$E$500,MATCH("D6.23|"&amp;CB158,CODIFICACION!$F$2:$F$500,0))="sin dato","",INDEX(CODIFICACION!$E$2:$E$500,MATCH("D6.23|"&amp;CB158,CODIFICACION!$F$2:$F$500,0))),"⚠"))</f>
        <v/>
      </c>
      <c r="AX158" t="str">
        <f ca="1">IF(CC158="","",IFERROR(IF(INDEX(CODIFICACION!$E$2:$E$500,MATCH("D6.24|"&amp;CC158,CODIFICACION!$F$2:$F$500,0))="sin dato","",INDEX(CODIFICACION!$E$2:$E$500,MATCH("D6.24|"&amp;CC158,CODIFICACION!$F$2:$F$500,0))),"⚠"))</f>
        <v/>
      </c>
      <c r="AY158" t="str">
        <f ca="1">IF(CD158="","",IFERROR(IF(INDEX(CODIFICACION!$E$2:$E$500,MATCH("D6.25|"&amp;CD158,CODIFICACION!$F$2:$F$500,0))="sin dato","",INDEX(CODIFICACION!$E$2:$E$500,MATCH("D6.25|"&amp;CD158,CODIFICACION!$F$2:$F$500,0))),"⚠"))</f>
        <v/>
      </c>
      <c r="AZ158" t="str">
        <f>IF(CE158="","",IFERROR(IF(INDEX(CODIFICACION!$E$2:$E$500,MATCH("D6.25a|"&amp;CE158,CODIFICACION!$F$2:$F$500,0))="sin dato","",INDEX(CODIFICACION!$E$2:$E$500,MATCH("D6.25a|"&amp;CE158,CODIFICACION!$F$2:$F$500,0))),"⚠"))</f>
        <v/>
      </c>
      <c r="BA158" t="str">
        <f>IF(CF158="","",IFERROR(IF(INDEX(CODIFICACION!$E$2:$E$500,MATCH("D6.25b|"&amp;CF158,CODIFICACION!$F$2:$F$500,0))="sin dato","",INDEX(CODIFICACION!$E$2:$E$500,MATCH("D6.25b|"&amp;CF158,CODIFICACION!$F$2:$F$500,0))),"⚠"))</f>
        <v/>
      </c>
      <c r="BB158" t="str">
        <f ca="1">IF(CG158="","",IFERROR(IF(INDEX(CODIFICACION!$E$2:$E$500,MATCH("D6.22c|"&amp;CG158,CODIFICACION!$F$2:$F$500,0))="sin dato","",INDEX(CODIFICACION!$E$2:$E$500,MATCH("D6.22c|"&amp;CG158,CODIFICACION!$F$2:$F$500,0))),"⚠"))</f>
        <v/>
      </c>
      <c r="BC158" t="str">
        <f ca="1">IF(CH158="","",IFERROR(IF(INDEX(CODIFICACION!$E$2:$E$500,MATCH("D7.26|"&amp;CH158,CODIFICACION!$F$2:$F$500,0))="sin dato","",INDEX(CODIFICACION!$E$2:$E$500,MATCH("D7.26|"&amp;CH158,CODIFICACION!$F$2:$F$500,0))),"⚠"))</f>
        <v/>
      </c>
      <c r="BD158" t="str">
        <f>IF(CI158="","",IFERROR(IF(INDEX(CODIFICACION!$E$2:$E$500,MATCH("D7.27|"&amp;CI158,CODIFICACION!$F$2:$F$500,0))="sin dato","",INDEX(CODIFICACION!$E$2:$E$500,MATCH("D7.27|"&amp;CI158,CODIFICACION!$F$2:$F$500,0))),"⚠"))</f>
        <v/>
      </c>
      <c r="BE158" t="str">
        <f>IF(CJ158="","",IFERROR(IF(INDEX(CODIFICACION!$E$2:$E$500,MATCH("D7.28|"&amp;CJ158,CODIFICACION!$F$2:$F$500,0))="sin dato","",INDEX(CODIFICACION!$E$2:$E$500,MATCH("D7.28|"&amp;CJ158,CODIFICACION!$F$2:$F$500,0))),"⚠"))</f>
        <v/>
      </c>
      <c r="BF158" t="str">
        <f>IF(CK158="","",IFERROR(IF(INDEX(CODIFICACION!$E$2:$E$500,MATCH("D7.28b|"&amp;CK158,CODIFICACION!$F$2:$F$500,0))="sin dato","",INDEX(CODIFICACION!$E$2:$E$500,MATCH("D7.28b|"&amp;CK158,CODIFICACION!$F$2:$F$500,0))),"⚠"))</f>
        <v/>
      </c>
      <c r="BG158" t="str">
        <f t="shared" si="110"/>
        <v/>
      </c>
      <c r="BH158" t="str">
        <f>IF(CM158="","",IFERROR(IF(INDEX(CODIFICACION!$E$2:$E$500,MATCH("D7.26a|"&amp;CM158,CODIFICACION!$F$2:$F$500,0))="sin dato","",INDEX(CODIFICACION!$E$2:$E$500,MATCH("D7.26a|"&amp;CM158,CODIFICACION!$F$2:$F$500,0))),"⚠"))</f>
        <v/>
      </c>
      <c r="BI158" t="str">
        <f>IF(CN158="","",IFERROR(IF(INDEX(CODIFICACION!$E$2:$E$500,MATCH("D7.26b|"&amp;CN158,CODIFICACION!$F$2:$F$500,0))="sin dato","",INDEX(CODIFICACION!$E$2:$E$500,MATCH("D7.26b|"&amp;CN158,CODIFICACION!$F$2:$F$500,0))),"⚠"))</f>
        <v/>
      </c>
      <c r="BJ158" t="str">
        <f t="shared" si="111"/>
        <v/>
      </c>
      <c r="BK158" t="str">
        <f t="shared" si="112"/>
        <v/>
      </c>
      <c r="BL158" t="str">
        <f>IF(CQ158="","",IFERROR(IF(INDEX(CODIFICACION!$E$2:$E$500,MATCH("D8.31|"&amp;CQ158,CODIFICACION!$F$2:$F$500,0))="sin dato","",INDEX(CODIFICACION!$E$2:$E$500,MATCH("D8.31|"&amp;CQ158,CODIFICACION!$F$2:$F$500,0))),"⚠"))</f>
        <v/>
      </c>
      <c r="BM158" t="str">
        <f>IF(CR158="","",IFERROR(IF(INDEX(CODIFICACION!$E$2:$E$500,MATCH("D8.32|"&amp;CR158,CODIFICACION!$F$2:$F$500,0))="sin dato","",INDEX(CODIFICACION!$E$2:$E$500,MATCH("D8.32|"&amp;CR158,CODIFICACION!$F$2:$F$500,0))),"⚠"))</f>
        <v/>
      </c>
      <c r="BN158" t="str">
        <f>IF(CS158="","",IFERROR(IF(INDEX(CODIFICACION!$E$2:$E$500,MATCH("D9.33|"&amp;CS158,CODIFICACION!$F$2:$F$500,0))="sin dato","",INDEX(CODIFICACION!$E$2:$E$500,MATCH("D9.33|"&amp;CS158,CODIFICACION!$F$2:$F$500,0))),"⚠"))</f>
        <v/>
      </c>
      <c r="BO158" t="str">
        <f>IF(CT158="","",IFERROR(IF(INDEX(CODIFICACION!$E$2:$E$500,MATCH("D9.34|"&amp;CT158,CODIFICACION!$F$2:$F$500,0))="sin dato","",INDEX(CODIFICACION!$E$2:$E$500,MATCH("D9.34|"&amp;CT158,CODIFICACION!$F$2:$F$500,0))),"⚠"))</f>
        <v/>
      </c>
      <c r="BP158" t="str">
        <f>IF(CU158="","",IFERROR(IF(INDEX(CODIFICACION!$E$2:$E$500,MATCH("D9.35|"&amp;CU158,CODIFICACION!$F$2:$F$500,0))="sin dato","",INDEX(CODIFICACION!$E$2:$E$500,MATCH("D9.35|"&amp;CU158,CODIFICACION!$F$2:$F$500,0))),"⚠"))</f>
        <v/>
      </c>
      <c r="BQ158" t="str">
        <f>IF(CV158="","",IFERROR(IF(INDEX(CODIFICACION!$E$2:$E$500,MATCH("D10.36|"&amp;CV158,CODIFICACION!$F$2:$F$500,0))="sin dato","",INDEX(CODIFICACION!$E$2:$E$500,MATCH("D10.36|"&amp;CV158,CODIFICACION!$F$2:$F$500,0))),"⚠"))</f>
        <v/>
      </c>
      <c r="BR158" t="str">
        <f>IF(CW158="","",IFERROR(IF(INDEX(CODIFICACION!$E$2:$E$500,MATCH("D10.37|"&amp;CW158,CODIFICACION!$F$2:$F$500,0))="sin dato","",INDEX(CODIFICACION!$E$2:$E$500,MATCH("D10.37|"&amp;CW158,CODIFICACION!$F$2:$F$500,0))),"⚠"))</f>
        <v/>
      </c>
      <c r="BS158" t="str">
        <f>IF(CX158="","",IFERROR(IF(INDEX(CODIFICACION!$E$2:$E$500,MATCH("D10.36a|"&amp;CX158,CODIFICACION!$F$2:$F$500,0))="sin dato","",INDEX(CODIFICACION!$E$2:$E$500,MATCH("D10.36a|"&amp;CX158,CODIFICACION!$F$2:$F$500,0))),"⚠"))</f>
        <v/>
      </c>
      <c r="BT158" t="str">
        <f t="shared" si="113"/>
        <v/>
      </c>
      <c r="BU158" t="str">
        <f>IF(DA158="","",IFERROR(IF(INDEX(CODIFICACION!$E$2:$E$500,MATCH("D11.39a|"&amp;DA158,CODIFICACION!$F$2:$F$500,0))="sin dato","",INDEX(CODIFICACION!$E$2:$E$500,MATCH("D11.39a|"&amp;DA158,CODIFICACION!$F$2:$F$500,0))),"⚠"))</f>
        <v/>
      </c>
      <c r="BV158" t="str">
        <f>IF(DB158="","",IFERROR(IF(INDEX(CODIFICACION!$E$2:$E$500,MATCH("D12.42|"&amp;DB158,CODIFICACION!$F$2:$F$500,0))="sin dato","",INDEX(CODIFICACION!$E$2:$E$500,MATCH("D12.42|"&amp;DB158,CODIFICACION!$F$2:$F$500,0))),"⚠"))</f>
        <v/>
      </c>
      <c r="BW158" t="str">
        <f>IF(DC158="","",IFERROR(IF(INDEX(CODIFICACION!$E$2:$E$500,MATCH("D13.45|"&amp;DC158,CODIFICACION!$F$2:$F$500,0))="sin dato","",INDEX(CODIFICACION!$E$2:$E$500,MATCH("D13.45|"&amp;DC158,CODIFICACION!$F$2:$F$500,0))),"⚠"))</f>
        <v/>
      </c>
      <c r="BX158" t="str">
        <f>IF(DD158="","",IFERROR(IF(INDEX(CODIFICACION!$E$2:$E$500,MATCH("D14.51|"&amp;DD158,CODIFICACION!$F$2:$F$500,0))="sin dato","",INDEX(CODIFICACION!$E$2:$E$500,MATCH("D14.51|"&amp;DD158,CODIFICACION!$F$2:$F$500,0))),"⚠"))</f>
        <v/>
      </c>
      <c r="BY158" t="str">
        <f>IF(DE158="","",IFERROR(IF(INDEX(CODIFICACION!$E$2:$E$500,MATCH("D15.58|"&amp;DE158,CODIFICACION!$F$2:$F$500,0))="sin dato","",INDEX(CODIFICACION!$E$2:$E$500,MATCH("D15.58|"&amp;DE158,CODIFICACION!$F$2:$F$500,0))),"⚠"))</f>
        <v/>
      </c>
      <c r="BZ158" t="str">
        <f>IF(DF158="","",IFERROR(IF(INDEX(CODIFICACION!$E$2:$E$500,MATCH("PP1|"&amp;DF158,CODIFICACION!$F$2:$F$500,0))="sin dato","",INDEX(CODIFICACION!$E$2:$E$500,MATCH("PP1|"&amp;DF158,CODIFICACION!$F$2:$F$500,0))),"⚠"))</f>
        <v/>
      </c>
      <c r="CA158" t="str">
        <f>IF(DG158="","",IFERROR(IF(INDEX(CODIFICACION!$E$2:$E$500,MATCH("PP2|"&amp;DG158,CODIFICACION!$F$2:$F$500,0))="sin dato","",INDEX(CODIFICACION!$E$2:$E$500,MATCH("PP2|"&amp;DG158,CODIFICACION!$F$2:$F$500,0))),"⚠"))</f>
        <v/>
      </c>
      <c r="CB158" t="str">
        <f t="shared" si="114"/>
        <v/>
      </c>
      <c r="CC158" t="str">
        <f t="shared" ca="1" si="115"/>
        <v/>
      </c>
      <c r="CD158" t="str">
        <f t="shared" ca="1" si="116"/>
        <v/>
      </c>
      <c r="CE158" t="str">
        <f t="shared" si="117"/>
        <v/>
      </c>
      <c r="CF158" t="str">
        <f t="shared" si="118"/>
        <v/>
      </c>
      <c r="CG158" t="str">
        <f t="shared" ca="1" si="119"/>
        <v/>
      </c>
      <c r="CH158" t="str">
        <f t="shared" ca="1" si="120"/>
        <v/>
      </c>
      <c r="CI158" t="str">
        <f t="shared" si="121"/>
        <v/>
      </c>
      <c r="CJ158" t="str">
        <f t="shared" si="122"/>
        <v/>
      </c>
      <c r="CK158" t="str">
        <f t="shared" si="123"/>
        <v/>
      </c>
      <c r="CL158" t="str">
        <f t="shared" si="124"/>
        <v/>
      </c>
    </row>
    <row r="159" spans="1:90" x14ac:dyDescent="0.3">
      <c r="A159">
        <f>CAPTURA!A159</f>
        <v>20606556331</v>
      </c>
      <c r="B159">
        <f>CAPTURA!C159</f>
        <v>0</v>
      </c>
      <c r="C159" t="str">
        <f t="shared" si="100"/>
        <v/>
      </c>
      <c r="D159" t="str">
        <f>IF(AE159="","",IFERROR(IF(INDEX(CODIFICACION!$E$2:$E$500,MATCH("P8|"&amp;AE159,CODIFICACION!$F$2:$F$500,0))="sin dato","",INDEX(CODIFICACION!$E$2:$E$500,MATCH("P8|"&amp;AE159,CODIFICACION!$F$2:$F$500,0))),"⚠"))</f>
        <v/>
      </c>
      <c r="E159" t="str">
        <f>IF(AG159="","",IFERROR(IF(INDEX(CODIFICACION!$E$2:$E$500,MATCH("P10|"&amp;AG159,CODIFICACION!$F$2:$F$500,0))="sin dato","",INDEX(CODIFICACION!$E$2:$E$500,MATCH("P10|"&amp;AG159,CODIFICACION!$F$2:$F$500,0))),"⚠"))</f>
        <v/>
      </c>
      <c r="F159" t="str">
        <f>IF(AJ159="","",IFERROR(IF(INDEX(CODIFICACION!$E$2:$E$500,MATCH("P13|"&amp;AJ159,CODIFICACION!$F$2:$F$500,0))="sin dato","",INDEX(CODIFICACION!$E$2:$E$500,MATCH("P13|"&amp;AJ159,CODIFICACION!$F$2:$F$500,0))),"⚠"))</f>
        <v/>
      </c>
      <c r="G159" t="str">
        <f>IF(AK159="","",IFERROR(IF(INDEX(CODIFICACION!$E$2:$E$500,MATCH("P14|"&amp;AK159,CODIFICACION!$F$2:$F$500,0))="sin dato","",INDEX(CODIFICACION!$E$2:$E$500,MATCH("P14|"&amp;AK159,CODIFICACION!$F$2:$F$500,0))),"⚠"))</f>
        <v/>
      </c>
      <c r="H159" t="str">
        <f>IF(AL159="","",IFERROR(IF(INDEX(CODIFICACION!$E$2:$E$500,MATCH("D1.1|"&amp;AL159,CODIFICACION!$F$2:$F$500,0))="sin dato","",INDEX(CODIFICACION!$E$2:$E$500,MATCH("D1.1|"&amp;AL159,CODIFICACION!$F$2:$F$500,0))),"⚠"))</f>
        <v/>
      </c>
      <c r="I159" t="str">
        <f>IF(AN159="","",IFERROR(IF(INDEX(CODIFICACION!$E$2:$E$500,MATCH("D1.3|"&amp;AN159,CODIFICACION!$F$2:$F$500,0))="sin dato","",INDEX(CODIFICACION!$E$2:$E$500,MATCH("D1.3|"&amp;AN159,CODIFICACION!$F$2:$F$500,0))),"⚠"))</f>
        <v/>
      </c>
      <c r="J159" t="str">
        <f>IF(AO159="","",IFERROR(IF(INDEX(CODIFICACION!$E$2:$E$500,MATCH("D1.4|"&amp;AO159,CODIFICACION!$F$2:$F$500,0))="sin dato","",INDEX(CODIFICACION!$E$2:$E$500,MATCH("D1.4|"&amp;AO159,CODIFICACION!$F$2:$F$500,0))),"⚠"))</f>
        <v/>
      </c>
      <c r="K159" t="str">
        <f>IF(AP159="","",IFERROR(IF(INDEX(CODIFICACION!$E$2:$E$500,MATCH("D1.3a|"&amp;AP159,CODIFICACION!$F$2:$F$500,0))="sin dato","",INDEX(CODIFICACION!$E$2:$E$500,MATCH("D1.3a|"&amp;AP159,CODIFICACION!$F$2:$F$500,0))),"⚠"))</f>
        <v/>
      </c>
      <c r="L159" t="str">
        <f t="shared" si="101"/>
        <v/>
      </c>
      <c r="M159" t="str">
        <f t="shared" si="102"/>
        <v/>
      </c>
      <c r="N159" t="str">
        <f t="shared" si="103"/>
        <v/>
      </c>
      <c r="O159" t="str">
        <f>IF(AT159="","",IFERROR(IF(INDEX(CODIFICACION!$E$2:$E$500,MATCH("D2.8|"&amp;AT159,CODIFICACION!$F$2:$F$500,0))="sin dato","",INDEX(CODIFICACION!$E$2:$E$500,MATCH("D2.8|"&amp;AT159,CODIFICACION!$F$2:$F$500,0))),"⚠"))</f>
        <v/>
      </c>
      <c r="P159" t="str">
        <f>IF(AU159="","",IFERROR(IF(INDEX(CODIFICACION!$E$2:$E$500,MATCH("D2.9|"&amp;AU159,CODIFICACION!$F$2:$F$500,0))="sin dato","",INDEX(CODIFICACION!$E$2:$E$500,MATCH("D2.9|"&amp;AU159,CODIFICACION!$F$2:$F$500,0))),"⚠"))</f>
        <v/>
      </c>
      <c r="Q159" t="str">
        <f>IF(AV159="","",IFERROR(IF(INDEX(CODIFICACION!$E$2:$E$500,MATCH("D2.10|"&amp;AV159,CODIFICACION!$F$2:$F$500,0))="sin dato","",INDEX(CODIFICACION!$E$2:$E$500,MATCH("D2.10|"&amp;AV159,CODIFICACION!$F$2:$F$500,0))),"⚠"))</f>
        <v/>
      </c>
      <c r="R159" t="str">
        <f>IF(AW159="","",IFERROR(IF(INDEX(CODIFICACION!$E$2:$E$500,MATCH("D2.5a|"&amp;AW159,CODIFICACION!$F$2:$F$500,0))="sin dato","",INDEX(CODIFICACION!$E$2:$E$500,MATCH("D2.5a|"&amp;AW159,CODIFICACION!$F$2:$F$500,0))),"⚠"))</f>
        <v/>
      </c>
      <c r="S159" t="str">
        <f ca="1">IF(AX159="","",IFERROR(IF(INDEX(CODIFICACION!$E$2:$E$500,MATCH("D2.5b|"&amp;AX159,CODIFICACION!$F$2:$F$500,0))="sin dato","",INDEX(CODIFICACION!$E$2:$E$500,MATCH("D2.5b|"&amp;AX159,CODIFICACION!$F$2:$F$500,0))),"⚠"))</f>
        <v/>
      </c>
      <c r="T159" t="str">
        <f t="shared" ca="1" si="104"/>
        <v/>
      </c>
      <c r="U159" t="str">
        <f>IF(AZ159="","",IFERROR(IF(INDEX(CODIFICACION!$E$2:$E$500,MATCH("D3.12|"&amp;AZ159,CODIFICACION!$F$2:$F$500,0))="sin dato","",INDEX(CODIFICACION!$E$2:$E$500,MATCH("D3.12|"&amp;AZ159,CODIFICACION!$F$2:$F$500,0))),"⚠"))</f>
        <v/>
      </c>
      <c r="V159" t="str">
        <f t="shared" si="105"/>
        <v/>
      </c>
      <c r="W159" t="str">
        <f ca="1">IF(BB159="","",IFERROR(IF(INDEX(CODIFICACION!$E$2:$E$500,MATCH("D3.14|"&amp;BB159,CODIFICACION!$F$2:$F$500,0))="sin dato","",INDEX(CODIFICACION!$E$2:$E$500,MATCH("D3.14|"&amp;BB159,CODIFICACION!$F$2:$F$500,0))),"⚠"))</f>
        <v/>
      </c>
      <c r="X159" t="str">
        <f ca="1">IF(BC159="","",IFERROR(IF(INDEX(CODIFICACION!$E$2:$E$500,MATCH("D3.14a|"&amp;BC159,CODIFICACION!$F$2:$F$500,0))="sin dato","",INDEX(CODIFICACION!$E$2:$E$500,MATCH("D3.14a|"&amp;BC159,CODIFICACION!$F$2:$F$500,0))),"⚠"))</f>
        <v/>
      </c>
      <c r="Y159" t="str">
        <f>IF(BD159="","",IFERROR(IF(INDEX(CODIFICACION!$E$2:$E$500,MATCH("D3.14b|"&amp;BD159,CODIFICACION!$F$2:$F$500,0))="sin dato","",INDEX(CODIFICACION!$E$2:$E$500,MATCH("D3.14b|"&amp;BD159,CODIFICACION!$F$2:$F$500,0))),"⚠"))</f>
        <v/>
      </c>
      <c r="Z159" t="str">
        <f>IF(BE159="","",IFERROR(IF(INDEX(CODIFICACION!$E$2:$E$500,MATCH("D3.14c|"&amp;BE159,CODIFICACION!$F$2:$F$500,0))="sin dato","",INDEX(CODIFICACION!$E$2:$E$500,MATCH("D3.14c|"&amp;BE159,CODIFICACION!$F$2:$F$500,0))),"⚠"))</f>
        <v/>
      </c>
      <c r="AA159" t="str">
        <f>IF(BF159="","",IFERROR(IF(INDEX(CODIFICACION!$E$2:$E$500,MATCH("D3.14d|"&amp;BF159,CODIFICACION!$F$2:$F$500,0))="sin dato","",INDEX(CODIFICACION!$E$2:$E$500,MATCH("D3.14d|"&amp;BF159,CODIFICACION!$F$2:$F$500,0))),"⚠"))</f>
        <v/>
      </c>
      <c r="AB159" t="str">
        <f>IF(BG159="","",IFERROR(IF(INDEX(CODIFICACION!$E$2:$E$500,MATCH("D3.14e|"&amp;BG159,CODIFICACION!$F$2:$F$500,0))="sin dato","",INDEX(CODIFICACION!$E$2:$E$500,MATCH("D3.14e|"&amp;BG159,CODIFICACION!$F$2:$F$500,0))),"⚠"))</f>
        <v/>
      </c>
      <c r="AC159" t="str">
        <f>IF(BH159="","",IFERROR(IF(INDEX(CODIFICACION!$E$2:$E$500,MATCH("D3.14f|"&amp;BH159,CODIFICACION!$F$2:$F$500,0))="sin dato","",INDEX(CODIFICACION!$E$2:$E$500,MATCH("D3.14f|"&amp;BH159,CODIFICACION!$F$2:$F$500,0))),"⚠"))</f>
        <v/>
      </c>
      <c r="AD159" t="str">
        <f>IF(BI159="","",IFERROR(IF(INDEX(CODIFICACION!$E$2:$E$500,MATCH("D3.14g|"&amp;BI159,CODIFICACION!$F$2:$F$500,0))="sin dato","",INDEX(CODIFICACION!$E$2:$E$500,MATCH("D3.14g|"&amp;BI159,CODIFICACION!$F$2:$F$500,0))),"⚠"))</f>
        <v/>
      </c>
      <c r="AE159" t="str">
        <f>IF(BJ159="","",IFERROR(IF(INDEX(CODIFICACION!$E$2:$E$500,MATCH("D3.14h|"&amp;BJ159,CODIFICACION!$F$2:$F$500,0))="sin dato","",INDEX(CODIFICACION!$E$2:$E$500,MATCH("D3.14h|"&amp;BJ159,CODIFICACION!$F$2:$F$500,0))),"⚠"))</f>
        <v/>
      </c>
      <c r="AF159" t="str">
        <f>IF(BK159="","",IFERROR(IF(INDEX(CODIFICACION!$E$2:$E$500,MATCH("D3.14i|"&amp;BK159,CODIFICACION!$F$2:$F$500,0))="sin dato","",INDEX(CODIFICACION!$E$2:$E$500,MATCH("D3.14i|"&amp;BK159,CODIFICACION!$F$2:$F$500,0))),"⚠"))</f>
        <v/>
      </c>
      <c r="AG159" t="str">
        <f>IF(BL159="","",IFERROR(IF(INDEX(CODIFICACION!$E$2:$E$500,MATCH("D4.15|"&amp;BL159,CODIFICACION!$F$2:$F$500,0))="sin dato","",INDEX(CODIFICACION!$E$2:$E$500,MATCH("D4.15|"&amp;BL159,CODIFICACION!$F$2:$F$500,0))),"⚠"))</f>
        <v/>
      </c>
      <c r="AH159" t="str">
        <f t="shared" si="106"/>
        <v/>
      </c>
      <c r="AI159" t="str">
        <f>IF(BN159="","",IFERROR(IF(INDEX(CODIFICACION!$E$2:$E$500,MATCH("D4.17|"&amp;BN159,CODIFICACION!$F$2:$F$500,0))="sin dato","",INDEX(CODIFICACION!$E$2:$E$500,MATCH("D4.17|"&amp;BN159,CODIFICACION!$F$2:$F$500,0))),"⚠"))</f>
        <v/>
      </c>
      <c r="AJ159" t="str">
        <f>IF(BO159="","",IFERROR(IF(INDEX(CODIFICACION!$E$2:$E$500,MATCH("D4.15a|"&amp;BO159,CODIFICACION!$F$2:$F$500,0))="sin dato","",INDEX(CODIFICACION!$E$2:$E$500,MATCH("D4.15a|"&amp;BO159,CODIFICACION!$F$2:$F$500,0))),"⚠"))</f>
        <v/>
      </c>
      <c r="AK159" t="str">
        <f t="shared" si="107"/>
        <v/>
      </c>
      <c r="AL159" t="str">
        <f t="shared" si="108"/>
        <v/>
      </c>
      <c r="AM159" t="str">
        <f>IF(BR159="","",IFERROR(IF(INDEX(CODIFICACION!$E$2:$E$500,MATCH("D5.18b|"&amp;BR159,CODIFICACION!$F$2:$F$500,0))="sin dato","",INDEX(CODIFICACION!$E$2:$E$500,MATCH("D5.18b|"&amp;BR159,CODIFICACION!$F$2:$F$500,0))),"⚠"))</f>
        <v/>
      </c>
      <c r="AN159" t="str">
        <f>IF(BS159="","",IFERROR(IF(INDEX(CODIFICACION!$E$2:$E$500,MATCH("D5.19|"&amp;BS159,CODIFICACION!$F$2:$F$500,0))="sin dato","",INDEX(CODIFICACION!$E$2:$E$500,MATCH("D5.19|"&amp;BS159,CODIFICACION!$F$2:$F$500,0))),"⚠"))</f>
        <v/>
      </c>
      <c r="AO159" t="str">
        <f t="shared" si="109"/>
        <v/>
      </c>
      <c r="AP159" t="str">
        <f>IF(BU159="","",IFERROR(IF(INDEX(CODIFICACION!$E$2:$E$500,MATCH("D5.20|"&amp;BU159,CODIFICACION!$F$2:$F$500,0))="sin dato","",INDEX(CODIFICACION!$E$2:$E$500,MATCH("D5.20|"&amp;BU159,CODIFICACION!$F$2:$F$500,0))),"⚠"))</f>
        <v/>
      </c>
      <c r="AQ159" t="str">
        <f>IF(BV159="","",IFERROR(IF(INDEX(CODIFICACION!$E$2:$E$500,MATCH("D5.21|"&amp;BV159,CODIFICACION!$F$2:$F$500,0))="sin dato","",INDEX(CODIFICACION!$E$2:$E$500,MATCH("D5.21|"&amp;BV159,CODIFICACION!$F$2:$F$500,0))),"⚠"))</f>
        <v/>
      </c>
      <c r="AR159" t="str">
        <f>IF(BW159="","",IFERROR(IF(INDEX(CODIFICACION!$E$2:$E$500,MATCH("D5.21a|"&amp;BW159,CODIFICACION!$F$2:$F$500,0))="sin dato","",INDEX(CODIFICACION!$E$2:$E$500,MATCH("D5.21a|"&amp;BW159,CODIFICACION!$F$2:$F$500,0))),"⚠"))</f>
        <v/>
      </c>
      <c r="AS159" t="str">
        <f>IF(BX159="","",IFERROR(IF(INDEX(CODIFICACION!$E$2:$E$500,MATCH("D5.21b|"&amp;BX159,CODIFICACION!$F$2:$F$500,0))="sin dato","",INDEX(CODIFICACION!$E$2:$E$500,MATCH("D5.21b|"&amp;BX159,CODIFICACION!$F$2:$F$500,0))),"⚠"))</f>
        <v/>
      </c>
      <c r="AT159" t="str">
        <f>IF(BY159="","",IFERROR(IF(INDEX(CODIFICACION!$E$2:$E$500,MATCH("D6.22|"&amp;BY159,CODIFICACION!$F$2:$F$500,0))="sin dato","",INDEX(CODIFICACION!$E$2:$E$500,MATCH("D6.22|"&amp;BY159,CODIFICACION!$F$2:$F$500,0))),"⚠"))</f>
        <v/>
      </c>
      <c r="AU159" t="str">
        <f>IF(BZ159="","",IFERROR(IF(INDEX(CODIFICACION!$E$2:$E$500,MATCH("D6.22a|"&amp;BZ159,CODIFICACION!$F$2:$F$500,0))="sin dato","",INDEX(CODIFICACION!$E$2:$E$500,MATCH("D6.22a|"&amp;BZ159,CODIFICACION!$F$2:$F$500,0))),"⚠"))</f>
        <v/>
      </c>
      <c r="AV159" t="str">
        <f>IF(CA159="","",IFERROR(IF(INDEX(CODIFICACION!$E$2:$E$500,MATCH("D6.22b|"&amp;CA159,CODIFICACION!$F$2:$F$500,0))="sin dato","",INDEX(CODIFICACION!$E$2:$E$500,MATCH("D6.22b|"&amp;CA159,CODIFICACION!$F$2:$F$500,0))),"⚠"))</f>
        <v/>
      </c>
      <c r="AW159" t="str">
        <f>IF(CB159="","",IFERROR(IF(INDEX(CODIFICACION!$E$2:$E$500,MATCH("D6.23|"&amp;CB159,CODIFICACION!$F$2:$F$500,0))="sin dato","",INDEX(CODIFICACION!$E$2:$E$500,MATCH("D6.23|"&amp;CB159,CODIFICACION!$F$2:$F$500,0))),"⚠"))</f>
        <v/>
      </c>
      <c r="AX159" t="str">
        <f ca="1">IF(CC159="","",IFERROR(IF(INDEX(CODIFICACION!$E$2:$E$500,MATCH("D6.24|"&amp;CC159,CODIFICACION!$F$2:$F$500,0))="sin dato","",INDEX(CODIFICACION!$E$2:$E$500,MATCH("D6.24|"&amp;CC159,CODIFICACION!$F$2:$F$500,0))),"⚠"))</f>
        <v/>
      </c>
      <c r="AY159" t="str">
        <f ca="1">IF(CD159="","",IFERROR(IF(INDEX(CODIFICACION!$E$2:$E$500,MATCH("D6.25|"&amp;CD159,CODIFICACION!$F$2:$F$500,0))="sin dato","",INDEX(CODIFICACION!$E$2:$E$500,MATCH("D6.25|"&amp;CD159,CODIFICACION!$F$2:$F$500,0))),"⚠"))</f>
        <v/>
      </c>
      <c r="AZ159" t="str">
        <f>IF(CE159="","",IFERROR(IF(INDEX(CODIFICACION!$E$2:$E$500,MATCH("D6.25a|"&amp;CE159,CODIFICACION!$F$2:$F$500,0))="sin dato","",INDEX(CODIFICACION!$E$2:$E$500,MATCH("D6.25a|"&amp;CE159,CODIFICACION!$F$2:$F$500,0))),"⚠"))</f>
        <v/>
      </c>
      <c r="BA159" t="str">
        <f>IF(CF159="","",IFERROR(IF(INDEX(CODIFICACION!$E$2:$E$500,MATCH("D6.25b|"&amp;CF159,CODIFICACION!$F$2:$F$500,0))="sin dato","",INDEX(CODIFICACION!$E$2:$E$500,MATCH("D6.25b|"&amp;CF159,CODIFICACION!$F$2:$F$500,0))),"⚠"))</f>
        <v/>
      </c>
      <c r="BB159" t="str">
        <f ca="1">IF(CG159="","",IFERROR(IF(INDEX(CODIFICACION!$E$2:$E$500,MATCH("D6.22c|"&amp;CG159,CODIFICACION!$F$2:$F$500,0))="sin dato","",INDEX(CODIFICACION!$E$2:$E$500,MATCH("D6.22c|"&amp;CG159,CODIFICACION!$F$2:$F$500,0))),"⚠"))</f>
        <v/>
      </c>
      <c r="BC159" t="str">
        <f ca="1">IF(CH159="","",IFERROR(IF(INDEX(CODIFICACION!$E$2:$E$500,MATCH("D7.26|"&amp;CH159,CODIFICACION!$F$2:$F$500,0))="sin dato","",INDEX(CODIFICACION!$E$2:$E$500,MATCH("D7.26|"&amp;CH159,CODIFICACION!$F$2:$F$500,0))),"⚠"))</f>
        <v/>
      </c>
      <c r="BD159" t="str">
        <f>IF(CI159="","",IFERROR(IF(INDEX(CODIFICACION!$E$2:$E$500,MATCH("D7.27|"&amp;CI159,CODIFICACION!$F$2:$F$500,0))="sin dato","",INDEX(CODIFICACION!$E$2:$E$500,MATCH("D7.27|"&amp;CI159,CODIFICACION!$F$2:$F$500,0))),"⚠"))</f>
        <v/>
      </c>
      <c r="BE159" t="str">
        <f>IF(CJ159="","",IFERROR(IF(INDEX(CODIFICACION!$E$2:$E$500,MATCH("D7.28|"&amp;CJ159,CODIFICACION!$F$2:$F$500,0))="sin dato","",INDEX(CODIFICACION!$E$2:$E$500,MATCH("D7.28|"&amp;CJ159,CODIFICACION!$F$2:$F$500,0))),"⚠"))</f>
        <v/>
      </c>
      <c r="BF159" t="str">
        <f>IF(CK159="","",IFERROR(IF(INDEX(CODIFICACION!$E$2:$E$500,MATCH("D7.28b|"&amp;CK159,CODIFICACION!$F$2:$F$500,0))="sin dato","",INDEX(CODIFICACION!$E$2:$E$500,MATCH("D7.28b|"&amp;CK159,CODIFICACION!$F$2:$F$500,0))),"⚠"))</f>
        <v/>
      </c>
      <c r="BG159" t="str">
        <f t="shared" si="110"/>
        <v/>
      </c>
      <c r="BH159" t="str">
        <f>IF(CM159="","",IFERROR(IF(INDEX(CODIFICACION!$E$2:$E$500,MATCH("D7.26a|"&amp;CM159,CODIFICACION!$F$2:$F$500,0))="sin dato","",INDEX(CODIFICACION!$E$2:$E$500,MATCH("D7.26a|"&amp;CM159,CODIFICACION!$F$2:$F$500,0))),"⚠"))</f>
        <v/>
      </c>
      <c r="BI159" t="str">
        <f>IF(CN159="","",IFERROR(IF(INDEX(CODIFICACION!$E$2:$E$500,MATCH("D7.26b|"&amp;CN159,CODIFICACION!$F$2:$F$500,0))="sin dato","",INDEX(CODIFICACION!$E$2:$E$500,MATCH("D7.26b|"&amp;CN159,CODIFICACION!$F$2:$F$500,0))),"⚠"))</f>
        <v/>
      </c>
      <c r="BJ159" t="str">
        <f t="shared" si="111"/>
        <v/>
      </c>
      <c r="BK159" t="str">
        <f t="shared" si="112"/>
        <v/>
      </c>
      <c r="BL159" t="str">
        <f>IF(CQ159="","",IFERROR(IF(INDEX(CODIFICACION!$E$2:$E$500,MATCH("D8.31|"&amp;CQ159,CODIFICACION!$F$2:$F$500,0))="sin dato","",INDEX(CODIFICACION!$E$2:$E$500,MATCH("D8.31|"&amp;CQ159,CODIFICACION!$F$2:$F$500,0))),"⚠"))</f>
        <v/>
      </c>
      <c r="BM159" t="str">
        <f>IF(CR159="","",IFERROR(IF(INDEX(CODIFICACION!$E$2:$E$500,MATCH("D8.32|"&amp;CR159,CODIFICACION!$F$2:$F$500,0))="sin dato","",INDEX(CODIFICACION!$E$2:$E$500,MATCH("D8.32|"&amp;CR159,CODIFICACION!$F$2:$F$500,0))),"⚠"))</f>
        <v/>
      </c>
      <c r="BN159" t="str">
        <f>IF(CS159="","",IFERROR(IF(INDEX(CODIFICACION!$E$2:$E$500,MATCH("D9.33|"&amp;CS159,CODIFICACION!$F$2:$F$500,0))="sin dato","",INDEX(CODIFICACION!$E$2:$E$500,MATCH("D9.33|"&amp;CS159,CODIFICACION!$F$2:$F$500,0))),"⚠"))</f>
        <v/>
      </c>
      <c r="BO159" t="str">
        <f>IF(CT159="","",IFERROR(IF(INDEX(CODIFICACION!$E$2:$E$500,MATCH("D9.34|"&amp;CT159,CODIFICACION!$F$2:$F$500,0))="sin dato","",INDEX(CODIFICACION!$E$2:$E$500,MATCH("D9.34|"&amp;CT159,CODIFICACION!$F$2:$F$500,0))),"⚠"))</f>
        <v/>
      </c>
      <c r="BP159" t="str">
        <f>IF(CU159="","",IFERROR(IF(INDEX(CODIFICACION!$E$2:$E$500,MATCH("D9.35|"&amp;CU159,CODIFICACION!$F$2:$F$500,0))="sin dato","",INDEX(CODIFICACION!$E$2:$E$500,MATCH("D9.35|"&amp;CU159,CODIFICACION!$F$2:$F$500,0))),"⚠"))</f>
        <v/>
      </c>
      <c r="BQ159" t="str">
        <f>IF(CV159="","",IFERROR(IF(INDEX(CODIFICACION!$E$2:$E$500,MATCH("D10.36|"&amp;CV159,CODIFICACION!$F$2:$F$500,0))="sin dato","",INDEX(CODIFICACION!$E$2:$E$500,MATCH("D10.36|"&amp;CV159,CODIFICACION!$F$2:$F$500,0))),"⚠"))</f>
        <v/>
      </c>
      <c r="BR159" t="str">
        <f>IF(CW159="","",IFERROR(IF(INDEX(CODIFICACION!$E$2:$E$500,MATCH("D10.37|"&amp;CW159,CODIFICACION!$F$2:$F$500,0))="sin dato","",INDEX(CODIFICACION!$E$2:$E$500,MATCH("D10.37|"&amp;CW159,CODIFICACION!$F$2:$F$500,0))),"⚠"))</f>
        <v/>
      </c>
      <c r="BS159" t="str">
        <f>IF(CX159="","",IFERROR(IF(INDEX(CODIFICACION!$E$2:$E$500,MATCH("D10.36a|"&amp;CX159,CODIFICACION!$F$2:$F$500,0))="sin dato","",INDEX(CODIFICACION!$E$2:$E$500,MATCH("D10.36a|"&amp;CX159,CODIFICACION!$F$2:$F$500,0))),"⚠"))</f>
        <v/>
      </c>
      <c r="BT159" t="str">
        <f t="shared" si="113"/>
        <v/>
      </c>
      <c r="BU159" t="str">
        <f>IF(DA159="","",IFERROR(IF(INDEX(CODIFICACION!$E$2:$E$500,MATCH("D11.39a|"&amp;DA159,CODIFICACION!$F$2:$F$500,0))="sin dato","",INDEX(CODIFICACION!$E$2:$E$500,MATCH("D11.39a|"&amp;DA159,CODIFICACION!$F$2:$F$500,0))),"⚠"))</f>
        <v/>
      </c>
      <c r="BV159" t="str">
        <f>IF(DB159="","",IFERROR(IF(INDEX(CODIFICACION!$E$2:$E$500,MATCH("D12.42|"&amp;DB159,CODIFICACION!$F$2:$F$500,0))="sin dato","",INDEX(CODIFICACION!$E$2:$E$500,MATCH("D12.42|"&amp;DB159,CODIFICACION!$F$2:$F$500,0))),"⚠"))</f>
        <v/>
      </c>
      <c r="BW159" t="str">
        <f>IF(DC159="","",IFERROR(IF(INDEX(CODIFICACION!$E$2:$E$500,MATCH("D13.45|"&amp;DC159,CODIFICACION!$F$2:$F$500,0))="sin dato","",INDEX(CODIFICACION!$E$2:$E$500,MATCH("D13.45|"&amp;DC159,CODIFICACION!$F$2:$F$500,0))),"⚠"))</f>
        <v/>
      </c>
      <c r="BX159" t="str">
        <f>IF(DD159="","",IFERROR(IF(INDEX(CODIFICACION!$E$2:$E$500,MATCH("D14.51|"&amp;DD159,CODIFICACION!$F$2:$F$500,0))="sin dato","",INDEX(CODIFICACION!$E$2:$E$500,MATCH("D14.51|"&amp;DD159,CODIFICACION!$F$2:$F$500,0))),"⚠"))</f>
        <v/>
      </c>
      <c r="BY159" t="str">
        <f>IF(DE159="","",IFERROR(IF(INDEX(CODIFICACION!$E$2:$E$500,MATCH("D15.58|"&amp;DE159,CODIFICACION!$F$2:$F$500,0))="sin dato","",INDEX(CODIFICACION!$E$2:$E$500,MATCH("D15.58|"&amp;DE159,CODIFICACION!$F$2:$F$500,0))),"⚠"))</f>
        <v/>
      </c>
      <c r="BZ159" t="str">
        <f>IF(DF159="","",IFERROR(IF(INDEX(CODIFICACION!$E$2:$E$500,MATCH("PP1|"&amp;DF159,CODIFICACION!$F$2:$F$500,0))="sin dato","",INDEX(CODIFICACION!$E$2:$E$500,MATCH("PP1|"&amp;DF159,CODIFICACION!$F$2:$F$500,0))),"⚠"))</f>
        <v/>
      </c>
      <c r="CA159" t="str">
        <f>IF(DG159="","",IFERROR(IF(INDEX(CODIFICACION!$E$2:$E$500,MATCH("PP2|"&amp;DG159,CODIFICACION!$F$2:$F$500,0))="sin dato","",INDEX(CODIFICACION!$E$2:$E$500,MATCH("PP2|"&amp;DG159,CODIFICACION!$F$2:$F$500,0))),"⚠"))</f>
        <v/>
      </c>
      <c r="CB159" t="str">
        <f t="shared" si="114"/>
        <v/>
      </c>
      <c r="CC159" t="str">
        <f t="shared" ca="1" si="115"/>
        <v/>
      </c>
      <c r="CD159" t="str">
        <f t="shared" ca="1" si="116"/>
        <v/>
      </c>
      <c r="CE159" t="str">
        <f t="shared" si="117"/>
        <v/>
      </c>
      <c r="CF159" t="str">
        <f t="shared" si="118"/>
        <v/>
      </c>
      <c r="CG159" t="str">
        <f t="shared" ca="1" si="119"/>
        <v/>
      </c>
      <c r="CH159" t="str">
        <f t="shared" ca="1" si="120"/>
        <v/>
      </c>
      <c r="CI159" t="str">
        <f t="shared" si="121"/>
        <v/>
      </c>
      <c r="CJ159" t="str">
        <f t="shared" si="122"/>
        <v/>
      </c>
      <c r="CK159" t="str">
        <f t="shared" si="123"/>
        <v/>
      </c>
      <c r="CL159" t="str">
        <f t="shared" si="124"/>
        <v/>
      </c>
    </row>
    <row r="160" spans="1:90" x14ac:dyDescent="0.3">
      <c r="A160">
        <f>CAPTURA!A160</f>
        <v>20606717475</v>
      </c>
      <c r="B160">
        <f>CAPTURA!C160</f>
        <v>0</v>
      </c>
      <c r="C160" t="str">
        <f t="shared" si="100"/>
        <v/>
      </c>
      <c r="D160" t="str">
        <f>IF(AE160="","",IFERROR(IF(INDEX(CODIFICACION!$E$2:$E$500,MATCH("P8|"&amp;AE160,CODIFICACION!$F$2:$F$500,0))="sin dato","",INDEX(CODIFICACION!$E$2:$E$500,MATCH("P8|"&amp;AE160,CODIFICACION!$F$2:$F$500,0))),"⚠"))</f>
        <v/>
      </c>
      <c r="E160" t="str">
        <f>IF(AG160="","",IFERROR(IF(INDEX(CODIFICACION!$E$2:$E$500,MATCH("P10|"&amp;AG160,CODIFICACION!$F$2:$F$500,0))="sin dato","",INDEX(CODIFICACION!$E$2:$E$500,MATCH("P10|"&amp;AG160,CODIFICACION!$F$2:$F$500,0))),"⚠"))</f>
        <v/>
      </c>
      <c r="F160" t="str">
        <f>IF(AJ160="","",IFERROR(IF(INDEX(CODIFICACION!$E$2:$E$500,MATCH("P13|"&amp;AJ160,CODIFICACION!$F$2:$F$500,0))="sin dato","",INDEX(CODIFICACION!$E$2:$E$500,MATCH("P13|"&amp;AJ160,CODIFICACION!$F$2:$F$500,0))),"⚠"))</f>
        <v/>
      </c>
      <c r="G160" t="str">
        <f>IF(AK160="","",IFERROR(IF(INDEX(CODIFICACION!$E$2:$E$500,MATCH("P14|"&amp;AK160,CODIFICACION!$F$2:$F$500,0))="sin dato","",INDEX(CODIFICACION!$E$2:$E$500,MATCH("P14|"&amp;AK160,CODIFICACION!$F$2:$F$500,0))),"⚠"))</f>
        <v/>
      </c>
      <c r="H160" t="str">
        <f>IF(AL160="","",IFERROR(IF(INDEX(CODIFICACION!$E$2:$E$500,MATCH("D1.1|"&amp;AL160,CODIFICACION!$F$2:$F$500,0))="sin dato","",INDEX(CODIFICACION!$E$2:$E$500,MATCH("D1.1|"&amp;AL160,CODIFICACION!$F$2:$F$500,0))),"⚠"))</f>
        <v/>
      </c>
      <c r="I160" t="str">
        <f>IF(AN160="","",IFERROR(IF(INDEX(CODIFICACION!$E$2:$E$500,MATCH("D1.3|"&amp;AN160,CODIFICACION!$F$2:$F$500,0))="sin dato","",INDEX(CODIFICACION!$E$2:$E$500,MATCH("D1.3|"&amp;AN160,CODIFICACION!$F$2:$F$500,0))),"⚠"))</f>
        <v/>
      </c>
      <c r="J160" t="str">
        <f>IF(AO160="","",IFERROR(IF(INDEX(CODIFICACION!$E$2:$E$500,MATCH("D1.4|"&amp;AO160,CODIFICACION!$F$2:$F$500,0))="sin dato","",INDEX(CODIFICACION!$E$2:$E$500,MATCH("D1.4|"&amp;AO160,CODIFICACION!$F$2:$F$500,0))),"⚠"))</f>
        <v/>
      </c>
      <c r="K160" t="str">
        <f>IF(AP160="","",IFERROR(IF(INDEX(CODIFICACION!$E$2:$E$500,MATCH("D1.3a|"&amp;AP160,CODIFICACION!$F$2:$F$500,0))="sin dato","",INDEX(CODIFICACION!$E$2:$E$500,MATCH("D1.3a|"&amp;AP160,CODIFICACION!$F$2:$F$500,0))),"⚠"))</f>
        <v/>
      </c>
      <c r="L160" t="str">
        <f t="shared" si="101"/>
        <v/>
      </c>
      <c r="M160" t="str">
        <f t="shared" si="102"/>
        <v/>
      </c>
      <c r="N160" t="str">
        <f t="shared" si="103"/>
        <v/>
      </c>
      <c r="O160" t="str">
        <f>IF(AT160="","",IFERROR(IF(INDEX(CODIFICACION!$E$2:$E$500,MATCH("D2.8|"&amp;AT160,CODIFICACION!$F$2:$F$500,0))="sin dato","",INDEX(CODIFICACION!$E$2:$E$500,MATCH("D2.8|"&amp;AT160,CODIFICACION!$F$2:$F$500,0))),"⚠"))</f>
        <v/>
      </c>
      <c r="P160" t="str">
        <f>IF(AU160="","",IFERROR(IF(INDEX(CODIFICACION!$E$2:$E$500,MATCH("D2.9|"&amp;AU160,CODIFICACION!$F$2:$F$500,0))="sin dato","",INDEX(CODIFICACION!$E$2:$E$500,MATCH("D2.9|"&amp;AU160,CODIFICACION!$F$2:$F$500,0))),"⚠"))</f>
        <v/>
      </c>
      <c r="Q160" t="str">
        <f>IF(AV160="","",IFERROR(IF(INDEX(CODIFICACION!$E$2:$E$500,MATCH("D2.10|"&amp;AV160,CODIFICACION!$F$2:$F$500,0))="sin dato","",INDEX(CODIFICACION!$E$2:$E$500,MATCH("D2.10|"&amp;AV160,CODIFICACION!$F$2:$F$500,0))),"⚠"))</f>
        <v/>
      </c>
      <c r="R160" t="str">
        <f>IF(AW160="","",IFERROR(IF(INDEX(CODIFICACION!$E$2:$E$500,MATCH("D2.5a|"&amp;AW160,CODIFICACION!$F$2:$F$500,0))="sin dato","",INDEX(CODIFICACION!$E$2:$E$500,MATCH("D2.5a|"&amp;AW160,CODIFICACION!$F$2:$F$500,0))),"⚠"))</f>
        <v/>
      </c>
      <c r="S160" t="str">
        <f ca="1">IF(AX160="","",IFERROR(IF(INDEX(CODIFICACION!$E$2:$E$500,MATCH("D2.5b|"&amp;AX160,CODIFICACION!$F$2:$F$500,0))="sin dato","",INDEX(CODIFICACION!$E$2:$E$500,MATCH("D2.5b|"&amp;AX160,CODIFICACION!$F$2:$F$500,0))),"⚠"))</f>
        <v/>
      </c>
      <c r="T160" t="str">
        <f t="shared" ca="1" si="104"/>
        <v/>
      </c>
      <c r="U160" t="str">
        <f>IF(AZ160="","",IFERROR(IF(INDEX(CODIFICACION!$E$2:$E$500,MATCH("D3.12|"&amp;AZ160,CODIFICACION!$F$2:$F$500,0))="sin dato","",INDEX(CODIFICACION!$E$2:$E$500,MATCH("D3.12|"&amp;AZ160,CODIFICACION!$F$2:$F$500,0))),"⚠"))</f>
        <v/>
      </c>
      <c r="V160" t="str">
        <f t="shared" si="105"/>
        <v/>
      </c>
      <c r="W160" t="str">
        <f ca="1">IF(BB160="","",IFERROR(IF(INDEX(CODIFICACION!$E$2:$E$500,MATCH("D3.14|"&amp;BB160,CODIFICACION!$F$2:$F$500,0))="sin dato","",INDEX(CODIFICACION!$E$2:$E$500,MATCH("D3.14|"&amp;BB160,CODIFICACION!$F$2:$F$500,0))),"⚠"))</f>
        <v/>
      </c>
      <c r="X160" t="str">
        <f ca="1">IF(BC160="","",IFERROR(IF(INDEX(CODIFICACION!$E$2:$E$500,MATCH("D3.14a|"&amp;BC160,CODIFICACION!$F$2:$F$500,0))="sin dato","",INDEX(CODIFICACION!$E$2:$E$500,MATCH("D3.14a|"&amp;BC160,CODIFICACION!$F$2:$F$500,0))),"⚠"))</f>
        <v/>
      </c>
      <c r="Y160" t="str">
        <f>IF(BD160="","",IFERROR(IF(INDEX(CODIFICACION!$E$2:$E$500,MATCH("D3.14b|"&amp;BD160,CODIFICACION!$F$2:$F$500,0))="sin dato","",INDEX(CODIFICACION!$E$2:$E$500,MATCH("D3.14b|"&amp;BD160,CODIFICACION!$F$2:$F$500,0))),"⚠"))</f>
        <v/>
      </c>
      <c r="Z160" t="str">
        <f>IF(BE160="","",IFERROR(IF(INDEX(CODIFICACION!$E$2:$E$500,MATCH("D3.14c|"&amp;BE160,CODIFICACION!$F$2:$F$500,0))="sin dato","",INDEX(CODIFICACION!$E$2:$E$500,MATCH("D3.14c|"&amp;BE160,CODIFICACION!$F$2:$F$500,0))),"⚠"))</f>
        <v/>
      </c>
      <c r="AA160" t="str">
        <f>IF(BF160="","",IFERROR(IF(INDEX(CODIFICACION!$E$2:$E$500,MATCH("D3.14d|"&amp;BF160,CODIFICACION!$F$2:$F$500,0))="sin dato","",INDEX(CODIFICACION!$E$2:$E$500,MATCH("D3.14d|"&amp;BF160,CODIFICACION!$F$2:$F$500,0))),"⚠"))</f>
        <v/>
      </c>
      <c r="AB160" t="str">
        <f>IF(BG160="","",IFERROR(IF(INDEX(CODIFICACION!$E$2:$E$500,MATCH("D3.14e|"&amp;BG160,CODIFICACION!$F$2:$F$500,0))="sin dato","",INDEX(CODIFICACION!$E$2:$E$500,MATCH("D3.14e|"&amp;BG160,CODIFICACION!$F$2:$F$500,0))),"⚠"))</f>
        <v/>
      </c>
      <c r="AC160" t="str">
        <f>IF(BH160="","",IFERROR(IF(INDEX(CODIFICACION!$E$2:$E$500,MATCH("D3.14f|"&amp;BH160,CODIFICACION!$F$2:$F$500,0))="sin dato","",INDEX(CODIFICACION!$E$2:$E$500,MATCH("D3.14f|"&amp;BH160,CODIFICACION!$F$2:$F$500,0))),"⚠"))</f>
        <v/>
      </c>
      <c r="AD160" t="str">
        <f>IF(BI160="","",IFERROR(IF(INDEX(CODIFICACION!$E$2:$E$500,MATCH("D3.14g|"&amp;BI160,CODIFICACION!$F$2:$F$500,0))="sin dato","",INDEX(CODIFICACION!$E$2:$E$500,MATCH("D3.14g|"&amp;BI160,CODIFICACION!$F$2:$F$500,0))),"⚠"))</f>
        <v/>
      </c>
      <c r="AE160" t="str">
        <f>IF(BJ160="","",IFERROR(IF(INDEX(CODIFICACION!$E$2:$E$500,MATCH("D3.14h|"&amp;BJ160,CODIFICACION!$F$2:$F$500,0))="sin dato","",INDEX(CODIFICACION!$E$2:$E$500,MATCH("D3.14h|"&amp;BJ160,CODIFICACION!$F$2:$F$500,0))),"⚠"))</f>
        <v/>
      </c>
      <c r="AF160" t="str">
        <f>IF(BK160="","",IFERROR(IF(INDEX(CODIFICACION!$E$2:$E$500,MATCH("D3.14i|"&amp;BK160,CODIFICACION!$F$2:$F$500,0))="sin dato","",INDEX(CODIFICACION!$E$2:$E$500,MATCH("D3.14i|"&amp;BK160,CODIFICACION!$F$2:$F$500,0))),"⚠"))</f>
        <v/>
      </c>
      <c r="AG160" t="str">
        <f>IF(BL160="","",IFERROR(IF(INDEX(CODIFICACION!$E$2:$E$500,MATCH("D4.15|"&amp;BL160,CODIFICACION!$F$2:$F$500,0))="sin dato","",INDEX(CODIFICACION!$E$2:$E$500,MATCH("D4.15|"&amp;BL160,CODIFICACION!$F$2:$F$500,0))),"⚠"))</f>
        <v/>
      </c>
      <c r="AH160" t="str">
        <f t="shared" si="106"/>
        <v/>
      </c>
      <c r="AI160" t="str">
        <f>IF(BN160="","",IFERROR(IF(INDEX(CODIFICACION!$E$2:$E$500,MATCH("D4.17|"&amp;BN160,CODIFICACION!$F$2:$F$500,0))="sin dato","",INDEX(CODIFICACION!$E$2:$E$500,MATCH("D4.17|"&amp;BN160,CODIFICACION!$F$2:$F$500,0))),"⚠"))</f>
        <v/>
      </c>
      <c r="AJ160" t="str">
        <f>IF(BO160="","",IFERROR(IF(INDEX(CODIFICACION!$E$2:$E$500,MATCH("D4.15a|"&amp;BO160,CODIFICACION!$F$2:$F$500,0))="sin dato","",INDEX(CODIFICACION!$E$2:$E$500,MATCH("D4.15a|"&amp;BO160,CODIFICACION!$F$2:$F$500,0))),"⚠"))</f>
        <v/>
      </c>
      <c r="AK160" t="str">
        <f t="shared" si="107"/>
        <v/>
      </c>
      <c r="AL160" t="str">
        <f t="shared" si="108"/>
        <v/>
      </c>
      <c r="AM160" t="str">
        <f>IF(BR160="","",IFERROR(IF(INDEX(CODIFICACION!$E$2:$E$500,MATCH("D5.18b|"&amp;BR160,CODIFICACION!$F$2:$F$500,0))="sin dato","",INDEX(CODIFICACION!$E$2:$E$500,MATCH("D5.18b|"&amp;BR160,CODIFICACION!$F$2:$F$500,0))),"⚠"))</f>
        <v/>
      </c>
      <c r="AN160" t="str">
        <f>IF(BS160="","",IFERROR(IF(INDEX(CODIFICACION!$E$2:$E$500,MATCH("D5.19|"&amp;BS160,CODIFICACION!$F$2:$F$500,0))="sin dato","",INDEX(CODIFICACION!$E$2:$E$500,MATCH("D5.19|"&amp;BS160,CODIFICACION!$F$2:$F$500,0))),"⚠"))</f>
        <v/>
      </c>
      <c r="AO160" t="str">
        <f t="shared" si="109"/>
        <v/>
      </c>
      <c r="AP160" t="str">
        <f>IF(BU160="","",IFERROR(IF(INDEX(CODIFICACION!$E$2:$E$500,MATCH("D5.20|"&amp;BU160,CODIFICACION!$F$2:$F$500,0))="sin dato","",INDEX(CODIFICACION!$E$2:$E$500,MATCH("D5.20|"&amp;BU160,CODIFICACION!$F$2:$F$500,0))),"⚠"))</f>
        <v/>
      </c>
      <c r="AQ160" t="str">
        <f>IF(BV160="","",IFERROR(IF(INDEX(CODIFICACION!$E$2:$E$500,MATCH("D5.21|"&amp;BV160,CODIFICACION!$F$2:$F$500,0))="sin dato","",INDEX(CODIFICACION!$E$2:$E$500,MATCH("D5.21|"&amp;BV160,CODIFICACION!$F$2:$F$500,0))),"⚠"))</f>
        <v/>
      </c>
      <c r="AR160" t="str">
        <f>IF(BW160="","",IFERROR(IF(INDEX(CODIFICACION!$E$2:$E$500,MATCH("D5.21a|"&amp;BW160,CODIFICACION!$F$2:$F$500,0))="sin dato","",INDEX(CODIFICACION!$E$2:$E$500,MATCH("D5.21a|"&amp;BW160,CODIFICACION!$F$2:$F$500,0))),"⚠"))</f>
        <v/>
      </c>
      <c r="AS160" t="str">
        <f>IF(BX160="","",IFERROR(IF(INDEX(CODIFICACION!$E$2:$E$500,MATCH("D5.21b|"&amp;BX160,CODIFICACION!$F$2:$F$500,0))="sin dato","",INDEX(CODIFICACION!$E$2:$E$500,MATCH("D5.21b|"&amp;BX160,CODIFICACION!$F$2:$F$500,0))),"⚠"))</f>
        <v/>
      </c>
      <c r="AT160" t="str">
        <f>IF(BY160="","",IFERROR(IF(INDEX(CODIFICACION!$E$2:$E$500,MATCH("D6.22|"&amp;BY160,CODIFICACION!$F$2:$F$500,0))="sin dato","",INDEX(CODIFICACION!$E$2:$E$500,MATCH("D6.22|"&amp;BY160,CODIFICACION!$F$2:$F$500,0))),"⚠"))</f>
        <v/>
      </c>
      <c r="AU160" t="str">
        <f>IF(BZ160="","",IFERROR(IF(INDEX(CODIFICACION!$E$2:$E$500,MATCH("D6.22a|"&amp;BZ160,CODIFICACION!$F$2:$F$500,0))="sin dato","",INDEX(CODIFICACION!$E$2:$E$500,MATCH("D6.22a|"&amp;BZ160,CODIFICACION!$F$2:$F$500,0))),"⚠"))</f>
        <v/>
      </c>
      <c r="AV160" t="str">
        <f>IF(CA160="","",IFERROR(IF(INDEX(CODIFICACION!$E$2:$E$500,MATCH("D6.22b|"&amp;CA160,CODIFICACION!$F$2:$F$500,0))="sin dato","",INDEX(CODIFICACION!$E$2:$E$500,MATCH("D6.22b|"&amp;CA160,CODIFICACION!$F$2:$F$500,0))),"⚠"))</f>
        <v/>
      </c>
      <c r="AW160" t="str">
        <f>IF(CB160="","",IFERROR(IF(INDEX(CODIFICACION!$E$2:$E$500,MATCH("D6.23|"&amp;CB160,CODIFICACION!$F$2:$F$500,0))="sin dato","",INDEX(CODIFICACION!$E$2:$E$500,MATCH("D6.23|"&amp;CB160,CODIFICACION!$F$2:$F$500,0))),"⚠"))</f>
        <v/>
      </c>
      <c r="AX160" t="str">
        <f ca="1">IF(CC160="","",IFERROR(IF(INDEX(CODIFICACION!$E$2:$E$500,MATCH("D6.24|"&amp;CC160,CODIFICACION!$F$2:$F$500,0))="sin dato","",INDEX(CODIFICACION!$E$2:$E$500,MATCH("D6.24|"&amp;CC160,CODIFICACION!$F$2:$F$500,0))),"⚠"))</f>
        <v/>
      </c>
      <c r="AY160" t="str">
        <f ca="1">IF(CD160="","",IFERROR(IF(INDEX(CODIFICACION!$E$2:$E$500,MATCH("D6.25|"&amp;CD160,CODIFICACION!$F$2:$F$500,0))="sin dato","",INDEX(CODIFICACION!$E$2:$E$500,MATCH("D6.25|"&amp;CD160,CODIFICACION!$F$2:$F$500,0))),"⚠"))</f>
        <v/>
      </c>
      <c r="AZ160" t="str">
        <f>IF(CE160="","",IFERROR(IF(INDEX(CODIFICACION!$E$2:$E$500,MATCH("D6.25a|"&amp;CE160,CODIFICACION!$F$2:$F$500,0))="sin dato","",INDEX(CODIFICACION!$E$2:$E$500,MATCH("D6.25a|"&amp;CE160,CODIFICACION!$F$2:$F$500,0))),"⚠"))</f>
        <v/>
      </c>
      <c r="BA160" t="str">
        <f>IF(CF160="","",IFERROR(IF(INDEX(CODIFICACION!$E$2:$E$500,MATCH("D6.25b|"&amp;CF160,CODIFICACION!$F$2:$F$500,0))="sin dato","",INDEX(CODIFICACION!$E$2:$E$500,MATCH("D6.25b|"&amp;CF160,CODIFICACION!$F$2:$F$500,0))),"⚠"))</f>
        <v/>
      </c>
      <c r="BB160" t="str">
        <f ca="1">IF(CG160="","",IFERROR(IF(INDEX(CODIFICACION!$E$2:$E$500,MATCH("D6.22c|"&amp;CG160,CODIFICACION!$F$2:$F$500,0))="sin dato","",INDEX(CODIFICACION!$E$2:$E$500,MATCH("D6.22c|"&amp;CG160,CODIFICACION!$F$2:$F$500,0))),"⚠"))</f>
        <v/>
      </c>
      <c r="BC160" t="str">
        <f ca="1">IF(CH160="","",IFERROR(IF(INDEX(CODIFICACION!$E$2:$E$500,MATCH("D7.26|"&amp;CH160,CODIFICACION!$F$2:$F$500,0))="sin dato","",INDEX(CODIFICACION!$E$2:$E$500,MATCH("D7.26|"&amp;CH160,CODIFICACION!$F$2:$F$500,0))),"⚠"))</f>
        <v/>
      </c>
      <c r="BD160" t="str">
        <f>IF(CI160="","",IFERROR(IF(INDEX(CODIFICACION!$E$2:$E$500,MATCH("D7.27|"&amp;CI160,CODIFICACION!$F$2:$F$500,0))="sin dato","",INDEX(CODIFICACION!$E$2:$E$500,MATCH("D7.27|"&amp;CI160,CODIFICACION!$F$2:$F$500,0))),"⚠"))</f>
        <v/>
      </c>
      <c r="BE160" t="str">
        <f>IF(CJ160="","",IFERROR(IF(INDEX(CODIFICACION!$E$2:$E$500,MATCH("D7.28|"&amp;CJ160,CODIFICACION!$F$2:$F$500,0))="sin dato","",INDEX(CODIFICACION!$E$2:$E$500,MATCH("D7.28|"&amp;CJ160,CODIFICACION!$F$2:$F$500,0))),"⚠"))</f>
        <v/>
      </c>
      <c r="BF160" t="str">
        <f>IF(CK160="","",IFERROR(IF(INDEX(CODIFICACION!$E$2:$E$500,MATCH("D7.28b|"&amp;CK160,CODIFICACION!$F$2:$F$500,0))="sin dato","",INDEX(CODIFICACION!$E$2:$E$500,MATCH("D7.28b|"&amp;CK160,CODIFICACION!$F$2:$F$500,0))),"⚠"))</f>
        <v/>
      </c>
      <c r="BG160" t="str">
        <f t="shared" si="110"/>
        <v/>
      </c>
      <c r="BH160" t="str">
        <f>IF(CM160="","",IFERROR(IF(INDEX(CODIFICACION!$E$2:$E$500,MATCH("D7.26a|"&amp;CM160,CODIFICACION!$F$2:$F$500,0))="sin dato","",INDEX(CODIFICACION!$E$2:$E$500,MATCH("D7.26a|"&amp;CM160,CODIFICACION!$F$2:$F$500,0))),"⚠"))</f>
        <v/>
      </c>
      <c r="BI160" t="str">
        <f>IF(CN160="","",IFERROR(IF(INDEX(CODIFICACION!$E$2:$E$500,MATCH("D7.26b|"&amp;CN160,CODIFICACION!$F$2:$F$500,0))="sin dato","",INDEX(CODIFICACION!$E$2:$E$500,MATCH("D7.26b|"&amp;CN160,CODIFICACION!$F$2:$F$500,0))),"⚠"))</f>
        <v/>
      </c>
      <c r="BJ160" t="str">
        <f t="shared" si="111"/>
        <v/>
      </c>
      <c r="BK160" t="str">
        <f t="shared" si="112"/>
        <v/>
      </c>
      <c r="BL160" t="str">
        <f>IF(CQ160="","",IFERROR(IF(INDEX(CODIFICACION!$E$2:$E$500,MATCH("D8.31|"&amp;CQ160,CODIFICACION!$F$2:$F$500,0))="sin dato","",INDEX(CODIFICACION!$E$2:$E$500,MATCH("D8.31|"&amp;CQ160,CODIFICACION!$F$2:$F$500,0))),"⚠"))</f>
        <v/>
      </c>
      <c r="BM160" t="str">
        <f>IF(CR160="","",IFERROR(IF(INDEX(CODIFICACION!$E$2:$E$500,MATCH("D8.32|"&amp;CR160,CODIFICACION!$F$2:$F$500,0))="sin dato","",INDEX(CODIFICACION!$E$2:$E$500,MATCH("D8.32|"&amp;CR160,CODIFICACION!$F$2:$F$500,0))),"⚠"))</f>
        <v/>
      </c>
      <c r="BN160" t="str">
        <f>IF(CS160="","",IFERROR(IF(INDEX(CODIFICACION!$E$2:$E$500,MATCH("D9.33|"&amp;CS160,CODIFICACION!$F$2:$F$500,0))="sin dato","",INDEX(CODIFICACION!$E$2:$E$500,MATCH("D9.33|"&amp;CS160,CODIFICACION!$F$2:$F$500,0))),"⚠"))</f>
        <v/>
      </c>
      <c r="BO160" t="str">
        <f>IF(CT160="","",IFERROR(IF(INDEX(CODIFICACION!$E$2:$E$500,MATCH("D9.34|"&amp;CT160,CODIFICACION!$F$2:$F$500,0))="sin dato","",INDEX(CODIFICACION!$E$2:$E$500,MATCH("D9.34|"&amp;CT160,CODIFICACION!$F$2:$F$500,0))),"⚠"))</f>
        <v/>
      </c>
      <c r="BP160" t="str">
        <f>IF(CU160="","",IFERROR(IF(INDEX(CODIFICACION!$E$2:$E$500,MATCH("D9.35|"&amp;CU160,CODIFICACION!$F$2:$F$500,0))="sin dato","",INDEX(CODIFICACION!$E$2:$E$500,MATCH("D9.35|"&amp;CU160,CODIFICACION!$F$2:$F$500,0))),"⚠"))</f>
        <v/>
      </c>
      <c r="BQ160" t="str">
        <f>IF(CV160="","",IFERROR(IF(INDEX(CODIFICACION!$E$2:$E$500,MATCH("D10.36|"&amp;CV160,CODIFICACION!$F$2:$F$500,0))="sin dato","",INDEX(CODIFICACION!$E$2:$E$500,MATCH("D10.36|"&amp;CV160,CODIFICACION!$F$2:$F$500,0))),"⚠"))</f>
        <v/>
      </c>
      <c r="BR160" t="str">
        <f>IF(CW160="","",IFERROR(IF(INDEX(CODIFICACION!$E$2:$E$500,MATCH("D10.37|"&amp;CW160,CODIFICACION!$F$2:$F$500,0))="sin dato","",INDEX(CODIFICACION!$E$2:$E$500,MATCH("D10.37|"&amp;CW160,CODIFICACION!$F$2:$F$500,0))),"⚠"))</f>
        <v/>
      </c>
      <c r="BS160" t="str">
        <f>IF(CX160="","",IFERROR(IF(INDEX(CODIFICACION!$E$2:$E$500,MATCH("D10.36a|"&amp;CX160,CODIFICACION!$F$2:$F$500,0))="sin dato","",INDEX(CODIFICACION!$E$2:$E$500,MATCH("D10.36a|"&amp;CX160,CODIFICACION!$F$2:$F$500,0))),"⚠"))</f>
        <v/>
      </c>
      <c r="BT160" t="str">
        <f t="shared" si="113"/>
        <v/>
      </c>
      <c r="BU160" t="str">
        <f>IF(DA160="","",IFERROR(IF(INDEX(CODIFICACION!$E$2:$E$500,MATCH("D11.39a|"&amp;DA160,CODIFICACION!$F$2:$F$500,0))="sin dato","",INDEX(CODIFICACION!$E$2:$E$500,MATCH("D11.39a|"&amp;DA160,CODIFICACION!$F$2:$F$500,0))),"⚠"))</f>
        <v/>
      </c>
      <c r="BV160" t="str">
        <f>IF(DB160="","",IFERROR(IF(INDEX(CODIFICACION!$E$2:$E$500,MATCH("D12.42|"&amp;DB160,CODIFICACION!$F$2:$F$500,0))="sin dato","",INDEX(CODIFICACION!$E$2:$E$500,MATCH("D12.42|"&amp;DB160,CODIFICACION!$F$2:$F$500,0))),"⚠"))</f>
        <v/>
      </c>
      <c r="BW160" t="str">
        <f>IF(DC160="","",IFERROR(IF(INDEX(CODIFICACION!$E$2:$E$500,MATCH("D13.45|"&amp;DC160,CODIFICACION!$F$2:$F$500,0))="sin dato","",INDEX(CODIFICACION!$E$2:$E$500,MATCH("D13.45|"&amp;DC160,CODIFICACION!$F$2:$F$500,0))),"⚠"))</f>
        <v/>
      </c>
      <c r="BX160" t="str">
        <f>IF(DD160="","",IFERROR(IF(INDEX(CODIFICACION!$E$2:$E$500,MATCH("D14.51|"&amp;DD160,CODIFICACION!$F$2:$F$500,0))="sin dato","",INDEX(CODIFICACION!$E$2:$E$500,MATCH("D14.51|"&amp;DD160,CODIFICACION!$F$2:$F$500,0))),"⚠"))</f>
        <v/>
      </c>
      <c r="BY160" t="str">
        <f>IF(DE160="","",IFERROR(IF(INDEX(CODIFICACION!$E$2:$E$500,MATCH("D15.58|"&amp;DE160,CODIFICACION!$F$2:$F$500,0))="sin dato","",INDEX(CODIFICACION!$E$2:$E$500,MATCH("D15.58|"&amp;DE160,CODIFICACION!$F$2:$F$500,0))),"⚠"))</f>
        <v/>
      </c>
      <c r="BZ160" t="str">
        <f>IF(DF160="","",IFERROR(IF(INDEX(CODIFICACION!$E$2:$E$500,MATCH("PP1|"&amp;DF160,CODIFICACION!$F$2:$F$500,0))="sin dato","",INDEX(CODIFICACION!$E$2:$E$500,MATCH("PP1|"&amp;DF160,CODIFICACION!$F$2:$F$500,0))),"⚠"))</f>
        <v/>
      </c>
      <c r="CA160" t="str">
        <f>IF(DG160="","",IFERROR(IF(INDEX(CODIFICACION!$E$2:$E$500,MATCH("PP2|"&amp;DG160,CODIFICACION!$F$2:$F$500,0))="sin dato","",INDEX(CODIFICACION!$E$2:$E$500,MATCH("PP2|"&amp;DG160,CODIFICACION!$F$2:$F$500,0))),"⚠"))</f>
        <v/>
      </c>
      <c r="CB160" t="str">
        <f t="shared" si="114"/>
        <v/>
      </c>
      <c r="CC160" t="str">
        <f t="shared" ca="1" si="115"/>
        <v/>
      </c>
      <c r="CD160" t="str">
        <f t="shared" ca="1" si="116"/>
        <v/>
      </c>
      <c r="CE160" t="str">
        <f t="shared" si="117"/>
        <v/>
      </c>
      <c r="CF160" t="str">
        <f t="shared" si="118"/>
        <v/>
      </c>
      <c r="CG160" t="str">
        <f t="shared" ca="1" si="119"/>
        <v/>
      </c>
      <c r="CH160" t="str">
        <f t="shared" ca="1" si="120"/>
        <v/>
      </c>
      <c r="CI160" t="str">
        <f t="shared" si="121"/>
        <v/>
      </c>
      <c r="CJ160" t="str">
        <f t="shared" si="122"/>
        <v/>
      </c>
      <c r="CK160" t="str">
        <f t="shared" si="123"/>
        <v/>
      </c>
      <c r="CL160" t="str">
        <f t="shared" si="124"/>
        <v/>
      </c>
    </row>
    <row r="161" spans="1:90" x14ac:dyDescent="0.3">
      <c r="A161">
        <f>CAPTURA!A161</f>
        <v>20607265624</v>
      </c>
      <c r="B161">
        <f>CAPTURA!C161</f>
        <v>0</v>
      </c>
      <c r="C161" t="str">
        <f t="shared" si="100"/>
        <v/>
      </c>
      <c r="D161" t="str">
        <f>IF(AE161="","",IFERROR(IF(INDEX(CODIFICACION!$E$2:$E$500,MATCH("P8|"&amp;AE161,CODIFICACION!$F$2:$F$500,0))="sin dato","",INDEX(CODIFICACION!$E$2:$E$500,MATCH("P8|"&amp;AE161,CODIFICACION!$F$2:$F$500,0))),"⚠"))</f>
        <v/>
      </c>
      <c r="E161" t="str">
        <f>IF(AG161="","",IFERROR(IF(INDEX(CODIFICACION!$E$2:$E$500,MATCH("P10|"&amp;AG161,CODIFICACION!$F$2:$F$500,0))="sin dato","",INDEX(CODIFICACION!$E$2:$E$500,MATCH("P10|"&amp;AG161,CODIFICACION!$F$2:$F$500,0))),"⚠"))</f>
        <v/>
      </c>
      <c r="F161" t="str">
        <f>IF(AJ161="","",IFERROR(IF(INDEX(CODIFICACION!$E$2:$E$500,MATCH("P13|"&amp;AJ161,CODIFICACION!$F$2:$F$500,0))="sin dato","",INDEX(CODIFICACION!$E$2:$E$500,MATCH("P13|"&amp;AJ161,CODIFICACION!$F$2:$F$500,0))),"⚠"))</f>
        <v/>
      </c>
      <c r="G161" t="str">
        <f>IF(AK161="","",IFERROR(IF(INDEX(CODIFICACION!$E$2:$E$500,MATCH("P14|"&amp;AK161,CODIFICACION!$F$2:$F$500,0))="sin dato","",INDEX(CODIFICACION!$E$2:$E$500,MATCH("P14|"&amp;AK161,CODIFICACION!$F$2:$F$500,0))),"⚠"))</f>
        <v/>
      </c>
      <c r="H161" t="str">
        <f>IF(AL161="","",IFERROR(IF(INDEX(CODIFICACION!$E$2:$E$500,MATCH("D1.1|"&amp;AL161,CODIFICACION!$F$2:$F$500,0))="sin dato","",INDEX(CODIFICACION!$E$2:$E$500,MATCH("D1.1|"&amp;AL161,CODIFICACION!$F$2:$F$500,0))),"⚠"))</f>
        <v/>
      </c>
      <c r="I161" t="str">
        <f>IF(AN161="","",IFERROR(IF(INDEX(CODIFICACION!$E$2:$E$500,MATCH("D1.3|"&amp;AN161,CODIFICACION!$F$2:$F$500,0))="sin dato","",INDEX(CODIFICACION!$E$2:$E$500,MATCH("D1.3|"&amp;AN161,CODIFICACION!$F$2:$F$500,0))),"⚠"))</f>
        <v/>
      </c>
      <c r="J161" t="str">
        <f>IF(AO161="","",IFERROR(IF(INDEX(CODIFICACION!$E$2:$E$500,MATCH("D1.4|"&amp;AO161,CODIFICACION!$F$2:$F$500,0))="sin dato","",INDEX(CODIFICACION!$E$2:$E$500,MATCH("D1.4|"&amp;AO161,CODIFICACION!$F$2:$F$500,0))),"⚠"))</f>
        <v/>
      </c>
      <c r="K161" t="str">
        <f>IF(AP161="","",IFERROR(IF(INDEX(CODIFICACION!$E$2:$E$500,MATCH("D1.3a|"&amp;AP161,CODIFICACION!$F$2:$F$500,0))="sin dato","",INDEX(CODIFICACION!$E$2:$E$500,MATCH("D1.3a|"&amp;AP161,CODIFICACION!$F$2:$F$500,0))),"⚠"))</f>
        <v/>
      </c>
      <c r="L161" t="str">
        <f t="shared" si="101"/>
        <v/>
      </c>
      <c r="M161" t="str">
        <f t="shared" si="102"/>
        <v/>
      </c>
      <c r="N161" t="str">
        <f t="shared" si="103"/>
        <v/>
      </c>
      <c r="O161" t="str">
        <f>IF(AT161="","",IFERROR(IF(INDEX(CODIFICACION!$E$2:$E$500,MATCH("D2.8|"&amp;AT161,CODIFICACION!$F$2:$F$500,0))="sin dato","",INDEX(CODIFICACION!$E$2:$E$500,MATCH("D2.8|"&amp;AT161,CODIFICACION!$F$2:$F$500,0))),"⚠"))</f>
        <v/>
      </c>
      <c r="P161" t="str">
        <f>IF(AU161="","",IFERROR(IF(INDEX(CODIFICACION!$E$2:$E$500,MATCH("D2.9|"&amp;AU161,CODIFICACION!$F$2:$F$500,0))="sin dato","",INDEX(CODIFICACION!$E$2:$E$500,MATCH("D2.9|"&amp;AU161,CODIFICACION!$F$2:$F$500,0))),"⚠"))</f>
        <v/>
      </c>
      <c r="Q161" t="str">
        <f>IF(AV161="","",IFERROR(IF(INDEX(CODIFICACION!$E$2:$E$500,MATCH("D2.10|"&amp;AV161,CODIFICACION!$F$2:$F$500,0))="sin dato","",INDEX(CODIFICACION!$E$2:$E$500,MATCH("D2.10|"&amp;AV161,CODIFICACION!$F$2:$F$500,0))),"⚠"))</f>
        <v/>
      </c>
      <c r="R161" t="str">
        <f>IF(AW161="","",IFERROR(IF(INDEX(CODIFICACION!$E$2:$E$500,MATCH("D2.5a|"&amp;AW161,CODIFICACION!$F$2:$F$500,0))="sin dato","",INDEX(CODIFICACION!$E$2:$E$500,MATCH("D2.5a|"&amp;AW161,CODIFICACION!$F$2:$F$500,0))),"⚠"))</f>
        <v/>
      </c>
      <c r="S161" t="str">
        <f ca="1">IF(AX161="","",IFERROR(IF(INDEX(CODIFICACION!$E$2:$E$500,MATCH("D2.5b|"&amp;AX161,CODIFICACION!$F$2:$F$500,0))="sin dato","",INDEX(CODIFICACION!$E$2:$E$500,MATCH("D2.5b|"&amp;AX161,CODIFICACION!$F$2:$F$500,0))),"⚠"))</f>
        <v/>
      </c>
      <c r="T161" t="str">
        <f t="shared" ca="1" si="104"/>
        <v/>
      </c>
      <c r="U161" t="str">
        <f>IF(AZ161="","",IFERROR(IF(INDEX(CODIFICACION!$E$2:$E$500,MATCH("D3.12|"&amp;AZ161,CODIFICACION!$F$2:$F$500,0))="sin dato","",INDEX(CODIFICACION!$E$2:$E$500,MATCH("D3.12|"&amp;AZ161,CODIFICACION!$F$2:$F$500,0))),"⚠"))</f>
        <v/>
      </c>
      <c r="V161" t="str">
        <f t="shared" si="105"/>
        <v/>
      </c>
      <c r="W161" t="str">
        <f ca="1">IF(BB161="","",IFERROR(IF(INDEX(CODIFICACION!$E$2:$E$500,MATCH("D3.14|"&amp;BB161,CODIFICACION!$F$2:$F$500,0))="sin dato","",INDEX(CODIFICACION!$E$2:$E$500,MATCH("D3.14|"&amp;BB161,CODIFICACION!$F$2:$F$500,0))),"⚠"))</f>
        <v/>
      </c>
      <c r="X161" t="str">
        <f ca="1">IF(BC161="","",IFERROR(IF(INDEX(CODIFICACION!$E$2:$E$500,MATCH("D3.14a|"&amp;BC161,CODIFICACION!$F$2:$F$500,0))="sin dato","",INDEX(CODIFICACION!$E$2:$E$500,MATCH("D3.14a|"&amp;BC161,CODIFICACION!$F$2:$F$500,0))),"⚠"))</f>
        <v/>
      </c>
      <c r="Y161" t="str">
        <f>IF(BD161="","",IFERROR(IF(INDEX(CODIFICACION!$E$2:$E$500,MATCH("D3.14b|"&amp;BD161,CODIFICACION!$F$2:$F$500,0))="sin dato","",INDEX(CODIFICACION!$E$2:$E$500,MATCH("D3.14b|"&amp;BD161,CODIFICACION!$F$2:$F$500,0))),"⚠"))</f>
        <v/>
      </c>
      <c r="Z161" t="str">
        <f>IF(BE161="","",IFERROR(IF(INDEX(CODIFICACION!$E$2:$E$500,MATCH("D3.14c|"&amp;BE161,CODIFICACION!$F$2:$F$500,0))="sin dato","",INDEX(CODIFICACION!$E$2:$E$500,MATCH("D3.14c|"&amp;BE161,CODIFICACION!$F$2:$F$500,0))),"⚠"))</f>
        <v/>
      </c>
      <c r="AA161" t="str">
        <f>IF(BF161="","",IFERROR(IF(INDEX(CODIFICACION!$E$2:$E$500,MATCH("D3.14d|"&amp;BF161,CODIFICACION!$F$2:$F$500,0))="sin dato","",INDEX(CODIFICACION!$E$2:$E$500,MATCH("D3.14d|"&amp;BF161,CODIFICACION!$F$2:$F$500,0))),"⚠"))</f>
        <v/>
      </c>
      <c r="AB161" t="str">
        <f>IF(BG161="","",IFERROR(IF(INDEX(CODIFICACION!$E$2:$E$500,MATCH("D3.14e|"&amp;BG161,CODIFICACION!$F$2:$F$500,0))="sin dato","",INDEX(CODIFICACION!$E$2:$E$500,MATCH("D3.14e|"&amp;BG161,CODIFICACION!$F$2:$F$500,0))),"⚠"))</f>
        <v/>
      </c>
      <c r="AC161" t="str">
        <f>IF(BH161="","",IFERROR(IF(INDEX(CODIFICACION!$E$2:$E$500,MATCH("D3.14f|"&amp;BH161,CODIFICACION!$F$2:$F$500,0))="sin dato","",INDEX(CODIFICACION!$E$2:$E$500,MATCH("D3.14f|"&amp;BH161,CODIFICACION!$F$2:$F$500,0))),"⚠"))</f>
        <v/>
      </c>
      <c r="AD161" t="str">
        <f>IF(BI161="","",IFERROR(IF(INDEX(CODIFICACION!$E$2:$E$500,MATCH("D3.14g|"&amp;BI161,CODIFICACION!$F$2:$F$500,0))="sin dato","",INDEX(CODIFICACION!$E$2:$E$500,MATCH("D3.14g|"&amp;BI161,CODIFICACION!$F$2:$F$500,0))),"⚠"))</f>
        <v/>
      </c>
      <c r="AE161" t="str">
        <f>IF(BJ161="","",IFERROR(IF(INDEX(CODIFICACION!$E$2:$E$500,MATCH("D3.14h|"&amp;BJ161,CODIFICACION!$F$2:$F$500,0))="sin dato","",INDEX(CODIFICACION!$E$2:$E$500,MATCH("D3.14h|"&amp;BJ161,CODIFICACION!$F$2:$F$500,0))),"⚠"))</f>
        <v/>
      </c>
      <c r="AF161" t="str">
        <f>IF(BK161="","",IFERROR(IF(INDEX(CODIFICACION!$E$2:$E$500,MATCH("D3.14i|"&amp;BK161,CODIFICACION!$F$2:$F$500,0))="sin dato","",INDEX(CODIFICACION!$E$2:$E$500,MATCH("D3.14i|"&amp;BK161,CODIFICACION!$F$2:$F$500,0))),"⚠"))</f>
        <v/>
      </c>
      <c r="AG161" t="str">
        <f>IF(BL161="","",IFERROR(IF(INDEX(CODIFICACION!$E$2:$E$500,MATCH("D4.15|"&amp;BL161,CODIFICACION!$F$2:$F$500,0))="sin dato","",INDEX(CODIFICACION!$E$2:$E$500,MATCH("D4.15|"&amp;BL161,CODIFICACION!$F$2:$F$500,0))),"⚠"))</f>
        <v/>
      </c>
      <c r="AH161" t="str">
        <f t="shared" si="106"/>
        <v/>
      </c>
      <c r="AI161" t="str">
        <f>IF(BN161="","",IFERROR(IF(INDEX(CODIFICACION!$E$2:$E$500,MATCH("D4.17|"&amp;BN161,CODIFICACION!$F$2:$F$500,0))="sin dato","",INDEX(CODIFICACION!$E$2:$E$500,MATCH("D4.17|"&amp;BN161,CODIFICACION!$F$2:$F$500,0))),"⚠"))</f>
        <v/>
      </c>
      <c r="AJ161" t="str">
        <f>IF(BO161="","",IFERROR(IF(INDEX(CODIFICACION!$E$2:$E$500,MATCH("D4.15a|"&amp;BO161,CODIFICACION!$F$2:$F$500,0))="sin dato","",INDEX(CODIFICACION!$E$2:$E$500,MATCH("D4.15a|"&amp;BO161,CODIFICACION!$F$2:$F$500,0))),"⚠"))</f>
        <v/>
      </c>
      <c r="AK161" t="str">
        <f t="shared" si="107"/>
        <v/>
      </c>
      <c r="AL161" t="str">
        <f t="shared" si="108"/>
        <v/>
      </c>
      <c r="AM161" t="str">
        <f>IF(BR161="","",IFERROR(IF(INDEX(CODIFICACION!$E$2:$E$500,MATCH("D5.18b|"&amp;BR161,CODIFICACION!$F$2:$F$500,0))="sin dato","",INDEX(CODIFICACION!$E$2:$E$500,MATCH("D5.18b|"&amp;BR161,CODIFICACION!$F$2:$F$500,0))),"⚠"))</f>
        <v/>
      </c>
      <c r="AN161" t="str">
        <f>IF(BS161="","",IFERROR(IF(INDEX(CODIFICACION!$E$2:$E$500,MATCH("D5.19|"&amp;BS161,CODIFICACION!$F$2:$F$500,0))="sin dato","",INDEX(CODIFICACION!$E$2:$E$500,MATCH("D5.19|"&amp;BS161,CODIFICACION!$F$2:$F$500,0))),"⚠"))</f>
        <v/>
      </c>
      <c r="AO161" t="str">
        <f t="shared" si="109"/>
        <v/>
      </c>
      <c r="AP161" t="str">
        <f>IF(BU161="","",IFERROR(IF(INDEX(CODIFICACION!$E$2:$E$500,MATCH("D5.20|"&amp;BU161,CODIFICACION!$F$2:$F$500,0))="sin dato","",INDEX(CODIFICACION!$E$2:$E$500,MATCH("D5.20|"&amp;BU161,CODIFICACION!$F$2:$F$500,0))),"⚠"))</f>
        <v/>
      </c>
      <c r="AQ161" t="str">
        <f>IF(BV161="","",IFERROR(IF(INDEX(CODIFICACION!$E$2:$E$500,MATCH("D5.21|"&amp;BV161,CODIFICACION!$F$2:$F$500,0))="sin dato","",INDEX(CODIFICACION!$E$2:$E$500,MATCH("D5.21|"&amp;BV161,CODIFICACION!$F$2:$F$500,0))),"⚠"))</f>
        <v/>
      </c>
      <c r="AR161" t="str">
        <f>IF(BW161="","",IFERROR(IF(INDEX(CODIFICACION!$E$2:$E$500,MATCH("D5.21a|"&amp;BW161,CODIFICACION!$F$2:$F$500,0))="sin dato","",INDEX(CODIFICACION!$E$2:$E$500,MATCH("D5.21a|"&amp;BW161,CODIFICACION!$F$2:$F$500,0))),"⚠"))</f>
        <v/>
      </c>
      <c r="AS161" t="str">
        <f>IF(BX161="","",IFERROR(IF(INDEX(CODIFICACION!$E$2:$E$500,MATCH("D5.21b|"&amp;BX161,CODIFICACION!$F$2:$F$500,0))="sin dato","",INDEX(CODIFICACION!$E$2:$E$500,MATCH("D5.21b|"&amp;BX161,CODIFICACION!$F$2:$F$500,0))),"⚠"))</f>
        <v/>
      </c>
      <c r="AT161" t="str">
        <f>IF(BY161="","",IFERROR(IF(INDEX(CODIFICACION!$E$2:$E$500,MATCH("D6.22|"&amp;BY161,CODIFICACION!$F$2:$F$500,0))="sin dato","",INDEX(CODIFICACION!$E$2:$E$500,MATCH("D6.22|"&amp;BY161,CODIFICACION!$F$2:$F$500,0))),"⚠"))</f>
        <v/>
      </c>
      <c r="AU161" t="str">
        <f>IF(BZ161="","",IFERROR(IF(INDEX(CODIFICACION!$E$2:$E$500,MATCH("D6.22a|"&amp;BZ161,CODIFICACION!$F$2:$F$500,0))="sin dato","",INDEX(CODIFICACION!$E$2:$E$500,MATCH("D6.22a|"&amp;BZ161,CODIFICACION!$F$2:$F$500,0))),"⚠"))</f>
        <v/>
      </c>
      <c r="AV161" t="str">
        <f>IF(CA161="","",IFERROR(IF(INDEX(CODIFICACION!$E$2:$E$500,MATCH("D6.22b|"&amp;CA161,CODIFICACION!$F$2:$F$500,0))="sin dato","",INDEX(CODIFICACION!$E$2:$E$500,MATCH("D6.22b|"&amp;CA161,CODIFICACION!$F$2:$F$500,0))),"⚠"))</f>
        <v/>
      </c>
      <c r="AW161" t="str">
        <f>IF(CB161="","",IFERROR(IF(INDEX(CODIFICACION!$E$2:$E$500,MATCH("D6.23|"&amp;CB161,CODIFICACION!$F$2:$F$500,0))="sin dato","",INDEX(CODIFICACION!$E$2:$E$500,MATCH("D6.23|"&amp;CB161,CODIFICACION!$F$2:$F$500,0))),"⚠"))</f>
        <v/>
      </c>
      <c r="AX161" t="str">
        <f ca="1">IF(CC161="","",IFERROR(IF(INDEX(CODIFICACION!$E$2:$E$500,MATCH("D6.24|"&amp;CC161,CODIFICACION!$F$2:$F$500,0))="sin dato","",INDEX(CODIFICACION!$E$2:$E$500,MATCH("D6.24|"&amp;CC161,CODIFICACION!$F$2:$F$500,0))),"⚠"))</f>
        <v/>
      </c>
      <c r="AY161" t="str">
        <f ca="1">IF(CD161="","",IFERROR(IF(INDEX(CODIFICACION!$E$2:$E$500,MATCH("D6.25|"&amp;CD161,CODIFICACION!$F$2:$F$500,0))="sin dato","",INDEX(CODIFICACION!$E$2:$E$500,MATCH("D6.25|"&amp;CD161,CODIFICACION!$F$2:$F$500,0))),"⚠"))</f>
        <v/>
      </c>
      <c r="AZ161" t="str">
        <f>IF(CE161="","",IFERROR(IF(INDEX(CODIFICACION!$E$2:$E$500,MATCH("D6.25a|"&amp;CE161,CODIFICACION!$F$2:$F$500,0))="sin dato","",INDEX(CODIFICACION!$E$2:$E$500,MATCH("D6.25a|"&amp;CE161,CODIFICACION!$F$2:$F$500,0))),"⚠"))</f>
        <v/>
      </c>
      <c r="BA161" t="str">
        <f>IF(CF161="","",IFERROR(IF(INDEX(CODIFICACION!$E$2:$E$500,MATCH("D6.25b|"&amp;CF161,CODIFICACION!$F$2:$F$500,0))="sin dato","",INDEX(CODIFICACION!$E$2:$E$500,MATCH("D6.25b|"&amp;CF161,CODIFICACION!$F$2:$F$500,0))),"⚠"))</f>
        <v/>
      </c>
      <c r="BB161" t="str">
        <f ca="1">IF(CG161="","",IFERROR(IF(INDEX(CODIFICACION!$E$2:$E$500,MATCH("D6.22c|"&amp;CG161,CODIFICACION!$F$2:$F$500,0))="sin dato","",INDEX(CODIFICACION!$E$2:$E$500,MATCH("D6.22c|"&amp;CG161,CODIFICACION!$F$2:$F$500,0))),"⚠"))</f>
        <v/>
      </c>
      <c r="BC161" t="str">
        <f ca="1">IF(CH161="","",IFERROR(IF(INDEX(CODIFICACION!$E$2:$E$500,MATCH("D7.26|"&amp;CH161,CODIFICACION!$F$2:$F$500,0))="sin dato","",INDEX(CODIFICACION!$E$2:$E$500,MATCH("D7.26|"&amp;CH161,CODIFICACION!$F$2:$F$500,0))),"⚠"))</f>
        <v/>
      </c>
      <c r="BD161" t="str">
        <f>IF(CI161="","",IFERROR(IF(INDEX(CODIFICACION!$E$2:$E$500,MATCH("D7.27|"&amp;CI161,CODIFICACION!$F$2:$F$500,0))="sin dato","",INDEX(CODIFICACION!$E$2:$E$500,MATCH("D7.27|"&amp;CI161,CODIFICACION!$F$2:$F$500,0))),"⚠"))</f>
        <v/>
      </c>
      <c r="BE161" t="str">
        <f>IF(CJ161="","",IFERROR(IF(INDEX(CODIFICACION!$E$2:$E$500,MATCH("D7.28|"&amp;CJ161,CODIFICACION!$F$2:$F$500,0))="sin dato","",INDEX(CODIFICACION!$E$2:$E$500,MATCH("D7.28|"&amp;CJ161,CODIFICACION!$F$2:$F$500,0))),"⚠"))</f>
        <v/>
      </c>
      <c r="BF161" t="str">
        <f>IF(CK161="","",IFERROR(IF(INDEX(CODIFICACION!$E$2:$E$500,MATCH("D7.28b|"&amp;CK161,CODIFICACION!$F$2:$F$500,0))="sin dato","",INDEX(CODIFICACION!$E$2:$E$500,MATCH("D7.28b|"&amp;CK161,CODIFICACION!$F$2:$F$500,0))),"⚠"))</f>
        <v/>
      </c>
      <c r="BG161" t="str">
        <f t="shared" si="110"/>
        <v/>
      </c>
      <c r="BH161" t="str">
        <f>IF(CM161="","",IFERROR(IF(INDEX(CODIFICACION!$E$2:$E$500,MATCH("D7.26a|"&amp;CM161,CODIFICACION!$F$2:$F$500,0))="sin dato","",INDEX(CODIFICACION!$E$2:$E$500,MATCH("D7.26a|"&amp;CM161,CODIFICACION!$F$2:$F$500,0))),"⚠"))</f>
        <v/>
      </c>
      <c r="BI161" t="str">
        <f>IF(CN161="","",IFERROR(IF(INDEX(CODIFICACION!$E$2:$E$500,MATCH("D7.26b|"&amp;CN161,CODIFICACION!$F$2:$F$500,0))="sin dato","",INDEX(CODIFICACION!$E$2:$E$500,MATCH("D7.26b|"&amp;CN161,CODIFICACION!$F$2:$F$500,0))),"⚠"))</f>
        <v/>
      </c>
      <c r="BJ161" t="str">
        <f t="shared" si="111"/>
        <v/>
      </c>
      <c r="BK161" t="str">
        <f t="shared" si="112"/>
        <v/>
      </c>
      <c r="BL161" t="str">
        <f>IF(CQ161="","",IFERROR(IF(INDEX(CODIFICACION!$E$2:$E$500,MATCH("D8.31|"&amp;CQ161,CODIFICACION!$F$2:$F$500,0))="sin dato","",INDEX(CODIFICACION!$E$2:$E$500,MATCH("D8.31|"&amp;CQ161,CODIFICACION!$F$2:$F$500,0))),"⚠"))</f>
        <v/>
      </c>
      <c r="BM161" t="str">
        <f>IF(CR161="","",IFERROR(IF(INDEX(CODIFICACION!$E$2:$E$500,MATCH("D8.32|"&amp;CR161,CODIFICACION!$F$2:$F$500,0))="sin dato","",INDEX(CODIFICACION!$E$2:$E$500,MATCH("D8.32|"&amp;CR161,CODIFICACION!$F$2:$F$500,0))),"⚠"))</f>
        <v/>
      </c>
      <c r="BN161" t="str">
        <f>IF(CS161="","",IFERROR(IF(INDEX(CODIFICACION!$E$2:$E$500,MATCH("D9.33|"&amp;CS161,CODIFICACION!$F$2:$F$500,0))="sin dato","",INDEX(CODIFICACION!$E$2:$E$500,MATCH("D9.33|"&amp;CS161,CODIFICACION!$F$2:$F$500,0))),"⚠"))</f>
        <v/>
      </c>
      <c r="BO161" t="str">
        <f>IF(CT161="","",IFERROR(IF(INDEX(CODIFICACION!$E$2:$E$500,MATCH("D9.34|"&amp;CT161,CODIFICACION!$F$2:$F$500,0))="sin dato","",INDEX(CODIFICACION!$E$2:$E$500,MATCH("D9.34|"&amp;CT161,CODIFICACION!$F$2:$F$500,0))),"⚠"))</f>
        <v/>
      </c>
      <c r="BP161" t="str">
        <f>IF(CU161="","",IFERROR(IF(INDEX(CODIFICACION!$E$2:$E$500,MATCH("D9.35|"&amp;CU161,CODIFICACION!$F$2:$F$500,0))="sin dato","",INDEX(CODIFICACION!$E$2:$E$500,MATCH("D9.35|"&amp;CU161,CODIFICACION!$F$2:$F$500,0))),"⚠"))</f>
        <v/>
      </c>
      <c r="BQ161" t="str">
        <f>IF(CV161="","",IFERROR(IF(INDEX(CODIFICACION!$E$2:$E$500,MATCH("D10.36|"&amp;CV161,CODIFICACION!$F$2:$F$500,0))="sin dato","",INDEX(CODIFICACION!$E$2:$E$500,MATCH("D10.36|"&amp;CV161,CODIFICACION!$F$2:$F$500,0))),"⚠"))</f>
        <v/>
      </c>
      <c r="BR161" t="str">
        <f>IF(CW161="","",IFERROR(IF(INDEX(CODIFICACION!$E$2:$E$500,MATCH("D10.37|"&amp;CW161,CODIFICACION!$F$2:$F$500,0))="sin dato","",INDEX(CODIFICACION!$E$2:$E$500,MATCH("D10.37|"&amp;CW161,CODIFICACION!$F$2:$F$500,0))),"⚠"))</f>
        <v/>
      </c>
      <c r="BS161" t="str">
        <f>IF(CX161="","",IFERROR(IF(INDEX(CODIFICACION!$E$2:$E$500,MATCH("D10.36a|"&amp;CX161,CODIFICACION!$F$2:$F$500,0))="sin dato","",INDEX(CODIFICACION!$E$2:$E$500,MATCH("D10.36a|"&amp;CX161,CODIFICACION!$F$2:$F$500,0))),"⚠"))</f>
        <v/>
      </c>
      <c r="BT161" t="str">
        <f t="shared" si="113"/>
        <v/>
      </c>
      <c r="BU161" t="str">
        <f>IF(DA161="","",IFERROR(IF(INDEX(CODIFICACION!$E$2:$E$500,MATCH("D11.39a|"&amp;DA161,CODIFICACION!$F$2:$F$500,0))="sin dato","",INDEX(CODIFICACION!$E$2:$E$500,MATCH("D11.39a|"&amp;DA161,CODIFICACION!$F$2:$F$500,0))),"⚠"))</f>
        <v/>
      </c>
      <c r="BV161" t="str">
        <f>IF(DB161="","",IFERROR(IF(INDEX(CODIFICACION!$E$2:$E$500,MATCH("D12.42|"&amp;DB161,CODIFICACION!$F$2:$F$500,0))="sin dato","",INDEX(CODIFICACION!$E$2:$E$500,MATCH("D12.42|"&amp;DB161,CODIFICACION!$F$2:$F$500,0))),"⚠"))</f>
        <v/>
      </c>
      <c r="BW161" t="str">
        <f>IF(DC161="","",IFERROR(IF(INDEX(CODIFICACION!$E$2:$E$500,MATCH("D13.45|"&amp;DC161,CODIFICACION!$F$2:$F$500,0))="sin dato","",INDEX(CODIFICACION!$E$2:$E$500,MATCH("D13.45|"&amp;DC161,CODIFICACION!$F$2:$F$500,0))),"⚠"))</f>
        <v/>
      </c>
      <c r="BX161" t="str">
        <f>IF(DD161="","",IFERROR(IF(INDEX(CODIFICACION!$E$2:$E$500,MATCH("D14.51|"&amp;DD161,CODIFICACION!$F$2:$F$500,0))="sin dato","",INDEX(CODIFICACION!$E$2:$E$500,MATCH("D14.51|"&amp;DD161,CODIFICACION!$F$2:$F$500,0))),"⚠"))</f>
        <v/>
      </c>
      <c r="BY161" t="str">
        <f>IF(DE161="","",IFERROR(IF(INDEX(CODIFICACION!$E$2:$E$500,MATCH("D15.58|"&amp;DE161,CODIFICACION!$F$2:$F$500,0))="sin dato","",INDEX(CODIFICACION!$E$2:$E$500,MATCH("D15.58|"&amp;DE161,CODIFICACION!$F$2:$F$500,0))),"⚠"))</f>
        <v/>
      </c>
      <c r="BZ161" t="str">
        <f>IF(DF161="","",IFERROR(IF(INDEX(CODIFICACION!$E$2:$E$500,MATCH("PP1|"&amp;DF161,CODIFICACION!$F$2:$F$500,0))="sin dato","",INDEX(CODIFICACION!$E$2:$E$500,MATCH("PP1|"&amp;DF161,CODIFICACION!$F$2:$F$500,0))),"⚠"))</f>
        <v/>
      </c>
      <c r="CA161" t="str">
        <f>IF(DG161="","",IFERROR(IF(INDEX(CODIFICACION!$E$2:$E$500,MATCH("PP2|"&amp;DG161,CODIFICACION!$F$2:$F$500,0))="sin dato","",INDEX(CODIFICACION!$E$2:$E$500,MATCH("PP2|"&amp;DG161,CODIFICACION!$F$2:$F$500,0))),"⚠"))</f>
        <v/>
      </c>
      <c r="CB161" t="str">
        <f t="shared" si="114"/>
        <v/>
      </c>
      <c r="CC161" t="str">
        <f t="shared" ca="1" si="115"/>
        <v/>
      </c>
      <c r="CD161" t="str">
        <f t="shared" ca="1" si="116"/>
        <v/>
      </c>
      <c r="CE161" t="str">
        <f t="shared" si="117"/>
        <v/>
      </c>
      <c r="CF161" t="str">
        <f t="shared" si="118"/>
        <v/>
      </c>
      <c r="CG161" t="str">
        <f t="shared" ca="1" si="119"/>
        <v/>
      </c>
      <c r="CH161" t="str">
        <f t="shared" ca="1" si="120"/>
        <v/>
      </c>
      <c r="CI161" t="str">
        <f t="shared" si="121"/>
        <v/>
      </c>
      <c r="CJ161" t="str">
        <f t="shared" si="122"/>
        <v/>
      </c>
      <c r="CK161" t="str">
        <f t="shared" si="123"/>
        <v/>
      </c>
      <c r="CL161" t="str">
        <f t="shared" si="124"/>
        <v/>
      </c>
    </row>
    <row r="162" spans="1:90" x14ac:dyDescent="0.3">
      <c r="A162">
        <f>CAPTURA!A162</f>
        <v>20607382604</v>
      </c>
      <c r="B162">
        <f>CAPTURA!C162</f>
        <v>0</v>
      </c>
      <c r="C162" t="str">
        <f t="shared" si="100"/>
        <v/>
      </c>
      <c r="D162" t="str">
        <f>IF(AE162="","",IFERROR(IF(INDEX(CODIFICACION!$E$2:$E$500,MATCH("P8|"&amp;AE162,CODIFICACION!$F$2:$F$500,0))="sin dato","",INDEX(CODIFICACION!$E$2:$E$500,MATCH("P8|"&amp;AE162,CODIFICACION!$F$2:$F$500,0))),"⚠"))</f>
        <v/>
      </c>
      <c r="E162" t="str">
        <f>IF(AG162="","",IFERROR(IF(INDEX(CODIFICACION!$E$2:$E$500,MATCH("P10|"&amp;AG162,CODIFICACION!$F$2:$F$500,0))="sin dato","",INDEX(CODIFICACION!$E$2:$E$500,MATCH("P10|"&amp;AG162,CODIFICACION!$F$2:$F$500,0))),"⚠"))</f>
        <v/>
      </c>
      <c r="F162" t="str">
        <f>IF(AJ162="","",IFERROR(IF(INDEX(CODIFICACION!$E$2:$E$500,MATCH("P13|"&amp;AJ162,CODIFICACION!$F$2:$F$500,0))="sin dato","",INDEX(CODIFICACION!$E$2:$E$500,MATCH("P13|"&amp;AJ162,CODIFICACION!$F$2:$F$500,0))),"⚠"))</f>
        <v/>
      </c>
      <c r="G162" t="str">
        <f>IF(AK162="","",IFERROR(IF(INDEX(CODIFICACION!$E$2:$E$500,MATCH("P14|"&amp;AK162,CODIFICACION!$F$2:$F$500,0))="sin dato","",INDEX(CODIFICACION!$E$2:$E$500,MATCH("P14|"&amp;AK162,CODIFICACION!$F$2:$F$500,0))),"⚠"))</f>
        <v/>
      </c>
      <c r="H162" t="str">
        <f>IF(AL162="","",IFERROR(IF(INDEX(CODIFICACION!$E$2:$E$500,MATCH("D1.1|"&amp;AL162,CODIFICACION!$F$2:$F$500,0))="sin dato","",INDEX(CODIFICACION!$E$2:$E$500,MATCH("D1.1|"&amp;AL162,CODIFICACION!$F$2:$F$500,0))),"⚠"))</f>
        <v/>
      </c>
      <c r="I162" t="str">
        <f>IF(AN162="","",IFERROR(IF(INDEX(CODIFICACION!$E$2:$E$500,MATCH("D1.3|"&amp;AN162,CODIFICACION!$F$2:$F$500,0))="sin dato","",INDEX(CODIFICACION!$E$2:$E$500,MATCH("D1.3|"&amp;AN162,CODIFICACION!$F$2:$F$500,0))),"⚠"))</f>
        <v/>
      </c>
      <c r="J162" t="str">
        <f>IF(AO162="","",IFERROR(IF(INDEX(CODIFICACION!$E$2:$E$500,MATCH("D1.4|"&amp;AO162,CODIFICACION!$F$2:$F$500,0))="sin dato","",INDEX(CODIFICACION!$E$2:$E$500,MATCH("D1.4|"&amp;AO162,CODIFICACION!$F$2:$F$500,0))),"⚠"))</f>
        <v/>
      </c>
      <c r="K162" t="str">
        <f>IF(AP162="","",IFERROR(IF(INDEX(CODIFICACION!$E$2:$E$500,MATCH("D1.3a|"&amp;AP162,CODIFICACION!$F$2:$F$500,0))="sin dato","",INDEX(CODIFICACION!$E$2:$E$500,MATCH("D1.3a|"&amp;AP162,CODIFICACION!$F$2:$F$500,0))),"⚠"))</f>
        <v/>
      </c>
      <c r="L162" t="str">
        <f t="shared" si="101"/>
        <v/>
      </c>
      <c r="M162" t="str">
        <f t="shared" si="102"/>
        <v/>
      </c>
      <c r="N162" t="str">
        <f t="shared" si="103"/>
        <v/>
      </c>
      <c r="O162" t="str">
        <f>IF(AT162="","",IFERROR(IF(INDEX(CODIFICACION!$E$2:$E$500,MATCH("D2.8|"&amp;AT162,CODIFICACION!$F$2:$F$500,0))="sin dato","",INDEX(CODIFICACION!$E$2:$E$500,MATCH("D2.8|"&amp;AT162,CODIFICACION!$F$2:$F$500,0))),"⚠"))</f>
        <v/>
      </c>
      <c r="P162" t="str">
        <f>IF(AU162="","",IFERROR(IF(INDEX(CODIFICACION!$E$2:$E$500,MATCH("D2.9|"&amp;AU162,CODIFICACION!$F$2:$F$500,0))="sin dato","",INDEX(CODIFICACION!$E$2:$E$500,MATCH("D2.9|"&amp;AU162,CODIFICACION!$F$2:$F$500,0))),"⚠"))</f>
        <v/>
      </c>
      <c r="Q162" t="str">
        <f>IF(AV162="","",IFERROR(IF(INDEX(CODIFICACION!$E$2:$E$500,MATCH("D2.10|"&amp;AV162,CODIFICACION!$F$2:$F$500,0))="sin dato","",INDEX(CODIFICACION!$E$2:$E$500,MATCH("D2.10|"&amp;AV162,CODIFICACION!$F$2:$F$500,0))),"⚠"))</f>
        <v/>
      </c>
      <c r="R162" t="str">
        <f>IF(AW162="","",IFERROR(IF(INDEX(CODIFICACION!$E$2:$E$500,MATCH("D2.5a|"&amp;AW162,CODIFICACION!$F$2:$F$500,0))="sin dato","",INDEX(CODIFICACION!$E$2:$E$500,MATCH("D2.5a|"&amp;AW162,CODIFICACION!$F$2:$F$500,0))),"⚠"))</f>
        <v/>
      </c>
      <c r="S162" t="str">
        <f ca="1">IF(AX162="","",IFERROR(IF(INDEX(CODIFICACION!$E$2:$E$500,MATCH("D2.5b|"&amp;AX162,CODIFICACION!$F$2:$F$500,0))="sin dato","",INDEX(CODIFICACION!$E$2:$E$500,MATCH("D2.5b|"&amp;AX162,CODIFICACION!$F$2:$F$500,0))),"⚠"))</f>
        <v/>
      </c>
      <c r="T162" t="str">
        <f t="shared" ca="1" si="104"/>
        <v/>
      </c>
      <c r="U162" t="str">
        <f>IF(AZ162="","",IFERROR(IF(INDEX(CODIFICACION!$E$2:$E$500,MATCH("D3.12|"&amp;AZ162,CODIFICACION!$F$2:$F$500,0))="sin dato","",INDEX(CODIFICACION!$E$2:$E$500,MATCH("D3.12|"&amp;AZ162,CODIFICACION!$F$2:$F$500,0))),"⚠"))</f>
        <v/>
      </c>
      <c r="V162" t="str">
        <f t="shared" si="105"/>
        <v/>
      </c>
      <c r="W162" t="str">
        <f ca="1">IF(BB162="","",IFERROR(IF(INDEX(CODIFICACION!$E$2:$E$500,MATCH("D3.14|"&amp;BB162,CODIFICACION!$F$2:$F$500,0))="sin dato","",INDEX(CODIFICACION!$E$2:$E$500,MATCH("D3.14|"&amp;BB162,CODIFICACION!$F$2:$F$500,0))),"⚠"))</f>
        <v/>
      </c>
      <c r="X162" t="str">
        <f ca="1">IF(BC162="","",IFERROR(IF(INDEX(CODIFICACION!$E$2:$E$500,MATCH("D3.14a|"&amp;BC162,CODIFICACION!$F$2:$F$500,0))="sin dato","",INDEX(CODIFICACION!$E$2:$E$500,MATCH("D3.14a|"&amp;BC162,CODIFICACION!$F$2:$F$500,0))),"⚠"))</f>
        <v/>
      </c>
      <c r="Y162" t="str">
        <f>IF(BD162="","",IFERROR(IF(INDEX(CODIFICACION!$E$2:$E$500,MATCH("D3.14b|"&amp;BD162,CODIFICACION!$F$2:$F$500,0))="sin dato","",INDEX(CODIFICACION!$E$2:$E$500,MATCH("D3.14b|"&amp;BD162,CODIFICACION!$F$2:$F$500,0))),"⚠"))</f>
        <v/>
      </c>
      <c r="Z162" t="str">
        <f>IF(BE162="","",IFERROR(IF(INDEX(CODIFICACION!$E$2:$E$500,MATCH("D3.14c|"&amp;BE162,CODIFICACION!$F$2:$F$500,0))="sin dato","",INDEX(CODIFICACION!$E$2:$E$500,MATCH("D3.14c|"&amp;BE162,CODIFICACION!$F$2:$F$500,0))),"⚠"))</f>
        <v/>
      </c>
      <c r="AA162" t="str">
        <f>IF(BF162="","",IFERROR(IF(INDEX(CODIFICACION!$E$2:$E$500,MATCH("D3.14d|"&amp;BF162,CODIFICACION!$F$2:$F$500,0))="sin dato","",INDEX(CODIFICACION!$E$2:$E$500,MATCH("D3.14d|"&amp;BF162,CODIFICACION!$F$2:$F$500,0))),"⚠"))</f>
        <v/>
      </c>
      <c r="AB162" t="str">
        <f>IF(BG162="","",IFERROR(IF(INDEX(CODIFICACION!$E$2:$E$500,MATCH("D3.14e|"&amp;BG162,CODIFICACION!$F$2:$F$500,0))="sin dato","",INDEX(CODIFICACION!$E$2:$E$500,MATCH("D3.14e|"&amp;BG162,CODIFICACION!$F$2:$F$500,0))),"⚠"))</f>
        <v/>
      </c>
      <c r="AC162" t="str">
        <f>IF(BH162="","",IFERROR(IF(INDEX(CODIFICACION!$E$2:$E$500,MATCH("D3.14f|"&amp;BH162,CODIFICACION!$F$2:$F$500,0))="sin dato","",INDEX(CODIFICACION!$E$2:$E$500,MATCH("D3.14f|"&amp;BH162,CODIFICACION!$F$2:$F$500,0))),"⚠"))</f>
        <v/>
      </c>
      <c r="AD162" t="str">
        <f>IF(BI162="","",IFERROR(IF(INDEX(CODIFICACION!$E$2:$E$500,MATCH("D3.14g|"&amp;BI162,CODIFICACION!$F$2:$F$500,0))="sin dato","",INDEX(CODIFICACION!$E$2:$E$500,MATCH("D3.14g|"&amp;BI162,CODIFICACION!$F$2:$F$500,0))),"⚠"))</f>
        <v/>
      </c>
      <c r="AE162" t="str">
        <f>IF(BJ162="","",IFERROR(IF(INDEX(CODIFICACION!$E$2:$E$500,MATCH("D3.14h|"&amp;BJ162,CODIFICACION!$F$2:$F$500,0))="sin dato","",INDEX(CODIFICACION!$E$2:$E$500,MATCH("D3.14h|"&amp;BJ162,CODIFICACION!$F$2:$F$500,0))),"⚠"))</f>
        <v/>
      </c>
      <c r="AF162" t="str">
        <f>IF(BK162="","",IFERROR(IF(INDEX(CODIFICACION!$E$2:$E$500,MATCH("D3.14i|"&amp;BK162,CODIFICACION!$F$2:$F$500,0))="sin dato","",INDEX(CODIFICACION!$E$2:$E$500,MATCH("D3.14i|"&amp;BK162,CODIFICACION!$F$2:$F$500,0))),"⚠"))</f>
        <v/>
      </c>
      <c r="AG162" t="str">
        <f>IF(BL162="","",IFERROR(IF(INDEX(CODIFICACION!$E$2:$E$500,MATCH("D4.15|"&amp;BL162,CODIFICACION!$F$2:$F$500,0))="sin dato","",INDEX(CODIFICACION!$E$2:$E$500,MATCH("D4.15|"&amp;BL162,CODIFICACION!$F$2:$F$500,0))),"⚠"))</f>
        <v/>
      </c>
      <c r="AH162" t="str">
        <f t="shared" si="106"/>
        <v/>
      </c>
      <c r="AI162" t="str">
        <f>IF(BN162="","",IFERROR(IF(INDEX(CODIFICACION!$E$2:$E$500,MATCH("D4.17|"&amp;BN162,CODIFICACION!$F$2:$F$500,0))="sin dato","",INDEX(CODIFICACION!$E$2:$E$500,MATCH("D4.17|"&amp;BN162,CODIFICACION!$F$2:$F$500,0))),"⚠"))</f>
        <v/>
      </c>
      <c r="AJ162" t="str">
        <f>IF(BO162="","",IFERROR(IF(INDEX(CODIFICACION!$E$2:$E$500,MATCH("D4.15a|"&amp;BO162,CODIFICACION!$F$2:$F$500,0))="sin dato","",INDEX(CODIFICACION!$E$2:$E$500,MATCH("D4.15a|"&amp;BO162,CODIFICACION!$F$2:$F$500,0))),"⚠"))</f>
        <v/>
      </c>
      <c r="AK162" t="str">
        <f t="shared" si="107"/>
        <v/>
      </c>
      <c r="AL162" t="str">
        <f t="shared" si="108"/>
        <v/>
      </c>
      <c r="AM162" t="str">
        <f>IF(BR162="","",IFERROR(IF(INDEX(CODIFICACION!$E$2:$E$500,MATCH("D5.18b|"&amp;BR162,CODIFICACION!$F$2:$F$500,0))="sin dato","",INDEX(CODIFICACION!$E$2:$E$500,MATCH("D5.18b|"&amp;BR162,CODIFICACION!$F$2:$F$500,0))),"⚠"))</f>
        <v/>
      </c>
      <c r="AN162" t="str">
        <f>IF(BS162="","",IFERROR(IF(INDEX(CODIFICACION!$E$2:$E$500,MATCH("D5.19|"&amp;BS162,CODIFICACION!$F$2:$F$500,0))="sin dato","",INDEX(CODIFICACION!$E$2:$E$500,MATCH("D5.19|"&amp;BS162,CODIFICACION!$F$2:$F$500,0))),"⚠"))</f>
        <v/>
      </c>
      <c r="AO162" t="str">
        <f t="shared" si="109"/>
        <v/>
      </c>
      <c r="AP162" t="str">
        <f>IF(BU162="","",IFERROR(IF(INDEX(CODIFICACION!$E$2:$E$500,MATCH("D5.20|"&amp;BU162,CODIFICACION!$F$2:$F$500,0))="sin dato","",INDEX(CODIFICACION!$E$2:$E$500,MATCH("D5.20|"&amp;BU162,CODIFICACION!$F$2:$F$500,0))),"⚠"))</f>
        <v/>
      </c>
      <c r="AQ162" t="str">
        <f>IF(BV162="","",IFERROR(IF(INDEX(CODIFICACION!$E$2:$E$500,MATCH("D5.21|"&amp;BV162,CODIFICACION!$F$2:$F$500,0))="sin dato","",INDEX(CODIFICACION!$E$2:$E$500,MATCH("D5.21|"&amp;BV162,CODIFICACION!$F$2:$F$500,0))),"⚠"))</f>
        <v/>
      </c>
      <c r="AR162" t="str">
        <f>IF(BW162="","",IFERROR(IF(INDEX(CODIFICACION!$E$2:$E$500,MATCH("D5.21a|"&amp;BW162,CODIFICACION!$F$2:$F$500,0))="sin dato","",INDEX(CODIFICACION!$E$2:$E$500,MATCH("D5.21a|"&amp;BW162,CODIFICACION!$F$2:$F$500,0))),"⚠"))</f>
        <v/>
      </c>
      <c r="AS162" t="str">
        <f>IF(BX162="","",IFERROR(IF(INDEX(CODIFICACION!$E$2:$E$500,MATCH("D5.21b|"&amp;BX162,CODIFICACION!$F$2:$F$500,0))="sin dato","",INDEX(CODIFICACION!$E$2:$E$500,MATCH("D5.21b|"&amp;BX162,CODIFICACION!$F$2:$F$500,0))),"⚠"))</f>
        <v/>
      </c>
      <c r="AT162" t="str">
        <f>IF(BY162="","",IFERROR(IF(INDEX(CODIFICACION!$E$2:$E$500,MATCH("D6.22|"&amp;BY162,CODIFICACION!$F$2:$F$500,0))="sin dato","",INDEX(CODIFICACION!$E$2:$E$500,MATCH("D6.22|"&amp;BY162,CODIFICACION!$F$2:$F$500,0))),"⚠"))</f>
        <v/>
      </c>
      <c r="AU162" t="str">
        <f>IF(BZ162="","",IFERROR(IF(INDEX(CODIFICACION!$E$2:$E$500,MATCH("D6.22a|"&amp;BZ162,CODIFICACION!$F$2:$F$500,0))="sin dato","",INDEX(CODIFICACION!$E$2:$E$500,MATCH("D6.22a|"&amp;BZ162,CODIFICACION!$F$2:$F$500,0))),"⚠"))</f>
        <v/>
      </c>
      <c r="AV162" t="str">
        <f>IF(CA162="","",IFERROR(IF(INDEX(CODIFICACION!$E$2:$E$500,MATCH("D6.22b|"&amp;CA162,CODIFICACION!$F$2:$F$500,0))="sin dato","",INDEX(CODIFICACION!$E$2:$E$500,MATCH("D6.22b|"&amp;CA162,CODIFICACION!$F$2:$F$500,0))),"⚠"))</f>
        <v/>
      </c>
      <c r="AW162" t="str">
        <f>IF(CB162="","",IFERROR(IF(INDEX(CODIFICACION!$E$2:$E$500,MATCH("D6.23|"&amp;CB162,CODIFICACION!$F$2:$F$500,0))="sin dato","",INDEX(CODIFICACION!$E$2:$E$500,MATCH("D6.23|"&amp;CB162,CODIFICACION!$F$2:$F$500,0))),"⚠"))</f>
        <v/>
      </c>
      <c r="AX162" t="str">
        <f ca="1">IF(CC162="","",IFERROR(IF(INDEX(CODIFICACION!$E$2:$E$500,MATCH("D6.24|"&amp;CC162,CODIFICACION!$F$2:$F$500,0))="sin dato","",INDEX(CODIFICACION!$E$2:$E$500,MATCH("D6.24|"&amp;CC162,CODIFICACION!$F$2:$F$500,0))),"⚠"))</f>
        <v/>
      </c>
      <c r="AY162" t="str">
        <f ca="1">IF(CD162="","",IFERROR(IF(INDEX(CODIFICACION!$E$2:$E$500,MATCH("D6.25|"&amp;CD162,CODIFICACION!$F$2:$F$500,0))="sin dato","",INDEX(CODIFICACION!$E$2:$E$500,MATCH("D6.25|"&amp;CD162,CODIFICACION!$F$2:$F$500,0))),"⚠"))</f>
        <v/>
      </c>
      <c r="AZ162" t="str">
        <f>IF(CE162="","",IFERROR(IF(INDEX(CODIFICACION!$E$2:$E$500,MATCH("D6.25a|"&amp;CE162,CODIFICACION!$F$2:$F$500,0))="sin dato","",INDEX(CODIFICACION!$E$2:$E$500,MATCH("D6.25a|"&amp;CE162,CODIFICACION!$F$2:$F$500,0))),"⚠"))</f>
        <v/>
      </c>
      <c r="BA162" t="str">
        <f>IF(CF162="","",IFERROR(IF(INDEX(CODIFICACION!$E$2:$E$500,MATCH("D6.25b|"&amp;CF162,CODIFICACION!$F$2:$F$500,0))="sin dato","",INDEX(CODIFICACION!$E$2:$E$500,MATCH("D6.25b|"&amp;CF162,CODIFICACION!$F$2:$F$500,0))),"⚠"))</f>
        <v/>
      </c>
      <c r="BB162" t="str">
        <f ca="1">IF(CG162="","",IFERROR(IF(INDEX(CODIFICACION!$E$2:$E$500,MATCH("D6.22c|"&amp;CG162,CODIFICACION!$F$2:$F$500,0))="sin dato","",INDEX(CODIFICACION!$E$2:$E$500,MATCH("D6.22c|"&amp;CG162,CODIFICACION!$F$2:$F$500,0))),"⚠"))</f>
        <v/>
      </c>
      <c r="BC162" t="str">
        <f ca="1">IF(CH162="","",IFERROR(IF(INDEX(CODIFICACION!$E$2:$E$500,MATCH("D7.26|"&amp;CH162,CODIFICACION!$F$2:$F$500,0))="sin dato","",INDEX(CODIFICACION!$E$2:$E$500,MATCH("D7.26|"&amp;CH162,CODIFICACION!$F$2:$F$500,0))),"⚠"))</f>
        <v/>
      </c>
      <c r="BD162" t="str">
        <f>IF(CI162="","",IFERROR(IF(INDEX(CODIFICACION!$E$2:$E$500,MATCH("D7.27|"&amp;CI162,CODIFICACION!$F$2:$F$500,0))="sin dato","",INDEX(CODIFICACION!$E$2:$E$500,MATCH("D7.27|"&amp;CI162,CODIFICACION!$F$2:$F$500,0))),"⚠"))</f>
        <v/>
      </c>
      <c r="BE162" t="str">
        <f>IF(CJ162="","",IFERROR(IF(INDEX(CODIFICACION!$E$2:$E$500,MATCH("D7.28|"&amp;CJ162,CODIFICACION!$F$2:$F$500,0))="sin dato","",INDEX(CODIFICACION!$E$2:$E$500,MATCH("D7.28|"&amp;CJ162,CODIFICACION!$F$2:$F$500,0))),"⚠"))</f>
        <v/>
      </c>
      <c r="BF162" t="str">
        <f>IF(CK162="","",IFERROR(IF(INDEX(CODIFICACION!$E$2:$E$500,MATCH("D7.28b|"&amp;CK162,CODIFICACION!$F$2:$F$500,0))="sin dato","",INDEX(CODIFICACION!$E$2:$E$500,MATCH("D7.28b|"&amp;CK162,CODIFICACION!$F$2:$F$500,0))),"⚠"))</f>
        <v/>
      </c>
      <c r="BG162" t="str">
        <f t="shared" si="110"/>
        <v/>
      </c>
      <c r="BH162" t="str">
        <f>IF(CM162="","",IFERROR(IF(INDEX(CODIFICACION!$E$2:$E$500,MATCH("D7.26a|"&amp;CM162,CODIFICACION!$F$2:$F$500,0))="sin dato","",INDEX(CODIFICACION!$E$2:$E$500,MATCH("D7.26a|"&amp;CM162,CODIFICACION!$F$2:$F$500,0))),"⚠"))</f>
        <v/>
      </c>
      <c r="BI162" t="str">
        <f>IF(CN162="","",IFERROR(IF(INDEX(CODIFICACION!$E$2:$E$500,MATCH("D7.26b|"&amp;CN162,CODIFICACION!$F$2:$F$500,0))="sin dato","",INDEX(CODIFICACION!$E$2:$E$500,MATCH("D7.26b|"&amp;CN162,CODIFICACION!$F$2:$F$500,0))),"⚠"))</f>
        <v/>
      </c>
      <c r="BJ162" t="str">
        <f t="shared" si="111"/>
        <v/>
      </c>
      <c r="BK162" t="str">
        <f t="shared" si="112"/>
        <v/>
      </c>
      <c r="BL162" t="str">
        <f>IF(CQ162="","",IFERROR(IF(INDEX(CODIFICACION!$E$2:$E$500,MATCH("D8.31|"&amp;CQ162,CODIFICACION!$F$2:$F$500,0))="sin dato","",INDEX(CODIFICACION!$E$2:$E$500,MATCH("D8.31|"&amp;CQ162,CODIFICACION!$F$2:$F$500,0))),"⚠"))</f>
        <v/>
      </c>
      <c r="BM162" t="str">
        <f>IF(CR162="","",IFERROR(IF(INDEX(CODIFICACION!$E$2:$E$500,MATCH("D8.32|"&amp;CR162,CODIFICACION!$F$2:$F$500,0))="sin dato","",INDEX(CODIFICACION!$E$2:$E$500,MATCH("D8.32|"&amp;CR162,CODIFICACION!$F$2:$F$500,0))),"⚠"))</f>
        <v/>
      </c>
      <c r="BN162" t="str">
        <f>IF(CS162="","",IFERROR(IF(INDEX(CODIFICACION!$E$2:$E$500,MATCH("D9.33|"&amp;CS162,CODIFICACION!$F$2:$F$500,0))="sin dato","",INDEX(CODIFICACION!$E$2:$E$500,MATCH("D9.33|"&amp;CS162,CODIFICACION!$F$2:$F$500,0))),"⚠"))</f>
        <v/>
      </c>
      <c r="BO162" t="str">
        <f>IF(CT162="","",IFERROR(IF(INDEX(CODIFICACION!$E$2:$E$500,MATCH("D9.34|"&amp;CT162,CODIFICACION!$F$2:$F$500,0))="sin dato","",INDEX(CODIFICACION!$E$2:$E$500,MATCH("D9.34|"&amp;CT162,CODIFICACION!$F$2:$F$500,0))),"⚠"))</f>
        <v/>
      </c>
      <c r="BP162" t="str">
        <f>IF(CU162="","",IFERROR(IF(INDEX(CODIFICACION!$E$2:$E$500,MATCH("D9.35|"&amp;CU162,CODIFICACION!$F$2:$F$500,0))="sin dato","",INDEX(CODIFICACION!$E$2:$E$500,MATCH("D9.35|"&amp;CU162,CODIFICACION!$F$2:$F$500,0))),"⚠"))</f>
        <v/>
      </c>
      <c r="BQ162" t="str">
        <f>IF(CV162="","",IFERROR(IF(INDEX(CODIFICACION!$E$2:$E$500,MATCH("D10.36|"&amp;CV162,CODIFICACION!$F$2:$F$500,0))="sin dato","",INDEX(CODIFICACION!$E$2:$E$500,MATCH("D10.36|"&amp;CV162,CODIFICACION!$F$2:$F$500,0))),"⚠"))</f>
        <v/>
      </c>
      <c r="BR162" t="str">
        <f>IF(CW162="","",IFERROR(IF(INDEX(CODIFICACION!$E$2:$E$500,MATCH("D10.37|"&amp;CW162,CODIFICACION!$F$2:$F$500,0))="sin dato","",INDEX(CODIFICACION!$E$2:$E$500,MATCH("D10.37|"&amp;CW162,CODIFICACION!$F$2:$F$500,0))),"⚠"))</f>
        <v/>
      </c>
      <c r="BS162" t="str">
        <f>IF(CX162="","",IFERROR(IF(INDEX(CODIFICACION!$E$2:$E$500,MATCH("D10.36a|"&amp;CX162,CODIFICACION!$F$2:$F$500,0))="sin dato","",INDEX(CODIFICACION!$E$2:$E$500,MATCH("D10.36a|"&amp;CX162,CODIFICACION!$F$2:$F$500,0))),"⚠"))</f>
        <v/>
      </c>
      <c r="BT162" t="str">
        <f t="shared" si="113"/>
        <v/>
      </c>
      <c r="BU162" t="str">
        <f>IF(DA162="","",IFERROR(IF(INDEX(CODIFICACION!$E$2:$E$500,MATCH("D11.39a|"&amp;DA162,CODIFICACION!$F$2:$F$500,0))="sin dato","",INDEX(CODIFICACION!$E$2:$E$500,MATCH("D11.39a|"&amp;DA162,CODIFICACION!$F$2:$F$500,0))),"⚠"))</f>
        <v/>
      </c>
      <c r="BV162" t="str">
        <f>IF(DB162="","",IFERROR(IF(INDEX(CODIFICACION!$E$2:$E$500,MATCH("D12.42|"&amp;DB162,CODIFICACION!$F$2:$F$500,0))="sin dato","",INDEX(CODIFICACION!$E$2:$E$500,MATCH("D12.42|"&amp;DB162,CODIFICACION!$F$2:$F$500,0))),"⚠"))</f>
        <v/>
      </c>
      <c r="BW162" t="str">
        <f>IF(DC162="","",IFERROR(IF(INDEX(CODIFICACION!$E$2:$E$500,MATCH("D13.45|"&amp;DC162,CODIFICACION!$F$2:$F$500,0))="sin dato","",INDEX(CODIFICACION!$E$2:$E$500,MATCH("D13.45|"&amp;DC162,CODIFICACION!$F$2:$F$500,0))),"⚠"))</f>
        <v/>
      </c>
      <c r="BX162" t="str">
        <f>IF(DD162="","",IFERROR(IF(INDEX(CODIFICACION!$E$2:$E$500,MATCH("D14.51|"&amp;DD162,CODIFICACION!$F$2:$F$500,0))="sin dato","",INDEX(CODIFICACION!$E$2:$E$500,MATCH("D14.51|"&amp;DD162,CODIFICACION!$F$2:$F$500,0))),"⚠"))</f>
        <v/>
      </c>
      <c r="BY162" t="str">
        <f>IF(DE162="","",IFERROR(IF(INDEX(CODIFICACION!$E$2:$E$500,MATCH("D15.58|"&amp;DE162,CODIFICACION!$F$2:$F$500,0))="sin dato","",INDEX(CODIFICACION!$E$2:$E$500,MATCH("D15.58|"&amp;DE162,CODIFICACION!$F$2:$F$500,0))),"⚠"))</f>
        <v/>
      </c>
      <c r="BZ162" t="str">
        <f>IF(DF162="","",IFERROR(IF(INDEX(CODIFICACION!$E$2:$E$500,MATCH("PP1|"&amp;DF162,CODIFICACION!$F$2:$F$500,0))="sin dato","",INDEX(CODIFICACION!$E$2:$E$500,MATCH("PP1|"&amp;DF162,CODIFICACION!$F$2:$F$500,0))),"⚠"))</f>
        <v/>
      </c>
      <c r="CA162" t="str">
        <f>IF(DG162="","",IFERROR(IF(INDEX(CODIFICACION!$E$2:$E$500,MATCH("PP2|"&amp;DG162,CODIFICACION!$F$2:$F$500,0))="sin dato","",INDEX(CODIFICACION!$E$2:$E$500,MATCH("PP2|"&amp;DG162,CODIFICACION!$F$2:$F$500,0))),"⚠"))</f>
        <v/>
      </c>
      <c r="CB162" t="str">
        <f t="shared" si="114"/>
        <v/>
      </c>
      <c r="CC162" t="str">
        <f t="shared" ca="1" si="115"/>
        <v/>
      </c>
      <c r="CD162" t="str">
        <f t="shared" ca="1" si="116"/>
        <v/>
      </c>
      <c r="CE162" t="str">
        <f t="shared" si="117"/>
        <v/>
      </c>
      <c r="CF162" t="str">
        <f t="shared" si="118"/>
        <v/>
      </c>
      <c r="CG162" t="str">
        <f t="shared" ca="1" si="119"/>
        <v/>
      </c>
      <c r="CH162" t="str">
        <f t="shared" ca="1" si="120"/>
        <v/>
      </c>
      <c r="CI162" t="str">
        <f t="shared" si="121"/>
        <v/>
      </c>
      <c r="CJ162" t="str">
        <f t="shared" si="122"/>
        <v/>
      </c>
      <c r="CK162" t="str">
        <f t="shared" si="123"/>
        <v/>
      </c>
      <c r="CL162" t="str">
        <f t="shared" si="124"/>
        <v/>
      </c>
    </row>
    <row r="163" spans="1:90" x14ac:dyDescent="0.3">
      <c r="A163">
        <f>CAPTURA!A163</f>
        <v>20607536016</v>
      </c>
      <c r="B163">
        <f>CAPTURA!C163</f>
        <v>0</v>
      </c>
      <c r="C163" t="str">
        <f t="shared" ref="C163:C176" si="125">IF(M163="","",ROUND((ISNUMBER(SEARCH("Alemania",M163))+ISNUMBER(SEARCH("Bélgica",M163))+ISNUMBER(SEARCH("Países Bajos",M163))+ISNUMBER(SEARCH("Francia",M163))+ISNUMBER(SEARCH("Italia",M163))+ISNUMBER(SEARCH("España",M163))+ISNUMBER(SEARCH("Suecia",M163))+ISNUMBER(SEARCH("Dinamarca",M163)))/((LEN(M163)-LEN(SUBSTITUTE(M163,";","")))+1)*100,1))</f>
        <v/>
      </c>
      <c r="D163" t="str">
        <f>IF(AE163="","",IFERROR(IF(INDEX(CODIFICACION!$E$2:$E$500,MATCH("P8|"&amp;AE163,CODIFICACION!$F$2:$F$500,0))="sin dato","",INDEX(CODIFICACION!$E$2:$E$500,MATCH("P8|"&amp;AE163,CODIFICACION!$F$2:$F$500,0))),"⚠"))</f>
        <v/>
      </c>
      <c r="E163" t="str">
        <f>IF(AG163="","",IFERROR(IF(INDEX(CODIFICACION!$E$2:$E$500,MATCH("P10|"&amp;AG163,CODIFICACION!$F$2:$F$500,0))="sin dato","",INDEX(CODIFICACION!$E$2:$E$500,MATCH("P10|"&amp;AG163,CODIFICACION!$F$2:$F$500,0))),"⚠"))</f>
        <v/>
      </c>
      <c r="F163" t="str">
        <f>IF(AJ163="","",IFERROR(IF(INDEX(CODIFICACION!$E$2:$E$500,MATCH("P13|"&amp;AJ163,CODIFICACION!$F$2:$F$500,0))="sin dato","",INDEX(CODIFICACION!$E$2:$E$500,MATCH("P13|"&amp;AJ163,CODIFICACION!$F$2:$F$500,0))),"⚠"))</f>
        <v/>
      </c>
      <c r="G163" t="str">
        <f>IF(AK163="","",IFERROR(IF(INDEX(CODIFICACION!$E$2:$E$500,MATCH("P14|"&amp;AK163,CODIFICACION!$F$2:$F$500,0))="sin dato","",INDEX(CODIFICACION!$E$2:$E$500,MATCH("P14|"&amp;AK163,CODIFICACION!$F$2:$F$500,0))),"⚠"))</f>
        <v/>
      </c>
      <c r="H163" t="str">
        <f>IF(AL163="","",IFERROR(IF(INDEX(CODIFICACION!$E$2:$E$500,MATCH("D1.1|"&amp;AL163,CODIFICACION!$F$2:$F$500,0))="sin dato","",INDEX(CODIFICACION!$E$2:$E$500,MATCH("D1.1|"&amp;AL163,CODIFICACION!$F$2:$F$500,0))),"⚠"))</f>
        <v/>
      </c>
      <c r="I163" t="str">
        <f>IF(AN163="","",IFERROR(IF(INDEX(CODIFICACION!$E$2:$E$500,MATCH("D1.3|"&amp;AN163,CODIFICACION!$F$2:$F$500,0))="sin dato","",INDEX(CODIFICACION!$E$2:$E$500,MATCH("D1.3|"&amp;AN163,CODIFICACION!$F$2:$F$500,0))),"⚠"))</f>
        <v/>
      </c>
      <c r="J163" t="str">
        <f>IF(AO163="","",IFERROR(IF(INDEX(CODIFICACION!$E$2:$E$500,MATCH("D1.4|"&amp;AO163,CODIFICACION!$F$2:$F$500,0))="sin dato","",INDEX(CODIFICACION!$E$2:$E$500,MATCH("D1.4|"&amp;AO163,CODIFICACION!$F$2:$F$500,0))),"⚠"))</f>
        <v/>
      </c>
      <c r="K163" t="str">
        <f>IF(AP163="","",IFERROR(IF(INDEX(CODIFICACION!$E$2:$E$500,MATCH("D1.3a|"&amp;AP163,CODIFICACION!$F$2:$F$500,0))="sin dato","",INDEX(CODIFICACION!$E$2:$E$500,MATCH("D1.3a|"&amp;AP163,CODIFICACION!$F$2:$F$500,0))),"⚠"))</f>
        <v/>
      </c>
      <c r="L163" t="str">
        <f t="shared" ref="L163:L176" si="126">IF(AQ163="","",IF(AND(ISNUMBER(AQ163),AQ163&gt;=0,AQ163&lt;=4),AQ163*25,"⚠"))</f>
        <v/>
      </c>
      <c r="M163" t="str">
        <f t="shared" ref="M163:M176" si="127">IF(AR163="","",IF(ISNUMBER(AR163),MAX(0,MIN(100,AR163)),"⚠"))</f>
        <v/>
      </c>
      <c r="N163" t="str">
        <f t="shared" ref="N163:N176" si="128">IF(AS163="","",IF(AND(ISNUMBER(AS163),AS163&gt;=0,AS163&lt;=4),AS163*25,"⚠"))</f>
        <v/>
      </c>
      <c r="O163" t="str">
        <f>IF(AT163="","",IFERROR(IF(INDEX(CODIFICACION!$E$2:$E$500,MATCH("D2.8|"&amp;AT163,CODIFICACION!$F$2:$F$500,0))="sin dato","",INDEX(CODIFICACION!$E$2:$E$500,MATCH("D2.8|"&amp;AT163,CODIFICACION!$F$2:$F$500,0))),"⚠"))</f>
        <v/>
      </c>
      <c r="P163" t="str">
        <f>IF(AU163="","",IFERROR(IF(INDEX(CODIFICACION!$E$2:$E$500,MATCH("D2.9|"&amp;AU163,CODIFICACION!$F$2:$F$500,0))="sin dato","",INDEX(CODIFICACION!$E$2:$E$500,MATCH("D2.9|"&amp;AU163,CODIFICACION!$F$2:$F$500,0))),"⚠"))</f>
        <v/>
      </c>
      <c r="Q163" t="str">
        <f>IF(AV163="","",IFERROR(IF(INDEX(CODIFICACION!$E$2:$E$500,MATCH("D2.10|"&amp;AV163,CODIFICACION!$F$2:$F$500,0))="sin dato","",INDEX(CODIFICACION!$E$2:$E$500,MATCH("D2.10|"&amp;AV163,CODIFICACION!$F$2:$F$500,0))),"⚠"))</f>
        <v/>
      </c>
      <c r="R163" t="str">
        <f>IF(AW163="","",IFERROR(IF(INDEX(CODIFICACION!$E$2:$E$500,MATCH("D2.5a|"&amp;AW163,CODIFICACION!$F$2:$F$500,0))="sin dato","",INDEX(CODIFICACION!$E$2:$E$500,MATCH("D2.5a|"&amp;AW163,CODIFICACION!$F$2:$F$500,0))),"⚠"))</f>
        <v/>
      </c>
      <c r="S163" t="str">
        <f ca="1">IF(AX163="","",IFERROR(IF(INDEX(CODIFICACION!$E$2:$E$500,MATCH("D2.5b|"&amp;AX163,CODIFICACION!$F$2:$F$500,0))="sin dato","",INDEX(CODIFICACION!$E$2:$E$500,MATCH("D2.5b|"&amp;AX163,CODIFICACION!$F$2:$F$500,0))),"⚠"))</f>
        <v/>
      </c>
      <c r="T163" t="str">
        <f t="shared" ref="T163:T176" ca="1" si="129">IF(AY163="","",IF(ISNUMBER(AY163),MAX(0,MIN(100,AY163)),"⚠"))</f>
        <v/>
      </c>
      <c r="U163" t="str">
        <f>IF(AZ163="","",IFERROR(IF(INDEX(CODIFICACION!$E$2:$E$500,MATCH("D3.12|"&amp;AZ163,CODIFICACION!$F$2:$F$500,0))="sin dato","",INDEX(CODIFICACION!$E$2:$E$500,MATCH("D3.12|"&amp;AZ163,CODIFICACION!$F$2:$F$500,0))),"⚠"))</f>
        <v/>
      </c>
      <c r="V163" t="str">
        <f t="shared" ref="V163:V176" si="130">IF(BA163="","",IF(AND(ISNUMBER(BA163),BA163&gt;=0,BA163&lt;=4),BA163*25,"⚠"))</f>
        <v/>
      </c>
      <c r="W163" t="str">
        <f ca="1">IF(BB163="","",IFERROR(IF(INDEX(CODIFICACION!$E$2:$E$500,MATCH("D3.14|"&amp;BB163,CODIFICACION!$F$2:$F$500,0))="sin dato","",INDEX(CODIFICACION!$E$2:$E$500,MATCH("D3.14|"&amp;BB163,CODIFICACION!$F$2:$F$500,0))),"⚠"))</f>
        <v/>
      </c>
      <c r="X163" t="str">
        <f ca="1">IF(BC163="","",IFERROR(IF(INDEX(CODIFICACION!$E$2:$E$500,MATCH("D3.14a|"&amp;BC163,CODIFICACION!$F$2:$F$500,0))="sin dato","",INDEX(CODIFICACION!$E$2:$E$500,MATCH("D3.14a|"&amp;BC163,CODIFICACION!$F$2:$F$500,0))),"⚠"))</f>
        <v/>
      </c>
      <c r="Y163" t="str">
        <f>IF(BD163="","",IFERROR(IF(INDEX(CODIFICACION!$E$2:$E$500,MATCH("D3.14b|"&amp;BD163,CODIFICACION!$F$2:$F$500,0))="sin dato","",INDEX(CODIFICACION!$E$2:$E$500,MATCH("D3.14b|"&amp;BD163,CODIFICACION!$F$2:$F$500,0))),"⚠"))</f>
        <v/>
      </c>
      <c r="Z163" t="str">
        <f>IF(BE163="","",IFERROR(IF(INDEX(CODIFICACION!$E$2:$E$500,MATCH("D3.14c|"&amp;BE163,CODIFICACION!$F$2:$F$500,0))="sin dato","",INDEX(CODIFICACION!$E$2:$E$500,MATCH("D3.14c|"&amp;BE163,CODIFICACION!$F$2:$F$500,0))),"⚠"))</f>
        <v/>
      </c>
      <c r="AA163" t="str">
        <f>IF(BF163="","",IFERROR(IF(INDEX(CODIFICACION!$E$2:$E$500,MATCH("D3.14d|"&amp;BF163,CODIFICACION!$F$2:$F$500,0))="sin dato","",INDEX(CODIFICACION!$E$2:$E$500,MATCH("D3.14d|"&amp;BF163,CODIFICACION!$F$2:$F$500,0))),"⚠"))</f>
        <v/>
      </c>
      <c r="AB163" t="str">
        <f>IF(BG163="","",IFERROR(IF(INDEX(CODIFICACION!$E$2:$E$500,MATCH("D3.14e|"&amp;BG163,CODIFICACION!$F$2:$F$500,0))="sin dato","",INDEX(CODIFICACION!$E$2:$E$500,MATCH("D3.14e|"&amp;BG163,CODIFICACION!$F$2:$F$500,0))),"⚠"))</f>
        <v/>
      </c>
      <c r="AC163" t="str">
        <f>IF(BH163="","",IFERROR(IF(INDEX(CODIFICACION!$E$2:$E$500,MATCH("D3.14f|"&amp;BH163,CODIFICACION!$F$2:$F$500,0))="sin dato","",INDEX(CODIFICACION!$E$2:$E$500,MATCH("D3.14f|"&amp;BH163,CODIFICACION!$F$2:$F$500,0))),"⚠"))</f>
        <v/>
      </c>
      <c r="AD163" t="str">
        <f>IF(BI163="","",IFERROR(IF(INDEX(CODIFICACION!$E$2:$E$500,MATCH("D3.14g|"&amp;BI163,CODIFICACION!$F$2:$F$500,0))="sin dato","",INDEX(CODIFICACION!$E$2:$E$500,MATCH("D3.14g|"&amp;BI163,CODIFICACION!$F$2:$F$500,0))),"⚠"))</f>
        <v/>
      </c>
      <c r="AE163" t="str">
        <f>IF(BJ163="","",IFERROR(IF(INDEX(CODIFICACION!$E$2:$E$500,MATCH("D3.14h|"&amp;BJ163,CODIFICACION!$F$2:$F$500,0))="sin dato","",INDEX(CODIFICACION!$E$2:$E$500,MATCH("D3.14h|"&amp;BJ163,CODIFICACION!$F$2:$F$500,0))),"⚠"))</f>
        <v/>
      </c>
      <c r="AF163" t="str">
        <f>IF(BK163="","",IFERROR(IF(INDEX(CODIFICACION!$E$2:$E$500,MATCH("D3.14i|"&amp;BK163,CODIFICACION!$F$2:$F$500,0))="sin dato","",INDEX(CODIFICACION!$E$2:$E$500,MATCH("D3.14i|"&amp;BK163,CODIFICACION!$F$2:$F$500,0))),"⚠"))</f>
        <v/>
      </c>
      <c r="AG163" t="str">
        <f>IF(BL163="","",IFERROR(IF(INDEX(CODIFICACION!$E$2:$E$500,MATCH("D4.15|"&amp;BL163,CODIFICACION!$F$2:$F$500,0))="sin dato","",INDEX(CODIFICACION!$E$2:$E$500,MATCH("D4.15|"&amp;BL163,CODIFICACION!$F$2:$F$500,0))),"⚠"))</f>
        <v/>
      </c>
      <c r="AH163" t="str">
        <f t="shared" ref="AH163:AH176" si="131">IF(BM163="","",IF(AND(ISNUMBER(BM163),BM163&gt;=0,BM163&lt;=4),BM163*25,"⚠"))</f>
        <v/>
      </c>
      <c r="AI163" t="str">
        <f>IF(BN163="","",IFERROR(IF(INDEX(CODIFICACION!$E$2:$E$500,MATCH("D4.17|"&amp;BN163,CODIFICACION!$F$2:$F$500,0))="sin dato","",INDEX(CODIFICACION!$E$2:$E$500,MATCH("D4.17|"&amp;BN163,CODIFICACION!$F$2:$F$500,0))),"⚠"))</f>
        <v/>
      </c>
      <c r="AJ163" t="str">
        <f>IF(BO163="","",IFERROR(IF(INDEX(CODIFICACION!$E$2:$E$500,MATCH("D4.15a|"&amp;BO163,CODIFICACION!$F$2:$F$500,0))="sin dato","",INDEX(CODIFICACION!$E$2:$E$500,MATCH("D4.15a|"&amp;BO163,CODIFICACION!$F$2:$F$500,0))),"⚠"))</f>
        <v/>
      </c>
      <c r="AK163" t="str">
        <f t="shared" ref="AK163:AK176" si="132">IF(BP163="","",IF(AND(ISNUMBER(BP163),BP163&gt;=0,BP163&lt;=4),BP163*25,"⚠"))</f>
        <v/>
      </c>
      <c r="AL163" t="str">
        <f t="shared" ref="AL163:AL176" si="133">IF(BQ163="","",IF(AND(ISNUMBER(BQ163),BQ163&gt;=0,BQ163&lt;=4),BQ163*25,"⚠"))</f>
        <v/>
      </c>
      <c r="AM163" t="str">
        <f>IF(BR163="","",IFERROR(IF(INDEX(CODIFICACION!$E$2:$E$500,MATCH("D5.18b|"&amp;BR163,CODIFICACION!$F$2:$F$500,0))="sin dato","",INDEX(CODIFICACION!$E$2:$E$500,MATCH("D5.18b|"&amp;BR163,CODIFICACION!$F$2:$F$500,0))),"⚠"))</f>
        <v/>
      </c>
      <c r="AN163" t="str">
        <f>IF(BS163="","",IFERROR(IF(INDEX(CODIFICACION!$E$2:$E$500,MATCH("D5.19|"&amp;BS163,CODIFICACION!$F$2:$F$500,0))="sin dato","",INDEX(CODIFICACION!$E$2:$E$500,MATCH("D5.19|"&amp;BS163,CODIFICACION!$F$2:$F$500,0))),"⚠"))</f>
        <v/>
      </c>
      <c r="AO163" t="str">
        <f t="shared" ref="AO163:AO176" si="134">IF(BT163="","",ROUND((LEN(BT163)-LEN(SUBSTITUTE(BT163,";",""))+1)/7*100,1))</f>
        <v/>
      </c>
      <c r="AP163" t="str">
        <f>IF(BU163="","",IFERROR(IF(INDEX(CODIFICACION!$E$2:$E$500,MATCH("D5.20|"&amp;BU163,CODIFICACION!$F$2:$F$500,0))="sin dato","",INDEX(CODIFICACION!$E$2:$E$500,MATCH("D5.20|"&amp;BU163,CODIFICACION!$F$2:$F$500,0))),"⚠"))</f>
        <v/>
      </c>
      <c r="AQ163" t="str">
        <f>IF(BV163="","",IFERROR(IF(INDEX(CODIFICACION!$E$2:$E$500,MATCH("D5.21|"&amp;BV163,CODIFICACION!$F$2:$F$500,0))="sin dato","",INDEX(CODIFICACION!$E$2:$E$500,MATCH("D5.21|"&amp;BV163,CODIFICACION!$F$2:$F$500,0))),"⚠"))</f>
        <v/>
      </c>
      <c r="AR163" t="str">
        <f>IF(BW163="","",IFERROR(IF(INDEX(CODIFICACION!$E$2:$E$500,MATCH("D5.21a|"&amp;BW163,CODIFICACION!$F$2:$F$500,0))="sin dato","",INDEX(CODIFICACION!$E$2:$E$500,MATCH("D5.21a|"&amp;BW163,CODIFICACION!$F$2:$F$500,0))),"⚠"))</f>
        <v/>
      </c>
      <c r="AS163" t="str">
        <f>IF(BX163="","",IFERROR(IF(INDEX(CODIFICACION!$E$2:$E$500,MATCH("D5.21b|"&amp;BX163,CODIFICACION!$F$2:$F$500,0))="sin dato","",INDEX(CODIFICACION!$E$2:$E$500,MATCH("D5.21b|"&amp;BX163,CODIFICACION!$F$2:$F$500,0))),"⚠"))</f>
        <v/>
      </c>
      <c r="AT163" t="str">
        <f>IF(BY163="","",IFERROR(IF(INDEX(CODIFICACION!$E$2:$E$500,MATCH("D6.22|"&amp;BY163,CODIFICACION!$F$2:$F$500,0))="sin dato","",INDEX(CODIFICACION!$E$2:$E$500,MATCH("D6.22|"&amp;BY163,CODIFICACION!$F$2:$F$500,0))),"⚠"))</f>
        <v/>
      </c>
      <c r="AU163" t="str">
        <f>IF(BZ163="","",IFERROR(IF(INDEX(CODIFICACION!$E$2:$E$500,MATCH("D6.22a|"&amp;BZ163,CODIFICACION!$F$2:$F$500,0))="sin dato","",INDEX(CODIFICACION!$E$2:$E$500,MATCH("D6.22a|"&amp;BZ163,CODIFICACION!$F$2:$F$500,0))),"⚠"))</f>
        <v/>
      </c>
      <c r="AV163" t="str">
        <f>IF(CA163="","",IFERROR(IF(INDEX(CODIFICACION!$E$2:$E$500,MATCH("D6.22b|"&amp;CA163,CODIFICACION!$F$2:$F$500,0))="sin dato","",INDEX(CODIFICACION!$E$2:$E$500,MATCH("D6.22b|"&amp;CA163,CODIFICACION!$F$2:$F$500,0))),"⚠"))</f>
        <v/>
      </c>
      <c r="AW163" t="str">
        <f>IF(CB163="","",IFERROR(IF(INDEX(CODIFICACION!$E$2:$E$500,MATCH("D6.23|"&amp;CB163,CODIFICACION!$F$2:$F$500,0))="sin dato","",INDEX(CODIFICACION!$E$2:$E$500,MATCH("D6.23|"&amp;CB163,CODIFICACION!$F$2:$F$500,0))),"⚠"))</f>
        <v/>
      </c>
      <c r="AX163" t="str">
        <f ca="1">IF(CC163="","",IFERROR(IF(INDEX(CODIFICACION!$E$2:$E$500,MATCH("D6.24|"&amp;CC163,CODIFICACION!$F$2:$F$500,0))="sin dato","",INDEX(CODIFICACION!$E$2:$E$500,MATCH("D6.24|"&amp;CC163,CODIFICACION!$F$2:$F$500,0))),"⚠"))</f>
        <v/>
      </c>
      <c r="AY163" t="str">
        <f ca="1">IF(CD163="","",IFERROR(IF(INDEX(CODIFICACION!$E$2:$E$500,MATCH("D6.25|"&amp;CD163,CODIFICACION!$F$2:$F$500,0))="sin dato","",INDEX(CODIFICACION!$E$2:$E$500,MATCH("D6.25|"&amp;CD163,CODIFICACION!$F$2:$F$500,0))),"⚠"))</f>
        <v/>
      </c>
      <c r="AZ163" t="str">
        <f>IF(CE163="","",IFERROR(IF(INDEX(CODIFICACION!$E$2:$E$500,MATCH("D6.25a|"&amp;CE163,CODIFICACION!$F$2:$F$500,0))="sin dato","",INDEX(CODIFICACION!$E$2:$E$500,MATCH("D6.25a|"&amp;CE163,CODIFICACION!$F$2:$F$500,0))),"⚠"))</f>
        <v/>
      </c>
      <c r="BA163" t="str">
        <f>IF(CF163="","",IFERROR(IF(INDEX(CODIFICACION!$E$2:$E$500,MATCH("D6.25b|"&amp;CF163,CODIFICACION!$F$2:$F$500,0))="sin dato","",INDEX(CODIFICACION!$E$2:$E$500,MATCH("D6.25b|"&amp;CF163,CODIFICACION!$F$2:$F$500,0))),"⚠"))</f>
        <v/>
      </c>
      <c r="BB163" t="str">
        <f ca="1">IF(CG163="","",IFERROR(IF(INDEX(CODIFICACION!$E$2:$E$500,MATCH("D6.22c|"&amp;CG163,CODIFICACION!$F$2:$F$500,0))="sin dato","",INDEX(CODIFICACION!$E$2:$E$500,MATCH("D6.22c|"&amp;CG163,CODIFICACION!$F$2:$F$500,0))),"⚠"))</f>
        <v/>
      </c>
      <c r="BC163" t="str">
        <f ca="1">IF(CH163="","",IFERROR(IF(INDEX(CODIFICACION!$E$2:$E$500,MATCH("D7.26|"&amp;CH163,CODIFICACION!$F$2:$F$500,0))="sin dato","",INDEX(CODIFICACION!$E$2:$E$500,MATCH("D7.26|"&amp;CH163,CODIFICACION!$F$2:$F$500,0))),"⚠"))</f>
        <v/>
      </c>
      <c r="BD163" t="str">
        <f>IF(CI163="","",IFERROR(IF(INDEX(CODIFICACION!$E$2:$E$500,MATCH("D7.27|"&amp;CI163,CODIFICACION!$F$2:$F$500,0))="sin dato","",INDEX(CODIFICACION!$E$2:$E$500,MATCH("D7.27|"&amp;CI163,CODIFICACION!$F$2:$F$500,0))),"⚠"))</f>
        <v/>
      </c>
      <c r="BE163" t="str">
        <f>IF(CJ163="","",IFERROR(IF(INDEX(CODIFICACION!$E$2:$E$500,MATCH("D7.28|"&amp;CJ163,CODIFICACION!$F$2:$F$500,0))="sin dato","",INDEX(CODIFICACION!$E$2:$E$500,MATCH("D7.28|"&amp;CJ163,CODIFICACION!$F$2:$F$500,0))),"⚠"))</f>
        <v/>
      </c>
      <c r="BF163" t="str">
        <f>IF(CK163="","",IFERROR(IF(INDEX(CODIFICACION!$E$2:$E$500,MATCH("D7.28b|"&amp;CK163,CODIFICACION!$F$2:$F$500,0))="sin dato","",INDEX(CODIFICACION!$E$2:$E$500,MATCH("D7.28b|"&amp;CK163,CODIFICACION!$F$2:$F$500,0))),"⚠"))</f>
        <v/>
      </c>
      <c r="BG163" t="str">
        <f t="shared" ref="BG163:BG176" si="135">IF(CL163="","",ROUND((LEN(CL163)-LEN(SUBSTITUTE(CL163,";",""))+1)/8*100,1))</f>
        <v/>
      </c>
      <c r="BH163" t="str">
        <f>IF(CM163="","",IFERROR(IF(INDEX(CODIFICACION!$E$2:$E$500,MATCH("D7.26a|"&amp;CM163,CODIFICACION!$F$2:$F$500,0))="sin dato","",INDEX(CODIFICACION!$E$2:$E$500,MATCH("D7.26a|"&amp;CM163,CODIFICACION!$F$2:$F$500,0))),"⚠"))</f>
        <v/>
      </c>
      <c r="BI163" t="str">
        <f>IF(CN163="","",IFERROR(IF(INDEX(CODIFICACION!$E$2:$E$500,MATCH("D7.26b|"&amp;CN163,CODIFICACION!$F$2:$F$500,0))="sin dato","",INDEX(CODIFICACION!$E$2:$E$500,MATCH("D7.26b|"&amp;CN163,CODIFICACION!$F$2:$F$500,0))),"⚠"))</f>
        <v/>
      </c>
      <c r="BJ163" t="str">
        <f t="shared" ref="BJ163:BJ176" si="136">IF(CO163="","",IF(AND(ISNUMBER(CO163),CO163&gt;=0,CO163&lt;=4),CO163*25,"⚠"))</f>
        <v/>
      </c>
      <c r="BK163" t="str">
        <f t="shared" ref="BK163:BK176" si="137">IF(CP163="","",IF(ISNUMBER(CP163),MAX(0,MIN(100,CP163)),"⚠"))</f>
        <v/>
      </c>
      <c r="BL163" t="str">
        <f>IF(CQ163="","",IFERROR(IF(INDEX(CODIFICACION!$E$2:$E$500,MATCH("D8.31|"&amp;CQ163,CODIFICACION!$F$2:$F$500,0))="sin dato","",INDEX(CODIFICACION!$E$2:$E$500,MATCH("D8.31|"&amp;CQ163,CODIFICACION!$F$2:$F$500,0))),"⚠"))</f>
        <v/>
      </c>
      <c r="BM163" t="str">
        <f>IF(CR163="","",IFERROR(IF(INDEX(CODIFICACION!$E$2:$E$500,MATCH("D8.32|"&amp;CR163,CODIFICACION!$F$2:$F$500,0))="sin dato","",INDEX(CODIFICACION!$E$2:$E$500,MATCH("D8.32|"&amp;CR163,CODIFICACION!$F$2:$F$500,0))),"⚠"))</f>
        <v/>
      </c>
      <c r="BN163" t="str">
        <f>IF(CS163="","",IFERROR(IF(INDEX(CODIFICACION!$E$2:$E$500,MATCH("D9.33|"&amp;CS163,CODIFICACION!$F$2:$F$500,0))="sin dato","",INDEX(CODIFICACION!$E$2:$E$500,MATCH("D9.33|"&amp;CS163,CODIFICACION!$F$2:$F$500,0))),"⚠"))</f>
        <v/>
      </c>
      <c r="BO163" t="str">
        <f>IF(CT163="","",IFERROR(IF(INDEX(CODIFICACION!$E$2:$E$500,MATCH("D9.34|"&amp;CT163,CODIFICACION!$F$2:$F$500,0))="sin dato","",INDEX(CODIFICACION!$E$2:$E$500,MATCH("D9.34|"&amp;CT163,CODIFICACION!$F$2:$F$500,0))),"⚠"))</f>
        <v/>
      </c>
      <c r="BP163" t="str">
        <f>IF(CU163="","",IFERROR(IF(INDEX(CODIFICACION!$E$2:$E$500,MATCH("D9.35|"&amp;CU163,CODIFICACION!$F$2:$F$500,0))="sin dato","",INDEX(CODIFICACION!$E$2:$E$500,MATCH("D9.35|"&amp;CU163,CODIFICACION!$F$2:$F$500,0))),"⚠"))</f>
        <v/>
      </c>
      <c r="BQ163" t="str">
        <f>IF(CV163="","",IFERROR(IF(INDEX(CODIFICACION!$E$2:$E$500,MATCH("D10.36|"&amp;CV163,CODIFICACION!$F$2:$F$500,0))="sin dato","",INDEX(CODIFICACION!$E$2:$E$500,MATCH("D10.36|"&amp;CV163,CODIFICACION!$F$2:$F$500,0))),"⚠"))</f>
        <v/>
      </c>
      <c r="BR163" t="str">
        <f>IF(CW163="","",IFERROR(IF(INDEX(CODIFICACION!$E$2:$E$500,MATCH("D10.37|"&amp;CW163,CODIFICACION!$F$2:$F$500,0))="sin dato","",INDEX(CODIFICACION!$E$2:$E$500,MATCH("D10.37|"&amp;CW163,CODIFICACION!$F$2:$F$500,0))),"⚠"))</f>
        <v/>
      </c>
      <c r="BS163" t="str">
        <f>IF(CX163="","",IFERROR(IF(INDEX(CODIFICACION!$E$2:$E$500,MATCH("D10.36a|"&amp;CX163,CODIFICACION!$F$2:$F$500,0))="sin dato","",INDEX(CODIFICACION!$E$2:$E$500,MATCH("D10.36a|"&amp;CX163,CODIFICACION!$F$2:$F$500,0))),"⚠"))</f>
        <v/>
      </c>
      <c r="BT163" t="str">
        <f t="shared" ref="BT163:BT176" si="138">IF(CY163="","",IF(ISNUMBER(SEARCH("Ninguno",CY163)),0,ROUND((LEN(CY163)-LEN(SUBSTITUTE(CY163,";",""))+1)/6*100,1)))</f>
        <v/>
      </c>
      <c r="BU163" t="str">
        <f>IF(DA163="","",IFERROR(IF(INDEX(CODIFICACION!$E$2:$E$500,MATCH("D11.39a|"&amp;DA163,CODIFICACION!$F$2:$F$500,0))="sin dato","",INDEX(CODIFICACION!$E$2:$E$500,MATCH("D11.39a|"&amp;DA163,CODIFICACION!$F$2:$F$500,0))),"⚠"))</f>
        <v/>
      </c>
      <c r="BV163" t="str">
        <f>IF(DB163="","",IFERROR(IF(INDEX(CODIFICACION!$E$2:$E$500,MATCH("D12.42|"&amp;DB163,CODIFICACION!$F$2:$F$500,0))="sin dato","",INDEX(CODIFICACION!$E$2:$E$500,MATCH("D12.42|"&amp;DB163,CODIFICACION!$F$2:$F$500,0))),"⚠"))</f>
        <v/>
      </c>
      <c r="BW163" t="str">
        <f>IF(DC163="","",IFERROR(IF(INDEX(CODIFICACION!$E$2:$E$500,MATCH("D13.45|"&amp;DC163,CODIFICACION!$F$2:$F$500,0))="sin dato","",INDEX(CODIFICACION!$E$2:$E$500,MATCH("D13.45|"&amp;DC163,CODIFICACION!$F$2:$F$500,0))),"⚠"))</f>
        <v/>
      </c>
      <c r="BX163" t="str">
        <f>IF(DD163="","",IFERROR(IF(INDEX(CODIFICACION!$E$2:$E$500,MATCH("D14.51|"&amp;DD163,CODIFICACION!$F$2:$F$500,0))="sin dato","",INDEX(CODIFICACION!$E$2:$E$500,MATCH("D14.51|"&amp;DD163,CODIFICACION!$F$2:$F$500,0))),"⚠"))</f>
        <v/>
      </c>
      <c r="BY163" t="str">
        <f>IF(DE163="","",IFERROR(IF(INDEX(CODIFICACION!$E$2:$E$500,MATCH("D15.58|"&amp;DE163,CODIFICACION!$F$2:$F$500,0))="sin dato","",INDEX(CODIFICACION!$E$2:$E$500,MATCH("D15.58|"&amp;DE163,CODIFICACION!$F$2:$F$500,0))),"⚠"))</f>
        <v/>
      </c>
      <c r="BZ163" t="str">
        <f>IF(DF163="","",IFERROR(IF(INDEX(CODIFICACION!$E$2:$E$500,MATCH("PP1|"&amp;DF163,CODIFICACION!$F$2:$F$500,0))="sin dato","",INDEX(CODIFICACION!$E$2:$E$500,MATCH("PP1|"&amp;DF163,CODIFICACION!$F$2:$F$500,0))),"⚠"))</f>
        <v/>
      </c>
      <c r="CA163" t="str">
        <f>IF(DG163="","",IFERROR(IF(INDEX(CODIFICACION!$E$2:$E$500,MATCH("PP2|"&amp;DG163,CODIFICACION!$F$2:$F$500,0))="sin dato","",INDEX(CODIFICACION!$E$2:$E$500,MATCH("PP2|"&amp;DG163,CODIFICACION!$F$2:$F$500,0))),"⚠"))</f>
        <v/>
      </c>
      <c r="CB163" t="str">
        <f t="shared" ref="CB163:CB176" si="139">IFERROR(AVERAGE(H163,I163,J163,K163),"")</f>
        <v/>
      </c>
      <c r="CC163" t="str">
        <f t="shared" ref="CC163:CC176" ca="1" si="140">IFERROR(AVERAGE(L163,M163,N163,O163,P163,Q163,R163,S163),"")</f>
        <v/>
      </c>
      <c r="CD163" t="str">
        <f t="shared" ref="CD163:CD176" ca="1" si="141">IFERROR(AVERAGE(T163,U163,V163,W163,X163,Y163,Z163,AA163,AB163,AC163,AD163,AE163,AF163),"")</f>
        <v/>
      </c>
      <c r="CE163" t="str">
        <f t="shared" ref="CE163:CE176" si="142">IFERROR(AVERAGE(AG163,AH163,AI163,AJ163),"")</f>
        <v/>
      </c>
      <c r="CF163" t="str">
        <f t="shared" ref="CF163:CF176" si="143">IFERROR(AVERAGE(D163,AK163,AL163,AM163,AN163,AO163,AP163,AQ163,AR163,AS163),"")</f>
        <v/>
      </c>
      <c r="CG163" t="str">
        <f t="shared" ref="CG163:CG176" ca="1" si="144">IFERROR(AVERAGE(AT163,AU163,AV163,BB163,AW163,AX163,AY163,AZ163,BA163),"")</f>
        <v/>
      </c>
      <c r="CH163" t="str">
        <f t="shared" ref="CH163:CH176" ca="1" si="145">IFERROR(AVERAGE(C163,E163,F163,BC163,BH163,BI163,BD163,BE163,BF163,BG163),"")</f>
        <v/>
      </c>
      <c r="CI163" t="str">
        <f t="shared" ref="CI163:CI176" si="146">IFERROR(AVERAGE(BJ163,BK163,BL163,BM163),"")</f>
        <v/>
      </c>
      <c r="CJ163" t="str">
        <f t="shared" ref="CJ163:CJ176" si="147">IFERROR(AVERAGE(G163,BN163,BO163,BP163),"")</f>
        <v/>
      </c>
      <c r="CK163" t="str">
        <f t="shared" ref="CK163:CK176" si="148">IFERROR(AVERAGE(BQ163,BS163,BR163),"")</f>
        <v/>
      </c>
      <c r="CL163" t="str">
        <f t="shared" ref="CL163:CL176" si="149">IFERROR(AVERAGE(BT163,BU163),"")</f>
        <v/>
      </c>
    </row>
    <row r="164" spans="1:90" x14ac:dyDescent="0.3">
      <c r="A164">
        <f>CAPTURA!A164</f>
        <v>20607558559</v>
      </c>
      <c r="B164">
        <f>CAPTURA!C164</f>
        <v>0</v>
      </c>
      <c r="C164" t="str">
        <f t="shared" si="125"/>
        <v/>
      </c>
      <c r="D164" t="str">
        <f>IF(AE164="","",IFERROR(IF(INDEX(CODIFICACION!$E$2:$E$500,MATCH("P8|"&amp;AE164,CODIFICACION!$F$2:$F$500,0))="sin dato","",INDEX(CODIFICACION!$E$2:$E$500,MATCH("P8|"&amp;AE164,CODIFICACION!$F$2:$F$500,0))),"⚠"))</f>
        <v/>
      </c>
      <c r="E164" t="str">
        <f>IF(AG164="","",IFERROR(IF(INDEX(CODIFICACION!$E$2:$E$500,MATCH("P10|"&amp;AG164,CODIFICACION!$F$2:$F$500,0))="sin dato","",INDEX(CODIFICACION!$E$2:$E$500,MATCH("P10|"&amp;AG164,CODIFICACION!$F$2:$F$500,0))),"⚠"))</f>
        <v/>
      </c>
      <c r="F164" t="str">
        <f>IF(AJ164="","",IFERROR(IF(INDEX(CODIFICACION!$E$2:$E$500,MATCH("P13|"&amp;AJ164,CODIFICACION!$F$2:$F$500,0))="sin dato","",INDEX(CODIFICACION!$E$2:$E$500,MATCH("P13|"&amp;AJ164,CODIFICACION!$F$2:$F$500,0))),"⚠"))</f>
        <v/>
      </c>
      <c r="G164" t="str">
        <f>IF(AK164="","",IFERROR(IF(INDEX(CODIFICACION!$E$2:$E$500,MATCH("P14|"&amp;AK164,CODIFICACION!$F$2:$F$500,0))="sin dato","",INDEX(CODIFICACION!$E$2:$E$500,MATCH("P14|"&amp;AK164,CODIFICACION!$F$2:$F$500,0))),"⚠"))</f>
        <v/>
      </c>
      <c r="H164" t="str">
        <f>IF(AL164="","",IFERROR(IF(INDEX(CODIFICACION!$E$2:$E$500,MATCH("D1.1|"&amp;AL164,CODIFICACION!$F$2:$F$500,0))="sin dato","",INDEX(CODIFICACION!$E$2:$E$500,MATCH("D1.1|"&amp;AL164,CODIFICACION!$F$2:$F$500,0))),"⚠"))</f>
        <v/>
      </c>
      <c r="I164" t="str">
        <f>IF(AN164="","",IFERROR(IF(INDEX(CODIFICACION!$E$2:$E$500,MATCH("D1.3|"&amp;AN164,CODIFICACION!$F$2:$F$500,0))="sin dato","",INDEX(CODIFICACION!$E$2:$E$500,MATCH("D1.3|"&amp;AN164,CODIFICACION!$F$2:$F$500,0))),"⚠"))</f>
        <v/>
      </c>
      <c r="J164" t="str">
        <f>IF(AO164="","",IFERROR(IF(INDEX(CODIFICACION!$E$2:$E$500,MATCH("D1.4|"&amp;AO164,CODIFICACION!$F$2:$F$500,0))="sin dato","",INDEX(CODIFICACION!$E$2:$E$500,MATCH("D1.4|"&amp;AO164,CODIFICACION!$F$2:$F$500,0))),"⚠"))</f>
        <v/>
      </c>
      <c r="K164" t="str">
        <f>IF(AP164="","",IFERROR(IF(INDEX(CODIFICACION!$E$2:$E$500,MATCH("D1.3a|"&amp;AP164,CODIFICACION!$F$2:$F$500,0))="sin dato","",INDEX(CODIFICACION!$E$2:$E$500,MATCH("D1.3a|"&amp;AP164,CODIFICACION!$F$2:$F$500,0))),"⚠"))</f>
        <v/>
      </c>
      <c r="L164" t="str">
        <f t="shared" si="126"/>
        <v/>
      </c>
      <c r="M164" t="str">
        <f t="shared" si="127"/>
        <v/>
      </c>
      <c r="N164" t="str">
        <f t="shared" si="128"/>
        <v/>
      </c>
      <c r="O164" t="str">
        <f>IF(AT164="","",IFERROR(IF(INDEX(CODIFICACION!$E$2:$E$500,MATCH("D2.8|"&amp;AT164,CODIFICACION!$F$2:$F$500,0))="sin dato","",INDEX(CODIFICACION!$E$2:$E$500,MATCH("D2.8|"&amp;AT164,CODIFICACION!$F$2:$F$500,0))),"⚠"))</f>
        <v/>
      </c>
      <c r="P164" t="str">
        <f>IF(AU164="","",IFERROR(IF(INDEX(CODIFICACION!$E$2:$E$500,MATCH("D2.9|"&amp;AU164,CODIFICACION!$F$2:$F$500,0))="sin dato","",INDEX(CODIFICACION!$E$2:$E$500,MATCH("D2.9|"&amp;AU164,CODIFICACION!$F$2:$F$500,0))),"⚠"))</f>
        <v/>
      </c>
      <c r="Q164" t="str">
        <f>IF(AV164="","",IFERROR(IF(INDEX(CODIFICACION!$E$2:$E$500,MATCH("D2.10|"&amp;AV164,CODIFICACION!$F$2:$F$500,0))="sin dato","",INDEX(CODIFICACION!$E$2:$E$500,MATCH("D2.10|"&amp;AV164,CODIFICACION!$F$2:$F$500,0))),"⚠"))</f>
        <v/>
      </c>
      <c r="R164" t="str">
        <f>IF(AW164="","",IFERROR(IF(INDEX(CODIFICACION!$E$2:$E$500,MATCH("D2.5a|"&amp;AW164,CODIFICACION!$F$2:$F$500,0))="sin dato","",INDEX(CODIFICACION!$E$2:$E$500,MATCH("D2.5a|"&amp;AW164,CODIFICACION!$F$2:$F$500,0))),"⚠"))</f>
        <v/>
      </c>
      <c r="S164" t="str">
        <f ca="1">IF(AX164="","",IFERROR(IF(INDEX(CODIFICACION!$E$2:$E$500,MATCH("D2.5b|"&amp;AX164,CODIFICACION!$F$2:$F$500,0))="sin dato","",INDEX(CODIFICACION!$E$2:$E$500,MATCH("D2.5b|"&amp;AX164,CODIFICACION!$F$2:$F$500,0))),"⚠"))</f>
        <v/>
      </c>
      <c r="T164" t="str">
        <f t="shared" ca="1" si="129"/>
        <v/>
      </c>
      <c r="U164" t="str">
        <f>IF(AZ164="","",IFERROR(IF(INDEX(CODIFICACION!$E$2:$E$500,MATCH("D3.12|"&amp;AZ164,CODIFICACION!$F$2:$F$500,0))="sin dato","",INDEX(CODIFICACION!$E$2:$E$500,MATCH("D3.12|"&amp;AZ164,CODIFICACION!$F$2:$F$500,0))),"⚠"))</f>
        <v/>
      </c>
      <c r="V164" t="str">
        <f t="shared" si="130"/>
        <v/>
      </c>
      <c r="W164" t="str">
        <f ca="1">IF(BB164="","",IFERROR(IF(INDEX(CODIFICACION!$E$2:$E$500,MATCH("D3.14|"&amp;BB164,CODIFICACION!$F$2:$F$500,0))="sin dato","",INDEX(CODIFICACION!$E$2:$E$500,MATCH("D3.14|"&amp;BB164,CODIFICACION!$F$2:$F$500,0))),"⚠"))</f>
        <v/>
      </c>
      <c r="X164" t="str">
        <f ca="1">IF(BC164="","",IFERROR(IF(INDEX(CODIFICACION!$E$2:$E$500,MATCH("D3.14a|"&amp;BC164,CODIFICACION!$F$2:$F$500,0))="sin dato","",INDEX(CODIFICACION!$E$2:$E$500,MATCH("D3.14a|"&amp;BC164,CODIFICACION!$F$2:$F$500,0))),"⚠"))</f>
        <v/>
      </c>
      <c r="Y164" t="str">
        <f>IF(BD164="","",IFERROR(IF(INDEX(CODIFICACION!$E$2:$E$500,MATCH("D3.14b|"&amp;BD164,CODIFICACION!$F$2:$F$500,0))="sin dato","",INDEX(CODIFICACION!$E$2:$E$500,MATCH("D3.14b|"&amp;BD164,CODIFICACION!$F$2:$F$500,0))),"⚠"))</f>
        <v/>
      </c>
      <c r="Z164" t="str">
        <f>IF(BE164="","",IFERROR(IF(INDEX(CODIFICACION!$E$2:$E$500,MATCH("D3.14c|"&amp;BE164,CODIFICACION!$F$2:$F$500,0))="sin dato","",INDEX(CODIFICACION!$E$2:$E$500,MATCH("D3.14c|"&amp;BE164,CODIFICACION!$F$2:$F$500,0))),"⚠"))</f>
        <v/>
      </c>
      <c r="AA164" t="str">
        <f>IF(BF164="","",IFERROR(IF(INDEX(CODIFICACION!$E$2:$E$500,MATCH("D3.14d|"&amp;BF164,CODIFICACION!$F$2:$F$500,0))="sin dato","",INDEX(CODIFICACION!$E$2:$E$500,MATCH("D3.14d|"&amp;BF164,CODIFICACION!$F$2:$F$500,0))),"⚠"))</f>
        <v/>
      </c>
      <c r="AB164" t="str">
        <f>IF(BG164="","",IFERROR(IF(INDEX(CODIFICACION!$E$2:$E$500,MATCH("D3.14e|"&amp;BG164,CODIFICACION!$F$2:$F$500,0))="sin dato","",INDEX(CODIFICACION!$E$2:$E$500,MATCH("D3.14e|"&amp;BG164,CODIFICACION!$F$2:$F$500,0))),"⚠"))</f>
        <v/>
      </c>
      <c r="AC164" t="str">
        <f>IF(BH164="","",IFERROR(IF(INDEX(CODIFICACION!$E$2:$E$500,MATCH("D3.14f|"&amp;BH164,CODIFICACION!$F$2:$F$500,0))="sin dato","",INDEX(CODIFICACION!$E$2:$E$500,MATCH("D3.14f|"&amp;BH164,CODIFICACION!$F$2:$F$500,0))),"⚠"))</f>
        <v/>
      </c>
      <c r="AD164" t="str">
        <f>IF(BI164="","",IFERROR(IF(INDEX(CODIFICACION!$E$2:$E$500,MATCH("D3.14g|"&amp;BI164,CODIFICACION!$F$2:$F$500,0))="sin dato","",INDEX(CODIFICACION!$E$2:$E$500,MATCH("D3.14g|"&amp;BI164,CODIFICACION!$F$2:$F$500,0))),"⚠"))</f>
        <v/>
      </c>
      <c r="AE164" t="str">
        <f>IF(BJ164="","",IFERROR(IF(INDEX(CODIFICACION!$E$2:$E$500,MATCH("D3.14h|"&amp;BJ164,CODIFICACION!$F$2:$F$500,0))="sin dato","",INDEX(CODIFICACION!$E$2:$E$500,MATCH("D3.14h|"&amp;BJ164,CODIFICACION!$F$2:$F$500,0))),"⚠"))</f>
        <v/>
      </c>
      <c r="AF164" t="str">
        <f>IF(BK164="","",IFERROR(IF(INDEX(CODIFICACION!$E$2:$E$500,MATCH("D3.14i|"&amp;BK164,CODIFICACION!$F$2:$F$500,0))="sin dato","",INDEX(CODIFICACION!$E$2:$E$500,MATCH("D3.14i|"&amp;BK164,CODIFICACION!$F$2:$F$500,0))),"⚠"))</f>
        <v/>
      </c>
      <c r="AG164" t="str">
        <f>IF(BL164="","",IFERROR(IF(INDEX(CODIFICACION!$E$2:$E$500,MATCH("D4.15|"&amp;BL164,CODIFICACION!$F$2:$F$500,0))="sin dato","",INDEX(CODIFICACION!$E$2:$E$500,MATCH("D4.15|"&amp;BL164,CODIFICACION!$F$2:$F$500,0))),"⚠"))</f>
        <v/>
      </c>
      <c r="AH164" t="str">
        <f t="shared" si="131"/>
        <v/>
      </c>
      <c r="AI164" t="str">
        <f>IF(BN164="","",IFERROR(IF(INDEX(CODIFICACION!$E$2:$E$500,MATCH("D4.17|"&amp;BN164,CODIFICACION!$F$2:$F$500,0))="sin dato","",INDEX(CODIFICACION!$E$2:$E$500,MATCH("D4.17|"&amp;BN164,CODIFICACION!$F$2:$F$500,0))),"⚠"))</f>
        <v/>
      </c>
      <c r="AJ164" t="str">
        <f>IF(BO164="","",IFERROR(IF(INDEX(CODIFICACION!$E$2:$E$500,MATCH("D4.15a|"&amp;BO164,CODIFICACION!$F$2:$F$500,0))="sin dato","",INDEX(CODIFICACION!$E$2:$E$500,MATCH("D4.15a|"&amp;BO164,CODIFICACION!$F$2:$F$500,0))),"⚠"))</f>
        <v/>
      </c>
      <c r="AK164" t="str">
        <f t="shared" si="132"/>
        <v/>
      </c>
      <c r="AL164" t="str">
        <f t="shared" si="133"/>
        <v/>
      </c>
      <c r="AM164" t="str">
        <f>IF(BR164="","",IFERROR(IF(INDEX(CODIFICACION!$E$2:$E$500,MATCH("D5.18b|"&amp;BR164,CODIFICACION!$F$2:$F$500,0))="sin dato","",INDEX(CODIFICACION!$E$2:$E$500,MATCH("D5.18b|"&amp;BR164,CODIFICACION!$F$2:$F$500,0))),"⚠"))</f>
        <v/>
      </c>
      <c r="AN164" t="str">
        <f>IF(BS164="","",IFERROR(IF(INDEX(CODIFICACION!$E$2:$E$500,MATCH("D5.19|"&amp;BS164,CODIFICACION!$F$2:$F$500,0))="sin dato","",INDEX(CODIFICACION!$E$2:$E$500,MATCH("D5.19|"&amp;BS164,CODIFICACION!$F$2:$F$500,0))),"⚠"))</f>
        <v/>
      </c>
      <c r="AO164" t="str">
        <f t="shared" si="134"/>
        <v/>
      </c>
      <c r="AP164" t="str">
        <f>IF(BU164="","",IFERROR(IF(INDEX(CODIFICACION!$E$2:$E$500,MATCH("D5.20|"&amp;BU164,CODIFICACION!$F$2:$F$500,0))="sin dato","",INDEX(CODIFICACION!$E$2:$E$500,MATCH("D5.20|"&amp;BU164,CODIFICACION!$F$2:$F$500,0))),"⚠"))</f>
        <v/>
      </c>
      <c r="AQ164" t="str">
        <f>IF(BV164="","",IFERROR(IF(INDEX(CODIFICACION!$E$2:$E$500,MATCH("D5.21|"&amp;BV164,CODIFICACION!$F$2:$F$500,0))="sin dato","",INDEX(CODIFICACION!$E$2:$E$500,MATCH("D5.21|"&amp;BV164,CODIFICACION!$F$2:$F$500,0))),"⚠"))</f>
        <v/>
      </c>
      <c r="AR164" t="str">
        <f>IF(BW164="","",IFERROR(IF(INDEX(CODIFICACION!$E$2:$E$500,MATCH("D5.21a|"&amp;BW164,CODIFICACION!$F$2:$F$500,0))="sin dato","",INDEX(CODIFICACION!$E$2:$E$500,MATCH("D5.21a|"&amp;BW164,CODIFICACION!$F$2:$F$500,0))),"⚠"))</f>
        <v/>
      </c>
      <c r="AS164" t="str">
        <f>IF(BX164="","",IFERROR(IF(INDEX(CODIFICACION!$E$2:$E$500,MATCH("D5.21b|"&amp;BX164,CODIFICACION!$F$2:$F$500,0))="sin dato","",INDEX(CODIFICACION!$E$2:$E$500,MATCH("D5.21b|"&amp;BX164,CODIFICACION!$F$2:$F$500,0))),"⚠"))</f>
        <v/>
      </c>
      <c r="AT164" t="str">
        <f>IF(BY164="","",IFERROR(IF(INDEX(CODIFICACION!$E$2:$E$500,MATCH("D6.22|"&amp;BY164,CODIFICACION!$F$2:$F$500,0))="sin dato","",INDEX(CODIFICACION!$E$2:$E$500,MATCH("D6.22|"&amp;BY164,CODIFICACION!$F$2:$F$500,0))),"⚠"))</f>
        <v/>
      </c>
      <c r="AU164" t="str">
        <f>IF(BZ164="","",IFERROR(IF(INDEX(CODIFICACION!$E$2:$E$500,MATCH("D6.22a|"&amp;BZ164,CODIFICACION!$F$2:$F$500,0))="sin dato","",INDEX(CODIFICACION!$E$2:$E$500,MATCH("D6.22a|"&amp;BZ164,CODIFICACION!$F$2:$F$500,0))),"⚠"))</f>
        <v/>
      </c>
      <c r="AV164" t="str">
        <f>IF(CA164="","",IFERROR(IF(INDEX(CODIFICACION!$E$2:$E$500,MATCH("D6.22b|"&amp;CA164,CODIFICACION!$F$2:$F$500,0))="sin dato","",INDEX(CODIFICACION!$E$2:$E$500,MATCH("D6.22b|"&amp;CA164,CODIFICACION!$F$2:$F$500,0))),"⚠"))</f>
        <v/>
      </c>
      <c r="AW164" t="str">
        <f>IF(CB164="","",IFERROR(IF(INDEX(CODIFICACION!$E$2:$E$500,MATCH("D6.23|"&amp;CB164,CODIFICACION!$F$2:$F$500,0))="sin dato","",INDEX(CODIFICACION!$E$2:$E$500,MATCH("D6.23|"&amp;CB164,CODIFICACION!$F$2:$F$500,0))),"⚠"))</f>
        <v/>
      </c>
      <c r="AX164" t="str">
        <f ca="1">IF(CC164="","",IFERROR(IF(INDEX(CODIFICACION!$E$2:$E$500,MATCH("D6.24|"&amp;CC164,CODIFICACION!$F$2:$F$500,0))="sin dato","",INDEX(CODIFICACION!$E$2:$E$500,MATCH("D6.24|"&amp;CC164,CODIFICACION!$F$2:$F$500,0))),"⚠"))</f>
        <v/>
      </c>
      <c r="AY164" t="str">
        <f ca="1">IF(CD164="","",IFERROR(IF(INDEX(CODIFICACION!$E$2:$E$500,MATCH("D6.25|"&amp;CD164,CODIFICACION!$F$2:$F$500,0))="sin dato","",INDEX(CODIFICACION!$E$2:$E$500,MATCH("D6.25|"&amp;CD164,CODIFICACION!$F$2:$F$500,0))),"⚠"))</f>
        <v/>
      </c>
      <c r="AZ164" t="str">
        <f>IF(CE164="","",IFERROR(IF(INDEX(CODIFICACION!$E$2:$E$500,MATCH("D6.25a|"&amp;CE164,CODIFICACION!$F$2:$F$500,0))="sin dato","",INDEX(CODIFICACION!$E$2:$E$500,MATCH("D6.25a|"&amp;CE164,CODIFICACION!$F$2:$F$500,0))),"⚠"))</f>
        <v/>
      </c>
      <c r="BA164" t="str">
        <f>IF(CF164="","",IFERROR(IF(INDEX(CODIFICACION!$E$2:$E$500,MATCH("D6.25b|"&amp;CF164,CODIFICACION!$F$2:$F$500,0))="sin dato","",INDEX(CODIFICACION!$E$2:$E$500,MATCH("D6.25b|"&amp;CF164,CODIFICACION!$F$2:$F$500,0))),"⚠"))</f>
        <v/>
      </c>
      <c r="BB164" t="str">
        <f ca="1">IF(CG164="","",IFERROR(IF(INDEX(CODIFICACION!$E$2:$E$500,MATCH("D6.22c|"&amp;CG164,CODIFICACION!$F$2:$F$500,0))="sin dato","",INDEX(CODIFICACION!$E$2:$E$500,MATCH("D6.22c|"&amp;CG164,CODIFICACION!$F$2:$F$500,0))),"⚠"))</f>
        <v/>
      </c>
      <c r="BC164" t="str">
        <f ca="1">IF(CH164="","",IFERROR(IF(INDEX(CODIFICACION!$E$2:$E$500,MATCH("D7.26|"&amp;CH164,CODIFICACION!$F$2:$F$500,0))="sin dato","",INDEX(CODIFICACION!$E$2:$E$500,MATCH("D7.26|"&amp;CH164,CODIFICACION!$F$2:$F$500,0))),"⚠"))</f>
        <v/>
      </c>
      <c r="BD164" t="str">
        <f>IF(CI164="","",IFERROR(IF(INDEX(CODIFICACION!$E$2:$E$500,MATCH("D7.27|"&amp;CI164,CODIFICACION!$F$2:$F$500,0))="sin dato","",INDEX(CODIFICACION!$E$2:$E$500,MATCH("D7.27|"&amp;CI164,CODIFICACION!$F$2:$F$500,0))),"⚠"))</f>
        <v/>
      </c>
      <c r="BE164" t="str">
        <f>IF(CJ164="","",IFERROR(IF(INDEX(CODIFICACION!$E$2:$E$500,MATCH("D7.28|"&amp;CJ164,CODIFICACION!$F$2:$F$500,0))="sin dato","",INDEX(CODIFICACION!$E$2:$E$500,MATCH("D7.28|"&amp;CJ164,CODIFICACION!$F$2:$F$500,0))),"⚠"))</f>
        <v/>
      </c>
      <c r="BF164" t="str">
        <f>IF(CK164="","",IFERROR(IF(INDEX(CODIFICACION!$E$2:$E$500,MATCH("D7.28b|"&amp;CK164,CODIFICACION!$F$2:$F$500,0))="sin dato","",INDEX(CODIFICACION!$E$2:$E$500,MATCH("D7.28b|"&amp;CK164,CODIFICACION!$F$2:$F$500,0))),"⚠"))</f>
        <v/>
      </c>
      <c r="BG164" t="str">
        <f t="shared" si="135"/>
        <v/>
      </c>
      <c r="BH164" t="str">
        <f>IF(CM164="","",IFERROR(IF(INDEX(CODIFICACION!$E$2:$E$500,MATCH("D7.26a|"&amp;CM164,CODIFICACION!$F$2:$F$500,0))="sin dato","",INDEX(CODIFICACION!$E$2:$E$500,MATCH("D7.26a|"&amp;CM164,CODIFICACION!$F$2:$F$500,0))),"⚠"))</f>
        <v/>
      </c>
      <c r="BI164" t="str">
        <f>IF(CN164="","",IFERROR(IF(INDEX(CODIFICACION!$E$2:$E$500,MATCH("D7.26b|"&amp;CN164,CODIFICACION!$F$2:$F$500,0))="sin dato","",INDEX(CODIFICACION!$E$2:$E$500,MATCH("D7.26b|"&amp;CN164,CODIFICACION!$F$2:$F$500,0))),"⚠"))</f>
        <v/>
      </c>
      <c r="BJ164" t="str">
        <f t="shared" si="136"/>
        <v/>
      </c>
      <c r="BK164" t="str">
        <f t="shared" si="137"/>
        <v/>
      </c>
      <c r="BL164" t="str">
        <f>IF(CQ164="","",IFERROR(IF(INDEX(CODIFICACION!$E$2:$E$500,MATCH("D8.31|"&amp;CQ164,CODIFICACION!$F$2:$F$500,0))="sin dato","",INDEX(CODIFICACION!$E$2:$E$500,MATCH("D8.31|"&amp;CQ164,CODIFICACION!$F$2:$F$500,0))),"⚠"))</f>
        <v/>
      </c>
      <c r="BM164" t="str">
        <f>IF(CR164="","",IFERROR(IF(INDEX(CODIFICACION!$E$2:$E$500,MATCH("D8.32|"&amp;CR164,CODIFICACION!$F$2:$F$500,0))="sin dato","",INDEX(CODIFICACION!$E$2:$E$500,MATCH("D8.32|"&amp;CR164,CODIFICACION!$F$2:$F$500,0))),"⚠"))</f>
        <v/>
      </c>
      <c r="BN164" t="str">
        <f>IF(CS164="","",IFERROR(IF(INDEX(CODIFICACION!$E$2:$E$500,MATCH("D9.33|"&amp;CS164,CODIFICACION!$F$2:$F$500,0))="sin dato","",INDEX(CODIFICACION!$E$2:$E$500,MATCH("D9.33|"&amp;CS164,CODIFICACION!$F$2:$F$500,0))),"⚠"))</f>
        <v/>
      </c>
      <c r="BO164" t="str">
        <f>IF(CT164="","",IFERROR(IF(INDEX(CODIFICACION!$E$2:$E$500,MATCH("D9.34|"&amp;CT164,CODIFICACION!$F$2:$F$500,0))="sin dato","",INDEX(CODIFICACION!$E$2:$E$500,MATCH("D9.34|"&amp;CT164,CODIFICACION!$F$2:$F$500,0))),"⚠"))</f>
        <v/>
      </c>
      <c r="BP164" t="str">
        <f>IF(CU164="","",IFERROR(IF(INDEX(CODIFICACION!$E$2:$E$500,MATCH("D9.35|"&amp;CU164,CODIFICACION!$F$2:$F$500,0))="sin dato","",INDEX(CODIFICACION!$E$2:$E$500,MATCH("D9.35|"&amp;CU164,CODIFICACION!$F$2:$F$500,0))),"⚠"))</f>
        <v/>
      </c>
      <c r="BQ164" t="str">
        <f>IF(CV164="","",IFERROR(IF(INDEX(CODIFICACION!$E$2:$E$500,MATCH("D10.36|"&amp;CV164,CODIFICACION!$F$2:$F$500,0))="sin dato","",INDEX(CODIFICACION!$E$2:$E$500,MATCH("D10.36|"&amp;CV164,CODIFICACION!$F$2:$F$500,0))),"⚠"))</f>
        <v/>
      </c>
      <c r="BR164" t="str">
        <f>IF(CW164="","",IFERROR(IF(INDEX(CODIFICACION!$E$2:$E$500,MATCH("D10.37|"&amp;CW164,CODIFICACION!$F$2:$F$500,0))="sin dato","",INDEX(CODIFICACION!$E$2:$E$500,MATCH("D10.37|"&amp;CW164,CODIFICACION!$F$2:$F$500,0))),"⚠"))</f>
        <v/>
      </c>
      <c r="BS164" t="str">
        <f>IF(CX164="","",IFERROR(IF(INDEX(CODIFICACION!$E$2:$E$500,MATCH("D10.36a|"&amp;CX164,CODIFICACION!$F$2:$F$500,0))="sin dato","",INDEX(CODIFICACION!$E$2:$E$500,MATCH("D10.36a|"&amp;CX164,CODIFICACION!$F$2:$F$500,0))),"⚠"))</f>
        <v/>
      </c>
      <c r="BT164" t="str">
        <f t="shared" si="138"/>
        <v/>
      </c>
      <c r="BU164" t="str">
        <f>IF(DA164="","",IFERROR(IF(INDEX(CODIFICACION!$E$2:$E$500,MATCH("D11.39a|"&amp;DA164,CODIFICACION!$F$2:$F$500,0))="sin dato","",INDEX(CODIFICACION!$E$2:$E$500,MATCH("D11.39a|"&amp;DA164,CODIFICACION!$F$2:$F$500,0))),"⚠"))</f>
        <v/>
      </c>
      <c r="BV164" t="str">
        <f>IF(DB164="","",IFERROR(IF(INDEX(CODIFICACION!$E$2:$E$500,MATCH("D12.42|"&amp;DB164,CODIFICACION!$F$2:$F$500,0))="sin dato","",INDEX(CODIFICACION!$E$2:$E$500,MATCH("D12.42|"&amp;DB164,CODIFICACION!$F$2:$F$500,0))),"⚠"))</f>
        <v/>
      </c>
      <c r="BW164" t="str">
        <f>IF(DC164="","",IFERROR(IF(INDEX(CODIFICACION!$E$2:$E$500,MATCH("D13.45|"&amp;DC164,CODIFICACION!$F$2:$F$500,0))="sin dato","",INDEX(CODIFICACION!$E$2:$E$500,MATCH("D13.45|"&amp;DC164,CODIFICACION!$F$2:$F$500,0))),"⚠"))</f>
        <v/>
      </c>
      <c r="BX164" t="str">
        <f>IF(DD164="","",IFERROR(IF(INDEX(CODIFICACION!$E$2:$E$500,MATCH("D14.51|"&amp;DD164,CODIFICACION!$F$2:$F$500,0))="sin dato","",INDEX(CODIFICACION!$E$2:$E$500,MATCH("D14.51|"&amp;DD164,CODIFICACION!$F$2:$F$500,0))),"⚠"))</f>
        <v/>
      </c>
      <c r="BY164" t="str">
        <f>IF(DE164="","",IFERROR(IF(INDEX(CODIFICACION!$E$2:$E$500,MATCH("D15.58|"&amp;DE164,CODIFICACION!$F$2:$F$500,0))="sin dato","",INDEX(CODIFICACION!$E$2:$E$500,MATCH("D15.58|"&amp;DE164,CODIFICACION!$F$2:$F$500,0))),"⚠"))</f>
        <v/>
      </c>
      <c r="BZ164" t="str">
        <f>IF(DF164="","",IFERROR(IF(INDEX(CODIFICACION!$E$2:$E$500,MATCH("PP1|"&amp;DF164,CODIFICACION!$F$2:$F$500,0))="sin dato","",INDEX(CODIFICACION!$E$2:$E$500,MATCH("PP1|"&amp;DF164,CODIFICACION!$F$2:$F$500,0))),"⚠"))</f>
        <v/>
      </c>
      <c r="CA164" t="str">
        <f>IF(DG164="","",IFERROR(IF(INDEX(CODIFICACION!$E$2:$E$500,MATCH("PP2|"&amp;DG164,CODIFICACION!$F$2:$F$500,0))="sin dato","",INDEX(CODIFICACION!$E$2:$E$500,MATCH("PP2|"&amp;DG164,CODIFICACION!$F$2:$F$500,0))),"⚠"))</f>
        <v/>
      </c>
      <c r="CB164" t="str">
        <f t="shared" si="139"/>
        <v/>
      </c>
      <c r="CC164" t="str">
        <f t="shared" ca="1" si="140"/>
        <v/>
      </c>
      <c r="CD164" t="str">
        <f t="shared" ca="1" si="141"/>
        <v/>
      </c>
      <c r="CE164" t="str">
        <f t="shared" si="142"/>
        <v/>
      </c>
      <c r="CF164" t="str">
        <f t="shared" si="143"/>
        <v/>
      </c>
      <c r="CG164" t="str">
        <f t="shared" ca="1" si="144"/>
        <v/>
      </c>
      <c r="CH164" t="str">
        <f t="shared" ca="1" si="145"/>
        <v/>
      </c>
      <c r="CI164" t="str">
        <f t="shared" si="146"/>
        <v/>
      </c>
      <c r="CJ164" t="str">
        <f t="shared" si="147"/>
        <v/>
      </c>
      <c r="CK164" t="str">
        <f t="shared" si="148"/>
        <v/>
      </c>
      <c r="CL164" t="str">
        <f t="shared" si="149"/>
        <v/>
      </c>
    </row>
    <row r="165" spans="1:90" x14ac:dyDescent="0.3">
      <c r="A165">
        <f>CAPTURA!A165</f>
        <v>20607775185</v>
      </c>
      <c r="B165">
        <f>CAPTURA!C165</f>
        <v>0</v>
      </c>
      <c r="C165" t="str">
        <f t="shared" si="125"/>
        <v/>
      </c>
      <c r="D165" t="str">
        <f>IF(AE165="","",IFERROR(IF(INDEX(CODIFICACION!$E$2:$E$500,MATCH("P8|"&amp;AE165,CODIFICACION!$F$2:$F$500,0))="sin dato","",INDEX(CODIFICACION!$E$2:$E$500,MATCH("P8|"&amp;AE165,CODIFICACION!$F$2:$F$500,0))),"⚠"))</f>
        <v/>
      </c>
      <c r="E165" t="str">
        <f>IF(AG165="","",IFERROR(IF(INDEX(CODIFICACION!$E$2:$E$500,MATCH("P10|"&amp;AG165,CODIFICACION!$F$2:$F$500,0))="sin dato","",INDEX(CODIFICACION!$E$2:$E$500,MATCH("P10|"&amp;AG165,CODIFICACION!$F$2:$F$500,0))),"⚠"))</f>
        <v/>
      </c>
      <c r="F165" t="str">
        <f>IF(AJ165="","",IFERROR(IF(INDEX(CODIFICACION!$E$2:$E$500,MATCH("P13|"&amp;AJ165,CODIFICACION!$F$2:$F$500,0))="sin dato","",INDEX(CODIFICACION!$E$2:$E$500,MATCH("P13|"&amp;AJ165,CODIFICACION!$F$2:$F$500,0))),"⚠"))</f>
        <v/>
      </c>
      <c r="G165" t="str">
        <f>IF(AK165="","",IFERROR(IF(INDEX(CODIFICACION!$E$2:$E$500,MATCH("P14|"&amp;AK165,CODIFICACION!$F$2:$F$500,0))="sin dato","",INDEX(CODIFICACION!$E$2:$E$500,MATCH("P14|"&amp;AK165,CODIFICACION!$F$2:$F$500,0))),"⚠"))</f>
        <v/>
      </c>
      <c r="H165" t="str">
        <f>IF(AL165="","",IFERROR(IF(INDEX(CODIFICACION!$E$2:$E$500,MATCH("D1.1|"&amp;AL165,CODIFICACION!$F$2:$F$500,0))="sin dato","",INDEX(CODIFICACION!$E$2:$E$500,MATCH("D1.1|"&amp;AL165,CODIFICACION!$F$2:$F$500,0))),"⚠"))</f>
        <v/>
      </c>
      <c r="I165" t="str">
        <f>IF(AN165="","",IFERROR(IF(INDEX(CODIFICACION!$E$2:$E$500,MATCH("D1.3|"&amp;AN165,CODIFICACION!$F$2:$F$500,0))="sin dato","",INDEX(CODIFICACION!$E$2:$E$500,MATCH("D1.3|"&amp;AN165,CODIFICACION!$F$2:$F$500,0))),"⚠"))</f>
        <v/>
      </c>
      <c r="J165" t="str">
        <f>IF(AO165="","",IFERROR(IF(INDEX(CODIFICACION!$E$2:$E$500,MATCH("D1.4|"&amp;AO165,CODIFICACION!$F$2:$F$500,0))="sin dato","",INDEX(CODIFICACION!$E$2:$E$500,MATCH("D1.4|"&amp;AO165,CODIFICACION!$F$2:$F$500,0))),"⚠"))</f>
        <v/>
      </c>
      <c r="K165" t="str">
        <f>IF(AP165="","",IFERROR(IF(INDEX(CODIFICACION!$E$2:$E$500,MATCH("D1.3a|"&amp;AP165,CODIFICACION!$F$2:$F$500,0))="sin dato","",INDEX(CODIFICACION!$E$2:$E$500,MATCH("D1.3a|"&amp;AP165,CODIFICACION!$F$2:$F$500,0))),"⚠"))</f>
        <v/>
      </c>
      <c r="L165" t="str">
        <f t="shared" si="126"/>
        <v/>
      </c>
      <c r="M165" t="str">
        <f t="shared" si="127"/>
        <v/>
      </c>
      <c r="N165" t="str">
        <f t="shared" si="128"/>
        <v/>
      </c>
      <c r="O165" t="str">
        <f>IF(AT165="","",IFERROR(IF(INDEX(CODIFICACION!$E$2:$E$500,MATCH("D2.8|"&amp;AT165,CODIFICACION!$F$2:$F$500,0))="sin dato","",INDEX(CODIFICACION!$E$2:$E$500,MATCH("D2.8|"&amp;AT165,CODIFICACION!$F$2:$F$500,0))),"⚠"))</f>
        <v/>
      </c>
      <c r="P165" t="str">
        <f>IF(AU165="","",IFERROR(IF(INDEX(CODIFICACION!$E$2:$E$500,MATCH("D2.9|"&amp;AU165,CODIFICACION!$F$2:$F$500,0))="sin dato","",INDEX(CODIFICACION!$E$2:$E$500,MATCH("D2.9|"&amp;AU165,CODIFICACION!$F$2:$F$500,0))),"⚠"))</f>
        <v/>
      </c>
      <c r="Q165" t="str">
        <f>IF(AV165="","",IFERROR(IF(INDEX(CODIFICACION!$E$2:$E$500,MATCH("D2.10|"&amp;AV165,CODIFICACION!$F$2:$F$500,0))="sin dato","",INDEX(CODIFICACION!$E$2:$E$500,MATCH("D2.10|"&amp;AV165,CODIFICACION!$F$2:$F$500,0))),"⚠"))</f>
        <v/>
      </c>
      <c r="R165" t="str">
        <f>IF(AW165="","",IFERROR(IF(INDEX(CODIFICACION!$E$2:$E$500,MATCH("D2.5a|"&amp;AW165,CODIFICACION!$F$2:$F$500,0))="sin dato","",INDEX(CODIFICACION!$E$2:$E$500,MATCH("D2.5a|"&amp;AW165,CODIFICACION!$F$2:$F$500,0))),"⚠"))</f>
        <v/>
      </c>
      <c r="S165" t="str">
        <f ca="1">IF(AX165="","",IFERROR(IF(INDEX(CODIFICACION!$E$2:$E$500,MATCH("D2.5b|"&amp;AX165,CODIFICACION!$F$2:$F$500,0))="sin dato","",INDEX(CODIFICACION!$E$2:$E$500,MATCH("D2.5b|"&amp;AX165,CODIFICACION!$F$2:$F$500,0))),"⚠"))</f>
        <v/>
      </c>
      <c r="T165" t="str">
        <f t="shared" ca="1" si="129"/>
        <v/>
      </c>
      <c r="U165" t="str">
        <f>IF(AZ165="","",IFERROR(IF(INDEX(CODIFICACION!$E$2:$E$500,MATCH("D3.12|"&amp;AZ165,CODIFICACION!$F$2:$F$500,0))="sin dato","",INDEX(CODIFICACION!$E$2:$E$500,MATCH("D3.12|"&amp;AZ165,CODIFICACION!$F$2:$F$500,0))),"⚠"))</f>
        <v/>
      </c>
      <c r="V165" t="str">
        <f t="shared" si="130"/>
        <v/>
      </c>
      <c r="W165" t="str">
        <f ca="1">IF(BB165="","",IFERROR(IF(INDEX(CODIFICACION!$E$2:$E$500,MATCH("D3.14|"&amp;BB165,CODIFICACION!$F$2:$F$500,0))="sin dato","",INDEX(CODIFICACION!$E$2:$E$500,MATCH("D3.14|"&amp;BB165,CODIFICACION!$F$2:$F$500,0))),"⚠"))</f>
        <v/>
      </c>
      <c r="X165" t="str">
        <f ca="1">IF(BC165="","",IFERROR(IF(INDEX(CODIFICACION!$E$2:$E$500,MATCH("D3.14a|"&amp;BC165,CODIFICACION!$F$2:$F$500,0))="sin dato","",INDEX(CODIFICACION!$E$2:$E$500,MATCH("D3.14a|"&amp;BC165,CODIFICACION!$F$2:$F$500,0))),"⚠"))</f>
        <v/>
      </c>
      <c r="Y165" t="str">
        <f>IF(BD165="","",IFERROR(IF(INDEX(CODIFICACION!$E$2:$E$500,MATCH("D3.14b|"&amp;BD165,CODIFICACION!$F$2:$F$500,0))="sin dato","",INDEX(CODIFICACION!$E$2:$E$500,MATCH("D3.14b|"&amp;BD165,CODIFICACION!$F$2:$F$500,0))),"⚠"))</f>
        <v/>
      </c>
      <c r="Z165" t="str">
        <f>IF(BE165="","",IFERROR(IF(INDEX(CODIFICACION!$E$2:$E$500,MATCH("D3.14c|"&amp;BE165,CODIFICACION!$F$2:$F$500,0))="sin dato","",INDEX(CODIFICACION!$E$2:$E$500,MATCH("D3.14c|"&amp;BE165,CODIFICACION!$F$2:$F$500,0))),"⚠"))</f>
        <v/>
      </c>
      <c r="AA165" t="str">
        <f>IF(BF165="","",IFERROR(IF(INDEX(CODIFICACION!$E$2:$E$500,MATCH("D3.14d|"&amp;BF165,CODIFICACION!$F$2:$F$500,0))="sin dato","",INDEX(CODIFICACION!$E$2:$E$500,MATCH("D3.14d|"&amp;BF165,CODIFICACION!$F$2:$F$500,0))),"⚠"))</f>
        <v/>
      </c>
      <c r="AB165" t="str">
        <f>IF(BG165="","",IFERROR(IF(INDEX(CODIFICACION!$E$2:$E$500,MATCH("D3.14e|"&amp;BG165,CODIFICACION!$F$2:$F$500,0))="sin dato","",INDEX(CODIFICACION!$E$2:$E$500,MATCH("D3.14e|"&amp;BG165,CODIFICACION!$F$2:$F$500,0))),"⚠"))</f>
        <v/>
      </c>
      <c r="AC165" t="str">
        <f>IF(BH165="","",IFERROR(IF(INDEX(CODIFICACION!$E$2:$E$500,MATCH("D3.14f|"&amp;BH165,CODIFICACION!$F$2:$F$500,0))="sin dato","",INDEX(CODIFICACION!$E$2:$E$500,MATCH("D3.14f|"&amp;BH165,CODIFICACION!$F$2:$F$500,0))),"⚠"))</f>
        <v/>
      </c>
      <c r="AD165" t="str">
        <f>IF(BI165="","",IFERROR(IF(INDEX(CODIFICACION!$E$2:$E$500,MATCH("D3.14g|"&amp;BI165,CODIFICACION!$F$2:$F$500,0))="sin dato","",INDEX(CODIFICACION!$E$2:$E$500,MATCH("D3.14g|"&amp;BI165,CODIFICACION!$F$2:$F$500,0))),"⚠"))</f>
        <v/>
      </c>
      <c r="AE165" t="str">
        <f>IF(BJ165="","",IFERROR(IF(INDEX(CODIFICACION!$E$2:$E$500,MATCH("D3.14h|"&amp;BJ165,CODIFICACION!$F$2:$F$500,0))="sin dato","",INDEX(CODIFICACION!$E$2:$E$500,MATCH("D3.14h|"&amp;BJ165,CODIFICACION!$F$2:$F$500,0))),"⚠"))</f>
        <v/>
      </c>
      <c r="AF165" t="str">
        <f>IF(BK165="","",IFERROR(IF(INDEX(CODIFICACION!$E$2:$E$500,MATCH("D3.14i|"&amp;BK165,CODIFICACION!$F$2:$F$500,0))="sin dato","",INDEX(CODIFICACION!$E$2:$E$500,MATCH("D3.14i|"&amp;BK165,CODIFICACION!$F$2:$F$500,0))),"⚠"))</f>
        <v/>
      </c>
      <c r="AG165" t="str">
        <f>IF(BL165="","",IFERROR(IF(INDEX(CODIFICACION!$E$2:$E$500,MATCH("D4.15|"&amp;BL165,CODIFICACION!$F$2:$F$500,0))="sin dato","",INDEX(CODIFICACION!$E$2:$E$500,MATCH("D4.15|"&amp;BL165,CODIFICACION!$F$2:$F$500,0))),"⚠"))</f>
        <v/>
      </c>
      <c r="AH165" t="str">
        <f t="shared" si="131"/>
        <v/>
      </c>
      <c r="AI165" t="str">
        <f>IF(BN165="","",IFERROR(IF(INDEX(CODIFICACION!$E$2:$E$500,MATCH("D4.17|"&amp;BN165,CODIFICACION!$F$2:$F$500,0))="sin dato","",INDEX(CODIFICACION!$E$2:$E$500,MATCH("D4.17|"&amp;BN165,CODIFICACION!$F$2:$F$500,0))),"⚠"))</f>
        <v/>
      </c>
      <c r="AJ165" t="str">
        <f>IF(BO165="","",IFERROR(IF(INDEX(CODIFICACION!$E$2:$E$500,MATCH("D4.15a|"&amp;BO165,CODIFICACION!$F$2:$F$500,0))="sin dato","",INDEX(CODIFICACION!$E$2:$E$500,MATCH("D4.15a|"&amp;BO165,CODIFICACION!$F$2:$F$500,0))),"⚠"))</f>
        <v/>
      </c>
      <c r="AK165" t="str">
        <f t="shared" si="132"/>
        <v/>
      </c>
      <c r="AL165" t="str">
        <f t="shared" si="133"/>
        <v/>
      </c>
      <c r="AM165" t="str">
        <f>IF(BR165="","",IFERROR(IF(INDEX(CODIFICACION!$E$2:$E$500,MATCH("D5.18b|"&amp;BR165,CODIFICACION!$F$2:$F$500,0))="sin dato","",INDEX(CODIFICACION!$E$2:$E$500,MATCH("D5.18b|"&amp;BR165,CODIFICACION!$F$2:$F$500,0))),"⚠"))</f>
        <v/>
      </c>
      <c r="AN165" t="str">
        <f>IF(BS165="","",IFERROR(IF(INDEX(CODIFICACION!$E$2:$E$500,MATCH("D5.19|"&amp;BS165,CODIFICACION!$F$2:$F$500,0))="sin dato","",INDEX(CODIFICACION!$E$2:$E$500,MATCH("D5.19|"&amp;BS165,CODIFICACION!$F$2:$F$500,0))),"⚠"))</f>
        <v/>
      </c>
      <c r="AO165" t="str">
        <f t="shared" si="134"/>
        <v/>
      </c>
      <c r="AP165" t="str">
        <f>IF(BU165="","",IFERROR(IF(INDEX(CODIFICACION!$E$2:$E$500,MATCH("D5.20|"&amp;BU165,CODIFICACION!$F$2:$F$500,0))="sin dato","",INDEX(CODIFICACION!$E$2:$E$500,MATCH("D5.20|"&amp;BU165,CODIFICACION!$F$2:$F$500,0))),"⚠"))</f>
        <v/>
      </c>
      <c r="AQ165" t="str">
        <f>IF(BV165="","",IFERROR(IF(INDEX(CODIFICACION!$E$2:$E$500,MATCH("D5.21|"&amp;BV165,CODIFICACION!$F$2:$F$500,0))="sin dato","",INDEX(CODIFICACION!$E$2:$E$500,MATCH("D5.21|"&amp;BV165,CODIFICACION!$F$2:$F$500,0))),"⚠"))</f>
        <v/>
      </c>
      <c r="AR165" t="str">
        <f>IF(BW165="","",IFERROR(IF(INDEX(CODIFICACION!$E$2:$E$500,MATCH("D5.21a|"&amp;BW165,CODIFICACION!$F$2:$F$500,0))="sin dato","",INDEX(CODIFICACION!$E$2:$E$500,MATCH("D5.21a|"&amp;BW165,CODIFICACION!$F$2:$F$500,0))),"⚠"))</f>
        <v/>
      </c>
      <c r="AS165" t="str">
        <f>IF(BX165="","",IFERROR(IF(INDEX(CODIFICACION!$E$2:$E$500,MATCH("D5.21b|"&amp;BX165,CODIFICACION!$F$2:$F$500,0))="sin dato","",INDEX(CODIFICACION!$E$2:$E$500,MATCH("D5.21b|"&amp;BX165,CODIFICACION!$F$2:$F$500,0))),"⚠"))</f>
        <v/>
      </c>
      <c r="AT165" t="str">
        <f>IF(BY165="","",IFERROR(IF(INDEX(CODIFICACION!$E$2:$E$500,MATCH("D6.22|"&amp;BY165,CODIFICACION!$F$2:$F$500,0))="sin dato","",INDEX(CODIFICACION!$E$2:$E$500,MATCH("D6.22|"&amp;BY165,CODIFICACION!$F$2:$F$500,0))),"⚠"))</f>
        <v/>
      </c>
      <c r="AU165" t="str">
        <f>IF(BZ165="","",IFERROR(IF(INDEX(CODIFICACION!$E$2:$E$500,MATCH("D6.22a|"&amp;BZ165,CODIFICACION!$F$2:$F$500,0))="sin dato","",INDEX(CODIFICACION!$E$2:$E$500,MATCH("D6.22a|"&amp;BZ165,CODIFICACION!$F$2:$F$500,0))),"⚠"))</f>
        <v/>
      </c>
      <c r="AV165" t="str">
        <f>IF(CA165="","",IFERROR(IF(INDEX(CODIFICACION!$E$2:$E$500,MATCH("D6.22b|"&amp;CA165,CODIFICACION!$F$2:$F$500,0))="sin dato","",INDEX(CODIFICACION!$E$2:$E$500,MATCH("D6.22b|"&amp;CA165,CODIFICACION!$F$2:$F$500,0))),"⚠"))</f>
        <v/>
      </c>
      <c r="AW165" t="str">
        <f>IF(CB165="","",IFERROR(IF(INDEX(CODIFICACION!$E$2:$E$500,MATCH("D6.23|"&amp;CB165,CODIFICACION!$F$2:$F$500,0))="sin dato","",INDEX(CODIFICACION!$E$2:$E$500,MATCH("D6.23|"&amp;CB165,CODIFICACION!$F$2:$F$500,0))),"⚠"))</f>
        <v/>
      </c>
      <c r="AX165" t="str">
        <f ca="1">IF(CC165="","",IFERROR(IF(INDEX(CODIFICACION!$E$2:$E$500,MATCH("D6.24|"&amp;CC165,CODIFICACION!$F$2:$F$500,0))="sin dato","",INDEX(CODIFICACION!$E$2:$E$500,MATCH("D6.24|"&amp;CC165,CODIFICACION!$F$2:$F$500,0))),"⚠"))</f>
        <v/>
      </c>
      <c r="AY165" t="str">
        <f ca="1">IF(CD165="","",IFERROR(IF(INDEX(CODIFICACION!$E$2:$E$500,MATCH("D6.25|"&amp;CD165,CODIFICACION!$F$2:$F$500,0))="sin dato","",INDEX(CODIFICACION!$E$2:$E$500,MATCH("D6.25|"&amp;CD165,CODIFICACION!$F$2:$F$500,0))),"⚠"))</f>
        <v/>
      </c>
      <c r="AZ165" t="str">
        <f>IF(CE165="","",IFERROR(IF(INDEX(CODIFICACION!$E$2:$E$500,MATCH("D6.25a|"&amp;CE165,CODIFICACION!$F$2:$F$500,0))="sin dato","",INDEX(CODIFICACION!$E$2:$E$500,MATCH("D6.25a|"&amp;CE165,CODIFICACION!$F$2:$F$500,0))),"⚠"))</f>
        <v/>
      </c>
      <c r="BA165" t="str">
        <f>IF(CF165="","",IFERROR(IF(INDEX(CODIFICACION!$E$2:$E$500,MATCH("D6.25b|"&amp;CF165,CODIFICACION!$F$2:$F$500,0))="sin dato","",INDEX(CODIFICACION!$E$2:$E$500,MATCH("D6.25b|"&amp;CF165,CODIFICACION!$F$2:$F$500,0))),"⚠"))</f>
        <v/>
      </c>
      <c r="BB165" t="str">
        <f ca="1">IF(CG165="","",IFERROR(IF(INDEX(CODIFICACION!$E$2:$E$500,MATCH("D6.22c|"&amp;CG165,CODIFICACION!$F$2:$F$500,0))="sin dato","",INDEX(CODIFICACION!$E$2:$E$500,MATCH("D6.22c|"&amp;CG165,CODIFICACION!$F$2:$F$500,0))),"⚠"))</f>
        <v/>
      </c>
      <c r="BC165" t="str">
        <f ca="1">IF(CH165="","",IFERROR(IF(INDEX(CODIFICACION!$E$2:$E$500,MATCH("D7.26|"&amp;CH165,CODIFICACION!$F$2:$F$500,0))="sin dato","",INDEX(CODIFICACION!$E$2:$E$500,MATCH("D7.26|"&amp;CH165,CODIFICACION!$F$2:$F$500,0))),"⚠"))</f>
        <v/>
      </c>
      <c r="BD165" t="str">
        <f>IF(CI165="","",IFERROR(IF(INDEX(CODIFICACION!$E$2:$E$500,MATCH("D7.27|"&amp;CI165,CODIFICACION!$F$2:$F$500,0))="sin dato","",INDEX(CODIFICACION!$E$2:$E$500,MATCH("D7.27|"&amp;CI165,CODIFICACION!$F$2:$F$500,0))),"⚠"))</f>
        <v/>
      </c>
      <c r="BE165" t="str">
        <f>IF(CJ165="","",IFERROR(IF(INDEX(CODIFICACION!$E$2:$E$500,MATCH("D7.28|"&amp;CJ165,CODIFICACION!$F$2:$F$500,0))="sin dato","",INDEX(CODIFICACION!$E$2:$E$500,MATCH("D7.28|"&amp;CJ165,CODIFICACION!$F$2:$F$500,0))),"⚠"))</f>
        <v/>
      </c>
      <c r="BF165" t="str">
        <f>IF(CK165="","",IFERROR(IF(INDEX(CODIFICACION!$E$2:$E$500,MATCH("D7.28b|"&amp;CK165,CODIFICACION!$F$2:$F$500,0))="sin dato","",INDEX(CODIFICACION!$E$2:$E$500,MATCH("D7.28b|"&amp;CK165,CODIFICACION!$F$2:$F$500,0))),"⚠"))</f>
        <v/>
      </c>
      <c r="BG165" t="str">
        <f t="shared" si="135"/>
        <v/>
      </c>
      <c r="BH165" t="str">
        <f>IF(CM165="","",IFERROR(IF(INDEX(CODIFICACION!$E$2:$E$500,MATCH("D7.26a|"&amp;CM165,CODIFICACION!$F$2:$F$500,0))="sin dato","",INDEX(CODIFICACION!$E$2:$E$500,MATCH("D7.26a|"&amp;CM165,CODIFICACION!$F$2:$F$500,0))),"⚠"))</f>
        <v/>
      </c>
      <c r="BI165" t="str">
        <f>IF(CN165="","",IFERROR(IF(INDEX(CODIFICACION!$E$2:$E$500,MATCH("D7.26b|"&amp;CN165,CODIFICACION!$F$2:$F$500,0))="sin dato","",INDEX(CODIFICACION!$E$2:$E$500,MATCH("D7.26b|"&amp;CN165,CODIFICACION!$F$2:$F$500,0))),"⚠"))</f>
        <v/>
      </c>
      <c r="BJ165" t="str">
        <f t="shared" si="136"/>
        <v/>
      </c>
      <c r="BK165" t="str">
        <f t="shared" si="137"/>
        <v/>
      </c>
      <c r="BL165" t="str">
        <f>IF(CQ165="","",IFERROR(IF(INDEX(CODIFICACION!$E$2:$E$500,MATCH("D8.31|"&amp;CQ165,CODIFICACION!$F$2:$F$500,0))="sin dato","",INDEX(CODIFICACION!$E$2:$E$500,MATCH("D8.31|"&amp;CQ165,CODIFICACION!$F$2:$F$500,0))),"⚠"))</f>
        <v/>
      </c>
      <c r="BM165" t="str">
        <f>IF(CR165="","",IFERROR(IF(INDEX(CODIFICACION!$E$2:$E$500,MATCH("D8.32|"&amp;CR165,CODIFICACION!$F$2:$F$500,0))="sin dato","",INDEX(CODIFICACION!$E$2:$E$500,MATCH("D8.32|"&amp;CR165,CODIFICACION!$F$2:$F$500,0))),"⚠"))</f>
        <v/>
      </c>
      <c r="BN165" t="str">
        <f>IF(CS165="","",IFERROR(IF(INDEX(CODIFICACION!$E$2:$E$500,MATCH("D9.33|"&amp;CS165,CODIFICACION!$F$2:$F$500,0))="sin dato","",INDEX(CODIFICACION!$E$2:$E$500,MATCH("D9.33|"&amp;CS165,CODIFICACION!$F$2:$F$500,0))),"⚠"))</f>
        <v/>
      </c>
      <c r="BO165" t="str">
        <f>IF(CT165="","",IFERROR(IF(INDEX(CODIFICACION!$E$2:$E$500,MATCH("D9.34|"&amp;CT165,CODIFICACION!$F$2:$F$500,0))="sin dato","",INDEX(CODIFICACION!$E$2:$E$500,MATCH("D9.34|"&amp;CT165,CODIFICACION!$F$2:$F$500,0))),"⚠"))</f>
        <v/>
      </c>
      <c r="BP165" t="str">
        <f>IF(CU165="","",IFERROR(IF(INDEX(CODIFICACION!$E$2:$E$500,MATCH("D9.35|"&amp;CU165,CODIFICACION!$F$2:$F$500,0))="sin dato","",INDEX(CODIFICACION!$E$2:$E$500,MATCH("D9.35|"&amp;CU165,CODIFICACION!$F$2:$F$500,0))),"⚠"))</f>
        <v/>
      </c>
      <c r="BQ165" t="str">
        <f>IF(CV165="","",IFERROR(IF(INDEX(CODIFICACION!$E$2:$E$500,MATCH("D10.36|"&amp;CV165,CODIFICACION!$F$2:$F$500,0))="sin dato","",INDEX(CODIFICACION!$E$2:$E$500,MATCH("D10.36|"&amp;CV165,CODIFICACION!$F$2:$F$500,0))),"⚠"))</f>
        <v/>
      </c>
      <c r="BR165" t="str">
        <f>IF(CW165="","",IFERROR(IF(INDEX(CODIFICACION!$E$2:$E$500,MATCH("D10.37|"&amp;CW165,CODIFICACION!$F$2:$F$500,0))="sin dato","",INDEX(CODIFICACION!$E$2:$E$500,MATCH("D10.37|"&amp;CW165,CODIFICACION!$F$2:$F$500,0))),"⚠"))</f>
        <v/>
      </c>
      <c r="BS165" t="str">
        <f>IF(CX165="","",IFERROR(IF(INDEX(CODIFICACION!$E$2:$E$500,MATCH("D10.36a|"&amp;CX165,CODIFICACION!$F$2:$F$500,0))="sin dato","",INDEX(CODIFICACION!$E$2:$E$500,MATCH("D10.36a|"&amp;CX165,CODIFICACION!$F$2:$F$500,0))),"⚠"))</f>
        <v/>
      </c>
      <c r="BT165" t="str">
        <f t="shared" si="138"/>
        <v/>
      </c>
      <c r="BU165" t="str">
        <f>IF(DA165="","",IFERROR(IF(INDEX(CODIFICACION!$E$2:$E$500,MATCH("D11.39a|"&amp;DA165,CODIFICACION!$F$2:$F$500,0))="sin dato","",INDEX(CODIFICACION!$E$2:$E$500,MATCH("D11.39a|"&amp;DA165,CODIFICACION!$F$2:$F$500,0))),"⚠"))</f>
        <v/>
      </c>
      <c r="BV165" t="str">
        <f>IF(DB165="","",IFERROR(IF(INDEX(CODIFICACION!$E$2:$E$500,MATCH("D12.42|"&amp;DB165,CODIFICACION!$F$2:$F$500,0))="sin dato","",INDEX(CODIFICACION!$E$2:$E$500,MATCH("D12.42|"&amp;DB165,CODIFICACION!$F$2:$F$500,0))),"⚠"))</f>
        <v/>
      </c>
      <c r="BW165" t="str">
        <f>IF(DC165="","",IFERROR(IF(INDEX(CODIFICACION!$E$2:$E$500,MATCH("D13.45|"&amp;DC165,CODIFICACION!$F$2:$F$500,0))="sin dato","",INDEX(CODIFICACION!$E$2:$E$500,MATCH("D13.45|"&amp;DC165,CODIFICACION!$F$2:$F$500,0))),"⚠"))</f>
        <v/>
      </c>
      <c r="BX165" t="str">
        <f>IF(DD165="","",IFERROR(IF(INDEX(CODIFICACION!$E$2:$E$500,MATCH("D14.51|"&amp;DD165,CODIFICACION!$F$2:$F$500,0))="sin dato","",INDEX(CODIFICACION!$E$2:$E$500,MATCH("D14.51|"&amp;DD165,CODIFICACION!$F$2:$F$500,0))),"⚠"))</f>
        <v/>
      </c>
      <c r="BY165" t="str">
        <f>IF(DE165="","",IFERROR(IF(INDEX(CODIFICACION!$E$2:$E$500,MATCH("D15.58|"&amp;DE165,CODIFICACION!$F$2:$F$500,0))="sin dato","",INDEX(CODIFICACION!$E$2:$E$500,MATCH("D15.58|"&amp;DE165,CODIFICACION!$F$2:$F$500,0))),"⚠"))</f>
        <v/>
      </c>
      <c r="BZ165" t="str">
        <f>IF(DF165="","",IFERROR(IF(INDEX(CODIFICACION!$E$2:$E$500,MATCH("PP1|"&amp;DF165,CODIFICACION!$F$2:$F$500,0))="sin dato","",INDEX(CODIFICACION!$E$2:$E$500,MATCH("PP1|"&amp;DF165,CODIFICACION!$F$2:$F$500,0))),"⚠"))</f>
        <v/>
      </c>
      <c r="CA165" t="str">
        <f>IF(DG165="","",IFERROR(IF(INDEX(CODIFICACION!$E$2:$E$500,MATCH("PP2|"&amp;DG165,CODIFICACION!$F$2:$F$500,0))="sin dato","",INDEX(CODIFICACION!$E$2:$E$500,MATCH("PP2|"&amp;DG165,CODIFICACION!$F$2:$F$500,0))),"⚠"))</f>
        <v/>
      </c>
      <c r="CB165" t="str">
        <f t="shared" si="139"/>
        <v/>
      </c>
      <c r="CC165" t="str">
        <f t="shared" ca="1" si="140"/>
        <v/>
      </c>
      <c r="CD165" t="str">
        <f t="shared" ca="1" si="141"/>
        <v/>
      </c>
      <c r="CE165" t="str">
        <f t="shared" si="142"/>
        <v/>
      </c>
      <c r="CF165" t="str">
        <f t="shared" si="143"/>
        <v/>
      </c>
      <c r="CG165" t="str">
        <f t="shared" ca="1" si="144"/>
        <v/>
      </c>
      <c r="CH165" t="str">
        <f t="shared" ca="1" si="145"/>
        <v/>
      </c>
      <c r="CI165" t="str">
        <f t="shared" si="146"/>
        <v/>
      </c>
      <c r="CJ165" t="str">
        <f t="shared" si="147"/>
        <v/>
      </c>
      <c r="CK165" t="str">
        <f t="shared" si="148"/>
        <v/>
      </c>
      <c r="CL165" t="str">
        <f t="shared" si="149"/>
        <v/>
      </c>
    </row>
    <row r="166" spans="1:90" x14ac:dyDescent="0.3">
      <c r="A166">
        <f>CAPTURA!A166</f>
        <v>20608235648</v>
      </c>
      <c r="B166">
        <f>CAPTURA!C166</f>
        <v>0</v>
      </c>
      <c r="C166" t="str">
        <f t="shared" si="125"/>
        <v/>
      </c>
      <c r="D166" t="str">
        <f>IF(AE166="","",IFERROR(IF(INDEX(CODIFICACION!$E$2:$E$500,MATCH("P8|"&amp;AE166,CODIFICACION!$F$2:$F$500,0))="sin dato","",INDEX(CODIFICACION!$E$2:$E$500,MATCH("P8|"&amp;AE166,CODIFICACION!$F$2:$F$500,0))),"⚠"))</f>
        <v/>
      </c>
      <c r="E166" t="str">
        <f>IF(AG166="","",IFERROR(IF(INDEX(CODIFICACION!$E$2:$E$500,MATCH("P10|"&amp;AG166,CODIFICACION!$F$2:$F$500,0))="sin dato","",INDEX(CODIFICACION!$E$2:$E$500,MATCH("P10|"&amp;AG166,CODIFICACION!$F$2:$F$500,0))),"⚠"))</f>
        <v/>
      </c>
      <c r="F166" t="str">
        <f>IF(AJ166="","",IFERROR(IF(INDEX(CODIFICACION!$E$2:$E$500,MATCH("P13|"&amp;AJ166,CODIFICACION!$F$2:$F$500,0))="sin dato","",INDEX(CODIFICACION!$E$2:$E$500,MATCH("P13|"&amp;AJ166,CODIFICACION!$F$2:$F$500,0))),"⚠"))</f>
        <v/>
      </c>
      <c r="G166" t="str">
        <f>IF(AK166="","",IFERROR(IF(INDEX(CODIFICACION!$E$2:$E$500,MATCH("P14|"&amp;AK166,CODIFICACION!$F$2:$F$500,0))="sin dato","",INDEX(CODIFICACION!$E$2:$E$500,MATCH("P14|"&amp;AK166,CODIFICACION!$F$2:$F$500,0))),"⚠"))</f>
        <v/>
      </c>
      <c r="H166" t="str">
        <f>IF(AL166="","",IFERROR(IF(INDEX(CODIFICACION!$E$2:$E$500,MATCH("D1.1|"&amp;AL166,CODIFICACION!$F$2:$F$500,0))="sin dato","",INDEX(CODIFICACION!$E$2:$E$500,MATCH("D1.1|"&amp;AL166,CODIFICACION!$F$2:$F$500,0))),"⚠"))</f>
        <v/>
      </c>
      <c r="I166" t="str">
        <f>IF(AN166="","",IFERROR(IF(INDEX(CODIFICACION!$E$2:$E$500,MATCH("D1.3|"&amp;AN166,CODIFICACION!$F$2:$F$500,0))="sin dato","",INDEX(CODIFICACION!$E$2:$E$500,MATCH("D1.3|"&amp;AN166,CODIFICACION!$F$2:$F$500,0))),"⚠"))</f>
        <v/>
      </c>
      <c r="J166" t="str">
        <f>IF(AO166="","",IFERROR(IF(INDEX(CODIFICACION!$E$2:$E$500,MATCH("D1.4|"&amp;AO166,CODIFICACION!$F$2:$F$500,0))="sin dato","",INDEX(CODIFICACION!$E$2:$E$500,MATCH("D1.4|"&amp;AO166,CODIFICACION!$F$2:$F$500,0))),"⚠"))</f>
        <v/>
      </c>
      <c r="K166" t="str">
        <f>IF(AP166="","",IFERROR(IF(INDEX(CODIFICACION!$E$2:$E$500,MATCH("D1.3a|"&amp;AP166,CODIFICACION!$F$2:$F$500,0))="sin dato","",INDEX(CODIFICACION!$E$2:$E$500,MATCH("D1.3a|"&amp;AP166,CODIFICACION!$F$2:$F$500,0))),"⚠"))</f>
        <v/>
      </c>
      <c r="L166" t="str">
        <f t="shared" si="126"/>
        <v/>
      </c>
      <c r="M166" t="str">
        <f t="shared" si="127"/>
        <v/>
      </c>
      <c r="N166" t="str">
        <f t="shared" si="128"/>
        <v/>
      </c>
      <c r="O166" t="str">
        <f>IF(AT166="","",IFERROR(IF(INDEX(CODIFICACION!$E$2:$E$500,MATCH("D2.8|"&amp;AT166,CODIFICACION!$F$2:$F$500,0))="sin dato","",INDEX(CODIFICACION!$E$2:$E$500,MATCH("D2.8|"&amp;AT166,CODIFICACION!$F$2:$F$500,0))),"⚠"))</f>
        <v/>
      </c>
      <c r="P166" t="str">
        <f>IF(AU166="","",IFERROR(IF(INDEX(CODIFICACION!$E$2:$E$500,MATCH("D2.9|"&amp;AU166,CODIFICACION!$F$2:$F$500,0))="sin dato","",INDEX(CODIFICACION!$E$2:$E$500,MATCH("D2.9|"&amp;AU166,CODIFICACION!$F$2:$F$500,0))),"⚠"))</f>
        <v/>
      </c>
      <c r="Q166" t="str">
        <f>IF(AV166="","",IFERROR(IF(INDEX(CODIFICACION!$E$2:$E$500,MATCH("D2.10|"&amp;AV166,CODIFICACION!$F$2:$F$500,0))="sin dato","",INDEX(CODIFICACION!$E$2:$E$500,MATCH("D2.10|"&amp;AV166,CODIFICACION!$F$2:$F$500,0))),"⚠"))</f>
        <v/>
      </c>
      <c r="R166" t="str">
        <f>IF(AW166="","",IFERROR(IF(INDEX(CODIFICACION!$E$2:$E$500,MATCH("D2.5a|"&amp;AW166,CODIFICACION!$F$2:$F$500,0))="sin dato","",INDEX(CODIFICACION!$E$2:$E$500,MATCH("D2.5a|"&amp;AW166,CODIFICACION!$F$2:$F$500,0))),"⚠"))</f>
        <v/>
      </c>
      <c r="S166" t="str">
        <f ca="1">IF(AX166="","",IFERROR(IF(INDEX(CODIFICACION!$E$2:$E$500,MATCH("D2.5b|"&amp;AX166,CODIFICACION!$F$2:$F$500,0))="sin dato","",INDEX(CODIFICACION!$E$2:$E$500,MATCH("D2.5b|"&amp;AX166,CODIFICACION!$F$2:$F$500,0))),"⚠"))</f>
        <v/>
      </c>
      <c r="T166" t="str">
        <f t="shared" ca="1" si="129"/>
        <v/>
      </c>
      <c r="U166" t="str">
        <f>IF(AZ166="","",IFERROR(IF(INDEX(CODIFICACION!$E$2:$E$500,MATCH("D3.12|"&amp;AZ166,CODIFICACION!$F$2:$F$500,0))="sin dato","",INDEX(CODIFICACION!$E$2:$E$500,MATCH("D3.12|"&amp;AZ166,CODIFICACION!$F$2:$F$500,0))),"⚠"))</f>
        <v/>
      </c>
      <c r="V166" t="str">
        <f t="shared" si="130"/>
        <v/>
      </c>
      <c r="W166" t="str">
        <f ca="1">IF(BB166="","",IFERROR(IF(INDEX(CODIFICACION!$E$2:$E$500,MATCH("D3.14|"&amp;BB166,CODIFICACION!$F$2:$F$500,0))="sin dato","",INDEX(CODIFICACION!$E$2:$E$500,MATCH("D3.14|"&amp;BB166,CODIFICACION!$F$2:$F$500,0))),"⚠"))</f>
        <v/>
      </c>
      <c r="X166" t="str">
        <f ca="1">IF(BC166="","",IFERROR(IF(INDEX(CODIFICACION!$E$2:$E$500,MATCH("D3.14a|"&amp;BC166,CODIFICACION!$F$2:$F$500,0))="sin dato","",INDEX(CODIFICACION!$E$2:$E$500,MATCH("D3.14a|"&amp;BC166,CODIFICACION!$F$2:$F$500,0))),"⚠"))</f>
        <v/>
      </c>
      <c r="Y166" t="str">
        <f>IF(BD166="","",IFERROR(IF(INDEX(CODIFICACION!$E$2:$E$500,MATCH("D3.14b|"&amp;BD166,CODIFICACION!$F$2:$F$500,0))="sin dato","",INDEX(CODIFICACION!$E$2:$E$500,MATCH("D3.14b|"&amp;BD166,CODIFICACION!$F$2:$F$500,0))),"⚠"))</f>
        <v/>
      </c>
      <c r="Z166" t="str">
        <f>IF(BE166="","",IFERROR(IF(INDEX(CODIFICACION!$E$2:$E$500,MATCH("D3.14c|"&amp;BE166,CODIFICACION!$F$2:$F$500,0))="sin dato","",INDEX(CODIFICACION!$E$2:$E$500,MATCH("D3.14c|"&amp;BE166,CODIFICACION!$F$2:$F$500,0))),"⚠"))</f>
        <v/>
      </c>
      <c r="AA166" t="str">
        <f>IF(BF166="","",IFERROR(IF(INDEX(CODIFICACION!$E$2:$E$500,MATCH("D3.14d|"&amp;BF166,CODIFICACION!$F$2:$F$500,0))="sin dato","",INDEX(CODIFICACION!$E$2:$E$500,MATCH("D3.14d|"&amp;BF166,CODIFICACION!$F$2:$F$500,0))),"⚠"))</f>
        <v/>
      </c>
      <c r="AB166" t="str">
        <f>IF(BG166="","",IFERROR(IF(INDEX(CODIFICACION!$E$2:$E$500,MATCH("D3.14e|"&amp;BG166,CODIFICACION!$F$2:$F$500,0))="sin dato","",INDEX(CODIFICACION!$E$2:$E$500,MATCH("D3.14e|"&amp;BG166,CODIFICACION!$F$2:$F$500,0))),"⚠"))</f>
        <v/>
      </c>
      <c r="AC166" t="str">
        <f>IF(BH166="","",IFERROR(IF(INDEX(CODIFICACION!$E$2:$E$500,MATCH("D3.14f|"&amp;BH166,CODIFICACION!$F$2:$F$500,0))="sin dato","",INDEX(CODIFICACION!$E$2:$E$500,MATCH("D3.14f|"&amp;BH166,CODIFICACION!$F$2:$F$500,0))),"⚠"))</f>
        <v/>
      </c>
      <c r="AD166" t="str">
        <f>IF(BI166="","",IFERROR(IF(INDEX(CODIFICACION!$E$2:$E$500,MATCH("D3.14g|"&amp;BI166,CODIFICACION!$F$2:$F$500,0))="sin dato","",INDEX(CODIFICACION!$E$2:$E$500,MATCH("D3.14g|"&amp;BI166,CODIFICACION!$F$2:$F$500,0))),"⚠"))</f>
        <v/>
      </c>
      <c r="AE166" t="str">
        <f>IF(BJ166="","",IFERROR(IF(INDEX(CODIFICACION!$E$2:$E$500,MATCH("D3.14h|"&amp;BJ166,CODIFICACION!$F$2:$F$500,0))="sin dato","",INDEX(CODIFICACION!$E$2:$E$500,MATCH("D3.14h|"&amp;BJ166,CODIFICACION!$F$2:$F$500,0))),"⚠"))</f>
        <v/>
      </c>
      <c r="AF166" t="str">
        <f>IF(BK166="","",IFERROR(IF(INDEX(CODIFICACION!$E$2:$E$500,MATCH("D3.14i|"&amp;BK166,CODIFICACION!$F$2:$F$500,0))="sin dato","",INDEX(CODIFICACION!$E$2:$E$500,MATCH("D3.14i|"&amp;BK166,CODIFICACION!$F$2:$F$500,0))),"⚠"))</f>
        <v/>
      </c>
      <c r="AG166" t="str">
        <f>IF(BL166="","",IFERROR(IF(INDEX(CODIFICACION!$E$2:$E$500,MATCH("D4.15|"&amp;BL166,CODIFICACION!$F$2:$F$500,0))="sin dato","",INDEX(CODIFICACION!$E$2:$E$500,MATCH("D4.15|"&amp;BL166,CODIFICACION!$F$2:$F$500,0))),"⚠"))</f>
        <v/>
      </c>
      <c r="AH166" t="str">
        <f t="shared" si="131"/>
        <v/>
      </c>
      <c r="AI166" t="str">
        <f>IF(BN166="","",IFERROR(IF(INDEX(CODIFICACION!$E$2:$E$500,MATCH("D4.17|"&amp;BN166,CODIFICACION!$F$2:$F$500,0))="sin dato","",INDEX(CODIFICACION!$E$2:$E$500,MATCH("D4.17|"&amp;BN166,CODIFICACION!$F$2:$F$500,0))),"⚠"))</f>
        <v/>
      </c>
      <c r="AJ166" t="str">
        <f>IF(BO166="","",IFERROR(IF(INDEX(CODIFICACION!$E$2:$E$500,MATCH("D4.15a|"&amp;BO166,CODIFICACION!$F$2:$F$500,0))="sin dato","",INDEX(CODIFICACION!$E$2:$E$500,MATCH("D4.15a|"&amp;BO166,CODIFICACION!$F$2:$F$500,0))),"⚠"))</f>
        <v/>
      </c>
      <c r="AK166" t="str">
        <f t="shared" si="132"/>
        <v/>
      </c>
      <c r="AL166" t="str">
        <f t="shared" si="133"/>
        <v/>
      </c>
      <c r="AM166" t="str">
        <f>IF(BR166="","",IFERROR(IF(INDEX(CODIFICACION!$E$2:$E$500,MATCH("D5.18b|"&amp;BR166,CODIFICACION!$F$2:$F$500,0))="sin dato","",INDEX(CODIFICACION!$E$2:$E$500,MATCH("D5.18b|"&amp;BR166,CODIFICACION!$F$2:$F$500,0))),"⚠"))</f>
        <v/>
      </c>
      <c r="AN166" t="str">
        <f>IF(BS166="","",IFERROR(IF(INDEX(CODIFICACION!$E$2:$E$500,MATCH("D5.19|"&amp;BS166,CODIFICACION!$F$2:$F$500,0))="sin dato","",INDEX(CODIFICACION!$E$2:$E$500,MATCH("D5.19|"&amp;BS166,CODIFICACION!$F$2:$F$500,0))),"⚠"))</f>
        <v/>
      </c>
      <c r="AO166" t="str">
        <f t="shared" si="134"/>
        <v/>
      </c>
      <c r="AP166" t="str">
        <f>IF(BU166="","",IFERROR(IF(INDEX(CODIFICACION!$E$2:$E$500,MATCH("D5.20|"&amp;BU166,CODIFICACION!$F$2:$F$500,0))="sin dato","",INDEX(CODIFICACION!$E$2:$E$500,MATCH("D5.20|"&amp;BU166,CODIFICACION!$F$2:$F$500,0))),"⚠"))</f>
        <v/>
      </c>
      <c r="AQ166" t="str">
        <f>IF(BV166="","",IFERROR(IF(INDEX(CODIFICACION!$E$2:$E$500,MATCH("D5.21|"&amp;BV166,CODIFICACION!$F$2:$F$500,0))="sin dato","",INDEX(CODIFICACION!$E$2:$E$500,MATCH("D5.21|"&amp;BV166,CODIFICACION!$F$2:$F$500,0))),"⚠"))</f>
        <v/>
      </c>
      <c r="AR166" t="str">
        <f>IF(BW166="","",IFERROR(IF(INDEX(CODIFICACION!$E$2:$E$500,MATCH("D5.21a|"&amp;BW166,CODIFICACION!$F$2:$F$500,0))="sin dato","",INDEX(CODIFICACION!$E$2:$E$500,MATCH("D5.21a|"&amp;BW166,CODIFICACION!$F$2:$F$500,0))),"⚠"))</f>
        <v/>
      </c>
      <c r="AS166" t="str">
        <f>IF(BX166="","",IFERROR(IF(INDEX(CODIFICACION!$E$2:$E$500,MATCH("D5.21b|"&amp;BX166,CODIFICACION!$F$2:$F$500,0))="sin dato","",INDEX(CODIFICACION!$E$2:$E$500,MATCH("D5.21b|"&amp;BX166,CODIFICACION!$F$2:$F$500,0))),"⚠"))</f>
        <v/>
      </c>
      <c r="AT166" t="str">
        <f>IF(BY166="","",IFERROR(IF(INDEX(CODIFICACION!$E$2:$E$500,MATCH("D6.22|"&amp;BY166,CODIFICACION!$F$2:$F$500,0))="sin dato","",INDEX(CODIFICACION!$E$2:$E$500,MATCH("D6.22|"&amp;BY166,CODIFICACION!$F$2:$F$500,0))),"⚠"))</f>
        <v/>
      </c>
      <c r="AU166" t="str">
        <f>IF(BZ166="","",IFERROR(IF(INDEX(CODIFICACION!$E$2:$E$500,MATCH("D6.22a|"&amp;BZ166,CODIFICACION!$F$2:$F$500,0))="sin dato","",INDEX(CODIFICACION!$E$2:$E$500,MATCH("D6.22a|"&amp;BZ166,CODIFICACION!$F$2:$F$500,0))),"⚠"))</f>
        <v/>
      </c>
      <c r="AV166" t="str">
        <f>IF(CA166="","",IFERROR(IF(INDEX(CODIFICACION!$E$2:$E$500,MATCH("D6.22b|"&amp;CA166,CODIFICACION!$F$2:$F$500,0))="sin dato","",INDEX(CODIFICACION!$E$2:$E$500,MATCH("D6.22b|"&amp;CA166,CODIFICACION!$F$2:$F$500,0))),"⚠"))</f>
        <v/>
      </c>
      <c r="AW166" t="str">
        <f>IF(CB166="","",IFERROR(IF(INDEX(CODIFICACION!$E$2:$E$500,MATCH("D6.23|"&amp;CB166,CODIFICACION!$F$2:$F$500,0))="sin dato","",INDEX(CODIFICACION!$E$2:$E$500,MATCH("D6.23|"&amp;CB166,CODIFICACION!$F$2:$F$500,0))),"⚠"))</f>
        <v/>
      </c>
      <c r="AX166" t="str">
        <f ca="1">IF(CC166="","",IFERROR(IF(INDEX(CODIFICACION!$E$2:$E$500,MATCH("D6.24|"&amp;CC166,CODIFICACION!$F$2:$F$500,0))="sin dato","",INDEX(CODIFICACION!$E$2:$E$500,MATCH("D6.24|"&amp;CC166,CODIFICACION!$F$2:$F$500,0))),"⚠"))</f>
        <v/>
      </c>
      <c r="AY166" t="str">
        <f ca="1">IF(CD166="","",IFERROR(IF(INDEX(CODIFICACION!$E$2:$E$500,MATCH("D6.25|"&amp;CD166,CODIFICACION!$F$2:$F$500,0))="sin dato","",INDEX(CODIFICACION!$E$2:$E$500,MATCH("D6.25|"&amp;CD166,CODIFICACION!$F$2:$F$500,0))),"⚠"))</f>
        <v/>
      </c>
      <c r="AZ166" t="str">
        <f>IF(CE166="","",IFERROR(IF(INDEX(CODIFICACION!$E$2:$E$500,MATCH("D6.25a|"&amp;CE166,CODIFICACION!$F$2:$F$500,0))="sin dato","",INDEX(CODIFICACION!$E$2:$E$500,MATCH("D6.25a|"&amp;CE166,CODIFICACION!$F$2:$F$500,0))),"⚠"))</f>
        <v/>
      </c>
      <c r="BA166" t="str">
        <f>IF(CF166="","",IFERROR(IF(INDEX(CODIFICACION!$E$2:$E$500,MATCH("D6.25b|"&amp;CF166,CODIFICACION!$F$2:$F$500,0))="sin dato","",INDEX(CODIFICACION!$E$2:$E$500,MATCH("D6.25b|"&amp;CF166,CODIFICACION!$F$2:$F$500,0))),"⚠"))</f>
        <v/>
      </c>
      <c r="BB166" t="str">
        <f ca="1">IF(CG166="","",IFERROR(IF(INDEX(CODIFICACION!$E$2:$E$500,MATCH("D6.22c|"&amp;CG166,CODIFICACION!$F$2:$F$500,0))="sin dato","",INDEX(CODIFICACION!$E$2:$E$500,MATCH("D6.22c|"&amp;CG166,CODIFICACION!$F$2:$F$500,0))),"⚠"))</f>
        <v/>
      </c>
      <c r="BC166" t="str">
        <f ca="1">IF(CH166="","",IFERROR(IF(INDEX(CODIFICACION!$E$2:$E$500,MATCH("D7.26|"&amp;CH166,CODIFICACION!$F$2:$F$500,0))="sin dato","",INDEX(CODIFICACION!$E$2:$E$500,MATCH("D7.26|"&amp;CH166,CODIFICACION!$F$2:$F$500,0))),"⚠"))</f>
        <v/>
      </c>
      <c r="BD166" t="str">
        <f>IF(CI166="","",IFERROR(IF(INDEX(CODIFICACION!$E$2:$E$500,MATCH("D7.27|"&amp;CI166,CODIFICACION!$F$2:$F$500,0))="sin dato","",INDEX(CODIFICACION!$E$2:$E$500,MATCH("D7.27|"&amp;CI166,CODIFICACION!$F$2:$F$500,0))),"⚠"))</f>
        <v/>
      </c>
      <c r="BE166" t="str">
        <f>IF(CJ166="","",IFERROR(IF(INDEX(CODIFICACION!$E$2:$E$500,MATCH("D7.28|"&amp;CJ166,CODIFICACION!$F$2:$F$500,0))="sin dato","",INDEX(CODIFICACION!$E$2:$E$500,MATCH("D7.28|"&amp;CJ166,CODIFICACION!$F$2:$F$500,0))),"⚠"))</f>
        <v/>
      </c>
      <c r="BF166" t="str">
        <f>IF(CK166="","",IFERROR(IF(INDEX(CODIFICACION!$E$2:$E$500,MATCH("D7.28b|"&amp;CK166,CODIFICACION!$F$2:$F$500,0))="sin dato","",INDEX(CODIFICACION!$E$2:$E$500,MATCH("D7.28b|"&amp;CK166,CODIFICACION!$F$2:$F$500,0))),"⚠"))</f>
        <v/>
      </c>
      <c r="BG166" t="str">
        <f t="shared" si="135"/>
        <v/>
      </c>
      <c r="BH166" t="str">
        <f>IF(CM166="","",IFERROR(IF(INDEX(CODIFICACION!$E$2:$E$500,MATCH("D7.26a|"&amp;CM166,CODIFICACION!$F$2:$F$500,0))="sin dato","",INDEX(CODIFICACION!$E$2:$E$500,MATCH("D7.26a|"&amp;CM166,CODIFICACION!$F$2:$F$500,0))),"⚠"))</f>
        <v/>
      </c>
      <c r="BI166" t="str">
        <f>IF(CN166="","",IFERROR(IF(INDEX(CODIFICACION!$E$2:$E$500,MATCH("D7.26b|"&amp;CN166,CODIFICACION!$F$2:$F$500,0))="sin dato","",INDEX(CODIFICACION!$E$2:$E$500,MATCH("D7.26b|"&amp;CN166,CODIFICACION!$F$2:$F$500,0))),"⚠"))</f>
        <v/>
      </c>
      <c r="BJ166" t="str">
        <f t="shared" si="136"/>
        <v/>
      </c>
      <c r="BK166" t="str">
        <f t="shared" si="137"/>
        <v/>
      </c>
      <c r="BL166" t="str">
        <f>IF(CQ166="","",IFERROR(IF(INDEX(CODIFICACION!$E$2:$E$500,MATCH("D8.31|"&amp;CQ166,CODIFICACION!$F$2:$F$500,0))="sin dato","",INDEX(CODIFICACION!$E$2:$E$500,MATCH("D8.31|"&amp;CQ166,CODIFICACION!$F$2:$F$500,0))),"⚠"))</f>
        <v/>
      </c>
      <c r="BM166" t="str">
        <f>IF(CR166="","",IFERROR(IF(INDEX(CODIFICACION!$E$2:$E$500,MATCH("D8.32|"&amp;CR166,CODIFICACION!$F$2:$F$500,0))="sin dato","",INDEX(CODIFICACION!$E$2:$E$500,MATCH("D8.32|"&amp;CR166,CODIFICACION!$F$2:$F$500,0))),"⚠"))</f>
        <v/>
      </c>
      <c r="BN166" t="str">
        <f>IF(CS166="","",IFERROR(IF(INDEX(CODIFICACION!$E$2:$E$500,MATCH("D9.33|"&amp;CS166,CODIFICACION!$F$2:$F$500,0))="sin dato","",INDEX(CODIFICACION!$E$2:$E$500,MATCH("D9.33|"&amp;CS166,CODIFICACION!$F$2:$F$500,0))),"⚠"))</f>
        <v/>
      </c>
      <c r="BO166" t="str">
        <f>IF(CT166="","",IFERROR(IF(INDEX(CODIFICACION!$E$2:$E$500,MATCH("D9.34|"&amp;CT166,CODIFICACION!$F$2:$F$500,0))="sin dato","",INDEX(CODIFICACION!$E$2:$E$500,MATCH("D9.34|"&amp;CT166,CODIFICACION!$F$2:$F$500,0))),"⚠"))</f>
        <v/>
      </c>
      <c r="BP166" t="str">
        <f>IF(CU166="","",IFERROR(IF(INDEX(CODIFICACION!$E$2:$E$500,MATCH("D9.35|"&amp;CU166,CODIFICACION!$F$2:$F$500,0))="sin dato","",INDEX(CODIFICACION!$E$2:$E$500,MATCH("D9.35|"&amp;CU166,CODIFICACION!$F$2:$F$500,0))),"⚠"))</f>
        <v/>
      </c>
      <c r="BQ166" t="str">
        <f>IF(CV166="","",IFERROR(IF(INDEX(CODIFICACION!$E$2:$E$500,MATCH("D10.36|"&amp;CV166,CODIFICACION!$F$2:$F$500,0))="sin dato","",INDEX(CODIFICACION!$E$2:$E$500,MATCH("D10.36|"&amp;CV166,CODIFICACION!$F$2:$F$500,0))),"⚠"))</f>
        <v/>
      </c>
      <c r="BR166" t="str">
        <f>IF(CW166="","",IFERROR(IF(INDEX(CODIFICACION!$E$2:$E$500,MATCH("D10.37|"&amp;CW166,CODIFICACION!$F$2:$F$500,0))="sin dato","",INDEX(CODIFICACION!$E$2:$E$500,MATCH("D10.37|"&amp;CW166,CODIFICACION!$F$2:$F$500,0))),"⚠"))</f>
        <v/>
      </c>
      <c r="BS166" t="str">
        <f>IF(CX166="","",IFERROR(IF(INDEX(CODIFICACION!$E$2:$E$500,MATCH("D10.36a|"&amp;CX166,CODIFICACION!$F$2:$F$500,0))="sin dato","",INDEX(CODIFICACION!$E$2:$E$500,MATCH("D10.36a|"&amp;CX166,CODIFICACION!$F$2:$F$500,0))),"⚠"))</f>
        <v/>
      </c>
      <c r="BT166" t="str">
        <f t="shared" si="138"/>
        <v/>
      </c>
      <c r="BU166" t="str">
        <f>IF(DA166="","",IFERROR(IF(INDEX(CODIFICACION!$E$2:$E$500,MATCH("D11.39a|"&amp;DA166,CODIFICACION!$F$2:$F$500,0))="sin dato","",INDEX(CODIFICACION!$E$2:$E$500,MATCH("D11.39a|"&amp;DA166,CODIFICACION!$F$2:$F$500,0))),"⚠"))</f>
        <v/>
      </c>
      <c r="BV166" t="str">
        <f>IF(DB166="","",IFERROR(IF(INDEX(CODIFICACION!$E$2:$E$500,MATCH("D12.42|"&amp;DB166,CODIFICACION!$F$2:$F$500,0))="sin dato","",INDEX(CODIFICACION!$E$2:$E$500,MATCH("D12.42|"&amp;DB166,CODIFICACION!$F$2:$F$500,0))),"⚠"))</f>
        <v/>
      </c>
      <c r="BW166" t="str">
        <f>IF(DC166="","",IFERROR(IF(INDEX(CODIFICACION!$E$2:$E$500,MATCH("D13.45|"&amp;DC166,CODIFICACION!$F$2:$F$500,0))="sin dato","",INDEX(CODIFICACION!$E$2:$E$500,MATCH("D13.45|"&amp;DC166,CODIFICACION!$F$2:$F$500,0))),"⚠"))</f>
        <v/>
      </c>
      <c r="BX166" t="str">
        <f>IF(DD166="","",IFERROR(IF(INDEX(CODIFICACION!$E$2:$E$500,MATCH("D14.51|"&amp;DD166,CODIFICACION!$F$2:$F$500,0))="sin dato","",INDEX(CODIFICACION!$E$2:$E$500,MATCH("D14.51|"&amp;DD166,CODIFICACION!$F$2:$F$500,0))),"⚠"))</f>
        <v/>
      </c>
      <c r="BY166" t="str">
        <f>IF(DE166="","",IFERROR(IF(INDEX(CODIFICACION!$E$2:$E$500,MATCH("D15.58|"&amp;DE166,CODIFICACION!$F$2:$F$500,0))="sin dato","",INDEX(CODIFICACION!$E$2:$E$500,MATCH("D15.58|"&amp;DE166,CODIFICACION!$F$2:$F$500,0))),"⚠"))</f>
        <v/>
      </c>
      <c r="BZ166" t="str">
        <f>IF(DF166="","",IFERROR(IF(INDEX(CODIFICACION!$E$2:$E$500,MATCH("PP1|"&amp;DF166,CODIFICACION!$F$2:$F$500,0))="sin dato","",INDEX(CODIFICACION!$E$2:$E$500,MATCH("PP1|"&amp;DF166,CODIFICACION!$F$2:$F$500,0))),"⚠"))</f>
        <v/>
      </c>
      <c r="CA166" t="str">
        <f>IF(DG166="","",IFERROR(IF(INDEX(CODIFICACION!$E$2:$E$500,MATCH("PP2|"&amp;DG166,CODIFICACION!$F$2:$F$500,0))="sin dato","",INDEX(CODIFICACION!$E$2:$E$500,MATCH("PP2|"&amp;DG166,CODIFICACION!$F$2:$F$500,0))),"⚠"))</f>
        <v/>
      </c>
      <c r="CB166" t="str">
        <f t="shared" si="139"/>
        <v/>
      </c>
      <c r="CC166" t="str">
        <f t="shared" ca="1" si="140"/>
        <v/>
      </c>
      <c r="CD166" t="str">
        <f t="shared" ca="1" si="141"/>
        <v/>
      </c>
      <c r="CE166" t="str">
        <f t="shared" si="142"/>
        <v/>
      </c>
      <c r="CF166" t="str">
        <f t="shared" si="143"/>
        <v/>
      </c>
      <c r="CG166" t="str">
        <f t="shared" ca="1" si="144"/>
        <v/>
      </c>
      <c r="CH166" t="str">
        <f t="shared" ca="1" si="145"/>
        <v/>
      </c>
      <c r="CI166" t="str">
        <f t="shared" si="146"/>
        <v/>
      </c>
      <c r="CJ166" t="str">
        <f t="shared" si="147"/>
        <v/>
      </c>
      <c r="CK166" t="str">
        <f t="shared" si="148"/>
        <v/>
      </c>
      <c r="CL166" t="str">
        <f t="shared" si="149"/>
        <v/>
      </c>
    </row>
    <row r="167" spans="1:90" x14ac:dyDescent="0.3">
      <c r="A167">
        <f>CAPTURA!A167</f>
        <v>20608294512</v>
      </c>
      <c r="B167">
        <f>CAPTURA!C167</f>
        <v>0</v>
      </c>
      <c r="C167" t="str">
        <f t="shared" si="125"/>
        <v/>
      </c>
      <c r="D167" t="str">
        <f>IF(AE167="","",IFERROR(IF(INDEX(CODIFICACION!$E$2:$E$500,MATCH("P8|"&amp;AE167,CODIFICACION!$F$2:$F$500,0))="sin dato","",INDEX(CODIFICACION!$E$2:$E$500,MATCH("P8|"&amp;AE167,CODIFICACION!$F$2:$F$500,0))),"⚠"))</f>
        <v/>
      </c>
      <c r="E167" t="str">
        <f>IF(AG167="","",IFERROR(IF(INDEX(CODIFICACION!$E$2:$E$500,MATCH("P10|"&amp;AG167,CODIFICACION!$F$2:$F$500,0))="sin dato","",INDEX(CODIFICACION!$E$2:$E$500,MATCH("P10|"&amp;AG167,CODIFICACION!$F$2:$F$500,0))),"⚠"))</f>
        <v/>
      </c>
      <c r="F167" t="str">
        <f>IF(AJ167="","",IFERROR(IF(INDEX(CODIFICACION!$E$2:$E$500,MATCH("P13|"&amp;AJ167,CODIFICACION!$F$2:$F$500,0))="sin dato","",INDEX(CODIFICACION!$E$2:$E$500,MATCH("P13|"&amp;AJ167,CODIFICACION!$F$2:$F$500,0))),"⚠"))</f>
        <v/>
      </c>
      <c r="G167" t="str">
        <f>IF(AK167="","",IFERROR(IF(INDEX(CODIFICACION!$E$2:$E$500,MATCH("P14|"&amp;AK167,CODIFICACION!$F$2:$F$500,0))="sin dato","",INDEX(CODIFICACION!$E$2:$E$500,MATCH("P14|"&amp;AK167,CODIFICACION!$F$2:$F$500,0))),"⚠"))</f>
        <v/>
      </c>
      <c r="H167" t="str">
        <f>IF(AL167="","",IFERROR(IF(INDEX(CODIFICACION!$E$2:$E$500,MATCH("D1.1|"&amp;AL167,CODIFICACION!$F$2:$F$500,0))="sin dato","",INDEX(CODIFICACION!$E$2:$E$500,MATCH("D1.1|"&amp;AL167,CODIFICACION!$F$2:$F$500,0))),"⚠"))</f>
        <v/>
      </c>
      <c r="I167" t="str">
        <f>IF(AN167="","",IFERROR(IF(INDEX(CODIFICACION!$E$2:$E$500,MATCH("D1.3|"&amp;AN167,CODIFICACION!$F$2:$F$500,0))="sin dato","",INDEX(CODIFICACION!$E$2:$E$500,MATCH("D1.3|"&amp;AN167,CODIFICACION!$F$2:$F$500,0))),"⚠"))</f>
        <v/>
      </c>
      <c r="J167" t="str">
        <f>IF(AO167="","",IFERROR(IF(INDEX(CODIFICACION!$E$2:$E$500,MATCH("D1.4|"&amp;AO167,CODIFICACION!$F$2:$F$500,0))="sin dato","",INDEX(CODIFICACION!$E$2:$E$500,MATCH("D1.4|"&amp;AO167,CODIFICACION!$F$2:$F$500,0))),"⚠"))</f>
        <v/>
      </c>
      <c r="K167" t="str">
        <f>IF(AP167="","",IFERROR(IF(INDEX(CODIFICACION!$E$2:$E$500,MATCH("D1.3a|"&amp;AP167,CODIFICACION!$F$2:$F$500,0))="sin dato","",INDEX(CODIFICACION!$E$2:$E$500,MATCH("D1.3a|"&amp;AP167,CODIFICACION!$F$2:$F$500,0))),"⚠"))</f>
        <v/>
      </c>
      <c r="L167" t="str">
        <f t="shared" si="126"/>
        <v/>
      </c>
      <c r="M167" t="str">
        <f t="shared" si="127"/>
        <v/>
      </c>
      <c r="N167" t="str">
        <f t="shared" si="128"/>
        <v/>
      </c>
      <c r="O167" t="str">
        <f>IF(AT167="","",IFERROR(IF(INDEX(CODIFICACION!$E$2:$E$500,MATCH("D2.8|"&amp;AT167,CODIFICACION!$F$2:$F$500,0))="sin dato","",INDEX(CODIFICACION!$E$2:$E$500,MATCH("D2.8|"&amp;AT167,CODIFICACION!$F$2:$F$500,0))),"⚠"))</f>
        <v/>
      </c>
      <c r="P167" t="str">
        <f>IF(AU167="","",IFERROR(IF(INDEX(CODIFICACION!$E$2:$E$500,MATCH("D2.9|"&amp;AU167,CODIFICACION!$F$2:$F$500,0))="sin dato","",INDEX(CODIFICACION!$E$2:$E$500,MATCH("D2.9|"&amp;AU167,CODIFICACION!$F$2:$F$500,0))),"⚠"))</f>
        <v/>
      </c>
      <c r="Q167" t="str">
        <f>IF(AV167="","",IFERROR(IF(INDEX(CODIFICACION!$E$2:$E$500,MATCH("D2.10|"&amp;AV167,CODIFICACION!$F$2:$F$500,0))="sin dato","",INDEX(CODIFICACION!$E$2:$E$500,MATCH("D2.10|"&amp;AV167,CODIFICACION!$F$2:$F$500,0))),"⚠"))</f>
        <v/>
      </c>
      <c r="R167" t="str">
        <f>IF(AW167="","",IFERROR(IF(INDEX(CODIFICACION!$E$2:$E$500,MATCH("D2.5a|"&amp;AW167,CODIFICACION!$F$2:$F$500,0))="sin dato","",INDEX(CODIFICACION!$E$2:$E$500,MATCH("D2.5a|"&amp;AW167,CODIFICACION!$F$2:$F$500,0))),"⚠"))</f>
        <v/>
      </c>
      <c r="S167" t="str">
        <f ca="1">IF(AX167="","",IFERROR(IF(INDEX(CODIFICACION!$E$2:$E$500,MATCH("D2.5b|"&amp;AX167,CODIFICACION!$F$2:$F$500,0))="sin dato","",INDEX(CODIFICACION!$E$2:$E$500,MATCH("D2.5b|"&amp;AX167,CODIFICACION!$F$2:$F$500,0))),"⚠"))</f>
        <v/>
      </c>
      <c r="T167" t="str">
        <f t="shared" ca="1" si="129"/>
        <v/>
      </c>
      <c r="U167" t="str">
        <f>IF(AZ167="","",IFERROR(IF(INDEX(CODIFICACION!$E$2:$E$500,MATCH("D3.12|"&amp;AZ167,CODIFICACION!$F$2:$F$500,0))="sin dato","",INDEX(CODIFICACION!$E$2:$E$500,MATCH("D3.12|"&amp;AZ167,CODIFICACION!$F$2:$F$500,0))),"⚠"))</f>
        <v/>
      </c>
      <c r="V167" t="str">
        <f t="shared" si="130"/>
        <v/>
      </c>
      <c r="W167" t="str">
        <f ca="1">IF(BB167="","",IFERROR(IF(INDEX(CODIFICACION!$E$2:$E$500,MATCH("D3.14|"&amp;BB167,CODIFICACION!$F$2:$F$500,0))="sin dato","",INDEX(CODIFICACION!$E$2:$E$500,MATCH("D3.14|"&amp;BB167,CODIFICACION!$F$2:$F$500,0))),"⚠"))</f>
        <v/>
      </c>
      <c r="X167" t="str">
        <f ca="1">IF(BC167="","",IFERROR(IF(INDEX(CODIFICACION!$E$2:$E$500,MATCH("D3.14a|"&amp;BC167,CODIFICACION!$F$2:$F$500,0))="sin dato","",INDEX(CODIFICACION!$E$2:$E$500,MATCH("D3.14a|"&amp;BC167,CODIFICACION!$F$2:$F$500,0))),"⚠"))</f>
        <v/>
      </c>
      <c r="Y167" t="str">
        <f>IF(BD167="","",IFERROR(IF(INDEX(CODIFICACION!$E$2:$E$500,MATCH("D3.14b|"&amp;BD167,CODIFICACION!$F$2:$F$500,0))="sin dato","",INDEX(CODIFICACION!$E$2:$E$500,MATCH("D3.14b|"&amp;BD167,CODIFICACION!$F$2:$F$500,0))),"⚠"))</f>
        <v/>
      </c>
      <c r="Z167" t="str">
        <f>IF(BE167="","",IFERROR(IF(INDEX(CODIFICACION!$E$2:$E$500,MATCH("D3.14c|"&amp;BE167,CODIFICACION!$F$2:$F$500,0))="sin dato","",INDEX(CODIFICACION!$E$2:$E$500,MATCH("D3.14c|"&amp;BE167,CODIFICACION!$F$2:$F$500,0))),"⚠"))</f>
        <v/>
      </c>
      <c r="AA167" t="str">
        <f>IF(BF167="","",IFERROR(IF(INDEX(CODIFICACION!$E$2:$E$500,MATCH("D3.14d|"&amp;BF167,CODIFICACION!$F$2:$F$500,0))="sin dato","",INDEX(CODIFICACION!$E$2:$E$500,MATCH("D3.14d|"&amp;BF167,CODIFICACION!$F$2:$F$500,0))),"⚠"))</f>
        <v/>
      </c>
      <c r="AB167" t="str">
        <f>IF(BG167="","",IFERROR(IF(INDEX(CODIFICACION!$E$2:$E$500,MATCH("D3.14e|"&amp;BG167,CODIFICACION!$F$2:$F$500,0))="sin dato","",INDEX(CODIFICACION!$E$2:$E$500,MATCH("D3.14e|"&amp;BG167,CODIFICACION!$F$2:$F$500,0))),"⚠"))</f>
        <v/>
      </c>
      <c r="AC167" t="str">
        <f>IF(BH167="","",IFERROR(IF(INDEX(CODIFICACION!$E$2:$E$500,MATCH("D3.14f|"&amp;BH167,CODIFICACION!$F$2:$F$500,0))="sin dato","",INDEX(CODIFICACION!$E$2:$E$500,MATCH("D3.14f|"&amp;BH167,CODIFICACION!$F$2:$F$500,0))),"⚠"))</f>
        <v/>
      </c>
      <c r="AD167" t="str">
        <f>IF(BI167="","",IFERROR(IF(INDEX(CODIFICACION!$E$2:$E$500,MATCH("D3.14g|"&amp;BI167,CODIFICACION!$F$2:$F$500,0))="sin dato","",INDEX(CODIFICACION!$E$2:$E$500,MATCH("D3.14g|"&amp;BI167,CODIFICACION!$F$2:$F$500,0))),"⚠"))</f>
        <v/>
      </c>
      <c r="AE167" t="str">
        <f>IF(BJ167="","",IFERROR(IF(INDEX(CODIFICACION!$E$2:$E$500,MATCH("D3.14h|"&amp;BJ167,CODIFICACION!$F$2:$F$500,0))="sin dato","",INDEX(CODIFICACION!$E$2:$E$500,MATCH("D3.14h|"&amp;BJ167,CODIFICACION!$F$2:$F$500,0))),"⚠"))</f>
        <v/>
      </c>
      <c r="AF167" t="str">
        <f>IF(BK167="","",IFERROR(IF(INDEX(CODIFICACION!$E$2:$E$500,MATCH("D3.14i|"&amp;BK167,CODIFICACION!$F$2:$F$500,0))="sin dato","",INDEX(CODIFICACION!$E$2:$E$500,MATCH("D3.14i|"&amp;BK167,CODIFICACION!$F$2:$F$500,0))),"⚠"))</f>
        <v/>
      </c>
      <c r="AG167" t="str">
        <f>IF(BL167="","",IFERROR(IF(INDEX(CODIFICACION!$E$2:$E$500,MATCH("D4.15|"&amp;BL167,CODIFICACION!$F$2:$F$500,0))="sin dato","",INDEX(CODIFICACION!$E$2:$E$500,MATCH("D4.15|"&amp;BL167,CODIFICACION!$F$2:$F$500,0))),"⚠"))</f>
        <v/>
      </c>
      <c r="AH167" t="str">
        <f t="shared" si="131"/>
        <v/>
      </c>
      <c r="AI167" t="str">
        <f>IF(BN167="","",IFERROR(IF(INDEX(CODIFICACION!$E$2:$E$500,MATCH("D4.17|"&amp;BN167,CODIFICACION!$F$2:$F$500,0))="sin dato","",INDEX(CODIFICACION!$E$2:$E$500,MATCH("D4.17|"&amp;BN167,CODIFICACION!$F$2:$F$500,0))),"⚠"))</f>
        <v/>
      </c>
      <c r="AJ167" t="str">
        <f>IF(BO167="","",IFERROR(IF(INDEX(CODIFICACION!$E$2:$E$500,MATCH("D4.15a|"&amp;BO167,CODIFICACION!$F$2:$F$500,0))="sin dato","",INDEX(CODIFICACION!$E$2:$E$500,MATCH("D4.15a|"&amp;BO167,CODIFICACION!$F$2:$F$500,0))),"⚠"))</f>
        <v/>
      </c>
      <c r="AK167" t="str">
        <f t="shared" si="132"/>
        <v/>
      </c>
      <c r="AL167" t="str">
        <f t="shared" si="133"/>
        <v/>
      </c>
      <c r="AM167" t="str">
        <f>IF(BR167="","",IFERROR(IF(INDEX(CODIFICACION!$E$2:$E$500,MATCH("D5.18b|"&amp;BR167,CODIFICACION!$F$2:$F$500,0))="sin dato","",INDEX(CODIFICACION!$E$2:$E$500,MATCH("D5.18b|"&amp;BR167,CODIFICACION!$F$2:$F$500,0))),"⚠"))</f>
        <v/>
      </c>
      <c r="AN167" t="str">
        <f>IF(BS167="","",IFERROR(IF(INDEX(CODIFICACION!$E$2:$E$500,MATCH("D5.19|"&amp;BS167,CODIFICACION!$F$2:$F$500,0))="sin dato","",INDEX(CODIFICACION!$E$2:$E$500,MATCH("D5.19|"&amp;BS167,CODIFICACION!$F$2:$F$500,0))),"⚠"))</f>
        <v/>
      </c>
      <c r="AO167" t="str">
        <f t="shared" si="134"/>
        <v/>
      </c>
      <c r="AP167" t="str">
        <f>IF(BU167="","",IFERROR(IF(INDEX(CODIFICACION!$E$2:$E$500,MATCH("D5.20|"&amp;BU167,CODIFICACION!$F$2:$F$500,0))="sin dato","",INDEX(CODIFICACION!$E$2:$E$500,MATCH("D5.20|"&amp;BU167,CODIFICACION!$F$2:$F$500,0))),"⚠"))</f>
        <v/>
      </c>
      <c r="AQ167" t="str">
        <f>IF(BV167="","",IFERROR(IF(INDEX(CODIFICACION!$E$2:$E$500,MATCH("D5.21|"&amp;BV167,CODIFICACION!$F$2:$F$500,0))="sin dato","",INDEX(CODIFICACION!$E$2:$E$500,MATCH("D5.21|"&amp;BV167,CODIFICACION!$F$2:$F$500,0))),"⚠"))</f>
        <v/>
      </c>
      <c r="AR167" t="str">
        <f>IF(BW167="","",IFERROR(IF(INDEX(CODIFICACION!$E$2:$E$500,MATCH("D5.21a|"&amp;BW167,CODIFICACION!$F$2:$F$500,0))="sin dato","",INDEX(CODIFICACION!$E$2:$E$500,MATCH("D5.21a|"&amp;BW167,CODIFICACION!$F$2:$F$500,0))),"⚠"))</f>
        <v/>
      </c>
      <c r="AS167" t="str">
        <f>IF(BX167="","",IFERROR(IF(INDEX(CODIFICACION!$E$2:$E$500,MATCH("D5.21b|"&amp;BX167,CODIFICACION!$F$2:$F$500,0))="sin dato","",INDEX(CODIFICACION!$E$2:$E$500,MATCH("D5.21b|"&amp;BX167,CODIFICACION!$F$2:$F$500,0))),"⚠"))</f>
        <v/>
      </c>
      <c r="AT167" t="str">
        <f>IF(BY167="","",IFERROR(IF(INDEX(CODIFICACION!$E$2:$E$500,MATCH("D6.22|"&amp;BY167,CODIFICACION!$F$2:$F$500,0))="sin dato","",INDEX(CODIFICACION!$E$2:$E$500,MATCH("D6.22|"&amp;BY167,CODIFICACION!$F$2:$F$500,0))),"⚠"))</f>
        <v/>
      </c>
      <c r="AU167" t="str">
        <f>IF(BZ167="","",IFERROR(IF(INDEX(CODIFICACION!$E$2:$E$500,MATCH("D6.22a|"&amp;BZ167,CODIFICACION!$F$2:$F$500,0))="sin dato","",INDEX(CODIFICACION!$E$2:$E$500,MATCH("D6.22a|"&amp;BZ167,CODIFICACION!$F$2:$F$500,0))),"⚠"))</f>
        <v/>
      </c>
      <c r="AV167" t="str">
        <f>IF(CA167="","",IFERROR(IF(INDEX(CODIFICACION!$E$2:$E$500,MATCH("D6.22b|"&amp;CA167,CODIFICACION!$F$2:$F$500,0))="sin dato","",INDEX(CODIFICACION!$E$2:$E$500,MATCH("D6.22b|"&amp;CA167,CODIFICACION!$F$2:$F$500,0))),"⚠"))</f>
        <v/>
      </c>
      <c r="AW167" t="str">
        <f>IF(CB167="","",IFERROR(IF(INDEX(CODIFICACION!$E$2:$E$500,MATCH("D6.23|"&amp;CB167,CODIFICACION!$F$2:$F$500,0))="sin dato","",INDEX(CODIFICACION!$E$2:$E$500,MATCH("D6.23|"&amp;CB167,CODIFICACION!$F$2:$F$500,0))),"⚠"))</f>
        <v/>
      </c>
      <c r="AX167" t="str">
        <f ca="1">IF(CC167="","",IFERROR(IF(INDEX(CODIFICACION!$E$2:$E$500,MATCH("D6.24|"&amp;CC167,CODIFICACION!$F$2:$F$500,0))="sin dato","",INDEX(CODIFICACION!$E$2:$E$500,MATCH("D6.24|"&amp;CC167,CODIFICACION!$F$2:$F$500,0))),"⚠"))</f>
        <v/>
      </c>
      <c r="AY167" t="str">
        <f ca="1">IF(CD167="","",IFERROR(IF(INDEX(CODIFICACION!$E$2:$E$500,MATCH("D6.25|"&amp;CD167,CODIFICACION!$F$2:$F$500,0))="sin dato","",INDEX(CODIFICACION!$E$2:$E$500,MATCH("D6.25|"&amp;CD167,CODIFICACION!$F$2:$F$500,0))),"⚠"))</f>
        <v/>
      </c>
      <c r="AZ167" t="str">
        <f>IF(CE167="","",IFERROR(IF(INDEX(CODIFICACION!$E$2:$E$500,MATCH("D6.25a|"&amp;CE167,CODIFICACION!$F$2:$F$500,0))="sin dato","",INDEX(CODIFICACION!$E$2:$E$500,MATCH("D6.25a|"&amp;CE167,CODIFICACION!$F$2:$F$500,0))),"⚠"))</f>
        <v/>
      </c>
      <c r="BA167" t="str">
        <f>IF(CF167="","",IFERROR(IF(INDEX(CODIFICACION!$E$2:$E$500,MATCH("D6.25b|"&amp;CF167,CODIFICACION!$F$2:$F$500,0))="sin dato","",INDEX(CODIFICACION!$E$2:$E$500,MATCH("D6.25b|"&amp;CF167,CODIFICACION!$F$2:$F$500,0))),"⚠"))</f>
        <v/>
      </c>
      <c r="BB167" t="str">
        <f ca="1">IF(CG167="","",IFERROR(IF(INDEX(CODIFICACION!$E$2:$E$500,MATCH("D6.22c|"&amp;CG167,CODIFICACION!$F$2:$F$500,0))="sin dato","",INDEX(CODIFICACION!$E$2:$E$500,MATCH("D6.22c|"&amp;CG167,CODIFICACION!$F$2:$F$500,0))),"⚠"))</f>
        <v/>
      </c>
      <c r="BC167" t="str">
        <f ca="1">IF(CH167="","",IFERROR(IF(INDEX(CODIFICACION!$E$2:$E$500,MATCH("D7.26|"&amp;CH167,CODIFICACION!$F$2:$F$500,0))="sin dato","",INDEX(CODIFICACION!$E$2:$E$500,MATCH("D7.26|"&amp;CH167,CODIFICACION!$F$2:$F$500,0))),"⚠"))</f>
        <v/>
      </c>
      <c r="BD167" t="str">
        <f>IF(CI167="","",IFERROR(IF(INDEX(CODIFICACION!$E$2:$E$500,MATCH("D7.27|"&amp;CI167,CODIFICACION!$F$2:$F$500,0))="sin dato","",INDEX(CODIFICACION!$E$2:$E$500,MATCH("D7.27|"&amp;CI167,CODIFICACION!$F$2:$F$500,0))),"⚠"))</f>
        <v/>
      </c>
      <c r="BE167" t="str">
        <f>IF(CJ167="","",IFERROR(IF(INDEX(CODIFICACION!$E$2:$E$500,MATCH("D7.28|"&amp;CJ167,CODIFICACION!$F$2:$F$500,0))="sin dato","",INDEX(CODIFICACION!$E$2:$E$500,MATCH("D7.28|"&amp;CJ167,CODIFICACION!$F$2:$F$500,0))),"⚠"))</f>
        <v/>
      </c>
      <c r="BF167" t="str">
        <f>IF(CK167="","",IFERROR(IF(INDEX(CODIFICACION!$E$2:$E$500,MATCH("D7.28b|"&amp;CK167,CODIFICACION!$F$2:$F$500,0))="sin dato","",INDEX(CODIFICACION!$E$2:$E$500,MATCH("D7.28b|"&amp;CK167,CODIFICACION!$F$2:$F$500,0))),"⚠"))</f>
        <v/>
      </c>
      <c r="BG167" t="str">
        <f t="shared" si="135"/>
        <v/>
      </c>
      <c r="BH167" t="str">
        <f>IF(CM167="","",IFERROR(IF(INDEX(CODIFICACION!$E$2:$E$500,MATCH("D7.26a|"&amp;CM167,CODIFICACION!$F$2:$F$500,0))="sin dato","",INDEX(CODIFICACION!$E$2:$E$500,MATCH("D7.26a|"&amp;CM167,CODIFICACION!$F$2:$F$500,0))),"⚠"))</f>
        <v/>
      </c>
      <c r="BI167" t="str">
        <f>IF(CN167="","",IFERROR(IF(INDEX(CODIFICACION!$E$2:$E$500,MATCH("D7.26b|"&amp;CN167,CODIFICACION!$F$2:$F$500,0))="sin dato","",INDEX(CODIFICACION!$E$2:$E$500,MATCH("D7.26b|"&amp;CN167,CODIFICACION!$F$2:$F$500,0))),"⚠"))</f>
        <v/>
      </c>
      <c r="BJ167" t="str">
        <f t="shared" si="136"/>
        <v/>
      </c>
      <c r="BK167" t="str">
        <f t="shared" si="137"/>
        <v/>
      </c>
      <c r="BL167" t="str">
        <f>IF(CQ167="","",IFERROR(IF(INDEX(CODIFICACION!$E$2:$E$500,MATCH("D8.31|"&amp;CQ167,CODIFICACION!$F$2:$F$500,0))="sin dato","",INDEX(CODIFICACION!$E$2:$E$500,MATCH("D8.31|"&amp;CQ167,CODIFICACION!$F$2:$F$500,0))),"⚠"))</f>
        <v/>
      </c>
      <c r="BM167" t="str">
        <f>IF(CR167="","",IFERROR(IF(INDEX(CODIFICACION!$E$2:$E$500,MATCH("D8.32|"&amp;CR167,CODIFICACION!$F$2:$F$500,0))="sin dato","",INDEX(CODIFICACION!$E$2:$E$500,MATCH("D8.32|"&amp;CR167,CODIFICACION!$F$2:$F$500,0))),"⚠"))</f>
        <v/>
      </c>
      <c r="BN167" t="str">
        <f>IF(CS167="","",IFERROR(IF(INDEX(CODIFICACION!$E$2:$E$500,MATCH("D9.33|"&amp;CS167,CODIFICACION!$F$2:$F$500,0))="sin dato","",INDEX(CODIFICACION!$E$2:$E$500,MATCH("D9.33|"&amp;CS167,CODIFICACION!$F$2:$F$500,0))),"⚠"))</f>
        <v/>
      </c>
      <c r="BO167" t="str">
        <f>IF(CT167="","",IFERROR(IF(INDEX(CODIFICACION!$E$2:$E$500,MATCH("D9.34|"&amp;CT167,CODIFICACION!$F$2:$F$500,0))="sin dato","",INDEX(CODIFICACION!$E$2:$E$500,MATCH("D9.34|"&amp;CT167,CODIFICACION!$F$2:$F$500,0))),"⚠"))</f>
        <v/>
      </c>
      <c r="BP167" t="str">
        <f>IF(CU167="","",IFERROR(IF(INDEX(CODIFICACION!$E$2:$E$500,MATCH("D9.35|"&amp;CU167,CODIFICACION!$F$2:$F$500,0))="sin dato","",INDEX(CODIFICACION!$E$2:$E$500,MATCH("D9.35|"&amp;CU167,CODIFICACION!$F$2:$F$500,0))),"⚠"))</f>
        <v/>
      </c>
      <c r="BQ167" t="str">
        <f>IF(CV167="","",IFERROR(IF(INDEX(CODIFICACION!$E$2:$E$500,MATCH("D10.36|"&amp;CV167,CODIFICACION!$F$2:$F$500,0))="sin dato","",INDEX(CODIFICACION!$E$2:$E$500,MATCH("D10.36|"&amp;CV167,CODIFICACION!$F$2:$F$500,0))),"⚠"))</f>
        <v/>
      </c>
      <c r="BR167" t="str">
        <f>IF(CW167="","",IFERROR(IF(INDEX(CODIFICACION!$E$2:$E$500,MATCH("D10.37|"&amp;CW167,CODIFICACION!$F$2:$F$500,0))="sin dato","",INDEX(CODIFICACION!$E$2:$E$500,MATCH("D10.37|"&amp;CW167,CODIFICACION!$F$2:$F$500,0))),"⚠"))</f>
        <v/>
      </c>
      <c r="BS167" t="str">
        <f>IF(CX167="","",IFERROR(IF(INDEX(CODIFICACION!$E$2:$E$500,MATCH("D10.36a|"&amp;CX167,CODIFICACION!$F$2:$F$500,0))="sin dato","",INDEX(CODIFICACION!$E$2:$E$500,MATCH("D10.36a|"&amp;CX167,CODIFICACION!$F$2:$F$500,0))),"⚠"))</f>
        <v/>
      </c>
      <c r="BT167" t="str">
        <f t="shared" si="138"/>
        <v/>
      </c>
      <c r="BU167" t="str">
        <f>IF(DA167="","",IFERROR(IF(INDEX(CODIFICACION!$E$2:$E$500,MATCH("D11.39a|"&amp;DA167,CODIFICACION!$F$2:$F$500,0))="sin dato","",INDEX(CODIFICACION!$E$2:$E$500,MATCH("D11.39a|"&amp;DA167,CODIFICACION!$F$2:$F$500,0))),"⚠"))</f>
        <v/>
      </c>
      <c r="BV167" t="str">
        <f>IF(DB167="","",IFERROR(IF(INDEX(CODIFICACION!$E$2:$E$500,MATCH("D12.42|"&amp;DB167,CODIFICACION!$F$2:$F$500,0))="sin dato","",INDEX(CODIFICACION!$E$2:$E$500,MATCH("D12.42|"&amp;DB167,CODIFICACION!$F$2:$F$500,0))),"⚠"))</f>
        <v/>
      </c>
      <c r="BW167" t="str">
        <f>IF(DC167="","",IFERROR(IF(INDEX(CODIFICACION!$E$2:$E$500,MATCH("D13.45|"&amp;DC167,CODIFICACION!$F$2:$F$500,0))="sin dato","",INDEX(CODIFICACION!$E$2:$E$500,MATCH("D13.45|"&amp;DC167,CODIFICACION!$F$2:$F$500,0))),"⚠"))</f>
        <v/>
      </c>
      <c r="BX167" t="str">
        <f>IF(DD167="","",IFERROR(IF(INDEX(CODIFICACION!$E$2:$E$500,MATCH("D14.51|"&amp;DD167,CODIFICACION!$F$2:$F$500,0))="sin dato","",INDEX(CODIFICACION!$E$2:$E$500,MATCH("D14.51|"&amp;DD167,CODIFICACION!$F$2:$F$500,0))),"⚠"))</f>
        <v/>
      </c>
      <c r="BY167" t="str">
        <f>IF(DE167="","",IFERROR(IF(INDEX(CODIFICACION!$E$2:$E$500,MATCH("D15.58|"&amp;DE167,CODIFICACION!$F$2:$F$500,0))="sin dato","",INDEX(CODIFICACION!$E$2:$E$500,MATCH("D15.58|"&amp;DE167,CODIFICACION!$F$2:$F$500,0))),"⚠"))</f>
        <v/>
      </c>
      <c r="BZ167" t="str">
        <f>IF(DF167="","",IFERROR(IF(INDEX(CODIFICACION!$E$2:$E$500,MATCH("PP1|"&amp;DF167,CODIFICACION!$F$2:$F$500,0))="sin dato","",INDEX(CODIFICACION!$E$2:$E$500,MATCH("PP1|"&amp;DF167,CODIFICACION!$F$2:$F$500,0))),"⚠"))</f>
        <v/>
      </c>
      <c r="CA167" t="str">
        <f>IF(DG167="","",IFERROR(IF(INDEX(CODIFICACION!$E$2:$E$500,MATCH("PP2|"&amp;DG167,CODIFICACION!$F$2:$F$500,0))="sin dato","",INDEX(CODIFICACION!$E$2:$E$500,MATCH("PP2|"&amp;DG167,CODIFICACION!$F$2:$F$500,0))),"⚠"))</f>
        <v/>
      </c>
      <c r="CB167" t="str">
        <f t="shared" si="139"/>
        <v/>
      </c>
      <c r="CC167" t="str">
        <f t="shared" ca="1" si="140"/>
        <v/>
      </c>
      <c r="CD167" t="str">
        <f t="shared" ca="1" si="141"/>
        <v/>
      </c>
      <c r="CE167" t="str">
        <f t="shared" si="142"/>
        <v/>
      </c>
      <c r="CF167" t="str">
        <f t="shared" si="143"/>
        <v/>
      </c>
      <c r="CG167" t="str">
        <f t="shared" ca="1" si="144"/>
        <v/>
      </c>
      <c r="CH167" t="str">
        <f t="shared" ca="1" si="145"/>
        <v/>
      </c>
      <c r="CI167" t="str">
        <f t="shared" si="146"/>
        <v/>
      </c>
      <c r="CJ167" t="str">
        <f t="shared" si="147"/>
        <v/>
      </c>
      <c r="CK167" t="str">
        <f t="shared" si="148"/>
        <v/>
      </c>
      <c r="CL167" t="str">
        <f t="shared" si="149"/>
        <v/>
      </c>
    </row>
    <row r="168" spans="1:90" x14ac:dyDescent="0.3">
      <c r="A168">
        <f>CAPTURA!A168</f>
        <v>20608478311</v>
      </c>
      <c r="B168">
        <f>CAPTURA!C168</f>
        <v>0</v>
      </c>
      <c r="C168" t="str">
        <f t="shared" si="125"/>
        <v/>
      </c>
      <c r="D168" t="str">
        <f>IF(AE168="","",IFERROR(IF(INDEX(CODIFICACION!$E$2:$E$500,MATCH("P8|"&amp;AE168,CODIFICACION!$F$2:$F$500,0))="sin dato","",INDEX(CODIFICACION!$E$2:$E$500,MATCH("P8|"&amp;AE168,CODIFICACION!$F$2:$F$500,0))),"⚠"))</f>
        <v/>
      </c>
      <c r="E168" t="str">
        <f>IF(AG168="","",IFERROR(IF(INDEX(CODIFICACION!$E$2:$E$500,MATCH("P10|"&amp;AG168,CODIFICACION!$F$2:$F$500,0))="sin dato","",INDEX(CODIFICACION!$E$2:$E$500,MATCH("P10|"&amp;AG168,CODIFICACION!$F$2:$F$500,0))),"⚠"))</f>
        <v/>
      </c>
      <c r="F168" t="str">
        <f>IF(AJ168="","",IFERROR(IF(INDEX(CODIFICACION!$E$2:$E$500,MATCH("P13|"&amp;AJ168,CODIFICACION!$F$2:$F$500,0))="sin dato","",INDEX(CODIFICACION!$E$2:$E$500,MATCH("P13|"&amp;AJ168,CODIFICACION!$F$2:$F$500,0))),"⚠"))</f>
        <v/>
      </c>
      <c r="G168" t="str">
        <f>IF(AK168="","",IFERROR(IF(INDEX(CODIFICACION!$E$2:$E$500,MATCH("P14|"&amp;AK168,CODIFICACION!$F$2:$F$500,0))="sin dato","",INDEX(CODIFICACION!$E$2:$E$500,MATCH("P14|"&amp;AK168,CODIFICACION!$F$2:$F$500,0))),"⚠"))</f>
        <v/>
      </c>
      <c r="H168" t="str">
        <f>IF(AL168="","",IFERROR(IF(INDEX(CODIFICACION!$E$2:$E$500,MATCH("D1.1|"&amp;AL168,CODIFICACION!$F$2:$F$500,0))="sin dato","",INDEX(CODIFICACION!$E$2:$E$500,MATCH("D1.1|"&amp;AL168,CODIFICACION!$F$2:$F$500,0))),"⚠"))</f>
        <v/>
      </c>
      <c r="I168" t="str">
        <f>IF(AN168="","",IFERROR(IF(INDEX(CODIFICACION!$E$2:$E$500,MATCH("D1.3|"&amp;AN168,CODIFICACION!$F$2:$F$500,0))="sin dato","",INDEX(CODIFICACION!$E$2:$E$500,MATCH("D1.3|"&amp;AN168,CODIFICACION!$F$2:$F$500,0))),"⚠"))</f>
        <v/>
      </c>
      <c r="J168" t="str">
        <f>IF(AO168="","",IFERROR(IF(INDEX(CODIFICACION!$E$2:$E$500,MATCH("D1.4|"&amp;AO168,CODIFICACION!$F$2:$F$500,0))="sin dato","",INDEX(CODIFICACION!$E$2:$E$500,MATCH("D1.4|"&amp;AO168,CODIFICACION!$F$2:$F$500,0))),"⚠"))</f>
        <v/>
      </c>
      <c r="K168" t="str">
        <f>IF(AP168="","",IFERROR(IF(INDEX(CODIFICACION!$E$2:$E$500,MATCH("D1.3a|"&amp;AP168,CODIFICACION!$F$2:$F$500,0))="sin dato","",INDEX(CODIFICACION!$E$2:$E$500,MATCH("D1.3a|"&amp;AP168,CODIFICACION!$F$2:$F$500,0))),"⚠"))</f>
        <v/>
      </c>
      <c r="L168" t="str">
        <f t="shared" si="126"/>
        <v/>
      </c>
      <c r="M168" t="str">
        <f t="shared" si="127"/>
        <v/>
      </c>
      <c r="N168" t="str">
        <f t="shared" si="128"/>
        <v/>
      </c>
      <c r="O168" t="str">
        <f>IF(AT168="","",IFERROR(IF(INDEX(CODIFICACION!$E$2:$E$500,MATCH("D2.8|"&amp;AT168,CODIFICACION!$F$2:$F$500,0))="sin dato","",INDEX(CODIFICACION!$E$2:$E$500,MATCH("D2.8|"&amp;AT168,CODIFICACION!$F$2:$F$500,0))),"⚠"))</f>
        <v/>
      </c>
      <c r="P168" t="str">
        <f>IF(AU168="","",IFERROR(IF(INDEX(CODIFICACION!$E$2:$E$500,MATCH("D2.9|"&amp;AU168,CODIFICACION!$F$2:$F$500,0))="sin dato","",INDEX(CODIFICACION!$E$2:$E$500,MATCH("D2.9|"&amp;AU168,CODIFICACION!$F$2:$F$500,0))),"⚠"))</f>
        <v/>
      </c>
      <c r="Q168" t="str">
        <f>IF(AV168="","",IFERROR(IF(INDEX(CODIFICACION!$E$2:$E$500,MATCH("D2.10|"&amp;AV168,CODIFICACION!$F$2:$F$500,0))="sin dato","",INDEX(CODIFICACION!$E$2:$E$500,MATCH("D2.10|"&amp;AV168,CODIFICACION!$F$2:$F$500,0))),"⚠"))</f>
        <v/>
      </c>
      <c r="R168" t="str">
        <f>IF(AW168="","",IFERROR(IF(INDEX(CODIFICACION!$E$2:$E$500,MATCH("D2.5a|"&amp;AW168,CODIFICACION!$F$2:$F$500,0))="sin dato","",INDEX(CODIFICACION!$E$2:$E$500,MATCH("D2.5a|"&amp;AW168,CODIFICACION!$F$2:$F$500,0))),"⚠"))</f>
        <v/>
      </c>
      <c r="S168" t="str">
        <f ca="1">IF(AX168="","",IFERROR(IF(INDEX(CODIFICACION!$E$2:$E$500,MATCH("D2.5b|"&amp;AX168,CODIFICACION!$F$2:$F$500,0))="sin dato","",INDEX(CODIFICACION!$E$2:$E$500,MATCH("D2.5b|"&amp;AX168,CODIFICACION!$F$2:$F$500,0))),"⚠"))</f>
        <v/>
      </c>
      <c r="T168" t="str">
        <f t="shared" ca="1" si="129"/>
        <v/>
      </c>
      <c r="U168" t="str">
        <f>IF(AZ168="","",IFERROR(IF(INDEX(CODIFICACION!$E$2:$E$500,MATCH("D3.12|"&amp;AZ168,CODIFICACION!$F$2:$F$500,0))="sin dato","",INDEX(CODIFICACION!$E$2:$E$500,MATCH("D3.12|"&amp;AZ168,CODIFICACION!$F$2:$F$500,0))),"⚠"))</f>
        <v/>
      </c>
      <c r="V168" t="str">
        <f t="shared" si="130"/>
        <v/>
      </c>
      <c r="W168" t="str">
        <f ca="1">IF(BB168="","",IFERROR(IF(INDEX(CODIFICACION!$E$2:$E$500,MATCH("D3.14|"&amp;BB168,CODIFICACION!$F$2:$F$500,0))="sin dato","",INDEX(CODIFICACION!$E$2:$E$500,MATCH("D3.14|"&amp;BB168,CODIFICACION!$F$2:$F$500,0))),"⚠"))</f>
        <v/>
      </c>
      <c r="X168" t="str">
        <f ca="1">IF(BC168="","",IFERROR(IF(INDEX(CODIFICACION!$E$2:$E$500,MATCH("D3.14a|"&amp;BC168,CODIFICACION!$F$2:$F$500,0))="sin dato","",INDEX(CODIFICACION!$E$2:$E$500,MATCH("D3.14a|"&amp;BC168,CODIFICACION!$F$2:$F$500,0))),"⚠"))</f>
        <v/>
      </c>
      <c r="Y168" t="str">
        <f>IF(BD168="","",IFERROR(IF(INDEX(CODIFICACION!$E$2:$E$500,MATCH("D3.14b|"&amp;BD168,CODIFICACION!$F$2:$F$500,0))="sin dato","",INDEX(CODIFICACION!$E$2:$E$500,MATCH("D3.14b|"&amp;BD168,CODIFICACION!$F$2:$F$500,0))),"⚠"))</f>
        <v/>
      </c>
      <c r="Z168" t="str">
        <f>IF(BE168="","",IFERROR(IF(INDEX(CODIFICACION!$E$2:$E$500,MATCH("D3.14c|"&amp;BE168,CODIFICACION!$F$2:$F$500,0))="sin dato","",INDEX(CODIFICACION!$E$2:$E$500,MATCH("D3.14c|"&amp;BE168,CODIFICACION!$F$2:$F$500,0))),"⚠"))</f>
        <v/>
      </c>
      <c r="AA168" t="str">
        <f>IF(BF168="","",IFERROR(IF(INDEX(CODIFICACION!$E$2:$E$500,MATCH("D3.14d|"&amp;BF168,CODIFICACION!$F$2:$F$500,0))="sin dato","",INDEX(CODIFICACION!$E$2:$E$500,MATCH("D3.14d|"&amp;BF168,CODIFICACION!$F$2:$F$500,0))),"⚠"))</f>
        <v/>
      </c>
      <c r="AB168" t="str">
        <f>IF(BG168="","",IFERROR(IF(INDEX(CODIFICACION!$E$2:$E$500,MATCH("D3.14e|"&amp;BG168,CODIFICACION!$F$2:$F$500,0))="sin dato","",INDEX(CODIFICACION!$E$2:$E$500,MATCH("D3.14e|"&amp;BG168,CODIFICACION!$F$2:$F$500,0))),"⚠"))</f>
        <v/>
      </c>
      <c r="AC168" t="str">
        <f>IF(BH168="","",IFERROR(IF(INDEX(CODIFICACION!$E$2:$E$500,MATCH("D3.14f|"&amp;BH168,CODIFICACION!$F$2:$F$500,0))="sin dato","",INDEX(CODIFICACION!$E$2:$E$500,MATCH("D3.14f|"&amp;BH168,CODIFICACION!$F$2:$F$500,0))),"⚠"))</f>
        <v/>
      </c>
      <c r="AD168" t="str">
        <f>IF(BI168="","",IFERROR(IF(INDEX(CODIFICACION!$E$2:$E$500,MATCH("D3.14g|"&amp;BI168,CODIFICACION!$F$2:$F$500,0))="sin dato","",INDEX(CODIFICACION!$E$2:$E$500,MATCH("D3.14g|"&amp;BI168,CODIFICACION!$F$2:$F$500,0))),"⚠"))</f>
        <v/>
      </c>
      <c r="AE168" t="str">
        <f>IF(BJ168="","",IFERROR(IF(INDEX(CODIFICACION!$E$2:$E$500,MATCH("D3.14h|"&amp;BJ168,CODIFICACION!$F$2:$F$500,0))="sin dato","",INDEX(CODIFICACION!$E$2:$E$500,MATCH("D3.14h|"&amp;BJ168,CODIFICACION!$F$2:$F$500,0))),"⚠"))</f>
        <v/>
      </c>
      <c r="AF168" t="str">
        <f>IF(BK168="","",IFERROR(IF(INDEX(CODIFICACION!$E$2:$E$500,MATCH("D3.14i|"&amp;BK168,CODIFICACION!$F$2:$F$500,0))="sin dato","",INDEX(CODIFICACION!$E$2:$E$500,MATCH("D3.14i|"&amp;BK168,CODIFICACION!$F$2:$F$500,0))),"⚠"))</f>
        <v/>
      </c>
      <c r="AG168" t="str">
        <f>IF(BL168="","",IFERROR(IF(INDEX(CODIFICACION!$E$2:$E$500,MATCH("D4.15|"&amp;BL168,CODIFICACION!$F$2:$F$500,0))="sin dato","",INDEX(CODIFICACION!$E$2:$E$500,MATCH("D4.15|"&amp;BL168,CODIFICACION!$F$2:$F$500,0))),"⚠"))</f>
        <v/>
      </c>
      <c r="AH168" t="str">
        <f t="shared" si="131"/>
        <v/>
      </c>
      <c r="AI168" t="str">
        <f>IF(BN168="","",IFERROR(IF(INDEX(CODIFICACION!$E$2:$E$500,MATCH("D4.17|"&amp;BN168,CODIFICACION!$F$2:$F$500,0))="sin dato","",INDEX(CODIFICACION!$E$2:$E$500,MATCH("D4.17|"&amp;BN168,CODIFICACION!$F$2:$F$500,0))),"⚠"))</f>
        <v/>
      </c>
      <c r="AJ168" t="str">
        <f>IF(BO168="","",IFERROR(IF(INDEX(CODIFICACION!$E$2:$E$500,MATCH("D4.15a|"&amp;BO168,CODIFICACION!$F$2:$F$500,0))="sin dato","",INDEX(CODIFICACION!$E$2:$E$500,MATCH("D4.15a|"&amp;BO168,CODIFICACION!$F$2:$F$500,0))),"⚠"))</f>
        <v/>
      </c>
      <c r="AK168" t="str">
        <f t="shared" si="132"/>
        <v/>
      </c>
      <c r="AL168" t="str">
        <f t="shared" si="133"/>
        <v/>
      </c>
      <c r="AM168" t="str">
        <f>IF(BR168="","",IFERROR(IF(INDEX(CODIFICACION!$E$2:$E$500,MATCH("D5.18b|"&amp;BR168,CODIFICACION!$F$2:$F$500,0))="sin dato","",INDEX(CODIFICACION!$E$2:$E$500,MATCH("D5.18b|"&amp;BR168,CODIFICACION!$F$2:$F$500,0))),"⚠"))</f>
        <v/>
      </c>
      <c r="AN168" t="str">
        <f>IF(BS168="","",IFERROR(IF(INDEX(CODIFICACION!$E$2:$E$500,MATCH("D5.19|"&amp;BS168,CODIFICACION!$F$2:$F$500,0))="sin dato","",INDEX(CODIFICACION!$E$2:$E$500,MATCH("D5.19|"&amp;BS168,CODIFICACION!$F$2:$F$500,0))),"⚠"))</f>
        <v/>
      </c>
      <c r="AO168" t="str">
        <f t="shared" si="134"/>
        <v/>
      </c>
      <c r="AP168" t="str">
        <f>IF(BU168="","",IFERROR(IF(INDEX(CODIFICACION!$E$2:$E$500,MATCH("D5.20|"&amp;BU168,CODIFICACION!$F$2:$F$500,0))="sin dato","",INDEX(CODIFICACION!$E$2:$E$500,MATCH("D5.20|"&amp;BU168,CODIFICACION!$F$2:$F$500,0))),"⚠"))</f>
        <v/>
      </c>
      <c r="AQ168" t="str">
        <f>IF(BV168="","",IFERROR(IF(INDEX(CODIFICACION!$E$2:$E$500,MATCH("D5.21|"&amp;BV168,CODIFICACION!$F$2:$F$500,0))="sin dato","",INDEX(CODIFICACION!$E$2:$E$500,MATCH("D5.21|"&amp;BV168,CODIFICACION!$F$2:$F$500,0))),"⚠"))</f>
        <v/>
      </c>
      <c r="AR168" t="str">
        <f>IF(BW168="","",IFERROR(IF(INDEX(CODIFICACION!$E$2:$E$500,MATCH("D5.21a|"&amp;BW168,CODIFICACION!$F$2:$F$500,0))="sin dato","",INDEX(CODIFICACION!$E$2:$E$500,MATCH("D5.21a|"&amp;BW168,CODIFICACION!$F$2:$F$500,0))),"⚠"))</f>
        <v/>
      </c>
      <c r="AS168" t="str">
        <f>IF(BX168="","",IFERROR(IF(INDEX(CODIFICACION!$E$2:$E$500,MATCH("D5.21b|"&amp;BX168,CODIFICACION!$F$2:$F$500,0))="sin dato","",INDEX(CODIFICACION!$E$2:$E$500,MATCH("D5.21b|"&amp;BX168,CODIFICACION!$F$2:$F$500,0))),"⚠"))</f>
        <v/>
      </c>
      <c r="AT168" t="str">
        <f>IF(BY168="","",IFERROR(IF(INDEX(CODIFICACION!$E$2:$E$500,MATCH("D6.22|"&amp;BY168,CODIFICACION!$F$2:$F$500,0))="sin dato","",INDEX(CODIFICACION!$E$2:$E$500,MATCH("D6.22|"&amp;BY168,CODIFICACION!$F$2:$F$500,0))),"⚠"))</f>
        <v/>
      </c>
      <c r="AU168" t="str">
        <f>IF(BZ168="","",IFERROR(IF(INDEX(CODIFICACION!$E$2:$E$500,MATCH("D6.22a|"&amp;BZ168,CODIFICACION!$F$2:$F$500,0))="sin dato","",INDEX(CODIFICACION!$E$2:$E$500,MATCH("D6.22a|"&amp;BZ168,CODIFICACION!$F$2:$F$500,0))),"⚠"))</f>
        <v/>
      </c>
      <c r="AV168" t="str">
        <f>IF(CA168="","",IFERROR(IF(INDEX(CODIFICACION!$E$2:$E$500,MATCH("D6.22b|"&amp;CA168,CODIFICACION!$F$2:$F$500,0))="sin dato","",INDEX(CODIFICACION!$E$2:$E$500,MATCH("D6.22b|"&amp;CA168,CODIFICACION!$F$2:$F$500,0))),"⚠"))</f>
        <v/>
      </c>
      <c r="AW168" t="str">
        <f>IF(CB168="","",IFERROR(IF(INDEX(CODIFICACION!$E$2:$E$500,MATCH("D6.23|"&amp;CB168,CODIFICACION!$F$2:$F$500,0))="sin dato","",INDEX(CODIFICACION!$E$2:$E$500,MATCH("D6.23|"&amp;CB168,CODIFICACION!$F$2:$F$500,0))),"⚠"))</f>
        <v/>
      </c>
      <c r="AX168" t="str">
        <f ca="1">IF(CC168="","",IFERROR(IF(INDEX(CODIFICACION!$E$2:$E$500,MATCH("D6.24|"&amp;CC168,CODIFICACION!$F$2:$F$500,0))="sin dato","",INDEX(CODIFICACION!$E$2:$E$500,MATCH("D6.24|"&amp;CC168,CODIFICACION!$F$2:$F$500,0))),"⚠"))</f>
        <v/>
      </c>
      <c r="AY168" t="str">
        <f ca="1">IF(CD168="","",IFERROR(IF(INDEX(CODIFICACION!$E$2:$E$500,MATCH("D6.25|"&amp;CD168,CODIFICACION!$F$2:$F$500,0))="sin dato","",INDEX(CODIFICACION!$E$2:$E$500,MATCH("D6.25|"&amp;CD168,CODIFICACION!$F$2:$F$500,0))),"⚠"))</f>
        <v/>
      </c>
      <c r="AZ168" t="str">
        <f>IF(CE168="","",IFERROR(IF(INDEX(CODIFICACION!$E$2:$E$500,MATCH("D6.25a|"&amp;CE168,CODIFICACION!$F$2:$F$500,0))="sin dato","",INDEX(CODIFICACION!$E$2:$E$500,MATCH("D6.25a|"&amp;CE168,CODIFICACION!$F$2:$F$500,0))),"⚠"))</f>
        <v/>
      </c>
      <c r="BA168" t="str">
        <f>IF(CF168="","",IFERROR(IF(INDEX(CODIFICACION!$E$2:$E$500,MATCH("D6.25b|"&amp;CF168,CODIFICACION!$F$2:$F$500,0))="sin dato","",INDEX(CODIFICACION!$E$2:$E$500,MATCH("D6.25b|"&amp;CF168,CODIFICACION!$F$2:$F$500,0))),"⚠"))</f>
        <v/>
      </c>
      <c r="BB168" t="str">
        <f ca="1">IF(CG168="","",IFERROR(IF(INDEX(CODIFICACION!$E$2:$E$500,MATCH("D6.22c|"&amp;CG168,CODIFICACION!$F$2:$F$500,0))="sin dato","",INDEX(CODIFICACION!$E$2:$E$500,MATCH("D6.22c|"&amp;CG168,CODIFICACION!$F$2:$F$500,0))),"⚠"))</f>
        <v/>
      </c>
      <c r="BC168" t="str">
        <f ca="1">IF(CH168="","",IFERROR(IF(INDEX(CODIFICACION!$E$2:$E$500,MATCH("D7.26|"&amp;CH168,CODIFICACION!$F$2:$F$500,0))="sin dato","",INDEX(CODIFICACION!$E$2:$E$500,MATCH("D7.26|"&amp;CH168,CODIFICACION!$F$2:$F$500,0))),"⚠"))</f>
        <v/>
      </c>
      <c r="BD168" t="str">
        <f>IF(CI168="","",IFERROR(IF(INDEX(CODIFICACION!$E$2:$E$500,MATCH("D7.27|"&amp;CI168,CODIFICACION!$F$2:$F$500,0))="sin dato","",INDEX(CODIFICACION!$E$2:$E$500,MATCH("D7.27|"&amp;CI168,CODIFICACION!$F$2:$F$500,0))),"⚠"))</f>
        <v/>
      </c>
      <c r="BE168" t="str">
        <f>IF(CJ168="","",IFERROR(IF(INDEX(CODIFICACION!$E$2:$E$500,MATCH("D7.28|"&amp;CJ168,CODIFICACION!$F$2:$F$500,0))="sin dato","",INDEX(CODIFICACION!$E$2:$E$500,MATCH("D7.28|"&amp;CJ168,CODIFICACION!$F$2:$F$500,0))),"⚠"))</f>
        <v/>
      </c>
      <c r="BF168" t="str">
        <f>IF(CK168="","",IFERROR(IF(INDEX(CODIFICACION!$E$2:$E$500,MATCH("D7.28b|"&amp;CK168,CODIFICACION!$F$2:$F$500,0))="sin dato","",INDEX(CODIFICACION!$E$2:$E$500,MATCH("D7.28b|"&amp;CK168,CODIFICACION!$F$2:$F$500,0))),"⚠"))</f>
        <v/>
      </c>
      <c r="BG168" t="str">
        <f t="shared" si="135"/>
        <v/>
      </c>
      <c r="BH168" t="str">
        <f>IF(CM168="","",IFERROR(IF(INDEX(CODIFICACION!$E$2:$E$500,MATCH("D7.26a|"&amp;CM168,CODIFICACION!$F$2:$F$500,0))="sin dato","",INDEX(CODIFICACION!$E$2:$E$500,MATCH("D7.26a|"&amp;CM168,CODIFICACION!$F$2:$F$500,0))),"⚠"))</f>
        <v/>
      </c>
      <c r="BI168" t="str">
        <f>IF(CN168="","",IFERROR(IF(INDEX(CODIFICACION!$E$2:$E$500,MATCH("D7.26b|"&amp;CN168,CODIFICACION!$F$2:$F$500,0))="sin dato","",INDEX(CODIFICACION!$E$2:$E$500,MATCH("D7.26b|"&amp;CN168,CODIFICACION!$F$2:$F$500,0))),"⚠"))</f>
        <v/>
      </c>
      <c r="BJ168" t="str">
        <f t="shared" si="136"/>
        <v/>
      </c>
      <c r="BK168" t="str">
        <f t="shared" si="137"/>
        <v/>
      </c>
      <c r="BL168" t="str">
        <f>IF(CQ168="","",IFERROR(IF(INDEX(CODIFICACION!$E$2:$E$500,MATCH("D8.31|"&amp;CQ168,CODIFICACION!$F$2:$F$500,0))="sin dato","",INDEX(CODIFICACION!$E$2:$E$500,MATCH("D8.31|"&amp;CQ168,CODIFICACION!$F$2:$F$500,0))),"⚠"))</f>
        <v/>
      </c>
      <c r="BM168" t="str">
        <f>IF(CR168="","",IFERROR(IF(INDEX(CODIFICACION!$E$2:$E$500,MATCH("D8.32|"&amp;CR168,CODIFICACION!$F$2:$F$500,0))="sin dato","",INDEX(CODIFICACION!$E$2:$E$500,MATCH("D8.32|"&amp;CR168,CODIFICACION!$F$2:$F$500,0))),"⚠"))</f>
        <v/>
      </c>
      <c r="BN168" t="str">
        <f>IF(CS168="","",IFERROR(IF(INDEX(CODIFICACION!$E$2:$E$500,MATCH("D9.33|"&amp;CS168,CODIFICACION!$F$2:$F$500,0))="sin dato","",INDEX(CODIFICACION!$E$2:$E$500,MATCH("D9.33|"&amp;CS168,CODIFICACION!$F$2:$F$500,0))),"⚠"))</f>
        <v/>
      </c>
      <c r="BO168" t="str">
        <f>IF(CT168="","",IFERROR(IF(INDEX(CODIFICACION!$E$2:$E$500,MATCH("D9.34|"&amp;CT168,CODIFICACION!$F$2:$F$500,0))="sin dato","",INDEX(CODIFICACION!$E$2:$E$500,MATCH("D9.34|"&amp;CT168,CODIFICACION!$F$2:$F$500,0))),"⚠"))</f>
        <v/>
      </c>
      <c r="BP168" t="str">
        <f>IF(CU168="","",IFERROR(IF(INDEX(CODIFICACION!$E$2:$E$500,MATCH("D9.35|"&amp;CU168,CODIFICACION!$F$2:$F$500,0))="sin dato","",INDEX(CODIFICACION!$E$2:$E$500,MATCH("D9.35|"&amp;CU168,CODIFICACION!$F$2:$F$500,0))),"⚠"))</f>
        <v/>
      </c>
      <c r="BQ168" t="str">
        <f>IF(CV168="","",IFERROR(IF(INDEX(CODIFICACION!$E$2:$E$500,MATCH("D10.36|"&amp;CV168,CODIFICACION!$F$2:$F$500,0))="sin dato","",INDEX(CODIFICACION!$E$2:$E$500,MATCH("D10.36|"&amp;CV168,CODIFICACION!$F$2:$F$500,0))),"⚠"))</f>
        <v/>
      </c>
      <c r="BR168" t="str">
        <f>IF(CW168="","",IFERROR(IF(INDEX(CODIFICACION!$E$2:$E$500,MATCH("D10.37|"&amp;CW168,CODIFICACION!$F$2:$F$500,0))="sin dato","",INDEX(CODIFICACION!$E$2:$E$500,MATCH("D10.37|"&amp;CW168,CODIFICACION!$F$2:$F$500,0))),"⚠"))</f>
        <v/>
      </c>
      <c r="BS168" t="str">
        <f>IF(CX168="","",IFERROR(IF(INDEX(CODIFICACION!$E$2:$E$500,MATCH("D10.36a|"&amp;CX168,CODIFICACION!$F$2:$F$500,0))="sin dato","",INDEX(CODIFICACION!$E$2:$E$500,MATCH("D10.36a|"&amp;CX168,CODIFICACION!$F$2:$F$500,0))),"⚠"))</f>
        <v/>
      </c>
      <c r="BT168" t="str">
        <f t="shared" si="138"/>
        <v/>
      </c>
      <c r="BU168" t="str">
        <f>IF(DA168="","",IFERROR(IF(INDEX(CODIFICACION!$E$2:$E$500,MATCH("D11.39a|"&amp;DA168,CODIFICACION!$F$2:$F$500,0))="sin dato","",INDEX(CODIFICACION!$E$2:$E$500,MATCH("D11.39a|"&amp;DA168,CODIFICACION!$F$2:$F$500,0))),"⚠"))</f>
        <v/>
      </c>
      <c r="BV168" t="str">
        <f>IF(DB168="","",IFERROR(IF(INDEX(CODIFICACION!$E$2:$E$500,MATCH("D12.42|"&amp;DB168,CODIFICACION!$F$2:$F$500,0))="sin dato","",INDEX(CODIFICACION!$E$2:$E$500,MATCH("D12.42|"&amp;DB168,CODIFICACION!$F$2:$F$500,0))),"⚠"))</f>
        <v/>
      </c>
      <c r="BW168" t="str">
        <f>IF(DC168="","",IFERROR(IF(INDEX(CODIFICACION!$E$2:$E$500,MATCH("D13.45|"&amp;DC168,CODIFICACION!$F$2:$F$500,0))="sin dato","",INDEX(CODIFICACION!$E$2:$E$500,MATCH("D13.45|"&amp;DC168,CODIFICACION!$F$2:$F$500,0))),"⚠"))</f>
        <v/>
      </c>
      <c r="BX168" t="str">
        <f>IF(DD168="","",IFERROR(IF(INDEX(CODIFICACION!$E$2:$E$500,MATCH("D14.51|"&amp;DD168,CODIFICACION!$F$2:$F$500,0))="sin dato","",INDEX(CODIFICACION!$E$2:$E$500,MATCH("D14.51|"&amp;DD168,CODIFICACION!$F$2:$F$500,0))),"⚠"))</f>
        <v/>
      </c>
      <c r="BY168" t="str">
        <f>IF(DE168="","",IFERROR(IF(INDEX(CODIFICACION!$E$2:$E$500,MATCH("D15.58|"&amp;DE168,CODIFICACION!$F$2:$F$500,0))="sin dato","",INDEX(CODIFICACION!$E$2:$E$500,MATCH("D15.58|"&amp;DE168,CODIFICACION!$F$2:$F$500,0))),"⚠"))</f>
        <v/>
      </c>
      <c r="BZ168" t="str">
        <f>IF(DF168="","",IFERROR(IF(INDEX(CODIFICACION!$E$2:$E$500,MATCH("PP1|"&amp;DF168,CODIFICACION!$F$2:$F$500,0))="sin dato","",INDEX(CODIFICACION!$E$2:$E$500,MATCH("PP1|"&amp;DF168,CODIFICACION!$F$2:$F$500,0))),"⚠"))</f>
        <v/>
      </c>
      <c r="CA168" t="str">
        <f>IF(DG168="","",IFERROR(IF(INDEX(CODIFICACION!$E$2:$E$500,MATCH("PP2|"&amp;DG168,CODIFICACION!$F$2:$F$500,0))="sin dato","",INDEX(CODIFICACION!$E$2:$E$500,MATCH("PP2|"&amp;DG168,CODIFICACION!$F$2:$F$500,0))),"⚠"))</f>
        <v/>
      </c>
      <c r="CB168" t="str">
        <f t="shared" si="139"/>
        <v/>
      </c>
      <c r="CC168" t="str">
        <f t="shared" ca="1" si="140"/>
        <v/>
      </c>
      <c r="CD168" t="str">
        <f t="shared" ca="1" si="141"/>
        <v/>
      </c>
      <c r="CE168" t="str">
        <f t="shared" si="142"/>
        <v/>
      </c>
      <c r="CF168" t="str">
        <f t="shared" si="143"/>
        <v/>
      </c>
      <c r="CG168" t="str">
        <f t="shared" ca="1" si="144"/>
        <v/>
      </c>
      <c r="CH168" t="str">
        <f t="shared" ca="1" si="145"/>
        <v/>
      </c>
      <c r="CI168" t="str">
        <f t="shared" si="146"/>
        <v/>
      </c>
      <c r="CJ168" t="str">
        <f t="shared" si="147"/>
        <v/>
      </c>
      <c r="CK168" t="str">
        <f t="shared" si="148"/>
        <v/>
      </c>
      <c r="CL168" t="str">
        <f t="shared" si="149"/>
        <v/>
      </c>
    </row>
    <row r="169" spans="1:90" x14ac:dyDescent="0.3">
      <c r="A169">
        <f>CAPTURA!A169</f>
        <v>20609025353</v>
      </c>
      <c r="B169">
        <f>CAPTURA!C169</f>
        <v>0</v>
      </c>
      <c r="C169" t="str">
        <f t="shared" si="125"/>
        <v/>
      </c>
      <c r="D169" t="str">
        <f>IF(AE169="","",IFERROR(IF(INDEX(CODIFICACION!$E$2:$E$500,MATCH("P8|"&amp;AE169,CODIFICACION!$F$2:$F$500,0))="sin dato","",INDEX(CODIFICACION!$E$2:$E$500,MATCH("P8|"&amp;AE169,CODIFICACION!$F$2:$F$500,0))),"⚠"))</f>
        <v/>
      </c>
      <c r="E169" t="str">
        <f>IF(AG169="","",IFERROR(IF(INDEX(CODIFICACION!$E$2:$E$500,MATCH("P10|"&amp;AG169,CODIFICACION!$F$2:$F$500,0))="sin dato","",INDEX(CODIFICACION!$E$2:$E$500,MATCH("P10|"&amp;AG169,CODIFICACION!$F$2:$F$500,0))),"⚠"))</f>
        <v/>
      </c>
      <c r="F169" t="str">
        <f>IF(AJ169="","",IFERROR(IF(INDEX(CODIFICACION!$E$2:$E$500,MATCH("P13|"&amp;AJ169,CODIFICACION!$F$2:$F$500,0))="sin dato","",INDEX(CODIFICACION!$E$2:$E$500,MATCH("P13|"&amp;AJ169,CODIFICACION!$F$2:$F$500,0))),"⚠"))</f>
        <v/>
      </c>
      <c r="G169" t="str">
        <f>IF(AK169="","",IFERROR(IF(INDEX(CODIFICACION!$E$2:$E$500,MATCH("P14|"&amp;AK169,CODIFICACION!$F$2:$F$500,0))="sin dato","",INDEX(CODIFICACION!$E$2:$E$500,MATCH("P14|"&amp;AK169,CODIFICACION!$F$2:$F$500,0))),"⚠"))</f>
        <v/>
      </c>
      <c r="H169" t="str">
        <f>IF(AL169="","",IFERROR(IF(INDEX(CODIFICACION!$E$2:$E$500,MATCH("D1.1|"&amp;AL169,CODIFICACION!$F$2:$F$500,0))="sin dato","",INDEX(CODIFICACION!$E$2:$E$500,MATCH("D1.1|"&amp;AL169,CODIFICACION!$F$2:$F$500,0))),"⚠"))</f>
        <v/>
      </c>
      <c r="I169" t="str">
        <f>IF(AN169="","",IFERROR(IF(INDEX(CODIFICACION!$E$2:$E$500,MATCH("D1.3|"&amp;AN169,CODIFICACION!$F$2:$F$500,0))="sin dato","",INDEX(CODIFICACION!$E$2:$E$500,MATCH("D1.3|"&amp;AN169,CODIFICACION!$F$2:$F$500,0))),"⚠"))</f>
        <v/>
      </c>
      <c r="J169" t="str">
        <f>IF(AO169="","",IFERROR(IF(INDEX(CODIFICACION!$E$2:$E$500,MATCH("D1.4|"&amp;AO169,CODIFICACION!$F$2:$F$500,0))="sin dato","",INDEX(CODIFICACION!$E$2:$E$500,MATCH("D1.4|"&amp;AO169,CODIFICACION!$F$2:$F$500,0))),"⚠"))</f>
        <v/>
      </c>
      <c r="K169" t="str">
        <f>IF(AP169="","",IFERROR(IF(INDEX(CODIFICACION!$E$2:$E$500,MATCH("D1.3a|"&amp;AP169,CODIFICACION!$F$2:$F$500,0))="sin dato","",INDEX(CODIFICACION!$E$2:$E$500,MATCH("D1.3a|"&amp;AP169,CODIFICACION!$F$2:$F$500,0))),"⚠"))</f>
        <v/>
      </c>
      <c r="L169" t="str">
        <f t="shared" si="126"/>
        <v/>
      </c>
      <c r="M169" t="str">
        <f t="shared" si="127"/>
        <v/>
      </c>
      <c r="N169" t="str">
        <f t="shared" si="128"/>
        <v/>
      </c>
      <c r="O169" t="str">
        <f>IF(AT169="","",IFERROR(IF(INDEX(CODIFICACION!$E$2:$E$500,MATCH("D2.8|"&amp;AT169,CODIFICACION!$F$2:$F$500,0))="sin dato","",INDEX(CODIFICACION!$E$2:$E$500,MATCH("D2.8|"&amp;AT169,CODIFICACION!$F$2:$F$500,0))),"⚠"))</f>
        <v/>
      </c>
      <c r="P169" t="str">
        <f>IF(AU169="","",IFERROR(IF(INDEX(CODIFICACION!$E$2:$E$500,MATCH("D2.9|"&amp;AU169,CODIFICACION!$F$2:$F$500,0))="sin dato","",INDEX(CODIFICACION!$E$2:$E$500,MATCH("D2.9|"&amp;AU169,CODIFICACION!$F$2:$F$500,0))),"⚠"))</f>
        <v/>
      </c>
      <c r="Q169" t="str">
        <f>IF(AV169="","",IFERROR(IF(INDEX(CODIFICACION!$E$2:$E$500,MATCH("D2.10|"&amp;AV169,CODIFICACION!$F$2:$F$500,0))="sin dato","",INDEX(CODIFICACION!$E$2:$E$500,MATCH("D2.10|"&amp;AV169,CODIFICACION!$F$2:$F$500,0))),"⚠"))</f>
        <v/>
      </c>
      <c r="R169" t="str">
        <f>IF(AW169="","",IFERROR(IF(INDEX(CODIFICACION!$E$2:$E$500,MATCH("D2.5a|"&amp;AW169,CODIFICACION!$F$2:$F$500,0))="sin dato","",INDEX(CODIFICACION!$E$2:$E$500,MATCH("D2.5a|"&amp;AW169,CODIFICACION!$F$2:$F$500,0))),"⚠"))</f>
        <v/>
      </c>
      <c r="S169" t="str">
        <f ca="1">IF(AX169="","",IFERROR(IF(INDEX(CODIFICACION!$E$2:$E$500,MATCH("D2.5b|"&amp;AX169,CODIFICACION!$F$2:$F$500,0))="sin dato","",INDEX(CODIFICACION!$E$2:$E$500,MATCH("D2.5b|"&amp;AX169,CODIFICACION!$F$2:$F$500,0))),"⚠"))</f>
        <v/>
      </c>
      <c r="T169" t="str">
        <f t="shared" ca="1" si="129"/>
        <v/>
      </c>
      <c r="U169" t="str">
        <f>IF(AZ169="","",IFERROR(IF(INDEX(CODIFICACION!$E$2:$E$500,MATCH("D3.12|"&amp;AZ169,CODIFICACION!$F$2:$F$500,0))="sin dato","",INDEX(CODIFICACION!$E$2:$E$500,MATCH("D3.12|"&amp;AZ169,CODIFICACION!$F$2:$F$500,0))),"⚠"))</f>
        <v/>
      </c>
      <c r="V169" t="str">
        <f t="shared" si="130"/>
        <v/>
      </c>
      <c r="W169" t="str">
        <f ca="1">IF(BB169="","",IFERROR(IF(INDEX(CODIFICACION!$E$2:$E$500,MATCH("D3.14|"&amp;BB169,CODIFICACION!$F$2:$F$500,0))="sin dato","",INDEX(CODIFICACION!$E$2:$E$500,MATCH("D3.14|"&amp;BB169,CODIFICACION!$F$2:$F$500,0))),"⚠"))</f>
        <v/>
      </c>
      <c r="X169" t="str">
        <f ca="1">IF(BC169="","",IFERROR(IF(INDEX(CODIFICACION!$E$2:$E$500,MATCH("D3.14a|"&amp;BC169,CODIFICACION!$F$2:$F$500,0))="sin dato","",INDEX(CODIFICACION!$E$2:$E$500,MATCH("D3.14a|"&amp;BC169,CODIFICACION!$F$2:$F$500,0))),"⚠"))</f>
        <v/>
      </c>
      <c r="Y169" t="str">
        <f>IF(BD169="","",IFERROR(IF(INDEX(CODIFICACION!$E$2:$E$500,MATCH("D3.14b|"&amp;BD169,CODIFICACION!$F$2:$F$500,0))="sin dato","",INDEX(CODIFICACION!$E$2:$E$500,MATCH("D3.14b|"&amp;BD169,CODIFICACION!$F$2:$F$500,0))),"⚠"))</f>
        <v/>
      </c>
      <c r="Z169" t="str">
        <f>IF(BE169="","",IFERROR(IF(INDEX(CODIFICACION!$E$2:$E$500,MATCH("D3.14c|"&amp;BE169,CODIFICACION!$F$2:$F$500,0))="sin dato","",INDEX(CODIFICACION!$E$2:$E$500,MATCH("D3.14c|"&amp;BE169,CODIFICACION!$F$2:$F$500,0))),"⚠"))</f>
        <v/>
      </c>
      <c r="AA169" t="str">
        <f>IF(BF169="","",IFERROR(IF(INDEX(CODIFICACION!$E$2:$E$500,MATCH("D3.14d|"&amp;BF169,CODIFICACION!$F$2:$F$500,0))="sin dato","",INDEX(CODIFICACION!$E$2:$E$500,MATCH("D3.14d|"&amp;BF169,CODIFICACION!$F$2:$F$500,0))),"⚠"))</f>
        <v/>
      </c>
      <c r="AB169" t="str">
        <f>IF(BG169="","",IFERROR(IF(INDEX(CODIFICACION!$E$2:$E$500,MATCH("D3.14e|"&amp;BG169,CODIFICACION!$F$2:$F$500,0))="sin dato","",INDEX(CODIFICACION!$E$2:$E$500,MATCH("D3.14e|"&amp;BG169,CODIFICACION!$F$2:$F$500,0))),"⚠"))</f>
        <v/>
      </c>
      <c r="AC169" t="str">
        <f>IF(BH169="","",IFERROR(IF(INDEX(CODIFICACION!$E$2:$E$500,MATCH("D3.14f|"&amp;BH169,CODIFICACION!$F$2:$F$500,0))="sin dato","",INDEX(CODIFICACION!$E$2:$E$500,MATCH("D3.14f|"&amp;BH169,CODIFICACION!$F$2:$F$500,0))),"⚠"))</f>
        <v/>
      </c>
      <c r="AD169" t="str">
        <f>IF(BI169="","",IFERROR(IF(INDEX(CODIFICACION!$E$2:$E$500,MATCH("D3.14g|"&amp;BI169,CODIFICACION!$F$2:$F$500,0))="sin dato","",INDEX(CODIFICACION!$E$2:$E$500,MATCH("D3.14g|"&amp;BI169,CODIFICACION!$F$2:$F$500,0))),"⚠"))</f>
        <v/>
      </c>
      <c r="AE169" t="str">
        <f>IF(BJ169="","",IFERROR(IF(INDEX(CODIFICACION!$E$2:$E$500,MATCH("D3.14h|"&amp;BJ169,CODIFICACION!$F$2:$F$500,0))="sin dato","",INDEX(CODIFICACION!$E$2:$E$500,MATCH("D3.14h|"&amp;BJ169,CODIFICACION!$F$2:$F$500,0))),"⚠"))</f>
        <v/>
      </c>
      <c r="AF169" t="str">
        <f>IF(BK169="","",IFERROR(IF(INDEX(CODIFICACION!$E$2:$E$500,MATCH("D3.14i|"&amp;BK169,CODIFICACION!$F$2:$F$500,0))="sin dato","",INDEX(CODIFICACION!$E$2:$E$500,MATCH("D3.14i|"&amp;BK169,CODIFICACION!$F$2:$F$500,0))),"⚠"))</f>
        <v/>
      </c>
      <c r="AG169" t="str">
        <f>IF(BL169="","",IFERROR(IF(INDEX(CODIFICACION!$E$2:$E$500,MATCH("D4.15|"&amp;BL169,CODIFICACION!$F$2:$F$500,0))="sin dato","",INDEX(CODIFICACION!$E$2:$E$500,MATCH("D4.15|"&amp;BL169,CODIFICACION!$F$2:$F$500,0))),"⚠"))</f>
        <v/>
      </c>
      <c r="AH169" t="str">
        <f t="shared" si="131"/>
        <v/>
      </c>
      <c r="AI169" t="str">
        <f>IF(BN169="","",IFERROR(IF(INDEX(CODIFICACION!$E$2:$E$500,MATCH("D4.17|"&amp;BN169,CODIFICACION!$F$2:$F$500,0))="sin dato","",INDEX(CODIFICACION!$E$2:$E$500,MATCH("D4.17|"&amp;BN169,CODIFICACION!$F$2:$F$500,0))),"⚠"))</f>
        <v/>
      </c>
      <c r="AJ169" t="str">
        <f>IF(BO169="","",IFERROR(IF(INDEX(CODIFICACION!$E$2:$E$500,MATCH("D4.15a|"&amp;BO169,CODIFICACION!$F$2:$F$500,0))="sin dato","",INDEX(CODIFICACION!$E$2:$E$500,MATCH("D4.15a|"&amp;BO169,CODIFICACION!$F$2:$F$500,0))),"⚠"))</f>
        <v/>
      </c>
      <c r="AK169" t="str">
        <f t="shared" si="132"/>
        <v/>
      </c>
      <c r="AL169" t="str">
        <f t="shared" si="133"/>
        <v/>
      </c>
      <c r="AM169" t="str">
        <f>IF(BR169="","",IFERROR(IF(INDEX(CODIFICACION!$E$2:$E$500,MATCH("D5.18b|"&amp;BR169,CODIFICACION!$F$2:$F$500,0))="sin dato","",INDEX(CODIFICACION!$E$2:$E$500,MATCH("D5.18b|"&amp;BR169,CODIFICACION!$F$2:$F$500,0))),"⚠"))</f>
        <v/>
      </c>
      <c r="AN169" t="str">
        <f>IF(BS169="","",IFERROR(IF(INDEX(CODIFICACION!$E$2:$E$500,MATCH("D5.19|"&amp;BS169,CODIFICACION!$F$2:$F$500,0))="sin dato","",INDEX(CODIFICACION!$E$2:$E$500,MATCH("D5.19|"&amp;BS169,CODIFICACION!$F$2:$F$500,0))),"⚠"))</f>
        <v/>
      </c>
      <c r="AO169" t="str">
        <f t="shared" si="134"/>
        <v/>
      </c>
      <c r="AP169" t="str">
        <f>IF(BU169="","",IFERROR(IF(INDEX(CODIFICACION!$E$2:$E$500,MATCH("D5.20|"&amp;BU169,CODIFICACION!$F$2:$F$500,0))="sin dato","",INDEX(CODIFICACION!$E$2:$E$500,MATCH("D5.20|"&amp;BU169,CODIFICACION!$F$2:$F$500,0))),"⚠"))</f>
        <v/>
      </c>
      <c r="AQ169" t="str">
        <f>IF(BV169="","",IFERROR(IF(INDEX(CODIFICACION!$E$2:$E$500,MATCH("D5.21|"&amp;BV169,CODIFICACION!$F$2:$F$500,0))="sin dato","",INDEX(CODIFICACION!$E$2:$E$500,MATCH("D5.21|"&amp;BV169,CODIFICACION!$F$2:$F$500,0))),"⚠"))</f>
        <v/>
      </c>
      <c r="AR169" t="str">
        <f>IF(BW169="","",IFERROR(IF(INDEX(CODIFICACION!$E$2:$E$500,MATCH("D5.21a|"&amp;BW169,CODIFICACION!$F$2:$F$500,0))="sin dato","",INDEX(CODIFICACION!$E$2:$E$500,MATCH("D5.21a|"&amp;BW169,CODIFICACION!$F$2:$F$500,0))),"⚠"))</f>
        <v/>
      </c>
      <c r="AS169" t="str">
        <f>IF(BX169="","",IFERROR(IF(INDEX(CODIFICACION!$E$2:$E$500,MATCH("D5.21b|"&amp;BX169,CODIFICACION!$F$2:$F$500,0))="sin dato","",INDEX(CODIFICACION!$E$2:$E$500,MATCH("D5.21b|"&amp;BX169,CODIFICACION!$F$2:$F$500,0))),"⚠"))</f>
        <v/>
      </c>
      <c r="AT169" t="str">
        <f>IF(BY169="","",IFERROR(IF(INDEX(CODIFICACION!$E$2:$E$500,MATCH("D6.22|"&amp;BY169,CODIFICACION!$F$2:$F$500,0))="sin dato","",INDEX(CODIFICACION!$E$2:$E$500,MATCH("D6.22|"&amp;BY169,CODIFICACION!$F$2:$F$500,0))),"⚠"))</f>
        <v/>
      </c>
      <c r="AU169" t="str">
        <f>IF(BZ169="","",IFERROR(IF(INDEX(CODIFICACION!$E$2:$E$500,MATCH("D6.22a|"&amp;BZ169,CODIFICACION!$F$2:$F$500,0))="sin dato","",INDEX(CODIFICACION!$E$2:$E$500,MATCH("D6.22a|"&amp;BZ169,CODIFICACION!$F$2:$F$500,0))),"⚠"))</f>
        <v/>
      </c>
      <c r="AV169" t="str">
        <f>IF(CA169="","",IFERROR(IF(INDEX(CODIFICACION!$E$2:$E$500,MATCH("D6.22b|"&amp;CA169,CODIFICACION!$F$2:$F$500,0))="sin dato","",INDEX(CODIFICACION!$E$2:$E$500,MATCH("D6.22b|"&amp;CA169,CODIFICACION!$F$2:$F$500,0))),"⚠"))</f>
        <v/>
      </c>
      <c r="AW169" t="str">
        <f>IF(CB169="","",IFERROR(IF(INDEX(CODIFICACION!$E$2:$E$500,MATCH("D6.23|"&amp;CB169,CODIFICACION!$F$2:$F$500,0))="sin dato","",INDEX(CODIFICACION!$E$2:$E$500,MATCH("D6.23|"&amp;CB169,CODIFICACION!$F$2:$F$500,0))),"⚠"))</f>
        <v/>
      </c>
      <c r="AX169" t="str">
        <f ca="1">IF(CC169="","",IFERROR(IF(INDEX(CODIFICACION!$E$2:$E$500,MATCH("D6.24|"&amp;CC169,CODIFICACION!$F$2:$F$500,0))="sin dato","",INDEX(CODIFICACION!$E$2:$E$500,MATCH("D6.24|"&amp;CC169,CODIFICACION!$F$2:$F$500,0))),"⚠"))</f>
        <v/>
      </c>
      <c r="AY169" t="str">
        <f ca="1">IF(CD169="","",IFERROR(IF(INDEX(CODIFICACION!$E$2:$E$500,MATCH("D6.25|"&amp;CD169,CODIFICACION!$F$2:$F$500,0))="sin dato","",INDEX(CODIFICACION!$E$2:$E$500,MATCH("D6.25|"&amp;CD169,CODIFICACION!$F$2:$F$500,0))),"⚠"))</f>
        <v/>
      </c>
      <c r="AZ169" t="str">
        <f>IF(CE169="","",IFERROR(IF(INDEX(CODIFICACION!$E$2:$E$500,MATCH("D6.25a|"&amp;CE169,CODIFICACION!$F$2:$F$500,0))="sin dato","",INDEX(CODIFICACION!$E$2:$E$500,MATCH("D6.25a|"&amp;CE169,CODIFICACION!$F$2:$F$500,0))),"⚠"))</f>
        <v/>
      </c>
      <c r="BA169" t="str">
        <f>IF(CF169="","",IFERROR(IF(INDEX(CODIFICACION!$E$2:$E$500,MATCH("D6.25b|"&amp;CF169,CODIFICACION!$F$2:$F$500,0))="sin dato","",INDEX(CODIFICACION!$E$2:$E$500,MATCH("D6.25b|"&amp;CF169,CODIFICACION!$F$2:$F$500,0))),"⚠"))</f>
        <v/>
      </c>
      <c r="BB169" t="str">
        <f ca="1">IF(CG169="","",IFERROR(IF(INDEX(CODIFICACION!$E$2:$E$500,MATCH("D6.22c|"&amp;CG169,CODIFICACION!$F$2:$F$500,0))="sin dato","",INDEX(CODIFICACION!$E$2:$E$500,MATCH("D6.22c|"&amp;CG169,CODIFICACION!$F$2:$F$500,0))),"⚠"))</f>
        <v/>
      </c>
      <c r="BC169" t="str">
        <f ca="1">IF(CH169="","",IFERROR(IF(INDEX(CODIFICACION!$E$2:$E$500,MATCH("D7.26|"&amp;CH169,CODIFICACION!$F$2:$F$500,0))="sin dato","",INDEX(CODIFICACION!$E$2:$E$500,MATCH("D7.26|"&amp;CH169,CODIFICACION!$F$2:$F$500,0))),"⚠"))</f>
        <v/>
      </c>
      <c r="BD169" t="str">
        <f>IF(CI169="","",IFERROR(IF(INDEX(CODIFICACION!$E$2:$E$500,MATCH("D7.27|"&amp;CI169,CODIFICACION!$F$2:$F$500,0))="sin dato","",INDEX(CODIFICACION!$E$2:$E$500,MATCH("D7.27|"&amp;CI169,CODIFICACION!$F$2:$F$500,0))),"⚠"))</f>
        <v/>
      </c>
      <c r="BE169" t="str">
        <f>IF(CJ169="","",IFERROR(IF(INDEX(CODIFICACION!$E$2:$E$500,MATCH("D7.28|"&amp;CJ169,CODIFICACION!$F$2:$F$500,0))="sin dato","",INDEX(CODIFICACION!$E$2:$E$500,MATCH("D7.28|"&amp;CJ169,CODIFICACION!$F$2:$F$500,0))),"⚠"))</f>
        <v/>
      </c>
      <c r="BF169" t="str">
        <f>IF(CK169="","",IFERROR(IF(INDEX(CODIFICACION!$E$2:$E$500,MATCH("D7.28b|"&amp;CK169,CODIFICACION!$F$2:$F$500,0))="sin dato","",INDEX(CODIFICACION!$E$2:$E$500,MATCH("D7.28b|"&amp;CK169,CODIFICACION!$F$2:$F$500,0))),"⚠"))</f>
        <v/>
      </c>
      <c r="BG169" t="str">
        <f t="shared" si="135"/>
        <v/>
      </c>
      <c r="BH169" t="str">
        <f>IF(CM169="","",IFERROR(IF(INDEX(CODIFICACION!$E$2:$E$500,MATCH("D7.26a|"&amp;CM169,CODIFICACION!$F$2:$F$500,0))="sin dato","",INDEX(CODIFICACION!$E$2:$E$500,MATCH("D7.26a|"&amp;CM169,CODIFICACION!$F$2:$F$500,0))),"⚠"))</f>
        <v/>
      </c>
      <c r="BI169" t="str">
        <f>IF(CN169="","",IFERROR(IF(INDEX(CODIFICACION!$E$2:$E$500,MATCH("D7.26b|"&amp;CN169,CODIFICACION!$F$2:$F$500,0))="sin dato","",INDEX(CODIFICACION!$E$2:$E$500,MATCH("D7.26b|"&amp;CN169,CODIFICACION!$F$2:$F$500,0))),"⚠"))</f>
        <v/>
      </c>
      <c r="BJ169" t="str">
        <f t="shared" si="136"/>
        <v/>
      </c>
      <c r="BK169" t="str">
        <f t="shared" si="137"/>
        <v/>
      </c>
      <c r="BL169" t="str">
        <f>IF(CQ169="","",IFERROR(IF(INDEX(CODIFICACION!$E$2:$E$500,MATCH("D8.31|"&amp;CQ169,CODIFICACION!$F$2:$F$500,0))="sin dato","",INDEX(CODIFICACION!$E$2:$E$500,MATCH("D8.31|"&amp;CQ169,CODIFICACION!$F$2:$F$500,0))),"⚠"))</f>
        <v/>
      </c>
      <c r="BM169" t="str">
        <f>IF(CR169="","",IFERROR(IF(INDEX(CODIFICACION!$E$2:$E$500,MATCH("D8.32|"&amp;CR169,CODIFICACION!$F$2:$F$500,0))="sin dato","",INDEX(CODIFICACION!$E$2:$E$500,MATCH("D8.32|"&amp;CR169,CODIFICACION!$F$2:$F$500,0))),"⚠"))</f>
        <v/>
      </c>
      <c r="BN169" t="str">
        <f>IF(CS169="","",IFERROR(IF(INDEX(CODIFICACION!$E$2:$E$500,MATCH("D9.33|"&amp;CS169,CODIFICACION!$F$2:$F$500,0))="sin dato","",INDEX(CODIFICACION!$E$2:$E$500,MATCH("D9.33|"&amp;CS169,CODIFICACION!$F$2:$F$500,0))),"⚠"))</f>
        <v/>
      </c>
      <c r="BO169" t="str">
        <f>IF(CT169="","",IFERROR(IF(INDEX(CODIFICACION!$E$2:$E$500,MATCH("D9.34|"&amp;CT169,CODIFICACION!$F$2:$F$500,0))="sin dato","",INDEX(CODIFICACION!$E$2:$E$500,MATCH("D9.34|"&amp;CT169,CODIFICACION!$F$2:$F$500,0))),"⚠"))</f>
        <v/>
      </c>
      <c r="BP169" t="str">
        <f>IF(CU169="","",IFERROR(IF(INDEX(CODIFICACION!$E$2:$E$500,MATCH("D9.35|"&amp;CU169,CODIFICACION!$F$2:$F$500,0))="sin dato","",INDEX(CODIFICACION!$E$2:$E$500,MATCH("D9.35|"&amp;CU169,CODIFICACION!$F$2:$F$500,0))),"⚠"))</f>
        <v/>
      </c>
      <c r="BQ169" t="str">
        <f>IF(CV169="","",IFERROR(IF(INDEX(CODIFICACION!$E$2:$E$500,MATCH("D10.36|"&amp;CV169,CODIFICACION!$F$2:$F$500,0))="sin dato","",INDEX(CODIFICACION!$E$2:$E$500,MATCH("D10.36|"&amp;CV169,CODIFICACION!$F$2:$F$500,0))),"⚠"))</f>
        <v/>
      </c>
      <c r="BR169" t="str">
        <f>IF(CW169="","",IFERROR(IF(INDEX(CODIFICACION!$E$2:$E$500,MATCH("D10.37|"&amp;CW169,CODIFICACION!$F$2:$F$500,0))="sin dato","",INDEX(CODIFICACION!$E$2:$E$500,MATCH("D10.37|"&amp;CW169,CODIFICACION!$F$2:$F$500,0))),"⚠"))</f>
        <v/>
      </c>
      <c r="BS169" t="str">
        <f>IF(CX169="","",IFERROR(IF(INDEX(CODIFICACION!$E$2:$E$500,MATCH("D10.36a|"&amp;CX169,CODIFICACION!$F$2:$F$500,0))="sin dato","",INDEX(CODIFICACION!$E$2:$E$500,MATCH("D10.36a|"&amp;CX169,CODIFICACION!$F$2:$F$500,0))),"⚠"))</f>
        <v/>
      </c>
      <c r="BT169" t="str">
        <f t="shared" si="138"/>
        <v/>
      </c>
      <c r="BU169" t="str">
        <f>IF(DA169="","",IFERROR(IF(INDEX(CODIFICACION!$E$2:$E$500,MATCH("D11.39a|"&amp;DA169,CODIFICACION!$F$2:$F$500,0))="sin dato","",INDEX(CODIFICACION!$E$2:$E$500,MATCH("D11.39a|"&amp;DA169,CODIFICACION!$F$2:$F$500,0))),"⚠"))</f>
        <v/>
      </c>
      <c r="BV169" t="str">
        <f>IF(DB169="","",IFERROR(IF(INDEX(CODIFICACION!$E$2:$E$500,MATCH("D12.42|"&amp;DB169,CODIFICACION!$F$2:$F$500,0))="sin dato","",INDEX(CODIFICACION!$E$2:$E$500,MATCH("D12.42|"&amp;DB169,CODIFICACION!$F$2:$F$500,0))),"⚠"))</f>
        <v/>
      </c>
      <c r="BW169" t="str">
        <f>IF(DC169="","",IFERROR(IF(INDEX(CODIFICACION!$E$2:$E$500,MATCH("D13.45|"&amp;DC169,CODIFICACION!$F$2:$F$500,0))="sin dato","",INDEX(CODIFICACION!$E$2:$E$500,MATCH("D13.45|"&amp;DC169,CODIFICACION!$F$2:$F$500,0))),"⚠"))</f>
        <v/>
      </c>
      <c r="BX169" t="str">
        <f>IF(DD169="","",IFERROR(IF(INDEX(CODIFICACION!$E$2:$E$500,MATCH("D14.51|"&amp;DD169,CODIFICACION!$F$2:$F$500,0))="sin dato","",INDEX(CODIFICACION!$E$2:$E$500,MATCH("D14.51|"&amp;DD169,CODIFICACION!$F$2:$F$500,0))),"⚠"))</f>
        <v/>
      </c>
      <c r="BY169" t="str">
        <f>IF(DE169="","",IFERROR(IF(INDEX(CODIFICACION!$E$2:$E$500,MATCH("D15.58|"&amp;DE169,CODIFICACION!$F$2:$F$500,0))="sin dato","",INDEX(CODIFICACION!$E$2:$E$500,MATCH("D15.58|"&amp;DE169,CODIFICACION!$F$2:$F$500,0))),"⚠"))</f>
        <v/>
      </c>
      <c r="BZ169" t="str">
        <f>IF(DF169="","",IFERROR(IF(INDEX(CODIFICACION!$E$2:$E$500,MATCH("PP1|"&amp;DF169,CODIFICACION!$F$2:$F$500,0))="sin dato","",INDEX(CODIFICACION!$E$2:$E$500,MATCH("PP1|"&amp;DF169,CODIFICACION!$F$2:$F$500,0))),"⚠"))</f>
        <v/>
      </c>
      <c r="CA169" t="str">
        <f>IF(DG169="","",IFERROR(IF(INDEX(CODIFICACION!$E$2:$E$500,MATCH("PP2|"&amp;DG169,CODIFICACION!$F$2:$F$500,0))="sin dato","",INDEX(CODIFICACION!$E$2:$E$500,MATCH("PP2|"&amp;DG169,CODIFICACION!$F$2:$F$500,0))),"⚠"))</f>
        <v/>
      </c>
      <c r="CB169" t="str">
        <f t="shared" si="139"/>
        <v/>
      </c>
      <c r="CC169" t="str">
        <f t="shared" ca="1" si="140"/>
        <v/>
      </c>
      <c r="CD169" t="str">
        <f t="shared" ca="1" si="141"/>
        <v/>
      </c>
      <c r="CE169" t="str">
        <f t="shared" si="142"/>
        <v/>
      </c>
      <c r="CF169" t="str">
        <f t="shared" si="143"/>
        <v/>
      </c>
      <c r="CG169" t="str">
        <f t="shared" ca="1" si="144"/>
        <v/>
      </c>
      <c r="CH169" t="str">
        <f t="shared" ca="1" si="145"/>
        <v/>
      </c>
      <c r="CI169" t="str">
        <f t="shared" si="146"/>
        <v/>
      </c>
      <c r="CJ169" t="str">
        <f t="shared" si="147"/>
        <v/>
      </c>
      <c r="CK169" t="str">
        <f t="shared" si="148"/>
        <v/>
      </c>
      <c r="CL169" t="str">
        <f t="shared" si="149"/>
        <v/>
      </c>
    </row>
    <row r="170" spans="1:90" x14ac:dyDescent="0.3">
      <c r="A170">
        <f>CAPTURA!A170</f>
        <v>20609555395</v>
      </c>
      <c r="B170">
        <f>CAPTURA!C170</f>
        <v>0</v>
      </c>
      <c r="C170" t="str">
        <f t="shared" si="125"/>
        <v/>
      </c>
      <c r="D170" t="str">
        <f>IF(AE170="","",IFERROR(IF(INDEX(CODIFICACION!$E$2:$E$500,MATCH("P8|"&amp;AE170,CODIFICACION!$F$2:$F$500,0))="sin dato","",INDEX(CODIFICACION!$E$2:$E$500,MATCH("P8|"&amp;AE170,CODIFICACION!$F$2:$F$500,0))),"⚠"))</f>
        <v/>
      </c>
      <c r="E170" t="str">
        <f>IF(AG170="","",IFERROR(IF(INDEX(CODIFICACION!$E$2:$E$500,MATCH("P10|"&amp;AG170,CODIFICACION!$F$2:$F$500,0))="sin dato","",INDEX(CODIFICACION!$E$2:$E$500,MATCH("P10|"&amp;AG170,CODIFICACION!$F$2:$F$500,0))),"⚠"))</f>
        <v/>
      </c>
      <c r="F170" t="str">
        <f>IF(AJ170="","",IFERROR(IF(INDEX(CODIFICACION!$E$2:$E$500,MATCH("P13|"&amp;AJ170,CODIFICACION!$F$2:$F$500,0))="sin dato","",INDEX(CODIFICACION!$E$2:$E$500,MATCH("P13|"&amp;AJ170,CODIFICACION!$F$2:$F$500,0))),"⚠"))</f>
        <v/>
      </c>
      <c r="G170" t="str">
        <f>IF(AK170="","",IFERROR(IF(INDEX(CODIFICACION!$E$2:$E$500,MATCH("P14|"&amp;AK170,CODIFICACION!$F$2:$F$500,0))="sin dato","",INDEX(CODIFICACION!$E$2:$E$500,MATCH("P14|"&amp;AK170,CODIFICACION!$F$2:$F$500,0))),"⚠"))</f>
        <v/>
      </c>
      <c r="H170" t="str">
        <f>IF(AL170="","",IFERROR(IF(INDEX(CODIFICACION!$E$2:$E$500,MATCH("D1.1|"&amp;AL170,CODIFICACION!$F$2:$F$500,0))="sin dato","",INDEX(CODIFICACION!$E$2:$E$500,MATCH("D1.1|"&amp;AL170,CODIFICACION!$F$2:$F$500,0))),"⚠"))</f>
        <v/>
      </c>
      <c r="I170" t="str">
        <f>IF(AN170="","",IFERROR(IF(INDEX(CODIFICACION!$E$2:$E$500,MATCH("D1.3|"&amp;AN170,CODIFICACION!$F$2:$F$500,0))="sin dato","",INDEX(CODIFICACION!$E$2:$E$500,MATCH("D1.3|"&amp;AN170,CODIFICACION!$F$2:$F$500,0))),"⚠"))</f>
        <v/>
      </c>
      <c r="J170" t="str">
        <f>IF(AO170="","",IFERROR(IF(INDEX(CODIFICACION!$E$2:$E$500,MATCH("D1.4|"&amp;AO170,CODIFICACION!$F$2:$F$500,0))="sin dato","",INDEX(CODIFICACION!$E$2:$E$500,MATCH("D1.4|"&amp;AO170,CODIFICACION!$F$2:$F$500,0))),"⚠"))</f>
        <v/>
      </c>
      <c r="K170" t="str">
        <f>IF(AP170="","",IFERROR(IF(INDEX(CODIFICACION!$E$2:$E$500,MATCH("D1.3a|"&amp;AP170,CODIFICACION!$F$2:$F$500,0))="sin dato","",INDEX(CODIFICACION!$E$2:$E$500,MATCH("D1.3a|"&amp;AP170,CODIFICACION!$F$2:$F$500,0))),"⚠"))</f>
        <v/>
      </c>
      <c r="L170" t="str">
        <f t="shared" si="126"/>
        <v/>
      </c>
      <c r="M170" t="str">
        <f t="shared" si="127"/>
        <v/>
      </c>
      <c r="N170" t="str">
        <f t="shared" si="128"/>
        <v/>
      </c>
      <c r="O170" t="str">
        <f>IF(AT170="","",IFERROR(IF(INDEX(CODIFICACION!$E$2:$E$500,MATCH("D2.8|"&amp;AT170,CODIFICACION!$F$2:$F$500,0))="sin dato","",INDEX(CODIFICACION!$E$2:$E$500,MATCH("D2.8|"&amp;AT170,CODIFICACION!$F$2:$F$500,0))),"⚠"))</f>
        <v/>
      </c>
      <c r="P170" t="str">
        <f>IF(AU170="","",IFERROR(IF(INDEX(CODIFICACION!$E$2:$E$500,MATCH("D2.9|"&amp;AU170,CODIFICACION!$F$2:$F$500,0))="sin dato","",INDEX(CODIFICACION!$E$2:$E$500,MATCH("D2.9|"&amp;AU170,CODIFICACION!$F$2:$F$500,0))),"⚠"))</f>
        <v/>
      </c>
      <c r="Q170" t="str">
        <f>IF(AV170="","",IFERROR(IF(INDEX(CODIFICACION!$E$2:$E$500,MATCH("D2.10|"&amp;AV170,CODIFICACION!$F$2:$F$500,0))="sin dato","",INDEX(CODIFICACION!$E$2:$E$500,MATCH("D2.10|"&amp;AV170,CODIFICACION!$F$2:$F$500,0))),"⚠"))</f>
        <v/>
      </c>
      <c r="R170" t="str">
        <f>IF(AW170="","",IFERROR(IF(INDEX(CODIFICACION!$E$2:$E$500,MATCH("D2.5a|"&amp;AW170,CODIFICACION!$F$2:$F$500,0))="sin dato","",INDEX(CODIFICACION!$E$2:$E$500,MATCH("D2.5a|"&amp;AW170,CODIFICACION!$F$2:$F$500,0))),"⚠"))</f>
        <v/>
      </c>
      <c r="S170" t="str">
        <f ca="1">IF(AX170="","",IFERROR(IF(INDEX(CODIFICACION!$E$2:$E$500,MATCH("D2.5b|"&amp;AX170,CODIFICACION!$F$2:$F$500,0))="sin dato","",INDEX(CODIFICACION!$E$2:$E$500,MATCH("D2.5b|"&amp;AX170,CODIFICACION!$F$2:$F$500,0))),"⚠"))</f>
        <v/>
      </c>
      <c r="T170" t="str">
        <f t="shared" ca="1" si="129"/>
        <v/>
      </c>
      <c r="U170" t="str">
        <f>IF(AZ170="","",IFERROR(IF(INDEX(CODIFICACION!$E$2:$E$500,MATCH("D3.12|"&amp;AZ170,CODIFICACION!$F$2:$F$500,0))="sin dato","",INDEX(CODIFICACION!$E$2:$E$500,MATCH("D3.12|"&amp;AZ170,CODIFICACION!$F$2:$F$500,0))),"⚠"))</f>
        <v/>
      </c>
      <c r="V170" t="str">
        <f t="shared" si="130"/>
        <v/>
      </c>
      <c r="W170" t="str">
        <f ca="1">IF(BB170="","",IFERROR(IF(INDEX(CODIFICACION!$E$2:$E$500,MATCH("D3.14|"&amp;BB170,CODIFICACION!$F$2:$F$500,0))="sin dato","",INDEX(CODIFICACION!$E$2:$E$500,MATCH("D3.14|"&amp;BB170,CODIFICACION!$F$2:$F$500,0))),"⚠"))</f>
        <v/>
      </c>
      <c r="X170" t="str">
        <f ca="1">IF(BC170="","",IFERROR(IF(INDEX(CODIFICACION!$E$2:$E$500,MATCH("D3.14a|"&amp;BC170,CODIFICACION!$F$2:$F$500,0))="sin dato","",INDEX(CODIFICACION!$E$2:$E$500,MATCH("D3.14a|"&amp;BC170,CODIFICACION!$F$2:$F$500,0))),"⚠"))</f>
        <v/>
      </c>
      <c r="Y170" t="str">
        <f>IF(BD170="","",IFERROR(IF(INDEX(CODIFICACION!$E$2:$E$500,MATCH("D3.14b|"&amp;BD170,CODIFICACION!$F$2:$F$500,0))="sin dato","",INDEX(CODIFICACION!$E$2:$E$500,MATCH("D3.14b|"&amp;BD170,CODIFICACION!$F$2:$F$500,0))),"⚠"))</f>
        <v/>
      </c>
      <c r="Z170" t="str">
        <f>IF(BE170="","",IFERROR(IF(INDEX(CODIFICACION!$E$2:$E$500,MATCH("D3.14c|"&amp;BE170,CODIFICACION!$F$2:$F$500,0))="sin dato","",INDEX(CODIFICACION!$E$2:$E$500,MATCH("D3.14c|"&amp;BE170,CODIFICACION!$F$2:$F$500,0))),"⚠"))</f>
        <v/>
      </c>
      <c r="AA170" t="str">
        <f>IF(BF170="","",IFERROR(IF(INDEX(CODIFICACION!$E$2:$E$500,MATCH("D3.14d|"&amp;BF170,CODIFICACION!$F$2:$F$500,0))="sin dato","",INDEX(CODIFICACION!$E$2:$E$500,MATCH("D3.14d|"&amp;BF170,CODIFICACION!$F$2:$F$500,0))),"⚠"))</f>
        <v/>
      </c>
      <c r="AB170" t="str">
        <f>IF(BG170="","",IFERROR(IF(INDEX(CODIFICACION!$E$2:$E$500,MATCH("D3.14e|"&amp;BG170,CODIFICACION!$F$2:$F$500,0))="sin dato","",INDEX(CODIFICACION!$E$2:$E$500,MATCH("D3.14e|"&amp;BG170,CODIFICACION!$F$2:$F$500,0))),"⚠"))</f>
        <v/>
      </c>
      <c r="AC170" t="str">
        <f>IF(BH170="","",IFERROR(IF(INDEX(CODIFICACION!$E$2:$E$500,MATCH("D3.14f|"&amp;BH170,CODIFICACION!$F$2:$F$500,0))="sin dato","",INDEX(CODIFICACION!$E$2:$E$500,MATCH("D3.14f|"&amp;BH170,CODIFICACION!$F$2:$F$500,0))),"⚠"))</f>
        <v/>
      </c>
      <c r="AD170" t="str">
        <f>IF(BI170="","",IFERROR(IF(INDEX(CODIFICACION!$E$2:$E$500,MATCH("D3.14g|"&amp;BI170,CODIFICACION!$F$2:$F$500,0))="sin dato","",INDEX(CODIFICACION!$E$2:$E$500,MATCH("D3.14g|"&amp;BI170,CODIFICACION!$F$2:$F$500,0))),"⚠"))</f>
        <v/>
      </c>
      <c r="AE170" t="str">
        <f>IF(BJ170="","",IFERROR(IF(INDEX(CODIFICACION!$E$2:$E$500,MATCH("D3.14h|"&amp;BJ170,CODIFICACION!$F$2:$F$500,0))="sin dato","",INDEX(CODIFICACION!$E$2:$E$500,MATCH("D3.14h|"&amp;BJ170,CODIFICACION!$F$2:$F$500,0))),"⚠"))</f>
        <v/>
      </c>
      <c r="AF170" t="str">
        <f>IF(BK170="","",IFERROR(IF(INDEX(CODIFICACION!$E$2:$E$500,MATCH("D3.14i|"&amp;BK170,CODIFICACION!$F$2:$F$500,0))="sin dato","",INDEX(CODIFICACION!$E$2:$E$500,MATCH("D3.14i|"&amp;BK170,CODIFICACION!$F$2:$F$500,0))),"⚠"))</f>
        <v/>
      </c>
      <c r="AG170" t="str">
        <f>IF(BL170="","",IFERROR(IF(INDEX(CODIFICACION!$E$2:$E$500,MATCH("D4.15|"&amp;BL170,CODIFICACION!$F$2:$F$500,0))="sin dato","",INDEX(CODIFICACION!$E$2:$E$500,MATCH("D4.15|"&amp;BL170,CODIFICACION!$F$2:$F$500,0))),"⚠"))</f>
        <v/>
      </c>
      <c r="AH170" t="str">
        <f t="shared" si="131"/>
        <v/>
      </c>
      <c r="AI170" t="str">
        <f>IF(BN170="","",IFERROR(IF(INDEX(CODIFICACION!$E$2:$E$500,MATCH("D4.17|"&amp;BN170,CODIFICACION!$F$2:$F$500,0))="sin dato","",INDEX(CODIFICACION!$E$2:$E$500,MATCH("D4.17|"&amp;BN170,CODIFICACION!$F$2:$F$500,0))),"⚠"))</f>
        <v/>
      </c>
      <c r="AJ170" t="str">
        <f>IF(BO170="","",IFERROR(IF(INDEX(CODIFICACION!$E$2:$E$500,MATCH("D4.15a|"&amp;BO170,CODIFICACION!$F$2:$F$500,0))="sin dato","",INDEX(CODIFICACION!$E$2:$E$500,MATCH("D4.15a|"&amp;BO170,CODIFICACION!$F$2:$F$500,0))),"⚠"))</f>
        <v/>
      </c>
      <c r="AK170" t="str">
        <f t="shared" si="132"/>
        <v/>
      </c>
      <c r="AL170" t="str">
        <f t="shared" si="133"/>
        <v/>
      </c>
      <c r="AM170" t="str">
        <f>IF(BR170="","",IFERROR(IF(INDEX(CODIFICACION!$E$2:$E$500,MATCH("D5.18b|"&amp;BR170,CODIFICACION!$F$2:$F$500,0))="sin dato","",INDEX(CODIFICACION!$E$2:$E$500,MATCH("D5.18b|"&amp;BR170,CODIFICACION!$F$2:$F$500,0))),"⚠"))</f>
        <v/>
      </c>
      <c r="AN170" t="str">
        <f>IF(BS170="","",IFERROR(IF(INDEX(CODIFICACION!$E$2:$E$500,MATCH("D5.19|"&amp;BS170,CODIFICACION!$F$2:$F$500,0))="sin dato","",INDEX(CODIFICACION!$E$2:$E$500,MATCH("D5.19|"&amp;BS170,CODIFICACION!$F$2:$F$500,0))),"⚠"))</f>
        <v/>
      </c>
      <c r="AO170" t="str">
        <f t="shared" si="134"/>
        <v/>
      </c>
      <c r="AP170" t="str">
        <f>IF(BU170="","",IFERROR(IF(INDEX(CODIFICACION!$E$2:$E$500,MATCH("D5.20|"&amp;BU170,CODIFICACION!$F$2:$F$500,0))="sin dato","",INDEX(CODIFICACION!$E$2:$E$500,MATCH("D5.20|"&amp;BU170,CODIFICACION!$F$2:$F$500,0))),"⚠"))</f>
        <v/>
      </c>
      <c r="AQ170" t="str">
        <f>IF(BV170="","",IFERROR(IF(INDEX(CODIFICACION!$E$2:$E$500,MATCH("D5.21|"&amp;BV170,CODIFICACION!$F$2:$F$500,0))="sin dato","",INDEX(CODIFICACION!$E$2:$E$500,MATCH("D5.21|"&amp;BV170,CODIFICACION!$F$2:$F$500,0))),"⚠"))</f>
        <v/>
      </c>
      <c r="AR170" t="str">
        <f>IF(BW170="","",IFERROR(IF(INDEX(CODIFICACION!$E$2:$E$500,MATCH("D5.21a|"&amp;BW170,CODIFICACION!$F$2:$F$500,0))="sin dato","",INDEX(CODIFICACION!$E$2:$E$500,MATCH("D5.21a|"&amp;BW170,CODIFICACION!$F$2:$F$500,0))),"⚠"))</f>
        <v/>
      </c>
      <c r="AS170" t="str">
        <f>IF(BX170="","",IFERROR(IF(INDEX(CODIFICACION!$E$2:$E$500,MATCH("D5.21b|"&amp;BX170,CODIFICACION!$F$2:$F$500,0))="sin dato","",INDEX(CODIFICACION!$E$2:$E$500,MATCH("D5.21b|"&amp;BX170,CODIFICACION!$F$2:$F$500,0))),"⚠"))</f>
        <v/>
      </c>
      <c r="AT170" t="str">
        <f>IF(BY170="","",IFERROR(IF(INDEX(CODIFICACION!$E$2:$E$500,MATCH("D6.22|"&amp;BY170,CODIFICACION!$F$2:$F$500,0))="sin dato","",INDEX(CODIFICACION!$E$2:$E$500,MATCH("D6.22|"&amp;BY170,CODIFICACION!$F$2:$F$500,0))),"⚠"))</f>
        <v/>
      </c>
      <c r="AU170" t="str">
        <f>IF(BZ170="","",IFERROR(IF(INDEX(CODIFICACION!$E$2:$E$500,MATCH("D6.22a|"&amp;BZ170,CODIFICACION!$F$2:$F$500,0))="sin dato","",INDEX(CODIFICACION!$E$2:$E$500,MATCH("D6.22a|"&amp;BZ170,CODIFICACION!$F$2:$F$500,0))),"⚠"))</f>
        <v/>
      </c>
      <c r="AV170" t="str">
        <f>IF(CA170="","",IFERROR(IF(INDEX(CODIFICACION!$E$2:$E$500,MATCH("D6.22b|"&amp;CA170,CODIFICACION!$F$2:$F$500,0))="sin dato","",INDEX(CODIFICACION!$E$2:$E$500,MATCH("D6.22b|"&amp;CA170,CODIFICACION!$F$2:$F$500,0))),"⚠"))</f>
        <v/>
      </c>
      <c r="AW170" t="str">
        <f>IF(CB170="","",IFERROR(IF(INDEX(CODIFICACION!$E$2:$E$500,MATCH("D6.23|"&amp;CB170,CODIFICACION!$F$2:$F$500,0))="sin dato","",INDEX(CODIFICACION!$E$2:$E$500,MATCH("D6.23|"&amp;CB170,CODIFICACION!$F$2:$F$500,0))),"⚠"))</f>
        <v/>
      </c>
      <c r="AX170" t="str">
        <f ca="1">IF(CC170="","",IFERROR(IF(INDEX(CODIFICACION!$E$2:$E$500,MATCH("D6.24|"&amp;CC170,CODIFICACION!$F$2:$F$500,0))="sin dato","",INDEX(CODIFICACION!$E$2:$E$500,MATCH("D6.24|"&amp;CC170,CODIFICACION!$F$2:$F$500,0))),"⚠"))</f>
        <v/>
      </c>
      <c r="AY170" t="str">
        <f ca="1">IF(CD170="","",IFERROR(IF(INDEX(CODIFICACION!$E$2:$E$500,MATCH("D6.25|"&amp;CD170,CODIFICACION!$F$2:$F$500,0))="sin dato","",INDEX(CODIFICACION!$E$2:$E$500,MATCH("D6.25|"&amp;CD170,CODIFICACION!$F$2:$F$500,0))),"⚠"))</f>
        <v/>
      </c>
      <c r="AZ170" t="str">
        <f>IF(CE170="","",IFERROR(IF(INDEX(CODIFICACION!$E$2:$E$500,MATCH("D6.25a|"&amp;CE170,CODIFICACION!$F$2:$F$500,0))="sin dato","",INDEX(CODIFICACION!$E$2:$E$500,MATCH("D6.25a|"&amp;CE170,CODIFICACION!$F$2:$F$500,0))),"⚠"))</f>
        <v/>
      </c>
      <c r="BA170" t="str">
        <f>IF(CF170="","",IFERROR(IF(INDEX(CODIFICACION!$E$2:$E$500,MATCH("D6.25b|"&amp;CF170,CODIFICACION!$F$2:$F$500,0))="sin dato","",INDEX(CODIFICACION!$E$2:$E$500,MATCH("D6.25b|"&amp;CF170,CODIFICACION!$F$2:$F$500,0))),"⚠"))</f>
        <v/>
      </c>
      <c r="BB170" t="str">
        <f ca="1">IF(CG170="","",IFERROR(IF(INDEX(CODIFICACION!$E$2:$E$500,MATCH("D6.22c|"&amp;CG170,CODIFICACION!$F$2:$F$500,0))="sin dato","",INDEX(CODIFICACION!$E$2:$E$500,MATCH("D6.22c|"&amp;CG170,CODIFICACION!$F$2:$F$500,0))),"⚠"))</f>
        <v/>
      </c>
      <c r="BC170" t="str">
        <f ca="1">IF(CH170="","",IFERROR(IF(INDEX(CODIFICACION!$E$2:$E$500,MATCH("D7.26|"&amp;CH170,CODIFICACION!$F$2:$F$500,0))="sin dato","",INDEX(CODIFICACION!$E$2:$E$500,MATCH("D7.26|"&amp;CH170,CODIFICACION!$F$2:$F$500,0))),"⚠"))</f>
        <v/>
      </c>
      <c r="BD170" t="str">
        <f>IF(CI170="","",IFERROR(IF(INDEX(CODIFICACION!$E$2:$E$500,MATCH("D7.27|"&amp;CI170,CODIFICACION!$F$2:$F$500,0))="sin dato","",INDEX(CODIFICACION!$E$2:$E$500,MATCH("D7.27|"&amp;CI170,CODIFICACION!$F$2:$F$500,0))),"⚠"))</f>
        <v/>
      </c>
      <c r="BE170" t="str">
        <f>IF(CJ170="","",IFERROR(IF(INDEX(CODIFICACION!$E$2:$E$500,MATCH("D7.28|"&amp;CJ170,CODIFICACION!$F$2:$F$500,0))="sin dato","",INDEX(CODIFICACION!$E$2:$E$500,MATCH("D7.28|"&amp;CJ170,CODIFICACION!$F$2:$F$500,0))),"⚠"))</f>
        <v/>
      </c>
      <c r="BF170" t="str">
        <f>IF(CK170="","",IFERROR(IF(INDEX(CODIFICACION!$E$2:$E$500,MATCH("D7.28b|"&amp;CK170,CODIFICACION!$F$2:$F$500,0))="sin dato","",INDEX(CODIFICACION!$E$2:$E$500,MATCH("D7.28b|"&amp;CK170,CODIFICACION!$F$2:$F$500,0))),"⚠"))</f>
        <v/>
      </c>
      <c r="BG170" t="str">
        <f t="shared" si="135"/>
        <v/>
      </c>
      <c r="BH170" t="str">
        <f>IF(CM170="","",IFERROR(IF(INDEX(CODIFICACION!$E$2:$E$500,MATCH("D7.26a|"&amp;CM170,CODIFICACION!$F$2:$F$500,0))="sin dato","",INDEX(CODIFICACION!$E$2:$E$500,MATCH("D7.26a|"&amp;CM170,CODIFICACION!$F$2:$F$500,0))),"⚠"))</f>
        <v/>
      </c>
      <c r="BI170" t="str">
        <f>IF(CN170="","",IFERROR(IF(INDEX(CODIFICACION!$E$2:$E$500,MATCH("D7.26b|"&amp;CN170,CODIFICACION!$F$2:$F$500,0))="sin dato","",INDEX(CODIFICACION!$E$2:$E$500,MATCH("D7.26b|"&amp;CN170,CODIFICACION!$F$2:$F$500,0))),"⚠"))</f>
        <v/>
      </c>
      <c r="BJ170" t="str">
        <f t="shared" si="136"/>
        <v/>
      </c>
      <c r="BK170" t="str">
        <f t="shared" si="137"/>
        <v/>
      </c>
      <c r="BL170" t="str">
        <f>IF(CQ170="","",IFERROR(IF(INDEX(CODIFICACION!$E$2:$E$500,MATCH("D8.31|"&amp;CQ170,CODIFICACION!$F$2:$F$500,0))="sin dato","",INDEX(CODIFICACION!$E$2:$E$500,MATCH("D8.31|"&amp;CQ170,CODIFICACION!$F$2:$F$500,0))),"⚠"))</f>
        <v/>
      </c>
      <c r="BM170" t="str">
        <f>IF(CR170="","",IFERROR(IF(INDEX(CODIFICACION!$E$2:$E$500,MATCH("D8.32|"&amp;CR170,CODIFICACION!$F$2:$F$500,0))="sin dato","",INDEX(CODIFICACION!$E$2:$E$500,MATCH("D8.32|"&amp;CR170,CODIFICACION!$F$2:$F$500,0))),"⚠"))</f>
        <v/>
      </c>
      <c r="BN170" t="str">
        <f>IF(CS170="","",IFERROR(IF(INDEX(CODIFICACION!$E$2:$E$500,MATCH("D9.33|"&amp;CS170,CODIFICACION!$F$2:$F$500,0))="sin dato","",INDEX(CODIFICACION!$E$2:$E$500,MATCH("D9.33|"&amp;CS170,CODIFICACION!$F$2:$F$500,0))),"⚠"))</f>
        <v/>
      </c>
      <c r="BO170" t="str">
        <f>IF(CT170="","",IFERROR(IF(INDEX(CODIFICACION!$E$2:$E$500,MATCH("D9.34|"&amp;CT170,CODIFICACION!$F$2:$F$500,0))="sin dato","",INDEX(CODIFICACION!$E$2:$E$500,MATCH("D9.34|"&amp;CT170,CODIFICACION!$F$2:$F$500,0))),"⚠"))</f>
        <v/>
      </c>
      <c r="BP170" t="str">
        <f>IF(CU170="","",IFERROR(IF(INDEX(CODIFICACION!$E$2:$E$500,MATCH("D9.35|"&amp;CU170,CODIFICACION!$F$2:$F$500,0))="sin dato","",INDEX(CODIFICACION!$E$2:$E$500,MATCH("D9.35|"&amp;CU170,CODIFICACION!$F$2:$F$500,0))),"⚠"))</f>
        <v/>
      </c>
      <c r="BQ170" t="str">
        <f>IF(CV170="","",IFERROR(IF(INDEX(CODIFICACION!$E$2:$E$500,MATCH("D10.36|"&amp;CV170,CODIFICACION!$F$2:$F$500,0))="sin dato","",INDEX(CODIFICACION!$E$2:$E$500,MATCH("D10.36|"&amp;CV170,CODIFICACION!$F$2:$F$500,0))),"⚠"))</f>
        <v/>
      </c>
      <c r="BR170" t="str">
        <f>IF(CW170="","",IFERROR(IF(INDEX(CODIFICACION!$E$2:$E$500,MATCH("D10.37|"&amp;CW170,CODIFICACION!$F$2:$F$500,0))="sin dato","",INDEX(CODIFICACION!$E$2:$E$500,MATCH("D10.37|"&amp;CW170,CODIFICACION!$F$2:$F$500,0))),"⚠"))</f>
        <v/>
      </c>
      <c r="BS170" t="str">
        <f>IF(CX170="","",IFERROR(IF(INDEX(CODIFICACION!$E$2:$E$500,MATCH("D10.36a|"&amp;CX170,CODIFICACION!$F$2:$F$500,0))="sin dato","",INDEX(CODIFICACION!$E$2:$E$500,MATCH("D10.36a|"&amp;CX170,CODIFICACION!$F$2:$F$500,0))),"⚠"))</f>
        <v/>
      </c>
      <c r="BT170" t="str">
        <f t="shared" si="138"/>
        <v/>
      </c>
      <c r="BU170" t="str">
        <f>IF(DA170="","",IFERROR(IF(INDEX(CODIFICACION!$E$2:$E$500,MATCH("D11.39a|"&amp;DA170,CODIFICACION!$F$2:$F$500,0))="sin dato","",INDEX(CODIFICACION!$E$2:$E$500,MATCH("D11.39a|"&amp;DA170,CODIFICACION!$F$2:$F$500,0))),"⚠"))</f>
        <v/>
      </c>
      <c r="BV170" t="str">
        <f>IF(DB170="","",IFERROR(IF(INDEX(CODIFICACION!$E$2:$E$500,MATCH("D12.42|"&amp;DB170,CODIFICACION!$F$2:$F$500,0))="sin dato","",INDEX(CODIFICACION!$E$2:$E$500,MATCH("D12.42|"&amp;DB170,CODIFICACION!$F$2:$F$500,0))),"⚠"))</f>
        <v/>
      </c>
      <c r="BW170" t="str">
        <f>IF(DC170="","",IFERROR(IF(INDEX(CODIFICACION!$E$2:$E$500,MATCH("D13.45|"&amp;DC170,CODIFICACION!$F$2:$F$500,0))="sin dato","",INDEX(CODIFICACION!$E$2:$E$500,MATCH("D13.45|"&amp;DC170,CODIFICACION!$F$2:$F$500,0))),"⚠"))</f>
        <v/>
      </c>
      <c r="BX170" t="str">
        <f>IF(DD170="","",IFERROR(IF(INDEX(CODIFICACION!$E$2:$E$500,MATCH("D14.51|"&amp;DD170,CODIFICACION!$F$2:$F$500,0))="sin dato","",INDEX(CODIFICACION!$E$2:$E$500,MATCH("D14.51|"&amp;DD170,CODIFICACION!$F$2:$F$500,0))),"⚠"))</f>
        <v/>
      </c>
      <c r="BY170" t="str">
        <f>IF(DE170="","",IFERROR(IF(INDEX(CODIFICACION!$E$2:$E$500,MATCH("D15.58|"&amp;DE170,CODIFICACION!$F$2:$F$500,0))="sin dato","",INDEX(CODIFICACION!$E$2:$E$500,MATCH("D15.58|"&amp;DE170,CODIFICACION!$F$2:$F$500,0))),"⚠"))</f>
        <v/>
      </c>
      <c r="BZ170" t="str">
        <f>IF(DF170="","",IFERROR(IF(INDEX(CODIFICACION!$E$2:$E$500,MATCH("PP1|"&amp;DF170,CODIFICACION!$F$2:$F$500,0))="sin dato","",INDEX(CODIFICACION!$E$2:$E$500,MATCH("PP1|"&amp;DF170,CODIFICACION!$F$2:$F$500,0))),"⚠"))</f>
        <v/>
      </c>
      <c r="CA170" t="str">
        <f>IF(DG170="","",IFERROR(IF(INDEX(CODIFICACION!$E$2:$E$500,MATCH("PP2|"&amp;DG170,CODIFICACION!$F$2:$F$500,0))="sin dato","",INDEX(CODIFICACION!$E$2:$E$500,MATCH("PP2|"&amp;DG170,CODIFICACION!$F$2:$F$500,0))),"⚠"))</f>
        <v/>
      </c>
      <c r="CB170" t="str">
        <f t="shared" si="139"/>
        <v/>
      </c>
      <c r="CC170" t="str">
        <f t="shared" ca="1" si="140"/>
        <v/>
      </c>
      <c r="CD170" t="str">
        <f t="shared" ca="1" si="141"/>
        <v/>
      </c>
      <c r="CE170" t="str">
        <f t="shared" si="142"/>
        <v/>
      </c>
      <c r="CF170" t="str">
        <f t="shared" si="143"/>
        <v/>
      </c>
      <c r="CG170" t="str">
        <f t="shared" ca="1" si="144"/>
        <v/>
      </c>
      <c r="CH170" t="str">
        <f t="shared" ca="1" si="145"/>
        <v/>
      </c>
      <c r="CI170" t="str">
        <f t="shared" si="146"/>
        <v/>
      </c>
      <c r="CJ170" t="str">
        <f t="shared" si="147"/>
        <v/>
      </c>
      <c r="CK170" t="str">
        <f t="shared" si="148"/>
        <v/>
      </c>
      <c r="CL170" t="str">
        <f t="shared" si="149"/>
        <v/>
      </c>
    </row>
    <row r="171" spans="1:90" x14ac:dyDescent="0.3">
      <c r="A171">
        <f>CAPTURA!A171</f>
        <v>20609846314</v>
      </c>
      <c r="B171">
        <f>CAPTURA!C171</f>
        <v>0</v>
      </c>
      <c r="C171" t="str">
        <f t="shared" si="125"/>
        <v/>
      </c>
      <c r="D171" t="str">
        <f>IF(AE171="","",IFERROR(IF(INDEX(CODIFICACION!$E$2:$E$500,MATCH("P8|"&amp;AE171,CODIFICACION!$F$2:$F$500,0))="sin dato","",INDEX(CODIFICACION!$E$2:$E$500,MATCH("P8|"&amp;AE171,CODIFICACION!$F$2:$F$500,0))),"⚠"))</f>
        <v/>
      </c>
      <c r="E171" t="str">
        <f>IF(AG171="","",IFERROR(IF(INDEX(CODIFICACION!$E$2:$E$500,MATCH("P10|"&amp;AG171,CODIFICACION!$F$2:$F$500,0))="sin dato","",INDEX(CODIFICACION!$E$2:$E$500,MATCH("P10|"&amp;AG171,CODIFICACION!$F$2:$F$500,0))),"⚠"))</f>
        <v/>
      </c>
      <c r="F171" t="str">
        <f>IF(AJ171="","",IFERROR(IF(INDEX(CODIFICACION!$E$2:$E$500,MATCH("P13|"&amp;AJ171,CODIFICACION!$F$2:$F$500,0))="sin dato","",INDEX(CODIFICACION!$E$2:$E$500,MATCH("P13|"&amp;AJ171,CODIFICACION!$F$2:$F$500,0))),"⚠"))</f>
        <v/>
      </c>
      <c r="G171" t="str">
        <f>IF(AK171="","",IFERROR(IF(INDEX(CODIFICACION!$E$2:$E$500,MATCH("P14|"&amp;AK171,CODIFICACION!$F$2:$F$500,0))="sin dato","",INDEX(CODIFICACION!$E$2:$E$500,MATCH("P14|"&amp;AK171,CODIFICACION!$F$2:$F$500,0))),"⚠"))</f>
        <v/>
      </c>
      <c r="H171" t="str">
        <f>IF(AL171="","",IFERROR(IF(INDEX(CODIFICACION!$E$2:$E$500,MATCH("D1.1|"&amp;AL171,CODIFICACION!$F$2:$F$500,0))="sin dato","",INDEX(CODIFICACION!$E$2:$E$500,MATCH("D1.1|"&amp;AL171,CODIFICACION!$F$2:$F$500,0))),"⚠"))</f>
        <v/>
      </c>
      <c r="I171" t="str">
        <f>IF(AN171="","",IFERROR(IF(INDEX(CODIFICACION!$E$2:$E$500,MATCH("D1.3|"&amp;AN171,CODIFICACION!$F$2:$F$500,0))="sin dato","",INDEX(CODIFICACION!$E$2:$E$500,MATCH("D1.3|"&amp;AN171,CODIFICACION!$F$2:$F$500,0))),"⚠"))</f>
        <v/>
      </c>
      <c r="J171" t="str">
        <f>IF(AO171="","",IFERROR(IF(INDEX(CODIFICACION!$E$2:$E$500,MATCH("D1.4|"&amp;AO171,CODIFICACION!$F$2:$F$500,0))="sin dato","",INDEX(CODIFICACION!$E$2:$E$500,MATCH("D1.4|"&amp;AO171,CODIFICACION!$F$2:$F$500,0))),"⚠"))</f>
        <v/>
      </c>
      <c r="K171" t="str">
        <f>IF(AP171="","",IFERROR(IF(INDEX(CODIFICACION!$E$2:$E$500,MATCH("D1.3a|"&amp;AP171,CODIFICACION!$F$2:$F$500,0))="sin dato","",INDEX(CODIFICACION!$E$2:$E$500,MATCH("D1.3a|"&amp;AP171,CODIFICACION!$F$2:$F$500,0))),"⚠"))</f>
        <v/>
      </c>
      <c r="L171" t="str">
        <f t="shared" si="126"/>
        <v/>
      </c>
      <c r="M171" t="str">
        <f t="shared" si="127"/>
        <v/>
      </c>
      <c r="N171" t="str">
        <f t="shared" si="128"/>
        <v/>
      </c>
      <c r="O171" t="str">
        <f>IF(AT171="","",IFERROR(IF(INDEX(CODIFICACION!$E$2:$E$500,MATCH("D2.8|"&amp;AT171,CODIFICACION!$F$2:$F$500,0))="sin dato","",INDEX(CODIFICACION!$E$2:$E$500,MATCH("D2.8|"&amp;AT171,CODIFICACION!$F$2:$F$500,0))),"⚠"))</f>
        <v/>
      </c>
      <c r="P171" t="str">
        <f>IF(AU171="","",IFERROR(IF(INDEX(CODIFICACION!$E$2:$E$500,MATCH("D2.9|"&amp;AU171,CODIFICACION!$F$2:$F$500,0))="sin dato","",INDEX(CODIFICACION!$E$2:$E$500,MATCH("D2.9|"&amp;AU171,CODIFICACION!$F$2:$F$500,0))),"⚠"))</f>
        <v/>
      </c>
      <c r="Q171" t="str">
        <f>IF(AV171="","",IFERROR(IF(INDEX(CODIFICACION!$E$2:$E$500,MATCH("D2.10|"&amp;AV171,CODIFICACION!$F$2:$F$500,0))="sin dato","",INDEX(CODIFICACION!$E$2:$E$500,MATCH("D2.10|"&amp;AV171,CODIFICACION!$F$2:$F$500,0))),"⚠"))</f>
        <v/>
      </c>
      <c r="R171" t="str">
        <f>IF(AW171="","",IFERROR(IF(INDEX(CODIFICACION!$E$2:$E$500,MATCH("D2.5a|"&amp;AW171,CODIFICACION!$F$2:$F$500,0))="sin dato","",INDEX(CODIFICACION!$E$2:$E$500,MATCH("D2.5a|"&amp;AW171,CODIFICACION!$F$2:$F$500,0))),"⚠"))</f>
        <v/>
      </c>
      <c r="S171" t="str">
        <f ca="1">IF(AX171="","",IFERROR(IF(INDEX(CODIFICACION!$E$2:$E$500,MATCH("D2.5b|"&amp;AX171,CODIFICACION!$F$2:$F$500,0))="sin dato","",INDEX(CODIFICACION!$E$2:$E$500,MATCH("D2.5b|"&amp;AX171,CODIFICACION!$F$2:$F$500,0))),"⚠"))</f>
        <v/>
      </c>
      <c r="T171" t="str">
        <f t="shared" ca="1" si="129"/>
        <v/>
      </c>
      <c r="U171" t="str">
        <f>IF(AZ171="","",IFERROR(IF(INDEX(CODIFICACION!$E$2:$E$500,MATCH("D3.12|"&amp;AZ171,CODIFICACION!$F$2:$F$500,0))="sin dato","",INDEX(CODIFICACION!$E$2:$E$500,MATCH("D3.12|"&amp;AZ171,CODIFICACION!$F$2:$F$500,0))),"⚠"))</f>
        <v/>
      </c>
      <c r="V171" t="str">
        <f t="shared" si="130"/>
        <v/>
      </c>
      <c r="W171" t="str">
        <f ca="1">IF(BB171="","",IFERROR(IF(INDEX(CODIFICACION!$E$2:$E$500,MATCH("D3.14|"&amp;BB171,CODIFICACION!$F$2:$F$500,0))="sin dato","",INDEX(CODIFICACION!$E$2:$E$500,MATCH("D3.14|"&amp;BB171,CODIFICACION!$F$2:$F$500,0))),"⚠"))</f>
        <v/>
      </c>
      <c r="X171" t="str">
        <f ca="1">IF(BC171="","",IFERROR(IF(INDEX(CODIFICACION!$E$2:$E$500,MATCH("D3.14a|"&amp;BC171,CODIFICACION!$F$2:$F$500,0))="sin dato","",INDEX(CODIFICACION!$E$2:$E$500,MATCH("D3.14a|"&amp;BC171,CODIFICACION!$F$2:$F$500,0))),"⚠"))</f>
        <v/>
      </c>
      <c r="Y171" t="str">
        <f>IF(BD171="","",IFERROR(IF(INDEX(CODIFICACION!$E$2:$E$500,MATCH("D3.14b|"&amp;BD171,CODIFICACION!$F$2:$F$500,0))="sin dato","",INDEX(CODIFICACION!$E$2:$E$500,MATCH("D3.14b|"&amp;BD171,CODIFICACION!$F$2:$F$500,0))),"⚠"))</f>
        <v/>
      </c>
      <c r="Z171" t="str">
        <f>IF(BE171="","",IFERROR(IF(INDEX(CODIFICACION!$E$2:$E$500,MATCH("D3.14c|"&amp;BE171,CODIFICACION!$F$2:$F$500,0))="sin dato","",INDEX(CODIFICACION!$E$2:$E$500,MATCH("D3.14c|"&amp;BE171,CODIFICACION!$F$2:$F$500,0))),"⚠"))</f>
        <v/>
      </c>
      <c r="AA171" t="str">
        <f>IF(BF171="","",IFERROR(IF(INDEX(CODIFICACION!$E$2:$E$500,MATCH("D3.14d|"&amp;BF171,CODIFICACION!$F$2:$F$500,0))="sin dato","",INDEX(CODIFICACION!$E$2:$E$500,MATCH("D3.14d|"&amp;BF171,CODIFICACION!$F$2:$F$500,0))),"⚠"))</f>
        <v/>
      </c>
      <c r="AB171" t="str">
        <f>IF(BG171="","",IFERROR(IF(INDEX(CODIFICACION!$E$2:$E$500,MATCH("D3.14e|"&amp;BG171,CODIFICACION!$F$2:$F$500,0))="sin dato","",INDEX(CODIFICACION!$E$2:$E$500,MATCH("D3.14e|"&amp;BG171,CODIFICACION!$F$2:$F$500,0))),"⚠"))</f>
        <v/>
      </c>
      <c r="AC171" t="str">
        <f>IF(BH171="","",IFERROR(IF(INDEX(CODIFICACION!$E$2:$E$500,MATCH("D3.14f|"&amp;BH171,CODIFICACION!$F$2:$F$500,0))="sin dato","",INDEX(CODIFICACION!$E$2:$E$500,MATCH("D3.14f|"&amp;BH171,CODIFICACION!$F$2:$F$500,0))),"⚠"))</f>
        <v/>
      </c>
      <c r="AD171" t="str">
        <f>IF(BI171="","",IFERROR(IF(INDEX(CODIFICACION!$E$2:$E$500,MATCH("D3.14g|"&amp;BI171,CODIFICACION!$F$2:$F$500,0))="sin dato","",INDEX(CODIFICACION!$E$2:$E$500,MATCH("D3.14g|"&amp;BI171,CODIFICACION!$F$2:$F$500,0))),"⚠"))</f>
        <v/>
      </c>
      <c r="AE171" t="str">
        <f>IF(BJ171="","",IFERROR(IF(INDEX(CODIFICACION!$E$2:$E$500,MATCH("D3.14h|"&amp;BJ171,CODIFICACION!$F$2:$F$500,0))="sin dato","",INDEX(CODIFICACION!$E$2:$E$500,MATCH("D3.14h|"&amp;BJ171,CODIFICACION!$F$2:$F$500,0))),"⚠"))</f>
        <v/>
      </c>
      <c r="AF171" t="str">
        <f>IF(BK171="","",IFERROR(IF(INDEX(CODIFICACION!$E$2:$E$500,MATCH("D3.14i|"&amp;BK171,CODIFICACION!$F$2:$F$500,0))="sin dato","",INDEX(CODIFICACION!$E$2:$E$500,MATCH("D3.14i|"&amp;BK171,CODIFICACION!$F$2:$F$500,0))),"⚠"))</f>
        <v/>
      </c>
      <c r="AG171" t="str">
        <f>IF(BL171="","",IFERROR(IF(INDEX(CODIFICACION!$E$2:$E$500,MATCH("D4.15|"&amp;BL171,CODIFICACION!$F$2:$F$500,0))="sin dato","",INDEX(CODIFICACION!$E$2:$E$500,MATCH("D4.15|"&amp;BL171,CODIFICACION!$F$2:$F$500,0))),"⚠"))</f>
        <v/>
      </c>
      <c r="AH171" t="str">
        <f t="shared" si="131"/>
        <v/>
      </c>
      <c r="AI171" t="str">
        <f>IF(BN171="","",IFERROR(IF(INDEX(CODIFICACION!$E$2:$E$500,MATCH("D4.17|"&amp;BN171,CODIFICACION!$F$2:$F$500,0))="sin dato","",INDEX(CODIFICACION!$E$2:$E$500,MATCH("D4.17|"&amp;BN171,CODIFICACION!$F$2:$F$500,0))),"⚠"))</f>
        <v/>
      </c>
      <c r="AJ171" t="str">
        <f>IF(BO171="","",IFERROR(IF(INDEX(CODIFICACION!$E$2:$E$500,MATCH("D4.15a|"&amp;BO171,CODIFICACION!$F$2:$F$500,0))="sin dato","",INDEX(CODIFICACION!$E$2:$E$500,MATCH("D4.15a|"&amp;BO171,CODIFICACION!$F$2:$F$500,0))),"⚠"))</f>
        <v/>
      </c>
      <c r="AK171" t="str">
        <f t="shared" si="132"/>
        <v/>
      </c>
      <c r="AL171" t="str">
        <f t="shared" si="133"/>
        <v/>
      </c>
      <c r="AM171" t="str">
        <f>IF(BR171="","",IFERROR(IF(INDEX(CODIFICACION!$E$2:$E$500,MATCH("D5.18b|"&amp;BR171,CODIFICACION!$F$2:$F$500,0))="sin dato","",INDEX(CODIFICACION!$E$2:$E$500,MATCH("D5.18b|"&amp;BR171,CODIFICACION!$F$2:$F$500,0))),"⚠"))</f>
        <v/>
      </c>
      <c r="AN171" t="str">
        <f>IF(BS171="","",IFERROR(IF(INDEX(CODIFICACION!$E$2:$E$500,MATCH("D5.19|"&amp;BS171,CODIFICACION!$F$2:$F$500,0))="sin dato","",INDEX(CODIFICACION!$E$2:$E$500,MATCH("D5.19|"&amp;BS171,CODIFICACION!$F$2:$F$500,0))),"⚠"))</f>
        <v/>
      </c>
      <c r="AO171" t="str">
        <f t="shared" si="134"/>
        <v/>
      </c>
      <c r="AP171" t="str">
        <f>IF(BU171="","",IFERROR(IF(INDEX(CODIFICACION!$E$2:$E$500,MATCH("D5.20|"&amp;BU171,CODIFICACION!$F$2:$F$500,0))="sin dato","",INDEX(CODIFICACION!$E$2:$E$500,MATCH("D5.20|"&amp;BU171,CODIFICACION!$F$2:$F$500,0))),"⚠"))</f>
        <v/>
      </c>
      <c r="AQ171" t="str">
        <f>IF(BV171="","",IFERROR(IF(INDEX(CODIFICACION!$E$2:$E$500,MATCH("D5.21|"&amp;BV171,CODIFICACION!$F$2:$F$500,0))="sin dato","",INDEX(CODIFICACION!$E$2:$E$500,MATCH("D5.21|"&amp;BV171,CODIFICACION!$F$2:$F$500,0))),"⚠"))</f>
        <v/>
      </c>
      <c r="AR171" t="str">
        <f>IF(BW171="","",IFERROR(IF(INDEX(CODIFICACION!$E$2:$E$500,MATCH("D5.21a|"&amp;BW171,CODIFICACION!$F$2:$F$500,0))="sin dato","",INDEX(CODIFICACION!$E$2:$E$500,MATCH("D5.21a|"&amp;BW171,CODIFICACION!$F$2:$F$500,0))),"⚠"))</f>
        <v/>
      </c>
      <c r="AS171" t="str">
        <f>IF(BX171="","",IFERROR(IF(INDEX(CODIFICACION!$E$2:$E$500,MATCH("D5.21b|"&amp;BX171,CODIFICACION!$F$2:$F$500,0))="sin dato","",INDEX(CODIFICACION!$E$2:$E$500,MATCH("D5.21b|"&amp;BX171,CODIFICACION!$F$2:$F$500,0))),"⚠"))</f>
        <v/>
      </c>
      <c r="AT171" t="str">
        <f>IF(BY171="","",IFERROR(IF(INDEX(CODIFICACION!$E$2:$E$500,MATCH("D6.22|"&amp;BY171,CODIFICACION!$F$2:$F$500,0))="sin dato","",INDEX(CODIFICACION!$E$2:$E$500,MATCH("D6.22|"&amp;BY171,CODIFICACION!$F$2:$F$500,0))),"⚠"))</f>
        <v/>
      </c>
      <c r="AU171" t="str">
        <f>IF(BZ171="","",IFERROR(IF(INDEX(CODIFICACION!$E$2:$E$500,MATCH("D6.22a|"&amp;BZ171,CODIFICACION!$F$2:$F$500,0))="sin dato","",INDEX(CODIFICACION!$E$2:$E$500,MATCH("D6.22a|"&amp;BZ171,CODIFICACION!$F$2:$F$500,0))),"⚠"))</f>
        <v/>
      </c>
      <c r="AV171" t="str">
        <f>IF(CA171="","",IFERROR(IF(INDEX(CODIFICACION!$E$2:$E$500,MATCH("D6.22b|"&amp;CA171,CODIFICACION!$F$2:$F$500,0))="sin dato","",INDEX(CODIFICACION!$E$2:$E$500,MATCH("D6.22b|"&amp;CA171,CODIFICACION!$F$2:$F$500,0))),"⚠"))</f>
        <v/>
      </c>
      <c r="AW171" t="str">
        <f>IF(CB171="","",IFERROR(IF(INDEX(CODIFICACION!$E$2:$E$500,MATCH("D6.23|"&amp;CB171,CODIFICACION!$F$2:$F$500,0))="sin dato","",INDEX(CODIFICACION!$E$2:$E$500,MATCH("D6.23|"&amp;CB171,CODIFICACION!$F$2:$F$500,0))),"⚠"))</f>
        <v/>
      </c>
      <c r="AX171" t="str">
        <f ca="1">IF(CC171="","",IFERROR(IF(INDEX(CODIFICACION!$E$2:$E$500,MATCH("D6.24|"&amp;CC171,CODIFICACION!$F$2:$F$500,0))="sin dato","",INDEX(CODIFICACION!$E$2:$E$500,MATCH("D6.24|"&amp;CC171,CODIFICACION!$F$2:$F$500,0))),"⚠"))</f>
        <v/>
      </c>
      <c r="AY171" t="str">
        <f ca="1">IF(CD171="","",IFERROR(IF(INDEX(CODIFICACION!$E$2:$E$500,MATCH("D6.25|"&amp;CD171,CODIFICACION!$F$2:$F$500,0))="sin dato","",INDEX(CODIFICACION!$E$2:$E$500,MATCH("D6.25|"&amp;CD171,CODIFICACION!$F$2:$F$500,0))),"⚠"))</f>
        <v/>
      </c>
      <c r="AZ171" t="str">
        <f>IF(CE171="","",IFERROR(IF(INDEX(CODIFICACION!$E$2:$E$500,MATCH("D6.25a|"&amp;CE171,CODIFICACION!$F$2:$F$500,0))="sin dato","",INDEX(CODIFICACION!$E$2:$E$500,MATCH("D6.25a|"&amp;CE171,CODIFICACION!$F$2:$F$500,0))),"⚠"))</f>
        <v/>
      </c>
      <c r="BA171" t="str">
        <f>IF(CF171="","",IFERROR(IF(INDEX(CODIFICACION!$E$2:$E$500,MATCH("D6.25b|"&amp;CF171,CODIFICACION!$F$2:$F$500,0))="sin dato","",INDEX(CODIFICACION!$E$2:$E$500,MATCH("D6.25b|"&amp;CF171,CODIFICACION!$F$2:$F$500,0))),"⚠"))</f>
        <v/>
      </c>
      <c r="BB171" t="str">
        <f ca="1">IF(CG171="","",IFERROR(IF(INDEX(CODIFICACION!$E$2:$E$500,MATCH("D6.22c|"&amp;CG171,CODIFICACION!$F$2:$F$500,0))="sin dato","",INDEX(CODIFICACION!$E$2:$E$500,MATCH("D6.22c|"&amp;CG171,CODIFICACION!$F$2:$F$500,0))),"⚠"))</f>
        <v/>
      </c>
      <c r="BC171" t="str">
        <f ca="1">IF(CH171="","",IFERROR(IF(INDEX(CODIFICACION!$E$2:$E$500,MATCH("D7.26|"&amp;CH171,CODIFICACION!$F$2:$F$500,0))="sin dato","",INDEX(CODIFICACION!$E$2:$E$500,MATCH("D7.26|"&amp;CH171,CODIFICACION!$F$2:$F$500,0))),"⚠"))</f>
        <v/>
      </c>
      <c r="BD171" t="str">
        <f>IF(CI171="","",IFERROR(IF(INDEX(CODIFICACION!$E$2:$E$500,MATCH("D7.27|"&amp;CI171,CODIFICACION!$F$2:$F$500,0))="sin dato","",INDEX(CODIFICACION!$E$2:$E$500,MATCH("D7.27|"&amp;CI171,CODIFICACION!$F$2:$F$500,0))),"⚠"))</f>
        <v/>
      </c>
      <c r="BE171" t="str">
        <f>IF(CJ171="","",IFERROR(IF(INDEX(CODIFICACION!$E$2:$E$500,MATCH("D7.28|"&amp;CJ171,CODIFICACION!$F$2:$F$500,0))="sin dato","",INDEX(CODIFICACION!$E$2:$E$500,MATCH("D7.28|"&amp;CJ171,CODIFICACION!$F$2:$F$500,0))),"⚠"))</f>
        <v/>
      </c>
      <c r="BF171" t="str">
        <f>IF(CK171="","",IFERROR(IF(INDEX(CODIFICACION!$E$2:$E$500,MATCH("D7.28b|"&amp;CK171,CODIFICACION!$F$2:$F$500,0))="sin dato","",INDEX(CODIFICACION!$E$2:$E$500,MATCH("D7.28b|"&amp;CK171,CODIFICACION!$F$2:$F$500,0))),"⚠"))</f>
        <v/>
      </c>
      <c r="BG171" t="str">
        <f t="shared" si="135"/>
        <v/>
      </c>
      <c r="BH171" t="str">
        <f>IF(CM171="","",IFERROR(IF(INDEX(CODIFICACION!$E$2:$E$500,MATCH("D7.26a|"&amp;CM171,CODIFICACION!$F$2:$F$500,0))="sin dato","",INDEX(CODIFICACION!$E$2:$E$500,MATCH("D7.26a|"&amp;CM171,CODIFICACION!$F$2:$F$500,0))),"⚠"))</f>
        <v/>
      </c>
      <c r="BI171" t="str">
        <f>IF(CN171="","",IFERROR(IF(INDEX(CODIFICACION!$E$2:$E$500,MATCH("D7.26b|"&amp;CN171,CODIFICACION!$F$2:$F$500,0))="sin dato","",INDEX(CODIFICACION!$E$2:$E$500,MATCH("D7.26b|"&amp;CN171,CODIFICACION!$F$2:$F$500,0))),"⚠"))</f>
        <v/>
      </c>
      <c r="BJ171" t="str">
        <f t="shared" si="136"/>
        <v/>
      </c>
      <c r="BK171" t="str">
        <f t="shared" si="137"/>
        <v/>
      </c>
      <c r="BL171" t="str">
        <f>IF(CQ171="","",IFERROR(IF(INDEX(CODIFICACION!$E$2:$E$500,MATCH("D8.31|"&amp;CQ171,CODIFICACION!$F$2:$F$500,0))="sin dato","",INDEX(CODIFICACION!$E$2:$E$500,MATCH("D8.31|"&amp;CQ171,CODIFICACION!$F$2:$F$500,0))),"⚠"))</f>
        <v/>
      </c>
      <c r="BM171" t="str">
        <f>IF(CR171="","",IFERROR(IF(INDEX(CODIFICACION!$E$2:$E$500,MATCH("D8.32|"&amp;CR171,CODIFICACION!$F$2:$F$500,0))="sin dato","",INDEX(CODIFICACION!$E$2:$E$500,MATCH("D8.32|"&amp;CR171,CODIFICACION!$F$2:$F$500,0))),"⚠"))</f>
        <v/>
      </c>
      <c r="BN171" t="str">
        <f>IF(CS171="","",IFERROR(IF(INDEX(CODIFICACION!$E$2:$E$500,MATCH("D9.33|"&amp;CS171,CODIFICACION!$F$2:$F$500,0))="sin dato","",INDEX(CODIFICACION!$E$2:$E$500,MATCH("D9.33|"&amp;CS171,CODIFICACION!$F$2:$F$500,0))),"⚠"))</f>
        <v/>
      </c>
      <c r="BO171" t="str">
        <f>IF(CT171="","",IFERROR(IF(INDEX(CODIFICACION!$E$2:$E$500,MATCH("D9.34|"&amp;CT171,CODIFICACION!$F$2:$F$500,0))="sin dato","",INDEX(CODIFICACION!$E$2:$E$500,MATCH("D9.34|"&amp;CT171,CODIFICACION!$F$2:$F$500,0))),"⚠"))</f>
        <v/>
      </c>
      <c r="BP171" t="str">
        <f>IF(CU171="","",IFERROR(IF(INDEX(CODIFICACION!$E$2:$E$500,MATCH("D9.35|"&amp;CU171,CODIFICACION!$F$2:$F$500,0))="sin dato","",INDEX(CODIFICACION!$E$2:$E$500,MATCH("D9.35|"&amp;CU171,CODIFICACION!$F$2:$F$500,0))),"⚠"))</f>
        <v/>
      </c>
      <c r="BQ171" t="str">
        <f>IF(CV171="","",IFERROR(IF(INDEX(CODIFICACION!$E$2:$E$500,MATCH("D10.36|"&amp;CV171,CODIFICACION!$F$2:$F$500,0))="sin dato","",INDEX(CODIFICACION!$E$2:$E$500,MATCH("D10.36|"&amp;CV171,CODIFICACION!$F$2:$F$500,0))),"⚠"))</f>
        <v/>
      </c>
      <c r="BR171" t="str">
        <f>IF(CW171="","",IFERROR(IF(INDEX(CODIFICACION!$E$2:$E$500,MATCH("D10.37|"&amp;CW171,CODIFICACION!$F$2:$F$500,0))="sin dato","",INDEX(CODIFICACION!$E$2:$E$500,MATCH("D10.37|"&amp;CW171,CODIFICACION!$F$2:$F$500,0))),"⚠"))</f>
        <v/>
      </c>
      <c r="BS171" t="str">
        <f>IF(CX171="","",IFERROR(IF(INDEX(CODIFICACION!$E$2:$E$500,MATCH("D10.36a|"&amp;CX171,CODIFICACION!$F$2:$F$500,0))="sin dato","",INDEX(CODIFICACION!$E$2:$E$500,MATCH("D10.36a|"&amp;CX171,CODIFICACION!$F$2:$F$500,0))),"⚠"))</f>
        <v/>
      </c>
      <c r="BT171" t="str">
        <f t="shared" si="138"/>
        <v/>
      </c>
      <c r="BU171" t="str">
        <f>IF(DA171="","",IFERROR(IF(INDEX(CODIFICACION!$E$2:$E$500,MATCH("D11.39a|"&amp;DA171,CODIFICACION!$F$2:$F$500,0))="sin dato","",INDEX(CODIFICACION!$E$2:$E$500,MATCH("D11.39a|"&amp;DA171,CODIFICACION!$F$2:$F$500,0))),"⚠"))</f>
        <v/>
      </c>
      <c r="BV171" t="str">
        <f>IF(DB171="","",IFERROR(IF(INDEX(CODIFICACION!$E$2:$E$500,MATCH("D12.42|"&amp;DB171,CODIFICACION!$F$2:$F$500,0))="sin dato","",INDEX(CODIFICACION!$E$2:$E$500,MATCH("D12.42|"&amp;DB171,CODIFICACION!$F$2:$F$500,0))),"⚠"))</f>
        <v/>
      </c>
      <c r="BW171" t="str">
        <f>IF(DC171="","",IFERROR(IF(INDEX(CODIFICACION!$E$2:$E$500,MATCH("D13.45|"&amp;DC171,CODIFICACION!$F$2:$F$500,0))="sin dato","",INDEX(CODIFICACION!$E$2:$E$500,MATCH("D13.45|"&amp;DC171,CODIFICACION!$F$2:$F$500,0))),"⚠"))</f>
        <v/>
      </c>
      <c r="BX171" t="str">
        <f>IF(DD171="","",IFERROR(IF(INDEX(CODIFICACION!$E$2:$E$500,MATCH("D14.51|"&amp;DD171,CODIFICACION!$F$2:$F$500,0))="sin dato","",INDEX(CODIFICACION!$E$2:$E$500,MATCH("D14.51|"&amp;DD171,CODIFICACION!$F$2:$F$500,0))),"⚠"))</f>
        <v/>
      </c>
      <c r="BY171" t="str">
        <f>IF(DE171="","",IFERROR(IF(INDEX(CODIFICACION!$E$2:$E$500,MATCH("D15.58|"&amp;DE171,CODIFICACION!$F$2:$F$500,0))="sin dato","",INDEX(CODIFICACION!$E$2:$E$500,MATCH("D15.58|"&amp;DE171,CODIFICACION!$F$2:$F$500,0))),"⚠"))</f>
        <v/>
      </c>
      <c r="BZ171" t="str">
        <f>IF(DF171="","",IFERROR(IF(INDEX(CODIFICACION!$E$2:$E$500,MATCH("PP1|"&amp;DF171,CODIFICACION!$F$2:$F$500,0))="sin dato","",INDEX(CODIFICACION!$E$2:$E$500,MATCH("PP1|"&amp;DF171,CODIFICACION!$F$2:$F$500,0))),"⚠"))</f>
        <v/>
      </c>
      <c r="CA171" t="str">
        <f>IF(DG171="","",IFERROR(IF(INDEX(CODIFICACION!$E$2:$E$500,MATCH("PP2|"&amp;DG171,CODIFICACION!$F$2:$F$500,0))="sin dato","",INDEX(CODIFICACION!$E$2:$E$500,MATCH("PP2|"&amp;DG171,CODIFICACION!$F$2:$F$500,0))),"⚠"))</f>
        <v/>
      </c>
      <c r="CB171" t="str">
        <f t="shared" si="139"/>
        <v/>
      </c>
      <c r="CC171" t="str">
        <f t="shared" ca="1" si="140"/>
        <v/>
      </c>
      <c r="CD171" t="str">
        <f t="shared" ca="1" si="141"/>
        <v/>
      </c>
      <c r="CE171" t="str">
        <f t="shared" si="142"/>
        <v/>
      </c>
      <c r="CF171" t="str">
        <f t="shared" si="143"/>
        <v/>
      </c>
      <c r="CG171" t="str">
        <f t="shared" ca="1" si="144"/>
        <v/>
      </c>
      <c r="CH171" t="str">
        <f t="shared" ca="1" si="145"/>
        <v/>
      </c>
      <c r="CI171" t="str">
        <f t="shared" si="146"/>
        <v/>
      </c>
      <c r="CJ171" t="str">
        <f t="shared" si="147"/>
        <v/>
      </c>
      <c r="CK171" t="str">
        <f t="shared" si="148"/>
        <v/>
      </c>
      <c r="CL171" t="str">
        <f t="shared" si="149"/>
        <v/>
      </c>
    </row>
    <row r="172" spans="1:90" x14ac:dyDescent="0.3">
      <c r="A172">
        <f>CAPTURA!A172</f>
        <v>20610739491</v>
      </c>
      <c r="B172">
        <f>CAPTURA!C172</f>
        <v>0</v>
      </c>
      <c r="C172" t="str">
        <f t="shared" si="125"/>
        <v/>
      </c>
      <c r="D172" t="str">
        <f>IF(AE172="","",IFERROR(IF(INDEX(CODIFICACION!$E$2:$E$500,MATCH("P8|"&amp;AE172,CODIFICACION!$F$2:$F$500,0))="sin dato","",INDEX(CODIFICACION!$E$2:$E$500,MATCH("P8|"&amp;AE172,CODIFICACION!$F$2:$F$500,0))),"⚠"))</f>
        <v/>
      </c>
      <c r="E172" t="str">
        <f>IF(AG172="","",IFERROR(IF(INDEX(CODIFICACION!$E$2:$E$500,MATCH("P10|"&amp;AG172,CODIFICACION!$F$2:$F$500,0))="sin dato","",INDEX(CODIFICACION!$E$2:$E$500,MATCH("P10|"&amp;AG172,CODIFICACION!$F$2:$F$500,0))),"⚠"))</f>
        <v/>
      </c>
      <c r="F172" t="str">
        <f>IF(AJ172="","",IFERROR(IF(INDEX(CODIFICACION!$E$2:$E$500,MATCH("P13|"&amp;AJ172,CODIFICACION!$F$2:$F$500,0))="sin dato","",INDEX(CODIFICACION!$E$2:$E$500,MATCH("P13|"&amp;AJ172,CODIFICACION!$F$2:$F$500,0))),"⚠"))</f>
        <v/>
      </c>
      <c r="G172" t="str">
        <f>IF(AK172="","",IFERROR(IF(INDEX(CODIFICACION!$E$2:$E$500,MATCH("P14|"&amp;AK172,CODIFICACION!$F$2:$F$500,0))="sin dato","",INDEX(CODIFICACION!$E$2:$E$500,MATCH("P14|"&amp;AK172,CODIFICACION!$F$2:$F$500,0))),"⚠"))</f>
        <v/>
      </c>
      <c r="H172" t="str">
        <f>IF(AL172="","",IFERROR(IF(INDEX(CODIFICACION!$E$2:$E$500,MATCH("D1.1|"&amp;AL172,CODIFICACION!$F$2:$F$500,0))="sin dato","",INDEX(CODIFICACION!$E$2:$E$500,MATCH("D1.1|"&amp;AL172,CODIFICACION!$F$2:$F$500,0))),"⚠"))</f>
        <v/>
      </c>
      <c r="I172" t="str">
        <f>IF(AN172="","",IFERROR(IF(INDEX(CODIFICACION!$E$2:$E$500,MATCH("D1.3|"&amp;AN172,CODIFICACION!$F$2:$F$500,0))="sin dato","",INDEX(CODIFICACION!$E$2:$E$500,MATCH("D1.3|"&amp;AN172,CODIFICACION!$F$2:$F$500,0))),"⚠"))</f>
        <v/>
      </c>
      <c r="J172" t="str">
        <f>IF(AO172="","",IFERROR(IF(INDEX(CODIFICACION!$E$2:$E$500,MATCH("D1.4|"&amp;AO172,CODIFICACION!$F$2:$F$500,0))="sin dato","",INDEX(CODIFICACION!$E$2:$E$500,MATCH("D1.4|"&amp;AO172,CODIFICACION!$F$2:$F$500,0))),"⚠"))</f>
        <v/>
      </c>
      <c r="K172" t="str">
        <f>IF(AP172="","",IFERROR(IF(INDEX(CODIFICACION!$E$2:$E$500,MATCH("D1.3a|"&amp;AP172,CODIFICACION!$F$2:$F$500,0))="sin dato","",INDEX(CODIFICACION!$E$2:$E$500,MATCH("D1.3a|"&amp;AP172,CODIFICACION!$F$2:$F$500,0))),"⚠"))</f>
        <v/>
      </c>
      <c r="L172" t="str">
        <f t="shared" si="126"/>
        <v/>
      </c>
      <c r="M172" t="str">
        <f t="shared" si="127"/>
        <v/>
      </c>
      <c r="N172" t="str">
        <f t="shared" si="128"/>
        <v/>
      </c>
      <c r="O172" t="str">
        <f>IF(AT172="","",IFERROR(IF(INDEX(CODIFICACION!$E$2:$E$500,MATCH("D2.8|"&amp;AT172,CODIFICACION!$F$2:$F$500,0))="sin dato","",INDEX(CODIFICACION!$E$2:$E$500,MATCH("D2.8|"&amp;AT172,CODIFICACION!$F$2:$F$500,0))),"⚠"))</f>
        <v/>
      </c>
      <c r="P172" t="str">
        <f>IF(AU172="","",IFERROR(IF(INDEX(CODIFICACION!$E$2:$E$500,MATCH("D2.9|"&amp;AU172,CODIFICACION!$F$2:$F$500,0))="sin dato","",INDEX(CODIFICACION!$E$2:$E$500,MATCH("D2.9|"&amp;AU172,CODIFICACION!$F$2:$F$500,0))),"⚠"))</f>
        <v/>
      </c>
      <c r="Q172" t="str">
        <f>IF(AV172="","",IFERROR(IF(INDEX(CODIFICACION!$E$2:$E$500,MATCH("D2.10|"&amp;AV172,CODIFICACION!$F$2:$F$500,0))="sin dato","",INDEX(CODIFICACION!$E$2:$E$500,MATCH("D2.10|"&amp;AV172,CODIFICACION!$F$2:$F$500,0))),"⚠"))</f>
        <v/>
      </c>
      <c r="R172" t="str">
        <f>IF(AW172="","",IFERROR(IF(INDEX(CODIFICACION!$E$2:$E$500,MATCH("D2.5a|"&amp;AW172,CODIFICACION!$F$2:$F$500,0))="sin dato","",INDEX(CODIFICACION!$E$2:$E$500,MATCH("D2.5a|"&amp;AW172,CODIFICACION!$F$2:$F$500,0))),"⚠"))</f>
        <v/>
      </c>
      <c r="S172" t="str">
        <f ca="1">IF(AX172="","",IFERROR(IF(INDEX(CODIFICACION!$E$2:$E$500,MATCH("D2.5b|"&amp;AX172,CODIFICACION!$F$2:$F$500,0))="sin dato","",INDEX(CODIFICACION!$E$2:$E$500,MATCH("D2.5b|"&amp;AX172,CODIFICACION!$F$2:$F$500,0))),"⚠"))</f>
        <v/>
      </c>
      <c r="T172" t="str">
        <f t="shared" ca="1" si="129"/>
        <v/>
      </c>
      <c r="U172" t="str">
        <f>IF(AZ172="","",IFERROR(IF(INDEX(CODIFICACION!$E$2:$E$500,MATCH("D3.12|"&amp;AZ172,CODIFICACION!$F$2:$F$500,0))="sin dato","",INDEX(CODIFICACION!$E$2:$E$500,MATCH("D3.12|"&amp;AZ172,CODIFICACION!$F$2:$F$500,0))),"⚠"))</f>
        <v/>
      </c>
      <c r="V172" t="str">
        <f t="shared" si="130"/>
        <v/>
      </c>
      <c r="W172" t="str">
        <f ca="1">IF(BB172="","",IFERROR(IF(INDEX(CODIFICACION!$E$2:$E$500,MATCH("D3.14|"&amp;BB172,CODIFICACION!$F$2:$F$500,0))="sin dato","",INDEX(CODIFICACION!$E$2:$E$500,MATCH("D3.14|"&amp;BB172,CODIFICACION!$F$2:$F$500,0))),"⚠"))</f>
        <v/>
      </c>
      <c r="X172" t="str">
        <f ca="1">IF(BC172="","",IFERROR(IF(INDEX(CODIFICACION!$E$2:$E$500,MATCH("D3.14a|"&amp;BC172,CODIFICACION!$F$2:$F$500,0))="sin dato","",INDEX(CODIFICACION!$E$2:$E$500,MATCH("D3.14a|"&amp;BC172,CODIFICACION!$F$2:$F$500,0))),"⚠"))</f>
        <v/>
      </c>
      <c r="Y172" t="str">
        <f>IF(BD172="","",IFERROR(IF(INDEX(CODIFICACION!$E$2:$E$500,MATCH("D3.14b|"&amp;BD172,CODIFICACION!$F$2:$F$500,0))="sin dato","",INDEX(CODIFICACION!$E$2:$E$500,MATCH("D3.14b|"&amp;BD172,CODIFICACION!$F$2:$F$500,0))),"⚠"))</f>
        <v/>
      </c>
      <c r="Z172" t="str">
        <f>IF(BE172="","",IFERROR(IF(INDEX(CODIFICACION!$E$2:$E$500,MATCH("D3.14c|"&amp;BE172,CODIFICACION!$F$2:$F$500,0))="sin dato","",INDEX(CODIFICACION!$E$2:$E$500,MATCH("D3.14c|"&amp;BE172,CODIFICACION!$F$2:$F$500,0))),"⚠"))</f>
        <v/>
      </c>
      <c r="AA172" t="str">
        <f>IF(BF172="","",IFERROR(IF(INDEX(CODIFICACION!$E$2:$E$500,MATCH("D3.14d|"&amp;BF172,CODIFICACION!$F$2:$F$500,0))="sin dato","",INDEX(CODIFICACION!$E$2:$E$500,MATCH("D3.14d|"&amp;BF172,CODIFICACION!$F$2:$F$500,0))),"⚠"))</f>
        <v/>
      </c>
      <c r="AB172" t="str">
        <f>IF(BG172="","",IFERROR(IF(INDEX(CODIFICACION!$E$2:$E$500,MATCH("D3.14e|"&amp;BG172,CODIFICACION!$F$2:$F$500,0))="sin dato","",INDEX(CODIFICACION!$E$2:$E$500,MATCH("D3.14e|"&amp;BG172,CODIFICACION!$F$2:$F$500,0))),"⚠"))</f>
        <v/>
      </c>
      <c r="AC172" t="str">
        <f>IF(BH172="","",IFERROR(IF(INDEX(CODIFICACION!$E$2:$E$500,MATCH("D3.14f|"&amp;BH172,CODIFICACION!$F$2:$F$500,0))="sin dato","",INDEX(CODIFICACION!$E$2:$E$500,MATCH("D3.14f|"&amp;BH172,CODIFICACION!$F$2:$F$500,0))),"⚠"))</f>
        <v/>
      </c>
      <c r="AD172" t="str">
        <f>IF(BI172="","",IFERROR(IF(INDEX(CODIFICACION!$E$2:$E$500,MATCH("D3.14g|"&amp;BI172,CODIFICACION!$F$2:$F$500,0))="sin dato","",INDEX(CODIFICACION!$E$2:$E$500,MATCH("D3.14g|"&amp;BI172,CODIFICACION!$F$2:$F$500,0))),"⚠"))</f>
        <v/>
      </c>
      <c r="AE172" t="str">
        <f>IF(BJ172="","",IFERROR(IF(INDEX(CODIFICACION!$E$2:$E$500,MATCH("D3.14h|"&amp;BJ172,CODIFICACION!$F$2:$F$500,0))="sin dato","",INDEX(CODIFICACION!$E$2:$E$500,MATCH("D3.14h|"&amp;BJ172,CODIFICACION!$F$2:$F$500,0))),"⚠"))</f>
        <v/>
      </c>
      <c r="AF172" t="str">
        <f>IF(BK172="","",IFERROR(IF(INDEX(CODIFICACION!$E$2:$E$500,MATCH("D3.14i|"&amp;BK172,CODIFICACION!$F$2:$F$500,0))="sin dato","",INDEX(CODIFICACION!$E$2:$E$500,MATCH("D3.14i|"&amp;BK172,CODIFICACION!$F$2:$F$500,0))),"⚠"))</f>
        <v/>
      </c>
      <c r="AG172" t="str">
        <f>IF(BL172="","",IFERROR(IF(INDEX(CODIFICACION!$E$2:$E$500,MATCH("D4.15|"&amp;BL172,CODIFICACION!$F$2:$F$500,0))="sin dato","",INDEX(CODIFICACION!$E$2:$E$500,MATCH("D4.15|"&amp;BL172,CODIFICACION!$F$2:$F$500,0))),"⚠"))</f>
        <v/>
      </c>
      <c r="AH172" t="str">
        <f t="shared" si="131"/>
        <v/>
      </c>
      <c r="AI172" t="str">
        <f>IF(BN172="","",IFERROR(IF(INDEX(CODIFICACION!$E$2:$E$500,MATCH("D4.17|"&amp;BN172,CODIFICACION!$F$2:$F$500,0))="sin dato","",INDEX(CODIFICACION!$E$2:$E$500,MATCH("D4.17|"&amp;BN172,CODIFICACION!$F$2:$F$500,0))),"⚠"))</f>
        <v/>
      </c>
      <c r="AJ172" t="str">
        <f>IF(BO172="","",IFERROR(IF(INDEX(CODIFICACION!$E$2:$E$500,MATCH("D4.15a|"&amp;BO172,CODIFICACION!$F$2:$F$500,0))="sin dato","",INDEX(CODIFICACION!$E$2:$E$500,MATCH("D4.15a|"&amp;BO172,CODIFICACION!$F$2:$F$500,0))),"⚠"))</f>
        <v/>
      </c>
      <c r="AK172" t="str">
        <f t="shared" si="132"/>
        <v/>
      </c>
      <c r="AL172" t="str">
        <f t="shared" si="133"/>
        <v/>
      </c>
      <c r="AM172" t="str">
        <f>IF(BR172="","",IFERROR(IF(INDEX(CODIFICACION!$E$2:$E$500,MATCH("D5.18b|"&amp;BR172,CODIFICACION!$F$2:$F$500,0))="sin dato","",INDEX(CODIFICACION!$E$2:$E$500,MATCH("D5.18b|"&amp;BR172,CODIFICACION!$F$2:$F$500,0))),"⚠"))</f>
        <v/>
      </c>
      <c r="AN172" t="str">
        <f>IF(BS172="","",IFERROR(IF(INDEX(CODIFICACION!$E$2:$E$500,MATCH("D5.19|"&amp;BS172,CODIFICACION!$F$2:$F$500,0))="sin dato","",INDEX(CODIFICACION!$E$2:$E$500,MATCH("D5.19|"&amp;BS172,CODIFICACION!$F$2:$F$500,0))),"⚠"))</f>
        <v/>
      </c>
      <c r="AO172" t="str">
        <f t="shared" si="134"/>
        <v/>
      </c>
      <c r="AP172" t="str">
        <f>IF(BU172="","",IFERROR(IF(INDEX(CODIFICACION!$E$2:$E$500,MATCH("D5.20|"&amp;BU172,CODIFICACION!$F$2:$F$500,0))="sin dato","",INDEX(CODIFICACION!$E$2:$E$500,MATCH("D5.20|"&amp;BU172,CODIFICACION!$F$2:$F$500,0))),"⚠"))</f>
        <v/>
      </c>
      <c r="AQ172" t="str">
        <f>IF(BV172="","",IFERROR(IF(INDEX(CODIFICACION!$E$2:$E$500,MATCH("D5.21|"&amp;BV172,CODIFICACION!$F$2:$F$500,0))="sin dato","",INDEX(CODIFICACION!$E$2:$E$500,MATCH("D5.21|"&amp;BV172,CODIFICACION!$F$2:$F$500,0))),"⚠"))</f>
        <v/>
      </c>
      <c r="AR172" t="str">
        <f>IF(BW172="","",IFERROR(IF(INDEX(CODIFICACION!$E$2:$E$500,MATCH("D5.21a|"&amp;BW172,CODIFICACION!$F$2:$F$500,0))="sin dato","",INDEX(CODIFICACION!$E$2:$E$500,MATCH("D5.21a|"&amp;BW172,CODIFICACION!$F$2:$F$500,0))),"⚠"))</f>
        <v/>
      </c>
      <c r="AS172" t="str">
        <f>IF(BX172="","",IFERROR(IF(INDEX(CODIFICACION!$E$2:$E$500,MATCH("D5.21b|"&amp;BX172,CODIFICACION!$F$2:$F$500,0))="sin dato","",INDEX(CODIFICACION!$E$2:$E$500,MATCH("D5.21b|"&amp;BX172,CODIFICACION!$F$2:$F$500,0))),"⚠"))</f>
        <v/>
      </c>
      <c r="AT172" t="str">
        <f>IF(BY172="","",IFERROR(IF(INDEX(CODIFICACION!$E$2:$E$500,MATCH("D6.22|"&amp;BY172,CODIFICACION!$F$2:$F$500,0))="sin dato","",INDEX(CODIFICACION!$E$2:$E$500,MATCH("D6.22|"&amp;BY172,CODIFICACION!$F$2:$F$500,0))),"⚠"))</f>
        <v/>
      </c>
      <c r="AU172" t="str">
        <f>IF(BZ172="","",IFERROR(IF(INDEX(CODIFICACION!$E$2:$E$500,MATCH("D6.22a|"&amp;BZ172,CODIFICACION!$F$2:$F$500,0))="sin dato","",INDEX(CODIFICACION!$E$2:$E$500,MATCH("D6.22a|"&amp;BZ172,CODIFICACION!$F$2:$F$500,0))),"⚠"))</f>
        <v/>
      </c>
      <c r="AV172" t="str">
        <f>IF(CA172="","",IFERROR(IF(INDEX(CODIFICACION!$E$2:$E$500,MATCH("D6.22b|"&amp;CA172,CODIFICACION!$F$2:$F$500,0))="sin dato","",INDEX(CODIFICACION!$E$2:$E$500,MATCH("D6.22b|"&amp;CA172,CODIFICACION!$F$2:$F$500,0))),"⚠"))</f>
        <v/>
      </c>
      <c r="AW172" t="str">
        <f>IF(CB172="","",IFERROR(IF(INDEX(CODIFICACION!$E$2:$E$500,MATCH("D6.23|"&amp;CB172,CODIFICACION!$F$2:$F$500,0))="sin dato","",INDEX(CODIFICACION!$E$2:$E$500,MATCH("D6.23|"&amp;CB172,CODIFICACION!$F$2:$F$500,0))),"⚠"))</f>
        <v/>
      </c>
      <c r="AX172" t="str">
        <f ca="1">IF(CC172="","",IFERROR(IF(INDEX(CODIFICACION!$E$2:$E$500,MATCH("D6.24|"&amp;CC172,CODIFICACION!$F$2:$F$500,0))="sin dato","",INDEX(CODIFICACION!$E$2:$E$500,MATCH("D6.24|"&amp;CC172,CODIFICACION!$F$2:$F$500,0))),"⚠"))</f>
        <v/>
      </c>
      <c r="AY172" t="str">
        <f ca="1">IF(CD172="","",IFERROR(IF(INDEX(CODIFICACION!$E$2:$E$500,MATCH("D6.25|"&amp;CD172,CODIFICACION!$F$2:$F$500,0))="sin dato","",INDEX(CODIFICACION!$E$2:$E$500,MATCH("D6.25|"&amp;CD172,CODIFICACION!$F$2:$F$500,0))),"⚠"))</f>
        <v/>
      </c>
      <c r="AZ172" t="str">
        <f>IF(CE172="","",IFERROR(IF(INDEX(CODIFICACION!$E$2:$E$500,MATCH("D6.25a|"&amp;CE172,CODIFICACION!$F$2:$F$500,0))="sin dato","",INDEX(CODIFICACION!$E$2:$E$500,MATCH("D6.25a|"&amp;CE172,CODIFICACION!$F$2:$F$500,0))),"⚠"))</f>
        <v/>
      </c>
      <c r="BA172" t="str">
        <f>IF(CF172="","",IFERROR(IF(INDEX(CODIFICACION!$E$2:$E$500,MATCH("D6.25b|"&amp;CF172,CODIFICACION!$F$2:$F$500,0))="sin dato","",INDEX(CODIFICACION!$E$2:$E$500,MATCH("D6.25b|"&amp;CF172,CODIFICACION!$F$2:$F$500,0))),"⚠"))</f>
        <v/>
      </c>
      <c r="BB172" t="str">
        <f ca="1">IF(CG172="","",IFERROR(IF(INDEX(CODIFICACION!$E$2:$E$500,MATCH("D6.22c|"&amp;CG172,CODIFICACION!$F$2:$F$500,0))="sin dato","",INDEX(CODIFICACION!$E$2:$E$500,MATCH("D6.22c|"&amp;CG172,CODIFICACION!$F$2:$F$500,0))),"⚠"))</f>
        <v/>
      </c>
      <c r="BC172" t="str">
        <f ca="1">IF(CH172="","",IFERROR(IF(INDEX(CODIFICACION!$E$2:$E$500,MATCH("D7.26|"&amp;CH172,CODIFICACION!$F$2:$F$500,0))="sin dato","",INDEX(CODIFICACION!$E$2:$E$500,MATCH("D7.26|"&amp;CH172,CODIFICACION!$F$2:$F$500,0))),"⚠"))</f>
        <v/>
      </c>
      <c r="BD172" t="str">
        <f>IF(CI172="","",IFERROR(IF(INDEX(CODIFICACION!$E$2:$E$500,MATCH("D7.27|"&amp;CI172,CODIFICACION!$F$2:$F$500,0))="sin dato","",INDEX(CODIFICACION!$E$2:$E$500,MATCH("D7.27|"&amp;CI172,CODIFICACION!$F$2:$F$500,0))),"⚠"))</f>
        <v/>
      </c>
      <c r="BE172" t="str">
        <f>IF(CJ172="","",IFERROR(IF(INDEX(CODIFICACION!$E$2:$E$500,MATCH("D7.28|"&amp;CJ172,CODIFICACION!$F$2:$F$500,0))="sin dato","",INDEX(CODIFICACION!$E$2:$E$500,MATCH("D7.28|"&amp;CJ172,CODIFICACION!$F$2:$F$500,0))),"⚠"))</f>
        <v/>
      </c>
      <c r="BF172" t="str">
        <f>IF(CK172="","",IFERROR(IF(INDEX(CODIFICACION!$E$2:$E$500,MATCH("D7.28b|"&amp;CK172,CODIFICACION!$F$2:$F$500,0))="sin dato","",INDEX(CODIFICACION!$E$2:$E$500,MATCH("D7.28b|"&amp;CK172,CODIFICACION!$F$2:$F$500,0))),"⚠"))</f>
        <v/>
      </c>
      <c r="BG172" t="str">
        <f t="shared" si="135"/>
        <v/>
      </c>
      <c r="BH172" t="str">
        <f>IF(CM172="","",IFERROR(IF(INDEX(CODIFICACION!$E$2:$E$500,MATCH("D7.26a|"&amp;CM172,CODIFICACION!$F$2:$F$500,0))="sin dato","",INDEX(CODIFICACION!$E$2:$E$500,MATCH("D7.26a|"&amp;CM172,CODIFICACION!$F$2:$F$500,0))),"⚠"))</f>
        <v/>
      </c>
      <c r="BI172" t="str">
        <f>IF(CN172="","",IFERROR(IF(INDEX(CODIFICACION!$E$2:$E$500,MATCH("D7.26b|"&amp;CN172,CODIFICACION!$F$2:$F$500,0))="sin dato","",INDEX(CODIFICACION!$E$2:$E$500,MATCH("D7.26b|"&amp;CN172,CODIFICACION!$F$2:$F$500,0))),"⚠"))</f>
        <v/>
      </c>
      <c r="BJ172" t="str">
        <f t="shared" si="136"/>
        <v/>
      </c>
      <c r="BK172" t="str">
        <f t="shared" si="137"/>
        <v/>
      </c>
      <c r="BL172" t="str">
        <f>IF(CQ172="","",IFERROR(IF(INDEX(CODIFICACION!$E$2:$E$500,MATCH("D8.31|"&amp;CQ172,CODIFICACION!$F$2:$F$500,0))="sin dato","",INDEX(CODIFICACION!$E$2:$E$500,MATCH("D8.31|"&amp;CQ172,CODIFICACION!$F$2:$F$500,0))),"⚠"))</f>
        <v/>
      </c>
      <c r="BM172" t="str">
        <f>IF(CR172="","",IFERROR(IF(INDEX(CODIFICACION!$E$2:$E$500,MATCH("D8.32|"&amp;CR172,CODIFICACION!$F$2:$F$500,0))="sin dato","",INDEX(CODIFICACION!$E$2:$E$500,MATCH("D8.32|"&amp;CR172,CODIFICACION!$F$2:$F$500,0))),"⚠"))</f>
        <v/>
      </c>
      <c r="BN172" t="str">
        <f>IF(CS172="","",IFERROR(IF(INDEX(CODIFICACION!$E$2:$E$500,MATCH("D9.33|"&amp;CS172,CODIFICACION!$F$2:$F$500,0))="sin dato","",INDEX(CODIFICACION!$E$2:$E$500,MATCH("D9.33|"&amp;CS172,CODIFICACION!$F$2:$F$500,0))),"⚠"))</f>
        <v/>
      </c>
      <c r="BO172" t="str">
        <f>IF(CT172="","",IFERROR(IF(INDEX(CODIFICACION!$E$2:$E$500,MATCH("D9.34|"&amp;CT172,CODIFICACION!$F$2:$F$500,0))="sin dato","",INDEX(CODIFICACION!$E$2:$E$500,MATCH("D9.34|"&amp;CT172,CODIFICACION!$F$2:$F$500,0))),"⚠"))</f>
        <v/>
      </c>
      <c r="BP172" t="str">
        <f>IF(CU172="","",IFERROR(IF(INDEX(CODIFICACION!$E$2:$E$500,MATCH("D9.35|"&amp;CU172,CODIFICACION!$F$2:$F$500,0))="sin dato","",INDEX(CODIFICACION!$E$2:$E$500,MATCH("D9.35|"&amp;CU172,CODIFICACION!$F$2:$F$500,0))),"⚠"))</f>
        <v/>
      </c>
      <c r="BQ172" t="str">
        <f>IF(CV172="","",IFERROR(IF(INDEX(CODIFICACION!$E$2:$E$500,MATCH("D10.36|"&amp;CV172,CODIFICACION!$F$2:$F$500,0))="sin dato","",INDEX(CODIFICACION!$E$2:$E$500,MATCH("D10.36|"&amp;CV172,CODIFICACION!$F$2:$F$500,0))),"⚠"))</f>
        <v/>
      </c>
      <c r="BR172" t="str">
        <f>IF(CW172="","",IFERROR(IF(INDEX(CODIFICACION!$E$2:$E$500,MATCH("D10.37|"&amp;CW172,CODIFICACION!$F$2:$F$500,0))="sin dato","",INDEX(CODIFICACION!$E$2:$E$500,MATCH("D10.37|"&amp;CW172,CODIFICACION!$F$2:$F$500,0))),"⚠"))</f>
        <v/>
      </c>
      <c r="BS172" t="str">
        <f>IF(CX172="","",IFERROR(IF(INDEX(CODIFICACION!$E$2:$E$500,MATCH("D10.36a|"&amp;CX172,CODIFICACION!$F$2:$F$500,0))="sin dato","",INDEX(CODIFICACION!$E$2:$E$500,MATCH("D10.36a|"&amp;CX172,CODIFICACION!$F$2:$F$500,0))),"⚠"))</f>
        <v/>
      </c>
      <c r="BT172" t="str">
        <f t="shared" si="138"/>
        <v/>
      </c>
      <c r="BU172" t="str">
        <f>IF(DA172="","",IFERROR(IF(INDEX(CODIFICACION!$E$2:$E$500,MATCH("D11.39a|"&amp;DA172,CODIFICACION!$F$2:$F$500,0))="sin dato","",INDEX(CODIFICACION!$E$2:$E$500,MATCH("D11.39a|"&amp;DA172,CODIFICACION!$F$2:$F$500,0))),"⚠"))</f>
        <v/>
      </c>
      <c r="BV172" t="str">
        <f>IF(DB172="","",IFERROR(IF(INDEX(CODIFICACION!$E$2:$E$500,MATCH("D12.42|"&amp;DB172,CODIFICACION!$F$2:$F$500,0))="sin dato","",INDEX(CODIFICACION!$E$2:$E$500,MATCH("D12.42|"&amp;DB172,CODIFICACION!$F$2:$F$500,0))),"⚠"))</f>
        <v/>
      </c>
      <c r="BW172" t="str">
        <f>IF(DC172="","",IFERROR(IF(INDEX(CODIFICACION!$E$2:$E$500,MATCH("D13.45|"&amp;DC172,CODIFICACION!$F$2:$F$500,0))="sin dato","",INDEX(CODIFICACION!$E$2:$E$500,MATCH("D13.45|"&amp;DC172,CODIFICACION!$F$2:$F$500,0))),"⚠"))</f>
        <v/>
      </c>
      <c r="BX172" t="str">
        <f>IF(DD172="","",IFERROR(IF(INDEX(CODIFICACION!$E$2:$E$500,MATCH("D14.51|"&amp;DD172,CODIFICACION!$F$2:$F$500,0))="sin dato","",INDEX(CODIFICACION!$E$2:$E$500,MATCH("D14.51|"&amp;DD172,CODIFICACION!$F$2:$F$500,0))),"⚠"))</f>
        <v/>
      </c>
      <c r="BY172" t="str">
        <f>IF(DE172="","",IFERROR(IF(INDEX(CODIFICACION!$E$2:$E$500,MATCH("D15.58|"&amp;DE172,CODIFICACION!$F$2:$F$500,0))="sin dato","",INDEX(CODIFICACION!$E$2:$E$500,MATCH("D15.58|"&amp;DE172,CODIFICACION!$F$2:$F$500,0))),"⚠"))</f>
        <v/>
      </c>
      <c r="BZ172" t="str">
        <f>IF(DF172="","",IFERROR(IF(INDEX(CODIFICACION!$E$2:$E$500,MATCH("PP1|"&amp;DF172,CODIFICACION!$F$2:$F$500,0))="sin dato","",INDEX(CODIFICACION!$E$2:$E$500,MATCH("PP1|"&amp;DF172,CODIFICACION!$F$2:$F$500,0))),"⚠"))</f>
        <v/>
      </c>
      <c r="CA172" t="str">
        <f>IF(DG172="","",IFERROR(IF(INDEX(CODIFICACION!$E$2:$E$500,MATCH("PP2|"&amp;DG172,CODIFICACION!$F$2:$F$500,0))="sin dato","",INDEX(CODIFICACION!$E$2:$E$500,MATCH("PP2|"&amp;DG172,CODIFICACION!$F$2:$F$500,0))),"⚠"))</f>
        <v/>
      </c>
      <c r="CB172" t="str">
        <f t="shared" si="139"/>
        <v/>
      </c>
      <c r="CC172" t="str">
        <f t="shared" ca="1" si="140"/>
        <v/>
      </c>
      <c r="CD172" t="str">
        <f t="shared" ca="1" si="141"/>
        <v/>
      </c>
      <c r="CE172" t="str">
        <f t="shared" si="142"/>
        <v/>
      </c>
      <c r="CF172" t="str">
        <f t="shared" si="143"/>
        <v/>
      </c>
      <c r="CG172" t="str">
        <f t="shared" ca="1" si="144"/>
        <v/>
      </c>
      <c r="CH172" t="str">
        <f t="shared" ca="1" si="145"/>
        <v/>
      </c>
      <c r="CI172" t="str">
        <f t="shared" si="146"/>
        <v/>
      </c>
      <c r="CJ172" t="str">
        <f t="shared" si="147"/>
        <v/>
      </c>
      <c r="CK172" t="str">
        <f t="shared" si="148"/>
        <v/>
      </c>
      <c r="CL172" t="str">
        <f t="shared" si="149"/>
        <v/>
      </c>
    </row>
    <row r="173" spans="1:90" x14ac:dyDescent="0.3">
      <c r="A173">
        <f>CAPTURA!A173</f>
        <v>20610772553</v>
      </c>
      <c r="B173">
        <f>CAPTURA!C173</f>
        <v>0</v>
      </c>
      <c r="C173" t="str">
        <f t="shared" si="125"/>
        <v/>
      </c>
      <c r="D173" t="str">
        <f>IF(AE173="","",IFERROR(IF(INDEX(CODIFICACION!$E$2:$E$500,MATCH("P8|"&amp;AE173,CODIFICACION!$F$2:$F$500,0))="sin dato","",INDEX(CODIFICACION!$E$2:$E$500,MATCH("P8|"&amp;AE173,CODIFICACION!$F$2:$F$500,0))),"⚠"))</f>
        <v/>
      </c>
      <c r="E173" t="str">
        <f>IF(AG173="","",IFERROR(IF(INDEX(CODIFICACION!$E$2:$E$500,MATCH("P10|"&amp;AG173,CODIFICACION!$F$2:$F$500,0))="sin dato","",INDEX(CODIFICACION!$E$2:$E$500,MATCH("P10|"&amp;AG173,CODIFICACION!$F$2:$F$500,0))),"⚠"))</f>
        <v/>
      </c>
      <c r="F173" t="str">
        <f>IF(AJ173="","",IFERROR(IF(INDEX(CODIFICACION!$E$2:$E$500,MATCH("P13|"&amp;AJ173,CODIFICACION!$F$2:$F$500,0))="sin dato","",INDEX(CODIFICACION!$E$2:$E$500,MATCH("P13|"&amp;AJ173,CODIFICACION!$F$2:$F$500,0))),"⚠"))</f>
        <v/>
      </c>
      <c r="G173" t="str">
        <f>IF(AK173="","",IFERROR(IF(INDEX(CODIFICACION!$E$2:$E$500,MATCH("P14|"&amp;AK173,CODIFICACION!$F$2:$F$500,0))="sin dato","",INDEX(CODIFICACION!$E$2:$E$500,MATCH("P14|"&amp;AK173,CODIFICACION!$F$2:$F$500,0))),"⚠"))</f>
        <v/>
      </c>
      <c r="H173" t="str">
        <f>IF(AL173="","",IFERROR(IF(INDEX(CODIFICACION!$E$2:$E$500,MATCH("D1.1|"&amp;AL173,CODIFICACION!$F$2:$F$500,0))="sin dato","",INDEX(CODIFICACION!$E$2:$E$500,MATCH("D1.1|"&amp;AL173,CODIFICACION!$F$2:$F$500,0))),"⚠"))</f>
        <v/>
      </c>
      <c r="I173" t="str">
        <f>IF(AN173="","",IFERROR(IF(INDEX(CODIFICACION!$E$2:$E$500,MATCH("D1.3|"&amp;AN173,CODIFICACION!$F$2:$F$500,0))="sin dato","",INDEX(CODIFICACION!$E$2:$E$500,MATCH("D1.3|"&amp;AN173,CODIFICACION!$F$2:$F$500,0))),"⚠"))</f>
        <v/>
      </c>
      <c r="J173" t="str">
        <f>IF(AO173="","",IFERROR(IF(INDEX(CODIFICACION!$E$2:$E$500,MATCH("D1.4|"&amp;AO173,CODIFICACION!$F$2:$F$500,0))="sin dato","",INDEX(CODIFICACION!$E$2:$E$500,MATCH("D1.4|"&amp;AO173,CODIFICACION!$F$2:$F$500,0))),"⚠"))</f>
        <v/>
      </c>
      <c r="K173" t="str">
        <f>IF(AP173="","",IFERROR(IF(INDEX(CODIFICACION!$E$2:$E$500,MATCH("D1.3a|"&amp;AP173,CODIFICACION!$F$2:$F$500,0))="sin dato","",INDEX(CODIFICACION!$E$2:$E$500,MATCH("D1.3a|"&amp;AP173,CODIFICACION!$F$2:$F$500,0))),"⚠"))</f>
        <v/>
      </c>
      <c r="L173" t="str">
        <f t="shared" si="126"/>
        <v/>
      </c>
      <c r="M173" t="str">
        <f t="shared" si="127"/>
        <v/>
      </c>
      <c r="N173" t="str">
        <f t="shared" si="128"/>
        <v/>
      </c>
      <c r="O173" t="str">
        <f>IF(AT173="","",IFERROR(IF(INDEX(CODIFICACION!$E$2:$E$500,MATCH("D2.8|"&amp;AT173,CODIFICACION!$F$2:$F$500,0))="sin dato","",INDEX(CODIFICACION!$E$2:$E$500,MATCH("D2.8|"&amp;AT173,CODIFICACION!$F$2:$F$500,0))),"⚠"))</f>
        <v/>
      </c>
      <c r="P173" t="str">
        <f>IF(AU173="","",IFERROR(IF(INDEX(CODIFICACION!$E$2:$E$500,MATCH("D2.9|"&amp;AU173,CODIFICACION!$F$2:$F$500,0))="sin dato","",INDEX(CODIFICACION!$E$2:$E$500,MATCH("D2.9|"&amp;AU173,CODIFICACION!$F$2:$F$500,0))),"⚠"))</f>
        <v/>
      </c>
      <c r="Q173" t="str">
        <f>IF(AV173="","",IFERROR(IF(INDEX(CODIFICACION!$E$2:$E$500,MATCH("D2.10|"&amp;AV173,CODIFICACION!$F$2:$F$500,0))="sin dato","",INDEX(CODIFICACION!$E$2:$E$500,MATCH("D2.10|"&amp;AV173,CODIFICACION!$F$2:$F$500,0))),"⚠"))</f>
        <v/>
      </c>
      <c r="R173" t="str">
        <f>IF(AW173="","",IFERROR(IF(INDEX(CODIFICACION!$E$2:$E$500,MATCH("D2.5a|"&amp;AW173,CODIFICACION!$F$2:$F$500,0))="sin dato","",INDEX(CODIFICACION!$E$2:$E$500,MATCH("D2.5a|"&amp;AW173,CODIFICACION!$F$2:$F$500,0))),"⚠"))</f>
        <v/>
      </c>
      <c r="S173" t="str">
        <f ca="1">IF(AX173="","",IFERROR(IF(INDEX(CODIFICACION!$E$2:$E$500,MATCH("D2.5b|"&amp;AX173,CODIFICACION!$F$2:$F$500,0))="sin dato","",INDEX(CODIFICACION!$E$2:$E$500,MATCH("D2.5b|"&amp;AX173,CODIFICACION!$F$2:$F$500,0))),"⚠"))</f>
        <v/>
      </c>
      <c r="T173" t="str">
        <f t="shared" ca="1" si="129"/>
        <v/>
      </c>
      <c r="U173" t="str">
        <f>IF(AZ173="","",IFERROR(IF(INDEX(CODIFICACION!$E$2:$E$500,MATCH("D3.12|"&amp;AZ173,CODIFICACION!$F$2:$F$500,0))="sin dato","",INDEX(CODIFICACION!$E$2:$E$500,MATCH("D3.12|"&amp;AZ173,CODIFICACION!$F$2:$F$500,0))),"⚠"))</f>
        <v/>
      </c>
      <c r="V173" t="str">
        <f t="shared" si="130"/>
        <v/>
      </c>
      <c r="W173" t="str">
        <f ca="1">IF(BB173="","",IFERROR(IF(INDEX(CODIFICACION!$E$2:$E$500,MATCH("D3.14|"&amp;BB173,CODIFICACION!$F$2:$F$500,0))="sin dato","",INDEX(CODIFICACION!$E$2:$E$500,MATCH("D3.14|"&amp;BB173,CODIFICACION!$F$2:$F$500,0))),"⚠"))</f>
        <v/>
      </c>
      <c r="X173" t="str">
        <f ca="1">IF(BC173="","",IFERROR(IF(INDEX(CODIFICACION!$E$2:$E$500,MATCH("D3.14a|"&amp;BC173,CODIFICACION!$F$2:$F$500,0))="sin dato","",INDEX(CODIFICACION!$E$2:$E$500,MATCH("D3.14a|"&amp;BC173,CODIFICACION!$F$2:$F$500,0))),"⚠"))</f>
        <v/>
      </c>
      <c r="Y173" t="str">
        <f>IF(BD173="","",IFERROR(IF(INDEX(CODIFICACION!$E$2:$E$500,MATCH("D3.14b|"&amp;BD173,CODIFICACION!$F$2:$F$500,0))="sin dato","",INDEX(CODIFICACION!$E$2:$E$500,MATCH("D3.14b|"&amp;BD173,CODIFICACION!$F$2:$F$500,0))),"⚠"))</f>
        <v/>
      </c>
      <c r="Z173" t="str">
        <f>IF(BE173="","",IFERROR(IF(INDEX(CODIFICACION!$E$2:$E$500,MATCH("D3.14c|"&amp;BE173,CODIFICACION!$F$2:$F$500,0))="sin dato","",INDEX(CODIFICACION!$E$2:$E$500,MATCH("D3.14c|"&amp;BE173,CODIFICACION!$F$2:$F$500,0))),"⚠"))</f>
        <v/>
      </c>
      <c r="AA173" t="str">
        <f>IF(BF173="","",IFERROR(IF(INDEX(CODIFICACION!$E$2:$E$500,MATCH("D3.14d|"&amp;BF173,CODIFICACION!$F$2:$F$500,0))="sin dato","",INDEX(CODIFICACION!$E$2:$E$500,MATCH("D3.14d|"&amp;BF173,CODIFICACION!$F$2:$F$500,0))),"⚠"))</f>
        <v/>
      </c>
      <c r="AB173" t="str">
        <f>IF(BG173="","",IFERROR(IF(INDEX(CODIFICACION!$E$2:$E$500,MATCH("D3.14e|"&amp;BG173,CODIFICACION!$F$2:$F$500,0))="sin dato","",INDEX(CODIFICACION!$E$2:$E$500,MATCH("D3.14e|"&amp;BG173,CODIFICACION!$F$2:$F$500,0))),"⚠"))</f>
        <v/>
      </c>
      <c r="AC173" t="str">
        <f>IF(BH173="","",IFERROR(IF(INDEX(CODIFICACION!$E$2:$E$500,MATCH("D3.14f|"&amp;BH173,CODIFICACION!$F$2:$F$500,0))="sin dato","",INDEX(CODIFICACION!$E$2:$E$500,MATCH("D3.14f|"&amp;BH173,CODIFICACION!$F$2:$F$500,0))),"⚠"))</f>
        <v/>
      </c>
      <c r="AD173" t="str">
        <f>IF(BI173="","",IFERROR(IF(INDEX(CODIFICACION!$E$2:$E$500,MATCH("D3.14g|"&amp;BI173,CODIFICACION!$F$2:$F$500,0))="sin dato","",INDEX(CODIFICACION!$E$2:$E$500,MATCH("D3.14g|"&amp;BI173,CODIFICACION!$F$2:$F$500,0))),"⚠"))</f>
        <v/>
      </c>
      <c r="AE173" t="str">
        <f>IF(BJ173="","",IFERROR(IF(INDEX(CODIFICACION!$E$2:$E$500,MATCH("D3.14h|"&amp;BJ173,CODIFICACION!$F$2:$F$500,0))="sin dato","",INDEX(CODIFICACION!$E$2:$E$500,MATCH("D3.14h|"&amp;BJ173,CODIFICACION!$F$2:$F$500,0))),"⚠"))</f>
        <v/>
      </c>
      <c r="AF173" t="str">
        <f>IF(BK173="","",IFERROR(IF(INDEX(CODIFICACION!$E$2:$E$500,MATCH("D3.14i|"&amp;BK173,CODIFICACION!$F$2:$F$500,0))="sin dato","",INDEX(CODIFICACION!$E$2:$E$500,MATCH("D3.14i|"&amp;BK173,CODIFICACION!$F$2:$F$500,0))),"⚠"))</f>
        <v/>
      </c>
      <c r="AG173" t="str">
        <f>IF(BL173="","",IFERROR(IF(INDEX(CODIFICACION!$E$2:$E$500,MATCH("D4.15|"&amp;BL173,CODIFICACION!$F$2:$F$500,0))="sin dato","",INDEX(CODIFICACION!$E$2:$E$500,MATCH("D4.15|"&amp;BL173,CODIFICACION!$F$2:$F$500,0))),"⚠"))</f>
        <v/>
      </c>
      <c r="AH173" t="str">
        <f t="shared" si="131"/>
        <v/>
      </c>
      <c r="AI173" t="str">
        <f>IF(BN173="","",IFERROR(IF(INDEX(CODIFICACION!$E$2:$E$500,MATCH("D4.17|"&amp;BN173,CODIFICACION!$F$2:$F$500,0))="sin dato","",INDEX(CODIFICACION!$E$2:$E$500,MATCH("D4.17|"&amp;BN173,CODIFICACION!$F$2:$F$500,0))),"⚠"))</f>
        <v/>
      </c>
      <c r="AJ173" t="str">
        <f>IF(BO173="","",IFERROR(IF(INDEX(CODIFICACION!$E$2:$E$500,MATCH("D4.15a|"&amp;BO173,CODIFICACION!$F$2:$F$500,0))="sin dato","",INDEX(CODIFICACION!$E$2:$E$500,MATCH("D4.15a|"&amp;BO173,CODIFICACION!$F$2:$F$500,0))),"⚠"))</f>
        <v/>
      </c>
      <c r="AK173" t="str">
        <f t="shared" si="132"/>
        <v/>
      </c>
      <c r="AL173" t="str">
        <f t="shared" si="133"/>
        <v/>
      </c>
      <c r="AM173" t="str">
        <f>IF(BR173="","",IFERROR(IF(INDEX(CODIFICACION!$E$2:$E$500,MATCH("D5.18b|"&amp;BR173,CODIFICACION!$F$2:$F$500,0))="sin dato","",INDEX(CODIFICACION!$E$2:$E$500,MATCH("D5.18b|"&amp;BR173,CODIFICACION!$F$2:$F$500,0))),"⚠"))</f>
        <v/>
      </c>
      <c r="AN173" t="str">
        <f>IF(BS173="","",IFERROR(IF(INDEX(CODIFICACION!$E$2:$E$500,MATCH("D5.19|"&amp;BS173,CODIFICACION!$F$2:$F$500,0))="sin dato","",INDEX(CODIFICACION!$E$2:$E$500,MATCH("D5.19|"&amp;BS173,CODIFICACION!$F$2:$F$500,0))),"⚠"))</f>
        <v/>
      </c>
      <c r="AO173" t="str">
        <f t="shared" si="134"/>
        <v/>
      </c>
      <c r="AP173" t="str">
        <f>IF(BU173="","",IFERROR(IF(INDEX(CODIFICACION!$E$2:$E$500,MATCH("D5.20|"&amp;BU173,CODIFICACION!$F$2:$F$500,0))="sin dato","",INDEX(CODIFICACION!$E$2:$E$500,MATCH("D5.20|"&amp;BU173,CODIFICACION!$F$2:$F$500,0))),"⚠"))</f>
        <v/>
      </c>
      <c r="AQ173" t="str">
        <f>IF(BV173="","",IFERROR(IF(INDEX(CODIFICACION!$E$2:$E$500,MATCH("D5.21|"&amp;BV173,CODIFICACION!$F$2:$F$500,0))="sin dato","",INDEX(CODIFICACION!$E$2:$E$500,MATCH("D5.21|"&amp;BV173,CODIFICACION!$F$2:$F$500,0))),"⚠"))</f>
        <v/>
      </c>
      <c r="AR173" t="str">
        <f>IF(BW173="","",IFERROR(IF(INDEX(CODIFICACION!$E$2:$E$500,MATCH("D5.21a|"&amp;BW173,CODIFICACION!$F$2:$F$500,0))="sin dato","",INDEX(CODIFICACION!$E$2:$E$500,MATCH("D5.21a|"&amp;BW173,CODIFICACION!$F$2:$F$500,0))),"⚠"))</f>
        <v/>
      </c>
      <c r="AS173" t="str">
        <f>IF(BX173="","",IFERROR(IF(INDEX(CODIFICACION!$E$2:$E$500,MATCH("D5.21b|"&amp;BX173,CODIFICACION!$F$2:$F$500,0))="sin dato","",INDEX(CODIFICACION!$E$2:$E$500,MATCH("D5.21b|"&amp;BX173,CODIFICACION!$F$2:$F$500,0))),"⚠"))</f>
        <v/>
      </c>
      <c r="AT173" t="str">
        <f>IF(BY173="","",IFERROR(IF(INDEX(CODIFICACION!$E$2:$E$500,MATCH("D6.22|"&amp;BY173,CODIFICACION!$F$2:$F$500,0))="sin dato","",INDEX(CODIFICACION!$E$2:$E$500,MATCH("D6.22|"&amp;BY173,CODIFICACION!$F$2:$F$500,0))),"⚠"))</f>
        <v/>
      </c>
      <c r="AU173" t="str">
        <f>IF(BZ173="","",IFERROR(IF(INDEX(CODIFICACION!$E$2:$E$500,MATCH("D6.22a|"&amp;BZ173,CODIFICACION!$F$2:$F$500,0))="sin dato","",INDEX(CODIFICACION!$E$2:$E$500,MATCH("D6.22a|"&amp;BZ173,CODIFICACION!$F$2:$F$500,0))),"⚠"))</f>
        <v/>
      </c>
      <c r="AV173" t="str">
        <f>IF(CA173="","",IFERROR(IF(INDEX(CODIFICACION!$E$2:$E$500,MATCH("D6.22b|"&amp;CA173,CODIFICACION!$F$2:$F$500,0))="sin dato","",INDEX(CODIFICACION!$E$2:$E$500,MATCH("D6.22b|"&amp;CA173,CODIFICACION!$F$2:$F$500,0))),"⚠"))</f>
        <v/>
      </c>
      <c r="AW173" t="str">
        <f>IF(CB173="","",IFERROR(IF(INDEX(CODIFICACION!$E$2:$E$500,MATCH("D6.23|"&amp;CB173,CODIFICACION!$F$2:$F$500,0))="sin dato","",INDEX(CODIFICACION!$E$2:$E$500,MATCH("D6.23|"&amp;CB173,CODIFICACION!$F$2:$F$500,0))),"⚠"))</f>
        <v/>
      </c>
      <c r="AX173" t="str">
        <f ca="1">IF(CC173="","",IFERROR(IF(INDEX(CODIFICACION!$E$2:$E$500,MATCH("D6.24|"&amp;CC173,CODIFICACION!$F$2:$F$500,0))="sin dato","",INDEX(CODIFICACION!$E$2:$E$500,MATCH("D6.24|"&amp;CC173,CODIFICACION!$F$2:$F$500,0))),"⚠"))</f>
        <v/>
      </c>
      <c r="AY173" t="str">
        <f ca="1">IF(CD173="","",IFERROR(IF(INDEX(CODIFICACION!$E$2:$E$500,MATCH("D6.25|"&amp;CD173,CODIFICACION!$F$2:$F$500,0))="sin dato","",INDEX(CODIFICACION!$E$2:$E$500,MATCH("D6.25|"&amp;CD173,CODIFICACION!$F$2:$F$500,0))),"⚠"))</f>
        <v/>
      </c>
      <c r="AZ173" t="str">
        <f>IF(CE173="","",IFERROR(IF(INDEX(CODIFICACION!$E$2:$E$500,MATCH("D6.25a|"&amp;CE173,CODIFICACION!$F$2:$F$500,0))="sin dato","",INDEX(CODIFICACION!$E$2:$E$500,MATCH("D6.25a|"&amp;CE173,CODIFICACION!$F$2:$F$500,0))),"⚠"))</f>
        <v/>
      </c>
      <c r="BA173" t="str">
        <f>IF(CF173="","",IFERROR(IF(INDEX(CODIFICACION!$E$2:$E$500,MATCH("D6.25b|"&amp;CF173,CODIFICACION!$F$2:$F$500,0))="sin dato","",INDEX(CODIFICACION!$E$2:$E$500,MATCH("D6.25b|"&amp;CF173,CODIFICACION!$F$2:$F$500,0))),"⚠"))</f>
        <v/>
      </c>
      <c r="BB173" t="str">
        <f ca="1">IF(CG173="","",IFERROR(IF(INDEX(CODIFICACION!$E$2:$E$500,MATCH("D6.22c|"&amp;CG173,CODIFICACION!$F$2:$F$500,0))="sin dato","",INDEX(CODIFICACION!$E$2:$E$500,MATCH("D6.22c|"&amp;CG173,CODIFICACION!$F$2:$F$500,0))),"⚠"))</f>
        <v/>
      </c>
      <c r="BC173" t="str">
        <f ca="1">IF(CH173="","",IFERROR(IF(INDEX(CODIFICACION!$E$2:$E$500,MATCH("D7.26|"&amp;CH173,CODIFICACION!$F$2:$F$500,0))="sin dato","",INDEX(CODIFICACION!$E$2:$E$500,MATCH("D7.26|"&amp;CH173,CODIFICACION!$F$2:$F$500,0))),"⚠"))</f>
        <v/>
      </c>
      <c r="BD173" t="str">
        <f>IF(CI173="","",IFERROR(IF(INDEX(CODIFICACION!$E$2:$E$500,MATCH("D7.27|"&amp;CI173,CODIFICACION!$F$2:$F$500,0))="sin dato","",INDEX(CODIFICACION!$E$2:$E$500,MATCH("D7.27|"&amp;CI173,CODIFICACION!$F$2:$F$500,0))),"⚠"))</f>
        <v/>
      </c>
      <c r="BE173" t="str">
        <f>IF(CJ173="","",IFERROR(IF(INDEX(CODIFICACION!$E$2:$E$500,MATCH("D7.28|"&amp;CJ173,CODIFICACION!$F$2:$F$500,0))="sin dato","",INDEX(CODIFICACION!$E$2:$E$500,MATCH("D7.28|"&amp;CJ173,CODIFICACION!$F$2:$F$500,0))),"⚠"))</f>
        <v/>
      </c>
      <c r="BF173" t="str">
        <f>IF(CK173="","",IFERROR(IF(INDEX(CODIFICACION!$E$2:$E$500,MATCH("D7.28b|"&amp;CK173,CODIFICACION!$F$2:$F$500,0))="sin dato","",INDEX(CODIFICACION!$E$2:$E$500,MATCH("D7.28b|"&amp;CK173,CODIFICACION!$F$2:$F$500,0))),"⚠"))</f>
        <v/>
      </c>
      <c r="BG173" t="str">
        <f t="shared" si="135"/>
        <v/>
      </c>
      <c r="BH173" t="str">
        <f>IF(CM173="","",IFERROR(IF(INDEX(CODIFICACION!$E$2:$E$500,MATCH("D7.26a|"&amp;CM173,CODIFICACION!$F$2:$F$500,0))="sin dato","",INDEX(CODIFICACION!$E$2:$E$500,MATCH("D7.26a|"&amp;CM173,CODIFICACION!$F$2:$F$500,0))),"⚠"))</f>
        <v/>
      </c>
      <c r="BI173" t="str">
        <f>IF(CN173="","",IFERROR(IF(INDEX(CODIFICACION!$E$2:$E$500,MATCH("D7.26b|"&amp;CN173,CODIFICACION!$F$2:$F$500,0))="sin dato","",INDEX(CODIFICACION!$E$2:$E$500,MATCH("D7.26b|"&amp;CN173,CODIFICACION!$F$2:$F$500,0))),"⚠"))</f>
        <v/>
      </c>
      <c r="BJ173" t="str">
        <f t="shared" si="136"/>
        <v/>
      </c>
      <c r="BK173" t="str">
        <f t="shared" si="137"/>
        <v/>
      </c>
      <c r="BL173" t="str">
        <f>IF(CQ173="","",IFERROR(IF(INDEX(CODIFICACION!$E$2:$E$500,MATCH("D8.31|"&amp;CQ173,CODIFICACION!$F$2:$F$500,0))="sin dato","",INDEX(CODIFICACION!$E$2:$E$500,MATCH("D8.31|"&amp;CQ173,CODIFICACION!$F$2:$F$500,0))),"⚠"))</f>
        <v/>
      </c>
      <c r="BM173" t="str">
        <f>IF(CR173="","",IFERROR(IF(INDEX(CODIFICACION!$E$2:$E$500,MATCH("D8.32|"&amp;CR173,CODIFICACION!$F$2:$F$500,0))="sin dato","",INDEX(CODIFICACION!$E$2:$E$500,MATCH("D8.32|"&amp;CR173,CODIFICACION!$F$2:$F$500,0))),"⚠"))</f>
        <v/>
      </c>
      <c r="BN173" t="str">
        <f>IF(CS173="","",IFERROR(IF(INDEX(CODIFICACION!$E$2:$E$500,MATCH("D9.33|"&amp;CS173,CODIFICACION!$F$2:$F$500,0))="sin dato","",INDEX(CODIFICACION!$E$2:$E$500,MATCH("D9.33|"&amp;CS173,CODIFICACION!$F$2:$F$500,0))),"⚠"))</f>
        <v/>
      </c>
      <c r="BO173" t="str">
        <f>IF(CT173="","",IFERROR(IF(INDEX(CODIFICACION!$E$2:$E$500,MATCH("D9.34|"&amp;CT173,CODIFICACION!$F$2:$F$500,0))="sin dato","",INDEX(CODIFICACION!$E$2:$E$500,MATCH("D9.34|"&amp;CT173,CODIFICACION!$F$2:$F$500,0))),"⚠"))</f>
        <v/>
      </c>
      <c r="BP173" t="str">
        <f>IF(CU173="","",IFERROR(IF(INDEX(CODIFICACION!$E$2:$E$500,MATCH("D9.35|"&amp;CU173,CODIFICACION!$F$2:$F$500,0))="sin dato","",INDEX(CODIFICACION!$E$2:$E$500,MATCH("D9.35|"&amp;CU173,CODIFICACION!$F$2:$F$500,0))),"⚠"))</f>
        <v/>
      </c>
      <c r="BQ173" t="str">
        <f>IF(CV173="","",IFERROR(IF(INDEX(CODIFICACION!$E$2:$E$500,MATCH("D10.36|"&amp;CV173,CODIFICACION!$F$2:$F$500,0))="sin dato","",INDEX(CODIFICACION!$E$2:$E$500,MATCH("D10.36|"&amp;CV173,CODIFICACION!$F$2:$F$500,0))),"⚠"))</f>
        <v/>
      </c>
      <c r="BR173" t="str">
        <f>IF(CW173="","",IFERROR(IF(INDEX(CODIFICACION!$E$2:$E$500,MATCH("D10.37|"&amp;CW173,CODIFICACION!$F$2:$F$500,0))="sin dato","",INDEX(CODIFICACION!$E$2:$E$500,MATCH("D10.37|"&amp;CW173,CODIFICACION!$F$2:$F$500,0))),"⚠"))</f>
        <v/>
      </c>
      <c r="BS173" t="str">
        <f>IF(CX173="","",IFERROR(IF(INDEX(CODIFICACION!$E$2:$E$500,MATCH("D10.36a|"&amp;CX173,CODIFICACION!$F$2:$F$500,0))="sin dato","",INDEX(CODIFICACION!$E$2:$E$500,MATCH("D10.36a|"&amp;CX173,CODIFICACION!$F$2:$F$500,0))),"⚠"))</f>
        <v/>
      </c>
      <c r="BT173" t="str">
        <f t="shared" si="138"/>
        <v/>
      </c>
      <c r="BU173" t="str">
        <f>IF(DA173="","",IFERROR(IF(INDEX(CODIFICACION!$E$2:$E$500,MATCH("D11.39a|"&amp;DA173,CODIFICACION!$F$2:$F$500,0))="sin dato","",INDEX(CODIFICACION!$E$2:$E$500,MATCH("D11.39a|"&amp;DA173,CODIFICACION!$F$2:$F$500,0))),"⚠"))</f>
        <v/>
      </c>
      <c r="BV173" t="str">
        <f>IF(DB173="","",IFERROR(IF(INDEX(CODIFICACION!$E$2:$E$500,MATCH("D12.42|"&amp;DB173,CODIFICACION!$F$2:$F$500,0))="sin dato","",INDEX(CODIFICACION!$E$2:$E$500,MATCH("D12.42|"&amp;DB173,CODIFICACION!$F$2:$F$500,0))),"⚠"))</f>
        <v/>
      </c>
      <c r="BW173" t="str">
        <f>IF(DC173="","",IFERROR(IF(INDEX(CODIFICACION!$E$2:$E$500,MATCH("D13.45|"&amp;DC173,CODIFICACION!$F$2:$F$500,0))="sin dato","",INDEX(CODIFICACION!$E$2:$E$500,MATCH("D13.45|"&amp;DC173,CODIFICACION!$F$2:$F$500,0))),"⚠"))</f>
        <v/>
      </c>
      <c r="BX173" t="str">
        <f>IF(DD173="","",IFERROR(IF(INDEX(CODIFICACION!$E$2:$E$500,MATCH("D14.51|"&amp;DD173,CODIFICACION!$F$2:$F$500,0))="sin dato","",INDEX(CODIFICACION!$E$2:$E$500,MATCH("D14.51|"&amp;DD173,CODIFICACION!$F$2:$F$500,0))),"⚠"))</f>
        <v/>
      </c>
      <c r="BY173" t="str">
        <f>IF(DE173="","",IFERROR(IF(INDEX(CODIFICACION!$E$2:$E$500,MATCH("D15.58|"&amp;DE173,CODIFICACION!$F$2:$F$500,0))="sin dato","",INDEX(CODIFICACION!$E$2:$E$500,MATCH("D15.58|"&amp;DE173,CODIFICACION!$F$2:$F$500,0))),"⚠"))</f>
        <v/>
      </c>
      <c r="BZ173" t="str">
        <f>IF(DF173="","",IFERROR(IF(INDEX(CODIFICACION!$E$2:$E$500,MATCH("PP1|"&amp;DF173,CODIFICACION!$F$2:$F$500,0))="sin dato","",INDEX(CODIFICACION!$E$2:$E$500,MATCH("PP1|"&amp;DF173,CODIFICACION!$F$2:$F$500,0))),"⚠"))</f>
        <v/>
      </c>
      <c r="CA173" t="str">
        <f>IF(DG173="","",IFERROR(IF(INDEX(CODIFICACION!$E$2:$E$500,MATCH("PP2|"&amp;DG173,CODIFICACION!$F$2:$F$500,0))="sin dato","",INDEX(CODIFICACION!$E$2:$E$500,MATCH("PP2|"&amp;DG173,CODIFICACION!$F$2:$F$500,0))),"⚠"))</f>
        <v/>
      </c>
      <c r="CB173" t="str">
        <f t="shared" si="139"/>
        <v/>
      </c>
      <c r="CC173" t="str">
        <f t="shared" ca="1" si="140"/>
        <v/>
      </c>
      <c r="CD173" t="str">
        <f t="shared" ca="1" si="141"/>
        <v/>
      </c>
      <c r="CE173" t="str">
        <f t="shared" si="142"/>
        <v/>
      </c>
      <c r="CF173" t="str">
        <f t="shared" si="143"/>
        <v/>
      </c>
      <c r="CG173" t="str">
        <f t="shared" ca="1" si="144"/>
        <v/>
      </c>
      <c r="CH173" t="str">
        <f t="shared" ca="1" si="145"/>
        <v/>
      </c>
      <c r="CI173" t="str">
        <f t="shared" si="146"/>
        <v/>
      </c>
      <c r="CJ173" t="str">
        <f t="shared" si="147"/>
        <v/>
      </c>
      <c r="CK173" t="str">
        <f t="shared" si="148"/>
        <v/>
      </c>
      <c r="CL173" t="str">
        <f t="shared" si="149"/>
        <v/>
      </c>
    </row>
    <row r="174" spans="1:90" x14ac:dyDescent="0.3">
      <c r="A174">
        <f>CAPTURA!A174</f>
        <v>20611316616</v>
      </c>
      <c r="B174">
        <f>CAPTURA!C174</f>
        <v>0</v>
      </c>
      <c r="C174" t="str">
        <f t="shared" si="125"/>
        <v/>
      </c>
      <c r="D174" t="str">
        <f>IF(AE174="","",IFERROR(IF(INDEX(CODIFICACION!$E$2:$E$500,MATCH("P8|"&amp;AE174,CODIFICACION!$F$2:$F$500,0))="sin dato","",INDEX(CODIFICACION!$E$2:$E$500,MATCH("P8|"&amp;AE174,CODIFICACION!$F$2:$F$500,0))),"⚠"))</f>
        <v/>
      </c>
      <c r="E174" t="str">
        <f>IF(AG174="","",IFERROR(IF(INDEX(CODIFICACION!$E$2:$E$500,MATCH("P10|"&amp;AG174,CODIFICACION!$F$2:$F$500,0))="sin dato","",INDEX(CODIFICACION!$E$2:$E$500,MATCH("P10|"&amp;AG174,CODIFICACION!$F$2:$F$500,0))),"⚠"))</f>
        <v/>
      </c>
      <c r="F174" t="str">
        <f>IF(AJ174="","",IFERROR(IF(INDEX(CODIFICACION!$E$2:$E$500,MATCH("P13|"&amp;AJ174,CODIFICACION!$F$2:$F$500,0))="sin dato","",INDEX(CODIFICACION!$E$2:$E$500,MATCH("P13|"&amp;AJ174,CODIFICACION!$F$2:$F$500,0))),"⚠"))</f>
        <v/>
      </c>
      <c r="G174" t="str">
        <f>IF(AK174="","",IFERROR(IF(INDEX(CODIFICACION!$E$2:$E$500,MATCH("P14|"&amp;AK174,CODIFICACION!$F$2:$F$500,0))="sin dato","",INDEX(CODIFICACION!$E$2:$E$500,MATCH("P14|"&amp;AK174,CODIFICACION!$F$2:$F$500,0))),"⚠"))</f>
        <v/>
      </c>
      <c r="H174" t="str">
        <f>IF(AL174="","",IFERROR(IF(INDEX(CODIFICACION!$E$2:$E$500,MATCH("D1.1|"&amp;AL174,CODIFICACION!$F$2:$F$500,0))="sin dato","",INDEX(CODIFICACION!$E$2:$E$500,MATCH("D1.1|"&amp;AL174,CODIFICACION!$F$2:$F$500,0))),"⚠"))</f>
        <v/>
      </c>
      <c r="I174" t="str">
        <f>IF(AN174="","",IFERROR(IF(INDEX(CODIFICACION!$E$2:$E$500,MATCH("D1.3|"&amp;AN174,CODIFICACION!$F$2:$F$500,0))="sin dato","",INDEX(CODIFICACION!$E$2:$E$500,MATCH("D1.3|"&amp;AN174,CODIFICACION!$F$2:$F$500,0))),"⚠"))</f>
        <v/>
      </c>
      <c r="J174" t="str">
        <f>IF(AO174="","",IFERROR(IF(INDEX(CODIFICACION!$E$2:$E$500,MATCH("D1.4|"&amp;AO174,CODIFICACION!$F$2:$F$500,0))="sin dato","",INDEX(CODIFICACION!$E$2:$E$500,MATCH("D1.4|"&amp;AO174,CODIFICACION!$F$2:$F$500,0))),"⚠"))</f>
        <v/>
      </c>
      <c r="K174" t="str">
        <f>IF(AP174="","",IFERROR(IF(INDEX(CODIFICACION!$E$2:$E$500,MATCH("D1.3a|"&amp;AP174,CODIFICACION!$F$2:$F$500,0))="sin dato","",INDEX(CODIFICACION!$E$2:$E$500,MATCH("D1.3a|"&amp;AP174,CODIFICACION!$F$2:$F$500,0))),"⚠"))</f>
        <v/>
      </c>
      <c r="L174" t="str">
        <f t="shared" si="126"/>
        <v/>
      </c>
      <c r="M174" t="str">
        <f t="shared" si="127"/>
        <v/>
      </c>
      <c r="N174" t="str">
        <f t="shared" si="128"/>
        <v/>
      </c>
      <c r="O174" t="str">
        <f>IF(AT174="","",IFERROR(IF(INDEX(CODIFICACION!$E$2:$E$500,MATCH("D2.8|"&amp;AT174,CODIFICACION!$F$2:$F$500,0))="sin dato","",INDEX(CODIFICACION!$E$2:$E$500,MATCH("D2.8|"&amp;AT174,CODIFICACION!$F$2:$F$500,0))),"⚠"))</f>
        <v/>
      </c>
      <c r="P174" t="str">
        <f>IF(AU174="","",IFERROR(IF(INDEX(CODIFICACION!$E$2:$E$500,MATCH("D2.9|"&amp;AU174,CODIFICACION!$F$2:$F$500,0))="sin dato","",INDEX(CODIFICACION!$E$2:$E$500,MATCH("D2.9|"&amp;AU174,CODIFICACION!$F$2:$F$500,0))),"⚠"))</f>
        <v/>
      </c>
      <c r="Q174" t="str">
        <f>IF(AV174="","",IFERROR(IF(INDEX(CODIFICACION!$E$2:$E$500,MATCH("D2.10|"&amp;AV174,CODIFICACION!$F$2:$F$500,0))="sin dato","",INDEX(CODIFICACION!$E$2:$E$500,MATCH("D2.10|"&amp;AV174,CODIFICACION!$F$2:$F$500,0))),"⚠"))</f>
        <v/>
      </c>
      <c r="R174" t="str">
        <f>IF(AW174="","",IFERROR(IF(INDEX(CODIFICACION!$E$2:$E$500,MATCH("D2.5a|"&amp;AW174,CODIFICACION!$F$2:$F$500,0))="sin dato","",INDEX(CODIFICACION!$E$2:$E$500,MATCH("D2.5a|"&amp;AW174,CODIFICACION!$F$2:$F$500,0))),"⚠"))</f>
        <v/>
      </c>
      <c r="S174" t="str">
        <f ca="1">IF(AX174="","",IFERROR(IF(INDEX(CODIFICACION!$E$2:$E$500,MATCH("D2.5b|"&amp;AX174,CODIFICACION!$F$2:$F$500,0))="sin dato","",INDEX(CODIFICACION!$E$2:$E$500,MATCH("D2.5b|"&amp;AX174,CODIFICACION!$F$2:$F$500,0))),"⚠"))</f>
        <v/>
      </c>
      <c r="T174" t="str">
        <f t="shared" ca="1" si="129"/>
        <v/>
      </c>
      <c r="U174" t="str">
        <f>IF(AZ174="","",IFERROR(IF(INDEX(CODIFICACION!$E$2:$E$500,MATCH("D3.12|"&amp;AZ174,CODIFICACION!$F$2:$F$500,0))="sin dato","",INDEX(CODIFICACION!$E$2:$E$500,MATCH("D3.12|"&amp;AZ174,CODIFICACION!$F$2:$F$500,0))),"⚠"))</f>
        <v/>
      </c>
      <c r="V174" t="str">
        <f t="shared" si="130"/>
        <v/>
      </c>
      <c r="W174" t="str">
        <f ca="1">IF(BB174="","",IFERROR(IF(INDEX(CODIFICACION!$E$2:$E$500,MATCH("D3.14|"&amp;BB174,CODIFICACION!$F$2:$F$500,0))="sin dato","",INDEX(CODIFICACION!$E$2:$E$500,MATCH("D3.14|"&amp;BB174,CODIFICACION!$F$2:$F$500,0))),"⚠"))</f>
        <v/>
      </c>
      <c r="X174" t="str">
        <f ca="1">IF(BC174="","",IFERROR(IF(INDEX(CODIFICACION!$E$2:$E$500,MATCH("D3.14a|"&amp;BC174,CODIFICACION!$F$2:$F$500,0))="sin dato","",INDEX(CODIFICACION!$E$2:$E$500,MATCH("D3.14a|"&amp;BC174,CODIFICACION!$F$2:$F$500,0))),"⚠"))</f>
        <v/>
      </c>
      <c r="Y174" t="str">
        <f>IF(BD174="","",IFERROR(IF(INDEX(CODIFICACION!$E$2:$E$500,MATCH("D3.14b|"&amp;BD174,CODIFICACION!$F$2:$F$500,0))="sin dato","",INDEX(CODIFICACION!$E$2:$E$500,MATCH("D3.14b|"&amp;BD174,CODIFICACION!$F$2:$F$500,0))),"⚠"))</f>
        <v/>
      </c>
      <c r="Z174" t="str">
        <f>IF(BE174="","",IFERROR(IF(INDEX(CODIFICACION!$E$2:$E$500,MATCH("D3.14c|"&amp;BE174,CODIFICACION!$F$2:$F$500,0))="sin dato","",INDEX(CODIFICACION!$E$2:$E$500,MATCH("D3.14c|"&amp;BE174,CODIFICACION!$F$2:$F$500,0))),"⚠"))</f>
        <v/>
      </c>
      <c r="AA174" t="str">
        <f>IF(BF174="","",IFERROR(IF(INDEX(CODIFICACION!$E$2:$E$500,MATCH("D3.14d|"&amp;BF174,CODIFICACION!$F$2:$F$500,0))="sin dato","",INDEX(CODIFICACION!$E$2:$E$500,MATCH("D3.14d|"&amp;BF174,CODIFICACION!$F$2:$F$500,0))),"⚠"))</f>
        <v/>
      </c>
      <c r="AB174" t="str">
        <f>IF(BG174="","",IFERROR(IF(INDEX(CODIFICACION!$E$2:$E$500,MATCH("D3.14e|"&amp;BG174,CODIFICACION!$F$2:$F$500,0))="sin dato","",INDEX(CODIFICACION!$E$2:$E$500,MATCH("D3.14e|"&amp;BG174,CODIFICACION!$F$2:$F$500,0))),"⚠"))</f>
        <v/>
      </c>
      <c r="AC174" t="str">
        <f>IF(BH174="","",IFERROR(IF(INDEX(CODIFICACION!$E$2:$E$500,MATCH("D3.14f|"&amp;BH174,CODIFICACION!$F$2:$F$500,0))="sin dato","",INDEX(CODIFICACION!$E$2:$E$500,MATCH("D3.14f|"&amp;BH174,CODIFICACION!$F$2:$F$500,0))),"⚠"))</f>
        <v/>
      </c>
      <c r="AD174" t="str">
        <f>IF(BI174="","",IFERROR(IF(INDEX(CODIFICACION!$E$2:$E$500,MATCH("D3.14g|"&amp;BI174,CODIFICACION!$F$2:$F$500,0))="sin dato","",INDEX(CODIFICACION!$E$2:$E$500,MATCH("D3.14g|"&amp;BI174,CODIFICACION!$F$2:$F$500,0))),"⚠"))</f>
        <v/>
      </c>
      <c r="AE174" t="str">
        <f>IF(BJ174="","",IFERROR(IF(INDEX(CODIFICACION!$E$2:$E$500,MATCH("D3.14h|"&amp;BJ174,CODIFICACION!$F$2:$F$500,0))="sin dato","",INDEX(CODIFICACION!$E$2:$E$500,MATCH("D3.14h|"&amp;BJ174,CODIFICACION!$F$2:$F$500,0))),"⚠"))</f>
        <v/>
      </c>
      <c r="AF174" t="str">
        <f>IF(BK174="","",IFERROR(IF(INDEX(CODIFICACION!$E$2:$E$500,MATCH("D3.14i|"&amp;BK174,CODIFICACION!$F$2:$F$500,0))="sin dato","",INDEX(CODIFICACION!$E$2:$E$500,MATCH("D3.14i|"&amp;BK174,CODIFICACION!$F$2:$F$500,0))),"⚠"))</f>
        <v/>
      </c>
      <c r="AG174" t="str">
        <f>IF(BL174="","",IFERROR(IF(INDEX(CODIFICACION!$E$2:$E$500,MATCH("D4.15|"&amp;BL174,CODIFICACION!$F$2:$F$500,0))="sin dato","",INDEX(CODIFICACION!$E$2:$E$500,MATCH("D4.15|"&amp;BL174,CODIFICACION!$F$2:$F$500,0))),"⚠"))</f>
        <v/>
      </c>
      <c r="AH174" t="str">
        <f t="shared" si="131"/>
        <v/>
      </c>
      <c r="AI174" t="str">
        <f>IF(BN174="","",IFERROR(IF(INDEX(CODIFICACION!$E$2:$E$500,MATCH("D4.17|"&amp;BN174,CODIFICACION!$F$2:$F$500,0))="sin dato","",INDEX(CODIFICACION!$E$2:$E$500,MATCH("D4.17|"&amp;BN174,CODIFICACION!$F$2:$F$500,0))),"⚠"))</f>
        <v/>
      </c>
      <c r="AJ174" t="str">
        <f>IF(BO174="","",IFERROR(IF(INDEX(CODIFICACION!$E$2:$E$500,MATCH("D4.15a|"&amp;BO174,CODIFICACION!$F$2:$F$500,0))="sin dato","",INDEX(CODIFICACION!$E$2:$E$500,MATCH("D4.15a|"&amp;BO174,CODIFICACION!$F$2:$F$500,0))),"⚠"))</f>
        <v/>
      </c>
      <c r="AK174" t="str">
        <f t="shared" si="132"/>
        <v/>
      </c>
      <c r="AL174" t="str">
        <f t="shared" si="133"/>
        <v/>
      </c>
      <c r="AM174" t="str">
        <f>IF(BR174="","",IFERROR(IF(INDEX(CODIFICACION!$E$2:$E$500,MATCH("D5.18b|"&amp;BR174,CODIFICACION!$F$2:$F$500,0))="sin dato","",INDEX(CODIFICACION!$E$2:$E$500,MATCH("D5.18b|"&amp;BR174,CODIFICACION!$F$2:$F$500,0))),"⚠"))</f>
        <v/>
      </c>
      <c r="AN174" t="str">
        <f>IF(BS174="","",IFERROR(IF(INDEX(CODIFICACION!$E$2:$E$500,MATCH("D5.19|"&amp;BS174,CODIFICACION!$F$2:$F$500,0))="sin dato","",INDEX(CODIFICACION!$E$2:$E$500,MATCH("D5.19|"&amp;BS174,CODIFICACION!$F$2:$F$500,0))),"⚠"))</f>
        <v/>
      </c>
      <c r="AO174" t="str">
        <f t="shared" si="134"/>
        <v/>
      </c>
      <c r="AP174" t="str">
        <f>IF(BU174="","",IFERROR(IF(INDEX(CODIFICACION!$E$2:$E$500,MATCH("D5.20|"&amp;BU174,CODIFICACION!$F$2:$F$500,0))="sin dato","",INDEX(CODIFICACION!$E$2:$E$500,MATCH("D5.20|"&amp;BU174,CODIFICACION!$F$2:$F$500,0))),"⚠"))</f>
        <v/>
      </c>
      <c r="AQ174" t="str">
        <f>IF(BV174="","",IFERROR(IF(INDEX(CODIFICACION!$E$2:$E$500,MATCH("D5.21|"&amp;BV174,CODIFICACION!$F$2:$F$500,0))="sin dato","",INDEX(CODIFICACION!$E$2:$E$500,MATCH("D5.21|"&amp;BV174,CODIFICACION!$F$2:$F$500,0))),"⚠"))</f>
        <v/>
      </c>
      <c r="AR174" t="str">
        <f>IF(BW174="","",IFERROR(IF(INDEX(CODIFICACION!$E$2:$E$500,MATCH("D5.21a|"&amp;BW174,CODIFICACION!$F$2:$F$500,0))="sin dato","",INDEX(CODIFICACION!$E$2:$E$500,MATCH("D5.21a|"&amp;BW174,CODIFICACION!$F$2:$F$500,0))),"⚠"))</f>
        <v/>
      </c>
      <c r="AS174" t="str">
        <f>IF(BX174="","",IFERROR(IF(INDEX(CODIFICACION!$E$2:$E$500,MATCH("D5.21b|"&amp;BX174,CODIFICACION!$F$2:$F$500,0))="sin dato","",INDEX(CODIFICACION!$E$2:$E$500,MATCH("D5.21b|"&amp;BX174,CODIFICACION!$F$2:$F$500,0))),"⚠"))</f>
        <v/>
      </c>
      <c r="AT174" t="str">
        <f>IF(BY174="","",IFERROR(IF(INDEX(CODIFICACION!$E$2:$E$500,MATCH("D6.22|"&amp;BY174,CODIFICACION!$F$2:$F$500,0))="sin dato","",INDEX(CODIFICACION!$E$2:$E$500,MATCH("D6.22|"&amp;BY174,CODIFICACION!$F$2:$F$500,0))),"⚠"))</f>
        <v/>
      </c>
      <c r="AU174" t="str">
        <f>IF(BZ174="","",IFERROR(IF(INDEX(CODIFICACION!$E$2:$E$500,MATCH("D6.22a|"&amp;BZ174,CODIFICACION!$F$2:$F$500,0))="sin dato","",INDEX(CODIFICACION!$E$2:$E$500,MATCH("D6.22a|"&amp;BZ174,CODIFICACION!$F$2:$F$500,0))),"⚠"))</f>
        <v/>
      </c>
      <c r="AV174" t="str">
        <f>IF(CA174="","",IFERROR(IF(INDEX(CODIFICACION!$E$2:$E$500,MATCH("D6.22b|"&amp;CA174,CODIFICACION!$F$2:$F$500,0))="sin dato","",INDEX(CODIFICACION!$E$2:$E$500,MATCH("D6.22b|"&amp;CA174,CODIFICACION!$F$2:$F$500,0))),"⚠"))</f>
        <v/>
      </c>
      <c r="AW174" t="str">
        <f>IF(CB174="","",IFERROR(IF(INDEX(CODIFICACION!$E$2:$E$500,MATCH("D6.23|"&amp;CB174,CODIFICACION!$F$2:$F$500,0))="sin dato","",INDEX(CODIFICACION!$E$2:$E$500,MATCH("D6.23|"&amp;CB174,CODIFICACION!$F$2:$F$500,0))),"⚠"))</f>
        <v/>
      </c>
      <c r="AX174" t="str">
        <f ca="1">IF(CC174="","",IFERROR(IF(INDEX(CODIFICACION!$E$2:$E$500,MATCH("D6.24|"&amp;CC174,CODIFICACION!$F$2:$F$500,0))="sin dato","",INDEX(CODIFICACION!$E$2:$E$500,MATCH("D6.24|"&amp;CC174,CODIFICACION!$F$2:$F$500,0))),"⚠"))</f>
        <v/>
      </c>
      <c r="AY174" t="str">
        <f ca="1">IF(CD174="","",IFERROR(IF(INDEX(CODIFICACION!$E$2:$E$500,MATCH("D6.25|"&amp;CD174,CODIFICACION!$F$2:$F$500,0))="sin dato","",INDEX(CODIFICACION!$E$2:$E$500,MATCH("D6.25|"&amp;CD174,CODIFICACION!$F$2:$F$500,0))),"⚠"))</f>
        <v/>
      </c>
      <c r="AZ174" t="str">
        <f>IF(CE174="","",IFERROR(IF(INDEX(CODIFICACION!$E$2:$E$500,MATCH("D6.25a|"&amp;CE174,CODIFICACION!$F$2:$F$500,0))="sin dato","",INDEX(CODIFICACION!$E$2:$E$500,MATCH("D6.25a|"&amp;CE174,CODIFICACION!$F$2:$F$500,0))),"⚠"))</f>
        <v/>
      </c>
      <c r="BA174" t="str">
        <f>IF(CF174="","",IFERROR(IF(INDEX(CODIFICACION!$E$2:$E$500,MATCH("D6.25b|"&amp;CF174,CODIFICACION!$F$2:$F$500,0))="sin dato","",INDEX(CODIFICACION!$E$2:$E$500,MATCH("D6.25b|"&amp;CF174,CODIFICACION!$F$2:$F$500,0))),"⚠"))</f>
        <v/>
      </c>
      <c r="BB174" t="str">
        <f ca="1">IF(CG174="","",IFERROR(IF(INDEX(CODIFICACION!$E$2:$E$500,MATCH("D6.22c|"&amp;CG174,CODIFICACION!$F$2:$F$500,0))="sin dato","",INDEX(CODIFICACION!$E$2:$E$500,MATCH("D6.22c|"&amp;CG174,CODIFICACION!$F$2:$F$500,0))),"⚠"))</f>
        <v/>
      </c>
      <c r="BC174" t="str">
        <f ca="1">IF(CH174="","",IFERROR(IF(INDEX(CODIFICACION!$E$2:$E$500,MATCH("D7.26|"&amp;CH174,CODIFICACION!$F$2:$F$500,0))="sin dato","",INDEX(CODIFICACION!$E$2:$E$500,MATCH("D7.26|"&amp;CH174,CODIFICACION!$F$2:$F$500,0))),"⚠"))</f>
        <v/>
      </c>
      <c r="BD174" t="str">
        <f>IF(CI174="","",IFERROR(IF(INDEX(CODIFICACION!$E$2:$E$500,MATCH("D7.27|"&amp;CI174,CODIFICACION!$F$2:$F$500,0))="sin dato","",INDEX(CODIFICACION!$E$2:$E$500,MATCH("D7.27|"&amp;CI174,CODIFICACION!$F$2:$F$500,0))),"⚠"))</f>
        <v/>
      </c>
      <c r="BE174" t="str">
        <f>IF(CJ174="","",IFERROR(IF(INDEX(CODIFICACION!$E$2:$E$500,MATCH("D7.28|"&amp;CJ174,CODIFICACION!$F$2:$F$500,0))="sin dato","",INDEX(CODIFICACION!$E$2:$E$500,MATCH("D7.28|"&amp;CJ174,CODIFICACION!$F$2:$F$500,0))),"⚠"))</f>
        <v/>
      </c>
      <c r="BF174" t="str">
        <f>IF(CK174="","",IFERROR(IF(INDEX(CODIFICACION!$E$2:$E$500,MATCH("D7.28b|"&amp;CK174,CODIFICACION!$F$2:$F$500,0))="sin dato","",INDEX(CODIFICACION!$E$2:$E$500,MATCH("D7.28b|"&amp;CK174,CODIFICACION!$F$2:$F$500,0))),"⚠"))</f>
        <v/>
      </c>
      <c r="BG174" t="str">
        <f t="shared" si="135"/>
        <v/>
      </c>
      <c r="BH174" t="str">
        <f>IF(CM174="","",IFERROR(IF(INDEX(CODIFICACION!$E$2:$E$500,MATCH("D7.26a|"&amp;CM174,CODIFICACION!$F$2:$F$500,0))="sin dato","",INDEX(CODIFICACION!$E$2:$E$500,MATCH("D7.26a|"&amp;CM174,CODIFICACION!$F$2:$F$500,0))),"⚠"))</f>
        <v/>
      </c>
      <c r="BI174" t="str">
        <f>IF(CN174="","",IFERROR(IF(INDEX(CODIFICACION!$E$2:$E$500,MATCH("D7.26b|"&amp;CN174,CODIFICACION!$F$2:$F$500,0))="sin dato","",INDEX(CODIFICACION!$E$2:$E$500,MATCH("D7.26b|"&amp;CN174,CODIFICACION!$F$2:$F$500,0))),"⚠"))</f>
        <v/>
      </c>
      <c r="BJ174" t="str">
        <f t="shared" si="136"/>
        <v/>
      </c>
      <c r="BK174" t="str">
        <f t="shared" si="137"/>
        <v/>
      </c>
      <c r="BL174" t="str">
        <f>IF(CQ174="","",IFERROR(IF(INDEX(CODIFICACION!$E$2:$E$500,MATCH("D8.31|"&amp;CQ174,CODIFICACION!$F$2:$F$500,0))="sin dato","",INDEX(CODIFICACION!$E$2:$E$500,MATCH("D8.31|"&amp;CQ174,CODIFICACION!$F$2:$F$500,0))),"⚠"))</f>
        <v/>
      </c>
      <c r="BM174" t="str">
        <f>IF(CR174="","",IFERROR(IF(INDEX(CODIFICACION!$E$2:$E$500,MATCH("D8.32|"&amp;CR174,CODIFICACION!$F$2:$F$500,0))="sin dato","",INDEX(CODIFICACION!$E$2:$E$500,MATCH("D8.32|"&amp;CR174,CODIFICACION!$F$2:$F$500,0))),"⚠"))</f>
        <v/>
      </c>
      <c r="BN174" t="str">
        <f>IF(CS174="","",IFERROR(IF(INDEX(CODIFICACION!$E$2:$E$500,MATCH("D9.33|"&amp;CS174,CODIFICACION!$F$2:$F$500,0))="sin dato","",INDEX(CODIFICACION!$E$2:$E$500,MATCH("D9.33|"&amp;CS174,CODIFICACION!$F$2:$F$500,0))),"⚠"))</f>
        <v/>
      </c>
      <c r="BO174" t="str">
        <f>IF(CT174="","",IFERROR(IF(INDEX(CODIFICACION!$E$2:$E$500,MATCH("D9.34|"&amp;CT174,CODIFICACION!$F$2:$F$500,0))="sin dato","",INDEX(CODIFICACION!$E$2:$E$500,MATCH("D9.34|"&amp;CT174,CODIFICACION!$F$2:$F$500,0))),"⚠"))</f>
        <v/>
      </c>
      <c r="BP174" t="str">
        <f>IF(CU174="","",IFERROR(IF(INDEX(CODIFICACION!$E$2:$E$500,MATCH("D9.35|"&amp;CU174,CODIFICACION!$F$2:$F$500,0))="sin dato","",INDEX(CODIFICACION!$E$2:$E$500,MATCH("D9.35|"&amp;CU174,CODIFICACION!$F$2:$F$500,0))),"⚠"))</f>
        <v/>
      </c>
      <c r="BQ174" t="str">
        <f>IF(CV174="","",IFERROR(IF(INDEX(CODIFICACION!$E$2:$E$500,MATCH("D10.36|"&amp;CV174,CODIFICACION!$F$2:$F$500,0))="sin dato","",INDEX(CODIFICACION!$E$2:$E$500,MATCH("D10.36|"&amp;CV174,CODIFICACION!$F$2:$F$500,0))),"⚠"))</f>
        <v/>
      </c>
      <c r="BR174" t="str">
        <f>IF(CW174="","",IFERROR(IF(INDEX(CODIFICACION!$E$2:$E$500,MATCH("D10.37|"&amp;CW174,CODIFICACION!$F$2:$F$500,0))="sin dato","",INDEX(CODIFICACION!$E$2:$E$500,MATCH("D10.37|"&amp;CW174,CODIFICACION!$F$2:$F$500,0))),"⚠"))</f>
        <v/>
      </c>
      <c r="BS174" t="str">
        <f>IF(CX174="","",IFERROR(IF(INDEX(CODIFICACION!$E$2:$E$500,MATCH("D10.36a|"&amp;CX174,CODIFICACION!$F$2:$F$500,0))="sin dato","",INDEX(CODIFICACION!$E$2:$E$500,MATCH("D10.36a|"&amp;CX174,CODIFICACION!$F$2:$F$500,0))),"⚠"))</f>
        <v/>
      </c>
      <c r="BT174" t="str">
        <f t="shared" si="138"/>
        <v/>
      </c>
      <c r="BU174" t="str">
        <f>IF(DA174="","",IFERROR(IF(INDEX(CODIFICACION!$E$2:$E$500,MATCH("D11.39a|"&amp;DA174,CODIFICACION!$F$2:$F$500,0))="sin dato","",INDEX(CODIFICACION!$E$2:$E$500,MATCH("D11.39a|"&amp;DA174,CODIFICACION!$F$2:$F$500,0))),"⚠"))</f>
        <v/>
      </c>
      <c r="BV174" t="str">
        <f>IF(DB174="","",IFERROR(IF(INDEX(CODIFICACION!$E$2:$E$500,MATCH("D12.42|"&amp;DB174,CODIFICACION!$F$2:$F$500,0))="sin dato","",INDEX(CODIFICACION!$E$2:$E$500,MATCH("D12.42|"&amp;DB174,CODIFICACION!$F$2:$F$500,0))),"⚠"))</f>
        <v/>
      </c>
      <c r="BW174" t="str">
        <f>IF(DC174="","",IFERROR(IF(INDEX(CODIFICACION!$E$2:$E$500,MATCH("D13.45|"&amp;DC174,CODIFICACION!$F$2:$F$500,0))="sin dato","",INDEX(CODIFICACION!$E$2:$E$500,MATCH("D13.45|"&amp;DC174,CODIFICACION!$F$2:$F$500,0))),"⚠"))</f>
        <v/>
      </c>
      <c r="BX174" t="str">
        <f>IF(DD174="","",IFERROR(IF(INDEX(CODIFICACION!$E$2:$E$500,MATCH("D14.51|"&amp;DD174,CODIFICACION!$F$2:$F$500,0))="sin dato","",INDEX(CODIFICACION!$E$2:$E$500,MATCH("D14.51|"&amp;DD174,CODIFICACION!$F$2:$F$500,0))),"⚠"))</f>
        <v/>
      </c>
      <c r="BY174" t="str">
        <f>IF(DE174="","",IFERROR(IF(INDEX(CODIFICACION!$E$2:$E$500,MATCH("D15.58|"&amp;DE174,CODIFICACION!$F$2:$F$500,0))="sin dato","",INDEX(CODIFICACION!$E$2:$E$500,MATCH("D15.58|"&amp;DE174,CODIFICACION!$F$2:$F$500,0))),"⚠"))</f>
        <v/>
      </c>
      <c r="BZ174" t="str">
        <f>IF(DF174="","",IFERROR(IF(INDEX(CODIFICACION!$E$2:$E$500,MATCH("PP1|"&amp;DF174,CODIFICACION!$F$2:$F$500,0))="sin dato","",INDEX(CODIFICACION!$E$2:$E$500,MATCH("PP1|"&amp;DF174,CODIFICACION!$F$2:$F$500,0))),"⚠"))</f>
        <v/>
      </c>
      <c r="CA174" t="str">
        <f>IF(DG174="","",IFERROR(IF(INDEX(CODIFICACION!$E$2:$E$500,MATCH("PP2|"&amp;DG174,CODIFICACION!$F$2:$F$500,0))="sin dato","",INDEX(CODIFICACION!$E$2:$E$500,MATCH("PP2|"&amp;DG174,CODIFICACION!$F$2:$F$500,0))),"⚠"))</f>
        <v/>
      </c>
      <c r="CB174" t="str">
        <f t="shared" si="139"/>
        <v/>
      </c>
      <c r="CC174" t="str">
        <f t="shared" ca="1" si="140"/>
        <v/>
      </c>
      <c r="CD174" t="str">
        <f t="shared" ca="1" si="141"/>
        <v/>
      </c>
      <c r="CE174" t="str">
        <f t="shared" si="142"/>
        <v/>
      </c>
      <c r="CF174" t="str">
        <f t="shared" si="143"/>
        <v/>
      </c>
      <c r="CG174" t="str">
        <f t="shared" ca="1" si="144"/>
        <v/>
      </c>
      <c r="CH174" t="str">
        <f t="shared" ca="1" si="145"/>
        <v/>
      </c>
      <c r="CI174" t="str">
        <f t="shared" si="146"/>
        <v/>
      </c>
      <c r="CJ174" t="str">
        <f t="shared" si="147"/>
        <v/>
      </c>
      <c r="CK174" t="str">
        <f t="shared" si="148"/>
        <v/>
      </c>
      <c r="CL174" t="str">
        <f t="shared" si="149"/>
        <v/>
      </c>
    </row>
    <row r="175" spans="1:90" x14ac:dyDescent="0.3">
      <c r="A175">
        <f>CAPTURA!A175</f>
        <v>20611935243</v>
      </c>
      <c r="B175">
        <f>CAPTURA!C175</f>
        <v>0</v>
      </c>
      <c r="C175" t="str">
        <f t="shared" si="125"/>
        <v/>
      </c>
      <c r="D175" t="str">
        <f>IF(AE175="","",IFERROR(IF(INDEX(CODIFICACION!$E$2:$E$500,MATCH("P8|"&amp;AE175,CODIFICACION!$F$2:$F$500,0))="sin dato","",INDEX(CODIFICACION!$E$2:$E$500,MATCH("P8|"&amp;AE175,CODIFICACION!$F$2:$F$500,0))),"⚠"))</f>
        <v/>
      </c>
      <c r="E175" t="str">
        <f>IF(AG175="","",IFERROR(IF(INDEX(CODIFICACION!$E$2:$E$500,MATCH("P10|"&amp;AG175,CODIFICACION!$F$2:$F$500,0))="sin dato","",INDEX(CODIFICACION!$E$2:$E$500,MATCH("P10|"&amp;AG175,CODIFICACION!$F$2:$F$500,0))),"⚠"))</f>
        <v/>
      </c>
      <c r="F175" t="str">
        <f>IF(AJ175="","",IFERROR(IF(INDEX(CODIFICACION!$E$2:$E$500,MATCH("P13|"&amp;AJ175,CODIFICACION!$F$2:$F$500,0))="sin dato","",INDEX(CODIFICACION!$E$2:$E$500,MATCH("P13|"&amp;AJ175,CODIFICACION!$F$2:$F$500,0))),"⚠"))</f>
        <v/>
      </c>
      <c r="G175" t="str">
        <f>IF(AK175="","",IFERROR(IF(INDEX(CODIFICACION!$E$2:$E$500,MATCH("P14|"&amp;AK175,CODIFICACION!$F$2:$F$500,0))="sin dato","",INDEX(CODIFICACION!$E$2:$E$500,MATCH("P14|"&amp;AK175,CODIFICACION!$F$2:$F$500,0))),"⚠"))</f>
        <v/>
      </c>
      <c r="H175" t="str">
        <f>IF(AL175="","",IFERROR(IF(INDEX(CODIFICACION!$E$2:$E$500,MATCH("D1.1|"&amp;AL175,CODIFICACION!$F$2:$F$500,0))="sin dato","",INDEX(CODIFICACION!$E$2:$E$500,MATCH("D1.1|"&amp;AL175,CODIFICACION!$F$2:$F$500,0))),"⚠"))</f>
        <v/>
      </c>
      <c r="I175" t="str">
        <f>IF(AN175="","",IFERROR(IF(INDEX(CODIFICACION!$E$2:$E$500,MATCH("D1.3|"&amp;AN175,CODIFICACION!$F$2:$F$500,0))="sin dato","",INDEX(CODIFICACION!$E$2:$E$500,MATCH("D1.3|"&amp;AN175,CODIFICACION!$F$2:$F$500,0))),"⚠"))</f>
        <v/>
      </c>
      <c r="J175" t="str">
        <f>IF(AO175="","",IFERROR(IF(INDEX(CODIFICACION!$E$2:$E$500,MATCH("D1.4|"&amp;AO175,CODIFICACION!$F$2:$F$500,0))="sin dato","",INDEX(CODIFICACION!$E$2:$E$500,MATCH("D1.4|"&amp;AO175,CODIFICACION!$F$2:$F$500,0))),"⚠"))</f>
        <v/>
      </c>
      <c r="K175" t="str">
        <f>IF(AP175="","",IFERROR(IF(INDEX(CODIFICACION!$E$2:$E$500,MATCH("D1.3a|"&amp;AP175,CODIFICACION!$F$2:$F$500,0))="sin dato","",INDEX(CODIFICACION!$E$2:$E$500,MATCH("D1.3a|"&amp;AP175,CODIFICACION!$F$2:$F$500,0))),"⚠"))</f>
        <v/>
      </c>
      <c r="L175" t="str">
        <f t="shared" si="126"/>
        <v/>
      </c>
      <c r="M175" t="str">
        <f t="shared" si="127"/>
        <v/>
      </c>
      <c r="N175" t="str">
        <f t="shared" si="128"/>
        <v/>
      </c>
      <c r="O175" t="str">
        <f>IF(AT175="","",IFERROR(IF(INDEX(CODIFICACION!$E$2:$E$500,MATCH("D2.8|"&amp;AT175,CODIFICACION!$F$2:$F$500,0))="sin dato","",INDEX(CODIFICACION!$E$2:$E$500,MATCH("D2.8|"&amp;AT175,CODIFICACION!$F$2:$F$500,0))),"⚠"))</f>
        <v/>
      </c>
      <c r="P175" t="str">
        <f>IF(AU175="","",IFERROR(IF(INDEX(CODIFICACION!$E$2:$E$500,MATCH("D2.9|"&amp;AU175,CODIFICACION!$F$2:$F$500,0))="sin dato","",INDEX(CODIFICACION!$E$2:$E$500,MATCH("D2.9|"&amp;AU175,CODIFICACION!$F$2:$F$500,0))),"⚠"))</f>
        <v/>
      </c>
      <c r="Q175" t="str">
        <f>IF(AV175="","",IFERROR(IF(INDEX(CODIFICACION!$E$2:$E$500,MATCH("D2.10|"&amp;AV175,CODIFICACION!$F$2:$F$500,0))="sin dato","",INDEX(CODIFICACION!$E$2:$E$500,MATCH("D2.10|"&amp;AV175,CODIFICACION!$F$2:$F$500,0))),"⚠"))</f>
        <v/>
      </c>
      <c r="R175" t="str">
        <f>IF(AW175="","",IFERROR(IF(INDEX(CODIFICACION!$E$2:$E$500,MATCH("D2.5a|"&amp;AW175,CODIFICACION!$F$2:$F$500,0))="sin dato","",INDEX(CODIFICACION!$E$2:$E$500,MATCH("D2.5a|"&amp;AW175,CODIFICACION!$F$2:$F$500,0))),"⚠"))</f>
        <v/>
      </c>
      <c r="S175" t="str">
        <f ca="1">IF(AX175="","",IFERROR(IF(INDEX(CODIFICACION!$E$2:$E$500,MATCH("D2.5b|"&amp;AX175,CODIFICACION!$F$2:$F$500,0))="sin dato","",INDEX(CODIFICACION!$E$2:$E$500,MATCH("D2.5b|"&amp;AX175,CODIFICACION!$F$2:$F$500,0))),"⚠"))</f>
        <v/>
      </c>
      <c r="T175" t="str">
        <f t="shared" ca="1" si="129"/>
        <v/>
      </c>
      <c r="U175" t="str">
        <f>IF(AZ175="","",IFERROR(IF(INDEX(CODIFICACION!$E$2:$E$500,MATCH("D3.12|"&amp;AZ175,CODIFICACION!$F$2:$F$500,0))="sin dato","",INDEX(CODIFICACION!$E$2:$E$500,MATCH("D3.12|"&amp;AZ175,CODIFICACION!$F$2:$F$500,0))),"⚠"))</f>
        <v/>
      </c>
      <c r="V175" t="str">
        <f t="shared" si="130"/>
        <v/>
      </c>
      <c r="W175" t="str">
        <f ca="1">IF(BB175="","",IFERROR(IF(INDEX(CODIFICACION!$E$2:$E$500,MATCH("D3.14|"&amp;BB175,CODIFICACION!$F$2:$F$500,0))="sin dato","",INDEX(CODIFICACION!$E$2:$E$500,MATCH("D3.14|"&amp;BB175,CODIFICACION!$F$2:$F$500,0))),"⚠"))</f>
        <v/>
      </c>
      <c r="X175" t="str">
        <f ca="1">IF(BC175="","",IFERROR(IF(INDEX(CODIFICACION!$E$2:$E$500,MATCH("D3.14a|"&amp;BC175,CODIFICACION!$F$2:$F$500,0))="sin dato","",INDEX(CODIFICACION!$E$2:$E$500,MATCH("D3.14a|"&amp;BC175,CODIFICACION!$F$2:$F$500,0))),"⚠"))</f>
        <v/>
      </c>
      <c r="Y175" t="str">
        <f>IF(BD175="","",IFERROR(IF(INDEX(CODIFICACION!$E$2:$E$500,MATCH("D3.14b|"&amp;BD175,CODIFICACION!$F$2:$F$500,0))="sin dato","",INDEX(CODIFICACION!$E$2:$E$500,MATCH("D3.14b|"&amp;BD175,CODIFICACION!$F$2:$F$500,0))),"⚠"))</f>
        <v/>
      </c>
      <c r="Z175" t="str">
        <f>IF(BE175="","",IFERROR(IF(INDEX(CODIFICACION!$E$2:$E$500,MATCH("D3.14c|"&amp;BE175,CODIFICACION!$F$2:$F$500,0))="sin dato","",INDEX(CODIFICACION!$E$2:$E$500,MATCH("D3.14c|"&amp;BE175,CODIFICACION!$F$2:$F$500,0))),"⚠"))</f>
        <v/>
      </c>
      <c r="AA175" t="str">
        <f>IF(BF175="","",IFERROR(IF(INDEX(CODIFICACION!$E$2:$E$500,MATCH("D3.14d|"&amp;BF175,CODIFICACION!$F$2:$F$500,0))="sin dato","",INDEX(CODIFICACION!$E$2:$E$500,MATCH("D3.14d|"&amp;BF175,CODIFICACION!$F$2:$F$500,0))),"⚠"))</f>
        <v/>
      </c>
      <c r="AB175" t="str">
        <f>IF(BG175="","",IFERROR(IF(INDEX(CODIFICACION!$E$2:$E$500,MATCH("D3.14e|"&amp;BG175,CODIFICACION!$F$2:$F$500,0))="sin dato","",INDEX(CODIFICACION!$E$2:$E$500,MATCH("D3.14e|"&amp;BG175,CODIFICACION!$F$2:$F$500,0))),"⚠"))</f>
        <v/>
      </c>
      <c r="AC175" t="str">
        <f>IF(BH175="","",IFERROR(IF(INDEX(CODIFICACION!$E$2:$E$500,MATCH("D3.14f|"&amp;BH175,CODIFICACION!$F$2:$F$500,0))="sin dato","",INDEX(CODIFICACION!$E$2:$E$500,MATCH("D3.14f|"&amp;BH175,CODIFICACION!$F$2:$F$500,0))),"⚠"))</f>
        <v/>
      </c>
      <c r="AD175" t="str">
        <f>IF(BI175="","",IFERROR(IF(INDEX(CODIFICACION!$E$2:$E$500,MATCH("D3.14g|"&amp;BI175,CODIFICACION!$F$2:$F$500,0))="sin dato","",INDEX(CODIFICACION!$E$2:$E$500,MATCH("D3.14g|"&amp;BI175,CODIFICACION!$F$2:$F$500,0))),"⚠"))</f>
        <v/>
      </c>
      <c r="AE175" t="str">
        <f>IF(BJ175="","",IFERROR(IF(INDEX(CODIFICACION!$E$2:$E$500,MATCH("D3.14h|"&amp;BJ175,CODIFICACION!$F$2:$F$500,0))="sin dato","",INDEX(CODIFICACION!$E$2:$E$500,MATCH("D3.14h|"&amp;BJ175,CODIFICACION!$F$2:$F$500,0))),"⚠"))</f>
        <v/>
      </c>
      <c r="AF175" t="str">
        <f>IF(BK175="","",IFERROR(IF(INDEX(CODIFICACION!$E$2:$E$500,MATCH("D3.14i|"&amp;BK175,CODIFICACION!$F$2:$F$500,0))="sin dato","",INDEX(CODIFICACION!$E$2:$E$500,MATCH("D3.14i|"&amp;BK175,CODIFICACION!$F$2:$F$500,0))),"⚠"))</f>
        <v/>
      </c>
      <c r="AG175" t="str">
        <f>IF(BL175="","",IFERROR(IF(INDEX(CODIFICACION!$E$2:$E$500,MATCH("D4.15|"&amp;BL175,CODIFICACION!$F$2:$F$500,0))="sin dato","",INDEX(CODIFICACION!$E$2:$E$500,MATCH("D4.15|"&amp;BL175,CODIFICACION!$F$2:$F$500,0))),"⚠"))</f>
        <v/>
      </c>
      <c r="AH175" t="str">
        <f t="shared" si="131"/>
        <v/>
      </c>
      <c r="AI175" t="str">
        <f>IF(BN175="","",IFERROR(IF(INDEX(CODIFICACION!$E$2:$E$500,MATCH("D4.17|"&amp;BN175,CODIFICACION!$F$2:$F$500,0))="sin dato","",INDEX(CODIFICACION!$E$2:$E$500,MATCH("D4.17|"&amp;BN175,CODIFICACION!$F$2:$F$500,0))),"⚠"))</f>
        <v/>
      </c>
      <c r="AJ175" t="str">
        <f>IF(BO175="","",IFERROR(IF(INDEX(CODIFICACION!$E$2:$E$500,MATCH("D4.15a|"&amp;BO175,CODIFICACION!$F$2:$F$500,0))="sin dato","",INDEX(CODIFICACION!$E$2:$E$500,MATCH("D4.15a|"&amp;BO175,CODIFICACION!$F$2:$F$500,0))),"⚠"))</f>
        <v/>
      </c>
      <c r="AK175" t="str">
        <f t="shared" si="132"/>
        <v/>
      </c>
      <c r="AL175" t="str">
        <f t="shared" si="133"/>
        <v/>
      </c>
      <c r="AM175" t="str">
        <f>IF(BR175="","",IFERROR(IF(INDEX(CODIFICACION!$E$2:$E$500,MATCH("D5.18b|"&amp;BR175,CODIFICACION!$F$2:$F$500,0))="sin dato","",INDEX(CODIFICACION!$E$2:$E$500,MATCH("D5.18b|"&amp;BR175,CODIFICACION!$F$2:$F$500,0))),"⚠"))</f>
        <v/>
      </c>
      <c r="AN175" t="str">
        <f>IF(BS175="","",IFERROR(IF(INDEX(CODIFICACION!$E$2:$E$500,MATCH("D5.19|"&amp;BS175,CODIFICACION!$F$2:$F$500,0))="sin dato","",INDEX(CODIFICACION!$E$2:$E$500,MATCH("D5.19|"&amp;BS175,CODIFICACION!$F$2:$F$500,0))),"⚠"))</f>
        <v/>
      </c>
      <c r="AO175" t="str">
        <f t="shared" si="134"/>
        <v/>
      </c>
      <c r="AP175" t="str">
        <f>IF(BU175="","",IFERROR(IF(INDEX(CODIFICACION!$E$2:$E$500,MATCH("D5.20|"&amp;BU175,CODIFICACION!$F$2:$F$500,0))="sin dato","",INDEX(CODIFICACION!$E$2:$E$500,MATCH("D5.20|"&amp;BU175,CODIFICACION!$F$2:$F$500,0))),"⚠"))</f>
        <v/>
      </c>
      <c r="AQ175" t="str">
        <f>IF(BV175="","",IFERROR(IF(INDEX(CODIFICACION!$E$2:$E$500,MATCH("D5.21|"&amp;BV175,CODIFICACION!$F$2:$F$500,0))="sin dato","",INDEX(CODIFICACION!$E$2:$E$500,MATCH("D5.21|"&amp;BV175,CODIFICACION!$F$2:$F$500,0))),"⚠"))</f>
        <v/>
      </c>
      <c r="AR175" t="str">
        <f>IF(BW175="","",IFERROR(IF(INDEX(CODIFICACION!$E$2:$E$500,MATCH("D5.21a|"&amp;BW175,CODIFICACION!$F$2:$F$500,0))="sin dato","",INDEX(CODIFICACION!$E$2:$E$500,MATCH("D5.21a|"&amp;BW175,CODIFICACION!$F$2:$F$500,0))),"⚠"))</f>
        <v/>
      </c>
      <c r="AS175" t="str">
        <f>IF(BX175="","",IFERROR(IF(INDEX(CODIFICACION!$E$2:$E$500,MATCH("D5.21b|"&amp;BX175,CODIFICACION!$F$2:$F$500,0))="sin dato","",INDEX(CODIFICACION!$E$2:$E$500,MATCH("D5.21b|"&amp;BX175,CODIFICACION!$F$2:$F$500,0))),"⚠"))</f>
        <v/>
      </c>
      <c r="AT175" t="str">
        <f>IF(BY175="","",IFERROR(IF(INDEX(CODIFICACION!$E$2:$E$500,MATCH("D6.22|"&amp;BY175,CODIFICACION!$F$2:$F$500,0))="sin dato","",INDEX(CODIFICACION!$E$2:$E$500,MATCH("D6.22|"&amp;BY175,CODIFICACION!$F$2:$F$500,0))),"⚠"))</f>
        <v/>
      </c>
      <c r="AU175" t="str">
        <f>IF(BZ175="","",IFERROR(IF(INDEX(CODIFICACION!$E$2:$E$500,MATCH("D6.22a|"&amp;BZ175,CODIFICACION!$F$2:$F$500,0))="sin dato","",INDEX(CODIFICACION!$E$2:$E$500,MATCH("D6.22a|"&amp;BZ175,CODIFICACION!$F$2:$F$500,0))),"⚠"))</f>
        <v/>
      </c>
      <c r="AV175" t="str">
        <f>IF(CA175="","",IFERROR(IF(INDEX(CODIFICACION!$E$2:$E$500,MATCH("D6.22b|"&amp;CA175,CODIFICACION!$F$2:$F$500,0))="sin dato","",INDEX(CODIFICACION!$E$2:$E$500,MATCH("D6.22b|"&amp;CA175,CODIFICACION!$F$2:$F$500,0))),"⚠"))</f>
        <v/>
      </c>
      <c r="AW175" t="str">
        <f>IF(CB175="","",IFERROR(IF(INDEX(CODIFICACION!$E$2:$E$500,MATCH("D6.23|"&amp;CB175,CODIFICACION!$F$2:$F$500,0))="sin dato","",INDEX(CODIFICACION!$E$2:$E$500,MATCH("D6.23|"&amp;CB175,CODIFICACION!$F$2:$F$500,0))),"⚠"))</f>
        <v/>
      </c>
      <c r="AX175" t="str">
        <f ca="1">IF(CC175="","",IFERROR(IF(INDEX(CODIFICACION!$E$2:$E$500,MATCH("D6.24|"&amp;CC175,CODIFICACION!$F$2:$F$500,0))="sin dato","",INDEX(CODIFICACION!$E$2:$E$500,MATCH("D6.24|"&amp;CC175,CODIFICACION!$F$2:$F$500,0))),"⚠"))</f>
        <v/>
      </c>
      <c r="AY175" t="str">
        <f ca="1">IF(CD175="","",IFERROR(IF(INDEX(CODIFICACION!$E$2:$E$500,MATCH("D6.25|"&amp;CD175,CODIFICACION!$F$2:$F$500,0))="sin dato","",INDEX(CODIFICACION!$E$2:$E$500,MATCH("D6.25|"&amp;CD175,CODIFICACION!$F$2:$F$500,0))),"⚠"))</f>
        <v/>
      </c>
      <c r="AZ175" t="str">
        <f>IF(CE175="","",IFERROR(IF(INDEX(CODIFICACION!$E$2:$E$500,MATCH("D6.25a|"&amp;CE175,CODIFICACION!$F$2:$F$500,0))="sin dato","",INDEX(CODIFICACION!$E$2:$E$500,MATCH("D6.25a|"&amp;CE175,CODIFICACION!$F$2:$F$500,0))),"⚠"))</f>
        <v/>
      </c>
      <c r="BA175" t="str">
        <f>IF(CF175="","",IFERROR(IF(INDEX(CODIFICACION!$E$2:$E$500,MATCH("D6.25b|"&amp;CF175,CODIFICACION!$F$2:$F$500,0))="sin dato","",INDEX(CODIFICACION!$E$2:$E$500,MATCH("D6.25b|"&amp;CF175,CODIFICACION!$F$2:$F$500,0))),"⚠"))</f>
        <v/>
      </c>
      <c r="BB175" t="str">
        <f ca="1">IF(CG175="","",IFERROR(IF(INDEX(CODIFICACION!$E$2:$E$500,MATCH("D6.22c|"&amp;CG175,CODIFICACION!$F$2:$F$500,0))="sin dato","",INDEX(CODIFICACION!$E$2:$E$500,MATCH("D6.22c|"&amp;CG175,CODIFICACION!$F$2:$F$500,0))),"⚠"))</f>
        <v/>
      </c>
      <c r="BC175" t="str">
        <f ca="1">IF(CH175="","",IFERROR(IF(INDEX(CODIFICACION!$E$2:$E$500,MATCH("D7.26|"&amp;CH175,CODIFICACION!$F$2:$F$500,0))="sin dato","",INDEX(CODIFICACION!$E$2:$E$500,MATCH("D7.26|"&amp;CH175,CODIFICACION!$F$2:$F$500,0))),"⚠"))</f>
        <v/>
      </c>
      <c r="BD175" t="str">
        <f>IF(CI175="","",IFERROR(IF(INDEX(CODIFICACION!$E$2:$E$500,MATCH("D7.27|"&amp;CI175,CODIFICACION!$F$2:$F$500,0))="sin dato","",INDEX(CODIFICACION!$E$2:$E$500,MATCH("D7.27|"&amp;CI175,CODIFICACION!$F$2:$F$500,0))),"⚠"))</f>
        <v/>
      </c>
      <c r="BE175" t="str">
        <f>IF(CJ175="","",IFERROR(IF(INDEX(CODIFICACION!$E$2:$E$500,MATCH("D7.28|"&amp;CJ175,CODIFICACION!$F$2:$F$500,0))="sin dato","",INDEX(CODIFICACION!$E$2:$E$500,MATCH("D7.28|"&amp;CJ175,CODIFICACION!$F$2:$F$500,0))),"⚠"))</f>
        <v/>
      </c>
      <c r="BF175" t="str">
        <f>IF(CK175="","",IFERROR(IF(INDEX(CODIFICACION!$E$2:$E$500,MATCH("D7.28b|"&amp;CK175,CODIFICACION!$F$2:$F$500,0))="sin dato","",INDEX(CODIFICACION!$E$2:$E$500,MATCH("D7.28b|"&amp;CK175,CODIFICACION!$F$2:$F$500,0))),"⚠"))</f>
        <v/>
      </c>
      <c r="BG175" t="str">
        <f t="shared" si="135"/>
        <v/>
      </c>
      <c r="BH175" t="str">
        <f>IF(CM175="","",IFERROR(IF(INDEX(CODIFICACION!$E$2:$E$500,MATCH("D7.26a|"&amp;CM175,CODIFICACION!$F$2:$F$500,0))="sin dato","",INDEX(CODIFICACION!$E$2:$E$500,MATCH("D7.26a|"&amp;CM175,CODIFICACION!$F$2:$F$500,0))),"⚠"))</f>
        <v/>
      </c>
      <c r="BI175" t="str">
        <f>IF(CN175="","",IFERROR(IF(INDEX(CODIFICACION!$E$2:$E$500,MATCH("D7.26b|"&amp;CN175,CODIFICACION!$F$2:$F$500,0))="sin dato","",INDEX(CODIFICACION!$E$2:$E$500,MATCH("D7.26b|"&amp;CN175,CODIFICACION!$F$2:$F$500,0))),"⚠"))</f>
        <v/>
      </c>
      <c r="BJ175" t="str">
        <f t="shared" si="136"/>
        <v/>
      </c>
      <c r="BK175" t="str">
        <f t="shared" si="137"/>
        <v/>
      </c>
      <c r="BL175" t="str">
        <f>IF(CQ175="","",IFERROR(IF(INDEX(CODIFICACION!$E$2:$E$500,MATCH("D8.31|"&amp;CQ175,CODIFICACION!$F$2:$F$500,0))="sin dato","",INDEX(CODIFICACION!$E$2:$E$500,MATCH("D8.31|"&amp;CQ175,CODIFICACION!$F$2:$F$500,0))),"⚠"))</f>
        <v/>
      </c>
      <c r="BM175" t="str">
        <f>IF(CR175="","",IFERROR(IF(INDEX(CODIFICACION!$E$2:$E$500,MATCH("D8.32|"&amp;CR175,CODIFICACION!$F$2:$F$500,0))="sin dato","",INDEX(CODIFICACION!$E$2:$E$500,MATCH("D8.32|"&amp;CR175,CODIFICACION!$F$2:$F$500,0))),"⚠"))</f>
        <v/>
      </c>
      <c r="BN175" t="str">
        <f>IF(CS175="","",IFERROR(IF(INDEX(CODIFICACION!$E$2:$E$500,MATCH("D9.33|"&amp;CS175,CODIFICACION!$F$2:$F$500,0))="sin dato","",INDEX(CODIFICACION!$E$2:$E$500,MATCH("D9.33|"&amp;CS175,CODIFICACION!$F$2:$F$500,0))),"⚠"))</f>
        <v/>
      </c>
      <c r="BO175" t="str">
        <f>IF(CT175="","",IFERROR(IF(INDEX(CODIFICACION!$E$2:$E$500,MATCH("D9.34|"&amp;CT175,CODIFICACION!$F$2:$F$500,0))="sin dato","",INDEX(CODIFICACION!$E$2:$E$500,MATCH("D9.34|"&amp;CT175,CODIFICACION!$F$2:$F$500,0))),"⚠"))</f>
        <v/>
      </c>
      <c r="BP175" t="str">
        <f>IF(CU175="","",IFERROR(IF(INDEX(CODIFICACION!$E$2:$E$500,MATCH("D9.35|"&amp;CU175,CODIFICACION!$F$2:$F$500,0))="sin dato","",INDEX(CODIFICACION!$E$2:$E$500,MATCH("D9.35|"&amp;CU175,CODIFICACION!$F$2:$F$500,0))),"⚠"))</f>
        <v/>
      </c>
      <c r="BQ175" t="str">
        <f>IF(CV175="","",IFERROR(IF(INDEX(CODIFICACION!$E$2:$E$500,MATCH("D10.36|"&amp;CV175,CODIFICACION!$F$2:$F$500,0))="sin dato","",INDEX(CODIFICACION!$E$2:$E$500,MATCH("D10.36|"&amp;CV175,CODIFICACION!$F$2:$F$500,0))),"⚠"))</f>
        <v/>
      </c>
      <c r="BR175" t="str">
        <f>IF(CW175="","",IFERROR(IF(INDEX(CODIFICACION!$E$2:$E$500,MATCH("D10.37|"&amp;CW175,CODIFICACION!$F$2:$F$500,0))="sin dato","",INDEX(CODIFICACION!$E$2:$E$500,MATCH("D10.37|"&amp;CW175,CODIFICACION!$F$2:$F$500,0))),"⚠"))</f>
        <v/>
      </c>
      <c r="BS175" t="str">
        <f>IF(CX175="","",IFERROR(IF(INDEX(CODIFICACION!$E$2:$E$500,MATCH("D10.36a|"&amp;CX175,CODIFICACION!$F$2:$F$500,0))="sin dato","",INDEX(CODIFICACION!$E$2:$E$500,MATCH("D10.36a|"&amp;CX175,CODIFICACION!$F$2:$F$500,0))),"⚠"))</f>
        <v/>
      </c>
      <c r="BT175" t="str">
        <f t="shared" si="138"/>
        <v/>
      </c>
      <c r="BU175" t="str">
        <f>IF(DA175="","",IFERROR(IF(INDEX(CODIFICACION!$E$2:$E$500,MATCH("D11.39a|"&amp;DA175,CODIFICACION!$F$2:$F$500,0))="sin dato","",INDEX(CODIFICACION!$E$2:$E$500,MATCH("D11.39a|"&amp;DA175,CODIFICACION!$F$2:$F$500,0))),"⚠"))</f>
        <v/>
      </c>
      <c r="BV175" t="str">
        <f>IF(DB175="","",IFERROR(IF(INDEX(CODIFICACION!$E$2:$E$500,MATCH("D12.42|"&amp;DB175,CODIFICACION!$F$2:$F$500,0))="sin dato","",INDEX(CODIFICACION!$E$2:$E$500,MATCH("D12.42|"&amp;DB175,CODIFICACION!$F$2:$F$500,0))),"⚠"))</f>
        <v/>
      </c>
      <c r="BW175" t="str">
        <f>IF(DC175="","",IFERROR(IF(INDEX(CODIFICACION!$E$2:$E$500,MATCH("D13.45|"&amp;DC175,CODIFICACION!$F$2:$F$500,0))="sin dato","",INDEX(CODIFICACION!$E$2:$E$500,MATCH("D13.45|"&amp;DC175,CODIFICACION!$F$2:$F$500,0))),"⚠"))</f>
        <v/>
      </c>
      <c r="BX175" t="str">
        <f>IF(DD175="","",IFERROR(IF(INDEX(CODIFICACION!$E$2:$E$500,MATCH("D14.51|"&amp;DD175,CODIFICACION!$F$2:$F$500,0))="sin dato","",INDEX(CODIFICACION!$E$2:$E$500,MATCH("D14.51|"&amp;DD175,CODIFICACION!$F$2:$F$500,0))),"⚠"))</f>
        <v/>
      </c>
      <c r="BY175" t="str">
        <f>IF(DE175="","",IFERROR(IF(INDEX(CODIFICACION!$E$2:$E$500,MATCH("D15.58|"&amp;DE175,CODIFICACION!$F$2:$F$500,0))="sin dato","",INDEX(CODIFICACION!$E$2:$E$500,MATCH("D15.58|"&amp;DE175,CODIFICACION!$F$2:$F$500,0))),"⚠"))</f>
        <v/>
      </c>
      <c r="BZ175" t="str">
        <f>IF(DF175="","",IFERROR(IF(INDEX(CODIFICACION!$E$2:$E$500,MATCH("PP1|"&amp;DF175,CODIFICACION!$F$2:$F$500,0))="sin dato","",INDEX(CODIFICACION!$E$2:$E$500,MATCH("PP1|"&amp;DF175,CODIFICACION!$F$2:$F$500,0))),"⚠"))</f>
        <v/>
      </c>
      <c r="CA175" t="str">
        <f>IF(DG175="","",IFERROR(IF(INDEX(CODIFICACION!$E$2:$E$500,MATCH("PP2|"&amp;DG175,CODIFICACION!$F$2:$F$500,0))="sin dato","",INDEX(CODIFICACION!$E$2:$E$500,MATCH("PP2|"&amp;DG175,CODIFICACION!$F$2:$F$500,0))),"⚠"))</f>
        <v/>
      </c>
      <c r="CB175" t="str">
        <f t="shared" si="139"/>
        <v/>
      </c>
      <c r="CC175" t="str">
        <f t="shared" ca="1" si="140"/>
        <v/>
      </c>
      <c r="CD175" t="str">
        <f t="shared" ca="1" si="141"/>
        <v/>
      </c>
      <c r="CE175" t="str">
        <f t="shared" si="142"/>
        <v/>
      </c>
      <c r="CF175" t="str">
        <f t="shared" si="143"/>
        <v/>
      </c>
      <c r="CG175" t="str">
        <f t="shared" ca="1" si="144"/>
        <v/>
      </c>
      <c r="CH175" t="str">
        <f t="shared" ca="1" si="145"/>
        <v/>
      </c>
      <c r="CI175" t="str">
        <f t="shared" si="146"/>
        <v/>
      </c>
      <c r="CJ175" t="str">
        <f t="shared" si="147"/>
        <v/>
      </c>
      <c r="CK175" t="str">
        <f t="shared" si="148"/>
        <v/>
      </c>
      <c r="CL175" t="str">
        <f t="shared" si="149"/>
        <v/>
      </c>
    </row>
    <row r="176" spans="1:90" x14ac:dyDescent="0.3">
      <c r="A176">
        <f>CAPTURA!A176</f>
        <v>20612331821</v>
      </c>
      <c r="B176">
        <f>CAPTURA!C176</f>
        <v>0</v>
      </c>
      <c r="C176" t="str">
        <f t="shared" si="125"/>
        <v/>
      </c>
      <c r="D176" t="str">
        <f>IF(AE176="","",IFERROR(IF(INDEX(CODIFICACION!$E$2:$E$500,MATCH("P8|"&amp;AE176,CODIFICACION!$F$2:$F$500,0))="sin dato","",INDEX(CODIFICACION!$E$2:$E$500,MATCH("P8|"&amp;AE176,CODIFICACION!$F$2:$F$500,0))),"⚠"))</f>
        <v/>
      </c>
      <c r="E176" t="str">
        <f>IF(AG176="","",IFERROR(IF(INDEX(CODIFICACION!$E$2:$E$500,MATCH("P10|"&amp;AG176,CODIFICACION!$F$2:$F$500,0))="sin dato","",INDEX(CODIFICACION!$E$2:$E$500,MATCH("P10|"&amp;AG176,CODIFICACION!$F$2:$F$500,0))),"⚠"))</f>
        <v/>
      </c>
      <c r="F176" t="str">
        <f>IF(AJ176="","",IFERROR(IF(INDEX(CODIFICACION!$E$2:$E$500,MATCH("P13|"&amp;AJ176,CODIFICACION!$F$2:$F$500,0))="sin dato","",INDEX(CODIFICACION!$E$2:$E$500,MATCH("P13|"&amp;AJ176,CODIFICACION!$F$2:$F$500,0))),"⚠"))</f>
        <v/>
      </c>
      <c r="G176" t="str">
        <f>IF(AK176="","",IFERROR(IF(INDEX(CODIFICACION!$E$2:$E$500,MATCH("P14|"&amp;AK176,CODIFICACION!$F$2:$F$500,0))="sin dato","",INDEX(CODIFICACION!$E$2:$E$500,MATCH("P14|"&amp;AK176,CODIFICACION!$F$2:$F$500,0))),"⚠"))</f>
        <v/>
      </c>
      <c r="H176" t="str">
        <f>IF(AL176="","",IFERROR(IF(INDEX(CODIFICACION!$E$2:$E$500,MATCH("D1.1|"&amp;AL176,CODIFICACION!$F$2:$F$500,0))="sin dato","",INDEX(CODIFICACION!$E$2:$E$500,MATCH("D1.1|"&amp;AL176,CODIFICACION!$F$2:$F$500,0))),"⚠"))</f>
        <v/>
      </c>
      <c r="I176" t="str">
        <f>IF(AN176="","",IFERROR(IF(INDEX(CODIFICACION!$E$2:$E$500,MATCH("D1.3|"&amp;AN176,CODIFICACION!$F$2:$F$500,0))="sin dato","",INDEX(CODIFICACION!$E$2:$E$500,MATCH("D1.3|"&amp;AN176,CODIFICACION!$F$2:$F$500,0))),"⚠"))</f>
        <v/>
      </c>
      <c r="J176" t="str">
        <f>IF(AO176="","",IFERROR(IF(INDEX(CODIFICACION!$E$2:$E$500,MATCH("D1.4|"&amp;AO176,CODIFICACION!$F$2:$F$500,0))="sin dato","",INDEX(CODIFICACION!$E$2:$E$500,MATCH("D1.4|"&amp;AO176,CODIFICACION!$F$2:$F$500,0))),"⚠"))</f>
        <v/>
      </c>
      <c r="K176" t="str">
        <f>IF(AP176="","",IFERROR(IF(INDEX(CODIFICACION!$E$2:$E$500,MATCH("D1.3a|"&amp;AP176,CODIFICACION!$F$2:$F$500,0))="sin dato","",INDEX(CODIFICACION!$E$2:$E$500,MATCH("D1.3a|"&amp;AP176,CODIFICACION!$F$2:$F$500,0))),"⚠"))</f>
        <v/>
      </c>
      <c r="L176" t="str">
        <f t="shared" si="126"/>
        <v/>
      </c>
      <c r="M176" t="str">
        <f t="shared" si="127"/>
        <v/>
      </c>
      <c r="N176" t="str">
        <f t="shared" si="128"/>
        <v/>
      </c>
      <c r="O176" t="str">
        <f>IF(AT176="","",IFERROR(IF(INDEX(CODIFICACION!$E$2:$E$500,MATCH("D2.8|"&amp;AT176,CODIFICACION!$F$2:$F$500,0))="sin dato","",INDEX(CODIFICACION!$E$2:$E$500,MATCH("D2.8|"&amp;AT176,CODIFICACION!$F$2:$F$500,0))),"⚠"))</f>
        <v/>
      </c>
      <c r="P176" t="str">
        <f>IF(AU176="","",IFERROR(IF(INDEX(CODIFICACION!$E$2:$E$500,MATCH("D2.9|"&amp;AU176,CODIFICACION!$F$2:$F$500,0))="sin dato","",INDEX(CODIFICACION!$E$2:$E$500,MATCH("D2.9|"&amp;AU176,CODIFICACION!$F$2:$F$500,0))),"⚠"))</f>
        <v/>
      </c>
      <c r="Q176" t="str">
        <f>IF(AV176="","",IFERROR(IF(INDEX(CODIFICACION!$E$2:$E$500,MATCH("D2.10|"&amp;AV176,CODIFICACION!$F$2:$F$500,0))="sin dato","",INDEX(CODIFICACION!$E$2:$E$500,MATCH("D2.10|"&amp;AV176,CODIFICACION!$F$2:$F$500,0))),"⚠"))</f>
        <v/>
      </c>
      <c r="R176" t="str">
        <f>IF(AW176="","",IFERROR(IF(INDEX(CODIFICACION!$E$2:$E$500,MATCH("D2.5a|"&amp;AW176,CODIFICACION!$F$2:$F$500,0))="sin dato","",INDEX(CODIFICACION!$E$2:$E$500,MATCH("D2.5a|"&amp;AW176,CODIFICACION!$F$2:$F$500,0))),"⚠"))</f>
        <v/>
      </c>
      <c r="S176" t="str">
        <f ca="1">IF(AX176="","",IFERROR(IF(INDEX(CODIFICACION!$E$2:$E$500,MATCH("D2.5b|"&amp;AX176,CODIFICACION!$F$2:$F$500,0))="sin dato","",INDEX(CODIFICACION!$E$2:$E$500,MATCH("D2.5b|"&amp;AX176,CODIFICACION!$F$2:$F$500,0))),"⚠"))</f>
        <v/>
      </c>
      <c r="T176" t="str">
        <f t="shared" ca="1" si="129"/>
        <v/>
      </c>
      <c r="U176" t="str">
        <f>IF(AZ176="","",IFERROR(IF(INDEX(CODIFICACION!$E$2:$E$500,MATCH("D3.12|"&amp;AZ176,CODIFICACION!$F$2:$F$500,0))="sin dato","",INDEX(CODIFICACION!$E$2:$E$500,MATCH("D3.12|"&amp;AZ176,CODIFICACION!$F$2:$F$500,0))),"⚠"))</f>
        <v/>
      </c>
      <c r="V176" t="str">
        <f t="shared" si="130"/>
        <v/>
      </c>
      <c r="W176" t="str">
        <f ca="1">IF(BB176="","",IFERROR(IF(INDEX(CODIFICACION!$E$2:$E$500,MATCH("D3.14|"&amp;BB176,CODIFICACION!$F$2:$F$500,0))="sin dato","",INDEX(CODIFICACION!$E$2:$E$500,MATCH("D3.14|"&amp;BB176,CODIFICACION!$F$2:$F$500,0))),"⚠"))</f>
        <v/>
      </c>
      <c r="X176" t="str">
        <f ca="1">IF(BC176="","",IFERROR(IF(INDEX(CODIFICACION!$E$2:$E$500,MATCH("D3.14a|"&amp;BC176,CODIFICACION!$F$2:$F$500,0))="sin dato","",INDEX(CODIFICACION!$E$2:$E$500,MATCH("D3.14a|"&amp;BC176,CODIFICACION!$F$2:$F$500,0))),"⚠"))</f>
        <v/>
      </c>
      <c r="Y176" t="str">
        <f>IF(BD176="","",IFERROR(IF(INDEX(CODIFICACION!$E$2:$E$500,MATCH("D3.14b|"&amp;BD176,CODIFICACION!$F$2:$F$500,0))="sin dato","",INDEX(CODIFICACION!$E$2:$E$500,MATCH("D3.14b|"&amp;BD176,CODIFICACION!$F$2:$F$500,0))),"⚠"))</f>
        <v/>
      </c>
      <c r="Z176" t="str">
        <f>IF(BE176="","",IFERROR(IF(INDEX(CODIFICACION!$E$2:$E$500,MATCH("D3.14c|"&amp;BE176,CODIFICACION!$F$2:$F$500,0))="sin dato","",INDEX(CODIFICACION!$E$2:$E$500,MATCH("D3.14c|"&amp;BE176,CODIFICACION!$F$2:$F$500,0))),"⚠"))</f>
        <v/>
      </c>
      <c r="AA176" t="str">
        <f>IF(BF176="","",IFERROR(IF(INDEX(CODIFICACION!$E$2:$E$500,MATCH("D3.14d|"&amp;BF176,CODIFICACION!$F$2:$F$500,0))="sin dato","",INDEX(CODIFICACION!$E$2:$E$500,MATCH("D3.14d|"&amp;BF176,CODIFICACION!$F$2:$F$500,0))),"⚠"))</f>
        <v/>
      </c>
      <c r="AB176" t="str">
        <f>IF(BG176="","",IFERROR(IF(INDEX(CODIFICACION!$E$2:$E$500,MATCH("D3.14e|"&amp;BG176,CODIFICACION!$F$2:$F$500,0))="sin dato","",INDEX(CODIFICACION!$E$2:$E$500,MATCH("D3.14e|"&amp;BG176,CODIFICACION!$F$2:$F$500,0))),"⚠"))</f>
        <v/>
      </c>
      <c r="AC176" t="str">
        <f>IF(BH176="","",IFERROR(IF(INDEX(CODIFICACION!$E$2:$E$500,MATCH("D3.14f|"&amp;BH176,CODIFICACION!$F$2:$F$500,0))="sin dato","",INDEX(CODIFICACION!$E$2:$E$500,MATCH("D3.14f|"&amp;BH176,CODIFICACION!$F$2:$F$500,0))),"⚠"))</f>
        <v/>
      </c>
      <c r="AD176" t="str">
        <f>IF(BI176="","",IFERROR(IF(INDEX(CODIFICACION!$E$2:$E$500,MATCH("D3.14g|"&amp;BI176,CODIFICACION!$F$2:$F$500,0))="sin dato","",INDEX(CODIFICACION!$E$2:$E$500,MATCH("D3.14g|"&amp;BI176,CODIFICACION!$F$2:$F$500,0))),"⚠"))</f>
        <v/>
      </c>
      <c r="AE176" t="str">
        <f>IF(BJ176="","",IFERROR(IF(INDEX(CODIFICACION!$E$2:$E$500,MATCH("D3.14h|"&amp;BJ176,CODIFICACION!$F$2:$F$500,0))="sin dato","",INDEX(CODIFICACION!$E$2:$E$500,MATCH("D3.14h|"&amp;BJ176,CODIFICACION!$F$2:$F$500,0))),"⚠"))</f>
        <v/>
      </c>
      <c r="AF176" t="str">
        <f>IF(BK176="","",IFERROR(IF(INDEX(CODIFICACION!$E$2:$E$500,MATCH("D3.14i|"&amp;BK176,CODIFICACION!$F$2:$F$500,0))="sin dato","",INDEX(CODIFICACION!$E$2:$E$500,MATCH("D3.14i|"&amp;BK176,CODIFICACION!$F$2:$F$500,0))),"⚠"))</f>
        <v/>
      </c>
      <c r="AG176" t="str">
        <f>IF(BL176="","",IFERROR(IF(INDEX(CODIFICACION!$E$2:$E$500,MATCH("D4.15|"&amp;BL176,CODIFICACION!$F$2:$F$500,0))="sin dato","",INDEX(CODIFICACION!$E$2:$E$500,MATCH("D4.15|"&amp;BL176,CODIFICACION!$F$2:$F$500,0))),"⚠"))</f>
        <v/>
      </c>
      <c r="AH176" t="str">
        <f t="shared" si="131"/>
        <v/>
      </c>
      <c r="AI176" t="str">
        <f>IF(BN176="","",IFERROR(IF(INDEX(CODIFICACION!$E$2:$E$500,MATCH("D4.17|"&amp;BN176,CODIFICACION!$F$2:$F$500,0))="sin dato","",INDEX(CODIFICACION!$E$2:$E$500,MATCH("D4.17|"&amp;BN176,CODIFICACION!$F$2:$F$500,0))),"⚠"))</f>
        <v/>
      </c>
      <c r="AJ176" t="str">
        <f>IF(BO176="","",IFERROR(IF(INDEX(CODIFICACION!$E$2:$E$500,MATCH("D4.15a|"&amp;BO176,CODIFICACION!$F$2:$F$500,0))="sin dato","",INDEX(CODIFICACION!$E$2:$E$500,MATCH("D4.15a|"&amp;BO176,CODIFICACION!$F$2:$F$500,0))),"⚠"))</f>
        <v/>
      </c>
      <c r="AK176" t="str">
        <f t="shared" si="132"/>
        <v/>
      </c>
      <c r="AL176" t="str">
        <f t="shared" si="133"/>
        <v/>
      </c>
      <c r="AM176" t="str">
        <f>IF(BR176="","",IFERROR(IF(INDEX(CODIFICACION!$E$2:$E$500,MATCH("D5.18b|"&amp;BR176,CODIFICACION!$F$2:$F$500,0))="sin dato","",INDEX(CODIFICACION!$E$2:$E$500,MATCH("D5.18b|"&amp;BR176,CODIFICACION!$F$2:$F$500,0))),"⚠"))</f>
        <v/>
      </c>
      <c r="AN176" t="str">
        <f>IF(BS176="","",IFERROR(IF(INDEX(CODIFICACION!$E$2:$E$500,MATCH("D5.19|"&amp;BS176,CODIFICACION!$F$2:$F$500,0))="sin dato","",INDEX(CODIFICACION!$E$2:$E$500,MATCH("D5.19|"&amp;BS176,CODIFICACION!$F$2:$F$500,0))),"⚠"))</f>
        <v/>
      </c>
      <c r="AO176" t="str">
        <f t="shared" si="134"/>
        <v/>
      </c>
      <c r="AP176" t="str">
        <f>IF(BU176="","",IFERROR(IF(INDEX(CODIFICACION!$E$2:$E$500,MATCH("D5.20|"&amp;BU176,CODIFICACION!$F$2:$F$500,0))="sin dato","",INDEX(CODIFICACION!$E$2:$E$500,MATCH("D5.20|"&amp;BU176,CODIFICACION!$F$2:$F$500,0))),"⚠"))</f>
        <v/>
      </c>
      <c r="AQ176" t="str">
        <f>IF(BV176="","",IFERROR(IF(INDEX(CODIFICACION!$E$2:$E$500,MATCH("D5.21|"&amp;BV176,CODIFICACION!$F$2:$F$500,0))="sin dato","",INDEX(CODIFICACION!$E$2:$E$500,MATCH("D5.21|"&amp;BV176,CODIFICACION!$F$2:$F$500,0))),"⚠"))</f>
        <v/>
      </c>
      <c r="AR176" t="str">
        <f>IF(BW176="","",IFERROR(IF(INDEX(CODIFICACION!$E$2:$E$500,MATCH("D5.21a|"&amp;BW176,CODIFICACION!$F$2:$F$500,0))="sin dato","",INDEX(CODIFICACION!$E$2:$E$500,MATCH("D5.21a|"&amp;BW176,CODIFICACION!$F$2:$F$500,0))),"⚠"))</f>
        <v/>
      </c>
      <c r="AS176" t="str">
        <f>IF(BX176="","",IFERROR(IF(INDEX(CODIFICACION!$E$2:$E$500,MATCH("D5.21b|"&amp;BX176,CODIFICACION!$F$2:$F$500,0))="sin dato","",INDEX(CODIFICACION!$E$2:$E$500,MATCH("D5.21b|"&amp;BX176,CODIFICACION!$F$2:$F$500,0))),"⚠"))</f>
        <v/>
      </c>
      <c r="AT176" t="str">
        <f>IF(BY176="","",IFERROR(IF(INDEX(CODIFICACION!$E$2:$E$500,MATCH("D6.22|"&amp;BY176,CODIFICACION!$F$2:$F$500,0))="sin dato","",INDEX(CODIFICACION!$E$2:$E$500,MATCH("D6.22|"&amp;BY176,CODIFICACION!$F$2:$F$500,0))),"⚠"))</f>
        <v/>
      </c>
      <c r="AU176" t="str">
        <f>IF(BZ176="","",IFERROR(IF(INDEX(CODIFICACION!$E$2:$E$500,MATCH("D6.22a|"&amp;BZ176,CODIFICACION!$F$2:$F$500,0))="sin dato","",INDEX(CODIFICACION!$E$2:$E$500,MATCH("D6.22a|"&amp;BZ176,CODIFICACION!$F$2:$F$500,0))),"⚠"))</f>
        <v/>
      </c>
      <c r="AV176" t="str">
        <f>IF(CA176="","",IFERROR(IF(INDEX(CODIFICACION!$E$2:$E$500,MATCH("D6.22b|"&amp;CA176,CODIFICACION!$F$2:$F$500,0))="sin dato","",INDEX(CODIFICACION!$E$2:$E$500,MATCH("D6.22b|"&amp;CA176,CODIFICACION!$F$2:$F$500,0))),"⚠"))</f>
        <v/>
      </c>
      <c r="AW176" t="str">
        <f>IF(CB176="","",IFERROR(IF(INDEX(CODIFICACION!$E$2:$E$500,MATCH("D6.23|"&amp;CB176,CODIFICACION!$F$2:$F$500,0))="sin dato","",INDEX(CODIFICACION!$E$2:$E$500,MATCH("D6.23|"&amp;CB176,CODIFICACION!$F$2:$F$500,0))),"⚠"))</f>
        <v/>
      </c>
      <c r="AX176" t="str">
        <f ca="1">IF(CC176="","",IFERROR(IF(INDEX(CODIFICACION!$E$2:$E$500,MATCH("D6.24|"&amp;CC176,CODIFICACION!$F$2:$F$500,0))="sin dato","",INDEX(CODIFICACION!$E$2:$E$500,MATCH("D6.24|"&amp;CC176,CODIFICACION!$F$2:$F$500,0))),"⚠"))</f>
        <v/>
      </c>
      <c r="AY176" t="str">
        <f ca="1">IF(CD176="","",IFERROR(IF(INDEX(CODIFICACION!$E$2:$E$500,MATCH("D6.25|"&amp;CD176,CODIFICACION!$F$2:$F$500,0))="sin dato","",INDEX(CODIFICACION!$E$2:$E$500,MATCH("D6.25|"&amp;CD176,CODIFICACION!$F$2:$F$500,0))),"⚠"))</f>
        <v/>
      </c>
      <c r="AZ176" t="str">
        <f>IF(CE176="","",IFERROR(IF(INDEX(CODIFICACION!$E$2:$E$500,MATCH("D6.25a|"&amp;CE176,CODIFICACION!$F$2:$F$500,0))="sin dato","",INDEX(CODIFICACION!$E$2:$E$500,MATCH("D6.25a|"&amp;CE176,CODIFICACION!$F$2:$F$500,0))),"⚠"))</f>
        <v/>
      </c>
      <c r="BA176" t="str">
        <f>IF(CF176="","",IFERROR(IF(INDEX(CODIFICACION!$E$2:$E$500,MATCH("D6.25b|"&amp;CF176,CODIFICACION!$F$2:$F$500,0))="sin dato","",INDEX(CODIFICACION!$E$2:$E$500,MATCH("D6.25b|"&amp;CF176,CODIFICACION!$F$2:$F$500,0))),"⚠"))</f>
        <v/>
      </c>
      <c r="BB176" t="str">
        <f ca="1">IF(CG176="","",IFERROR(IF(INDEX(CODIFICACION!$E$2:$E$500,MATCH("D6.22c|"&amp;CG176,CODIFICACION!$F$2:$F$500,0))="sin dato","",INDEX(CODIFICACION!$E$2:$E$500,MATCH("D6.22c|"&amp;CG176,CODIFICACION!$F$2:$F$500,0))),"⚠"))</f>
        <v/>
      </c>
      <c r="BC176" t="str">
        <f ca="1">IF(CH176="","",IFERROR(IF(INDEX(CODIFICACION!$E$2:$E$500,MATCH("D7.26|"&amp;CH176,CODIFICACION!$F$2:$F$500,0))="sin dato","",INDEX(CODIFICACION!$E$2:$E$500,MATCH("D7.26|"&amp;CH176,CODIFICACION!$F$2:$F$500,0))),"⚠"))</f>
        <v/>
      </c>
      <c r="BD176" t="str">
        <f>IF(CI176="","",IFERROR(IF(INDEX(CODIFICACION!$E$2:$E$500,MATCH("D7.27|"&amp;CI176,CODIFICACION!$F$2:$F$500,0))="sin dato","",INDEX(CODIFICACION!$E$2:$E$500,MATCH("D7.27|"&amp;CI176,CODIFICACION!$F$2:$F$500,0))),"⚠"))</f>
        <v/>
      </c>
      <c r="BE176" t="str">
        <f>IF(CJ176="","",IFERROR(IF(INDEX(CODIFICACION!$E$2:$E$500,MATCH("D7.28|"&amp;CJ176,CODIFICACION!$F$2:$F$500,0))="sin dato","",INDEX(CODIFICACION!$E$2:$E$500,MATCH("D7.28|"&amp;CJ176,CODIFICACION!$F$2:$F$500,0))),"⚠"))</f>
        <v/>
      </c>
      <c r="BF176" t="str">
        <f>IF(CK176="","",IFERROR(IF(INDEX(CODIFICACION!$E$2:$E$500,MATCH("D7.28b|"&amp;CK176,CODIFICACION!$F$2:$F$500,0))="sin dato","",INDEX(CODIFICACION!$E$2:$E$500,MATCH("D7.28b|"&amp;CK176,CODIFICACION!$F$2:$F$500,0))),"⚠"))</f>
        <v/>
      </c>
      <c r="BG176" t="str">
        <f t="shared" si="135"/>
        <v/>
      </c>
      <c r="BH176" t="str">
        <f>IF(CM176="","",IFERROR(IF(INDEX(CODIFICACION!$E$2:$E$500,MATCH("D7.26a|"&amp;CM176,CODIFICACION!$F$2:$F$500,0))="sin dato","",INDEX(CODIFICACION!$E$2:$E$500,MATCH("D7.26a|"&amp;CM176,CODIFICACION!$F$2:$F$500,0))),"⚠"))</f>
        <v/>
      </c>
      <c r="BI176" t="str">
        <f>IF(CN176="","",IFERROR(IF(INDEX(CODIFICACION!$E$2:$E$500,MATCH("D7.26b|"&amp;CN176,CODIFICACION!$F$2:$F$500,0))="sin dato","",INDEX(CODIFICACION!$E$2:$E$500,MATCH("D7.26b|"&amp;CN176,CODIFICACION!$F$2:$F$500,0))),"⚠"))</f>
        <v/>
      </c>
      <c r="BJ176" t="str">
        <f t="shared" si="136"/>
        <v/>
      </c>
      <c r="BK176" t="str">
        <f t="shared" si="137"/>
        <v/>
      </c>
      <c r="BL176" t="str">
        <f>IF(CQ176="","",IFERROR(IF(INDEX(CODIFICACION!$E$2:$E$500,MATCH("D8.31|"&amp;CQ176,CODIFICACION!$F$2:$F$500,0))="sin dato","",INDEX(CODIFICACION!$E$2:$E$500,MATCH("D8.31|"&amp;CQ176,CODIFICACION!$F$2:$F$500,0))),"⚠"))</f>
        <v/>
      </c>
      <c r="BM176" t="str">
        <f>IF(CR176="","",IFERROR(IF(INDEX(CODIFICACION!$E$2:$E$500,MATCH("D8.32|"&amp;CR176,CODIFICACION!$F$2:$F$500,0))="sin dato","",INDEX(CODIFICACION!$E$2:$E$500,MATCH("D8.32|"&amp;CR176,CODIFICACION!$F$2:$F$500,0))),"⚠"))</f>
        <v/>
      </c>
      <c r="BN176" t="str">
        <f>IF(CS176="","",IFERROR(IF(INDEX(CODIFICACION!$E$2:$E$500,MATCH("D9.33|"&amp;CS176,CODIFICACION!$F$2:$F$500,0))="sin dato","",INDEX(CODIFICACION!$E$2:$E$500,MATCH("D9.33|"&amp;CS176,CODIFICACION!$F$2:$F$500,0))),"⚠"))</f>
        <v/>
      </c>
      <c r="BO176" t="str">
        <f>IF(CT176="","",IFERROR(IF(INDEX(CODIFICACION!$E$2:$E$500,MATCH("D9.34|"&amp;CT176,CODIFICACION!$F$2:$F$500,0))="sin dato","",INDEX(CODIFICACION!$E$2:$E$500,MATCH("D9.34|"&amp;CT176,CODIFICACION!$F$2:$F$500,0))),"⚠"))</f>
        <v/>
      </c>
      <c r="BP176" t="str">
        <f>IF(CU176="","",IFERROR(IF(INDEX(CODIFICACION!$E$2:$E$500,MATCH("D9.35|"&amp;CU176,CODIFICACION!$F$2:$F$500,0))="sin dato","",INDEX(CODIFICACION!$E$2:$E$500,MATCH("D9.35|"&amp;CU176,CODIFICACION!$F$2:$F$500,0))),"⚠"))</f>
        <v/>
      </c>
      <c r="BQ176" t="str">
        <f>IF(CV176="","",IFERROR(IF(INDEX(CODIFICACION!$E$2:$E$500,MATCH("D10.36|"&amp;CV176,CODIFICACION!$F$2:$F$500,0))="sin dato","",INDEX(CODIFICACION!$E$2:$E$500,MATCH("D10.36|"&amp;CV176,CODIFICACION!$F$2:$F$500,0))),"⚠"))</f>
        <v/>
      </c>
      <c r="BR176" t="str">
        <f>IF(CW176="","",IFERROR(IF(INDEX(CODIFICACION!$E$2:$E$500,MATCH("D10.37|"&amp;CW176,CODIFICACION!$F$2:$F$500,0))="sin dato","",INDEX(CODIFICACION!$E$2:$E$500,MATCH("D10.37|"&amp;CW176,CODIFICACION!$F$2:$F$500,0))),"⚠"))</f>
        <v/>
      </c>
      <c r="BS176" t="str">
        <f>IF(CX176="","",IFERROR(IF(INDEX(CODIFICACION!$E$2:$E$500,MATCH("D10.36a|"&amp;CX176,CODIFICACION!$F$2:$F$500,0))="sin dato","",INDEX(CODIFICACION!$E$2:$E$500,MATCH("D10.36a|"&amp;CX176,CODIFICACION!$F$2:$F$500,0))),"⚠"))</f>
        <v/>
      </c>
      <c r="BT176" t="str">
        <f t="shared" si="138"/>
        <v/>
      </c>
      <c r="BU176" t="str">
        <f>IF(DA176="","",IFERROR(IF(INDEX(CODIFICACION!$E$2:$E$500,MATCH("D11.39a|"&amp;DA176,CODIFICACION!$F$2:$F$500,0))="sin dato","",INDEX(CODIFICACION!$E$2:$E$500,MATCH("D11.39a|"&amp;DA176,CODIFICACION!$F$2:$F$500,0))),"⚠"))</f>
        <v/>
      </c>
      <c r="BV176" t="str">
        <f>IF(DB176="","",IFERROR(IF(INDEX(CODIFICACION!$E$2:$E$500,MATCH("D12.42|"&amp;DB176,CODIFICACION!$F$2:$F$500,0))="sin dato","",INDEX(CODIFICACION!$E$2:$E$500,MATCH("D12.42|"&amp;DB176,CODIFICACION!$F$2:$F$500,0))),"⚠"))</f>
        <v/>
      </c>
      <c r="BW176" t="str">
        <f>IF(DC176="","",IFERROR(IF(INDEX(CODIFICACION!$E$2:$E$500,MATCH("D13.45|"&amp;DC176,CODIFICACION!$F$2:$F$500,0))="sin dato","",INDEX(CODIFICACION!$E$2:$E$500,MATCH("D13.45|"&amp;DC176,CODIFICACION!$F$2:$F$500,0))),"⚠"))</f>
        <v/>
      </c>
      <c r="BX176" t="str">
        <f>IF(DD176="","",IFERROR(IF(INDEX(CODIFICACION!$E$2:$E$500,MATCH("D14.51|"&amp;DD176,CODIFICACION!$F$2:$F$500,0))="sin dato","",INDEX(CODIFICACION!$E$2:$E$500,MATCH("D14.51|"&amp;DD176,CODIFICACION!$F$2:$F$500,0))),"⚠"))</f>
        <v/>
      </c>
      <c r="BY176" t="str">
        <f>IF(DE176="","",IFERROR(IF(INDEX(CODIFICACION!$E$2:$E$500,MATCH("D15.58|"&amp;DE176,CODIFICACION!$F$2:$F$500,0))="sin dato","",INDEX(CODIFICACION!$E$2:$E$500,MATCH("D15.58|"&amp;DE176,CODIFICACION!$F$2:$F$500,0))),"⚠"))</f>
        <v/>
      </c>
      <c r="BZ176" t="str">
        <f>IF(DF176="","",IFERROR(IF(INDEX(CODIFICACION!$E$2:$E$500,MATCH("PP1|"&amp;DF176,CODIFICACION!$F$2:$F$500,0))="sin dato","",INDEX(CODIFICACION!$E$2:$E$500,MATCH("PP1|"&amp;DF176,CODIFICACION!$F$2:$F$500,0))),"⚠"))</f>
        <v/>
      </c>
      <c r="CA176" t="str">
        <f>IF(DG176="","",IFERROR(IF(INDEX(CODIFICACION!$E$2:$E$500,MATCH("PP2|"&amp;DG176,CODIFICACION!$F$2:$F$500,0))="sin dato","",INDEX(CODIFICACION!$E$2:$E$500,MATCH("PP2|"&amp;DG176,CODIFICACION!$F$2:$F$500,0))),"⚠"))</f>
        <v/>
      </c>
      <c r="CB176" t="str">
        <f t="shared" si="139"/>
        <v/>
      </c>
      <c r="CC176" t="str">
        <f t="shared" ca="1" si="140"/>
        <v/>
      </c>
      <c r="CD176" t="str">
        <f t="shared" ca="1" si="141"/>
        <v/>
      </c>
      <c r="CE176" t="str">
        <f t="shared" si="142"/>
        <v/>
      </c>
      <c r="CF176" t="str">
        <f t="shared" si="143"/>
        <v/>
      </c>
      <c r="CG176" t="str">
        <f t="shared" ca="1" si="144"/>
        <v/>
      </c>
      <c r="CH176" t="str">
        <f t="shared" ca="1" si="145"/>
        <v/>
      </c>
      <c r="CI176" t="str">
        <f t="shared" si="146"/>
        <v/>
      </c>
      <c r="CJ176" t="str">
        <f t="shared" si="147"/>
        <v/>
      </c>
      <c r="CK176" t="str">
        <f t="shared" si="148"/>
        <v/>
      </c>
      <c r="CL176" t="str">
        <f t="shared" si="149"/>
        <v/>
      </c>
    </row>
  </sheetData>
  <mergeCells count="1">
    <mergeCell ref="A1:C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201"/>
  <sheetViews>
    <sheetView workbookViewId="0">
      <pane xSplit="4" ySplit="3" topLeftCell="E4" activePane="bottomRight" state="frozen"/>
      <selection pane="topRight"/>
      <selection pane="bottomLeft"/>
      <selection pane="bottomRight" activeCell="E4" sqref="E4"/>
    </sheetView>
  </sheetViews>
  <sheetFormatPr baseColWidth="10" defaultColWidth="8.88671875" defaultRowHeight="14.4" x14ac:dyDescent="0.3"/>
  <cols>
    <col min="1" max="1" width="14" customWidth="1"/>
    <col min="2" max="2" width="30" customWidth="1"/>
    <col min="3" max="3" width="12" customWidth="1"/>
    <col min="4" max="4" width="16" customWidth="1"/>
    <col min="5" max="25" width="13" customWidth="1"/>
    <col min="26" max="28" width="17" customWidth="1"/>
    <col min="29" max="29" width="22" customWidth="1"/>
    <col min="30" max="30" width="20" customWidth="1"/>
    <col min="31" max="38" width="13" customWidth="1"/>
  </cols>
  <sheetData>
    <row r="1" spans="1:38" ht="30" customHeight="1" x14ac:dyDescent="0.3">
      <c r="A1" s="59" t="s">
        <v>912</v>
      </c>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row>
    <row r="2" spans="1:38" ht="22.05" customHeight="1" x14ac:dyDescent="0.3">
      <c r="A2" s="64" t="s">
        <v>1081</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row>
    <row r="3" spans="1:38" ht="54" customHeight="1" x14ac:dyDescent="0.3">
      <c r="A3" s="1" t="s">
        <v>21</v>
      </c>
      <c r="B3" s="1" t="s">
        <v>913</v>
      </c>
      <c r="C3" s="1" t="s">
        <v>23</v>
      </c>
      <c r="D3" s="1" t="s">
        <v>32</v>
      </c>
      <c r="E3" s="2" t="s">
        <v>914</v>
      </c>
      <c r="F3" s="3" t="s">
        <v>915</v>
      </c>
      <c r="G3" s="3" t="s">
        <v>916</v>
      </c>
      <c r="H3" s="2" t="s">
        <v>917</v>
      </c>
      <c r="I3" s="3" t="s">
        <v>918</v>
      </c>
      <c r="J3" s="3" t="s">
        <v>919</v>
      </c>
      <c r="K3" s="2" t="s">
        <v>920</v>
      </c>
      <c r="L3" s="2" t="s">
        <v>921</v>
      </c>
      <c r="M3" s="2" t="s">
        <v>922</v>
      </c>
      <c r="N3" s="2" t="s">
        <v>923</v>
      </c>
      <c r="O3" s="2" t="s">
        <v>924</v>
      </c>
      <c r="P3" s="4" t="s">
        <v>925</v>
      </c>
      <c r="Q3" s="4" t="s">
        <v>926</v>
      </c>
      <c r="R3" s="4" t="s">
        <v>927</v>
      </c>
      <c r="S3" s="4" t="s">
        <v>928</v>
      </c>
      <c r="T3" s="4" t="s">
        <v>929</v>
      </c>
      <c r="U3" s="5" t="s">
        <v>930</v>
      </c>
      <c r="V3" s="5" t="s">
        <v>931</v>
      </c>
      <c r="W3" s="5" t="s">
        <v>932</v>
      </c>
      <c r="X3" s="5" t="s">
        <v>933</v>
      </c>
      <c r="Y3" s="5" t="s">
        <v>934</v>
      </c>
      <c r="Z3" s="6" t="s">
        <v>935</v>
      </c>
      <c r="AA3" s="7" t="s">
        <v>936</v>
      </c>
      <c r="AB3" s="8" t="s">
        <v>937</v>
      </c>
      <c r="AC3" s="9" t="s">
        <v>938</v>
      </c>
      <c r="AD3" s="8" t="s">
        <v>939</v>
      </c>
      <c r="AE3" s="10" t="s">
        <v>940</v>
      </c>
      <c r="AF3" s="10" t="s">
        <v>941</v>
      </c>
      <c r="AG3" s="10" t="s">
        <v>942</v>
      </c>
      <c r="AH3" s="10" t="s">
        <v>943</v>
      </c>
      <c r="AI3" s="11" t="s">
        <v>1082</v>
      </c>
      <c r="AJ3" s="12" t="s">
        <v>944</v>
      </c>
      <c r="AK3" s="4" t="s">
        <v>945</v>
      </c>
      <c r="AL3" s="6" t="s">
        <v>946</v>
      </c>
    </row>
    <row r="4" spans="1:38" ht="16.05" customHeight="1" x14ac:dyDescent="0.3">
      <c r="A4" s="13" t="s">
        <v>62</v>
      </c>
      <c r="B4" s="14" t="s">
        <v>63</v>
      </c>
      <c r="C4" s="13" t="s">
        <v>64</v>
      </c>
      <c r="D4" s="15">
        <v>2553623.31</v>
      </c>
      <c r="E4" s="16" t="str">
        <f>IF(NORMALIZADO!CB3="","",NORMALIZADO!CB3)</f>
        <v/>
      </c>
      <c r="F4" s="17" t="str">
        <f ca="1">IF(NORMALIZADO!CC3="","",NORMALIZADO!CC3)</f>
        <v/>
      </c>
      <c r="G4" s="17">
        <f ca="1">IF(NORMALIZADO!CD3="",IFERROR(MATRIZ_174!U3*100,""),NORMALIZADO!CD3)</f>
        <v>100</v>
      </c>
      <c r="H4" s="16" t="str">
        <f>IF(NORMALIZADO!CE3="","",NORMALIZADO!CE3)</f>
        <v/>
      </c>
      <c r="I4" s="17" t="str">
        <f>IF(NORMALIZADO!CF3="","",NORMALIZADO!CF3)</f>
        <v/>
      </c>
      <c r="J4" s="17" t="str">
        <f ca="1">IF(NORMALIZADO!CG3="","",NORMALIZADO!CG3)</f>
        <v/>
      </c>
      <c r="K4" s="16" t="str">
        <f ca="1">IF(NORMALIZADO!CH3="","",NORMALIZADO!CH3)</f>
        <v/>
      </c>
      <c r="L4" s="16" t="str">
        <f>IF(NORMALIZADO!CI3="","",NORMALIZADO!CI3)</f>
        <v/>
      </c>
      <c r="M4" s="16" t="str">
        <f>IF(NORMALIZADO!CJ3="","",NORMALIZADO!CJ3)</f>
        <v/>
      </c>
      <c r="N4" s="16" t="str">
        <f>IF(NORMALIZADO!CK3="","",NORMALIZADO!CK3)</f>
        <v/>
      </c>
      <c r="O4" s="16" t="str">
        <f>IF(NORMALIZADO!CL3="","",NORMALIZADO!CL3)</f>
        <v/>
      </c>
      <c r="P4" s="17" t="str">
        <f t="shared" ref="P4:P35" ca="1" si="0">IFERROR(F4,0)</f>
        <v/>
      </c>
      <c r="Q4" s="17">
        <f t="shared" ref="Q4:Q35" ca="1" si="1">IFERROR(SQRT(G4*H4),0)</f>
        <v>0</v>
      </c>
      <c r="R4" s="17">
        <f t="shared" ref="R4:R35" ca="1" si="2">IFERROR((I4+J4+L4)/3,0)</f>
        <v>0</v>
      </c>
      <c r="S4" s="17">
        <f t="shared" ref="S4:S35" ca="1" si="3">IFERROR((J4+F4)/2,0)</f>
        <v>0</v>
      </c>
      <c r="T4" s="17">
        <f ca="1">IFERROR((K4+M4+MATRIZ_174!O3)/3,0)</f>
        <v>0</v>
      </c>
      <c r="U4" s="18">
        <f>IFERROR(MIN(100,ROUND(MATRIZ_174!M3,1)),0)</f>
        <v>50</v>
      </c>
      <c r="V4" s="18">
        <f t="shared" ref="V4:V35" ca="1" si="4">IF(OR(NOT(ISNUMBER(F4)),F4=0),50,F4)</f>
        <v>50</v>
      </c>
      <c r="W4" s="18">
        <f>IFERROR(IF(MATRIZ_174!R3=0,65,IF(MATRIZ_174!R3/MATRIZ_174!Q3&gt;=2,35,IF(MATRIZ_174!R3/MATRIZ_174!Q3&gt;=0.5,50,65))),65)</f>
        <v>65</v>
      </c>
      <c r="X4" s="18">
        <f>IFERROR(MIN(100,IF(MATRIZ_174!O3=0,70,30)+IF(MATRIZ_174!U3="",0,0.3*(100-MATRIZ_174!U3*100))),70)</f>
        <v>70</v>
      </c>
      <c r="Y4" s="18">
        <f>IF(OR(MATRIZ_174!P3="ASOCIACION",MATRIZ_174!P3="PENDIENTE"),65,40)</f>
        <v>65</v>
      </c>
      <c r="Z4" s="19" t="str">
        <f t="shared" ref="Z4:Z35" ca="1" si="5">IF(COUNT(F4:M4)&lt;8,"—",IFERROR(ROUND(AVERAGE(P4:T4),1),"—"))</f>
        <v>—</v>
      </c>
      <c r="AA4" s="20">
        <f t="shared" ref="AA4:AA35" ca="1" si="6">IFERROR(ROUND(AVERAGE(U4,V4,W4,X4,Y4),1),0)</f>
        <v>60</v>
      </c>
      <c r="AB4" s="21" t="str">
        <f t="shared" ref="AB4:AB35" ca="1" si="7">IF(NOT(ISNUMBER(Z4)),"—",IFERROR(ROUND(AA4*(1-Z4/100),1),"—"))</f>
        <v>—</v>
      </c>
      <c r="AC4" s="13" t="str">
        <f t="shared" ref="AC4:AC35" ca="1" si="8">IF(OR(NOT(ISNUMBER(Z4)),NOT(ISNUMBER(AA4))),"⬜  Pendiente de instrumento",IF(AND(Z4&gt;=50,AA4&lt;50),"🟢  Resilientes",IF(AND(Z4&gt;=50,AA4&gt;=50),"🟠  Expuestas Adaptables",IF(AND(Z4&lt;50,AA4&lt;50),"⬜  Riesgo Latente","🔴  Riesgo Crítico"))))</f>
        <v>⬜  Pendiente de instrumento</v>
      </c>
      <c r="AD4" s="13" t="str">
        <f>IF(MATRIZ_174!U3="","",IF(MATRIZ_174!U3=0,"🚫  Inh. vigente OSCE",""))</f>
        <v/>
      </c>
      <c r="AE4" s="22">
        <f>IFERROR(MATRIZ_174!W3,0)</f>
        <v>1</v>
      </c>
      <c r="AF4" s="22">
        <f>IFERROR(MATRIZ_174!X3,0)</f>
        <v>0</v>
      </c>
      <c r="AG4" s="22">
        <f>IFERROR(MATRIZ_174!Y3,0)</f>
        <v>0</v>
      </c>
      <c r="AH4" s="22">
        <f>IFERROR(MATRIZ_174!Z3,0)</f>
        <v>0</v>
      </c>
      <c r="AI4" s="17">
        <f ca="1">IFERROR(MATRIZ_174!AP3,"N/A")</f>
        <v>0.125</v>
      </c>
      <c r="AJ4" s="17">
        <f>IFERROR(MATRIZ_174!AO3,"N/A")</f>
        <v>0</v>
      </c>
      <c r="AK4" s="23" t="str">
        <f t="shared" ref="AK4:AK35" ca="1" si="9">IF(COUNT(E4:M4)&lt;7,"N/A",IFERROR(ROUND((POWER(PRODUCT(E4:K4),1/MAX(1,COUNT(E4:K4)))*IF(COUNT(E4:K4)&gt;0,0.875,0)+IFERROR(AVERAGE(L4:M4),0)*IF(COUNT(L4:M4)&gt;0,0.125,0))/(IF(COUNT(E4:K4)&gt;0,0.875,0)+IF(COUNT(L4:M4)&gt;0,0.125,0)),1),"N/A"))</f>
        <v>N/A</v>
      </c>
      <c r="AL4" s="24" t="str">
        <f t="shared" ref="AL4:AL35" ca="1" si="10">IF(OR(NOT(ISNUMBER(AK4)),NOT(ISNUMBER(AI4))),"—",ROUND(0.7*AK4+0.3*AI4*100,1))</f>
        <v>—</v>
      </c>
    </row>
    <row r="5" spans="1:38" ht="16.05" customHeight="1" x14ac:dyDescent="0.3">
      <c r="A5" s="13" t="s">
        <v>70</v>
      </c>
      <c r="B5" s="14" t="s">
        <v>71</v>
      </c>
      <c r="C5" s="13" t="s">
        <v>72</v>
      </c>
      <c r="D5" s="15">
        <v>0</v>
      </c>
      <c r="E5" s="16" t="str">
        <f>IF(NORMALIZADO!CB4="","",NORMALIZADO!CB4)</f>
        <v/>
      </c>
      <c r="F5" s="17" t="str">
        <f ca="1">IF(NORMALIZADO!CC4="","",NORMALIZADO!CC4)</f>
        <v/>
      </c>
      <c r="G5" s="17">
        <f ca="1">IF(NORMALIZADO!CD4="",IFERROR(MATRIZ_174!U4*100,""),NORMALIZADO!CD4)</f>
        <v>100</v>
      </c>
      <c r="H5" s="16" t="str">
        <f>IF(NORMALIZADO!CE4="","",NORMALIZADO!CE4)</f>
        <v/>
      </c>
      <c r="I5" s="17" t="str">
        <f>IF(NORMALIZADO!CF4="","",NORMALIZADO!CF4)</f>
        <v/>
      </c>
      <c r="J5" s="17" t="str">
        <f ca="1">IF(NORMALIZADO!CG4="","",NORMALIZADO!CG4)</f>
        <v/>
      </c>
      <c r="K5" s="16" t="str">
        <f ca="1">IF(NORMALIZADO!CH4="","",NORMALIZADO!CH4)</f>
        <v/>
      </c>
      <c r="L5" s="16" t="str">
        <f>IF(NORMALIZADO!CI4="","",NORMALIZADO!CI4)</f>
        <v/>
      </c>
      <c r="M5" s="16" t="str">
        <f>IF(NORMALIZADO!CJ4="","",NORMALIZADO!CJ4)</f>
        <v/>
      </c>
      <c r="N5" s="16" t="str">
        <f>IF(NORMALIZADO!CK4="","",NORMALIZADO!CK4)</f>
        <v/>
      </c>
      <c r="O5" s="16" t="str">
        <f>IF(NORMALIZADO!CL4="","",NORMALIZADO!CL4)</f>
        <v/>
      </c>
      <c r="P5" s="17" t="str">
        <f t="shared" ca="1" si="0"/>
        <v/>
      </c>
      <c r="Q5" s="17">
        <f t="shared" ca="1" si="1"/>
        <v>0</v>
      </c>
      <c r="R5" s="17">
        <f t="shared" ca="1" si="2"/>
        <v>0</v>
      </c>
      <c r="S5" s="17">
        <f t="shared" ca="1" si="3"/>
        <v>0</v>
      </c>
      <c r="T5" s="17">
        <f ca="1">IFERROR((K5+M5+MATRIZ_174!O4)/3,0)</f>
        <v>0</v>
      </c>
      <c r="U5" s="18">
        <f>IFERROR(MIN(100,ROUND(MATRIZ_174!M4,1)),0)</f>
        <v>0</v>
      </c>
      <c r="V5" s="18">
        <f t="shared" ca="1" si="4"/>
        <v>50</v>
      </c>
      <c r="W5" s="18">
        <f>IFERROR(IF(MATRIZ_174!R4=0,65,IF(MATRIZ_174!R4/MATRIZ_174!Q4&gt;=2,35,IF(MATRIZ_174!R4/MATRIZ_174!Q4&gt;=0.5,50,65))),65)</f>
        <v>65</v>
      </c>
      <c r="X5" s="18">
        <f>IFERROR(MIN(100,IF(MATRIZ_174!O4=0,70,30)+IF(MATRIZ_174!U4="",0,0.3*(100-MATRIZ_174!U4*100))),70)</f>
        <v>70</v>
      </c>
      <c r="Y5" s="18">
        <f>IF(OR(MATRIZ_174!P4="ASOCIACION",MATRIZ_174!P4="PENDIENTE"),65,40)</f>
        <v>65</v>
      </c>
      <c r="Z5" s="19" t="str">
        <f t="shared" ca="1" si="5"/>
        <v>—</v>
      </c>
      <c r="AA5" s="20">
        <f t="shared" ca="1" si="6"/>
        <v>50</v>
      </c>
      <c r="AB5" s="21" t="str">
        <f t="shared" ca="1" si="7"/>
        <v>—</v>
      </c>
      <c r="AC5" s="13" t="str">
        <f t="shared" ca="1" si="8"/>
        <v>⬜  Pendiente de instrumento</v>
      </c>
      <c r="AD5" s="13" t="str">
        <f>IF(MATRIZ_174!U4="","",IF(MATRIZ_174!U4=0,"🚫  Inh. vigente OSCE",""))</f>
        <v/>
      </c>
      <c r="AE5" s="22">
        <f>IFERROR(MATRIZ_174!W4,0)</f>
        <v>0</v>
      </c>
      <c r="AF5" s="22">
        <f>IFERROR(MATRIZ_174!X4,0)</f>
        <v>0</v>
      </c>
      <c r="AG5" s="22">
        <f>IFERROR(MATRIZ_174!Y4,0)</f>
        <v>0</v>
      </c>
      <c r="AH5" s="22">
        <f>IFERROR(MATRIZ_174!Z4,0)</f>
        <v>0</v>
      </c>
      <c r="AI5" s="17">
        <f ca="1">IFERROR(MATRIZ_174!AP4,"N/A")</f>
        <v>0</v>
      </c>
      <c r="AJ5" s="17">
        <f>IFERROR(MATRIZ_174!AO4,"N/A")</f>
        <v>0</v>
      </c>
      <c r="AK5" s="23" t="str">
        <f t="shared" ca="1" si="9"/>
        <v>N/A</v>
      </c>
      <c r="AL5" s="24" t="str">
        <f t="shared" ca="1" si="10"/>
        <v>—</v>
      </c>
    </row>
    <row r="6" spans="1:38" ht="16.05" customHeight="1" x14ac:dyDescent="0.3">
      <c r="A6" s="13" t="s">
        <v>75</v>
      </c>
      <c r="B6" s="14" t="s">
        <v>76</v>
      </c>
      <c r="C6" s="13" t="s">
        <v>77</v>
      </c>
      <c r="D6" s="15">
        <v>4801984.0599999996</v>
      </c>
      <c r="E6" s="16" t="str">
        <f>IF(NORMALIZADO!CB5="","",NORMALIZADO!CB5)</f>
        <v/>
      </c>
      <c r="F6" s="17" t="str">
        <f ca="1">IF(NORMALIZADO!CC5="","",NORMALIZADO!CC5)</f>
        <v/>
      </c>
      <c r="G6" s="17">
        <f ca="1">IF(NORMALIZADO!CD5="",IFERROR(MATRIZ_174!U5*100,""),NORMALIZADO!CD5)</f>
        <v>100</v>
      </c>
      <c r="H6" s="16" t="str">
        <f>IF(NORMALIZADO!CE5="","",NORMALIZADO!CE5)</f>
        <v/>
      </c>
      <c r="I6" s="17" t="str">
        <f>IF(NORMALIZADO!CF5="","",NORMALIZADO!CF5)</f>
        <v/>
      </c>
      <c r="J6" s="17" t="str">
        <f ca="1">IF(NORMALIZADO!CG5="","",NORMALIZADO!CG5)</f>
        <v/>
      </c>
      <c r="K6" s="16" t="str">
        <f ca="1">IF(NORMALIZADO!CH5="","",NORMALIZADO!CH5)</f>
        <v/>
      </c>
      <c r="L6" s="16" t="str">
        <f>IF(NORMALIZADO!CI5="","",NORMALIZADO!CI5)</f>
        <v/>
      </c>
      <c r="M6" s="16" t="str">
        <f>IF(NORMALIZADO!CJ5="","",NORMALIZADO!CJ5)</f>
        <v/>
      </c>
      <c r="N6" s="16" t="str">
        <f>IF(NORMALIZADO!CK5="","",NORMALIZADO!CK5)</f>
        <v/>
      </c>
      <c r="O6" s="16" t="str">
        <f>IF(NORMALIZADO!CL5="","",NORMALIZADO!CL5)</f>
        <v/>
      </c>
      <c r="P6" s="17" t="str">
        <f t="shared" ca="1" si="0"/>
        <v/>
      </c>
      <c r="Q6" s="17">
        <f t="shared" ca="1" si="1"/>
        <v>0</v>
      </c>
      <c r="R6" s="17">
        <f t="shared" ca="1" si="2"/>
        <v>0</v>
      </c>
      <c r="S6" s="17">
        <f t="shared" ca="1" si="3"/>
        <v>0</v>
      </c>
      <c r="T6" s="17">
        <f ca="1">IFERROR((K6+M6+MATRIZ_174!O5)/3,0)</f>
        <v>0</v>
      </c>
      <c r="U6" s="18">
        <f>IFERROR(MIN(100,ROUND(MATRIZ_174!M5,1)),0)</f>
        <v>50</v>
      </c>
      <c r="V6" s="18">
        <f t="shared" ca="1" si="4"/>
        <v>50</v>
      </c>
      <c r="W6" s="18">
        <f>IFERROR(IF(MATRIZ_174!R5=0,65,IF(MATRIZ_174!R5/MATRIZ_174!Q5&gt;=2,35,IF(MATRIZ_174!R5/MATRIZ_174!Q5&gt;=0.5,50,65))),65)</f>
        <v>65</v>
      </c>
      <c r="X6" s="18">
        <f>IFERROR(MIN(100,IF(MATRIZ_174!O5=0,70,30)+IF(MATRIZ_174!U5="",0,0.3*(100-MATRIZ_174!U5*100))),70)</f>
        <v>70</v>
      </c>
      <c r="Y6" s="18">
        <f>IF(OR(MATRIZ_174!P5="ASOCIACION",MATRIZ_174!P5="PENDIENTE"),65,40)</f>
        <v>65</v>
      </c>
      <c r="Z6" s="19" t="str">
        <f t="shared" ca="1" si="5"/>
        <v>—</v>
      </c>
      <c r="AA6" s="20">
        <f t="shared" ca="1" si="6"/>
        <v>60</v>
      </c>
      <c r="AB6" s="21" t="str">
        <f t="shared" ca="1" si="7"/>
        <v>—</v>
      </c>
      <c r="AC6" s="13" t="str">
        <f t="shared" ca="1" si="8"/>
        <v>⬜  Pendiente de instrumento</v>
      </c>
      <c r="AD6" s="13" t="str">
        <f>IF(MATRIZ_174!U5="","",IF(MATRIZ_174!U5=0,"🚫  Inh. vigente OSCE",""))</f>
        <v/>
      </c>
      <c r="AE6" s="22">
        <f>IFERROR(MATRIZ_174!W5,0)</f>
        <v>1</v>
      </c>
      <c r="AF6" s="22">
        <f>IFERROR(MATRIZ_174!X5,0)</f>
        <v>0</v>
      </c>
      <c r="AG6" s="22">
        <f>IFERROR(MATRIZ_174!Y5,0)</f>
        <v>0</v>
      </c>
      <c r="AH6" s="22">
        <f>IFERROR(MATRIZ_174!Z5,0)</f>
        <v>0</v>
      </c>
      <c r="AI6" s="17">
        <f ca="1">IFERROR(MATRIZ_174!AP5,"N/A")</f>
        <v>0.125</v>
      </c>
      <c r="AJ6" s="17">
        <f>IFERROR(MATRIZ_174!AO5,"N/A")</f>
        <v>0</v>
      </c>
      <c r="AK6" s="23" t="str">
        <f t="shared" ca="1" si="9"/>
        <v>N/A</v>
      </c>
      <c r="AL6" s="24" t="str">
        <f t="shared" ca="1" si="10"/>
        <v>—</v>
      </c>
    </row>
    <row r="7" spans="1:38" ht="16.05" customHeight="1" x14ac:dyDescent="0.3">
      <c r="A7" s="13" t="s">
        <v>78</v>
      </c>
      <c r="B7" s="14" t="s">
        <v>79</v>
      </c>
      <c r="C7" s="13" t="s">
        <v>80</v>
      </c>
      <c r="D7" s="15">
        <v>0</v>
      </c>
      <c r="E7" s="16" t="str">
        <f>IF(NORMALIZADO!CB6="","",NORMALIZADO!CB6)</f>
        <v/>
      </c>
      <c r="F7" s="17" t="str">
        <f ca="1">IF(NORMALIZADO!CC6="","",NORMALIZADO!CC6)</f>
        <v/>
      </c>
      <c r="G7" s="17">
        <f ca="1">IF(NORMALIZADO!CD6="",IFERROR(MATRIZ_174!U6*100,""),NORMALIZADO!CD6)</f>
        <v>100</v>
      </c>
      <c r="H7" s="16" t="str">
        <f>IF(NORMALIZADO!CE6="","",NORMALIZADO!CE6)</f>
        <v/>
      </c>
      <c r="I7" s="17" t="str">
        <f>IF(NORMALIZADO!CF6="","",NORMALIZADO!CF6)</f>
        <v/>
      </c>
      <c r="J7" s="17" t="str">
        <f ca="1">IF(NORMALIZADO!CG6="","",NORMALIZADO!CG6)</f>
        <v/>
      </c>
      <c r="K7" s="16" t="str">
        <f ca="1">IF(NORMALIZADO!CH6="","",NORMALIZADO!CH6)</f>
        <v/>
      </c>
      <c r="L7" s="16" t="str">
        <f>IF(NORMALIZADO!CI6="","",NORMALIZADO!CI6)</f>
        <v/>
      </c>
      <c r="M7" s="16" t="str">
        <f>IF(NORMALIZADO!CJ6="","",NORMALIZADO!CJ6)</f>
        <v/>
      </c>
      <c r="N7" s="16" t="str">
        <f>IF(NORMALIZADO!CK6="","",NORMALIZADO!CK6)</f>
        <v/>
      </c>
      <c r="O7" s="16" t="str">
        <f>IF(NORMALIZADO!CL6="","",NORMALIZADO!CL6)</f>
        <v/>
      </c>
      <c r="P7" s="17" t="str">
        <f t="shared" ca="1" si="0"/>
        <v/>
      </c>
      <c r="Q7" s="17">
        <f t="shared" ca="1" si="1"/>
        <v>0</v>
      </c>
      <c r="R7" s="17">
        <f t="shared" ca="1" si="2"/>
        <v>0</v>
      </c>
      <c r="S7" s="17">
        <f t="shared" ca="1" si="3"/>
        <v>0</v>
      </c>
      <c r="T7" s="17">
        <f ca="1">IFERROR((K7+M7+MATRIZ_174!O6)/3,0)</f>
        <v>0</v>
      </c>
      <c r="U7" s="18">
        <f>IFERROR(MIN(100,ROUND(MATRIZ_174!M6,1)),0)</f>
        <v>0</v>
      </c>
      <c r="V7" s="18">
        <f t="shared" ca="1" si="4"/>
        <v>50</v>
      </c>
      <c r="W7" s="18">
        <f>IFERROR(IF(MATRIZ_174!R6=0,65,IF(MATRIZ_174!R6/MATRIZ_174!Q6&gt;=2,35,IF(MATRIZ_174!R6/MATRIZ_174!Q6&gt;=0.5,50,65))),65)</f>
        <v>50</v>
      </c>
      <c r="X7" s="18">
        <f>IFERROR(MIN(100,IF(MATRIZ_174!O6=0,70,30)+IF(MATRIZ_174!U6="",0,0.3*(100-MATRIZ_174!U6*100))),70)</f>
        <v>70</v>
      </c>
      <c r="Y7" s="18">
        <f>IF(OR(MATRIZ_174!P6="ASOCIACION",MATRIZ_174!P6="PENDIENTE"),65,40)</f>
        <v>65</v>
      </c>
      <c r="Z7" s="19" t="str">
        <f t="shared" ca="1" si="5"/>
        <v>—</v>
      </c>
      <c r="AA7" s="20">
        <f t="shared" ca="1" si="6"/>
        <v>47</v>
      </c>
      <c r="AB7" s="21" t="str">
        <f t="shared" ca="1" si="7"/>
        <v>—</v>
      </c>
      <c r="AC7" s="13" t="str">
        <f t="shared" ca="1" si="8"/>
        <v>⬜  Pendiente de instrumento</v>
      </c>
      <c r="AD7" s="13" t="str">
        <f>IF(MATRIZ_174!U6="","",IF(MATRIZ_174!U6=0,"🚫  Inh. vigente OSCE",""))</f>
        <v/>
      </c>
      <c r="AE7" s="22">
        <f>IFERROR(MATRIZ_174!W6,0)</f>
        <v>1</v>
      </c>
      <c r="AF7" s="22">
        <f>IFERROR(MATRIZ_174!X6,0)</f>
        <v>0</v>
      </c>
      <c r="AG7" s="22">
        <f>IFERROR(MATRIZ_174!Y6,0)</f>
        <v>0</v>
      </c>
      <c r="AH7" s="22">
        <f>IFERROR(MATRIZ_174!Z6,0)</f>
        <v>0</v>
      </c>
      <c r="AI7" s="17">
        <f ca="1">IFERROR(MATRIZ_174!AP6,"N/A")</f>
        <v>2.5000000000000001E-2</v>
      </c>
      <c r="AJ7" s="17">
        <f>IFERROR(MATRIZ_174!AO6,"N/A")</f>
        <v>0</v>
      </c>
      <c r="AK7" s="23" t="str">
        <f t="shared" ca="1" si="9"/>
        <v>N/A</v>
      </c>
      <c r="AL7" s="24" t="str">
        <f t="shared" ca="1" si="10"/>
        <v>—</v>
      </c>
    </row>
    <row r="8" spans="1:38" ht="16.05" customHeight="1" x14ac:dyDescent="0.3">
      <c r="A8" s="13" t="s">
        <v>83</v>
      </c>
      <c r="B8" s="14" t="s">
        <v>84</v>
      </c>
      <c r="C8" s="13" t="s">
        <v>80</v>
      </c>
      <c r="D8" s="15">
        <v>0</v>
      </c>
      <c r="E8" s="16" t="str">
        <f>IF(NORMALIZADO!CB7="","",NORMALIZADO!CB7)</f>
        <v/>
      </c>
      <c r="F8" s="17" t="str">
        <f ca="1">IF(NORMALIZADO!CC7="","",NORMALIZADO!CC7)</f>
        <v/>
      </c>
      <c r="G8" s="17">
        <f ca="1">IF(NORMALIZADO!CD7="",IFERROR(MATRIZ_174!U7*100,""),NORMALIZADO!CD7)</f>
        <v>100</v>
      </c>
      <c r="H8" s="16" t="str">
        <f>IF(NORMALIZADO!CE7="","",NORMALIZADO!CE7)</f>
        <v/>
      </c>
      <c r="I8" s="17" t="str">
        <f>IF(NORMALIZADO!CF7="","",NORMALIZADO!CF7)</f>
        <v/>
      </c>
      <c r="J8" s="17" t="str">
        <f ca="1">IF(NORMALIZADO!CG7="","",NORMALIZADO!CG7)</f>
        <v/>
      </c>
      <c r="K8" s="16" t="str">
        <f ca="1">IF(NORMALIZADO!CH7="","",NORMALIZADO!CH7)</f>
        <v/>
      </c>
      <c r="L8" s="16" t="str">
        <f>IF(NORMALIZADO!CI7="","",NORMALIZADO!CI7)</f>
        <v/>
      </c>
      <c r="M8" s="16" t="str">
        <f>IF(NORMALIZADO!CJ7="","",NORMALIZADO!CJ7)</f>
        <v/>
      </c>
      <c r="N8" s="16" t="str">
        <f>IF(NORMALIZADO!CK7="","",NORMALIZADO!CK7)</f>
        <v/>
      </c>
      <c r="O8" s="16" t="str">
        <f>IF(NORMALIZADO!CL7="","",NORMALIZADO!CL7)</f>
        <v/>
      </c>
      <c r="P8" s="17" t="str">
        <f t="shared" ca="1" si="0"/>
        <v/>
      </c>
      <c r="Q8" s="17">
        <f t="shared" ca="1" si="1"/>
        <v>0</v>
      </c>
      <c r="R8" s="17">
        <f t="shared" ca="1" si="2"/>
        <v>0</v>
      </c>
      <c r="S8" s="17">
        <f t="shared" ca="1" si="3"/>
        <v>0</v>
      </c>
      <c r="T8" s="17">
        <f ca="1">IFERROR((K8+M8+MATRIZ_174!O7)/3,0)</f>
        <v>0</v>
      </c>
      <c r="U8" s="18">
        <f>IFERROR(MIN(100,ROUND(MATRIZ_174!M7,1)),0)</f>
        <v>0</v>
      </c>
      <c r="V8" s="18">
        <f t="shared" ca="1" si="4"/>
        <v>50</v>
      </c>
      <c r="W8" s="18">
        <f>IFERROR(IF(MATRIZ_174!R7=0,65,IF(MATRIZ_174!R7/MATRIZ_174!Q7&gt;=2,35,IF(MATRIZ_174!R7/MATRIZ_174!Q7&gt;=0.5,50,65))),65)</f>
        <v>35</v>
      </c>
      <c r="X8" s="18">
        <f>IFERROR(MIN(100,IF(MATRIZ_174!O7=0,70,30)+IF(MATRIZ_174!U7="",0,0.3*(100-MATRIZ_174!U7*100))),70)</f>
        <v>70</v>
      </c>
      <c r="Y8" s="18">
        <f>IF(OR(MATRIZ_174!P7="ASOCIACION",MATRIZ_174!P7="PENDIENTE"),65,40)</f>
        <v>65</v>
      </c>
      <c r="Z8" s="19" t="str">
        <f t="shared" ca="1" si="5"/>
        <v>—</v>
      </c>
      <c r="AA8" s="20">
        <f t="shared" ca="1" si="6"/>
        <v>44</v>
      </c>
      <c r="AB8" s="21" t="str">
        <f t="shared" ca="1" si="7"/>
        <v>—</v>
      </c>
      <c r="AC8" s="13" t="str">
        <f t="shared" ca="1" si="8"/>
        <v>⬜  Pendiente de instrumento</v>
      </c>
      <c r="AD8" s="13" t="str">
        <f>IF(MATRIZ_174!U7="","",IF(MATRIZ_174!U7=0,"🚫  Inh. vigente OSCE",""))</f>
        <v/>
      </c>
      <c r="AE8" s="22">
        <f>IFERROR(MATRIZ_174!W7,0)</f>
        <v>1</v>
      </c>
      <c r="AF8" s="22">
        <f>IFERROR(MATRIZ_174!X7,0)</f>
        <v>0</v>
      </c>
      <c r="AG8" s="22">
        <f>IFERROR(MATRIZ_174!Y7,0)</f>
        <v>0</v>
      </c>
      <c r="AH8" s="22">
        <f>IFERROR(MATRIZ_174!Z7,0)</f>
        <v>0</v>
      </c>
      <c r="AI8" s="17">
        <f ca="1">IFERROR(MATRIZ_174!AP7,"N/A")</f>
        <v>2.5000000000000001E-2</v>
      </c>
      <c r="AJ8" s="17">
        <f>IFERROR(MATRIZ_174!AO7,"N/A")</f>
        <v>0</v>
      </c>
      <c r="AK8" s="23" t="str">
        <f t="shared" ca="1" si="9"/>
        <v>N/A</v>
      </c>
      <c r="AL8" s="24" t="str">
        <f t="shared" ca="1" si="10"/>
        <v>—</v>
      </c>
    </row>
    <row r="9" spans="1:38" ht="16.05" customHeight="1" x14ac:dyDescent="0.3">
      <c r="A9" s="13" t="s">
        <v>86</v>
      </c>
      <c r="B9" s="14" t="s">
        <v>87</v>
      </c>
      <c r="C9" s="13" t="s">
        <v>80</v>
      </c>
      <c r="D9" s="15">
        <v>1238541.75</v>
      </c>
      <c r="E9" s="16" t="str">
        <f>IF(NORMALIZADO!CB8="","",NORMALIZADO!CB8)</f>
        <v/>
      </c>
      <c r="F9" s="17" t="str">
        <f ca="1">IF(NORMALIZADO!CC8="","",NORMALIZADO!CC8)</f>
        <v/>
      </c>
      <c r="G9" s="17">
        <f ca="1">IF(NORMALIZADO!CD8="",IFERROR(MATRIZ_174!U8*100,""),NORMALIZADO!CD8)</f>
        <v>100</v>
      </c>
      <c r="H9" s="16" t="str">
        <f>IF(NORMALIZADO!CE8="","",NORMALIZADO!CE8)</f>
        <v/>
      </c>
      <c r="I9" s="17" t="str">
        <f>IF(NORMALIZADO!CF8="","",NORMALIZADO!CF8)</f>
        <v/>
      </c>
      <c r="J9" s="17" t="str">
        <f ca="1">IF(NORMALIZADO!CG8="","",NORMALIZADO!CG8)</f>
        <v/>
      </c>
      <c r="K9" s="16" t="str">
        <f ca="1">IF(NORMALIZADO!CH8="","",NORMALIZADO!CH8)</f>
        <v/>
      </c>
      <c r="L9" s="16" t="str">
        <f>IF(NORMALIZADO!CI8="","",NORMALIZADO!CI8)</f>
        <v/>
      </c>
      <c r="M9" s="16" t="str">
        <f>IF(NORMALIZADO!CJ8="","",NORMALIZADO!CJ8)</f>
        <v/>
      </c>
      <c r="N9" s="16" t="str">
        <f>IF(NORMALIZADO!CK8="","",NORMALIZADO!CK8)</f>
        <v/>
      </c>
      <c r="O9" s="16" t="str">
        <f>IF(NORMALIZADO!CL8="","",NORMALIZADO!CL8)</f>
        <v/>
      </c>
      <c r="P9" s="17" t="str">
        <f t="shared" ca="1" si="0"/>
        <v/>
      </c>
      <c r="Q9" s="17">
        <f t="shared" ca="1" si="1"/>
        <v>0</v>
      </c>
      <c r="R9" s="17">
        <f t="shared" ca="1" si="2"/>
        <v>0</v>
      </c>
      <c r="S9" s="17">
        <f t="shared" ca="1" si="3"/>
        <v>0</v>
      </c>
      <c r="T9" s="17">
        <f ca="1">IFERROR((K9+M9+MATRIZ_174!O8)/3,0)</f>
        <v>0</v>
      </c>
      <c r="U9" s="18">
        <f>IFERROR(MIN(100,ROUND(MATRIZ_174!M8,1)),0)</f>
        <v>50</v>
      </c>
      <c r="V9" s="18">
        <f t="shared" ca="1" si="4"/>
        <v>50</v>
      </c>
      <c r="W9" s="18">
        <f>IFERROR(IF(MATRIZ_174!R8=0,65,IF(MATRIZ_174!R8/MATRIZ_174!Q8&gt;=2,35,IF(MATRIZ_174!R8/MATRIZ_174!Q8&gt;=0.5,50,65))),65)</f>
        <v>65</v>
      </c>
      <c r="X9" s="18">
        <f>IFERROR(MIN(100,IF(MATRIZ_174!O8=0,70,30)+IF(MATRIZ_174!U8="",0,0.3*(100-MATRIZ_174!U8*100))),70)</f>
        <v>70</v>
      </c>
      <c r="Y9" s="18">
        <f>IF(OR(MATRIZ_174!P8="ASOCIACION",MATRIZ_174!P8="PENDIENTE"),65,40)</f>
        <v>65</v>
      </c>
      <c r="Z9" s="19" t="str">
        <f t="shared" ca="1" si="5"/>
        <v>—</v>
      </c>
      <c r="AA9" s="20">
        <f t="shared" ca="1" si="6"/>
        <v>60</v>
      </c>
      <c r="AB9" s="21" t="str">
        <f t="shared" ca="1" si="7"/>
        <v>—</v>
      </c>
      <c r="AC9" s="13" t="str">
        <f t="shared" ca="1" si="8"/>
        <v>⬜  Pendiente de instrumento</v>
      </c>
      <c r="AD9" s="13" t="str">
        <f>IF(MATRIZ_174!U8="","",IF(MATRIZ_174!U8=0,"🚫  Inh. vigente OSCE",""))</f>
        <v/>
      </c>
      <c r="AE9" s="22">
        <f>IFERROR(MATRIZ_174!W8,0)</f>
        <v>1</v>
      </c>
      <c r="AF9" s="22">
        <f>IFERROR(MATRIZ_174!X8,0)</f>
        <v>0</v>
      </c>
      <c r="AG9" s="22">
        <f>IFERROR(MATRIZ_174!Y8,0)</f>
        <v>0</v>
      </c>
      <c r="AH9" s="22">
        <f>IFERROR(MATRIZ_174!Z8,0)</f>
        <v>0</v>
      </c>
      <c r="AI9" s="17">
        <f ca="1">IFERROR(MATRIZ_174!AP8,"N/A")</f>
        <v>0.125</v>
      </c>
      <c r="AJ9" s="17">
        <f>IFERROR(MATRIZ_174!AO8,"N/A")</f>
        <v>0</v>
      </c>
      <c r="AK9" s="23" t="str">
        <f t="shared" ca="1" si="9"/>
        <v>N/A</v>
      </c>
      <c r="AL9" s="24" t="str">
        <f t="shared" ca="1" si="10"/>
        <v>—</v>
      </c>
    </row>
    <row r="10" spans="1:38" ht="16.05" customHeight="1" x14ac:dyDescent="0.3">
      <c r="A10" s="13" t="s">
        <v>88</v>
      </c>
      <c r="B10" s="14" t="s">
        <v>89</v>
      </c>
      <c r="C10" s="13" t="s">
        <v>80</v>
      </c>
      <c r="D10" s="15">
        <v>0</v>
      </c>
      <c r="E10" s="16" t="str">
        <f>IF(NORMALIZADO!CB9="","",NORMALIZADO!CB9)</f>
        <v/>
      </c>
      <c r="F10" s="17" t="str">
        <f ca="1">IF(NORMALIZADO!CC9="","",NORMALIZADO!CC9)</f>
        <v/>
      </c>
      <c r="G10" s="17">
        <f ca="1">IF(NORMALIZADO!CD9="",IFERROR(MATRIZ_174!U9*100,""),NORMALIZADO!CD9)</f>
        <v>100</v>
      </c>
      <c r="H10" s="16" t="str">
        <f>IF(NORMALIZADO!CE9="","",NORMALIZADO!CE9)</f>
        <v/>
      </c>
      <c r="I10" s="17" t="str">
        <f>IF(NORMALIZADO!CF9="","",NORMALIZADO!CF9)</f>
        <v/>
      </c>
      <c r="J10" s="17" t="str">
        <f ca="1">IF(NORMALIZADO!CG9="","",NORMALIZADO!CG9)</f>
        <v/>
      </c>
      <c r="K10" s="16" t="str">
        <f ca="1">IF(NORMALIZADO!CH9="","",NORMALIZADO!CH9)</f>
        <v/>
      </c>
      <c r="L10" s="16" t="str">
        <f>IF(NORMALIZADO!CI9="","",NORMALIZADO!CI9)</f>
        <v/>
      </c>
      <c r="M10" s="16" t="str">
        <f>IF(NORMALIZADO!CJ9="","",NORMALIZADO!CJ9)</f>
        <v/>
      </c>
      <c r="N10" s="16" t="str">
        <f>IF(NORMALIZADO!CK9="","",NORMALIZADO!CK9)</f>
        <v/>
      </c>
      <c r="O10" s="16" t="str">
        <f>IF(NORMALIZADO!CL9="","",NORMALIZADO!CL9)</f>
        <v/>
      </c>
      <c r="P10" s="17" t="str">
        <f t="shared" ca="1" si="0"/>
        <v/>
      </c>
      <c r="Q10" s="17">
        <f t="shared" ca="1" si="1"/>
        <v>0</v>
      </c>
      <c r="R10" s="17">
        <f t="shared" ca="1" si="2"/>
        <v>0</v>
      </c>
      <c r="S10" s="17">
        <f t="shared" ca="1" si="3"/>
        <v>0</v>
      </c>
      <c r="T10" s="17">
        <f ca="1">IFERROR((K10+M10+MATRIZ_174!O9)/3,0)</f>
        <v>0</v>
      </c>
      <c r="U10" s="18">
        <f>IFERROR(MIN(100,ROUND(MATRIZ_174!M9,1)),0)</f>
        <v>0</v>
      </c>
      <c r="V10" s="18">
        <f t="shared" ca="1" si="4"/>
        <v>50</v>
      </c>
      <c r="W10" s="18">
        <f>IFERROR(IF(MATRIZ_174!R9=0,65,IF(MATRIZ_174!R9/MATRIZ_174!Q9&gt;=2,35,IF(MATRIZ_174!R9/MATRIZ_174!Q9&gt;=0.5,50,65))),65)</f>
        <v>65</v>
      </c>
      <c r="X10" s="18">
        <f>IFERROR(MIN(100,IF(MATRIZ_174!O9=0,70,30)+IF(MATRIZ_174!U9="",0,0.3*(100-MATRIZ_174!U9*100))),70)</f>
        <v>70</v>
      </c>
      <c r="Y10" s="18">
        <f>IF(OR(MATRIZ_174!P9="ASOCIACION",MATRIZ_174!P9="PENDIENTE"),65,40)</f>
        <v>65</v>
      </c>
      <c r="Z10" s="19" t="str">
        <f t="shared" ca="1" si="5"/>
        <v>—</v>
      </c>
      <c r="AA10" s="20">
        <f t="shared" ca="1" si="6"/>
        <v>50</v>
      </c>
      <c r="AB10" s="21" t="str">
        <f t="shared" ca="1" si="7"/>
        <v>—</v>
      </c>
      <c r="AC10" s="13" t="str">
        <f t="shared" ca="1" si="8"/>
        <v>⬜  Pendiente de instrumento</v>
      </c>
      <c r="AD10" s="13" t="str">
        <f>IF(MATRIZ_174!U9="","",IF(MATRIZ_174!U9=0,"🚫  Inh. vigente OSCE",""))</f>
        <v/>
      </c>
      <c r="AE10" s="22">
        <f>IFERROR(MATRIZ_174!W9,0)</f>
        <v>0</v>
      </c>
      <c r="AF10" s="22">
        <f>IFERROR(MATRIZ_174!X9,0)</f>
        <v>0</v>
      </c>
      <c r="AG10" s="22">
        <f>IFERROR(MATRIZ_174!Y9,0)</f>
        <v>0</v>
      </c>
      <c r="AH10" s="22">
        <f>IFERROR(MATRIZ_174!Z9,0)</f>
        <v>0</v>
      </c>
      <c r="AI10" s="17">
        <f ca="1">IFERROR(MATRIZ_174!AP9,"N/A")</f>
        <v>0</v>
      </c>
      <c r="AJ10" s="17">
        <f>IFERROR(MATRIZ_174!AO9,"N/A")</f>
        <v>0</v>
      </c>
      <c r="AK10" s="23" t="str">
        <f t="shared" ca="1" si="9"/>
        <v>N/A</v>
      </c>
      <c r="AL10" s="24" t="str">
        <f t="shared" ca="1" si="10"/>
        <v>—</v>
      </c>
    </row>
    <row r="11" spans="1:38" ht="16.05" customHeight="1" x14ac:dyDescent="0.3">
      <c r="A11" s="13" t="s">
        <v>90</v>
      </c>
      <c r="B11" s="14" t="s">
        <v>91</v>
      </c>
      <c r="C11" s="13" t="s">
        <v>80</v>
      </c>
      <c r="D11" s="15">
        <v>0</v>
      </c>
      <c r="E11" s="16" t="str">
        <f>IF(NORMALIZADO!CB10="","",NORMALIZADO!CB10)</f>
        <v/>
      </c>
      <c r="F11" s="17" t="str">
        <f ca="1">IF(NORMALIZADO!CC10="","",NORMALIZADO!CC10)</f>
        <v/>
      </c>
      <c r="G11" s="17">
        <f ca="1">IF(NORMALIZADO!CD10="",IFERROR(MATRIZ_174!U10*100,""),NORMALIZADO!CD10)</f>
        <v>100</v>
      </c>
      <c r="H11" s="16" t="str">
        <f>IF(NORMALIZADO!CE10="","",NORMALIZADO!CE10)</f>
        <v/>
      </c>
      <c r="I11" s="17" t="str">
        <f>IF(NORMALIZADO!CF10="","",NORMALIZADO!CF10)</f>
        <v/>
      </c>
      <c r="J11" s="17" t="str">
        <f ca="1">IF(NORMALIZADO!CG10="","",NORMALIZADO!CG10)</f>
        <v/>
      </c>
      <c r="K11" s="16" t="str">
        <f ca="1">IF(NORMALIZADO!CH10="","",NORMALIZADO!CH10)</f>
        <v/>
      </c>
      <c r="L11" s="16" t="str">
        <f>IF(NORMALIZADO!CI10="","",NORMALIZADO!CI10)</f>
        <v/>
      </c>
      <c r="M11" s="16" t="str">
        <f>IF(NORMALIZADO!CJ10="","",NORMALIZADO!CJ10)</f>
        <v/>
      </c>
      <c r="N11" s="16" t="str">
        <f>IF(NORMALIZADO!CK10="","",NORMALIZADO!CK10)</f>
        <v/>
      </c>
      <c r="O11" s="16" t="str">
        <f>IF(NORMALIZADO!CL10="","",NORMALIZADO!CL10)</f>
        <v/>
      </c>
      <c r="P11" s="17" t="str">
        <f t="shared" ca="1" si="0"/>
        <v/>
      </c>
      <c r="Q11" s="17">
        <f t="shared" ca="1" si="1"/>
        <v>0</v>
      </c>
      <c r="R11" s="17">
        <f t="shared" ca="1" si="2"/>
        <v>0</v>
      </c>
      <c r="S11" s="17">
        <f t="shared" ca="1" si="3"/>
        <v>0</v>
      </c>
      <c r="T11" s="17">
        <f ca="1">IFERROR((K11+M11+MATRIZ_174!O10)/3,0)</f>
        <v>0</v>
      </c>
      <c r="U11" s="18">
        <f>IFERROR(MIN(100,ROUND(MATRIZ_174!M10,1)),0)</f>
        <v>0</v>
      </c>
      <c r="V11" s="18">
        <f t="shared" ca="1" si="4"/>
        <v>50</v>
      </c>
      <c r="W11" s="18">
        <f>IFERROR(IF(MATRIZ_174!R10=0,65,IF(MATRIZ_174!R10/MATRIZ_174!Q10&gt;=2,35,IF(MATRIZ_174!R10/MATRIZ_174!Q10&gt;=0.5,50,65))),65)</f>
        <v>35</v>
      </c>
      <c r="X11" s="18">
        <f>IFERROR(MIN(100,IF(MATRIZ_174!O10=0,70,30)+IF(MATRIZ_174!U10="",0,0.3*(100-MATRIZ_174!U10*100))),70)</f>
        <v>70</v>
      </c>
      <c r="Y11" s="18">
        <f>IF(OR(MATRIZ_174!P10="ASOCIACION",MATRIZ_174!P10="PENDIENTE"),65,40)</f>
        <v>65</v>
      </c>
      <c r="Z11" s="19" t="str">
        <f t="shared" ca="1" si="5"/>
        <v>—</v>
      </c>
      <c r="AA11" s="20">
        <f t="shared" ca="1" si="6"/>
        <v>44</v>
      </c>
      <c r="AB11" s="21" t="str">
        <f t="shared" ca="1" si="7"/>
        <v>—</v>
      </c>
      <c r="AC11" s="13" t="str">
        <f t="shared" ca="1" si="8"/>
        <v>⬜  Pendiente de instrumento</v>
      </c>
      <c r="AD11" s="13" t="str">
        <f>IF(MATRIZ_174!U10="","",IF(MATRIZ_174!U10=0,"🚫  Inh. vigente OSCE",""))</f>
        <v/>
      </c>
      <c r="AE11" s="22">
        <f>IFERROR(MATRIZ_174!W10,0)</f>
        <v>1</v>
      </c>
      <c r="AF11" s="22">
        <f>IFERROR(MATRIZ_174!X10,0)</f>
        <v>0</v>
      </c>
      <c r="AG11" s="22">
        <f>IFERROR(MATRIZ_174!Y10,0)</f>
        <v>0</v>
      </c>
      <c r="AH11" s="22">
        <f>IFERROR(MATRIZ_174!Z10,0)</f>
        <v>0</v>
      </c>
      <c r="AI11" s="17">
        <f ca="1">IFERROR(MATRIZ_174!AP10,"N/A")</f>
        <v>2.5000000000000001E-2</v>
      </c>
      <c r="AJ11" s="17">
        <f>IFERROR(MATRIZ_174!AO10,"N/A")</f>
        <v>0</v>
      </c>
      <c r="AK11" s="23" t="str">
        <f t="shared" ca="1" si="9"/>
        <v>N/A</v>
      </c>
      <c r="AL11" s="24" t="str">
        <f t="shared" ca="1" si="10"/>
        <v>—</v>
      </c>
    </row>
    <row r="12" spans="1:38" ht="16.05" customHeight="1" x14ac:dyDescent="0.3">
      <c r="A12" s="13" t="s">
        <v>93</v>
      </c>
      <c r="B12" s="14" t="s">
        <v>94</v>
      </c>
      <c r="C12" s="13" t="s">
        <v>80</v>
      </c>
      <c r="D12" s="15">
        <v>0</v>
      </c>
      <c r="E12" s="16" t="str">
        <f>IF(NORMALIZADO!CB11="","",NORMALIZADO!CB11)</f>
        <v/>
      </c>
      <c r="F12" s="17" t="str">
        <f ca="1">IF(NORMALIZADO!CC11="","",NORMALIZADO!CC11)</f>
        <v/>
      </c>
      <c r="G12" s="17">
        <f ca="1">IF(NORMALIZADO!CD11="",IFERROR(MATRIZ_174!U11*100,""),NORMALIZADO!CD11)</f>
        <v>100</v>
      </c>
      <c r="H12" s="16" t="str">
        <f>IF(NORMALIZADO!CE11="","",NORMALIZADO!CE11)</f>
        <v/>
      </c>
      <c r="I12" s="17" t="str">
        <f>IF(NORMALIZADO!CF11="","",NORMALIZADO!CF11)</f>
        <v/>
      </c>
      <c r="J12" s="17" t="str">
        <f ca="1">IF(NORMALIZADO!CG11="","",NORMALIZADO!CG11)</f>
        <v/>
      </c>
      <c r="K12" s="16" t="str">
        <f ca="1">IF(NORMALIZADO!CH11="","",NORMALIZADO!CH11)</f>
        <v/>
      </c>
      <c r="L12" s="16" t="str">
        <f>IF(NORMALIZADO!CI11="","",NORMALIZADO!CI11)</f>
        <v/>
      </c>
      <c r="M12" s="16" t="str">
        <f>IF(NORMALIZADO!CJ11="","",NORMALIZADO!CJ11)</f>
        <v/>
      </c>
      <c r="N12" s="16" t="str">
        <f>IF(NORMALIZADO!CK11="","",NORMALIZADO!CK11)</f>
        <v/>
      </c>
      <c r="O12" s="16" t="str">
        <f>IF(NORMALIZADO!CL11="","",NORMALIZADO!CL11)</f>
        <v/>
      </c>
      <c r="P12" s="17" t="str">
        <f t="shared" ca="1" si="0"/>
        <v/>
      </c>
      <c r="Q12" s="17">
        <f t="shared" ca="1" si="1"/>
        <v>0</v>
      </c>
      <c r="R12" s="17">
        <f t="shared" ca="1" si="2"/>
        <v>0</v>
      </c>
      <c r="S12" s="17">
        <f t="shared" ca="1" si="3"/>
        <v>0</v>
      </c>
      <c r="T12" s="17">
        <f ca="1">IFERROR((K12+M12+MATRIZ_174!O11)/3,0)</f>
        <v>0</v>
      </c>
      <c r="U12" s="18">
        <f>IFERROR(MIN(100,ROUND(MATRIZ_174!M11,1)),0)</f>
        <v>0</v>
      </c>
      <c r="V12" s="18">
        <f t="shared" ca="1" si="4"/>
        <v>50</v>
      </c>
      <c r="W12" s="18">
        <f>IFERROR(IF(MATRIZ_174!R11=0,65,IF(MATRIZ_174!R11/MATRIZ_174!Q11&gt;=2,35,IF(MATRIZ_174!R11/MATRIZ_174!Q11&gt;=0.5,50,65))),65)</f>
        <v>65</v>
      </c>
      <c r="X12" s="18">
        <f>IFERROR(MIN(100,IF(MATRIZ_174!O11=0,70,30)+IF(MATRIZ_174!U11="",0,0.3*(100-MATRIZ_174!U11*100))),70)</f>
        <v>70</v>
      </c>
      <c r="Y12" s="18">
        <f>IF(OR(MATRIZ_174!P11="ASOCIACION",MATRIZ_174!P11="PENDIENTE"),65,40)</f>
        <v>65</v>
      </c>
      <c r="Z12" s="19" t="str">
        <f t="shared" ca="1" si="5"/>
        <v>—</v>
      </c>
      <c r="AA12" s="20">
        <f t="shared" ca="1" si="6"/>
        <v>50</v>
      </c>
      <c r="AB12" s="21" t="str">
        <f t="shared" ca="1" si="7"/>
        <v>—</v>
      </c>
      <c r="AC12" s="13" t="str">
        <f t="shared" ca="1" si="8"/>
        <v>⬜  Pendiente de instrumento</v>
      </c>
      <c r="AD12" s="13" t="str">
        <f>IF(MATRIZ_174!U11="","",IF(MATRIZ_174!U11=0,"🚫  Inh. vigente OSCE",""))</f>
        <v/>
      </c>
      <c r="AE12" s="22">
        <f>IFERROR(MATRIZ_174!W11,0)</f>
        <v>0</v>
      </c>
      <c r="AF12" s="22">
        <f>IFERROR(MATRIZ_174!X11,0)</f>
        <v>0</v>
      </c>
      <c r="AG12" s="22">
        <f>IFERROR(MATRIZ_174!Y11,0)</f>
        <v>0</v>
      </c>
      <c r="AH12" s="22">
        <f>IFERROR(MATRIZ_174!Z11,0)</f>
        <v>0</v>
      </c>
      <c r="AI12" s="17">
        <f ca="1">IFERROR(MATRIZ_174!AP11,"N/A")</f>
        <v>0</v>
      </c>
      <c r="AJ12" s="17">
        <f>IFERROR(MATRIZ_174!AO11,"N/A")</f>
        <v>0</v>
      </c>
      <c r="AK12" s="23" t="str">
        <f t="shared" ca="1" si="9"/>
        <v>N/A</v>
      </c>
      <c r="AL12" s="24" t="str">
        <f t="shared" ca="1" si="10"/>
        <v>—</v>
      </c>
    </row>
    <row r="13" spans="1:38" ht="16.05" customHeight="1" x14ac:dyDescent="0.3">
      <c r="A13" s="13" t="s">
        <v>95</v>
      </c>
      <c r="B13" s="14" t="s">
        <v>96</v>
      </c>
      <c r="C13" s="13" t="s">
        <v>80</v>
      </c>
      <c r="D13" s="15">
        <v>894391.27</v>
      </c>
      <c r="E13" s="16" t="str">
        <f>IF(NORMALIZADO!CB12="","",NORMALIZADO!CB12)</f>
        <v/>
      </c>
      <c r="F13" s="17" t="str">
        <f ca="1">IF(NORMALIZADO!CC12="","",NORMALIZADO!CC12)</f>
        <v/>
      </c>
      <c r="G13" s="17">
        <f ca="1">IF(NORMALIZADO!CD12="",IFERROR(MATRIZ_174!U12*100,""),NORMALIZADO!CD12)</f>
        <v>75</v>
      </c>
      <c r="H13" s="16" t="str">
        <f>IF(NORMALIZADO!CE12="","",NORMALIZADO!CE12)</f>
        <v/>
      </c>
      <c r="I13" s="17" t="str">
        <f>IF(NORMALIZADO!CF12="","",NORMALIZADO!CF12)</f>
        <v/>
      </c>
      <c r="J13" s="17" t="str">
        <f ca="1">IF(NORMALIZADO!CG12="","",NORMALIZADO!CG12)</f>
        <v/>
      </c>
      <c r="K13" s="16" t="str">
        <f ca="1">IF(NORMALIZADO!CH12="","",NORMALIZADO!CH12)</f>
        <v/>
      </c>
      <c r="L13" s="16" t="str">
        <f>IF(NORMALIZADO!CI12="","",NORMALIZADO!CI12)</f>
        <v/>
      </c>
      <c r="M13" s="16" t="str">
        <f>IF(NORMALIZADO!CJ12="","",NORMALIZADO!CJ12)</f>
        <v/>
      </c>
      <c r="N13" s="16" t="str">
        <f>IF(NORMALIZADO!CK12="","",NORMALIZADO!CK12)</f>
        <v/>
      </c>
      <c r="O13" s="16" t="str">
        <f>IF(NORMALIZADO!CL12="","",NORMALIZADO!CL12)</f>
        <v/>
      </c>
      <c r="P13" s="17" t="str">
        <f t="shared" ca="1" si="0"/>
        <v/>
      </c>
      <c r="Q13" s="17">
        <f t="shared" ca="1" si="1"/>
        <v>0</v>
      </c>
      <c r="R13" s="17">
        <f t="shared" ca="1" si="2"/>
        <v>0</v>
      </c>
      <c r="S13" s="17">
        <f t="shared" ca="1" si="3"/>
        <v>0</v>
      </c>
      <c r="T13" s="17">
        <f ca="1">IFERROR((K13+M13+MATRIZ_174!O12)/3,0)</f>
        <v>0</v>
      </c>
      <c r="U13" s="18">
        <f>IFERROR(MIN(100,ROUND(MATRIZ_174!M12,1)),0)</f>
        <v>20.100000000000001</v>
      </c>
      <c r="V13" s="18">
        <f t="shared" ca="1" si="4"/>
        <v>50</v>
      </c>
      <c r="W13" s="18">
        <f>IFERROR(IF(MATRIZ_174!R12=0,65,IF(MATRIZ_174!R12/MATRIZ_174!Q12&gt;=2,35,IF(MATRIZ_174!R12/MATRIZ_174!Q12&gt;=0.5,50,65))),65)</f>
        <v>35</v>
      </c>
      <c r="X13" s="18">
        <f>IFERROR(MIN(100,IF(MATRIZ_174!O12=0,70,30)+IF(MATRIZ_174!U12="",0,0.3*(100-MATRIZ_174!U12*100))),70)</f>
        <v>77.5</v>
      </c>
      <c r="Y13" s="18">
        <f>IF(OR(MATRIZ_174!P12="ASOCIACION",MATRIZ_174!P12="PENDIENTE"),65,40)</f>
        <v>65</v>
      </c>
      <c r="Z13" s="19" t="str">
        <f t="shared" ca="1" si="5"/>
        <v>—</v>
      </c>
      <c r="AA13" s="20">
        <f t="shared" ca="1" si="6"/>
        <v>49.5</v>
      </c>
      <c r="AB13" s="21" t="str">
        <f t="shared" ca="1" si="7"/>
        <v>—</v>
      </c>
      <c r="AC13" s="13" t="str">
        <f t="shared" ca="1" si="8"/>
        <v>⬜  Pendiente de instrumento</v>
      </c>
      <c r="AD13" s="13" t="str">
        <f>IF(MATRIZ_174!U12="","",IF(MATRIZ_174!U12=0,"🚫  Inh. vigente OSCE",""))</f>
        <v/>
      </c>
      <c r="AE13" s="22">
        <f>IFERROR(MATRIZ_174!W12,0)</f>
        <v>1</v>
      </c>
      <c r="AF13" s="22">
        <f>IFERROR(MATRIZ_174!X12,0)</f>
        <v>0</v>
      </c>
      <c r="AG13" s="22">
        <f>IFERROR(MATRIZ_174!Y12,0)</f>
        <v>0</v>
      </c>
      <c r="AH13" s="22">
        <f>IFERROR(MATRIZ_174!Z12,0)</f>
        <v>0</v>
      </c>
      <c r="AI13" s="17">
        <f ca="1">IFERROR(MATRIZ_174!AP12,"N/A")</f>
        <v>6.5200000000000008E-2</v>
      </c>
      <c r="AJ13" s="17">
        <f>IFERROR(MATRIZ_174!AO12,"N/A")</f>
        <v>0</v>
      </c>
      <c r="AK13" s="23" t="str">
        <f t="shared" ca="1" si="9"/>
        <v>N/A</v>
      </c>
      <c r="AL13" s="24" t="str">
        <f t="shared" ca="1" si="10"/>
        <v>—</v>
      </c>
    </row>
    <row r="14" spans="1:38" ht="16.05" customHeight="1" x14ac:dyDescent="0.3">
      <c r="A14" s="13" t="s">
        <v>98</v>
      </c>
      <c r="B14" s="14" t="s">
        <v>99</v>
      </c>
      <c r="C14" s="13" t="s">
        <v>80</v>
      </c>
      <c r="D14" s="15">
        <v>0</v>
      </c>
      <c r="E14" s="16" t="str">
        <f>IF(NORMALIZADO!CB13="","",NORMALIZADO!CB13)</f>
        <v/>
      </c>
      <c r="F14" s="17" t="str">
        <f ca="1">IF(NORMALIZADO!CC13="","",NORMALIZADO!CC13)</f>
        <v/>
      </c>
      <c r="G14" s="17">
        <f ca="1">IF(NORMALIZADO!CD13="",IFERROR(MATRIZ_174!U13*100,""),NORMALIZADO!CD13)</f>
        <v>100</v>
      </c>
      <c r="H14" s="16" t="str">
        <f>IF(NORMALIZADO!CE13="","",NORMALIZADO!CE13)</f>
        <v/>
      </c>
      <c r="I14" s="17" t="str">
        <f>IF(NORMALIZADO!CF13="","",NORMALIZADO!CF13)</f>
        <v/>
      </c>
      <c r="J14" s="17" t="str">
        <f ca="1">IF(NORMALIZADO!CG13="","",NORMALIZADO!CG13)</f>
        <v/>
      </c>
      <c r="K14" s="16" t="str">
        <f ca="1">IF(NORMALIZADO!CH13="","",NORMALIZADO!CH13)</f>
        <v/>
      </c>
      <c r="L14" s="16" t="str">
        <f>IF(NORMALIZADO!CI13="","",NORMALIZADO!CI13)</f>
        <v/>
      </c>
      <c r="M14" s="16" t="str">
        <f>IF(NORMALIZADO!CJ13="","",NORMALIZADO!CJ13)</f>
        <v/>
      </c>
      <c r="N14" s="16" t="str">
        <f>IF(NORMALIZADO!CK13="","",NORMALIZADO!CK13)</f>
        <v/>
      </c>
      <c r="O14" s="16" t="str">
        <f>IF(NORMALIZADO!CL13="","",NORMALIZADO!CL13)</f>
        <v/>
      </c>
      <c r="P14" s="17" t="str">
        <f t="shared" ca="1" si="0"/>
        <v/>
      </c>
      <c r="Q14" s="17">
        <f t="shared" ca="1" si="1"/>
        <v>0</v>
      </c>
      <c r="R14" s="17">
        <f t="shared" ca="1" si="2"/>
        <v>0</v>
      </c>
      <c r="S14" s="17">
        <f t="shared" ca="1" si="3"/>
        <v>0</v>
      </c>
      <c r="T14" s="17">
        <f ca="1">IFERROR((K14+M14+MATRIZ_174!O13)/3,0)</f>
        <v>0</v>
      </c>
      <c r="U14" s="18">
        <f>IFERROR(MIN(100,ROUND(MATRIZ_174!M13,1)),0)</f>
        <v>0</v>
      </c>
      <c r="V14" s="18">
        <f t="shared" ca="1" si="4"/>
        <v>50</v>
      </c>
      <c r="W14" s="18">
        <f>IFERROR(IF(MATRIZ_174!R13=0,65,IF(MATRIZ_174!R13/MATRIZ_174!Q13&gt;=2,35,IF(MATRIZ_174!R13/MATRIZ_174!Q13&gt;=0.5,50,65))),65)</f>
        <v>35</v>
      </c>
      <c r="X14" s="18">
        <f>IFERROR(MIN(100,IF(MATRIZ_174!O13=0,70,30)+IF(MATRIZ_174!U13="",0,0.3*(100-MATRIZ_174!U13*100))),70)</f>
        <v>70</v>
      </c>
      <c r="Y14" s="18">
        <f>IF(OR(MATRIZ_174!P13="ASOCIACION",MATRIZ_174!P13="PENDIENTE"),65,40)</f>
        <v>65</v>
      </c>
      <c r="Z14" s="19" t="str">
        <f t="shared" ca="1" si="5"/>
        <v>—</v>
      </c>
      <c r="AA14" s="20">
        <f t="shared" ca="1" si="6"/>
        <v>44</v>
      </c>
      <c r="AB14" s="21" t="str">
        <f t="shared" ca="1" si="7"/>
        <v>—</v>
      </c>
      <c r="AC14" s="13" t="str">
        <f t="shared" ca="1" si="8"/>
        <v>⬜  Pendiente de instrumento</v>
      </c>
      <c r="AD14" s="13" t="str">
        <f>IF(MATRIZ_174!U13="","",IF(MATRIZ_174!U13=0,"🚫  Inh. vigente OSCE",""))</f>
        <v/>
      </c>
      <c r="AE14" s="22">
        <f>IFERROR(MATRIZ_174!W13,0)</f>
        <v>1</v>
      </c>
      <c r="AF14" s="22">
        <f>IFERROR(MATRIZ_174!X13,0)</f>
        <v>0</v>
      </c>
      <c r="AG14" s="22">
        <f>IFERROR(MATRIZ_174!Y13,0)</f>
        <v>0</v>
      </c>
      <c r="AH14" s="22">
        <f>IFERROR(MATRIZ_174!Z13,0)</f>
        <v>0</v>
      </c>
      <c r="AI14" s="17">
        <f ca="1">IFERROR(MATRIZ_174!AP13,"N/A")</f>
        <v>2.5000000000000001E-2</v>
      </c>
      <c r="AJ14" s="17">
        <f>IFERROR(MATRIZ_174!AO13,"N/A")</f>
        <v>0</v>
      </c>
      <c r="AK14" s="23" t="str">
        <f t="shared" ca="1" si="9"/>
        <v>N/A</v>
      </c>
      <c r="AL14" s="24" t="str">
        <f t="shared" ca="1" si="10"/>
        <v>—</v>
      </c>
    </row>
    <row r="15" spans="1:38" ht="16.05" customHeight="1" x14ac:dyDescent="0.3">
      <c r="A15" s="13" t="s">
        <v>101</v>
      </c>
      <c r="B15" s="14" t="s">
        <v>102</v>
      </c>
      <c r="C15" s="13" t="s">
        <v>72</v>
      </c>
      <c r="D15" s="15">
        <v>2015347.33</v>
      </c>
      <c r="E15" s="16" t="str">
        <f>IF(NORMALIZADO!CB14="","",NORMALIZADO!CB14)</f>
        <v/>
      </c>
      <c r="F15" s="17" t="str">
        <f ca="1">IF(NORMALIZADO!CC14="","",NORMALIZADO!CC14)</f>
        <v/>
      </c>
      <c r="G15" s="17">
        <f ca="1">IF(NORMALIZADO!CD14="",IFERROR(MATRIZ_174!U14*100,""),NORMALIZADO!CD14)</f>
        <v>100</v>
      </c>
      <c r="H15" s="16" t="str">
        <f>IF(NORMALIZADO!CE14="","",NORMALIZADO!CE14)</f>
        <v/>
      </c>
      <c r="I15" s="17" t="str">
        <f>IF(NORMALIZADO!CF14="","",NORMALIZADO!CF14)</f>
        <v/>
      </c>
      <c r="J15" s="17" t="str">
        <f ca="1">IF(NORMALIZADO!CG14="","",NORMALIZADO!CG14)</f>
        <v/>
      </c>
      <c r="K15" s="16" t="str">
        <f ca="1">IF(NORMALIZADO!CH14="","",NORMALIZADO!CH14)</f>
        <v/>
      </c>
      <c r="L15" s="16" t="str">
        <f>IF(NORMALIZADO!CI14="","",NORMALIZADO!CI14)</f>
        <v/>
      </c>
      <c r="M15" s="16" t="str">
        <f>IF(NORMALIZADO!CJ14="","",NORMALIZADO!CJ14)</f>
        <v/>
      </c>
      <c r="N15" s="16" t="str">
        <f>IF(NORMALIZADO!CK14="","",NORMALIZADO!CK14)</f>
        <v/>
      </c>
      <c r="O15" s="16" t="str">
        <f>IF(NORMALIZADO!CL14="","",NORMALIZADO!CL14)</f>
        <v/>
      </c>
      <c r="P15" s="17" t="str">
        <f t="shared" ca="1" si="0"/>
        <v/>
      </c>
      <c r="Q15" s="17">
        <f t="shared" ca="1" si="1"/>
        <v>0</v>
      </c>
      <c r="R15" s="17">
        <f t="shared" ca="1" si="2"/>
        <v>0</v>
      </c>
      <c r="S15" s="17">
        <f t="shared" ca="1" si="3"/>
        <v>0</v>
      </c>
      <c r="T15" s="17">
        <f ca="1">IFERROR((K15+M15+MATRIZ_174!O14)/3,0)</f>
        <v>0</v>
      </c>
      <c r="U15" s="18">
        <f>IFERROR(MIN(100,ROUND(MATRIZ_174!M14,1)),0)</f>
        <v>50</v>
      </c>
      <c r="V15" s="18">
        <f t="shared" ca="1" si="4"/>
        <v>50</v>
      </c>
      <c r="W15" s="18">
        <f>IFERROR(IF(MATRIZ_174!R14=0,65,IF(MATRIZ_174!R14/MATRIZ_174!Q14&gt;=2,35,IF(MATRIZ_174!R14/MATRIZ_174!Q14&gt;=0.5,50,65))),65)</f>
        <v>65</v>
      </c>
      <c r="X15" s="18">
        <f>IFERROR(MIN(100,IF(MATRIZ_174!O14=0,70,30)+IF(MATRIZ_174!U14="",0,0.3*(100-MATRIZ_174!U14*100))),70)</f>
        <v>70</v>
      </c>
      <c r="Y15" s="18">
        <f>IF(OR(MATRIZ_174!P14="ASOCIACION",MATRIZ_174!P14="PENDIENTE"),65,40)</f>
        <v>65</v>
      </c>
      <c r="Z15" s="19" t="str">
        <f t="shared" ca="1" si="5"/>
        <v>—</v>
      </c>
      <c r="AA15" s="20">
        <f t="shared" ca="1" si="6"/>
        <v>60</v>
      </c>
      <c r="AB15" s="21" t="str">
        <f t="shared" ca="1" si="7"/>
        <v>—</v>
      </c>
      <c r="AC15" s="13" t="str">
        <f t="shared" ca="1" si="8"/>
        <v>⬜  Pendiente de instrumento</v>
      </c>
      <c r="AD15" s="13" t="str">
        <f>IF(MATRIZ_174!U14="","",IF(MATRIZ_174!U14=0,"🚫  Inh. vigente OSCE",""))</f>
        <v/>
      </c>
      <c r="AE15" s="22">
        <f>IFERROR(MATRIZ_174!W14,0)</f>
        <v>1</v>
      </c>
      <c r="AF15" s="22">
        <f>IFERROR(MATRIZ_174!X14,0)</f>
        <v>0</v>
      </c>
      <c r="AG15" s="22">
        <f>IFERROR(MATRIZ_174!Y14,0)</f>
        <v>0</v>
      </c>
      <c r="AH15" s="22">
        <f>IFERROR(MATRIZ_174!Z14,0)</f>
        <v>0</v>
      </c>
      <c r="AI15" s="17">
        <f ca="1">IFERROR(MATRIZ_174!AP14,"N/A")</f>
        <v>0.125</v>
      </c>
      <c r="AJ15" s="17">
        <f>IFERROR(MATRIZ_174!AO14,"N/A")</f>
        <v>0</v>
      </c>
      <c r="AK15" s="23" t="str">
        <f t="shared" ca="1" si="9"/>
        <v>N/A</v>
      </c>
      <c r="AL15" s="24" t="str">
        <f t="shared" ca="1" si="10"/>
        <v>—</v>
      </c>
    </row>
    <row r="16" spans="1:38" ht="16.05" customHeight="1" x14ac:dyDescent="0.3">
      <c r="A16" s="13" t="s">
        <v>103</v>
      </c>
      <c r="B16" s="14" t="s">
        <v>104</v>
      </c>
      <c r="C16" s="13" t="s">
        <v>64</v>
      </c>
      <c r="D16" s="15">
        <v>0</v>
      </c>
      <c r="E16" s="16" t="str">
        <f>IF(NORMALIZADO!CB15="","",NORMALIZADO!CB15)</f>
        <v/>
      </c>
      <c r="F16" s="17" t="str">
        <f ca="1">IF(NORMALIZADO!CC15="","",NORMALIZADO!CC15)</f>
        <v/>
      </c>
      <c r="G16" s="17">
        <f ca="1">IF(NORMALIZADO!CD15="",IFERROR(MATRIZ_174!U15*100,""),NORMALIZADO!CD15)</f>
        <v>100</v>
      </c>
      <c r="H16" s="16" t="str">
        <f>IF(NORMALIZADO!CE15="","",NORMALIZADO!CE15)</f>
        <v/>
      </c>
      <c r="I16" s="17" t="str">
        <f>IF(NORMALIZADO!CF15="","",NORMALIZADO!CF15)</f>
        <v/>
      </c>
      <c r="J16" s="17" t="str">
        <f ca="1">IF(NORMALIZADO!CG15="","",NORMALIZADO!CG15)</f>
        <v/>
      </c>
      <c r="K16" s="16" t="str">
        <f ca="1">IF(NORMALIZADO!CH15="","",NORMALIZADO!CH15)</f>
        <v/>
      </c>
      <c r="L16" s="16" t="str">
        <f>IF(NORMALIZADO!CI15="","",NORMALIZADO!CI15)</f>
        <v/>
      </c>
      <c r="M16" s="16" t="str">
        <f>IF(NORMALIZADO!CJ15="","",NORMALIZADO!CJ15)</f>
        <v/>
      </c>
      <c r="N16" s="16" t="str">
        <f>IF(NORMALIZADO!CK15="","",NORMALIZADO!CK15)</f>
        <v/>
      </c>
      <c r="O16" s="16" t="str">
        <f>IF(NORMALIZADO!CL15="","",NORMALIZADO!CL15)</f>
        <v/>
      </c>
      <c r="P16" s="17" t="str">
        <f t="shared" ca="1" si="0"/>
        <v/>
      </c>
      <c r="Q16" s="17">
        <f t="shared" ca="1" si="1"/>
        <v>0</v>
      </c>
      <c r="R16" s="17">
        <f t="shared" ca="1" si="2"/>
        <v>0</v>
      </c>
      <c r="S16" s="17">
        <f t="shared" ca="1" si="3"/>
        <v>0</v>
      </c>
      <c r="T16" s="17">
        <f ca="1">IFERROR((K16+M16+MATRIZ_174!O15)/3,0)</f>
        <v>0</v>
      </c>
      <c r="U16" s="18">
        <f>IFERROR(MIN(100,ROUND(MATRIZ_174!M15,1)),0)</f>
        <v>0</v>
      </c>
      <c r="V16" s="18">
        <f t="shared" ca="1" si="4"/>
        <v>50</v>
      </c>
      <c r="W16" s="18">
        <f>IFERROR(IF(MATRIZ_174!R15=0,65,IF(MATRIZ_174!R15/MATRIZ_174!Q15&gt;=2,35,IF(MATRIZ_174!R15/MATRIZ_174!Q15&gt;=0.5,50,65))),65)</f>
        <v>65</v>
      </c>
      <c r="X16" s="18">
        <f>IFERROR(MIN(100,IF(MATRIZ_174!O15=0,70,30)+IF(MATRIZ_174!U15="",0,0.3*(100-MATRIZ_174!U15*100))),70)</f>
        <v>70</v>
      </c>
      <c r="Y16" s="18">
        <f>IF(OR(MATRIZ_174!P15="ASOCIACION",MATRIZ_174!P15="PENDIENTE"),65,40)</f>
        <v>65</v>
      </c>
      <c r="Z16" s="19" t="str">
        <f t="shared" ca="1" si="5"/>
        <v>—</v>
      </c>
      <c r="AA16" s="20">
        <f t="shared" ca="1" si="6"/>
        <v>50</v>
      </c>
      <c r="AB16" s="21" t="str">
        <f t="shared" ca="1" si="7"/>
        <v>—</v>
      </c>
      <c r="AC16" s="13" t="str">
        <f t="shared" ca="1" si="8"/>
        <v>⬜  Pendiente de instrumento</v>
      </c>
      <c r="AD16" s="13" t="str">
        <f>IF(MATRIZ_174!U15="","",IF(MATRIZ_174!U15=0,"🚫  Inh. vigente OSCE",""))</f>
        <v/>
      </c>
      <c r="AE16" s="22">
        <f>IFERROR(MATRIZ_174!W15,0)</f>
        <v>0</v>
      </c>
      <c r="AF16" s="22">
        <f>IFERROR(MATRIZ_174!X15,0)</f>
        <v>0</v>
      </c>
      <c r="AG16" s="22">
        <f>IFERROR(MATRIZ_174!Y15,0)</f>
        <v>0</v>
      </c>
      <c r="AH16" s="22">
        <f>IFERROR(MATRIZ_174!Z15,0)</f>
        <v>0</v>
      </c>
      <c r="AI16" s="17">
        <f ca="1">IFERROR(MATRIZ_174!AP15,"N/A")</f>
        <v>0</v>
      </c>
      <c r="AJ16" s="17">
        <f>IFERROR(MATRIZ_174!AO15,"N/A")</f>
        <v>0</v>
      </c>
      <c r="AK16" s="23" t="str">
        <f t="shared" ca="1" si="9"/>
        <v>N/A</v>
      </c>
      <c r="AL16" s="24" t="str">
        <f t="shared" ca="1" si="10"/>
        <v>—</v>
      </c>
    </row>
    <row r="17" spans="1:38" ht="16.05" customHeight="1" x14ac:dyDescent="0.3">
      <c r="A17" s="13" t="s">
        <v>105</v>
      </c>
      <c r="B17" s="14" t="s">
        <v>106</v>
      </c>
      <c r="C17" s="13" t="s">
        <v>107</v>
      </c>
      <c r="D17" s="15">
        <v>0</v>
      </c>
      <c r="E17" s="16" t="str">
        <f>IF(NORMALIZADO!CB16="","",NORMALIZADO!CB16)</f>
        <v/>
      </c>
      <c r="F17" s="17" t="str">
        <f ca="1">IF(NORMALIZADO!CC16="","",NORMALIZADO!CC16)</f>
        <v/>
      </c>
      <c r="G17" s="17">
        <f ca="1">IF(NORMALIZADO!CD16="",IFERROR(MATRIZ_174!U16*100,""),NORMALIZADO!CD16)</f>
        <v>100</v>
      </c>
      <c r="H17" s="16" t="str">
        <f>IF(NORMALIZADO!CE16="","",NORMALIZADO!CE16)</f>
        <v/>
      </c>
      <c r="I17" s="17" t="str">
        <f>IF(NORMALIZADO!CF16="","",NORMALIZADO!CF16)</f>
        <v/>
      </c>
      <c r="J17" s="17" t="str">
        <f ca="1">IF(NORMALIZADO!CG16="","",NORMALIZADO!CG16)</f>
        <v/>
      </c>
      <c r="K17" s="16" t="str">
        <f ca="1">IF(NORMALIZADO!CH16="","",NORMALIZADO!CH16)</f>
        <v/>
      </c>
      <c r="L17" s="16" t="str">
        <f>IF(NORMALIZADO!CI16="","",NORMALIZADO!CI16)</f>
        <v/>
      </c>
      <c r="M17" s="16" t="str">
        <f>IF(NORMALIZADO!CJ16="","",NORMALIZADO!CJ16)</f>
        <v/>
      </c>
      <c r="N17" s="16" t="str">
        <f>IF(NORMALIZADO!CK16="","",NORMALIZADO!CK16)</f>
        <v/>
      </c>
      <c r="O17" s="16" t="str">
        <f>IF(NORMALIZADO!CL16="","",NORMALIZADO!CL16)</f>
        <v/>
      </c>
      <c r="P17" s="17" t="str">
        <f t="shared" ca="1" si="0"/>
        <v/>
      </c>
      <c r="Q17" s="17">
        <f t="shared" ca="1" si="1"/>
        <v>0</v>
      </c>
      <c r="R17" s="17">
        <f t="shared" ca="1" si="2"/>
        <v>0</v>
      </c>
      <c r="S17" s="17">
        <f t="shared" ca="1" si="3"/>
        <v>0</v>
      </c>
      <c r="T17" s="17">
        <f ca="1">IFERROR((K17+M17+MATRIZ_174!O16)/3,0)</f>
        <v>0</v>
      </c>
      <c r="U17" s="18">
        <f>IFERROR(MIN(100,ROUND(MATRIZ_174!M16,1)),0)</f>
        <v>0</v>
      </c>
      <c r="V17" s="18">
        <f t="shared" ca="1" si="4"/>
        <v>50</v>
      </c>
      <c r="W17" s="18">
        <f>IFERROR(IF(MATRIZ_174!R16=0,65,IF(MATRIZ_174!R16/MATRIZ_174!Q16&gt;=2,35,IF(MATRIZ_174!R16/MATRIZ_174!Q16&gt;=0.5,50,65))),65)</f>
        <v>65</v>
      </c>
      <c r="X17" s="18">
        <f>IFERROR(MIN(100,IF(MATRIZ_174!O16=0,70,30)+IF(MATRIZ_174!U16="",0,0.3*(100-MATRIZ_174!U16*100))),70)</f>
        <v>70</v>
      </c>
      <c r="Y17" s="18">
        <f>IF(OR(MATRIZ_174!P16="ASOCIACION",MATRIZ_174!P16="PENDIENTE"),65,40)</f>
        <v>65</v>
      </c>
      <c r="Z17" s="19" t="str">
        <f t="shared" ca="1" si="5"/>
        <v>—</v>
      </c>
      <c r="AA17" s="20">
        <f t="shared" ca="1" si="6"/>
        <v>50</v>
      </c>
      <c r="AB17" s="21" t="str">
        <f t="shared" ca="1" si="7"/>
        <v>—</v>
      </c>
      <c r="AC17" s="13" t="str">
        <f t="shared" ca="1" si="8"/>
        <v>⬜  Pendiente de instrumento</v>
      </c>
      <c r="AD17" s="13" t="str">
        <f>IF(MATRIZ_174!U16="","",IF(MATRIZ_174!U16=0,"🚫  Inh. vigente OSCE",""))</f>
        <v/>
      </c>
      <c r="AE17" s="22">
        <f>IFERROR(MATRIZ_174!W16,0)</f>
        <v>0</v>
      </c>
      <c r="AF17" s="22">
        <f>IFERROR(MATRIZ_174!X16,0)</f>
        <v>0</v>
      </c>
      <c r="AG17" s="22">
        <f>IFERROR(MATRIZ_174!Y16,0)</f>
        <v>0</v>
      </c>
      <c r="AH17" s="22">
        <f>IFERROR(MATRIZ_174!Z16,0)</f>
        <v>0</v>
      </c>
      <c r="AI17" s="17">
        <f ca="1">IFERROR(MATRIZ_174!AP16,"N/A")</f>
        <v>0</v>
      </c>
      <c r="AJ17" s="17">
        <f>IFERROR(MATRIZ_174!AO16,"N/A")</f>
        <v>0</v>
      </c>
      <c r="AK17" s="23" t="str">
        <f t="shared" ca="1" si="9"/>
        <v>N/A</v>
      </c>
      <c r="AL17" s="24" t="str">
        <f t="shared" ca="1" si="10"/>
        <v>—</v>
      </c>
    </row>
    <row r="18" spans="1:38" ht="16.05" customHeight="1" x14ac:dyDescent="0.3">
      <c r="A18" s="13" t="s">
        <v>108</v>
      </c>
      <c r="B18" s="14" t="s">
        <v>109</v>
      </c>
      <c r="C18" s="13" t="s">
        <v>80</v>
      </c>
      <c r="D18" s="15">
        <v>0</v>
      </c>
      <c r="E18" s="16" t="str">
        <f>IF(NORMALIZADO!CB17="","",NORMALIZADO!CB17)</f>
        <v/>
      </c>
      <c r="F18" s="17" t="str">
        <f ca="1">IF(NORMALIZADO!CC17="","",NORMALIZADO!CC17)</f>
        <v/>
      </c>
      <c r="G18" s="17">
        <f ca="1">IF(NORMALIZADO!CD17="",IFERROR(MATRIZ_174!U17*100,""),NORMALIZADO!CD17)</f>
        <v>100</v>
      </c>
      <c r="H18" s="16" t="str">
        <f>IF(NORMALIZADO!CE17="","",NORMALIZADO!CE17)</f>
        <v/>
      </c>
      <c r="I18" s="17" t="str">
        <f>IF(NORMALIZADO!CF17="","",NORMALIZADO!CF17)</f>
        <v/>
      </c>
      <c r="J18" s="17" t="str">
        <f ca="1">IF(NORMALIZADO!CG17="","",NORMALIZADO!CG17)</f>
        <v/>
      </c>
      <c r="K18" s="16" t="str">
        <f ca="1">IF(NORMALIZADO!CH17="","",NORMALIZADO!CH17)</f>
        <v/>
      </c>
      <c r="L18" s="16" t="str">
        <f>IF(NORMALIZADO!CI17="","",NORMALIZADO!CI17)</f>
        <v/>
      </c>
      <c r="M18" s="16" t="str">
        <f>IF(NORMALIZADO!CJ17="","",NORMALIZADO!CJ17)</f>
        <v/>
      </c>
      <c r="N18" s="16" t="str">
        <f>IF(NORMALIZADO!CK17="","",NORMALIZADO!CK17)</f>
        <v/>
      </c>
      <c r="O18" s="16" t="str">
        <f>IF(NORMALIZADO!CL17="","",NORMALIZADO!CL17)</f>
        <v/>
      </c>
      <c r="P18" s="17" t="str">
        <f t="shared" ca="1" si="0"/>
        <v/>
      </c>
      <c r="Q18" s="17">
        <f t="shared" ca="1" si="1"/>
        <v>0</v>
      </c>
      <c r="R18" s="17">
        <f t="shared" ca="1" si="2"/>
        <v>0</v>
      </c>
      <c r="S18" s="17">
        <f t="shared" ca="1" si="3"/>
        <v>0</v>
      </c>
      <c r="T18" s="17">
        <f ca="1">IFERROR((K18+M18+MATRIZ_174!O17)/3,0)</f>
        <v>0</v>
      </c>
      <c r="U18" s="18">
        <f>IFERROR(MIN(100,ROUND(MATRIZ_174!M17,1)),0)</f>
        <v>0</v>
      </c>
      <c r="V18" s="18">
        <f t="shared" ca="1" si="4"/>
        <v>50</v>
      </c>
      <c r="W18" s="18">
        <f>IFERROR(IF(MATRIZ_174!R17=0,65,IF(MATRIZ_174!R17/MATRIZ_174!Q17&gt;=2,35,IF(MATRIZ_174!R17/MATRIZ_174!Q17&gt;=0.5,50,65))),65)</f>
        <v>35</v>
      </c>
      <c r="X18" s="18">
        <f>IFERROR(MIN(100,IF(MATRIZ_174!O17=0,70,30)+IF(MATRIZ_174!U17="",0,0.3*(100-MATRIZ_174!U17*100))),70)</f>
        <v>70</v>
      </c>
      <c r="Y18" s="18">
        <f>IF(OR(MATRIZ_174!P17="ASOCIACION",MATRIZ_174!P17="PENDIENTE"),65,40)</f>
        <v>65</v>
      </c>
      <c r="Z18" s="19" t="str">
        <f t="shared" ca="1" si="5"/>
        <v>—</v>
      </c>
      <c r="AA18" s="20">
        <f t="shared" ca="1" si="6"/>
        <v>44</v>
      </c>
      <c r="AB18" s="21" t="str">
        <f t="shared" ca="1" si="7"/>
        <v>—</v>
      </c>
      <c r="AC18" s="13" t="str">
        <f t="shared" ca="1" si="8"/>
        <v>⬜  Pendiente de instrumento</v>
      </c>
      <c r="AD18" s="13" t="str">
        <f>IF(MATRIZ_174!U17="","",IF(MATRIZ_174!U17=0,"🚫  Inh. vigente OSCE",""))</f>
        <v/>
      </c>
      <c r="AE18" s="22">
        <f>IFERROR(MATRIZ_174!W17,0)</f>
        <v>1</v>
      </c>
      <c r="AF18" s="22">
        <f>IFERROR(MATRIZ_174!X17,0)</f>
        <v>0</v>
      </c>
      <c r="AG18" s="22">
        <f>IFERROR(MATRIZ_174!Y17,0)</f>
        <v>0</v>
      </c>
      <c r="AH18" s="22">
        <f>IFERROR(MATRIZ_174!Z17,0)</f>
        <v>0</v>
      </c>
      <c r="AI18" s="17">
        <f ca="1">IFERROR(MATRIZ_174!AP17,"N/A")</f>
        <v>2.5000000000000001E-2</v>
      </c>
      <c r="AJ18" s="17">
        <f>IFERROR(MATRIZ_174!AO17,"N/A")</f>
        <v>0</v>
      </c>
      <c r="AK18" s="23" t="str">
        <f t="shared" ca="1" si="9"/>
        <v>N/A</v>
      </c>
      <c r="AL18" s="24" t="str">
        <f t="shared" ca="1" si="10"/>
        <v>—</v>
      </c>
    </row>
    <row r="19" spans="1:38" ht="16.05" customHeight="1" x14ac:dyDescent="0.3">
      <c r="A19" s="13" t="s">
        <v>111</v>
      </c>
      <c r="B19" s="14" t="s">
        <v>112</v>
      </c>
      <c r="C19" s="13" t="s">
        <v>113</v>
      </c>
      <c r="D19" s="15">
        <v>0</v>
      </c>
      <c r="E19" s="16" t="str">
        <f>IF(NORMALIZADO!CB18="","",NORMALIZADO!CB18)</f>
        <v/>
      </c>
      <c r="F19" s="17" t="str">
        <f ca="1">IF(NORMALIZADO!CC18="","",NORMALIZADO!CC18)</f>
        <v/>
      </c>
      <c r="G19" s="17">
        <f ca="1">IF(NORMALIZADO!CD18="",IFERROR(MATRIZ_174!U18*100,""),NORMALIZADO!CD18)</f>
        <v>100</v>
      </c>
      <c r="H19" s="16" t="str">
        <f>IF(NORMALIZADO!CE18="","",NORMALIZADO!CE18)</f>
        <v/>
      </c>
      <c r="I19" s="17" t="str">
        <f>IF(NORMALIZADO!CF18="","",NORMALIZADO!CF18)</f>
        <v/>
      </c>
      <c r="J19" s="17" t="str">
        <f ca="1">IF(NORMALIZADO!CG18="","",NORMALIZADO!CG18)</f>
        <v/>
      </c>
      <c r="K19" s="16" t="str">
        <f ca="1">IF(NORMALIZADO!CH18="","",NORMALIZADO!CH18)</f>
        <v/>
      </c>
      <c r="L19" s="16" t="str">
        <f>IF(NORMALIZADO!CI18="","",NORMALIZADO!CI18)</f>
        <v/>
      </c>
      <c r="M19" s="16" t="str">
        <f>IF(NORMALIZADO!CJ18="","",NORMALIZADO!CJ18)</f>
        <v/>
      </c>
      <c r="N19" s="16" t="str">
        <f>IF(NORMALIZADO!CK18="","",NORMALIZADO!CK18)</f>
        <v/>
      </c>
      <c r="O19" s="16" t="str">
        <f>IF(NORMALIZADO!CL18="","",NORMALIZADO!CL18)</f>
        <v/>
      </c>
      <c r="P19" s="17" t="str">
        <f t="shared" ca="1" si="0"/>
        <v/>
      </c>
      <c r="Q19" s="17">
        <f t="shared" ca="1" si="1"/>
        <v>0</v>
      </c>
      <c r="R19" s="17">
        <f t="shared" ca="1" si="2"/>
        <v>0</v>
      </c>
      <c r="S19" s="17">
        <f t="shared" ca="1" si="3"/>
        <v>0</v>
      </c>
      <c r="T19" s="17">
        <f ca="1">IFERROR((K19+M19+MATRIZ_174!O18)/3,0)</f>
        <v>0</v>
      </c>
      <c r="U19" s="18">
        <f>IFERROR(MIN(100,ROUND(MATRIZ_174!M18,1)),0)</f>
        <v>0</v>
      </c>
      <c r="V19" s="18">
        <f t="shared" ca="1" si="4"/>
        <v>50</v>
      </c>
      <c r="W19" s="18">
        <f>IFERROR(IF(MATRIZ_174!R18=0,65,IF(MATRIZ_174!R18/MATRIZ_174!Q18&gt;=2,35,IF(MATRIZ_174!R18/MATRIZ_174!Q18&gt;=0.5,50,65))),65)</f>
        <v>65</v>
      </c>
      <c r="X19" s="18">
        <f>IFERROR(MIN(100,IF(MATRIZ_174!O18=0,70,30)+IF(MATRIZ_174!U18="",0,0.3*(100-MATRIZ_174!U18*100))),70)</f>
        <v>70</v>
      </c>
      <c r="Y19" s="18">
        <f>IF(OR(MATRIZ_174!P18="ASOCIACION",MATRIZ_174!P18="PENDIENTE"),65,40)</f>
        <v>65</v>
      </c>
      <c r="Z19" s="19" t="str">
        <f t="shared" ca="1" si="5"/>
        <v>—</v>
      </c>
      <c r="AA19" s="20">
        <f t="shared" ca="1" si="6"/>
        <v>50</v>
      </c>
      <c r="AB19" s="21" t="str">
        <f t="shared" ca="1" si="7"/>
        <v>—</v>
      </c>
      <c r="AC19" s="13" t="str">
        <f t="shared" ca="1" si="8"/>
        <v>⬜  Pendiente de instrumento</v>
      </c>
      <c r="AD19" s="13" t="str">
        <f>IF(MATRIZ_174!U18="","",IF(MATRIZ_174!U18=0,"🚫  Inh. vigente OSCE",""))</f>
        <v/>
      </c>
      <c r="AE19" s="22">
        <f>IFERROR(MATRIZ_174!W18,0)</f>
        <v>0</v>
      </c>
      <c r="AF19" s="22">
        <f>IFERROR(MATRIZ_174!X18,0)</f>
        <v>0</v>
      </c>
      <c r="AG19" s="22">
        <f>IFERROR(MATRIZ_174!Y18,0)</f>
        <v>0</v>
      </c>
      <c r="AH19" s="22">
        <f>IFERROR(MATRIZ_174!Z18,0)</f>
        <v>0</v>
      </c>
      <c r="AI19" s="17">
        <f ca="1">IFERROR(MATRIZ_174!AP18,"N/A")</f>
        <v>0</v>
      </c>
      <c r="AJ19" s="17">
        <f>IFERROR(MATRIZ_174!AO18,"N/A")</f>
        <v>0</v>
      </c>
      <c r="AK19" s="23" t="str">
        <f t="shared" ca="1" si="9"/>
        <v>N/A</v>
      </c>
      <c r="AL19" s="24" t="str">
        <f t="shared" ca="1" si="10"/>
        <v>—</v>
      </c>
    </row>
    <row r="20" spans="1:38" ht="16.05" customHeight="1" x14ac:dyDescent="0.3">
      <c r="A20" s="13" t="s">
        <v>114</v>
      </c>
      <c r="B20" s="14" t="s">
        <v>115</v>
      </c>
      <c r="C20" s="13" t="s">
        <v>116</v>
      </c>
      <c r="D20" s="15">
        <v>4535378.4400000004</v>
      </c>
      <c r="E20" s="16" t="str">
        <f>IF(NORMALIZADO!CB19="","",NORMALIZADO!CB19)</f>
        <v/>
      </c>
      <c r="F20" s="17" t="str">
        <f ca="1">IF(NORMALIZADO!CC19="","",NORMALIZADO!CC19)</f>
        <v/>
      </c>
      <c r="G20" s="17">
        <f ca="1">IF(NORMALIZADO!CD19="",IFERROR(MATRIZ_174!U19*100,""),NORMALIZADO!CD19)</f>
        <v>100</v>
      </c>
      <c r="H20" s="16" t="str">
        <f>IF(NORMALIZADO!CE19="","",NORMALIZADO!CE19)</f>
        <v/>
      </c>
      <c r="I20" s="17" t="str">
        <f>IF(NORMALIZADO!CF19="","",NORMALIZADO!CF19)</f>
        <v/>
      </c>
      <c r="J20" s="17" t="str">
        <f ca="1">IF(NORMALIZADO!CG19="","",NORMALIZADO!CG19)</f>
        <v/>
      </c>
      <c r="K20" s="16" t="str">
        <f ca="1">IF(NORMALIZADO!CH19="","",NORMALIZADO!CH19)</f>
        <v/>
      </c>
      <c r="L20" s="16" t="str">
        <f>IF(NORMALIZADO!CI19="","",NORMALIZADO!CI19)</f>
        <v/>
      </c>
      <c r="M20" s="16" t="str">
        <f>IF(NORMALIZADO!CJ19="","",NORMALIZADO!CJ19)</f>
        <v/>
      </c>
      <c r="N20" s="16" t="str">
        <f>IF(NORMALIZADO!CK19="","",NORMALIZADO!CK19)</f>
        <v/>
      </c>
      <c r="O20" s="16" t="str">
        <f>IF(NORMALIZADO!CL19="","",NORMALIZADO!CL19)</f>
        <v/>
      </c>
      <c r="P20" s="17" t="str">
        <f t="shared" ca="1" si="0"/>
        <v/>
      </c>
      <c r="Q20" s="17">
        <f t="shared" ca="1" si="1"/>
        <v>0</v>
      </c>
      <c r="R20" s="17">
        <f t="shared" ca="1" si="2"/>
        <v>0</v>
      </c>
      <c r="S20" s="17">
        <f t="shared" ca="1" si="3"/>
        <v>0</v>
      </c>
      <c r="T20" s="17">
        <f ca="1">IFERROR((K20+M20+MATRIZ_174!O19)/3,0)</f>
        <v>0</v>
      </c>
      <c r="U20" s="18">
        <f>IFERROR(MIN(100,ROUND(MATRIZ_174!M19,1)),0)</f>
        <v>50</v>
      </c>
      <c r="V20" s="18">
        <f t="shared" ca="1" si="4"/>
        <v>50</v>
      </c>
      <c r="W20" s="18">
        <f>IFERROR(IF(MATRIZ_174!R19=0,65,IF(MATRIZ_174!R19/MATRIZ_174!Q19&gt;=2,35,IF(MATRIZ_174!R19/MATRIZ_174!Q19&gt;=0.5,50,65))),65)</f>
        <v>65</v>
      </c>
      <c r="X20" s="18">
        <f>IFERROR(MIN(100,IF(MATRIZ_174!O19=0,70,30)+IF(MATRIZ_174!U19="",0,0.3*(100-MATRIZ_174!U19*100))),70)</f>
        <v>70</v>
      </c>
      <c r="Y20" s="18">
        <f>IF(OR(MATRIZ_174!P19="ASOCIACION",MATRIZ_174!P19="PENDIENTE"),65,40)</f>
        <v>65</v>
      </c>
      <c r="Z20" s="19" t="str">
        <f t="shared" ca="1" si="5"/>
        <v>—</v>
      </c>
      <c r="AA20" s="20">
        <f t="shared" ca="1" si="6"/>
        <v>60</v>
      </c>
      <c r="AB20" s="21" t="str">
        <f t="shared" ca="1" si="7"/>
        <v>—</v>
      </c>
      <c r="AC20" s="13" t="str">
        <f t="shared" ca="1" si="8"/>
        <v>⬜  Pendiente de instrumento</v>
      </c>
      <c r="AD20" s="13" t="str">
        <f>IF(MATRIZ_174!U19="","",IF(MATRIZ_174!U19=0,"🚫  Inh. vigente OSCE",""))</f>
        <v/>
      </c>
      <c r="AE20" s="22">
        <f>IFERROR(MATRIZ_174!W19,0)</f>
        <v>1</v>
      </c>
      <c r="AF20" s="22">
        <f>IFERROR(MATRIZ_174!X19,0)</f>
        <v>0</v>
      </c>
      <c r="AG20" s="22">
        <f>IFERROR(MATRIZ_174!Y19,0)</f>
        <v>0</v>
      </c>
      <c r="AH20" s="22">
        <f>IFERROR(MATRIZ_174!Z19,0)</f>
        <v>0</v>
      </c>
      <c r="AI20" s="17">
        <f ca="1">IFERROR(MATRIZ_174!AP19,"N/A")</f>
        <v>0.125</v>
      </c>
      <c r="AJ20" s="17">
        <f>IFERROR(MATRIZ_174!AO19,"N/A")</f>
        <v>0</v>
      </c>
      <c r="AK20" s="23" t="str">
        <f t="shared" ca="1" si="9"/>
        <v>N/A</v>
      </c>
      <c r="AL20" s="24" t="str">
        <f t="shared" ca="1" si="10"/>
        <v>—</v>
      </c>
    </row>
    <row r="21" spans="1:38" ht="16.05" customHeight="1" x14ac:dyDescent="0.3">
      <c r="A21" s="13" t="s">
        <v>117</v>
      </c>
      <c r="B21" s="14" t="s">
        <v>118</v>
      </c>
      <c r="C21" s="13" t="s">
        <v>80</v>
      </c>
      <c r="D21" s="15">
        <v>0</v>
      </c>
      <c r="E21" s="16" t="str">
        <f>IF(NORMALIZADO!CB20="","",NORMALIZADO!CB20)</f>
        <v/>
      </c>
      <c r="F21" s="17" t="str">
        <f ca="1">IF(NORMALIZADO!CC20="","",NORMALIZADO!CC20)</f>
        <v/>
      </c>
      <c r="G21" s="17">
        <f ca="1">IF(NORMALIZADO!CD20="",IFERROR(MATRIZ_174!U20*100,""),NORMALIZADO!CD20)</f>
        <v>100</v>
      </c>
      <c r="H21" s="16" t="str">
        <f>IF(NORMALIZADO!CE20="","",NORMALIZADO!CE20)</f>
        <v/>
      </c>
      <c r="I21" s="17" t="str">
        <f>IF(NORMALIZADO!CF20="","",NORMALIZADO!CF20)</f>
        <v/>
      </c>
      <c r="J21" s="17" t="str">
        <f ca="1">IF(NORMALIZADO!CG20="","",NORMALIZADO!CG20)</f>
        <v/>
      </c>
      <c r="K21" s="16" t="str">
        <f ca="1">IF(NORMALIZADO!CH20="","",NORMALIZADO!CH20)</f>
        <v/>
      </c>
      <c r="L21" s="16" t="str">
        <f>IF(NORMALIZADO!CI20="","",NORMALIZADO!CI20)</f>
        <v/>
      </c>
      <c r="M21" s="16" t="str">
        <f>IF(NORMALIZADO!CJ20="","",NORMALIZADO!CJ20)</f>
        <v/>
      </c>
      <c r="N21" s="16" t="str">
        <f>IF(NORMALIZADO!CK20="","",NORMALIZADO!CK20)</f>
        <v/>
      </c>
      <c r="O21" s="16" t="str">
        <f>IF(NORMALIZADO!CL20="","",NORMALIZADO!CL20)</f>
        <v/>
      </c>
      <c r="P21" s="17" t="str">
        <f t="shared" ca="1" si="0"/>
        <v/>
      </c>
      <c r="Q21" s="17">
        <f t="shared" ca="1" si="1"/>
        <v>0</v>
      </c>
      <c r="R21" s="17">
        <f t="shared" ca="1" si="2"/>
        <v>0</v>
      </c>
      <c r="S21" s="17">
        <f t="shared" ca="1" si="3"/>
        <v>0</v>
      </c>
      <c r="T21" s="17">
        <f ca="1">IFERROR((K21+M21+MATRIZ_174!O20)/3,0)</f>
        <v>0</v>
      </c>
      <c r="U21" s="18">
        <f>IFERROR(MIN(100,ROUND(MATRIZ_174!M20,1)),0)</f>
        <v>0</v>
      </c>
      <c r="V21" s="18">
        <f t="shared" ca="1" si="4"/>
        <v>50</v>
      </c>
      <c r="W21" s="18">
        <f>IFERROR(IF(MATRIZ_174!R20=0,65,IF(MATRIZ_174!R20/MATRIZ_174!Q20&gt;=2,35,IF(MATRIZ_174!R20/MATRIZ_174!Q20&gt;=0.5,50,65))),65)</f>
        <v>50</v>
      </c>
      <c r="X21" s="18">
        <f>IFERROR(MIN(100,IF(MATRIZ_174!O20=0,70,30)+IF(MATRIZ_174!U20="",0,0.3*(100-MATRIZ_174!U20*100))),70)</f>
        <v>70</v>
      </c>
      <c r="Y21" s="18">
        <f>IF(OR(MATRIZ_174!P20="ASOCIACION",MATRIZ_174!P20="PENDIENTE"),65,40)</f>
        <v>65</v>
      </c>
      <c r="Z21" s="19" t="str">
        <f t="shared" ca="1" si="5"/>
        <v>—</v>
      </c>
      <c r="AA21" s="20">
        <f t="shared" ca="1" si="6"/>
        <v>47</v>
      </c>
      <c r="AB21" s="21" t="str">
        <f t="shared" ca="1" si="7"/>
        <v>—</v>
      </c>
      <c r="AC21" s="13" t="str">
        <f t="shared" ca="1" si="8"/>
        <v>⬜  Pendiente de instrumento</v>
      </c>
      <c r="AD21" s="13" t="str">
        <f>IF(MATRIZ_174!U20="","",IF(MATRIZ_174!U20=0,"🚫  Inh. vigente OSCE",""))</f>
        <v/>
      </c>
      <c r="AE21" s="22">
        <f>IFERROR(MATRIZ_174!W20,0)</f>
        <v>1</v>
      </c>
      <c r="AF21" s="22">
        <f>IFERROR(MATRIZ_174!X20,0)</f>
        <v>0</v>
      </c>
      <c r="AG21" s="22">
        <f>IFERROR(MATRIZ_174!Y20,0)</f>
        <v>0</v>
      </c>
      <c r="AH21" s="22">
        <f>IFERROR(MATRIZ_174!Z20,0)</f>
        <v>0</v>
      </c>
      <c r="AI21" s="17">
        <f ca="1">IFERROR(MATRIZ_174!AP20,"N/A")</f>
        <v>2.5000000000000001E-2</v>
      </c>
      <c r="AJ21" s="17">
        <f>IFERROR(MATRIZ_174!AO20,"N/A")</f>
        <v>0</v>
      </c>
      <c r="AK21" s="23" t="str">
        <f t="shared" ca="1" si="9"/>
        <v>N/A</v>
      </c>
      <c r="AL21" s="24" t="str">
        <f t="shared" ca="1" si="10"/>
        <v>—</v>
      </c>
    </row>
    <row r="22" spans="1:38" ht="16.05" customHeight="1" x14ac:dyDescent="0.3">
      <c r="A22" s="13" t="s">
        <v>119</v>
      </c>
      <c r="B22" s="14" t="s">
        <v>120</v>
      </c>
      <c r="C22" s="13" t="s">
        <v>113</v>
      </c>
      <c r="D22" s="15">
        <v>0</v>
      </c>
      <c r="E22" s="16" t="str">
        <f>IF(NORMALIZADO!CB21="","",NORMALIZADO!CB21)</f>
        <v/>
      </c>
      <c r="F22" s="17" t="str">
        <f ca="1">IF(NORMALIZADO!CC21="","",NORMALIZADO!CC21)</f>
        <v/>
      </c>
      <c r="G22" s="17">
        <f ca="1">IF(NORMALIZADO!CD21="",IFERROR(MATRIZ_174!U21*100,""),NORMALIZADO!CD21)</f>
        <v>100</v>
      </c>
      <c r="H22" s="16" t="str">
        <f>IF(NORMALIZADO!CE21="","",NORMALIZADO!CE21)</f>
        <v/>
      </c>
      <c r="I22" s="17" t="str">
        <f>IF(NORMALIZADO!CF21="","",NORMALIZADO!CF21)</f>
        <v/>
      </c>
      <c r="J22" s="17" t="str">
        <f ca="1">IF(NORMALIZADO!CG21="","",NORMALIZADO!CG21)</f>
        <v/>
      </c>
      <c r="K22" s="16" t="str">
        <f ca="1">IF(NORMALIZADO!CH21="","",NORMALIZADO!CH21)</f>
        <v/>
      </c>
      <c r="L22" s="16" t="str">
        <f>IF(NORMALIZADO!CI21="","",NORMALIZADO!CI21)</f>
        <v/>
      </c>
      <c r="M22" s="16" t="str">
        <f>IF(NORMALIZADO!CJ21="","",NORMALIZADO!CJ21)</f>
        <v/>
      </c>
      <c r="N22" s="16" t="str">
        <f>IF(NORMALIZADO!CK21="","",NORMALIZADO!CK21)</f>
        <v/>
      </c>
      <c r="O22" s="16" t="str">
        <f>IF(NORMALIZADO!CL21="","",NORMALIZADO!CL21)</f>
        <v/>
      </c>
      <c r="P22" s="17" t="str">
        <f t="shared" ca="1" si="0"/>
        <v/>
      </c>
      <c r="Q22" s="17">
        <f t="shared" ca="1" si="1"/>
        <v>0</v>
      </c>
      <c r="R22" s="17">
        <f t="shared" ca="1" si="2"/>
        <v>0</v>
      </c>
      <c r="S22" s="17">
        <f t="shared" ca="1" si="3"/>
        <v>0</v>
      </c>
      <c r="T22" s="17">
        <f ca="1">IFERROR((K22+M22+MATRIZ_174!O21)/3,0)</f>
        <v>0</v>
      </c>
      <c r="U22" s="18">
        <f>IFERROR(MIN(100,ROUND(MATRIZ_174!M21,1)),0)</f>
        <v>0</v>
      </c>
      <c r="V22" s="18">
        <f t="shared" ca="1" si="4"/>
        <v>50</v>
      </c>
      <c r="W22" s="18">
        <f>IFERROR(IF(MATRIZ_174!R21=0,65,IF(MATRIZ_174!R21/MATRIZ_174!Q21&gt;=2,35,IF(MATRIZ_174!R21/MATRIZ_174!Q21&gt;=0.5,50,65))),65)</f>
        <v>65</v>
      </c>
      <c r="X22" s="18">
        <f>IFERROR(MIN(100,IF(MATRIZ_174!O21=0,70,30)+IF(MATRIZ_174!U21="",0,0.3*(100-MATRIZ_174!U21*100))),70)</f>
        <v>70</v>
      </c>
      <c r="Y22" s="18">
        <f>IF(OR(MATRIZ_174!P21="ASOCIACION",MATRIZ_174!P21="PENDIENTE"),65,40)</f>
        <v>65</v>
      </c>
      <c r="Z22" s="19" t="str">
        <f t="shared" ca="1" si="5"/>
        <v>—</v>
      </c>
      <c r="AA22" s="20">
        <f t="shared" ca="1" si="6"/>
        <v>50</v>
      </c>
      <c r="AB22" s="21" t="str">
        <f t="shared" ca="1" si="7"/>
        <v>—</v>
      </c>
      <c r="AC22" s="13" t="str">
        <f t="shared" ca="1" si="8"/>
        <v>⬜  Pendiente de instrumento</v>
      </c>
      <c r="AD22" s="13" t="str">
        <f>IF(MATRIZ_174!U21="","",IF(MATRIZ_174!U21=0,"🚫  Inh. vigente OSCE",""))</f>
        <v/>
      </c>
      <c r="AE22" s="22">
        <f>IFERROR(MATRIZ_174!W21,0)</f>
        <v>0</v>
      </c>
      <c r="AF22" s="22">
        <f>IFERROR(MATRIZ_174!X21,0)</f>
        <v>0</v>
      </c>
      <c r="AG22" s="22">
        <f>IFERROR(MATRIZ_174!Y21,0)</f>
        <v>0</v>
      </c>
      <c r="AH22" s="22">
        <f>IFERROR(MATRIZ_174!Z21,0)</f>
        <v>0</v>
      </c>
      <c r="AI22" s="17">
        <f ca="1">IFERROR(MATRIZ_174!AP21,"N/A")</f>
        <v>0</v>
      </c>
      <c r="AJ22" s="17">
        <f>IFERROR(MATRIZ_174!AO21,"N/A")</f>
        <v>0</v>
      </c>
      <c r="AK22" s="23" t="str">
        <f t="shared" ca="1" si="9"/>
        <v>N/A</v>
      </c>
      <c r="AL22" s="24" t="str">
        <f t="shared" ca="1" si="10"/>
        <v>—</v>
      </c>
    </row>
    <row r="23" spans="1:38" ht="16.05" customHeight="1" x14ac:dyDescent="0.3">
      <c r="A23" s="13" t="s">
        <v>121</v>
      </c>
      <c r="B23" s="14" t="s">
        <v>122</v>
      </c>
      <c r="C23" s="13" t="s">
        <v>123</v>
      </c>
      <c r="D23" s="15">
        <v>0</v>
      </c>
      <c r="E23" s="16" t="str">
        <f>IF(NORMALIZADO!CB22="","",NORMALIZADO!CB22)</f>
        <v/>
      </c>
      <c r="F23" s="17" t="str">
        <f ca="1">IF(NORMALIZADO!CC22="","",NORMALIZADO!CC22)</f>
        <v/>
      </c>
      <c r="G23" s="17">
        <f ca="1">IF(NORMALIZADO!CD22="",IFERROR(MATRIZ_174!U22*100,""),NORMALIZADO!CD22)</f>
        <v>100</v>
      </c>
      <c r="H23" s="16" t="str">
        <f>IF(NORMALIZADO!CE22="","",NORMALIZADO!CE22)</f>
        <v/>
      </c>
      <c r="I23" s="17" t="str">
        <f>IF(NORMALIZADO!CF22="","",NORMALIZADO!CF22)</f>
        <v/>
      </c>
      <c r="J23" s="17" t="str">
        <f ca="1">IF(NORMALIZADO!CG22="","",NORMALIZADO!CG22)</f>
        <v/>
      </c>
      <c r="K23" s="16" t="str">
        <f ca="1">IF(NORMALIZADO!CH22="","",NORMALIZADO!CH22)</f>
        <v/>
      </c>
      <c r="L23" s="16" t="str">
        <f>IF(NORMALIZADO!CI22="","",NORMALIZADO!CI22)</f>
        <v/>
      </c>
      <c r="M23" s="16" t="str">
        <f>IF(NORMALIZADO!CJ22="","",NORMALIZADO!CJ22)</f>
        <v/>
      </c>
      <c r="N23" s="16" t="str">
        <f>IF(NORMALIZADO!CK22="","",NORMALIZADO!CK22)</f>
        <v/>
      </c>
      <c r="O23" s="16" t="str">
        <f>IF(NORMALIZADO!CL22="","",NORMALIZADO!CL22)</f>
        <v/>
      </c>
      <c r="P23" s="17" t="str">
        <f t="shared" ca="1" si="0"/>
        <v/>
      </c>
      <c r="Q23" s="17">
        <f t="shared" ca="1" si="1"/>
        <v>0</v>
      </c>
      <c r="R23" s="17">
        <f t="shared" ca="1" si="2"/>
        <v>0</v>
      </c>
      <c r="S23" s="17">
        <f t="shared" ca="1" si="3"/>
        <v>0</v>
      </c>
      <c r="T23" s="17">
        <f ca="1">IFERROR((K23+M23+MATRIZ_174!O22)/3,0)</f>
        <v>0</v>
      </c>
      <c r="U23" s="18">
        <f>IFERROR(MIN(100,ROUND(MATRIZ_174!M22,1)),0)</f>
        <v>0</v>
      </c>
      <c r="V23" s="18">
        <f t="shared" ca="1" si="4"/>
        <v>50</v>
      </c>
      <c r="W23" s="18">
        <f>IFERROR(IF(MATRIZ_174!R22=0,65,IF(MATRIZ_174!R22/MATRIZ_174!Q22&gt;=2,35,IF(MATRIZ_174!R22/MATRIZ_174!Q22&gt;=0.5,50,65))),65)</f>
        <v>65</v>
      </c>
      <c r="X23" s="18">
        <f>IFERROR(MIN(100,IF(MATRIZ_174!O22=0,70,30)+IF(MATRIZ_174!U22="",0,0.3*(100-MATRIZ_174!U22*100))),70)</f>
        <v>70</v>
      </c>
      <c r="Y23" s="18">
        <f>IF(OR(MATRIZ_174!P22="ASOCIACION",MATRIZ_174!P22="PENDIENTE"),65,40)</f>
        <v>65</v>
      </c>
      <c r="Z23" s="19" t="str">
        <f t="shared" ca="1" si="5"/>
        <v>—</v>
      </c>
      <c r="AA23" s="20">
        <f t="shared" ca="1" si="6"/>
        <v>50</v>
      </c>
      <c r="AB23" s="21" t="str">
        <f t="shared" ca="1" si="7"/>
        <v>—</v>
      </c>
      <c r="AC23" s="13" t="str">
        <f t="shared" ca="1" si="8"/>
        <v>⬜  Pendiente de instrumento</v>
      </c>
      <c r="AD23" s="13" t="str">
        <f>IF(MATRIZ_174!U22="","",IF(MATRIZ_174!U22=0,"🚫  Inh. vigente OSCE",""))</f>
        <v/>
      </c>
      <c r="AE23" s="22">
        <f>IFERROR(MATRIZ_174!W22,0)</f>
        <v>0</v>
      </c>
      <c r="AF23" s="22">
        <f>IFERROR(MATRIZ_174!X22,0)</f>
        <v>0</v>
      </c>
      <c r="AG23" s="22">
        <f>IFERROR(MATRIZ_174!Y22,0)</f>
        <v>0</v>
      </c>
      <c r="AH23" s="22">
        <f>IFERROR(MATRIZ_174!Z22,0)</f>
        <v>0</v>
      </c>
      <c r="AI23" s="17">
        <f ca="1">IFERROR(MATRIZ_174!AP22,"N/A")</f>
        <v>0</v>
      </c>
      <c r="AJ23" s="17">
        <f>IFERROR(MATRIZ_174!AO22,"N/A")</f>
        <v>0</v>
      </c>
      <c r="AK23" s="23" t="str">
        <f t="shared" ca="1" si="9"/>
        <v>N/A</v>
      </c>
      <c r="AL23" s="24" t="str">
        <f t="shared" ca="1" si="10"/>
        <v>—</v>
      </c>
    </row>
    <row r="24" spans="1:38" ht="16.05" customHeight="1" x14ac:dyDescent="0.3">
      <c r="A24" s="13" t="s">
        <v>124</v>
      </c>
      <c r="B24" s="14" t="s">
        <v>125</v>
      </c>
      <c r="C24" s="13" t="s">
        <v>113</v>
      </c>
      <c r="D24" s="15">
        <v>0</v>
      </c>
      <c r="E24" s="16" t="str">
        <f>IF(NORMALIZADO!CB23="","",NORMALIZADO!CB23)</f>
        <v/>
      </c>
      <c r="F24" s="17" t="str">
        <f ca="1">IF(NORMALIZADO!CC23="","",NORMALIZADO!CC23)</f>
        <v/>
      </c>
      <c r="G24" s="17">
        <f ca="1">IF(NORMALIZADO!CD23="",IFERROR(MATRIZ_174!U23*100,""),NORMALIZADO!CD23)</f>
        <v>100</v>
      </c>
      <c r="H24" s="16" t="str">
        <f>IF(NORMALIZADO!CE23="","",NORMALIZADO!CE23)</f>
        <v/>
      </c>
      <c r="I24" s="17" t="str">
        <f>IF(NORMALIZADO!CF23="","",NORMALIZADO!CF23)</f>
        <v/>
      </c>
      <c r="J24" s="17" t="str">
        <f ca="1">IF(NORMALIZADO!CG23="","",NORMALIZADO!CG23)</f>
        <v/>
      </c>
      <c r="K24" s="16" t="str">
        <f ca="1">IF(NORMALIZADO!CH23="","",NORMALIZADO!CH23)</f>
        <v/>
      </c>
      <c r="L24" s="16" t="str">
        <f>IF(NORMALIZADO!CI23="","",NORMALIZADO!CI23)</f>
        <v/>
      </c>
      <c r="M24" s="16" t="str">
        <f>IF(NORMALIZADO!CJ23="","",NORMALIZADO!CJ23)</f>
        <v/>
      </c>
      <c r="N24" s="16" t="str">
        <f>IF(NORMALIZADO!CK23="","",NORMALIZADO!CK23)</f>
        <v/>
      </c>
      <c r="O24" s="16" t="str">
        <f>IF(NORMALIZADO!CL23="","",NORMALIZADO!CL23)</f>
        <v/>
      </c>
      <c r="P24" s="17" t="str">
        <f t="shared" ca="1" si="0"/>
        <v/>
      </c>
      <c r="Q24" s="17">
        <f t="shared" ca="1" si="1"/>
        <v>0</v>
      </c>
      <c r="R24" s="17">
        <f t="shared" ca="1" si="2"/>
        <v>0</v>
      </c>
      <c r="S24" s="17">
        <f t="shared" ca="1" si="3"/>
        <v>0</v>
      </c>
      <c r="T24" s="17">
        <f ca="1">IFERROR((K24+M24+MATRIZ_174!O23)/3,0)</f>
        <v>0</v>
      </c>
      <c r="U24" s="18">
        <f>IFERROR(MIN(100,ROUND(MATRIZ_174!M23,1)),0)</f>
        <v>0</v>
      </c>
      <c r="V24" s="18">
        <f t="shared" ca="1" si="4"/>
        <v>50</v>
      </c>
      <c r="W24" s="18">
        <f>IFERROR(IF(MATRIZ_174!R23=0,65,IF(MATRIZ_174!R23/MATRIZ_174!Q23&gt;=2,35,IF(MATRIZ_174!R23/MATRIZ_174!Q23&gt;=0.5,50,65))),65)</f>
        <v>65</v>
      </c>
      <c r="X24" s="18">
        <f>IFERROR(MIN(100,IF(MATRIZ_174!O23=0,70,30)+IF(MATRIZ_174!U23="",0,0.3*(100-MATRIZ_174!U23*100))),70)</f>
        <v>70</v>
      </c>
      <c r="Y24" s="18">
        <f>IF(OR(MATRIZ_174!P23="ASOCIACION",MATRIZ_174!P23="PENDIENTE"),65,40)</f>
        <v>65</v>
      </c>
      <c r="Z24" s="19" t="str">
        <f t="shared" ca="1" si="5"/>
        <v>—</v>
      </c>
      <c r="AA24" s="20">
        <f t="shared" ca="1" si="6"/>
        <v>50</v>
      </c>
      <c r="AB24" s="21" t="str">
        <f t="shared" ca="1" si="7"/>
        <v>—</v>
      </c>
      <c r="AC24" s="13" t="str">
        <f t="shared" ca="1" si="8"/>
        <v>⬜  Pendiente de instrumento</v>
      </c>
      <c r="AD24" s="13" t="str">
        <f>IF(MATRIZ_174!U23="","",IF(MATRIZ_174!U23=0,"🚫  Inh. vigente OSCE",""))</f>
        <v/>
      </c>
      <c r="AE24" s="22">
        <f>IFERROR(MATRIZ_174!W23,0)</f>
        <v>0</v>
      </c>
      <c r="AF24" s="22">
        <f>IFERROR(MATRIZ_174!X23,0)</f>
        <v>0</v>
      </c>
      <c r="AG24" s="22">
        <f>IFERROR(MATRIZ_174!Y23,0)</f>
        <v>0</v>
      </c>
      <c r="AH24" s="22">
        <f>IFERROR(MATRIZ_174!Z23,0)</f>
        <v>0</v>
      </c>
      <c r="AI24" s="17">
        <f ca="1">IFERROR(MATRIZ_174!AP23,"N/A")</f>
        <v>0</v>
      </c>
      <c r="AJ24" s="17">
        <f>IFERROR(MATRIZ_174!AO23,"N/A")</f>
        <v>0</v>
      </c>
      <c r="AK24" s="23" t="str">
        <f t="shared" ca="1" si="9"/>
        <v>N/A</v>
      </c>
      <c r="AL24" s="24" t="str">
        <f t="shared" ca="1" si="10"/>
        <v>—</v>
      </c>
    </row>
    <row r="25" spans="1:38" ht="16.05" customHeight="1" x14ac:dyDescent="0.3">
      <c r="A25" s="13" t="s">
        <v>126</v>
      </c>
      <c r="B25" s="14" t="s">
        <v>127</v>
      </c>
      <c r="C25" s="13" t="s">
        <v>113</v>
      </c>
      <c r="D25" s="15">
        <v>0</v>
      </c>
      <c r="E25" s="16" t="str">
        <f>IF(NORMALIZADO!CB24="","",NORMALIZADO!CB24)</f>
        <v/>
      </c>
      <c r="F25" s="17" t="str">
        <f ca="1">IF(NORMALIZADO!CC24="","",NORMALIZADO!CC24)</f>
        <v/>
      </c>
      <c r="G25" s="17">
        <f ca="1">IF(NORMALIZADO!CD24="",IFERROR(MATRIZ_174!U24*100,""),NORMALIZADO!CD24)</f>
        <v>100</v>
      </c>
      <c r="H25" s="16" t="str">
        <f>IF(NORMALIZADO!CE24="","",NORMALIZADO!CE24)</f>
        <v/>
      </c>
      <c r="I25" s="17" t="str">
        <f>IF(NORMALIZADO!CF24="","",NORMALIZADO!CF24)</f>
        <v/>
      </c>
      <c r="J25" s="17" t="str">
        <f ca="1">IF(NORMALIZADO!CG24="","",NORMALIZADO!CG24)</f>
        <v/>
      </c>
      <c r="K25" s="16" t="str">
        <f ca="1">IF(NORMALIZADO!CH24="","",NORMALIZADO!CH24)</f>
        <v/>
      </c>
      <c r="L25" s="16" t="str">
        <f>IF(NORMALIZADO!CI24="","",NORMALIZADO!CI24)</f>
        <v/>
      </c>
      <c r="M25" s="16" t="str">
        <f>IF(NORMALIZADO!CJ24="","",NORMALIZADO!CJ24)</f>
        <v/>
      </c>
      <c r="N25" s="16" t="str">
        <f>IF(NORMALIZADO!CK24="","",NORMALIZADO!CK24)</f>
        <v/>
      </c>
      <c r="O25" s="16" t="str">
        <f>IF(NORMALIZADO!CL24="","",NORMALIZADO!CL24)</f>
        <v/>
      </c>
      <c r="P25" s="17" t="str">
        <f t="shared" ca="1" si="0"/>
        <v/>
      </c>
      <c r="Q25" s="17">
        <f t="shared" ca="1" si="1"/>
        <v>0</v>
      </c>
      <c r="R25" s="17">
        <f t="shared" ca="1" si="2"/>
        <v>0</v>
      </c>
      <c r="S25" s="17">
        <f t="shared" ca="1" si="3"/>
        <v>0</v>
      </c>
      <c r="T25" s="17">
        <f ca="1">IFERROR((K25+M25+MATRIZ_174!O24)/3,0)</f>
        <v>0</v>
      </c>
      <c r="U25" s="18">
        <f>IFERROR(MIN(100,ROUND(MATRIZ_174!M24,1)),0)</f>
        <v>0</v>
      </c>
      <c r="V25" s="18">
        <f t="shared" ca="1" si="4"/>
        <v>50</v>
      </c>
      <c r="W25" s="18">
        <f>IFERROR(IF(MATRIZ_174!R24=0,65,IF(MATRIZ_174!R24/MATRIZ_174!Q24&gt;=2,35,IF(MATRIZ_174!R24/MATRIZ_174!Q24&gt;=0.5,50,65))),65)</f>
        <v>65</v>
      </c>
      <c r="X25" s="18">
        <f>IFERROR(MIN(100,IF(MATRIZ_174!O24=0,70,30)+IF(MATRIZ_174!U24="",0,0.3*(100-MATRIZ_174!U24*100))),70)</f>
        <v>70</v>
      </c>
      <c r="Y25" s="18">
        <f>IF(OR(MATRIZ_174!P24="ASOCIACION",MATRIZ_174!P24="PENDIENTE"),65,40)</f>
        <v>65</v>
      </c>
      <c r="Z25" s="19" t="str">
        <f t="shared" ca="1" si="5"/>
        <v>—</v>
      </c>
      <c r="AA25" s="20">
        <f t="shared" ca="1" si="6"/>
        <v>50</v>
      </c>
      <c r="AB25" s="21" t="str">
        <f t="shared" ca="1" si="7"/>
        <v>—</v>
      </c>
      <c r="AC25" s="13" t="str">
        <f t="shared" ca="1" si="8"/>
        <v>⬜  Pendiente de instrumento</v>
      </c>
      <c r="AD25" s="13" t="str">
        <f>IF(MATRIZ_174!U24="","",IF(MATRIZ_174!U24=0,"🚫  Inh. vigente OSCE",""))</f>
        <v/>
      </c>
      <c r="AE25" s="22">
        <f>IFERROR(MATRIZ_174!W24,0)</f>
        <v>0</v>
      </c>
      <c r="AF25" s="22">
        <f>IFERROR(MATRIZ_174!X24,0)</f>
        <v>0</v>
      </c>
      <c r="AG25" s="22">
        <f>IFERROR(MATRIZ_174!Y24,0)</f>
        <v>0</v>
      </c>
      <c r="AH25" s="22">
        <f>IFERROR(MATRIZ_174!Z24,0)</f>
        <v>0</v>
      </c>
      <c r="AI25" s="17">
        <f ca="1">IFERROR(MATRIZ_174!AP24,"N/A")</f>
        <v>0</v>
      </c>
      <c r="AJ25" s="17">
        <f>IFERROR(MATRIZ_174!AO24,"N/A")</f>
        <v>0</v>
      </c>
      <c r="AK25" s="23" t="str">
        <f t="shared" ca="1" si="9"/>
        <v>N/A</v>
      </c>
      <c r="AL25" s="24" t="str">
        <f t="shared" ca="1" si="10"/>
        <v>—</v>
      </c>
    </row>
    <row r="26" spans="1:38" ht="16.05" customHeight="1" x14ac:dyDescent="0.3">
      <c r="A26" s="13" t="s">
        <v>129</v>
      </c>
      <c r="B26" s="14" t="s">
        <v>130</v>
      </c>
      <c r="C26" s="13" t="s">
        <v>113</v>
      </c>
      <c r="D26" s="15">
        <v>0</v>
      </c>
      <c r="E26" s="16" t="str">
        <f>IF(NORMALIZADO!CB25="","",NORMALIZADO!CB25)</f>
        <v/>
      </c>
      <c r="F26" s="17" t="str">
        <f ca="1">IF(NORMALIZADO!CC25="","",NORMALIZADO!CC25)</f>
        <v/>
      </c>
      <c r="G26" s="17">
        <f ca="1">IF(NORMALIZADO!CD25="",IFERROR(MATRIZ_174!U25*100,""),NORMALIZADO!CD25)</f>
        <v>100</v>
      </c>
      <c r="H26" s="16" t="str">
        <f>IF(NORMALIZADO!CE25="","",NORMALIZADO!CE25)</f>
        <v/>
      </c>
      <c r="I26" s="17" t="str">
        <f>IF(NORMALIZADO!CF25="","",NORMALIZADO!CF25)</f>
        <v/>
      </c>
      <c r="J26" s="17" t="str">
        <f ca="1">IF(NORMALIZADO!CG25="","",NORMALIZADO!CG25)</f>
        <v/>
      </c>
      <c r="K26" s="16" t="str">
        <f ca="1">IF(NORMALIZADO!CH25="","",NORMALIZADO!CH25)</f>
        <v/>
      </c>
      <c r="L26" s="16" t="str">
        <f>IF(NORMALIZADO!CI25="","",NORMALIZADO!CI25)</f>
        <v/>
      </c>
      <c r="M26" s="16" t="str">
        <f>IF(NORMALIZADO!CJ25="","",NORMALIZADO!CJ25)</f>
        <v/>
      </c>
      <c r="N26" s="16" t="str">
        <f>IF(NORMALIZADO!CK25="","",NORMALIZADO!CK25)</f>
        <v/>
      </c>
      <c r="O26" s="16" t="str">
        <f>IF(NORMALIZADO!CL25="","",NORMALIZADO!CL25)</f>
        <v/>
      </c>
      <c r="P26" s="17" t="str">
        <f t="shared" ca="1" si="0"/>
        <v/>
      </c>
      <c r="Q26" s="17">
        <f t="shared" ca="1" si="1"/>
        <v>0</v>
      </c>
      <c r="R26" s="17">
        <f t="shared" ca="1" si="2"/>
        <v>0</v>
      </c>
      <c r="S26" s="17">
        <f t="shared" ca="1" si="3"/>
        <v>0</v>
      </c>
      <c r="T26" s="17">
        <f ca="1">IFERROR((K26+M26+MATRIZ_174!O25)/3,0)</f>
        <v>0</v>
      </c>
      <c r="U26" s="18">
        <f>IFERROR(MIN(100,ROUND(MATRIZ_174!M25,1)),0)</f>
        <v>0</v>
      </c>
      <c r="V26" s="18">
        <f t="shared" ca="1" si="4"/>
        <v>50</v>
      </c>
      <c r="W26" s="18">
        <f>IFERROR(IF(MATRIZ_174!R25=0,65,IF(MATRIZ_174!R25/MATRIZ_174!Q25&gt;=2,35,IF(MATRIZ_174!R25/MATRIZ_174!Q25&gt;=0.5,50,65))),65)</f>
        <v>65</v>
      </c>
      <c r="X26" s="18">
        <f>IFERROR(MIN(100,IF(MATRIZ_174!O25=0,70,30)+IF(MATRIZ_174!U25="",0,0.3*(100-MATRIZ_174!U25*100))),70)</f>
        <v>70</v>
      </c>
      <c r="Y26" s="18">
        <f>IF(OR(MATRIZ_174!P25="ASOCIACION",MATRIZ_174!P25="PENDIENTE"),65,40)</f>
        <v>65</v>
      </c>
      <c r="Z26" s="19" t="str">
        <f t="shared" ca="1" si="5"/>
        <v>—</v>
      </c>
      <c r="AA26" s="20">
        <f t="shared" ca="1" si="6"/>
        <v>50</v>
      </c>
      <c r="AB26" s="21" t="str">
        <f t="shared" ca="1" si="7"/>
        <v>—</v>
      </c>
      <c r="AC26" s="13" t="str">
        <f t="shared" ca="1" si="8"/>
        <v>⬜  Pendiente de instrumento</v>
      </c>
      <c r="AD26" s="13" t="str">
        <f>IF(MATRIZ_174!U25="","",IF(MATRIZ_174!U25=0,"🚫  Inh. vigente OSCE",""))</f>
        <v/>
      </c>
      <c r="AE26" s="22">
        <f>IFERROR(MATRIZ_174!W25,0)</f>
        <v>0</v>
      </c>
      <c r="AF26" s="22">
        <f>IFERROR(MATRIZ_174!X25,0)</f>
        <v>0</v>
      </c>
      <c r="AG26" s="22">
        <f>IFERROR(MATRIZ_174!Y25,0)</f>
        <v>0</v>
      </c>
      <c r="AH26" s="22">
        <f>IFERROR(MATRIZ_174!Z25,0)</f>
        <v>0</v>
      </c>
      <c r="AI26" s="17">
        <f ca="1">IFERROR(MATRIZ_174!AP25,"N/A")</f>
        <v>0</v>
      </c>
      <c r="AJ26" s="17">
        <f>IFERROR(MATRIZ_174!AO25,"N/A")</f>
        <v>0</v>
      </c>
      <c r="AK26" s="23" t="str">
        <f t="shared" ca="1" si="9"/>
        <v>N/A</v>
      </c>
      <c r="AL26" s="24" t="str">
        <f t="shared" ca="1" si="10"/>
        <v>—</v>
      </c>
    </row>
    <row r="27" spans="1:38" ht="16.05" customHeight="1" x14ac:dyDescent="0.3">
      <c r="A27" s="13" t="s">
        <v>131</v>
      </c>
      <c r="B27" s="14" t="s">
        <v>132</v>
      </c>
      <c r="C27" s="13" t="s">
        <v>113</v>
      </c>
      <c r="D27" s="15">
        <v>0</v>
      </c>
      <c r="E27" s="16" t="str">
        <f>IF(NORMALIZADO!CB26="","",NORMALIZADO!CB26)</f>
        <v/>
      </c>
      <c r="F27" s="17" t="str">
        <f ca="1">IF(NORMALIZADO!CC26="","",NORMALIZADO!CC26)</f>
        <v/>
      </c>
      <c r="G27" s="17">
        <f ca="1">IF(NORMALIZADO!CD26="",IFERROR(MATRIZ_174!U26*100,""),NORMALIZADO!CD26)</f>
        <v>100</v>
      </c>
      <c r="H27" s="16" t="str">
        <f>IF(NORMALIZADO!CE26="","",NORMALIZADO!CE26)</f>
        <v/>
      </c>
      <c r="I27" s="17" t="str">
        <f>IF(NORMALIZADO!CF26="","",NORMALIZADO!CF26)</f>
        <v/>
      </c>
      <c r="J27" s="17" t="str">
        <f ca="1">IF(NORMALIZADO!CG26="","",NORMALIZADO!CG26)</f>
        <v/>
      </c>
      <c r="K27" s="16" t="str">
        <f ca="1">IF(NORMALIZADO!CH26="","",NORMALIZADO!CH26)</f>
        <v/>
      </c>
      <c r="L27" s="16" t="str">
        <f>IF(NORMALIZADO!CI26="","",NORMALIZADO!CI26)</f>
        <v/>
      </c>
      <c r="M27" s="16" t="str">
        <f>IF(NORMALIZADO!CJ26="","",NORMALIZADO!CJ26)</f>
        <v/>
      </c>
      <c r="N27" s="16" t="str">
        <f>IF(NORMALIZADO!CK26="","",NORMALIZADO!CK26)</f>
        <v/>
      </c>
      <c r="O27" s="16" t="str">
        <f>IF(NORMALIZADO!CL26="","",NORMALIZADO!CL26)</f>
        <v/>
      </c>
      <c r="P27" s="17" t="str">
        <f t="shared" ca="1" si="0"/>
        <v/>
      </c>
      <c r="Q27" s="17">
        <f t="shared" ca="1" si="1"/>
        <v>0</v>
      </c>
      <c r="R27" s="17">
        <f t="shared" ca="1" si="2"/>
        <v>0</v>
      </c>
      <c r="S27" s="17">
        <f t="shared" ca="1" si="3"/>
        <v>0</v>
      </c>
      <c r="T27" s="17">
        <f ca="1">IFERROR((K27+M27+MATRIZ_174!O26)/3,0)</f>
        <v>0</v>
      </c>
      <c r="U27" s="18">
        <f>IFERROR(MIN(100,ROUND(MATRIZ_174!M26,1)),0)</f>
        <v>0</v>
      </c>
      <c r="V27" s="18">
        <f t="shared" ca="1" si="4"/>
        <v>50</v>
      </c>
      <c r="W27" s="18">
        <f>IFERROR(IF(MATRIZ_174!R26=0,65,IF(MATRIZ_174!R26/MATRIZ_174!Q26&gt;=2,35,IF(MATRIZ_174!R26/MATRIZ_174!Q26&gt;=0.5,50,65))),65)</f>
        <v>65</v>
      </c>
      <c r="X27" s="18">
        <f>IFERROR(MIN(100,IF(MATRIZ_174!O26=0,70,30)+IF(MATRIZ_174!U26="",0,0.3*(100-MATRIZ_174!U26*100))),70)</f>
        <v>70</v>
      </c>
      <c r="Y27" s="18">
        <f>IF(OR(MATRIZ_174!P26="ASOCIACION",MATRIZ_174!P26="PENDIENTE"),65,40)</f>
        <v>65</v>
      </c>
      <c r="Z27" s="19" t="str">
        <f t="shared" ca="1" si="5"/>
        <v>—</v>
      </c>
      <c r="AA27" s="20">
        <f t="shared" ca="1" si="6"/>
        <v>50</v>
      </c>
      <c r="AB27" s="21" t="str">
        <f t="shared" ca="1" si="7"/>
        <v>—</v>
      </c>
      <c r="AC27" s="13" t="str">
        <f t="shared" ca="1" si="8"/>
        <v>⬜  Pendiente de instrumento</v>
      </c>
      <c r="AD27" s="13" t="str">
        <f>IF(MATRIZ_174!U26="","",IF(MATRIZ_174!U26=0,"🚫  Inh. vigente OSCE",""))</f>
        <v/>
      </c>
      <c r="AE27" s="22">
        <f>IFERROR(MATRIZ_174!W26,0)</f>
        <v>0</v>
      </c>
      <c r="AF27" s="22">
        <f>IFERROR(MATRIZ_174!X26,0)</f>
        <v>0</v>
      </c>
      <c r="AG27" s="22">
        <f>IFERROR(MATRIZ_174!Y26,0)</f>
        <v>0</v>
      </c>
      <c r="AH27" s="22">
        <f>IFERROR(MATRIZ_174!Z26,0)</f>
        <v>0</v>
      </c>
      <c r="AI27" s="17">
        <f ca="1">IFERROR(MATRIZ_174!AP26,"N/A")</f>
        <v>0</v>
      </c>
      <c r="AJ27" s="17">
        <f>IFERROR(MATRIZ_174!AO26,"N/A")</f>
        <v>0</v>
      </c>
      <c r="AK27" s="23" t="str">
        <f t="shared" ca="1" si="9"/>
        <v>N/A</v>
      </c>
      <c r="AL27" s="24" t="str">
        <f t="shared" ca="1" si="10"/>
        <v>—</v>
      </c>
    </row>
    <row r="28" spans="1:38" ht="16.05" customHeight="1" x14ac:dyDescent="0.3">
      <c r="A28" s="13" t="s">
        <v>133</v>
      </c>
      <c r="B28" s="14" t="s">
        <v>134</v>
      </c>
      <c r="C28" s="13" t="s">
        <v>113</v>
      </c>
      <c r="D28" s="15">
        <v>0</v>
      </c>
      <c r="E28" s="16" t="str">
        <f>IF(NORMALIZADO!CB27="","",NORMALIZADO!CB27)</f>
        <v/>
      </c>
      <c r="F28" s="17" t="str">
        <f ca="1">IF(NORMALIZADO!CC27="","",NORMALIZADO!CC27)</f>
        <v/>
      </c>
      <c r="G28" s="17">
        <f ca="1">IF(NORMALIZADO!CD27="",IFERROR(MATRIZ_174!U27*100,""),NORMALIZADO!CD27)</f>
        <v>100</v>
      </c>
      <c r="H28" s="16" t="str">
        <f>IF(NORMALIZADO!CE27="","",NORMALIZADO!CE27)</f>
        <v/>
      </c>
      <c r="I28" s="17" t="str">
        <f>IF(NORMALIZADO!CF27="","",NORMALIZADO!CF27)</f>
        <v/>
      </c>
      <c r="J28" s="17" t="str">
        <f ca="1">IF(NORMALIZADO!CG27="","",NORMALIZADO!CG27)</f>
        <v/>
      </c>
      <c r="K28" s="16" t="str">
        <f ca="1">IF(NORMALIZADO!CH27="","",NORMALIZADO!CH27)</f>
        <v/>
      </c>
      <c r="L28" s="16" t="str">
        <f>IF(NORMALIZADO!CI27="","",NORMALIZADO!CI27)</f>
        <v/>
      </c>
      <c r="M28" s="16" t="str">
        <f>IF(NORMALIZADO!CJ27="","",NORMALIZADO!CJ27)</f>
        <v/>
      </c>
      <c r="N28" s="16" t="str">
        <f>IF(NORMALIZADO!CK27="","",NORMALIZADO!CK27)</f>
        <v/>
      </c>
      <c r="O28" s="16" t="str">
        <f>IF(NORMALIZADO!CL27="","",NORMALIZADO!CL27)</f>
        <v/>
      </c>
      <c r="P28" s="17" t="str">
        <f t="shared" ca="1" si="0"/>
        <v/>
      </c>
      <c r="Q28" s="17">
        <f t="shared" ca="1" si="1"/>
        <v>0</v>
      </c>
      <c r="R28" s="17">
        <f t="shared" ca="1" si="2"/>
        <v>0</v>
      </c>
      <c r="S28" s="17">
        <f t="shared" ca="1" si="3"/>
        <v>0</v>
      </c>
      <c r="T28" s="17">
        <f ca="1">IFERROR((K28+M28+MATRIZ_174!O27)/3,0)</f>
        <v>0</v>
      </c>
      <c r="U28" s="18">
        <f>IFERROR(MIN(100,ROUND(MATRIZ_174!M27,1)),0)</f>
        <v>0</v>
      </c>
      <c r="V28" s="18">
        <f t="shared" ca="1" si="4"/>
        <v>50</v>
      </c>
      <c r="W28" s="18">
        <f>IFERROR(IF(MATRIZ_174!R27=0,65,IF(MATRIZ_174!R27/MATRIZ_174!Q27&gt;=2,35,IF(MATRIZ_174!R27/MATRIZ_174!Q27&gt;=0.5,50,65))),65)</f>
        <v>65</v>
      </c>
      <c r="X28" s="18">
        <f>IFERROR(MIN(100,IF(MATRIZ_174!O27=0,70,30)+IF(MATRIZ_174!U27="",0,0.3*(100-MATRIZ_174!U27*100))),70)</f>
        <v>70</v>
      </c>
      <c r="Y28" s="18">
        <f>IF(OR(MATRIZ_174!P27="ASOCIACION",MATRIZ_174!P27="PENDIENTE"),65,40)</f>
        <v>65</v>
      </c>
      <c r="Z28" s="19" t="str">
        <f t="shared" ca="1" si="5"/>
        <v>—</v>
      </c>
      <c r="AA28" s="20">
        <f t="shared" ca="1" si="6"/>
        <v>50</v>
      </c>
      <c r="AB28" s="21" t="str">
        <f t="shared" ca="1" si="7"/>
        <v>—</v>
      </c>
      <c r="AC28" s="13" t="str">
        <f t="shared" ca="1" si="8"/>
        <v>⬜  Pendiente de instrumento</v>
      </c>
      <c r="AD28" s="13" t="str">
        <f>IF(MATRIZ_174!U27="","",IF(MATRIZ_174!U27=0,"🚫  Inh. vigente OSCE",""))</f>
        <v/>
      </c>
      <c r="AE28" s="22">
        <f>IFERROR(MATRIZ_174!W27,0)</f>
        <v>0</v>
      </c>
      <c r="AF28" s="22">
        <f>IFERROR(MATRIZ_174!X27,0)</f>
        <v>0</v>
      </c>
      <c r="AG28" s="22">
        <f>IFERROR(MATRIZ_174!Y27,0)</f>
        <v>0</v>
      </c>
      <c r="AH28" s="22">
        <f>IFERROR(MATRIZ_174!Z27,0)</f>
        <v>0</v>
      </c>
      <c r="AI28" s="17">
        <f ca="1">IFERROR(MATRIZ_174!AP27,"N/A")</f>
        <v>0</v>
      </c>
      <c r="AJ28" s="17">
        <f>IFERROR(MATRIZ_174!AO27,"N/A")</f>
        <v>0</v>
      </c>
      <c r="AK28" s="23" t="str">
        <f t="shared" ca="1" si="9"/>
        <v>N/A</v>
      </c>
      <c r="AL28" s="24" t="str">
        <f t="shared" ca="1" si="10"/>
        <v>—</v>
      </c>
    </row>
    <row r="29" spans="1:38" ht="16.05" customHeight="1" x14ac:dyDescent="0.3">
      <c r="A29" s="13" t="s">
        <v>135</v>
      </c>
      <c r="B29" s="14" t="s">
        <v>136</v>
      </c>
      <c r="C29" s="13" t="s">
        <v>113</v>
      </c>
      <c r="D29" s="15">
        <v>0</v>
      </c>
      <c r="E29" s="16" t="str">
        <f>IF(NORMALIZADO!CB28="","",NORMALIZADO!CB28)</f>
        <v/>
      </c>
      <c r="F29" s="17" t="str">
        <f ca="1">IF(NORMALIZADO!CC28="","",NORMALIZADO!CC28)</f>
        <v/>
      </c>
      <c r="G29" s="17">
        <f ca="1">IF(NORMALIZADO!CD28="",IFERROR(MATRIZ_174!U28*100,""),NORMALIZADO!CD28)</f>
        <v>100</v>
      </c>
      <c r="H29" s="16" t="str">
        <f>IF(NORMALIZADO!CE28="","",NORMALIZADO!CE28)</f>
        <v/>
      </c>
      <c r="I29" s="17" t="str">
        <f>IF(NORMALIZADO!CF28="","",NORMALIZADO!CF28)</f>
        <v/>
      </c>
      <c r="J29" s="17" t="str">
        <f ca="1">IF(NORMALIZADO!CG28="","",NORMALIZADO!CG28)</f>
        <v/>
      </c>
      <c r="K29" s="16" t="str">
        <f ca="1">IF(NORMALIZADO!CH28="","",NORMALIZADO!CH28)</f>
        <v/>
      </c>
      <c r="L29" s="16" t="str">
        <f>IF(NORMALIZADO!CI28="","",NORMALIZADO!CI28)</f>
        <v/>
      </c>
      <c r="M29" s="16" t="str">
        <f>IF(NORMALIZADO!CJ28="","",NORMALIZADO!CJ28)</f>
        <v/>
      </c>
      <c r="N29" s="16" t="str">
        <f>IF(NORMALIZADO!CK28="","",NORMALIZADO!CK28)</f>
        <v/>
      </c>
      <c r="O29" s="16" t="str">
        <f>IF(NORMALIZADO!CL28="","",NORMALIZADO!CL28)</f>
        <v/>
      </c>
      <c r="P29" s="17" t="str">
        <f t="shared" ca="1" si="0"/>
        <v/>
      </c>
      <c r="Q29" s="17">
        <f t="shared" ca="1" si="1"/>
        <v>0</v>
      </c>
      <c r="R29" s="17">
        <f t="shared" ca="1" si="2"/>
        <v>0</v>
      </c>
      <c r="S29" s="17">
        <f t="shared" ca="1" si="3"/>
        <v>0</v>
      </c>
      <c r="T29" s="17">
        <f ca="1">IFERROR((K29+M29+MATRIZ_174!O28)/3,0)</f>
        <v>0</v>
      </c>
      <c r="U29" s="18">
        <f>IFERROR(MIN(100,ROUND(MATRIZ_174!M28,1)),0)</f>
        <v>0</v>
      </c>
      <c r="V29" s="18">
        <f t="shared" ca="1" si="4"/>
        <v>50</v>
      </c>
      <c r="W29" s="18">
        <f>IFERROR(IF(MATRIZ_174!R28=0,65,IF(MATRIZ_174!R28/MATRIZ_174!Q28&gt;=2,35,IF(MATRIZ_174!R28/MATRIZ_174!Q28&gt;=0.5,50,65))),65)</f>
        <v>65</v>
      </c>
      <c r="X29" s="18">
        <f>IFERROR(MIN(100,IF(MATRIZ_174!O28=0,70,30)+IF(MATRIZ_174!U28="",0,0.3*(100-MATRIZ_174!U28*100))),70)</f>
        <v>70</v>
      </c>
      <c r="Y29" s="18">
        <f>IF(OR(MATRIZ_174!P28="ASOCIACION",MATRIZ_174!P28="PENDIENTE"),65,40)</f>
        <v>65</v>
      </c>
      <c r="Z29" s="19" t="str">
        <f t="shared" ca="1" si="5"/>
        <v>—</v>
      </c>
      <c r="AA29" s="20">
        <f t="shared" ca="1" si="6"/>
        <v>50</v>
      </c>
      <c r="AB29" s="21" t="str">
        <f t="shared" ca="1" si="7"/>
        <v>—</v>
      </c>
      <c r="AC29" s="13" t="str">
        <f t="shared" ca="1" si="8"/>
        <v>⬜  Pendiente de instrumento</v>
      </c>
      <c r="AD29" s="13" t="str">
        <f>IF(MATRIZ_174!U28="","",IF(MATRIZ_174!U28=0,"🚫  Inh. vigente OSCE",""))</f>
        <v/>
      </c>
      <c r="AE29" s="22">
        <f>IFERROR(MATRIZ_174!W28,0)</f>
        <v>0</v>
      </c>
      <c r="AF29" s="22">
        <f>IFERROR(MATRIZ_174!X28,0)</f>
        <v>0</v>
      </c>
      <c r="AG29" s="22">
        <f>IFERROR(MATRIZ_174!Y28,0)</f>
        <v>0</v>
      </c>
      <c r="AH29" s="22">
        <f>IFERROR(MATRIZ_174!Z28,0)</f>
        <v>0</v>
      </c>
      <c r="AI29" s="17">
        <f ca="1">IFERROR(MATRIZ_174!AP28,"N/A")</f>
        <v>0</v>
      </c>
      <c r="AJ29" s="17">
        <f>IFERROR(MATRIZ_174!AO28,"N/A")</f>
        <v>0</v>
      </c>
      <c r="AK29" s="23" t="str">
        <f t="shared" ca="1" si="9"/>
        <v>N/A</v>
      </c>
      <c r="AL29" s="24" t="str">
        <f t="shared" ca="1" si="10"/>
        <v>—</v>
      </c>
    </row>
    <row r="30" spans="1:38" ht="16.05" customHeight="1" x14ac:dyDescent="0.3">
      <c r="A30" s="13" t="s">
        <v>137</v>
      </c>
      <c r="B30" s="14" t="s">
        <v>138</v>
      </c>
      <c r="C30" s="13" t="s">
        <v>113</v>
      </c>
      <c r="D30" s="15">
        <v>0</v>
      </c>
      <c r="E30" s="16" t="str">
        <f>IF(NORMALIZADO!CB29="","",NORMALIZADO!CB29)</f>
        <v/>
      </c>
      <c r="F30" s="17" t="str">
        <f ca="1">IF(NORMALIZADO!CC29="","",NORMALIZADO!CC29)</f>
        <v/>
      </c>
      <c r="G30" s="17">
        <f ca="1">IF(NORMALIZADO!CD29="",IFERROR(MATRIZ_174!U29*100,""),NORMALIZADO!CD29)</f>
        <v>100</v>
      </c>
      <c r="H30" s="16" t="str">
        <f>IF(NORMALIZADO!CE29="","",NORMALIZADO!CE29)</f>
        <v/>
      </c>
      <c r="I30" s="17" t="str">
        <f>IF(NORMALIZADO!CF29="","",NORMALIZADO!CF29)</f>
        <v/>
      </c>
      <c r="J30" s="17" t="str">
        <f ca="1">IF(NORMALIZADO!CG29="","",NORMALIZADO!CG29)</f>
        <v/>
      </c>
      <c r="K30" s="16" t="str">
        <f ca="1">IF(NORMALIZADO!CH29="","",NORMALIZADO!CH29)</f>
        <v/>
      </c>
      <c r="L30" s="16" t="str">
        <f>IF(NORMALIZADO!CI29="","",NORMALIZADO!CI29)</f>
        <v/>
      </c>
      <c r="M30" s="16" t="str">
        <f>IF(NORMALIZADO!CJ29="","",NORMALIZADO!CJ29)</f>
        <v/>
      </c>
      <c r="N30" s="16" t="str">
        <f>IF(NORMALIZADO!CK29="","",NORMALIZADO!CK29)</f>
        <v/>
      </c>
      <c r="O30" s="16" t="str">
        <f>IF(NORMALIZADO!CL29="","",NORMALIZADO!CL29)</f>
        <v/>
      </c>
      <c r="P30" s="17" t="str">
        <f t="shared" ca="1" si="0"/>
        <v/>
      </c>
      <c r="Q30" s="17">
        <f t="shared" ca="1" si="1"/>
        <v>0</v>
      </c>
      <c r="R30" s="17">
        <f t="shared" ca="1" si="2"/>
        <v>0</v>
      </c>
      <c r="S30" s="17">
        <f t="shared" ca="1" si="3"/>
        <v>0</v>
      </c>
      <c r="T30" s="17">
        <f ca="1">IFERROR((K30+M30+MATRIZ_174!O29)/3,0)</f>
        <v>0</v>
      </c>
      <c r="U30" s="18">
        <f>IFERROR(MIN(100,ROUND(MATRIZ_174!M29,1)),0)</f>
        <v>0</v>
      </c>
      <c r="V30" s="18">
        <f t="shared" ca="1" si="4"/>
        <v>50</v>
      </c>
      <c r="W30" s="18">
        <f>IFERROR(IF(MATRIZ_174!R29=0,65,IF(MATRIZ_174!R29/MATRIZ_174!Q29&gt;=2,35,IF(MATRIZ_174!R29/MATRIZ_174!Q29&gt;=0.5,50,65))),65)</f>
        <v>65</v>
      </c>
      <c r="X30" s="18">
        <f>IFERROR(MIN(100,IF(MATRIZ_174!O29=0,70,30)+IF(MATRIZ_174!U29="",0,0.3*(100-MATRIZ_174!U29*100))),70)</f>
        <v>70</v>
      </c>
      <c r="Y30" s="18">
        <f>IF(OR(MATRIZ_174!P29="ASOCIACION",MATRIZ_174!P29="PENDIENTE"),65,40)</f>
        <v>65</v>
      </c>
      <c r="Z30" s="19" t="str">
        <f t="shared" ca="1" si="5"/>
        <v>—</v>
      </c>
      <c r="AA30" s="20">
        <f t="shared" ca="1" si="6"/>
        <v>50</v>
      </c>
      <c r="AB30" s="21" t="str">
        <f t="shared" ca="1" si="7"/>
        <v>—</v>
      </c>
      <c r="AC30" s="13" t="str">
        <f t="shared" ca="1" si="8"/>
        <v>⬜  Pendiente de instrumento</v>
      </c>
      <c r="AD30" s="13" t="str">
        <f>IF(MATRIZ_174!U29="","",IF(MATRIZ_174!U29=0,"🚫  Inh. vigente OSCE",""))</f>
        <v/>
      </c>
      <c r="AE30" s="22">
        <f>IFERROR(MATRIZ_174!W29,0)</f>
        <v>0</v>
      </c>
      <c r="AF30" s="22">
        <f>IFERROR(MATRIZ_174!X29,0)</f>
        <v>0</v>
      </c>
      <c r="AG30" s="22">
        <f>IFERROR(MATRIZ_174!Y29,0)</f>
        <v>0</v>
      </c>
      <c r="AH30" s="22">
        <f>IFERROR(MATRIZ_174!Z29,0)</f>
        <v>0</v>
      </c>
      <c r="AI30" s="17">
        <f ca="1">IFERROR(MATRIZ_174!AP29,"N/A")</f>
        <v>0</v>
      </c>
      <c r="AJ30" s="17">
        <f>IFERROR(MATRIZ_174!AO29,"N/A")</f>
        <v>0</v>
      </c>
      <c r="AK30" s="23" t="str">
        <f t="shared" ca="1" si="9"/>
        <v>N/A</v>
      </c>
      <c r="AL30" s="24" t="str">
        <f t="shared" ca="1" si="10"/>
        <v>—</v>
      </c>
    </row>
    <row r="31" spans="1:38" ht="16.05" customHeight="1" x14ac:dyDescent="0.3">
      <c r="A31" s="13" t="s">
        <v>139</v>
      </c>
      <c r="B31" s="14" t="s">
        <v>140</v>
      </c>
      <c r="C31" s="13" t="s">
        <v>64</v>
      </c>
      <c r="D31" s="15">
        <v>0</v>
      </c>
      <c r="E31" s="16" t="str">
        <f>IF(NORMALIZADO!CB30="","",NORMALIZADO!CB30)</f>
        <v/>
      </c>
      <c r="F31" s="17" t="str">
        <f ca="1">IF(NORMALIZADO!CC30="","",NORMALIZADO!CC30)</f>
        <v/>
      </c>
      <c r="G31" s="17">
        <f ca="1">IF(NORMALIZADO!CD30="",IFERROR(MATRIZ_174!U30*100,""),NORMALIZADO!CD30)</f>
        <v>100</v>
      </c>
      <c r="H31" s="16" t="str">
        <f>IF(NORMALIZADO!CE30="","",NORMALIZADO!CE30)</f>
        <v/>
      </c>
      <c r="I31" s="17" t="str">
        <f>IF(NORMALIZADO!CF30="","",NORMALIZADO!CF30)</f>
        <v/>
      </c>
      <c r="J31" s="17" t="str">
        <f ca="1">IF(NORMALIZADO!CG30="","",NORMALIZADO!CG30)</f>
        <v/>
      </c>
      <c r="K31" s="16" t="str">
        <f ca="1">IF(NORMALIZADO!CH30="","",NORMALIZADO!CH30)</f>
        <v/>
      </c>
      <c r="L31" s="16" t="str">
        <f>IF(NORMALIZADO!CI30="","",NORMALIZADO!CI30)</f>
        <v/>
      </c>
      <c r="M31" s="16" t="str">
        <f>IF(NORMALIZADO!CJ30="","",NORMALIZADO!CJ30)</f>
        <v/>
      </c>
      <c r="N31" s="16" t="str">
        <f>IF(NORMALIZADO!CK30="","",NORMALIZADO!CK30)</f>
        <v/>
      </c>
      <c r="O31" s="16" t="str">
        <f>IF(NORMALIZADO!CL30="","",NORMALIZADO!CL30)</f>
        <v/>
      </c>
      <c r="P31" s="17" t="str">
        <f t="shared" ca="1" si="0"/>
        <v/>
      </c>
      <c r="Q31" s="17">
        <f t="shared" ca="1" si="1"/>
        <v>0</v>
      </c>
      <c r="R31" s="17">
        <f t="shared" ca="1" si="2"/>
        <v>0</v>
      </c>
      <c r="S31" s="17">
        <f t="shared" ca="1" si="3"/>
        <v>0</v>
      </c>
      <c r="T31" s="17">
        <f ca="1">IFERROR((K31+M31+MATRIZ_174!O30)/3,0)</f>
        <v>0</v>
      </c>
      <c r="U31" s="18">
        <f>IFERROR(MIN(100,ROUND(MATRIZ_174!M30,1)),0)</f>
        <v>0</v>
      </c>
      <c r="V31" s="18">
        <f t="shared" ca="1" si="4"/>
        <v>50</v>
      </c>
      <c r="W31" s="18">
        <f>IFERROR(IF(MATRIZ_174!R30=0,65,IF(MATRIZ_174!R30/MATRIZ_174!Q30&gt;=2,35,IF(MATRIZ_174!R30/MATRIZ_174!Q30&gt;=0.5,50,65))),65)</f>
        <v>65</v>
      </c>
      <c r="X31" s="18">
        <f>IFERROR(MIN(100,IF(MATRIZ_174!O30=0,70,30)+IF(MATRIZ_174!U30="",0,0.3*(100-MATRIZ_174!U30*100))),70)</f>
        <v>70</v>
      </c>
      <c r="Y31" s="18">
        <f>IF(OR(MATRIZ_174!P30="ASOCIACION",MATRIZ_174!P30="PENDIENTE"),65,40)</f>
        <v>65</v>
      </c>
      <c r="Z31" s="19" t="str">
        <f t="shared" ca="1" si="5"/>
        <v>—</v>
      </c>
      <c r="AA31" s="20">
        <f t="shared" ca="1" si="6"/>
        <v>50</v>
      </c>
      <c r="AB31" s="21" t="str">
        <f t="shared" ca="1" si="7"/>
        <v>—</v>
      </c>
      <c r="AC31" s="13" t="str">
        <f t="shared" ca="1" si="8"/>
        <v>⬜  Pendiente de instrumento</v>
      </c>
      <c r="AD31" s="13" t="str">
        <f>IF(MATRIZ_174!U30="","",IF(MATRIZ_174!U30=0,"🚫  Inh. vigente OSCE",""))</f>
        <v/>
      </c>
      <c r="AE31" s="22">
        <f>IFERROR(MATRIZ_174!W30,0)</f>
        <v>0</v>
      </c>
      <c r="AF31" s="22">
        <f>IFERROR(MATRIZ_174!X30,0)</f>
        <v>0</v>
      </c>
      <c r="AG31" s="22">
        <f>IFERROR(MATRIZ_174!Y30,0)</f>
        <v>0</v>
      </c>
      <c r="AH31" s="22">
        <f>IFERROR(MATRIZ_174!Z30,0)</f>
        <v>0</v>
      </c>
      <c r="AI31" s="17">
        <f ca="1">IFERROR(MATRIZ_174!AP30,"N/A")</f>
        <v>0</v>
      </c>
      <c r="AJ31" s="17">
        <f>IFERROR(MATRIZ_174!AO30,"N/A")</f>
        <v>0</v>
      </c>
      <c r="AK31" s="23" t="str">
        <f t="shared" ca="1" si="9"/>
        <v>N/A</v>
      </c>
      <c r="AL31" s="24" t="str">
        <f t="shared" ca="1" si="10"/>
        <v>—</v>
      </c>
    </row>
    <row r="32" spans="1:38" ht="16.05" customHeight="1" x14ac:dyDescent="0.3">
      <c r="A32" s="13" t="s">
        <v>141</v>
      </c>
      <c r="B32" s="14" t="s">
        <v>142</v>
      </c>
      <c r="C32" s="13" t="s">
        <v>143</v>
      </c>
      <c r="D32" s="15">
        <v>0</v>
      </c>
      <c r="E32" s="16" t="str">
        <f>IF(NORMALIZADO!CB31="","",NORMALIZADO!CB31)</f>
        <v/>
      </c>
      <c r="F32" s="17" t="str">
        <f ca="1">IF(NORMALIZADO!CC31="","",NORMALIZADO!CC31)</f>
        <v/>
      </c>
      <c r="G32" s="17">
        <f ca="1">IF(NORMALIZADO!CD31="",IFERROR(MATRIZ_174!U31*100,""),NORMALIZADO!CD31)</f>
        <v>100</v>
      </c>
      <c r="H32" s="16" t="str">
        <f>IF(NORMALIZADO!CE31="","",NORMALIZADO!CE31)</f>
        <v/>
      </c>
      <c r="I32" s="17" t="str">
        <f>IF(NORMALIZADO!CF31="","",NORMALIZADO!CF31)</f>
        <v/>
      </c>
      <c r="J32" s="17" t="str">
        <f ca="1">IF(NORMALIZADO!CG31="","",NORMALIZADO!CG31)</f>
        <v/>
      </c>
      <c r="K32" s="16" t="str">
        <f ca="1">IF(NORMALIZADO!CH31="","",NORMALIZADO!CH31)</f>
        <v/>
      </c>
      <c r="L32" s="16" t="str">
        <f>IF(NORMALIZADO!CI31="","",NORMALIZADO!CI31)</f>
        <v/>
      </c>
      <c r="M32" s="16" t="str">
        <f>IF(NORMALIZADO!CJ31="","",NORMALIZADO!CJ31)</f>
        <v/>
      </c>
      <c r="N32" s="16" t="str">
        <f>IF(NORMALIZADO!CK31="","",NORMALIZADO!CK31)</f>
        <v/>
      </c>
      <c r="O32" s="16" t="str">
        <f>IF(NORMALIZADO!CL31="","",NORMALIZADO!CL31)</f>
        <v/>
      </c>
      <c r="P32" s="17" t="str">
        <f t="shared" ca="1" si="0"/>
        <v/>
      </c>
      <c r="Q32" s="17">
        <f t="shared" ca="1" si="1"/>
        <v>0</v>
      </c>
      <c r="R32" s="17">
        <f t="shared" ca="1" si="2"/>
        <v>0</v>
      </c>
      <c r="S32" s="17">
        <f t="shared" ca="1" si="3"/>
        <v>0</v>
      </c>
      <c r="T32" s="17">
        <f ca="1">IFERROR((K32+M32+MATRIZ_174!O31)/3,0)</f>
        <v>0</v>
      </c>
      <c r="U32" s="18">
        <f>IFERROR(MIN(100,ROUND(MATRIZ_174!M31,1)),0)</f>
        <v>0</v>
      </c>
      <c r="V32" s="18">
        <f t="shared" ca="1" si="4"/>
        <v>50</v>
      </c>
      <c r="W32" s="18">
        <f>IFERROR(IF(MATRIZ_174!R31=0,65,IF(MATRIZ_174!R31/MATRIZ_174!Q31&gt;=2,35,IF(MATRIZ_174!R31/MATRIZ_174!Q31&gt;=0.5,50,65))),65)</f>
        <v>65</v>
      </c>
      <c r="X32" s="18">
        <f>IFERROR(MIN(100,IF(MATRIZ_174!O31=0,70,30)+IF(MATRIZ_174!U31="",0,0.3*(100-MATRIZ_174!U31*100))),70)</f>
        <v>70</v>
      </c>
      <c r="Y32" s="18">
        <f>IF(OR(MATRIZ_174!P31="ASOCIACION",MATRIZ_174!P31="PENDIENTE"),65,40)</f>
        <v>65</v>
      </c>
      <c r="Z32" s="19" t="str">
        <f t="shared" ca="1" si="5"/>
        <v>—</v>
      </c>
      <c r="AA32" s="20">
        <f t="shared" ca="1" si="6"/>
        <v>50</v>
      </c>
      <c r="AB32" s="21" t="str">
        <f t="shared" ca="1" si="7"/>
        <v>—</v>
      </c>
      <c r="AC32" s="13" t="str">
        <f t="shared" ca="1" si="8"/>
        <v>⬜  Pendiente de instrumento</v>
      </c>
      <c r="AD32" s="13" t="str">
        <f>IF(MATRIZ_174!U31="","",IF(MATRIZ_174!U31=0,"🚫  Inh. vigente OSCE",""))</f>
        <v/>
      </c>
      <c r="AE32" s="22">
        <f>IFERROR(MATRIZ_174!W31,0)</f>
        <v>0</v>
      </c>
      <c r="AF32" s="22">
        <f>IFERROR(MATRIZ_174!X31,0)</f>
        <v>0</v>
      </c>
      <c r="AG32" s="22">
        <f>IFERROR(MATRIZ_174!Y31,0)</f>
        <v>0</v>
      </c>
      <c r="AH32" s="22">
        <f>IFERROR(MATRIZ_174!Z31,0)</f>
        <v>0</v>
      </c>
      <c r="AI32" s="17">
        <f ca="1">IFERROR(MATRIZ_174!AP31,"N/A")</f>
        <v>0</v>
      </c>
      <c r="AJ32" s="17">
        <f>IFERROR(MATRIZ_174!AO31,"N/A")</f>
        <v>0</v>
      </c>
      <c r="AK32" s="23" t="str">
        <f t="shared" ca="1" si="9"/>
        <v>N/A</v>
      </c>
      <c r="AL32" s="24" t="str">
        <f t="shared" ca="1" si="10"/>
        <v>—</v>
      </c>
    </row>
    <row r="33" spans="1:38" ht="16.05" customHeight="1" x14ac:dyDescent="0.3">
      <c r="A33" s="13" t="s">
        <v>144</v>
      </c>
      <c r="B33" s="14" t="s">
        <v>145</v>
      </c>
      <c r="C33" s="13" t="s">
        <v>143</v>
      </c>
      <c r="D33" s="15">
        <v>0</v>
      </c>
      <c r="E33" s="16" t="str">
        <f>IF(NORMALIZADO!CB32="","",NORMALIZADO!CB32)</f>
        <v/>
      </c>
      <c r="F33" s="17" t="str">
        <f ca="1">IF(NORMALIZADO!CC32="","",NORMALIZADO!CC32)</f>
        <v/>
      </c>
      <c r="G33" s="17">
        <f ca="1">IF(NORMALIZADO!CD32="",IFERROR(MATRIZ_174!U32*100,""),NORMALIZADO!CD32)</f>
        <v>100</v>
      </c>
      <c r="H33" s="16" t="str">
        <f>IF(NORMALIZADO!CE32="","",NORMALIZADO!CE32)</f>
        <v/>
      </c>
      <c r="I33" s="17" t="str">
        <f>IF(NORMALIZADO!CF32="","",NORMALIZADO!CF32)</f>
        <v/>
      </c>
      <c r="J33" s="17" t="str">
        <f ca="1">IF(NORMALIZADO!CG32="","",NORMALIZADO!CG32)</f>
        <v/>
      </c>
      <c r="K33" s="16" t="str">
        <f ca="1">IF(NORMALIZADO!CH32="","",NORMALIZADO!CH32)</f>
        <v/>
      </c>
      <c r="L33" s="16" t="str">
        <f>IF(NORMALIZADO!CI32="","",NORMALIZADO!CI32)</f>
        <v/>
      </c>
      <c r="M33" s="16" t="str">
        <f>IF(NORMALIZADO!CJ32="","",NORMALIZADO!CJ32)</f>
        <v/>
      </c>
      <c r="N33" s="16" t="str">
        <f>IF(NORMALIZADO!CK32="","",NORMALIZADO!CK32)</f>
        <v/>
      </c>
      <c r="O33" s="16" t="str">
        <f>IF(NORMALIZADO!CL32="","",NORMALIZADO!CL32)</f>
        <v/>
      </c>
      <c r="P33" s="17" t="str">
        <f t="shared" ca="1" si="0"/>
        <v/>
      </c>
      <c r="Q33" s="17">
        <f t="shared" ca="1" si="1"/>
        <v>0</v>
      </c>
      <c r="R33" s="17">
        <f t="shared" ca="1" si="2"/>
        <v>0</v>
      </c>
      <c r="S33" s="17">
        <f t="shared" ca="1" si="3"/>
        <v>0</v>
      </c>
      <c r="T33" s="17">
        <f ca="1">IFERROR((K33+M33+MATRIZ_174!O32)/3,0)</f>
        <v>0</v>
      </c>
      <c r="U33" s="18">
        <f>IFERROR(MIN(100,ROUND(MATRIZ_174!M32,1)),0)</f>
        <v>0</v>
      </c>
      <c r="V33" s="18">
        <f t="shared" ca="1" si="4"/>
        <v>50</v>
      </c>
      <c r="W33" s="18">
        <f>IFERROR(IF(MATRIZ_174!R32=0,65,IF(MATRIZ_174!R32/MATRIZ_174!Q32&gt;=2,35,IF(MATRIZ_174!R32/MATRIZ_174!Q32&gt;=0.5,50,65))),65)</f>
        <v>65</v>
      </c>
      <c r="X33" s="18">
        <f>IFERROR(MIN(100,IF(MATRIZ_174!O32=0,70,30)+IF(MATRIZ_174!U32="",0,0.3*(100-MATRIZ_174!U32*100))),70)</f>
        <v>70</v>
      </c>
      <c r="Y33" s="18">
        <f>IF(OR(MATRIZ_174!P32="ASOCIACION",MATRIZ_174!P32="PENDIENTE"),65,40)</f>
        <v>65</v>
      </c>
      <c r="Z33" s="19" t="str">
        <f t="shared" ca="1" si="5"/>
        <v>—</v>
      </c>
      <c r="AA33" s="20">
        <f t="shared" ca="1" si="6"/>
        <v>50</v>
      </c>
      <c r="AB33" s="21" t="str">
        <f t="shared" ca="1" si="7"/>
        <v>—</v>
      </c>
      <c r="AC33" s="13" t="str">
        <f t="shared" ca="1" si="8"/>
        <v>⬜  Pendiente de instrumento</v>
      </c>
      <c r="AD33" s="13" t="str">
        <f>IF(MATRIZ_174!U32="","",IF(MATRIZ_174!U32=0,"🚫  Inh. vigente OSCE",""))</f>
        <v/>
      </c>
      <c r="AE33" s="22">
        <f>IFERROR(MATRIZ_174!W32,0)</f>
        <v>0</v>
      </c>
      <c r="AF33" s="22">
        <f>IFERROR(MATRIZ_174!X32,0)</f>
        <v>0</v>
      </c>
      <c r="AG33" s="22">
        <f>IFERROR(MATRIZ_174!Y32,0)</f>
        <v>0</v>
      </c>
      <c r="AH33" s="22">
        <f>IFERROR(MATRIZ_174!Z32,0)</f>
        <v>0</v>
      </c>
      <c r="AI33" s="17">
        <f ca="1">IFERROR(MATRIZ_174!AP32,"N/A")</f>
        <v>0</v>
      </c>
      <c r="AJ33" s="17">
        <f>IFERROR(MATRIZ_174!AO32,"N/A")</f>
        <v>0</v>
      </c>
      <c r="AK33" s="23" t="str">
        <f t="shared" ca="1" si="9"/>
        <v>N/A</v>
      </c>
      <c r="AL33" s="24" t="str">
        <f t="shared" ca="1" si="10"/>
        <v>—</v>
      </c>
    </row>
    <row r="34" spans="1:38" ht="16.05" customHeight="1" x14ac:dyDescent="0.3">
      <c r="A34" s="13" t="s">
        <v>146</v>
      </c>
      <c r="B34" s="14" t="s">
        <v>147</v>
      </c>
      <c r="C34" s="13" t="s">
        <v>143</v>
      </c>
      <c r="D34" s="15">
        <v>0</v>
      </c>
      <c r="E34" s="16" t="str">
        <f>IF(NORMALIZADO!CB33="","",NORMALIZADO!CB33)</f>
        <v/>
      </c>
      <c r="F34" s="17" t="str">
        <f ca="1">IF(NORMALIZADO!CC33="","",NORMALIZADO!CC33)</f>
        <v/>
      </c>
      <c r="G34" s="17">
        <f ca="1">IF(NORMALIZADO!CD33="",IFERROR(MATRIZ_174!U33*100,""),NORMALIZADO!CD33)</f>
        <v>100</v>
      </c>
      <c r="H34" s="16" t="str">
        <f>IF(NORMALIZADO!CE33="","",NORMALIZADO!CE33)</f>
        <v/>
      </c>
      <c r="I34" s="17" t="str">
        <f>IF(NORMALIZADO!CF33="","",NORMALIZADO!CF33)</f>
        <v/>
      </c>
      <c r="J34" s="17" t="str">
        <f ca="1">IF(NORMALIZADO!CG33="","",NORMALIZADO!CG33)</f>
        <v/>
      </c>
      <c r="K34" s="16" t="str">
        <f ca="1">IF(NORMALIZADO!CH33="","",NORMALIZADO!CH33)</f>
        <v/>
      </c>
      <c r="L34" s="16" t="str">
        <f>IF(NORMALIZADO!CI33="","",NORMALIZADO!CI33)</f>
        <v/>
      </c>
      <c r="M34" s="16" t="str">
        <f>IF(NORMALIZADO!CJ33="","",NORMALIZADO!CJ33)</f>
        <v/>
      </c>
      <c r="N34" s="16" t="str">
        <f>IF(NORMALIZADO!CK33="","",NORMALIZADO!CK33)</f>
        <v/>
      </c>
      <c r="O34" s="16" t="str">
        <f>IF(NORMALIZADO!CL33="","",NORMALIZADO!CL33)</f>
        <v/>
      </c>
      <c r="P34" s="17" t="str">
        <f t="shared" ca="1" si="0"/>
        <v/>
      </c>
      <c r="Q34" s="17">
        <f t="shared" ca="1" si="1"/>
        <v>0</v>
      </c>
      <c r="R34" s="17">
        <f t="shared" ca="1" si="2"/>
        <v>0</v>
      </c>
      <c r="S34" s="17">
        <f t="shared" ca="1" si="3"/>
        <v>0</v>
      </c>
      <c r="T34" s="17">
        <f ca="1">IFERROR((K34+M34+MATRIZ_174!O33)/3,0)</f>
        <v>0</v>
      </c>
      <c r="U34" s="18">
        <f>IFERROR(MIN(100,ROUND(MATRIZ_174!M33,1)),0)</f>
        <v>0</v>
      </c>
      <c r="V34" s="18">
        <f t="shared" ca="1" si="4"/>
        <v>50</v>
      </c>
      <c r="W34" s="18">
        <f>IFERROR(IF(MATRIZ_174!R33=0,65,IF(MATRIZ_174!R33/MATRIZ_174!Q33&gt;=2,35,IF(MATRIZ_174!R33/MATRIZ_174!Q33&gt;=0.5,50,65))),65)</f>
        <v>65</v>
      </c>
      <c r="X34" s="18">
        <f>IFERROR(MIN(100,IF(MATRIZ_174!O33=0,70,30)+IF(MATRIZ_174!U33="",0,0.3*(100-MATRIZ_174!U33*100))),70)</f>
        <v>70</v>
      </c>
      <c r="Y34" s="18">
        <f>IF(OR(MATRIZ_174!P33="ASOCIACION",MATRIZ_174!P33="PENDIENTE"),65,40)</f>
        <v>65</v>
      </c>
      <c r="Z34" s="19" t="str">
        <f t="shared" ca="1" si="5"/>
        <v>—</v>
      </c>
      <c r="AA34" s="20">
        <f t="shared" ca="1" si="6"/>
        <v>50</v>
      </c>
      <c r="AB34" s="21" t="str">
        <f t="shared" ca="1" si="7"/>
        <v>—</v>
      </c>
      <c r="AC34" s="13" t="str">
        <f t="shared" ca="1" si="8"/>
        <v>⬜  Pendiente de instrumento</v>
      </c>
      <c r="AD34" s="13" t="str">
        <f>IF(MATRIZ_174!U33="","",IF(MATRIZ_174!U33=0,"🚫  Inh. vigente OSCE",""))</f>
        <v/>
      </c>
      <c r="AE34" s="22">
        <f>IFERROR(MATRIZ_174!W33,0)</f>
        <v>0</v>
      </c>
      <c r="AF34" s="22">
        <f>IFERROR(MATRIZ_174!X33,0)</f>
        <v>0</v>
      </c>
      <c r="AG34" s="22">
        <f>IFERROR(MATRIZ_174!Y33,0)</f>
        <v>0</v>
      </c>
      <c r="AH34" s="22">
        <f>IFERROR(MATRIZ_174!Z33,0)</f>
        <v>0</v>
      </c>
      <c r="AI34" s="17">
        <f ca="1">IFERROR(MATRIZ_174!AP33,"N/A")</f>
        <v>0</v>
      </c>
      <c r="AJ34" s="17">
        <f>IFERROR(MATRIZ_174!AO33,"N/A")</f>
        <v>0</v>
      </c>
      <c r="AK34" s="23" t="str">
        <f t="shared" ca="1" si="9"/>
        <v>N/A</v>
      </c>
      <c r="AL34" s="24" t="str">
        <f t="shared" ca="1" si="10"/>
        <v>—</v>
      </c>
    </row>
    <row r="35" spans="1:38" ht="16.05" customHeight="1" x14ac:dyDescent="0.3">
      <c r="A35" s="13" t="s">
        <v>148</v>
      </c>
      <c r="B35" s="14" t="s">
        <v>149</v>
      </c>
      <c r="C35" s="13" t="s">
        <v>143</v>
      </c>
      <c r="D35" s="15">
        <v>0</v>
      </c>
      <c r="E35" s="16" t="str">
        <f>IF(NORMALIZADO!CB34="","",NORMALIZADO!CB34)</f>
        <v/>
      </c>
      <c r="F35" s="17" t="str">
        <f ca="1">IF(NORMALIZADO!CC34="","",NORMALIZADO!CC34)</f>
        <v/>
      </c>
      <c r="G35" s="17">
        <f ca="1">IF(NORMALIZADO!CD34="",IFERROR(MATRIZ_174!U34*100,""),NORMALIZADO!CD34)</f>
        <v>100</v>
      </c>
      <c r="H35" s="16" t="str">
        <f>IF(NORMALIZADO!CE34="","",NORMALIZADO!CE34)</f>
        <v/>
      </c>
      <c r="I35" s="17" t="str">
        <f>IF(NORMALIZADO!CF34="","",NORMALIZADO!CF34)</f>
        <v/>
      </c>
      <c r="J35" s="17" t="str">
        <f ca="1">IF(NORMALIZADO!CG34="","",NORMALIZADO!CG34)</f>
        <v/>
      </c>
      <c r="K35" s="16" t="str">
        <f ca="1">IF(NORMALIZADO!CH34="","",NORMALIZADO!CH34)</f>
        <v/>
      </c>
      <c r="L35" s="16" t="str">
        <f>IF(NORMALIZADO!CI34="","",NORMALIZADO!CI34)</f>
        <v/>
      </c>
      <c r="M35" s="16" t="str">
        <f>IF(NORMALIZADO!CJ34="","",NORMALIZADO!CJ34)</f>
        <v/>
      </c>
      <c r="N35" s="16" t="str">
        <f>IF(NORMALIZADO!CK34="","",NORMALIZADO!CK34)</f>
        <v/>
      </c>
      <c r="O35" s="16" t="str">
        <f>IF(NORMALIZADO!CL34="","",NORMALIZADO!CL34)</f>
        <v/>
      </c>
      <c r="P35" s="17" t="str">
        <f t="shared" ca="1" si="0"/>
        <v/>
      </c>
      <c r="Q35" s="17">
        <f t="shared" ca="1" si="1"/>
        <v>0</v>
      </c>
      <c r="R35" s="17">
        <f t="shared" ca="1" si="2"/>
        <v>0</v>
      </c>
      <c r="S35" s="17">
        <f t="shared" ca="1" si="3"/>
        <v>0</v>
      </c>
      <c r="T35" s="17">
        <f ca="1">IFERROR((K35+M35+MATRIZ_174!O34)/3,0)</f>
        <v>0</v>
      </c>
      <c r="U35" s="18">
        <f>IFERROR(MIN(100,ROUND(MATRIZ_174!M34,1)),0)</f>
        <v>0</v>
      </c>
      <c r="V35" s="18">
        <f t="shared" ca="1" si="4"/>
        <v>50</v>
      </c>
      <c r="W35" s="18">
        <f>IFERROR(IF(MATRIZ_174!R34=0,65,IF(MATRIZ_174!R34/MATRIZ_174!Q34&gt;=2,35,IF(MATRIZ_174!R34/MATRIZ_174!Q34&gt;=0.5,50,65))),65)</f>
        <v>65</v>
      </c>
      <c r="X35" s="18">
        <f>IFERROR(MIN(100,IF(MATRIZ_174!O34=0,70,30)+IF(MATRIZ_174!U34="",0,0.3*(100-MATRIZ_174!U34*100))),70)</f>
        <v>70</v>
      </c>
      <c r="Y35" s="18">
        <f>IF(OR(MATRIZ_174!P34="ASOCIACION",MATRIZ_174!P34="PENDIENTE"),65,40)</f>
        <v>65</v>
      </c>
      <c r="Z35" s="19" t="str">
        <f t="shared" ca="1" si="5"/>
        <v>—</v>
      </c>
      <c r="AA35" s="20">
        <f t="shared" ca="1" si="6"/>
        <v>50</v>
      </c>
      <c r="AB35" s="21" t="str">
        <f t="shared" ca="1" si="7"/>
        <v>—</v>
      </c>
      <c r="AC35" s="13" t="str">
        <f t="shared" ca="1" si="8"/>
        <v>⬜  Pendiente de instrumento</v>
      </c>
      <c r="AD35" s="13" t="str">
        <f>IF(MATRIZ_174!U34="","",IF(MATRIZ_174!U34=0,"🚫  Inh. vigente OSCE",""))</f>
        <v/>
      </c>
      <c r="AE35" s="22">
        <f>IFERROR(MATRIZ_174!W34,0)</f>
        <v>0</v>
      </c>
      <c r="AF35" s="22">
        <f>IFERROR(MATRIZ_174!X34,0)</f>
        <v>0</v>
      </c>
      <c r="AG35" s="22">
        <f>IFERROR(MATRIZ_174!Y34,0)</f>
        <v>0</v>
      </c>
      <c r="AH35" s="22">
        <f>IFERROR(MATRIZ_174!Z34,0)</f>
        <v>0</v>
      </c>
      <c r="AI35" s="17">
        <f ca="1">IFERROR(MATRIZ_174!AP34,"N/A")</f>
        <v>0</v>
      </c>
      <c r="AJ35" s="17">
        <f>IFERROR(MATRIZ_174!AO34,"N/A")</f>
        <v>0</v>
      </c>
      <c r="AK35" s="23" t="str">
        <f t="shared" ca="1" si="9"/>
        <v>N/A</v>
      </c>
      <c r="AL35" s="24" t="str">
        <f t="shared" ca="1" si="10"/>
        <v>—</v>
      </c>
    </row>
    <row r="36" spans="1:38" ht="16.05" customHeight="1" x14ac:dyDescent="0.3">
      <c r="A36" s="13" t="s">
        <v>150</v>
      </c>
      <c r="B36" s="14" t="s">
        <v>151</v>
      </c>
      <c r="C36" s="13" t="s">
        <v>80</v>
      </c>
      <c r="D36" s="15">
        <v>965726.35</v>
      </c>
      <c r="E36" s="16" t="str">
        <f>IF(NORMALIZADO!CB35="","",NORMALIZADO!CB35)</f>
        <v/>
      </c>
      <c r="F36" s="17" t="str">
        <f ca="1">IF(NORMALIZADO!CC35="","",NORMALIZADO!CC35)</f>
        <v/>
      </c>
      <c r="G36" s="17">
        <f ca="1">IF(NORMALIZADO!CD35="",IFERROR(MATRIZ_174!U35*100,""),NORMALIZADO!CD35)</f>
        <v>100</v>
      </c>
      <c r="H36" s="16" t="str">
        <f>IF(NORMALIZADO!CE35="","",NORMALIZADO!CE35)</f>
        <v/>
      </c>
      <c r="I36" s="17" t="str">
        <f>IF(NORMALIZADO!CF35="","",NORMALIZADO!CF35)</f>
        <v/>
      </c>
      <c r="J36" s="17" t="str">
        <f ca="1">IF(NORMALIZADO!CG35="","",NORMALIZADO!CG35)</f>
        <v/>
      </c>
      <c r="K36" s="16" t="str">
        <f ca="1">IF(NORMALIZADO!CH35="","",NORMALIZADO!CH35)</f>
        <v/>
      </c>
      <c r="L36" s="16" t="str">
        <f>IF(NORMALIZADO!CI35="","",NORMALIZADO!CI35)</f>
        <v/>
      </c>
      <c r="M36" s="16" t="str">
        <f>IF(NORMALIZADO!CJ35="","",NORMALIZADO!CJ35)</f>
        <v/>
      </c>
      <c r="N36" s="16" t="str">
        <f>IF(NORMALIZADO!CK35="","",NORMALIZADO!CK35)</f>
        <v/>
      </c>
      <c r="O36" s="16" t="str">
        <f>IF(NORMALIZADO!CL35="","",NORMALIZADO!CL35)</f>
        <v/>
      </c>
      <c r="P36" s="17" t="str">
        <f t="shared" ref="P36:P67" ca="1" si="11">IFERROR(F36,0)</f>
        <v/>
      </c>
      <c r="Q36" s="17">
        <f t="shared" ref="Q36:Q67" ca="1" si="12">IFERROR(SQRT(G36*H36),0)</f>
        <v>0</v>
      </c>
      <c r="R36" s="17">
        <f t="shared" ref="R36:R67" ca="1" si="13">IFERROR((I36+J36+L36)/3,0)</f>
        <v>0</v>
      </c>
      <c r="S36" s="17">
        <f t="shared" ref="S36:S67" ca="1" si="14">IFERROR((J36+F36)/2,0)</f>
        <v>0</v>
      </c>
      <c r="T36" s="17">
        <f ca="1">IFERROR((K36+M36+MATRIZ_174!O35)/3,0)</f>
        <v>0</v>
      </c>
      <c r="U36" s="18">
        <f>IFERROR(MIN(100,ROUND(MATRIZ_174!M35,1)),0)</f>
        <v>50</v>
      </c>
      <c r="V36" s="18">
        <f t="shared" ref="V36:V67" ca="1" si="15">IF(OR(NOT(ISNUMBER(F36)),F36=0),50,F36)</f>
        <v>50</v>
      </c>
      <c r="W36" s="18">
        <f>IFERROR(IF(MATRIZ_174!R35=0,65,IF(MATRIZ_174!R35/MATRIZ_174!Q35&gt;=2,35,IF(MATRIZ_174!R35/MATRIZ_174!Q35&gt;=0.5,50,65))),65)</f>
        <v>65</v>
      </c>
      <c r="X36" s="18">
        <f>IFERROR(MIN(100,IF(MATRIZ_174!O35=0,70,30)+IF(MATRIZ_174!U35="",0,0.3*(100-MATRIZ_174!U35*100))),70)</f>
        <v>70</v>
      </c>
      <c r="Y36" s="18">
        <f>IF(OR(MATRIZ_174!P35="ASOCIACION",MATRIZ_174!P35="PENDIENTE"),65,40)</f>
        <v>65</v>
      </c>
      <c r="Z36" s="19" t="str">
        <f t="shared" ref="Z36:Z67" ca="1" si="16">IF(COUNT(F36:M36)&lt;8,"—",IFERROR(ROUND(AVERAGE(P36:T36),1),"—"))</f>
        <v>—</v>
      </c>
      <c r="AA36" s="20">
        <f t="shared" ref="AA36:AA67" ca="1" si="17">IFERROR(ROUND(AVERAGE(U36,V36,W36,X36,Y36),1),0)</f>
        <v>60</v>
      </c>
      <c r="AB36" s="21" t="str">
        <f t="shared" ref="AB36:AB67" ca="1" si="18">IF(NOT(ISNUMBER(Z36)),"—",IFERROR(ROUND(AA36*(1-Z36/100),1),"—"))</f>
        <v>—</v>
      </c>
      <c r="AC36" s="13" t="str">
        <f t="shared" ref="AC36:AC67" ca="1" si="19">IF(OR(NOT(ISNUMBER(Z36)),NOT(ISNUMBER(AA36))),"⬜  Pendiente de instrumento",IF(AND(Z36&gt;=50,AA36&lt;50),"🟢  Resilientes",IF(AND(Z36&gt;=50,AA36&gt;=50),"🟠  Expuestas Adaptables",IF(AND(Z36&lt;50,AA36&lt;50),"⬜  Riesgo Latente","🔴  Riesgo Crítico"))))</f>
        <v>⬜  Pendiente de instrumento</v>
      </c>
      <c r="AD36" s="13" t="str">
        <f>IF(MATRIZ_174!U35="","",IF(MATRIZ_174!U35=0,"🚫  Inh. vigente OSCE",""))</f>
        <v/>
      </c>
      <c r="AE36" s="22">
        <f>IFERROR(MATRIZ_174!W35,0)</f>
        <v>1</v>
      </c>
      <c r="AF36" s="22">
        <f>IFERROR(MATRIZ_174!X35,0)</f>
        <v>0</v>
      </c>
      <c r="AG36" s="22">
        <f>IFERROR(MATRIZ_174!Y35,0)</f>
        <v>0</v>
      </c>
      <c r="AH36" s="22">
        <f>IFERROR(MATRIZ_174!Z35,0)</f>
        <v>0</v>
      </c>
      <c r="AI36" s="17">
        <f ca="1">IFERROR(MATRIZ_174!AP35,"N/A")</f>
        <v>0.125</v>
      </c>
      <c r="AJ36" s="17">
        <f>IFERROR(MATRIZ_174!AO35,"N/A")</f>
        <v>0</v>
      </c>
      <c r="AK36" s="23" t="str">
        <f t="shared" ref="AK36:AK67" ca="1" si="20">IF(COUNT(E36:M36)&lt;7,"N/A",IFERROR(ROUND((POWER(PRODUCT(E36:K36),1/MAX(1,COUNT(E36:K36)))*IF(COUNT(E36:K36)&gt;0,0.875,0)+IFERROR(AVERAGE(L36:M36),0)*IF(COUNT(L36:M36)&gt;0,0.125,0))/(IF(COUNT(E36:K36)&gt;0,0.875,0)+IF(COUNT(L36:M36)&gt;0,0.125,0)),1),"N/A"))</f>
        <v>N/A</v>
      </c>
      <c r="AL36" s="24" t="str">
        <f t="shared" ref="AL36:AL67" ca="1" si="21">IF(OR(NOT(ISNUMBER(AK36)),NOT(ISNUMBER(AI36))),"—",ROUND(0.7*AK36+0.3*AI36*100,1))</f>
        <v>—</v>
      </c>
    </row>
    <row r="37" spans="1:38" ht="16.05" customHeight="1" x14ac:dyDescent="0.3">
      <c r="A37" s="13" t="s">
        <v>152</v>
      </c>
      <c r="B37" s="14" t="s">
        <v>153</v>
      </c>
      <c r="C37" s="13" t="s">
        <v>154</v>
      </c>
      <c r="D37" s="15">
        <v>965167.45</v>
      </c>
      <c r="E37" s="16" t="str">
        <f>IF(NORMALIZADO!CB36="","",NORMALIZADO!CB36)</f>
        <v/>
      </c>
      <c r="F37" s="17" t="str">
        <f ca="1">IF(NORMALIZADO!CC36="","",NORMALIZADO!CC36)</f>
        <v/>
      </c>
      <c r="G37" s="17">
        <f ca="1">IF(NORMALIZADO!CD36="",IFERROR(MATRIZ_174!U36*100,""),NORMALIZADO!CD36)</f>
        <v>100</v>
      </c>
      <c r="H37" s="16" t="str">
        <f>IF(NORMALIZADO!CE36="","",NORMALIZADO!CE36)</f>
        <v/>
      </c>
      <c r="I37" s="17" t="str">
        <f>IF(NORMALIZADO!CF36="","",NORMALIZADO!CF36)</f>
        <v/>
      </c>
      <c r="J37" s="17" t="str">
        <f ca="1">IF(NORMALIZADO!CG36="","",NORMALIZADO!CG36)</f>
        <v/>
      </c>
      <c r="K37" s="16" t="str">
        <f ca="1">IF(NORMALIZADO!CH36="","",NORMALIZADO!CH36)</f>
        <v/>
      </c>
      <c r="L37" s="16" t="str">
        <f>IF(NORMALIZADO!CI36="","",NORMALIZADO!CI36)</f>
        <v/>
      </c>
      <c r="M37" s="16" t="str">
        <f>IF(NORMALIZADO!CJ36="","",NORMALIZADO!CJ36)</f>
        <v/>
      </c>
      <c r="N37" s="16" t="str">
        <f>IF(NORMALIZADO!CK36="","",NORMALIZADO!CK36)</f>
        <v/>
      </c>
      <c r="O37" s="16" t="str">
        <f>IF(NORMALIZADO!CL36="","",NORMALIZADO!CL36)</f>
        <v/>
      </c>
      <c r="P37" s="17" t="str">
        <f t="shared" ca="1" si="11"/>
        <v/>
      </c>
      <c r="Q37" s="17">
        <f t="shared" ca="1" si="12"/>
        <v>0</v>
      </c>
      <c r="R37" s="17">
        <f t="shared" ca="1" si="13"/>
        <v>0</v>
      </c>
      <c r="S37" s="17">
        <f t="shared" ca="1" si="14"/>
        <v>0</v>
      </c>
      <c r="T37" s="17">
        <f ca="1">IFERROR((K37+M37+MATRIZ_174!O36)/3,0)</f>
        <v>0.33333333333333331</v>
      </c>
      <c r="U37" s="18">
        <f>IFERROR(MIN(100,ROUND(MATRIZ_174!M36,1)),0)</f>
        <v>21.3</v>
      </c>
      <c r="V37" s="18">
        <f t="shared" ca="1" si="15"/>
        <v>50</v>
      </c>
      <c r="W37" s="18">
        <f>IFERROR(IF(MATRIZ_174!R36=0,65,IF(MATRIZ_174!R36/MATRIZ_174!Q36&gt;=2,35,IF(MATRIZ_174!R36/MATRIZ_174!Q36&gt;=0.5,50,65))),65)</f>
        <v>35</v>
      </c>
      <c r="X37" s="18">
        <f>IFERROR(MIN(100,IF(MATRIZ_174!O36=0,70,30)+IF(MATRIZ_174!U36="",0,0.3*(100-MATRIZ_174!U36*100))),70)</f>
        <v>30</v>
      </c>
      <c r="Y37" s="18">
        <f>IF(OR(MATRIZ_174!P36="ASOCIACION",MATRIZ_174!P36="PENDIENTE"),65,40)</f>
        <v>65</v>
      </c>
      <c r="Z37" s="19" t="str">
        <f t="shared" ca="1" si="16"/>
        <v>—</v>
      </c>
      <c r="AA37" s="20">
        <f t="shared" ca="1" si="17"/>
        <v>40.299999999999997</v>
      </c>
      <c r="AB37" s="21" t="str">
        <f t="shared" ca="1" si="18"/>
        <v>—</v>
      </c>
      <c r="AC37" s="13" t="str">
        <f t="shared" ca="1" si="19"/>
        <v>⬜  Pendiente de instrumento</v>
      </c>
      <c r="AD37" s="13" t="str">
        <f>IF(MATRIZ_174!U36="","",IF(MATRIZ_174!U36=0,"🚫  Inh. vigente OSCE",""))</f>
        <v/>
      </c>
      <c r="AE37" s="22">
        <f>IFERROR(MATRIZ_174!W36,0)</f>
        <v>1</v>
      </c>
      <c r="AF37" s="22">
        <f>IFERROR(MATRIZ_174!X36,0)</f>
        <v>0</v>
      </c>
      <c r="AG37" s="22">
        <f>IFERROR(MATRIZ_174!Y36,0)</f>
        <v>0</v>
      </c>
      <c r="AH37" s="22">
        <f>IFERROR(MATRIZ_174!Z36,0)</f>
        <v>0</v>
      </c>
      <c r="AI37" s="17">
        <f ca="1">IFERROR(MATRIZ_174!AP36,"N/A")</f>
        <v>0.14760000000000001</v>
      </c>
      <c r="AJ37" s="17">
        <f>IFERROR(MATRIZ_174!AO36,"N/A")</f>
        <v>0</v>
      </c>
      <c r="AK37" s="23" t="str">
        <f t="shared" ca="1" si="20"/>
        <v>N/A</v>
      </c>
      <c r="AL37" s="24" t="str">
        <f t="shared" ca="1" si="21"/>
        <v>—</v>
      </c>
    </row>
    <row r="38" spans="1:38" ht="16.05" customHeight="1" x14ac:dyDescent="0.3">
      <c r="A38" s="13" t="s">
        <v>155</v>
      </c>
      <c r="B38" s="14" t="s">
        <v>156</v>
      </c>
      <c r="C38" s="13" t="s">
        <v>116</v>
      </c>
      <c r="D38" s="15">
        <v>0</v>
      </c>
      <c r="E38" s="16" t="str">
        <f>IF(NORMALIZADO!CB37="","",NORMALIZADO!CB37)</f>
        <v/>
      </c>
      <c r="F38" s="17" t="str">
        <f ca="1">IF(NORMALIZADO!CC37="","",NORMALIZADO!CC37)</f>
        <v/>
      </c>
      <c r="G38" s="17">
        <f ca="1">IF(NORMALIZADO!CD37="",IFERROR(MATRIZ_174!U37*100,""),NORMALIZADO!CD37)</f>
        <v>100</v>
      </c>
      <c r="H38" s="16" t="str">
        <f>IF(NORMALIZADO!CE37="","",NORMALIZADO!CE37)</f>
        <v/>
      </c>
      <c r="I38" s="17" t="str">
        <f>IF(NORMALIZADO!CF37="","",NORMALIZADO!CF37)</f>
        <v/>
      </c>
      <c r="J38" s="17" t="str">
        <f ca="1">IF(NORMALIZADO!CG37="","",NORMALIZADO!CG37)</f>
        <v/>
      </c>
      <c r="K38" s="16" t="str">
        <f ca="1">IF(NORMALIZADO!CH37="","",NORMALIZADO!CH37)</f>
        <v/>
      </c>
      <c r="L38" s="16" t="str">
        <f>IF(NORMALIZADO!CI37="","",NORMALIZADO!CI37)</f>
        <v/>
      </c>
      <c r="M38" s="16" t="str">
        <f>IF(NORMALIZADO!CJ37="","",NORMALIZADO!CJ37)</f>
        <v/>
      </c>
      <c r="N38" s="16" t="str">
        <f>IF(NORMALIZADO!CK37="","",NORMALIZADO!CK37)</f>
        <v/>
      </c>
      <c r="O38" s="16" t="str">
        <f>IF(NORMALIZADO!CL37="","",NORMALIZADO!CL37)</f>
        <v/>
      </c>
      <c r="P38" s="17" t="str">
        <f t="shared" ca="1" si="11"/>
        <v/>
      </c>
      <c r="Q38" s="17">
        <f t="shared" ca="1" si="12"/>
        <v>0</v>
      </c>
      <c r="R38" s="17">
        <f t="shared" ca="1" si="13"/>
        <v>0</v>
      </c>
      <c r="S38" s="17">
        <f t="shared" ca="1" si="14"/>
        <v>0</v>
      </c>
      <c r="T38" s="17">
        <f ca="1">IFERROR((K38+M38+MATRIZ_174!O37)/3,0)</f>
        <v>0</v>
      </c>
      <c r="U38" s="18">
        <f>IFERROR(MIN(100,ROUND(MATRIZ_174!M37,1)),0)</f>
        <v>0</v>
      </c>
      <c r="V38" s="18">
        <f t="shared" ca="1" si="15"/>
        <v>50</v>
      </c>
      <c r="W38" s="18">
        <f>IFERROR(IF(MATRIZ_174!R37=0,65,IF(MATRIZ_174!R37/MATRIZ_174!Q37&gt;=2,35,IF(MATRIZ_174!R37/MATRIZ_174!Q37&gt;=0.5,50,65))),65)</f>
        <v>65</v>
      </c>
      <c r="X38" s="18">
        <f>IFERROR(MIN(100,IF(MATRIZ_174!O37=0,70,30)+IF(MATRIZ_174!U37="",0,0.3*(100-MATRIZ_174!U37*100))),70)</f>
        <v>70</v>
      </c>
      <c r="Y38" s="18">
        <f>IF(OR(MATRIZ_174!P37="ASOCIACION",MATRIZ_174!P37="PENDIENTE"),65,40)</f>
        <v>65</v>
      </c>
      <c r="Z38" s="19" t="str">
        <f t="shared" ca="1" si="16"/>
        <v>—</v>
      </c>
      <c r="AA38" s="20">
        <f t="shared" ca="1" si="17"/>
        <v>50</v>
      </c>
      <c r="AB38" s="21" t="str">
        <f t="shared" ca="1" si="18"/>
        <v>—</v>
      </c>
      <c r="AC38" s="13" t="str">
        <f t="shared" ca="1" si="19"/>
        <v>⬜  Pendiente de instrumento</v>
      </c>
      <c r="AD38" s="13" t="str">
        <f>IF(MATRIZ_174!U37="","",IF(MATRIZ_174!U37=0,"🚫  Inh. vigente OSCE",""))</f>
        <v/>
      </c>
      <c r="AE38" s="22">
        <f>IFERROR(MATRIZ_174!W37,0)</f>
        <v>0</v>
      </c>
      <c r="AF38" s="22">
        <f>IFERROR(MATRIZ_174!X37,0)</f>
        <v>0</v>
      </c>
      <c r="AG38" s="22">
        <f>IFERROR(MATRIZ_174!Y37,0)</f>
        <v>0</v>
      </c>
      <c r="AH38" s="22">
        <f>IFERROR(MATRIZ_174!Z37,0)</f>
        <v>0</v>
      </c>
      <c r="AI38" s="17">
        <f ca="1">IFERROR(MATRIZ_174!AP37,"N/A")</f>
        <v>0</v>
      </c>
      <c r="AJ38" s="17">
        <f>IFERROR(MATRIZ_174!AO37,"N/A")</f>
        <v>0</v>
      </c>
      <c r="AK38" s="23" t="str">
        <f t="shared" ca="1" si="20"/>
        <v>N/A</v>
      </c>
      <c r="AL38" s="24" t="str">
        <f t="shared" ca="1" si="21"/>
        <v>—</v>
      </c>
    </row>
    <row r="39" spans="1:38" ht="16.05" customHeight="1" x14ac:dyDescent="0.3">
      <c r="A39" s="13" t="s">
        <v>157</v>
      </c>
      <c r="B39" s="14" t="s">
        <v>158</v>
      </c>
      <c r="C39" s="13" t="s">
        <v>116</v>
      </c>
      <c r="D39" s="15">
        <v>0</v>
      </c>
      <c r="E39" s="16" t="str">
        <f>IF(NORMALIZADO!CB38="","",NORMALIZADO!CB38)</f>
        <v/>
      </c>
      <c r="F39" s="17" t="str">
        <f ca="1">IF(NORMALIZADO!CC38="","",NORMALIZADO!CC38)</f>
        <v/>
      </c>
      <c r="G39" s="17">
        <f ca="1">IF(NORMALIZADO!CD38="",IFERROR(MATRIZ_174!U38*100,""),NORMALIZADO!CD38)</f>
        <v>100</v>
      </c>
      <c r="H39" s="16" t="str">
        <f>IF(NORMALIZADO!CE38="","",NORMALIZADO!CE38)</f>
        <v/>
      </c>
      <c r="I39" s="17" t="str">
        <f>IF(NORMALIZADO!CF38="","",NORMALIZADO!CF38)</f>
        <v/>
      </c>
      <c r="J39" s="17" t="str">
        <f ca="1">IF(NORMALIZADO!CG38="","",NORMALIZADO!CG38)</f>
        <v/>
      </c>
      <c r="K39" s="16" t="str">
        <f ca="1">IF(NORMALIZADO!CH38="","",NORMALIZADO!CH38)</f>
        <v/>
      </c>
      <c r="L39" s="16" t="str">
        <f>IF(NORMALIZADO!CI38="","",NORMALIZADO!CI38)</f>
        <v/>
      </c>
      <c r="M39" s="16" t="str">
        <f>IF(NORMALIZADO!CJ38="","",NORMALIZADO!CJ38)</f>
        <v/>
      </c>
      <c r="N39" s="16" t="str">
        <f>IF(NORMALIZADO!CK38="","",NORMALIZADO!CK38)</f>
        <v/>
      </c>
      <c r="O39" s="16" t="str">
        <f>IF(NORMALIZADO!CL38="","",NORMALIZADO!CL38)</f>
        <v/>
      </c>
      <c r="P39" s="17" t="str">
        <f t="shared" ca="1" si="11"/>
        <v/>
      </c>
      <c r="Q39" s="17">
        <f t="shared" ca="1" si="12"/>
        <v>0</v>
      </c>
      <c r="R39" s="17">
        <f t="shared" ca="1" si="13"/>
        <v>0</v>
      </c>
      <c r="S39" s="17">
        <f t="shared" ca="1" si="14"/>
        <v>0</v>
      </c>
      <c r="T39" s="17">
        <f ca="1">IFERROR((K39+M39+MATRIZ_174!O38)/3,0)</f>
        <v>0</v>
      </c>
      <c r="U39" s="18">
        <f>IFERROR(MIN(100,ROUND(MATRIZ_174!M38,1)),0)</f>
        <v>0</v>
      </c>
      <c r="V39" s="18">
        <f t="shared" ca="1" si="15"/>
        <v>50</v>
      </c>
      <c r="W39" s="18">
        <f>IFERROR(IF(MATRIZ_174!R38=0,65,IF(MATRIZ_174!R38/MATRIZ_174!Q38&gt;=2,35,IF(MATRIZ_174!R38/MATRIZ_174!Q38&gt;=0.5,50,65))),65)</f>
        <v>65</v>
      </c>
      <c r="X39" s="18">
        <f>IFERROR(MIN(100,IF(MATRIZ_174!O38=0,70,30)+IF(MATRIZ_174!U38="",0,0.3*(100-MATRIZ_174!U38*100))),70)</f>
        <v>70</v>
      </c>
      <c r="Y39" s="18">
        <f>IF(OR(MATRIZ_174!P38="ASOCIACION",MATRIZ_174!P38="PENDIENTE"),65,40)</f>
        <v>65</v>
      </c>
      <c r="Z39" s="19" t="str">
        <f t="shared" ca="1" si="16"/>
        <v>—</v>
      </c>
      <c r="AA39" s="20">
        <f t="shared" ca="1" si="17"/>
        <v>50</v>
      </c>
      <c r="AB39" s="21" t="str">
        <f t="shared" ca="1" si="18"/>
        <v>—</v>
      </c>
      <c r="AC39" s="13" t="str">
        <f t="shared" ca="1" si="19"/>
        <v>⬜  Pendiente de instrumento</v>
      </c>
      <c r="AD39" s="13" t="str">
        <f>IF(MATRIZ_174!U38="","",IF(MATRIZ_174!U38=0,"🚫  Inh. vigente OSCE",""))</f>
        <v/>
      </c>
      <c r="AE39" s="22">
        <f>IFERROR(MATRIZ_174!W38,0)</f>
        <v>0</v>
      </c>
      <c r="AF39" s="22">
        <f>IFERROR(MATRIZ_174!X38,0)</f>
        <v>0</v>
      </c>
      <c r="AG39" s="22">
        <f>IFERROR(MATRIZ_174!Y38,0)</f>
        <v>0</v>
      </c>
      <c r="AH39" s="22">
        <f>IFERROR(MATRIZ_174!Z38,0)</f>
        <v>0</v>
      </c>
      <c r="AI39" s="17">
        <f ca="1">IFERROR(MATRIZ_174!AP38,"N/A")</f>
        <v>0</v>
      </c>
      <c r="AJ39" s="17">
        <f>IFERROR(MATRIZ_174!AO38,"N/A")</f>
        <v>0</v>
      </c>
      <c r="AK39" s="23" t="str">
        <f t="shared" ca="1" si="20"/>
        <v>N/A</v>
      </c>
      <c r="AL39" s="24" t="str">
        <f t="shared" ca="1" si="21"/>
        <v>—</v>
      </c>
    </row>
    <row r="40" spans="1:38" ht="16.05" customHeight="1" x14ac:dyDescent="0.3">
      <c r="A40" s="13" t="s">
        <v>159</v>
      </c>
      <c r="B40" s="14" t="s">
        <v>160</v>
      </c>
      <c r="C40" s="13" t="s">
        <v>116</v>
      </c>
      <c r="D40" s="15">
        <v>587607.64</v>
      </c>
      <c r="E40" s="16" t="str">
        <f>IF(NORMALIZADO!CB39="","",NORMALIZADO!CB39)</f>
        <v/>
      </c>
      <c r="F40" s="17" t="str">
        <f ca="1">IF(NORMALIZADO!CC39="","",NORMALIZADO!CC39)</f>
        <v/>
      </c>
      <c r="G40" s="17">
        <f ca="1">IF(NORMALIZADO!CD39="",IFERROR(MATRIZ_174!U39*100,""),NORMALIZADO!CD39)</f>
        <v>100</v>
      </c>
      <c r="H40" s="16" t="str">
        <f>IF(NORMALIZADO!CE39="","",NORMALIZADO!CE39)</f>
        <v/>
      </c>
      <c r="I40" s="17" t="str">
        <f>IF(NORMALIZADO!CF39="","",NORMALIZADO!CF39)</f>
        <v/>
      </c>
      <c r="J40" s="17" t="str">
        <f ca="1">IF(NORMALIZADO!CG39="","",NORMALIZADO!CG39)</f>
        <v/>
      </c>
      <c r="K40" s="16" t="str">
        <f ca="1">IF(NORMALIZADO!CH39="","",NORMALIZADO!CH39)</f>
        <v/>
      </c>
      <c r="L40" s="16" t="str">
        <f>IF(NORMALIZADO!CI39="","",NORMALIZADO!CI39)</f>
        <v/>
      </c>
      <c r="M40" s="16" t="str">
        <f>IF(NORMALIZADO!CJ39="","",NORMALIZADO!CJ39)</f>
        <v/>
      </c>
      <c r="N40" s="16" t="str">
        <f>IF(NORMALIZADO!CK39="","",NORMALIZADO!CK39)</f>
        <v/>
      </c>
      <c r="O40" s="16" t="str">
        <f>IF(NORMALIZADO!CL39="","",NORMALIZADO!CL39)</f>
        <v/>
      </c>
      <c r="P40" s="17" t="str">
        <f t="shared" ca="1" si="11"/>
        <v/>
      </c>
      <c r="Q40" s="17">
        <f t="shared" ca="1" si="12"/>
        <v>0</v>
      </c>
      <c r="R40" s="17">
        <f t="shared" ca="1" si="13"/>
        <v>0</v>
      </c>
      <c r="S40" s="17">
        <f t="shared" ca="1" si="14"/>
        <v>0</v>
      </c>
      <c r="T40" s="17">
        <f ca="1">IFERROR((K40+M40+MATRIZ_174!O39)/3,0)</f>
        <v>0</v>
      </c>
      <c r="U40" s="18">
        <f>IFERROR(MIN(100,ROUND(MATRIZ_174!M39,1)),0)</f>
        <v>50</v>
      </c>
      <c r="V40" s="18">
        <f t="shared" ca="1" si="15"/>
        <v>50</v>
      </c>
      <c r="W40" s="18">
        <f>IFERROR(IF(MATRIZ_174!R39=0,65,IF(MATRIZ_174!R39/MATRIZ_174!Q39&gt;=2,35,IF(MATRIZ_174!R39/MATRIZ_174!Q39&gt;=0.5,50,65))),65)</f>
        <v>65</v>
      </c>
      <c r="X40" s="18">
        <f>IFERROR(MIN(100,IF(MATRIZ_174!O39=0,70,30)+IF(MATRIZ_174!U39="",0,0.3*(100-MATRIZ_174!U39*100))),70)</f>
        <v>70</v>
      </c>
      <c r="Y40" s="18">
        <f>IF(OR(MATRIZ_174!P39="ASOCIACION",MATRIZ_174!P39="PENDIENTE"),65,40)</f>
        <v>65</v>
      </c>
      <c r="Z40" s="19" t="str">
        <f t="shared" ca="1" si="16"/>
        <v>—</v>
      </c>
      <c r="AA40" s="20">
        <f t="shared" ca="1" si="17"/>
        <v>60</v>
      </c>
      <c r="AB40" s="21" t="str">
        <f t="shared" ca="1" si="18"/>
        <v>—</v>
      </c>
      <c r="AC40" s="13" t="str">
        <f t="shared" ca="1" si="19"/>
        <v>⬜  Pendiente de instrumento</v>
      </c>
      <c r="AD40" s="13" t="str">
        <f>IF(MATRIZ_174!U39="","",IF(MATRIZ_174!U39=0,"🚫  Inh. vigente OSCE",""))</f>
        <v/>
      </c>
      <c r="AE40" s="22">
        <f>IFERROR(MATRIZ_174!W39,0)</f>
        <v>1</v>
      </c>
      <c r="AF40" s="22">
        <f>IFERROR(MATRIZ_174!X39,0)</f>
        <v>0</v>
      </c>
      <c r="AG40" s="22">
        <f>IFERROR(MATRIZ_174!Y39,0)</f>
        <v>0</v>
      </c>
      <c r="AH40" s="22">
        <f>IFERROR(MATRIZ_174!Z39,0)</f>
        <v>0</v>
      </c>
      <c r="AI40" s="17">
        <f ca="1">IFERROR(MATRIZ_174!AP39,"N/A")</f>
        <v>0.125</v>
      </c>
      <c r="AJ40" s="17">
        <f>IFERROR(MATRIZ_174!AO39,"N/A")</f>
        <v>0</v>
      </c>
      <c r="AK40" s="23" t="str">
        <f t="shared" ca="1" si="20"/>
        <v>N/A</v>
      </c>
      <c r="AL40" s="24" t="str">
        <f t="shared" ca="1" si="21"/>
        <v>—</v>
      </c>
    </row>
    <row r="41" spans="1:38" ht="16.05" customHeight="1" x14ac:dyDescent="0.3">
      <c r="A41" s="13" t="s">
        <v>161</v>
      </c>
      <c r="B41" s="14" t="s">
        <v>162</v>
      </c>
      <c r="C41" s="13" t="s">
        <v>116</v>
      </c>
      <c r="D41" s="15">
        <v>842214.99</v>
      </c>
      <c r="E41" s="16" t="str">
        <f>IF(NORMALIZADO!CB40="","",NORMALIZADO!CB40)</f>
        <v/>
      </c>
      <c r="F41" s="17" t="str">
        <f ca="1">IF(NORMALIZADO!CC40="","",NORMALIZADO!CC40)</f>
        <v/>
      </c>
      <c r="G41" s="17">
        <f ca="1">IF(NORMALIZADO!CD40="",IFERROR(MATRIZ_174!U40*100,""),NORMALIZADO!CD40)</f>
        <v>100</v>
      </c>
      <c r="H41" s="16" t="str">
        <f>IF(NORMALIZADO!CE40="","",NORMALIZADO!CE40)</f>
        <v/>
      </c>
      <c r="I41" s="17" t="str">
        <f>IF(NORMALIZADO!CF40="","",NORMALIZADO!CF40)</f>
        <v/>
      </c>
      <c r="J41" s="17" t="str">
        <f ca="1">IF(NORMALIZADO!CG40="","",NORMALIZADO!CG40)</f>
        <v/>
      </c>
      <c r="K41" s="16" t="str">
        <f ca="1">IF(NORMALIZADO!CH40="","",NORMALIZADO!CH40)</f>
        <v/>
      </c>
      <c r="L41" s="16" t="str">
        <f>IF(NORMALIZADO!CI40="","",NORMALIZADO!CI40)</f>
        <v/>
      </c>
      <c r="M41" s="16" t="str">
        <f>IF(NORMALIZADO!CJ40="","",NORMALIZADO!CJ40)</f>
        <v/>
      </c>
      <c r="N41" s="16" t="str">
        <f>IF(NORMALIZADO!CK40="","",NORMALIZADO!CK40)</f>
        <v/>
      </c>
      <c r="O41" s="16" t="str">
        <f>IF(NORMALIZADO!CL40="","",NORMALIZADO!CL40)</f>
        <v/>
      </c>
      <c r="P41" s="17" t="str">
        <f t="shared" ca="1" si="11"/>
        <v/>
      </c>
      <c r="Q41" s="17">
        <f t="shared" ca="1" si="12"/>
        <v>0</v>
      </c>
      <c r="R41" s="17">
        <f t="shared" ca="1" si="13"/>
        <v>0</v>
      </c>
      <c r="S41" s="17">
        <f t="shared" ca="1" si="14"/>
        <v>0</v>
      </c>
      <c r="T41" s="17">
        <f ca="1">IFERROR((K41+M41+MATRIZ_174!O40)/3,0)</f>
        <v>0</v>
      </c>
      <c r="U41" s="18">
        <f>IFERROR(MIN(100,ROUND(MATRIZ_174!M40,1)),0)</f>
        <v>50</v>
      </c>
      <c r="V41" s="18">
        <f t="shared" ca="1" si="15"/>
        <v>50</v>
      </c>
      <c r="W41" s="18">
        <f>IFERROR(IF(MATRIZ_174!R40=0,65,IF(MATRIZ_174!R40/MATRIZ_174!Q40&gt;=2,35,IF(MATRIZ_174!R40/MATRIZ_174!Q40&gt;=0.5,50,65))),65)</f>
        <v>65</v>
      </c>
      <c r="X41" s="18">
        <f>IFERROR(MIN(100,IF(MATRIZ_174!O40=0,70,30)+IF(MATRIZ_174!U40="",0,0.3*(100-MATRIZ_174!U40*100))),70)</f>
        <v>70</v>
      </c>
      <c r="Y41" s="18">
        <f>IF(OR(MATRIZ_174!P40="ASOCIACION",MATRIZ_174!P40="PENDIENTE"),65,40)</f>
        <v>65</v>
      </c>
      <c r="Z41" s="19" t="str">
        <f t="shared" ca="1" si="16"/>
        <v>—</v>
      </c>
      <c r="AA41" s="20">
        <f t="shared" ca="1" si="17"/>
        <v>60</v>
      </c>
      <c r="AB41" s="21" t="str">
        <f t="shared" ca="1" si="18"/>
        <v>—</v>
      </c>
      <c r="AC41" s="13" t="str">
        <f t="shared" ca="1" si="19"/>
        <v>⬜  Pendiente de instrumento</v>
      </c>
      <c r="AD41" s="13" t="str">
        <f>IF(MATRIZ_174!U40="","",IF(MATRIZ_174!U40=0,"🚫  Inh. vigente OSCE",""))</f>
        <v/>
      </c>
      <c r="AE41" s="22">
        <f>IFERROR(MATRIZ_174!W40,0)</f>
        <v>1</v>
      </c>
      <c r="AF41" s="22">
        <f>IFERROR(MATRIZ_174!X40,0)</f>
        <v>0</v>
      </c>
      <c r="AG41" s="22">
        <f>IFERROR(MATRIZ_174!Y40,0)</f>
        <v>0</v>
      </c>
      <c r="AH41" s="22">
        <f>IFERROR(MATRIZ_174!Z40,0)</f>
        <v>0</v>
      </c>
      <c r="AI41" s="17">
        <f ca="1">IFERROR(MATRIZ_174!AP40,"N/A")</f>
        <v>0.125</v>
      </c>
      <c r="AJ41" s="17">
        <f>IFERROR(MATRIZ_174!AO40,"N/A")</f>
        <v>0</v>
      </c>
      <c r="AK41" s="23" t="str">
        <f t="shared" ca="1" si="20"/>
        <v>N/A</v>
      </c>
      <c r="AL41" s="24" t="str">
        <f t="shared" ca="1" si="21"/>
        <v>—</v>
      </c>
    </row>
    <row r="42" spans="1:38" ht="16.05" customHeight="1" x14ac:dyDescent="0.3">
      <c r="A42" s="13" t="s">
        <v>163</v>
      </c>
      <c r="B42" s="14" t="s">
        <v>164</v>
      </c>
      <c r="C42" s="13" t="s">
        <v>116</v>
      </c>
      <c r="D42" s="15">
        <v>0</v>
      </c>
      <c r="E42" s="16" t="str">
        <f>IF(NORMALIZADO!CB41="","",NORMALIZADO!CB41)</f>
        <v/>
      </c>
      <c r="F42" s="17" t="str">
        <f ca="1">IF(NORMALIZADO!CC41="","",NORMALIZADO!CC41)</f>
        <v/>
      </c>
      <c r="G42" s="17">
        <f ca="1">IF(NORMALIZADO!CD41="",IFERROR(MATRIZ_174!U41*100,""),NORMALIZADO!CD41)</f>
        <v>100</v>
      </c>
      <c r="H42" s="16" t="str">
        <f>IF(NORMALIZADO!CE41="","",NORMALIZADO!CE41)</f>
        <v/>
      </c>
      <c r="I42" s="17" t="str">
        <f>IF(NORMALIZADO!CF41="","",NORMALIZADO!CF41)</f>
        <v/>
      </c>
      <c r="J42" s="17" t="str">
        <f ca="1">IF(NORMALIZADO!CG41="","",NORMALIZADO!CG41)</f>
        <v/>
      </c>
      <c r="K42" s="16" t="str">
        <f ca="1">IF(NORMALIZADO!CH41="","",NORMALIZADO!CH41)</f>
        <v/>
      </c>
      <c r="L42" s="16" t="str">
        <f>IF(NORMALIZADO!CI41="","",NORMALIZADO!CI41)</f>
        <v/>
      </c>
      <c r="M42" s="16" t="str">
        <f>IF(NORMALIZADO!CJ41="","",NORMALIZADO!CJ41)</f>
        <v/>
      </c>
      <c r="N42" s="16" t="str">
        <f>IF(NORMALIZADO!CK41="","",NORMALIZADO!CK41)</f>
        <v/>
      </c>
      <c r="O42" s="16" t="str">
        <f>IF(NORMALIZADO!CL41="","",NORMALIZADO!CL41)</f>
        <v/>
      </c>
      <c r="P42" s="17" t="str">
        <f t="shared" ca="1" si="11"/>
        <v/>
      </c>
      <c r="Q42" s="17">
        <f t="shared" ca="1" si="12"/>
        <v>0</v>
      </c>
      <c r="R42" s="17">
        <f t="shared" ca="1" si="13"/>
        <v>0</v>
      </c>
      <c r="S42" s="17">
        <f t="shared" ca="1" si="14"/>
        <v>0</v>
      </c>
      <c r="T42" s="17">
        <f ca="1">IFERROR((K42+M42+MATRIZ_174!O41)/3,0)</f>
        <v>0</v>
      </c>
      <c r="U42" s="18">
        <f>IFERROR(MIN(100,ROUND(MATRIZ_174!M41,1)),0)</f>
        <v>0</v>
      </c>
      <c r="V42" s="18">
        <f t="shared" ca="1" si="15"/>
        <v>50</v>
      </c>
      <c r="W42" s="18">
        <f>IFERROR(IF(MATRIZ_174!R41=0,65,IF(MATRIZ_174!R41/MATRIZ_174!Q41&gt;=2,35,IF(MATRIZ_174!R41/MATRIZ_174!Q41&gt;=0.5,50,65))),65)</f>
        <v>65</v>
      </c>
      <c r="X42" s="18">
        <f>IFERROR(MIN(100,IF(MATRIZ_174!O41=0,70,30)+IF(MATRIZ_174!U41="",0,0.3*(100-MATRIZ_174!U41*100))),70)</f>
        <v>70</v>
      </c>
      <c r="Y42" s="18">
        <f>IF(OR(MATRIZ_174!P41="ASOCIACION",MATRIZ_174!P41="PENDIENTE"),65,40)</f>
        <v>65</v>
      </c>
      <c r="Z42" s="19" t="str">
        <f t="shared" ca="1" si="16"/>
        <v>—</v>
      </c>
      <c r="AA42" s="20">
        <f t="shared" ca="1" si="17"/>
        <v>50</v>
      </c>
      <c r="AB42" s="21" t="str">
        <f t="shared" ca="1" si="18"/>
        <v>—</v>
      </c>
      <c r="AC42" s="13" t="str">
        <f t="shared" ca="1" si="19"/>
        <v>⬜  Pendiente de instrumento</v>
      </c>
      <c r="AD42" s="13" t="str">
        <f>IF(MATRIZ_174!U41="","",IF(MATRIZ_174!U41=0,"🚫  Inh. vigente OSCE",""))</f>
        <v/>
      </c>
      <c r="AE42" s="22">
        <f>IFERROR(MATRIZ_174!W41,0)</f>
        <v>0</v>
      </c>
      <c r="AF42" s="22">
        <f>IFERROR(MATRIZ_174!X41,0)</f>
        <v>0</v>
      </c>
      <c r="AG42" s="22">
        <f>IFERROR(MATRIZ_174!Y41,0)</f>
        <v>0</v>
      </c>
      <c r="AH42" s="22">
        <f>IFERROR(MATRIZ_174!Z41,0)</f>
        <v>0</v>
      </c>
      <c r="AI42" s="17">
        <f ca="1">IFERROR(MATRIZ_174!AP41,"N/A")</f>
        <v>0</v>
      </c>
      <c r="AJ42" s="17">
        <f>IFERROR(MATRIZ_174!AO41,"N/A")</f>
        <v>0</v>
      </c>
      <c r="AK42" s="23" t="str">
        <f t="shared" ca="1" si="20"/>
        <v>N/A</v>
      </c>
      <c r="AL42" s="24" t="str">
        <f t="shared" ca="1" si="21"/>
        <v>—</v>
      </c>
    </row>
    <row r="43" spans="1:38" ht="16.05" customHeight="1" x14ac:dyDescent="0.3">
      <c r="A43" s="13" t="s">
        <v>165</v>
      </c>
      <c r="B43" s="14" t="s">
        <v>166</v>
      </c>
      <c r="C43" s="13" t="s">
        <v>107</v>
      </c>
      <c r="D43" s="15">
        <v>408500</v>
      </c>
      <c r="E43" s="16" t="str">
        <f>IF(NORMALIZADO!CB42="","",NORMALIZADO!CB42)</f>
        <v/>
      </c>
      <c r="F43" s="17" t="str">
        <f ca="1">IF(NORMALIZADO!CC42="","",NORMALIZADO!CC42)</f>
        <v/>
      </c>
      <c r="G43" s="17">
        <f ca="1">IF(NORMALIZADO!CD42="",IFERROR(MATRIZ_174!U42*100,""),NORMALIZADO!CD42)</f>
        <v>100</v>
      </c>
      <c r="H43" s="16" t="str">
        <f>IF(NORMALIZADO!CE42="","",NORMALIZADO!CE42)</f>
        <v/>
      </c>
      <c r="I43" s="17" t="str">
        <f>IF(NORMALIZADO!CF42="","",NORMALIZADO!CF42)</f>
        <v/>
      </c>
      <c r="J43" s="17" t="str">
        <f ca="1">IF(NORMALIZADO!CG42="","",NORMALIZADO!CG42)</f>
        <v/>
      </c>
      <c r="K43" s="16" t="str">
        <f ca="1">IF(NORMALIZADO!CH42="","",NORMALIZADO!CH42)</f>
        <v/>
      </c>
      <c r="L43" s="16" t="str">
        <f>IF(NORMALIZADO!CI42="","",NORMALIZADO!CI42)</f>
        <v/>
      </c>
      <c r="M43" s="16" t="str">
        <f>IF(NORMALIZADO!CJ42="","",NORMALIZADO!CJ42)</f>
        <v/>
      </c>
      <c r="N43" s="16" t="str">
        <f>IF(NORMALIZADO!CK42="","",NORMALIZADO!CK42)</f>
        <v/>
      </c>
      <c r="O43" s="16" t="str">
        <f>IF(NORMALIZADO!CL42="","",NORMALIZADO!CL42)</f>
        <v/>
      </c>
      <c r="P43" s="17" t="str">
        <f t="shared" ca="1" si="11"/>
        <v/>
      </c>
      <c r="Q43" s="17">
        <f t="shared" ca="1" si="12"/>
        <v>0</v>
      </c>
      <c r="R43" s="17">
        <f t="shared" ca="1" si="13"/>
        <v>0</v>
      </c>
      <c r="S43" s="17">
        <f t="shared" ca="1" si="14"/>
        <v>0</v>
      </c>
      <c r="T43" s="17">
        <f ca="1">IFERROR((K43+M43+MATRIZ_174!O42)/3,0)</f>
        <v>0</v>
      </c>
      <c r="U43" s="18">
        <f>IFERROR(MIN(100,ROUND(MATRIZ_174!M42,1)),0)</f>
        <v>50</v>
      </c>
      <c r="V43" s="18">
        <f t="shared" ca="1" si="15"/>
        <v>50</v>
      </c>
      <c r="W43" s="18">
        <f>IFERROR(IF(MATRIZ_174!R42=0,65,IF(MATRIZ_174!R42/MATRIZ_174!Q42&gt;=2,35,IF(MATRIZ_174!R42/MATRIZ_174!Q42&gt;=0.5,50,65))),65)</f>
        <v>65</v>
      </c>
      <c r="X43" s="18">
        <f>IFERROR(MIN(100,IF(MATRIZ_174!O42=0,70,30)+IF(MATRIZ_174!U42="",0,0.3*(100-MATRIZ_174!U42*100))),70)</f>
        <v>70</v>
      </c>
      <c r="Y43" s="18">
        <f>IF(OR(MATRIZ_174!P42="ASOCIACION",MATRIZ_174!P42="PENDIENTE"),65,40)</f>
        <v>65</v>
      </c>
      <c r="Z43" s="19" t="str">
        <f t="shared" ca="1" si="16"/>
        <v>—</v>
      </c>
      <c r="AA43" s="20">
        <f t="shared" ca="1" si="17"/>
        <v>60</v>
      </c>
      <c r="AB43" s="21" t="str">
        <f t="shared" ca="1" si="18"/>
        <v>—</v>
      </c>
      <c r="AC43" s="13" t="str">
        <f t="shared" ca="1" si="19"/>
        <v>⬜  Pendiente de instrumento</v>
      </c>
      <c r="AD43" s="13" t="str">
        <f>IF(MATRIZ_174!U42="","",IF(MATRIZ_174!U42=0,"🚫  Inh. vigente OSCE",""))</f>
        <v/>
      </c>
      <c r="AE43" s="22">
        <f>IFERROR(MATRIZ_174!W42,0)</f>
        <v>0</v>
      </c>
      <c r="AF43" s="22">
        <f>IFERROR(MATRIZ_174!X42,0)</f>
        <v>0</v>
      </c>
      <c r="AG43" s="22">
        <f>IFERROR(MATRIZ_174!Y42,0)</f>
        <v>0</v>
      </c>
      <c r="AH43" s="22">
        <f>IFERROR(MATRIZ_174!Z42,0)</f>
        <v>0</v>
      </c>
      <c r="AI43" s="17">
        <f ca="1">IFERROR(MATRIZ_174!AP42,"N/A")</f>
        <v>0.1</v>
      </c>
      <c r="AJ43" s="17">
        <f>IFERROR(MATRIZ_174!AO42,"N/A")</f>
        <v>0</v>
      </c>
      <c r="AK43" s="23" t="str">
        <f t="shared" ca="1" si="20"/>
        <v>N/A</v>
      </c>
      <c r="AL43" s="24" t="str">
        <f t="shared" ca="1" si="21"/>
        <v>—</v>
      </c>
    </row>
    <row r="44" spans="1:38" ht="16.05" customHeight="1" x14ac:dyDescent="0.3">
      <c r="A44" s="13" t="s">
        <v>167</v>
      </c>
      <c r="B44" s="14" t="s">
        <v>168</v>
      </c>
      <c r="C44" s="13" t="s">
        <v>77</v>
      </c>
      <c r="D44" s="15">
        <v>0</v>
      </c>
      <c r="E44" s="16" t="str">
        <f>IF(NORMALIZADO!CB43="","",NORMALIZADO!CB43)</f>
        <v/>
      </c>
      <c r="F44" s="17" t="str">
        <f ca="1">IF(NORMALIZADO!CC43="","",NORMALIZADO!CC43)</f>
        <v/>
      </c>
      <c r="G44" s="17">
        <f ca="1">IF(NORMALIZADO!CD43="",IFERROR(MATRIZ_174!U43*100,""),NORMALIZADO!CD43)</f>
        <v>100</v>
      </c>
      <c r="H44" s="16" t="str">
        <f>IF(NORMALIZADO!CE43="","",NORMALIZADO!CE43)</f>
        <v/>
      </c>
      <c r="I44" s="17" t="str">
        <f>IF(NORMALIZADO!CF43="","",NORMALIZADO!CF43)</f>
        <v/>
      </c>
      <c r="J44" s="17" t="str">
        <f ca="1">IF(NORMALIZADO!CG43="","",NORMALIZADO!CG43)</f>
        <v/>
      </c>
      <c r="K44" s="16" t="str">
        <f ca="1">IF(NORMALIZADO!CH43="","",NORMALIZADO!CH43)</f>
        <v/>
      </c>
      <c r="L44" s="16" t="str">
        <f>IF(NORMALIZADO!CI43="","",NORMALIZADO!CI43)</f>
        <v/>
      </c>
      <c r="M44" s="16" t="str">
        <f>IF(NORMALIZADO!CJ43="","",NORMALIZADO!CJ43)</f>
        <v/>
      </c>
      <c r="N44" s="16" t="str">
        <f>IF(NORMALIZADO!CK43="","",NORMALIZADO!CK43)</f>
        <v/>
      </c>
      <c r="O44" s="16" t="str">
        <f>IF(NORMALIZADO!CL43="","",NORMALIZADO!CL43)</f>
        <v/>
      </c>
      <c r="P44" s="17" t="str">
        <f t="shared" ca="1" si="11"/>
        <v/>
      </c>
      <c r="Q44" s="17">
        <f t="shared" ca="1" si="12"/>
        <v>0</v>
      </c>
      <c r="R44" s="17">
        <f t="shared" ca="1" si="13"/>
        <v>0</v>
      </c>
      <c r="S44" s="17">
        <f t="shared" ca="1" si="14"/>
        <v>0</v>
      </c>
      <c r="T44" s="17">
        <f ca="1">IFERROR((K44+M44+MATRIZ_174!O43)/3,0)</f>
        <v>0</v>
      </c>
      <c r="U44" s="18">
        <f>IFERROR(MIN(100,ROUND(MATRIZ_174!M43,1)),0)</f>
        <v>0</v>
      </c>
      <c r="V44" s="18">
        <f t="shared" ca="1" si="15"/>
        <v>50</v>
      </c>
      <c r="W44" s="18">
        <f>IFERROR(IF(MATRIZ_174!R43=0,65,IF(MATRIZ_174!R43/MATRIZ_174!Q43&gt;=2,35,IF(MATRIZ_174!R43/MATRIZ_174!Q43&gt;=0.5,50,65))),65)</f>
        <v>65</v>
      </c>
      <c r="X44" s="18">
        <f>IFERROR(MIN(100,IF(MATRIZ_174!O43=0,70,30)+IF(MATRIZ_174!U43="",0,0.3*(100-MATRIZ_174!U43*100))),70)</f>
        <v>70</v>
      </c>
      <c r="Y44" s="18">
        <f>IF(OR(MATRIZ_174!P43="ASOCIACION",MATRIZ_174!P43="PENDIENTE"),65,40)</f>
        <v>65</v>
      </c>
      <c r="Z44" s="19" t="str">
        <f t="shared" ca="1" si="16"/>
        <v>—</v>
      </c>
      <c r="AA44" s="20">
        <f t="shared" ca="1" si="17"/>
        <v>50</v>
      </c>
      <c r="AB44" s="21" t="str">
        <f t="shared" ca="1" si="18"/>
        <v>—</v>
      </c>
      <c r="AC44" s="13" t="str">
        <f t="shared" ca="1" si="19"/>
        <v>⬜  Pendiente de instrumento</v>
      </c>
      <c r="AD44" s="13" t="str">
        <f>IF(MATRIZ_174!U43="","",IF(MATRIZ_174!U43=0,"🚫  Inh. vigente OSCE",""))</f>
        <v/>
      </c>
      <c r="AE44" s="22">
        <f>IFERROR(MATRIZ_174!W43,0)</f>
        <v>0</v>
      </c>
      <c r="AF44" s="22">
        <f>IFERROR(MATRIZ_174!X43,0)</f>
        <v>0</v>
      </c>
      <c r="AG44" s="22">
        <f>IFERROR(MATRIZ_174!Y43,0)</f>
        <v>0</v>
      </c>
      <c r="AH44" s="22">
        <f>IFERROR(MATRIZ_174!Z43,0)</f>
        <v>0</v>
      </c>
      <c r="AI44" s="17">
        <f ca="1">IFERROR(MATRIZ_174!AP43,"N/A")</f>
        <v>0</v>
      </c>
      <c r="AJ44" s="17">
        <f>IFERROR(MATRIZ_174!AO43,"N/A")</f>
        <v>0</v>
      </c>
      <c r="AK44" s="23" t="str">
        <f t="shared" ca="1" si="20"/>
        <v>N/A</v>
      </c>
      <c r="AL44" s="24" t="str">
        <f t="shared" ca="1" si="21"/>
        <v>—</v>
      </c>
    </row>
    <row r="45" spans="1:38" ht="16.05" customHeight="1" x14ac:dyDescent="0.3">
      <c r="A45" s="13" t="s">
        <v>169</v>
      </c>
      <c r="B45" s="14" t="s">
        <v>170</v>
      </c>
      <c r="C45" s="13" t="s">
        <v>77</v>
      </c>
      <c r="D45" s="15">
        <v>0</v>
      </c>
      <c r="E45" s="16" t="str">
        <f>IF(NORMALIZADO!CB44="","",NORMALIZADO!CB44)</f>
        <v/>
      </c>
      <c r="F45" s="17" t="str">
        <f ca="1">IF(NORMALIZADO!CC44="","",NORMALIZADO!CC44)</f>
        <v/>
      </c>
      <c r="G45" s="17">
        <f ca="1">IF(NORMALIZADO!CD44="",IFERROR(MATRIZ_174!U44*100,""),NORMALIZADO!CD44)</f>
        <v>100</v>
      </c>
      <c r="H45" s="16" t="str">
        <f>IF(NORMALIZADO!CE44="","",NORMALIZADO!CE44)</f>
        <v/>
      </c>
      <c r="I45" s="17" t="str">
        <f>IF(NORMALIZADO!CF44="","",NORMALIZADO!CF44)</f>
        <v/>
      </c>
      <c r="J45" s="17" t="str">
        <f ca="1">IF(NORMALIZADO!CG44="","",NORMALIZADO!CG44)</f>
        <v/>
      </c>
      <c r="K45" s="16" t="str">
        <f ca="1">IF(NORMALIZADO!CH44="","",NORMALIZADO!CH44)</f>
        <v/>
      </c>
      <c r="L45" s="16" t="str">
        <f>IF(NORMALIZADO!CI44="","",NORMALIZADO!CI44)</f>
        <v/>
      </c>
      <c r="M45" s="16" t="str">
        <f>IF(NORMALIZADO!CJ44="","",NORMALIZADO!CJ44)</f>
        <v/>
      </c>
      <c r="N45" s="16" t="str">
        <f>IF(NORMALIZADO!CK44="","",NORMALIZADO!CK44)</f>
        <v/>
      </c>
      <c r="O45" s="16" t="str">
        <f>IF(NORMALIZADO!CL44="","",NORMALIZADO!CL44)</f>
        <v/>
      </c>
      <c r="P45" s="17" t="str">
        <f t="shared" ca="1" si="11"/>
        <v/>
      </c>
      <c r="Q45" s="17">
        <f t="shared" ca="1" si="12"/>
        <v>0</v>
      </c>
      <c r="R45" s="17">
        <f t="shared" ca="1" si="13"/>
        <v>0</v>
      </c>
      <c r="S45" s="17">
        <f t="shared" ca="1" si="14"/>
        <v>0</v>
      </c>
      <c r="T45" s="17">
        <f ca="1">IFERROR((K45+M45+MATRIZ_174!O44)/3,0)</f>
        <v>0</v>
      </c>
      <c r="U45" s="18">
        <f>IFERROR(MIN(100,ROUND(MATRIZ_174!M44,1)),0)</f>
        <v>0</v>
      </c>
      <c r="V45" s="18">
        <f t="shared" ca="1" si="15"/>
        <v>50</v>
      </c>
      <c r="W45" s="18">
        <f>IFERROR(IF(MATRIZ_174!R44=0,65,IF(MATRIZ_174!R44/MATRIZ_174!Q44&gt;=2,35,IF(MATRIZ_174!R44/MATRIZ_174!Q44&gt;=0.5,50,65))),65)</f>
        <v>65</v>
      </c>
      <c r="X45" s="18">
        <f>IFERROR(MIN(100,IF(MATRIZ_174!O44=0,70,30)+IF(MATRIZ_174!U44="",0,0.3*(100-MATRIZ_174!U44*100))),70)</f>
        <v>70</v>
      </c>
      <c r="Y45" s="18">
        <f>IF(OR(MATRIZ_174!P44="ASOCIACION",MATRIZ_174!P44="PENDIENTE"),65,40)</f>
        <v>65</v>
      </c>
      <c r="Z45" s="19" t="str">
        <f t="shared" ca="1" si="16"/>
        <v>—</v>
      </c>
      <c r="AA45" s="20">
        <f t="shared" ca="1" si="17"/>
        <v>50</v>
      </c>
      <c r="AB45" s="21" t="str">
        <f t="shared" ca="1" si="18"/>
        <v>—</v>
      </c>
      <c r="AC45" s="13" t="str">
        <f t="shared" ca="1" si="19"/>
        <v>⬜  Pendiente de instrumento</v>
      </c>
      <c r="AD45" s="13" t="str">
        <f>IF(MATRIZ_174!U44="","",IF(MATRIZ_174!U44=0,"🚫  Inh. vigente OSCE",""))</f>
        <v/>
      </c>
      <c r="AE45" s="22">
        <f>IFERROR(MATRIZ_174!W44,0)</f>
        <v>0</v>
      </c>
      <c r="AF45" s="22">
        <f>IFERROR(MATRIZ_174!X44,0)</f>
        <v>0</v>
      </c>
      <c r="AG45" s="22">
        <f>IFERROR(MATRIZ_174!Y44,0)</f>
        <v>0</v>
      </c>
      <c r="AH45" s="22">
        <f>IFERROR(MATRIZ_174!Z44,0)</f>
        <v>0</v>
      </c>
      <c r="AI45" s="17">
        <f ca="1">IFERROR(MATRIZ_174!AP44,"N/A")</f>
        <v>0</v>
      </c>
      <c r="AJ45" s="17">
        <f>IFERROR(MATRIZ_174!AO44,"N/A")</f>
        <v>0</v>
      </c>
      <c r="AK45" s="23" t="str">
        <f t="shared" ca="1" si="20"/>
        <v>N/A</v>
      </c>
      <c r="AL45" s="24" t="str">
        <f t="shared" ca="1" si="21"/>
        <v>—</v>
      </c>
    </row>
    <row r="46" spans="1:38" ht="16.05" customHeight="1" x14ac:dyDescent="0.3">
      <c r="A46" s="13" t="s">
        <v>171</v>
      </c>
      <c r="B46" s="14" t="s">
        <v>172</v>
      </c>
      <c r="C46" s="13" t="s">
        <v>77</v>
      </c>
      <c r="D46" s="15">
        <v>6603846.0300000003</v>
      </c>
      <c r="E46" s="16" t="str">
        <f>IF(NORMALIZADO!CB45="","",NORMALIZADO!CB45)</f>
        <v/>
      </c>
      <c r="F46" s="17" t="str">
        <f ca="1">IF(NORMALIZADO!CC45="","",NORMALIZADO!CC45)</f>
        <v/>
      </c>
      <c r="G46" s="17">
        <f ca="1">IF(NORMALIZADO!CD45="",IFERROR(MATRIZ_174!U45*100,""),NORMALIZADO!CD45)</f>
        <v>100</v>
      </c>
      <c r="H46" s="16" t="str">
        <f>IF(NORMALIZADO!CE45="","",NORMALIZADO!CE45)</f>
        <v/>
      </c>
      <c r="I46" s="17" t="str">
        <f>IF(NORMALIZADO!CF45="","",NORMALIZADO!CF45)</f>
        <v/>
      </c>
      <c r="J46" s="17" t="str">
        <f ca="1">IF(NORMALIZADO!CG45="","",NORMALIZADO!CG45)</f>
        <v/>
      </c>
      <c r="K46" s="16" t="str">
        <f ca="1">IF(NORMALIZADO!CH45="","",NORMALIZADO!CH45)</f>
        <v/>
      </c>
      <c r="L46" s="16" t="str">
        <f>IF(NORMALIZADO!CI45="","",NORMALIZADO!CI45)</f>
        <v/>
      </c>
      <c r="M46" s="16" t="str">
        <f>IF(NORMALIZADO!CJ45="","",NORMALIZADO!CJ45)</f>
        <v/>
      </c>
      <c r="N46" s="16" t="str">
        <f>IF(NORMALIZADO!CK45="","",NORMALIZADO!CK45)</f>
        <v/>
      </c>
      <c r="O46" s="16" t="str">
        <f>IF(NORMALIZADO!CL45="","",NORMALIZADO!CL45)</f>
        <v/>
      </c>
      <c r="P46" s="17" t="str">
        <f t="shared" ca="1" si="11"/>
        <v/>
      </c>
      <c r="Q46" s="17">
        <f t="shared" ca="1" si="12"/>
        <v>0</v>
      </c>
      <c r="R46" s="17">
        <f t="shared" ca="1" si="13"/>
        <v>0</v>
      </c>
      <c r="S46" s="17">
        <f t="shared" ca="1" si="14"/>
        <v>0</v>
      </c>
      <c r="T46" s="17">
        <f ca="1">IFERROR((K46+M46+MATRIZ_174!O45)/3,0)</f>
        <v>0</v>
      </c>
      <c r="U46" s="18">
        <f>IFERROR(MIN(100,ROUND(MATRIZ_174!M45,1)),0)</f>
        <v>50</v>
      </c>
      <c r="V46" s="18">
        <f t="shared" ca="1" si="15"/>
        <v>50</v>
      </c>
      <c r="W46" s="18">
        <f>IFERROR(IF(MATRIZ_174!R45=0,65,IF(MATRIZ_174!R45/MATRIZ_174!Q45&gt;=2,35,IF(MATRIZ_174!R45/MATRIZ_174!Q45&gt;=0.5,50,65))),65)</f>
        <v>65</v>
      </c>
      <c r="X46" s="18">
        <f>IFERROR(MIN(100,IF(MATRIZ_174!O45=0,70,30)+IF(MATRIZ_174!U45="",0,0.3*(100-MATRIZ_174!U45*100))),70)</f>
        <v>70</v>
      </c>
      <c r="Y46" s="18">
        <f>IF(OR(MATRIZ_174!P45="ASOCIACION",MATRIZ_174!P45="PENDIENTE"),65,40)</f>
        <v>65</v>
      </c>
      <c r="Z46" s="19" t="str">
        <f t="shared" ca="1" si="16"/>
        <v>—</v>
      </c>
      <c r="AA46" s="20">
        <f t="shared" ca="1" si="17"/>
        <v>60</v>
      </c>
      <c r="AB46" s="21" t="str">
        <f t="shared" ca="1" si="18"/>
        <v>—</v>
      </c>
      <c r="AC46" s="13" t="str">
        <f t="shared" ca="1" si="19"/>
        <v>⬜  Pendiente de instrumento</v>
      </c>
      <c r="AD46" s="13" t="str">
        <f>IF(MATRIZ_174!U45="","",IF(MATRIZ_174!U45=0,"🚫  Inh. vigente OSCE",""))</f>
        <v/>
      </c>
      <c r="AE46" s="22">
        <f>IFERROR(MATRIZ_174!W45,0)</f>
        <v>1</v>
      </c>
      <c r="AF46" s="22">
        <f>IFERROR(MATRIZ_174!X45,0)</f>
        <v>0</v>
      </c>
      <c r="AG46" s="22">
        <f>IFERROR(MATRIZ_174!Y45,0)</f>
        <v>0</v>
      </c>
      <c r="AH46" s="22">
        <f>IFERROR(MATRIZ_174!Z45,0)</f>
        <v>0</v>
      </c>
      <c r="AI46" s="17">
        <f ca="1">IFERROR(MATRIZ_174!AP45,"N/A")</f>
        <v>0.125</v>
      </c>
      <c r="AJ46" s="17">
        <f>IFERROR(MATRIZ_174!AO45,"N/A")</f>
        <v>0</v>
      </c>
      <c r="AK46" s="23" t="str">
        <f t="shared" ca="1" si="20"/>
        <v>N/A</v>
      </c>
      <c r="AL46" s="24" t="str">
        <f t="shared" ca="1" si="21"/>
        <v>—</v>
      </c>
    </row>
    <row r="47" spans="1:38" ht="16.05" customHeight="1" x14ac:dyDescent="0.3">
      <c r="A47" s="13" t="s">
        <v>173</v>
      </c>
      <c r="B47" s="14" t="s">
        <v>174</v>
      </c>
      <c r="C47" s="13" t="s">
        <v>77</v>
      </c>
      <c r="D47" s="15">
        <v>0</v>
      </c>
      <c r="E47" s="16" t="str">
        <f>IF(NORMALIZADO!CB46="","",NORMALIZADO!CB46)</f>
        <v/>
      </c>
      <c r="F47" s="17" t="str">
        <f ca="1">IF(NORMALIZADO!CC46="","",NORMALIZADO!CC46)</f>
        <v/>
      </c>
      <c r="G47" s="17">
        <f ca="1">IF(NORMALIZADO!CD46="",IFERROR(MATRIZ_174!U46*100,""),NORMALIZADO!CD46)</f>
        <v>100</v>
      </c>
      <c r="H47" s="16" t="str">
        <f>IF(NORMALIZADO!CE46="","",NORMALIZADO!CE46)</f>
        <v/>
      </c>
      <c r="I47" s="17" t="str">
        <f>IF(NORMALIZADO!CF46="","",NORMALIZADO!CF46)</f>
        <v/>
      </c>
      <c r="J47" s="17" t="str">
        <f ca="1">IF(NORMALIZADO!CG46="","",NORMALIZADO!CG46)</f>
        <v/>
      </c>
      <c r="K47" s="16" t="str">
        <f ca="1">IF(NORMALIZADO!CH46="","",NORMALIZADO!CH46)</f>
        <v/>
      </c>
      <c r="L47" s="16" t="str">
        <f>IF(NORMALIZADO!CI46="","",NORMALIZADO!CI46)</f>
        <v/>
      </c>
      <c r="M47" s="16" t="str">
        <f>IF(NORMALIZADO!CJ46="","",NORMALIZADO!CJ46)</f>
        <v/>
      </c>
      <c r="N47" s="16" t="str">
        <f>IF(NORMALIZADO!CK46="","",NORMALIZADO!CK46)</f>
        <v/>
      </c>
      <c r="O47" s="16" t="str">
        <f>IF(NORMALIZADO!CL46="","",NORMALIZADO!CL46)</f>
        <v/>
      </c>
      <c r="P47" s="17" t="str">
        <f t="shared" ca="1" si="11"/>
        <v/>
      </c>
      <c r="Q47" s="17">
        <f t="shared" ca="1" si="12"/>
        <v>0</v>
      </c>
      <c r="R47" s="17">
        <f t="shared" ca="1" si="13"/>
        <v>0</v>
      </c>
      <c r="S47" s="17">
        <f t="shared" ca="1" si="14"/>
        <v>0</v>
      </c>
      <c r="T47" s="17">
        <f ca="1">IFERROR((K47+M47+MATRIZ_174!O46)/3,0)</f>
        <v>0</v>
      </c>
      <c r="U47" s="18">
        <f>IFERROR(MIN(100,ROUND(MATRIZ_174!M46,1)),0)</f>
        <v>0</v>
      </c>
      <c r="V47" s="18">
        <f t="shared" ca="1" si="15"/>
        <v>50</v>
      </c>
      <c r="W47" s="18">
        <f>IFERROR(IF(MATRIZ_174!R46=0,65,IF(MATRIZ_174!R46/MATRIZ_174!Q46&gt;=2,35,IF(MATRIZ_174!R46/MATRIZ_174!Q46&gt;=0.5,50,65))),65)</f>
        <v>65</v>
      </c>
      <c r="X47" s="18">
        <f>IFERROR(MIN(100,IF(MATRIZ_174!O46=0,70,30)+IF(MATRIZ_174!U46="",0,0.3*(100-MATRIZ_174!U46*100))),70)</f>
        <v>70</v>
      </c>
      <c r="Y47" s="18">
        <f>IF(OR(MATRIZ_174!P46="ASOCIACION",MATRIZ_174!P46="PENDIENTE"),65,40)</f>
        <v>65</v>
      </c>
      <c r="Z47" s="19" t="str">
        <f t="shared" ca="1" si="16"/>
        <v>—</v>
      </c>
      <c r="AA47" s="20">
        <f t="shared" ca="1" si="17"/>
        <v>50</v>
      </c>
      <c r="AB47" s="21" t="str">
        <f t="shared" ca="1" si="18"/>
        <v>—</v>
      </c>
      <c r="AC47" s="13" t="str">
        <f t="shared" ca="1" si="19"/>
        <v>⬜  Pendiente de instrumento</v>
      </c>
      <c r="AD47" s="13" t="str">
        <f>IF(MATRIZ_174!U46="","",IF(MATRIZ_174!U46=0,"🚫  Inh. vigente OSCE",""))</f>
        <v/>
      </c>
      <c r="AE47" s="22">
        <f>IFERROR(MATRIZ_174!W46,0)</f>
        <v>0</v>
      </c>
      <c r="AF47" s="22">
        <f>IFERROR(MATRIZ_174!X46,0)</f>
        <v>0</v>
      </c>
      <c r="AG47" s="22">
        <f>IFERROR(MATRIZ_174!Y46,0)</f>
        <v>0</v>
      </c>
      <c r="AH47" s="22">
        <f>IFERROR(MATRIZ_174!Z46,0)</f>
        <v>0</v>
      </c>
      <c r="AI47" s="17">
        <f ca="1">IFERROR(MATRIZ_174!AP46,"N/A")</f>
        <v>0</v>
      </c>
      <c r="AJ47" s="17">
        <f>IFERROR(MATRIZ_174!AO46,"N/A")</f>
        <v>0</v>
      </c>
      <c r="AK47" s="23" t="str">
        <f t="shared" ca="1" si="20"/>
        <v>N/A</v>
      </c>
      <c r="AL47" s="24" t="str">
        <f t="shared" ca="1" si="21"/>
        <v>—</v>
      </c>
    </row>
    <row r="48" spans="1:38" ht="16.05" customHeight="1" x14ac:dyDescent="0.3">
      <c r="A48" s="13" t="s">
        <v>175</v>
      </c>
      <c r="B48" s="14" t="s">
        <v>176</v>
      </c>
      <c r="C48" s="13" t="s">
        <v>77</v>
      </c>
      <c r="D48" s="15">
        <v>0</v>
      </c>
      <c r="E48" s="16" t="str">
        <f>IF(NORMALIZADO!CB47="","",NORMALIZADO!CB47)</f>
        <v/>
      </c>
      <c r="F48" s="17" t="str">
        <f ca="1">IF(NORMALIZADO!CC47="","",NORMALIZADO!CC47)</f>
        <v/>
      </c>
      <c r="G48" s="17">
        <f ca="1">IF(NORMALIZADO!CD47="",IFERROR(MATRIZ_174!U47*100,""),NORMALIZADO!CD47)</f>
        <v>100</v>
      </c>
      <c r="H48" s="16" t="str">
        <f>IF(NORMALIZADO!CE47="","",NORMALIZADO!CE47)</f>
        <v/>
      </c>
      <c r="I48" s="17" t="str">
        <f>IF(NORMALIZADO!CF47="","",NORMALIZADO!CF47)</f>
        <v/>
      </c>
      <c r="J48" s="17" t="str">
        <f ca="1">IF(NORMALIZADO!CG47="","",NORMALIZADO!CG47)</f>
        <v/>
      </c>
      <c r="K48" s="16" t="str">
        <f ca="1">IF(NORMALIZADO!CH47="","",NORMALIZADO!CH47)</f>
        <v/>
      </c>
      <c r="L48" s="16" t="str">
        <f>IF(NORMALIZADO!CI47="","",NORMALIZADO!CI47)</f>
        <v/>
      </c>
      <c r="M48" s="16" t="str">
        <f>IF(NORMALIZADO!CJ47="","",NORMALIZADO!CJ47)</f>
        <v/>
      </c>
      <c r="N48" s="16" t="str">
        <f>IF(NORMALIZADO!CK47="","",NORMALIZADO!CK47)</f>
        <v/>
      </c>
      <c r="O48" s="16" t="str">
        <f>IF(NORMALIZADO!CL47="","",NORMALIZADO!CL47)</f>
        <v/>
      </c>
      <c r="P48" s="17" t="str">
        <f t="shared" ca="1" si="11"/>
        <v/>
      </c>
      <c r="Q48" s="17">
        <f t="shared" ca="1" si="12"/>
        <v>0</v>
      </c>
      <c r="R48" s="17">
        <f t="shared" ca="1" si="13"/>
        <v>0</v>
      </c>
      <c r="S48" s="17">
        <f t="shared" ca="1" si="14"/>
        <v>0</v>
      </c>
      <c r="T48" s="17">
        <f ca="1">IFERROR((K48+M48+MATRIZ_174!O47)/3,0)</f>
        <v>0</v>
      </c>
      <c r="U48" s="18">
        <f>IFERROR(MIN(100,ROUND(MATRIZ_174!M47,1)),0)</f>
        <v>0</v>
      </c>
      <c r="V48" s="18">
        <f t="shared" ca="1" si="15"/>
        <v>50</v>
      </c>
      <c r="W48" s="18">
        <f>IFERROR(IF(MATRIZ_174!R47=0,65,IF(MATRIZ_174!R47/MATRIZ_174!Q47&gt;=2,35,IF(MATRIZ_174!R47/MATRIZ_174!Q47&gt;=0.5,50,65))),65)</f>
        <v>65</v>
      </c>
      <c r="X48" s="18">
        <f>IFERROR(MIN(100,IF(MATRIZ_174!O47=0,70,30)+IF(MATRIZ_174!U47="",0,0.3*(100-MATRIZ_174!U47*100))),70)</f>
        <v>70</v>
      </c>
      <c r="Y48" s="18">
        <f>IF(OR(MATRIZ_174!P47="ASOCIACION",MATRIZ_174!P47="PENDIENTE"),65,40)</f>
        <v>65</v>
      </c>
      <c r="Z48" s="19" t="str">
        <f t="shared" ca="1" si="16"/>
        <v>—</v>
      </c>
      <c r="AA48" s="20">
        <f t="shared" ca="1" si="17"/>
        <v>50</v>
      </c>
      <c r="AB48" s="21" t="str">
        <f t="shared" ca="1" si="18"/>
        <v>—</v>
      </c>
      <c r="AC48" s="13" t="str">
        <f t="shared" ca="1" si="19"/>
        <v>⬜  Pendiente de instrumento</v>
      </c>
      <c r="AD48" s="13" t="str">
        <f>IF(MATRIZ_174!U47="","",IF(MATRIZ_174!U47=0,"🚫  Inh. vigente OSCE",""))</f>
        <v/>
      </c>
      <c r="AE48" s="22">
        <f>IFERROR(MATRIZ_174!W47,0)</f>
        <v>0</v>
      </c>
      <c r="AF48" s="22">
        <f>IFERROR(MATRIZ_174!X47,0)</f>
        <v>0</v>
      </c>
      <c r="AG48" s="22">
        <f>IFERROR(MATRIZ_174!Y47,0)</f>
        <v>0</v>
      </c>
      <c r="AH48" s="22">
        <f>IFERROR(MATRIZ_174!Z47,0)</f>
        <v>0</v>
      </c>
      <c r="AI48" s="17">
        <f ca="1">IFERROR(MATRIZ_174!AP47,"N/A")</f>
        <v>0</v>
      </c>
      <c r="AJ48" s="17">
        <f>IFERROR(MATRIZ_174!AO47,"N/A")</f>
        <v>0</v>
      </c>
      <c r="AK48" s="23" t="str">
        <f t="shared" ca="1" si="20"/>
        <v>N/A</v>
      </c>
      <c r="AL48" s="24" t="str">
        <f t="shared" ca="1" si="21"/>
        <v>—</v>
      </c>
    </row>
    <row r="49" spans="1:38" ht="16.05" customHeight="1" x14ac:dyDescent="0.3">
      <c r="A49" s="13" t="s">
        <v>177</v>
      </c>
      <c r="B49" s="14" t="s">
        <v>178</v>
      </c>
      <c r="C49" s="13" t="s">
        <v>77</v>
      </c>
      <c r="D49" s="15">
        <v>15171146.539999999</v>
      </c>
      <c r="E49" s="16" t="str">
        <f>IF(NORMALIZADO!CB48="","",NORMALIZADO!CB48)</f>
        <v/>
      </c>
      <c r="F49" s="17" t="str">
        <f ca="1">IF(NORMALIZADO!CC48="","",NORMALIZADO!CC48)</f>
        <v/>
      </c>
      <c r="G49" s="17">
        <f ca="1">IF(NORMALIZADO!CD48="",IFERROR(MATRIZ_174!U48*100,""),NORMALIZADO!CD48)</f>
        <v>100</v>
      </c>
      <c r="H49" s="16" t="str">
        <f>IF(NORMALIZADO!CE48="","",NORMALIZADO!CE48)</f>
        <v/>
      </c>
      <c r="I49" s="17" t="str">
        <f>IF(NORMALIZADO!CF48="","",NORMALIZADO!CF48)</f>
        <v/>
      </c>
      <c r="J49" s="17" t="str">
        <f ca="1">IF(NORMALIZADO!CG48="","",NORMALIZADO!CG48)</f>
        <v/>
      </c>
      <c r="K49" s="16" t="str">
        <f ca="1">IF(NORMALIZADO!CH48="","",NORMALIZADO!CH48)</f>
        <v/>
      </c>
      <c r="L49" s="16" t="str">
        <f>IF(NORMALIZADO!CI48="","",NORMALIZADO!CI48)</f>
        <v/>
      </c>
      <c r="M49" s="16" t="str">
        <f>IF(NORMALIZADO!CJ48="","",NORMALIZADO!CJ48)</f>
        <v/>
      </c>
      <c r="N49" s="16" t="str">
        <f>IF(NORMALIZADO!CK48="","",NORMALIZADO!CK48)</f>
        <v/>
      </c>
      <c r="O49" s="16" t="str">
        <f>IF(NORMALIZADO!CL48="","",NORMALIZADO!CL48)</f>
        <v/>
      </c>
      <c r="P49" s="17" t="str">
        <f t="shared" ca="1" si="11"/>
        <v/>
      </c>
      <c r="Q49" s="17">
        <f t="shared" ca="1" si="12"/>
        <v>0</v>
      </c>
      <c r="R49" s="17">
        <f t="shared" ca="1" si="13"/>
        <v>0</v>
      </c>
      <c r="S49" s="17">
        <f t="shared" ca="1" si="14"/>
        <v>0</v>
      </c>
      <c r="T49" s="17">
        <f ca="1">IFERROR((K49+M49+MATRIZ_174!O48)/3,0)</f>
        <v>0</v>
      </c>
      <c r="U49" s="18">
        <f>IFERROR(MIN(100,ROUND(MATRIZ_174!M48,1)),0)</f>
        <v>50</v>
      </c>
      <c r="V49" s="18">
        <f t="shared" ca="1" si="15"/>
        <v>50</v>
      </c>
      <c r="W49" s="18">
        <f>IFERROR(IF(MATRIZ_174!R48=0,65,IF(MATRIZ_174!R48/MATRIZ_174!Q48&gt;=2,35,IF(MATRIZ_174!R48/MATRIZ_174!Q48&gt;=0.5,50,65))),65)</f>
        <v>65</v>
      </c>
      <c r="X49" s="18">
        <f>IFERROR(MIN(100,IF(MATRIZ_174!O48=0,70,30)+IF(MATRIZ_174!U48="",0,0.3*(100-MATRIZ_174!U48*100))),70)</f>
        <v>70</v>
      </c>
      <c r="Y49" s="18">
        <f>IF(OR(MATRIZ_174!P48="ASOCIACION",MATRIZ_174!P48="PENDIENTE"),65,40)</f>
        <v>65</v>
      </c>
      <c r="Z49" s="19" t="str">
        <f t="shared" ca="1" si="16"/>
        <v>—</v>
      </c>
      <c r="AA49" s="20">
        <f t="shared" ca="1" si="17"/>
        <v>60</v>
      </c>
      <c r="AB49" s="21" t="str">
        <f t="shared" ca="1" si="18"/>
        <v>—</v>
      </c>
      <c r="AC49" s="13" t="str">
        <f t="shared" ca="1" si="19"/>
        <v>⬜  Pendiente de instrumento</v>
      </c>
      <c r="AD49" s="13" t="str">
        <f>IF(MATRIZ_174!U48="","",IF(MATRIZ_174!U48=0,"🚫  Inh. vigente OSCE",""))</f>
        <v/>
      </c>
      <c r="AE49" s="22">
        <f>IFERROR(MATRIZ_174!W48,0)</f>
        <v>1</v>
      </c>
      <c r="AF49" s="22">
        <f>IFERROR(MATRIZ_174!X48,0)</f>
        <v>0</v>
      </c>
      <c r="AG49" s="22">
        <f>IFERROR(MATRIZ_174!Y48,0)</f>
        <v>0</v>
      </c>
      <c r="AH49" s="22">
        <f>IFERROR(MATRIZ_174!Z48,0)</f>
        <v>0</v>
      </c>
      <c r="AI49" s="17">
        <f ca="1">IFERROR(MATRIZ_174!AP48,"N/A")</f>
        <v>0.125</v>
      </c>
      <c r="AJ49" s="17">
        <f>IFERROR(MATRIZ_174!AO48,"N/A")</f>
        <v>0</v>
      </c>
      <c r="AK49" s="23" t="str">
        <f t="shared" ca="1" si="20"/>
        <v>N/A</v>
      </c>
      <c r="AL49" s="24" t="str">
        <f t="shared" ca="1" si="21"/>
        <v>—</v>
      </c>
    </row>
    <row r="50" spans="1:38" ht="16.05" customHeight="1" x14ac:dyDescent="0.3">
      <c r="A50" s="13" t="s">
        <v>179</v>
      </c>
      <c r="B50" s="14" t="s">
        <v>180</v>
      </c>
      <c r="C50" s="13" t="s">
        <v>77</v>
      </c>
      <c r="D50" s="15">
        <v>1145489.3500000001</v>
      </c>
      <c r="E50" s="16" t="str">
        <f>IF(NORMALIZADO!CB49="","",NORMALIZADO!CB49)</f>
        <v/>
      </c>
      <c r="F50" s="17" t="str">
        <f ca="1">IF(NORMALIZADO!CC49="","",NORMALIZADO!CC49)</f>
        <v/>
      </c>
      <c r="G50" s="17">
        <f ca="1">IF(NORMALIZADO!CD49="",IFERROR(MATRIZ_174!U49*100,""),NORMALIZADO!CD49)</f>
        <v>100</v>
      </c>
      <c r="H50" s="16" t="str">
        <f>IF(NORMALIZADO!CE49="","",NORMALIZADO!CE49)</f>
        <v/>
      </c>
      <c r="I50" s="17" t="str">
        <f>IF(NORMALIZADO!CF49="","",NORMALIZADO!CF49)</f>
        <v/>
      </c>
      <c r="J50" s="17" t="str">
        <f ca="1">IF(NORMALIZADO!CG49="","",NORMALIZADO!CG49)</f>
        <v/>
      </c>
      <c r="K50" s="16" t="str">
        <f ca="1">IF(NORMALIZADO!CH49="","",NORMALIZADO!CH49)</f>
        <v/>
      </c>
      <c r="L50" s="16" t="str">
        <f>IF(NORMALIZADO!CI49="","",NORMALIZADO!CI49)</f>
        <v/>
      </c>
      <c r="M50" s="16" t="str">
        <f>IF(NORMALIZADO!CJ49="","",NORMALIZADO!CJ49)</f>
        <v/>
      </c>
      <c r="N50" s="16" t="str">
        <f>IF(NORMALIZADO!CK49="","",NORMALIZADO!CK49)</f>
        <v/>
      </c>
      <c r="O50" s="16" t="str">
        <f>IF(NORMALIZADO!CL49="","",NORMALIZADO!CL49)</f>
        <v/>
      </c>
      <c r="P50" s="17" t="str">
        <f t="shared" ca="1" si="11"/>
        <v/>
      </c>
      <c r="Q50" s="17">
        <f t="shared" ca="1" si="12"/>
        <v>0</v>
      </c>
      <c r="R50" s="17">
        <f t="shared" ca="1" si="13"/>
        <v>0</v>
      </c>
      <c r="S50" s="17">
        <f t="shared" ca="1" si="14"/>
        <v>0</v>
      </c>
      <c r="T50" s="17">
        <f ca="1">IFERROR((K50+M50+MATRIZ_174!O49)/3,0)</f>
        <v>0</v>
      </c>
      <c r="U50" s="18">
        <f>IFERROR(MIN(100,ROUND(MATRIZ_174!M49,1)),0)</f>
        <v>50</v>
      </c>
      <c r="V50" s="18">
        <f t="shared" ca="1" si="15"/>
        <v>50</v>
      </c>
      <c r="W50" s="18">
        <f>IFERROR(IF(MATRIZ_174!R49=0,65,IF(MATRIZ_174!R49/MATRIZ_174!Q49&gt;=2,35,IF(MATRIZ_174!R49/MATRIZ_174!Q49&gt;=0.5,50,65))),65)</f>
        <v>65</v>
      </c>
      <c r="X50" s="18">
        <f>IFERROR(MIN(100,IF(MATRIZ_174!O49=0,70,30)+IF(MATRIZ_174!U49="",0,0.3*(100-MATRIZ_174!U49*100))),70)</f>
        <v>70</v>
      </c>
      <c r="Y50" s="18">
        <f>IF(OR(MATRIZ_174!P49="ASOCIACION",MATRIZ_174!P49="PENDIENTE"),65,40)</f>
        <v>65</v>
      </c>
      <c r="Z50" s="19" t="str">
        <f t="shared" ca="1" si="16"/>
        <v>—</v>
      </c>
      <c r="AA50" s="20">
        <f t="shared" ca="1" si="17"/>
        <v>60</v>
      </c>
      <c r="AB50" s="21" t="str">
        <f t="shared" ca="1" si="18"/>
        <v>—</v>
      </c>
      <c r="AC50" s="13" t="str">
        <f t="shared" ca="1" si="19"/>
        <v>⬜  Pendiente de instrumento</v>
      </c>
      <c r="AD50" s="13" t="str">
        <f>IF(MATRIZ_174!U49="","",IF(MATRIZ_174!U49=0,"🚫  Inh. vigente OSCE",""))</f>
        <v/>
      </c>
      <c r="AE50" s="22">
        <f>IFERROR(MATRIZ_174!W49,0)</f>
        <v>1</v>
      </c>
      <c r="AF50" s="22">
        <f>IFERROR(MATRIZ_174!X49,0)</f>
        <v>0</v>
      </c>
      <c r="AG50" s="22">
        <f>IFERROR(MATRIZ_174!Y49,0)</f>
        <v>0</v>
      </c>
      <c r="AH50" s="22">
        <f>IFERROR(MATRIZ_174!Z49,0)</f>
        <v>0</v>
      </c>
      <c r="AI50" s="17">
        <f ca="1">IFERROR(MATRIZ_174!AP49,"N/A")</f>
        <v>0.125</v>
      </c>
      <c r="AJ50" s="17">
        <f>IFERROR(MATRIZ_174!AO49,"N/A")</f>
        <v>0</v>
      </c>
      <c r="AK50" s="23" t="str">
        <f t="shared" ca="1" si="20"/>
        <v>N/A</v>
      </c>
      <c r="AL50" s="24" t="str">
        <f t="shared" ca="1" si="21"/>
        <v>—</v>
      </c>
    </row>
    <row r="51" spans="1:38" ht="16.05" customHeight="1" x14ac:dyDescent="0.3">
      <c r="A51" s="13" t="s">
        <v>181</v>
      </c>
      <c r="B51" s="14" t="s">
        <v>182</v>
      </c>
      <c r="C51" s="13" t="s">
        <v>183</v>
      </c>
      <c r="D51" s="15">
        <v>0</v>
      </c>
      <c r="E51" s="16" t="str">
        <f>IF(NORMALIZADO!CB50="","",NORMALIZADO!CB50)</f>
        <v/>
      </c>
      <c r="F51" s="17" t="str">
        <f ca="1">IF(NORMALIZADO!CC50="","",NORMALIZADO!CC50)</f>
        <v/>
      </c>
      <c r="G51" s="17">
        <f ca="1">IF(NORMALIZADO!CD50="",IFERROR(MATRIZ_174!U50*100,""),NORMALIZADO!CD50)</f>
        <v>100</v>
      </c>
      <c r="H51" s="16" t="str">
        <f>IF(NORMALIZADO!CE50="","",NORMALIZADO!CE50)</f>
        <v/>
      </c>
      <c r="I51" s="17" t="str">
        <f>IF(NORMALIZADO!CF50="","",NORMALIZADO!CF50)</f>
        <v/>
      </c>
      <c r="J51" s="17" t="str">
        <f ca="1">IF(NORMALIZADO!CG50="","",NORMALIZADO!CG50)</f>
        <v/>
      </c>
      <c r="K51" s="16" t="str">
        <f ca="1">IF(NORMALIZADO!CH50="","",NORMALIZADO!CH50)</f>
        <v/>
      </c>
      <c r="L51" s="16" t="str">
        <f>IF(NORMALIZADO!CI50="","",NORMALIZADO!CI50)</f>
        <v/>
      </c>
      <c r="M51" s="16" t="str">
        <f>IF(NORMALIZADO!CJ50="","",NORMALIZADO!CJ50)</f>
        <v/>
      </c>
      <c r="N51" s="16" t="str">
        <f>IF(NORMALIZADO!CK50="","",NORMALIZADO!CK50)</f>
        <v/>
      </c>
      <c r="O51" s="16" t="str">
        <f>IF(NORMALIZADO!CL50="","",NORMALIZADO!CL50)</f>
        <v/>
      </c>
      <c r="P51" s="17" t="str">
        <f t="shared" ca="1" si="11"/>
        <v/>
      </c>
      <c r="Q51" s="17">
        <f t="shared" ca="1" si="12"/>
        <v>0</v>
      </c>
      <c r="R51" s="17">
        <f t="shared" ca="1" si="13"/>
        <v>0</v>
      </c>
      <c r="S51" s="17">
        <f t="shared" ca="1" si="14"/>
        <v>0</v>
      </c>
      <c r="T51" s="17">
        <f ca="1">IFERROR((K51+M51+MATRIZ_174!O50)/3,0)</f>
        <v>0</v>
      </c>
      <c r="U51" s="18">
        <f>IFERROR(MIN(100,ROUND(MATRIZ_174!M50,1)),0)</f>
        <v>0</v>
      </c>
      <c r="V51" s="18">
        <f t="shared" ca="1" si="15"/>
        <v>50</v>
      </c>
      <c r="W51" s="18">
        <f>IFERROR(IF(MATRIZ_174!R50=0,65,IF(MATRIZ_174!R50/MATRIZ_174!Q50&gt;=2,35,IF(MATRIZ_174!R50/MATRIZ_174!Q50&gt;=0.5,50,65))),65)</f>
        <v>65</v>
      </c>
      <c r="X51" s="18">
        <f>IFERROR(MIN(100,IF(MATRIZ_174!O50=0,70,30)+IF(MATRIZ_174!U50="",0,0.3*(100-MATRIZ_174!U50*100))),70)</f>
        <v>70</v>
      </c>
      <c r="Y51" s="18">
        <f>IF(OR(MATRIZ_174!P50="ASOCIACION",MATRIZ_174!P50="PENDIENTE"),65,40)</f>
        <v>65</v>
      </c>
      <c r="Z51" s="19" t="str">
        <f t="shared" ca="1" si="16"/>
        <v>—</v>
      </c>
      <c r="AA51" s="20">
        <f t="shared" ca="1" si="17"/>
        <v>50</v>
      </c>
      <c r="AB51" s="21" t="str">
        <f t="shared" ca="1" si="18"/>
        <v>—</v>
      </c>
      <c r="AC51" s="13" t="str">
        <f t="shared" ca="1" si="19"/>
        <v>⬜  Pendiente de instrumento</v>
      </c>
      <c r="AD51" s="13" t="str">
        <f>IF(MATRIZ_174!U50="","",IF(MATRIZ_174!U50=0,"🚫  Inh. vigente OSCE",""))</f>
        <v/>
      </c>
      <c r="AE51" s="22">
        <f>IFERROR(MATRIZ_174!W50,0)</f>
        <v>0</v>
      </c>
      <c r="AF51" s="22">
        <f>IFERROR(MATRIZ_174!X50,0)</f>
        <v>0</v>
      </c>
      <c r="AG51" s="22">
        <f>IFERROR(MATRIZ_174!Y50,0)</f>
        <v>0</v>
      </c>
      <c r="AH51" s="22">
        <f>IFERROR(MATRIZ_174!Z50,0)</f>
        <v>0</v>
      </c>
      <c r="AI51" s="17">
        <f ca="1">IFERROR(MATRIZ_174!AP50,"N/A")</f>
        <v>0</v>
      </c>
      <c r="AJ51" s="17">
        <f>IFERROR(MATRIZ_174!AO50,"N/A")</f>
        <v>0</v>
      </c>
      <c r="AK51" s="23" t="str">
        <f t="shared" ca="1" si="20"/>
        <v>N/A</v>
      </c>
      <c r="AL51" s="24" t="str">
        <f t="shared" ca="1" si="21"/>
        <v>—</v>
      </c>
    </row>
    <row r="52" spans="1:38" ht="16.05" customHeight="1" x14ac:dyDescent="0.3">
      <c r="A52" s="13" t="s">
        <v>184</v>
      </c>
      <c r="B52" s="14" t="s">
        <v>185</v>
      </c>
      <c r="C52" s="13" t="s">
        <v>154</v>
      </c>
      <c r="D52" s="15">
        <v>0</v>
      </c>
      <c r="E52" s="16" t="str">
        <f>IF(NORMALIZADO!CB51="","",NORMALIZADO!CB51)</f>
        <v/>
      </c>
      <c r="F52" s="17" t="str">
        <f ca="1">IF(NORMALIZADO!CC51="","",NORMALIZADO!CC51)</f>
        <v/>
      </c>
      <c r="G52" s="17">
        <f ca="1">IF(NORMALIZADO!CD51="",IFERROR(MATRIZ_174!U51*100,""),NORMALIZADO!CD51)</f>
        <v>100</v>
      </c>
      <c r="H52" s="16" t="str">
        <f>IF(NORMALIZADO!CE51="","",NORMALIZADO!CE51)</f>
        <v/>
      </c>
      <c r="I52" s="17" t="str">
        <f>IF(NORMALIZADO!CF51="","",NORMALIZADO!CF51)</f>
        <v/>
      </c>
      <c r="J52" s="17" t="str">
        <f ca="1">IF(NORMALIZADO!CG51="","",NORMALIZADO!CG51)</f>
        <v/>
      </c>
      <c r="K52" s="16" t="str">
        <f ca="1">IF(NORMALIZADO!CH51="","",NORMALIZADO!CH51)</f>
        <v/>
      </c>
      <c r="L52" s="16" t="str">
        <f>IF(NORMALIZADO!CI51="","",NORMALIZADO!CI51)</f>
        <v/>
      </c>
      <c r="M52" s="16" t="str">
        <f>IF(NORMALIZADO!CJ51="","",NORMALIZADO!CJ51)</f>
        <v/>
      </c>
      <c r="N52" s="16" t="str">
        <f>IF(NORMALIZADO!CK51="","",NORMALIZADO!CK51)</f>
        <v/>
      </c>
      <c r="O52" s="16" t="str">
        <f>IF(NORMALIZADO!CL51="","",NORMALIZADO!CL51)</f>
        <v/>
      </c>
      <c r="P52" s="17" t="str">
        <f t="shared" ca="1" si="11"/>
        <v/>
      </c>
      <c r="Q52" s="17">
        <f t="shared" ca="1" si="12"/>
        <v>0</v>
      </c>
      <c r="R52" s="17">
        <f t="shared" ca="1" si="13"/>
        <v>0</v>
      </c>
      <c r="S52" s="17">
        <f t="shared" ca="1" si="14"/>
        <v>0</v>
      </c>
      <c r="T52" s="17">
        <f ca="1">IFERROR((K52+M52+MATRIZ_174!O51)/3,0)</f>
        <v>0</v>
      </c>
      <c r="U52" s="18">
        <f>IFERROR(MIN(100,ROUND(MATRIZ_174!M51,1)),0)</f>
        <v>0</v>
      </c>
      <c r="V52" s="18">
        <f t="shared" ca="1" si="15"/>
        <v>50</v>
      </c>
      <c r="W52" s="18">
        <f>IFERROR(IF(MATRIZ_174!R51=0,65,IF(MATRIZ_174!R51/MATRIZ_174!Q51&gt;=2,35,IF(MATRIZ_174!R51/MATRIZ_174!Q51&gt;=0.5,50,65))),65)</f>
        <v>65</v>
      </c>
      <c r="X52" s="18">
        <f>IFERROR(MIN(100,IF(MATRIZ_174!O51=0,70,30)+IF(MATRIZ_174!U51="",0,0.3*(100-MATRIZ_174!U51*100))),70)</f>
        <v>70</v>
      </c>
      <c r="Y52" s="18">
        <f>IF(OR(MATRIZ_174!P51="ASOCIACION",MATRIZ_174!P51="PENDIENTE"),65,40)</f>
        <v>65</v>
      </c>
      <c r="Z52" s="19" t="str">
        <f t="shared" ca="1" si="16"/>
        <v>—</v>
      </c>
      <c r="AA52" s="20">
        <f t="shared" ca="1" si="17"/>
        <v>50</v>
      </c>
      <c r="AB52" s="21" t="str">
        <f t="shared" ca="1" si="18"/>
        <v>—</v>
      </c>
      <c r="AC52" s="13" t="str">
        <f t="shared" ca="1" si="19"/>
        <v>⬜  Pendiente de instrumento</v>
      </c>
      <c r="AD52" s="13" t="str">
        <f>IF(MATRIZ_174!U51="","",IF(MATRIZ_174!U51=0,"🚫  Inh. vigente OSCE",""))</f>
        <v/>
      </c>
      <c r="AE52" s="22">
        <f>IFERROR(MATRIZ_174!W51,0)</f>
        <v>0</v>
      </c>
      <c r="AF52" s="22">
        <f>IFERROR(MATRIZ_174!X51,0)</f>
        <v>0</v>
      </c>
      <c r="AG52" s="22">
        <f>IFERROR(MATRIZ_174!Y51,0)</f>
        <v>0</v>
      </c>
      <c r="AH52" s="22">
        <f>IFERROR(MATRIZ_174!Z51,0)</f>
        <v>0</v>
      </c>
      <c r="AI52" s="17">
        <f ca="1">IFERROR(MATRIZ_174!AP51,"N/A")</f>
        <v>0</v>
      </c>
      <c r="AJ52" s="17">
        <f>IFERROR(MATRIZ_174!AO51,"N/A")</f>
        <v>0</v>
      </c>
      <c r="AK52" s="23" t="str">
        <f t="shared" ca="1" si="20"/>
        <v>N/A</v>
      </c>
      <c r="AL52" s="24" t="str">
        <f t="shared" ca="1" si="21"/>
        <v>—</v>
      </c>
    </row>
    <row r="53" spans="1:38" ht="16.05" customHeight="1" x14ac:dyDescent="0.3">
      <c r="A53" s="13" t="s">
        <v>186</v>
      </c>
      <c r="B53" s="14" t="s">
        <v>187</v>
      </c>
      <c r="C53" s="13" t="s">
        <v>80</v>
      </c>
      <c r="D53" s="15">
        <v>0</v>
      </c>
      <c r="E53" s="16" t="str">
        <f>IF(NORMALIZADO!CB52="","",NORMALIZADO!CB52)</f>
        <v/>
      </c>
      <c r="F53" s="17" t="str">
        <f ca="1">IF(NORMALIZADO!CC52="","",NORMALIZADO!CC52)</f>
        <v/>
      </c>
      <c r="G53" s="17">
        <f ca="1">IF(NORMALIZADO!CD52="",IFERROR(MATRIZ_174!U52*100,""),NORMALIZADO!CD52)</f>
        <v>100</v>
      </c>
      <c r="H53" s="16" t="str">
        <f>IF(NORMALIZADO!CE52="","",NORMALIZADO!CE52)</f>
        <v/>
      </c>
      <c r="I53" s="17" t="str">
        <f>IF(NORMALIZADO!CF52="","",NORMALIZADO!CF52)</f>
        <v/>
      </c>
      <c r="J53" s="17" t="str">
        <f ca="1">IF(NORMALIZADO!CG52="","",NORMALIZADO!CG52)</f>
        <v/>
      </c>
      <c r="K53" s="16" t="str">
        <f ca="1">IF(NORMALIZADO!CH52="","",NORMALIZADO!CH52)</f>
        <v/>
      </c>
      <c r="L53" s="16" t="str">
        <f>IF(NORMALIZADO!CI52="","",NORMALIZADO!CI52)</f>
        <v/>
      </c>
      <c r="M53" s="16" t="str">
        <f>IF(NORMALIZADO!CJ52="","",NORMALIZADO!CJ52)</f>
        <v/>
      </c>
      <c r="N53" s="16" t="str">
        <f>IF(NORMALIZADO!CK52="","",NORMALIZADO!CK52)</f>
        <v/>
      </c>
      <c r="O53" s="16" t="str">
        <f>IF(NORMALIZADO!CL52="","",NORMALIZADO!CL52)</f>
        <v/>
      </c>
      <c r="P53" s="17" t="str">
        <f t="shared" ca="1" si="11"/>
        <v/>
      </c>
      <c r="Q53" s="17">
        <f t="shared" ca="1" si="12"/>
        <v>0</v>
      </c>
      <c r="R53" s="17">
        <f t="shared" ca="1" si="13"/>
        <v>0</v>
      </c>
      <c r="S53" s="17">
        <f t="shared" ca="1" si="14"/>
        <v>0</v>
      </c>
      <c r="T53" s="17">
        <f ca="1">IFERROR((K53+M53+MATRIZ_174!O52)/3,0)</f>
        <v>0</v>
      </c>
      <c r="U53" s="18">
        <f>IFERROR(MIN(100,ROUND(MATRIZ_174!M52,1)),0)</f>
        <v>0</v>
      </c>
      <c r="V53" s="18">
        <f t="shared" ca="1" si="15"/>
        <v>50</v>
      </c>
      <c r="W53" s="18">
        <f>IFERROR(IF(MATRIZ_174!R52=0,65,IF(MATRIZ_174!R52/MATRIZ_174!Q52&gt;=2,35,IF(MATRIZ_174!R52/MATRIZ_174!Q52&gt;=0.5,50,65))),65)</f>
        <v>65</v>
      </c>
      <c r="X53" s="18">
        <f>IFERROR(MIN(100,IF(MATRIZ_174!O52=0,70,30)+IF(MATRIZ_174!U52="",0,0.3*(100-MATRIZ_174!U52*100))),70)</f>
        <v>70</v>
      </c>
      <c r="Y53" s="18">
        <f>IF(OR(MATRIZ_174!P52="ASOCIACION",MATRIZ_174!P52="PENDIENTE"),65,40)</f>
        <v>65</v>
      </c>
      <c r="Z53" s="19" t="str">
        <f t="shared" ca="1" si="16"/>
        <v>—</v>
      </c>
      <c r="AA53" s="20">
        <f t="shared" ca="1" si="17"/>
        <v>50</v>
      </c>
      <c r="AB53" s="21" t="str">
        <f t="shared" ca="1" si="18"/>
        <v>—</v>
      </c>
      <c r="AC53" s="13" t="str">
        <f t="shared" ca="1" si="19"/>
        <v>⬜  Pendiente de instrumento</v>
      </c>
      <c r="AD53" s="13" t="str">
        <f>IF(MATRIZ_174!U52="","",IF(MATRIZ_174!U52=0,"🚫  Inh. vigente OSCE",""))</f>
        <v/>
      </c>
      <c r="AE53" s="22">
        <f>IFERROR(MATRIZ_174!W52,0)</f>
        <v>0</v>
      </c>
      <c r="AF53" s="22">
        <f>IFERROR(MATRIZ_174!X52,0)</f>
        <v>0</v>
      </c>
      <c r="AG53" s="22">
        <f>IFERROR(MATRIZ_174!Y52,0)</f>
        <v>0</v>
      </c>
      <c r="AH53" s="22">
        <f>IFERROR(MATRIZ_174!Z52,0)</f>
        <v>0</v>
      </c>
      <c r="AI53" s="17">
        <f ca="1">IFERROR(MATRIZ_174!AP52,"N/A")</f>
        <v>0</v>
      </c>
      <c r="AJ53" s="17">
        <f>IFERROR(MATRIZ_174!AO52,"N/A")</f>
        <v>0</v>
      </c>
      <c r="AK53" s="23" t="str">
        <f t="shared" ca="1" si="20"/>
        <v>N/A</v>
      </c>
      <c r="AL53" s="24" t="str">
        <f t="shared" ca="1" si="21"/>
        <v>—</v>
      </c>
    </row>
    <row r="54" spans="1:38" ht="16.05" customHeight="1" x14ac:dyDescent="0.3">
      <c r="A54" s="13" t="s">
        <v>188</v>
      </c>
      <c r="B54" s="14" t="s">
        <v>189</v>
      </c>
      <c r="C54" s="13" t="s">
        <v>143</v>
      </c>
      <c r="D54" s="15">
        <v>0</v>
      </c>
      <c r="E54" s="16" t="str">
        <f>IF(NORMALIZADO!CB53="","",NORMALIZADO!CB53)</f>
        <v/>
      </c>
      <c r="F54" s="17" t="str">
        <f ca="1">IF(NORMALIZADO!CC53="","",NORMALIZADO!CC53)</f>
        <v/>
      </c>
      <c r="G54" s="17">
        <f ca="1">IF(NORMALIZADO!CD53="",IFERROR(MATRIZ_174!U53*100,""),NORMALIZADO!CD53)</f>
        <v>100</v>
      </c>
      <c r="H54" s="16" t="str">
        <f>IF(NORMALIZADO!CE53="","",NORMALIZADO!CE53)</f>
        <v/>
      </c>
      <c r="I54" s="17" t="str">
        <f>IF(NORMALIZADO!CF53="","",NORMALIZADO!CF53)</f>
        <v/>
      </c>
      <c r="J54" s="17" t="str">
        <f ca="1">IF(NORMALIZADO!CG53="","",NORMALIZADO!CG53)</f>
        <v/>
      </c>
      <c r="K54" s="16" t="str">
        <f ca="1">IF(NORMALIZADO!CH53="","",NORMALIZADO!CH53)</f>
        <v/>
      </c>
      <c r="L54" s="16" t="str">
        <f>IF(NORMALIZADO!CI53="","",NORMALIZADO!CI53)</f>
        <v/>
      </c>
      <c r="M54" s="16" t="str">
        <f>IF(NORMALIZADO!CJ53="","",NORMALIZADO!CJ53)</f>
        <v/>
      </c>
      <c r="N54" s="16" t="str">
        <f>IF(NORMALIZADO!CK53="","",NORMALIZADO!CK53)</f>
        <v/>
      </c>
      <c r="O54" s="16" t="str">
        <f>IF(NORMALIZADO!CL53="","",NORMALIZADO!CL53)</f>
        <v/>
      </c>
      <c r="P54" s="17" t="str">
        <f t="shared" ca="1" si="11"/>
        <v/>
      </c>
      <c r="Q54" s="17">
        <f t="shared" ca="1" si="12"/>
        <v>0</v>
      </c>
      <c r="R54" s="17">
        <f t="shared" ca="1" si="13"/>
        <v>0</v>
      </c>
      <c r="S54" s="17">
        <f t="shared" ca="1" si="14"/>
        <v>0</v>
      </c>
      <c r="T54" s="17">
        <f ca="1">IFERROR((K54+M54+MATRIZ_174!O53)/3,0)</f>
        <v>0</v>
      </c>
      <c r="U54" s="18">
        <f>IFERROR(MIN(100,ROUND(MATRIZ_174!M53,1)),0)</f>
        <v>0</v>
      </c>
      <c r="V54" s="18">
        <f t="shared" ca="1" si="15"/>
        <v>50</v>
      </c>
      <c r="W54" s="18">
        <f>IFERROR(IF(MATRIZ_174!R53=0,65,IF(MATRIZ_174!R53/MATRIZ_174!Q53&gt;=2,35,IF(MATRIZ_174!R53/MATRIZ_174!Q53&gt;=0.5,50,65))),65)</f>
        <v>65</v>
      </c>
      <c r="X54" s="18">
        <f>IFERROR(MIN(100,IF(MATRIZ_174!O53=0,70,30)+IF(MATRIZ_174!U53="",0,0.3*(100-MATRIZ_174!U53*100))),70)</f>
        <v>70</v>
      </c>
      <c r="Y54" s="18">
        <f>IF(OR(MATRIZ_174!P53="ASOCIACION",MATRIZ_174!P53="PENDIENTE"),65,40)</f>
        <v>65</v>
      </c>
      <c r="Z54" s="19" t="str">
        <f t="shared" ca="1" si="16"/>
        <v>—</v>
      </c>
      <c r="AA54" s="20">
        <f t="shared" ca="1" si="17"/>
        <v>50</v>
      </c>
      <c r="AB54" s="21" t="str">
        <f t="shared" ca="1" si="18"/>
        <v>—</v>
      </c>
      <c r="AC54" s="13" t="str">
        <f t="shared" ca="1" si="19"/>
        <v>⬜  Pendiente de instrumento</v>
      </c>
      <c r="AD54" s="13" t="str">
        <f>IF(MATRIZ_174!U53="","",IF(MATRIZ_174!U53=0,"🚫  Inh. vigente OSCE",""))</f>
        <v/>
      </c>
      <c r="AE54" s="22">
        <f>IFERROR(MATRIZ_174!W53,0)</f>
        <v>0</v>
      </c>
      <c r="AF54" s="22">
        <f>IFERROR(MATRIZ_174!X53,0)</f>
        <v>0</v>
      </c>
      <c r="AG54" s="22">
        <f>IFERROR(MATRIZ_174!Y53,0)</f>
        <v>0</v>
      </c>
      <c r="AH54" s="22">
        <f>IFERROR(MATRIZ_174!Z53,0)</f>
        <v>0</v>
      </c>
      <c r="AI54" s="17">
        <f ca="1">IFERROR(MATRIZ_174!AP53,"N/A")</f>
        <v>0</v>
      </c>
      <c r="AJ54" s="17">
        <f>IFERROR(MATRIZ_174!AO53,"N/A")</f>
        <v>0</v>
      </c>
      <c r="AK54" s="23" t="str">
        <f t="shared" ca="1" si="20"/>
        <v>N/A</v>
      </c>
      <c r="AL54" s="24" t="str">
        <f t="shared" ca="1" si="21"/>
        <v>—</v>
      </c>
    </row>
    <row r="55" spans="1:38" ht="16.05" customHeight="1" x14ac:dyDescent="0.3">
      <c r="A55" s="13" t="s">
        <v>190</v>
      </c>
      <c r="B55" s="14" t="s">
        <v>191</v>
      </c>
      <c r="C55" s="13" t="s">
        <v>143</v>
      </c>
      <c r="D55" s="15">
        <v>0</v>
      </c>
      <c r="E55" s="16" t="str">
        <f>IF(NORMALIZADO!CB54="","",NORMALIZADO!CB54)</f>
        <v/>
      </c>
      <c r="F55" s="17" t="str">
        <f ca="1">IF(NORMALIZADO!CC54="","",NORMALIZADO!CC54)</f>
        <v/>
      </c>
      <c r="G55" s="17">
        <f ca="1">IF(NORMALIZADO!CD54="",IFERROR(MATRIZ_174!U54*100,""),NORMALIZADO!CD54)</f>
        <v>100</v>
      </c>
      <c r="H55" s="16" t="str">
        <f>IF(NORMALIZADO!CE54="","",NORMALIZADO!CE54)</f>
        <v/>
      </c>
      <c r="I55" s="17" t="str">
        <f>IF(NORMALIZADO!CF54="","",NORMALIZADO!CF54)</f>
        <v/>
      </c>
      <c r="J55" s="17" t="str">
        <f ca="1">IF(NORMALIZADO!CG54="","",NORMALIZADO!CG54)</f>
        <v/>
      </c>
      <c r="K55" s="16" t="str">
        <f ca="1">IF(NORMALIZADO!CH54="","",NORMALIZADO!CH54)</f>
        <v/>
      </c>
      <c r="L55" s="16" t="str">
        <f>IF(NORMALIZADO!CI54="","",NORMALIZADO!CI54)</f>
        <v/>
      </c>
      <c r="M55" s="16" t="str">
        <f>IF(NORMALIZADO!CJ54="","",NORMALIZADO!CJ54)</f>
        <v/>
      </c>
      <c r="N55" s="16" t="str">
        <f>IF(NORMALIZADO!CK54="","",NORMALIZADO!CK54)</f>
        <v/>
      </c>
      <c r="O55" s="16" t="str">
        <f>IF(NORMALIZADO!CL54="","",NORMALIZADO!CL54)</f>
        <v/>
      </c>
      <c r="P55" s="17" t="str">
        <f t="shared" ca="1" si="11"/>
        <v/>
      </c>
      <c r="Q55" s="17">
        <f t="shared" ca="1" si="12"/>
        <v>0</v>
      </c>
      <c r="R55" s="17">
        <f t="shared" ca="1" si="13"/>
        <v>0</v>
      </c>
      <c r="S55" s="17">
        <f t="shared" ca="1" si="14"/>
        <v>0</v>
      </c>
      <c r="T55" s="17">
        <f ca="1">IFERROR((K55+M55+MATRIZ_174!O54)/3,0)</f>
        <v>0</v>
      </c>
      <c r="U55" s="18">
        <f>IFERROR(MIN(100,ROUND(MATRIZ_174!M54,1)),0)</f>
        <v>0</v>
      </c>
      <c r="V55" s="18">
        <f t="shared" ca="1" si="15"/>
        <v>50</v>
      </c>
      <c r="W55" s="18">
        <f>IFERROR(IF(MATRIZ_174!R54=0,65,IF(MATRIZ_174!R54/MATRIZ_174!Q54&gt;=2,35,IF(MATRIZ_174!R54/MATRIZ_174!Q54&gt;=0.5,50,65))),65)</f>
        <v>65</v>
      </c>
      <c r="X55" s="18">
        <f>IFERROR(MIN(100,IF(MATRIZ_174!O54=0,70,30)+IF(MATRIZ_174!U54="",0,0.3*(100-MATRIZ_174!U54*100))),70)</f>
        <v>70</v>
      </c>
      <c r="Y55" s="18">
        <f>IF(OR(MATRIZ_174!P54="ASOCIACION",MATRIZ_174!P54="PENDIENTE"),65,40)</f>
        <v>65</v>
      </c>
      <c r="Z55" s="19" t="str">
        <f t="shared" ca="1" si="16"/>
        <v>—</v>
      </c>
      <c r="AA55" s="20">
        <f t="shared" ca="1" si="17"/>
        <v>50</v>
      </c>
      <c r="AB55" s="21" t="str">
        <f t="shared" ca="1" si="18"/>
        <v>—</v>
      </c>
      <c r="AC55" s="13" t="str">
        <f t="shared" ca="1" si="19"/>
        <v>⬜  Pendiente de instrumento</v>
      </c>
      <c r="AD55" s="13" t="str">
        <f>IF(MATRIZ_174!U54="","",IF(MATRIZ_174!U54=0,"🚫  Inh. vigente OSCE",""))</f>
        <v/>
      </c>
      <c r="AE55" s="22">
        <f>IFERROR(MATRIZ_174!W54,0)</f>
        <v>0</v>
      </c>
      <c r="AF55" s="22">
        <f>IFERROR(MATRIZ_174!X54,0)</f>
        <v>0</v>
      </c>
      <c r="AG55" s="22">
        <f>IFERROR(MATRIZ_174!Y54,0)</f>
        <v>0</v>
      </c>
      <c r="AH55" s="22">
        <f>IFERROR(MATRIZ_174!Z54,0)</f>
        <v>0</v>
      </c>
      <c r="AI55" s="17">
        <f ca="1">IFERROR(MATRIZ_174!AP54,"N/A")</f>
        <v>0</v>
      </c>
      <c r="AJ55" s="17">
        <f>IFERROR(MATRIZ_174!AO54,"N/A")</f>
        <v>0</v>
      </c>
      <c r="AK55" s="23" t="str">
        <f t="shared" ca="1" si="20"/>
        <v>N/A</v>
      </c>
      <c r="AL55" s="24" t="str">
        <f t="shared" ca="1" si="21"/>
        <v>—</v>
      </c>
    </row>
    <row r="56" spans="1:38" ht="16.05" customHeight="1" x14ac:dyDescent="0.3">
      <c r="A56" s="13" t="s">
        <v>192</v>
      </c>
      <c r="B56" s="14" t="s">
        <v>193</v>
      </c>
      <c r="C56" s="13" t="s">
        <v>143</v>
      </c>
      <c r="D56" s="15">
        <v>0</v>
      </c>
      <c r="E56" s="16" t="str">
        <f>IF(NORMALIZADO!CB55="","",NORMALIZADO!CB55)</f>
        <v/>
      </c>
      <c r="F56" s="17" t="str">
        <f ca="1">IF(NORMALIZADO!CC55="","",NORMALIZADO!CC55)</f>
        <v/>
      </c>
      <c r="G56" s="17">
        <f ca="1">IF(NORMALIZADO!CD55="",IFERROR(MATRIZ_174!U55*100,""),NORMALIZADO!CD55)</f>
        <v>100</v>
      </c>
      <c r="H56" s="16" t="str">
        <f>IF(NORMALIZADO!CE55="","",NORMALIZADO!CE55)</f>
        <v/>
      </c>
      <c r="I56" s="17" t="str">
        <f>IF(NORMALIZADO!CF55="","",NORMALIZADO!CF55)</f>
        <v/>
      </c>
      <c r="J56" s="17" t="str">
        <f ca="1">IF(NORMALIZADO!CG55="","",NORMALIZADO!CG55)</f>
        <v/>
      </c>
      <c r="K56" s="16" t="str">
        <f ca="1">IF(NORMALIZADO!CH55="","",NORMALIZADO!CH55)</f>
        <v/>
      </c>
      <c r="L56" s="16" t="str">
        <f>IF(NORMALIZADO!CI55="","",NORMALIZADO!CI55)</f>
        <v/>
      </c>
      <c r="M56" s="16" t="str">
        <f>IF(NORMALIZADO!CJ55="","",NORMALIZADO!CJ55)</f>
        <v/>
      </c>
      <c r="N56" s="16" t="str">
        <f>IF(NORMALIZADO!CK55="","",NORMALIZADO!CK55)</f>
        <v/>
      </c>
      <c r="O56" s="16" t="str">
        <f>IF(NORMALIZADO!CL55="","",NORMALIZADO!CL55)</f>
        <v/>
      </c>
      <c r="P56" s="17" t="str">
        <f t="shared" ca="1" si="11"/>
        <v/>
      </c>
      <c r="Q56" s="17">
        <f t="shared" ca="1" si="12"/>
        <v>0</v>
      </c>
      <c r="R56" s="17">
        <f t="shared" ca="1" si="13"/>
        <v>0</v>
      </c>
      <c r="S56" s="17">
        <f t="shared" ca="1" si="14"/>
        <v>0</v>
      </c>
      <c r="T56" s="17">
        <f ca="1">IFERROR((K56+M56+MATRIZ_174!O55)/3,0)</f>
        <v>0</v>
      </c>
      <c r="U56" s="18">
        <f>IFERROR(MIN(100,ROUND(MATRIZ_174!M55,1)),0)</f>
        <v>0</v>
      </c>
      <c r="V56" s="18">
        <f t="shared" ca="1" si="15"/>
        <v>50</v>
      </c>
      <c r="W56" s="18">
        <f>IFERROR(IF(MATRIZ_174!R55=0,65,IF(MATRIZ_174!R55/MATRIZ_174!Q55&gt;=2,35,IF(MATRIZ_174!R55/MATRIZ_174!Q55&gt;=0.5,50,65))),65)</f>
        <v>65</v>
      </c>
      <c r="X56" s="18">
        <f>IFERROR(MIN(100,IF(MATRIZ_174!O55=0,70,30)+IF(MATRIZ_174!U55="",0,0.3*(100-MATRIZ_174!U55*100))),70)</f>
        <v>70</v>
      </c>
      <c r="Y56" s="18">
        <f>IF(OR(MATRIZ_174!P55="ASOCIACION",MATRIZ_174!P55="PENDIENTE"),65,40)</f>
        <v>65</v>
      </c>
      <c r="Z56" s="19" t="str">
        <f t="shared" ca="1" si="16"/>
        <v>—</v>
      </c>
      <c r="AA56" s="20">
        <f t="shared" ca="1" si="17"/>
        <v>50</v>
      </c>
      <c r="AB56" s="21" t="str">
        <f t="shared" ca="1" si="18"/>
        <v>—</v>
      </c>
      <c r="AC56" s="13" t="str">
        <f t="shared" ca="1" si="19"/>
        <v>⬜  Pendiente de instrumento</v>
      </c>
      <c r="AD56" s="13" t="str">
        <f>IF(MATRIZ_174!U55="","",IF(MATRIZ_174!U55=0,"🚫  Inh. vigente OSCE",""))</f>
        <v/>
      </c>
      <c r="AE56" s="22">
        <f>IFERROR(MATRIZ_174!W55,0)</f>
        <v>0</v>
      </c>
      <c r="AF56" s="22">
        <f>IFERROR(MATRIZ_174!X55,0)</f>
        <v>0</v>
      </c>
      <c r="AG56" s="22">
        <f>IFERROR(MATRIZ_174!Y55,0)</f>
        <v>0</v>
      </c>
      <c r="AH56" s="22">
        <f>IFERROR(MATRIZ_174!Z55,0)</f>
        <v>0</v>
      </c>
      <c r="AI56" s="17">
        <f ca="1">IFERROR(MATRIZ_174!AP55,"N/A")</f>
        <v>0</v>
      </c>
      <c r="AJ56" s="17">
        <f>IFERROR(MATRIZ_174!AO55,"N/A")</f>
        <v>0</v>
      </c>
      <c r="AK56" s="23" t="str">
        <f t="shared" ca="1" si="20"/>
        <v>N/A</v>
      </c>
      <c r="AL56" s="24" t="str">
        <f t="shared" ca="1" si="21"/>
        <v>—</v>
      </c>
    </row>
    <row r="57" spans="1:38" ht="16.05" customHeight="1" x14ac:dyDescent="0.3">
      <c r="A57" s="13" t="s">
        <v>194</v>
      </c>
      <c r="B57" s="14" t="s">
        <v>195</v>
      </c>
      <c r="C57" s="13" t="s">
        <v>196</v>
      </c>
      <c r="D57" s="15">
        <v>0</v>
      </c>
      <c r="E57" s="16" t="str">
        <f>IF(NORMALIZADO!CB56="","",NORMALIZADO!CB56)</f>
        <v/>
      </c>
      <c r="F57" s="17" t="str">
        <f ca="1">IF(NORMALIZADO!CC56="","",NORMALIZADO!CC56)</f>
        <v/>
      </c>
      <c r="G57" s="17">
        <f ca="1">IF(NORMALIZADO!CD56="",IFERROR(MATRIZ_174!U56*100,""),NORMALIZADO!CD56)</f>
        <v>100</v>
      </c>
      <c r="H57" s="16" t="str">
        <f>IF(NORMALIZADO!CE56="","",NORMALIZADO!CE56)</f>
        <v/>
      </c>
      <c r="I57" s="17" t="str">
        <f>IF(NORMALIZADO!CF56="","",NORMALIZADO!CF56)</f>
        <v/>
      </c>
      <c r="J57" s="17" t="str">
        <f ca="1">IF(NORMALIZADO!CG56="","",NORMALIZADO!CG56)</f>
        <v/>
      </c>
      <c r="K57" s="16" t="str">
        <f ca="1">IF(NORMALIZADO!CH56="","",NORMALIZADO!CH56)</f>
        <v/>
      </c>
      <c r="L57" s="16" t="str">
        <f>IF(NORMALIZADO!CI56="","",NORMALIZADO!CI56)</f>
        <v/>
      </c>
      <c r="M57" s="16" t="str">
        <f>IF(NORMALIZADO!CJ56="","",NORMALIZADO!CJ56)</f>
        <v/>
      </c>
      <c r="N57" s="16" t="str">
        <f>IF(NORMALIZADO!CK56="","",NORMALIZADO!CK56)</f>
        <v/>
      </c>
      <c r="O57" s="16" t="str">
        <f>IF(NORMALIZADO!CL56="","",NORMALIZADO!CL56)</f>
        <v/>
      </c>
      <c r="P57" s="17" t="str">
        <f t="shared" ca="1" si="11"/>
        <v/>
      </c>
      <c r="Q57" s="17">
        <f t="shared" ca="1" si="12"/>
        <v>0</v>
      </c>
      <c r="R57" s="17">
        <f t="shared" ca="1" si="13"/>
        <v>0</v>
      </c>
      <c r="S57" s="17">
        <f t="shared" ca="1" si="14"/>
        <v>0</v>
      </c>
      <c r="T57" s="17">
        <f ca="1">IFERROR((K57+M57+MATRIZ_174!O56)/3,0)</f>
        <v>0</v>
      </c>
      <c r="U57" s="18">
        <f>IFERROR(MIN(100,ROUND(MATRIZ_174!M56,1)),0)</f>
        <v>0</v>
      </c>
      <c r="V57" s="18">
        <f t="shared" ca="1" si="15"/>
        <v>50</v>
      </c>
      <c r="W57" s="18">
        <f>IFERROR(IF(MATRIZ_174!R56=0,65,IF(MATRIZ_174!R56/MATRIZ_174!Q56&gt;=2,35,IF(MATRIZ_174!R56/MATRIZ_174!Q56&gt;=0.5,50,65))),65)</f>
        <v>65</v>
      </c>
      <c r="X57" s="18">
        <f>IFERROR(MIN(100,IF(MATRIZ_174!O56=0,70,30)+IF(MATRIZ_174!U56="",0,0.3*(100-MATRIZ_174!U56*100))),70)</f>
        <v>70</v>
      </c>
      <c r="Y57" s="18">
        <f>IF(OR(MATRIZ_174!P56="ASOCIACION",MATRIZ_174!P56="PENDIENTE"),65,40)</f>
        <v>65</v>
      </c>
      <c r="Z57" s="19" t="str">
        <f t="shared" ca="1" si="16"/>
        <v>—</v>
      </c>
      <c r="AA57" s="20">
        <f t="shared" ca="1" si="17"/>
        <v>50</v>
      </c>
      <c r="AB57" s="21" t="str">
        <f t="shared" ca="1" si="18"/>
        <v>—</v>
      </c>
      <c r="AC57" s="13" t="str">
        <f t="shared" ca="1" si="19"/>
        <v>⬜  Pendiente de instrumento</v>
      </c>
      <c r="AD57" s="13" t="str">
        <f>IF(MATRIZ_174!U56="","",IF(MATRIZ_174!U56=0,"🚫  Inh. vigente OSCE",""))</f>
        <v/>
      </c>
      <c r="AE57" s="22">
        <f>IFERROR(MATRIZ_174!W56,0)</f>
        <v>0</v>
      </c>
      <c r="AF57" s="22">
        <f>IFERROR(MATRIZ_174!X56,0)</f>
        <v>0</v>
      </c>
      <c r="AG57" s="22">
        <f>IFERROR(MATRIZ_174!Y56,0)</f>
        <v>0</v>
      </c>
      <c r="AH57" s="22">
        <f>IFERROR(MATRIZ_174!Z56,0)</f>
        <v>0</v>
      </c>
      <c r="AI57" s="17">
        <f ca="1">IFERROR(MATRIZ_174!AP56,"N/A")</f>
        <v>0</v>
      </c>
      <c r="AJ57" s="17">
        <f>IFERROR(MATRIZ_174!AO56,"N/A")</f>
        <v>0</v>
      </c>
      <c r="AK57" s="23" t="str">
        <f t="shared" ca="1" si="20"/>
        <v>N/A</v>
      </c>
      <c r="AL57" s="24" t="str">
        <f t="shared" ca="1" si="21"/>
        <v>—</v>
      </c>
    </row>
    <row r="58" spans="1:38" ht="16.05" customHeight="1" x14ac:dyDescent="0.3">
      <c r="A58" s="13" t="s">
        <v>197</v>
      </c>
      <c r="B58" s="14" t="s">
        <v>198</v>
      </c>
      <c r="C58" s="13" t="s">
        <v>80</v>
      </c>
      <c r="D58" s="15">
        <v>0</v>
      </c>
      <c r="E58" s="16" t="str">
        <f>IF(NORMALIZADO!CB57="","",NORMALIZADO!CB57)</f>
        <v/>
      </c>
      <c r="F58" s="17" t="str">
        <f ca="1">IF(NORMALIZADO!CC57="","",NORMALIZADO!CC57)</f>
        <v/>
      </c>
      <c r="G58" s="17">
        <f ca="1">IF(NORMALIZADO!CD57="",IFERROR(MATRIZ_174!U57*100,""),NORMALIZADO!CD57)</f>
        <v>100</v>
      </c>
      <c r="H58" s="16" t="str">
        <f>IF(NORMALIZADO!CE57="","",NORMALIZADO!CE57)</f>
        <v/>
      </c>
      <c r="I58" s="17" t="str">
        <f>IF(NORMALIZADO!CF57="","",NORMALIZADO!CF57)</f>
        <v/>
      </c>
      <c r="J58" s="17" t="str">
        <f ca="1">IF(NORMALIZADO!CG57="","",NORMALIZADO!CG57)</f>
        <v/>
      </c>
      <c r="K58" s="16" t="str">
        <f ca="1">IF(NORMALIZADO!CH57="","",NORMALIZADO!CH57)</f>
        <v/>
      </c>
      <c r="L58" s="16" t="str">
        <f>IF(NORMALIZADO!CI57="","",NORMALIZADO!CI57)</f>
        <v/>
      </c>
      <c r="M58" s="16" t="str">
        <f>IF(NORMALIZADO!CJ57="","",NORMALIZADO!CJ57)</f>
        <v/>
      </c>
      <c r="N58" s="16" t="str">
        <f>IF(NORMALIZADO!CK57="","",NORMALIZADO!CK57)</f>
        <v/>
      </c>
      <c r="O58" s="16" t="str">
        <f>IF(NORMALIZADO!CL57="","",NORMALIZADO!CL57)</f>
        <v/>
      </c>
      <c r="P58" s="17" t="str">
        <f t="shared" ca="1" si="11"/>
        <v/>
      </c>
      <c r="Q58" s="17">
        <f t="shared" ca="1" si="12"/>
        <v>0</v>
      </c>
      <c r="R58" s="17">
        <f t="shared" ca="1" si="13"/>
        <v>0</v>
      </c>
      <c r="S58" s="17">
        <f t="shared" ca="1" si="14"/>
        <v>0</v>
      </c>
      <c r="T58" s="17">
        <f ca="1">IFERROR((K58+M58+MATRIZ_174!O57)/3,0)</f>
        <v>0</v>
      </c>
      <c r="U58" s="18">
        <f>IFERROR(MIN(100,ROUND(MATRIZ_174!M57,1)),0)</f>
        <v>0</v>
      </c>
      <c r="V58" s="18">
        <f t="shared" ca="1" si="15"/>
        <v>50</v>
      </c>
      <c r="W58" s="18">
        <f>IFERROR(IF(MATRIZ_174!R57=0,65,IF(MATRIZ_174!R57/MATRIZ_174!Q57&gt;=2,35,IF(MATRIZ_174!R57/MATRIZ_174!Q57&gt;=0.5,50,65))),65)</f>
        <v>65</v>
      </c>
      <c r="X58" s="18">
        <f>IFERROR(MIN(100,IF(MATRIZ_174!O57=0,70,30)+IF(MATRIZ_174!U57="",0,0.3*(100-MATRIZ_174!U57*100))),70)</f>
        <v>70</v>
      </c>
      <c r="Y58" s="18">
        <f>IF(OR(MATRIZ_174!P57="ASOCIACION",MATRIZ_174!P57="PENDIENTE"),65,40)</f>
        <v>65</v>
      </c>
      <c r="Z58" s="19" t="str">
        <f t="shared" ca="1" si="16"/>
        <v>—</v>
      </c>
      <c r="AA58" s="20">
        <f t="shared" ca="1" si="17"/>
        <v>50</v>
      </c>
      <c r="AB58" s="21" t="str">
        <f t="shared" ca="1" si="18"/>
        <v>—</v>
      </c>
      <c r="AC58" s="13" t="str">
        <f t="shared" ca="1" si="19"/>
        <v>⬜  Pendiente de instrumento</v>
      </c>
      <c r="AD58" s="13" t="str">
        <f>IF(MATRIZ_174!U57="","",IF(MATRIZ_174!U57=0,"🚫  Inh. vigente OSCE",""))</f>
        <v/>
      </c>
      <c r="AE58" s="22">
        <f>IFERROR(MATRIZ_174!W57,0)</f>
        <v>0</v>
      </c>
      <c r="AF58" s="22">
        <f>IFERROR(MATRIZ_174!X57,0)</f>
        <v>0</v>
      </c>
      <c r="AG58" s="22">
        <f>IFERROR(MATRIZ_174!Y57,0)</f>
        <v>0</v>
      </c>
      <c r="AH58" s="22">
        <f>IFERROR(MATRIZ_174!Z57,0)</f>
        <v>0</v>
      </c>
      <c r="AI58" s="17">
        <f ca="1">IFERROR(MATRIZ_174!AP57,"N/A")</f>
        <v>0</v>
      </c>
      <c r="AJ58" s="17">
        <f>IFERROR(MATRIZ_174!AO57,"N/A")</f>
        <v>0</v>
      </c>
      <c r="AK58" s="23" t="str">
        <f t="shared" ca="1" si="20"/>
        <v>N/A</v>
      </c>
      <c r="AL58" s="24" t="str">
        <f t="shared" ca="1" si="21"/>
        <v>—</v>
      </c>
    </row>
    <row r="59" spans="1:38" ht="16.05" customHeight="1" x14ac:dyDescent="0.3">
      <c r="A59" s="13" t="s">
        <v>199</v>
      </c>
      <c r="B59" s="14" t="s">
        <v>200</v>
      </c>
      <c r="C59" s="13" t="s">
        <v>107</v>
      </c>
      <c r="D59" s="15">
        <v>52920</v>
      </c>
      <c r="E59" s="16" t="str">
        <f>IF(NORMALIZADO!CB58="","",NORMALIZADO!CB58)</f>
        <v/>
      </c>
      <c r="F59" s="17" t="str">
        <f ca="1">IF(NORMALIZADO!CC58="","",NORMALIZADO!CC58)</f>
        <v/>
      </c>
      <c r="G59" s="17">
        <f ca="1">IF(NORMALIZADO!CD58="",IFERROR(MATRIZ_174!U58*100,""),NORMALIZADO!CD58)</f>
        <v>100</v>
      </c>
      <c r="H59" s="16" t="str">
        <f>IF(NORMALIZADO!CE58="","",NORMALIZADO!CE58)</f>
        <v/>
      </c>
      <c r="I59" s="17" t="str">
        <f>IF(NORMALIZADO!CF58="","",NORMALIZADO!CF58)</f>
        <v/>
      </c>
      <c r="J59" s="17" t="str">
        <f ca="1">IF(NORMALIZADO!CG58="","",NORMALIZADO!CG58)</f>
        <v/>
      </c>
      <c r="K59" s="16" t="str">
        <f ca="1">IF(NORMALIZADO!CH58="","",NORMALIZADO!CH58)</f>
        <v/>
      </c>
      <c r="L59" s="16" t="str">
        <f>IF(NORMALIZADO!CI58="","",NORMALIZADO!CI58)</f>
        <v/>
      </c>
      <c r="M59" s="16" t="str">
        <f>IF(NORMALIZADO!CJ58="","",NORMALIZADO!CJ58)</f>
        <v/>
      </c>
      <c r="N59" s="16" t="str">
        <f>IF(NORMALIZADO!CK58="","",NORMALIZADO!CK58)</f>
        <v/>
      </c>
      <c r="O59" s="16" t="str">
        <f>IF(NORMALIZADO!CL58="","",NORMALIZADO!CL58)</f>
        <v/>
      </c>
      <c r="P59" s="17" t="str">
        <f t="shared" ca="1" si="11"/>
        <v/>
      </c>
      <c r="Q59" s="17">
        <f t="shared" ca="1" si="12"/>
        <v>0</v>
      </c>
      <c r="R59" s="17">
        <f t="shared" ca="1" si="13"/>
        <v>0</v>
      </c>
      <c r="S59" s="17">
        <f t="shared" ca="1" si="14"/>
        <v>0</v>
      </c>
      <c r="T59" s="17">
        <f ca="1">IFERROR((K59+M59+MATRIZ_174!O58)/3,0)</f>
        <v>0</v>
      </c>
      <c r="U59" s="18">
        <f>IFERROR(MIN(100,ROUND(MATRIZ_174!M58,1)),0)</f>
        <v>50</v>
      </c>
      <c r="V59" s="18">
        <f t="shared" ca="1" si="15"/>
        <v>50</v>
      </c>
      <c r="W59" s="18">
        <f>IFERROR(IF(MATRIZ_174!R58=0,65,IF(MATRIZ_174!R58/MATRIZ_174!Q58&gt;=2,35,IF(MATRIZ_174!R58/MATRIZ_174!Q58&gt;=0.5,50,65))),65)</f>
        <v>65</v>
      </c>
      <c r="X59" s="18">
        <f>IFERROR(MIN(100,IF(MATRIZ_174!O58=0,70,30)+IF(MATRIZ_174!U58="",0,0.3*(100-MATRIZ_174!U58*100))),70)</f>
        <v>70</v>
      </c>
      <c r="Y59" s="18">
        <f>IF(OR(MATRIZ_174!P58="ASOCIACION",MATRIZ_174!P58="PENDIENTE"),65,40)</f>
        <v>65</v>
      </c>
      <c r="Z59" s="19" t="str">
        <f t="shared" ca="1" si="16"/>
        <v>—</v>
      </c>
      <c r="AA59" s="20">
        <f t="shared" ca="1" si="17"/>
        <v>60</v>
      </c>
      <c r="AB59" s="21" t="str">
        <f t="shared" ca="1" si="18"/>
        <v>—</v>
      </c>
      <c r="AC59" s="13" t="str">
        <f t="shared" ca="1" si="19"/>
        <v>⬜  Pendiente de instrumento</v>
      </c>
      <c r="AD59" s="13" t="str">
        <f>IF(MATRIZ_174!U58="","",IF(MATRIZ_174!U58=0,"🚫  Inh. vigente OSCE",""))</f>
        <v/>
      </c>
      <c r="AE59" s="22">
        <f>IFERROR(MATRIZ_174!W58,0)</f>
        <v>0</v>
      </c>
      <c r="AF59" s="22">
        <f>IFERROR(MATRIZ_174!X58,0)</f>
        <v>0</v>
      </c>
      <c r="AG59" s="22">
        <f>IFERROR(MATRIZ_174!Y58,0)</f>
        <v>0</v>
      </c>
      <c r="AH59" s="22">
        <f>IFERROR(MATRIZ_174!Z58,0)</f>
        <v>0</v>
      </c>
      <c r="AI59" s="17">
        <f ca="1">IFERROR(MATRIZ_174!AP58,"N/A")</f>
        <v>0.1</v>
      </c>
      <c r="AJ59" s="17">
        <f>IFERROR(MATRIZ_174!AO58,"N/A")</f>
        <v>0</v>
      </c>
      <c r="AK59" s="23" t="str">
        <f t="shared" ca="1" si="20"/>
        <v>N/A</v>
      </c>
      <c r="AL59" s="24" t="str">
        <f t="shared" ca="1" si="21"/>
        <v>—</v>
      </c>
    </row>
    <row r="60" spans="1:38" ht="16.05" customHeight="1" x14ac:dyDescent="0.3">
      <c r="A60" s="13" t="s">
        <v>201</v>
      </c>
      <c r="B60" s="14" t="s">
        <v>202</v>
      </c>
      <c r="C60" s="13" t="s">
        <v>107</v>
      </c>
      <c r="D60" s="15">
        <v>0</v>
      </c>
      <c r="E60" s="16" t="str">
        <f>IF(NORMALIZADO!CB59="","",NORMALIZADO!CB59)</f>
        <v/>
      </c>
      <c r="F60" s="17" t="str">
        <f ca="1">IF(NORMALIZADO!CC59="","",NORMALIZADO!CC59)</f>
        <v/>
      </c>
      <c r="G60" s="17">
        <f ca="1">IF(NORMALIZADO!CD59="",IFERROR(MATRIZ_174!U59*100,""),NORMALIZADO!CD59)</f>
        <v>100</v>
      </c>
      <c r="H60" s="16" t="str">
        <f>IF(NORMALIZADO!CE59="","",NORMALIZADO!CE59)</f>
        <v/>
      </c>
      <c r="I60" s="17" t="str">
        <f>IF(NORMALIZADO!CF59="","",NORMALIZADO!CF59)</f>
        <v/>
      </c>
      <c r="J60" s="17" t="str">
        <f ca="1">IF(NORMALIZADO!CG59="","",NORMALIZADO!CG59)</f>
        <v/>
      </c>
      <c r="K60" s="16" t="str">
        <f ca="1">IF(NORMALIZADO!CH59="","",NORMALIZADO!CH59)</f>
        <v/>
      </c>
      <c r="L60" s="16" t="str">
        <f>IF(NORMALIZADO!CI59="","",NORMALIZADO!CI59)</f>
        <v/>
      </c>
      <c r="M60" s="16" t="str">
        <f>IF(NORMALIZADO!CJ59="","",NORMALIZADO!CJ59)</f>
        <v/>
      </c>
      <c r="N60" s="16" t="str">
        <f>IF(NORMALIZADO!CK59="","",NORMALIZADO!CK59)</f>
        <v/>
      </c>
      <c r="O60" s="16" t="str">
        <f>IF(NORMALIZADO!CL59="","",NORMALIZADO!CL59)</f>
        <v/>
      </c>
      <c r="P60" s="17" t="str">
        <f t="shared" ca="1" si="11"/>
        <v/>
      </c>
      <c r="Q60" s="17">
        <f t="shared" ca="1" si="12"/>
        <v>0</v>
      </c>
      <c r="R60" s="17">
        <f t="shared" ca="1" si="13"/>
        <v>0</v>
      </c>
      <c r="S60" s="17">
        <f t="shared" ca="1" si="14"/>
        <v>0</v>
      </c>
      <c r="T60" s="17">
        <f ca="1">IFERROR((K60+M60+MATRIZ_174!O59)/3,0)</f>
        <v>0</v>
      </c>
      <c r="U60" s="18">
        <f>IFERROR(MIN(100,ROUND(MATRIZ_174!M59,1)),0)</f>
        <v>0</v>
      </c>
      <c r="V60" s="18">
        <f t="shared" ca="1" si="15"/>
        <v>50</v>
      </c>
      <c r="W60" s="18">
        <f>IFERROR(IF(MATRIZ_174!R59=0,65,IF(MATRIZ_174!R59/MATRIZ_174!Q59&gt;=2,35,IF(MATRIZ_174!R59/MATRIZ_174!Q59&gt;=0.5,50,65))),65)</f>
        <v>65</v>
      </c>
      <c r="X60" s="18">
        <f>IFERROR(MIN(100,IF(MATRIZ_174!O59=0,70,30)+IF(MATRIZ_174!U59="",0,0.3*(100-MATRIZ_174!U59*100))),70)</f>
        <v>70</v>
      </c>
      <c r="Y60" s="18">
        <f>IF(OR(MATRIZ_174!P59="ASOCIACION",MATRIZ_174!P59="PENDIENTE"),65,40)</f>
        <v>65</v>
      </c>
      <c r="Z60" s="19" t="str">
        <f t="shared" ca="1" si="16"/>
        <v>—</v>
      </c>
      <c r="AA60" s="20">
        <f t="shared" ca="1" si="17"/>
        <v>50</v>
      </c>
      <c r="AB60" s="21" t="str">
        <f t="shared" ca="1" si="18"/>
        <v>—</v>
      </c>
      <c r="AC60" s="13" t="str">
        <f t="shared" ca="1" si="19"/>
        <v>⬜  Pendiente de instrumento</v>
      </c>
      <c r="AD60" s="13" t="str">
        <f>IF(MATRIZ_174!U59="","",IF(MATRIZ_174!U59=0,"🚫  Inh. vigente OSCE",""))</f>
        <v/>
      </c>
      <c r="AE60" s="22">
        <f>IFERROR(MATRIZ_174!W59,0)</f>
        <v>0</v>
      </c>
      <c r="AF60" s="22">
        <f>IFERROR(MATRIZ_174!X59,0)</f>
        <v>0</v>
      </c>
      <c r="AG60" s="22">
        <f>IFERROR(MATRIZ_174!Y59,0)</f>
        <v>0</v>
      </c>
      <c r="AH60" s="22">
        <f>IFERROR(MATRIZ_174!Z59,0)</f>
        <v>0</v>
      </c>
      <c r="AI60" s="17">
        <f ca="1">IFERROR(MATRIZ_174!AP59,"N/A")</f>
        <v>0</v>
      </c>
      <c r="AJ60" s="17">
        <f>IFERROR(MATRIZ_174!AO59,"N/A")</f>
        <v>0</v>
      </c>
      <c r="AK60" s="23" t="str">
        <f t="shared" ca="1" si="20"/>
        <v>N/A</v>
      </c>
      <c r="AL60" s="24" t="str">
        <f t="shared" ca="1" si="21"/>
        <v>—</v>
      </c>
    </row>
    <row r="61" spans="1:38" ht="16.05" customHeight="1" x14ac:dyDescent="0.3">
      <c r="A61" s="13" t="s">
        <v>203</v>
      </c>
      <c r="B61" s="14" t="s">
        <v>204</v>
      </c>
      <c r="C61" s="13" t="s">
        <v>205</v>
      </c>
      <c r="D61" s="15">
        <v>5373465.4699999997</v>
      </c>
      <c r="E61" s="16" t="str">
        <f>IF(NORMALIZADO!CB60="","",NORMALIZADO!CB60)</f>
        <v/>
      </c>
      <c r="F61" s="17" t="str">
        <f ca="1">IF(NORMALIZADO!CC60="","",NORMALIZADO!CC60)</f>
        <v/>
      </c>
      <c r="G61" s="17">
        <f ca="1">IF(NORMALIZADO!CD60="",IFERROR(MATRIZ_174!U60*100,""),NORMALIZADO!CD60)</f>
        <v>100</v>
      </c>
      <c r="H61" s="16" t="str">
        <f>IF(NORMALIZADO!CE60="","",NORMALIZADO!CE60)</f>
        <v/>
      </c>
      <c r="I61" s="17" t="str">
        <f>IF(NORMALIZADO!CF60="","",NORMALIZADO!CF60)</f>
        <v/>
      </c>
      <c r="J61" s="17" t="str">
        <f ca="1">IF(NORMALIZADO!CG60="","",NORMALIZADO!CG60)</f>
        <v/>
      </c>
      <c r="K61" s="16" t="str">
        <f ca="1">IF(NORMALIZADO!CH60="","",NORMALIZADO!CH60)</f>
        <v/>
      </c>
      <c r="L61" s="16" t="str">
        <f>IF(NORMALIZADO!CI60="","",NORMALIZADO!CI60)</f>
        <v/>
      </c>
      <c r="M61" s="16" t="str">
        <f>IF(NORMALIZADO!CJ60="","",NORMALIZADO!CJ60)</f>
        <v/>
      </c>
      <c r="N61" s="16" t="str">
        <f>IF(NORMALIZADO!CK60="","",NORMALIZADO!CK60)</f>
        <v/>
      </c>
      <c r="O61" s="16" t="str">
        <f>IF(NORMALIZADO!CL60="","",NORMALIZADO!CL60)</f>
        <v/>
      </c>
      <c r="P61" s="17" t="str">
        <f t="shared" ca="1" si="11"/>
        <v/>
      </c>
      <c r="Q61" s="17">
        <f t="shared" ca="1" si="12"/>
        <v>0</v>
      </c>
      <c r="R61" s="17">
        <f t="shared" ca="1" si="13"/>
        <v>0</v>
      </c>
      <c r="S61" s="17">
        <f t="shared" ca="1" si="14"/>
        <v>0</v>
      </c>
      <c r="T61" s="17">
        <f ca="1">IFERROR((K61+M61+MATRIZ_174!O60)/3,0)</f>
        <v>0</v>
      </c>
      <c r="U61" s="18">
        <f>IFERROR(MIN(100,ROUND(MATRIZ_174!M60,1)),0)</f>
        <v>50</v>
      </c>
      <c r="V61" s="18">
        <f t="shared" ca="1" si="15"/>
        <v>50</v>
      </c>
      <c r="W61" s="18">
        <f>IFERROR(IF(MATRIZ_174!R60=0,65,IF(MATRIZ_174!R60/MATRIZ_174!Q60&gt;=2,35,IF(MATRIZ_174!R60/MATRIZ_174!Q60&gt;=0.5,50,65))),65)</f>
        <v>65</v>
      </c>
      <c r="X61" s="18">
        <f>IFERROR(MIN(100,IF(MATRIZ_174!O60=0,70,30)+IF(MATRIZ_174!U60="",0,0.3*(100-MATRIZ_174!U60*100))),70)</f>
        <v>70</v>
      </c>
      <c r="Y61" s="18">
        <f>IF(OR(MATRIZ_174!P60="ASOCIACION",MATRIZ_174!P60="PENDIENTE"),65,40)</f>
        <v>65</v>
      </c>
      <c r="Z61" s="19" t="str">
        <f t="shared" ca="1" si="16"/>
        <v>—</v>
      </c>
      <c r="AA61" s="20">
        <f t="shared" ca="1" si="17"/>
        <v>60</v>
      </c>
      <c r="AB61" s="21" t="str">
        <f t="shared" ca="1" si="18"/>
        <v>—</v>
      </c>
      <c r="AC61" s="13" t="str">
        <f t="shared" ca="1" si="19"/>
        <v>⬜  Pendiente de instrumento</v>
      </c>
      <c r="AD61" s="13" t="str">
        <f>IF(MATRIZ_174!U60="","",IF(MATRIZ_174!U60=0,"🚫  Inh. vigente OSCE",""))</f>
        <v/>
      </c>
      <c r="AE61" s="22">
        <f>IFERROR(MATRIZ_174!W60,0)</f>
        <v>1</v>
      </c>
      <c r="AF61" s="22">
        <f>IFERROR(MATRIZ_174!X60,0)</f>
        <v>0</v>
      </c>
      <c r="AG61" s="22">
        <f>IFERROR(MATRIZ_174!Y60,0)</f>
        <v>0</v>
      </c>
      <c r="AH61" s="22">
        <f>IFERROR(MATRIZ_174!Z60,0)</f>
        <v>0</v>
      </c>
      <c r="AI61" s="17">
        <f ca="1">IFERROR(MATRIZ_174!AP60,"N/A")</f>
        <v>0.125</v>
      </c>
      <c r="AJ61" s="17">
        <f>IFERROR(MATRIZ_174!AO60,"N/A")</f>
        <v>0</v>
      </c>
      <c r="AK61" s="23" t="str">
        <f t="shared" ca="1" si="20"/>
        <v>N/A</v>
      </c>
      <c r="AL61" s="24" t="str">
        <f t="shared" ca="1" si="21"/>
        <v>—</v>
      </c>
    </row>
    <row r="62" spans="1:38" ht="16.05" customHeight="1" x14ac:dyDescent="0.3">
      <c r="A62" s="13" t="s">
        <v>206</v>
      </c>
      <c r="B62" s="14" t="s">
        <v>207</v>
      </c>
      <c r="C62" s="13" t="s">
        <v>123</v>
      </c>
      <c r="D62" s="15">
        <v>0</v>
      </c>
      <c r="E62" s="16" t="str">
        <f>IF(NORMALIZADO!CB61="","",NORMALIZADO!CB61)</f>
        <v/>
      </c>
      <c r="F62" s="17" t="str">
        <f ca="1">IF(NORMALIZADO!CC61="","",NORMALIZADO!CC61)</f>
        <v/>
      </c>
      <c r="G62" s="17">
        <f ca="1">IF(NORMALIZADO!CD61="",IFERROR(MATRIZ_174!U61*100,""),NORMALIZADO!CD61)</f>
        <v>100</v>
      </c>
      <c r="H62" s="16" t="str">
        <f>IF(NORMALIZADO!CE61="","",NORMALIZADO!CE61)</f>
        <v/>
      </c>
      <c r="I62" s="17" t="str">
        <f>IF(NORMALIZADO!CF61="","",NORMALIZADO!CF61)</f>
        <v/>
      </c>
      <c r="J62" s="17" t="str">
        <f ca="1">IF(NORMALIZADO!CG61="","",NORMALIZADO!CG61)</f>
        <v/>
      </c>
      <c r="K62" s="16" t="str">
        <f ca="1">IF(NORMALIZADO!CH61="","",NORMALIZADO!CH61)</f>
        <v/>
      </c>
      <c r="L62" s="16" t="str">
        <f>IF(NORMALIZADO!CI61="","",NORMALIZADO!CI61)</f>
        <v/>
      </c>
      <c r="M62" s="16" t="str">
        <f>IF(NORMALIZADO!CJ61="","",NORMALIZADO!CJ61)</f>
        <v/>
      </c>
      <c r="N62" s="16" t="str">
        <f>IF(NORMALIZADO!CK61="","",NORMALIZADO!CK61)</f>
        <v/>
      </c>
      <c r="O62" s="16" t="str">
        <f>IF(NORMALIZADO!CL61="","",NORMALIZADO!CL61)</f>
        <v/>
      </c>
      <c r="P62" s="17" t="str">
        <f t="shared" ca="1" si="11"/>
        <v/>
      </c>
      <c r="Q62" s="17">
        <f t="shared" ca="1" si="12"/>
        <v>0</v>
      </c>
      <c r="R62" s="17">
        <f t="shared" ca="1" si="13"/>
        <v>0</v>
      </c>
      <c r="S62" s="17">
        <f t="shared" ca="1" si="14"/>
        <v>0</v>
      </c>
      <c r="T62" s="17">
        <f ca="1">IFERROR((K62+M62+MATRIZ_174!O61)/3,0)</f>
        <v>0</v>
      </c>
      <c r="U62" s="18">
        <f>IFERROR(MIN(100,ROUND(MATRIZ_174!M61,1)),0)</f>
        <v>0</v>
      </c>
      <c r="V62" s="18">
        <f t="shared" ca="1" si="15"/>
        <v>50</v>
      </c>
      <c r="W62" s="18">
        <f>IFERROR(IF(MATRIZ_174!R61=0,65,IF(MATRIZ_174!R61/MATRIZ_174!Q61&gt;=2,35,IF(MATRIZ_174!R61/MATRIZ_174!Q61&gt;=0.5,50,65))),65)</f>
        <v>65</v>
      </c>
      <c r="X62" s="18">
        <f>IFERROR(MIN(100,IF(MATRIZ_174!O61=0,70,30)+IF(MATRIZ_174!U61="",0,0.3*(100-MATRIZ_174!U61*100))),70)</f>
        <v>70</v>
      </c>
      <c r="Y62" s="18">
        <f>IF(OR(MATRIZ_174!P61="ASOCIACION",MATRIZ_174!P61="PENDIENTE"),65,40)</f>
        <v>65</v>
      </c>
      <c r="Z62" s="19" t="str">
        <f t="shared" ca="1" si="16"/>
        <v>—</v>
      </c>
      <c r="AA62" s="20">
        <f t="shared" ca="1" si="17"/>
        <v>50</v>
      </c>
      <c r="AB62" s="21" t="str">
        <f t="shared" ca="1" si="18"/>
        <v>—</v>
      </c>
      <c r="AC62" s="13" t="str">
        <f t="shared" ca="1" si="19"/>
        <v>⬜  Pendiente de instrumento</v>
      </c>
      <c r="AD62" s="13" t="str">
        <f>IF(MATRIZ_174!U61="","",IF(MATRIZ_174!U61=0,"🚫  Inh. vigente OSCE",""))</f>
        <v/>
      </c>
      <c r="AE62" s="22">
        <f>IFERROR(MATRIZ_174!W61,0)</f>
        <v>0</v>
      </c>
      <c r="AF62" s="22">
        <f>IFERROR(MATRIZ_174!X61,0)</f>
        <v>0</v>
      </c>
      <c r="AG62" s="22">
        <f>IFERROR(MATRIZ_174!Y61,0)</f>
        <v>0</v>
      </c>
      <c r="AH62" s="22">
        <f>IFERROR(MATRIZ_174!Z61,0)</f>
        <v>0</v>
      </c>
      <c r="AI62" s="17">
        <f ca="1">IFERROR(MATRIZ_174!AP61,"N/A")</f>
        <v>0</v>
      </c>
      <c r="AJ62" s="17">
        <f>IFERROR(MATRIZ_174!AO61,"N/A")</f>
        <v>0</v>
      </c>
      <c r="AK62" s="23" t="str">
        <f t="shared" ca="1" si="20"/>
        <v>N/A</v>
      </c>
      <c r="AL62" s="24" t="str">
        <f t="shared" ca="1" si="21"/>
        <v>—</v>
      </c>
    </row>
    <row r="63" spans="1:38" ht="16.05" customHeight="1" x14ac:dyDescent="0.3">
      <c r="A63" s="13" t="s">
        <v>208</v>
      </c>
      <c r="B63" s="14" t="s">
        <v>209</v>
      </c>
      <c r="C63" s="13" t="s">
        <v>107</v>
      </c>
      <c r="D63" s="15">
        <v>0</v>
      </c>
      <c r="E63" s="16" t="str">
        <f>IF(NORMALIZADO!CB62="","",NORMALIZADO!CB62)</f>
        <v/>
      </c>
      <c r="F63" s="17" t="str">
        <f ca="1">IF(NORMALIZADO!CC62="","",NORMALIZADO!CC62)</f>
        <v/>
      </c>
      <c r="G63" s="17">
        <f ca="1">IF(NORMALIZADO!CD62="",IFERROR(MATRIZ_174!U62*100,""),NORMALIZADO!CD62)</f>
        <v>100</v>
      </c>
      <c r="H63" s="16" t="str">
        <f>IF(NORMALIZADO!CE62="","",NORMALIZADO!CE62)</f>
        <v/>
      </c>
      <c r="I63" s="17" t="str">
        <f>IF(NORMALIZADO!CF62="","",NORMALIZADO!CF62)</f>
        <v/>
      </c>
      <c r="J63" s="17" t="str">
        <f ca="1">IF(NORMALIZADO!CG62="","",NORMALIZADO!CG62)</f>
        <v/>
      </c>
      <c r="K63" s="16" t="str">
        <f ca="1">IF(NORMALIZADO!CH62="","",NORMALIZADO!CH62)</f>
        <v/>
      </c>
      <c r="L63" s="16" t="str">
        <f>IF(NORMALIZADO!CI62="","",NORMALIZADO!CI62)</f>
        <v/>
      </c>
      <c r="M63" s="16" t="str">
        <f>IF(NORMALIZADO!CJ62="","",NORMALIZADO!CJ62)</f>
        <v/>
      </c>
      <c r="N63" s="16" t="str">
        <f>IF(NORMALIZADO!CK62="","",NORMALIZADO!CK62)</f>
        <v/>
      </c>
      <c r="O63" s="16" t="str">
        <f>IF(NORMALIZADO!CL62="","",NORMALIZADO!CL62)</f>
        <v/>
      </c>
      <c r="P63" s="17" t="str">
        <f t="shared" ca="1" si="11"/>
        <v/>
      </c>
      <c r="Q63" s="17">
        <f t="shared" ca="1" si="12"/>
        <v>0</v>
      </c>
      <c r="R63" s="17">
        <f t="shared" ca="1" si="13"/>
        <v>0</v>
      </c>
      <c r="S63" s="17">
        <f t="shared" ca="1" si="14"/>
        <v>0</v>
      </c>
      <c r="T63" s="17">
        <f ca="1">IFERROR((K63+M63+MATRIZ_174!O62)/3,0)</f>
        <v>0</v>
      </c>
      <c r="U63" s="18">
        <f>IFERROR(MIN(100,ROUND(MATRIZ_174!M62,1)),0)</f>
        <v>0</v>
      </c>
      <c r="V63" s="18">
        <f t="shared" ca="1" si="15"/>
        <v>50</v>
      </c>
      <c r="W63" s="18">
        <f>IFERROR(IF(MATRIZ_174!R62=0,65,IF(MATRIZ_174!R62/MATRIZ_174!Q62&gt;=2,35,IF(MATRIZ_174!R62/MATRIZ_174!Q62&gt;=0.5,50,65))),65)</f>
        <v>65</v>
      </c>
      <c r="X63" s="18">
        <f>IFERROR(MIN(100,IF(MATRIZ_174!O62=0,70,30)+IF(MATRIZ_174!U62="",0,0.3*(100-MATRIZ_174!U62*100))),70)</f>
        <v>70</v>
      </c>
      <c r="Y63" s="18">
        <f>IF(OR(MATRIZ_174!P62="ASOCIACION",MATRIZ_174!P62="PENDIENTE"),65,40)</f>
        <v>65</v>
      </c>
      <c r="Z63" s="19" t="str">
        <f t="shared" ca="1" si="16"/>
        <v>—</v>
      </c>
      <c r="AA63" s="20">
        <f t="shared" ca="1" si="17"/>
        <v>50</v>
      </c>
      <c r="AB63" s="21" t="str">
        <f t="shared" ca="1" si="18"/>
        <v>—</v>
      </c>
      <c r="AC63" s="13" t="str">
        <f t="shared" ca="1" si="19"/>
        <v>⬜  Pendiente de instrumento</v>
      </c>
      <c r="AD63" s="13" t="str">
        <f>IF(MATRIZ_174!U62="","",IF(MATRIZ_174!U62=0,"🚫  Inh. vigente OSCE",""))</f>
        <v/>
      </c>
      <c r="AE63" s="22">
        <f>IFERROR(MATRIZ_174!W62,0)</f>
        <v>0</v>
      </c>
      <c r="AF63" s="22">
        <f>IFERROR(MATRIZ_174!X62,0)</f>
        <v>0</v>
      </c>
      <c r="AG63" s="22">
        <f>IFERROR(MATRIZ_174!Y62,0)</f>
        <v>0</v>
      </c>
      <c r="AH63" s="22">
        <f>IFERROR(MATRIZ_174!Z62,0)</f>
        <v>0</v>
      </c>
      <c r="AI63" s="17">
        <f ca="1">IFERROR(MATRIZ_174!AP62,"N/A")</f>
        <v>0</v>
      </c>
      <c r="AJ63" s="17">
        <f>IFERROR(MATRIZ_174!AO62,"N/A")</f>
        <v>0</v>
      </c>
      <c r="AK63" s="23" t="str">
        <f t="shared" ca="1" si="20"/>
        <v>N/A</v>
      </c>
      <c r="AL63" s="24" t="str">
        <f t="shared" ca="1" si="21"/>
        <v>—</v>
      </c>
    </row>
    <row r="64" spans="1:38" ht="16.05" customHeight="1" x14ac:dyDescent="0.3">
      <c r="A64" s="13" t="s">
        <v>210</v>
      </c>
      <c r="B64" s="14" t="s">
        <v>211</v>
      </c>
      <c r="C64" s="13" t="s">
        <v>107</v>
      </c>
      <c r="D64" s="15">
        <v>0</v>
      </c>
      <c r="E64" s="16" t="str">
        <f>IF(NORMALIZADO!CB63="","",NORMALIZADO!CB63)</f>
        <v/>
      </c>
      <c r="F64" s="17" t="str">
        <f ca="1">IF(NORMALIZADO!CC63="","",NORMALIZADO!CC63)</f>
        <v/>
      </c>
      <c r="G64" s="17">
        <f ca="1">IF(NORMALIZADO!CD63="",IFERROR(MATRIZ_174!U63*100,""),NORMALIZADO!CD63)</f>
        <v>100</v>
      </c>
      <c r="H64" s="16" t="str">
        <f>IF(NORMALIZADO!CE63="","",NORMALIZADO!CE63)</f>
        <v/>
      </c>
      <c r="I64" s="17" t="str">
        <f>IF(NORMALIZADO!CF63="","",NORMALIZADO!CF63)</f>
        <v/>
      </c>
      <c r="J64" s="17" t="str">
        <f ca="1">IF(NORMALIZADO!CG63="","",NORMALIZADO!CG63)</f>
        <v/>
      </c>
      <c r="K64" s="16" t="str">
        <f ca="1">IF(NORMALIZADO!CH63="","",NORMALIZADO!CH63)</f>
        <v/>
      </c>
      <c r="L64" s="16" t="str">
        <f>IF(NORMALIZADO!CI63="","",NORMALIZADO!CI63)</f>
        <v/>
      </c>
      <c r="M64" s="16" t="str">
        <f>IF(NORMALIZADO!CJ63="","",NORMALIZADO!CJ63)</f>
        <v/>
      </c>
      <c r="N64" s="16" t="str">
        <f>IF(NORMALIZADO!CK63="","",NORMALIZADO!CK63)</f>
        <v/>
      </c>
      <c r="O64" s="16" t="str">
        <f>IF(NORMALIZADO!CL63="","",NORMALIZADO!CL63)</f>
        <v/>
      </c>
      <c r="P64" s="17" t="str">
        <f t="shared" ca="1" si="11"/>
        <v/>
      </c>
      <c r="Q64" s="17">
        <f t="shared" ca="1" si="12"/>
        <v>0</v>
      </c>
      <c r="R64" s="17">
        <f t="shared" ca="1" si="13"/>
        <v>0</v>
      </c>
      <c r="S64" s="17">
        <f t="shared" ca="1" si="14"/>
        <v>0</v>
      </c>
      <c r="T64" s="17">
        <f ca="1">IFERROR((K64+M64+MATRIZ_174!O63)/3,0)</f>
        <v>0</v>
      </c>
      <c r="U64" s="18">
        <f>IFERROR(MIN(100,ROUND(MATRIZ_174!M63,1)),0)</f>
        <v>0</v>
      </c>
      <c r="V64" s="18">
        <f t="shared" ca="1" si="15"/>
        <v>50</v>
      </c>
      <c r="W64" s="18">
        <f>IFERROR(IF(MATRIZ_174!R63=0,65,IF(MATRIZ_174!R63/MATRIZ_174!Q63&gt;=2,35,IF(MATRIZ_174!R63/MATRIZ_174!Q63&gt;=0.5,50,65))),65)</f>
        <v>65</v>
      </c>
      <c r="X64" s="18">
        <f>IFERROR(MIN(100,IF(MATRIZ_174!O63=0,70,30)+IF(MATRIZ_174!U63="",0,0.3*(100-MATRIZ_174!U63*100))),70)</f>
        <v>70</v>
      </c>
      <c r="Y64" s="18">
        <f>IF(OR(MATRIZ_174!P63="ASOCIACION",MATRIZ_174!P63="PENDIENTE"),65,40)</f>
        <v>65</v>
      </c>
      <c r="Z64" s="19" t="str">
        <f t="shared" ca="1" si="16"/>
        <v>—</v>
      </c>
      <c r="AA64" s="20">
        <f t="shared" ca="1" si="17"/>
        <v>50</v>
      </c>
      <c r="AB64" s="21" t="str">
        <f t="shared" ca="1" si="18"/>
        <v>—</v>
      </c>
      <c r="AC64" s="13" t="str">
        <f t="shared" ca="1" si="19"/>
        <v>⬜  Pendiente de instrumento</v>
      </c>
      <c r="AD64" s="13" t="str">
        <f>IF(MATRIZ_174!U63="","",IF(MATRIZ_174!U63=0,"🚫  Inh. vigente OSCE",""))</f>
        <v/>
      </c>
      <c r="AE64" s="22">
        <f>IFERROR(MATRIZ_174!W63,0)</f>
        <v>0</v>
      </c>
      <c r="AF64" s="22">
        <f>IFERROR(MATRIZ_174!X63,0)</f>
        <v>0</v>
      </c>
      <c r="AG64" s="22">
        <f>IFERROR(MATRIZ_174!Y63,0)</f>
        <v>0</v>
      </c>
      <c r="AH64" s="22">
        <f>IFERROR(MATRIZ_174!Z63,0)</f>
        <v>0</v>
      </c>
      <c r="AI64" s="17">
        <f ca="1">IFERROR(MATRIZ_174!AP63,"N/A")</f>
        <v>0</v>
      </c>
      <c r="AJ64" s="17">
        <f>IFERROR(MATRIZ_174!AO63,"N/A")</f>
        <v>0</v>
      </c>
      <c r="AK64" s="23" t="str">
        <f t="shared" ca="1" si="20"/>
        <v>N/A</v>
      </c>
      <c r="AL64" s="24" t="str">
        <f t="shared" ca="1" si="21"/>
        <v>—</v>
      </c>
    </row>
    <row r="65" spans="1:38" ht="16.05" customHeight="1" x14ac:dyDescent="0.3">
      <c r="A65" s="13" t="s">
        <v>212</v>
      </c>
      <c r="B65" s="14" t="s">
        <v>213</v>
      </c>
      <c r="C65" s="13" t="s">
        <v>143</v>
      </c>
      <c r="D65" s="15">
        <v>0</v>
      </c>
      <c r="E65" s="16" t="str">
        <f>IF(NORMALIZADO!CB64="","",NORMALIZADO!CB64)</f>
        <v/>
      </c>
      <c r="F65" s="17" t="str">
        <f ca="1">IF(NORMALIZADO!CC64="","",NORMALIZADO!CC64)</f>
        <v/>
      </c>
      <c r="G65" s="17">
        <f ca="1">IF(NORMALIZADO!CD64="",IFERROR(MATRIZ_174!U64*100,""),NORMALIZADO!CD64)</f>
        <v>100</v>
      </c>
      <c r="H65" s="16" t="str">
        <f>IF(NORMALIZADO!CE64="","",NORMALIZADO!CE64)</f>
        <v/>
      </c>
      <c r="I65" s="17" t="str">
        <f>IF(NORMALIZADO!CF64="","",NORMALIZADO!CF64)</f>
        <v/>
      </c>
      <c r="J65" s="17" t="str">
        <f ca="1">IF(NORMALIZADO!CG64="","",NORMALIZADO!CG64)</f>
        <v/>
      </c>
      <c r="K65" s="16" t="str">
        <f ca="1">IF(NORMALIZADO!CH64="","",NORMALIZADO!CH64)</f>
        <v/>
      </c>
      <c r="L65" s="16" t="str">
        <f>IF(NORMALIZADO!CI64="","",NORMALIZADO!CI64)</f>
        <v/>
      </c>
      <c r="M65" s="16" t="str">
        <f>IF(NORMALIZADO!CJ64="","",NORMALIZADO!CJ64)</f>
        <v/>
      </c>
      <c r="N65" s="16" t="str">
        <f>IF(NORMALIZADO!CK64="","",NORMALIZADO!CK64)</f>
        <v/>
      </c>
      <c r="O65" s="16" t="str">
        <f>IF(NORMALIZADO!CL64="","",NORMALIZADO!CL64)</f>
        <v/>
      </c>
      <c r="P65" s="17" t="str">
        <f t="shared" ca="1" si="11"/>
        <v/>
      </c>
      <c r="Q65" s="17">
        <f t="shared" ca="1" si="12"/>
        <v>0</v>
      </c>
      <c r="R65" s="17">
        <f t="shared" ca="1" si="13"/>
        <v>0</v>
      </c>
      <c r="S65" s="17">
        <f t="shared" ca="1" si="14"/>
        <v>0</v>
      </c>
      <c r="T65" s="17">
        <f ca="1">IFERROR((K65+M65+MATRIZ_174!O64)/3,0)</f>
        <v>0</v>
      </c>
      <c r="U65" s="18">
        <f>IFERROR(MIN(100,ROUND(MATRIZ_174!M64,1)),0)</f>
        <v>0</v>
      </c>
      <c r="V65" s="18">
        <f t="shared" ca="1" si="15"/>
        <v>50</v>
      </c>
      <c r="W65" s="18">
        <f>IFERROR(IF(MATRIZ_174!R64=0,65,IF(MATRIZ_174!R64/MATRIZ_174!Q64&gt;=2,35,IF(MATRIZ_174!R64/MATRIZ_174!Q64&gt;=0.5,50,65))),65)</f>
        <v>65</v>
      </c>
      <c r="X65" s="18">
        <f>IFERROR(MIN(100,IF(MATRIZ_174!O64=0,70,30)+IF(MATRIZ_174!U64="",0,0.3*(100-MATRIZ_174!U64*100))),70)</f>
        <v>70</v>
      </c>
      <c r="Y65" s="18">
        <f>IF(OR(MATRIZ_174!P64="ASOCIACION",MATRIZ_174!P64="PENDIENTE"),65,40)</f>
        <v>65</v>
      </c>
      <c r="Z65" s="19" t="str">
        <f t="shared" ca="1" si="16"/>
        <v>—</v>
      </c>
      <c r="AA65" s="20">
        <f t="shared" ca="1" si="17"/>
        <v>50</v>
      </c>
      <c r="AB65" s="21" t="str">
        <f t="shared" ca="1" si="18"/>
        <v>—</v>
      </c>
      <c r="AC65" s="13" t="str">
        <f t="shared" ca="1" si="19"/>
        <v>⬜  Pendiente de instrumento</v>
      </c>
      <c r="AD65" s="13" t="str">
        <f>IF(MATRIZ_174!U64="","",IF(MATRIZ_174!U64=0,"🚫  Inh. vigente OSCE",""))</f>
        <v/>
      </c>
      <c r="AE65" s="22">
        <f>IFERROR(MATRIZ_174!W64,0)</f>
        <v>0</v>
      </c>
      <c r="AF65" s="22">
        <f>IFERROR(MATRIZ_174!X64,0)</f>
        <v>0</v>
      </c>
      <c r="AG65" s="22">
        <f>IFERROR(MATRIZ_174!Y64,0)</f>
        <v>0</v>
      </c>
      <c r="AH65" s="22">
        <f>IFERROR(MATRIZ_174!Z64,0)</f>
        <v>0</v>
      </c>
      <c r="AI65" s="17">
        <f ca="1">IFERROR(MATRIZ_174!AP64,"N/A")</f>
        <v>0</v>
      </c>
      <c r="AJ65" s="17">
        <f>IFERROR(MATRIZ_174!AO64,"N/A")</f>
        <v>0</v>
      </c>
      <c r="AK65" s="23" t="str">
        <f t="shared" ca="1" si="20"/>
        <v>N/A</v>
      </c>
      <c r="AL65" s="24" t="str">
        <f t="shared" ca="1" si="21"/>
        <v>—</v>
      </c>
    </row>
    <row r="66" spans="1:38" ht="16.05" customHeight="1" x14ac:dyDescent="0.3">
      <c r="A66" s="13" t="s">
        <v>214</v>
      </c>
      <c r="B66" s="14" t="s">
        <v>215</v>
      </c>
      <c r="C66" s="13" t="s">
        <v>143</v>
      </c>
      <c r="D66" s="15">
        <v>0</v>
      </c>
      <c r="E66" s="16" t="str">
        <f>IF(NORMALIZADO!CB65="","",NORMALIZADO!CB65)</f>
        <v/>
      </c>
      <c r="F66" s="17" t="str">
        <f ca="1">IF(NORMALIZADO!CC65="","",NORMALIZADO!CC65)</f>
        <v/>
      </c>
      <c r="G66" s="17">
        <f ca="1">IF(NORMALIZADO!CD65="",IFERROR(MATRIZ_174!U65*100,""),NORMALIZADO!CD65)</f>
        <v>100</v>
      </c>
      <c r="H66" s="16" t="str">
        <f>IF(NORMALIZADO!CE65="","",NORMALIZADO!CE65)</f>
        <v/>
      </c>
      <c r="I66" s="17" t="str">
        <f>IF(NORMALIZADO!CF65="","",NORMALIZADO!CF65)</f>
        <v/>
      </c>
      <c r="J66" s="17" t="str">
        <f ca="1">IF(NORMALIZADO!CG65="","",NORMALIZADO!CG65)</f>
        <v/>
      </c>
      <c r="K66" s="16" t="str">
        <f ca="1">IF(NORMALIZADO!CH65="","",NORMALIZADO!CH65)</f>
        <v/>
      </c>
      <c r="L66" s="16" t="str">
        <f>IF(NORMALIZADO!CI65="","",NORMALIZADO!CI65)</f>
        <v/>
      </c>
      <c r="M66" s="16" t="str">
        <f>IF(NORMALIZADO!CJ65="","",NORMALIZADO!CJ65)</f>
        <v/>
      </c>
      <c r="N66" s="16" t="str">
        <f>IF(NORMALIZADO!CK65="","",NORMALIZADO!CK65)</f>
        <v/>
      </c>
      <c r="O66" s="16" t="str">
        <f>IF(NORMALIZADO!CL65="","",NORMALIZADO!CL65)</f>
        <v/>
      </c>
      <c r="P66" s="17" t="str">
        <f t="shared" ca="1" si="11"/>
        <v/>
      </c>
      <c r="Q66" s="17">
        <f t="shared" ca="1" si="12"/>
        <v>0</v>
      </c>
      <c r="R66" s="17">
        <f t="shared" ca="1" si="13"/>
        <v>0</v>
      </c>
      <c r="S66" s="17">
        <f t="shared" ca="1" si="14"/>
        <v>0</v>
      </c>
      <c r="T66" s="17">
        <f ca="1">IFERROR((K66+M66+MATRIZ_174!O65)/3,0)</f>
        <v>0</v>
      </c>
      <c r="U66" s="18">
        <f>IFERROR(MIN(100,ROUND(MATRIZ_174!M65,1)),0)</f>
        <v>0</v>
      </c>
      <c r="V66" s="18">
        <f t="shared" ca="1" si="15"/>
        <v>50</v>
      </c>
      <c r="W66" s="18">
        <f>IFERROR(IF(MATRIZ_174!R65=0,65,IF(MATRIZ_174!R65/MATRIZ_174!Q65&gt;=2,35,IF(MATRIZ_174!R65/MATRIZ_174!Q65&gt;=0.5,50,65))),65)</f>
        <v>65</v>
      </c>
      <c r="X66" s="18">
        <f>IFERROR(MIN(100,IF(MATRIZ_174!O65=0,70,30)+IF(MATRIZ_174!U65="",0,0.3*(100-MATRIZ_174!U65*100))),70)</f>
        <v>70</v>
      </c>
      <c r="Y66" s="18">
        <f>IF(OR(MATRIZ_174!P65="ASOCIACION",MATRIZ_174!P65="PENDIENTE"),65,40)</f>
        <v>65</v>
      </c>
      <c r="Z66" s="19" t="str">
        <f t="shared" ca="1" si="16"/>
        <v>—</v>
      </c>
      <c r="AA66" s="20">
        <f t="shared" ca="1" si="17"/>
        <v>50</v>
      </c>
      <c r="AB66" s="21" t="str">
        <f t="shared" ca="1" si="18"/>
        <v>—</v>
      </c>
      <c r="AC66" s="13" t="str">
        <f t="shared" ca="1" si="19"/>
        <v>⬜  Pendiente de instrumento</v>
      </c>
      <c r="AD66" s="13" t="str">
        <f>IF(MATRIZ_174!U65="","",IF(MATRIZ_174!U65=0,"🚫  Inh. vigente OSCE",""))</f>
        <v/>
      </c>
      <c r="AE66" s="22">
        <f>IFERROR(MATRIZ_174!W65,0)</f>
        <v>0</v>
      </c>
      <c r="AF66" s="22">
        <f>IFERROR(MATRIZ_174!X65,0)</f>
        <v>0</v>
      </c>
      <c r="AG66" s="22">
        <f>IFERROR(MATRIZ_174!Y65,0)</f>
        <v>0</v>
      </c>
      <c r="AH66" s="22">
        <f>IFERROR(MATRIZ_174!Z65,0)</f>
        <v>0</v>
      </c>
      <c r="AI66" s="17">
        <f ca="1">IFERROR(MATRIZ_174!AP65,"N/A")</f>
        <v>0</v>
      </c>
      <c r="AJ66" s="17">
        <f>IFERROR(MATRIZ_174!AO65,"N/A")</f>
        <v>0</v>
      </c>
      <c r="AK66" s="23" t="str">
        <f t="shared" ca="1" si="20"/>
        <v>N/A</v>
      </c>
      <c r="AL66" s="24" t="str">
        <f t="shared" ca="1" si="21"/>
        <v>—</v>
      </c>
    </row>
    <row r="67" spans="1:38" ht="16.05" customHeight="1" x14ac:dyDescent="0.3">
      <c r="A67" s="13" t="s">
        <v>216</v>
      </c>
      <c r="B67" s="14" t="s">
        <v>217</v>
      </c>
      <c r="C67" s="13" t="s">
        <v>80</v>
      </c>
      <c r="D67" s="15">
        <v>0</v>
      </c>
      <c r="E67" s="16" t="str">
        <f>IF(NORMALIZADO!CB66="","",NORMALIZADO!CB66)</f>
        <v/>
      </c>
      <c r="F67" s="17" t="str">
        <f ca="1">IF(NORMALIZADO!CC66="","",NORMALIZADO!CC66)</f>
        <v/>
      </c>
      <c r="G67" s="17">
        <f ca="1">IF(NORMALIZADO!CD66="",IFERROR(MATRIZ_174!U66*100,""),NORMALIZADO!CD66)</f>
        <v>100</v>
      </c>
      <c r="H67" s="16" t="str">
        <f>IF(NORMALIZADO!CE66="","",NORMALIZADO!CE66)</f>
        <v/>
      </c>
      <c r="I67" s="17" t="str">
        <f>IF(NORMALIZADO!CF66="","",NORMALIZADO!CF66)</f>
        <v/>
      </c>
      <c r="J67" s="17" t="str">
        <f ca="1">IF(NORMALIZADO!CG66="","",NORMALIZADO!CG66)</f>
        <v/>
      </c>
      <c r="K67" s="16" t="str">
        <f ca="1">IF(NORMALIZADO!CH66="","",NORMALIZADO!CH66)</f>
        <v/>
      </c>
      <c r="L67" s="16" t="str">
        <f>IF(NORMALIZADO!CI66="","",NORMALIZADO!CI66)</f>
        <v/>
      </c>
      <c r="M67" s="16" t="str">
        <f>IF(NORMALIZADO!CJ66="","",NORMALIZADO!CJ66)</f>
        <v/>
      </c>
      <c r="N67" s="16" t="str">
        <f>IF(NORMALIZADO!CK66="","",NORMALIZADO!CK66)</f>
        <v/>
      </c>
      <c r="O67" s="16" t="str">
        <f>IF(NORMALIZADO!CL66="","",NORMALIZADO!CL66)</f>
        <v/>
      </c>
      <c r="P67" s="17" t="str">
        <f t="shared" ca="1" si="11"/>
        <v/>
      </c>
      <c r="Q67" s="17">
        <f t="shared" ca="1" si="12"/>
        <v>0</v>
      </c>
      <c r="R67" s="17">
        <f t="shared" ca="1" si="13"/>
        <v>0</v>
      </c>
      <c r="S67" s="17">
        <f t="shared" ca="1" si="14"/>
        <v>0</v>
      </c>
      <c r="T67" s="17">
        <f ca="1">IFERROR((K67+M67+MATRIZ_174!O66)/3,0)</f>
        <v>0</v>
      </c>
      <c r="U67" s="18">
        <f>IFERROR(MIN(100,ROUND(MATRIZ_174!M66,1)),0)</f>
        <v>0</v>
      </c>
      <c r="V67" s="18">
        <f t="shared" ca="1" si="15"/>
        <v>50</v>
      </c>
      <c r="W67" s="18">
        <f>IFERROR(IF(MATRIZ_174!R66=0,65,IF(MATRIZ_174!R66/MATRIZ_174!Q66&gt;=2,35,IF(MATRIZ_174!R66/MATRIZ_174!Q66&gt;=0.5,50,65))),65)</f>
        <v>65</v>
      </c>
      <c r="X67" s="18">
        <f>IFERROR(MIN(100,IF(MATRIZ_174!O66=0,70,30)+IF(MATRIZ_174!U66="",0,0.3*(100-MATRIZ_174!U66*100))),70)</f>
        <v>70</v>
      </c>
      <c r="Y67" s="18">
        <f>IF(OR(MATRIZ_174!P66="ASOCIACION",MATRIZ_174!P66="PENDIENTE"),65,40)</f>
        <v>65</v>
      </c>
      <c r="Z67" s="19" t="str">
        <f t="shared" ca="1" si="16"/>
        <v>—</v>
      </c>
      <c r="AA67" s="20">
        <f t="shared" ca="1" si="17"/>
        <v>50</v>
      </c>
      <c r="AB67" s="21" t="str">
        <f t="shared" ca="1" si="18"/>
        <v>—</v>
      </c>
      <c r="AC67" s="13" t="str">
        <f t="shared" ca="1" si="19"/>
        <v>⬜  Pendiente de instrumento</v>
      </c>
      <c r="AD67" s="13" t="str">
        <f>IF(MATRIZ_174!U66="","",IF(MATRIZ_174!U66=0,"🚫  Inh. vigente OSCE",""))</f>
        <v/>
      </c>
      <c r="AE67" s="22">
        <f>IFERROR(MATRIZ_174!W66,0)</f>
        <v>0</v>
      </c>
      <c r="AF67" s="22">
        <f>IFERROR(MATRIZ_174!X66,0)</f>
        <v>0</v>
      </c>
      <c r="AG67" s="22">
        <f>IFERROR(MATRIZ_174!Y66,0)</f>
        <v>0</v>
      </c>
      <c r="AH67" s="22">
        <f>IFERROR(MATRIZ_174!Z66,0)</f>
        <v>0</v>
      </c>
      <c r="AI67" s="17">
        <f ca="1">IFERROR(MATRIZ_174!AP66,"N/A")</f>
        <v>0</v>
      </c>
      <c r="AJ67" s="17">
        <f>IFERROR(MATRIZ_174!AO66,"N/A")</f>
        <v>0</v>
      </c>
      <c r="AK67" s="23" t="str">
        <f t="shared" ca="1" si="20"/>
        <v>N/A</v>
      </c>
      <c r="AL67" s="24" t="str">
        <f t="shared" ca="1" si="21"/>
        <v>—</v>
      </c>
    </row>
    <row r="68" spans="1:38" ht="16.05" customHeight="1" x14ac:dyDescent="0.3">
      <c r="A68" s="13" t="s">
        <v>218</v>
      </c>
      <c r="B68" s="14" t="s">
        <v>219</v>
      </c>
      <c r="C68" s="13" t="s">
        <v>116</v>
      </c>
      <c r="D68" s="15">
        <v>0</v>
      </c>
      <c r="E68" s="16" t="str">
        <f>IF(NORMALIZADO!CB67="","",NORMALIZADO!CB67)</f>
        <v/>
      </c>
      <c r="F68" s="17" t="str">
        <f ca="1">IF(NORMALIZADO!CC67="","",NORMALIZADO!CC67)</f>
        <v/>
      </c>
      <c r="G68" s="17">
        <f ca="1">IF(NORMALIZADO!CD67="",IFERROR(MATRIZ_174!U67*100,""),NORMALIZADO!CD67)</f>
        <v>100</v>
      </c>
      <c r="H68" s="16" t="str">
        <f>IF(NORMALIZADO!CE67="","",NORMALIZADO!CE67)</f>
        <v/>
      </c>
      <c r="I68" s="17" t="str">
        <f>IF(NORMALIZADO!CF67="","",NORMALIZADO!CF67)</f>
        <v/>
      </c>
      <c r="J68" s="17" t="str">
        <f ca="1">IF(NORMALIZADO!CG67="","",NORMALIZADO!CG67)</f>
        <v/>
      </c>
      <c r="K68" s="16" t="str">
        <f ca="1">IF(NORMALIZADO!CH67="","",NORMALIZADO!CH67)</f>
        <v/>
      </c>
      <c r="L68" s="16" t="str">
        <f>IF(NORMALIZADO!CI67="","",NORMALIZADO!CI67)</f>
        <v/>
      </c>
      <c r="M68" s="16" t="str">
        <f>IF(NORMALIZADO!CJ67="","",NORMALIZADO!CJ67)</f>
        <v/>
      </c>
      <c r="N68" s="16" t="str">
        <f>IF(NORMALIZADO!CK67="","",NORMALIZADO!CK67)</f>
        <v/>
      </c>
      <c r="O68" s="16" t="str">
        <f>IF(NORMALIZADO!CL67="","",NORMALIZADO!CL67)</f>
        <v/>
      </c>
      <c r="P68" s="17" t="str">
        <f t="shared" ref="P68:P99" ca="1" si="22">IFERROR(F68,0)</f>
        <v/>
      </c>
      <c r="Q68" s="17">
        <f t="shared" ref="Q68:Q99" ca="1" si="23">IFERROR(SQRT(G68*H68),0)</f>
        <v>0</v>
      </c>
      <c r="R68" s="17">
        <f t="shared" ref="R68:R99" ca="1" si="24">IFERROR((I68+J68+L68)/3,0)</f>
        <v>0</v>
      </c>
      <c r="S68" s="17">
        <f t="shared" ref="S68:S99" ca="1" si="25">IFERROR((J68+F68)/2,0)</f>
        <v>0</v>
      </c>
      <c r="T68" s="17">
        <f ca="1">IFERROR((K68+M68+MATRIZ_174!O67)/3,0)</f>
        <v>0</v>
      </c>
      <c r="U68" s="18">
        <f>IFERROR(MIN(100,ROUND(MATRIZ_174!M67,1)),0)</f>
        <v>0</v>
      </c>
      <c r="V68" s="18">
        <f t="shared" ref="V68:V99" ca="1" si="26">IF(OR(NOT(ISNUMBER(F68)),F68=0),50,F68)</f>
        <v>50</v>
      </c>
      <c r="W68" s="18">
        <f>IFERROR(IF(MATRIZ_174!R67=0,65,IF(MATRIZ_174!R67/MATRIZ_174!Q67&gt;=2,35,IF(MATRIZ_174!R67/MATRIZ_174!Q67&gt;=0.5,50,65))),65)</f>
        <v>65</v>
      </c>
      <c r="X68" s="18">
        <f>IFERROR(MIN(100,IF(MATRIZ_174!O67=0,70,30)+IF(MATRIZ_174!U67="",0,0.3*(100-MATRIZ_174!U67*100))),70)</f>
        <v>70</v>
      </c>
      <c r="Y68" s="18">
        <f>IF(OR(MATRIZ_174!P67="ASOCIACION",MATRIZ_174!P67="PENDIENTE"),65,40)</f>
        <v>65</v>
      </c>
      <c r="Z68" s="19" t="str">
        <f t="shared" ref="Z68:Z99" ca="1" si="27">IF(COUNT(F68:M68)&lt;8,"—",IFERROR(ROUND(AVERAGE(P68:T68),1),"—"))</f>
        <v>—</v>
      </c>
      <c r="AA68" s="20">
        <f t="shared" ref="AA68:AA99" ca="1" si="28">IFERROR(ROUND(AVERAGE(U68,V68,W68,X68,Y68),1),0)</f>
        <v>50</v>
      </c>
      <c r="AB68" s="21" t="str">
        <f t="shared" ref="AB68:AB99" ca="1" si="29">IF(NOT(ISNUMBER(Z68)),"—",IFERROR(ROUND(AA68*(1-Z68/100),1),"—"))</f>
        <v>—</v>
      </c>
      <c r="AC68" s="13" t="str">
        <f t="shared" ref="AC68:AC99" ca="1" si="30">IF(OR(NOT(ISNUMBER(Z68)),NOT(ISNUMBER(AA68))),"⬜  Pendiente de instrumento",IF(AND(Z68&gt;=50,AA68&lt;50),"🟢  Resilientes",IF(AND(Z68&gt;=50,AA68&gt;=50),"🟠  Expuestas Adaptables",IF(AND(Z68&lt;50,AA68&lt;50),"⬜  Riesgo Latente","🔴  Riesgo Crítico"))))</f>
        <v>⬜  Pendiente de instrumento</v>
      </c>
      <c r="AD68" s="13" t="str">
        <f>IF(MATRIZ_174!U67="","",IF(MATRIZ_174!U67=0,"🚫  Inh. vigente OSCE",""))</f>
        <v/>
      </c>
      <c r="AE68" s="22">
        <f>IFERROR(MATRIZ_174!W67,0)</f>
        <v>0</v>
      </c>
      <c r="AF68" s="22">
        <f>IFERROR(MATRIZ_174!X67,0)</f>
        <v>0</v>
      </c>
      <c r="AG68" s="22">
        <f>IFERROR(MATRIZ_174!Y67,0)</f>
        <v>0</v>
      </c>
      <c r="AH68" s="22">
        <f>IFERROR(MATRIZ_174!Z67,0)</f>
        <v>0</v>
      </c>
      <c r="AI68" s="17">
        <f ca="1">IFERROR(MATRIZ_174!AP67,"N/A")</f>
        <v>0</v>
      </c>
      <c r="AJ68" s="17">
        <f>IFERROR(MATRIZ_174!AO67,"N/A")</f>
        <v>0</v>
      </c>
      <c r="AK68" s="23" t="str">
        <f t="shared" ref="AK68:AK99" ca="1" si="31">IF(COUNT(E68:M68)&lt;7,"N/A",IFERROR(ROUND((POWER(PRODUCT(E68:K68),1/MAX(1,COUNT(E68:K68)))*IF(COUNT(E68:K68)&gt;0,0.875,0)+IFERROR(AVERAGE(L68:M68),0)*IF(COUNT(L68:M68)&gt;0,0.125,0))/(IF(COUNT(E68:K68)&gt;0,0.875,0)+IF(COUNT(L68:M68)&gt;0,0.125,0)),1),"N/A"))</f>
        <v>N/A</v>
      </c>
      <c r="AL68" s="24" t="str">
        <f t="shared" ref="AL68:AL99" ca="1" si="32">IF(OR(NOT(ISNUMBER(AK68)),NOT(ISNUMBER(AI68))),"—",ROUND(0.7*AK68+0.3*AI68*100,1))</f>
        <v>—</v>
      </c>
    </row>
    <row r="69" spans="1:38" ht="16.05" customHeight="1" x14ac:dyDescent="0.3">
      <c r="A69" s="13" t="s">
        <v>220</v>
      </c>
      <c r="B69" s="14" t="s">
        <v>221</v>
      </c>
      <c r="C69" s="13" t="s">
        <v>116</v>
      </c>
      <c r="D69" s="15">
        <v>0</v>
      </c>
      <c r="E69" s="16" t="str">
        <f>IF(NORMALIZADO!CB68="","",NORMALIZADO!CB68)</f>
        <v/>
      </c>
      <c r="F69" s="17" t="str">
        <f ca="1">IF(NORMALIZADO!CC68="","",NORMALIZADO!CC68)</f>
        <v/>
      </c>
      <c r="G69" s="17">
        <f ca="1">IF(NORMALIZADO!CD68="",IFERROR(MATRIZ_174!U68*100,""),NORMALIZADO!CD68)</f>
        <v>100</v>
      </c>
      <c r="H69" s="16" t="str">
        <f>IF(NORMALIZADO!CE68="","",NORMALIZADO!CE68)</f>
        <v/>
      </c>
      <c r="I69" s="17" t="str">
        <f>IF(NORMALIZADO!CF68="","",NORMALIZADO!CF68)</f>
        <v/>
      </c>
      <c r="J69" s="17" t="str">
        <f ca="1">IF(NORMALIZADO!CG68="","",NORMALIZADO!CG68)</f>
        <v/>
      </c>
      <c r="K69" s="16" t="str">
        <f ca="1">IF(NORMALIZADO!CH68="","",NORMALIZADO!CH68)</f>
        <v/>
      </c>
      <c r="L69" s="16" t="str">
        <f>IF(NORMALIZADO!CI68="","",NORMALIZADO!CI68)</f>
        <v/>
      </c>
      <c r="M69" s="16" t="str">
        <f>IF(NORMALIZADO!CJ68="","",NORMALIZADO!CJ68)</f>
        <v/>
      </c>
      <c r="N69" s="16" t="str">
        <f>IF(NORMALIZADO!CK68="","",NORMALIZADO!CK68)</f>
        <v/>
      </c>
      <c r="O69" s="16" t="str">
        <f>IF(NORMALIZADO!CL68="","",NORMALIZADO!CL68)</f>
        <v/>
      </c>
      <c r="P69" s="17" t="str">
        <f t="shared" ca="1" si="22"/>
        <v/>
      </c>
      <c r="Q69" s="17">
        <f t="shared" ca="1" si="23"/>
        <v>0</v>
      </c>
      <c r="R69" s="17">
        <f t="shared" ca="1" si="24"/>
        <v>0</v>
      </c>
      <c r="S69" s="17">
        <f t="shared" ca="1" si="25"/>
        <v>0</v>
      </c>
      <c r="T69" s="17">
        <f ca="1">IFERROR((K69+M69+MATRIZ_174!O68)/3,0)</f>
        <v>0</v>
      </c>
      <c r="U69" s="18">
        <f>IFERROR(MIN(100,ROUND(MATRIZ_174!M68,1)),0)</f>
        <v>0</v>
      </c>
      <c r="V69" s="18">
        <f t="shared" ca="1" si="26"/>
        <v>50</v>
      </c>
      <c r="W69" s="18">
        <f>IFERROR(IF(MATRIZ_174!R68=0,65,IF(MATRIZ_174!R68/MATRIZ_174!Q68&gt;=2,35,IF(MATRIZ_174!R68/MATRIZ_174!Q68&gt;=0.5,50,65))),65)</f>
        <v>65</v>
      </c>
      <c r="X69" s="18">
        <f>IFERROR(MIN(100,IF(MATRIZ_174!O68=0,70,30)+IF(MATRIZ_174!U68="",0,0.3*(100-MATRIZ_174!U68*100))),70)</f>
        <v>70</v>
      </c>
      <c r="Y69" s="18">
        <f>IF(OR(MATRIZ_174!P68="ASOCIACION",MATRIZ_174!P68="PENDIENTE"),65,40)</f>
        <v>65</v>
      </c>
      <c r="Z69" s="19" t="str">
        <f t="shared" ca="1" si="27"/>
        <v>—</v>
      </c>
      <c r="AA69" s="20">
        <f t="shared" ca="1" si="28"/>
        <v>50</v>
      </c>
      <c r="AB69" s="21" t="str">
        <f t="shared" ca="1" si="29"/>
        <v>—</v>
      </c>
      <c r="AC69" s="13" t="str">
        <f t="shared" ca="1" si="30"/>
        <v>⬜  Pendiente de instrumento</v>
      </c>
      <c r="AD69" s="13" t="str">
        <f>IF(MATRIZ_174!U68="","",IF(MATRIZ_174!U68=0,"🚫  Inh. vigente OSCE",""))</f>
        <v/>
      </c>
      <c r="AE69" s="22">
        <f>IFERROR(MATRIZ_174!W68,0)</f>
        <v>0</v>
      </c>
      <c r="AF69" s="22">
        <f>IFERROR(MATRIZ_174!X68,0)</f>
        <v>0</v>
      </c>
      <c r="AG69" s="22">
        <f>IFERROR(MATRIZ_174!Y68,0)</f>
        <v>0</v>
      </c>
      <c r="AH69" s="22">
        <f>IFERROR(MATRIZ_174!Z68,0)</f>
        <v>0</v>
      </c>
      <c r="AI69" s="17">
        <f ca="1">IFERROR(MATRIZ_174!AP68,"N/A")</f>
        <v>0</v>
      </c>
      <c r="AJ69" s="17">
        <f>IFERROR(MATRIZ_174!AO68,"N/A")</f>
        <v>0</v>
      </c>
      <c r="AK69" s="23" t="str">
        <f t="shared" ca="1" si="31"/>
        <v>N/A</v>
      </c>
      <c r="AL69" s="24" t="str">
        <f t="shared" ca="1" si="32"/>
        <v>—</v>
      </c>
    </row>
    <row r="70" spans="1:38" ht="16.05" customHeight="1" x14ac:dyDescent="0.3">
      <c r="A70" s="13" t="s">
        <v>222</v>
      </c>
      <c r="B70" s="14" t="s">
        <v>223</v>
      </c>
      <c r="C70" s="13" t="s">
        <v>183</v>
      </c>
      <c r="D70" s="15">
        <v>0</v>
      </c>
      <c r="E70" s="16" t="str">
        <f>IF(NORMALIZADO!CB69="","",NORMALIZADO!CB69)</f>
        <v/>
      </c>
      <c r="F70" s="17" t="str">
        <f ca="1">IF(NORMALIZADO!CC69="","",NORMALIZADO!CC69)</f>
        <v/>
      </c>
      <c r="G70" s="17">
        <f ca="1">IF(NORMALIZADO!CD69="",IFERROR(MATRIZ_174!U69*100,""),NORMALIZADO!CD69)</f>
        <v>100</v>
      </c>
      <c r="H70" s="16" t="str">
        <f>IF(NORMALIZADO!CE69="","",NORMALIZADO!CE69)</f>
        <v/>
      </c>
      <c r="I70" s="17" t="str">
        <f>IF(NORMALIZADO!CF69="","",NORMALIZADO!CF69)</f>
        <v/>
      </c>
      <c r="J70" s="17" t="str">
        <f ca="1">IF(NORMALIZADO!CG69="","",NORMALIZADO!CG69)</f>
        <v/>
      </c>
      <c r="K70" s="16" t="str">
        <f ca="1">IF(NORMALIZADO!CH69="","",NORMALIZADO!CH69)</f>
        <v/>
      </c>
      <c r="L70" s="16" t="str">
        <f>IF(NORMALIZADO!CI69="","",NORMALIZADO!CI69)</f>
        <v/>
      </c>
      <c r="M70" s="16" t="str">
        <f>IF(NORMALIZADO!CJ69="","",NORMALIZADO!CJ69)</f>
        <v/>
      </c>
      <c r="N70" s="16" t="str">
        <f>IF(NORMALIZADO!CK69="","",NORMALIZADO!CK69)</f>
        <v/>
      </c>
      <c r="O70" s="16" t="str">
        <f>IF(NORMALIZADO!CL69="","",NORMALIZADO!CL69)</f>
        <v/>
      </c>
      <c r="P70" s="17" t="str">
        <f t="shared" ca="1" si="22"/>
        <v/>
      </c>
      <c r="Q70" s="17">
        <f t="shared" ca="1" si="23"/>
        <v>0</v>
      </c>
      <c r="R70" s="17">
        <f t="shared" ca="1" si="24"/>
        <v>0</v>
      </c>
      <c r="S70" s="17">
        <f t="shared" ca="1" si="25"/>
        <v>0</v>
      </c>
      <c r="T70" s="17">
        <f ca="1">IFERROR((K70+M70+MATRIZ_174!O69)/3,0)</f>
        <v>0</v>
      </c>
      <c r="U70" s="18">
        <f>IFERROR(MIN(100,ROUND(MATRIZ_174!M69,1)),0)</f>
        <v>0</v>
      </c>
      <c r="V70" s="18">
        <f t="shared" ca="1" si="26"/>
        <v>50</v>
      </c>
      <c r="W70" s="18">
        <f>IFERROR(IF(MATRIZ_174!R69=0,65,IF(MATRIZ_174!R69/MATRIZ_174!Q69&gt;=2,35,IF(MATRIZ_174!R69/MATRIZ_174!Q69&gt;=0.5,50,65))),65)</f>
        <v>65</v>
      </c>
      <c r="X70" s="18">
        <f>IFERROR(MIN(100,IF(MATRIZ_174!O69=0,70,30)+IF(MATRIZ_174!U69="",0,0.3*(100-MATRIZ_174!U69*100))),70)</f>
        <v>70</v>
      </c>
      <c r="Y70" s="18">
        <f>IF(OR(MATRIZ_174!P69="ASOCIACION",MATRIZ_174!P69="PENDIENTE"),65,40)</f>
        <v>65</v>
      </c>
      <c r="Z70" s="19" t="str">
        <f t="shared" ca="1" si="27"/>
        <v>—</v>
      </c>
      <c r="AA70" s="20">
        <f t="shared" ca="1" si="28"/>
        <v>50</v>
      </c>
      <c r="AB70" s="21" t="str">
        <f t="shared" ca="1" si="29"/>
        <v>—</v>
      </c>
      <c r="AC70" s="13" t="str">
        <f t="shared" ca="1" si="30"/>
        <v>⬜  Pendiente de instrumento</v>
      </c>
      <c r="AD70" s="13" t="str">
        <f>IF(MATRIZ_174!U69="","",IF(MATRIZ_174!U69=0,"🚫  Inh. vigente OSCE",""))</f>
        <v/>
      </c>
      <c r="AE70" s="22">
        <f>IFERROR(MATRIZ_174!W69,0)</f>
        <v>0</v>
      </c>
      <c r="AF70" s="22">
        <f>IFERROR(MATRIZ_174!X69,0)</f>
        <v>0</v>
      </c>
      <c r="AG70" s="22">
        <f>IFERROR(MATRIZ_174!Y69,0)</f>
        <v>0</v>
      </c>
      <c r="AH70" s="22">
        <f>IFERROR(MATRIZ_174!Z69,0)</f>
        <v>0</v>
      </c>
      <c r="AI70" s="17">
        <f ca="1">IFERROR(MATRIZ_174!AP69,"N/A")</f>
        <v>0</v>
      </c>
      <c r="AJ70" s="17">
        <f>IFERROR(MATRIZ_174!AO69,"N/A")</f>
        <v>0</v>
      </c>
      <c r="AK70" s="23" t="str">
        <f t="shared" ca="1" si="31"/>
        <v>N/A</v>
      </c>
      <c r="AL70" s="24" t="str">
        <f t="shared" ca="1" si="32"/>
        <v>—</v>
      </c>
    </row>
    <row r="71" spans="1:38" ht="16.05" customHeight="1" x14ac:dyDescent="0.3">
      <c r="A71" s="13" t="s">
        <v>224</v>
      </c>
      <c r="B71" s="14" t="s">
        <v>225</v>
      </c>
      <c r="C71" s="13" t="s">
        <v>143</v>
      </c>
      <c r="D71" s="15">
        <v>7878141.7300000004</v>
      </c>
      <c r="E71" s="16" t="str">
        <f>IF(NORMALIZADO!CB70="","",NORMALIZADO!CB70)</f>
        <v/>
      </c>
      <c r="F71" s="17" t="str">
        <f ca="1">IF(NORMALIZADO!CC70="","",NORMALIZADO!CC70)</f>
        <v/>
      </c>
      <c r="G71" s="17">
        <f ca="1">IF(NORMALIZADO!CD70="",IFERROR(MATRIZ_174!U70*100,""),NORMALIZADO!CD70)</f>
        <v>100</v>
      </c>
      <c r="H71" s="16" t="str">
        <f>IF(NORMALIZADO!CE70="","",NORMALIZADO!CE70)</f>
        <v/>
      </c>
      <c r="I71" s="17" t="str">
        <f>IF(NORMALIZADO!CF70="","",NORMALIZADO!CF70)</f>
        <v/>
      </c>
      <c r="J71" s="17" t="str">
        <f ca="1">IF(NORMALIZADO!CG70="","",NORMALIZADO!CG70)</f>
        <v/>
      </c>
      <c r="K71" s="16" t="str">
        <f ca="1">IF(NORMALIZADO!CH70="","",NORMALIZADO!CH70)</f>
        <v/>
      </c>
      <c r="L71" s="16" t="str">
        <f>IF(NORMALIZADO!CI70="","",NORMALIZADO!CI70)</f>
        <v/>
      </c>
      <c r="M71" s="16" t="str">
        <f>IF(NORMALIZADO!CJ70="","",NORMALIZADO!CJ70)</f>
        <v/>
      </c>
      <c r="N71" s="16" t="str">
        <f>IF(NORMALIZADO!CK70="","",NORMALIZADO!CK70)</f>
        <v/>
      </c>
      <c r="O71" s="16" t="str">
        <f>IF(NORMALIZADO!CL70="","",NORMALIZADO!CL70)</f>
        <v/>
      </c>
      <c r="P71" s="17" t="str">
        <f t="shared" ca="1" si="22"/>
        <v/>
      </c>
      <c r="Q71" s="17">
        <f t="shared" ca="1" si="23"/>
        <v>0</v>
      </c>
      <c r="R71" s="17">
        <f t="shared" ca="1" si="24"/>
        <v>0</v>
      </c>
      <c r="S71" s="17">
        <f t="shared" ca="1" si="25"/>
        <v>0</v>
      </c>
      <c r="T71" s="17">
        <f ca="1">IFERROR((K71+M71+MATRIZ_174!O70)/3,0)</f>
        <v>0</v>
      </c>
      <c r="U71" s="18">
        <f>IFERROR(MIN(100,ROUND(MATRIZ_174!M70,1)),0)</f>
        <v>59.5</v>
      </c>
      <c r="V71" s="18">
        <f t="shared" ca="1" si="26"/>
        <v>50</v>
      </c>
      <c r="W71" s="18">
        <f>IFERROR(IF(MATRIZ_174!R70=0,65,IF(MATRIZ_174!R70/MATRIZ_174!Q70&gt;=2,35,IF(MATRIZ_174!R70/MATRIZ_174!Q70&gt;=0.5,50,65))),65)</f>
        <v>35</v>
      </c>
      <c r="X71" s="18">
        <f>IFERROR(MIN(100,IF(MATRIZ_174!O70=0,70,30)+IF(MATRIZ_174!U70="",0,0.3*(100-MATRIZ_174!U70*100))),70)</f>
        <v>70</v>
      </c>
      <c r="Y71" s="18">
        <f>IF(OR(MATRIZ_174!P70="ASOCIACION",MATRIZ_174!P70="PENDIENTE"),65,40)</f>
        <v>65</v>
      </c>
      <c r="Z71" s="19" t="str">
        <f t="shared" ca="1" si="27"/>
        <v>—</v>
      </c>
      <c r="AA71" s="20">
        <f t="shared" ca="1" si="28"/>
        <v>55.9</v>
      </c>
      <c r="AB71" s="21" t="str">
        <f t="shared" ca="1" si="29"/>
        <v>—</v>
      </c>
      <c r="AC71" s="13" t="str">
        <f t="shared" ca="1" si="30"/>
        <v>⬜  Pendiente de instrumento</v>
      </c>
      <c r="AD71" s="13" t="str">
        <f>IF(MATRIZ_174!U70="","",IF(MATRIZ_174!U70=0,"🚫  Inh. vigente OSCE",""))</f>
        <v/>
      </c>
      <c r="AE71" s="22">
        <f>IFERROR(MATRIZ_174!W70,0)</f>
        <v>1</v>
      </c>
      <c r="AF71" s="22">
        <f>IFERROR(MATRIZ_174!X70,0)</f>
        <v>0</v>
      </c>
      <c r="AG71" s="22">
        <f>IFERROR(MATRIZ_174!Y70,0)</f>
        <v>0</v>
      </c>
      <c r="AH71" s="22">
        <f>IFERROR(MATRIZ_174!Z70,0)</f>
        <v>0</v>
      </c>
      <c r="AI71" s="17">
        <f ca="1">IFERROR(MATRIZ_174!AP70,"N/A")</f>
        <v>0.14399999999999999</v>
      </c>
      <c r="AJ71" s="17">
        <f>IFERROR(MATRIZ_174!AO70,"N/A")</f>
        <v>0</v>
      </c>
      <c r="AK71" s="23" t="str">
        <f t="shared" ca="1" si="31"/>
        <v>N/A</v>
      </c>
      <c r="AL71" s="24" t="str">
        <f t="shared" ca="1" si="32"/>
        <v>—</v>
      </c>
    </row>
    <row r="72" spans="1:38" ht="16.05" customHeight="1" x14ac:dyDescent="0.3">
      <c r="A72" s="13" t="s">
        <v>228</v>
      </c>
      <c r="B72" s="14" t="s">
        <v>229</v>
      </c>
      <c r="C72" s="13" t="s">
        <v>143</v>
      </c>
      <c r="D72" s="15">
        <v>0</v>
      </c>
      <c r="E72" s="16" t="str">
        <f>IF(NORMALIZADO!CB71="","",NORMALIZADO!CB71)</f>
        <v/>
      </c>
      <c r="F72" s="17" t="str">
        <f ca="1">IF(NORMALIZADO!CC71="","",NORMALIZADO!CC71)</f>
        <v/>
      </c>
      <c r="G72" s="17">
        <f ca="1">IF(NORMALIZADO!CD71="",IFERROR(MATRIZ_174!U71*100,""),NORMALIZADO!CD71)</f>
        <v>100</v>
      </c>
      <c r="H72" s="16" t="str">
        <f>IF(NORMALIZADO!CE71="","",NORMALIZADO!CE71)</f>
        <v/>
      </c>
      <c r="I72" s="17" t="str">
        <f>IF(NORMALIZADO!CF71="","",NORMALIZADO!CF71)</f>
        <v/>
      </c>
      <c r="J72" s="17" t="str">
        <f ca="1">IF(NORMALIZADO!CG71="","",NORMALIZADO!CG71)</f>
        <v/>
      </c>
      <c r="K72" s="16" t="str">
        <f ca="1">IF(NORMALIZADO!CH71="","",NORMALIZADO!CH71)</f>
        <v/>
      </c>
      <c r="L72" s="16" t="str">
        <f>IF(NORMALIZADO!CI71="","",NORMALIZADO!CI71)</f>
        <v/>
      </c>
      <c r="M72" s="16" t="str">
        <f>IF(NORMALIZADO!CJ71="","",NORMALIZADO!CJ71)</f>
        <v/>
      </c>
      <c r="N72" s="16" t="str">
        <f>IF(NORMALIZADO!CK71="","",NORMALIZADO!CK71)</f>
        <v/>
      </c>
      <c r="O72" s="16" t="str">
        <f>IF(NORMALIZADO!CL71="","",NORMALIZADO!CL71)</f>
        <v/>
      </c>
      <c r="P72" s="17" t="str">
        <f t="shared" ca="1" si="22"/>
        <v/>
      </c>
      <c r="Q72" s="17">
        <f t="shared" ca="1" si="23"/>
        <v>0</v>
      </c>
      <c r="R72" s="17">
        <f t="shared" ca="1" si="24"/>
        <v>0</v>
      </c>
      <c r="S72" s="17">
        <f t="shared" ca="1" si="25"/>
        <v>0</v>
      </c>
      <c r="T72" s="17">
        <f ca="1">IFERROR((K72+M72+MATRIZ_174!O71)/3,0)</f>
        <v>0</v>
      </c>
      <c r="U72" s="18">
        <f>IFERROR(MIN(100,ROUND(MATRIZ_174!M71,1)),0)</f>
        <v>0</v>
      </c>
      <c r="V72" s="18">
        <f t="shared" ca="1" si="26"/>
        <v>50</v>
      </c>
      <c r="W72" s="18">
        <f>IFERROR(IF(MATRIZ_174!R71=0,65,IF(MATRIZ_174!R71/MATRIZ_174!Q71&gt;=2,35,IF(MATRIZ_174!R71/MATRIZ_174!Q71&gt;=0.5,50,65))),65)</f>
        <v>65</v>
      </c>
      <c r="X72" s="18">
        <f>IFERROR(MIN(100,IF(MATRIZ_174!O71=0,70,30)+IF(MATRIZ_174!U71="",0,0.3*(100-MATRIZ_174!U71*100))),70)</f>
        <v>70</v>
      </c>
      <c r="Y72" s="18">
        <f>IF(OR(MATRIZ_174!P71="ASOCIACION",MATRIZ_174!P71="PENDIENTE"),65,40)</f>
        <v>65</v>
      </c>
      <c r="Z72" s="19" t="str">
        <f t="shared" ca="1" si="27"/>
        <v>—</v>
      </c>
      <c r="AA72" s="20">
        <f t="shared" ca="1" si="28"/>
        <v>50</v>
      </c>
      <c r="AB72" s="21" t="str">
        <f t="shared" ca="1" si="29"/>
        <v>—</v>
      </c>
      <c r="AC72" s="13" t="str">
        <f t="shared" ca="1" si="30"/>
        <v>⬜  Pendiente de instrumento</v>
      </c>
      <c r="AD72" s="13" t="str">
        <f>IF(MATRIZ_174!U71="","",IF(MATRIZ_174!U71=0,"🚫  Inh. vigente OSCE",""))</f>
        <v/>
      </c>
      <c r="AE72" s="22">
        <f>IFERROR(MATRIZ_174!W71,0)</f>
        <v>0</v>
      </c>
      <c r="AF72" s="22">
        <f>IFERROR(MATRIZ_174!X71,0)</f>
        <v>0</v>
      </c>
      <c r="AG72" s="22">
        <f>IFERROR(MATRIZ_174!Y71,0)</f>
        <v>0</v>
      </c>
      <c r="AH72" s="22">
        <f>IFERROR(MATRIZ_174!Z71,0)</f>
        <v>0</v>
      </c>
      <c r="AI72" s="17">
        <f ca="1">IFERROR(MATRIZ_174!AP71,"N/A")</f>
        <v>0</v>
      </c>
      <c r="AJ72" s="17">
        <f>IFERROR(MATRIZ_174!AO71,"N/A")</f>
        <v>0</v>
      </c>
      <c r="AK72" s="23" t="str">
        <f t="shared" ca="1" si="31"/>
        <v>N/A</v>
      </c>
      <c r="AL72" s="24" t="str">
        <f t="shared" ca="1" si="32"/>
        <v>—</v>
      </c>
    </row>
    <row r="73" spans="1:38" ht="16.05" customHeight="1" x14ac:dyDescent="0.3">
      <c r="A73" s="13" t="s">
        <v>230</v>
      </c>
      <c r="B73" s="14" t="s">
        <v>231</v>
      </c>
      <c r="C73" s="13" t="s">
        <v>143</v>
      </c>
      <c r="D73" s="15">
        <v>1413037.5</v>
      </c>
      <c r="E73" s="16" t="str">
        <f>IF(NORMALIZADO!CB72="","",NORMALIZADO!CB72)</f>
        <v/>
      </c>
      <c r="F73" s="17" t="str">
        <f ca="1">IF(NORMALIZADO!CC72="","",NORMALIZADO!CC72)</f>
        <v/>
      </c>
      <c r="G73" s="17">
        <f ca="1">IF(NORMALIZADO!CD72="",IFERROR(MATRIZ_174!U72*100,""),NORMALIZADO!CD72)</f>
        <v>100</v>
      </c>
      <c r="H73" s="16" t="str">
        <f>IF(NORMALIZADO!CE72="","",NORMALIZADO!CE72)</f>
        <v/>
      </c>
      <c r="I73" s="17" t="str">
        <f>IF(NORMALIZADO!CF72="","",NORMALIZADO!CF72)</f>
        <v/>
      </c>
      <c r="J73" s="17" t="str">
        <f ca="1">IF(NORMALIZADO!CG72="","",NORMALIZADO!CG72)</f>
        <v/>
      </c>
      <c r="K73" s="16" t="str">
        <f ca="1">IF(NORMALIZADO!CH72="","",NORMALIZADO!CH72)</f>
        <v/>
      </c>
      <c r="L73" s="16" t="str">
        <f>IF(NORMALIZADO!CI72="","",NORMALIZADO!CI72)</f>
        <v/>
      </c>
      <c r="M73" s="16" t="str">
        <f>IF(NORMALIZADO!CJ72="","",NORMALIZADO!CJ72)</f>
        <v/>
      </c>
      <c r="N73" s="16" t="str">
        <f>IF(NORMALIZADO!CK72="","",NORMALIZADO!CK72)</f>
        <v/>
      </c>
      <c r="O73" s="16" t="str">
        <f>IF(NORMALIZADO!CL72="","",NORMALIZADO!CL72)</f>
        <v/>
      </c>
      <c r="P73" s="17" t="str">
        <f t="shared" ca="1" si="22"/>
        <v/>
      </c>
      <c r="Q73" s="17">
        <f t="shared" ca="1" si="23"/>
        <v>0</v>
      </c>
      <c r="R73" s="17">
        <f t="shared" ca="1" si="24"/>
        <v>0</v>
      </c>
      <c r="S73" s="17">
        <f t="shared" ca="1" si="25"/>
        <v>0</v>
      </c>
      <c r="T73" s="17">
        <f ca="1">IFERROR((K73+M73+MATRIZ_174!O72)/3,0)</f>
        <v>0</v>
      </c>
      <c r="U73" s="18">
        <f>IFERROR(MIN(100,ROUND(MATRIZ_174!M72,1)),0)</f>
        <v>50</v>
      </c>
      <c r="V73" s="18">
        <f t="shared" ca="1" si="26"/>
        <v>50</v>
      </c>
      <c r="W73" s="18">
        <f>IFERROR(IF(MATRIZ_174!R72=0,65,IF(MATRIZ_174!R72/MATRIZ_174!Q72&gt;=2,35,IF(MATRIZ_174!R72/MATRIZ_174!Q72&gt;=0.5,50,65))),65)</f>
        <v>65</v>
      </c>
      <c r="X73" s="18">
        <f>IFERROR(MIN(100,IF(MATRIZ_174!O72=0,70,30)+IF(MATRIZ_174!U72="",0,0.3*(100-MATRIZ_174!U72*100))),70)</f>
        <v>70</v>
      </c>
      <c r="Y73" s="18">
        <f>IF(OR(MATRIZ_174!P72="ASOCIACION",MATRIZ_174!P72="PENDIENTE"),65,40)</f>
        <v>65</v>
      </c>
      <c r="Z73" s="19" t="str">
        <f t="shared" ca="1" si="27"/>
        <v>—</v>
      </c>
      <c r="AA73" s="20">
        <f t="shared" ca="1" si="28"/>
        <v>60</v>
      </c>
      <c r="AB73" s="21" t="str">
        <f t="shared" ca="1" si="29"/>
        <v>—</v>
      </c>
      <c r="AC73" s="13" t="str">
        <f t="shared" ca="1" si="30"/>
        <v>⬜  Pendiente de instrumento</v>
      </c>
      <c r="AD73" s="13" t="str">
        <f>IF(MATRIZ_174!U72="","",IF(MATRIZ_174!U72=0,"🚫  Inh. vigente OSCE",""))</f>
        <v/>
      </c>
      <c r="AE73" s="22">
        <f>IFERROR(MATRIZ_174!W72,0)</f>
        <v>1</v>
      </c>
      <c r="AF73" s="22">
        <f>IFERROR(MATRIZ_174!X72,0)</f>
        <v>0</v>
      </c>
      <c r="AG73" s="22">
        <f>IFERROR(MATRIZ_174!Y72,0)</f>
        <v>0</v>
      </c>
      <c r="AH73" s="22">
        <f>IFERROR(MATRIZ_174!Z72,0)</f>
        <v>0</v>
      </c>
      <c r="AI73" s="17">
        <f ca="1">IFERROR(MATRIZ_174!AP72,"N/A")</f>
        <v>0.125</v>
      </c>
      <c r="AJ73" s="17">
        <f>IFERROR(MATRIZ_174!AO72,"N/A")</f>
        <v>0</v>
      </c>
      <c r="AK73" s="23" t="str">
        <f t="shared" ca="1" si="31"/>
        <v>N/A</v>
      </c>
      <c r="AL73" s="24" t="str">
        <f t="shared" ca="1" si="32"/>
        <v>—</v>
      </c>
    </row>
    <row r="74" spans="1:38" ht="16.05" customHeight="1" x14ac:dyDescent="0.3">
      <c r="A74" s="13" t="s">
        <v>232</v>
      </c>
      <c r="B74" s="14" t="s">
        <v>233</v>
      </c>
      <c r="C74" s="13" t="s">
        <v>143</v>
      </c>
      <c r="D74" s="15">
        <v>1187600.48</v>
      </c>
      <c r="E74" s="16" t="str">
        <f>IF(NORMALIZADO!CB73="","",NORMALIZADO!CB73)</f>
        <v/>
      </c>
      <c r="F74" s="17" t="str">
        <f ca="1">IF(NORMALIZADO!CC73="","",NORMALIZADO!CC73)</f>
        <v/>
      </c>
      <c r="G74" s="17">
        <f ca="1">IF(NORMALIZADO!CD73="",IFERROR(MATRIZ_174!U73*100,""),NORMALIZADO!CD73)</f>
        <v>100</v>
      </c>
      <c r="H74" s="16" t="str">
        <f>IF(NORMALIZADO!CE73="","",NORMALIZADO!CE73)</f>
        <v/>
      </c>
      <c r="I74" s="17" t="str">
        <f>IF(NORMALIZADO!CF73="","",NORMALIZADO!CF73)</f>
        <v/>
      </c>
      <c r="J74" s="17" t="str">
        <f ca="1">IF(NORMALIZADO!CG73="","",NORMALIZADO!CG73)</f>
        <v/>
      </c>
      <c r="K74" s="16" t="str">
        <f ca="1">IF(NORMALIZADO!CH73="","",NORMALIZADO!CH73)</f>
        <v/>
      </c>
      <c r="L74" s="16" t="str">
        <f>IF(NORMALIZADO!CI73="","",NORMALIZADO!CI73)</f>
        <v/>
      </c>
      <c r="M74" s="16" t="str">
        <f>IF(NORMALIZADO!CJ73="","",NORMALIZADO!CJ73)</f>
        <v/>
      </c>
      <c r="N74" s="16" t="str">
        <f>IF(NORMALIZADO!CK73="","",NORMALIZADO!CK73)</f>
        <v/>
      </c>
      <c r="O74" s="16" t="str">
        <f>IF(NORMALIZADO!CL73="","",NORMALIZADO!CL73)</f>
        <v/>
      </c>
      <c r="P74" s="17" t="str">
        <f t="shared" ca="1" si="22"/>
        <v/>
      </c>
      <c r="Q74" s="17">
        <f t="shared" ca="1" si="23"/>
        <v>0</v>
      </c>
      <c r="R74" s="17">
        <f t="shared" ca="1" si="24"/>
        <v>0</v>
      </c>
      <c r="S74" s="17">
        <f t="shared" ca="1" si="25"/>
        <v>0</v>
      </c>
      <c r="T74" s="17">
        <f ca="1">IFERROR((K74+M74+MATRIZ_174!O73)/3,0)</f>
        <v>0</v>
      </c>
      <c r="U74" s="18">
        <f>IFERROR(MIN(100,ROUND(MATRIZ_174!M73,1)),0)</f>
        <v>100</v>
      </c>
      <c r="V74" s="18">
        <f t="shared" ca="1" si="26"/>
        <v>50</v>
      </c>
      <c r="W74" s="18">
        <f>IFERROR(IF(MATRIZ_174!R73=0,65,IF(MATRIZ_174!R73/MATRIZ_174!Q73&gt;=2,35,IF(MATRIZ_174!R73/MATRIZ_174!Q73&gt;=0.5,50,65))),65)</f>
        <v>35</v>
      </c>
      <c r="X74" s="18">
        <f>IFERROR(MIN(100,IF(MATRIZ_174!O73=0,70,30)+IF(MATRIZ_174!U73="",0,0.3*(100-MATRIZ_174!U73*100))),70)</f>
        <v>70</v>
      </c>
      <c r="Y74" s="18">
        <f>IF(OR(MATRIZ_174!P73="ASOCIACION",MATRIZ_174!P73="PENDIENTE"),65,40)</f>
        <v>65</v>
      </c>
      <c r="Z74" s="19" t="str">
        <f t="shared" ca="1" si="27"/>
        <v>—</v>
      </c>
      <c r="AA74" s="20">
        <f t="shared" ca="1" si="28"/>
        <v>64</v>
      </c>
      <c r="AB74" s="21" t="str">
        <f t="shared" ca="1" si="29"/>
        <v>—</v>
      </c>
      <c r="AC74" s="13" t="str">
        <f t="shared" ca="1" si="30"/>
        <v>⬜  Pendiente de instrumento</v>
      </c>
      <c r="AD74" s="13" t="str">
        <f>IF(MATRIZ_174!U73="","",IF(MATRIZ_174!U73=0,"🚫  Inh. vigente OSCE",""))</f>
        <v/>
      </c>
      <c r="AE74" s="22">
        <f>IFERROR(MATRIZ_174!W73,0)</f>
        <v>1</v>
      </c>
      <c r="AF74" s="22">
        <f>IFERROR(MATRIZ_174!X73,0)</f>
        <v>0</v>
      </c>
      <c r="AG74" s="22">
        <f>IFERROR(MATRIZ_174!Y73,0)</f>
        <v>0</v>
      </c>
      <c r="AH74" s="22">
        <f>IFERROR(MATRIZ_174!Z73,0)</f>
        <v>0</v>
      </c>
      <c r="AI74" s="17">
        <f ca="1">IFERROR(MATRIZ_174!AP73,"N/A")</f>
        <v>0.22500000000000001</v>
      </c>
      <c r="AJ74" s="17">
        <f>IFERROR(MATRIZ_174!AO73,"N/A")</f>
        <v>0</v>
      </c>
      <c r="AK74" s="23" t="str">
        <f t="shared" ca="1" si="31"/>
        <v>N/A</v>
      </c>
      <c r="AL74" s="24" t="str">
        <f t="shared" ca="1" si="32"/>
        <v>—</v>
      </c>
    </row>
    <row r="75" spans="1:38" ht="16.05" customHeight="1" x14ac:dyDescent="0.3">
      <c r="A75" s="13" t="s">
        <v>236</v>
      </c>
      <c r="B75" s="14" t="s">
        <v>237</v>
      </c>
      <c r="C75" s="13" t="s">
        <v>143</v>
      </c>
      <c r="D75" s="15">
        <v>12142715.91</v>
      </c>
      <c r="E75" s="16" t="str">
        <f>IF(NORMALIZADO!CB74="","",NORMALIZADO!CB74)</f>
        <v/>
      </c>
      <c r="F75" s="17" t="str">
        <f ca="1">IF(NORMALIZADO!CC74="","",NORMALIZADO!CC74)</f>
        <v/>
      </c>
      <c r="G75" s="17">
        <f ca="1">IF(NORMALIZADO!CD74="",IFERROR(MATRIZ_174!U74*100,""),NORMALIZADO!CD74)</f>
        <v>100</v>
      </c>
      <c r="H75" s="16" t="str">
        <f>IF(NORMALIZADO!CE74="","",NORMALIZADO!CE74)</f>
        <v/>
      </c>
      <c r="I75" s="17" t="str">
        <f>IF(NORMALIZADO!CF74="","",NORMALIZADO!CF74)</f>
        <v/>
      </c>
      <c r="J75" s="17" t="str">
        <f ca="1">IF(NORMALIZADO!CG74="","",NORMALIZADO!CG74)</f>
        <v/>
      </c>
      <c r="K75" s="16" t="str">
        <f ca="1">IF(NORMALIZADO!CH74="","",NORMALIZADO!CH74)</f>
        <v/>
      </c>
      <c r="L75" s="16" t="str">
        <f>IF(NORMALIZADO!CI74="","",NORMALIZADO!CI74)</f>
        <v/>
      </c>
      <c r="M75" s="16" t="str">
        <f>IF(NORMALIZADO!CJ74="","",NORMALIZADO!CJ74)</f>
        <v/>
      </c>
      <c r="N75" s="16" t="str">
        <f>IF(NORMALIZADO!CK74="","",NORMALIZADO!CK74)</f>
        <v/>
      </c>
      <c r="O75" s="16" t="str">
        <f>IF(NORMALIZADO!CL74="","",NORMALIZADO!CL74)</f>
        <v/>
      </c>
      <c r="P75" s="17" t="str">
        <f t="shared" ca="1" si="22"/>
        <v/>
      </c>
      <c r="Q75" s="17">
        <f t="shared" ca="1" si="23"/>
        <v>0</v>
      </c>
      <c r="R75" s="17">
        <f t="shared" ca="1" si="24"/>
        <v>0</v>
      </c>
      <c r="S75" s="17">
        <f t="shared" ca="1" si="25"/>
        <v>0</v>
      </c>
      <c r="T75" s="17">
        <f ca="1">IFERROR((K75+M75+MATRIZ_174!O74)/3,0)</f>
        <v>0</v>
      </c>
      <c r="U75" s="18">
        <f>IFERROR(MIN(100,ROUND(MATRIZ_174!M74,1)),0)</f>
        <v>50</v>
      </c>
      <c r="V75" s="18">
        <f t="shared" ca="1" si="26"/>
        <v>50</v>
      </c>
      <c r="W75" s="18">
        <f>IFERROR(IF(MATRIZ_174!R74=0,65,IF(MATRIZ_174!R74/MATRIZ_174!Q74&gt;=2,35,IF(MATRIZ_174!R74/MATRIZ_174!Q74&gt;=0.5,50,65))),65)</f>
        <v>65</v>
      </c>
      <c r="X75" s="18">
        <f>IFERROR(MIN(100,IF(MATRIZ_174!O74=0,70,30)+IF(MATRIZ_174!U74="",0,0.3*(100-MATRIZ_174!U74*100))),70)</f>
        <v>70</v>
      </c>
      <c r="Y75" s="18">
        <f>IF(OR(MATRIZ_174!P74="ASOCIACION",MATRIZ_174!P74="PENDIENTE"),65,40)</f>
        <v>65</v>
      </c>
      <c r="Z75" s="19" t="str">
        <f t="shared" ca="1" si="27"/>
        <v>—</v>
      </c>
      <c r="AA75" s="20">
        <f t="shared" ca="1" si="28"/>
        <v>60</v>
      </c>
      <c r="AB75" s="21" t="str">
        <f t="shared" ca="1" si="29"/>
        <v>—</v>
      </c>
      <c r="AC75" s="13" t="str">
        <f t="shared" ca="1" si="30"/>
        <v>⬜  Pendiente de instrumento</v>
      </c>
      <c r="AD75" s="13" t="str">
        <f>IF(MATRIZ_174!U74="","",IF(MATRIZ_174!U74=0,"🚫  Inh. vigente OSCE",""))</f>
        <v/>
      </c>
      <c r="AE75" s="22">
        <f>IFERROR(MATRIZ_174!W74,0)</f>
        <v>1</v>
      </c>
      <c r="AF75" s="22">
        <f>IFERROR(MATRIZ_174!X74,0)</f>
        <v>0</v>
      </c>
      <c r="AG75" s="22">
        <f>IFERROR(MATRIZ_174!Y74,0)</f>
        <v>0</v>
      </c>
      <c r="AH75" s="22">
        <f>IFERROR(MATRIZ_174!Z74,0)</f>
        <v>0</v>
      </c>
      <c r="AI75" s="17">
        <f ca="1">IFERROR(MATRIZ_174!AP74,"N/A")</f>
        <v>0.125</v>
      </c>
      <c r="AJ75" s="17">
        <f>IFERROR(MATRIZ_174!AO74,"N/A")</f>
        <v>0</v>
      </c>
      <c r="AK75" s="23" t="str">
        <f t="shared" ca="1" si="31"/>
        <v>N/A</v>
      </c>
      <c r="AL75" s="24" t="str">
        <f t="shared" ca="1" si="32"/>
        <v>—</v>
      </c>
    </row>
    <row r="76" spans="1:38" ht="16.05" customHeight="1" x14ac:dyDescent="0.3">
      <c r="A76" s="13" t="s">
        <v>238</v>
      </c>
      <c r="B76" s="14" t="s">
        <v>239</v>
      </c>
      <c r="C76" s="13" t="s">
        <v>196</v>
      </c>
      <c r="D76" s="15">
        <v>0</v>
      </c>
      <c r="E76" s="16" t="str">
        <f>IF(NORMALIZADO!CB75="","",NORMALIZADO!CB75)</f>
        <v/>
      </c>
      <c r="F76" s="17" t="str">
        <f ca="1">IF(NORMALIZADO!CC75="","",NORMALIZADO!CC75)</f>
        <v/>
      </c>
      <c r="G76" s="17">
        <f ca="1">IF(NORMALIZADO!CD75="",IFERROR(MATRIZ_174!U75*100,""),NORMALIZADO!CD75)</f>
        <v>100</v>
      </c>
      <c r="H76" s="16" t="str">
        <f>IF(NORMALIZADO!CE75="","",NORMALIZADO!CE75)</f>
        <v/>
      </c>
      <c r="I76" s="17" t="str">
        <f>IF(NORMALIZADO!CF75="","",NORMALIZADO!CF75)</f>
        <v/>
      </c>
      <c r="J76" s="17" t="str">
        <f ca="1">IF(NORMALIZADO!CG75="","",NORMALIZADO!CG75)</f>
        <v/>
      </c>
      <c r="K76" s="16" t="str">
        <f ca="1">IF(NORMALIZADO!CH75="","",NORMALIZADO!CH75)</f>
        <v/>
      </c>
      <c r="L76" s="16" t="str">
        <f>IF(NORMALIZADO!CI75="","",NORMALIZADO!CI75)</f>
        <v/>
      </c>
      <c r="M76" s="16" t="str">
        <f>IF(NORMALIZADO!CJ75="","",NORMALIZADO!CJ75)</f>
        <v/>
      </c>
      <c r="N76" s="16" t="str">
        <f>IF(NORMALIZADO!CK75="","",NORMALIZADO!CK75)</f>
        <v/>
      </c>
      <c r="O76" s="16" t="str">
        <f>IF(NORMALIZADO!CL75="","",NORMALIZADO!CL75)</f>
        <v/>
      </c>
      <c r="P76" s="17" t="str">
        <f t="shared" ca="1" si="22"/>
        <v/>
      </c>
      <c r="Q76" s="17">
        <f t="shared" ca="1" si="23"/>
        <v>0</v>
      </c>
      <c r="R76" s="17">
        <f t="shared" ca="1" si="24"/>
        <v>0</v>
      </c>
      <c r="S76" s="17">
        <f t="shared" ca="1" si="25"/>
        <v>0</v>
      </c>
      <c r="T76" s="17">
        <f ca="1">IFERROR((K76+M76+MATRIZ_174!O75)/3,0)</f>
        <v>0</v>
      </c>
      <c r="U76" s="18">
        <f>IFERROR(MIN(100,ROUND(MATRIZ_174!M75,1)),0)</f>
        <v>0</v>
      </c>
      <c r="V76" s="18">
        <f t="shared" ca="1" si="26"/>
        <v>50</v>
      </c>
      <c r="W76" s="18">
        <f>IFERROR(IF(MATRIZ_174!R75=0,65,IF(MATRIZ_174!R75/MATRIZ_174!Q75&gt;=2,35,IF(MATRIZ_174!R75/MATRIZ_174!Q75&gt;=0.5,50,65))),65)</f>
        <v>65</v>
      </c>
      <c r="X76" s="18">
        <f>IFERROR(MIN(100,IF(MATRIZ_174!O75=0,70,30)+IF(MATRIZ_174!U75="",0,0.3*(100-MATRIZ_174!U75*100))),70)</f>
        <v>70</v>
      </c>
      <c r="Y76" s="18">
        <f>IF(OR(MATRIZ_174!P75="ASOCIACION",MATRIZ_174!P75="PENDIENTE"),65,40)</f>
        <v>65</v>
      </c>
      <c r="Z76" s="19" t="str">
        <f t="shared" ca="1" si="27"/>
        <v>—</v>
      </c>
      <c r="AA76" s="20">
        <f t="shared" ca="1" si="28"/>
        <v>50</v>
      </c>
      <c r="AB76" s="21" t="str">
        <f t="shared" ca="1" si="29"/>
        <v>—</v>
      </c>
      <c r="AC76" s="13" t="str">
        <f t="shared" ca="1" si="30"/>
        <v>⬜  Pendiente de instrumento</v>
      </c>
      <c r="AD76" s="13" t="str">
        <f>IF(MATRIZ_174!U75="","",IF(MATRIZ_174!U75=0,"🚫  Inh. vigente OSCE",""))</f>
        <v/>
      </c>
      <c r="AE76" s="22">
        <f>IFERROR(MATRIZ_174!W75,0)</f>
        <v>0</v>
      </c>
      <c r="AF76" s="22">
        <f>IFERROR(MATRIZ_174!X75,0)</f>
        <v>0</v>
      </c>
      <c r="AG76" s="22">
        <f>IFERROR(MATRIZ_174!Y75,0)</f>
        <v>0</v>
      </c>
      <c r="AH76" s="22">
        <f>IFERROR(MATRIZ_174!Z75,0)</f>
        <v>0</v>
      </c>
      <c r="AI76" s="17">
        <f ca="1">IFERROR(MATRIZ_174!AP75,"N/A")</f>
        <v>0</v>
      </c>
      <c r="AJ76" s="17">
        <f>IFERROR(MATRIZ_174!AO75,"N/A")</f>
        <v>0</v>
      </c>
      <c r="AK76" s="23" t="str">
        <f t="shared" ca="1" si="31"/>
        <v>N/A</v>
      </c>
      <c r="AL76" s="24" t="str">
        <f t="shared" ca="1" si="32"/>
        <v>—</v>
      </c>
    </row>
    <row r="77" spans="1:38" ht="16.05" customHeight="1" x14ac:dyDescent="0.3">
      <c r="A77" s="13" t="s">
        <v>240</v>
      </c>
      <c r="B77" s="14" t="s">
        <v>241</v>
      </c>
      <c r="C77" s="13" t="s">
        <v>196</v>
      </c>
      <c r="D77" s="15">
        <v>0</v>
      </c>
      <c r="E77" s="16" t="str">
        <f>IF(NORMALIZADO!CB76="","",NORMALIZADO!CB76)</f>
        <v/>
      </c>
      <c r="F77" s="17" t="str">
        <f ca="1">IF(NORMALIZADO!CC76="","",NORMALIZADO!CC76)</f>
        <v/>
      </c>
      <c r="G77" s="17">
        <f ca="1">IF(NORMALIZADO!CD76="",IFERROR(MATRIZ_174!U76*100,""),NORMALIZADO!CD76)</f>
        <v>100</v>
      </c>
      <c r="H77" s="16" t="str">
        <f>IF(NORMALIZADO!CE76="","",NORMALIZADO!CE76)</f>
        <v/>
      </c>
      <c r="I77" s="17" t="str">
        <f>IF(NORMALIZADO!CF76="","",NORMALIZADO!CF76)</f>
        <v/>
      </c>
      <c r="J77" s="17" t="str">
        <f ca="1">IF(NORMALIZADO!CG76="","",NORMALIZADO!CG76)</f>
        <v/>
      </c>
      <c r="K77" s="16" t="str">
        <f ca="1">IF(NORMALIZADO!CH76="","",NORMALIZADO!CH76)</f>
        <v/>
      </c>
      <c r="L77" s="16" t="str">
        <f>IF(NORMALIZADO!CI76="","",NORMALIZADO!CI76)</f>
        <v/>
      </c>
      <c r="M77" s="16" t="str">
        <f>IF(NORMALIZADO!CJ76="","",NORMALIZADO!CJ76)</f>
        <v/>
      </c>
      <c r="N77" s="16" t="str">
        <f>IF(NORMALIZADO!CK76="","",NORMALIZADO!CK76)</f>
        <v/>
      </c>
      <c r="O77" s="16" t="str">
        <f>IF(NORMALIZADO!CL76="","",NORMALIZADO!CL76)</f>
        <v/>
      </c>
      <c r="P77" s="17" t="str">
        <f t="shared" ca="1" si="22"/>
        <v/>
      </c>
      <c r="Q77" s="17">
        <f t="shared" ca="1" si="23"/>
        <v>0</v>
      </c>
      <c r="R77" s="17">
        <f t="shared" ca="1" si="24"/>
        <v>0</v>
      </c>
      <c r="S77" s="17">
        <f t="shared" ca="1" si="25"/>
        <v>0</v>
      </c>
      <c r="T77" s="17">
        <f ca="1">IFERROR((K77+M77+MATRIZ_174!O76)/3,0)</f>
        <v>0</v>
      </c>
      <c r="U77" s="18">
        <f>IFERROR(MIN(100,ROUND(MATRIZ_174!M76,1)),0)</f>
        <v>0</v>
      </c>
      <c r="V77" s="18">
        <f t="shared" ca="1" si="26"/>
        <v>50</v>
      </c>
      <c r="W77" s="18">
        <f>IFERROR(IF(MATRIZ_174!R76=0,65,IF(MATRIZ_174!R76/MATRIZ_174!Q76&gt;=2,35,IF(MATRIZ_174!R76/MATRIZ_174!Q76&gt;=0.5,50,65))),65)</f>
        <v>65</v>
      </c>
      <c r="X77" s="18">
        <f>IFERROR(MIN(100,IF(MATRIZ_174!O76=0,70,30)+IF(MATRIZ_174!U76="",0,0.3*(100-MATRIZ_174!U76*100))),70)</f>
        <v>70</v>
      </c>
      <c r="Y77" s="18">
        <f>IF(OR(MATRIZ_174!P76="ASOCIACION",MATRIZ_174!P76="PENDIENTE"),65,40)</f>
        <v>65</v>
      </c>
      <c r="Z77" s="19" t="str">
        <f t="shared" ca="1" si="27"/>
        <v>—</v>
      </c>
      <c r="AA77" s="20">
        <f t="shared" ca="1" si="28"/>
        <v>50</v>
      </c>
      <c r="AB77" s="21" t="str">
        <f t="shared" ca="1" si="29"/>
        <v>—</v>
      </c>
      <c r="AC77" s="13" t="str">
        <f t="shared" ca="1" si="30"/>
        <v>⬜  Pendiente de instrumento</v>
      </c>
      <c r="AD77" s="13" t="str">
        <f>IF(MATRIZ_174!U76="","",IF(MATRIZ_174!U76=0,"🚫  Inh. vigente OSCE",""))</f>
        <v/>
      </c>
      <c r="AE77" s="22">
        <f>IFERROR(MATRIZ_174!W76,0)</f>
        <v>0</v>
      </c>
      <c r="AF77" s="22">
        <f>IFERROR(MATRIZ_174!X76,0)</f>
        <v>0</v>
      </c>
      <c r="AG77" s="22">
        <f>IFERROR(MATRIZ_174!Y76,0)</f>
        <v>0</v>
      </c>
      <c r="AH77" s="22">
        <f>IFERROR(MATRIZ_174!Z76,0)</f>
        <v>0</v>
      </c>
      <c r="AI77" s="17">
        <f ca="1">IFERROR(MATRIZ_174!AP76,"N/A")</f>
        <v>0</v>
      </c>
      <c r="AJ77" s="17">
        <f>IFERROR(MATRIZ_174!AO76,"N/A")</f>
        <v>0</v>
      </c>
      <c r="AK77" s="23" t="str">
        <f t="shared" ca="1" si="31"/>
        <v>N/A</v>
      </c>
      <c r="AL77" s="24" t="str">
        <f t="shared" ca="1" si="32"/>
        <v>—</v>
      </c>
    </row>
    <row r="78" spans="1:38" ht="16.05" customHeight="1" x14ac:dyDescent="0.3">
      <c r="A78" s="13" t="s">
        <v>242</v>
      </c>
      <c r="B78" s="14" t="s">
        <v>243</v>
      </c>
      <c r="C78" s="13" t="s">
        <v>154</v>
      </c>
      <c r="D78" s="15">
        <v>8445503.2400000002</v>
      </c>
      <c r="E78" s="16" t="str">
        <f>IF(NORMALIZADO!CB77="","",NORMALIZADO!CB77)</f>
        <v/>
      </c>
      <c r="F78" s="17" t="str">
        <f ca="1">IF(NORMALIZADO!CC77="","",NORMALIZADO!CC77)</f>
        <v/>
      </c>
      <c r="G78" s="17">
        <f ca="1">IF(NORMALIZADO!CD77="",IFERROR(MATRIZ_174!U77*100,""),NORMALIZADO!CD77)</f>
        <v>100</v>
      </c>
      <c r="H78" s="16" t="str">
        <f>IF(NORMALIZADO!CE77="","",NORMALIZADO!CE77)</f>
        <v/>
      </c>
      <c r="I78" s="17" t="str">
        <f>IF(NORMALIZADO!CF77="","",NORMALIZADO!CF77)</f>
        <v/>
      </c>
      <c r="J78" s="17" t="str">
        <f ca="1">IF(NORMALIZADO!CG77="","",NORMALIZADO!CG77)</f>
        <v/>
      </c>
      <c r="K78" s="16" t="str">
        <f ca="1">IF(NORMALIZADO!CH77="","",NORMALIZADO!CH77)</f>
        <v/>
      </c>
      <c r="L78" s="16" t="str">
        <f>IF(NORMALIZADO!CI77="","",NORMALIZADO!CI77)</f>
        <v/>
      </c>
      <c r="M78" s="16" t="str">
        <f>IF(NORMALIZADO!CJ77="","",NORMALIZADO!CJ77)</f>
        <v/>
      </c>
      <c r="N78" s="16" t="str">
        <f>IF(NORMALIZADO!CK77="","",NORMALIZADO!CK77)</f>
        <v/>
      </c>
      <c r="O78" s="16" t="str">
        <f>IF(NORMALIZADO!CL77="","",NORMALIZADO!CL77)</f>
        <v/>
      </c>
      <c r="P78" s="17" t="str">
        <f t="shared" ca="1" si="22"/>
        <v/>
      </c>
      <c r="Q78" s="17">
        <f t="shared" ca="1" si="23"/>
        <v>0</v>
      </c>
      <c r="R78" s="17">
        <f t="shared" ca="1" si="24"/>
        <v>0</v>
      </c>
      <c r="S78" s="17">
        <f t="shared" ca="1" si="25"/>
        <v>0</v>
      </c>
      <c r="T78" s="17">
        <f ca="1">IFERROR((K78+M78+MATRIZ_174!O77)/3,0)</f>
        <v>0</v>
      </c>
      <c r="U78" s="18">
        <f>IFERROR(MIN(100,ROUND(MATRIZ_174!M77,1)),0)</f>
        <v>50</v>
      </c>
      <c r="V78" s="18">
        <f t="shared" ca="1" si="26"/>
        <v>50</v>
      </c>
      <c r="W78" s="18">
        <f>IFERROR(IF(MATRIZ_174!R77=0,65,IF(MATRIZ_174!R77/MATRIZ_174!Q77&gt;=2,35,IF(MATRIZ_174!R77/MATRIZ_174!Q77&gt;=0.5,50,65))),65)</f>
        <v>65</v>
      </c>
      <c r="X78" s="18">
        <f>IFERROR(MIN(100,IF(MATRIZ_174!O77=0,70,30)+IF(MATRIZ_174!U77="",0,0.3*(100-MATRIZ_174!U77*100))),70)</f>
        <v>70</v>
      </c>
      <c r="Y78" s="18">
        <f>IF(OR(MATRIZ_174!P77="ASOCIACION",MATRIZ_174!P77="PENDIENTE"),65,40)</f>
        <v>65</v>
      </c>
      <c r="Z78" s="19" t="str">
        <f t="shared" ca="1" si="27"/>
        <v>—</v>
      </c>
      <c r="AA78" s="20">
        <f t="shared" ca="1" si="28"/>
        <v>60</v>
      </c>
      <c r="AB78" s="21" t="str">
        <f t="shared" ca="1" si="29"/>
        <v>—</v>
      </c>
      <c r="AC78" s="13" t="str">
        <f t="shared" ca="1" si="30"/>
        <v>⬜  Pendiente de instrumento</v>
      </c>
      <c r="AD78" s="13" t="str">
        <f>IF(MATRIZ_174!U77="","",IF(MATRIZ_174!U77=0,"🚫  Inh. vigente OSCE",""))</f>
        <v/>
      </c>
      <c r="AE78" s="22">
        <f>IFERROR(MATRIZ_174!W77,0)</f>
        <v>1</v>
      </c>
      <c r="AF78" s="22">
        <f>IFERROR(MATRIZ_174!X77,0)</f>
        <v>0</v>
      </c>
      <c r="AG78" s="22">
        <f>IFERROR(MATRIZ_174!Y77,0)</f>
        <v>0</v>
      </c>
      <c r="AH78" s="22">
        <f>IFERROR(MATRIZ_174!Z77,0)</f>
        <v>0</v>
      </c>
      <c r="AI78" s="17">
        <f ca="1">IFERROR(MATRIZ_174!AP77,"N/A")</f>
        <v>0.125</v>
      </c>
      <c r="AJ78" s="17">
        <f>IFERROR(MATRIZ_174!AO77,"N/A")</f>
        <v>0</v>
      </c>
      <c r="AK78" s="23" t="str">
        <f t="shared" ca="1" si="31"/>
        <v>N/A</v>
      </c>
      <c r="AL78" s="24" t="str">
        <f t="shared" ca="1" si="32"/>
        <v>—</v>
      </c>
    </row>
    <row r="79" spans="1:38" ht="16.05" customHeight="1" x14ac:dyDescent="0.3">
      <c r="A79" s="13" t="s">
        <v>244</v>
      </c>
      <c r="B79" s="14" t="s">
        <v>245</v>
      </c>
      <c r="C79" s="13" t="s">
        <v>123</v>
      </c>
      <c r="D79" s="15">
        <v>0</v>
      </c>
      <c r="E79" s="16" t="str">
        <f>IF(NORMALIZADO!CB78="","",NORMALIZADO!CB78)</f>
        <v/>
      </c>
      <c r="F79" s="17" t="str">
        <f ca="1">IF(NORMALIZADO!CC78="","",NORMALIZADO!CC78)</f>
        <v/>
      </c>
      <c r="G79" s="17">
        <f ca="1">IF(NORMALIZADO!CD78="",IFERROR(MATRIZ_174!U78*100,""),NORMALIZADO!CD78)</f>
        <v>100</v>
      </c>
      <c r="H79" s="16" t="str">
        <f>IF(NORMALIZADO!CE78="","",NORMALIZADO!CE78)</f>
        <v/>
      </c>
      <c r="I79" s="17" t="str">
        <f>IF(NORMALIZADO!CF78="","",NORMALIZADO!CF78)</f>
        <v/>
      </c>
      <c r="J79" s="17" t="str">
        <f ca="1">IF(NORMALIZADO!CG78="","",NORMALIZADO!CG78)</f>
        <v/>
      </c>
      <c r="K79" s="16" t="str">
        <f ca="1">IF(NORMALIZADO!CH78="","",NORMALIZADO!CH78)</f>
        <v/>
      </c>
      <c r="L79" s="16" t="str">
        <f>IF(NORMALIZADO!CI78="","",NORMALIZADO!CI78)</f>
        <v/>
      </c>
      <c r="M79" s="16" t="str">
        <f>IF(NORMALIZADO!CJ78="","",NORMALIZADO!CJ78)</f>
        <v/>
      </c>
      <c r="N79" s="16" t="str">
        <f>IF(NORMALIZADO!CK78="","",NORMALIZADO!CK78)</f>
        <v/>
      </c>
      <c r="O79" s="16" t="str">
        <f>IF(NORMALIZADO!CL78="","",NORMALIZADO!CL78)</f>
        <v/>
      </c>
      <c r="P79" s="17" t="str">
        <f t="shared" ca="1" si="22"/>
        <v/>
      </c>
      <c r="Q79" s="17">
        <f t="shared" ca="1" si="23"/>
        <v>0</v>
      </c>
      <c r="R79" s="17">
        <f t="shared" ca="1" si="24"/>
        <v>0</v>
      </c>
      <c r="S79" s="17">
        <f t="shared" ca="1" si="25"/>
        <v>0</v>
      </c>
      <c r="T79" s="17">
        <f ca="1">IFERROR((K79+M79+MATRIZ_174!O78)/3,0)</f>
        <v>0</v>
      </c>
      <c r="U79" s="18">
        <f>IFERROR(MIN(100,ROUND(MATRIZ_174!M78,1)),0)</f>
        <v>0</v>
      </c>
      <c r="V79" s="18">
        <f t="shared" ca="1" si="26"/>
        <v>50</v>
      </c>
      <c r="W79" s="18">
        <f>IFERROR(IF(MATRIZ_174!R78=0,65,IF(MATRIZ_174!R78/MATRIZ_174!Q78&gt;=2,35,IF(MATRIZ_174!R78/MATRIZ_174!Q78&gt;=0.5,50,65))),65)</f>
        <v>65</v>
      </c>
      <c r="X79" s="18">
        <f>IFERROR(MIN(100,IF(MATRIZ_174!O78=0,70,30)+IF(MATRIZ_174!U78="",0,0.3*(100-MATRIZ_174!U78*100))),70)</f>
        <v>70</v>
      </c>
      <c r="Y79" s="18">
        <f>IF(OR(MATRIZ_174!P78="ASOCIACION",MATRIZ_174!P78="PENDIENTE"),65,40)</f>
        <v>65</v>
      </c>
      <c r="Z79" s="19" t="str">
        <f t="shared" ca="1" si="27"/>
        <v>—</v>
      </c>
      <c r="AA79" s="20">
        <f t="shared" ca="1" si="28"/>
        <v>50</v>
      </c>
      <c r="AB79" s="21" t="str">
        <f t="shared" ca="1" si="29"/>
        <v>—</v>
      </c>
      <c r="AC79" s="13" t="str">
        <f t="shared" ca="1" si="30"/>
        <v>⬜  Pendiente de instrumento</v>
      </c>
      <c r="AD79" s="13" t="str">
        <f>IF(MATRIZ_174!U78="","",IF(MATRIZ_174!U78=0,"🚫  Inh. vigente OSCE",""))</f>
        <v/>
      </c>
      <c r="AE79" s="22">
        <f>IFERROR(MATRIZ_174!W78,0)</f>
        <v>0</v>
      </c>
      <c r="AF79" s="22">
        <f>IFERROR(MATRIZ_174!X78,0)</f>
        <v>0</v>
      </c>
      <c r="AG79" s="22">
        <f>IFERROR(MATRIZ_174!Y78,0)</f>
        <v>0</v>
      </c>
      <c r="AH79" s="22">
        <f>IFERROR(MATRIZ_174!Z78,0)</f>
        <v>0</v>
      </c>
      <c r="AI79" s="17">
        <f ca="1">IFERROR(MATRIZ_174!AP78,"N/A")</f>
        <v>0</v>
      </c>
      <c r="AJ79" s="17">
        <f>IFERROR(MATRIZ_174!AO78,"N/A")</f>
        <v>0</v>
      </c>
      <c r="AK79" s="23" t="str">
        <f t="shared" ca="1" si="31"/>
        <v>N/A</v>
      </c>
      <c r="AL79" s="24" t="str">
        <f t="shared" ca="1" si="32"/>
        <v>—</v>
      </c>
    </row>
    <row r="80" spans="1:38" ht="16.05" customHeight="1" x14ac:dyDescent="0.3">
      <c r="A80" s="13" t="s">
        <v>246</v>
      </c>
      <c r="B80" s="14" t="s">
        <v>247</v>
      </c>
      <c r="C80" s="13" t="s">
        <v>248</v>
      </c>
      <c r="D80" s="15">
        <v>0</v>
      </c>
      <c r="E80" s="16" t="str">
        <f>IF(NORMALIZADO!CB79="","",NORMALIZADO!CB79)</f>
        <v/>
      </c>
      <c r="F80" s="17" t="str">
        <f ca="1">IF(NORMALIZADO!CC79="","",NORMALIZADO!CC79)</f>
        <v/>
      </c>
      <c r="G80" s="17">
        <f ca="1">IF(NORMALIZADO!CD79="",IFERROR(MATRIZ_174!U79*100,""),NORMALIZADO!CD79)</f>
        <v>100</v>
      </c>
      <c r="H80" s="16" t="str">
        <f>IF(NORMALIZADO!CE79="","",NORMALIZADO!CE79)</f>
        <v/>
      </c>
      <c r="I80" s="17" t="str">
        <f>IF(NORMALIZADO!CF79="","",NORMALIZADO!CF79)</f>
        <v/>
      </c>
      <c r="J80" s="17" t="str">
        <f ca="1">IF(NORMALIZADO!CG79="","",NORMALIZADO!CG79)</f>
        <v/>
      </c>
      <c r="K80" s="16" t="str">
        <f ca="1">IF(NORMALIZADO!CH79="","",NORMALIZADO!CH79)</f>
        <v/>
      </c>
      <c r="L80" s="16" t="str">
        <f>IF(NORMALIZADO!CI79="","",NORMALIZADO!CI79)</f>
        <v/>
      </c>
      <c r="M80" s="16" t="str">
        <f>IF(NORMALIZADO!CJ79="","",NORMALIZADO!CJ79)</f>
        <v/>
      </c>
      <c r="N80" s="16" t="str">
        <f>IF(NORMALIZADO!CK79="","",NORMALIZADO!CK79)</f>
        <v/>
      </c>
      <c r="O80" s="16" t="str">
        <f>IF(NORMALIZADO!CL79="","",NORMALIZADO!CL79)</f>
        <v/>
      </c>
      <c r="P80" s="17" t="str">
        <f t="shared" ca="1" si="22"/>
        <v/>
      </c>
      <c r="Q80" s="17">
        <f t="shared" ca="1" si="23"/>
        <v>0</v>
      </c>
      <c r="R80" s="17">
        <f t="shared" ca="1" si="24"/>
        <v>0</v>
      </c>
      <c r="S80" s="17">
        <f t="shared" ca="1" si="25"/>
        <v>0</v>
      </c>
      <c r="T80" s="17">
        <f ca="1">IFERROR((K80+M80+MATRIZ_174!O79)/3,0)</f>
        <v>0</v>
      </c>
      <c r="U80" s="18">
        <f>IFERROR(MIN(100,ROUND(MATRIZ_174!M79,1)),0)</f>
        <v>0</v>
      </c>
      <c r="V80" s="18">
        <f t="shared" ca="1" si="26"/>
        <v>50</v>
      </c>
      <c r="W80" s="18">
        <f>IFERROR(IF(MATRIZ_174!R79=0,65,IF(MATRIZ_174!R79/MATRIZ_174!Q79&gt;=2,35,IF(MATRIZ_174!R79/MATRIZ_174!Q79&gt;=0.5,50,65))),65)</f>
        <v>65</v>
      </c>
      <c r="X80" s="18">
        <f>IFERROR(MIN(100,IF(MATRIZ_174!O79=0,70,30)+IF(MATRIZ_174!U79="",0,0.3*(100-MATRIZ_174!U79*100))),70)</f>
        <v>70</v>
      </c>
      <c r="Y80" s="18">
        <f>IF(OR(MATRIZ_174!P79="ASOCIACION",MATRIZ_174!P79="PENDIENTE"),65,40)</f>
        <v>65</v>
      </c>
      <c r="Z80" s="19" t="str">
        <f t="shared" ca="1" si="27"/>
        <v>—</v>
      </c>
      <c r="AA80" s="20">
        <f t="shared" ca="1" si="28"/>
        <v>50</v>
      </c>
      <c r="AB80" s="21" t="str">
        <f t="shared" ca="1" si="29"/>
        <v>—</v>
      </c>
      <c r="AC80" s="13" t="str">
        <f t="shared" ca="1" si="30"/>
        <v>⬜  Pendiente de instrumento</v>
      </c>
      <c r="AD80" s="13" t="str">
        <f>IF(MATRIZ_174!U79="","",IF(MATRIZ_174!U79=0,"🚫  Inh. vigente OSCE",""))</f>
        <v/>
      </c>
      <c r="AE80" s="22">
        <f>IFERROR(MATRIZ_174!W79,0)</f>
        <v>0</v>
      </c>
      <c r="AF80" s="22">
        <f>IFERROR(MATRIZ_174!X79,0)</f>
        <v>0</v>
      </c>
      <c r="AG80" s="22">
        <f>IFERROR(MATRIZ_174!Y79,0)</f>
        <v>0</v>
      </c>
      <c r="AH80" s="22">
        <f>IFERROR(MATRIZ_174!Z79,0)</f>
        <v>0</v>
      </c>
      <c r="AI80" s="17">
        <f ca="1">IFERROR(MATRIZ_174!AP79,"N/A")</f>
        <v>0</v>
      </c>
      <c r="AJ80" s="17">
        <f>IFERROR(MATRIZ_174!AO79,"N/A")</f>
        <v>0</v>
      </c>
      <c r="AK80" s="23" t="str">
        <f t="shared" ca="1" si="31"/>
        <v>N/A</v>
      </c>
      <c r="AL80" s="24" t="str">
        <f t="shared" ca="1" si="32"/>
        <v>—</v>
      </c>
    </row>
    <row r="81" spans="1:38" ht="16.05" customHeight="1" x14ac:dyDescent="0.3">
      <c r="A81" s="13" t="s">
        <v>249</v>
      </c>
      <c r="B81" s="14" t="s">
        <v>250</v>
      </c>
      <c r="C81" s="13" t="s">
        <v>116</v>
      </c>
      <c r="D81" s="15">
        <v>0</v>
      </c>
      <c r="E81" s="16" t="str">
        <f>IF(NORMALIZADO!CB80="","",NORMALIZADO!CB80)</f>
        <v/>
      </c>
      <c r="F81" s="17" t="str">
        <f ca="1">IF(NORMALIZADO!CC80="","",NORMALIZADO!CC80)</f>
        <v/>
      </c>
      <c r="G81" s="17">
        <f ca="1">IF(NORMALIZADO!CD80="",IFERROR(MATRIZ_174!U80*100,""),NORMALIZADO!CD80)</f>
        <v>100</v>
      </c>
      <c r="H81" s="16" t="str">
        <f>IF(NORMALIZADO!CE80="","",NORMALIZADO!CE80)</f>
        <v/>
      </c>
      <c r="I81" s="17" t="str">
        <f>IF(NORMALIZADO!CF80="","",NORMALIZADO!CF80)</f>
        <v/>
      </c>
      <c r="J81" s="17" t="str">
        <f ca="1">IF(NORMALIZADO!CG80="","",NORMALIZADO!CG80)</f>
        <v/>
      </c>
      <c r="K81" s="16" t="str">
        <f ca="1">IF(NORMALIZADO!CH80="","",NORMALIZADO!CH80)</f>
        <v/>
      </c>
      <c r="L81" s="16" t="str">
        <f>IF(NORMALIZADO!CI80="","",NORMALIZADO!CI80)</f>
        <v/>
      </c>
      <c r="M81" s="16" t="str">
        <f>IF(NORMALIZADO!CJ80="","",NORMALIZADO!CJ80)</f>
        <v/>
      </c>
      <c r="N81" s="16" t="str">
        <f>IF(NORMALIZADO!CK80="","",NORMALIZADO!CK80)</f>
        <v/>
      </c>
      <c r="O81" s="16" t="str">
        <f>IF(NORMALIZADO!CL80="","",NORMALIZADO!CL80)</f>
        <v/>
      </c>
      <c r="P81" s="17" t="str">
        <f t="shared" ca="1" si="22"/>
        <v/>
      </c>
      <c r="Q81" s="17">
        <f t="shared" ca="1" si="23"/>
        <v>0</v>
      </c>
      <c r="R81" s="17">
        <f t="shared" ca="1" si="24"/>
        <v>0</v>
      </c>
      <c r="S81" s="17">
        <f t="shared" ca="1" si="25"/>
        <v>0</v>
      </c>
      <c r="T81" s="17">
        <f ca="1">IFERROR((K81+M81+MATRIZ_174!O80)/3,0)</f>
        <v>0</v>
      </c>
      <c r="U81" s="18">
        <f>IFERROR(MIN(100,ROUND(MATRIZ_174!M80,1)),0)</f>
        <v>0</v>
      </c>
      <c r="V81" s="18">
        <f t="shared" ca="1" si="26"/>
        <v>50</v>
      </c>
      <c r="W81" s="18">
        <f>IFERROR(IF(MATRIZ_174!R80=0,65,IF(MATRIZ_174!R80/MATRIZ_174!Q80&gt;=2,35,IF(MATRIZ_174!R80/MATRIZ_174!Q80&gt;=0.5,50,65))),65)</f>
        <v>35</v>
      </c>
      <c r="X81" s="18">
        <f>IFERROR(MIN(100,IF(MATRIZ_174!O80=0,70,30)+IF(MATRIZ_174!U80="",0,0.3*(100-MATRIZ_174!U80*100))),70)</f>
        <v>70</v>
      </c>
      <c r="Y81" s="18">
        <f>IF(OR(MATRIZ_174!P80="ASOCIACION",MATRIZ_174!P80="PENDIENTE"),65,40)</f>
        <v>65</v>
      </c>
      <c r="Z81" s="19" t="str">
        <f t="shared" ca="1" si="27"/>
        <v>—</v>
      </c>
      <c r="AA81" s="20">
        <f t="shared" ca="1" si="28"/>
        <v>44</v>
      </c>
      <c r="AB81" s="21" t="str">
        <f t="shared" ca="1" si="29"/>
        <v>—</v>
      </c>
      <c r="AC81" s="13" t="str">
        <f t="shared" ca="1" si="30"/>
        <v>⬜  Pendiente de instrumento</v>
      </c>
      <c r="AD81" s="13" t="str">
        <f>IF(MATRIZ_174!U80="","",IF(MATRIZ_174!U80=0,"🚫  Inh. vigente OSCE",""))</f>
        <v/>
      </c>
      <c r="AE81" s="22">
        <f>IFERROR(MATRIZ_174!W80,0)</f>
        <v>1</v>
      </c>
      <c r="AF81" s="22">
        <f>IFERROR(MATRIZ_174!X80,0)</f>
        <v>0</v>
      </c>
      <c r="AG81" s="22">
        <f>IFERROR(MATRIZ_174!Y80,0)</f>
        <v>0</v>
      </c>
      <c r="AH81" s="22">
        <f>IFERROR(MATRIZ_174!Z80,0)</f>
        <v>0</v>
      </c>
      <c r="AI81" s="17">
        <f ca="1">IFERROR(MATRIZ_174!AP80,"N/A")</f>
        <v>2.5000000000000001E-2</v>
      </c>
      <c r="AJ81" s="17">
        <f>IFERROR(MATRIZ_174!AO80,"N/A")</f>
        <v>0</v>
      </c>
      <c r="AK81" s="23" t="str">
        <f t="shared" ca="1" si="31"/>
        <v>N/A</v>
      </c>
      <c r="AL81" s="24" t="str">
        <f t="shared" ca="1" si="32"/>
        <v>—</v>
      </c>
    </row>
    <row r="82" spans="1:38" ht="16.05" customHeight="1" x14ac:dyDescent="0.3">
      <c r="A82" s="13" t="s">
        <v>253</v>
      </c>
      <c r="B82" s="14" t="s">
        <v>254</v>
      </c>
      <c r="C82" s="13" t="s">
        <v>80</v>
      </c>
      <c r="D82" s="15">
        <v>0</v>
      </c>
      <c r="E82" s="16" t="str">
        <f>IF(NORMALIZADO!CB81="","",NORMALIZADO!CB81)</f>
        <v/>
      </c>
      <c r="F82" s="17" t="str">
        <f ca="1">IF(NORMALIZADO!CC81="","",NORMALIZADO!CC81)</f>
        <v/>
      </c>
      <c r="G82" s="17">
        <f ca="1">IF(NORMALIZADO!CD81="",IFERROR(MATRIZ_174!U81*100,""),NORMALIZADO!CD81)</f>
        <v>100</v>
      </c>
      <c r="H82" s="16" t="str">
        <f>IF(NORMALIZADO!CE81="","",NORMALIZADO!CE81)</f>
        <v/>
      </c>
      <c r="I82" s="17" t="str">
        <f>IF(NORMALIZADO!CF81="","",NORMALIZADO!CF81)</f>
        <v/>
      </c>
      <c r="J82" s="17" t="str">
        <f ca="1">IF(NORMALIZADO!CG81="","",NORMALIZADO!CG81)</f>
        <v/>
      </c>
      <c r="K82" s="16" t="str">
        <f ca="1">IF(NORMALIZADO!CH81="","",NORMALIZADO!CH81)</f>
        <v/>
      </c>
      <c r="L82" s="16" t="str">
        <f>IF(NORMALIZADO!CI81="","",NORMALIZADO!CI81)</f>
        <v/>
      </c>
      <c r="M82" s="16" t="str">
        <f>IF(NORMALIZADO!CJ81="","",NORMALIZADO!CJ81)</f>
        <v/>
      </c>
      <c r="N82" s="16" t="str">
        <f>IF(NORMALIZADO!CK81="","",NORMALIZADO!CK81)</f>
        <v/>
      </c>
      <c r="O82" s="16" t="str">
        <f>IF(NORMALIZADO!CL81="","",NORMALIZADO!CL81)</f>
        <v/>
      </c>
      <c r="P82" s="17" t="str">
        <f t="shared" ca="1" si="22"/>
        <v/>
      </c>
      <c r="Q82" s="17">
        <f t="shared" ca="1" si="23"/>
        <v>0</v>
      </c>
      <c r="R82" s="17">
        <f t="shared" ca="1" si="24"/>
        <v>0</v>
      </c>
      <c r="S82" s="17">
        <f t="shared" ca="1" si="25"/>
        <v>0</v>
      </c>
      <c r="T82" s="17">
        <f ca="1">IFERROR((K82+M82+MATRIZ_174!O81)/3,0)</f>
        <v>0</v>
      </c>
      <c r="U82" s="18">
        <f>IFERROR(MIN(100,ROUND(MATRIZ_174!M81,1)),0)</f>
        <v>0</v>
      </c>
      <c r="V82" s="18">
        <f t="shared" ca="1" si="26"/>
        <v>50</v>
      </c>
      <c r="W82" s="18">
        <f>IFERROR(IF(MATRIZ_174!R81=0,65,IF(MATRIZ_174!R81/MATRIZ_174!Q81&gt;=2,35,IF(MATRIZ_174!R81/MATRIZ_174!Q81&gt;=0.5,50,65))),65)</f>
        <v>65</v>
      </c>
      <c r="X82" s="18">
        <f>IFERROR(MIN(100,IF(MATRIZ_174!O81=0,70,30)+IF(MATRIZ_174!U81="",0,0.3*(100-MATRIZ_174!U81*100))),70)</f>
        <v>70</v>
      </c>
      <c r="Y82" s="18">
        <f>IF(OR(MATRIZ_174!P81="ASOCIACION",MATRIZ_174!P81="PENDIENTE"),65,40)</f>
        <v>65</v>
      </c>
      <c r="Z82" s="19" t="str">
        <f t="shared" ca="1" si="27"/>
        <v>—</v>
      </c>
      <c r="AA82" s="20">
        <f t="shared" ca="1" si="28"/>
        <v>50</v>
      </c>
      <c r="AB82" s="21" t="str">
        <f t="shared" ca="1" si="29"/>
        <v>—</v>
      </c>
      <c r="AC82" s="13" t="str">
        <f t="shared" ca="1" si="30"/>
        <v>⬜  Pendiente de instrumento</v>
      </c>
      <c r="AD82" s="13" t="str">
        <f>IF(MATRIZ_174!U81="","",IF(MATRIZ_174!U81=0,"🚫  Inh. vigente OSCE",""))</f>
        <v/>
      </c>
      <c r="AE82" s="22">
        <f>IFERROR(MATRIZ_174!W81,0)</f>
        <v>0</v>
      </c>
      <c r="AF82" s="22">
        <f>IFERROR(MATRIZ_174!X81,0)</f>
        <v>0</v>
      </c>
      <c r="AG82" s="22">
        <f>IFERROR(MATRIZ_174!Y81,0)</f>
        <v>0</v>
      </c>
      <c r="AH82" s="22">
        <f>IFERROR(MATRIZ_174!Z81,0)</f>
        <v>0</v>
      </c>
      <c r="AI82" s="17">
        <f ca="1">IFERROR(MATRIZ_174!AP81,"N/A")</f>
        <v>0</v>
      </c>
      <c r="AJ82" s="17">
        <f>IFERROR(MATRIZ_174!AO81,"N/A")</f>
        <v>0</v>
      </c>
      <c r="AK82" s="23" t="str">
        <f t="shared" ca="1" si="31"/>
        <v>N/A</v>
      </c>
      <c r="AL82" s="24" t="str">
        <f t="shared" ca="1" si="32"/>
        <v>—</v>
      </c>
    </row>
    <row r="83" spans="1:38" ht="16.05" customHeight="1" x14ac:dyDescent="0.3">
      <c r="A83" s="13" t="s">
        <v>255</v>
      </c>
      <c r="B83" s="14" t="s">
        <v>256</v>
      </c>
      <c r="C83" s="13" t="s">
        <v>257</v>
      </c>
      <c r="D83" s="15">
        <v>717861.85</v>
      </c>
      <c r="E83" s="16" t="str">
        <f>IF(NORMALIZADO!CB82="","",NORMALIZADO!CB82)</f>
        <v/>
      </c>
      <c r="F83" s="17" t="str">
        <f ca="1">IF(NORMALIZADO!CC82="","",NORMALIZADO!CC82)</f>
        <v/>
      </c>
      <c r="G83" s="17">
        <f ca="1">IF(NORMALIZADO!CD82="",IFERROR(MATRIZ_174!U82*100,""),NORMALIZADO!CD82)</f>
        <v>100</v>
      </c>
      <c r="H83" s="16" t="str">
        <f>IF(NORMALIZADO!CE82="","",NORMALIZADO!CE82)</f>
        <v/>
      </c>
      <c r="I83" s="17" t="str">
        <f>IF(NORMALIZADO!CF82="","",NORMALIZADO!CF82)</f>
        <v/>
      </c>
      <c r="J83" s="17" t="str">
        <f ca="1">IF(NORMALIZADO!CG82="","",NORMALIZADO!CG82)</f>
        <v/>
      </c>
      <c r="K83" s="16" t="str">
        <f ca="1">IF(NORMALIZADO!CH82="","",NORMALIZADO!CH82)</f>
        <v/>
      </c>
      <c r="L83" s="16" t="str">
        <f>IF(NORMALIZADO!CI82="","",NORMALIZADO!CI82)</f>
        <v/>
      </c>
      <c r="M83" s="16" t="str">
        <f>IF(NORMALIZADO!CJ82="","",NORMALIZADO!CJ82)</f>
        <v/>
      </c>
      <c r="N83" s="16" t="str">
        <f>IF(NORMALIZADO!CK82="","",NORMALIZADO!CK82)</f>
        <v/>
      </c>
      <c r="O83" s="16" t="str">
        <f>IF(NORMALIZADO!CL82="","",NORMALIZADO!CL82)</f>
        <v/>
      </c>
      <c r="P83" s="17" t="str">
        <f t="shared" ca="1" si="22"/>
        <v/>
      </c>
      <c r="Q83" s="17">
        <f t="shared" ca="1" si="23"/>
        <v>0</v>
      </c>
      <c r="R83" s="17">
        <f t="shared" ca="1" si="24"/>
        <v>0</v>
      </c>
      <c r="S83" s="17">
        <f t="shared" ca="1" si="25"/>
        <v>0</v>
      </c>
      <c r="T83" s="17">
        <f ca="1">IFERROR((K83+M83+MATRIZ_174!O82)/3,0)</f>
        <v>0</v>
      </c>
      <c r="U83" s="18">
        <f>IFERROR(MIN(100,ROUND(MATRIZ_174!M82,1)),0)</f>
        <v>50</v>
      </c>
      <c r="V83" s="18">
        <f t="shared" ca="1" si="26"/>
        <v>50</v>
      </c>
      <c r="W83" s="18">
        <f>IFERROR(IF(MATRIZ_174!R82=0,65,IF(MATRIZ_174!R82/MATRIZ_174!Q82&gt;=2,35,IF(MATRIZ_174!R82/MATRIZ_174!Q82&gt;=0.5,50,65))),65)</f>
        <v>65</v>
      </c>
      <c r="X83" s="18">
        <f>IFERROR(MIN(100,IF(MATRIZ_174!O82=0,70,30)+IF(MATRIZ_174!U82="",0,0.3*(100-MATRIZ_174!U82*100))),70)</f>
        <v>70</v>
      </c>
      <c r="Y83" s="18">
        <f>IF(OR(MATRIZ_174!P82="ASOCIACION",MATRIZ_174!P82="PENDIENTE"),65,40)</f>
        <v>65</v>
      </c>
      <c r="Z83" s="19" t="str">
        <f t="shared" ca="1" si="27"/>
        <v>—</v>
      </c>
      <c r="AA83" s="20">
        <f t="shared" ca="1" si="28"/>
        <v>60</v>
      </c>
      <c r="AB83" s="21" t="str">
        <f t="shared" ca="1" si="29"/>
        <v>—</v>
      </c>
      <c r="AC83" s="13" t="str">
        <f t="shared" ca="1" si="30"/>
        <v>⬜  Pendiente de instrumento</v>
      </c>
      <c r="AD83" s="13" t="str">
        <f>IF(MATRIZ_174!U82="","",IF(MATRIZ_174!U82=0,"🚫  Inh. vigente OSCE",""))</f>
        <v/>
      </c>
      <c r="AE83" s="22">
        <f>IFERROR(MATRIZ_174!W82,0)</f>
        <v>1</v>
      </c>
      <c r="AF83" s="22">
        <f>IFERROR(MATRIZ_174!X82,0)</f>
        <v>0</v>
      </c>
      <c r="AG83" s="22">
        <f>IFERROR(MATRIZ_174!Y82,0)</f>
        <v>0</v>
      </c>
      <c r="AH83" s="22">
        <f>IFERROR(MATRIZ_174!Z82,0)</f>
        <v>0</v>
      </c>
      <c r="AI83" s="17">
        <f ca="1">IFERROR(MATRIZ_174!AP82,"N/A")</f>
        <v>0.125</v>
      </c>
      <c r="AJ83" s="17">
        <f>IFERROR(MATRIZ_174!AO82,"N/A")</f>
        <v>0</v>
      </c>
      <c r="AK83" s="23" t="str">
        <f t="shared" ca="1" si="31"/>
        <v>N/A</v>
      </c>
      <c r="AL83" s="24" t="str">
        <f t="shared" ca="1" si="32"/>
        <v>—</v>
      </c>
    </row>
    <row r="84" spans="1:38" ht="16.05" customHeight="1" x14ac:dyDescent="0.3">
      <c r="A84" s="13" t="s">
        <v>258</v>
      </c>
      <c r="B84" s="14" t="s">
        <v>259</v>
      </c>
      <c r="C84" s="13" t="s">
        <v>257</v>
      </c>
      <c r="D84" s="15">
        <v>0</v>
      </c>
      <c r="E84" s="16" t="str">
        <f>IF(NORMALIZADO!CB83="","",NORMALIZADO!CB83)</f>
        <v/>
      </c>
      <c r="F84" s="17" t="str">
        <f ca="1">IF(NORMALIZADO!CC83="","",NORMALIZADO!CC83)</f>
        <v/>
      </c>
      <c r="G84" s="17">
        <f ca="1">IF(NORMALIZADO!CD83="",IFERROR(MATRIZ_174!U83*100,""),NORMALIZADO!CD83)</f>
        <v>100</v>
      </c>
      <c r="H84" s="16" t="str">
        <f>IF(NORMALIZADO!CE83="","",NORMALIZADO!CE83)</f>
        <v/>
      </c>
      <c r="I84" s="17" t="str">
        <f>IF(NORMALIZADO!CF83="","",NORMALIZADO!CF83)</f>
        <v/>
      </c>
      <c r="J84" s="17" t="str">
        <f ca="1">IF(NORMALIZADO!CG83="","",NORMALIZADO!CG83)</f>
        <v/>
      </c>
      <c r="K84" s="16" t="str">
        <f ca="1">IF(NORMALIZADO!CH83="","",NORMALIZADO!CH83)</f>
        <v/>
      </c>
      <c r="L84" s="16" t="str">
        <f>IF(NORMALIZADO!CI83="","",NORMALIZADO!CI83)</f>
        <v/>
      </c>
      <c r="M84" s="16" t="str">
        <f>IF(NORMALIZADO!CJ83="","",NORMALIZADO!CJ83)</f>
        <v/>
      </c>
      <c r="N84" s="16" t="str">
        <f>IF(NORMALIZADO!CK83="","",NORMALIZADO!CK83)</f>
        <v/>
      </c>
      <c r="O84" s="16" t="str">
        <f>IF(NORMALIZADO!CL83="","",NORMALIZADO!CL83)</f>
        <v/>
      </c>
      <c r="P84" s="17" t="str">
        <f t="shared" ca="1" si="22"/>
        <v/>
      </c>
      <c r="Q84" s="17">
        <f t="shared" ca="1" si="23"/>
        <v>0</v>
      </c>
      <c r="R84" s="17">
        <f t="shared" ca="1" si="24"/>
        <v>0</v>
      </c>
      <c r="S84" s="17">
        <f t="shared" ca="1" si="25"/>
        <v>0</v>
      </c>
      <c r="T84" s="17">
        <f ca="1">IFERROR((K84+M84+MATRIZ_174!O83)/3,0)</f>
        <v>0</v>
      </c>
      <c r="U84" s="18">
        <f>IFERROR(MIN(100,ROUND(MATRIZ_174!M83,1)),0)</f>
        <v>0</v>
      </c>
      <c r="V84" s="18">
        <f t="shared" ca="1" si="26"/>
        <v>50</v>
      </c>
      <c r="W84" s="18">
        <f>IFERROR(IF(MATRIZ_174!R83=0,65,IF(MATRIZ_174!R83/MATRIZ_174!Q83&gt;=2,35,IF(MATRIZ_174!R83/MATRIZ_174!Q83&gt;=0.5,50,65))),65)</f>
        <v>65</v>
      </c>
      <c r="X84" s="18">
        <f>IFERROR(MIN(100,IF(MATRIZ_174!O83=0,70,30)+IF(MATRIZ_174!U83="",0,0.3*(100-MATRIZ_174!U83*100))),70)</f>
        <v>70</v>
      </c>
      <c r="Y84" s="18">
        <f>IF(OR(MATRIZ_174!P83="ASOCIACION",MATRIZ_174!P83="PENDIENTE"),65,40)</f>
        <v>65</v>
      </c>
      <c r="Z84" s="19" t="str">
        <f t="shared" ca="1" si="27"/>
        <v>—</v>
      </c>
      <c r="AA84" s="20">
        <f t="shared" ca="1" si="28"/>
        <v>50</v>
      </c>
      <c r="AB84" s="21" t="str">
        <f t="shared" ca="1" si="29"/>
        <v>—</v>
      </c>
      <c r="AC84" s="13" t="str">
        <f t="shared" ca="1" si="30"/>
        <v>⬜  Pendiente de instrumento</v>
      </c>
      <c r="AD84" s="13" t="str">
        <f>IF(MATRIZ_174!U83="","",IF(MATRIZ_174!U83=0,"🚫  Inh. vigente OSCE",""))</f>
        <v/>
      </c>
      <c r="AE84" s="22">
        <f>IFERROR(MATRIZ_174!W83,0)</f>
        <v>0</v>
      </c>
      <c r="AF84" s="22">
        <f>IFERROR(MATRIZ_174!X83,0)</f>
        <v>0</v>
      </c>
      <c r="AG84" s="22">
        <f>IFERROR(MATRIZ_174!Y83,0)</f>
        <v>0</v>
      </c>
      <c r="AH84" s="22">
        <f>IFERROR(MATRIZ_174!Z83,0)</f>
        <v>0</v>
      </c>
      <c r="AI84" s="17">
        <f ca="1">IFERROR(MATRIZ_174!AP83,"N/A")</f>
        <v>0</v>
      </c>
      <c r="AJ84" s="17">
        <f>IFERROR(MATRIZ_174!AO83,"N/A")</f>
        <v>0</v>
      </c>
      <c r="AK84" s="23" t="str">
        <f t="shared" ca="1" si="31"/>
        <v>N/A</v>
      </c>
      <c r="AL84" s="24" t="str">
        <f t="shared" ca="1" si="32"/>
        <v>—</v>
      </c>
    </row>
    <row r="85" spans="1:38" ht="16.05" customHeight="1" x14ac:dyDescent="0.3">
      <c r="A85" s="13" t="s">
        <v>260</v>
      </c>
      <c r="B85" s="14" t="s">
        <v>261</v>
      </c>
      <c r="C85" s="13" t="s">
        <v>77</v>
      </c>
      <c r="D85" s="15">
        <v>0</v>
      </c>
      <c r="E85" s="16" t="str">
        <f>IF(NORMALIZADO!CB84="","",NORMALIZADO!CB84)</f>
        <v/>
      </c>
      <c r="F85" s="17" t="str">
        <f ca="1">IF(NORMALIZADO!CC84="","",NORMALIZADO!CC84)</f>
        <v/>
      </c>
      <c r="G85" s="17">
        <f ca="1">IF(NORMALIZADO!CD84="",IFERROR(MATRIZ_174!U84*100,""),NORMALIZADO!CD84)</f>
        <v>100</v>
      </c>
      <c r="H85" s="16" t="str">
        <f>IF(NORMALIZADO!CE84="","",NORMALIZADO!CE84)</f>
        <v/>
      </c>
      <c r="I85" s="17" t="str">
        <f>IF(NORMALIZADO!CF84="","",NORMALIZADO!CF84)</f>
        <v/>
      </c>
      <c r="J85" s="17" t="str">
        <f ca="1">IF(NORMALIZADO!CG84="","",NORMALIZADO!CG84)</f>
        <v/>
      </c>
      <c r="K85" s="16" t="str">
        <f ca="1">IF(NORMALIZADO!CH84="","",NORMALIZADO!CH84)</f>
        <v/>
      </c>
      <c r="L85" s="16" t="str">
        <f>IF(NORMALIZADO!CI84="","",NORMALIZADO!CI84)</f>
        <v/>
      </c>
      <c r="M85" s="16" t="str">
        <f>IF(NORMALIZADO!CJ84="","",NORMALIZADO!CJ84)</f>
        <v/>
      </c>
      <c r="N85" s="16" t="str">
        <f>IF(NORMALIZADO!CK84="","",NORMALIZADO!CK84)</f>
        <v/>
      </c>
      <c r="O85" s="16" t="str">
        <f>IF(NORMALIZADO!CL84="","",NORMALIZADO!CL84)</f>
        <v/>
      </c>
      <c r="P85" s="17" t="str">
        <f t="shared" ca="1" si="22"/>
        <v/>
      </c>
      <c r="Q85" s="17">
        <f t="shared" ca="1" si="23"/>
        <v>0</v>
      </c>
      <c r="R85" s="17">
        <f t="shared" ca="1" si="24"/>
        <v>0</v>
      </c>
      <c r="S85" s="17">
        <f t="shared" ca="1" si="25"/>
        <v>0</v>
      </c>
      <c r="T85" s="17">
        <f ca="1">IFERROR((K85+M85+MATRIZ_174!O84)/3,0)</f>
        <v>0</v>
      </c>
      <c r="U85" s="18">
        <f>IFERROR(MIN(100,ROUND(MATRIZ_174!M84,1)),0)</f>
        <v>0</v>
      </c>
      <c r="V85" s="18">
        <f t="shared" ca="1" si="26"/>
        <v>50</v>
      </c>
      <c r="W85" s="18">
        <f>IFERROR(IF(MATRIZ_174!R84=0,65,IF(MATRIZ_174!R84/MATRIZ_174!Q84&gt;=2,35,IF(MATRIZ_174!R84/MATRIZ_174!Q84&gt;=0.5,50,65))),65)</f>
        <v>65</v>
      </c>
      <c r="X85" s="18">
        <f>IFERROR(MIN(100,IF(MATRIZ_174!O84=0,70,30)+IF(MATRIZ_174!U84="",0,0.3*(100-MATRIZ_174!U84*100))),70)</f>
        <v>70</v>
      </c>
      <c r="Y85" s="18">
        <f>IF(OR(MATRIZ_174!P84="ASOCIACION",MATRIZ_174!P84="PENDIENTE"),65,40)</f>
        <v>65</v>
      </c>
      <c r="Z85" s="19" t="str">
        <f t="shared" ca="1" si="27"/>
        <v>—</v>
      </c>
      <c r="AA85" s="20">
        <f t="shared" ca="1" si="28"/>
        <v>50</v>
      </c>
      <c r="AB85" s="21" t="str">
        <f t="shared" ca="1" si="29"/>
        <v>—</v>
      </c>
      <c r="AC85" s="13" t="str">
        <f t="shared" ca="1" si="30"/>
        <v>⬜  Pendiente de instrumento</v>
      </c>
      <c r="AD85" s="13" t="str">
        <f>IF(MATRIZ_174!U84="","",IF(MATRIZ_174!U84=0,"🚫  Inh. vigente OSCE",""))</f>
        <v/>
      </c>
      <c r="AE85" s="22">
        <f>IFERROR(MATRIZ_174!W84,0)</f>
        <v>0</v>
      </c>
      <c r="AF85" s="22">
        <f>IFERROR(MATRIZ_174!X84,0)</f>
        <v>0</v>
      </c>
      <c r="AG85" s="22">
        <f>IFERROR(MATRIZ_174!Y84,0)</f>
        <v>0</v>
      </c>
      <c r="AH85" s="22">
        <f>IFERROR(MATRIZ_174!Z84,0)</f>
        <v>0</v>
      </c>
      <c r="AI85" s="17">
        <f ca="1">IFERROR(MATRIZ_174!AP84,"N/A")</f>
        <v>0</v>
      </c>
      <c r="AJ85" s="17">
        <f>IFERROR(MATRIZ_174!AO84,"N/A")</f>
        <v>0</v>
      </c>
      <c r="AK85" s="23" t="str">
        <f t="shared" ca="1" si="31"/>
        <v>N/A</v>
      </c>
      <c r="AL85" s="24" t="str">
        <f t="shared" ca="1" si="32"/>
        <v>—</v>
      </c>
    </row>
    <row r="86" spans="1:38" ht="16.05" customHeight="1" x14ac:dyDescent="0.3">
      <c r="A86" s="13" t="s">
        <v>262</v>
      </c>
      <c r="B86" s="14" t="s">
        <v>263</v>
      </c>
      <c r="C86" s="13" t="s">
        <v>77</v>
      </c>
      <c r="D86" s="15">
        <v>2677512.61</v>
      </c>
      <c r="E86" s="16" t="str">
        <f>IF(NORMALIZADO!CB85="","",NORMALIZADO!CB85)</f>
        <v/>
      </c>
      <c r="F86" s="17" t="str">
        <f ca="1">IF(NORMALIZADO!CC85="","",NORMALIZADO!CC85)</f>
        <v/>
      </c>
      <c r="G86" s="17">
        <f ca="1">IF(NORMALIZADO!CD85="",IFERROR(MATRIZ_174!U85*100,""),NORMALIZADO!CD85)</f>
        <v>100</v>
      </c>
      <c r="H86" s="16" t="str">
        <f>IF(NORMALIZADO!CE85="","",NORMALIZADO!CE85)</f>
        <v/>
      </c>
      <c r="I86" s="17" t="str">
        <f>IF(NORMALIZADO!CF85="","",NORMALIZADO!CF85)</f>
        <v/>
      </c>
      <c r="J86" s="17" t="str">
        <f ca="1">IF(NORMALIZADO!CG85="","",NORMALIZADO!CG85)</f>
        <v/>
      </c>
      <c r="K86" s="16" t="str">
        <f ca="1">IF(NORMALIZADO!CH85="","",NORMALIZADO!CH85)</f>
        <v/>
      </c>
      <c r="L86" s="16" t="str">
        <f>IF(NORMALIZADO!CI85="","",NORMALIZADO!CI85)</f>
        <v/>
      </c>
      <c r="M86" s="16" t="str">
        <f>IF(NORMALIZADO!CJ85="","",NORMALIZADO!CJ85)</f>
        <v/>
      </c>
      <c r="N86" s="16" t="str">
        <f>IF(NORMALIZADO!CK85="","",NORMALIZADO!CK85)</f>
        <v/>
      </c>
      <c r="O86" s="16" t="str">
        <f>IF(NORMALIZADO!CL85="","",NORMALIZADO!CL85)</f>
        <v/>
      </c>
      <c r="P86" s="17" t="str">
        <f t="shared" ca="1" si="22"/>
        <v/>
      </c>
      <c r="Q86" s="17">
        <f t="shared" ca="1" si="23"/>
        <v>0</v>
      </c>
      <c r="R86" s="17">
        <f t="shared" ca="1" si="24"/>
        <v>0</v>
      </c>
      <c r="S86" s="17">
        <f t="shared" ca="1" si="25"/>
        <v>0</v>
      </c>
      <c r="T86" s="17">
        <f ca="1">IFERROR((K86+M86+MATRIZ_174!O85)/3,0)</f>
        <v>0</v>
      </c>
      <c r="U86" s="18">
        <f>IFERROR(MIN(100,ROUND(MATRIZ_174!M85,1)),0)</f>
        <v>50</v>
      </c>
      <c r="V86" s="18">
        <f t="shared" ca="1" si="26"/>
        <v>50</v>
      </c>
      <c r="W86" s="18">
        <f>IFERROR(IF(MATRIZ_174!R85=0,65,IF(MATRIZ_174!R85/MATRIZ_174!Q85&gt;=2,35,IF(MATRIZ_174!R85/MATRIZ_174!Q85&gt;=0.5,50,65))),65)</f>
        <v>65</v>
      </c>
      <c r="X86" s="18">
        <f>IFERROR(MIN(100,IF(MATRIZ_174!O85=0,70,30)+IF(MATRIZ_174!U85="",0,0.3*(100-MATRIZ_174!U85*100))),70)</f>
        <v>70</v>
      </c>
      <c r="Y86" s="18">
        <f>IF(OR(MATRIZ_174!P85="ASOCIACION",MATRIZ_174!P85="PENDIENTE"),65,40)</f>
        <v>65</v>
      </c>
      <c r="Z86" s="19" t="str">
        <f t="shared" ca="1" si="27"/>
        <v>—</v>
      </c>
      <c r="AA86" s="20">
        <f t="shared" ca="1" si="28"/>
        <v>60</v>
      </c>
      <c r="AB86" s="21" t="str">
        <f t="shared" ca="1" si="29"/>
        <v>—</v>
      </c>
      <c r="AC86" s="13" t="str">
        <f t="shared" ca="1" si="30"/>
        <v>⬜  Pendiente de instrumento</v>
      </c>
      <c r="AD86" s="13" t="str">
        <f>IF(MATRIZ_174!U85="","",IF(MATRIZ_174!U85=0,"🚫  Inh. vigente OSCE",""))</f>
        <v/>
      </c>
      <c r="AE86" s="22">
        <f>IFERROR(MATRIZ_174!W85,0)</f>
        <v>1</v>
      </c>
      <c r="AF86" s="22">
        <f>IFERROR(MATRIZ_174!X85,0)</f>
        <v>0</v>
      </c>
      <c r="AG86" s="22">
        <f>IFERROR(MATRIZ_174!Y85,0)</f>
        <v>0</v>
      </c>
      <c r="AH86" s="22">
        <f>IFERROR(MATRIZ_174!Z85,0)</f>
        <v>0</v>
      </c>
      <c r="AI86" s="17">
        <f ca="1">IFERROR(MATRIZ_174!AP85,"N/A")</f>
        <v>0.125</v>
      </c>
      <c r="AJ86" s="17">
        <f>IFERROR(MATRIZ_174!AO85,"N/A")</f>
        <v>0</v>
      </c>
      <c r="AK86" s="23" t="str">
        <f t="shared" ca="1" si="31"/>
        <v>N/A</v>
      </c>
      <c r="AL86" s="24" t="str">
        <f t="shared" ca="1" si="32"/>
        <v>—</v>
      </c>
    </row>
    <row r="87" spans="1:38" ht="16.05" customHeight="1" x14ac:dyDescent="0.3">
      <c r="A87" s="13" t="s">
        <v>264</v>
      </c>
      <c r="B87" s="14" t="s">
        <v>265</v>
      </c>
      <c r="C87" s="13" t="s">
        <v>257</v>
      </c>
      <c r="D87" s="15">
        <v>0</v>
      </c>
      <c r="E87" s="16" t="str">
        <f>IF(NORMALIZADO!CB86="","",NORMALIZADO!CB86)</f>
        <v/>
      </c>
      <c r="F87" s="17" t="str">
        <f ca="1">IF(NORMALIZADO!CC86="","",NORMALIZADO!CC86)</f>
        <v/>
      </c>
      <c r="G87" s="17">
        <f ca="1">IF(NORMALIZADO!CD86="",IFERROR(MATRIZ_174!U86*100,""),NORMALIZADO!CD86)</f>
        <v>100</v>
      </c>
      <c r="H87" s="16" t="str">
        <f>IF(NORMALIZADO!CE86="","",NORMALIZADO!CE86)</f>
        <v/>
      </c>
      <c r="I87" s="17" t="str">
        <f>IF(NORMALIZADO!CF86="","",NORMALIZADO!CF86)</f>
        <v/>
      </c>
      <c r="J87" s="17" t="str">
        <f ca="1">IF(NORMALIZADO!CG86="","",NORMALIZADO!CG86)</f>
        <v/>
      </c>
      <c r="K87" s="16" t="str">
        <f ca="1">IF(NORMALIZADO!CH86="","",NORMALIZADO!CH86)</f>
        <v/>
      </c>
      <c r="L87" s="16" t="str">
        <f>IF(NORMALIZADO!CI86="","",NORMALIZADO!CI86)</f>
        <v/>
      </c>
      <c r="M87" s="16" t="str">
        <f>IF(NORMALIZADO!CJ86="","",NORMALIZADO!CJ86)</f>
        <v/>
      </c>
      <c r="N87" s="16" t="str">
        <f>IF(NORMALIZADO!CK86="","",NORMALIZADO!CK86)</f>
        <v/>
      </c>
      <c r="O87" s="16" t="str">
        <f>IF(NORMALIZADO!CL86="","",NORMALIZADO!CL86)</f>
        <v/>
      </c>
      <c r="P87" s="17" t="str">
        <f t="shared" ca="1" si="22"/>
        <v/>
      </c>
      <c r="Q87" s="17">
        <f t="shared" ca="1" si="23"/>
        <v>0</v>
      </c>
      <c r="R87" s="17">
        <f t="shared" ca="1" si="24"/>
        <v>0</v>
      </c>
      <c r="S87" s="17">
        <f t="shared" ca="1" si="25"/>
        <v>0</v>
      </c>
      <c r="T87" s="17">
        <f ca="1">IFERROR((K87+M87+MATRIZ_174!O86)/3,0)</f>
        <v>0</v>
      </c>
      <c r="U87" s="18">
        <f>IFERROR(MIN(100,ROUND(MATRIZ_174!M86,1)),0)</f>
        <v>0</v>
      </c>
      <c r="V87" s="18">
        <f t="shared" ca="1" si="26"/>
        <v>50</v>
      </c>
      <c r="W87" s="18">
        <f>IFERROR(IF(MATRIZ_174!R86=0,65,IF(MATRIZ_174!R86/MATRIZ_174!Q86&gt;=2,35,IF(MATRIZ_174!R86/MATRIZ_174!Q86&gt;=0.5,50,65))),65)</f>
        <v>65</v>
      </c>
      <c r="X87" s="18">
        <f>IFERROR(MIN(100,IF(MATRIZ_174!O86=0,70,30)+IF(MATRIZ_174!U86="",0,0.3*(100-MATRIZ_174!U86*100))),70)</f>
        <v>70</v>
      </c>
      <c r="Y87" s="18">
        <f>IF(OR(MATRIZ_174!P86="ASOCIACION",MATRIZ_174!P86="PENDIENTE"),65,40)</f>
        <v>65</v>
      </c>
      <c r="Z87" s="19" t="str">
        <f t="shared" ca="1" si="27"/>
        <v>—</v>
      </c>
      <c r="AA87" s="20">
        <f t="shared" ca="1" si="28"/>
        <v>50</v>
      </c>
      <c r="AB87" s="21" t="str">
        <f t="shared" ca="1" si="29"/>
        <v>—</v>
      </c>
      <c r="AC87" s="13" t="str">
        <f t="shared" ca="1" si="30"/>
        <v>⬜  Pendiente de instrumento</v>
      </c>
      <c r="AD87" s="13" t="str">
        <f>IF(MATRIZ_174!U86="","",IF(MATRIZ_174!U86=0,"🚫  Inh. vigente OSCE",""))</f>
        <v/>
      </c>
      <c r="AE87" s="22">
        <f>IFERROR(MATRIZ_174!W86,0)</f>
        <v>0</v>
      </c>
      <c r="AF87" s="22">
        <f>IFERROR(MATRIZ_174!X86,0)</f>
        <v>0</v>
      </c>
      <c r="AG87" s="22">
        <f>IFERROR(MATRIZ_174!Y86,0)</f>
        <v>0</v>
      </c>
      <c r="AH87" s="22">
        <f>IFERROR(MATRIZ_174!Z86,0)</f>
        <v>0</v>
      </c>
      <c r="AI87" s="17">
        <f ca="1">IFERROR(MATRIZ_174!AP86,"N/A")</f>
        <v>0</v>
      </c>
      <c r="AJ87" s="17">
        <f>IFERROR(MATRIZ_174!AO86,"N/A")</f>
        <v>0</v>
      </c>
      <c r="AK87" s="23" t="str">
        <f t="shared" ca="1" si="31"/>
        <v>N/A</v>
      </c>
      <c r="AL87" s="24" t="str">
        <f t="shared" ca="1" si="32"/>
        <v>—</v>
      </c>
    </row>
    <row r="88" spans="1:38" ht="16.05" customHeight="1" x14ac:dyDescent="0.3">
      <c r="A88" s="13" t="s">
        <v>266</v>
      </c>
      <c r="B88" s="14" t="s">
        <v>267</v>
      </c>
      <c r="C88" s="13" t="s">
        <v>257</v>
      </c>
      <c r="D88" s="15">
        <v>0</v>
      </c>
      <c r="E88" s="16" t="str">
        <f>IF(NORMALIZADO!CB87="","",NORMALIZADO!CB87)</f>
        <v/>
      </c>
      <c r="F88" s="17" t="str">
        <f ca="1">IF(NORMALIZADO!CC87="","",NORMALIZADO!CC87)</f>
        <v/>
      </c>
      <c r="G88" s="17">
        <f ca="1">IF(NORMALIZADO!CD87="",IFERROR(MATRIZ_174!U87*100,""),NORMALIZADO!CD87)</f>
        <v>100</v>
      </c>
      <c r="H88" s="16" t="str">
        <f>IF(NORMALIZADO!CE87="","",NORMALIZADO!CE87)</f>
        <v/>
      </c>
      <c r="I88" s="17" t="str">
        <f>IF(NORMALIZADO!CF87="","",NORMALIZADO!CF87)</f>
        <v/>
      </c>
      <c r="J88" s="17" t="str">
        <f ca="1">IF(NORMALIZADO!CG87="","",NORMALIZADO!CG87)</f>
        <v/>
      </c>
      <c r="K88" s="16" t="str">
        <f ca="1">IF(NORMALIZADO!CH87="","",NORMALIZADO!CH87)</f>
        <v/>
      </c>
      <c r="L88" s="16" t="str">
        <f>IF(NORMALIZADO!CI87="","",NORMALIZADO!CI87)</f>
        <v/>
      </c>
      <c r="M88" s="16" t="str">
        <f>IF(NORMALIZADO!CJ87="","",NORMALIZADO!CJ87)</f>
        <v/>
      </c>
      <c r="N88" s="16" t="str">
        <f>IF(NORMALIZADO!CK87="","",NORMALIZADO!CK87)</f>
        <v/>
      </c>
      <c r="O88" s="16" t="str">
        <f>IF(NORMALIZADO!CL87="","",NORMALIZADO!CL87)</f>
        <v/>
      </c>
      <c r="P88" s="17" t="str">
        <f t="shared" ca="1" si="22"/>
        <v/>
      </c>
      <c r="Q88" s="17">
        <f t="shared" ca="1" si="23"/>
        <v>0</v>
      </c>
      <c r="R88" s="17">
        <f t="shared" ca="1" si="24"/>
        <v>0</v>
      </c>
      <c r="S88" s="17">
        <f t="shared" ca="1" si="25"/>
        <v>0</v>
      </c>
      <c r="T88" s="17">
        <f ca="1">IFERROR((K88+M88+MATRIZ_174!O87)/3,0)</f>
        <v>0</v>
      </c>
      <c r="U88" s="18">
        <f>IFERROR(MIN(100,ROUND(MATRIZ_174!M87,1)),0)</f>
        <v>0</v>
      </c>
      <c r="V88" s="18">
        <f t="shared" ca="1" si="26"/>
        <v>50</v>
      </c>
      <c r="W88" s="18">
        <f>IFERROR(IF(MATRIZ_174!R87=0,65,IF(MATRIZ_174!R87/MATRIZ_174!Q87&gt;=2,35,IF(MATRIZ_174!R87/MATRIZ_174!Q87&gt;=0.5,50,65))),65)</f>
        <v>65</v>
      </c>
      <c r="X88" s="18">
        <f>IFERROR(MIN(100,IF(MATRIZ_174!O87=0,70,30)+IF(MATRIZ_174!U87="",0,0.3*(100-MATRIZ_174!U87*100))),70)</f>
        <v>70</v>
      </c>
      <c r="Y88" s="18">
        <f>IF(OR(MATRIZ_174!P87="ASOCIACION",MATRIZ_174!P87="PENDIENTE"),65,40)</f>
        <v>65</v>
      </c>
      <c r="Z88" s="19" t="str">
        <f t="shared" ca="1" si="27"/>
        <v>—</v>
      </c>
      <c r="AA88" s="20">
        <f t="shared" ca="1" si="28"/>
        <v>50</v>
      </c>
      <c r="AB88" s="21" t="str">
        <f t="shared" ca="1" si="29"/>
        <v>—</v>
      </c>
      <c r="AC88" s="13" t="str">
        <f t="shared" ca="1" si="30"/>
        <v>⬜  Pendiente de instrumento</v>
      </c>
      <c r="AD88" s="13" t="str">
        <f>IF(MATRIZ_174!U87="","",IF(MATRIZ_174!U87=0,"🚫  Inh. vigente OSCE",""))</f>
        <v/>
      </c>
      <c r="AE88" s="22">
        <f>IFERROR(MATRIZ_174!W87,0)</f>
        <v>0</v>
      </c>
      <c r="AF88" s="22">
        <f>IFERROR(MATRIZ_174!X87,0)</f>
        <v>0</v>
      </c>
      <c r="AG88" s="22">
        <f>IFERROR(MATRIZ_174!Y87,0)</f>
        <v>0</v>
      </c>
      <c r="AH88" s="22">
        <f>IFERROR(MATRIZ_174!Z87,0)</f>
        <v>0</v>
      </c>
      <c r="AI88" s="17">
        <f ca="1">IFERROR(MATRIZ_174!AP87,"N/A")</f>
        <v>0</v>
      </c>
      <c r="AJ88" s="17">
        <f>IFERROR(MATRIZ_174!AO87,"N/A")</f>
        <v>0</v>
      </c>
      <c r="AK88" s="23" t="str">
        <f t="shared" ca="1" si="31"/>
        <v>N/A</v>
      </c>
      <c r="AL88" s="24" t="str">
        <f t="shared" ca="1" si="32"/>
        <v>—</v>
      </c>
    </row>
    <row r="89" spans="1:38" ht="16.05" customHeight="1" x14ac:dyDescent="0.3">
      <c r="A89" s="13" t="s">
        <v>268</v>
      </c>
      <c r="B89" s="14" t="s">
        <v>269</v>
      </c>
      <c r="C89" s="13" t="s">
        <v>257</v>
      </c>
      <c r="D89" s="15">
        <v>0</v>
      </c>
      <c r="E89" s="16" t="str">
        <f>IF(NORMALIZADO!CB88="","",NORMALIZADO!CB88)</f>
        <v/>
      </c>
      <c r="F89" s="17" t="str">
        <f ca="1">IF(NORMALIZADO!CC88="","",NORMALIZADO!CC88)</f>
        <v/>
      </c>
      <c r="G89" s="17">
        <f ca="1">IF(NORMALIZADO!CD88="",IFERROR(MATRIZ_174!U88*100,""),NORMALIZADO!CD88)</f>
        <v>100</v>
      </c>
      <c r="H89" s="16" t="str">
        <f>IF(NORMALIZADO!CE88="","",NORMALIZADO!CE88)</f>
        <v/>
      </c>
      <c r="I89" s="17" t="str">
        <f>IF(NORMALIZADO!CF88="","",NORMALIZADO!CF88)</f>
        <v/>
      </c>
      <c r="J89" s="17" t="str">
        <f ca="1">IF(NORMALIZADO!CG88="","",NORMALIZADO!CG88)</f>
        <v/>
      </c>
      <c r="K89" s="16" t="str">
        <f ca="1">IF(NORMALIZADO!CH88="","",NORMALIZADO!CH88)</f>
        <v/>
      </c>
      <c r="L89" s="16" t="str">
        <f>IF(NORMALIZADO!CI88="","",NORMALIZADO!CI88)</f>
        <v/>
      </c>
      <c r="M89" s="16" t="str">
        <f>IF(NORMALIZADO!CJ88="","",NORMALIZADO!CJ88)</f>
        <v/>
      </c>
      <c r="N89" s="16" t="str">
        <f>IF(NORMALIZADO!CK88="","",NORMALIZADO!CK88)</f>
        <v/>
      </c>
      <c r="O89" s="16" t="str">
        <f>IF(NORMALIZADO!CL88="","",NORMALIZADO!CL88)</f>
        <v/>
      </c>
      <c r="P89" s="17" t="str">
        <f t="shared" ca="1" si="22"/>
        <v/>
      </c>
      <c r="Q89" s="17">
        <f t="shared" ca="1" si="23"/>
        <v>0</v>
      </c>
      <c r="R89" s="17">
        <f t="shared" ca="1" si="24"/>
        <v>0</v>
      </c>
      <c r="S89" s="17">
        <f t="shared" ca="1" si="25"/>
        <v>0</v>
      </c>
      <c r="T89" s="17">
        <f ca="1">IFERROR((K89+M89+MATRIZ_174!O88)/3,0)</f>
        <v>0</v>
      </c>
      <c r="U89" s="18">
        <f>IFERROR(MIN(100,ROUND(MATRIZ_174!M88,1)),0)</f>
        <v>0</v>
      </c>
      <c r="V89" s="18">
        <f t="shared" ca="1" si="26"/>
        <v>50</v>
      </c>
      <c r="W89" s="18">
        <f>IFERROR(IF(MATRIZ_174!R88=0,65,IF(MATRIZ_174!R88/MATRIZ_174!Q88&gt;=2,35,IF(MATRIZ_174!R88/MATRIZ_174!Q88&gt;=0.5,50,65))),65)</f>
        <v>65</v>
      </c>
      <c r="X89" s="18">
        <f>IFERROR(MIN(100,IF(MATRIZ_174!O88=0,70,30)+IF(MATRIZ_174!U88="",0,0.3*(100-MATRIZ_174!U88*100))),70)</f>
        <v>70</v>
      </c>
      <c r="Y89" s="18">
        <f>IF(OR(MATRIZ_174!P88="ASOCIACION",MATRIZ_174!P88="PENDIENTE"),65,40)</f>
        <v>65</v>
      </c>
      <c r="Z89" s="19" t="str">
        <f t="shared" ca="1" si="27"/>
        <v>—</v>
      </c>
      <c r="AA89" s="20">
        <f t="shared" ca="1" si="28"/>
        <v>50</v>
      </c>
      <c r="AB89" s="21" t="str">
        <f t="shared" ca="1" si="29"/>
        <v>—</v>
      </c>
      <c r="AC89" s="13" t="str">
        <f t="shared" ca="1" si="30"/>
        <v>⬜  Pendiente de instrumento</v>
      </c>
      <c r="AD89" s="13" t="str">
        <f>IF(MATRIZ_174!U88="","",IF(MATRIZ_174!U88=0,"🚫  Inh. vigente OSCE",""))</f>
        <v/>
      </c>
      <c r="AE89" s="22">
        <f>IFERROR(MATRIZ_174!W88,0)</f>
        <v>0</v>
      </c>
      <c r="AF89" s="22">
        <f>IFERROR(MATRIZ_174!X88,0)</f>
        <v>0</v>
      </c>
      <c r="AG89" s="22">
        <f>IFERROR(MATRIZ_174!Y88,0)</f>
        <v>0</v>
      </c>
      <c r="AH89" s="22">
        <f>IFERROR(MATRIZ_174!Z88,0)</f>
        <v>0</v>
      </c>
      <c r="AI89" s="17">
        <f ca="1">IFERROR(MATRIZ_174!AP88,"N/A")</f>
        <v>0</v>
      </c>
      <c r="AJ89" s="17">
        <f>IFERROR(MATRIZ_174!AO88,"N/A")</f>
        <v>0</v>
      </c>
      <c r="AK89" s="23" t="str">
        <f t="shared" ca="1" si="31"/>
        <v>N/A</v>
      </c>
      <c r="AL89" s="24" t="str">
        <f t="shared" ca="1" si="32"/>
        <v>—</v>
      </c>
    </row>
    <row r="90" spans="1:38" ht="16.05" customHeight="1" x14ac:dyDescent="0.3">
      <c r="A90" s="13" t="s">
        <v>270</v>
      </c>
      <c r="B90" s="14" t="s">
        <v>271</v>
      </c>
      <c r="C90" s="13" t="s">
        <v>257</v>
      </c>
      <c r="D90" s="15">
        <v>0</v>
      </c>
      <c r="E90" s="16" t="str">
        <f>IF(NORMALIZADO!CB89="","",NORMALIZADO!CB89)</f>
        <v/>
      </c>
      <c r="F90" s="17" t="str">
        <f ca="1">IF(NORMALIZADO!CC89="","",NORMALIZADO!CC89)</f>
        <v/>
      </c>
      <c r="G90" s="17">
        <f ca="1">IF(NORMALIZADO!CD89="",IFERROR(MATRIZ_174!U89*100,""),NORMALIZADO!CD89)</f>
        <v>100</v>
      </c>
      <c r="H90" s="16" t="str">
        <f>IF(NORMALIZADO!CE89="","",NORMALIZADO!CE89)</f>
        <v/>
      </c>
      <c r="I90" s="17" t="str">
        <f>IF(NORMALIZADO!CF89="","",NORMALIZADO!CF89)</f>
        <v/>
      </c>
      <c r="J90" s="17" t="str">
        <f ca="1">IF(NORMALIZADO!CG89="","",NORMALIZADO!CG89)</f>
        <v/>
      </c>
      <c r="K90" s="16" t="str">
        <f ca="1">IF(NORMALIZADO!CH89="","",NORMALIZADO!CH89)</f>
        <v/>
      </c>
      <c r="L90" s="16" t="str">
        <f>IF(NORMALIZADO!CI89="","",NORMALIZADO!CI89)</f>
        <v/>
      </c>
      <c r="M90" s="16" t="str">
        <f>IF(NORMALIZADO!CJ89="","",NORMALIZADO!CJ89)</f>
        <v/>
      </c>
      <c r="N90" s="16" t="str">
        <f>IF(NORMALIZADO!CK89="","",NORMALIZADO!CK89)</f>
        <v/>
      </c>
      <c r="O90" s="16" t="str">
        <f>IF(NORMALIZADO!CL89="","",NORMALIZADO!CL89)</f>
        <v/>
      </c>
      <c r="P90" s="17" t="str">
        <f t="shared" ca="1" si="22"/>
        <v/>
      </c>
      <c r="Q90" s="17">
        <f t="shared" ca="1" si="23"/>
        <v>0</v>
      </c>
      <c r="R90" s="17">
        <f t="shared" ca="1" si="24"/>
        <v>0</v>
      </c>
      <c r="S90" s="17">
        <f t="shared" ca="1" si="25"/>
        <v>0</v>
      </c>
      <c r="T90" s="17">
        <f ca="1">IFERROR((K90+M90+MATRIZ_174!O89)/3,0)</f>
        <v>0</v>
      </c>
      <c r="U90" s="18">
        <f>IFERROR(MIN(100,ROUND(MATRIZ_174!M89,1)),0)</f>
        <v>0</v>
      </c>
      <c r="V90" s="18">
        <f t="shared" ca="1" si="26"/>
        <v>50</v>
      </c>
      <c r="W90" s="18">
        <f>IFERROR(IF(MATRIZ_174!R89=0,65,IF(MATRIZ_174!R89/MATRIZ_174!Q89&gt;=2,35,IF(MATRIZ_174!R89/MATRIZ_174!Q89&gt;=0.5,50,65))),65)</f>
        <v>65</v>
      </c>
      <c r="X90" s="18">
        <f>IFERROR(MIN(100,IF(MATRIZ_174!O89=0,70,30)+IF(MATRIZ_174!U89="",0,0.3*(100-MATRIZ_174!U89*100))),70)</f>
        <v>70</v>
      </c>
      <c r="Y90" s="18">
        <f>IF(OR(MATRIZ_174!P89="ASOCIACION",MATRIZ_174!P89="PENDIENTE"),65,40)</f>
        <v>65</v>
      </c>
      <c r="Z90" s="19" t="str">
        <f t="shared" ca="1" si="27"/>
        <v>—</v>
      </c>
      <c r="AA90" s="20">
        <f t="shared" ca="1" si="28"/>
        <v>50</v>
      </c>
      <c r="AB90" s="21" t="str">
        <f t="shared" ca="1" si="29"/>
        <v>—</v>
      </c>
      <c r="AC90" s="13" t="str">
        <f t="shared" ca="1" si="30"/>
        <v>⬜  Pendiente de instrumento</v>
      </c>
      <c r="AD90" s="13" t="str">
        <f>IF(MATRIZ_174!U89="","",IF(MATRIZ_174!U89=0,"🚫  Inh. vigente OSCE",""))</f>
        <v/>
      </c>
      <c r="AE90" s="22">
        <f>IFERROR(MATRIZ_174!W89,0)</f>
        <v>0</v>
      </c>
      <c r="AF90" s="22">
        <f>IFERROR(MATRIZ_174!X89,0)</f>
        <v>0</v>
      </c>
      <c r="AG90" s="22">
        <f>IFERROR(MATRIZ_174!Y89,0)</f>
        <v>0</v>
      </c>
      <c r="AH90" s="22">
        <f>IFERROR(MATRIZ_174!Z89,0)</f>
        <v>0</v>
      </c>
      <c r="AI90" s="17">
        <f ca="1">IFERROR(MATRIZ_174!AP89,"N/A")</f>
        <v>0</v>
      </c>
      <c r="AJ90" s="17">
        <f>IFERROR(MATRIZ_174!AO89,"N/A")</f>
        <v>0</v>
      </c>
      <c r="AK90" s="23" t="str">
        <f t="shared" ca="1" si="31"/>
        <v>N/A</v>
      </c>
      <c r="AL90" s="24" t="str">
        <f t="shared" ca="1" si="32"/>
        <v>—</v>
      </c>
    </row>
    <row r="91" spans="1:38" ht="16.05" customHeight="1" x14ac:dyDescent="0.3">
      <c r="A91" s="13" t="s">
        <v>272</v>
      </c>
      <c r="B91" s="14" t="s">
        <v>273</v>
      </c>
      <c r="C91" s="13" t="s">
        <v>77</v>
      </c>
      <c r="D91" s="15">
        <v>0</v>
      </c>
      <c r="E91" s="16" t="str">
        <f>IF(NORMALIZADO!CB90="","",NORMALIZADO!CB90)</f>
        <v/>
      </c>
      <c r="F91" s="17" t="str">
        <f ca="1">IF(NORMALIZADO!CC90="","",NORMALIZADO!CC90)</f>
        <v/>
      </c>
      <c r="G91" s="17">
        <f ca="1">IF(NORMALIZADO!CD90="",IFERROR(MATRIZ_174!U90*100,""),NORMALIZADO!CD90)</f>
        <v>100</v>
      </c>
      <c r="H91" s="16" t="str">
        <f>IF(NORMALIZADO!CE90="","",NORMALIZADO!CE90)</f>
        <v/>
      </c>
      <c r="I91" s="17" t="str">
        <f>IF(NORMALIZADO!CF90="","",NORMALIZADO!CF90)</f>
        <v/>
      </c>
      <c r="J91" s="17" t="str">
        <f ca="1">IF(NORMALIZADO!CG90="","",NORMALIZADO!CG90)</f>
        <v/>
      </c>
      <c r="K91" s="16" t="str">
        <f ca="1">IF(NORMALIZADO!CH90="","",NORMALIZADO!CH90)</f>
        <v/>
      </c>
      <c r="L91" s="16" t="str">
        <f>IF(NORMALIZADO!CI90="","",NORMALIZADO!CI90)</f>
        <v/>
      </c>
      <c r="M91" s="16" t="str">
        <f>IF(NORMALIZADO!CJ90="","",NORMALIZADO!CJ90)</f>
        <v/>
      </c>
      <c r="N91" s="16" t="str">
        <f>IF(NORMALIZADO!CK90="","",NORMALIZADO!CK90)</f>
        <v/>
      </c>
      <c r="O91" s="16" t="str">
        <f>IF(NORMALIZADO!CL90="","",NORMALIZADO!CL90)</f>
        <v/>
      </c>
      <c r="P91" s="17" t="str">
        <f t="shared" ca="1" si="22"/>
        <v/>
      </c>
      <c r="Q91" s="17">
        <f t="shared" ca="1" si="23"/>
        <v>0</v>
      </c>
      <c r="R91" s="17">
        <f t="shared" ca="1" si="24"/>
        <v>0</v>
      </c>
      <c r="S91" s="17">
        <f t="shared" ca="1" si="25"/>
        <v>0</v>
      </c>
      <c r="T91" s="17">
        <f ca="1">IFERROR((K91+M91+MATRIZ_174!O90)/3,0)</f>
        <v>0</v>
      </c>
      <c r="U91" s="18">
        <f>IFERROR(MIN(100,ROUND(MATRIZ_174!M90,1)),0)</f>
        <v>0</v>
      </c>
      <c r="V91" s="18">
        <f t="shared" ca="1" si="26"/>
        <v>50</v>
      </c>
      <c r="W91" s="18">
        <f>IFERROR(IF(MATRIZ_174!R90=0,65,IF(MATRIZ_174!R90/MATRIZ_174!Q90&gt;=2,35,IF(MATRIZ_174!R90/MATRIZ_174!Q90&gt;=0.5,50,65))),65)</f>
        <v>65</v>
      </c>
      <c r="X91" s="18">
        <f>IFERROR(MIN(100,IF(MATRIZ_174!O90=0,70,30)+IF(MATRIZ_174!U90="",0,0.3*(100-MATRIZ_174!U90*100))),70)</f>
        <v>70</v>
      </c>
      <c r="Y91" s="18">
        <f>IF(OR(MATRIZ_174!P90="ASOCIACION",MATRIZ_174!P90="PENDIENTE"),65,40)</f>
        <v>65</v>
      </c>
      <c r="Z91" s="19" t="str">
        <f t="shared" ca="1" si="27"/>
        <v>—</v>
      </c>
      <c r="AA91" s="20">
        <f t="shared" ca="1" si="28"/>
        <v>50</v>
      </c>
      <c r="AB91" s="21" t="str">
        <f t="shared" ca="1" si="29"/>
        <v>—</v>
      </c>
      <c r="AC91" s="13" t="str">
        <f t="shared" ca="1" si="30"/>
        <v>⬜  Pendiente de instrumento</v>
      </c>
      <c r="AD91" s="13" t="str">
        <f>IF(MATRIZ_174!U90="","",IF(MATRIZ_174!U90=0,"🚫  Inh. vigente OSCE",""))</f>
        <v/>
      </c>
      <c r="AE91" s="22">
        <f>IFERROR(MATRIZ_174!W90,0)</f>
        <v>0</v>
      </c>
      <c r="AF91" s="22">
        <f>IFERROR(MATRIZ_174!X90,0)</f>
        <v>0</v>
      </c>
      <c r="AG91" s="22">
        <f>IFERROR(MATRIZ_174!Y90,0)</f>
        <v>0</v>
      </c>
      <c r="AH91" s="22">
        <f>IFERROR(MATRIZ_174!Z90,0)</f>
        <v>0</v>
      </c>
      <c r="AI91" s="17">
        <f ca="1">IFERROR(MATRIZ_174!AP90,"N/A")</f>
        <v>0</v>
      </c>
      <c r="AJ91" s="17">
        <f>IFERROR(MATRIZ_174!AO90,"N/A")</f>
        <v>0</v>
      </c>
      <c r="AK91" s="23" t="str">
        <f t="shared" ca="1" si="31"/>
        <v>N/A</v>
      </c>
      <c r="AL91" s="24" t="str">
        <f t="shared" ca="1" si="32"/>
        <v>—</v>
      </c>
    </row>
    <row r="92" spans="1:38" ht="16.05" customHeight="1" x14ac:dyDescent="0.3">
      <c r="A92" s="13" t="s">
        <v>274</v>
      </c>
      <c r="B92" s="14" t="s">
        <v>275</v>
      </c>
      <c r="C92" s="13" t="s">
        <v>77</v>
      </c>
      <c r="D92" s="15">
        <v>0</v>
      </c>
      <c r="E92" s="16" t="str">
        <f>IF(NORMALIZADO!CB91="","",NORMALIZADO!CB91)</f>
        <v/>
      </c>
      <c r="F92" s="17" t="str">
        <f ca="1">IF(NORMALIZADO!CC91="","",NORMALIZADO!CC91)</f>
        <v/>
      </c>
      <c r="G92" s="17">
        <f ca="1">IF(NORMALIZADO!CD91="",IFERROR(MATRIZ_174!U91*100,""),NORMALIZADO!CD91)</f>
        <v>100</v>
      </c>
      <c r="H92" s="16" t="str">
        <f>IF(NORMALIZADO!CE91="","",NORMALIZADO!CE91)</f>
        <v/>
      </c>
      <c r="I92" s="17" t="str">
        <f>IF(NORMALIZADO!CF91="","",NORMALIZADO!CF91)</f>
        <v/>
      </c>
      <c r="J92" s="17" t="str">
        <f ca="1">IF(NORMALIZADO!CG91="","",NORMALIZADO!CG91)</f>
        <v/>
      </c>
      <c r="K92" s="16" t="str">
        <f ca="1">IF(NORMALIZADO!CH91="","",NORMALIZADO!CH91)</f>
        <v/>
      </c>
      <c r="L92" s="16" t="str">
        <f>IF(NORMALIZADO!CI91="","",NORMALIZADO!CI91)</f>
        <v/>
      </c>
      <c r="M92" s="16" t="str">
        <f>IF(NORMALIZADO!CJ91="","",NORMALIZADO!CJ91)</f>
        <v/>
      </c>
      <c r="N92" s="16" t="str">
        <f>IF(NORMALIZADO!CK91="","",NORMALIZADO!CK91)</f>
        <v/>
      </c>
      <c r="O92" s="16" t="str">
        <f>IF(NORMALIZADO!CL91="","",NORMALIZADO!CL91)</f>
        <v/>
      </c>
      <c r="P92" s="17" t="str">
        <f t="shared" ca="1" si="22"/>
        <v/>
      </c>
      <c r="Q92" s="17">
        <f t="shared" ca="1" si="23"/>
        <v>0</v>
      </c>
      <c r="R92" s="17">
        <f t="shared" ca="1" si="24"/>
        <v>0</v>
      </c>
      <c r="S92" s="17">
        <f t="shared" ca="1" si="25"/>
        <v>0</v>
      </c>
      <c r="T92" s="17">
        <f ca="1">IFERROR((K92+M92+MATRIZ_174!O91)/3,0)</f>
        <v>0</v>
      </c>
      <c r="U92" s="18">
        <f>IFERROR(MIN(100,ROUND(MATRIZ_174!M91,1)),0)</f>
        <v>0</v>
      </c>
      <c r="V92" s="18">
        <f t="shared" ca="1" si="26"/>
        <v>50</v>
      </c>
      <c r="W92" s="18">
        <f>IFERROR(IF(MATRIZ_174!R91=0,65,IF(MATRIZ_174!R91/MATRIZ_174!Q91&gt;=2,35,IF(MATRIZ_174!R91/MATRIZ_174!Q91&gt;=0.5,50,65))),65)</f>
        <v>65</v>
      </c>
      <c r="X92" s="18">
        <f>IFERROR(MIN(100,IF(MATRIZ_174!O91=0,70,30)+IF(MATRIZ_174!U91="",0,0.3*(100-MATRIZ_174!U91*100))),70)</f>
        <v>70</v>
      </c>
      <c r="Y92" s="18">
        <f>IF(OR(MATRIZ_174!P91="ASOCIACION",MATRIZ_174!P91="PENDIENTE"),65,40)</f>
        <v>65</v>
      </c>
      <c r="Z92" s="19" t="str">
        <f t="shared" ca="1" si="27"/>
        <v>—</v>
      </c>
      <c r="AA92" s="20">
        <f t="shared" ca="1" si="28"/>
        <v>50</v>
      </c>
      <c r="AB92" s="21" t="str">
        <f t="shared" ca="1" si="29"/>
        <v>—</v>
      </c>
      <c r="AC92" s="13" t="str">
        <f t="shared" ca="1" si="30"/>
        <v>⬜  Pendiente de instrumento</v>
      </c>
      <c r="AD92" s="13" t="str">
        <f>IF(MATRIZ_174!U91="","",IF(MATRIZ_174!U91=0,"🚫  Inh. vigente OSCE",""))</f>
        <v/>
      </c>
      <c r="AE92" s="22">
        <f>IFERROR(MATRIZ_174!W91,0)</f>
        <v>0</v>
      </c>
      <c r="AF92" s="22">
        <f>IFERROR(MATRIZ_174!X91,0)</f>
        <v>0</v>
      </c>
      <c r="AG92" s="22">
        <f>IFERROR(MATRIZ_174!Y91,0)</f>
        <v>0</v>
      </c>
      <c r="AH92" s="22">
        <f>IFERROR(MATRIZ_174!Z91,0)</f>
        <v>0</v>
      </c>
      <c r="AI92" s="17">
        <f ca="1">IFERROR(MATRIZ_174!AP91,"N/A")</f>
        <v>0</v>
      </c>
      <c r="AJ92" s="17">
        <f>IFERROR(MATRIZ_174!AO91,"N/A")</f>
        <v>0</v>
      </c>
      <c r="AK92" s="23" t="str">
        <f t="shared" ca="1" si="31"/>
        <v>N/A</v>
      </c>
      <c r="AL92" s="24" t="str">
        <f t="shared" ca="1" si="32"/>
        <v>—</v>
      </c>
    </row>
    <row r="93" spans="1:38" ht="16.05" customHeight="1" x14ac:dyDescent="0.3">
      <c r="A93" s="13" t="s">
        <v>276</v>
      </c>
      <c r="B93" s="14" t="s">
        <v>277</v>
      </c>
      <c r="C93" s="13" t="s">
        <v>154</v>
      </c>
      <c r="D93" s="15">
        <v>4792670.9000000004</v>
      </c>
      <c r="E93" s="16" t="str">
        <f>IF(NORMALIZADO!CB92="","",NORMALIZADO!CB92)</f>
        <v/>
      </c>
      <c r="F93" s="17" t="str">
        <f ca="1">IF(NORMALIZADO!CC92="","",NORMALIZADO!CC92)</f>
        <v/>
      </c>
      <c r="G93" s="17">
        <f ca="1">IF(NORMALIZADO!CD92="",IFERROR(MATRIZ_174!U92*100,""),NORMALIZADO!CD92)</f>
        <v>100</v>
      </c>
      <c r="H93" s="16" t="str">
        <f>IF(NORMALIZADO!CE92="","",NORMALIZADO!CE92)</f>
        <v/>
      </c>
      <c r="I93" s="17" t="str">
        <f>IF(NORMALIZADO!CF92="","",NORMALIZADO!CF92)</f>
        <v/>
      </c>
      <c r="J93" s="17" t="str">
        <f ca="1">IF(NORMALIZADO!CG92="","",NORMALIZADO!CG92)</f>
        <v/>
      </c>
      <c r="K93" s="16" t="str">
        <f ca="1">IF(NORMALIZADO!CH92="","",NORMALIZADO!CH92)</f>
        <v/>
      </c>
      <c r="L93" s="16" t="str">
        <f>IF(NORMALIZADO!CI92="","",NORMALIZADO!CI92)</f>
        <v/>
      </c>
      <c r="M93" s="16" t="str">
        <f>IF(NORMALIZADO!CJ92="","",NORMALIZADO!CJ92)</f>
        <v/>
      </c>
      <c r="N93" s="16" t="str">
        <f>IF(NORMALIZADO!CK92="","",NORMALIZADO!CK92)</f>
        <v/>
      </c>
      <c r="O93" s="16" t="str">
        <f>IF(NORMALIZADO!CL92="","",NORMALIZADO!CL92)</f>
        <v/>
      </c>
      <c r="P93" s="17" t="str">
        <f t="shared" ca="1" si="22"/>
        <v/>
      </c>
      <c r="Q93" s="17">
        <f t="shared" ca="1" si="23"/>
        <v>0</v>
      </c>
      <c r="R93" s="17">
        <f t="shared" ca="1" si="24"/>
        <v>0</v>
      </c>
      <c r="S93" s="17">
        <f t="shared" ca="1" si="25"/>
        <v>0</v>
      </c>
      <c r="T93" s="17">
        <f ca="1">IFERROR((K93+M93+MATRIZ_174!O92)/3,0)</f>
        <v>0</v>
      </c>
      <c r="U93" s="18">
        <f>IFERROR(MIN(100,ROUND(MATRIZ_174!M92,1)),0)</f>
        <v>50</v>
      </c>
      <c r="V93" s="18">
        <f t="shared" ca="1" si="26"/>
        <v>50</v>
      </c>
      <c r="W93" s="18">
        <f>IFERROR(IF(MATRIZ_174!R92=0,65,IF(MATRIZ_174!R92/MATRIZ_174!Q92&gt;=2,35,IF(MATRIZ_174!R92/MATRIZ_174!Q92&gt;=0.5,50,65))),65)</f>
        <v>65</v>
      </c>
      <c r="X93" s="18">
        <f>IFERROR(MIN(100,IF(MATRIZ_174!O92=0,70,30)+IF(MATRIZ_174!U92="",0,0.3*(100-MATRIZ_174!U92*100))),70)</f>
        <v>70</v>
      </c>
      <c r="Y93" s="18">
        <f>IF(OR(MATRIZ_174!P92="ASOCIACION",MATRIZ_174!P92="PENDIENTE"),65,40)</f>
        <v>65</v>
      </c>
      <c r="Z93" s="19" t="str">
        <f t="shared" ca="1" si="27"/>
        <v>—</v>
      </c>
      <c r="AA93" s="20">
        <f t="shared" ca="1" si="28"/>
        <v>60</v>
      </c>
      <c r="AB93" s="21" t="str">
        <f t="shared" ca="1" si="29"/>
        <v>—</v>
      </c>
      <c r="AC93" s="13" t="str">
        <f t="shared" ca="1" si="30"/>
        <v>⬜  Pendiente de instrumento</v>
      </c>
      <c r="AD93" s="13" t="str">
        <f>IF(MATRIZ_174!U92="","",IF(MATRIZ_174!U92=0,"🚫  Inh. vigente OSCE",""))</f>
        <v/>
      </c>
      <c r="AE93" s="22">
        <f>IFERROR(MATRIZ_174!W92,0)</f>
        <v>1</v>
      </c>
      <c r="AF93" s="22">
        <f>IFERROR(MATRIZ_174!X92,0)</f>
        <v>0</v>
      </c>
      <c r="AG93" s="22">
        <f>IFERROR(MATRIZ_174!Y92,0)</f>
        <v>0</v>
      </c>
      <c r="AH93" s="22">
        <f>IFERROR(MATRIZ_174!Z92,0)</f>
        <v>0</v>
      </c>
      <c r="AI93" s="17">
        <f ca="1">IFERROR(MATRIZ_174!AP92,"N/A")</f>
        <v>0.125</v>
      </c>
      <c r="AJ93" s="17">
        <f>IFERROR(MATRIZ_174!AO92,"N/A")</f>
        <v>0</v>
      </c>
      <c r="AK93" s="23" t="str">
        <f t="shared" ca="1" si="31"/>
        <v>N/A</v>
      </c>
      <c r="AL93" s="24" t="str">
        <f t="shared" ca="1" si="32"/>
        <v>—</v>
      </c>
    </row>
    <row r="94" spans="1:38" ht="16.05" customHeight="1" x14ac:dyDescent="0.3">
      <c r="A94" s="13" t="s">
        <v>278</v>
      </c>
      <c r="B94" s="14" t="s">
        <v>279</v>
      </c>
      <c r="C94" s="13" t="s">
        <v>143</v>
      </c>
      <c r="D94" s="15">
        <v>0</v>
      </c>
      <c r="E94" s="16" t="str">
        <f>IF(NORMALIZADO!CB93="","",NORMALIZADO!CB93)</f>
        <v/>
      </c>
      <c r="F94" s="17" t="str">
        <f ca="1">IF(NORMALIZADO!CC93="","",NORMALIZADO!CC93)</f>
        <v/>
      </c>
      <c r="G94" s="17">
        <f ca="1">IF(NORMALIZADO!CD93="",IFERROR(MATRIZ_174!U93*100,""),NORMALIZADO!CD93)</f>
        <v>100</v>
      </c>
      <c r="H94" s="16" t="str">
        <f>IF(NORMALIZADO!CE93="","",NORMALIZADO!CE93)</f>
        <v/>
      </c>
      <c r="I94" s="17" t="str">
        <f>IF(NORMALIZADO!CF93="","",NORMALIZADO!CF93)</f>
        <v/>
      </c>
      <c r="J94" s="17" t="str">
        <f ca="1">IF(NORMALIZADO!CG93="","",NORMALIZADO!CG93)</f>
        <v/>
      </c>
      <c r="K94" s="16" t="str">
        <f ca="1">IF(NORMALIZADO!CH93="","",NORMALIZADO!CH93)</f>
        <v/>
      </c>
      <c r="L94" s="16" t="str">
        <f>IF(NORMALIZADO!CI93="","",NORMALIZADO!CI93)</f>
        <v/>
      </c>
      <c r="M94" s="16" t="str">
        <f>IF(NORMALIZADO!CJ93="","",NORMALIZADO!CJ93)</f>
        <v/>
      </c>
      <c r="N94" s="16" t="str">
        <f>IF(NORMALIZADO!CK93="","",NORMALIZADO!CK93)</f>
        <v/>
      </c>
      <c r="O94" s="16" t="str">
        <f>IF(NORMALIZADO!CL93="","",NORMALIZADO!CL93)</f>
        <v/>
      </c>
      <c r="P94" s="17" t="str">
        <f t="shared" ca="1" si="22"/>
        <v/>
      </c>
      <c r="Q94" s="17">
        <f t="shared" ca="1" si="23"/>
        <v>0</v>
      </c>
      <c r="R94" s="17">
        <f t="shared" ca="1" si="24"/>
        <v>0</v>
      </c>
      <c r="S94" s="17">
        <f t="shared" ca="1" si="25"/>
        <v>0</v>
      </c>
      <c r="T94" s="17">
        <f ca="1">IFERROR((K94+M94+MATRIZ_174!O93)/3,0)</f>
        <v>0</v>
      </c>
      <c r="U94" s="18">
        <f>IFERROR(MIN(100,ROUND(MATRIZ_174!M93,1)),0)</f>
        <v>0</v>
      </c>
      <c r="V94" s="18">
        <f t="shared" ca="1" si="26"/>
        <v>50</v>
      </c>
      <c r="W94" s="18">
        <f>IFERROR(IF(MATRIZ_174!R93=0,65,IF(MATRIZ_174!R93/MATRIZ_174!Q93&gt;=2,35,IF(MATRIZ_174!R93/MATRIZ_174!Q93&gt;=0.5,50,65))),65)</f>
        <v>65</v>
      </c>
      <c r="X94" s="18">
        <f>IFERROR(MIN(100,IF(MATRIZ_174!O93=0,70,30)+IF(MATRIZ_174!U93="",0,0.3*(100-MATRIZ_174!U93*100))),70)</f>
        <v>70</v>
      </c>
      <c r="Y94" s="18">
        <f>IF(OR(MATRIZ_174!P93="ASOCIACION",MATRIZ_174!P93="PENDIENTE"),65,40)</f>
        <v>65</v>
      </c>
      <c r="Z94" s="19" t="str">
        <f t="shared" ca="1" si="27"/>
        <v>—</v>
      </c>
      <c r="AA94" s="20">
        <f t="shared" ca="1" si="28"/>
        <v>50</v>
      </c>
      <c r="AB94" s="21" t="str">
        <f t="shared" ca="1" si="29"/>
        <v>—</v>
      </c>
      <c r="AC94" s="13" t="str">
        <f t="shared" ca="1" si="30"/>
        <v>⬜  Pendiente de instrumento</v>
      </c>
      <c r="AD94" s="13" t="str">
        <f>IF(MATRIZ_174!U93="","",IF(MATRIZ_174!U93=0,"🚫  Inh. vigente OSCE",""))</f>
        <v/>
      </c>
      <c r="AE94" s="22">
        <f>IFERROR(MATRIZ_174!W93,0)</f>
        <v>0</v>
      </c>
      <c r="AF94" s="22">
        <f>IFERROR(MATRIZ_174!X93,0)</f>
        <v>0</v>
      </c>
      <c r="AG94" s="22">
        <f>IFERROR(MATRIZ_174!Y93,0)</f>
        <v>0</v>
      </c>
      <c r="AH94" s="22">
        <f>IFERROR(MATRIZ_174!Z93,0)</f>
        <v>0</v>
      </c>
      <c r="AI94" s="17">
        <f ca="1">IFERROR(MATRIZ_174!AP93,"N/A")</f>
        <v>0</v>
      </c>
      <c r="AJ94" s="17">
        <f>IFERROR(MATRIZ_174!AO93,"N/A")</f>
        <v>0</v>
      </c>
      <c r="AK94" s="23" t="str">
        <f t="shared" ca="1" si="31"/>
        <v>N/A</v>
      </c>
      <c r="AL94" s="24" t="str">
        <f t="shared" ca="1" si="32"/>
        <v>—</v>
      </c>
    </row>
    <row r="95" spans="1:38" ht="16.05" customHeight="1" x14ac:dyDescent="0.3">
      <c r="A95" s="13" t="s">
        <v>280</v>
      </c>
      <c r="B95" s="14" t="s">
        <v>281</v>
      </c>
      <c r="C95" s="13" t="s">
        <v>143</v>
      </c>
      <c r="D95" s="15">
        <v>1888972.42</v>
      </c>
      <c r="E95" s="16" t="str">
        <f>IF(NORMALIZADO!CB94="","",NORMALIZADO!CB94)</f>
        <v/>
      </c>
      <c r="F95" s="17" t="str">
        <f ca="1">IF(NORMALIZADO!CC94="","",NORMALIZADO!CC94)</f>
        <v/>
      </c>
      <c r="G95" s="17">
        <f ca="1">IF(NORMALIZADO!CD94="",IFERROR(MATRIZ_174!U94*100,""),NORMALIZADO!CD94)</f>
        <v>100</v>
      </c>
      <c r="H95" s="16" t="str">
        <f>IF(NORMALIZADO!CE94="","",NORMALIZADO!CE94)</f>
        <v/>
      </c>
      <c r="I95" s="17" t="str">
        <f>IF(NORMALIZADO!CF94="","",NORMALIZADO!CF94)</f>
        <v/>
      </c>
      <c r="J95" s="17" t="str">
        <f ca="1">IF(NORMALIZADO!CG94="","",NORMALIZADO!CG94)</f>
        <v/>
      </c>
      <c r="K95" s="16" t="str">
        <f ca="1">IF(NORMALIZADO!CH94="","",NORMALIZADO!CH94)</f>
        <v/>
      </c>
      <c r="L95" s="16" t="str">
        <f>IF(NORMALIZADO!CI94="","",NORMALIZADO!CI94)</f>
        <v/>
      </c>
      <c r="M95" s="16" t="str">
        <f>IF(NORMALIZADO!CJ94="","",NORMALIZADO!CJ94)</f>
        <v/>
      </c>
      <c r="N95" s="16" t="str">
        <f>IF(NORMALIZADO!CK94="","",NORMALIZADO!CK94)</f>
        <v/>
      </c>
      <c r="O95" s="16" t="str">
        <f>IF(NORMALIZADO!CL94="","",NORMALIZADO!CL94)</f>
        <v/>
      </c>
      <c r="P95" s="17" t="str">
        <f t="shared" ca="1" si="22"/>
        <v/>
      </c>
      <c r="Q95" s="17">
        <f t="shared" ca="1" si="23"/>
        <v>0</v>
      </c>
      <c r="R95" s="17">
        <f t="shared" ca="1" si="24"/>
        <v>0</v>
      </c>
      <c r="S95" s="17">
        <f t="shared" ca="1" si="25"/>
        <v>0</v>
      </c>
      <c r="T95" s="17">
        <f ca="1">IFERROR((K95+M95+MATRIZ_174!O94)/3,0)</f>
        <v>0</v>
      </c>
      <c r="U95" s="18">
        <f>IFERROR(MIN(100,ROUND(MATRIZ_174!M94,1)),0)</f>
        <v>50</v>
      </c>
      <c r="V95" s="18">
        <f t="shared" ca="1" si="26"/>
        <v>50</v>
      </c>
      <c r="W95" s="18">
        <f>IFERROR(IF(MATRIZ_174!R94=0,65,IF(MATRIZ_174!R94/MATRIZ_174!Q94&gt;=2,35,IF(MATRIZ_174!R94/MATRIZ_174!Q94&gt;=0.5,50,65))),65)</f>
        <v>65</v>
      </c>
      <c r="X95" s="18">
        <f>IFERROR(MIN(100,IF(MATRIZ_174!O94=0,70,30)+IF(MATRIZ_174!U94="",0,0.3*(100-MATRIZ_174!U94*100))),70)</f>
        <v>70</v>
      </c>
      <c r="Y95" s="18">
        <f>IF(OR(MATRIZ_174!P94="ASOCIACION",MATRIZ_174!P94="PENDIENTE"),65,40)</f>
        <v>65</v>
      </c>
      <c r="Z95" s="19" t="str">
        <f t="shared" ca="1" si="27"/>
        <v>—</v>
      </c>
      <c r="AA95" s="20">
        <f t="shared" ca="1" si="28"/>
        <v>60</v>
      </c>
      <c r="AB95" s="21" t="str">
        <f t="shared" ca="1" si="29"/>
        <v>—</v>
      </c>
      <c r="AC95" s="13" t="str">
        <f t="shared" ca="1" si="30"/>
        <v>⬜  Pendiente de instrumento</v>
      </c>
      <c r="AD95" s="13" t="str">
        <f>IF(MATRIZ_174!U94="","",IF(MATRIZ_174!U94=0,"🚫  Inh. vigente OSCE",""))</f>
        <v/>
      </c>
      <c r="AE95" s="22">
        <f>IFERROR(MATRIZ_174!W94,0)</f>
        <v>1</v>
      </c>
      <c r="AF95" s="22">
        <f>IFERROR(MATRIZ_174!X94,0)</f>
        <v>0</v>
      </c>
      <c r="AG95" s="22">
        <f>IFERROR(MATRIZ_174!Y94,0)</f>
        <v>0</v>
      </c>
      <c r="AH95" s="22">
        <f>IFERROR(MATRIZ_174!Z94,0)</f>
        <v>0</v>
      </c>
      <c r="AI95" s="17">
        <f ca="1">IFERROR(MATRIZ_174!AP94,"N/A")</f>
        <v>0.125</v>
      </c>
      <c r="AJ95" s="17">
        <f>IFERROR(MATRIZ_174!AO94,"N/A")</f>
        <v>0</v>
      </c>
      <c r="AK95" s="23" t="str">
        <f t="shared" ca="1" si="31"/>
        <v>N/A</v>
      </c>
      <c r="AL95" s="24" t="str">
        <f t="shared" ca="1" si="32"/>
        <v>—</v>
      </c>
    </row>
    <row r="96" spans="1:38" ht="16.05" customHeight="1" x14ac:dyDescent="0.3">
      <c r="A96" s="13" t="s">
        <v>282</v>
      </c>
      <c r="B96" s="14" t="s">
        <v>283</v>
      </c>
      <c r="C96" s="13" t="s">
        <v>123</v>
      </c>
      <c r="D96" s="15">
        <v>0</v>
      </c>
      <c r="E96" s="16" t="str">
        <f>IF(NORMALIZADO!CB95="","",NORMALIZADO!CB95)</f>
        <v/>
      </c>
      <c r="F96" s="17" t="str">
        <f ca="1">IF(NORMALIZADO!CC95="","",NORMALIZADO!CC95)</f>
        <v/>
      </c>
      <c r="G96" s="17">
        <f ca="1">IF(NORMALIZADO!CD95="",IFERROR(MATRIZ_174!U95*100,""),NORMALIZADO!CD95)</f>
        <v>100</v>
      </c>
      <c r="H96" s="16" t="str">
        <f>IF(NORMALIZADO!CE95="","",NORMALIZADO!CE95)</f>
        <v/>
      </c>
      <c r="I96" s="17" t="str">
        <f>IF(NORMALIZADO!CF95="","",NORMALIZADO!CF95)</f>
        <v/>
      </c>
      <c r="J96" s="17" t="str">
        <f ca="1">IF(NORMALIZADO!CG95="","",NORMALIZADO!CG95)</f>
        <v/>
      </c>
      <c r="K96" s="16" t="str">
        <f ca="1">IF(NORMALIZADO!CH95="","",NORMALIZADO!CH95)</f>
        <v/>
      </c>
      <c r="L96" s="16" t="str">
        <f>IF(NORMALIZADO!CI95="","",NORMALIZADO!CI95)</f>
        <v/>
      </c>
      <c r="M96" s="16" t="str">
        <f>IF(NORMALIZADO!CJ95="","",NORMALIZADO!CJ95)</f>
        <v/>
      </c>
      <c r="N96" s="16" t="str">
        <f>IF(NORMALIZADO!CK95="","",NORMALIZADO!CK95)</f>
        <v/>
      </c>
      <c r="O96" s="16" t="str">
        <f>IF(NORMALIZADO!CL95="","",NORMALIZADO!CL95)</f>
        <v/>
      </c>
      <c r="P96" s="17" t="str">
        <f t="shared" ca="1" si="22"/>
        <v/>
      </c>
      <c r="Q96" s="17">
        <f t="shared" ca="1" si="23"/>
        <v>0</v>
      </c>
      <c r="R96" s="17">
        <f t="shared" ca="1" si="24"/>
        <v>0</v>
      </c>
      <c r="S96" s="17">
        <f t="shared" ca="1" si="25"/>
        <v>0</v>
      </c>
      <c r="T96" s="17">
        <f ca="1">IFERROR((K96+M96+MATRIZ_174!O95)/3,0)</f>
        <v>0</v>
      </c>
      <c r="U96" s="18">
        <f>IFERROR(MIN(100,ROUND(MATRIZ_174!M95,1)),0)</f>
        <v>0</v>
      </c>
      <c r="V96" s="18">
        <f t="shared" ca="1" si="26"/>
        <v>50</v>
      </c>
      <c r="W96" s="18">
        <f>IFERROR(IF(MATRIZ_174!R95=0,65,IF(MATRIZ_174!R95/MATRIZ_174!Q95&gt;=2,35,IF(MATRIZ_174!R95/MATRIZ_174!Q95&gt;=0.5,50,65))),65)</f>
        <v>65</v>
      </c>
      <c r="X96" s="18">
        <f>IFERROR(MIN(100,IF(MATRIZ_174!O95=0,70,30)+IF(MATRIZ_174!U95="",0,0.3*(100-MATRIZ_174!U95*100))),70)</f>
        <v>70</v>
      </c>
      <c r="Y96" s="18">
        <f>IF(OR(MATRIZ_174!P95="ASOCIACION",MATRIZ_174!P95="PENDIENTE"),65,40)</f>
        <v>65</v>
      </c>
      <c r="Z96" s="19" t="str">
        <f t="shared" ca="1" si="27"/>
        <v>—</v>
      </c>
      <c r="AA96" s="20">
        <f t="shared" ca="1" si="28"/>
        <v>50</v>
      </c>
      <c r="AB96" s="21" t="str">
        <f t="shared" ca="1" si="29"/>
        <v>—</v>
      </c>
      <c r="AC96" s="13" t="str">
        <f t="shared" ca="1" si="30"/>
        <v>⬜  Pendiente de instrumento</v>
      </c>
      <c r="AD96" s="13" t="str">
        <f>IF(MATRIZ_174!U95="","",IF(MATRIZ_174!U95=0,"🚫  Inh. vigente OSCE",""))</f>
        <v/>
      </c>
      <c r="AE96" s="22">
        <f>IFERROR(MATRIZ_174!W95,0)</f>
        <v>0</v>
      </c>
      <c r="AF96" s="22">
        <f>IFERROR(MATRIZ_174!X95,0)</f>
        <v>0</v>
      </c>
      <c r="AG96" s="22">
        <f>IFERROR(MATRIZ_174!Y95,0)</f>
        <v>0</v>
      </c>
      <c r="AH96" s="22">
        <f>IFERROR(MATRIZ_174!Z95,0)</f>
        <v>0</v>
      </c>
      <c r="AI96" s="17">
        <f ca="1">IFERROR(MATRIZ_174!AP95,"N/A")</f>
        <v>0</v>
      </c>
      <c r="AJ96" s="17">
        <f>IFERROR(MATRIZ_174!AO95,"N/A")</f>
        <v>0</v>
      </c>
      <c r="AK96" s="23" t="str">
        <f t="shared" ca="1" si="31"/>
        <v>N/A</v>
      </c>
      <c r="AL96" s="24" t="str">
        <f t="shared" ca="1" si="32"/>
        <v>—</v>
      </c>
    </row>
    <row r="97" spans="1:38" ht="16.05" customHeight="1" x14ac:dyDescent="0.3">
      <c r="A97" s="13" t="s">
        <v>284</v>
      </c>
      <c r="B97" s="14" t="s">
        <v>285</v>
      </c>
      <c r="C97" s="13" t="s">
        <v>123</v>
      </c>
      <c r="D97" s="15">
        <v>0</v>
      </c>
      <c r="E97" s="16" t="str">
        <f>IF(NORMALIZADO!CB96="","",NORMALIZADO!CB96)</f>
        <v/>
      </c>
      <c r="F97" s="17" t="str">
        <f ca="1">IF(NORMALIZADO!CC96="","",NORMALIZADO!CC96)</f>
        <v/>
      </c>
      <c r="G97" s="17">
        <f ca="1">IF(NORMALIZADO!CD96="",IFERROR(MATRIZ_174!U96*100,""),NORMALIZADO!CD96)</f>
        <v>100</v>
      </c>
      <c r="H97" s="16" t="str">
        <f>IF(NORMALIZADO!CE96="","",NORMALIZADO!CE96)</f>
        <v/>
      </c>
      <c r="I97" s="17" t="str">
        <f>IF(NORMALIZADO!CF96="","",NORMALIZADO!CF96)</f>
        <v/>
      </c>
      <c r="J97" s="17" t="str">
        <f ca="1">IF(NORMALIZADO!CG96="","",NORMALIZADO!CG96)</f>
        <v/>
      </c>
      <c r="K97" s="16" t="str">
        <f ca="1">IF(NORMALIZADO!CH96="","",NORMALIZADO!CH96)</f>
        <v/>
      </c>
      <c r="L97" s="16" t="str">
        <f>IF(NORMALIZADO!CI96="","",NORMALIZADO!CI96)</f>
        <v/>
      </c>
      <c r="M97" s="16" t="str">
        <f>IF(NORMALIZADO!CJ96="","",NORMALIZADO!CJ96)</f>
        <v/>
      </c>
      <c r="N97" s="16" t="str">
        <f>IF(NORMALIZADO!CK96="","",NORMALIZADO!CK96)</f>
        <v/>
      </c>
      <c r="O97" s="16" t="str">
        <f>IF(NORMALIZADO!CL96="","",NORMALIZADO!CL96)</f>
        <v/>
      </c>
      <c r="P97" s="17" t="str">
        <f t="shared" ca="1" si="22"/>
        <v/>
      </c>
      <c r="Q97" s="17">
        <f t="shared" ca="1" si="23"/>
        <v>0</v>
      </c>
      <c r="R97" s="17">
        <f t="shared" ca="1" si="24"/>
        <v>0</v>
      </c>
      <c r="S97" s="17">
        <f t="shared" ca="1" si="25"/>
        <v>0</v>
      </c>
      <c r="T97" s="17">
        <f ca="1">IFERROR((K97+M97+MATRIZ_174!O96)/3,0)</f>
        <v>0</v>
      </c>
      <c r="U97" s="18">
        <f>IFERROR(MIN(100,ROUND(MATRIZ_174!M96,1)),0)</f>
        <v>0</v>
      </c>
      <c r="V97" s="18">
        <f t="shared" ca="1" si="26"/>
        <v>50</v>
      </c>
      <c r="W97" s="18">
        <f>IFERROR(IF(MATRIZ_174!R96=0,65,IF(MATRIZ_174!R96/MATRIZ_174!Q96&gt;=2,35,IF(MATRIZ_174!R96/MATRIZ_174!Q96&gt;=0.5,50,65))),65)</f>
        <v>65</v>
      </c>
      <c r="X97" s="18">
        <f>IFERROR(MIN(100,IF(MATRIZ_174!O96=0,70,30)+IF(MATRIZ_174!U96="",0,0.3*(100-MATRIZ_174!U96*100))),70)</f>
        <v>70</v>
      </c>
      <c r="Y97" s="18">
        <f>IF(OR(MATRIZ_174!P96="ASOCIACION",MATRIZ_174!P96="PENDIENTE"),65,40)</f>
        <v>65</v>
      </c>
      <c r="Z97" s="19" t="str">
        <f t="shared" ca="1" si="27"/>
        <v>—</v>
      </c>
      <c r="AA97" s="20">
        <f t="shared" ca="1" si="28"/>
        <v>50</v>
      </c>
      <c r="AB97" s="21" t="str">
        <f t="shared" ca="1" si="29"/>
        <v>—</v>
      </c>
      <c r="AC97" s="13" t="str">
        <f t="shared" ca="1" si="30"/>
        <v>⬜  Pendiente de instrumento</v>
      </c>
      <c r="AD97" s="13" t="str">
        <f>IF(MATRIZ_174!U96="","",IF(MATRIZ_174!U96=0,"🚫  Inh. vigente OSCE",""))</f>
        <v/>
      </c>
      <c r="AE97" s="22">
        <f>IFERROR(MATRIZ_174!W96,0)</f>
        <v>0</v>
      </c>
      <c r="AF97" s="22">
        <f>IFERROR(MATRIZ_174!X96,0)</f>
        <v>0</v>
      </c>
      <c r="AG97" s="22">
        <f>IFERROR(MATRIZ_174!Y96,0)</f>
        <v>0</v>
      </c>
      <c r="AH97" s="22">
        <f>IFERROR(MATRIZ_174!Z96,0)</f>
        <v>0</v>
      </c>
      <c r="AI97" s="17">
        <f ca="1">IFERROR(MATRIZ_174!AP96,"N/A")</f>
        <v>0</v>
      </c>
      <c r="AJ97" s="17">
        <f>IFERROR(MATRIZ_174!AO96,"N/A")</f>
        <v>0</v>
      </c>
      <c r="AK97" s="23" t="str">
        <f t="shared" ca="1" si="31"/>
        <v>N/A</v>
      </c>
      <c r="AL97" s="24" t="str">
        <f t="shared" ca="1" si="32"/>
        <v>—</v>
      </c>
    </row>
    <row r="98" spans="1:38" ht="16.05" customHeight="1" x14ac:dyDescent="0.3">
      <c r="A98" s="13" t="s">
        <v>286</v>
      </c>
      <c r="B98" s="14" t="s">
        <v>287</v>
      </c>
      <c r="C98" s="13" t="s">
        <v>123</v>
      </c>
      <c r="D98" s="15">
        <v>0</v>
      </c>
      <c r="E98" s="16" t="str">
        <f>IF(NORMALIZADO!CB97="","",NORMALIZADO!CB97)</f>
        <v/>
      </c>
      <c r="F98" s="17" t="str">
        <f ca="1">IF(NORMALIZADO!CC97="","",NORMALIZADO!CC97)</f>
        <v/>
      </c>
      <c r="G98" s="17">
        <f ca="1">IF(NORMALIZADO!CD97="",IFERROR(MATRIZ_174!U97*100,""),NORMALIZADO!CD97)</f>
        <v>100</v>
      </c>
      <c r="H98" s="16" t="str">
        <f>IF(NORMALIZADO!CE97="","",NORMALIZADO!CE97)</f>
        <v/>
      </c>
      <c r="I98" s="17" t="str">
        <f>IF(NORMALIZADO!CF97="","",NORMALIZADO!CF97)</f>
        <v/>
      </c>
      <c r="J98" s="17" t="str">
        <f ca="1">IF(NORMALIZADO!CG97="","",NORMALIZADO!CG97)</f>
        <v/>
      </c>
      <c r="K98" s="16" t="str">
        <f ca="1">IF(NORMALIZADO!CH97="","",NORMALIZADO!CH97)</f>
        <v/>
      </c>
      <c r="L98" s="16" t="str">
        <f>IF(NORMALIZADO!CI97="","",NORMALIZADO!CI97)</f>
        <v/>
      </c>
      <c r="M98" s="16" t="str">
        <f>IF(NORMALIZADO!CJ97="","",NORMALIZADO!CJ97)</f>
        <v/>
      </c>
      <c r="N98" s="16" t="str">
        <f>IF(NORMALIZADO!CK97="","",NORMALIZADO!CK97)</f>
        <v/>
      </c>
      <c r="O98" s="16" t="str">
        <f>IF(NORMALIZADO!CL97="","",NORMALIZADO!CL97)</f>
        <v/>
      </c>
      <c r="P98" s="17" t="str">
        <f t="shared" ca="1" si="22"/>
        <v/>
      </c>
      <c r="Q98" s="17">
        <f t="shared" ca="1" si="23"/>
        <v>0</v>
      </c>
      <c r="R98" s="17">
        <f t="shared" ca="1" si="24"/>
        <v>0</v>
      </c>
      <c r="S98" s="17">
        <f t="shared" ca="1" si="25"/>
        <v>0</v>
      </c>
      <c r="T98" s="17">
        <f ca="1">IFERROR((K98+M98+MATRIZ_174!O97)/3,0)</f>
        <v>0</v>
      </c>
      <c r="U98" s="18">
        <f>IFERROR(MIN(100,ROUND(MATRIZ_174!M97,1)),0)</f>
        <v>0</v>
      </c>
      <c r="V98" s="18">
        <f t="shared" ca="1" si="26"/>
        <v>50</v>
      </c>
      <c r="W98" s="18">
        <f>IFERROR(IF(MATRIZ_174!R97=0,65,IF(MATRIZ_174!R97/MATRIZ_174!Q97&gt;=2,35,IF(MATRIZ_174!R97/MATRIZ_174!Q97&gt;=0.5,50,65))),65)</f>
        <v>65</v>
      </c>
      <c r="X98" s="18">
        <f>IFERROR(MIN(100,IF(MATRIZ_174!O97=0,70,30)+IF(MATRIZ_174!U97="",0,0.3*(100-MATRIZ_174!U97*100))),70)</f>
        <v>70</v>
      </c>
      <c r="Y98" s="18">
        <f>IF(OR(MATRIZ_174!P97="ASOCIACION",MATRIZ_174!P97="PENDIENTE"),65,40)</f>
        <v>65</v>
      </c>
      <c r="Z98" s="19" t="str">
        <f t="shared" ca="1" si="27"/>
        <v>—</v>
      </c>
      <c r="AA98" s="20">
        <f t="shared" ca="1" si="28"/>
        <v>50</v>
      </c>
      <c r="AB98" s="21" t="str">
        <f t="shared" ca="1" si="29"/>
        <v>—</v>
      </c>
      <c r="AC98" s="13" t="str">
        <f t="shared" ca="1" si="30"/>
        <v>⬜  Pendiente de instrumento</v>
      </c>
      <c r="AD98" s="13" t="str">
        <f>IF(MATRIZ_174!U97="","",IF(MATRIZ_174!U97=0,"🚫  Inh. vigente OSCE",""))</f>
        <v/>
      </c>
      <c r="AE98" s="22">
        <f>IFERROR(MATRIZ_174!W97,0)</f>
        <v>0</v>
      </c>
      <c r="AF98" s="22">
        <f>IFERROR(MATRIZ_174!X97,0)</f>
        <v>0</v>
      </c>
      <c r="AG98" s="22">
        <f>IFERROR(MATRIZ_174!Y97,0)</f>
        <v>0</v>
      </c>
      <c r="AH98" s="22">
        <f>IFERROR(MATRIZ_174!Z97,0)</f>
        <v>0</v>
      </c>
      <c r="AI98" s="17">
        <f ca="1">IFERROR(MATRIZ_174!AP97,"N/A")</f>
        <v>0</v>
      </c>
      <c r="AJ98" s="17">
        <f>IFERROR(MATRIZ_174!AO97,"N/A")</f>
        <v>0</v>
      </c>
      <c r="AK98" s="23" t="str">
        <f t="shared" ca="1" si="31"/>
        <v>N/A</v>
      </c>
      <c r="AL98" s="24" t="str">
        <f t="shared" ca="1" si="32"/>
        <v>—</v>
      </c>
    </row>
    <row r="99" spans="1:38" ht="16.05" customHeight="1" x14ac:dyDescent="0.3">
      <c r="A99" s="13" t="s">
        <v>288</v>
      </c>
      <c r="B99" s="14" t="s">
        <v>289</v>
      </c>
      <c r="C99" s="13" t="s">
        <v>123</v>
      </c>
      <c r="D99" s="15">
        <v>0</v>
      </c>
      <c r="E99" s="16" t="str">
        <f>IF(NORMALIZADO!CB98="","",NORMALIZADO!CB98)</f>
        <v/>
      </c>
      <c r="F99" s="17" t="str">
        <f ca="1">IF(NORMALIZADO!CC98="","",NORMALIZADO!CC98)</f>
        <v/>
      </c>
      <c r="G99" s="17">
        <f ca="1">IF(NORMALIZADO!CD98="",IFERROR(MATRIZ_174!U98*100,""),NORMALIZADO!CD98)</f>
        <v>100</v>
      </c>
      <c r="H99" s="16" t="str">
        <f>IF(NORMALIZADO!CE98="","",NORMALIZADO!CE98)</f>
        <v/>
      </c>
      <c r="I99" s="17" t="str">
        <f>IF(NORMALIZADO!CF98="","",NORMALIZADO!CF98)</f>
        <v/>
      </c>
      <c r="J99" s="17" t="str">
        <f ca="1">IF(NORMALIZADO!CG98="","",NORMALIZADO!CG98)</f>
        <v/>
      </c>
      <c r="K99" s="16" t="str">
        <f ca="1">IF(NORMALIZADO!CH98="","",NORMALIZADO!CH98)</f>
        <v/>
      </c>
      <c r="L99" s="16" t="str">
        <f>IF(NORMALIZADO!CI98="","",NORMALIZADO!CI98)</f>
        <v/>
      </c>
      <c r="M99" s="16" t="str">
        <f>IF(NORMALIZADO!CJ98="","",NORMALIZADO!CJ98)</f>
        <v/>
      </c>
      <c r="N99" s="16" t="str">
        <f>IF(NORMALIZADO!CK98="","",NORMALIZADO!CK98)</f>
        <v/>
      </c>
      <c r="O99" s="16" t="str">
        <f>IF(NORMALIZADO!CL98="","",NORMALIZADO!CL98)</f>
        <v/>
      </c>
      <c r="P99" s="17" t="str">
        <f t="shared" ca="1" si="22"/>
        <v/>
      </c>
      <c r="Q99" s="17">
        <f t="shared" ca="1" si="23"/>
        <v>0</v>
      </c>
      <c r="R99" s="17">
        <f t="shared" ca="1" si="24"/>
        <v>0</v>
      </c>
      <c r="S99" s="17">
        <f t="shared" ca="1" si="25"/>
        <v>0</v>
      </c>
      <c r="T99" s="17">
        <f ca="1">IFERROR((K99+M99+MATRIZ_174!O98)/3,0)</f>
        <v>0</v>
      </c>
      <c r="U99" s="18">
        <f>IFERROR(MIN(100,ROUND(MATRIZ_174!M98,1)),0)</f>
        <v>0</v>
      </c>
      <c r="V99" s="18">
        <f t="shared" ca="1" si="26"/>
        <v>50</v>
      </c>
      <c r="W99" s="18">
        <f>IFERROR(IF(MATRIZ_174!R98=0,65,IF(MATRIZ_174!R98/MATRIZ_174!Q98&gt;=2,35,IF(MATRIZ_174!R98/MATRIZ_174!Q98&gt;=0.5,50,65))),65)</f>
        <v>65</v>
      </c>
      <c r="X99" s="18">
        <f>IFERROR(MIN(100,IF(MATRIZ_174!O98=0,70,30)+IF(MATRIZ_174!U98="",0,0.3*(100-MATRIZ_174!U98*100))),70)</f>
        <v>70</v>
      </c>
      <c r="Y99" s="18">
        <f>IF(OR(MATRIZ_174!P98="ASOCIACION",MATRIZ_174!P98="PENDIENTE"),65,40)</f>
        <v>65</v>
      </c>
      <c r="Z99" s="19" t="str">
        <f t="shared" ca="1" si="27"/>
        <v>—</v>
      </c>
      <c r="AA99" s="20">
        <f t="shared" ca="1" si="28"/>
        <v>50</v>
      </c>
      <c r="AB99" s="21" t="str">
        <f t="shared" ca="1" si="29"/>
        <v>—</v>
      </c>
      <c r="AC99" s="13" t="str">
        <f t="shared" ca="1" si="30"/>
        <v>⬜  Pendiente de instrumento</v>
      </c>
      <c r="AD99" s="13" t="str">
        <f>IF(MATRIZ_174!U98="","",IF(MATRIZ_174!U98=0,"🚫  Inh. vigente OSCE",""))</f>
        <v/>
      </c>
      <c r="AE99" s="22">
        <f>IFERROR(MATRIZ_174!W98,0)</f>
        <v>0</v>
      </c>
      <c r="AF99" s="22">
        <f>IFERROR(MATRIZ_174!X98,0)</f>
        <v>0</v>
      </c>
      <c r="AG99" s="22">
        <f>IFERROR(MATRIZ_174!Y98,0)</f>
        <v>0</v>
      </c>
      <c r="AH99" s="22">
        <f>IFERROR(MATRIZ_174!Z98,0)</f>
        <v>0</v>
      </c>
      <c r="AI99" s="17">
        <f ca="1">IFERROR(MATRIZ_174!AP98,"N/A")</f>
        <v>0</v>
      </c>
      <c r="AJ99" s="17">
        <f>IFERROR(MATRIZ_174!AO98,"N/A")</f>
        <v>0</v>
      </c>
      <c r="AK99" s="23" t="str">
        <f t="shared" ca="1" si="31"/>
        <v>N/A</v>
      </c>
      <c r="AL99" s="24" t="str">
        <f t="shared" ca="1" si="32"/>
        <v>—</v>
      </c>
    </row>
    <row r="100" spans="1:38" ht="16.05" customHeight="1" x14ac:dyDescent="0.3">
      <c r="A100" s="13" t="s">
        <v>290</v>
      </c>
      <c r="B100" s="14" t="s">
        <v>291</v>
      </c>
      <c r="C100" s="13" t="s">
        <v>123</v>
      </c>
      <c r="D100" s="15">
        <v>0</v>
      </c>
      <c r="E100" s="16" t="str">
        <f>IF(NORMALIZADO!CB99="","",NORMALIZADO!CB99)</f>
        <v/>
      </c>
      <c r="F100" s="17" t="str">
        <f ca="1">IF(NORMALIZADO!CC99="","",NORMALIZADO!CC99)</f>
        <v/>
      </c>
      <c r="G100" s="17">
        <f ca="1">IF(NORMALIZADO!CD99="",IFERROR(MATRIZ_174!U99*100,""),NORMALIZADO!CD99)</f>
        <v>100</v>
      </c>
      <c r="H100" s="16" t="str">
        <f>IF(NORMALIZADO!CE99="","",NORMALIZADO!CE99)</f>
        <v/>
      </c>
      <c r="I100" s="17" t="str">
        <f>IF(NORMALIZADO!CF99="","",NORMALIZADO!CF99)</f>
        <v/>
      </c>
      <c r="J100" s="17" t="str">
        <f ca="1">IF(NORMALIZADO!CG99="","",NORMALIZADO!CG99)</f>
        <v/>
      </c>
      <c r="K100" s="16" t="str">
        <f ca="1">IF(NORMALIZADO!CH99="","",NORMALIZADO!CH99)</f>
        <v/>
      </c>
      <c r="L100" s="16" t="str">
        <f>IF(NORMALIZADO!CI99="","",NORMALIZADO!CI99)</f>
        <v/>
      </c>
      <c r="M100" s="16" t="str">
        <f>IF(NORMALIZADO!CJ99="","",NORMALIZADO!CJ99)</f>
        <v/>
      </c>
      <c r="N100" s="16" t="str">
        <f>IF(NORMALIZADO!CK99="","",NORMALIZADO!CK99)</f>
        <v/>
      </c>
      <c r="O100" s="16" t="str">
        <f>IF(NORMALIZADO!CL99="","",NORMALIZADO!CL99)</f>
        <v/>
      </c>
      <c r="P100" s="17" t="str">
        <f t="shared" ref="P100:P131" ca="1" si="33">IFERROR(F100,0)</f>
        <v/>
      </c>
      <c r="Q100" s="17">
        <f t="shared" ref="Q100:Q131" ca="1" si="34">IFERROR(SQRT(G100*H100),0)</f>
        <v>0</v>
      </c>
      <c r="R100" s="17">
        <f t="shared" ref="R100:R131" ca="1" si="35">IFERROR((I100+J100+L100)/3,0)</f>
        <v>0</v>
      </c>
      <c r="S100" s="17">
        <f t="shared" ref="S100:S131" ca="1" si="36">IFERROR((J100+F100)/2,0)</f>
        <v>0</v>
      </c>
      <c r="T100" s="17">
        <f ca="1">IFERROR((K100+M100+MATRIZ_174!O99)/3,0)</f>
        <v>0</v>
      </c>
      <c r="U100" s="18">
        <f>IFERROR(MIN(100,ROUND(MATRIZ_174!M99,1)),0)</f>
        <v>0</v>
      </c>
      <c r="V100" s="18">
        <f t="shared" ref="V100:V131" ca="1" si="37">IF(OR(NOT(ISNUMBER(F100)),F100=0),50,F100)</f>
        <v>50</v>
      </c>
      <c r="W100" s="18">
        <f>IFERROR(IF(MATRIZ_174!R99=0,65,IF(MATRIZ_174!R99/MATRIZ_174!Q99&gt;=2,35,IF(MATRIZ_174!R99/MATRIZ_174!Q99&gt;=0.5,50,65))),65)</f>
        <v>65</v>
      </c>
      <c r="X100" s="18">
        <f>IFERROR(MIN(100,IF(MATRIZ_174!O99=0,70,30)+IF(MATRIZ_174!U99="",0,0.3*(100-MATRIZ_174!U99*100))),70)</f>
        <v>70</v>
      </c>
      <c r="Y100" s="18">
        <f>IF(OR(MATRIZ_174!P99="ASOCIACION",MATRIZ_174!P99="PENDIENTE"),65,40)</f>
        <v>65</v>
      </c>
      <c r="Z100" s="19" t="str">
        <f t="shared" ref="Z100:Z131" ca="1" si="38">IF(COUNT(F100:M100)&lt;8,"—",IFERROR(ROUND(AVERAGE(P100:T100),1),"—"))</f>
        <v>—</v>
      </c>
      <c r="AA100" s="20">
        <f t="shared" ref="AA100:AA131" ca="1" si="39">IFERROR(ROUND(AVERAGE(U100,V100,W100,X100,Y100),1),0)</f>
        <v>50</v>
      </c>
      <c r="AB100" s="21" t="str">
        <f t="shared" ref="AB100:AB131" ca="1" si="40">IF(NOT(ISNUMBER(Z100)),"—",IFERROR(ROUND(AA100*(1-Z100/100),1),"—"))</f>
        <v>—</v>
      </c>
      <c r="AC100" s="13" t="str">
        <f t="shared" ref="AC100:AC131" ca="1" si="41">IF(OR(NOT(ISNUMBER(Z100)),NOT(ISNUMBER(AA100))),"⬜  Pendiente de instrumento",IF(AND(Z100&gt;=50,AA100&lt;50),"🟢  Resilientes",IF(AND(Z100&gt;=50,AA100&gt;=50),"🟠  Expuestas Adaptables",IF(AND(Z100&lt;50,AA100&lt;50),"⬜  Riesgo Latente","🔴  Riesgo Crítico"))))</f>
        <v>⬜  Pendiente de instrumento</v>
      </c>
      <c r="AD100" s="13" t="str">
        <f>IF(MATRIZ_174!U99="","",IF(MATRIZ_174!U99=0,"🚫  Inh. vigente OSCE",""))</f>
        <v/>
      </c>
      <c r="AE100" s="22">
        <f>IFERROR(MATRIZ_174!W99,0)</f>
        <v>0</v>
      </c>
      <c r="AF100" s="22">
        <f>IFERROR(MATRIZ_174!X99,0)</f>
        <v>0</v>
      </c>
      <c r="AG100" s="22">
        <f>IFERROR(MATRIZ_174!Y99,0)</f>
        <v>0</v>
      </c>
      <c r="AH100" s="22">
        <f>IFERROR(MATRIZ_174!Z99,0)</f>
        <v>0</v>
      </c>
      <c r="AI100" s="17">
        <f ca="1">IFERROR(MATRIZ_174!AP99,"N/A")</f>
        <v>0</v>
      </c>
      <c r="AJ100" s="17">
        <f>IFERROR(MATRIZ_174!AO99,"N/A")</f>
        <v>0</v>
      </c>
      <c r="AK100" s="23" t="str">
        <f t="shared" ref="AK100:AK131" ca="1" si="42">IF(COUNT(E100:M100)&lt;7,"N/A",IFERROR(ROUND((POWER(PRODUCT(E100:K100),1/MAX(1,COUNT(E100:K100)))*IF(COUNT(E100:K100)&gt;0,0.875,0)+IFERROR(AVERAGE(L100:M100),0)*IF(COUNT(L100:M100)&gt;0,0.125,0))/(IF(COUNT(E100:K100)&gt;0,0.875,0)+IF(COUNT(L100:M100)&gt;0,0.125,0)),1),"N/A"))</f>
        <v>N/A</v>
      </c>
      <c r="AL100" s="24" t="str">
        <f t="shared" ref="AL100:AL131" ca="1" si="43">IF(OR(NOT(ISNUMBER(AK100)),NOT(ISNUMBER(AI100))),"—",ROUND(0.7*AK100+0.3*AI100*100,1))</f>
        <v>—</v>
      </c>
    </row>
    <row r="101" spans="1:38" ht="16.05" customHeight="1" x14ac:dyDescent="0.3">
      <c r="A101" s="13" t="s">
        <v>293</v>
      </c>
      <c r="B101" s="14" t="s">
        <v>294</v>
      </c>
      <c r="C101" s="13" t="s">
        <v>80</v>
      </c>
      <c r="D101" s="15">
        <v>0</v>
      </c>
      <c r="E101" s="16" t="str">
        <f>IF(NORMALIZADO!CB100="","",NORMALIZADO!CB100)</f>
        <v/>
      </c>
      <c r="F101" s="17" t="str">
        <f ca="1">IF(NORMALIZADO!CC100="","",NORMALIZADO!CC100)</f>
        <v/>
      </c>
      <c r="G101" s="17">
        <f ca="1">IF(NORMALIZADO!CD100="",IFERROR(MATRIZ_174!U100*100,""),NORMALIZADO!CD100)</f>
        <v>100</v>
      </c>
      <c r="H101" s="16" t="str">
        <f>IF(NORMALIZADO!CE100="","",NORMALIZADO!CE100)</f>
        <v/>
      </c>
      <c r="I101" s="17" t="str">
        <f>IF(NORMALIZADO!CF100="","",NORMALIZADO!CF100)</f>
        <v/>
      </c>
      <c r="J101" s="17" t="str">
        <f ca="1">IF(NORMALIZADO!CG100="","",NORMALIZADO!CG100)</f>
        <v/>
      </c>
      <c r="K101" s="16" t="str">
        <f ca="1">IF(NORMALIZADO!CH100="","",NORMALIZADO!CH100)</f>
        <v/>
      </c>
      <c r="L101" s="16" t="str">
        <f>IF(NORMALIZADO!CI100="","",NORMALIZADO!CI100)</f>
        <v/>
      </c>
      <c r="M101" s="16" t="str">
        <f>IF(NORMALIZADO!CJ100="","",NORMALIZADO!CJ100)</f>
        <v/>
      </c>
      <c r="N101" s="16" t="str">
        <f>IF(NORMALIZADO!CK100="","",NORMALIZADO!CK100)</f>
        <v/>
      </c>
      <c r="O101" s="16" t="str">
        <f>IF(NORMALIZADO!CL100="","",NORMALIZADO!CL100)</f>
        <v/>
      </c>
      <c r="P101" s="17" t="str">
        <f t="shared" ca="1" si="33"/>
        <v/>
      </c>
      <c r="Q101" s="17">
        <f t="shared" ca="1" si="34"/>
        <v>0</v>
      </c>
      <c r="R101" s="17">
        <f t="shared" ca="1" si="35"/>
        <v>0</v>
      </c>
      <c r="S101" s="17">
        <f t="shared" ca="1" si="36"/>
        <v>0</v>
      </c>
      <c r="T101" s="17">
        <f ca="1">IFERROR((K101+M101+MATRIZ_174!O100)/3,0)</f>
        <v>0</v>
      </c>
      <c r="U101" s="18">
        <f>IFERROR(MIN(100,ROUND(MATRIZ_174!M100,1)),0)</f>
        <v>0</v>
      </c>
      <c r="V101" s="18">
        <f t="shared" ca="1" si="37"/>
        <v>50</v>
      </c>
      <c r="W101" s="18">
        <f>IFERROR(IF(MATRIZ_174!R100=0,65,IF(MATRIZ_174!R100/MATRIZ_174!Q100&gt;=2,35,IF(MATRIZ_174!R100/MATRIZ_174!Q100&gt;=0.5,50,65))),65)</f>
        <v>65</v>
      </c>
      <c r="X101" s="18">
        <f>IFERROR(MIN(100,IF(MATRIZ_174!O100=0,70,30)+IF(MATRIZ_174!U100="",0,0.3*(100-MATRIZ_174!U100*100))),70)</f>
        <v>70</v>
      </c>
      <c r="Y101" s="18">
        <f>IF(OR(MATRIZ_174!P100="ASOCIACION",MATRIZ_174!P100="PENDIENTE"),65,40)</f>
        <v>65</v>
      </c>
      <c r="Z101" s="19" t="str">
        <f t="shared" ca="1" si="38"/>
        <v>—</v>
      </c>
      <c r="AA101" s="20">
        <f t="shared" ca="1" si="39"/>
        <v>50</v>
      </c>
      <c r="AB101" s="21" t="str">
        <f t="shared" ca="1" si="40"/>
        <v>—</v>
      </c>
      <c r="AC101" s="13" t="str">
        <f t="shared" ca="1" si="41"/>
        <v>⬜  Pendiente de instrumento</v>
      </c>
      <c r="AD101" s="13" t="str">
        <f>IF(MATRIZ_174!U100="","",IF(MATRIZ_174!U100=0,"🚫  Inh. vigente OSCE",""))</f>
        <v/>
      </c>
      <c r="AE101" s="22">
        <f>IFERROR(MATRIZ_174!W100,0)</f>
        <v>0</v>
      </c>
      <c r="AF101" s="22">
        <f>IFERROR(MATRIZ_174!X100,0)</f>
        <v>0</v>
      </c>
      <c r="AG101" s="22">
        <f>IFERROR(MATRIZ_174!Y100,0)</f>
        <v>0</v>
      </c>
      <c r="AH101" s="22">
        <f>IFERROR(MATRIZ_174!Z100,0)</f>
        <v>0</v>
      </c>
      <c r="AI101" s="17">
        <f ca="1">IFERROR(MATRIZ_174!AP100,"N/A")</f>
        <v>0</v>
      </c>
      <c r="AJ101" s="17">
        <f>IFERROR(MATRIZ_174!AO100,"N/A")</f>
        <v>0</v>
      </c>
      <c r="AK101" s="23" t="str">
        <f t="shared" ca="1" si="42"/>
        <v>N/A</v>
      </c>
      <c r="AL101" s="24" t="str">
        <f t="shared" ca="1" si="43"/>
        <v>—</v>
      </c>
    </row>
    <row r="102" spans="1:38" ht="16.05" customHeight="1" x14ac:dyDescent="0.3">
      <c r="A102" s="13" t="s">
        <v>295</v>
      </c>
      <c r="B102" s="14" t="s">
        <v>296</v>
      </c>
      <c r="C102" s="13" t="s">
        <v>116</v>
      </c>
      <c r="D102" s="15">
        <v>0</v>
      </c>
      <c r="E102" s="16" t="str">
        <f>IF(NORMALIZADO!CB101="","",NORMALIZADO!CB101)</f>
        <v/>
      </c>
      <c r="F102" s="17" t="str">
        <f ca="1">IF(NORMALIZADO!CC101="","",NORMALIZADO!CC101)</f>
        <v/>
      </c>
      <c r="G102" s="17">
        <f ca="1">IF(NORMALIZADO!CD101="",IFERROR(MATRIZ_174!U101*100,""),NORMALIZADO!CD101)</f>
        <v>100</v>
      </c>
      <c r="H102" s="16" t="str">
        <f>IF(NORMALIZADO!CE101="","",NORMALIZADO!CE101)</f>
        <v/>
      </c>
      <c r="I102" s="17" t="str">
        <f>IF(NORMALIZADO!CF101="","",NORMALIZADO!CF101)</f>
        <v/>
      </c>
      <c r="J102" s="17" t="str">
        <f ca="1">IF(NORMALIZADO!CG101="","",NORMALIZADO!CG101)</f>
        <v/>
      </c>
      <c r="K102" s="16" t="str">
        <f ca="1">IF(NORMALIZADO!CH101="","",NORMALIZADO!CH101)</f>
        <v/>
      </c>
      <c r="L102" s="16" t="str">
        <f>IF(NORMALIZADO!CI101="","",NORMALIZADO!CI101)</f>
        <v/>
      </c>
      <c r="M102" s="16" t="str">
        <f>IF(NORMALIZADO!CJ101="","",NORMALIZADO!CJ101)</f>
        <v/>
      </c>
      <c r="N102" s="16" t="str">
        <f>IF(NORMALIZADO!CK101="","",NORMALIZADO!CK101)</f>
        <v/>
      </c>
      <c r="O102" s="16" t="str">
        <f>IF(NORMALIZADO!CL101="","",NORMALIZADO!CL101)</f>
        <v/>
      </c>
      <c r="P102" s="17" t="str">
        <f t="shared" ca="1" si="33"/>
        <v/>
      </c>
      <c r="Q102" s="17">
        <f t="shared" ca="1" si="34"/>
        <v>0</v>
      </c>
      <c r="R102" s="17">
        <f t="shared" ca="1" si="35"/>
        <v>0</v>
      </c>
      <c r="S102" s="17">
        <f t="shared" ca="1" si="36"/>
        <v>0</v>
      </c>
      <c r="T102" s="17">
        <f ca="1">IFERROR((K102+M102+MATRIZ_174!O101)/3,0)</f>
        <v>0</v>
      </c>
      <c r="U102" s="18">
        <f>IFERROR(MIN(100,ROUND(MATRIZ_174!M101,1)),0)</f>
        <v>0</v>
      </c>
      <c r="V102" s="18">
        <f t="shared" ca="1" si="37"/>
        <v>50</v>
      </c>
      <c r="W102" s="18">
        <f>IFERROR(IF(MATRIZ_174!R101=0,65,IF(MATRIZ_174!R101/MATRIZ_174!Q101&gt;=2,35,IF(MATRIZ_174!R101/MATRIZ_174!Q101&gt;=0.5,50,65))),65)</f>
        <v>65</v>
      </c>
      <c r="X102" s="18">
        <f>IFERROR(MIN(100,IF(MATRIZ_174!O101=0,70,30)+IF(MATRIZ_174!U101="",0,0.3*(100-MATRIZ_174!U101*100))),70)</f>
        <v>70</v>
      </c>
      <c r="Y102" s="18">
        <f>IF(OR(MATRIZ_174!P101="ASOCIACION",MATRIZ_174!P101="PENDIENTE"),65,40)</f>
        <v>65</v>
      </c>
      <c r="Z102" s="19" t="str">
        <f t="shared" ca="1" si="38"/>
        <v>—</v>
      </c>
      <c r="AA102" s="20">
        <f t="shared" ca="1" si="39"/>
        <v>50</v>
      </c>
      <c r="AB102" s="21" t="str">
        <f t="shared" ca="1" si="40"/>
        <v>—</v>
      </c>
      <c r="AC102" s="13" t="str">
        <f t="shared" ca="1" si="41"/>
        <v>⬜  Pendiente de instrumento</v>
      </c>
      <c r="AD102" s="13" t="str">
        <f>IF(MATRIZ_174!U101="","",IF(MATRIZ_174!U101=0,"🚫  Inh. vigente OSCE",""))</f>
        <v/>
      </c>
      <c r="AE102" s="22">
        <f>IFERROR(MATRIZ_174!W101,0)</f>
        <v>0</v>
      </c>
      <c r="AF102" s="22">
        <f>IFERROR(MATRIZ_174!X101,0)</f>
        <v>0</v>
      </c>
      <c r="AG102" s="22">
        <f>IFERROR(MATRIZ_174!Y101,0)</f>
        <v>0</v>
      </c>
      <c r="AH102" s="22">
        <f>IFERROR(MATRIZ_174!Z101,0)</f>
        <v>0</v>
      </c>
      <c r="AI102" s="17">
        <f ca="1">IFERROR(MATRIZ_174!AP101,"N/A")</f>
        <v>0</v>
      </c>
      <c r="AJ102" s="17">
        <f>IFERROR(MATRIZ_174!AO101,"N/A")</f>
        <v>0</v>
      </c>
      <c r="AK102" s="23" t="str">
        <f t="shared" ca="1" si="42"/>
        <v>N/A</v>
      </c>
      <c r="AL102" s="24" t="str">
        <f t="shared" ca="1" si="43"/>
        <v>—</v>
      </c>
    </row>
    <row r="103" spans="1:38" ht="16.05" customHeight="1" x14ac:dyDescent="0.3">
      <c r="A103" s="13" t="s">
        <v>297</v>
      </c>
      <c r="B103" s="14" t="s">
        <v>298</v>
      </c>
      <c r="C103" s="13" t="s">
        <v>123</v>
      </c>
      <c r="D103" s="15">
        <v>0</v>
      </c>
      <c r="E103" s="16" t="str">
        <f>IF(NORMALIZADO!CB102="","",NORMALIZADO!CB102)</f>
        <v/>
      </c>
      <c r="F103" s="17" t="str">
        <f ca="1">IF(NORMALIZADO!CC102="","",NORMALIZADO!CC102)</f>
        <v/>
      </c>
      <c r="G103" s="17">
        <f ca="1">IF(NORMALIZADO!CD102="",IFERROR(MATRIZ_174!U102*100,""),NORMALIZADO!CD102)</f>
        <v>100</v>
      </c>
      <c r="H103" s="16" t="str">
        <f>IF(NORMALIZADO!CE102="","",NORMALIZADO!CE102)</f>
        <v/>
      </c>
      <c r="I103" s="17" t="str">
        <f>IF(NORMALIZADO!CF102="","",NORMALIZADO!CF102)</f>
        <v/>
      </c>
      <c r="J103" s="17" t="str">
        <f ca="1">IF(NORMALIZADO!CG102="","",NORMALIZADO!CG102)</f>
        <v/>
      </c>
      <c r="K103" s="16" t="str">
        <f ca="1">IF(NORMALIZADO!CH102="","",NORMALIZADO!CH102)</f>
        <v/>
      </c>
      <c r="L103" s="16" t="str">
        <f>IF(NORMALIZADO!CI102="","",NORMALIZADO!CI102)</f>
        <v/>
      </c>
      <c r="M103" s="16" t="str">
        <f>IF(NORMALIZADO!CJ102="","",NORMALIZADO!CJ102)</f>
        <v/>
      </c>
      <c r="N103" s="16" t="str">
        <f>IF(NORMALIZADO!CK102="","",NORMALIZADO!CK102)</f>
        <v/>
      </c>
      <c r="O103" s="16" t="str">
        <f>IF(NORMALIZADO!CL102="","",NORMALIZADO!CL102)</f>
        <v/>
      </c>
      <c r="P103" s="17" t="str">
        <f t="shared" ca="1" si="33"/>
        <v/>
      </c>
      <c r="Q103" s="17">
        <f t="shared" ca="1" si="34"/>
        <v>0</v>
      </c>
      <c r="R103" s="17">
        <f t="shared" ca="1" si="35"/>
        <v>0</v>
      </c>
      <c r="S103" s="17">
        <f t="shared" ca="1" si="36"/>
        <v>0</v>
      </c>
      <c r="T103" s="17">
        <f ca="1">IFERROR((K103+M103+MATRIZ_174!O102)/3,0)</f>
        <v>0</v>
      </c>
      <c r="U103" s="18">
        <f>IFERROR(MIN(100,ROUND(MATRIZ_174!M102,1)),0)</f>
        <v>0</v>
      </c>
      <c r="V103" s="18">
        <f t="shared" ca="1" si="37"/>
        <v>50</v>
      </c>
      <c r="W103" s="18">
        <f>IFERROR(IF(MATRIZ_174!R102=0,65,IF(MATRIZ_174!R102/MATRIZ_174!Q102&gt;=2,35,IF(MATRIZ_174!R102/MATRIZ_174!Q102&gt;=0.5,50,65))),65)</f>
        <v>65</v>
      </c>
      <c r="X103" s="18">
        <f>IFERROR(MIN(100,IF(MATRIZ_174!O102=0,70,30)+IF(MATRIZ_174!U102="",0,0.3*(100-MATRIZ_174!U102*100))),70)</f>
        <v>70</v>
      </c>
      <c r="Y103" s="18">
        <f>IF(OR(MATRIZ_174!P102="ASOCIACION",MATRIZ_174!P102="PENDIENTE"),65,40)</f>
        <v>65</v>
      </c>
      <c r="Z103" s="19" t="str">
        <f t="shared" ca="1" si="38"/>
        <v>—</v>
      </c>
      <c r="AA103" s="20">
        <f t="shared" ca="1" si="39"/>
        <v>50</v>
      </c>
      <c r="AB103" s="21" t="str">
        <f t="shared" ca="1" si="40"/>
        <v>—</v>
      </c>
      <c r="AC103" s="13" t="str">
        <f t="shared" ca="1" si="41"/>
        <v>⬜  Pendiente de instrumento</v>
      </c>
      <c r="AD103" s="13" t="str">
        <f>IF(MATRIZ_174!U102="","",IF(MATRIZ_174!U102=0,"🚫  Inh. vigente OSCE",""))</f>
        <v/>
      </c>
      <c r="AE103" s="22">
        <f>IFERROR(MATRIZ_174!W102,0)</f>
        <v>0</v>
      </c>
      <c r="AF103" s="22">
        <f>IFERROR(MATRIZ_174!X102,0)</f>
        <v>0</v>
      </c>
      <c r="AG103" s="22">
        <f>IFERROR(MATRIZ_174!Y102,0)</f>
        <v>0</v>
      </c>
      <c r="AH103" s="22">
        <f>IFERROR(MATRIZ_174!Z102,0)</f>
        <v>0</v>
      </c>
      <c r="AI103" s="17">
        <f ca="1">IFERROR(MATRIZ_174!AP102,"N/A")</f>
        <v>0</v>
      </c>
      <c r="AJ103" s="17">
        <f>IFERROR(MATRIZ_174!AO102,"N/A")</f>
        <v>0</v>
      </c>
      <c r="AK103" s="23" t="str">
        <f t="shared" ca="1" si="42"/>
        <v>N/A</v>
      </c>
      <c r="AL103" s="24" t="str">
        <f t="shared" ca="1" si="43"/>
        <v>—</v>
      </c>
    </row>
    <row r="104" spans="1:38" ht="16.05" customHeight="1" x14ac:dyDescent="0.3">
      <c r="A104" s="13" t="s">
        <v>299</v>
      </c>
      <c r="B104" s="14" t="s">
        <v>300</v>
      </c>
      <c r="C104" s="13" t="s">
        <v>196</v>
      </c>
      <c r="D104" s="15">
        <v>0</v>
      </c>
      <c r="E104" s="16" t="str">
        <f>IF(NORMALIZADO!CB103="","",NORMALIZADO!CB103)</f>
        <v/>
      </c>
      <c r="F104" s="17" t="str">
        <f ca="1">IF(NORMALIZADO!CC103="","",NORMALIZADO!CC103)</f>
        <v/>
      </c>
      <c r="G104" s="17">
        <f ca="1">IF(NORMALIZADO!CD103="",IFERROR(MATRIZ_174!U103*100,""),NORMALIZADO!CD103)</f>
        <v>100</v>
      </c>
      <c r="H104" s="16" t="str">
        <f>IF(NORMALIZADO!CE103="","",NORMALIZADO!CE103)</f>
        <v/>
      </c>
      <c r="I104" s="17" t="str">
        <f>IF(NORMALIZADO!CF103="","",NORMALIZADO!CF103)</f>
        <v/>
      </c>
      <c r="J104" s="17" t="str">
        <f ca="1">IF(NORMALIZADO!CG103="","",NORMALIZADO!CG103)</f>
        <v/>
      </c>
      <c r="K104" s="16" t="str">
        <f ca="1">IF(NORMALIZADO!CH103="","",NORMALIZADO!CH103)</f>
        <v/>
      </c>
      <c r="L104" s="16" t="str">
        <f>IF(NORMALIZADO!CI103="","",NORMALIZADO!CI103)</f>
        <v/>
      </c>
      <c r="M104" s="16" t="str">
        <f>IF(NORMALIZADO!CJ103="","",NORMALIZADO!CJ103)</f>
        <v/>
      </c>
      <c r="N104" s="16" t="str">
        <f>IF(NORMALIZADO!CK103="","",NORMALIZADO!CK103)</f>
        <v/>
      </c>
      <c r="O104" s="16" t="str">
        <f>IF(NORMALIZADO!CL103="","",NORMALIZADO!CL103)</f>
        <v/>
      </c>
      <c r="P104" s="17" t="str">
        <f t="shared" ca="1" si="33"/>
        <v/>
      </c>
      <c r="Q104" s="17">
        <f t="shared" ca="1" si="34"/>
        <v>0</v>
      </c>
      <c r="R104" s="17">
        <f t="shared" ca="1" si="35"/>
        <v>0</v>
      </c>
      <c r="S104" s="17">
        <f t="shared" ca="1" si="36"/>
        <v>0</v>
      </c>
      <c r="T104" s="17">
        <f ca="1">IFERROR((K104+M104+MATRIZ_174!O103)/3,0)</f>
        <v>0</v>
      </c>
      <c r="U104" s="18">
        <f>IFERROR(MIN(100,ROUND(MATRIZ_174!M103,1)),0)</f>
        <v>0</v>
      </c>
      <c r="V104" s="18">
        <f t="shared" ca="1" si="37"/>
        <v>50</v>
      </c>
      <c r="W104" s="18">
        <f>IFERROR(IF(MATRIZ_174!R103=0,65,IF(MATRIZ_174!R103/MATRIZ_174!Q103&gt;=2,35,IF(MATRIZ_174!R103/MATRIZ_174!Q103&gt;=0.5,50,65))),65)</f>
        <v>65</v>
      </c>
      <c r="X104" s="18">
        <f>IFERROR(MIN(100,IF(MATRIZ_174!O103=0,70,30)+IF(MATRIZ_174!U103="",0,0.3*(100-MATRIZ_174!U103*100))),70)</f>
        <v>70</v>
      </c>
      <c r="Y104" s="18">
        <f>IF(OR(MATRIZ_174!P103="ASOCIACION",MATRIZ_174!P103="PENDIENTE"),65,40)</f>
        <v>65</v>
      </c>
      <c r="Z104" s="19" t="str">
        <f t="shared" ca="1" si="38"/>
        <v>—</v>
      </c>
      <c r="AA104" s="20">
        <f t="shared" ca="1" si="39"/>
        <v>50</v>
      </c>
      <c r="AB104" s="21" t="str">
        <f t="shared" ca="1" si="40"/>
        <v>—</v>
      </c>
      <c r="AC104" s="13" t="str">
        <f t="shared" ca="1" si="41"/>
        <v>⬜  Pendiente de instrumento</v>
      </c>
      <c r="AD104" s="13" t="str">
        <f>IF(MATRIZ_174!U103="","",IF(MATRIZ_174!U103=0,"🚫  Inh. vigente OSCE",""))</f>
        <v/>
      </c>
      <c r="AE104" s="22">
        <f>IFERROR(MATRIZ_174!W103,0)</f>
        <v>0</v>
      </c>
      <c r="AF104" s="22">
        <f>IFERROR(MATRIZ_174!X103,0)</f>
        <v>0</v>
      </c>
      <c r="AG104" s="22">
        <f>IFERROR(MATRIZ_174!Y103,0)</f>
        <v>0</v>
      </c>
      <c r="AH104" s="22">
        <f>IFERROR(MATRIZ_174!Z103,0)</f>
        <v>0</v>
      </c>
      <c r="AI104" s="17">
        <f ca="1">IFERROR(MATRIZ_174!AP103,"N/A")</f>
        <v>0</v>
      </c>
      <c r="AJ104" s="17">
        <f>IFERROR(MATRIZ_174!AO103,"N/A")</f>
        <v>0</v>
      </c>
      <c r="AK104" s="23" t="str">
        <f t="shared" ca="1" si="42"/>
        <v>N/A</v>
      </c>
      <c r="AL104" s="24" t="str">
        <f t="shared" ca="1" si="43"/>
        <v>—</v>
      </c>
    </row>
    <row r="105" spans="1:38" ht="16.05" customHeight="1" x14ac:dyDescent="0.3">
      <c r="A105" s="13" t="s">
        <v>301</v>
      </c>
      <c r="B105" s="14" t="s">
        <v>302</v>
      </c>
      <c r="C105" s="13" t="s">
        <v>248</v>
      </c>
      <c r="D105" s="15">
        <v>0</v>
      </c>
      <c r="E105" s="16" t="str">
        <f>IF(NORMALIZADO!CB104="","",NORMALIZADO!CB104)</f>
        <v/>
      </c>
      <c r="F105" s="17" t="str">
        <f ca="1">IF(NORMALIZADO!CC104="","",NORMALIZADO!CC104)</f>
        <v/>
      </c>
      <c r="G105" s="17">
        <f ca="1">IF(NORMALIZADO!CD104="",IFERROR(MATRIZ_174!U104*100,""),NORMALIZADO!CD104)</f>
        <v>100</v>
      </c>
      <c r="H105" s="16" t="str">
        <f>IF(NORMALIZADO!CE104="","",NORMALIZADO!CE104)</f>
        <v/>
      </c>
      <c r="I105" s="17" t="str">
        <f>IF(NORMALIZADO!CF104="","",NORMALIZADO!CF104)</f>
        <v/>
      </c>
      <c r="J105" s="17" t="str">
        <f ca="1">IF(NORMALIZADO!CG104="","",NORMALIZADO!CG104)</f>
        <v/>
      </c>
      <c r="K105" s="16" t="str">
        <f ca="1">IF(NORMALIZADO!CH104="","",NORMALIZADO!CH104)</f>
        <v/>
      </c>
      <c r="L105" s="16" t="str">
        <f>IF(NORMALIZADO!CI104="","",NORMALIZADO!CI104)</f>
        <v/>
      </c>
      <c r="M105" s="16" t="str">
        <f>IF(NORMALIZADO!CJ104="","",NORMALIZADO!CJ104)</f>
        <v/>
      </c>
      <c r="N105" s="16" t="str">
        <f>IF(NORMALIZADO!CK104="","",NORMALIZADO!CK104)</f>
        <v/>
      </c>
      <c r="O105" s="16" t="str">
        <f>IF(NORMALIZADO!CL104="","",NORMALIZADO!CL104)</f>
        <v/>
      </c>
      <c r="P105" s="17" t="str">
        <f t="shared" ca="1" si="33"/>
        <v/>
      </c>
      <c r="Q105" s="17">
        <f t="shared" ca="1" si="34"/>
        <v>0</v>
      </c>
      <c r="R105" s="17">
        <f t="shared" ca="1" si="35"/>
        <v>0</v>
      </c>
      <c r="S105" s="17">
        <f t="shared" ca="1" si="36"/>
        <v>0</v>
      </c>
      <c r="T105" s="17">
        <f ca="1">IFERROR((K105+M105+MATRIZ_174!O104)/3,0)</f>
        <v>0</v>
      </c>
      <c r="U105" s="18">
        <f>IFERROR(MIN(100,ROUND(MATRIZ_174!M104,1)),0)</f>
        <v>0</v>
      </c>
      <c r="V105" s="18">
        <f t="shared" ca="1" si="37"/>
        <v>50</v>
      </c>
      <c r="W105" s="18">
        <f>IFERROR(IF(MATRIZ_174!R104=0,65,IF(MATRIZ_174!R104/MATRIZ_174!Q104&gt;=2,35,IF(MATRIZ_174!R104/MATRIZ_174!Q104&gt;=0.5,50,65))),65)</f>
        <v>65</v>
      </c>
      <c r="X105" s="18">
        <f>IFERROR(MIN(100,IF(MATRIZ_174!O104=0,70,30)+IF(MATRIZ_174!U104="",0,0.3*(100-MATRIZ_174!U104*100))),70)</f>
        <v>70</v>
      </c>
      <c r="Y105" s="18">
        <f>IF(OR(MATRIZ_174!P104="ASOCIACION",MATRIZ_174!P104="PENDIENTE"),65,40)</f>
        <v>65</v>
      </c>
      <c r="Z105" s="19" t="str">
        <f t="shared" ca="1" si="38"/>
        <v>—</v>
      </c>
      <c r="AA105" s="20">
        <f t="shared" ca="1" si="39"/>
        <v>50</v>
      </c>
      <c r="AB105" s="21" t="str">
        <f t="shared" ca="1" si="40"/>
        <v>—</v>
      </c>
      <c r="AC105" s="13" t="str">
        <f t="shared" ca="1" si="41"/>
        <v>⬜  Pendiente de instrumento</v>
      </c>
      <c r="AD105" s="13" t="str">
        <f>IF(MATRIZ_174!U104="","",IF(MATRIZ_174!U104=0,"🚫  Inh. vigente OSCE",""))</f>
        <v/>
      </c>
      <c r="AE105" s="22">
        <f>IFERROR(MATRIZ_174!W104,0)</f>
        <v>0</v>
      </c>
      <c r="AF105" s="22">
        <f>IFERROR(MATRIZ_174!X104,0)</f>
        <v>0</v>
      </c>
      <c r="AG105" s="22">
        <f>IFERROR(MATRIZ_174!Y104,0)</f>
        <v>0</v>
      </c>
      <c r="AH105" s="22">
        <f>IFERROR(MATRIZ_174!Z104,0)</f>
        <v>0</v>
      </c>
      <c r="AI105" s="17">
        <f ca="1">IFERROR(MATRIZ_174!AP104,"N/A")</f>
        <v>0</v>
      </c>
      <c r="AJ105" s="17">
        <f>IFERROR(MATRIZ_174!AO104,"N/A")</f>
        <v>0</v>
      </c>
      <c r="AK105" s="23" t="str">
        <f t="shared" ca="1" si="42"/>
        <v>N/A</v>
      </c>
      <c r="AL105" s="24" t="str">
        <f t="shared" ca="1" si="43"/>
        <v>—</v>
      </c>
    </row>
    <row r="106" spans="1:38" ht="16.05" customHeight="1" x14ac:dyDescent="0.3">
      <c r="A106" s="13" t="s">
        <v>303</v>
      </c>
      <c r="B106" s="14" t="s">
        <v>304</v>
      </c>
      <c r="C106" s="13" t="s">
        <v>116</v>
      </c>
      <c r="D106" s="15">
        <v>0</v>
      </c>
      <c r="E106" s="16" t="str">
        <f>IF(NORMALIZADO!CB105="","",NORMALIZADO!CB105)</f>
        <v/>
      </c>
      <c r="F106" s="17" t="str">
        <f ca="1">IF(NORMALIZADO!CC105="","",NORMALIZADO!CC105)</f>
        <v/>
      </c>
      <c r="G106" s="17">
        <f ca="1">IF(NORMALIZADO!CD105="",IFERROR(MATRIZ_174!U105*100,""),NORMALIZADO!CD105)</f>
        <v>100</v>
      </c>
      <c r="H106" s="16" t="str">
        <f>IF(NORMALIZADO!CE105="","",NORMALIZADO!CE105)</f>
        <v/>
      </c>
      <c r="I106" s="17" t="str">
        <f>IF(NORMALIZADO!CF105="","",NORMALIZADO!CF105)</f>
        <v/>
      </c>
      <c r="J106" s="17" t="str">
        <f ca="1">IF(NORMALIZADO!CG105="","",NORMALIZADO!CG105)</f>
        <v/>
      </c>
      <c r="K106" s="16" t="str">
        <f ca="1">IF(NORMALIZADO!CH105="","",NORMALIZADO!CH105)</f>
        <v/>
      </c>
      <c r="L106" s="16" t="str">
        <f>IF(NORMALIZADO!CI105="","",NORMALIZADO!CI105)</f>
        <v/>
      </c>
      <c r="M106" s="16" t="str">
        <f>IF(NORMALIZADO!CJ105="","",NORMALIZADO!CJ105)</f>
        <v/>
      </c>
      <c r="N106" s="16" t="str">
        <f>IF(NORMALIZADO!CK105="","",NORMALIZADO!CK105)</f>
        <v/>
      </c>
      <c r="O106" s="16" t="str">
        <f>IF(NORMALIZADO!CL105="","",NORMALIZADO!CL105)</f>
        <v/>
      </c>
      <c r="P106" s="17" t="str">
        <f t="shared" ca="1" si="33"/>
        <v/>
      </c>
      <c r="Q106" s="17">
        <f t="shared" ca="1" si="34"/>
        <v>0</v>
      </c>
      <c r="R106" s="17">
        <f t="shared" ca="1" si="35"/>
        <v>0</v>
      </c>
      <c r="S106" s="17">
        <f t="shared" ca="1" si="36"/>
        <v>0</v>
      </c>
      <c r="T106" s="17">
        <f ca="1">IFERROR((K106+M106+MATRIZ_174!O105)/3,0)</f>
        <v>0</v>
      </c>
      <c r="U106" s="18">
        <f>IFERROR(MIN(100,ROUND(MATRIZ_174!M105,1)),0)</f>
        <v>0</v>
      </c>
      <c r="V106" s="18">
        <f t="shared" ca="1" si="37"/>
        <v>50</v>
      </c>
      <c r="W106" s="18">
        <f>IFERROR(IF(MATRIZ_174!R105=0,65,IF(MATRIZ_174!R105/MATRIZ_174!Q105&gt;=2,35,IF(MATRIZ_174!R105/MATRIZ_174!Q105&gt;=0.5,50,65))),65)</f>
        <v>65</v>
      </c>
      <c r="X106" s="18">
        <f>IFERROR(MIN(100,IF(MATRIZ_174!O105=0,70,30)+IF(MATRIZ_174!U105="",0,0.3*(100-MATRIZ_174!U105*100))),70)</f>
        <v>70</v>
      </c>
      <c r="Y106" s="18">
        <f>IF(OR(MATRIZ_174!P105="ASOCIACION",MATRIZ_174!P105="PENDIENTE"),65,40)</f>
        <v>65</v>
      </c>
      <c r="Z106" s="19" t="str">
        <f t="shared" ca="1" si="38"/>
        <v>—</v>
      </c>
      <c r="AA106" s="20">
        <f t="shared" ca="1" si="39"/>
        <v>50</v>
      </c>
      <c r="AB106" s="21" t="str">
        <f t="shared" ca="1" si="40"/>
        <v>—</v>
      </c>
      <c r="AC106" s="13" t="str">
        <f t="shared" ca="1" si="41"/>
        <v>⬜  Pendiente de instrumento</v>
      </c>
      <c r="AD106" s="13" t="str">
        <f>IF(MATRIZ_174!U105="","",IF(MATRIZ_174!U105=0,"🚫  Inh. vigente OSCE",""))</f>
        <v/>
      </c>
      <c r="AE106" s="22">
        <f>IFERROR(MATRIZ_174!W105,0)</f>
        <v>0</v>
      </c>
      <c r="AF106" s="22">
        <f>IFERROR(MATRIZ_174!X105,0)</f>
        <v>0</v>
      </c>
      <c r="AG106" s="22">
        <f>IFERROR(MATRIZ_174!Y105,0)</f>
        <v>0</v>
      </c>
      <c r="AH106" s="22">
        <f>IFERROR(MATRIZ_174!Z105,0)</f>
        <v>0</v>
      </c>
      <c r="AI106" s="17">
        <f ca="1">IFERROR(MATRIZ_174!AP105,"N/A")</f>
        <v>0</v>
      </c>
      <c r="AJ106" s="17">
        <f>IFERROR(MATRIZ_174!AO105,"N/A")</f>
        <v>0</v>
      </c>
      <c r="AK106" s="23" t="str">
        <f t="shared" ca="1" si="42"/>
        <v>N/A</v>
      </c>
      <c r="AL106" s="24" t="str">
        <f t="shared" ca="1" si="43"/>
        <v>—</v>
      </c>
    </row>
    <row r="107" spans="1:38" ht="16.05" customHeight="1" x14ac:dyDescent="0.3">
      <c r="A107" s="13" t="s">
        <v>305</v>
      </c>
      <c r="B107" s="14" t="s">
        <v>306</v>
      </c>
      <c r="C107" s="13" t="s">
        <v>143</v>
      </c>
      <c r="D107" s="15">
        <v>2059443.82</v>
      </c>
      <c r="E107" s="16" t="str">
        <f>IF(NORMALIZADO!CB106="","",NORMALIZADO!CB106)</f>
        <v/>
      </c>
      <c r="F107" s="17" t="str">
        <f ca="1">IF(NORMALIZADO!CC106="","",NORMALIZADO!CC106)</f>
        <v/>
      </c>
      <c r="G107" s="17">
        <f ca="1">IF(NORMALIZADO!CD106="",IFERROR(MATRIZ_174!U106*100,""),NORMALIZADO!CD106)</f>
        <v>100</v>
      </c>
      <c r="H107" s="16" t="str">
        <f>IF(NORMALIZADO!CE106="","",NORMALIZADO!CE106)</f>
        <v/>
      </c>
      <c r="I107" s="17" t="str">
        <f>IF(NORMALIZADO!CF106="","",NORMALIZADO!CF106)</f>
        <v/>
      </c>
      <c r="J107" s="17" t="str">
        <f ca="1">IF(NORMALIZADO!CG106="","",NORMALIZADO!CG106)</f>
        <v/>
      </c>
      <c r="K107" s="16" t="str">
        <f ca="1">IF(NORMALIZADO!CH106="","",NORMALIZADO!CH106)</f>
        <v/>
      </c>
      <c r="L107" s="16" t="str">
        <f>IF(NORMALIZADO!CI106="","",NORMALIZADO!CI106)</f>
        <v/>
      </c>
      <c r="M107" s="16" t="str">
        <f>IF(NORMALIZADO!CJ106="","",NORMALIZADO!CJ106)</f>
        <v/>
      </c>
      <c r="N107" s="16" t="str">
        <f>IF(NORMALIZADO!CK106="","",NORMALIZADO!CK106)</f>
        <v/>
      </c>
      <c r="O107" s="16" t="str">
        <f>IF(NORMALIZADO!CL106="","",NORMALIZADO!CL106)</f>
        <v/>
      </c>
      <c r="P107" s="17" t="str">
        <f t="shared" ca="1" si="33"/>
        <v/>
      </c>
      <c r="Q107" s="17">
        <f t="shared" ca="1" si="34"/>
        <v>0</v>
      </c>
      <c r="R107" s="17">
        <f t="shared" ca="1" si="35"/>
        <v>0</v>
      </c>
      <c r="S107" s="17">
        <f t="shared" ca="1" si="36"/>
        <v>0</v>
      </c>
      <c r="T107" s="17">
        <f ca="1">IFERROR((K107+M107+MATRIZ_174!O106)/3,0)</f>
        <v>0</v>
      </c>
      <c r="U107" s="18">
        <f>IFERROR(MIN(100,ROUND(MATRIZ_174!M106,1)),0)</f>
        <v>49.6</v>
      </c>
      <c r="V107" s="18">
        <f t="shared" ca="1" si="37"/>
        <v>50</v>
      </c>
      <c r="W107" s="18">
        <f>IFERROR(IF(MATRIZ_174!R106=0,65,IF(MATRIZ_174!R106/MATRIZ_174!Q106&gt;=2,35,IF(MATRIZ_174!R106/MATRIZ_174!Q106&gt;=0.5,50,65))),65)</f>
        <v>35</v>
      </c>
      <c r="X107" s="18">
        <f>IFERROR(MIN(100,IF(MATRIZ_174!O106=0,70,30)+IF(MATRIZ_174!U106="",0,0.3*(100-MATRIZ_174!U106*100))),70)</f>
        <v>70</v>
      </c>
      <c r="Y107" s="18">
        <f>IF(OR(MATRIZ_174!P106="ASOCIACION",MATRIZ_174!P106="PENDIENTE"),65,40)</f>
        <v>65</v>
      </c>
      <c r="Z107" s="19" t="str">
        <f t="shared" ca="1" si="38"/>
        <v>—</v>
      </c>
      <c r="AA107" s="20">
        <f t="shared" ca="1" si="39"/>
        <v>53.9</v>
      </c>
      <c r="AB107" s="21" t="str">
        <f t="shared" ca="1" si="40"/>
        <v>—</v>
      </c>
      <c r="AC107" s="13" t="str">
        <f t="shared" ca="1" si="41"/>
        <v>⬜  Pendiente de instrumento</v>
      </c>
      <c r="AD107" s="13" t="str">
        <f>IF(MATRIZ_174!U106="","",IF(MATRIZ_174!U106=0,"🚫  Inh. vigente OSCE",""))</f>
        <v/>
      </c>
      <c r="AE107" s="22">
        <f>IFERROR(MATRIZ_174!W106,0)</f>
        <v>1</v>
      </c>
      <c r="AF107" s="22">
        <f>IFERROR(MATRIZ_174!X106,0)</f>
        <v>0</v>
      </c>
      <c r="AG107" s="22">
        <f>IFERROR(MATRIZ_174!Y106,0)</f>
        <v>0</v>
      </c>
      <c r="AH107" s="22">
        <f>IFERROR(MATRIZ_174!Z106,0)</f>
        <v>0</v>
      </c>
      <c r="AI107" s="17">
        <f ca="1">IFERROR(MATRIZ_174!AP106,"N/A")</f>
        <v>0.1242</v>
      </c>
      <c r="AJ107" s="17">
        <f>IFERROR(MATRIZ_174!AO106,"N/A")</f>
        <v>0</v>
      </c>
      <c r="AK107" s="23" t="str">
        <f t="shared" ca="1" si="42"/>
        <v>N/A</v>
      </c>
      <c r="AL107" s="24" t="str">
        <f t="shared" ca="1" si="43"/>
        <v>—</v>
      </c>
    </row>
    <row r="108" spans="1:38" ht="16.05" customHeight="1" x14ac:dyDescent="0.3">
      <c r="A108" s="13" t="s">
        <v>307</v>
      </c>
      <c r="B108" s="14" t="s">
        <v>308</v>
      </c>
      <c r="C108" s="13" t="s">
        <v>113</v>
      </c>
      <c r="D108" s="15">
        <v>0</v>
      </c>
      <c r="E108" s="16" t="str">
        <f>IF(NORMALIZADO!CB107="","",NORMALIZADO!CB107)</f>
        <v/>
      </c>
      <c r="F108" s="17" t="str">
        <f ca="1">IF(NORMALIZADO!CC107="","",NORMALIZADO!CC107)</f>
        <v/>
      </c>
      <c r="G108" s="17">
        <f ca="1">IF(NORMALIZADO!CD107="",IFERROR(MATRIZ_174!U107*100,""),NORMALIZADO!CD107)</f>
        <v>100</v>
      </c>
      <c r="H108" s="16" t="str">
        <f>IF(NORMALIZADO!CE107="","",NORMALIZADO!CE107)</f>
        <v/>
      </c>
      <c r="I108" s="17" t="str">
        <f>IF(NORMALIZADO!CF107="","",NORMALIZADO!CF107)</f>
        <v/>
      </c>
      <c r="J108" s="17" t="str">
        <f ca="1">IF(NORMALIZADO!CG107="","",NORMALIZADO!CG107)</f>
        <v/>
      </c>
      <c r="K108" s="16" t="str">
        <f ca="1">IF(NORMALIZADO!CH107="","",NORMALIZADO!CH107)</f>
        <v/>
      </c>
      <c r="L108" s="16" t="str">
        <f>IF(NORMALIZADO!CI107="","",NORMALIZADO!CI107)</f>
        <v/>
      </c>
      <c r="M108" s="16" t="str">
        <f>IF(NORMALIZADO!CJ107="","",NORMALIZADO!CJ107)</f>
        <v/>
      </c>
      <c r="N108" s="16" t="str">
        <f>IF(NORMALIZADO!CK107="","",NORMALIZADO!CK107)</f>
        <v/>
      </c>
      <c r="O108" s="16" t="str">
        <f>IF(NORMALIZADO!CL107="","",NORMALIZADO!CL107)</f>
        <v/>
      </c>
      <c r="P108" s="17" t="str">
        <f t="shared" ca="1" si="33"/>
        <v/>
      </c>
      <c r="Q108" s="17">
        <f t="shared" ca="1" si="34"/>
        <v>0</v>
      </c>
      <c r="R108" s="17">
        <f t="shared" ca="1" si="35"/>
        <v>0</v>
      </c>
      <c r="S108" s="17">
        <f t="shared" ca="1" si="36"/>
        <v>0</v>
      </c>
      <c r="T108" s="17">
        <f ca="1">IFERROR((K108+M108+MATRIZ_174!O107)/3,0)</f>
        <v>0</v>
      </c>
      <c r="U108" s="18">
        <f>IFERROR(MIN(100,ROUND(MATRIZ_174!M107,1)),0)</f>
        <v>0</v>
      </c>
      <c r="V108" s="18">
        <f t="shared" ca="1" si="37"/>
        <v>50</v>
      </c>
      <c r="W108" s="18">
        <f>IFERROR(IF(MATRIZ_174!R107=0,65,IF(MATRIZ_174!R107/MATRIZ_174!Q107&gt;=2,35,IF(MATRIZ_174!R107/MATRIZ_174!Q107&gt;=0.5,50,65))),65)</f>
        <v>65</v>
      </c>
      <c r="X108" s="18">
        <f>IFERROR(MIN(100,IF(MATRIZ_174!O107=0,70,30)+IF(MATRIZ_174!U107="",0,0.3*(100-MATRIZ_174!U107*100))),70)</f>
        <v>70</v>
      </c>
      <c r="Y108" s="18">
        <f>IF(OR(MATRIZ_174!P107="ASOCIACION",MATRIZ_174!P107="PENDIENTE"),65,40)</f>
        <v>65</v>
      </c>
      <c r="Z108" s="19" t="str">
        <f t="shared" ca="1" si="38"/>
        <v>—</v>
      </c>
      <c r="AA108" s="20">
        <f t="shared" ca="1" si="39"/>
        <v>50</v>
      </c>
      <c r="AB108" s="21" t="str">
        <f t="shared" ca="1" si="40"/>
        <v>—</v>
      </c>
      <c r="AC108" s="13" t="str">
        <f t="shared" ca="1" si="41"/>
        <v>⬜  Pendiente de instrumento</v>
      </c>
      <c r="AD108" s="13" t="str">
        <f>IF(MATRIZ_174!U107="","",IF(MATRIZ_174!U107=0,"🚫  Inh. vigente OSCE",""))</f>
        <v/>
      </c>
      <c r="AE108" s="22">
        <f>IFERROR(MATRIZ_174!W107,0)</f>
        <v>0</v>
      </c>
      <c r="AF108" s="22">
        <f>IFERROR(MATRIZ_174!X107,0)</f>
        <v>0</v>
      </c>
      <c r="AG108" s="22">
        <f>IFERROR(MATRIZ_174!Y107,0)</f>
        <v>0</v>
      </c>
      <c r="AH108" s="22">
        <f>IFERROR(MATRIZ_174!Z107,0)</f>
        <v>0</v>
      </c>
      <c r="AI108" s="17">
        <f ca="1">IFERROR(MATRIZ_174!AP107,"N/A")</f>
        <v>0</v>
      </c>
      <c r="AJ108" s="17">
        <f>IFERROR(MATRIZ_174!AO107,"N/A")</f>
        <v>0</v>
      </c>
      <c r="AK108" s="23" t="str">
        <f t="shared" ca="1" si="42"/>
        <v>N/A</v>
      </c>
      <c r="AL108" s="24" t="str">
        <f t="shared" ca="1" si="43"/>
        <v>—</v>
      </c>
    </row>
    <row r="109" spans="1:38" ht="16.05" customHeight="1" x14ac:dyDescent="0.3">
      <c r="A109" s="13" t="s">
        <v>309</v>
      </c>
      <c r="B109" s="14" t="s">
        <v>310</v>
      </c>
      <c r="C109" s="13" t="s">
        <v>113</v>
      </c>
      <c r="D109" s="15">
        <v>10616860.41</v>
      </c>
      <c r="E109" s="16" t="str">
        <f>IF(NORMALIZADO!CB108="","",NORMALIZADO!CB108)</f>
        <v/>
      </c>
      <c r="F109" s="17" t="str">
        <f ca="1">IF(NORMALIZADO!CC108="","",NORMALIZADO!CC108)</f>
        <v/>
      </c>
      <c r="G109" s="17">
        <f ca="1">IF(NORMALIZADO!CD108="",IFERROR(MATRIZ_174!U108*100,""),NORMALIZADO!CD108)</f>
        <v>100</v>
      </c>
      <c r="H109" s="16" t="str">
        <f>IF(NORMALIZADO!CE108="","",NORMALIZADO!CE108)</f>
        <v/>
      </c>
      <c r="I109" s="17" t="str">
        <f>IF(NORMALIZADO!CF108="","",NORMALIZADO!CF108)</f>
        <v/>
      </c>
      <c r="J109" s="17" t="str">
        <f ca="1">IF(NORMALIZADO!CG108="","",NORMALIZADO!CG108)</f>
        <v/>
      </c>
      <c r="K109" s="16" t="str">
        <f ca="1">IF(NORMALIZADO!CH108="","",NORMALIZADO!CH108)</f>
        <v/>
      </c>
      <c r="L109" s="16" t="str">
        <f>IF(NORMALIZADO!CI108="","",NORMALIZADO!CI108)</f>
        <v/>
      </c>
      <c r="M109" s="16" t="str">
        <f>IF(NORMALIZADO!CJ108="","",NORMALIZADO!CJ108)</f>
        <v/>
      </c>
      <c r="N109" s="16" t="str">
        <f>IF(NORMALIZADO!CK108="","",NORMALIZADO!CK108)</f>
        <v/>
      </c>
      <c r="O109" s="16" t="str">
        <f>IF(NORMALIZADO!CL108="","",NORMALIZADO!CL108)</f>
        <v/>
      </c>
      <c r="P109" s="17" t="str">
        <f t="shared" ca="1" si="33"/>
        <v/>
      </c>
      <c r="Q109" s="17">
        <f t="shared" ca="1" si="34"/>
        <v>0</v>
      </c>
      <c r="R109" s="17">
        <f t="shared" ca="1" si="35"/>
        <v>0</v>
      </c>
      <c r="S109" s="17">
        <f t="shared" ca="1" si="36"/>
        <v>0</v>
      </c>
      <c r="T109" s="17">
        <f ca="1">IFERROR((K109+M109+MATRIZ_174!O108)/3,0)</f>
        <v>0</v>
      </c>
      <c r="U109" s="18">
        <f>IFERROR(MIN(100,ROUND(MATRIZ_174!M108,1)),0)</f>
        <v>50</v>
      </c>
      <c r="V109" s="18">
        <f t="shared" ca="1" si="37"/>
        <v>50</v>
      </c>
      <c r="W109" s="18">
        <f>IFERROR(IF(MATRIZ_174!R108=0,65,IF(MATRIZ_174!R108/MATRIZ_174!Q108&gt;=2,35,IF(MATRIZ_174!R108/MATRIZ_174!Q108&gt;=0.5,50,65))),65)</f>
        <v>65</v>
      </c>
      <c r="X109" s="18">
        <f>IFERROR(MIN(100,IF(MATRIZ_174!O108=0,70,30)+IF(MATRIZ_174!U108="",0,0.3*(100-MATRIZ_174!U108*100))),70)</f>
        <v>70</v>
      </c>
      <c r="Y109" s="18">
        <f>IF(OR(MATRIZ_174!P108="ASOCIACION",MATRIZ_174!P108="PENDIENTE"),65,40)</f>
        <v>65</v>
      </c>
      <c r="Z109" s="19" t="str">
        <f t="shared" ca="1" si="38"/>
        <v>—</v>
      </c>
      <c r="AA109" s="20">
        <f t="shared" ca="1" si="39"/>
        <v>60</v>
      </c>
      <c r="AB109" s="21" t="str">
        <f t="shared" ca="1" si="40"/>
        <v>—</v>
      </c>
      <c r="AC109" s="13" t="str">
        <f t="shared" ca="1" si="41"/>
        <v>⬜  Pendiente de instrumento</v>
      </c>
      <c r="AD109" s="13" t="str">
        <f>IF(MATRIZ_174!U108="","",IF(MATRIZ_174!U108=0,"🚫  Inh. vigente OSCE",""))</f>
        <v/>
      </c>
      <c r="AE109" s="22">
        <f>IFERROR(MATRIZ_174!W108,0)</f>
        <v>1</v>
      </c>
      <c r="AF109" s="22">
        <f>IFERROR(MATRIZ_174!X108,0)</f>
        <v>0</v>
      </c>
      <c r="AG109" s="22">
        <f>IFERROR(MATRIZ_174!Y108,0)</f>
        <v>0</v>
      </c>
      <c r="AH109" s="22">
        <f>IFERROR(MATRIZ_174!Z108,0)</f>
        <v>0</v>
      </c>
      <c r="AI109" s="17">
        <f ca="1">IFERROR(MATRIZ_174!AP108,"N/A")</f>
        <v>0.125</v>
      </c>
      <c r="AJ109" s="17">
        <f>IFERROR(MATRIZ_174!AO108,"N/A")</f>
        <v>0</v>
      </c>
      <c r="AK109" s="23" t="str">
        <f t="shared" ca="1" si="42"/>
        <v>N/A</v>
      </c>
      <c r="AL109" s="24" t="str">
        <f t="shared" ca="1" si="43"/>
        <v>—</v>
      </c>
    </row>
    <row r="110" spans="1:38" ht="16.05" customHeight="1" x14ac:dyDescent="0.3">
      <c r="A110" s="13" t="s">
        <v>311</v>
      </c>
      <c r="B110" s="14" t="s">
        <v>312</v>
      </c>
      <c r="C110" s="13" t="s">
        <v>72</v>
      </c>
      <c r="D110" s="15">
        <v>0</v>
      </c>
      <c r="E110" s="16" t="str">
        <f>IF(NORMALIZADO!CB109="","",NORMALIZADO!CB109)</f>
        <v/>
      </c>
      <c r="F110" s="17" t="str">
        <f ca="1">IF(NORMALIZADO!CC109="","",NORMALIZADO!CC109)</f>
        <v/>
      </c>
      <c r="G110" s="17">
        <f ca="1">IF(NORMALIZADO!CD109="",IFERROR(MATRIZ_174!U109*100,""),NORMALIZADO!CD109)</f>
        <v>100</v>
      </c>
      <c r="H110" s="16" t="str">
        <f>IF(NORMALIZADO!CE109="","",NORMALIZADO!CE109)</f>
        <v/>
      </c>
      <c r="I110" s="17" t="str">
        <f>IF(NORMALIZADO!CF109="","",NORMALIZADO!CF109)</f>
        <v/>
      </c>
      <c r="J110" s="17" t="str">
        <f ca="1">IF(NORMALIZADO!CG109="","",NORMALIZADO!CG109)</f>
        <v/>
      </c>
      <c r="K110" s="16" t="str">
        <f ca="1">IF(NORMALIZADO!CH109="","",NORMALIZADO!CH109)</f>
        <v/>
      </c>
      <c r="L110" s="16" t="str">
        <f>IF(NORMALIZADO!CI109="","",NORMALIZADO!CI109)</f>
        <v/>
      </c>
      <c r="M110" s="16" t="str">
        <f>IF(NORMALIZADO!CJ109="","",NORMALIZADO!CJ109)</f>
        <v/>
      </c>
      <c r="N110" s="16" t="str">
        <f>IF(NORMALIZADO!CK109="","",NORMALIZADO!CK109)</f>
        <v/>
      </c>
      <c r="O110" s="16" t="str">
        <f>IF(NORMALIZADO!CL109="","",NORMALIZADO!CL109)</f>
        <v/>
      </c>
      <c r="P110" s="17" t="str">
        <f t="shared" ca="1" si="33"/>
        <v/>
      </c>
      <c r="Q110" s="17">
        <f t="shared" ca="1" si="34"/>
        <v>0</v>
      </c>
      <c r="R110" s="17">
        <f t="shared" ca="1" si="35"/>
        <v>0</v>
      </c>
      <c r="S110" s="17">
        <f t="shared" ca="1" si="36"/>
        <v>0</v>
      </c>
      <c r="T110" s="17">
        <f ca="1">IFERROR((K110+M110+MATRIZ_174!O109)/3,0)</f>
        <v>0</v>
      </c>
      <c r="U110" s="18">
        <f>IFERROR(MIN(100,ROUND(MATRIZ_174!M109,1)),0)</f>
        <v>0</v>
      </c>
      <c r="V110" s="18">
        <f t="shared" ca="1" si="37"/>
        <v>50</v>
      </c>
      <c r="W110" s="18">
        <f>IFERROR(IF(MATRIZ_174!R109=0,65,IF(MATRIZ_174!R109/MATRIZ_174!Q109&gt;=2,35,IF(MATRIZ_174!R109/MATRIZ_174!Q109&gt;=0.5,50,65))),65)</f>
        <v>65</v>
      </c>
      <c r="X110" s="18">
        <f>IFERROR(MIN(100,IF(MATRIZ_174!O109=0,70,30)+IF(MATRIZ_174!U109="",0,0.3*(100-MATRIZ_174!U109*100))),70)</f>
        <v>70</v>
      </c>
      <c r="Y110" s="18">
        <f>IF(OR(MATRIZ_174!P109="ASOCIACION",MATRIZ_174!P109="PENDIENTE"),65,40)</f>
        <v>65</v>
      </c>
      <c r="Z110" s="19" t="str">
        <f t="shared" ca="1" si="38"/>
        <v>—</v>
      </c>
      <c r="AA110" s="20">
        <f t="shared" ca="1" si="39"/>
        <v>50</v>
      </c>
      <c r="AB110" s="21" t="str">
        <f t="shared" ca="1" si="40"/>
        <v>—</v>
      </c>
      <c r="AC110" s="13" t="str">
        <f t="shared" ca="1" si="41"/>
        <v>⬜  Pendiente de instrumento</v>
      </c>
      <c r="AD110" s="13" t="str">
        <f>IF(MATRIZ_174!U109="","",IF(MATRIZ_174!U109=0,"🚫  Inh. vigente OSCE",""))</f>
        <v/>
      </c>
      <c r="AE110" s="22">
        <f>IFERROR(MATRIZ_174!W109,0)</f>
        <v>0</v>
      </c>
      <c r="AF110" s="22">
        <f>IFERROR(MATRIZ_174!X109,0)</f>
        <v>0</v>
      </c>
      <c r="AG110" s="22">
        <f>IFERROR(MATRIZ_174!Y109,0)</f>
        <v>0</v>
      </c>
      <c r="AH110" s="22">
        <f>IFERROR(MATRIZ_174!Z109,0)</f>
        <v>0</v>
      </c>
      <c r="AI110" s="17">
        <f ca="1">IFERROR(MATRIZ_174!AP109,"N/A")</f>
        <v>0</v>
      </c>
      <c r="AJ110" s="17">
        <f>IFERROR(MATRIZ_174!AO109,"N/A")</f>
        <v>0</v>
      </c>
      <c r="AK110" s="23" t="str">
        <f t="shared" ca="1" si="42"/>
        <v>N/A</v>
      </c>
      <c r="AL110" s="24" t="str">
        <f t="shared" ca="1" si="43"/>
        <v>—</v>
      </c>
    </row>
    <row r="111" spans="1:38" ht="16.05" customHeight="1" x14ac:dyDescent="0.3">
      <c r="A111" s="13" t="s">
        <v>313</v>
      </c>
      <c r="B111" s="14" t="s">
        <v>314</v>
      </c>
      <c r="C111" s="13" t="s">
        <v>123</v>
      </c>
      <c r="D111" s="15">
        <v>0</v>
      </c>
      <c r="E111" s="16" t="str">
        <f>IF(NORMALIZADO!CB110="","",NORMALIZADO!CB110)</f>
        <v/>
      </c>
      <c r="F111" s="17" t="str">
        <f ca="1">IF(NORMALIZADO!CC110="","",NORMALIZADO!CC110)</f>
        <v/>
      </c>
      <c r="G111" s="17">
        <f ca="1">IF(NORMALIZADO!CD110="",IFERROR(MATRIZ_174!U110*100,""),NORMALIZADO!CD110)</f>
        <v>100</v>
      </c>
      <c r="H111" s="16" t="str">
        <f>IF(NORMALIZADO!CE110="","",NORMALIZADO!CE110)</f>
        <v/>
      </c>
      <c r="I111" s="17" t="str">
        <f>IF(NORMALIZADO!CF110="","",NORMALIZADO!CF110)</f>
        <v/>
      </c>
      <c r="J111" s="17" t="str">
        <f ca="1">IF(NORMALIZADO!CG110="","",NORMALIZADO!CG110)</f>
        <v/>
      </c>
      <c r="K111" s="16" t="str">
        <f ca="1">IF(NORMALIZADO!CH110="","",NORMALIZADO!CH110)</f>
        <v/>
      </c>
      <c r="L111" s="16" t="str">
        <f>IF(NORMALIZADO!CI110="","",NORMALIZADO!CI110)</f>
        <v/>
      </c>
      <c r="M111" s="16" t="str">
        <f>IF(NORMALIZADO!CJ110="","",NORMALIZADO!CJ110)</f>
        <v/>
      </c>
      <c r="N111" s="16" t="str">
        <f>IF(NORMALIZADO!CK110="","",NORMALIZADO!CK110)</f>
        <v/>
      </c>
      <c r="O111" s="16" t="str">
        <f>IF(NORMALIZADO!CL110="","",NORMALIZADO!CL110)</f>
        <v/>
      </c>
      <c r="P111" s="17" t="str">
        <f t="shared" ca="1" si="33"/>
        <v/>
      </c>
      <c r="Q111" s="17">
        <f t="shared" ca="1" si="34"/>
        <v>0</v>
      </c>
      <c r="R111" s="17">
        <f t="shared" ca="1" si="35"/>
        <v>0</v>
      </c>
      <c r="S111" s="17">
        <f t="shared" ca="1" si="36"/>
        <v>0</v>
      </c>
      <c r="T111" s="17">
        <f ca="1">IFERROR((K111+M111+MATRIZ_174!O110)/3,0)</f>
        <v>0</v>
      </c>
      <c r="U111" s="18">
        <f>IFERROR(MIN(100,ROUND(MATRIZ_174!M110,1)),0)</f>
        <v>0</v>
      </c>
      <c r="V111" s="18">
        <f t="shared" ca="1" si="37"/>
        <v>50</v>
      </c>
      <c r="W111" s="18">
        <f>IFERROR(IF(MATRIZ_174!R110=0,65,IF(MATRIZ_174!R110/MATRIZ_174!Q110&gt;=2,35,IF(MATRIZ_174!R110/MATRIZ_174!Q110&gt;=0.5,50,65))),65)</f>
        <v>65</v>
      </c>
      <c r="X111" s="18">
        <f>IFERROR(MIN(100,IF(MATRIZ_174!O110=0,70,30)+IF(MATRIZ_174!U110="",0,0.3*(100-MATRIZ_174!U110*100))),70)</f>
        <v>70</v>
      </c>
      <c r="Y111" s="18">
        <f>IF(OR(MATRIZ_174!P110="ASOCIACION",MATRIZ_174!P110="PENDIENTE"),65,40)</f>
        <v>65</v>
      </c>
      <c r="Z111" s="19" t="str">
        <f t="shared" ca="1" si="38"/>
        <v>—</v>
      </c>
      <c r="AA111" s="20">
        <f t="shared" ca="1" si="39"/>
        <v>50</v>
      </c>
      <c r="AB111" s="21" t="str">
        <f t="shared" ca="1" si="40"/>
        <v>—</v>
      </c>
      <c r="AC111" s="13" t="str">
        <f t="shared" ca="1" si="41"/>
        <v>⬜  Pendiente de instrumento</v>
      </c>
      <c r="AD111" s="13" t="str">
        <f>IF(MATRIZ_174!U110="","",IF(MATRIZ_174!U110=0,"🚫  Inh. vigente OSCE",""))</f>
        <v/>
      </c>
      <c r="AE111" s="22">
        <f>IFERROR(MATRIZ_174!W110,0)</f>
        <v>0</v>
      </c>
      <c r="AF111" s="22">
        <f>IFERROR(MATRIZ_174!X110,0)</f>
        <v>0</v>
      </c>
      <c r="AG111" s="22">
        <f>IFERROR(MATRIZ_174!Y110,0)</f>
        <v>0</v>
      </c>
      <c r="AH111" s="22">
        <f>IFERROR(MATRIZ_174!Z110,0)</f>
        <v>0</v>
      </c>
      <c r="AI111" s="17">
        <f ca="1">IFERROR(MATRIZ_174!AP110,"N/A")</f>
        <v>0</v>
      </c>
      <c r="AJ111" s="17">
        <f>IFERROR(MATRIZ_174!AO110,"N/A")</f>
        <v>0</v>
      </c>
      <c r="AK111" s="23" t="str">
        <f t="shared" ca="1" si="42"/>
        <v>N/A</v>
      </c>
      <c r="AL111" s="24" t="str">
        <f t="shared" ca="1" si="43"/>
        <v>—</v>
      </c>
    </row>
    <row r="112" spans="1:38" ht="16.05" customHeight="1" x14ac:dyDescent="0.3">
      <c r="A112" s="13" t="s">
        <v>315</v>
      </c>
      <c r="B112" s="14" t="s">
        <v>316</v>
      </c>
      <c r="C112" s="13" t="s">
        <v>116</v>
      </c>
      <c r="D112" s="15">
        <v>0</v>
      </c>
      <c r="E112" s="16" t="str">
        <f>IF(NORMALIZADO!CB111="","",NORMALIZADO!CB111)</f>
        <v/>
      </c>
      <c r="F112" s="17" t="str">
        <f ca="1">IF(NORMALIZADO!CC111="","",NORMALIZADO!CC111)</f>
        <v/>
      </c>
      <c r="G112" s="17">
        <f ca="1">IF(NORMALIZADO!CD111="",IFERROR(MATRIZ_174!U111*100,""),NORMALIZADO!CD111)</f>
        <v>100</v>
      </c>
      <c r="H112" s="16" t="str">
        <f>IF(NORMALIZADO!CE111="","",NORMALIZADO!CE111)</f>
        <v/>
      </c>
      <c r="I112" s="17" t="str">
        <f>IF(NORMALIZADO!CF111="","",NORMALIZADO!CF111)</f>
        <v/>
      </c>
      <c r="J112" s="17" t="str">
        <f ca="1">IF(NORMALIZADO!CG111="","",NORMALIZADO!CG111)</f>
        <v/>
      </c>
      <c r="K112" s="16" t="str">
        <f ca="1">IF(NORMALIZADO!CH111="","",NORMALIZADO!CH111)</f>
        <v/>
      </c>
      <c r="L112" s="16" t="str">
        <f>IF(NORMALIZADO!CI111="","",NORMALIZADO!CI111)</f>
        <v/>
      </c>
      <c r="M112" s="16" t="str">
        <f>IF(NORMALIZADO!CJ111="","",NORMALIZADO!CJ111)</f>
        <v/>
      </c>
      <c r="N112" s="16" t="str">
        <f>IF(NORMALIZADO!CK111="","",NORMALIZADO!CK111)</f>
        <v/>
      </c>
      <c r="O112" s="16" t="str">
        <f>IF(NORMALIZADO!CL111="","",NORMALIZADO!CL111)</f>
        <v/>
      </c>
      <c r="P112" s="17" t="str">
        <f t="shared" ca="1" si="33"/>
        <v/>
      </c>
      <c r="Q112" s="17">
        <f t="shared" ca="1" si="34"/>
        <v>0</v>
      </c>
      <c r="R112" s="17">
        <f t="shared" ca="1" si="35"/>
        <v>0</v>
      </c>
      <c r="S112" s="17">
        <f t="shared" ca="1" si="36"/>
        <v>0</v>
      </c>
      <c r="T112" s="17">
        <f ca="1">IFERROR((K112+M112+MATRIZ_174!O111)/3,0)</f>
        <v>0</v>
      </c>
      <c r="U112" s="18">
        <f>IFERROR(MIN(100,ROUND(MATRIZ_174!M111,1)),0)</f>
        <v>0</v>
      </c>
      <c r="V112" s="18">
        <f t="shared" ca="1" si="37"/>
        <v>50</v>
      </c>
      <c r="W112" s="18">
        <f>IFERROR(IF(MATRIZ_174!R111=0,65,IF(MATRIZ_174!R111/MATRIZ_174!Q111&gt;=2,35,IF(MATRIZ_174!R111/MATRIZ_174!Q111&gt;=0.5,50,65))),65)</f>
        <v>65</v>
      </c>
      <c r="X112" s="18">
        <f>IFERROR(MIN(100,IF(MATRIZ_174!O111=0,70,30)+IF(MATRIZ_174!U111="",0,0.3*(100-MATRIZ_174!U111*100))),70)</f>
        <v>70</v>
      </c>
      <c r="Y112" s="18">
        <f>IF(OR(MATRIZ_174!P111="ASOCIACION",MATRIZ_174!P111="PENDIENTE"),65,40)</f>
        <v>65</v>
      </c>
      <c r="Z112" s="19" t="str">
        <f t="shared" ca="1" si="38"/>
        <v>—</v>
      </c>
      <c r="AA112" s="20">
        <f t="shared" ca="1" si="39"/>
        <v>50</v>
      </c>
      <c r="AB112" s="21" t="str">
        <f t="shared" ca="1" si="40"/>
        <v>—</v>
      </c>
      <c r="AC112" s="13" t="str">
        <f t="shared" ca="1" si="41"/>
        <v>⬜  Pendiente de instrumento</v>
      </c>
      <c r="AD112" s="13" t="str">
        <f>IF(MATRIZ_174!U111="","",IF(MATRIZ_174!U111=0,"🚫  Inh. vigente OSCE",""))</f>
        <v/>
      </c>
      <c r="AE112" s="22">
        <f>IFERROR(MATRIZ_174!W111,0)</f>
        <v>0</v>
      </c>
      <c r="AF112" s="22">
        <f>IFERROR(MATRIZ_174!X111,0)</f>
        <v>0</v>
      </c>
      <c r="AG112" s="22">
        <f>IFERROR(MATRIZ_174!Y111,0)</f>
        <v>0</v>
      </c>
      <c r="AH112" s="22">
        <f>IFERROR(MATRIZ_174!Z111,0)</f>
        <v>0</v>
      </c>
      <c r="AI112" s="17">
        <f ca="1">IFERROR(MATRIZ_174!AP111,"N/A")</f>
        <v>0</v>
      </c>
      <c r="AJ112" s="17">
        <f>IFERROR(MATRIZ_174!AO111,"N/A")</f>
        <v>0</v>
      </c>
      <c r="AK112" s="23" t="str">
        <f t="shared" ca="1" si="42"/>
        <v>N/A</v>
      </c>
      <c r="AL112" s="24" t="str">
        <f t="shared" ca="1" si="43"/>
        <v>—</v>
      </c>
    </row>
    <row r="113" spans="1:38" ht="16.05" customHeight="1" x14ac:dyDescent="0.3">
      <c r="A113" s="13" t="s">
        <v>317</v>
      </c>
      <c r="B113" s="14" t="s">
        <v>318</v>
      </c>
      <c r="C113" s="13" t="s">
        <v>123</v>
      </c>
      <c r="D113" s="15">
        <v>0</v>
      </c>
      <c r="E113" s="16" t="str">
        <f>IF(NORMALIZADO!CB112="","",NORMALIZADO!CB112)</f>
        <v/>
      </c>
      <c r="F113" s="17" t="str">
        <f ca="1">IF(NORMALIZADO!CC112="","",NORMALIZADO!CC112)</f>
        <v/>
      </c>
      <c r="G113" s="17">
        <f ca="1">IF(NORMALIZADO!CD112="",IFERROR(MATRIZ_174!U112*100,""),NORMALIZADO!CD112)</f>
        <v>100</v>
      </c>
      <c r="H113" s="16" t="str">
        <f>IF(NORMALIZADO!CE112="","",NORMALIZADO!CE112)</f>
        <v/>
      </c>
      <c r="I113" s="17" t="str">
        <f>IF(NORMALIZADO!CF112="","",NORMALIZADO!CF112)</f>
        <v/>
      </c>
      <c r="J113" s="17" t="str">
        <f ca="1">IF(NORMALIZADO!CG112="","",NORMALIZADO!CG112)</f>
        <v/>
      </c>
      <c r="K113" s="16" t="str">
        <f ca="1">IF(NORMALIZADO!CH112="","",NORMALIZADO!CH112)</f>
        <v/>
      </c>
      <c r="L113" s="16" t="str">
        <f>IF(NORMALIZADO!CI112="","",NORMALIZADO!CI112)</f>
        <v/>
      </c>
      <c r="M113" s="16" t="str">
        <f>IF(NORMALIZADO!CJ112="","",NORMALIZADO!CJ112)</f>
        <v/>
      </c>
      <c r="N113" s="16" t="str">
        <f>IF(NORMALIZADO!CK112="","",NORMALIZADO!CK112)</f>
        <v/>
      </c>
      <c r="O113" s="16" t="str">
        <f>IF(NORMALIZADO!CL112="","",NORMALIZADO!CL112)</f>
        <v/>
      </c>
      <c r="P113" s="17" t="str">
        <f t="shared" ca="1" si="33"/>
        <v/>
      </c>
      <c r="Q113" s="17">
        <f t="shared" ca="1" si="34"/>
        <v>0</v>
      </c>
      <c r="R113" s="17">
        <f t="shared" ca="1" si="35"/>
        <v>0</v>
      </c>
      <c r="S113" s="17">
        <f t="shared" ca="1" si="36"/>
        <v>0</v>
      </c>
      <c r="T113" s="17">
        <f ca="1">IFERROR((K113+M113+MATRIZ_174!O112)/3,0)</f>
        <v>0</v>
      </c>
      <c r="U113" s="18">
        <f>IFERROR(MIN(100,ROUND(MATRIZ_174!M112,1)),0)</f>
        <v>0</v>
      </c>
      <c r="V113" s="18">
        <f t="shared" ca="1" si="37"/>
        <v>50</v>
      </c>
      <c r="W113" s="18">
        <f>IFERROR(IF(MATRIZ_174!R112=0,65,IF(MATRIZ_174!R112/MATRIZ_174!Q112&gt;=2,35,IF(MATRIZ_174!R112/MATRIZ_174!Q112&gt;=0.5,50,65))),65)</f>
        <v>65</v>
      </c>
      <c r="X113" s="18">
        <f>IFERROR(MIN(100,IF(MATRIZ_174!O112=0,70,30)+IF(MATRIZ_174!U112="",0,0.3*(100-MATRIZ_174!U112*100))),70)</f>
        <v>70</v>
      </c>
      <c r="Y113" s="18">
        <f>IF(OR(MATRIZ_174!P112="ASOCIACION",MATRIZ_174!P112="PENDIENTE"),65,40)</f>
        <v>65</v>
      </c>
      <c r="Z113" s="19" t="str">
        <f t="shared" ca="1" si="38"/>
        <v>—</v>
      </c>
      <c r="AA113" s="20">
        <f t="shared" ca="1" si="39"/>
        <v>50</v>
      </c>
      <c r="AB113" s="21" t="str">
        <f t="shared" ca="1" si="40"/>
        <v>—</v>
      </c>
      <c r="AC113" s="13" t="str">
        <f t="shared" ca="1" si="41"/>
        <v>⬜  Pendiente de instrumento</v>
      </c>
      <c r="AD113" s="13" t="str">
        <f>IF(MATRIZ_174!U112="","",IF(MATRIZ_174!U112=0,"🚫  Inh. vigente OSCE",""))</f>
        <v/>
      </c>
      <c r="AE113" s="22">
        <f>IFERROR(MATRIZ_174!W112,0)</f>
        <v>0</v>
      </c>
      <c r="AF113" s="22">
        <f>IFERROR(MATRIZ_174!X112,0)</f>
        <v>0</v>
      </c>
      <c r="AG113" s="22">
        <f>IFERROR(MATRIZ_174!Y112,0)</f>
        <v>0</v>
      </c>
      <c r="AH113" s="22">
        <f>IFERROR(MATRIZ_174!Z112,0)</f>
        <v>0</v>
      </c>
      <c r="AI113" s="17">
        <f ca="1">IFERROR(MATRIZ_174!AP112,"N/A")</f>
        <v>0</v>
      </c>
      <c r="AJ113" s="17">
        <f>IFERROR(MATRIZ_174!AO112,"N/A")</f>
        <v>0</v>
      </c>
      <c r="AK113" s="23" t="str">
        <f t="shared" ca="1" si="42"/>
        <v>N/A</v>
      </c>
      <c r="AL113" s="24" t="str">
        <f t="shared" ca="1" si="43"/>
        <v>—</v>
      </c>
    </row>
    <row r="114" spans="1:38" ht="16.05" customHeight="1" x14ac:dyDescent="0.3">
      <c r="A114" s="13" t="s">
        <v>319</v>
      </c>
      <c r="B114" s="14" t="s">
        <v>320</v>
      </c>
      <c r="C114" s="13" t="s">
        <v>154</v>
      </c>
      <c r="D114" s="15">
        <v>0</v>
      </c>
      <c r="E114" s="16" t="str">
        <f>IF(NORMALIZADO!CB113="","",NORMALIZADO!CB113)</f>
        <v/>
      </c>
      <c r="F114" s="17" t="str">
        <f ca="1">IF(NORMALIZADO!CC113="","",NORMALIZADO!CC113)</f>
        <v/>
      </c>
      <c r="G114" s="17">
        <f ca="1">IF(NORMALIZADO!CD113="",IFERROR(MATRIZ_174!U113*100,""),NORMALIZADO!CD113)</f>
        <v>100</v>
      </c>
      <c r="H114" s="16" t="str">
        <f>IF(NORMALIZADO!CE113="","",NORMALIZADO!CE113)</f>
        <v/>
      </c>
      <c r="I114" s="17" t="str">
        <f>IF(NORMALIZADO!CF113="","",NORMALIZADO!CF113)</f>
        <v/>
      </c>
      <c r="J114" s="17" t="str">
        <f ca="1">IF(NORMALIZADO!CG113="","",NORMALIZADO!CG113)</f>
        <v/>
      </c>
      <c r="K114" s="16" t="str">
        <f ca="1">IF(NORMALIZADO!CH113="","",NORMALIZADO!CH113)</f>
        <v/>
      </c>
      <c r="L114" s="16" t="str">
        <f>IF(NORMALIZADO!CI113="","",NORMALIZADO!CI113)</f>
        <v/>
      </c>
      <c r="M114" s="16" t="str">
        <f>IF(NORMALIZADO!CJ113="","",NORMALIZADO!CJ113)</f>
        <v/>
      </c>
      <c r="N114" s="16" t="str">
        <f>IF(NORMALIZADO!CK113="","",NORMALIZADO!CK113)</f>
        <v/>
      </c>
      <c r="O114" s="16" t="str">
        <f>IF(NORMALIZADO!CL113="","",NORMALIZADO!CL113)</f>
        <v/>
      </c>
      <c r="P114" s="17" t="str">
        <f t="shared" ca="1" si="33"/>
        <v/>
      </c>
      <c r="Q114" s="17">
        <f t="shared" ca="1" si="34"/>
        <v>0</v>
      </c>
      <c r="R114" s="17">
        <f t="shared" ca="1" si="35"/>
        <v>0</v>
      </c>
      <c r="S114" s="17">
        <f t="shared" ca="1" si="36"/>
        <v>0</v>
      </c>
      <c r="T114" s="17">
        <f ca="1">IFERROR((K114+M114+MATRIZ_174!O113)/3,0)</f>
        <v>0</v>
      </c>
      <c r="U114" s="18">
        <f>IFERROR(MIN(100,ROUND(MATRIZ_174!M113,1)),0)</f>
        <v>0</v>
      </c>
      <c r="V114" s="18">
        <f t="shared" ca="1" si="37"/>
        <v>50</v>
      </c>
      <c r="W114" s="18">
        <f>IFERROR(IF(MATRIZ_174!R113=0,65,IF(MATRIZ_174!R113/MATRIZ_174!Q113&gt;=2,35,IF(MATRIZ_174!R113/MATRIZ_174!Q113&gt;=0.5,50,65))),65)</f>
        <v>65</v>
      </c>
      <c r="X114" s="18">
        <f>IFERROR(MIN(100,IF(MATRIZ_174!O113=0,70,30)+IF(MATRIZ_174!U113="",0,0.3*(100-MATRIZ_174!U113*100))),70)</f>
        <v>70</v>
      </c>
      <c r="Y114" s="18">
        <f>IF(OR(MATRIZ_174!P113="ASOCIACION",MATRIZ_174!P113="PENDIENTE"),65,40)</f>
        <v>65</v>
      </c>
      <c r="Z114" s="19" t="str">
        <f t="shared" ca="1" si="38"/>
        <v>—</v>
      </c>
      <c r="AA114" s="20">
        <f t="shared" ca="1" si="39"/>
        <v>50</v>
      </c>
      <c r="AB114" s="21" t="str">
        <f t="shared" ca="1" si="40"/>
        <v>—</v>
      </c>
      <c r="AC114" s="13" t="str">
        <f t="shared" ca="1" si="41"/>
        <v>⬜  Pendiente de instrumento</v>
      </c>
      <c r="AD114" s="13" t="str">
        <f>IF(MATRIZ_174!U113="","",IF(MATRIZ_174!U113=0,"🚫  Inh. vigente OSCE",""))</f>
        <v/>
      </c>
      <c r="AE114" s="22">
        <f>IFERROR(MATRIZ_174!W113,0)</f>
        <v>0</v>
      </c>
      <c r="AF114" s="22">
        <f>IFERROR(MATRIZ_174!X113,0)</f>
        <v>0</v>
      </c>
      <c r="AG114" s="22">
        <f>IFERROR(MATRIZ_174!Y113,0)</f>
        <v>0</v>
      </c>
      <c r="AH114" s="22">
        <f>IFERROR(MATRIZ_174!Z113,0)</f>
        <v>0</v>
      </c>
      <c r="AI114" s="17">
        <f ca="1">IFERROR(MATRIZ_174!AP113,"N/A")</f>
        <v>0</v>
      </c>
      <c r="AJ114" s="17">
        <f>IFERROR(MATRIZ_174!AO113,"N/A")</f>
        <v>0</v>
      </c>
      <c r="AK114" s="23" t="str">
        <f t="shared" ca="1" si="42"/>
        <v>N/A</v>
      </c>
      <c r="AL114" s="24" t="str">
        <f t="shared" ca="1" si="43"/>
        <v>—</v>
      </c>
    </row>
    <row r="115" spans="1:38" ht="16.05" customHeight="1" x14ac:dyDescent="0.3">
      <c r="A115" s="13" t="s">
        <v>321</v>
      </c>
      <c r="B115" s="14" t="s">
        <v>322</v>
      </c>
      <c r="C115" s="13" t="s">
        <v>248</v>
      </c>
      <c r="D115" s="15">
        <v>0</v>
      </c>
      <c r="E115" s="16" t="str">
        <f>IF(NORMALIZADO!CB114="","",NORMALIZADO!CB114)</f>
        <v/>
      </c>
      <c r="F115" s="17" t="str">
        <f ca="1">IF(NORMALIZADO!CC114="","",NORMALIZADO!CC114)</f>
        <v/>
      </c>
      <c r="G115" s="17">
        <f ca="1">IF(NORMALIZADO!CD114="",IFERROR(MATRIZ_174!U114*100,""),NORMALIZADO!CD114)</f>
        <v>100</v>
      </c>
      <c r="H115" s="16" t="str">
        <f>IF(NORMALIZADO!CE114="","",NORMALIZADO!CE114)</f>
        <v/>
      </c>
      <c r="I115" s="17" t="str">
        <f>IF(NORMALIZADO!CF114="","",NORMALIZADO!CF114)</f>
        <v/>
      </c>
      <c r="J115" s="17" t="str">
        <f ca="1">IF(NORMALIZADO!CG114="","",NORMALIZADO!CG114)</f>
        <v/>
      </c>
      <c r="K115" s="16" t="str">
        <f ca="1">IF(NORMALIZADO!CH114="","",NORMALIZADO!CH114)</f>
        <v/>
      </c>
      <c r="L115" s="16" t="str">
        <f>IF(NORMALIZADO!CI114="","",NORMALIZADO!CI114)</f>
        <v/>
      </c>
      <c r="M115" s="16" t="str">
        <f>IF(NORMALIZADO!CJ114="","",NORMALIZADO!CJ114)</f>
        <v/>
      </c>
      <c r="N115" s="16" t="str">
        <f>IF(NORMALIZADO!CK114="","",NORMALIZADO!CK114)</f>
        <v/>
      </c>
      <c r="O115" s="16" t="str">
        <f>IF(NORMALIZADO!CL114="","",NORMALIZADO!CL114)</f>
        <v/>
      </c>
      <c r="P115" s="17" t="str">
        <f t="shared" ca="1" si="33"/>
        <v/>
      </c>
      <c r="Q115" s="17">
        <f t="shared" ca="1" si="34"/>
        <v>0</v>
      </c>
      <c r="R115" s="17">
        <f t="shared" ca="1" si="35"/>
        <v>0</v>
      </c>
      <c r="S115" s="17">
        <f t="shared" ca="1" si="36"/>
        <v>0</v>
      </c>
      <c r="T115" s="17">
        <f ca="1">IFERROR((K115+M115+MATRIZ_174!O114)/3,0)</f>
        <v>0</v>
      </c>
      <c r="U115" s="18">
        <f>IFERROR(MIN(100,ROUND(MATRIZ_174!M114,1)),0)</f>
        <v>0</v>
      </c>
      <c r="V115" s="18">
        <f t="shared" ca="1" si="37"/>
        <v>50</v>
      </c>
      <c r="W115" s="18">
        <f>IFERROR(IF(MATRIZ_174!R114=0,65,IF(MATRIZ_174!R114/MATRIZ_174!Q114&gt;=2,35,IF(MATRIZ_174!R114/MATRIZ_174!Q114&gt;=0.5,50,65))),65)</f>
        <v>65</v>
      </c>
      <c r="X115" s="18">
        <f>IFERROR(MIN(100,IF(MATRIZ_174!O114=0,70,30)+IF(MATRIZ_174!U114="",0,0.3*(100-MATRIZ_174!U114*100))),70)</f>
        <v>70</v>
      </c>
      <c r="Y115" s="18">
        <f>IF(OR(MATRIZ_174!P114="ASOCIACION",MATRIZ_174!P114="PENDIENTE"),65,40)</f>
        <v>65</v>
      </c>
      <c r="Z115" s="19" t="str">
        <f t="shared" ca="1" si="38"/>
        <v>—</v>
      </c>
      <c r="AA115" s="20">
        <f t="shared" ca="1" si="39"/>
        <v>50</v>
      </c>
      <c r="AB115" s="21" t="str">
        <f t="shared" ca="1" si="40"/>
        <v>—</v>
      </c>
      <c r="AC115" s="13" t="str">
        <f t="shared" ca="1" si="41"/>
        <v>⬜  Pendiente de instrumento</v>
      </c>
      <c r="AD115" s="13" t="str">
        <f>IF(MATRIZ_174!U114="","",IF(MATRIZ_174!U114=0,"🚫  Inh. vigente OSCE",""))</f>
        <v/>
      </c>
      <c r="AE115" s="22">
        <f>IFERROR(MATRIZ_174!W114,0)</f>
        <v>0</v>
      </c>
      <c r="AF115" s="22">
        <f>IFERROR(MATRIZ_174!X114,0)</f>
        <v>0</v>
      </c>
      <c r="AG115" s="22">
        <f>IFERROR(MATRIZ_174!Y114,0)</f>
        <v>0</v>
      </c>
      <c r="AH115" s="22">
        <f>IFERROR(MATRIZ_174!Z114,0)</f>
        <v>0</v>
      </c>
      <c r="AI115" s="17">
        <f ca="1">IFERROR(MATRIZ_174!AP114,"N/A")</f>
        <v>0</v>
      </c>
      <c r="AJ115" s="17">
        <f>IFERROR(MATRIZ_174!AO114,"N/A")</f>
        <v>0</v>
      </c>
      <c r="AK115" s="23" t="str">
        <f t="shared" ca="1" si="42"/>
        <v>N/A</v>
      </c>
      <c r="AL115" s="24" t="str">
        <f t="shared" ca="1" si="43"/>
        <v>—</v>
      </c>
    </row>
    <row r="116" spans="1:38" ht="16.05" customHeight="1" x14ac:dyDescent="0.3">
      <c r="A116" s="13" t="s">
        <v>323</v>
      </c>
      <c r="B116" s="14" t="s">
        <v>324</v>
      </c>
      <c r="C116" s="13" t="s">
        <v>143</v>
      </c>
      <c r="D116" s="15">
        <v>0</v>
      </c>
      <c r="E116" s="16" t="str">
        <f>IF(NORMALIZADO!CB115="","",NORMALIZADO!CB115)</f>
        <v/>
      </c>
      <c r="F116" s="17" t="str">
        <f ca="1">IF(NORMALIZADO!CC115="","",NORMALIZADO!CC115)</f>
        <v/>
      </c>
      <c r="G116" s="17">
        <f ca="1">IF(NORMALIZADO!CD115="",IFERROR(MATRIZ_174!U115*100,""),NORMALIZADO!CD115)</f>
        <v>100</v>
      </c>
      <c r="H116" s="16" t="str">
        <f>IF(NORMALIZADO!CE115="","",NORMALIZADO!CE115)</f>
        <v/>
      </c>
      <c r="I116" s="17" t="str">
        <f>IF(NORMALIZADO!CF115="","",NORMALIZADO!CF115)</f>
        <v/>
      </c>
      <c r="J116" s="17" t="str">
        <f ca="1">IF(NORMALIZADO!CG115="","",NORMALIZADO!CG115)</f>
        <v/>
      </c>
      <c r="K116" s="16" t="str">
        <f ca="1">IF(NORMALIZADO!CH115="","",NORMALIZADO!CH115)</f>
        <v/>
      </c>
      <c r="L116" s="16" t="str">
        <f>IF(NORMALIZADO!CI115="","",NORMALIZADO!CI115)</f>
        <v/>
      </c>
      <c r="M116" s="16" t="str">
        <f>IF(NORMALIZADO!CJ115="","",NORMALIZADO!CJ115)</f>
        <v/>
      </c>
      <c r="N116" s="16" t="str">
        <f>IF(NORMALIZADO!CK115="","",NORMALIZADO!CK115)</f>
        <v/>
      </c>
      <c r="O116" s="16" t="str">
        <f>IF(NORMALIZADO!CL115="","",NORMALIZADO!CL115)</f>
        <v/>
      </c>
      <c r="P116" s="17" t="str">
        <f t="shared" ca="1" si="33"/>
        <v/>
      </c>
      <c r="Q116" s="17">
        <f t="shared" ca="1" si="34"/>
        <v>0</v>
      </c>
      <c r="R116" s="17">
        <f t="shared" ca="1" si="35"/>
        <v>0</v>
      </c>
      <c r="S116" s="17">
        <f t="shared" ca="1" si="36"/>
        <v>0</v>
      </c>
      <c r="T116" s="17">
        <f ca="1">IFERROR((K116+M116+MATRIZ_174!O115)/3,0)</f>
        <v>0</v>
      </c>
      <c r="U116" s="18">
        <f>IFERROR(MIN(100,ROUND(MATRIZ_174!M115,1)),0)</f>
        <v>0</v>
      </c>
      <c r="V116" s="18">
        <f t="shared" ca="1" si="37"/>
        <v>50</v>
      </c>
      <c r="W116" s="18">
        <f>IFERROR(IF(MATRIZ_174!R115=0,65,IF(MATRIZ_174!R115/MATRIZ_174!Q115&gt;=2,35,IF(MATRIZ_174!R115/MATRIZ_174!Q115&gt;=0.5,50,65))),65)</f>
        <v>65</v>
      </c>
      <c r="X116" s="18">
        <f>IFERROR(MIN(100,IF(MATRIZ_174!O115=0,70,30)+IF(MATRIZ_174!U115="",0,0.3*(100-MATRIZ_174!U115*100))),70)</f>
        <v>70</v>
      </c>
      <c r="Y116" s="18">
        <f>IF(OR(MATRIZ_174!P115="ASOCIACION",MATRIZ_174!P115="PENDIENTE"),65,40)</f>
        <v>65</v>
      </c>
      <c r="Z116" s="19" t="str">
        <f t="shared" ca="1" si="38"/>
        <v>—</v>
      </c>
      <c r="AA116" s="20">
        <f t="shared" ca="1" si="39"/>
        <v>50</v>
      </c>
      <c r="AB116" s="21" t="str">
        <f t="shared" ca="1" si="40"/>
        <v>—</v>
      </c>
      <c r="AC116" s="13" t="str">
        <f t="shared" ca="1" si="41"/>
        <v>⬜  Pendiente de instrumento</v>
      </c>
      <c r="AD116" s="13" t="str">
        <f>IF(MATRIZ_174!U115="","",IF(MATRIZ_174!U115=0,"🚫  Inh. vigente OSCE",""))</f>
        <v/>
      </c>
      <c r="AE116" s="22">
        <f>IFERROR(MATRIZ_174!W115,0)</f>
        <v>0</v>
      </c>
      <c r="AF116" s="22">
        <f>IFERROR(MATRIZ_174!X115,0)</f>
        <v>0</v>
      </c>
      <c r="AG116" s="22">
        <f>IFERROR(MATRIZ_174!Y115,0)</f>
        <v>0</v>
      </c>
      <c r="AH116" s="22">
        <f>IFERROR(MATRIZ_174!Z115,0)</f>
        <v>0</v>
      </c>
      <c r="AI116" s="17">
        <f ca="1">IFERROR(MATRIZ_174!AP115,"N/A")</f>
        <v>0</v>
      </c>
      <c r="AJ116" s="17">
        <f>IFERROR(MATRIZ_174!AO115,"N/A")</f>
        <v>0</v>
      </c>
      <c r="AK116" s="23" t="str">
        <f t="shared" ca="1" si="42"/>
        <v>N/A</v>
      </c>
      <c r="AL116" s="24" t="str">
        <f t="shared" ca="1" si="43"/>
        <v>—</v>
      </c>
    </row>
    <row r="117" spans="1:38" ht="16.05" customHeight="1" x14ac:dyDescent="0.3">
      <c r="A117" s="13" t="s">
        <v>325</v>
      </c>
      <c r="B117" s="14" t="s">
        <v>326</v>
      </c>
      <c r="C117" s="13" t="s">
        <v>248</v>
      </c>
      <c r="D117" s="15">
        <v>0</v>
      </c>
      <c r="E117" s="16" t="str">
        <f>IF(NORMALIZADO!CB116="","",NORMALIZADO!CB116)</f>
        <v/>
      </c>
      <c r="F117" s="17" t="str">
        <f ca="1">IF(NORMALIZADO!CC116="","",NORMALIZADO!CC116)</f>
        <v/>
      </c>
      <c r="G117" s="17">
        <f ca="1">IF(NORMALIZADO!CD116="",IFERROR(MATRIZ_174!U116*100,""),NORMALIZADO!CD116)</f>
        <v>100</v>
      </c>
      <c r="H117" s="16" t="str">
        <f>IF(NORMALIZADO!CE116="","",NORMALIZADO!CE116)</f>
        <v/>
      </c>
      <c r="I117" s="17" t="str">
        <f>IF(NORMALIZADO!CF116="","",NORMALIZADO!CF116)</f>
        <v/>
      </c>
      <c r="J117" s="17" t="str">
        <f ca="1">IF(NORMALIZADO!CG116="","",NORMALIZADO!CG116)</f>
        <v/>
      </c>
      <c r="K117" s="16" t="str">
        <f ca="1">IF(NORMALIZADO!CH116="","",NORMALIZADO!CH116)</f>
        <v/>
      </c>
      <c r="L117" s="16" t="str">
        <f>IF(NORMALIZADO!CI116="","",NORMALIZADO!CI116)</f>
        <v/>
      </c>
      <c r="M117" s="16" t="str">
        <f>IF(NORMALIZADO!CJ116="","",NORMALIZADO!CJ116)</f>
        <v/>
      </c>
      <c r="N117" s="16" t="str">
        <f>IF(NORMALIZADO!CK116="","",NORMALIZADO!CK116)</f>
        <v/>
      </c>
      <c r="O117" s="16" t="str">
        <f>IF(NORMALIZADO!CL116="","",NORMALIZADO!CL116)</f>
        <v/>
      </c>
      <c r="P117" s="17" t="str">
        <f t="shared" ca="1" si="33"/>
        <v/>
      </c>
      <c r="Q117" s="17">
        <f t="shared" ca="1" si="34"/>
        <v>0</v>
      </c>
      <c r="R117" s="17">
        <f t="shared" ca="1" si="35"/>
        <v>0</v>
      </c>
      <c r="S117" s="17">
        <f t="shared" ca="1" si="36"/>
        <v>0</v>
      </c>
      <c r="T117" s="17">
        <f ca="1">IFERROR((K117+M117+MATRIZ_174!O116)/3,0)</f>
        <v>0</v>
      </c>
      <c r="U117" s="18">
        <f>IFERROR(MIN(100,ROUND(MATRIZ_174!M116,1)),0)</f>
        <v>0</v>
      </c>
      <c r="V117" s="18">
        <f t="shared" ca="1" si="37"/>
        <v>50</v>
      </c>
      <c r="W117" s="18">
        <f>IFERROR(IF(MATRIZ_174!R116=0,65,IF(MATRIZ_174!R116/MATRIZ_174!Q116&gt;=2,35,IF(MATRIZ_174!R116/MATRIZ_174!Q116&gt;=0.5,50,65))),65)</f>
        <v>65</v>
      </c>
      <c r="X117" s="18">
        <f>IFERROR(MIN(100,IF(MATRIZ_174!O116=0,70,30)+IF(MATRIZ_174!U116="",0,0.3*(100-MATRIZ_174!U116*100))),70)</f>
        <v>70</v>
      </c>
      <c r="Y117" s="18">
        <f>IF(OR(MATRIZ_174!P116="ASOCIACION",MATRIZ_174!P116="PENDIENTE"),65,40)</f>
        <v>65</v>
      </c>
      <c r="Z117" s="19" t="str">
        <f t="shared" ca="1" si="38"/>
        <v>—</v>
      </c>
      <c r="AA117" s="20">
        <f t="shared" ca="1" si="39"/>
        <v>50</v>
      </c>
      <c r="AB117" s="21" t="str">
        <f t="shared" ca="1" si="40"/>
        <v>—</v>
      </c>
      <c r="AC117" s="13" t="str">
        <f t="shared" ca="1" si="41"/>
        <v>⬜  Pendiente de instrumento</v>
      </c>
      <c r="AD117" s="13" t="str">
        <f>IF(MATRIZ_174!U116="","",IF(MATRIZ_174!U116=0,"🚫  Inh. vigente OSCE",""))</f>
        <v/>
      </c>
      <c r="AE117" s="22">
        <f>IFERROR(MATRIZ_174!W116,0)</f>
        <v>0</v>
      </c>
      <c r="AF117" s="22">
        <f>IFERROR(MATRIZ_174!X116,0)</f>
        <v>0</v>
      </c>
      <c r="AG117" s="22">
        <f>IFERROR(MATRIZ_174!Y116,0)</f>
        <v>0</v>
      </c>
      <c r="AH117" s="22">
        <f>IFERROR(MATRIZ_174!Z116,0)</f>
        <v>0</v>
      </c>
      <c r="AI117" s="17">
        <f ca="1">IFERROR(MATRIZ_174!AP116,"N/A")</f>
        <v>0</v>
      </c>
      <c r="AJ117" s="17">
        <f>IFERROR(MATRIZ_174!AO116,"N/A")</f>
        <v>0</v>
      </c>
      <c r="AK117" s="23" t="str">
        <f t="shared" ca="1" si="42"/>
        <v>N/A</v>
      </c>
      <c r="AL117" s="24" t="str">
        <f t="shared" ca="1" si="43"/>
        <v>—</v>
      </c>
    </row>
    <row r="118" spans="1:38" ht="16.05" customHeight="1" x14ac:dyDescent="0.3">
      <c r="A118" s="13" t="s">
        <v>327</v>
      </c>
      <c r="B118" s="14" t="s">
        <v>328</v>
      </c>
      <c r="C118" s="13" t="s">
        <v>183</v>
      </c>
      <c r="D118" s="15">
        <v>0</v>
      </c>
      <c r="E118" s="16" t="str">
        <f>IF(NORMALIZADO!CB117="","",NORMALIZADO!CB117)</f>
        <v/>
      </c>
      <c r="F118" s="17" t="str">
        <f ca="1">IF(NORMALIZADO!CC117="","",NORMALIZADO!CC117)</f>
        <v/>
      </c>
      <c r="G118" s="17">
        <f ca="1">IF(NORMALIZADO!CD117="",IFERROR(MATRIZ_174!U117*100,""),NORMALIZADO!CD117)</f>
        <v>100</v>
      </c>
      <c r="H118" s="16" t="str">
        <f>IF(NORMALIZADO!CE117="","",NORMALIZADO!CE117)</f>
        <v/>
      </c>
      <c r="I118" s="17" t="str">
        <f>IF(NORMALIZADO!CF117="","",NORMALIZADO!CF117)</f>
        <v/>
      </c>
      <c r="J118" s="17" t="str">
        <f ca="1">IF(NORMALIZADO!CG117="","",NORMALIZADO!CG117)</f>
        <v/>
      </c>
      <c r="K118" s="16" t="str">
        <f ca="1">IF(NORMALIZADO!CH117="","",NORMALIZADO!CH117)</f>
        <v/>
      </c>
      <c r="L118" s="16" t="str">
        <f>IF(NORMALIZADO!CI117="","",NORMALIZADO!CI117)</f>
        <v/>
      </c>
      <c r="M118" s="16" t="str">
        <f>IF(NORMALIZADO!CJ117="","",NORMALIZADO!CJ117)</f>
        <v/>
      </c>
      <c r="N118" s="16" t="str">
        <f>IF(NORMALIZADO!CK117="","",NORMALIZADO!CK117)</f>
        <v/>
      </c>
      <c r="O118" s="16" t="str">
        <f>IF(NORMALIZADO!CL117="","",NORMALIZADO!CL117)</f>
        <v/>
      </c>
      <c r="P118" s="17" t="str">
        <f t="shared" ca="1" si="33"/>
        <v/>
      </c>
      <c r="Q118" s="17">
        <f t="shared" ca="1" si="34"/>
        <v>0</v>
      </c>
      <c r="R118" s="17">
        <f t="shared" ca="1" si="35"/>
        <v>0</v>
      </c>
      <c r="S118" s="17">
        <f t="shared" ca="1" si="36"/>
        <v>0</v>
      </c>
      <c r="T118" s="17">
        <f ca="1">IFERROR((K118+M118+MATRIZ_174!O117)/3,0)</f>
        <v>0</v>
      </c>
      <c r="U118" s="18">
        <f>IFERROR(MIN(100,ROUND(MATRIZ_174!M117,1)),0)</f>
        <v>0</v>
      </c>
      <c r="V118" s="18">
        <f t="shared" ca="1" si="37"/>
        <v>50</v>
      </c>
      <c r="W118" s="18">
        <f>IFERROR(IF(MATRIZ_174!R117=0,65,IF(MATRIZ_174!R117/MATRIZ_174!Q117&gt;=2,35,IF(MATRIZ_174!R117/MATRIZ_174!Q117&gt;=0.5,50,65))),65)</f>
        <v>65</v>
      </c>
      <c r="X118" s="18">
        <f>IFERROR(MIN(100,IF(MATRIZ_174!O117=0,70,30)+IF(MATRIZ_174!U117="",0,0.3*(100-MATRIZ_174!U117*100))),70)</f>
        <v>70</v>
      </c>
      <c r="Y118" s="18">
        <f>IF(OR(MATRIZ_174!P117="ASOCIACION",MATRIZ_174!P117="PENDIENTE"),65,40)</f>
        <v>65</v>
      </c>
      <c r="Z118" s="19" t="str">
        <f t="shared" ca="1" si="38"/>
        <v>—</v>
      </c>
      <c r="AA118" s="20">
        <f t="shared" ca="1" si="39"/>
        <v>50</v>
      </c>
      <c r="AB118" s="21" t="str">
        <f t="shared" ca="1" si="40"/>
        <v>—</v>
      </c>
      <c r="AC118" s="13" t="str">
        <f t="shared" ca="1" si="41"/>
        <v>⬜  Pendiente de instrumento</v>
      </c>
      <c r="AD118" s="13" t="str">
        <f>IF(MATRIZ_174!U117="","",IF(MATRIZ_174!U117=0,"🚫  Inh. vigente OSCE",""))</f>
        <v/>
      </c>
      <c r="AE118" s="22">
        <f>IFERROR(MATRIZ_174!W117,0)</f>
        <v>0</v>
      </c>
      <c r="AF118" s="22">
        <f>IFERROR(MATRIZ_174!X117,0)</f>
        <v>0</v>
      </c>
      <c r="AG118" s="22">
        <f>IFERROR(MATRIZ_174!Y117,0)</f>
        <v>0</v>
      </c>
      <c r="AH118" s="22">
        <f>IFERROR(MATRIZ_174!Z117,0)</f>
        <v>0</v>
      </c>
      <c r="AI118" s="17">
        <f ca="1">IFERROR(MATRIZ_174!AP117,"N/A")</f>
        <v>0</v>
      </c>
      <c r="AJ118" s="17">
        <f>IFERROR(MATRIZ_174!AO117,"N/A")</f>
        <v>0</v>
      </c>
      <c r="AK118" s="23" t="str">
        <f t="shared" ca="1" si="42"/>
        <v>N/A</v>
      </c>
      <c r="AL118" s="24" t="str">
        <f t="shared" ca="1" si="43"/>
        <v>—</v>
      </c>
    </row>
    <row r="119" spans="1:38" ht="16.05" customHeight="1" x14ac:dyDescent="0.3">
      <c r="A119" s="13" t="s">
        <v>329</v>
      </c>
      <c r="B119" s="14" t="s">
        <v>330</v>
      </c>
      <c r="C119" s="13" t="s">
        <v>113</v>
      </c>
      <c r="D119" s="15">
        <v>0</v>
      </c>
      <c r="E119" s="16" t="str">
        <f>IF(NORMALIZADO!CB118="","",NORMALIZADO!CB118)</f>
        <v/>
      </c>
      <c r="F119" s="17" t="str">
        <f ca="1">IF(NORMALIZADO!CC118="","",NORMALIZADO!CC118)</f>
        <v/>
      </c>
      <c r="G119" s="17">
        <f ca="1">IF(NORMALIZADO!CD118="",IFERROR(MATRIZ_174!U118*100,""),NORMALIZADO!CD118)</f>
        <v>100</v>
      </c>
      <c r="H119" s="16" t="str">
        <f>IF(NORMALIZADO!CE118="","",NORMALIZADO!CE118)</f>
        <v/>
      </c>
      <c r="I119" s="17" t="str">
        <f>IF(NORMALIZADO!CF118="","",NORMALIZADO!CF118)</f>
        <v/>
      </c>
      <c r="J119" s="17" t="str">
        <f ca="1">IF(NORMALIZADO!CG118="","",NORMALIZADO!CG118)</f>
        <v/>
      </c>
      <c r="K119" s="16" t="str">
        <f ca="1">IF(NORMALIZADO!CH118="","",NORMALIZADO!CH118)</f>
        <v/>
      </c>
      <c r="L119" s="16" t="str">
        <f>IF(NORMALIZADO!CI118="","",NORMALIZADO!CI118)</f>
        <v/>
      </c>
      <c r="M119" s="16" t="str">
        <f>IF(NORMALIZADO!CJ118="","",NORMALIZADO!CJ118)</f>
        <v/>
      </c>
      <c r="N119" s="16" t="str">
        <f>IF(NORMALIZADO!CK118="","",NORMALIZADO!CK118)</f>
        <v/>
      </c>
      <c r="O119" s="16" t="str">
        <f>IF(NORMALIZADO!CL118="","",NORMALIZADO!CL118)</f>
        <v/>
      </c>
      <c r="P119" s="17" t="str">
        <f t="shared" ca="1" si="33"/>
        <v/>
      </c>
      <c r="Q119" s="17">
        <f t="shared" ca="1" si="34"/>
        <v>0</v>
      </c>
      <c r="R119" s="17">
        <f t="shared" ca="1" si="35"/>
        <v>0</v>
      </c>
      <c r="S119" s="17">
        <f t="shared" ca="1" si="36"/>
        <v>0</v>
      </c>
      <c r="T119" s="17">
        <f ca="1">IFERROR((K119+M119+MATRIZ_174!O118)/3,0)</f>
        <v>0</v>
      </c>
      <c r="U119" s="18">
        <f>IFERROR(MIN(100,ROUND(MATRIZ_174!M118,1)),0)</f>
        <v>0</v>
      </c>
      <c r="V119" s="18">
        <f t="shared" ca="1" si="37"/>
        <v>50</v>
      </c>
      <c r="W119" s="18">
        <f>IFERROR(IF(MATRIZ_174!R118=0,65,IF(MATRIZ_174!R118/MATRIZ_174!Q118&gt;=2,35,IF(MATRIZ_174!R118/MATRIZ_174!Q118&gt;=0.5,50,65))),65)</f>
        <v>65</v>
      </c>
      <c r="X119" s="18">
        <f>IFERROR(MIN(100,IF(MATRIZ_174!O118=0,70,30)+IF(MATRIZ_174!U118="",0,0.3*(100-MATRIZ_174!U118*100))),70)</f>
        <v>70</v>
      </c>
      <c r="Y119" s="18">
        <f>IF(OR(MATRIZ_174!P118="ASOCIACION",MATRIZ_174!P118="PENDIENTE"),65,40)</f>
        <v>65</v>
      </c>
      <c r="Z119" s="19" t="str">
        <f t="shared" ca="1" si="38"/>
        <v>—</v>
      </c>
      <c r="AA119" s="20">
        <f t="shared" ca="1" si="39"/>
        <v>50</v>
      </c>
      <c r="AB119" s="21" t="str">
        <f t="shared" ca="1" si="40"/>
        <v>—</v>
      </c>
      <c r="AC119" s="13" t="str">
        <f t="shared" ca="1" si="41"/>
        <v>⬜  Pendiente de instrumento</v>
      </c>
      <c r="AD119" s="13" t="str">
        <f>IF(MATRIZ_174!U118="","",IF(MATRIZ_174!U118=0,"🚫  Inh. vigente OSCE",""))</f>
        <v/>
      </c>
      <c r="AE119" s="22">
        <f>IFERROR(MATRIZ_174!W118,0)</f>
        <v>0</v>
      </c>
      <c r="AF119" s="22">
        <f>IFERROR(MATRIZ_174!X118,0)</f>
        <v>0</v>
      </c>
      <c r="AG119" s="22">
        <f>IFERROR(MATRIZ_174!Y118,0)</f>
        <v>0</v>
      </c>
      <c r="AH119" s="22">
        <f>IFERROR(MATRIZ_174!Z118,0)</f>
        <v>0</v>
      </c>
      <c r="AI119" s="17">
        <f ca="1">IFERROR(MATRIZ_174!AP118,"N/A")</f>
        <v>0</v>
      </c>
      <c r="AJ119" s="17">
        <f>IFERROR(MATRIZ_174!AO118,"N/A")</f>
        <v>0</v>
      </c>
      <c r="AK119" s="23" t="str">
        <f t="shared" ca="1" si="42"/>
        <v>N/A</v>
      </c>
      <c r="AL119" s="24" t="str">
        <f t="shared" ca="1" si="43"/>
        <v>—</v>
      </c>
    </row>
    <row r="120" spans="1:38" ht="16.05" customHeight="1" x14ac:dyDescent="0.3">
      <c r="A120" s="13" t="s">
        <v>331</v>
      </c>
      <c r="B120" s="14" t="s">
        <v>332</v>
      </c>
      <c r="C120" s="13" t="s">
        <v>113</v>
      </c>
      <c r="D120" s="15">
        <v>0</v>
      </c>
      <c r="E120" s="16" t="str">
        <f>IF(NORMALIZADO!CB119="","",NORMALIZADO!CB119)</f>
        <v/>
      </c>
      <c r="F120" s="17" t="str">
        <f ca="1">IF(NORMALIZADO!CC119="","",NORMALIZADO!CC119)</f>
        <v/>
      </c>
      <c r="G120" s="17">
        <f ca="1">IF(NORMALIZADO!CD119="",IFERROR(MATRIZ_174!U119*100,""),NORMALIZADO!CD119)</f>
        <v>100</v>
      </c>
      <c r="H120" s="16" t="str">
        <f>IF(NORMALIZADO!CE119="","",NORMALIZADO!CE119)</f>
        <v/>
      </c>
      <c r="I120" s="17" t="str">
        <f>IF(NORMALIZADO!CF119="","",NORMALIZADO!CF119)</f>
        <v/>
      </c>
      <c r="J120" s="17" t="str">
        <f ca="1">IF(NORMALIZADO!CG119="","",NORMALIZADO!CG119)</f>
        <v/>
      </c>
      <c r="K120" s="16" t="str">
        <f ca="1">IF(NORMALIZADO!CH119="","",NORMALIZADO!CH119)</f>
        <v/>
      </c>
      <c r="L120" s="16" t="str">
        <f>IF(NORMALIZADO!CI119="","",NORMALIZADO!CI119)</f>
        <v/>
      </c>
      <c r="M120" s="16" t="str">
        <f>IF(NORMALIZADO!CJ119="","",NORMALIZADO!CJ119)</f>
        <v/>
      </c>
      <c r="N120" s="16" t="str">
        <f>IF(NORMALIZADO!CK119="","",NORMALIZADO!CK119)</f>
        <v/>
      </c>
      <c r="O120" s="16" t="str">
        <f>IF(NORMALIZADO!CL119="","",NORMALIZADO!CL119)</f>
        <v/>
      </c>
      <c r="P120" s="17" t="str">
        <f t="shared" ca="1" si="33"/>
        <v/>
      </c>
      <c r="Q120" s="17">
        <f t="shared" ca="1" si="34"/>
        <v>0</v>
      </c>
      <c r="R120" s="17">
        <f t="shared" ca="1" si="35"/>
        <v>0</v>
      </c>
      <c r="S120" s="17">
        <f t="shared" ca="1" si="36"/>
        <v>0</v>
      </c>
      <c r="T120" s="17">
        <f ca="1">IFERROR((K120+M120+MATRIZ_174!O119)/3,0)</f>
        <v>0</v>
      </c>
      <c r="U120" s="18">
        <f>IFERROR(MIN(100,ROUND(MATRIZ_174!M119,1)),0)</f>
        <v>0</v>
      </c>
      <c r="V120" s="18">
        <f t="shared" ca="1" si="37"/>
        <v>50</v>
      </c>
      <c r="W120" s="18">
        <f>IFERROR(IF(MATRIZ_174!R119=0,65,IF(MATRIZ_174!R119/MATRIZ_174!Q119&gt;=2,35,IF(MATRIZ_174!R119/MATRIZ_174!Q119&gt;=0.5,50,65))),65)</f>
        <v>65</v>
      </c>
      <c r="X120" s="18">
        <f>IFERROR(MIN(100,IF(MATRIZ_174!O119=0,70,30)+IF(MATRIZ_174!U119="",0,0.3*(100-MATRIZ_174!U119*100))),70)</f>
        <v>70</v>
      </c>
      <c r="Y120" s="18">
        <f>IF(OR(MATRIZ_174!P119="ASOCIACION",MATRIZ_174!P119="PENDIENTE"),65,40)</f>
        <v>65</v>
      </c>
      <c r="Z120" s="19" t="str">
        <f t="shared" ca="1" si="38"/>
        <v>—</v>
      </c>
      <c r="AA120" s="20">
        <f t="shared" ca="1" si="39"/>
        <v>50</v>
      </c>
      <c r="AB120" s="21" t="str">
        <f t="shared" ca="1" si="40"/>
        <v>—</v>
      </c>
      <c r="AC120" s="13" t="str">
        <f t="shared" ca="1" si="41"/>
        <v>⬜  Pendiente de instrumento</v>
      </c>
      <c r="AD120" s="13" t="str">
        <f>IF(MATRIZ_174!U119="","",IF(MATRIZ_174!U119=0,"🚫  Inh. vigente OSCE",""))</f>
        <v/>
      </c>
      <c r="AE120" s="22">
        <f>IFERROR(MATRIZ_174!W119,0)</f>
        <v>0</v>
      </c>
      <c r="AF120" s="22">
        <f>IFERROR(MATRIZ_174!X119,0)</f>
        <v>0</v>
      </c>
      <c r="AG120" s="22">
        <f>IFERROR(MATRIZ_174!Y119,0)</f>
        <v>0</v>
      </c>
      <c r="AH120" s="22">
        <f>IFERROR(MATRIZ_174!Z119,0)</f>
        <v>0</v>
      </c>
      <c r="AI120" s="17">
        <f ca="1">IFERROR(MATRIZ_174!AP119,"N/A")</f>
        <v>0</v>
      </c>
      <c r="AJ120" s="17">
        <f>IFERROR(MATRIZ_174!AO119,"N/A")</f>
        <v>0</v>
      </c>
      <c r="AK120" s="23" t="str">
        <f t="shared" ca="1" si="42"/>
        <v>N/A</v>
      </c>
      <c r="AL120" s="24" t="str">
        <f t="shared" ca="1" si="43"/>
        <v>—</v>
      </c>
    </row>
    <row r="121" spans="1:38" ht="16.05" customHeight="1" x14ac:dyDescent="0.3">
      <c r="A121" s="13" t="s">
        <v>333</v>
      </c>
      <c r="B121" s="14" t="s">
        <v>334</v>
      </c>
      <c r="C121" s="13" t="s">
        <v>154</v>
      </c>
      <c r="D121" s="15">
        <v>0</v>
      </c>
      <c r="E121" s="16" t="str">
        <f>IF(NORMALIZADO!CB120="","",NORMALIZADO!CB120)</f>
        <v/>
      </c>
      <c r="F121" s="17" t="str">
        <f ca="1">IF(NORMALIZADO!CC120="","",NORMALIZADO!CC120)</f>
        <v/>
      </c>
      <c r="G121" s="17">
        <f ca="1">IF(NORMALIZADO!CD120="",IFERROR(MATRIZ_174!U120*100,""),NORMALIZADO!CD120)</f>
        <v>100</v>
      </c>
      <c r="H121" s="16" t="str">
        <f>IF(NORMALIZADO!CE120="","",NORMALIZADO!CE120)</f>
        <v/>
      </c>
      <c r="I121" s="17" t="str">
        <f>IF(NORMALIZADO!CF120="","",NORMALIZADO!CF120)</f>
        <v/>
      </c>
      <c r="J121" s="17" t="str">
        <f ca="1">IF(NORMALIZADO!CG120="","",NORMALIZADO!CG120)</f>
        <v/>
      </c>
      <c r="K121" s="16" t="str">
        <f ca="1">IF(NORMALIZADO!CH120="","",NORMALIZADO!CH120)</f>
        <v/>
      </c>
      <c r="L121" s="16" t="str">
        <f>IF(NORMALIZADO!CI120="","",NORMALIZADO!CI120)</f>
        <v/>
      </c>
      <c r="M121" s="16" t="str">
        <f>IF(NORMALIZADO!CJ120="","",NORMALIZADO!CJ120)</f>
        <v/>
      </c>
      <c r="N121" s="16" t="str">
        <f>IF(NORMALIZADO!CK120="","",NORMALIZADO!CK120)</f>
        <v/>
      </c>
      <c r="O121" s="16" t="str">
        <f>IF(NORMALIZADO!CL120="","",NORMALIZADO!CL120)</f>
        <v/>
      </c>
      <c r="P121" s="17" t="str">
        <f t="shared" ca="1" si="33"/>
        <v/>
      </c>
      <c r="Q121" s="17">
        <f t="shared" ca="1" si="34"/>
        <v>0</v>
      </c>
      <c r="R121" s="17">
        <f t="shared" ca="1" si="35"/>
        <v>0</v>
      </c>
      <c r="S121" s="17">
        <f t="shared" ca="1" si="36"/>
        <v>0</v>
      </c>
      <c r="T121" s="17">
        <f ca="1">IFERROR((K121+M121+MATRIZ_174!O120)/3,0)</f>
        <v>0</v>
      </c>
      <c r="U121" s="18">
        <f>IFERROR(MIN(100,ROUND(MATRIZ_174!M120,1)),0)</f>
        <v>0</v>
      </c>
      <c r="V121" s="18">
        <f t="shared" ca="1" si="37"/>
        <v>50</v>
      </c>
      <c r="W121" s="18">
        <f>IFERROR(IF(MATRIZ_174!R120=0,65,IF(MATRIZ_174!R120/MATRIZ_174!Q120&gt;=2,35,IF(MATRIZ_174!R120/MATRIZ_174!Q120&gt;=0.5,50,65))),65)</f>
        <v>65</v>
      </c>
      <c r="X121" s="18">
        <f>IFERROR(MIN(100,IF(MATRIZ_174!O120=0,70,30)+IF(MATRIZ_174!U120="",0,0.3*(100-MATRIZ_174!U120*100))),70)</f>
        <v>70</v>
      </c>
      <c r="Y121" s="18">
        <f>IF(OR(MATRIZ_174!P120="ASOCIACION",MATRIZ_174!P120="PENDIENTE"),65,40)</f>
        <v>65</v>
      </c>
      <c r="Z121" s="19" t="str">
        <f t="shared" ca="1" si="38"/>
        <v>—</v>
      </c>
      <c r="AA121" s="20">
        <f t="shared" ca="1" si="39"/>
        <v>50</v>
      </c>
      <c r="AB121" s="21" t="str">
        <f t="shared" ca="1" si="40"/>
        <v>—</v>
      </c>
      <c r="AC121" s="13" t="str">
        <f t="shared" ca="1" si="41"/>
        <v>⬜  Pendiente de instrumento</v>
      </c>
      <c r="AD121" s="13" t="str">
        <f>IF(MATRIZ_174!U120="","",IF(MATRIZ_174!U120=0,"🚫  Inh. vigente OSCE",""))</f>
        <v/>
      </c>
      <c r="AE121" s="22">
        <f>IFERROR(MATRIZ_174!W120,0)</f>
        <v>0</v>
      </c>
      <c r="AF121" s="22">
        <f>IFERROR(MATRIZ_174!X120,0)</f>
        <v>0</v>
      </c>
      <c r="AG121" s="22">
        <f>IFERROR(MATRIZ_174!Y120,0)</f>
        <v>0</v>
      </c>
      <c r="AH121" s="22">
        <f>IFERROR(MATRIZ_174!Z120,0)</f>
        <v>0</v>
      </c>
      <c r="AI121" s="17">
        <f ca="1">IFERROR(MATRIZ_174!AP120,"N/A")</f>
        <v>0</v>
      </c>
      <c r="AJ121" s="17">
        <f>IFERROR(MATRIZ_174!AO120,"N/A")</f>
        <v>0</v>
      </c>
      <c r="AK121" s="23" t="str">
        <f t="shared" ca="1" si="42"/>
        <v>N/A</v>
      </c>
      <c r="AL121" s="24" t="str">
        <f t="shared" ca="1" si="43"/>
        <v>—</v>
      </c>
    </row>
    <row r="122" spans="1:38" ht="16.05" customHeight="1" x14ac:dyDescent="0.3">
      <c r="A122" s="13" t="s">
        <v>335</v>
      </c>
      <c r="B122" s="14" t="s">
        <v>336</v>
      </c>
      <c r="C122" s="13" t="s">
        <v>257</v>
      </c>
      <c r="D122" s="15">
        <v>0</v>
      </c>
      <c r="E122" s="16" t="str">
        <f>IF(NORMALIZADO!CB121="","",NORMALIZADO!CB121)</f>
        <v/>
      </c>
      <c r="F122" s="17" t="str">
        <f ca="1">IF(NORMALIZADO!CC121="","",NORMALIZADO!CC121)</f>
        <v/>
      </c>
      <c r="G122" s="17">
        <f ca="1">IF(NORMALIZADO!CD121="",IFERROR(MATRIZ_174!U121*100,""),NORMALIZADO!CD121)</f>
        <v>100</v>
      </c>
      <c r="H122" s="16" t="str">
        <f>IF(NORMALIZADO!CE121="","",NORMALIZADO!CE121)</f>
        <v/>
      </c>
      <c r="I122" s="17" t="str">
        <f>IF(NORMALIZADO!CF121="","",NORMALIZADO!CF121)</f>
        <v/>
      </c>
      <c r="J122" s="17" t="str">
        <f ca="1">IF(NORMALIZADO!CG121="","",NORMALIZADO!CG121)</f>
        <v/>
      </c>
      <c r="K122" s="16" t="str">
        <f ca="1">IF(NORMALIZADO!CH121="","",NORMALIZADO!CH121)</f>
        <v/>
      </c>
      <c r="L122" s="16" t="str">
        <f>IF(NORMALIZADO!CI121="","",NORMALIZADO!CI121)</f>
        <v/>
      </c>
      <c r="M122" s="16" t="str">
        <f>IF(NORMALIZADO!CJ121="","",NORMALIZADO!CJ121)</f>
        <v/>
      </c>
      <c r="N122" s="16" t="str">
        <f>IF(NORMALIZADO!CK121="","",NORMALIZADO!CK121)</f>
        <v/>
      </c>
      <c r="O122" s="16" t="str">
        <f>IF(NORMALIZADO!CL121="","",NORMALIZADO!CL121)</f>
        <v/>
      </c>
      <c r="P122" s="17" t="str">
        <f t="shared" ca="1" si="33"/>
        <v/>
      </c>
      <c r="Q122" s="17">
        <f t="shared" ca="1" si="34"/>
        <v>0</v>
      </c>
      <c r="R122" s="17">
        <f t="shared" ca="1" si="35"/>
        <v>0</v>
      </c>
      <c r="S122" s="17">
        <f t="shared" ca="1" si="36"/>
        <v>0</v>
      </c>
      <c r="T122" s="17">
        <f ca="1">IFERROR((K122+M122+MATRIZ_174!O121)/3,0)</f>
        <v>0</v>
      </c>
      <c r="U122" s="18">
        <f>IFERROR(MIN(100,ROUND(MATRIZ_174!M121,1)),0)</f>
        <v>0</v>
      </c>
      <c r="V122" s="18">
        <f t="shared" ca="1" si="37"/>
        <v>50</v>
      </c>
      <c r="W122" s="18">
        <f>IFERROR(IF(MATRIZ_174!R121=0,65,IF(MATRIZ_174!R121/MATRIZ_174!Q121&gt;=2,35,IF(MATRIZ_174!R121/MATRIZ_174!Q121&gt;=0.5,50,65))),65)</f>
        <v>65</v>
      </c>
      <c r="X122" s="18">
        <f>IFERROR(MIN(100,IF(MATRIZ_174!O121=0,70,30)+IF(MATRIZ_174!U121="",0,0.3*(100-MATRIZ_174!U121*100))),70)</f>
        <v>70</v>
      </c>
      <c r="Y122" s="18">
        <f>IF(OR(MATRIZ_174!P121="ASOCIACION",MATRIZ_174!P121="PENDIENTE"),65,40)</f>
        <v>65</v>
      </c>
      <c r="Z122" s="19" t="str">
        <f t="shared" ca="1" si="38"/>
        <v>—</v>
      </c>
      <c r="AA122" s="20">
        <f t="shared" ca="1" si="39"/>
        <v>50</v>
      </c>
      <c r="AB122" s="21" t="str">
        <f t="shared" ca="1" si="40"/>
        <v>—</v>
      </c>
      <c r="AC122" s="13" t="str">
        <f t="shared" ca="1" si="41"/>
        <v>⬜  Pendiente de instrumento</v>
      </c>
      <c r="AD122" s="13" t="str">
        <f>IF(MATRIZ_174!U121="","",IF(MATRIZ_174!U121=0,"🚫  Inh. vigente OSCE",""))</f>
        <v/>
      </c>
      <c r="AE122" s="22">
        <f>IFERROR(MATRIZ_174!W121,0)</f>
        <v>0</v>
      </c>
      <c r="AF122" s="22">
        <f>IFERROR(MATRIZ_174!X121,0)</f>
        <v>0</v>
      </c>
      <c r="AG122" s="22">
        <f>IFERROR(MATRIZ_174!Y121,0)</f>
        <v>0</v>
      </c>
      <c r="AH122" s="22">
        <f>IFERROR(MATRIZ_174!Z121,0)</f>
        <v>0</v>
      </c>
      <c r="AI122" s="17">
        <f ca="1">IFERROR(MATRIZ_174!AP121,"N/A")</f>
        <v>0</v>
      </c>
      <c r="AJ122" s="17">
        <f>IFERROR(MATRIZ_174!AO121,"N/A")</f>
        <v>0</v>
      </c>
      <c r="AK122" s="23" t="str">
        <f t="shared" ca="1" si="42"/>
        <v>N/A</v>
      </c>
      <c r="AL122" s="24" t="str">
        <f t="shared" ca="1" si="43"/>
        <v>—</v>
      </c>
    </row>
    <row r="123" spans="1:38" ht="16.05" customHeight="1" x14ac:dyDescent="0.3">
      <c r="A123" s="13" t="s">
        <v>337</v>
      </c>
      <c r="B123" s="14" t="s">
        <v>338</v>
      </c>
      <c r="C123" s="13" t="s">
        <v>123</v>
      </c>
      <c r="D123" s="15">
        <v>0</v>
      </c>
      <c r="E123" s="16" t="str">
        <f>IF(NORMALIZADO!CB122="","",NORMALIZADO!CB122)</f>
        <v/>
      </c>
      <c r="F123" s="17" t="str">
        <f ca="1">IF(NORMALIZADO!CC122="","",NORMALIZADO!CC122)</f>
        <v/>
      </c>
      <c r="G123" s="17">
        <f ca="1">IF(NORMALIZADO!CD122="",IFERROR(MATRIZ_174!U122*100,""),NORMALIZADO!CD122)</f>
        <v>100</v>
      </c>
      <c r="H123" s="16" t="str">
        <f>IF(NORMALIZADO!CE122="","",NORMALIZADO!CE122)</f>
        <v/>
      </c>
      <c r="I123" s="17" t="str">
        <f>IF(NORMALIZADO!CF122="","",NORMALIZADO!CF122)</f>
        <v/>
      </c>
      <c r="J123" s="17" t="str">
        <f ca="1">IF(NORMALIZADO!CG122="","",NORMALIZADO!CG122)</f>
        <v/>
      </c>
      <c r="K123" s="16" t="str">
        <f ca="1">IF(NORMALIZADO!CH122="","",NORMALIZADO!CH122)</f>
        <v/>
      </c>
      <c r="L123" s="16" t="str">
        <f>IF(NORMALIZADO!CI122="","",NORMALIZADO!CI122)</f>
        <v/>
      </c>
      <c r="M123" s="16" t="str">
        <f>IF(NORMALIZADO!CJ122="","",NORMALIZADO!CJ122)</f>
        <v/>
      </c>
      <c r="N123" s="16" t="str">
        <f>IF(NORMALIZADO!CK122="","",NORMALIZADO!CK122)</f>
        <v/>
      </c>
      <c r="O123" s="16" t="str">
        <f>IF(NORMALIZADO!CL122="","",NORMALIZADO!CL122)</f>
        <v/>
      </c>
      <c r="P123" s="17" t="str">
        <f t="shared" ca="1" si="33"/>
        <v/>
      </c>
      <c r="Q123" s="17">
        <f t="shared" ca="1" si="34"/>
        <v>0</v>
      </c>
      <c r="R123" s="17">
        <f t="shared" ca="1" si="35"/>
        <v>0</v>
      </c>
      <c r="S123" s="17">
        <f t="shared" ca="1" si="36"/>
        <v>0</v>
      </c>
      <c r="T123" s="17">
        <f ca="1">IFERROR((K123+M123+MATRIZ_174!O122)/3,0)</f>
        <v>0</v>
      </c>
      <c r="U123" s="18">
        <f>IFERROR(MIN(100,ROUND(MATRIZ_174!M122,1)),0)</f>
        <v>0</v>
      </c>
      <c r="V123" s="18">
        <f t="shared" ca="1" si="37"/>
        <v>50</v>
      </c>
      <c r="W123" s="18">
        <f>IFERROR(IF(MATRIZ_174!R122=0,65,IF(MATRIZ_174!R122/MATRIZ_174!Q122&gt;=2,35,IF(MATRIZ_174!R122/MATRIZ_174!Q122&gt;=0.5,50,65))),65)</f>
        <v>65</v>
      </c>
      <c r="X123" s="18">
        <f>IFERROR(MIN(100,IF(MATRIZ_174!O122=0,70,30)+IF(MATRIZ_174!U122="",0,0.3*(100-MATRIZ_174!U122*100))),70)</f>
        <v>70</v>
      </c>
      <c r="Y123" s="18">
        <f>IF(OR(MATRIZ_174!P122="ASOCIACION",MATRIZ_174!P122="PENDIENTE"),65,40)</f>
        <v>65</v>
      </c>
      <c r="Z123" s="19" t="str">
        <f t="shared" ca="1" si="38"/>
        <v>—</v>
      </c>
      <c r="AA123" s="20">
        <f t="shared" ca="1" si="39"/>
        <v>50</v>
      </c>
      <c r="AB123" s="21" t="str">
        <f t="shared" ca="1" si="40"/>
        <v>—</v>
      </c>
      <c r="AC123" s="13" t="str">
        <f t="shared" ca="1" si="41"/>
        <v>⬜  Pendiente de instrumento</v>
      </c>
      <c r="AD123" s="13" t="str">
        <f>IF(MATRIZ_174!U122="","",IF(MATRIZ_174!U122=0,"🚫  Inh. vigente OSCE",""))</f>
        <v/>
      </c>
      <c r="AE123" s="22">
        <f>IFERROR(MATRIZ_174!W122,0)</f>
        <v>0</v>
      </c>
      <c r="AF123" s="22">
        <f>IFERROR(MATRIZ_174!X122,0)</f>
        <v>0</v>
      </c>
      <c r="AG123" s="22">
        <f>IFERROR(MATRIZ_174!Y122,0)</f>
        <v>0</v>
      </c>
      <c r="AH123" s="22">
        <f>IFERROR(MATRIZ_174!Z122,0)</f>
        <v>0</v>
      </c>
      <c r="AI123" s="17">
        <f ca="1">IFERROR(MATRIZ_174!AP122,"N/A")</f>
        <v>0</v>
      </c>
      <c r="AJ123" s="17">
        <f>IFERROR(MATRIZ_174!AO122,"N/A")</f>
        <v>0</v>
      </c>
      <c r="AK123" s="23" t="str">
        <f t="shared" ca="1" si="42"/>
        <v>N/A</v>
      </c>
      <c r="AL123" s="24" t="str">
        <f t="shared" ca="1" si="43"/>
        <v>—</v>
      </c>
    </row>
    <row r="124" spans="1:38" ht="16.05" customHeight="1" x14ac:dyDescent="0.3">
      <c r="A124" s="13" t="s">
        <v>339</v>
      </c>
      <c r="B124" s="14" t="s">
        <v>340</v>
      </c>
      <c r="C124" s="13" t="s">
        <v>77</v>
      </c>
      <c r="D124" s="15">
        <v>0</v>
      </c>
      <c r="E124" s="16" t="str">
        <f>IF(NORMALIZADO!CB123="","",NORMALIZADO!CB123)</f>
        <v/>
      </c>
      <c r="F124" s="17" t="str">
        <f ca="1">IF(NORMALIZADO!CC123="","",NORMALIZADO!CC123)</f>
        <v/>
      </c>
      <c r="G124" s="17">
        <f ca="1">IF(NORMALIZADO!CD123="",IFERROR(MATRIZ_174!U123*100,""),NORMALIZADO!CD123)</f>
        <v>100</v>
      </c>
      <c r="H124" s="16" t="str">
        <f>IF(NORMALIZADO!CE123="","",NORMALIZADO!CE123)</f>
        <v/>
      </c>
      <c r="I124" s="17" t="str">
        <f>IF(NORMALIZADO!CF123="","",NORMALIZADO!CF123)</f>
        <v/>
      </c>
      <c r="J124" s="17" t="str">
        <f ca="1">IF(NORMALIZADO!CG123="","",NORMALIZADO!CG123)</f>
        <v/>
      </c>
      <c r="K124" s="16" t="str">
        <f ca="1">IF(NORMALIZADO!CH123="","",NORMALIZADO!CH123)</f>
        <v/>
      </c>
      <c r="L124" s="16" t="str">
        <f>IF(NORMALIZADO!CI123="","",NORMALIZADO!CI123)</f>
        <v/>
      </c>
      <c r="M124" s="16" t="str">
        <f>IF(NORMALIZADO!CJ123="","",NORMALIZADO!CJ123)</f>
        <v/>
      </c>
      <c r="N124" s="16" t="str">
        <f>IF(NORMALIZADO!CK123="","",NORMALIZADO!CK123)</f>
        <v/>
      </c>
      <c r="O124" s="16" t="str">
        <f>IF(NORMALIZADO!CL123="","",NORMALIZADO!CL123)</f>
        <v/>
      </c>
      <c r="P124" s="17" t="str">
        <f t="shared" ca="1" si="33"/>
        <v/>
      </c>
      <c r="Q124" s="17">
        <f t="shared" ca="1" si="34"/>
        <v>0</v>
      </c>
      <c r="R124" s="17">
        <f t="shared" ca="1" si="35"/>
        <v>0</v>
      </c>
      <c r="S124" s="17">
        <f t="shared" ca="1" si="36"/>
        <v>0</v>
      </c>
      <c r="T124" s="17">
        <f ca="1">IFERROR((K124+M124+MATRIZ_174!O123)/3,0)</f>
        <v>0</v>
      </c>
      <c r="U124" s="18">
        <f>IFERROR(MIN(100,ROUND(MATRIZ_174!M123,1)),0)</f>
        <v>0</v>
      </c>
      <c r="V124" s="18">
        <f t="shared" ca="1" si="37"/>
        <v>50</v>
      </c>
      <c r="W124" s="18">
        <f>IFERROR(IF(MATRIZ_174!R123=0,65,IF(MATRIZ_174!R123/MATRIZ_174!Q123&gt;=2,35,IF(MATRIZ_174!R123/MATRIZ_174!Q123&gt;=0.5,50,65))),65)</f>
        <v>65</v>
      </c>
      <c r="X124" s="18">
        <f>IFERROR(MIN(100,IF(MATRIZ_174!O123=0,70,30)+IF(MATRIZ_174!U123="",0,0.3*(100-MATRIZ_174!U123*100))),70)</f>
        <v>70</v>
      </c>
      <c r="Y124" s="18">
        <f>IF(OR(MATRIZ_174!P123="ASOCIACION",MATRIZ_174!P123="PENDIENTE"),65,40)</f>
        <v>65</v>
      </c>
      <c r="Z124" s="19" t="str">
        <f t="shared" ca="1" si="38"/>
        <v>—</v>
      </c>
      <c r="AA124" s="20">
        <f t="shared" ca="1" si="39"/>
        <v>50</v>
      </c>
      <c r="AB124" s="21" t="str">
        <f t="shared" ca="1" si="40"/>
        <v>—</v>
      </c>
      <c r="AC124" s="13" t="str">
        <f t="shared" ca="1" si="41"/>
        <v>⬜  Pendiente de instrumento</v>
      </c>
      <c r="AD124" s="13" t="str">
        <f>IF(MATRIZ_174!U123="","",IF(MATRIZ_174!U123=0,"🚫  Inh. vigente OSCE",""))</f>
        <v/>
      </c>
      <c r="AE124" s="22">
        <f>IFERROR(MATRIZ_174!W123,0)</f>
        <v>0</v>
      </c>
      <c r="AF124" s="22">
        <f>IFERROR(MATRIZ_174!X123,0)</f>
        <v>0</v>
      </c>
      <c r="AG124" s="22">
        <f>IFERROR(MATRIZ_174!Y123,0)</f>
        <v>0</v>
      </c>
      <c r="AH124" s="22">
        <f>IFERROR(MATRIZ_174!Z123,0)</f>
        <v>0</v>
      </c>
      <c r="AI124" s="17">
        <f ca="1">IFERROR(MATRIZ_174!AP123,"N/A")</f>
        <v>0</v>
      </c>
      <c r="AJ124" s="17">
        <f>IFERROR(MATRIZ_174!AO123,"N/A")</f>
        <v>0</v>
      </c>
      <c r="AK124" s="23" t="str">
        <f t="shared" ca="1" si="42"/>
        <v>N/A</v>
      </c>
      <c r="AL124" s="24" t="str">
        <f t="shared" ca="1" si="43"/>
        <v>—</v>
      </c>
    </row>
    <row r="125" spans="1:38" ht="16.05" customHeight="1" x14ac:dyDescent="0.3">
      <c r="A125" s="13" t="s">
        <v>341</v>
      </c>
      <c r="B125" s="14" t="s">
        <v>342</v>
      </c>
      <c r="C125" s="13" t="s">
        <v>116</v>
      </c>
      <c r="D125" s="15">
        <v>0</v>
      </c>
      <c r="E125" s="16" t="str">
        <f>IF(NORMALIZADO!CB124="","",NORMALIZADO!CB124)</f>
        <v/>
      </c>
      <c r="F125" s="17" t="str">
        <f ca="1">IF(NORMALIZADO!CC124="","",NORMALIZADO!CC124)</f>
        <v/>
      </c>
      <c r="G125" s="17">
        <f ca="1">IF(NORMALIZADO!CD124="",IFERROR(MATRIZ_174!U124*100,""),NORMALIZADO!CD124)</f>
        <v>100</v>
      </c>
      <c r="H125" s="16" t="str">
        <f>IF(NORMALIZADO!CE124="","",NORMALIZADO!CE124)</f>
        <v/>
      </c>
      <c r="I125" s="17" t="str">
        <f>IF(NORMALIZADO!CF124="","",NORMALIZADO!CF124)</f>
        <v/>
      </c>
      <c r="J125" s="17" t="str">
        <f ca="1">IF(NORMALIZADO!CG124="","",NORMALIZADO!CG124)</f>
        <v/>
      </c>
      <c r="K125" s="16" t="str">
        <f ca="1">IF(NORMALIZADO!CH124="","",NORMALIZADO!CH124)</f>
        <v/>
      </c>
      <c r="L125" s="16" t="str">
        <f>IF(NORMALIZADO!CI124="","",NORMALIZADO!CI124)</f>
        <v/>
      </c>
      <c r="M125" s="16" t="str">
        <f>IF(NORMALIZADO!CJ124="","",NORMALIZADO!CJ124)</f>
        <v/>
      </c>
      <c r="N125" s="16" t="str">
        <f>IF(NORMALIZADO!CK124="","",NORMALIZADO!CK124)</f>
        <v/>
      </c>
      <c r="O125" s="16" t="str">
        <f>IF(NORMALIZADO!CL124="","",NORMALIZADO!CL124)</f>
        <v/>
      </c>
      <c r="P125" s="17" t="str">
        <f t="shared" ca="1" si="33"/>
        <v/>
      </c>
      <c r="Q125" s="17">
        <f t="shared" ca="1" si="34"/>
        <v>0</v>
      </c>
      <c r="R125" s="17">
        <f t="shared" ca="1" si="35"/>
        <v>0</v>
      </c>
      <c r="S125" s="17">
        <f t="shared" ca="1" si="36"/>
        <v>0</v>
      </c>
      <c r="T125" s="17">
        <f ca="1">IFERROR((K125+M125+MATRIZ_174!O124)/3,0)</f>
        <v>0</v>
      </c>
      <c r="U125" s="18">
        <f>IFERROR(MIN(100,ROUND(MATRIZ_174!M124,1)),0)</f>
        <v>0</v>
      </c>
      <c r="V125" s="18">
        <f t="shared" ca="1" si="37"/>
        <v>50</v>
      </c>
      <c r="W125" s="18">
        <f>IFERROR(IF(MATRIZ_174!R124=0,65,IF(MATRIZ_174!R124/MATRIZ_174!Q124&gt;=2,35,IF(MATRIZ_174!R124/MATRIZ_174!Q124&gt;=0.5,50,65))),65)</f>
        <v>35</v>
      </c>
      <c r="X125" s="18">
        <f>IFERROR(MIN(100,IF(MATRIZ_174!O124=0,70,30)+IF(MATRIZ_174!U124="",0,0.3*(100-MATRIZ_174!U124*100))),70)</f>
        <v>70</v>
      </c>
      <c r="Y125" s="18">
        <f>IF(OR(MATRIZ_174!P124="ASOCIACION",MATRIZ_174!P124="PENDIENTE"),65,40)</f>
        <v>65</v>
      </c>
      <c r="Z125" s="19" t="str">
        <f t="shared" ca="1" si="38"/>
        <v>—</v>
      </c>
      <c r="AA125" s="20">
        <f t="shared" ca="1" si="39"/>
        <v>44</v>
      </c>
      <c r="AB125" s="21" t="str">
        <f t="shared" ca="1" si="40"/>
        <v>—</v>
      </c>
      <c r="AC125" s="13" t="str">
        <f t="shared" ca="1" si="41"/>
        <v>⬜  Pendiente de instrumento</v>
      </c>
      <c r="AD125" s="13" t="str">
        <f>IF(MATRIZ_174!U124="","",IF(MATRIZ_174!U124=0,"🚫  Inh. vigente OSCE",""))</f>
        <v/>
      </c>
      <c r="AE125" s="22">
        <f>IFERROR(MATRIZ_174!W124,0)</f>
        <v>1</v>
      </c>
      <c r="AF125" s="22">
        <f>IFERROR(MATRIZ_174!X124,0)</f>
        <v>0</v>
      </c>
      <c r="AG125" s="22">
        <f>IFERROR(MATRIZ_174!Y124,0)</f>
        <v>0</v>
      </c>
      <c r="AH125" s="22">
        <f>IFERROR(MATRIZ_174!Z124,0)</f>
        <v>0</v>
      </c>
      <c r="AI125" s="17">
        <f ca="1">IFERROR(MATRIZ_174!AP124,"N/A")</f>
        <v>2.5000000000000001E-2</v>
      </c>
      <c r="AJ125" s="17">
        <f>IFERROR(MATRIZ_174!AO124,"N/A")</f>
        <v>0</v>
      </c>
      <c r="AK125" s="23" t="str">
        <f t="shared" ca="1" si="42"/>
        <v>N/A</v>
      </c>
      <c r="AL125" s="24" t="str">
        <f t="shared" ca="1" si="43"/>
        <v>—</v>
      </c>
    </row>
    <row r="126" spans="1:38" ht="16.05" customHeight="1" x14ac:dyDescent="0.3">
      <c r="A126" s="13" t="s">
        <v>345</v>
      </c>
      <c r="B126" s="14" t="s">
        <v>346</v>
      </c>
      <c r="C126" s="13" t="s">
        <v>77</v>
      </c>
      <c r="D126" s="15">
        <v>0</v>
      </c>
      <c r="E126" s="16" t="str">
        <f>IF(NORMALIZADO!CB125="","",NORMALIZADO!CB125)</f>
        <v/>
      </c>
      <c r="F126" s="17" t="str">
        <f ca="1">IF(NORMALIZADO!CC125="","",NORMALIZADO!CC125)</f>
        <v/>
      </c>
      <c r="G126" s="17">
        <f ca="1">IF(NORMALIZADO!CD125="",IFERROR(MATRIZ_174!U125*100,""),NORMALIZADO!CD125)</f>
        <v>100</v>
      </c>
      <c r="H126" s="16" t="str">
        <f>IF(NORMALIZADO!CE125="","",NORMALIZADO!CE125)</f>
        <v/>
      </c>
      <c r="I126" s="17" t="str">
        <f>IF(NORMALIZADO!CF125="","",NORMALIZADO!CF125)</f>
        <v/>
      </c>
      <c r="J126" s="17" t="str">
        <f ca="1">IF(NORMALIZADO!CG125="","",NORMALIZADO!CG125)</f>
        <v/>
      </c>
      <c r="K126" s="16" t="str">
        <f ca="1">IF(NORMALIZADO!CH125="","",NORMALIZADO!CH125)</f>
        <v/>
      </c>
      <c r="L126" s="16" t="str">
        <f>IF(NORMALIZADO!CI125="","",NORMALIZADO!CI125)</f>
        <v/>
      </c>
      <c r="M126" s="16" t="str">
        <f>IF(NORMALIZADO!CJ125="","",NORMALIZADO!CJ125)</f>
        <v/>
      </c>
      <c r="N126" s="16" t="str">
        <f>IF(NORMALIZADO!CK125="","",NORMALIZADO!CK125)</f>
        <v/>
      </c>
      <c r="O126" s="16" t="str">
        <f>IF(NORMALIZADO!CL125="","",NORMALIZADO!CL125)</f>
        <v/>
      </c>
      <c r="P126" s="17" t="str">
        <f t="shared" ca="1" si="33"/>
        <v/>
      </c>
      <c r="Q126" s="17">
        <f t="shared" ca="1" si="34"/>
        <v>0</v>
      </c>
      <c r="R126" s="17">
        <f t="shared" ca="1" si="35"/>
        <v>0</v>
      </c>
      <c r="S126" s="17">
        <f t="shared" ca="1" si="36"/>
        <v>0</v>
      </c>
      <c r="T126" s="17">
        <f ca="1">IFERROR((K126+M126+MATRIZ_174!O125)/3,0)</f>
        <v>0</v>
      </c>
      <c r="U126" s="18">
        <f>IFERROR(MIN(100,ROUND(MATRIZ_174!M125,1)),0)</f>
        <v>0</v>
      </c>
      <c r="V126" s="18">
        <f t="shared" ca="1" si="37"/>
        <v>50</v>
      </c>
      <c r="W126" s="18">
        <f>IFERROR(IF(MATRIZ_174!R125=0,65,IF(MATRIZ_174!R125/MATRIZ_174!Q125&gt;=2,35,IF(MATRIZ_174!R125/MATRIZ_174!Q125&gt;=0.5,50,65))),65)</f>
        <v>65</v>
      </c>
      <c r="X126" s="18">
        <f>IFERROR(MIN(100,IF(MATRIZ_174!O125=0,70,30)+IF(MATRIZ_174!U125="",0,0.3*(100-MATRIZ_174!U125*100))),70)</f>
        <v>70</v>
      </c>
      <c r="Y126" s="18">
        <f>IF(OR(MATRIZ_174!P125="ASOCIACION",MATRIZ_174!P125="PENDIENTE"),65,40)</f>
        <v>65</v>
      </c>
      <c r="Z126" s="19" t="str">
        <f t="shared" ca="1" si="38"/>
        <v>—</v>
      </c>
      <c r="AA126" s="20">
        <f t="shared" ca="1" si="39"/>
        <v>50</v>
      </c>
      <c r="AB126" s="21" t="str">
        <f t="shared" ca="1" si="40"/>
        <v>—</v>
      </c>
      <c r="AC126" s="13" t="str">
        <f t="shared" ca="1" si="41"/>
        <v>⬜  Pendiente de instrumento</v>
      </c>
      <c r="AD126" s="13" t="str">
        <f>IF(MATRIZ_174!U125="","",IF(MATRIZ_174!U125=0,"🚫  Inh. vigente OSCE",""))</f>
        <v/>
      </c>
      <c r="AE126" s="22">
        <f>IFERROR(MATRIZ_174!W125,0)</f>
        <v>0</v>
      </c>
      <c r="AF126" s="22">
        <f>IFERROR(MATRIZ_174!X125,0)</f>
        <v>0</v>
      </c>
      <c r="AG126" s="22">
        <f>IFERROR(MATRIZ_174!Y125,0)</f>
        <v>0</v>
      </c>
      <c r="AH126" s="22">
        <f>IFERROR(MATRIZ_174!Z125,0)</f>
        <v>0</v>
      </c>
      <c r="AI126" s="17">
        <f ca="1">IFERROR(MATRIZ_174!AP125,"N/A")</f>
        <v>0</v>
      </c>
      <c r="AJ126" s="17">
        <f>IFERROR(MATRIZ_174!AO125,"N/A")</f>
        <v>0</v>
      </c>
      <c r="AK126" s="23" t="str">
        <f t="shared" ca="1" si="42"/>
        <v>N/A</v>
      </c>
      <c r="AL126" s="24" t="str">
        <f t="shared" ca="1" si="43"/>
        <v>—</v>
      </c>
    </row>
    <row r="127" spans="1:38" ht="16.05" customHeight="1" x14ac:dyDescent="0.3">
      <c r="A127" s="13" t="s">
        <v>347</v>
      </c>
      <c r="B127" s="14" t="s">
        <v>348</v>
      </c>
      <c r="C127" s="13" t="s">
        <v>77</v>
      </c>
      <c r="D127" s="15">
        <v>0</v>
      </c>
      <c r="E127" s="16" t="str">
        <f>IF(NORMALIZADO!CB126="","",NORMALIZADO!CB126)</f>
        <v/>
      </c>
      <c r="F127" s="17" t="str">
        <f ca="1">IF(NORMALIZADO!CC126="","",NORMALIZADO!CC126)</f>
        <v/>
      </c>
      <c r="G127" s="17">
        <f ca="1">IF(NORMALIZADO!CD126="",IFERROR(MATRIZ_174!U126*100,""),NORMALIZADO!CD126)</f>
        <v>100</v>
      </c>
      <c r="H127" s="16" t="str">
        <f>IF(NORMALIZADO!CE126="","",NORMALIZADO!CE126)</f>
        <v/>
      </c>
      <c r="I127" s="17" t="str">
        <f>IF(NORMALIZADO!CF126="","",NORMALIZADO!CF126)</f>
        <v/>
      </c>
      <c r="J127" s="17" t="str">
        <f ca="1">IF(NORMALIZADO!CG126="","",NORMALIZADO!CG126)</f>
        <v/>
      </c>
      <c r="K127" s="16" t="str">
        <f ca="1">IF(NORMALIZADO!CH126="","",NORMALIZADO!CH126)</f>
        <v/>
      </c>
      <c r="L127" s="16" t="str">
        <f>IF(NORMALIZADO!CI126="","",NORMALIZADO!CI126)</f>
        <v/>
      </c>
      <c r="M127" s="16" t="str">
        <f>IF(NORMALIZADO!CJ126="","",NORMALIZADO!CJ126)</f>
        <v/>
      </c>
      <c r="N127" s="16" t="str">
        <f>IF(NORMALIZADO!CK126="","",NORMALIZADO!CK126)</f>
        <v/>
      </c>
      <c r="O127" s="16" t="str">
        <f>IF(NORMALIZADO!CL126="","",NORMALIZADO!CL126)</f>
        <v/>
      </c>
      <c r="P127" s="17" t="str">
        <f t="shared" ca="1" si="33"/>
        <v/>
      </c>
      <c r="Q127" s="17">
        <f t="shared" ca="1" si="34"/>
        <v>0</v>
      </c>
      <c r="R127" s="17">
        <f t="shared" ca="1" si="35"/>
        <v>0</v>
      </c>
      <c r="S127" s="17">
        <f t="shared" ca="1" si="36"/>
        <v>0</v>
      </c>
      <c r="T127" s="17">
        <f ca="1">IFERROR((K127+M127+MATRIZ_174!O126)/3,0)</f>
        <v>0</v>
      </c>
      <c r="U127" s="18">
        <f>IFERROR(MIN(100,ROUND(MATRIZ_174!M126,1)),0)</f>
        <v>0</v>
      </c>
      <c r="V127" s="18">
        <f t="shared" ca="1" si="37"/>
        <v>50</v>
      </c>
      <c r="W127" s="18">
        <f>IFERROR(IF(MATRIZ_174!R126=0,65,IF(MATRIZ_174!R126/MATRIZ_174!Q126&gt;=2,35,IF(MATRIZ_174!R126/MATRIZ_174!Q126&gt;=0.5,50,65))),65)</f>
        <v>65</v>
      </c>
      <c r="X127" s="18">
        <f>IFERROR(MIN(100,IF(MATRIZ_174!O126=0,70,30)+IF(MATRIZ_174!U126="",0,0.3*(100-MATRIZ_174!U126*100))),70)</f>
        <v>70</v>
      </c>
      <c r="Y127" s="18">
        <f>IF(OR(MATRIZ_174!P126="ASOCIACION",MATRIZ_174!P126="PENDIENTE"),65,40)</f>
        <v>65</v>
      </c>
      <c r="Z127" s="19" t="str">
        <f t="shared" ca="1" si="38"/>
        <v>—</v>
      </c>
      <c r="AA127" s="20">
        <f t="shared" ca="1" si="39"/>
        <v>50</v>
      </c>
      <c r="AB127" s="21" t="str">
        <f t="shared" ca="1" si="40"/>
        <v>—</v>
      </c>
      <c r="AC127" s="13" t="str">
        <f t="shared" ca="1" si="41"/>
        <v>⬜  Pendiente de instrumento</v>
      </c>
      <c r="AD127" s="13" t="str">
        <f>IF(MATRIZ_174!U126="","",IF(MATRIZ_174!U126=0,"🚫  Inh. vigente OSCE",""))</f>
        <v/>
      </c>
      <c r="AE127" s="22">
        <f>IFERROR(MATRIZ_174!W126,0)</f>
        <v>0</v>
      </c>
      <c r="AF127" s="22">
        <f>IFERROR(MATRIZ_174!X126,0)</f>
        <v>0</v>
      </c>
      <c r="AG127" s="22">
        <f>IFERROR(MATRIZ_174!Y126,0)</f>
        <v>0</v>
      </c>
      <c r="AH127" s="22">
        <f>IFERROR(MATRIZ_174!Z126,0)</f>
        <v>0</v>
      </c>
      <c r="AI127" s="17">
        <f ca="1">IFERROR(MATRIZ_174!AP126,"N/A")</f>
        <v>0</v>
      </c>
      <c r="AJ127" s="17">
        <f>IFERROR(MATRIZ_174!AO126,"N/A")</f>
        <v>0</v>
      </c>
      <c r="AK127" s="23" t="str">
        <f t="shared" ca="1" si="42"/>
        <v>N/A</v>
      </c>
      <c r="AL127" s="24" t="str">
        <f t="shared" ca="1" si="43"/>
        <v>—</v>
      </c>
    </row>
    <row r="128" spans="1:38" ht="16.05" customHeight="1" x14ac:dyDescent="0.3">
      <c r="A128" s="13" t="s">
        <v>349</v>
      </c>
      <c r="B128" s="14" t="s">
        <v>350</v>
      </c>
      <c r="C128" s="13" t="s">
        <v>77</v>
      </c>
      <c r="D128" s="15">
        <v>0</v>
      </c>
      <c r="E128" s="16" t="str">
        <f>IF(NORMALIZADO!CB127="","",NORMALIZADO!CB127)</f>
        <v/>
      </c>
      <c r="F128" s="17" t="str">
        <f ca="1">IF(NORMALIZADO!CC127="","",NORMALIZADO!CC127)</f>
        <v/>
      </c>
      <c r="G128" s="17">
        <f ca="1">IF(NORMALIZADO!CD127="",IFERROR(MATRIZ_174!U127*100,""),NORMALIZADO!CD127)</f>
        <v>100</v>
      </c>
      <c r="H128" s="16" t="str">
        <f>IF(NORMALIZADO!CE127="","",NORMALIZADO!CE127)</f>
        <v/>
      </c>
      <c r="I128" s="17" t="str">
        <f>IF(NORMALIZADO!CF127="","",NORMALIZADO!CF127)</f>
        <v/>
      </c>
      <c r="J128" s="17" t="str">
        <f ca="1">IF(NORMALIZADO!CG127="","",NORMALIZADO!CG127)</f>
        <v/>
      </c>
      <c r="K128" s="16" t="str">
        <f ca="1">IF(NORMALIZADO!CH127="","",NORMALIZADO!CH127)</f>
        <v/>
      </c>
      <c r="L128" s="16" t="str">
        <f>IF(NORMALIZADO!CI127="","",NORMALIZADO!CI127)</f>
        <v/>
      </c>
      <c r="M128" s="16" t="str">
        <f>IF(NORMALIZADO!CJ127="","",NORMALIZADO!CJ127)</f>
        <v/>
      </c>
      <c r="N128" s="16" t="str">
        <f>IF(NORMALIZADO!CK127="","",NORMALIZADO!CK127)</f>
        <v/>
      </c>
      <c r="O128" s="16" t="str">
        <f>IF(NORMALIZADO!CL127="","",NORMALIZADO!CL127)</f>
        <v/>
      </c>
      <c r="P128" s="17" t="str">
        <f t="shared" ca="1" si="33"/>
        <v/>
      </c>
      <c r="Q128" s="17">
        <f t="shared" ca="1" si="34"/>
        <v>0</v>
      </c>
      <c r="R128" s="17">
        <f t="shared" ca="1" si="35"/>
        <v>0</v>
      </c>
      <c r="S128" s="17">
        <f t="shared" ca="1" si="36"/>
        <v>0</v>
      </c>
      <c r="T128" s="17">
        <f ca="1">IFERROR((K128+M128+MATRIZ_174!O127)/3,0)</f>
        <v>0</v>
      </c>
      <c r="U128" s="18">
        <f>IFERROR(MIN(100,ROUND(MATRIZ_174!M127,1)),0)</f>
        <v>0</v>
      </c>
      <c r="V128" s="18">
        <f t="shared" ca="1" si="37"/>
        <v>50</v>
      </c>
      <c r="W128" s="18">
        <f>IFERROR(IF(MATRIZ_174!R127=0,65,IF(MATRIZ_174!R127/MATRIZ_174!Q127&gt;=2,35,IF(MATRIZ_174!R127/MATRIZ_174!Q127&gt;=0.5,50,65))),65)</f>
        <v>65</v>
      </c>
      <c r="X128" s="18">
        <f>IFERROR(MIN(100,IF(MATRIZ_174!O127=0,70,30)+IF(MATRIZ_174!U127="",0,0.3*(100-MATRIZ_174!U127*100))),70)</f>
        <v>70</v>
      </c>
      <c r="Y128" s="18">
        <f>IF(OR(MATRIZ_174!P127="ASOCIACION",MATRIZ_174!P127="PENDIENTE"),65,40)</f>
        <v>65</v>
      </c>
      <c r="Z128" s="19" t="str">
        <f t="shared" ca="1" si="38"/>
        <v>—</v>
      </c>
      <c r="AA128" s="20">
        <f t="shared" ca="1" si="39"/>
        <v>50</v>
      </c>
      <c r="AB128" s="21" t="str">
        <f t="shared" ca="1" si="40"/>
        <v>—</v>
      </c>
      <c r="AC128" s="13" t="str">
        <f t="shared" ca="1" si="41"/>
        <v>⬜  Pendiente de instrumento</v>
      </c>
      <c r="AD128" s="13" t="str">
        <f>IF(MATRIZ_174!U127="","",IF(MATRIZ_174!U127=0,"🚫  Inh. vigente OSCE",""))</f>
        <v/>
      </c>
      <c r="AE128" s="22">
        <f>IFERROR(MATRIZ_174!W127,0)</f>
        <v>0</v>
      </c>
      <c r="AF128" s="22">
        <f>IFERROR(MATRIZ_174!X127,0)</f>
        <v>0</v>
      </c>
      <c r="AG128" s="22">
        <f>IFERROR(MATRIZ_174!Y127,0)</f>
        <v>0</v>
      </c>
      <c r="AH128" s="22">
        <f>IFERROR(MATRIZ_174!Z127,0)</f>
        <v>0</v>
      </c>
      <c r="AI128" s="17">
        <f ca="1">IFERROR(MATRIZ_174!AP127,"N/A")</f>
        <v>0</v>
      </c>
      <c r="AJ128" s="17">
        <f>IFERROR(MATRIZ_174!AO127,"N/A")</f>
        <v>0</v>
      </c>
      <c r="AK128" s="23" t="str">
        <f t="shared" ca="1" si="42"/>
        <v>N/A</v>
      </c>
      <c r="AL128" s="24" t="str">
        <f t="shared" ca="1" si="43"/>
        <v>—</v>
      </c>
    </row>
    <row r="129" spans="1:38" ht="16.05" customHeight="1" x14ac:dyDescent="0.3">
      <c r="A129" s="13" t="s">
        <v>351</v>
      </c>
      <c r="B129" s="14" t="s">
        <v>352</v>
      </c>
      <c r="C129" s="13" t="s">
        <v>116</v>
      </c>
      <c r="D129" s="15">
        <v>6983136.6699999999</v>
      </c>
      <c r="E129" s="16" t="str">
        <f>IF(NORMALIZADO!CB128="","",NORMALIZADO!CB128)</f>
        <v/>
      </c>
      <c r="F129" s="17" t="str">
        <f ca="1">IF(NORMALIZADO!CC128="","",NORMALIZADO!CC128)</f>
        <v/>
      </c>
      <c r="G129" s="17">
        <f ca="1">IF(NORMALIZADO!CD128="",IFERROR(MATRIZ_174!U128*100,""),NORMALIZADO!CD128)</f>
        <v>100</v>
      </c>
      <c r="H129" s="16" t="str">
        <f>IF(NORMALIZADO!CE128="","",NORMALIZADO!CE128)</f>
        <v/>
      </c>
      <c r="I129" s="17" t="str">
        <f>IF(NORMALIZADO!CF128="","",NORMALIZADO!CF128)</f>
        <v/>
      </c>
      <c r="J129" s="17" t="str">
        <f ca="1">IF(NORMALIZADO!CG128="","",NORMALIZADO!CG128)</f>
        <v/>
      </c>
      <c r="K129" s="16" t="str">
        <f ca="1">IF(NORMALIZADO!CH128="","",NORMALIZADO!CH128)</f>
        <v/>
      </c>
      <c r="L129" s="16" t="str">
        <f>IF(NORMALIZADO!CI128="","",NORMALIZADO!CI128)</f>
        <v/>
      </c>
      <c r="M129" s="16" t="str">
        <f>IF(NORMALIZADO!CJ128="","",NORMALIZADO!CJ128)</f>
        <v/>
      </c>
      <c r="N129" s="16" t="str">
        <f>IF(NORMALIZADO!CK128="","",NORMALIZADO!CK128)</f>
        <v/>
      </c>
      <c r="O129" s="16" t="str">
        <f>IF(NORMALIZADO!CL128="","",NORMALIZADO!CL128)</f>
        <v/>
      </c>
      <c r="P129" s="17" t="str">
        <f t="shared" ca="1" si="33"/>
        <v/>
      </c>
      <c r="Q129" s="17">
        <f t="shared" ca="1" si="34"/>
        <v>0</v>
      </c>
      <c r="R129" s="17">
        <f t="shared" ca="1" si="35"/>
        <v>0</v>
      </c>
      <c r="S129" s="17">
        <f t="shared" ca="1" si="36"/>
        <v>0</v>
      </c>
      <c r="T129" s="17">
        <f ca="1">IFERROR((K129+M129+MATRIZ_174!O128)/3,0)</f>
        <v>0</v>
      </c>
      <c r="U129" s="18">
        <f>IFERROR(MIN(100,ROUND(MATRIZ_174!M128,1)),0)</f>
        <v>50</v>
      </c>
      <c r="V129" s="18">
        <f t="shared" ca="1" si="37"/>
        <v>50</v>
      </c>
      <c r="W129" s="18">
        <f>IFERROR(IF(MATRIZ_174!R128=0,65,IF(MATRIZ_174!R128/MATRIZ_174!Q128&gt;=2,35,IF(MATRIZ_174!R128/MATRIZ_174!Q128&gt;=0.5,50,65))),65)</f>
        <v>65</v>
      </c>
      <c r="X129" s="18">
        <f>IFERROR(MIN(100,IF(MATRIZ_174!O128=0,70,30)+IF(MATRIZ_174!U128="",0,0.3*(100-MATRIZ_174!U128*100))),70)</f>
        <v>70</v>
      </c>
      <c r="Y129" s="18">
        <f>IF(OR(MATRIZ_174!P128="ASOCIACION",MATRIZ_174!P128="PENDIENTE"),65,40)</f>
        <v>65</v>
      </c>
      <c r="Z129" s="19" t="str">
        <f t="shared" ca="1" si="38"/>
        <v>—</v>
      </c>
      <c r="AA129" s="20">
        <f t="shared" ca="1" si="39"/>
        <v>60</v>
      </c>
      <c r="AB129" s="21" t="str">
        <f t="shared" ca="1" si="40"/>
        <v>—</v>
      </c>
      <c r="AC129" s="13" t="str">
        <f t="shared" ca="1" si="41"/>
        <v>⬜  Pendiente de instrumento</v>
      </c>
      <c r="AD129" s="13" t="str">
        <f>IF(MATRIZ_174!U128="","",IF(MATRIZ_174!U128=0,"🚫  Inh. vigente OSCE",""))</f>
        <v/>
      </c>
      <c r="AE129" s="22">
        <f>IFERROR(MATRIZ_174!W128,0)</f>
        <v>1</v>
      </c>
      <c r="AF129" s="22">
        <f>IFERROR(MATRIZ_174!X128,0)</f>
        <v>0</v>
      </c>
      <c r="AG129" s="22">
        <f>IFERROR(MATRIZ_174!Y128,0)</f>
        <v>0</v>
      </c>
      <c r="AH129" s="22">
        <f>IFERROR(MATRIZ_174!Z128,0)</f>
        <v>0</v>
      </c>
      <c r="AI129" s="17">
        <f ca="1">IFERROR(MATRIZ_174!AP128,"N/A")</f>
        <v>0.125</v>
      </c>
      <c r="AJ129" s="17">
        <f>IFERROR(MATRIZ_174!AO128,"N/A")</f>
        <v>0</v>
      </c>
      <c r="AK129" s="23" t="str">
        <f t="shared" ca="1" si="42"/>
        <v>N/A</v>
      </c>
      <c r="AL129" s="24" t="str">
        <f t="shared" ca="1" si="43"/>
        <v>—</v>
      </c>
    </row>
    <row r="130" spans="1:38" ht="16.05" customHeight="1" x14ac:dyDescent="0.3">
      <c r="A130" s="13" t="s">
        <v>353</v>
      </c>
      <c r="B130" s="14" t="s">
        <v>354</v>
      </c>
      <c r="C130" s="13" t="s">
        <v>113</v>
      </c>
      <c r="D130" s="15">
        <v>0</v>
      </c>
      <c r="E130" s="16" t="str">
        <f>IF(NORMALIZADO!CB129="","",NORMALIZADO!CB129)</f>
        <v/>
      </c>
      <c r="F130" s="17" t="str">
        <f ca="1">IF(NORMALIZADO!CC129="","",NORMALIZADO!CC129)</f>
        <v/>
      </c>
      <c r="G130" s="17">
        <f ca="1">IF(NORMALIZADO!CD129="",IFERROR(MATRIZ_174!U129*100,""),NORMALIZADO!CD129)</f>
        <v>100</v>
      </c>
      <c r="H130" s="16" t="str">
        <f>IF(NORMALIZADO!CE129="","",NORMALIZADO!CE129)</f>
        <v/>
      </c>
      <c r="I130" s="17" t="str">
        <f>IF(NORMALIZADO!CF129="","",NORMALIZADO!CF129)</f>
        <v/>
      </c>
      <c r="J130" s="17" t="str">
        <f ca="1">IF(NORMALIZADO!CG129="","",NORMALIZADO!CG129)</f>
        <v/>
      </c>
      <c r="K130" s="16" t="str">
        <f ca="1">IF(NORMALIZADO!CH129="","",NORMALIZADO!CH129)</f>
        <v/>
      </c>
      <c r="L130" s="16" t="str">
        <f>IF(NORMALIZADO!CI129="","",NORMALIZADO!CI129)</f>
        <v/>
      </c>
      <c r="M130" s="16" t="str">
        <f>IF(NORMALIZADO!CJ129="","",NORMALIZADO!CJ129)</f>
        <v/>
      </c>
      <c r="N130" s="16" t="str">
        <f>IF(NORMALIZADO!CK129="","",NORMALIZADO!CK129)</f>
        <v/>
      </c>
      <c r="O130" s="16" t="str">
        <f>IF(NORMALIZADO!CL129="","",NORMALIZADO!CL129)</f>
        <v/>
      </c>
      <c r="P130" s="17" t="str">
        <f t="shared" ca="1" si="33"/>
        <v/>
      </c>
      <c r="Q130" s="17">
        <f t="shared" ca="1" si="34"/>
        <v>0</v>
      </c>
      <c r="R130" s="17">
        <f t="shared" ca="1" si="35"/>
        <v>0</v>
      </c>
      <c r="S130" s="17">
        <f t="shared" ca="1" si="36"/>
        <v>0</v>
      </c>
      <c r="T130" s="17">
        <f ca="1">IFERROR((K130+M130+MATRIZ_174!O129)/3,0)</f>
        <v>0</v>
      </c>
      <c r="U130" s="18">
        <f>IFERROR(MIN(100,ROUND(MATRIZ_174!M129,1)),0)</f>
        <v>0</v>
      </c>
      <c r="V130" s="18">
        <f t="shared" ca="1" si="37"/>
        <v>50</v>
      </c>
      <c r="W130" s="18">
        <f>IFERROR(IF(MATRIZ_174!R129=0,65,IF(MATRIZ_174!R129/MATRIZ_174!Q129&gt;=2,35,IF(MATRIZ_174!R129/MATRIZ_174!Q129&gt;=0.5,50,65))),65)</f>
        <v>65</v>
      </c>
      <c r="X130" s="18">
        <f>IFERROR(MIN(100,IF(MATRIZ_174!O129=0,70,30)+IF(MATRIZ_174!U129="",0,0.3*(100-MATRIZ_174!U129*100))),70)</f>
        <v>70</v>
      </c>
      <c r="Y130" s="18">
        <f>IF(OR(MATRIZ_174!P129="ASOCIACION",MATRIZ_174!P129="PENDIENTE"),65,40)</f>
        <v>65</v>
      </c>
      <c r="Z130" s="19" t="str">
        <f t="shared" ca="1" si="38"/>
        <v>—</v>
      </c>
      <c r="AA130" s="20">
        <f t="shared" ca="1" si="39"/>
        <v>50</v>
      </c>
      <c r="AB130" s="21" t="str">
        <f t="shared" ca="1" si="40"/>
        <v>—</v>
      </c>
      <c r="AC130" s="13" t="str">
        <f t="shared" ca="1" si="41"/>
        <v>⬜  Pendiente de instrumento</v>
      </c>
      <c r="AD130" s="13" t="str">
        <f>IF(MATRIZ_174!U129="","",IF(MATRIZ_174!U129=0,"🚫  Inh. vigente OSCE",""))</f>
        <v/>
      </c>
      <c r="AE130" s="22">
        <f>IFERROR(MATRIZ_174!W129,0)</f>
        <v>0</v>
      </c>
      <c r="AF130" s="22">
        <f>IFERROR(MATRIZ_174!X129,0)</f>
        <v>0</v>
      </c>
      <c r="AG130" s="22">
        <f>IFERROR(MATRIZ_174!Y129,0)</f>
        <v>0</v>
      </c>
      <c r="AH130" s="22">
        <f>IFERROR(MATRIZ_174!Z129,0)</f>
        <v>0</v>
      </c>
      <c r="AI130" s="17">
        <f ca="1">IFERROR(MATRIZ_174!AP129,"N/A")</f>
        <v>0</v>
      </c>
      <c r="AJ130" s="17">
        <f>IFERROR(MATRIZ_174!AO129,"N/A")</f>
        <v>0</v>
      </c>
      <c r="AK130" s="23" t="str">
        <f t="shared" ca="1" si="42"/>
        <v>N/A</v>
      </c>
      <c r="AL130" s="24" t="str">
        <f t="shared" ca="1" si="43"/>
        <v>—</v>
      </c>
    </row>
    <row r="131" spans="1:38" ht="16.05" customHeight="1" x14ac:dyDescent="0.3">
      <c r="A131" s="13" t="s">
        <v>355</v>
      </c>
      <c r="B131" s="14" t="s">
        <v>356</v>
      </c>
      <c r="C131" s="13" t="s">
        <v>257</v>
      </c>
      <c r="D131" s="15">
        <v>0</v>
      </c>
      <c r="E131" s="16" t="str">
        <f>IF(NORMALIZADO!CB130="","",NORMALIZADO!CB130)</f>
        <v/>
      </c>
      <c r="F131" s="17" t="str">
        <f ca="1">IF(NORMALIZADO!CC130="","",NORMALIZADO!CC130)</f>
        <v/>
      </c>
      <c r="G131" s="17">
        <f ca="1">IF(NORMALIZADO!CD130="",IFERROR(MATRIZ_174!U130*100,""),NORMALIZADO!CD130)</f>
        <v>100</v>
      </c>
      <c r="H131" s="16" t="str">
        <f>IF(NORMALIZADO!CE130="","",NORMALIZADO!CE130)</f>
        <v/>
      </c>
      <c r="I131" s="17" t="str">
        <f>IF(NORMALIZADO!CF130="","",NORMALIZADO!CF130)</f>
        <v/>
      </c>
      <c r="J131" s="17" t="str">
        <f ca="1">IF(NORMALIZADO!CG130="","",NORMALIZADO!CG130)</f>
        <v/>
      </c>
      <c r="K131" s="16" t="str">
        <f ca="1">IF(NORMALIZADO!CH130="","",NORMALIZADO!CH130)</f>
        <v/>
      </c>
      <c r="L131" s="16" t="str">
        <f>IF(NORMALIZADO!CI130="","",NORMALIZADO!CI130)</f>
        <v/>
      </c>
      <c r="M131" s="16" t="str">
        <f>IF(NORMALIZADO!CJ130="","",NORMALIZADO!CJ130)</f>
        <v/>
      </c>
      <c r="N131" s="16" t="str">
        <f>IF(NORMALIZADO!CK130="","",NORMALIZADO!CK130)</f>
        <v/>
      </c>
      <c r="O131" s="16" t="str">
        <f>IF(NORMALIZADO!CL130="","",NORMALIZADO!CL130)</f>
        <v/>
      </c>
      <c r="P131" s="17" t="str">
        <f t="shared" ca="1" si="33"/>
        <v/>
      </c>
      <c r="Q131" s="17">
        <f t="shared" ca="1" si="34"/>
        <v>0</v>
      </c>
      <c r="R131" s="17">
        <f t="shared" ca="1" si="35"/>
        <v>0</v>
      </c>
      <c r="S131" s="17">
        <f t="shared" ca="1" si="36"/>
        <v>0</v>
      </c>
      <c r="T131" s="17">
        <f ca="1">IFERROR((K131+M131+MATRIZ_174!O130)/3,0)</f>
        <v>0</v>
      </c>
      <c r="U131" s="18">
        <f>IFERROR(MIN(100,ROUND(MATRIZ_174!M130,1)),0)</f>
        <v>0</v>
      </c>
      <c r="V131" s="18">
        <f t="shared" ca="1" si="37"/>
        <v>50</v>
      </c>
      <c r="W131" s="18">
        <f>IFERROR(IF(MATRIZ_174!R130=0,65,IF(MATRIZ_174!R130/MATRIZ_174!Q130&gt;=2,35,IF(MATRIZ_174!R130/MATRIZ_174!Q130&gt;=0.5,50,65))),65)</f>
        <v>50</v>
      </c>
      <c r="X131" s="18">
        <f>IFERROR(MIN(100,IF(MATRIZ_174!O130=0,70,30)+IF(MATRIZ_174!U130="",0,0.3*(100-MATRIZ_174!U130*100))),70)</f>
        <v>70</v>
      </c>
      <c r="Y131" s="18">
        <f>IF(OR(MATRIZ_174!P130="ASOCIACION",MATRIZ_174!P130="PENDIENTE"),65,40)</f>
        <v>65</v>
      </c>
      <c r="Z131" s="19" t="str">
        <f t="shared" ca="1" si="38"/>
        <v>—</v>
      </c>
      <c r="AA131" s="20">
        <f t="shared" ca="1" si="39"/>
        <v>47</v>
      </c>
      <c r="AB131" s="21" t="str">
        <f t="shared" ca="1" si="40"/>
        <v>—</v>
      </c>
      <c r="AC131" s="13" t="str">
        <f t="shared" ca="1" si="41"/>
        <v>⬜  Pendiente de instrumento</v>
      </c>
      <c r="AD131" s="13" t="str">
        <f>IF(MATRIZ_174!U130="","",IF(MATRIZ_174!U130=0,"🚫  Inh. vigente OSCE",""))</f>
        <v/>
      </c>
      <c r="AE131" s="22">
        <f>IFERROR(MATRIZ_174!W130,0)</f>
        <v>1</v>
      </c>
      <c r="AF131" s="22">
        <f>IFERROR(MATRIZ_174!X130,0)</f>
        <v>0</v>
      </c>
      <c r="AG131" s="22">
        <f>IFERROR(MATRIZ_174!Y130,0)</f>
        <v>0</v>
      </c>
      <c r="AH131" s="22">
        <f>IFERROR(MATRIZ_174!Z130,0)</f>
        <v>0</v>
      </c>
      <c r="AI131" s="17">
        <f ca="1">IFERROR(MATRIZ_174!AP130,"N/A")</f>
        <v>2.5000000000000001E-2</v>
      </c>
      <c r="AJ131" s="17">
        <f>IFERROR(MATRIZ_174!AO130,"N/A")</f>
        <v>0</v>
      </c>
      <c r="AK131" s="23" t="str">
        <f t="shared" ca="1" si="42"/>
        <v>N/A</v>
      </c>
      <c r="AL131" s="24" t="str">
        <f t="shared" ca="1" si="43"/>
        <v>—</v>
      </c>
    </row>
    <row r="132" spans="1:38" ht="16.05" customHeight="1" x14ac:dyDescent="0.3">
      <c r="A132" s="13" t="s">
        <v>358</v>
      </c>
      <c r="B132" s="14" t="s">
        <v>359</v>
      </c>
      <c r="C132" s="13" t="s">
        <v>77</v>
      </c>
      <c r="D132" s="15">
        <v>0</v>
      </c>
      <c r="E132" s="16" t="str">
        <f>IF(NORMALIZADO!CB131="","",NORMALIZADO!CB131)</f>
        <v/>
      </c>
      <c r="F132" s="17" t="str">
        <f ca="1">IF(NORMALIZADO!CC131="","",NORMALIZADO!CC131)</f>
        <v/>
      </c>
      <c r="G132" s="17">
        <f ca="1">IF(NORMALIZADO!CD131="",IFERROR(MATRIZ_174!U131*100,""),NORMALIZADO!CD131)</f>
        <v>100</v>
      </c>
      <c r="H132" s="16" t="str">
        <f>IF(NORMALIZADO!CE131="","",NORMALIZADO!CE131)</f>
        <v/>
      </c>
      <c r="I132" s="17" t="str">
        <f>IF(NORMALIZADO!CF131="","",NORMALIZADO!CF131)</f>
        <v/>
      </c>
      <c r="J132" s="17" t="str">
        <f ca="1">IF(NORMALIZADO!CG131="","",NORMALIZADO!CG131)</f>
        <v/>
      </c>
      <c r="K132" s="16" t="str">
        <f ca="1">IF(NORMALIZADO!CH131="","",NORMALIZADO!CH131)</f>
        <v/>
      </c>
      <c r="L132" s="16" t="str">
        <f>IF(NORMALIZADO!CI131="","",NORMALIZADO!CI131)</f>
        <v/>
      </c>
      <c r="M132" s="16" t="str">
        <f>IF(NORMALIZADO!CJ131="","",NORMALIZADO!CJ131)</f>
        <v/>
      </c>
      <c r="N132" s="16" t="str">
        <f>IF(NORMALIZADO!CK131="","",NORMALIZADO!CK131)</f>
        <v/>
      </c>
      <c r="O132" s="16" t="str">
        <f>IF(NORMALIZADO!CL131="","",NORMALIZADO!CL131)</f>
        <v/>
      </c>
      <c r="P132" s="17" t="str">
        <f t="shared" ref="P132:P163" ca="1" si="44">IFERROR(F132,0)</f>
        <v/>
      </c>
      <c r="Q132" s="17">
        <f t="shared" ref="Q132:Q163" ca="1" si="45">IFERROR(SQRT(G132*H132),0)</f>
        <v>0</v>
      </c>
      <c r="R132" s="17">
        <f t="shared" ref="R132:R163" ca="1" si="46">IFERROR((I132+J132+L132)/3,0)</f>
        <v>0</v>
      </c>
      <c r="S132" s="17">
        <f t="shared" ref="S132:S163" ca="1" si="47">IFERROR((J132+F132)/2,0)</f>
        <v>0</v>
      </c>
      <c r="T132" s="17">
        <f ca="1">IFERROR((K132+M132+MATRIZ_174!O131)/3,0)</f>
        <v>0</v>
      </c>
      <c r="U132" s="18">
        <f>IFERROR(MIN(100,ROUND(MATRIZ_174!M131,1)),0)</f>
        <v>0</v>
      </c>
      <c r="V132" s="18">
        <f t="shared" ref="V132:V163" ca="1" si="48">IF(OR(NOT(ISNUMBER(F132)),F132=0),50,F132)</f>
        <v>50</v>
      </c>
      <c r="W132" s="18">
        <f>IFERROR(IF(MATRIZ_174!R131=0,65,IF(MATRIZ_174!R131/MATRIZ_174!Q131&gt;=2,35,IF(MATRIZ_174!R131/MATRIZ_174!Q131&gt;=0.5,50,65))),65)</f>
        <v>65</v>
      </c>
      <c r="X132" s="18">
        <f>IFERROR(MIN(100,IF(MATRIZ_174!O131=0,70,30)+IF(MATRIZ_174!U131="",0,0.3*(100-MATRIZ_174!U131*100))),70)</f>
        <v>70</v>
      </c>
      <c r="Y132" s="18">
        <f>IF(OR(MATRIZ_174!P131="ASOCIACION",MATRIZ_174!P131="PENDIENTE"),65,40)</f>
        <v>65</v>
      </c>
      <c r="Z132" s="19" t="str">
        <f t="shared" ref="Z132:Z163" ca="1" si="49">IF(COUNT(F132:M132)&lt;8,"—",IFERROR(ROUND(AVERAGE(P132:T132),1),"—"))</f>
        <v>—</v>
      </c>
      <c r="AA132" s="20">
        <f t="shared" ref="AA132:AA163" ca="1" si="50">IFERROR(ROUND(AVERAGE(U132,V132,W132,X132,Y132),1),0)</f>
        <v>50</v>
      </c>
      <c r="AB132" s="21" t="str">
        <f t="shared" ref="AB132:AB163" ca="1" si="51">IF(NOT(ISNUMBER(Z132)),"—",IFERROR(ROUND(AA132*(1-Z132/100),1),"—"))</f>
        <v>—</v>
      </c>
      <c r="AC132" s="13" t="str">
        <f t="shared" ref="AC132:AC163" ca="1" si="52">IF(OR(NOT(ISNUMBER(Z132)),NOT(ISNUMBER(AA132))),"⬜  Pendiente de instrumento",IF(AND(Z132&gt;=50,AA132&lt;50),"🟢  Resilientes",IF(AND(Z132&gt;=50,AA132&gt;=50),"🟠  Expuestas Adaptables",IF(AND(Z132&lt;50,AA132&lt;50),"⬜  Riesgo Latente","🔴  Riesgo Crítico"))))</f>
        <v>⬜  Pendiente de instrumento</v>
      </c>
      <c r="AD132" s="13" t="str">
        <f>IF(MATRIZ_174!U131="","",IF(MATRIZ_174!U131=0,"🚫  Inh. vigente OSCE",""))</f>
        <v/>
      </c>
      <c r="AE132" s="22">
        <f>IFERROR(MATRIZ_174!W131,0)</f>
        <v>0</v>
      </c>
      <c r="AF132" s="22">
        <f>IFERROR(MATRIZ_174!X131,0)</f>
        <v>0</v>
      </c>
      <c r="AG132" s="22">
        <f>IFERROR(MATRIZ_174!Y131,0)</f>
        <v>0</v>
      </c>
      <c r="AH132" s="22">
        <f>IFERROR(MATRIZ_174!Z131,0)</f>
        <v>0</v>
      </c>
      <c r="AI132" s="17">
        <f ca="1">IFERROR(MATRIZ_174!AP131,"N/A")</f>
        <v>0</v>
      </c>
      <c r="AJ132" s="17">
        <f>IFERROR(MATRIZ_174!AO131,"N/A")</f>
        <v>0</v>
      </c>
      <c r="AK132" s="23" t="str">
        <f t="shared" ref="AK132:AK163" ca="1" si="53">IF(COUNT(E132:M132)&lt;7,"N/A",IFERROR(ROUND((POWER(PRODUCT(E132:K132),1/MAX(1,COUNT(E132:K132)))*IF(COUNT(E132:K132)&gt;0,0.875,0)+IFERROR(AVERAGE(L132:M132),0)*IF(COUNT(L132:M132)&gt;0,0.125,0))/(IF(COUNT(E132:K132)&gt;0,0.875,0)+IF(COUNT(L132:M132)&gt;0,0.125,0)),1),"N/A"))</f>
        <v>N/A</v>
      </c>
      <c r="AL132" s="24" t="str">
        <f t="shared" ref="AL132:AL163" ca="1" si="54">IF(OR(NOT(ISNUMBER(AK132)),NOT(ISNUMBER(AI132))),"—",ROUND(0.7*AK132+0.3*AI132*100,1))</f>
        <v>—</v>
      </c>
    </row>
    <row r="133" spans="1:38" ht="16.05" customHeight="1" x14ac:dyDescent="0.3">
      <c r="A133" s="13" t="s">
        <v>360</v>
      </c>
      <c r="B133" s="14" t="s">
        <v>361</v>
      </c>
      <c r="C133" s="13" t="s">
        <v>113</v>
      </c>
      <c r="D133" s="15">
        <v>0</v>
      </c>
      <c r="E133" s="16" t="str">
        <f>IF(NORMALIZADO!CB132="","",NORMALIZADO!CB132)</f>
        <v/>
      </c>
      <c r="F133" s="17" t="str">
        <f ca="1">IF(NORMALIZADO!CC132="","",NORMALIZADO!CC132)</f>
        <v/>
      </c>
      <c r="G133" s="17">
        <f ca="1">IF(NORMALIZADO!CD132="",IFERROR(MATRIZ_174!U132*100,""),NORMALIZADO!CD132)</f>
        <v>100</v>
      </c>
      <c r="H133" s="16" t="str">
        <f>IF(NORMALIZADO!CE132="","",NORMALIZADO!CE132)</f>
        <v/>
      </c>
      <c r="I133" s="17" t="str">
        <f>IF(NORMALIZADO!CF132="","",NORMALIZADO!CF132)</f>
        <v/>
      </c>
      <c r="J133" s="17" t="str">
        <f ca="1">IF(NORMALIZADO!CG132="","",NORMALIZADO!CG132)</f>
        <v/>
      </c>
      <c r="K133" s="16" t="str">
        <f ca="1">IF(NORMALIZADO!CH132="","",NORMALIZADO!CH132)</f>
        <v/>
      </c>
      <c r="L133" s="16" t="str">
        <f>IF(NORMALIZADO!CI132="","",NORMALIZADO!CI132)</f>
        <v/>
      </c>
      <c r="M133" s="16" t="str">
        <f>IF(NORMALIZADO!CJ132="","",NORMALIZADO!CJ132)</f>
        <v/>
      </c>
      <c r="N133" s="16" t="str">
        <f>IF(NORMALIZADO!CK132="","",NORMALIZADO!CK132)</f>
        <v/>
      </c>
      <c r="O133" s="16" t="str">
        <f>IF(NORMALIZADO!CL132="","",NORMALIZADO!CL132)</f>
        <v/>
      </c>
      <c r="P133" s="17" t="str">
        <f t="shared" ca="1" si="44"/>
        <v/>
      </c>
      <c r="Q133" s="17">
        <f t="shared" ca="1" si="45"/>
        <v>0</v>
      </c>
      <c r="R133" s="17">
        <f t="shared" ca="1" si="46"/>
        <v>0</v>
      </c>
      <c r="S133" s="17">
        <f t="shared" ca="1" si="47"/>
        <v>0</v>
      </c>
      <c r="T133" s="17">
        <f ca="1">IFERROR((K133+M133+MATRIZ_174!O132)/3,0)</f>
        <v>0</v>
      </c>
      <c r="U133" s="18">
        <f>IFERROR(MIN(100,ROUND(MATRIZ_174!M132,1)),0)</f>
        <v>0</v>
      </c>
      <c r="V133" s="18">
        <f t="shared" ca="1" si="48"/>
        <v>50</v>
      </c>
      <c r="W133" s="18">
        <f>IFERROR(IF(MATRIZ_174!R132=0,65,IF(MATRIZ_174!R132/MATRIZ_174!Q132&gt;=2,35,IF(MATRIZ_174!R132/MATRIZ_174!Q132&gt;=0.5,50,65))),65)</f>
        <v>65</v>
      </c>
      <c r="X133" s="18">
        <f>IFERROR(MIN(100,IF(MATRIZ_174!O132=0,70,30)+IF(MATRIZ_174!U132="",0,0.3*(100-MATRIZ_174!U132*100))),70)</f>
        <v>70</v>
      </c>
      <c r="Y133" s="18">
        <f>IF(OR(MATRIZ_174!P132="ASOCIACION",MATRIZ_174!P132="PENDIENTE"),65,40)</f>
        <v>65</v>
      </c>
      <c r="Z133" s="19" t="str">
        <f t="shared" ca="1" si="49"/>
        <v>—</v>
      </c>
      <c r="AA133" s="20">
        <f t="shared" ca="1" si="50"/>
        <v>50</v>
      </c>
      <c r="AB133" s="21" t="str">
        <f t="shared" ca="1" si="51"/>
        <v>—</v>
      </c>
      <c r="AC133" s="13" t="str">
        <f t="shared" ca="1" si="52"/>
        <v>⬜  Pendiente de instrumento</v>
      </c>
      <c r="AD133" s="13" t="str">
        <f>IF(MATRIZ_174!U132="","",IF(MATRIZ_174!U132=0,"🚫  Inh. vigente OSCE",""))</f>
        <v/>
      </c>
      <c r="AE133" s="22">
        <f>IFERROR(MATRIZ_174!W132,0)</f>
        <v>0</v>
      </c>
      <c r="AF133" s="22">
        <f>IFERROR(MATRIZ_174!X132,0)</f>
        <v>0</v>
      </c>
      <c r="AG133" s="22">
        <f>IFERROR(MATRIZ_174!Y132,0)</f>
        <v>0</v>
      </c>
      <c r="AH133" s="22">
        <f>IFERROR(MATRIZ_174!Z132,0)</f>
        <v>0</v>
      </c>
      <c r="AI133" s="17">
        <f ca="1">IFERROR(MATRIZ_174!AP132,"N/A")</f>
        <v>0</v>
      </c>
      <c r="AJ133" s="17">
        <f>IFERROR(MATRIZ_174!AO132,"N/A")</f>
        <v>0</v>
      </c>
      <c r="AK133" s="23" t="str">
        <f t="shared" ca="1" si="53"/>
        <v>N/A</v>
      </c>
      <c r="AL133" s="24" t="str">
        <f t="shared" ca="1" si="54"/>
        <v>—</v>
      </c>
    </row>
    <row r="134" spans="1:38" ht="16.05" customHeight="1" x14ac:dyDescent="0.3">
      <c r="A134" s="13" t="s">
        <v>362</v>
      </c>
      <c r="B134" s="14" t="s">
        <v>363</v>
      </c>
      <c r="C134" s="13" t="s">
        <v>107</v>
      </c>
      <c r="D134" s="15">
        <v>0</v>
      </c>
      <c r="E134" s="16" t="str">
        <f>IF(NORMALIZADO!CB133="","",NORMALIZADO!CB133)</f>
        <v/>
      </c>
      <c r="F134" s="17" t="str">
        <f ca="1">IF(NORMALIZADO!CC133="","",NORMALIZADO!CC133)</f>
        <v/>
      </c>
      <c r="G134" s="17">
        <f ca="1">IF(NORMALIZADO!CD133="",IFERROR(MATRIZ_174!U133*100,""),NORMALIZADO!CD133)</f>
        <v>100</v>
      </c>
      <c r="H134" s="16" t="str">
        <f>IF(NORMALIZADO!CE133="","",NORMALIZADO!CE133)</f>
        <v/>
      </c>
      <c r="I134" s="17" t="str">
        <f>IF(NORMALIZADO!CF133="","",NORMALIZADO!CF133)</f>
        <v/>
      </c>
      <c r="J134" s="17" t="str">
        <f ca="1">IF(NORMALIZADO!CG133="","",NORMALIZADO!CG133)</f>
        <v/>
      </c>
      <c r="K134" s="16" t="str">
        <f ca="1">IF(NORMALIZADO!CH133="","",NORMALIZADO!CH133)</f>
        <v/>
      </c>
      <c r="L134" s="16" t="str">
        <f>IF(NORMALIZADO!CI133="","",NORMALIZADO!CI133)</f>
        <v/>
      </c>
      <c r="M134" s="16" t="str">
        <f>IF(NORMALIZADO!CJ133="","",NORMALIZADO!CJ133)</f>
        <v/>
      </c>
      <c r="N134" s="16" t="str">
        <f>IF(NORMALIZADO!CK133="","",NORMALIZADO!CK133)</f>
        <v/>
      </c>
      <c r="O134" s="16" t="str">
        <f>IF(NORMALIZADO!CL133="","",NORMALIZADO!CL133)</f>
        <v/>
      </c>
      <c r="P134" s="17" t="str">
        <f t="shared" ca="1" si="44"/>
        <v/>
      </c>
      <c r="Q134" s="17">
        <f t="shared" ca="1" si="45"/>
        <v>0</v>
      </c>
      <c r="R134" s="17">
        <f t="shared" ca="1" si="46"/>
        <v>0</v>
      </c>
      <c r="S134" s="17">
        <f t="shared" ca="1" si="47"/>
        <v>0</v>
      </c>
      <c r="T134" s="17">
        <f ca="1">IFERROR((K134+M134+MATRIZ_174!O133)/3,0)</f>
        <v>0</v>
      </c>
      <c r="U134" s="18">
        <f>IFERROR(MIN(100,ROUND(MATRIZ_174!M133,1)),0)</f>
        <v>0</v>
      </c>
      <c r="V134" s="18">
        <f t="shared" ca="1" si="48"/>
        <v>50</v>
      </c>
      <c r="W134" s="18">
        <f>IFERROR(IF(MATRIZ_174!R133=0,65,IF(MATRIZ_174!R133/MATRIZ_174!Q133&gt;=2,35,IF(MATRIZ_174!R133/MATRIZ_174!Q133&gt;=0.5,50,65))),65)</f>
        <v>65</v>
      </c>
      <c r="X134" s="18">
        <f>IFERROR(MIN(100,IF(MATRIZ_174!O133=0,70,30)+IF(MATRIZ_174!U133="",0,0.3*(100-MATRIZ_174!U133*100))),70)</f>
        <v>70</v>
      </c>
      <c r="Y134" s="18">
        <f>IF(OR(MATRIZ_174!P133="ASOCIACION",MATRIZ_174!P133="PENDIENTE"),65,40)</f>
        <v>65</v>
      </c>
      <c r="Z134" s="19" t="str">
        <f t="shared" ca="1" si="49"/>
        <v>—</v>
      </c>
      <c r="AA134" s="20">
        <f t="shared" ca="1" si="50"/>
        <v>50</v>
      </c>
      <c r="AB134" s="21" t="str">
        <f t="shared" ca="1" si="51"/>
        <v>—</v>
      </c>
      <c r="AC134" s="13" t="str">
        <f t="shared" ca="1" si="52"/>
        <v>⬜  Pendiente de instrumento</v>
      </c>
      <c r="AD134" s="13" t="str">
        <f>IF(MATRIZ_174!U133="","",IF(MATRIZ_174!U133=0,"🚫  Inh. vigente OSCE",""))</f>
        <v/>
      </c>
      <c r="AE134" s="22">
        <f>IFERROR(MATRIZ_174!W133,0)</f>
        <v>0</v>
      </c>
      <c r="AF134" s="22">
        <f>IFERROR(MATRIZ_174!X133,0)</f>
        <v>0</v>
      </c>
      <c r="AG134" s="22">
        <f>IFERROR(MATRIZ_174!Y133,0)</f>
        <v>0</v>
      </c>
      <c r="AH134" s="22">
        <f>IFERROR(MATRIZ_174!Z133,0)</f>
        <v>0</v>
      </c>
      <c r="AI134" s="17">
        <f ca="1">IFERROR(MATRIZ_174!AP133,"N/A")</f>
        <v>0</v>
      </c>
      <c r="AJ134" s="17">
        <f>IFERROR(MATRIZ_174!AO133,"N/A")</f>
        <v>0</v>
      </c>
      <c r="AK134" s="23" t="str">
        <f t="shared" ca="1" si="53"/>
        <v>N/A</v>
      </c>
      <c r="AL134" s="24" t="str">
        <f t="shared" ca="1" si="54"/>
        <v>—</v>
      </c>
    </row>
    <row r="135" spans="1:38" ht="16.05" customHeight="1" x14ac:dyDescent="0.3">
      <c r="A135" s="13" t="s">
        <v>364</v>
      </c>
      <c r="B135" s="14" t="s">
        <v>365</v>
      </c>
      <c r="C135" s="13" t="s">
        <v>77</v>
      </c>
      <c r="D135" s="15">
        <v>0</v>
      </c>
      <c r="E135" s="16" t="str">
        <f>IF(NORMALIZADO!CB134="","",NORMALIZADO!CB134)</f>
        <v/>
      </c>
      <c r="F135" s="17" t="str">
        <f ca="1">IF(NORMALIZADO!CC134="","",NORMALIZADO!CC134)</f>
        <v/>
      </c>
      <c r="G135" s="17">
        <f ca="1">IF(NORMALIZADO!CD134="",IFERROR(MATRIZ_174!U134*100,""),NORMALIZADO!CD134)</f>
        <v>100</v>
      </c>
      <c r="H135" s="16" t="str">
        <f>IF(NORMALIZADO!CE134="","",NORMALIZADO!CE134)</f>
        <v/>
      </c>
      <c r="I135" s="17" t="str">
        <f>IF(NORMALIZADO!CF134="","",NORMALIZADO!CF134)</f>
        <v/>
      </c>
      <c r="J135" s="17" t="str">
        <f ca="1">IF(NORMALIZADO!CG134="","",NORMALIZADO!CG134)</f>
        <v/>
      </c>
      <c r="K135" s="16" t="str">
        <f ca="1">IF(NORMALIZADO!CH134="","",NORMALIZADO!CH134)</f>
        <v/>
      </c>
      <c r="L135" s="16" t="str">
        <f>IF(NORMALIZADO!CI134="","",NORMALIZADO!CI134)</f>
        <v/>
      </c>
      <c r="M135" s="16" t="str">
        <f>IF(NORMALIZADO!CJ134="","",NORMALIZADO!CJ134)</f>
        <v/>
      </c>
      <c r="N135" s="16" t="str">
        <f>IF(NORMALIZADO!CK134="","",NORMALIZADO!CK134)</f>
        <v/>
      </c>
      <c r="O135" s="16" t="str">
        <f>IF(NORMALIZADO!CL134="","",NORMALIZADO!CL134)</f>
        <v/>
      </c>
      <c r="P135" s="17" t="str">
        <f t="shared" ca="1" si="44"/>
        <v/>
      </c>
      <c r="Q135" s="17">
        <f t="shared" ca="1" si="45"/>
        <v>0</v>
      </c>
      <c r="R135" s="17">
        <f t="shared" ca="1" si="46"/>
        <v>0</v>
      </c>
      <c r="S135" s="17">
        <f t="shared" ca="1" si="47"/>
        <v>0</v>
      </c>
      <c r="T135" s="17">
        <f ca="1">IFERROR((K135+M135+MATRIZ_174!O134)/3,0)</f>
        <v>0</v>
      </c>
      <c r="U135" s="18">
        <f>IFERROR(MIN(100,ROUND(MATRIZ_174!M134,1)),0)</f>
        <v>0</v>
      </c>
      <c r="V135" s="18">
        <f t="shared" ca="1" si="48"/>
        <v>50</v>
      </c>
      <c r="W135" s="18">
        <f>IFERROR(IF(MATRIZ_174!R134=0,65,IF(MATRIZ_174!R134/MATRIZ_174!Q134&gt;=2,35,IF(MATRIZ_174!R134/MATRIZ_174!Q134&gt;=0.5,50,65))),65)</f>
        <v>35</v>
      </c>
      <c r="X135" s="18">
        <f>IFERROR(MIN(100,IF(MATRIZ_174!O134=0,70,30)+IF(MATRIZ_174!U134="",0,0.3*(100-MATRIZ_174!U134*100))),70)</f>
        <v>70</v>
      </c>
      <c r="Y135" s="18">
        <f>IF(OR(MATRIZ_174!P134="ASOCIACION",MATRIZ_174!P134="PENDIENTE"),65,40)</f>
        <v>65</v>
      </c>
      <c r="Z135" s="19" t="str">
        <f t="shared" ca="1" si="49"/>
        <v>—</v>
      </c>
      <c r="AA135" s="20">
        <f t="shared" ca="1" si="50"/>
        <v>44</v>
      </c>
      <c r="AB135" s="21" t="str">
        <f t="shared" ca="1" si="51"/>
        <v>—</v>
      </c>
      <c r="AC135" s="13" t="str">
        <f t="shared" ca="1" si="52"/>
        <v>⬜  Pendiente de instrumento</v>
      </c>
      <c r="AD135" s="13" t="str">
        <f>IF(MATRIZ_174!U134="","",IF(MATRIZ_174!U134=0,"🚫  Inh. vigente OSCE",""))</f>
        <v/>
      </c>
      <c r="AE135" s="22">
        <f>IFERROR(MATRIZ_174!W134,0)</f>
        <v>1</v>
      </c>
      <c r="AF135" s="22">
        <f>IFERROR(MATRIZ_174!X134,0)</f>
        <v>0</v>
      </c>
      <c r="AG135" s="22">
        <f>IFERROR(MATRIZ_174!Y134,0)</f>
        <v>0</v>
      </c>
      <c r="AH135" s="22">
        <f>IFERROR(MATRIZ_174!Z134,0)</f>
        <v>0</v>
      </c>
      <c r="AI135" s="17">
        <f ca="1">IFERROR(MATRIZ_174!AP134,"N/A")</f>
        <v>2.5000000000000001E-2</v>
      </c>
      <c r="AJ135" s="17">
        <f>IFERROR(MATRIZ_174!AO134,"N/A")</f>
        <v>0</v>
      </c>
      <c r="AK135" s="23" t="str">
        <f t="shared" ca="1" si="53"/>
        <v>N/A</v>
      </c>
      <c r="AL135" s="24" t="str">
        <f t="shared" ca="1" si="54"/>
        <v>—</v>
      </c>
    </row>
    <row r="136" spans="1:38" ht="16.05" customHeight="1" x14ac:dyDescent="0.3">
      <c r="A136" s="13" t="s">
        <v>368</v>
      </c>
      <c r="B136" s="14" t="s">
        <v>369</v>
      </c>
      <c r="C136" s="13" t="s">
        <v>143</v>
      </c>
      <c r="D136" s="15">
        <v>4575551.37</v>
      </c>
      <c r="E136" s="16" t="str">
        <f>IF(NORMALIZADO!CB135="","",NORMALIZADO!CB135)</f>
        <v/>
      </c>
      <c r="F136" s="17" t="str">
        <f ca="1">IF(NORMALIZADO!CC135="","",NORMALIZADO!CC135)</f>
        <v/>
      </c>
      <c r="G136" s="17">
        <f ca="1">IF(NORMALIZADO!CD135="",IFERROR(MATRIZ_174!U135*100,""),NORMALIZADO!CD135)</f>
        <v>100</v>
      </c>
      <c r="H136" s="16" t="str">
        <f>IF(NORMALIZADO!CE135="","",NORMALIZADO!CE135)</f>
        <v/>
      </c>
      <c r="I136" s="17" t="str">
        <f>IF(NORMALIZADO!CF135="","",NORMALIZADO!CF135)</f>
        <v/>
      </c>
      <c r="J136" s="17" t="str">
        <f ca="1">IF(NORMALIZADO!CG135="","",NORMALIZADO!CG135)</f>
        <v/>
      </c>
      <c r="K136" s="16" t="str">
        <f ca="1">IF(NORMALIZADO!CH135="","",NORMALIZADO!CH135)</f>
        <v/>
      </c>
      <c r="L136" s="16" t="str">
        <f>IF(NORMALIZADO!CI135="","",NORMALIZADO!CI135)</f>
        <v/>
      </c>
      <c r="M136" s="16" t="str">
        <f>IF(NORMALIZADO!CJ135="","",NORMALIZADO!CJ135)</f>
        <v/>
      </c>
      <c r="N136" s="16" t="str">
        <f>IF(NORMALIZADO!CK135="","",NORMALIZADO!CK135)</f>
        <v/>
      </c>
      <c r="O136" s="16" t="str">
        <f>IF(NORMALIZADO!CL135="","",NORMALIZADO!CL135)</f>
        <v/>
      </c>
      <c r="P136" s="17" t="str">
        <f t="shared" ca="1" si="44"/>
        <v/>
      </c>
      <c r="Q136" s="17">
        <f t="shared" ca="1" si="45"/>
        <v>0</v>
      </c>
      <c r="R136" s="17">
        <f t="shared" ca="1" si="46"/>
        <v>0</v>
      </c>
      <c r="S136" s="17">
        <f t="shared" ca="1" si="47"/>
        <v>0</v>
      </c>
      <c r="T136" s="17">
        <f ca="1">IFERROR((K136+M136+MATRIZ_174!O135)/3,0)</f>
        <v>0</v>
      </c>
      <c r="U136" s="18">
        <f>IFERROR(MIN(100,ROUND(MATRIZ_174!M135,1)),0)</f>
        <v>66.900000000000006</v>
      </c>
      <c r="V136" s="18">
        <f t="shared" ca="1" si="48"/>
        <v>50</v>
      </c>
      <c r="W136" s="18">
        <f>IFERROR(IF(MATRIZ_174!R135=0,65,IF(MATRIZ_174!R135/MATRIZ_174!Q135&gt;=2,35,IF(MATRIZ_174!R135/MATRIZ_174!Q135&gt;=0.5,50,65))),65)</f>
        <v>50</v>
      </c>
      <c r="X136" s="18">
        <f>IFERROR(MIN(100,IF(MATRIZ_174!O135=0,70,30)+IF(MATRIZ_174!U135="",0,0.3*(100-MATRIZ_174!U135*100))),70)</f>
        <v>70</v>
      </c>
      <c r="Y136" s="18">
        <f>IF(OR(MATRIZ_174!P135="ASOCIACION",MATRIZ_174!P135="PENDIENTE"),65,40)</f>
        <v>65</v>
      </c>
      <c r="Z136" s="19" t="str">
        <f t="shared" ca="1" si="49"/>
        <v>—</v>
      </c>
      <c r="AA136" s="20">
        <f t="shared" ca="1" si="50"/>
        <v>60.4</v>
      </c>
      <c r="AB136" s="21" t="str">
        <f t="shared" ca="1" si="51"/>
        <v>—</v>
      </c>
      <c r="AC136" s="13" t="str">
        <f t="shared" ca="1" si="52"/>
        <v>⬜  Pendiente de instrumento</v>
      </c>
      <c r="AD136" s="13" t="str">
        <f>IF(MATRIZ_174!U135="","",IF(MATRIZ_174!U135=0,"🚫  Inh. vigente OSCE",""))</f>
        <v/>
      </c>
      <c r="AE136" s="22">
        <f>IFERROR(MATRIZ_174!W135,0)</f>
        <v>1</v>
      </c>
      <c r="AF136" s="22">
        <f>IFERROR(MATRIZ_174!X135,0)</f>
        <v>0</v>
      </c>
      <c r="AG136" s="22">
        <f>IFERROR(MATRIZ_174!Y135,0)</f>
        <v>0</v>
      </c>
      <c r="AH136" s="22">
        <f>IFERROR(MATRIZ_174!Z135,0)</f>
        <v>0</v>
      </c>
      <c r="AI136" s="17">
        <f ca="1">IFERROR(MATRIZ_174!AP135,"N/A")</f>
        <v>0.1588</v>
      </c>
      <c r="AJ136" s="17">
        <f>IFERROR(MATRIZ_174!AO135,"N/A")</f>
        <v>0</v>
      </c>
      <c r="AK136" s="23" t="str">
        <f t="shared" ca="1" si="53"/>
        <v>N/A</v>
      </c>
      <c r="AL136" s="24" t="str">
        <f t="shared" ca="1" si="54"/>
        <v>—</v>
      </c>
    </row>
    <row r="137" spans="1:38" ht="16.05" customHeight="1" x14ac:dyDescent="0.3">
      <c r="A137" s="13" t="s">
        <v>371</v>
      </c>
      <c r="B137" s="14" t="s">
        <v>372</v>
      </c>
      <c r="C137" s="13" t="s">
        <v>77</v>
      </c>
      <c r="D137" s="15">
        <v>0</v>
      </c>
      <c r="E137" s="16" t="str">
        <f>IF(NORMALIZADO!CB136="","",NORMALIZADO!CB136)</f>
        <v/>
      </c>
      <c r="F137" s="17" t="str">
        <f ca="1">IF(NORMALIZADO!CC136="","",NORMALIZADO!CC136)</f>
        <v/>
      </c>
      <c r="G137" s="17">
        <f ca="1">IF(NORMALIZADO!CD136="",IFERROR(MATRIZ_174!U136*100,""),NORMALIZADO!CD136)</f>
        <v>100</v>
      </c>
      <c r="H137" s="16" t="str">
        <f>IF(NORMALIZADO!CE136="","",NORMALIZADO!CE136)</f>
        <v/>
      </c>
      <c r="I137" s="17" t="str">
        <f>IF(NORMALIZADO!CF136="","",NORMALIZADO!CF136)</f>
        <v/>
      </c>
      <c r="J137" s="17" t="str">
        <f ca="1">IF(NORMALIZADO!CG136="","",NORMALIZADO!CG136)</f>
        <v/>
      </c>
      <c r="K137" s="16" t="str">
        <f ca="1">IF(NORMALIZADO!CH136="","",NORMALIZADO!CH136)</f>
        <v/>
      </c>
      <c r="L137" s="16" t="str">
        <f>IF(NORMALIZADO!CI136="","",NORMALIZADO!CI136)</f>
        <v/>
      </c>
      <c r="M137" s="16" t="str">
        <f>IF(NORMALIZADO!CJ136="","",NORMALIZADO!CJ136)</f>
        <v/>
      </c>
      <c r="N137" s="16" t="str">
        <f>IF(NORMALIZADO!CK136="","",NORMALIZADO!CK136)</f>
        <v/>
      </c>
      <c r="O137" s="16" t="str">
        <f>IF(NORMALIZADO!CL136="","",NORMALIZADO!CL136)</f>
        <v/>
      </c>
      <c r="P137" s="17" t="str">
        <f t="shared" ca="1" si="44"/>
        <v/>
      </c>
      <c r="Q137" s="17">
        <f t="shared" ca="1" si="45"/>
        <v>0</v>
      </c>
      <c r="R137" s="17">
        <f t="shared" ca="1" si="46"/>
        <v>0</v>
      </c>
      <c r="S137" s="17">
        <f t="shared" ca="1" si="47"/>
        <v>0</v>
      </c>
      <c r="T137" s="17">
        <f ca="1">IFERROR((K137+M137+MATRIZ_174!O136)/3,0)</f>
        <v>0</v>
      </c>
      <c r="U137" s="18">
        <f>IFERROR(MIN(100,ROUND(MATRIZ_174!M136,1)),0)</f>
        <v>0</v>
      </c>
      <c r="V137" s="18">
        <f t="shared" ca="1" si="48"/>
        <v>50</v>
      </c>
      <c r="W137" s="18">
        <f>IFERROR(IF(MATRIZ_174!R136=0,65,IF(MATRIZ_174!R136/MATRIZ_174!Q136&gt;=2,35,IF(MATRIZ_174!R136/MATRIZ_174!Q136&gt;=0.5,50,65))),65)</f>
        <v>65</v>
      </c>
      <c r="X137" s="18">
        <f>IFERROR(MIN(100,IF(MATRIZ_174!O136=0,70,30)+IF(MATRIZ_174!U136="",0,0.3*(100-MATRIZ_174!U136*100))),70)</f>
        <v>70</v>
      </c>
      <c r="Y137" s="18">
        <f>IF(OR(MATRIZ_174!P136="ASOCIACION",MATRIZ_174!P136="PENDIENTE"),65,40)</f>
        <v>65</v>
      </c>
      <c r="Z137" s="19" t="str">
        <f t="shared" ca="1" si="49"/>
        <v>—</v>
      </c>
      <c r="AA137" s="20">
        <f t="shared" ca="1" si="50"/>
        <v>50</v>
      </c>
      <c r="AB137" s="21" t="str">
        <f t="shared" ca="1" si="51"/>
        <v>—</v>
      </c>
      <c r="AC137" s="13" t="str">
        <f t="shared" ca="1" si="52"/>
        <v>⬜  Pendiente de instrumento</v>
      </c>
      <c r="AD137" s="13" t="str">
        <f>IF(MATRIZ_174!U136="","",IF(MATRIZ_174!U136=0,"🚫  Inh. vigente OSCE",""))</f>
        <v/>
      </c>
      <c r="AE137" s="22">
        <f>IFERROR(MATRIZ_174!W136,0)</f>
        <v>0</v>
      </c>
      <c r="AF137" s="22">
        <f>IFERROR(MATRIZ_174!X136,0)</f>
        <v>0</v>
      </c>
      <c r="AG137" s="22">
        <f>IFERROR(MATRIZ_174!Y136,0)</f>
        <v>0</v>
      </c>
      <c r="AH137" s="22">
        <f>IFERROR(MATRIZ_174!Z136,0)</f>
        <v>0</v>
      </c>
      <c r="AI137" s="17">
        <f ca="1">IFERROR(MATRIZ_174!AP136,"N/A")</f>
        <v>0</v>
      </c>
      <c r="AJ137" s="17">
        <f>IFERROR(MATRIZ_174!AO136,"N/A")</f>
        <v>0</v>
      </c>
      <c r="AK137" s="23" t="str">
        <f t="shared" ca="1" si="53"/>
        <v>N/A</v>
      </c>
      <c r="AL137" s="24" t="str">
        <f t="shared" ca="1" si="54"/>
        <v>—</v>
      </c>
    </row>
    <row r="138" spans="1:38" ht="16.05" customHeight="1" x14ac:dyDescent="0.3">
      <c r="A138" s="13" t="s">
        <v>373</v>
      </c>
      <c r="B138" s="14" t="s">
        <v>374</v>
      </c>
      <c r="C138" s="13" t="s">
        <v>80</v>
      </c>
      <c r="D138" s="15">
        <v>0</v>
      </c>
      <c r="E138" s="16" t="str">
        <f>IF(NORMALIZADO!CB137="","",NORMALIZADO!CB137)</f>
        <v/>
      </c>
      <c r="F138" s="17" t="str">
        <f ca="1">IF(NORMALIZADO!CC137="","",NORMALIZADO!CC137)</f>
        <v/>
      </c>
      <c r="G138" s="17">
        <f ca="1">IF(NORMALIZADO!CD137="",IFERROR(MATRIZ_174!U137*100,""),NORMALIZADO!CD137)</f>
        <v>100</v>
      </c>
      <c r="H138" s="16" t="str">
        <f>IF(NORMALIZADO!CE137="","",NORMALIZADO!CE137)</f>
        <v/>
      </c>
      <c r="I138" s="17" t="str">
        <f>IF(NORMALIZADO!CF137="","",NORMALIZADO!CF137)</f>
        <v/>
      </c>
      <c r="J138" s="17" t="str">
        <f ca="1">IF(NORMALIZADO!CG137="","",NORMALIZADO!CG137)</f>
        <v/>
      </c>
      <c r="K138" s="16" t="str">
        <f ca="1">IF(NORMALIZADO!CH137="","",NORMALIZADO!CH137)</f>
        <v/>
      </c>
      <c r="L138" s="16" t="str">
        <f>IF(NORMALIZADO!CI137="","",NORMALIZADO!CI137)</f>
        <v/>
      </c>
      <c r="M138" s="16" t="str">
        <f>IF(NORMALIZADO!CJ137="","",NORMALIZADO!CJ137)</f>
        <v/>
      </c>
      <c r="N138" s="16" t="str">
        <f>IF(NORMALIZADO!CK137="","",NORMALIZADO!CK137)</f>
        <v/>
      </c>
      <c r="O138" s="16" t="str">
        <f>IF(NORMALIZADO!CL137="","",NORMALIZADO!CL137)</f>
        <v/>
      </c>
      <c r="P138" s="17" t="str">
        <f t="shared" ca="1" si="44"/>
        <v/>
      </c>
      <c r="Q138" s="17">
        <f t="shared" ca="1" si="45"/>
        <v>0</v>
      </c>
      <c r="R138" s="17">
        <f t="shared" ca="1" si="46"/>
        <v>0</v>
      </c>
      <c r="S138" s="17">
        <f t="shared" ca="1" si="47"/>
        <v>0</v>
      </c>
      <c r="T138" s="17">
        <f ca="1">IFERROR((K138+M138+MATRIZ_174!O137)/3,0)</f>
        <v>0</v>
      </c>
      <c r="U138" s="18">
        <f>IFERROR(MIN(100,ROUND(MATRIZ_174!M137,1)),0)</f>
        <v>0</v>
      </c>
      <c r="V138" s="18">
        <f t="shared" ca="1" si="48"/>
        <v>50</v>
      </c>
      <c r="W138" s="18">
        <f>IFERROR(IF(MATRIZ_174!R137=0,65,IF(MATRIZ_174!R137/MATRIZ_174!Q137&gt;=2,35,IF(MATRIZ_174!R137/MATRIZ_174!Q137&gt;=0.5,50,65))),65)</f>
        <v>65</v>
      </c>
      <c r="X138" s="18">
        <f>IFERROR(MIN(100,IF(MATRIZ_174!O137=0,70,30)+IF(MATRIZ_174!U137="",0,0.3*(100-MATRIZ_174!U137*100))),70)</f>
        <v>70</v>
      </c>
      <c r="Y138" s="18">
        <f>IF(OR(MATRIZ_174!P137="ASOCIACION",MATRIZ_174!P137="PENDIENTE"),65,40)</f>
        <v>65</v>
      </c>
      <c r="Z138" s="19" t="str">
        <f t="shared" ca="1" si="49"/>
        <v>—</v>
      </c>
      <c r="AA138" s="20">
        <f t="shared" ca="1" si="50"/>
        <v>50</v>
      </c>
      <c r="AB138" s="21" t="str">
        <f t="shared" ca="1" si="51"/>
        <v>—</v>
      </c>
      <c r="AC138" s="13" t="str">
        <f t="shared" ca="1" si="52"/>
        <v>⬜  Pendiente de instrumento</v>
      </c>
      <c r="AD138" s="13" t="str">
        <f>IF(MATRIZ_174!U137="","",IF(MATRIZ_174!U137=0,"🚫  Inh. vigente OSCE",""))</f>
        <v/>
      </c>
      <c r="AE138" s="22">
        <f>IFERROR(MATRIZ_174!W137,0)</f>
        <v>0</v>
      </c>
      <c r="AF138" s="22">
        <f>IFERROR(MATRIZ_174!X137,0)</f>
        <v>0</v>
      </c>
      <c r="AG138" s="22">
        <f>IFERROR(MATRIZ_174!Y137,0)</f>
        <v>0</v>
      </c>
      <c r="AH138" s="22">
        <f>IFERROR(MATRIZ_174!Z137,0)</f>
        <v>0</v>
      </c>
      <c r="AI138" s="17">
        <f ca="1">IFERROR(MATRIZ_174!AP137,"N/A")</f>
        <v>0</v>
      </c>
      <c r="AJ138" s="17">
        <f>IFERROR(MATRIZ_174!AO137,"N/A")</f>
        <v>0</v>
      </c>
      <c r="AK138" s="23" t="str">
        <f t="shared" ca="1" si="53"/>
        <v>N/A</v>
      </c>
      <c r="AL138" s="24" t="str">
        <f t="shared" ca="1" si="54"/>
        <v>—</v>
      </c>
    </row>
    <row r="139" spans="1:38" ht="16.05" customHeight="1" x14ac:dyDescent="0.3">
      <c r="A139" s="13" t="s">
        <v>375</v>
      </c>
      <c r="B139" s="14" t="s">
        <v>376</v>
      </c>
      <c r="C139" s="13" t="s">
        <v>116</v>
      </c>
      <c r="D139" s="15">
        <v>80500</v>
      </c>
      <c r="E139" s="16" t="str">
        <f>IF(NORMALIZADO!CB138="","",NORMALIZADO!CB138)</f>
        <v/>
      </c>
      <c r="F139" s="17" t="str">
        <f ca="1">IF(NORMALIZADO!CC138="","",NORMALIZADO!CC138)</f>
        <v/>
      </c>
      <c r="G139" s="17">
        <f ca="1">IF(NORMALIZADO!CD138="",IFERROR(MATRIZ_174!U138*100,""),NORMALIZADO!CD138)</f>
        <v>100</v>
      </c>
      <c r="H139" s="16" t="str">
        <f>IF(NORMALIZADO!CE138="","",NORMALIZADO!CE138)</f>
        <v/>
      </c>
      <c r="I139" s="17" t="str">
        <f>IF(NORMALIZADO!CF138="","",NORMALIZADO!CF138)</f>
        <v/>
      </c>
      <c r="J139" s="17" t="str">
        <f ca="1">IF(NORMALIZADO!CG138="","",NORMALIZADO!CG138)</f>
        <v/>
      </c>
      <c r="K139" s="16" t="str">
        <f ca="1">IF(NORMALIZADO!CH138="","",NORMALIZADO!CH138)</f>
        <v/>
      </c>
      <c r="L139" s="16" t="str">
        <f>IF(NORMALIZADO!CI138="","",NORMALIZADO!CI138)</f>
        <v/>
      </c>
      <c r="M139" s="16" t="str">
        <f>IF(NORMALIZADO!CJ138="","",NORMALIZADO!CJ138)</f>
        <v/>
      </c>
      <c r="N139" s="16" t="str">
        <f>IF(NORMALIZADO!CK138="","",NORMALIZADO!CK138)</f>
        <v/>
      </c>
      <c r="O139" s="16" t="str">
        <f>IF(NORMALIZADO!CL138="","",NORMALIZADO!CL138)</f>
        <v/>
      </c>
      <c r="P139" s="17" t="str">
        <f t="shared" ca="1" si="44"/>
        <v/>
      </c>
      <c r="Q139" s="17">
        <f t="shared" ca="1" si="45"/>
        <v>0</v>
      </c>
      <c r="R139" s="17">
        <f t="shared" ca="1" si="46"/>
        <v>0</v>
      </c>
      <c r="S139" s="17">
        <f t="shared" ca="1" si="47"/>
        <v>0</v>
      </c>
      <c r="T139" s="17">
        <f ca="1">IFERROR((K139+M139+MATRIZ_174!O138)/3,0)</f>
        <v>0</v>
      </c>
      <c r="U139" s="18">
        <f>IFERROR(MIN(100,ROUND(MATRIZ_174!M138,1)),0)</f>
        <v>50</v>
      </c>
      <c r="V139" s="18">
        <f t="shared" ca="1" si="48"/>
        <v>50</v>
      </c>
      <c r="W139" s="18">
        <f>IFERROR(IF(MATRIZ_174!R138=0,65,IF(MATRIZ_174!R138/MATRIZ_174!Q138&gt;=2,35,IF(MATRIZ_174!R138/MATRIZ_174!Q138&gt;=0.5,50,65))),65)</f>
        <v>65</v>
      </c>
      <c r="X139" s="18">
        <f>IFERROR(MIN(100,IF(MATRIZ_174!O138=0,70,30)+IF(MATRIZ_174!U138="",0,0.3*(100-MATRIZ_174!U138*100))),70)</f>
        <v>70</v>
      </c>
      <c r="Y139" s="18">
        <f>IF(OR(MATRIZ_174!P138="ASOCIACION",MATRIZ_174!P138="PENDIENTE"),65,40)</f>
        <v>65</v>
      </c>
      <c r="Z139" s="19" t="str">
        <f t="shared" ca="1" si="49"/>
        <v>—</v>
      </c>
      <c r="AA139" s="20">
        <f t="shared" ca="1" si="50"/>
        <v>60</v>
      </c>
      <c r="AB139" s="21" t="str">
        <f t="shared" ca="1" si="51"/>
        <v>—</v>
      </c>
      <c r="AC139" s="13" t="str">
        <f t="shared" ca="1" si="52"/>
        <v>⬜  Pendiente de instrumento</v>
      </c>
      <c r="AD139" s="13" t="str">
        <f>IF(MATRIZ_174!U138="","",IF(MATRIZ_174!U138=0,"🚫  Inh. vigente OSCE",""))</f>
        <v/>
      </c>
      <c r="AE139" s="22">
        <f>IFERROR(MATRIZ_174!W138,0)</f>
        <v>0</v>
      </c>
      <c r="AF139" s="22">
        <f>IFERROR(MATRIZ_174!X138,0)</f>
        <v>0</v>
      </c>
      <c r="AG139" s="22">
        <f>IFERROR(MATRIZ_174!Y138,0)</f>
        <v>0</v>
      </c>
      <c r="AH139" s="22">
        <f>IFERROR(MATRIZ_174!Z138,0)</f>
        <v>0</v>
      </c>
      <c r="AI139" s="17">
        <f ca="1">IFERROR(MATRIZ_174!AP138,"N/A")</f>
        <v>0.1</v>
      </c>
      <c r="AJ139" s="17">
        <f>IFERROR(MATRIZ_174!AO138,"N/A")</f>
        <v>0</v>
      </c>
      <c r="AK139" s="23" t="str">
        <f t="shared" ca="1" si="53"/>
        <v>N/A</v>
      </c>
      <c r="AL139" s="24" t="str">
        <f t="shared" ca="1" si="54"/>
        <v>—</v>
      </c>
    </row>
    <row r="140" spans="1:38" ht="16.05" customHeight="1" x14ac:dyDescent="0.3">
      <c r="A140" s="13" t="s">
        <v>377</v>
      </c>
      <c r="B140" s="14" t="s">
        <v>378</v>
      </c>
      <c r="C140" s="13" t="s">
        <v>196</v>
      </c>
      <c r="D140" s="15">
        <v>0</v>
      </c>
      <c r="E140" s="16" t="str">
        <f>IF(NORMALIZADO!CB139="","",NORMALIZADO!CB139)</f>
        <v/>
      </c>
      <c r="F140" s="17" t="str">
        <f ca="1">IF(NORMALIZADO!CC139="","",NORMALIZADO!CC139)</f>
        <v/>
      </c>
      <c r="G140" s="17">
        <f ca="1">IF(NORMALIZADO!CD139="",IFERROR(MATRIZ_174!U139*100,""),NORMALIZADO!CD139)</f>
        <v>100</v>
      </c>
      <c r="H140" s="16" t="str">
        <f>IF(NORMALIZADO!CE139="","",NORMALIZADO!CE139)</f>
        <v/>
      </c>
      <c r="I140" s="17" t="str">
        <f>IF(NORMALIZADO!CF139="","",NORMALIZADO!CF139)</f>
        <v/>
      </c>
      <c r="J140" s="17" t="str">
        <f ca="1">IF(NORMALIZADO!CG139="","",NORMALIZADO!CG139)</f>
        <v/>
      </c>
      <c r="K140" s="16" t="str">
        <f ca="1">IF(NORMALIZADO!CH139="","",NORMALIZADO!CH139)</f>
        <v/>
      </c>
      <c r="L140" s="16" t="str">
        <f>IF(NORMALIZADO!CI139="","",NORMALIZADO!CI139)</f>
        <v/>
      </c>
      <c r="M140" s="16" t="str">
        <f>IF(NORMALIZADO!CJ139="","",NORMALIZADO!CJ139)</f>
        <v/>
      </c>
      <c r="N140" s="16" t="str">
        <f>IF(NORMALIZADO!CK139="","",NORMALIZADO!CK139)</f>
        <v/>
      </c>
      <c r="O140" s="16" t="str">
        <f>IF(NORMALIZADO!CL139="","",NORMALIZADO!CL139)</f>
        <v/>
      </c>
      <c r="P140" s="17" t="str">
        <f t="shared" ca="1" si="44"/>
        <v/>
      </c>
      <c r="Q140" s="17">
        <f t="shared" ca="1" si="45"/>
        <v>0</v>
      </c>
      <c r="R140" s="17">
        <f t="shared" ca="1" si="46"/>
        <v>0</v>
      </c>
      <c r="S140" s="17">
        <f t="shared" ca="1" si="47"/>
        <v>0</v>
      </c>
      <c r="T140" s="17">
        <f ca="1">IFERROR((K140+M140+MATRIZ_174!O139)/3,0)</f>
        <v>0</v>
      </c>
      <c r="U140" s="18">
        <f>IFERROR(MIN(100,ROUND(MATRIZ_174!M139,1)),0)</f>
        <v>0</v>
      </c>
      <c r="V140" s="18">
        <f t="shared" ca="1" si="48"/>
        <v>50</v>
      </c>
      <c r="W140" s="18">
        <f>IFERROR(IF(MATRIZ_174!R139=0,65,IF(MATRIZ_174!R139/MATRIZ_174!Q139&gt;=2,35,IF(MATRIZ_174!R139/MATRIZ_174!Q139&gt;=0.5,50,65))),65)</f>
        <v>65</v>
      </c>
      <c r="X140" s="18">
        <f>IFERROR(MIN(100,IF(MATRIZ_174!O139=0,70,30)+IF(MATRIZ_174!U139="",0,0.3*(100-MATRIZ_174!U139*100))),70)</f>
        <v>70</v>
      </c>
      <c r="Y140" s="18">
        <f>IF(OR(MATRIZ_174!P139="ASOCIACION",MATRIZ_174!P139="PENDIENTE"),65,40)</f>
        <v>65</v>
      </c>
      <c r="Z140" s="19" t="str">
        <f t="shared" ca="1" si="49"/>
        <v>—</v>
      </c>
      <c r="AA140" s="20">
        <f t="shared" ca="1" si="50"/>
        <v>50</v>
      </c>
      <c r="AB140" s="21" t="str">
        <f t="shared" ca="1" si="51"/>
        <v>—</v>
      </c>
      <c r="AC140" s="13" t="str">
        <f t="shared" ca="1" si="52"/>
        <v>⬜  Pendiente de instrumento</v>
      </c>
      <c r="AD140" s="13" t="str">
        <f>IF(MATRIZ_174!U139="","",IF(MATRIZ_174!U139=0,"🚫  Inh. vigente OSCE",""))</f>
        <v/>
      </c>
      <c r="AE140" s="22">
        <f>IFERROR(MATRIZ_174!W139,0)</f>
        <v>0</v>
      </c>
      <c r="AF140" s="22">
        <f>IFERROR(MATRIZ_174!X139,0)</f>
        <v>0</v>
      </c>
      <c r="AG140" s="22">
        <f>IFERROR(MATRIZ_174!Y139,0)</f>
        <v>0</v>
      </c>
      <c r="AH140" s="22">
        <f>IFERROR(MATRIZ_174!Z139,0)</f>
        <v>0</v>
      </c>
      <c r="AI140" s="17">
        <f ca="1">IFERROR(MATRIZ_174!AP139,"N/A")</f>
        <v>0</v>
      </c>
      <c r="AJ140" s="17">
        <f>IFERROR(MATRIZ_174!AO139,"N/A")</f>
        <v>0</v>
      </c>
      <c r="AK140" s="23" t="str">
        <f t="shared" ca="1" si="53"/>
        <v>N/A</v>
      </c>
      <c r="AL140" s="24" t="str">
        <f t="shared" ca="1" si="54"/>
        <v>—</v>
      </c>
    </row>
    <row r="141" spans="1:38" ht="16.05" customHeight="1" x14ac:dyDescent="0.3">
      <c r="A141" s="13" t="s">
        <v>379</v>
      </c>
      <c r="B141" s="14" t="s">
        <v>380</v>
      </c>
      <c r="C141" s="13" t="s">
        <v>77</v>
      </c>
      <c r="D141" s="15">
        <v>0</v>
      </c>
      <c r="E141" s="16" t="str">
        <f>IF(NORMALIZADO!CB140="","",NORMALIZADO!CB140)</f>
        <v/>
      </c>
      <c r="F141" s="17" t="str">
        <f ca="1">IF(NORMALIZADO!CC140="","",NORMALIZADO!CC140)</f>
        <v/>
      </c>
      <c r="G141" s="17">
        <f ca="1">IF(NORMALIZADO!CD140="",IFERROR(MATRIZ_174!U140*100,""),NORMALIZADO!CD140)</f>
        <v>100</v>
      </c>
      <c r="H141" s="16" t="str">
        <f>IF(NORMALIZADO!CE140="","",NORMALIZADO!CE140)</f>
        <v/>
      </c>
      <c r="I141" s="17" t="str">
        <f>IF(NORMALIZADO!CF140="","",NORMALIZADO!CF140)</f>
        <v/>
      </c>
      <c r="J141" s="17" t="str">
        <f ca="1">IF(NORMALIZADO!CG140="","",NORMALIZADO!CG140)</f>
        <v/>
      </c>
      <c r="K141" s="16" t="str">
        <f ca="1">IF(NORMALIZADO!CH140="","",NORMALIZADO!CH140)</f>
        <v/>
      </c>
      <c r="L141" s="16" t="str">
        <f>IF(NORMALIZADO!CI140="","",NORMALIZADO!CI140)</f>
        <v/>
      </c>
      <c r="M141" s="16" t="str">
        <f>IF(NORMALIZADO!CJ140="","",NORMALIZADO!CJ140)</f>
        <v/>
      </c>
      <c r="N141" s="16" t="str">
        <f>IF(NORMALIZADO!CK140="","",NORMALIZADO!CK140)</f>
        <v/>
      </c>
      <c r="O141" s="16" t="str">
        <f>IF(NORMALIZADO!CL140="","",NORMALIZADO!CL140)</f>
        <v/>
      </c>
      <c r="P141" s="17" t="str">
        <f t="shared" ca="1" si="44"/>
        <v/>
      </c>
      <c r="Q141" s="17">
        <f t="shared" ca="1" si="45"/>
        <v>0</v>
      </c>
      <c r="R141" s="17">
        <f t="shared" ca="1" si="46"/>
        <v>0</v>
      </c>
      <c r="S141" s="17">
        <f t="shared" ca="1" si="47"/>
        <v>0</v>
      </c>
      <c r="T141" s="17">
        <f ca="1">IFERROR((K141+M141+MATRIZ_174!O140)/3,0)</f>
        <v>0</v>
      </c>
      <c r="U141" s="18">
        <f>IFERROR(MIN(100,ROUND(MATRIZ_174!M140,1)),0)</f>
        <v>0</v>
      </c>
      <c r="V141" s="18">
        <f t="shared" ca="1" si="48"/>
        <v>50</v>
      </c>
      <c r="W141" s="18">
        <f>IFERROR(IF(MATRIZ_174!R140=0,65,IF(MATRIZ_174!R140/MATRIZ_174!Q140&gt;=2,35,IF(MATRIZ_174!R140/MATRIZ_174!Q140&gt;=0.5,50,65))),65)</f>
        <v>65</v>
      </c>
      <c r="X141" s="18">
        <f>IFERROR(MIN(100,IF(MATRIZ_174!O140=0,70,30)+IF(MATRIZ_174!U140="",0,0.3*(100-MATRIZ_174!U140*100))),70)</f>
        <v>70</v>
      </c>
      <c r="Y141" s="18">
        <f>IF(OR(MATRIZ_174!P140="ASOCIACION",MATRIZ_174!P140="PENDIENTE"),65,40)</f>
        <v>65</v>
      </c>
      <c r="Z141" s="19" t="str">
        <f t="shared" ca="1" si="49"/>
        <v>—</v>
      </c>
      <c r="AA141" s="20">
        <f t="shared" ca="1" si="50"/>
        <v>50</v>
      </c>
      <c r="AB141" s="21" t="str">
        <f t="shared" ca="1" si="51"/>
        <v>—</v>
      </c>
      <c r="AC141" s="13" t="str">
        <f t="shared" ca="1" si="52"/>
        <v>⬜  Pendiente de instrumento</v>
      </c>
      <c r="AD141" s="13" t="str">
        <f>IF(MATRIZ_174!U140="","",IF(MATRIZ_174!U140=0,"🚫  Inh. vigente OSCE",""))</f>
        <v/>
      </c>
      <c r="AE141" s="22">
        <f>IFERROR(MATRIZ_174!W140,0)</f>
        <v>0</v>
      </c>
      <c r="AF141" s="22">
        <f>IFERROR(MATRIZ_174!X140,0)</f>
        <v>0</v>
      </c>
      <c r="AG141" s="22">
        <f>IFERROR(MATRIZ_174!Y140,0)</f>
        <v>0</v>
      </c>
      <c r="AH141" s="22">
        <f>IFERROR(MATRIZ_174!Z140,0)</f>
        <v>0</v>
      </c>
      <c r="AI141" s="17">
        <f ca="1">IFERROR(MATRIZ_174!AP140,"N/A")</f>
        <v>0</v>
      </c>
      <c r="AJ141" s="17">
        <f>IFERROR(MATRIZ_174!AO140,"N/A")</f>
        <v>0</v>
      </c>
      <c r="AK141" s="23" t="str">
        <f t="shared" ca="1" si="53"/>
        <v>N/A</v>
      </c>
      <c r="AL141" s="24" t="str">
        <f t="shared" ca="1" si="54"/>
        <v>—</v>
      </c>
    </row>
    <row r="142" spans="1:38" ht="16.05" customHeight="1" x14ac:dyDescent="0.3">
      <c r="A142" s="13" t="s">
        <v>381</v>
      </c>
      <c r="B142" s="14" t="s">
        <v>382</v>
      </c>
      <c r="C142" s="13" t="s">
        <v>80</v>
      </c>
      <c r="D142" s="15">
        <v>0</v>
      </c>
      <c r="E142" s="16" t="str">
        <f>IF(NORMALIZADO!CB141="","",NORMALIZADO!CB141)</f>
        <v/>
      </c>
      <c r="F142" s="17" t="str">
        <f ca="1">IF(NORMALIZADO!CC141="","",NORMALIZADO!CC141)</f>
        <v/>
      </c>
      <c r="G142" s="17">
        <f ca="1">IF(NORMALIZADO!CD141="",IFERROR(MATRIZ_174!U141*100,""),NORMALIZADO!CD141)</f>
        <v>100</v>
      </c>
      <c r="H142" s="16" t="str">
        <f>IF(NORMALIZADO!CE141="","",NORMALIZADO!CE141)</f>
        <v/>
      </c>
      <c r="I142" s="17" t="str">
        <f>IF(NORMALIZADO!CF141="","",NORMALIZADO!CF141)</f>
        <v/>
      </c>
      <c r="J142" s="17" t="str">
        <f ca="1">IF(NORMALIZADO!CG141="","",NORMALIZADO!CG141)</f>
        <v/>
      </c>
      <c r="K142" s="16" t="str">
        <f ca="1">IF(NORMALIZADO!CH141="","",NORMALIZADO!CH141)</f>
        <v/>
      </c>
      <c r="L142" s="16" t="str">
        <f>IF(NORMALIZADO!CI141="","",NORMALIZADO!CI141)</f>
        <v/>
      </c>
      <c r="M142" s="16" t="str">
        <f>IF(NORMALIZADO!CJ141="","",NORMALIZADO!CJ141)</f>
        <v/>
      </c>
      <c r="N142" s="16" t="str">
        <f>IF(NORMALIZADO!CK141="","",NORMALIZADO!CK141)</f>
        <v/>
      </c>
      <c r="O142" s="16" t="str">
        <f>IF(NORMALIZADO!CL141="","",NORMALIZADO!CL141)</f>
        <v/>
      </c>
      <c r="P142" s="17" t="str">
        <f t="shared" ca="1" si="44"/>
        <v/>
      </c>
      <c r="Q142" s="17">
        <f t="shared" ca="1" si="45"/>
        <v>0</v>
      </c>
      <c r="R142" s="17">
        <f t="shared" ca="1" si="46"/>
        <v>0</v>
      </c>
      <c r="S142" s="17">
        <f t="shared" ca="1" si="47"/>
        <v>0</v>
      </c>
      <c r="T142" s="17">
        <f ca="1">IFERROR((K142+M142+MATRIZ_174!O141)/3,0)</f>
        <v>0</v>
      </c>
      <c r="U142" s="18">
        <f>IFERROR(MIN(100,ROUND(MATRIZ_174!M141,1)),0)</f>
        <v>0</v>
      </c>
      <c r="V142" s="18">
        <f t="shared" ca="1" si="48"/>
        <v>50</v>
      </c>
      <c r="W142" s="18">
        <f>IFERROR(IF(MATRIZ_174!R141=0,65,IF(MATRIZ_174!R141/MATRIZ_174!Q141&gt;=2,35,IF(MATRIZ_174!R141/MATRIZ_174!Q141&gt;=0.5,50,65))),65)</f>
        <v>65</v>
      </c>
      <c r="X142" s="18">
        <f>IFERROR(MIN(100,IF(MATRIZ_174!O141=0,70,30)+IF(MATRIZ_174!U141="",0,0.3*(100-MATRIZ_174!U141*100))),70)</f>
        <v>70</v>
      </c>
      <c r="Y142" s="18">
        <f>IF(OR(MATRIZ_174!P141="ASOCIACION",MATRIZ_174!P141="PENDIENTE"),65,40)</f>
        <v>65</v>
      </c>
      <c r="Z142" s="19" t="str">
        <f t="shared" ca="1" si="49"/>
        <v>—</v>
      </c>
      <c r="AA142" s="20">
        <f t="shared" ca="1" si="50"/>
        <v>50</v>
      </c>
      <c r="AB142" s="21" t="str">
        <f t="shared" ca="1" si="51"/>
        <v>—</v>
      </c>
      <c r="AC142" s="13" t="str">
        <f t="shared" ca="1" si="52"/>
        <v>⬜  Pendiente de instrumento</v>
      </c>
      <c r="AD142" s="13" t="str">
        <f>IF(MATRIZ_174!U141="","",IF(MATRIZ_174!U141=0,"🚫  Inh. vigente OSCE",""))</f>
        <v/>
      </c>
      <c r="AE142" s="22">
        <f>IFERROR(MATRIZ_174!W141,0)</f>
        <v>0</v>
      </c>
      <c r="AF142" s="22">
        <f>IFERROR(MATRIZ_174!X141,0)</f>
        <v>0</v>
      </c>
      <c r="AG142" s="22">
        <f>IFERROR(MATRIZ_174!Y141,0)</f>
        <v>0</v>
      </c>
      <c r="AH142" s="22">
        <f>IFERROR(MATRIZ_174!Z141,0)</f>
        <v>0</v>
      </c>
      <c r="AI142" s="17">
        <f ca="1">IFERROR(MATRIZ_174!AP141,"N/A")</f>
        <v>0</v>
      </c>
      <c r="AJ142" s="17">
        <f>IFERROR(MATRIZ_174!AO141,"N/A")</f>
        <v>0</v>
      </c>
      <c r="AK142" s="23" t="str">
        <f t="shared" ca="1" si="53"/>
        <v>N/A</v>
      </c>
      <c r="AL142" s="24" t="str">
        <f t="shared" ca="1" si="54"/>
        <v>—</v>
      </c>
    </row>
    <row r="143" spans="1:38" ht="16.05" customHeight="1" x14ac:dyDescent="0.3">
      <c r="A143" s="13" t="s">
        <v>383</v>
      </c>
      <c r="B143" s="14" t="s">
        <v>384</v>
      </c>
      <c r="C143" s="13" t="s">
        <v>80</v>
      </c>
      <c r="D143" s="15">
        <v>0</v>
      </c>
      <c r="E143" s="16" t="str">
        <f>IF(NORMALIZADO!CB142="","",NORMALIZADO!CB142)</f>
        <v/>
      </c>
      <c r="F143" s="17" t="str">
        <f ca="1">IF(NORMALIZADO!CC142="","",NORMALIZADO!CC142)</f>
        <v/>
      </c>
      <c r="G143" s="17">
        <f ca="1">IF(NORMALIZADO!CD142="",IFERROR(MATRIZ_174!U142*100,""),NORMALIZADO!CD142)</f>
        <v>100</v>
      </c>
      <c r="H143" s="16" t="str">
        <f>IF(NORMALIZADO!CE142="","",NORMALIZADO!CE142)</f>
        <v/>
      </c>
      <c r="I143" s="17" t="str">
        <f>IF(NORMALIZADO!CF142="","",NORMALIZADO!CF142)</f>
        <v/>
      </c>
      <c r="J143" s="17" t="str">
        <f ca="1">IF(NORMALIZADO!CG142="","",NORMALIZADO!CG142)</f>
        <v/>
      </c>
      <c r="K143" s="16" t="str">
        <f ca="1">IF(NORMALIZADO!CH142="","",NORMALIZADO!CH142)</f>
        <v/>
      </c>
      <c r="L143" s="16" t="str">
        <f>IF(NORMALIZADO!CI142="","",NORMALIZADO!CI142)</f>
        <v/>
      </c>
      <c r="M143" s="16" t="str">
        <f>IF(NORMALIZADO!CJ142="","",NORMALIZADO!CJ142)</f>
        <v/>
      </c>
      <c r="N143" s="16" t="str">
        <f>IF(NORMALIZADO!CK142="","",NORMALIZADO!CK142)</f>
        <v/>
      </c>
      <c r="O143" s="16" t="str">
        <f>IF(NORMALIZADO!CL142="","",NORMALIZADO!CL142)</f>
        <v/>
      </c>
      <c r="P143" s="17" t="str">
        <f t="shared" ca="1" si="44"/>
        <v/>
      </c>
      <c r="Q143" s="17">
        <f t="shared" ca="1" si="45"/>
        <v>0</v>
      </c>
      <c r="R143" s="17">
        <f t="shared" ca="1" si="46"/>
        <v>0</v>
      </c>
      <c r="S143" s="17">
        <f t="shared" ca="1" si="47"/>
        <v>0</v>
      </c>
      <c r="T143" s="17">
        <f ca="1">IFERROR((K143+M143+MATRIZ_174!O142)/3,0)</f>
        <v>0</v>
      </c>
      <c r="U143" s="18">
        <f>IFERROR(MIN(100,ROUND(MATRIZ_174!M142,1)),0)</f>
        <v>0</v>
      </c>
      <c r="V143" s="18">
        <f t="shared" ca="1" si="48"/>
        <v>50</v>
      </c>
      <c r="W143" s="18">
        <f>IFERROR(IF(MATRIZ_174!R142=0,65,IF(MATRIZ_174!R142/MATRIZ_174!Q142&gt;=2,35,IF(MATRIZ_174!R142/MATRIZ_174!Q142&gt;=0.5,50,65))),65)</f>
        <v>65</v>
      </c>
      <c r="X143" s="18">
        <f>IFERROR(MIN(100,IF(MATRIZ_174!O142=0,70,30)+IF(MATRIZ_174!U142="",0,0.3*(100-MATRIZ_174!U142*100))),70)</f>
        <v>70</v>
      </c>
      <c r="Y143" s="18">
        <f>IF(OR(MATRIZ_174!P142="ASOCIACION",MATRIZ_174!P142="PENDIENTE"),65,40)</f>
        <v>65</v>
      </c>
      <c r="Z143" s="19" t="str">
        <f t="shared" ca="1" si="49"/>
        <v>—</v>
      </c>
      <c r="AA143" s="20">
        <f t="shared" ca="1" si="50"/>
        <v>50</v>
      </c>
      <c r="AB143" s="21" t="str">
        <f t="shared" ca="1" si="51"/>
        <v>—</v>
      </c>
      <c r="AC143" s="13" t="str">
        <f t="shared" ca="1" si="52"/>
        <v>⬜  Pendiente de instrumento</v>
      </c>
      <c r="AD143" s="13" t="str">
        <f>IF(MATRIZ_174!U142="","",IF(MATRIZ_174!U142=0,"🚫  Inh. vigente OSCE",""))</f>
        <v/>
      </c>
      <c r="AE143" s="22">
        <f>IFERROR(MATRIZ_174!W142,0)</f>
        <v>0</v>
      </c>
      <c r="AF143" s="22">
        <f>IFERROR(MATRIZ_174!X142,0)</f>
        <v>0</v>
      </c>
      <c r="AG143" s="22">
        <f>IFERROR(MATRIZ_174!Y142,0)</f>
        <v>0</v>
      </c>
      <c r="AH143" s="22">
        <f>IFERROR(MATRIZ_174!Z142,0)</f>
        <v>0</v>
      </c>
      <c r="AI143" s="17">
        <f ca="1">IFERROR(MATRIZ_174!AP142,"N/A")</f>
        <v>0</v>
      </c>
      <c r="AJ143" s="17">
        <f>IFERROR(MATRIZ_174!AO142,"N/A")</f>
        <v>0</v>
      </c>
      <c r="AK143" s="23" t="str">
        <f t="shared" ca="1" si="53"/>
        <v>N/A</v>
      </c>
      <c r="AL143" s="24" t="str">
        <f t="shared" ca="1" si="54"/>
        <v>—</v>
      </c>
    </row>
    <row r="144" spans="1:38" ht="16.05" customHeight="1" x14ac:dyDescent="0.3">
      <c r="A144" s="13" t="s">
        <v>385</v>
      </c>
      <c r="B144" s="14" t="s">
        <v>386</v>
      </c>
      <c r="C144" s="13" t="s">
        <v>143</v>
      </c>
      <c r="D144" s="15">
        <v>852880.44</v>
      </c>
      <c r="E144" s="16" t="str">
        <f>IF(NORMALIZADO!CB143="","",NORMALIZADO!CB143)</f>
        <v/>
      </c>
      <c r="F144" s="17" t="str">
        <f ca="1">IF(NORMALIZADO!CC143="","",NORMALIZADO!CC143)</f>
        <v/>
      </c>
      <c r="G144" s="17">
        <f ca="1">IF(NORMALIZADO!CD143="",IFERROR(MATRIZ_174!U143*100,""),NORMALIZADO!CD143)</f>
        <v>100</v>
      </c>
      <c r="H144" s="16" t="str">
        <f>IF(NORMALIZADO!CE143="","",NORMALIZADO!CE143)</f>
        <v/>
      </c>
      <c r="I144" s="17" t="str">
        <f>IF(NORMALIZADO!CF143="","",NORMALIZADO!CF143)</f>
        <v/>
      </c>
      <c r="J144" s="17" t="str">
        <f ca="1">IF(NORMALIZADO!CG143="","",NORMALIZADO!CG143)</f>
        <v/>
      </c>
      <c r="K144" s="16" t="str">
        <f ca="1">IF(NORMALIZADO!CH143="","",NORMALIZADO!CH143)</f>
        <v/>
      </c>
      <c r="L144" s="16" t="str">
        <f>IF(NORMALIZADO!CI143="","",NORMALIZADO!CI143)</f>
        <v/>
      </c>
      <c r="M144" s="16" t="str">
        <f>IF(NORMALIZADO!CJ143="","",NORMALIZADO!CJ143)</f>
        <v/>
      </c>
      <c r="N144" s="16" t="str">
        <f>IF(NORMALIZADO!CK143="","",NORMALIZADO!CK143)</f>
        <v/>
      </c>
      <c r="O144" s="16" t="str">
        <f>IF(NORMALIZADO!CL143="","",NORMALIZADO!CL143)</f>
        <v/>
      </c>
      <c r="P144" s="17" t="str">
        <f t="shared" ca="1" si="44"/>
        <v/>
      </c>
      <c r="Q144" s="17">
        <f t="shared" ca="1" si="45"/>
        <v>0</v>
      </c>
      <c r="R144" s="17">
        <f t="shared" ca="1" si="46"/>
        <v>0</v>
      </c>
      <c r="S144" s="17">
        <f t="shared" ca="1" si="47"/>
        <v>0</v>
      </c>
      <c r="T144" s="17">
        <f ca="1">IFERROR((K144+M144+MATRIZ_174!O143)/3,0)</f>
        <v>0</v>
      </c>
      <c r="U144" s="18">
        <f>IFERROR(MIN(100,ROUND(MATRIZ_174!M143,1)),0)</f>
        <v>71</v>
      </c>
      <c r="V144" s="18">
        <f t="shared" ca="1" si="48"/>
        <v>50</v>
      </c>
      <c r="W144" s="18">
        <f>IFERROR(IF(MATRIZ_174!R143=0,65,IF(MATRIZ_174!R143/MATRIZ_174!Q143&gt;=2,35,IF(MATRIZ_174!R143/MATRIZ_174!Q143&gt;=0.5,50,65))),65)</f>
        <v>35</v>
      </c>
      <c r="X144" s="18">
        <f>IFERROR(MIN(100,IF(MATRIZ_174!O143=0,70,30)+IF(MATRIZ_174!U143="",0,0.3*(100-MATRIZ_174!U143*100))),70)</f>
        <v>70</v>
      </c>
      <c r="Y144" s="18">
        <f>IF(OR(MATRIZ_174!P143="ASOCIACION",MATRIZ_174!P143="PENDIENTE"),65,40)</f>
        <v>65</v>
      </c>
      <c r="Z144" s="19" t="str">
        <f t="shared" ca="1" si="49"/>
        <v>—</v>
      </c>
      <c r="AA144" s="20">
        <f t="shared" ca="1" si="50"/>
        <v>58.2</v>
      </c>
      <c r="AB144" s="21" t="str">
        <f t="shared" ca="1" si="51"/>
        <v>—</v>
      </c>
      <c r="AC144" s="13" t="str">
        <f t="shared" ca="1" si="52"/>
        <v>⬜  Pendiente de instrumento</v>
      </c>
      <c r="AD144" s="13" t="str">
        <f>IF(MATRIZ_174!U143="","",IF(MATRIZ_174!U143=0,"🚫  Inh. vigente OSCE",""))</f>
        <v/>
      </c>
      <c r="AE144" s="22">
        <f>IFERROR(MATRIZ_174!W143,0)</f>
        <v>1</v>
      </c>
      <c r="AF144" s="22">
        <f>IFERROR(MATRIZ_174!X143,0)</f>
        <v>0</v>
      </c>
      <c r="AG144" s="22">
        <f>IFERROR(MATRIZ_174!Y143,0)</f>
        <v>0</v>
      </c>
      <c r="AH144" s="22">
        <f>IFERROR(MATRIZ_174!Z143,0)</f>
        <v>0</v>
      </c>
      <c r="AI144" s="17">
        <f ca="1">IFERROR(MATRIZ_174!AP143,"N/A")</f>
        <v>0.16699999999999998</v>
      </c>
      <c r="AJ144" s="17">
        <f>IFERROR(MATRIZ_174!AO143,"N/A")</f>
        <v>0</v>
      </c>
      <c r="AK144" s="23" t="str">
        <f t="shared" ca="1" si="53"/>
        <v>N/A</v>
      </c>
      <c r="AL144" s="24" t="str">
        <f t="shared" ca="1" si="54"/>
        <v>—</v>
      </c>
    </row>
    <row r="145" spans="1:38" ht="16.05" customHeight="1" x14ac:dyDescent="0.3">
      <c r="A145" s="13" t="s">
        <v>388</v>
      </c>
      <c r="B145" s="14" t="s">
        <v>389</v>
      </c>
      <c r="C145" s="13" t="s">
        <v>80</v>
      </c>
      <c r="D145" s="15">
        <v>0</v>
      </c>
      <c r="E145" s="16" t="str">
        <f>IF(NORMALIZADO!CB144="","",NORMALIZADO!CB144)</f>
        <v/>
      </c>
      <c r="F145" s="17" t="str">
        <f ca="1">IF(NORMALIZADO!CC144="","",NORMALIZADO!CC144)</f>
        <v/>
      </c>
      <c r="G145" s="17">
        <f ca="1">IF(NORMALIZADO!CD144="",IFERROR(MATRIZ_174!U144*100,""),NORMALIZADO!CD144)</f>
        <v>100</v>
      </c>
      <c r="H145" s="16" t="str">
        <f>IF(NORMALIZADO!CE144="","",NORMALIZADO!CE144)</f>
        <v/>
      </c>
      <c r="I145" s="17" t="str">
        <f>IF(NORMALIZADO!CF144="","",NORMALIZADO!CF144)</f>
        <v/>
      </c>
      <c r="J145" s="17" t="str">
        <f ca="1">IF(NORMALIZADO!CG144="","",NORMALIZADO!CG144)</f>
        <v/>
      </c>
      <c r="K145" s="16" t="str">
        <f ca="1">IF(NORMALIZADO!CH144="","",NORMALIZADO!CH144)</f>
        <v/>
      </c>
      <c r="L145" s="16" t="str">
        <f>IF(NORMALIZADO!CI144="","",NORMALIZADO!CI144)</f>
        <v/>
      </c>
      <c r="M145" s="16" t="str">
        <f>IF(NORMALIZADO!CJ144="","",NORMALIZADO!CJ144)</f>
        <v/>
      </c>
      <c r="N145" s="16" t="str">
        <f>IF(NORMALIZADO!CK144="","",NORMALIZADO!CK144)</f>
        <v/>
      </c>
      <c r="O145" s="16" t="str">
        <f>IF(NORMALIZADO!CL144="","",NORMALIZADO!CL144)</f>
        <v/>
      </c>
      <c r="P145" s="17" t="str">
        <f t="shared" ca="1" si="44"/>
        <v/>
      </c>
      <c r="Q145" s="17">
        <f t="shared" ca="1" si="45"/>
        <v>0</v>
      </c>
      <c r="R145" s="17">
        <f t="shared" ca="1" si="46"/>
        <v>0</v>
      </c>
      <c r="S145" s="17">
        <f t="shared" ca="1" si="47"/>
        <v>0</v>
      </c>
      <c r="T145" s="17">
        <f ca="1">IFERROR((K145+M145+MATRIZ_174!O144)/3,0)</f>
        <v>0</v>
      </c>
      <c r="U145" s="18">
        <f>IFERROR(MIN(100,ROUND(MATRIZ_174!M144,1)),0)</f>
        <v>0</v>
      </c>
      <c r="V145" s="18">
        <f t="shared" ca="1" si="48"/>
        <v>50</v>
      </c>
      <c r="W145" s="18">
        <f>IFERROR(IF(MATRIZ_174!R144=0,65,IF(MATRIZ_174!R144/MATRIZ_174!Q144&gt;=2,35,IF(MATRIZ_174!R144/MATRIZ_174!Q144&gt;=0.5,50,65))),65)</f>
        <v>65</v>
      </c>
      <c r="X145" s="18">
        <f>IFERROR(MIN(100,IF(MATRIZ_174!O144=0,70,30)+IF(MATRIZ_174!U144="",0,0.3*(100-MATRIZ_174!U144*100))),70)</f>
        <v>70</v>
      </c>
      <c r="Y145" s="18">
        <f>IF(OR(MATRIZ_174!P144="ASOCIACION",MATRIZ_174!P144="PENDIENTE"),65,40)</f>
        <v>65</v>
      </c>
      <c r="Z145" s="19" t="str">
        <f t="shared" ca="1" si="49"/>
        <v>—</v>
      </c>
      <c r="AA145" s="20">
        <f t="shared" ca="1" si="50"/>
        <v>50</v>
      </c>
      <c r="AB145" s="21" t="str">
        <f t="shared" ca="1" si="51"/>
        <v>—</v>
      </c>
      <c r="AC145" s="13" t="str">
        <f t="shared" ca="1" si="52"/>
        <v>⬜  Pendiente de instrumento</v>
      </c>
      <c r="AD145" s="13" t="str">
        <f>IF(MATRIZ_174!U144="","",IF(MATRIZ_174!U144=0,"🚫  Inh. vigente OSCE",""))</f>
        <v/>
      </c>
      <c r="AE145" s="22">
        <f>IFERROR(MATRIZ_174!W144,0)</f>
        <v>0</v>
      </c>
      <c r="AF145" s="22">
        <f>IFERROR(MATRIZ_174!X144,0)</f>
        <v>0</v>
      </c>
      <c r="AG145" s="22">
        <f>IFERROR(MATRIZ_174!Y144,0)</f>
        <v>0</v>
      </c>
      <c r="AH145" s="22">
        <f>IFERROR(MATRIZ_174!Z144,0)</f>
        <v>0</v>
      </c>
      <c r="AI145" s="17">
        <f ca="1">IFERROR(MATRIZ_174!AP144,"N/A")</f>
        <v>0</v>
      </c>
      <c r="AJ145" s="17">
        <f>IFERROR(MATRIZ_174!AO144,"N/A")</f>
        <v>0</v>
      </c>
      <c r="AK145" s="23" t="str">
        <f t="shared" ca="1" si="53"/>
        <v>N/A</v>
      </c>
      <c r="AL145" s="24" t="str">
        <f t="shared" ca="1" si="54"/>
        <v>—</v>
      </c>
    </row>
    <row r="146" spans="1:38" ht="16.05" customHeight="1" x14ac:dyDescent="0.3">
      <c r="A146" s="13" t="s">
        <v>390</v>
      </c>
      <c r="B146" s="14" t="s">
        <v>391</v>
      </c>
      <c r="C146" s="13" t="s">
        <v>80</v>
      </c>
      <c r="D146" s="15">
        <v>0</v>
      </c>
      <c r="E146" s="16" t="str">
        <f>IF(NORMALIZADO!CB145="","",NORMALIZADO!CB145)</f>
        <v/>
      </c>
      <c r="F146" s="17" t="str">
        <f ca="1">IF(NORMALIZADO!CC145="","",NORMALIZADO!CC145)</f>
        <v/>
      </c>
      <c r="G146" s="17">
        <f ca="1">IF(NORMALIZADO!CD145="",IFERROR(MATRIZ_174!U145*100,""),NORMALIZADO!CD145)</f>
        <v>100</v>
      </c>
      <c r="H146" s="16" t="str">
        <f>IF(NORMALIZADO!CE145="","",NORMALIZADO!CE145)</f>
        <v/>
      </c>
      <c r="I146" s="17" t="str">
        <f>IF(NORMALIZADO!CF145="","",NORMALIZADO!CF145)</f>
        <v/>
      </c>
      <c r="J146" s="17" t="str">
        <f ca="1">IF(NORMALIZADO!CG145="","",NORMALIZADO!CG145)</f>
        <v/>
      </c>
      <c r="K146" s="16" t="str">
        <f ca="1">IF(NORMALIZADO!CH145="","",NORMALIZADO!CH145)</f>
        <v/>
      </c>
      <c r="L146" s="16" t="str">
        <f>IF(NORMALIZADO!CI145="","",NORMALIZADO!CI145)</f>
        <v/>
      </c>
      <c r="M146" s="16" t="str">
        <f>IF(NORMALIZADO!CJ145="","",NORMALIZADO!CJ145)</f>
        <v/>
      </c>
      <c r="N146" s="16" t="str">
        <f>IF(NORMALIZADO!CK145="","",NORMALIZADO!CK145)</f>
        <v/>
      </c>
      <c r="O146" s="16" t="str">
        <f>IF(NORMALIZADO!CL145="","",NORMALIZADO!CL145)</f>
        <v/>
      </c>
      <c r="P146" s="17" t="str">
        <f t="shared" ca="1" si="44"/>
        <v/>
      </c>
      <c r="Q146" s="17">
        <f t="shared" ca="1" si="45"/>
        <v>0</v>
      </c>
      <c r="R146" s="17">
        <f t="shared" ca="1" si="46"/>
        <v>0</v>
      </c>
      <c r="S146" s="17">
        <f t="shared" ca="1" si="47"/>
        <v>0</v>
      </c>
      <c r="T146" s="17">
        <f ca="1">IFERROR((K146+M146+MATRIZ_174!O145)/3,0)</f>
        <v>0</v>
      </c>
      <c r="U146" s="18">
        <f>IFERROR(MIN(100,ROUND(MATRIZ_174!M145,1)),0)</f>
        <v>0</v>
      </c>
      <c r="V146" s="18">
        <f t="shared" ca="1" si="48"/>
        <v>50</v>
      </c>
      <c r="W146" s="18">
        <f>IFERROR(IF(MATRIZ_174!R145=0,65,IF(MATRIZ_174!R145/MATRIZ_174!Q145&gt;=2,35,IF(MATRIZ_174!R145/MATRIZ_174!Q145&gt;=0.5,50,65))),65)</f>
        <v>65</v>
      </c>
      <c r="X146" s="18">
        <f>IFERROR(MIN(100,IF(MATRIZ_174!O145=0,70,30)+IF(MATRIZ_174!U145="",0,0.3*(100-MATRIZ_174!U145*100))),70)</f>
        <v>70</v>
      </c>
      <c r="Y146" s="18">
        <f>IF(OR(MATRIZ_174!P145="ASOCIACION",MATRIZ_174!P145="PENDIENTE"),65,40)</f>
        <v>65</v>
      </c>
      <c r="Z146" s="19" t="str">
        <f t="shared" ca="1" si="49"/>
        <v>—</v>
      </c>
      <c r="AA146" s="20">
        <f t="shared" ca="1" si="50"/>
        <v>50</v>
      </c>
      <c r="AB146" s="21" t="str">
        <f t="shared" ca="1" si="51"/>
        <v>—</v>
      </c>
      <c r="AC146" s="13" t="str">
        <f t="shared" ca="1" si="52"/>
        <v>⬜  Pendiente de instrumento</v>
      </c>
      <c r="AD146" s="13" t="str">
        <f>IF(MATRIZ_174!U145="","",IF(MATRIZ_174!U145=0,"🚫  Inh. vigente OSCE",""))</f>
        <v/>
      </c>
      <c r="AE146" s="22">
        <f>IFERROR(MATRIZ_174!W145,0)</f>
        <v>0</v>
      </c>
      <c r="AF146" s="22">
        <f>IFERROR(MATRIZ_174!X145,0)</f>
        <v>0</v>
      </c>
      <c r="AG146" s="22">
        <f>IFERROR(MATRIZ_174!Y145,0)</f>
        <v>0</v>
      </c>
      <c r="AH146" s="22">
        <f>IFERROR(MATRIZ_174!Z145,0)</f>
        <v>0</v>
      </c>
      <c r="AI146" s="17">
        <f ca="1">IFERROR(MATRIZ_174!AP145,"N/A")</f>
        <v>0</v>
      </c>
      <c r="AJ146" s="17">
        <f>IFERROR(MATRIZ_174!AO145,"N/A")</f>
        <v>0</v>
      </c>
      <c r="AK146" s="23" t="str">
        <f t="shared" ca="1" si="53"/>
        <v>N/A</v>
      </c>
      <c r="AL146" s="24" t="str">
        <f t="shared" ca="1" si="54"/>
        <v>—</v>
      </c>
    </row>
    <row r="147" spans="1:38" ht="16.05" customHeight="1" x14ac:dyDescent="0.3">
      <c r="A147" s="13" t="s">
        <v>392</v>
      </c>
      <c r="B147" s="14" t="s">
        <v>393</v>
      </c>
      <c r="C147" s="13" t="s">
        <v>77</v>
      </c>
      <c r="D147" s="15">
        <v>332555.15999999997</v>
      </c>
      <c r="E147" s="16" t="str">
        <f>IF(NORMALIZADO!CB146="","",NORMALIZADO!CB146)</f>
        <v/>
      </c>
      <c r="F147" s="17" t="str">
        <f ca="1">IF(NORMALIZADO!CC146="","",NORMALIZADO!CC146)</f>
        <v/>
      </c>
      <c r="G147" s="17">
        <f ca="1">IF(NORMALIZADO!CD146="",IFERROR(MATRIZ_174!U146*100,""),NORMALIZADO!CD146)</f>
        <v>100</v>
      </c>
      <c r="H147" s="16" t="str">
        <f>IF(NORMALIZADO!CE146="","",NORMALIZADO!CE146)</f>
        <v/>
      </c>
      <c r="I147" s="17" t="str">
        <f>IF(NORMALIZADO!CF146="","",NORMALIZADO!CF146)</f>
        <v/>
      </c>
      <c r="J147" s="17" t="str">
        <f ca="1">IF(NORMALIZADO!CG146="","",NORMALIZADO!CG146)</f>
        <v/>
      </c>
      <c r="K147" s="16" t="str">
        <f ca="1">IF(NORMALIZADO!CH146="","",NORMALIZADO!CH146)</f>
        <v/>
      </c>
      <c r="L147" s="16" t="str">
        <f>IF(NORMALIZADO!CI146="","",NORMALIZADO!CI146)</f>
        <v/>
      </c>
      <c r="M147" s="16" t="str">
        <f>IF(NORMALIZADO!CJ146="","",NORMALIZADO!CJ146)</f>
        <v/>
      </c>
      <c r="N147" s="16" t="str">
        <f>IF(NORMALIZADO!CK146="","",NORMALIZADO!CK146)</f>
        <v/>
      </c>
      <c r="O147" s="16" t="str">
        <f>IF(NORMALIZADO!CL146="","",NORMALIZADO!CL146)</f>
        <v/>
      </c>
      <c r="P147" s="17" t="str">
        <f t="shared" ca="1" si="44"/>
        <v/>
      </c>
      <c r="Q147" s="17">
        <f t="shared" ca="1" si="45"/>
        <v>0</v>
      </c>
      <c r="R147" s="17">
        <f t="shared" ca="1" si="46"/>
        <v>0</v>
      </c>
      <c r="S147" s="17">
        <f t="shared" ca="1" si="47"/>
        <v>0</v>
      </c>
      <c r="T147" s="17">
        <f ca="1">IFERROR((K147+M147+MATRIZ_174!O146)/3,0)</f>
        <v>0</v>
      </c>
      <c r="U147" s="18">
        <f>IFERROR(MIN(100,ROUND(MATRIZ_174!M146,1)),0)</f>
        <v>100</v>
      </c>
      <c r="V147" s="18">
        <f t="shared" ca="1" si="48"/>
        <v>50</v>
      </c>
      <c r="W147" s="18">
        <f>IFERROR(IF(MATRIZ_174!R146=0,65,IF(MATRIZ_174!R146/MATRIZ_174!Q146&gt;=2,35,IF(MATRIZ_174!R146/MATRIZ_174!Q146&gt;=0.5,50,65))),65)</f>
        <v>35</v>
      </c>
      <c r="X147" s="18">
        <f>IFERROR(MIN(100,IF(MATRIZ_174!O146=0,70,30)+IF(MATRIZ_174!U146="",0,0.3*(100-MATRIZ_174!U146*100))),70)</f>
        <v>70</v>
      </c>
      <c r="Y147" s="18">
        <f>IF(OR(MATRIZ_174!P146="ASOCIACION",MATRIZ_174!P146="PENDIENTE"),65,40)</f>
        <v>65</v>
      </c>
      <c r="Z147" s="19" t="str">
        <f t="shared" ca="1" si="49"/>
        <v>—</v>
      </c>
      <c r="AA147" s="20">
        <f t="shared" ca="1" si="50"/>
        <v>64</v>
      </c>
      <c r="AB147" s="21" t="str">
        <f t="shared" ca="1" si="51"/>
        <v>—</v>
      </c>
      <c r="AC147" s="13" t="str">
        <f t="shared" ca="1" si="52"/>
        <v>⬜  Pendiente de instrumento</v>
      </c>
      <c r="AD147" s="13" t="str">
        <f>IF(MATRIZ_174!U146="","",IF(MATRIZ_174!U146=0,"🚫  Inh. vigente OSCE",""))</f>
        <v/>
      </c>
      <c r="AE147" s="22">
        <f>IFERROR(MATRIZ_174!W146,0)</f>
        <v>1</v>
      </c>
      <c r="AF147" s="22">
        <f>IFERROR(MATRIZ_174!X146,0)</f>
        <v>0</v>
      </c>
      <c r="AG147" s="22">
        <f>IFERROR(MATRIZ_174!Y146,0)</f>
        <v>0</v>
      </c>
      <c r="AH147" s="22">
        <f>IFERROR(MATRIZ_174!Z146,0)</f>
        <v>0</v>
      </c>
      <c r="AI147" s="17">
        <f ca="1">IFERROR(MATRIZ_174!AP146,"N/A")</f>
        <v>0.22500000000000001</v>
      </c>
      <c r="AJ147" s="17">
        <f>IFERROR(MATRIZ_174!AO146,"N/A")</f>
        <v>0</v>
      </c>
      <c r="AK147" s="23" t="str">
        <f t="shared" ca="1" si="53"/>
        <v>N/A</v>
      </c>
      <c r="AL147" s="24" t="str">
        <f t="shared" ca="1" si="54"/>
        <v>—</v>
      </c>
    </row>
    <row r="148" spans="1:38" ht="16.05" customHeight="1" x14ac:dyDescent="0.3">
      <c r="A148" s="13" t="s">
        <v>395</v>
      </c>
      <c r="B148" s="14" t="s">
        <v>396</v>
      </c>
      <c r="C148" s="13" t="s">
        <v>248</v>
      </c>
      <c r="D148" s="15">
        <v>271980.69</v>
      </c>
      <c r="E148" s="16" t="str">
        <f>IF(NORMALIZADO!CB147="","",NORMALIZADO!CB147)</f>
        <v/>
      </c>
      <c r="F148" s="17" t="str">
        <f ca="1">IF(NORMALIZADO!CC147="","",NORMALIZADO!CC147)</f>
        <v/>
      </c>
      <c r="G148" s="17">
        <f ca="1">IF(NORMALIZADO!CD147="",IFERROR(MATRIZ_174!U147*100,""),NORMALIZADO!CD147)</f>
        <v>100</v>
      </c>
      <c r="H148" s="16" t="str">
        <f>IF(NORMALIZADO!CE147="","",NORMALIZADO!CE147)</f>
        <v/>
      </c>
      <c r="I148" s="17" t="str">
        <f>IF(NORMALIZADO!CF147="","",NORMALIZADO!CF147)</f>
        <v/>
      </c>
      <c r="J148" s="17" t="str">
        <f ca="1">IF(NORMALIZADO!CG147="","",NORMALIZADO!CG147)</f>
        <v/>
      </c>
      <c r="K148" s="16" t="str">
        <f ca="1">IF(NORMALIZADO!CH147="","",NORMALIZADO!CH147)</f>
        <v/>
      </c>
      <c r="L148" s="16" t="str">
        <f>IF(NORMALIZADO!CI147="","",NORMALIZADO!CI147)</f>
        <v/>
      </c>
      <c r="M148" s="16" t="str">
        <f>IF(NORMALIZADO!CJ147="","",NORMALIZADO!CJ147)</f>
        <v/>
      </c>
      <c r="N148" s="16" t="str">
        <f>IF(NORMALIZADO!CK147="","",NORMALIZADO!CK147)</f>
        <v/>
      </c>
      <c r="O148" s="16" t="str">
        <f>IF(NORMALIZADO!CL147="","",NORMALIZADO!CL147)</f>
        <v/>
      </c>
      <c r="P148" s="17" t="str">
        <f t="shared" ca="1" si="44"/>
        <v/>
      </c>
      <c r="Q148" s="17">
        <f t="shared" ca="1" si="45"/>
        <v>0</v>
      </c>
      <c r="R148" s="17">
        <f t="shared" ca="1" si="46"/>
        <v>0</v>
      </c>
      <c r="S148" s="17">
        <f t="shared" ca="1" si="47"/>
        <v>0</v>
      </c>
      <c r="T148" s="17">
        <f ca="1">IFERROR((K148+M148+MATRIZ_174!O147)/3,0)</f>
        <v>0</v>
      </c>
      <c r="U148" s="18">
        <f>IFERROR(MIN(100,ROUND(MATRIZ_174!M147,1)),0)</f>
        <v>50</v>
      </c>
      <c r="V148" s="18">
        <f t="shared" ca="1" si="48"/>
        <v>50</v>
      </c>
      <c r="W148" s="18">
        <f>IFERROR(IF(MATRIZ_174!R147=0,65,IF(MATRIZ_174!R147/MATRIZ_174!Q147&gt;=2,35,IF(MATRIZ_174!R147/MATRIZ_174!Q147&gt;=0.5,50,65))),65)</f>
        <v>65</v>
      </c>
      <c r="X148" s="18">
        <f>IFERROR(MIN(100,IF(MATRIZ_174!O147=0,70,30)+IF(MATRIZ_174!U147="",0,0.3*(100-MATRIZ_174!U147*100))),70)</f>
        <v>70</v>
      </c>
      <c r="Y148" s="18">
        <f>IF(OR(MATRIZ_174!P147="ASOCIACION",MATRIZ_174!P147="PENDIENTE"),65,40)</f>
        <v>65</v>
      </c>
      <c r="Z148" s="19" t="str">
        <f t="shared" ca="1" si="49"/>
        <v>—</v>
      </c>
      <c r="AA148" s="20">
        <f t="shared" ca="1" si="50"/>
        <v>60</v>
      </c>
      <c r="AB148" s="21" t="str">
        <f t="shared" ca="1" si="51"/>
        <v>—</v>
      </c>
      <c r="AC148" s="13" t="str">
        <f t="shared" ca="1" si="52"/>
        <v>⬜  Pendiente de instrumento</v>
      </c>
      <c r="AD148" s="13" t="str">
        <f>IF(MATRIZ_174!U147="","",IF(MATRIZ_174!U147=0,"🚫  Inh. vigente OSCE",""))</f>
        <v/>
      </c>
      <c r="AE148" s="22">
        <f>IFERROR(MATRIZ_174!W147,0)</f>
        <v>0</v>
      </c>
      <c r="AF148" s="22">
        <f>IFERROR(MATRIZ_174!X147,0)</f>
        <v>0</v>
      </c>
      <c r="AG148" s="22">
        <f>IFERROR(MATRIZ_174!Y147,0)</f>
        <v>0</v>
      </c>
      <c r="AH148" s="22">
        <f>IFERROR(MATRIZ_174!Z147,0)</f>
        <v>0</v>
      </c>
      <c r="AI148" s="17">
        <f ca="1">IFERROR(MATRIZ_174!AP147,"N/A")</f>
        <v>0.1</v>
      </c>
      <c r="AJ148" s="17">
        <f>IFERROR(MATRIZ_174!AO147,"N/A")</f>
        <v>0</v>
      </c>
      <c r="AK148" s="23" t="str">
        <f t="shared" ca="1" si="53"/>
        <v>N/A</v>
      </c>
      <c r="AL148" s="24" t="str">
        <f t="shared" ca="1" si="54"/>
        <v>—</v>
      </c>
    </row>
    <row r="149" spans="1:38" ht="16.05" customHeight="1" x14ac:dyDescent="0.3">
      <c r="A149" s="13" t="s">
        <v>397</v>
      </c>
      <c r="B149" s="14" t="s">
        <v>398</v>
      </c>
      <c r="C149" s="13" t="s">
        <v>80</v>
      </c>
      <c r="D149" s="15">
        <v>0</v>
      </c>
      <c r="E149" s="16" t="str">
        <f>IF(NORMALIZADO!CB148="","",NORMALIZADO!CB148)</f>
        <v/>
      </c>
      <c r="F149" s="17" t="str">
        <f ca="1">IF(NORMALIZADO!CC148="","",NORMALIZADO!CC148)</f>
        <v/>
      </c>
      <c r="G149" s="17">
        <f ca="1">IF(NORMALIZADO!CD148="",IFERROR(MATRIZ_174!U148*100,""),NORMALIZADO!CD148)</f>
        <v>100</v>
      </c>
      <c r="H149" s="16" t="str">
        <f>IF(NORMALIZADO!CE148="","",NORMALIZADO!CE148)</f>
        <v/>
      </c>
      <c r="I149" s="17" t="str">
        <f>IF(NORMALIZADO!CF148="","",NORMALIZADO!CF148)</f>
        <v/>
      </c>
      <c r="J149" s="17" t="str">
        <f ca="1">IF(NORMALIZADO!CG148="","",NORMALIZADO!CG148)</f>
        <v/>
      </c>
      <c r="K149" s="16" t="str">
        <f ca="1">IF(NORMALIZADO!CH148="","",NORMALIZADO!CH148)</f>
        <v/>
      </c>
      <c r="L149" s="16" t="str">
        <f>IF(NORMALIZADO!CI148="","",NORMALIZADO!CI148)</f>
        <v/>
      </c>
      <c r="M149" s="16" t="str">
        <f>IF(NORMALIZADO!CJ148="","",NORMALIZADO!CJ148)</f>
        <v/>
      </c>
      <c r="N149" s="16" t="str">
        <f>IF(NORMALIZADO!CK148="","",NORMALIZADO!CK148)</f>
        <v/>
      </c>
      <c r="O149" s="16" t="str">
        <f>IF(NORMALIZADO!CL148="","",NORMALIZADO!CL148)</f>
        <v/>
      </c>
      <c r="P149" s="17" t="str">
        <f t="shared" ca="1" si="44"/>
        <v/>
      </c>
      <c r="Q149" s="17">
        <f t="shared" ca="1" si="45"/>
        <v>0</v>
      </c>
      <c r="R149" s="17">
        <f t="shared" ca="1" si="46"/>
        <v>0</v>
      </c>
      <c r="S149" s="17">
        <f t="shared" ca="1" si="47"/>
        <v>0</v>
      </c>
      <c r="T149" s="17">
        <f ca="1">IFERROR((K149+M149+MATRIZ_174!O148)/3,0)</f>
        <v>0</v>
      </c>
      <c r="U149" s="18">
        <f>IFERROR(MIN(100,ROUND(MATRIZ_174!M148,1)),0)</f>
        <v>0</v>
      </c>
      <c r="V149" s="18">
        <f t="shared" ca="1" si="48"/>
        <v>50</v>
      </c>
      <c r="W149" s="18">
        <f>IFERROR(IF(MATRIZ_174!R148=0,65,IF(MATRIZ_174!R148/MATRIZ_174!Q148&gt;=2,35,IF(MATRIZ_174!R148/MATRIZ_174!Q148&gt;=0.5,50,65))),65)</f>
        <v>65</v>
      </c>
      <c r="X149" s="18">
        <f>IFERROR(MIN(100,IF(MATRIZ_174!O148=0,70,30)+IF(MATRIZ_174!U148="",0,0.3*(100-MATRIZ_174!U148*100))),70)</f>
        <v>70</v>
      </c>
      <c r="Y149" s="18">
        <f>IF(OR(MATRIZ_174!P148="ASOCIACION",MATRIZ_174!P148="PENDIENTE"),65,40)</f>
        <v>65</v>
      </c>
      <c r="Z149" s="19" t="str">
        <f t="shared" ca="1" si="49"/>
        <v>—</v>
      </c>
      <c r="AA149" s="20">
        <f t="shared" ca="1" si="50"/>
        <v>50</v>
      </c>
      <c r="AB149" s="21" t="str">
        <f t="shared" ca="1" si="51"/>
        <v>—</v>
      </c>
      <c r="AC149" s="13" t="str">
        <f t="shared" ca="1" si="52"/>
        <v>⬜  Pendiente de instrumento</v>
      </c>
      <c r="AD149" s="13" t="str">
        <f>IF(MATRIZ_174!U148="","",IF(MATRIZ_174!U148=0,"🚫  Inh. vigente OSCE",""))</f>
        <v/>
      </c>
      <c r="AE149" s="22">
        <f>IFERROR(MATRIZ_174!W148,0)</f>
        <v>0</v>
      </c>
      <c r="AF149" s="22">
        <f>IFERROR(MATRIZ_174!X148,0)</f>
        <v>0</v>
      </c>
      <c r="AG149" s="22">
        <f>IFERROR(MATRIZ_174!Y148,0)</f>
        <v>0</v>
      </c>
      <c r="AH149" s="22">
        <f>IFERROR(MATRIZ_174!Z148,0)</f>
        <v>0</v>
      </c>
      <c r="AI149" s="17">
        <f ca="1">IFERROR(MATRIZ_174!AP148,"N/A")</f>
        <v>0</v>
      </c>
      <c r="AJ149" s="17">
        <f>IFERROR(MATRIZ_174!AO148,"N/A")</f>
        <v>0</v>
      </c>
      <c r="AK149" s="23" t="str">
        <f t="shared" ca="1" si="53"/>
        <v>N/A</v>
      </c>
      <c r="AL149" s="24" t="str">
        <f t="shared" ca="1" si="54"/>
        <v>—</v>
      </c>
    </row>
    <row r="150" spans="1:38" ht="16.05" customHeight="1" x14ac:dyDescent="0.3">
      <c r="A150" s="13" t="s">
        <v>399</v>
      </c>
      <c r="B150" s="14" t="s">
        <v>400</v>
      </c>
      <c r="C150" s="13" t="s">
        <v>154</v>
      </c>
      <c r="D150" s="15">
        <v>0</v>
      </c>
      <c r="E150" s="16" t="str">
        <f>IF(NORMALIZADO!CB149="","",NORMALIZADO!CB149)</f>
        <v/>
      </c>
      <c r="F150" s="17" t="str">
        <f ca="1">IF(NORMALIZADO!CC149="","",NORMALIZADO!CC149)</f>
        <v/>
      </c>
      <c r="G150" s="17">
        <f ca="1">IF(NORMALIZADO!CD149="",IFERROR(MATRIZ_174!U149*100,""),NORMALIZADO!CD149)</f>
        <v>100</v>
      </c>
      <c r="H150" s="16" t="str">
        <f>IF(NORMALIZADO!CE149="","",NORMALIZADO!CE149)</f>
        <v/>
      </c>
      <c r="I150" s="17" t="str">
        <f>IF(NORMALIZADO!CF149="","",NORMALIZADO!CF149)</f>
        <v/>
      </c>
      <c r="J150" s="17" t="str">
        <f ca="1">IF(NORMALIZADO!CG149="","",NORMALIZADO!CG149)</f>
        <v/>
      </c>
      <c r="K150" s="16" t="str">
        <f ca="1">IF(NORMALIZADO!CH149="","",NORMALIZADO!CH149)</f>
        <v/>
      </c>
      <c r="L150" s="16" t="str">
        <f>IF(NORMALIZADO!CI149="","",NORMALIZADO!CI149)</f>
        <v/>
      </c>
      <c r="M150" s="16" t="str">
        <f>IF(NORMALIZADO!CJ149="","",NORMALIZADO!CJ149)</f>
        <v/>
      </c>
      <c r="N150" s="16" t="str">
        <f>IF(NORMALIZADO!CK149="","",NORMALIZADO!CK149)</f>
        <v/>
      </c>
      <c r="O150" s="16" t="str">
        <f>IF(NORMALIZADO!CL149="","",NORMALIZADO!CL149)</f>
        <v/>
      </c>
      <c r="P150" s="17" t="str">
        <f t="shared" ca="1" si="44"/>
        <v/>
      </c>
      <c r="Q150" s="17">
        <f t="shared" ca="1" si="45"/>
        <v>0</v>
      </c>
      <c r="R150" s="17">
        <f t="shared" ca="1" si="46"/>
        <v>0</v>
      </c>
      <c r="S150" s="17">
        <f t="shared" ca="1" si="47"/>
        <v>0</v>
      </c>
      <c r="T150" s="17">
        <f ca="1">IFERROR((K150+M150+MATRIZ_174!O149)/3,0)</f>
        <v>0.33333333333333331</v>
      </c>
      <c r="U150" s="18">
        <f>IFERROR(MIN(100,ROUND(MATRIZ_174!M149,1)),0)</f>
        <v>0</v>
      </c>
      <c r="V150" s="18">
        <f t="shared" ca="1" si="48"/>
        <v>50</v>
      </c>
      <c r="W150" s="18">
        <f>IFERROR(IF(MATRIZ_174!R149=0,65,IF(MATRIZ_174!R149/MATRIZ_174!Q149&gt;=2,35,IF(MATRIZ_174!R149/MATRIZ_174!Q149&gt;=0.5,50,65))),65)</f>
        <v>35</v>
      </c>
      <c r="X150" s="18">
        <f>IFERROR(MIN(100,IF(MATRIZ_174!O149=0,70,30)+IF(MATRIZ_174!U149="",0,0.3*(100-MATRIZ_174!U149*100))),70)</f>
        <v>30</v>
      </c>
      <c r="Y150" s="18">
        <f>IF(OR(MATRIZ_174!P149="ASOCIACION",MATRIZ_174!P149="PENDIENTE"),65,40)</f>
        <v>65</v>
      </c>
      <c r="Z150" s="19" t="str">
        <f t="shared" ca="1" si="49"/>
        <v>—</v>
      </c>
      <c r="AA150" s="20">
        <f t="shared" ca="1" si="50"/>
        <v>36</v>
      </c>
      <c r="AB150" s="21" t="str">
        <f t="shared" ca="1" si="51"/>
        <v>—</v>
      </c>
      <c r="AC150" s="13" t="str">
        <f t="shared" ca="1" si="52"/>
        <v>⬜  Pendiente de instrumento</v>
      </c>
      <c r="AD150" s="13" t="str">
        <f>IF(MATRIZ_174!U149="","",IF(MATRIZ_174!U149=0,"🚫  Inh. vigente OSCE",""))</f>
        <v/>
      </c>
      <c r="AE150" s="22">
        <f>IFERROR(MATRIZ_174!W149,0)</f>
        <v>1</v>
      </c>
      <c r="AF150" s="22">
        <f>IFERROR(MATRIZ_174!X149,0)</f>
        <v>0</v>
      </c>
      <c r="AG150" s="22">
        <f>IFERROR(MATRIZ_174!Y149,0)</f>
        <v>0</v>
      </c>
      <c r="AH150" s="22">
        <f>IFERROR(MATRIZ_174!Z149,0)</f>
        <v>0</v>
      </c>
      <c r="AI150" s="17">
        <f ca="1">IFERROR(MATRIZ_174!AP149,"N/A")</f>
        <v>0.105</v>
      </c>
      <c r="AJ150" s="17">
        <f>IFERROR(MATRIZ_174!AO149,"N/A")</f>
        <v>0</v>
      </c>
      <c r="AK150" s="23" t="str">
        <f t="shared" ca="1" si="53"/>
        <v>N/A</v>
      </c>
      <c r="AL150" s="24" t="str">
        <f t="shared" ca="1" si="54"/>
        <v>—</v>
      </c>
    </row>
    <row r="151" spans="1:38" ht="16.05" customHeight="1" x14ac:dyDescent="0.3">
      <c r="A151" s="13" t="s">
        <v>401</v>
      </c>
      <c r="B151" s="14" t="s">
        <v>402</v>
      </c>
      <c r="C151" s="13" t="s">
        <v>107</v>
      </c>
      <c r="D151" s="15">
        <v>0</v>
      </c>
      <c r="E151" s="16" t="str">
        <f>IF(NORMALIZADO!CB150="","",NORMALIZADO!CB150)</f>
        <v/>
      </c>
      <c r="F151" s="17" t="str">
        <f ca="1">IF(NORMALIZADO!CC150="","",NORMALIZADO!CC150)</f>
        <v/>
      </c>
      <c r="G151" s="17">
        <f ca="1">IF(NORMALIZADO!CD150="",IFERROR(MATRIZ_174!U150*100,""),NORMALIZADO!CD150)</f>
        <v>100</v>
      </c>
      <c r="H151" s="16" t="str">
        <f>IF(NORMALIZADO!CE150="","",NORMALIZADO!CE150)</f>
        <v/>
      </c>
      <c r="I151" s="17" t="str">
        <f>IF(NORMALIZADO!CF150="","",NORMALIZADO!CF150)</f>
        <v/>
      </c>
      <c r="J151" s="17" t="str">
        <f ca="1">IF(NORMALIZADO!CG150="","",NORMALIZADO!CG150)</f>
        <v/>
      </c>
      <c r="K151" s="16" t="str">
        <f ca="1">IF(NORMALIZADO!CH150="","",NORMALIZADO!CH150)</f>
        <v/>
      </c>
      <c r="L151" s="16" t="str">
        <f>IF(NORMALIZADO!CI150="","",NORMALIZADO!CI150)</f>
        <v/>
      </c>
      <c r="M151" s="16" t="str">
        <f>IF(NORMALIZADO!CJ150="","",NORMALIZADO!CJ150)</f>
        <v/>
      </c>
      <c r="N151" s="16" t="str">
        <f>IF(NORMALIZADO!CK150="","",NORMALIZADO!CK150)</f>
        <v/>
      </c>
      <c r="O151" s="16" t="str">
        <f>IF(NORMALIZADO!CL150="","",NORMALIZADO!CL150)</f>
        <v/>
      </c>
      <c r="P151" s="17" t="str">
        <f t="shared" ca="1" si="44"/>
        <v/>
      </c>
      <c r="Q151" s="17">
        <f t="shared" ca="1" si="45"/>
        <v>0</v>
      </c>
      <c r="R151" s="17">
        <f t="shared" ca="1" si="46"/>
        <v>0</v>
      </c>
      <c r="S151" s="17">
        <f t="shared" ca="1" si="47"/>
        <v>0</v>
      </c>
      <c r="T151" s="17">
        <f ca="1">IFERROR((K151+M151+MATRIZ_174!O150)/3,0)</f>
        <v>0</v>
      </c>
      <c r="U151" s="18">
        <f>IFERROR(MIN(100,ROUND(MATRIZ_174!M150,1)),0)</f>
        <v>0</v>
      </c>
      <c r="V151" s="18">
        <f t="shared" ca="1" si="48"/>
        <v>50</v>
      </c>
      <c r="W151" s="18">
        <f>IFERROR(IF(MATRIZ_174!R150=0,65,IF(MATRIZ_174!R150/MATRIZ_174!Q150&gt;=2,35,IF(MATRIZ_174!R150/MATRIZ_174!Q150&gt;=0.5,50,65))),65)</f>
        <v>65</v>
      </c>
      <c r="X151" s="18">
        <f>IFERROR(MIN(100,IF(MATRIZ_174!O150=0,70,30)+IF(MATRIZ_174!U150="",0,0.3*(100-MATRIZ_174!U150*100))),70)</f>
        <v>70</v>
      </c>
      <c r="Y151" s="18">
        <f>IF(OR(MATRIZ_174!P150="ASOCIACION",MATRIZ_174!P150="PENDIENTE"),65,40)</f>
        <v>65</v>
      </c>
      <c r="Z151" s="19" t="str">
        <f t="shared" ca="1" si="49"/>
        <v>—</v>
      </c>
      <c r="AA151" s="20">
        <f t="shared" ca="1" si="50"/>
        <v>50</v>
      </c>
      <c r="AB151" s="21" t="str">
        <f t="shared" ca="1" si="51"/>
        <v>—</v>
      </c>
      <c r="AC151" s="13" t="str">
        <f t="shared" ca="1" si="52"/>
        <v>⬜  Pendiente de instrumento</v>
      </c>
      <c r="AD151" s="13" t="str">
        <f>IF(MATRIZ_174!U150="","",IF(MATRIZ_174!U150=0,"🚫  Inh. vigente OSCE",""))</f>
        <v/>
      </c>
      <c r="AE151" s="22">
        <f>IFERROR(MATRIZ_174!W150,0)</f>
        <v>0</v>
      </c>
      <c r="AF151" s="22">
        <f>IFERROR(MATRIZ_174!X150,0)</f>
        <v>0</v>
      </c>
      <c r="AG151" s="22">
        <f>IFERROR(MATRIZ_174!Y150,0)</f>
        <v>0</v>
      </c>
      <c r="AH151" s="22">
        <f>IFERROR(MATRIZ_174!Z150,0)</f>
        <v>0</v>
      </c>
      <c r="AI151" s="17">
        <f ca="1">IFERROR(MATRIZ_174!AP150,"N/A")</f>
        <v>0</v>
      </c>
      <c r="AJ151" s="17">
        <f>IFERROR(MATRIZ_174!AO150,"N/A")</f>
        <v>0</v>
      </c>
      <c r="AK151" s="23" t="str">
        <f t="shared" ca="1" si="53"/>
        <v>N/A</v>
      </c>
      <c r="AL151" s="24" t="str">
        <f t="shared" ca="1" si="54"/>
        <v>—</v>
      </c>
    </row>
    <row r="152" spans="1:38" ht="16.05" customHeight="1" x14ac:dyDescent="0.3">
      <c r="A152" s="13" t="s">
        <v>403</v>
      </c>
      <c r="B152" s="14" t="s">
        <v>404</v>
      </c>
      <c r="C152" s="13" t="s">
        <v>183</v>
      </c>
      <c r="D152" s="15">
        <v>0</v>
      </c>
      <c r="E152" s="16" t="str">
        <f>IF(NORMALIZADO!CB151="","",NORMALIZADO!CB151)</f>
        <v/>
      </c>
      <c r="F152" s="17" t="str">
        <f ca="1">IF(NORMALIZADO!CC151="","",NORMALIZADO!CC151)</f>
        <v/>
      </c>
      <c r="G152" s="17">
        <f ca="1">IF(NORMALIZADO!CD151="",IFERROR(MATRIZ_174!U151*100,""),NORMALIZADO!CD151)</f>
        <v>100</v>
      </c>
      <c r="H152" s="16" t="str">
        <f>IF(NORMALIZADO!CE151="","",NORMALIZADO!CE151)</f>
        <v/>
      </c>
      <c r="I152" s="17" t="str">
        <f>IF(NORMALIZADO!CF151="","",NORMALIZADO!CF151)</f>
        <v/>
      </c>
      <c r="J152" s="17" t="str">
        <f ca="1">IF(NORMALIZADO!CG151="","",NORMALIZADO!CG151)</f>
        <v/>
      </c>
      <c r="K152" s="16" t="str">
        <f ca="1">IF(NORMALIZADO!CH151="","",NORMALIZADO!CH151)</f>
        <v/>
      </c>
      <c r="L152" s="16" t="str">
        <f>IF(NORMALIZADO!CI151="","",NORMALIZADO!CI151)</f>
        <v/>
      </c>
      <c r="M152" s="16" t="str">
        <f>IF(NORMALIZADO!CJ151="","",NORMALIZADO!CJ151)</f>
        <v/>
      </c>
      <c r="N152" s="16" t="str">
        <f>IF(NORMALIZADO!CK151="","",NORMALIZADO!CK151)</f>
        <v/>
      </c>
      <c r="O152" s="16" t="str">
        <f>IF(NORMALIZADO!CL151="","",NORMALIZADO!CL151)</f>
        <v/>
      </c>
      <c r="P152" s="17" t="str">
        <f t="shared" ca="1" si="44"/>
        <v/>
      </c>
      <c r="Q152" s="17">
        <f t="shared" ca="1" si="45"/>
        <v>0</v>
      </c>
      <c r="R152" s="17">
        <f t="shared" ca="1" si="46"/>
        <v>0</v>
      </c>
      <c r="S152" s="17">
        <f t="shared" ca="1" si="47"/>
        <v>0</v>
      </c>
      <c r="T152" s="17">
        <f ca="1">IFERROR((K152+M152+MATRIZ_174!O151)/3,0)</f>
        <v>0</v>
      </c>
      <c r="U152" s="18">
        <f>IFERROR(MIN(100,ROUND(MATRIZ_174!M151,1)),0)</f>
        <v>0</v>
      </c>
      <c r="V152" s="18">
        <f t="shared" ca="1" si="48"/>
        <v>50</v>
      </c>
      <c r="W152" s="18">
        <f>IFERROR(IF(MATRIZ_174!R151=0,65,IF(MATRIZ_174!R151/MATRIZ_174!Q151&gt;=2,35,IF(MATRIZ_174!R151/MATRIZ_174!Q151&gt;=0.5,50,65))),65)</f>
        <v>65</v>
      </c>
      <c r="X152" s="18">
        <f>IFERROR(MIN(100,IF(MATRIZ_174!O151=0,70,30)+IF(MATRIZ_174!U151="",0,0.3*(100-MATRIZ_174!U151*100))),70)</f>
        <v>70</v>
      </c>
      <c r="Y152" s="18">
        <f>IF(OR(MATRIZ_174!P151="ASOCIACION",MATRIZ_174!P151="PENDIENTE"),65,40)</f>
        <v>65</v>
      </c>
      <c r="Z152" s="19" t="str">
        <f t="shared" ca="1" si="49"/>
        <v>—</v>
      </c>
      <c r="AA152" s="20">
        <f t="shared" ca="1" si="50"/>
        <v>50</v>
      </c>
      <c r="AB152" s="21" t="str">
        <f t="shared" ca="1" si="51"/>
        <v>—</v>
      </c>
      <c r="AC152" s="13" t="str">
        <f t="shared" ca="1" si="52"/>
        <v>⬜  Pendiente de instrumento</v>
      </c>
      <c r="AD152" s="13" t="str">
        <f>IF(MATRIZ_174!U151="","",IF(MATRIZ_174!U151=0,"🚫  Inh. vigente OSCE",""))</f>
        <v/>
      </c>
      <c r="AE152" s="22">
        <f>IFERROR(MATRIZ_174!W151,0)</f>
        <v>0</v>
      </c>
      <c r="AF152" s="22">
        <f>IFERROR(MATRIZ_174!X151,0)</f>
        <v>0</v>
      </c>
      <c r="AG152" s="22">
        <f>IFERROR(MATRIZ_174!Y151,0)</f>
        <v>0</v>
      </c>
      <c r="AH152" s="22">
        <f>IFERROR(MATRIZ_174!Z151,0)</f>
        <v>0</v>
      </c>
      <c r="AI152" s="17">
        <f ca="1">IFERROR(MATRIZ_174!AP151,"N/A")</f>
        <v>0</v>
      </c>
      <c r="AJ152" s="17">
        <f>IFERROR(MATRIZ_174!AO151,"N/A")</f>
        <v>0</v>
      </c>
      <c r="AK152" s="23" t="str">
        <f t="shared" ca="1" si="53"/>
        <v>N/A</v>
      </c>
      <c r="AL152" s="24" t="str">
        <f t="shared" ca="1" si="54"/>
        <v>—</v>
      </c>
    </row>
    <row r="153" spans="1:38" ht="16.05" customHeight="1" x14ac:dyDescent="0.3">
      <c r="A153" s="13" t="s">
        <v>405</v>
      </c>
      <c r="B153" s="14" t="s">
        <v>406</v>
      </c>
      <c r="C153" s="13" t="s">
        <v>80</v>
      </c>
      <c r="D153" s="15">
        <v>0</v>
      </c>
      <c r="E153" s="16" t="str">
        <f>IF(NORMALIZADO!CB152="","",NORMALIZADO!CB152)</f>
        <v/>
      </c>
      <c r="F153" s="17" t="str">
        <f ca="1">IF(NORMALIZADO!CC152="","",NORMALIZADO!CC152)</f>
        <v/>
      </c>
      <c r="G153" s="17">
        <f ca="1">IF(NORMALIZADO!CD152="",IFERROR(MATRIZ_174!U152*100,""),NORMALIZADO!CD152)</f>
        <v>100</v>
      </c>
      <c r="H153" s="16" t="str">
        <f>IF(NORMALIZADO!CE152="","",NORMALIZADO!CE152)</f>
        <v/>
      </c>
      <c r="I153" s="17" t="str">
        <f>IF(NORMALIZADO!CF152="","",NORMALIZADO!CF152)</f>
        <v/>
      </c>
      <c r="J153" s="17" t="str">
        <f ca="1">IF(NORMALIZADO!CG152="","",NORMALIZADO!CG152)</f>
        <v/>
      </c>
      <c r="K153" s="16" t="str">
        <f ca="1">IF(NORMALIZADO!CH152="","",NORMALIZADO!CH152)</f>
        <v/>
      </c>
      <c r="L153" s="16" t="str">
        <f>IF(NORMALIZADO!CI152="","",NORMALIZADO!CI152)</f>
        <v/>
      </c>
      <c r="M153" s="16" t="str">
        <f>IF(NORMALIZADO!CJ152="","",NORMALIZADO!CJ152)</f>
        <v/>
      </c>
      <c r="N153" s="16" t="str">
        <f>IF(NORMALIZADO!CK152="","",NORMALIZADO!CK152)</f>
        <v/>
      </c>
      <c r="O153" s="16" t="str">
        <f>IF(NORMALIZADO!CL152="","",NORMALIZADO!CL152)</f>
        <v/>
      </c>
      <c r="P153" s="17" t="str">
        <f t="shared" ca="1" si="44"/>
        <v/>
      </c>
      <c r="Q153" s="17">
        <f t="shared" ca="1" si="45"/>
        <v>0</v>
      </c>
      <c r="R153" s="17">
        <f t="shared" ca="1" si="46"/>
        <v>0</v>
      </c>
      <c r="S153" s="17">
        <f t="shared" ca="1" si="47"/>
        <v>0</v>
      </c>
      <c r="T153" s="17">
        <f ca="1">IFERROR((K153+M153+MATRIZ_174!O152)/3,0)</f>
        <v>0</v>
      </c>
      <c r="U153" s="18">
        <f>IFERROR(MIN(100,ROUND(MATRIZ_174!M152,1)),0)</f>
        <v>0</v>
      </c>
      <c r="V153" s="18">
        <f t="shared" ca="1" si="48"/>
        <v>50</v>
      </c>
      <c r="W153" s="18">
        <f>IFERROR(IF(MATRIZ_174!R152=0,65,IF(MATRIZ_174!R152/MATRIZ_174!Q152&gt;=2,35,IF(MATRIZ_174!R152/MATRIZ_174!Q152&gt;=0.5,50,65))),65)</f>
        <v>65</v>
      </c>
      <c r="X153" s="18">
        <f>IFERROR(MIN(100,IF(MATRIZ_174!O152=0,70,30)+IF(MATRIZ_174!U152="",0,0.3*(100-MATRIZ_174!U152*100))),70)</f>
        <v>70</v>
      </c>
      <c r="Y153" s="18">
        <f>IF(OR(MATRIZ_174!P152="ASOCIACION",MATRIZ_174!P152="PENDIENTE"),65,40)</f>
        <v>65</v>
      </c>
      <c r="Z153" s="19" t="str">
        <f t="shared" ca="1" si="49"/>
        <v>—</v>
      </c>
      <c r="AA153" s="20">
        <f t="shared" ca="1" si="50"/>
        <v>50</v>
      </c>
      <c r="AB153" s="21" t="str">
        <f t="shared" ca="1" si="51"/>
        <v>—</v>
      </c>
      <c r="AC153" s="13" t="str">
        <f t="shared" ca="1" si="52"/>
        <v>⬜  Pendiente de instrumento</v>
      </c>
      <c r="AD153" s="13" t="str">
        <f>IF(MATRIZ_174!U152="","",IF(MATRIZ_174!U152=0,"🚫  Inh. vigente OSCE",""))</f>
        <v/>
      </c>
      <c r="AE153" s="22">
        <f>IFERROR(MATRIZ_174!W152,0)</f>
        <v>0</v>
      </c>
      <c r="AF153" s="22">
        <f>IFERROR(MATRIZ_174!X152,0)</f>
        <v>0</v>
      </c>
      <c r="AG153" s="22">
        <f>IFERROR(MATRIZ_174!Y152,0)</f>
        <v>0</v>
      </c>
      <c r="AH153" s="22">
        <f>IFERROR(MATRIZ_174!Z152,0)</f>
        <v>0</v>
      </c>
      <c r="AI153" s="17">
        <f ca="1">IFERROR(MATRIZ_174!AP152,"N/A")</f>
        <v>0</v>
      </c>
      <c r="AJ153" s="17">
        <f>IFERROR(MATRIZ_174!AO152,"N/A")</f>
        <v>0</v>
      </c>
      <c r="AK153" s="23" t="str">
        <f t="shared" ca="1" si="53"/>
        <v>N/A</v>
      </c>
      <c r="AL153" s="24" t="str">
        <f t="shared" ca="1" si="54"/>
        <v>—</v>
      </c>
    </row>
    <row r="154" spans="1:38" ht="16.05" customHeight="1" x14ac:dyDescent="0.3">
      <c r="A154" s="13" t="s">
        <v>407</v>
      </c>
      <c r="B154" s="14" t="s">
        <v>408</v>
      </c>
      <c r="C154" s="13" t="s">
        <v>80</v>
      </c>
      <c r="D154" s="15">
        <v>0</v>
      </c>
      <c r="E154" s="16" t="str">
        <f>IF(NORMALIZADO!CB153="","",NORMALIZADO!CB153)</f>
        <v/>
      </c>
      <c r="F154" s="17" t="str">
        <f ca="1">IF(NORMALIZADO!CC153="","",NORMALIZADO!CC153)</f>
        <v/>
      </c>
      <c r="G154" s="17">
        <f ca="1">IF(NORMALIZADO!CD153="",IFERROR(MATRIZ_174!U153*100,""),NORMALIZADO!CD153)</f>
        <v>100</v>
      </c>
      <c r="H154" s="16" t="str">
        <f>IF(NORMALIZADO!CE153="","",NORMALIZADO!CE153)</f>
        <v/>
      </c>
      <c r="I154" s="17" t="str">
        <f>IF(NORMALIZADO!CF153="","",NORMALIZADO!CF153)</f>
        <v/>
      </c>
      <c r="J154" s="17" t="str">
        <f ca="1">IF(NORMALIZADO!CG153="","",NORMALIZADO!CG153)</f>
        <v/>
      </c>
      <c r="K154" s="16" t="str">
        <f ca="1">IF(NORMALIZADO!CH153="","",NORMALIZADO!CH153)</f>
        <v/>
      </c>
      <c r="L154" s="16" t="str">
        <f>IF(NORMALIZADO!CI153="","",NORMALIZADO!CI153)</f>
        <v/>
      </c>
      <c r="M154" s="16" t="str">
        <f>IF(NORMALIZADO!CJ153="","",NORMALIZADO!CJ153)</f>
        <v/>
      </c>
      <c r="N154" s="16" t="str">
        <f>IF(NORMALIZADO!CK153="","",NORMALIZADO!CK153)</f>
        <v/>
      </c>
      <c r="O154" s="16" t="str">
        <f>IF(NORMALIZADO!CL153="","",NORMALIZADO!CL153)</f>
        <v/>
      </c>
      <c r="P154" s="17" t="str">
        <f t="shared" ca="1" si="44"/>
        <v/>
      </c>
      <c r="Q154" s="17">
        <f t="shared" ca="1" si="45"/>
        <v>0</v>
      </c>
      <c r="R154" s="17">
        <f t="shared" ca="1" si="46"/>
        <v>0</v>
      </c>
      <c r="S154" s="17">
        <f t="shared" ca="1" si="47"/>
        <v>0</v>
      </c>
      <c r="T154" s="17">
        <f ca="1">IFERROR((K154+M154+MATRIZ_174!O153)/3,0)</f>
        <v>0</v>
      </c>
      <c r="U154" s="18">
        <f>IFERROR(MIN(100,ROUND(MATRIZ_174!M153,1)),0)</f>
        <v>0</v>
      </c>
      <c r="V154" s="18">
        <f t="shared" ca="1" si="48"/>
        <v>50</v>
      </c>
      <c r="W154" s="18">
        <f>IFERROR(IF(MATRIZ_174!R153=0,65,IF(MATRIZ_174!R153/MATRIZ_174!Q153&gt;=2,35,IF(MATRIZ_174!R153/MATRIZ_174!Q153&gt;=0.5,50,65))),65)</f>
        <v>65</v>
      </c>
      <c r="X154" s="18">
        <f>IFERROR(MIN(100,IF(MATRIZ_174!O153=0,70,30)+IF(MATRIZ_174!U153="",0,0.3*(100-MATRIZ_174!U153*100))),70)</f>
        <v>70</v>
      </c>
      <c r="Y154" s="18">
        <f>IF(OR(MATRIZ_174!P153="ASOCIACION",MATRIZ_174!P153="PENDIENTE"),65,40)</f>
        <v>65</v>
      </c>
      <c r="Z154" s="19" t="str">
        <f t="shared" ca="1" si="49"/>
        <v>—</v>
      </c>
      <c r="AA154" s="20">
        <f t="shared" ca="1" si="50"/>
        <v>50</v>
      </c>
      <c r="AB154" s="21" t="str">
        <f t="shared" ca="1" si="51"/>
        <v>—</v>
      </c>
      <c r="AC154" s="13" t="str">
        <f t="shared" ca="1" si="52"/>
        <v>⬜  Pendiente de instrumento</v>
      </c>
      <c r="AD154" s="13" t="str">
        <f>IF(MATRIZ_174!U153="","",IF(MATRIZ_174!U153=0,"🚫  Inh. vigente OSCE",""))</f>
        <v/>
      </c>
      <c r="AE154" s="22">
        <f>IFERROR(MATRIZ_174!W153,0)</f>
        <v>0</v>
      </c>
      <c r="AF154" s="22">
        <f>IFERROR(MATRIZ_174!X153,0)</f>
        <v>0</v>
      </c>
      <c r="AG154" s="22">
        <f>IFERROR(MATRIZ_174!Y153,0)</f>
        <v>0</v>
      </c>
      <c r="AH154" s="22">
        <f>IFERROR(MATRIZ_174!Z153,0)</f>
        <v>0</v>
      </c>
      <c r="AI154" s="17">
        <f ca="1">IFERROR(MATRIZ_174!AP153,"N/A")</f>
        <v>0</v>
      </c>
      <c r="AJ154" s="17">
        <f>IFERROR(MATRIZ_174!AO153,"N/A")</f>
        <v>0</v>
      </c>
      <c r="AK154" s="23" t="str">
        <f t="shared" ca="1" si="53"/>
        <v>N/A</v>
      </c>
      <c r="AL154" s="24" t="str">
        <f t="shared" ca="1" si="54"/>
        <v>—</v>
      </c>
    </row>
    <row r="155" spans="1:38" ht="16.05" customHeight="1" x14ac:dyDescent="0.3">
      <c r="A155" s="13" t="s">
        <v>409</v>
      </c>
      <c r="B155" s="14" t="s">
        <v>410</v>
      </c>
      <c r="C155" s="13" t="s">
        <v>77</v>
      </c>
      <c r="D155" s="15">
        <v>0</v>
      </c>
      <c r="E155" s="16" t="str">
        <f>IF(NORMALIZADO!CB154="","",NORMALIZADO!CB154)</f>
        <v/>
      </c>
      <c r="F155" s="17" t="str">
        <f ca="1">IF(NORMALIZADO!CC154="","",NORMALIZADO!CC154)</f>
        <v/>
      </c>
      <c r="G155" s="17">
        <f ca="1">IF(NORMALIZADO!CD154="",IFERROR(MATRIZ_174!U154*100,""),NORMALIZADO!CD154)</f>
        <v>100</v>
      </c>
      <c r="H155" s="16" t="str">
        <f>IF(NORMALIZADO!CE154="","",NORMALIZADO!CE154)</f>
        <v/>
      </c>
      <c r="I155" s="17" t="str">
        <f>IF(NORMALIZADO!CF154="","",NORMALIZADO!CF154)</f>
        <v/>
      </c>
      <c r="J155" s="17" t="str">
        <f ca="1">IF(NORMALIZADO!CG154="","",NORMALIZADO!CG154)</f>
        <v/>
      </c>
      <c r="K155" s="16" t="str">
        <f ca="1">IF(NORMALIZADO!CH154="","",NORMALIZADO!CH154)</f>
        <v/>
      </c>
      <c r="L155" s="16" t="str">
        <f>IF(NORMALIZADO!CI154="","",NORMALIZADO!CI154)</f>
        <v/>
      </c>
      <c r="M155" s="16" t="str">
        <f>IF(NORMALIZADO!CJ154="","",NORMALIZADO!CJ154)</f>
        <v/>
      </c>
      <c r="N155" s="16" t="str">
        <f>IF(NORMALIZADO!CK154="","",NORMALIZADO!CK154)</f>
        <v/>
      </c>
      <c r="O155" s="16" t="str">
        <f>IF(NORMALIZADO!CL154="","",NORMALIZADO!CL154)</f>
        <v/>
      </c>
      <c r="P155" s="17" t="str">
        <f t="shared" ca="1" si="44"/>
        <v/>
      </c>
      <c r="Q155" s="17">
        <f t="shared" ca="1" si="45"/>
        <v>0</v>
      </c>
      <c r="R155" s="17">
        <f t="shared" ca="1" si="46"/>
        <v>0</v>
      </c>
      <c r="S155" s="17">
        <f t="shared" ca="1" si="47"/>
        <v>0</v>
      </c>
      <c r="T155" s="17">
        <f ca="1">IFERROR((K155+M155+MATRIZ_174!O154)/3,0)</f>
        <v>0</v>
      </c>
      <c r="U155" s="18">
        <f>IFERROR(MIN(100,ROUND(MATRIZ_174!M154,1)),0)</f>
        <v>0</v>
      </c>
      <c r="V155" s="18">
        <f t="shared" ca="1" si="48"/>
        <v>50</v>
      </c>
      <c r="W155" s="18">
        <f>IFERROR(IF(MATRIZ_174!R154=0,65,IF(MATRIZ_174!R154/MATRIZ_174!Q154&gt;=2,35,IF(MATRIZ_174!R154/MATRIZ_174!Q154&gt;=0.5,50,65))),65)</f>
        <v>35</v>
      </c>
      <c r="X155" s="18">
        <f>IFERROR(MIN(100,IF(MATRIZ_174!O154=0,70,30)+IF(MATRIZ_174!U154="",0,0.3*(100-MATRIZ_174!U154*100))),70)</f>
        <v>70</v>
      </c>
      <c r="Y155" s="18">
        <f>IF(OR(MATRIZ_174!P154="ASOCIACION",MATRIZ_174!P154="PENDIENTE"),65,40)</f>
        <v>65</v>
      </c>
      <c r="Z155" s="19" t="str">
        <f t="shared" ca="1" si="49"/>
        <v>—</v>
      </c>
      <c r="AA155" s="20">
        <f t="shared" ca="1" si="50"/>
        <v>44</v>
      </c>
      <c r="AB155" s="21" t="str">
        <f t="shared" ca="1" si="51"/>
        <v>—</v>
      </c>
      <c r="AC155" s="13" t="str">
        <f t="shared" ca="1" si="52"/>
        <v>⬜  Pendiente de instrumento</v>
      </c>
      <c r="AD155" s="13" t="str">
        <f>IF(MATRIZ_174!U154="","",IF(MATRIZ_174!U154=0,"🚫  Inh. vigente OSCE",""))</f>
        <v/>
      </c>
      <c r="AE155" s="22">
        <f>IFERROR(MATRIZ_174!W154,0)</f>
        <v>1</v>
      </c>
      <c r="AF155" s="22">
        <f>IFERROR(MATRIZ_174!X154,0)</f>
        <v>0</v>
      </c>
      <c r="AG155" s="22">
        <f>IFERROR(MATRIZ_174!Y154,0)</f>
        <v>0</v>
      </c>
      <c r="AH155" s="22">
        <f>IFERROR(MATRIZ_174!Z154,0)</f>
        <v>0</v>
      </c>
      <c r="AI155" s="17">
        <f ca="1">IFERROR(MATRIZ_174!AP154,"N/A")</f>
        <v>2.5000000000000001E-2</v>
      </c>
      <c r="AJ155" s="17">
        <f>IFERROR(MATRIZ_174!AO154,"N/A")</f>
        <v>0</v>
      </c>
      <c r="AK155" s="23" t="str">
        <f t="shared" ca="1" si="53"/>
        <v>N/A</v>
      </c>
      <c r="AL155" s="24" t="str">
        <f t="shared" ca="1" si="54"/>
        <v>—</v>
      </c>
    </row>
    <row r="156" spans="1:38" ht="16.05" customHeight="1" x14ac:dyDescent="0.3">
      <c r="A156" s="13" t="s">
        <v>411</v>
      </c>
      <c r="B156" s="14" t="s">
        <v>412</v>
      </c>
      <c r="C156" s="13" t="s">
        <v>113</v>
      </c>
      <c r="D156" s="15">
        <v>0</v>
      </c>
      <c r="E156" s="16" t="str">
        <f>IF(NORMALIZADO!CB155="","",NORMALIZADO!CB155)</f>
        <v/>
      </c>
      <c r="F156" s="17" t="str">
        <f ca="1">IF(NORMALIZADO!CC155="","",NORMALIZADO!CC155)</f>
        <v/>
      </c>
      <c r="G156" s="17">
        <f ca="1">IF(NORMALIZADO!CD155="",IFERROR(MATRIZ_174!U155*100,""),NORMALIZADO!CD155)</f>
        <v>100</v>
      </c>
      <c r="H156" s="16" t="str">
        <f>IF(NORMALIZADO!CE155="","",NORMALIZADO!CE155)</f>
        <v/>
      </c>
      <c r="I156" s="17" t="str">
        <f>IF(NORMALIZADO!CF155="","",NORMALIZADO!CF155)</f>
        <v/>
      </c>
      <c r="J156" s="17" t="str">
        <f ca="1">IF(NORMALIZADO!CG155="","",NORMALIZADO!CG155)</f>
        <v/>
      </c>
      <c r="K156" s="16" t="str">
        <f ca="1">IF(NORMALIZADO!CH155="","",NORMALIZADO!CH155)</f>
        <v/>
      </c>
      <c r="L156" s="16" t="str">
        <f>IF(NORMALIZADO!CI155="","",NORMALIZADO!CI155)</f>
        <v/>
      </c>
      <c r="M156" s="16" t="str">
        <f>IF(NORMALIZADO!CJ155="","",NORMALIZADO!CJ155)</f>
        <v/>
      </c>
      <c r="N156" s="16" t="str">
        <f>IF(NORMALIZADO!CK155="","",NORMALIZADO!CK155)</f>
        <v/>
      </c>
      <c r="O156" s="16" t="str">
        <f>IF(NORMALIZADO!CL155="","",NORMALIZADO!CL155)</f>
        <v/>
      </c>
      <c r="P156" s="17" t="str">
        <f t="shared" ca="1" si="44"/>
        <v/>
      </c>
      <c r="Q156" s="17">
        <f t="shared" ca="1" si="45"/>
        <v>0</v>
      </c>
      <c r="R156" s="17">
        <f t="shared" ca="1" si="46"/>
        <v>0</v>
      </c>
      <c r="S156" s="17">
        <f t="shared" ca="1" si="47"/>
        <v>0</v>
      </c>
      <c r="T156" s="17">
        <f ca="1">IFERROR((K156+M156+MATRIZ_174!O155)/3,0)</f>
        <v>0</v>
      </c>
      <c r="U156" s="18">
        <f>IFERROR(MIN(100,ROUND(MATRIZ_174!M155,1)),0)</f>
        <v>0</v>
      </c>
      <c r="V156" s="18">
        <f t="shared" ca="1" si="48"/>
        <v>50</v>
      </c>
      <c r="W156" s="18">
        <f>IFERROR(IF(MATRIZ_174!R155=0,65,IF(MATRIZ_174!R155/MATRIZ_174!Q155&gt;=2,35,IF(MATRIZ_174!R155/MATRIZ_174!Q155&gt;=0.5,50,65))),65)</f>
        <v>65</v>
      </c>
      <c r="X156" s="18">
        <f>IFERROR(MIN(100,IF(MATRIZ_174!O155=0,70,30)+IF(MATRIZ_174!U155="",0,0.3*(100-MATRIZ_174!U155*100))),70)</f>
        <v>70</v>
      </c>
      <c r="Y156" s="18">
        <f>IF(OR(MATRIZ_174!P155="ASOCIACION",MATRIZ_174!P155="PENDIENTE"),65,40)</f>
        <v>65</v>
      </c>
      <c r="Z156" s="19" t="str">
        <f t="shared" ca="1" si="49"/>
        <v>—</v>
      </c>
      <c r="AA156" s="20">
        <f t="shared" ca="1" si="50"/>
        <v>50</v>
      </c>
      <c r="AB156" s="21" t="str">
        <f t="shared" ca="1" si="51"/>
        <v>—</v>
      </c>
      <c r="AC156" s="13" t="str">
        <f t="shared" ca="1" si="52"/>
        <v>⬜  Pendiente de instrumento</v>
      </c>
      <c r="AD156" s="13" t="str">
        <f>IF(MATRIZ_174!U155="","",IF(MATRIZ_174!U155=0,"🚫  Inh. vigente OSCE",""))</f>
        <v/>
      </c>
      <c r="AE156" s="22">
        <f>IFERROR(MATRIZ_174!W155,0)</f>
        <v>0</v>
      </c>
      <c r="AF156" s="22">
        <f>IFERROR(MATRIZ_174!X155,0)</f>
        <v>0</v>
      </c>
      <c r="AG156" s="22">
        <f>IFERROR(MATRIZ_174!Y155,0)</f>
        <v>0</v>
      </c>
      <c r="AH156" s="22">
        <f>IFERROR(MATRIZ_174!Z155,0)</f>
        <v>0</v>
      </c>
      <c r="AI156" s="17">
        <f ca="1">IFERROR(MATRIZ_174!AP155,"N/A")</f>
        <v>0</v>
      </c>
      <c r="AJ156" s="17">
        <f>IFERROR(MATRIZ_174!AO155,"N/A")</f>
        <v>0</v>
      </c>
      <c r="AK156" s="23" t="str">
        <f t="shared" ca="1" si="53"/>
        <v>N/A</v>
      </c>
      <c r="AL156" s="24" t="str">
        <f t="shared" ca="1" si="54"/>
        <v>—</v>
      </c>
    </row>
    <row r="157" spans="1:38" ht="16.05" customHeight="1" x14ac:dyDescent="0.3">
      <c r="A157" s="13" t="s">
        <v>413</v>
      </c>
      <c r="B157" s="14" t="s">
        <v>414</v>
      </c>
      <c r="C157" s="13" t="s">
        <v>183</v>
      </c>
      <c r="D157" s="15">
        <v>0</v>
      </c>
      <c r="E157" s="16" t="str">
        <f>IF(NORMALIZADO!CB156="","",NORMALIZADO!CB156)</f>
        <v/>
      </c>
      <c r="F157" s="17" t="str">
        <f ca="1">IF(NORMALIZADO!CC156="","",NORMALIZADO!CC156)</f>
        <v/>
      </c>
      <c r="G157" s="17">
        <f ca="1">IF(NORMALIZADO!CD156="",IFERROR(MATRIZ_174!U156*100,""),NORMALIZADO!CD156)</f>
        <v>100</v>
      </c>
      <c r="H157" s="16" t="str">
        <f>IF(NORMALIZADO!CE156="","",NORMALIZADO!CE156)</f>
        <v/>
      </c>
      <c r="I157" s="17" t="str">
        <f>IF(NORMALIZADO!CF156="","",NORMALIZADO!CF156)</f>
        <v/>
      </c>
      <c r="J157" s="17" t="str">
        <f ca="1">IF(NORMALIZADO!CG156="","",NORMALIZADO!CG156)</f>
        <v/>
      </c>
      <c r="K157" s="16" t="str">
        <f ca="1">IF(NORMALIZADO!CH156="","",NORMALIZADO!CH156)</f>
        <v/>
      </c>
      <c r="L157" s="16" t="str">
        <f>IF(NORMALIZADO!CI156="","",NORMALIZADO!CI156)</f>
        <v/>
      </c>
      <c r="M157" s="16" t="str">
        <f>IF(NORMALIZADO!CJ156="","",NORMALIZADO!CJ156)</f>
        <v/>
      </c>
      <c r="N157" s="16" t="str">
        <f>IF(NORMALIZADO!CK156="","",NORMALIZADO!CK156)</f>
        <v/>
      </c>
      <c r="O157" s="16" t="str">
        <f>IF(NORMALIZADO!CL156="","",NORMALIZADO!CL156)</f>
        <v/>
      </c>
      <c r="P157" s="17" t="str">
        <f t="shared" ca="1" si="44"/>
        <v/>
      </c>
      <c r="Q157" s="17">
        <f t="shared" ca="1" si="45"/>
        <v>0</v>
      </c>
      <c r="R157" s="17">
        <f t="shared" ca="1" si="46"/>
        <v>0</v>
      </c>
      <c r="S157" s="17">
        <f t="shared" ca="1" si="47"/>
        <v>0</v>
      </c>
      <c r="T157" s="17">
        <f ca="1">IFERROR((K157+M157+MATRIZ_174!O156)/3,0)</f>
        <v>0</v>
      </c>
      <c r="U157" s="18">
        <f>IFERROR(MIN(100,ROUND(MATRIZ_174!M156,1)),0)</f>
        <v>0</v>
      </c>
      <c r="V157" s="18">
        <f t="shared" ca="1" si="48"/>
        <v>50</v>
      </c>
      <c r="W157" s="18">
        <f>IFERROR(IF(MATRIZ_174!R156=0,65,IF(MATRIZ_174!R156/MATRIZ_174!Q156&gt;=2,35,IF(MATRIZ_174!R156/MATRIZ_174!Q156&gt;=0.5,50,65))),65)</f>
        <v>65</v>
      </c>
      <c r="X157" s="18">
        <f>IFERROR(MIN(100,IF(MATRIZ_174!O156=0,70,30)+IF(MATRIZ_174!U156="",0,0.3*(100-MATRIZ_174!U156*100))),70)</f>
        <v>70</v>
      </c>
      <c r="Y157" s="18">
        <f>IF(OR(MATRIZ_174!P156="ASOCIACION",MATRIZ_174!P156="PENDIENTE"),65,40)</f>
        <v>65</v>
      </c>
      <c r="Z157" s="19" t="str">
        <f t="shared" ca="1" si="49"/>
        <v>—</v>
      </c>
      <c r="AA157" s="20">
        <f t="shared" ca="1" si="50"/>
        <v>50</v>
      </c>
      <c r="AB157" s="21" t="str">
        <f t="shared" ca="1" si="51"/>
        <v>—</v>
      </c>
      <c r="AC157" s="13" t="str">
        <f t="shared" ca="1" si="52"/>
        <v>⬜  Pendiente de instrumento</v>
      </c>
      <c r="AD157" s="13" t="str">
        <f>IF(MATRIZ_174!U156="","",IF(MATRIZ_174!U156=0,"🚫  Inh. vigente OSCE",""))</f>
        <v/>
      </c>
      <c r="AE157" s="22">
        <f>IFERROR(MATRIZ_174!W156,0)</f>
        <v>0</v>
      </c>
      <c r="AF157" s="22">
        <f>IFERROR(MATRIZ_174!X156,0)</f>
        <v>0</v>
      </c>
      <c r="AG157" s="22">
        <f>IFERROR(MATRIZ_174!Y156,0)</f>
        <v>0</v>
      </c>
      <c r="AH157" s="22">
        <f>IFERROR(MATRIZ_174!Z156,0)</f>
        <v>0</v>
      </c>
      <c r="AI157" s="17">
        <f ca="1">IFERROR(MATRIZ_174!AP156,"N/A")</f>
        <v>0</v>
      </c>
      <c r="AJ157" s="17">
        <f>IFERROR(MATRIZ_174!AO156,"N/A")</f>
        <v>0</v>
      </c>
      <c r="AK157" s="23" t="str">
        <f t="shared" ca="1" si="53"/>
        <v>N/A</v>
      </c>
      <c r="AL157" s="24" t="str">
        <f t="shared" ca="1" si="54"/>
        <v>—</v>
      </c>
    </row>
    <row r="158" spans="1:38" ht="16.05" customHeight="1" x14ac:dyDescent="0.3">
      <c r="A158" s="13" t="s">
        <v>415</v>
      </c>
      <c r="B158" s="14" t="s">
        <v>416</v>
      </c>
      <c r="C158" s="13" t="s">
        <v>143</v>
      </c>
      <c r="D158" s="15">
        <v>76135.47</v>
      </c>
      <c r="E158" s="16" t="str">
        <f>IF(NORMALIZADO!CB157="","",NORMALIZADO!CB157)</f>
        <v/>
      </c>
      <c r="F158" s="17" t="str">
        <f ca="1">IF(NORMALIZADO!CC157="","",NORMALIZADO!CC157)</f>
        <v/>
      </c>
      <c r="G158" s="17">
        <f ca="1">IF(NORMALIZADO!CD157="",IFERROR(MATRIZ_174!U157*100,""),NORMALIZADO!CD157)</f>
        <v>100</v>
      </c>
      <c r="H158" s="16" t="str">
        <f>IF(NORMALIZADO!CE157="","",NORMALIZADO!CE157)</f>
        <v/>
      </c>
      <c r="I158" s="17" t="str">
        <f>IF(NORMALIZADO!CF157="","",NORMALIZADO!CF157)</f>
        <v/>
      </c>
      <c r="J158" s="17" t="str">
        <f ca="1">IF(NORMALIZADO!CG157="","",NORMALIZADO!CG157)</f>
        <v/>
      </c>
      <c r="K158" s="16" t="str">
        <f ca="1">IF(NORMALIZADO!CH157="","",NORMALIZADO!CH157)</f>
        <v/>
      </c>
      <c r="L158" s="16" t="str">
        <f>IF(NORMALIZADO!CI157="","",NORMALIZADO!CI157)</f>
        <v/>
      </c>
      <c r="M158" s="16" t="str">
        <f>IF(NORMALIZADO!CJ157="","",NORMALIZADO!CJ157)</f>
        <v/>
      </c>
      <c r="N158" s="16" t="str">
        <f>IF(NORMALIZADO!CK157="","",NORMALIZADO!CK157)</f>
        <v/>
      </c>
      <c r="O158" s="16" t="str">
        <f>IF(NORMALIZADO!CL157="","",NORMALIZADO!CL157)</f>
        <v/>
      </c>
      <c r="P158" s="17" t="str">
        <f t="shared" ca="1" si="44"/>
        <v/>
      </c>
      <c r="Q158" s="17">
        <f t="shared" ca="1" si="45"/>
        <v>0</v>
      </c>
      <c r="R158" s="17">
        <f t="shared" ca="1" si="46"/>
        <v>0</v>
      </c>
      <c r="S158" s="17">
        <f t="shared" ca="1" si="47"/>
        <v>0</v>
      </c>
      <c r="T158" s="17">
        <f ca="1">IFERROR((K158+M158+MATRIZ_174!O157)/3,0)</f>
        <v>0</v>
      </c>
      <c r="U158" s="18">
        <f>IFERROR(MIN(100,ROUND(MATRIZ_174!M157,1)),0)</f>
        <v>8.1</v>
      </c>
      <c r="V158" s="18">
        <f t="shared" ca="1" si="48"/>
        <v>50</v>
      </c>
      <c r="W158" s="18">
        <f>IFERROR(IF(MATRIZ_174!R157=0,65,IF(MATRIZ_174!R157/MATRIZ_174!Q157&gt;=2,35,IF(MATRIZ_174!R157/MATRIZ_174!Q157&gt;=0.5,50,65))),65)</f>
        <v>35</v>
      </c>
      <c r="X158" s="18">
        <f>IFERROR(MIN(100,IF(MATRIZ_174!O157=0,70,30)+IF(MATRIZ_174!U157="",0,0.3*(100-MATRIZ_174!U157*100))),70)</f>
        <v>70</v>
      </c>
      <c r="Y158" s="18">
        <f>IF(OR(MATRIZ_174!P157="ASOCIACION",MATRIZ_174!P157="PENDIENTE"),65,40)</f>
        <v>65</v>
      </c>
      <c r="Z158" s="19" t="str">
        <f t="shared" ca="1" si="49"/>
        <v>—</v>
      </c>
      <c r="AA158" s="20">
        <f t="shared" ca="1" si="50"/>
        <v>45.6</v>
      </c>
      <c r="AB158" s="21" t="str">
        <f t="shared" ca="1" si="51"/>
        <v>—</v>
      </c>
      <c r="AC158" s="13" t="str">
        <f t="shared" ca="1" si="52"/>
        <v>⬜  Pendiente de instrumento</v>
      </c>
      <c r="AD158" s="13" t="str">
        <f>IF(MATRIZ_174!U157="","",IF(MATRIZ_174!U157=0,"🚫  Inh. vigente OSCE",""))</f>
        <v/>
      </c>
      <c r="AE158" s="22">
        <f>IFERROR(MATRIZ_174!W157,0)</f>
        <v>1</v>
      </c>
      <c r="AF158" s="22">
        <f>IFERROR(MATRIZ_174!X157,0)</f>
        <v>0</v>
      </c>
      <c r="AG158" s="22">
        <f>IFERROR(MATRIZ_174!Y157,0)</f>
        <v>0</v>
      </c>
      <c r="AH158" s="22">
        <f>IFERROR(MATRIZ_174!Z157,0)</f>
        <v>0</v>
      </c>
      <c r="AI158" s="17">
        <f ca="1">IFERROR(MATRIZ_174!AP157,"N/A")</f>
        <v>4.1200000000000001E-2</v>
      </c>
      <c r="AJ158" s="17">
        <f>IFERROR(MATRIZ_174!AO157,"N/A")</f>
        <v>0</v>
      </c>
      <c r="AK158" s="23" t="str">
        <f t="shared" ca="1" si="53"/>
        <v>N/A</v>
      </c>
      <c r="AL158" s="24" t="str">
        <f t="shared" ca="1" si="54"/>
        <v>—</v>
      </c>
    </row>
    <row r="159" spans="1:38" ht="16.05" customHeight="1" x14ac:dyDescent="0.3">
      <c r="A159" s="13" t="s">
        <v>418</v>
      </c>
      <c r="B159" s="14" t="s">
        <v>419</v>
      </c>
      <c r="C159" s="13" t="s">
        <v>77</v>
      </c>
      <c r="D159" s="15">
        <v>0</v>
      </c>
      <c r="E159" s="16" t="str">
        <f>IF(NORMALIZADO!CB158="","",NORMALIZADO!CB158)</f>
        <v/>
      </c>
      <c r="F159" s="17" t="str">
        <f ca="1">IF(NORMALIZADO!CC158="","",NORMALIZADO!CC158)</f>
        <v/>
      </c>
      <c r="G159" s="17">
        <f ca="1">IF(NORMALIZADO!CD158="",IFERROR(MATRIZ_174!U158*100,""),NORMALIZADO!CD158)</f>
        <v>100</v>
      </c>
      <c r="H159" s="16" t="str">
        <f>IF(NORMALIZADO!CE158="","",NORMALIZADO!CE158)</f>
        <v/>
      </c>
      <c r="I159" s="17" t="str">
        <f>IF(NORMALIZADO!CF158="","",NORMALIZADO!CF158)</f>
        <v/>
      </c>
      <c r="J159" s="17" t="str">
        <f ca="1">IF(NORMALIZADO!CG158="","",NORMALIZADO!CG158)</f>
        <v/>
      </c>
      <c r="K159" s="16" t="str">
        <f ca="1">IF(NORMALIZADO!CH158="","",NORMALIZADO!CH158)</f>
        <v/>
      </c>
      <c r="L159" s="16" t="str">
        <f>IF(NORMALIZADO!CI158="","",NORMALIZADO!CI158)</f>
        <v/>
      </c>
      <c r="M159" s="16" t="str">
        <f>IF(NORMALIZADO!CJ158="","",NORMALIZADO!CJ158)</f>
        <v/>
      </c>
      <c r="N159" s="16" t="str">
        <f>IF(NORMALIZADO!CK158="","",NORMALIZADO!CK158)</f>
        <v/>
      </c>
      <c r="O159" s="16" t="str">
        <f>IF(NORMALIZADO!CL158="","",NORMALIZADO!CL158)</f>
        <v/>
      </c>
      <c r="P159" s="17" t="str">
        <f t="shared" ca="1" si="44"/>
        <v/>
      </c>
      <c r="Q159" s="17">
        <f t="shared" ca="1" si="45"/>
        <v>0</v>
      </c>
      <c r="R159" s="17">
        <f t="shared" ca="1" si="46"/>
        <v>0</v>
      </c>
      <c r="S159" s="17">
        <f t="shared" ca="1" si="47"/>
        <v>0</v>
      </c>
      <c r="T159" s="17">
        <f ca="1">IFERROR((K159+M159+MATRIZ_174!O158)/3,0)</f>
        <v>0</v>
      </c>
      <c r="U159" s="18">
        <f>IFERROR(MIN(100,ROUND(MATRIZ_174!M158,1)),0)</f>
        <v>0</v>
      </c>
      <c r="V159" s="18">
        <f t="shared" ca="1" si="48"/>
        <v>50</v>
      </c>
      <c r="W159" s="18">
        <f>IFERROR(IF(MATRIZ_174!R158=0,65,IF(MATRIZ_174!R158/MATRIZ_174!Q158&gt;=2,35,IF(MATRIZ_174!R158/MATRIZ_174!Q158&gt;=0.5,50,65))),65)</f>
        <v>65</v>
      </c>
      <c r="X159" s="18">
        <f>IFERROR(MIN(100,IF(MATRIZ_174!O158=0,70,30)+IF(MATRIZ_174!U158="",0,0.3*(100-MATRIZ_174!U158*100))),70)</f>
        <v>70</v>
      </c>
      <c r="Y159" s="18">
        <f>IF(OR(MATRIZ_174!P158="ASOCIACION",MATRIZ_174!P158="PENDIENTE"),65,40)</f>
        <v>65</v>
      </c>
      <c r="Z159" s="19" t="str">
        <f t="shared" ca="1" si="49"/>
        <v>—</v>
      </c>
      <c r="AA159" s="20">
        <f t="shared" ca="1" si="50"/>
        <v>50</v>
      </c>
      <c r="AB159" s="21" t="str">
        <f t="shared" ca="1" si="51"/>
        <v>—</v>
      </c>
      <c r="AC159" s="13" t="str">
        <f t="shared" ca="1" si="52"/>
        <v>⬜  Pendiente de instrumento</v>
      </c>
      <c r="AD159" s="13" t="str">
        <f>IF(MATRIZ_174!U158="","",IF(MATRIZ_174!U158=0,"🚫  Inh. vigente OSCE",""))</f>
        <v/>
      </c>
      <c r="AE159" s="22">
        <f>IFERROR(MATRIZ_174!W158,0)</f>
        <v>0</v>
      </c>
      <c r="AF159" s="22">
        <f>IFERROR(MATRIZ_174!X158,0)</f>
        <v>0</v>
      </c>
      <c r="AG159" s="22">
        <f>IFERROR(MATRIZ_174!Y158,0)</f>
        <v>0</v>
      </c>
      <c r="AH159" s="22">
        <f>IFERROR(MATRIZ_174!Z158,0)</f>
        <v>0</v>
      </c>
      <c r="AI159" s="17">
        <f ca="1">IFERROR(MATRIZ_174!AP158,"N/A")</f>
        <v>0</v>
      </c>
      <c r="AJ159" s="17">
        <f>IFERROR(MATRIZ_174!AO158,"N/A")</f>
        <v>0</v>
      </c>
      <c r="AK159" s="23" t="str">
        <f t="shared" ca="1" si="53"/>
        <v>N/A</v>
      </c>
      <c r="AL159" s="24" t="str">
        <f t="shared" ca="1" si="54"/>
        <v>—</v>
      </c>
    </row>
    <row r="160" spans="1:38" ht="16.05" customHeight="1" x14ac:dyDescent="0.3">
      <c r="A160" s="13" t="s">
        <v>420</v>
      </c>
      <c r="B160" s="14" t="s">
        <v>421</v>
      </c>
      <c r="C160" s="13" t="s">
        <v>143</v>
      </c>
      <c r="D160" s="15">
        <v>0</v>
      </c>
      <c r="E160" s="16" t="str">
        <f>IF(NORMALIZADO!CB159="","",NORMALIZADO!CB159)</f>
        <v/>
      </c>
      <c r="F160" s="17" t="str">
        <f ca="1">IF(NORMALIZADO!CC159="","",NORMALIZADO!CC159)</f>
        <v/>
      </c>
      <c r="G160" s="17">
        <f ca="1">IF(NORMALIZADO!CD159="",IFERROR(MATRIZ_174!U159*100,""),NORMALIZADO!CD159)</f>
        <v>100</v>
      </c>
      <c r="H160" s="16" t="str">
        <f>IF(NORMALIZADO!CE159="","",NORMALIZADO!CE159)</f>
        <v/>
      </c>
      <c r="I160" s="17" t="str">
        <f>IF(NORMALIZADO!CF159="","",NORMALIZADO!CF159)</f>
        <v/>
      </c>
      <c r="J160" s="17" t="str">
        <f ca="1">IF(NORMALIZADO!CG159="","",NORMALIZADO!CG159)</f>
        <v/>
      </c>
      <c r="K160" s="16" t="str">
        <f ca="1">IF(NORMALIZADO!CH159="","",NORMALIZADO!CH159)</f>
        <v/>
      </c>
      <c r="L160" s="16" t="str">
        <f>IF(NORMALIZADO!CI159="","",NORMALIZADO!CI159)</f>
        <v/>
      </c>
      <c r="M160" s="16" t="str">
        <f>IF(NORMALIZADO!CJ159="","",NORMALIZADO!CJ159)</f>
        <v/>
      </c>
      <c r="N160" s="16" t="str">
        <f>IF(NORMALIZADO!CK159="","",NORMALIZADO!CK159)</f>
        <v/>
      </c>
      <c r="O160" s="16" t="str">
        <f>IF(NORMALIZADO!CL159="","",NORMALIZADO!CL159)</f>
        <v/>
      </c>
      <c r="P160" s="17" t="str">
        <f t="shared" ca="1" si="44"/>
        <v/>
      </c>
      <c r="Q160" s="17">
        <f t="shared" ca="1" si="45"/>
        <v>0</v>
      </c>
      <c r="R160" s="17">
        <f t="shared" ca="1" si="46"/>
        <v>0</v>
      </c>
      <c r="S160" s="17">
        <f t="shared" ca="1" si="47"/>
        <v>0</v>
      </c>
      <c r="T160" s="17">
        <f ca="1">IFERROR((K160+M160+MATRIZ_174!O159)/3,0)</f>
        <v>0</v>
      </c>
      <c r="U160" s="18">
        <f>IFERROR(MIN(100,ROUND(MATRIZ_174!M159,1)),0)</f>
        <v>0</v>
      </c>
      <c r="V160" s="18">
        <f t="shared" ca="1" si="48"/>
        <v>50</v>
      </c>
      <c r="W160" s="18">
        <f>IFERROR(IF(MATRIZ_174!R159=0,65,IF(MATRIZ_174!R159/MATRIZ_174!Q159&gt;=2,35,IF(MATRIZ_174!R159/MATRIZ_174!Q159&gt;=0.5,50,65))),65)</f>
        <v>65</v>
      </c>
      <c r="X160" s="18">
        <f>IFERROR(MIN(100,IF(MATRIZ_174!O159=0,70,30)+IF(MATRIZ_174!U159="",0,0.3*(100-MATRIZ_174!U159*100))),70)</f>
        <v>70</v>
      </c>
      <c r="Y160" s="18">
        <f>IF(OR(MATRIZ_174!P159="ASOCIACION",MATRIZ_174!P159="PENDIENTE"),65,40)</f>
        <v>65</v>
      </c>
      <c r="Z160" s="19" t="str">
        <f t="shared" ca="1" si="49"/>
        <v>—</v>
      </c>
      <c r="AA160" s="20">
        <f t="shared" ca="1" si="50"/>
        <v>50</v>
      </c>
      <c r="AB160" s="21" t="str">
        <f t="shared" ca="1" si="51"/>
        <v>—</v>
      </c>
      <c r="AC160" s="13" t="str">
        <f t="shared" ca="1" si="52"/>
        <v>⬜  Pendiente de instrumento</v>
      </c>
      <c r="AD160" s="13" t="str">
        <f>IF(MATRIZ_174!U159="","",IF(MATRIZ_174!U159=0,"🚫  Inh. vigente OSCE",""))</f>
        <v/>
      </c>
      <c r="AE160" s="22">
        <f>IFERROR(MATRIZ_174!W159,0)</f>
        <v>0</v>
      </c>
      <c r="AF160" s="22">
        <f>IFERROR(MATRIZ_174!X159,0)</f>
        <v>0</v>
      </c>
      <c r="AG160" s="22">
        <f>IFERROR(MATRIZ_174!Y159,0)</f>
        <v>0</v>
      </c>
      <c r="AH160" s="22">
        <f>IFERROR(MATRIZ_174!Z159,0)</f>
        <v>0</v>
      </c>
      <c r="AI160" s="17">
        <f ca="1">IFERROR(MATRIZ_174!AP159,"N/A")</f>
        <v>0</v>
      </c>
      <c r="AJ160" s="17">
        <f>IFERROR(MATRIZ_174!AO159,"N/A")</f>
        <v>0</v>
      </c>
      <c r="AK160" s="23" t="str">
        <f t="shared" ca="1" si="53"/>
        <v>N/A</v>
      </c>
      <c r="AL160" s="24" t="str">
        <f t="shared" ca="1" si="54"/>
        <v>—</v>
      </c>
    </row>
    <row r="161" spans="1:38" ht="16.05" customHeight="1" x14ac:dyDescent="0.3">
      <c r="A161" s="13" t="s">
        <v>422</v>
      </c>
      <c r="B161" s="14" t="s">
        <v>423</v>
      </c>
      <c r="C161" s="13" t="s">
        <v>107</v>
      </c>
      <c r="D161" s="15">
        <v>0</v>
      </c>
      <c r="E161" s="16" t="str">
        <f>IF(NORMALIZADO!CB160="","",NORMALIZADO!CB160)</f>
        <v/>
      </c>
      <c r="F161" s="17" t="str">
        <f ca="1">IF(NORMALIZADO!CC160="","",NORMALIZADO!CC160)</f>
        <v/>
      </c>
      <c r="G161" s="17">
        <f ca="1">IF(NORMALIZADO!CD160="",IFERROR(MATRIZ_174!U160*100,""),NORMALIZADO!CD160)</f>
        <v>100</v>
      </c>
      <c r="H161" s="16" t="str">
        <f>IF(NORMALIZADO!CE160="","",NORMALIZADO!CE160)</f>
        <v/>
      </c>
      <c r="I161" s="17" t="str">
        <f>IF(NORMALIZADO!CF160="","",NORMALIZADO!CF160)</f>
        <v/>
      </c>
      <c r="J161" s="17" t="str">
        <f ca="1">IF(NORMALIZADO!CG160="","",NORMALIZADO!CG160)</f>
        <v/>
      </c>
      <c r="K161" s="16" t="str">
        <f ca="1">IF(NORMALIZADO!CH160="","",NORMALIZADO!CH160)</f>
        <v/>
      </c>
      <c r="L161" s="16" t="str">
        <f>IF(NORMALIZADO!CI160="","",NORMALIZADO!CI160)</f>
        <v/>
      </c>
      <c r="M161" s="16" t="str">
        <f>IF(NORMALIZADO!CJ160="","",NORMALIZADO!CJ160)</f>
        <v/>
      </c>
      <c r="N161" s="16" t="str">
        <f>IF(NORMALIZADO!CK160="","",NORMALIZADO!CK160)</f>
        <v/>
      </c>
      <c r="O161" s="16" t="str">
        <f>IF(NORMALIZADO!CL160="","",NORMALIZADO!CL160)</f>
        <v/>
      </c>
      <c r="P161" s="17" t="str">
        <f t="shared" ca="1" si="44"/>
        <v/>
      </c>
      <c r="Q161" s="17">
        <f t="shared" ca="1" si="45"/>
        <v>0</v>
      </c>
      <c r="R161" s="17">
        <f t="shared" ca="1" si="46"/>
        <v>0</v>
      </c>
      <c r="S161" s="17">
        <f t="shared" ca="1" si="47"/>
        <v>0</v>
      </c>
      <c r="T161" s="17">
        <f ca="1">IFERROR((K161+M161+MATRIZ_174!O160)/3,0)</f>
        <v>0</v>
      </c>
      <c r="U161" s="18">
        <f>IFERROR(MIN(100,ROUND(MATRIZ_174!M160,1)),0)</f>
        <v>0</v>
      </c>
      <c r="V161" s="18">
        <f t="shared" ca="1" si="48"/>
        <v>50</v>
      </c>
      <c r="W161" s="18">
        <f>IFERROR(IF(MATRIZ_174!R160=0,65,IF(MATRIZ_174!R160/MATRIZ_174!Q160&gt;=2,35,IF(MATRIZ_174!R160/MATRIZ_174!Q160&gt;=0.5,50,65))),65)</f>
        <v>65</v>
      </c>
      <c r="X161" s="18">
        <f>IFERROR(MIN(100,IF(MATRIZ_174!O160=0,70,30)+IF(MATRIZ_174!U160="",0,0.3*(100-MATRIZ_174!U160*100))),70)</f>
        <v>70</v>
      </c>
      <c r="Y161" s="18">
        <f>IF(OR(MATRIZ_174!P160="ASOCIACION",MATRIZ_174!P160="PENDIENTE"),65,40)</f>
        <v>65</v>
      </c>
      <c r="Z161" s="19" t="str">
        <f t="shared" ca="1" si="49"/>
        <v>—</v>
      </c>
      <c r="AA161" s="20">
        <f t="shared" ca="1" si="50"/>
        <v>50</v>
      </c>
      <c r="AB161" s="21" t="str">
        <f t="shared" ca="1" si="51"/>
        <v>—</v>
      </c>
      <c r="AC161" s="13" t="str">
        <f t="shared" ca="1" si="52"/>
        <v>⬜  Pendiente de instrumento</v>
      </c>
      <c r="AD161" s="13" t="str">
        <f>IF(MATRIZ_174!U160="","",IF(MATRIZ_174!U160=0,"🚫  Inh. vigente OSCE",""))</f>
        <v/>
      </c>
      <c r="AE161" s="22">
        <f>IFERROR(MATRIZ_174!W160,0)</f>
        <v>0</v>
      </c>
      <c r="AF161" s="22">
        <f>IFERROR(MATRIZ_174!X160,0)</f>
        <v>0</v>
      </c>
      <c r="AG161" s="22">
        <f>IFERROR(MATRIZ_174!Y160,0)</f>
        <v>0</v>
      </c>
      <c r="AH161" s="22">
        <f>IFERROR(MATRIZ_174!Z160,0)</f>
        <v>0</v>
      </c>
      <c r="AI161" s="17">
        <f ca="1">IFERROR(MATRIZ_174!AP160,"N/A")</f>
        <v>0</v>
      </c>
      <c r="AJ161" s="17">
        <f>IFERROR(MATRIZ_174!AO160,"N/A")</f>
        <v>0</v>
      </c>
      <c r="AK161" s="23" t="str">
        <f t="shared" ca="1" si="53"/>
        <v>N/A</v>
      </c>
      <c r="AL161" s="24" t="str">
        <f t="shared" ca="1" si="54"/>
        <v>—</v>
      </c>
    </row>
    <row r="162" spans="1:38" ht="16.05" customHeight="1" x14ac:dyDescent="0.3">
      <c r="A162" s="13" t="s">
        <v>425</v>
      </c>
      <c r="B162" s="14" t="s">
        <v>426</v>
      </c>
      <c r="C162" s="13" t="s">
        <v>183</v>
      </c>
      <c r="D162" s="15">
        <v>0</v>
      </c>
      <c r="E162" s="16" t="str">
        <f>IF(NORMALIZADO!CB161="","",NORMALIZADO!CB161)</f>
        <v/>
      </c>
      <c r="F162" s="17" t="str">
        <f ca="1">IF(NORMALIZADO!CC161="","",NORMALIZADO!CC161)</f>
        <v/>
      </c>
      <c r="G162" s="17">
        <f ca="1">IF(NORMALIZADO!CD161="",IFERROR(MATRIZ_174!U161*100,""),NORMALIZADO!CD161)</f>
        <v>100</v>
      </c>
      <c r="H162" s="16" t="str">
        <f>IF(NORMALIZADO!CE161="","",NORMALIZADO!CE161)</f>
        <v/>
      </c>
      <c r="I162" s="17" t="str">
        <f>IF(NORMALIZADO!CF161="","",NORMALIZADO!CF161)</f>
        <v/>
      </c>
      <c r="J162" s="17" t="str">
        <f ca="1">IF(NORMALIZADO!CG161="","",NORMALIZADO!CG161)</f>
        <v/>
      </c>
      <c r="K162" s="16" t="str">
        <f ca="1">IF(NORMALIZADO!CH161="","",NORMALIZADO!CH161)</f>
        <v/>
      </c>
      <c r="L162" s="16" t="str">
        <f>IF(NORMALIZADO!CI161="","",NORMALIZADO!CI161)</f>
        <v/>
      </c>
      <c r="M162" s="16" t="str">
        <f>IF(NORMALIZADO!CJ161="","",NORMALIZADO!CJ161)</f>
        <v/>
      </c>
      <c r="N162" s="16" t="str">
        <f>IF(NORMALIZADO!CK161="","",NORMALIZADO!CK161)</f>
        <v/>
      </c>
      <c r="O162" s="16" t="str">
        <f>IF(NORMALIZADO!CL161="","",NORMALIZADO!CL161)</f>
        <v/>
      </c>
      <c r="P162" s="17" t="str">
        <f t="shared" ca="1" si="44"/>
        <v/>
      </c>
      <c r="Q162" s="17">
        <f t="shared" ca="1" si="45"/>
        <v>0</v>
      </c>
      <c r="R162" s="17">
        <f t="shared" ca="1" si="46"/>
        <v>0</v>
      </c>
      <c r="S162" s="17">
        <f t="shared" ca="1" si="47"/>
        <v>0</v>
      </c>
      <c r="T162" s="17">
        <f ca="1">IFERROR((K162+M162+MATRIZ_174!O161)/3,0)</f>
        <v>0</v>
      </c>
      <c r="U162" s="18">
        <f>IFERROR(MIN(100,ROUND(MATRIZ_174!M161,1)),0)</f>
        <v>0</v>
      </c>
      <c r="V162" s="18">
        <f t="shared" ca="1" si="48"/>
        <v>50</v>
      </c>
      <c r="W162" s="18">
        <f>IFERROR(IF(MATRIZ_174!R161=0,65,IF(MATRIZ_174!R161/MATRIZ_174!Q161&gt;=2,35,IF(MATRIZ_174!R161/MATRIZ_174!Q161&gt;=0.5,50,65))),65)</f>
        <v>65</v>
      </c>
      <c r="X162" s="18">
        <f>IFERROR(MIN(100,IF(MATRIZ_174!O161=0,70,30)+IF(MATRIZ_174!U161="",0,0.3*(100-MATRIZ_174!U161*100))),70)</f>
        <v>70</v>
      </c>
      <c r="Y162" s="18">
        <f>IF(OR(MATRIZ_174!P161="ASOCIACION",MATRIZ_174!P161="PENDIENTE"),65,40)</f>
        <v>65</v>
      </c>
      <c r="Z162" s="19" t="str">
        <f t="shared" ca="1" si="49"/>
        <v>—</v>
      </c>
      <c r="AA162" s="20">
        <f t="shared" ca="1" si="50"/>
        <v>50</v>
      </c>
      <c r="AB162" s="21" t="str">
        <f t="shared" ca="1" si="51"/>
        <v>—</v>
      </c>
      <c r="AC162" s="13" t="str">
        <f t="shared" ca="1" si="52"/>
        <v>⬜  Pendiente de instrumento</v>
      </c>
      <c r="AD162" s="13" t="str">
        <f>IF(MATRIZ_174!U161="","",IF(MATRIZ_174!U161=0,"🚫  Inh. vigente OSCE",""))</f>
        <v/>
      </c>
      <c r="AE162" s="22">
        <f>IFERROR(MATRIZ_174!W161,0)</f>
        <v>0</v>
      </c>
      <c r="AF162" s="22">
        <f>IFERROR(MATRIZ_174!X161,0)</f>
        <v>0</v>
      </c>
      <c r="AG162" s="22">
        <f>IFERROR(MATRIZ_174!Y161,0)</f>
        <v>0</v>
      </c>
      <c r="AH162" s="22">
        <f>IFERROR(MATRIZ_174!Z161,0)</f>
        <v>0</v>
      </c>
      <c r="AI162" s="17">
        <f ca="1">IFERROR(MATRIZ_174!AP161,"N/A")</f>
        <v>0</v>
      </c>
      <c r="AJ162" s="17">
        <f>IFERROR(MATRIZ_174!AO161,"N/A")</f>
        <v>0</v>
      </c>
      <c r="AK162" s="23" t="str">
        <f t="shared" ca="1" si="53"/>
        <v>N/A</v>
      </c>
      <c r="AL162" s="24" t="str">
        <f t="shared" ca="1" si="54"/>
        <v>—</v>
      </c>
    </row>
    <row r="163" spans="1:38" ht="16.05" customHeight="1" x14ac:dyDescent="0.3">
      <c r="A163" s="13" t="s">
        <v>427</v>
      </c>
      <c r="B163" s="14" t="s">
        <v>428</v>
      </c>
      <c r="C163" s="13" t="s">
        <v>107</v>
      </c>
      <c r="D163" s="15">
        <v>0</v>
      </c>
      <c r="E163" s="16" t="str">
        <f>IF(NORMALIZADO!CB162="","",NORMALIZADO!CB162)</f>
        <v/>
      </c>
      <c r="F163" s="17" t="str">
        <f ca="1">IF(NORMALIZADO!CC162="","",NORMALIZADO!CC162)</f>
        <v/>
      </c>
      <c r="G163" s="17">
        <f ca="1">IF(NORMALIZADO!CD162="",IFERROR(MATRIZ_174!U162*100,""),NORMALIZADO!CD162)</f>
        <v>100</v>
      </c>
      <c r="H163" s="16" t="str">
        <f>IF(NORMALIZADO!CE162="","",NORMALIZADO!CE162)</f>
        <v/>
      </c>
      <c r="I163" s="17" t="str">
        <f>IF(NORMALIZADO!CF162="","",NORMALIZADO!CF162)</f>
        <v/>
      </c>
      <c r="J163" s="17" t="str">
        <f ca="1">IF(NORMALIZADO!CG162="","",NORMALIZADO!CG162)</f>
        <v/>
      </c>
      <c r="K163" s="16" t="str">
        <f ca="1">IF(NORMALIZADO!CH162="","",NORMALIZADO!CH162)</f>
        <v/>
      </c>
      <c r="L163" s="16" t="str">
        <f>IF(NORMALIZADO!CI162="","",NORMALIZADO!CI162)</f>
        <v/>
      </c>
      <c r="M163" s="16" t="str">
        <f>IF(NORMALIZADO!CJ162="","",NORMALIZADO!CJ162)</f>
        <v/>
      </c>
      <c r="N163" s="16" t="str">
        <f>IF(NORMALIZADO!CK162="","",NORMALIZADO!CK162)</f>
        <v/>
      </c>
      <c r="O163" s="16" t="str">
        <f>IF(NORMALIZADO!CL162="","",NORMALIZADO!CL162)</f>
        <v/>
      </c>
      <c r="P163" s="17" t="str">
        <f t="shared" ca="1" si="44"/>
        <v/>
      </c>
      <c r="Q163" s="17">
        <f t="shared" ca="1" si="45"/>
        <v>0</v>
      </c>
      <c r="R163" s="17">
        <f t="shared" ca="1" si="46"/>
        <v>0</v>
      </c>
      <c r="S163" s="17">
        <f t="shared" ca="1" si="47"/>
        <v>0</v>
      </c>
      <c r="T163" s="17">
        <f ca="1">IFERROR((K163+M163+MATRIZ_174!O162)/3,0)</f>
        <v>0</v>
      </c>
      <c r="U163" s="18">
        <f>IFERROR(MIN(100,ROUND(MATRIZ_174!M162,1)),0)</f>
        <v>0</v>
      </c>
      <c r="V163" s="18">
        <f t="shared" ca="1" si="48"/>
        <v>50</v>
      </c>
      <c r="W163" s="18">
        <f>IFERROR(IF(MATRIZ_174!R162=0,65,IF(MATRIZ_174!R162/MATRIZ_174!Q162&gt;=2,35,IF(MATRIZ_174!R162/MATRIZ_174!Q162&gt;=0.5,50,65))),65)</f>
        <v>65</v>
      </c>
      <c r="X163" s="18">
        <f>IFERROR(MIN(100,IF(MATRIZ_174!O162=0,70,30)+IF(MATRIZ_174!U162="",0,0.3*(100-MATRIZ_174!U162*100))),70)</f>
        <v>70</v>
      </c>
      <c r="Y163" s="18">
        <f>IF(OR(MATRIZ_174!P162="ASOCIACION",MATRIZ_174!P162="PENDIENTE"),65,40)</f>
        <v>65</v>
      </c>
      <c r="Z163" s="19" t="str">
        <f t="shared" ca="1" si="49"/>
        <v>—</v>
      </c>
      <c r="AA163" s="20">
        <f t="shared" ca="1" si="50"/>
        <v>50</v>
      </c>
      <c r="AB163" s="21" t="str">
        <f t="shared" ca="1" si="51"/>
        <v>—</v>
      </c>
      <c r="AC163" s="13" t="str">
        <f t="shared" ca="1" si="52"/>
        <v>⬜  Pendiente de instrumento</v>
      </c>
      <c r="AD163" s="13" t="str">
        <f>IF(MATRIZ_174!U162="","",IF(MATRIZ_174!U162=0,"🚫  Inh. vigente OSCE",""))</f>
        <v/>
      </c>
      <c r="AE163" s="22">
        <f>IFERROR(MATRIZ_174!W162,0)</f>
        <v>0</v>
      </c>
      <c r="AF163" s="22">
        <f>IFERROR(MATRIZ_174!X162,0)</f>
        <v>0</v>
      </c>
      <c r="AG163" s="22">
        <f>IFERROR(MATRIZ_174!Y162,0)</f>
        <v>0</v>
      </c>
      <c r="AH163" s="22">
        <f>IFERROR(MATRIZ_174!Z162,0)</f>
        <v>0</v>
      </c>
      <c r="AI163" s="17">
        <f ca="1">IFERROR(MATRIZ_174!AP162,"N/A")</f>
        <v>0</v>
      </c>
      <c r="AJ163" s="17">
        <f>IFERROR(MATRIZ_174!AO162,"N/A")</f>
        <v>0</v>
      </c>
      <c r="AK163" s="23" t="str">
        <f t="shared" ca="1" si="53"/>
        <v>N/A</v>
      </c>
      <c r="AL163" s="24" t="str">
        <f t="shared" ca="1" si="54"/>
        <v>—</v>
      </c>
    </row>
    <row r="164" spans="1:38" ht="16.05" customHeight="1" x14ac:dyDescent="0.3">
      <c r="A164" s="13" t="s">
        <v>429</v>
      </c>
      <c r="B164" s="14" t="s">
        <v>430</v>
      </c>
      <c r="C164" s="13" t="s">
        <v>154</v>
      </c>
      <c r="D164" s="15">
        <v>1501109.51</v>
      </c>
      <c r="E164" s="16" t="str">
        <f>IF(NORMALIZADO!CB163="","",NORMALIZADO!CB163)</f>
        <v/>
      </c>
      <c r="F164" s="17" t="str">
        <f ca="1">IF(NORMALIZADO!CC163="","",NORMALIZADO!CC163)</f>
        <v/>
      </c>
      <c r="G164" s="17">
        <f ca="1">IF(NORMALIZADO!CD163="",IFERROR(MATRIZ_174!U163*100,""),NORMALIZADO!CD163)</f>
        <v>100</v>
      </c>
      <c r="H164" s="16" t="str">
        <f>IF(NORMALIZADO!CE163="","",NORMALIZADO!CE163)</f>
        <v/>
      </c>
      <c r="I164" s="17" t="str">
        <f>IF(NORMALIZADO!CF163="","",NORMALIZADO!CF163)</f>
        <v/>
      </c>
      <c r="J164" s="17" t="str">
        <f ca="1">IF(NORMALIZADO!CG163="","",NORMALIZADO!CG163)</f>
        <v/>
      </c>
      <c r="K164" s="16" t="str">
        <f ca="1">IF(NORMALIZADO!CH163="","",NORMALIZADO!CH163)</f>
        <v/>
      </c>
      <c r="L164" s="16" t="str">
        <f>IF(NORMALIZADO!CI163="","",NORMALIZADO!CI163)</f>
        <v/>
      </c>
      <c r="M164" s="16" t="str">
        <f>IF(NORMALIZADO!CJ163="","",NORMALIZADO!CJ163)</f>
        <v/>
      </c>
      <c r="N164" s="16" t="str">
        <f>IF(NORMALIZADO!CK163="","",NORMALIZADO!CK163)</f>
        <v/>
      </c>
      <c r="O164" s="16" t="str">
        <f>IF(NORMALIZADO!CL163="","",NORMALIZADO!CL163)</f>
        <v/>
      </c>
      <c r="P164" s="17" t="str">
        <f t="shared" ref="P164:P177" ca="1" si="55">IFERROR(F164,0)</f>
        <v/>
      </c>
      <c r="Q164" s="17">
        <f t="shared" ref="Q164:Q177" ca="1" si="56">IFERROR(SQRT(G164*H164),0)</f>
        <v>0</v>
      </c>
      <c r="R164" s="17">
        <f t="shared" ref="R164:R177" ca="1" si="57">IFERROR((I164+J164+L164)/3,0)</f>
        <v>0</v>
      </c>
      <c r="S164" s="17">
        <f t="shared" ref="S164:S177" ca="1" si="58">IFERROR((J164+F164)/2,0)</f>
        <v>0</v>
      </c>
      <c r="T164" s="17">
        <f ca="1">IFERROR((K164+M164+MATRIZ_174!O163)/3,0)</f>
        <v>0</v>
      </c>
      <c r="U164" s="18">
        <f>IFERROR(MIN(100,ROUND(MATRIZ_174!M163,1)),0)</f>
        <v>50</v>
      </c>
      <c r="V164" s="18">
        <f t="shared" ref="V164:V177" ca="1" si="59">IF(OR(NOT(ISNUMBER(F164)),F164=0),50,F164)</f>
        <v>50</v>
      </c>
      <c r="W164" s="18">
        <f>IFERROR(IF(MATRIZ_174!R163=0,65,IF(MATRIZ_174!R163/MATRIZ_174!Q163&gt;=2,35,IF(MATRIZ_174!R163/MATRIZ_174!Q163&gt;=0.5,50,65))),65)</f>
        <v>65</v>
      </c>
      <c r="X164" s="18">
        <f>IFERROR(MIN(100,IF(MATRIZ_174!O163=0,70,30)+IF(MATRIZ_174!U163="",0,0.3*(100-MATRIZ_174!U163*100))),70)</f>
        <v>70</v>
      </c>
      <c r="Y164" s="18">
        <f>IF(OR(MATRIZ_174!P163="ASOCIACION",MATRIZ_174!P163="PENDIENTE"),65,40)</f>
        <v>65</v>
      </c>
      <c r="Z164" s="19" t="str">
        <f t="shared" ref="Z164:Z177" ca="1" si="60">IF(COUNT(F164:M164)&lt;8,"—",IFERROR(ROUND(AVERAGE(P164:T164),1),"—"))</f>
        <v>—</v>
      </c>
      <c r="AA164" s="20">
        <f t="shared" ref="AA164:AA177" ca="1" si="61">IFERROR(ROUND(AVERAGE(U164,V164,W164,X164,Y164),1),0)</f>
        <v>60</v>
      </c>
      <c r="AB164" s="21" t="str">
        <f t="shared" ref="AB164:AB177" ca="1" si="62">IF(NOT(ISNUMBER(Z164)),"—",IFERROR(ROUND(AA164*(1-Z164/100),1),"—"))</f>
        <v>—</v>
      </c>
      <c r="AC164" s="13" t="str">
        <f t="shared" ref="AC164:AC177" ca="1" si="63">IF(OR(NOT(ISNUMBER(Z164)),NOT(ISNUMBER(AA164))),"⬜  Pendiente de instrumento",IF(AND(Z164&gt;=50,AA164&lt;50),"🟢  Resilientes",IF(AND(Z164&gt;=50,AA164&gt;=50),"🟠  Expuestas Adaptables",IF(AND(Z164&lt;50,AA164&lt;50),"⬜  Riesgo Latente","🔴  Riesgo Crítico"))))</f>
        <v>⬜  Pendiente de instrumento</v>
      </c>
      <c r="AD164" s="13" t="str">
        <f>IF(MATRIZ_174!U163="","",IF(MATRIZ_174!U163=0,"🚫  Inh. vigente OSCE",""))</f>
        <v/>
      </c>
      <c r="AE164" s="22">
        <f>IFERROR(MATRIZ_174!W163,0)</f>
        <v>1</v>
      </c>
      <c r="AF164" s="22">
        <f>IFERROR(MATRIZ_174!X163,0)</f>
        <v>0</v>
      </c>
      <c r="AG164" s="22">
        <f>IFERROR(MATRIZ_174!Y163,0)</f>
        <v>0</v>
      </c>
      <c r="AH164" s="22">
        <f>IFERROR(MATRIZ_174!Z163,0)</f>
        <v>0</v>
      </c>
      <c r="AI164" s="17">
        <f ca="1">IFERROR(MATRIZ_174!AP163,"N/A")</f>
        <v>0.125</v>
      </c>
      <c r="AJ164" s="17">
        <f>IFERROR(MATRIZ_174!AO163,"N/A")</f>
        <v>0</v>
      </c>
      <c r="AK164" s="23" t="str">
        <f t="shared" ref="AK164:AK177" ca="1" si="64">IF(COUNT(E164:M164)&lt;7,"N/A",IFERROR(ROUND((POWER(PRODUCT(E164:K164),1/MAX(1,COUNT(E164:K164)))*IF(COUNT(E164:K164)&gt;0,0.875,0)+IFERROR(AVERAGE(L164:M164),0)*IF(COUNT(L164:M164)&gt;0,0.125,0))/(IF(COUNT(E164:K164)&gt;0,0.875,0)+IF(COUNT(L164:M164)&gt;0,0.125,0)),1),"N/A"))</f>
        <v>N/A</v>
      </c>
      <c r="AL164" s="24" t="str">
        <f t="shared" ref="AL164:AL177" ca="1" si="65">IF(OR(NOT(ISNUMBER(AK164)),NOT(ISNUMBER(AI164))),"—",ROUND(0.7*AK164+0.3*AI164*100,1))</f>
        <v>—</v>
      </c>
    </row>
    <row r="165" spans="1:38" ht="16.05" customHeight="1" x14ac:dyDescent="0.3">
      <c r="A165" s="13" t="s">
        <v>431</v>
      </c>
      <c r="B165" s="14" t="s">
        <v>432</v>
      </c>
      <c r="C165" s="13" t="s">
        <v>116</v>
      </c>
      <c r="D165" s="15">
        <v>0</v>
      </c>
      <c r="E165" s="16" t="str">
        <f>IF(NORMALIZADO!CB164="","",NORMALIZADO!CB164)</f>
        <v/>
      </c>
      <c r="F165" s="17" t="str">
        <f ca="1">IF(NORMALIZADO!CC164="","",NORMALIZADO!CC164)</f>
        <v/>
      </c>
      <c r="G165" s="17">
        <f ca="1">IF(NORMALIZADO!CD164="",IFERROR(MATRIZ_174!U164*100,""),NORMALIZADO!CD164)</f>
        <v>100</v>
      </c>
      <c r="H165" s="16" t="str">
        <f>IF(NORMALIZADO!CE164="","",NORMALIZADO!CE164)</f>
        <v/>
      </c>
      <c r="I165" s="17" t="str">
        <f>IF(NORMALIZADO!CF164="","",NORMALIZADO!CF164)</f>
        <v/>
      </c>
      <c r="J165" s="17" t="str">
        <f ca="1">IF(NORMALIZADO!CG164="","",NORMALIZADO!CG164)</f>
        <v/>
      </c>
      <c r="K165" s="16" t="str">
        <f ca="1">IF(NORMALIZADO!CH164="","",NORMALIZADO!CH164)</f>
        <v/>
      </c>
      <c r="L165" s="16" t="str">
        <f>IF(NORMALIZADO!CI164="","",NORMALIZADO!CI164)</f>
        <v/>
      </c>
      <c r="M165" s="16" t="str">
        <f>IF(NORMALIZADO!CJ164="","",NORMALIZADO!CJ164)</f>
        <v/>
      </c>
      <c r="N165" s="16" t="str">
        <f>IF(NORMALIZADO!CK164="","",NORMALIZADO!CK164)</f>
        <v/>
      </c>
      <c r="O165" s="16" t="str">
        <f>IF(NORMALIZADO!CL164="","",NORMALIZADO!CL164)</f>
        <v/>
      </c>
      <c r="P165" s="17" t="str">
        <f t="shared" ca="1" si="55"/>
        <v/>
      </c>
      <c r="Q165" s="17">
        <f t="shared" ca="1" si="56"/>
        <v>0</v>
      </c>
      <c r="R165" s="17">
        <f t="shared" ca="1" si="57"/>
        <v>0</v>
      </c>
      <c r="S165" s="17">
        <f t="shared" ca="1" si="58"/>
        <v>0</v>
      </c>
      <c r="T165" s="17">
        <f ca="1">IFERROR((K165+M165+MATRIZ_174!O164)/3,0)</f>
        <v>0</v>
      </c>
      <c r="U165" s="18">
        <f>IFERROR(MIN(100,ROUND(MATRIZ_174!M164,1)),0)</f>
        <v>0</v>
      </c>
      <c r="V165" s="18">
        <f t="shared" ca="1" si="59"/>
        <v>50</v>
      </c>
      <c r="W165" s="18">
        <f>IFERROR(IF(MATRIZ_174!R164=0,65,IF(MATRIZ_174!R164/MATRIZ_174!Q164&gt;=2,35,IF(MATRIZ_174!R164/MATRIZ_174!Q164&gt;=0.5,50,65))),65)</f>
        <v>65</v>
      </c>
      <c r="X165" s="18">
        <f>IFERROR(MIN(100,IF(MATRIZ_174!O164=0,70,30)+IF(MATRIZ_174!U164="",0,0.3*(100-MATRIZ_174!U164*100))),70)</f>
        <v>70</v>
      </c>
      <c r="Y165" s="18">
        <f>IF(OR(MATRIZ_174!P164="ASOCIACION",MATRIZ_174!P164="PENDIENTE"),65,40)</f>
        <v>65</v>
      </c>
      <c r="Z165" s="19" t="str">
        <f t="shared" ca="1" si="60"/>
        <v>—</v>
      </c>
      <c r="AA165" s="20">
        <f t="shared" ca="1" si="61"/>
        <v>50</v>
      </c>
      <c r="AB165" s="21" t="str">
        <f t="shared" ca="1" si="62"/>
        <v>—</v>
      </c>
      <c r="AC165" s="13" t="str">
        <f t="shared" ca="1" si="63"/>
        <v>⬜  Pendiente de instrumento</v>
      </c>
      <c r="AD165" s="13" t="str">
        <f>IF(MATRIZ_174!U164="","",IF(MATRIZ_174!U164=0,"🚫  Inh. vigente OSCE",""))</f>
        <v/>
      </c>
      <c r="AE165" s="22">
        <f>IFERROR(MATRIZ_174!W164,0)</f>
        <v>0</v>
      </c>
      <c r="AF165" s="22">
        <f>IFERROR(MATRIZ_174!X164,0)</f>
        <v>0</v>
      </c>
      <c r="AG165" s="22">
        <f>IFERROR(MATRIZ_174!Y164,0)</f>
        <v>0</v>
      </c>
      <c r="AH165" s="22">
        <f>IFERROR(MATRIZ_174!Z164,0)</f>
        <v>0</v>
      </c>
      <c r="AI165" s="17">
        <f ca="1">IFERROR(MATRIZ_174!AP164,"N/A")</f>
        <v>0</v>
      </c>
      <c r="AJ165" s="17">
        <f>IFERROR(MATRIZ_174!AO164,"N/A")</f>
        <v>0</v>
      </c>
      <c r="AK165" s="23" t="str">
        <f t="shared" ca="1" si="64"/>
        <v>N/A</v>
      </c>
      <c r="AL165" s="24" t="str">
        <f t="shared" ca="1" si="65"/>
        <v>—</v>
      </c>
    </row>
    <row r="166" spans="1:38" ht="16.05" customHeight="1" x14ac:dyDescent="0.3">
      <c r="A166" s="13" t="s">
        <v>433</v>
      </c>
      <c r="B166" s="14" t="s">
        <v>434</v>
      </c>
      <c r="C166" s="13" t="s">
        <v>183</v>
      </c>
      <c r="D166" s="15">
        <v>0</v>
      </c>
      <c r="E166" s="16" t="str">
        <f>IF(NORMALIZADO!CB165="","",NORMALIZADO!CB165)</f>
        <v/>
      </c>
      <c r="F166" s="17" t="str">
        <f ca="1">IF(NORMALIZADO!CC165="","",NORMALIZADO!CC165)</f>
        <v/>
      </c>
      <c r="G166" s="17">
        <f ca="1">IF(NORMALIZADO!CD165="",IFERROR(MATRIZ_174!U165*100,""),NORMALIZADO!CD165)</f>
        <v>100</v>
      </c>
      <c r="H166" s="16" t="str">
        <f>IF(NORMALIZADO!CE165="","",NORMALIZADO!CE165)</f>
        <v/>
      </c>
      <c r="I166" s="17" t="str">
        <f>IF(NORMALIZADO!CF165="","",NORMALIZADO!CF165)</f>
        <v/>
      </c>
      <c r="J166" s="17" t="str">
        <f ca="1">IF(NORMALIZADO!CG165="","",NORMALIZADO!CG165)</f>
        <v/>
      </c>
      <c r="K166" s="16" t="str">
        <f ca="1">IF(NORMALIZADO!CH165="","",NORMALIZADO!CH165)</f>
        <v/>
      </c>
      <c r="L166" s="16" t="str">
        <f>IF(NORMALIZADO!CI165="","",NORMALIZADO!CI165)</f>
        <v/>
      </c>
      <c r="M166" s="16" t="str">
        <f>IF(NORMALIZADO!CJ165="","",NORMALIZADO!CJ165)</f>
        <v/>
      </c>
      <c r="N166" s="16" t="str">
        <f>IF(NORMALIZADO!CK165="","",NORMALIZADO!CK165)</f>
        <v/>
      </c>
      <c r="O166" s="16" t="str">
        <f>IF(NORMALIZADO!CL165="","",NORMALIZADO!CL165)</f>
        <v/>
      </c>
      <c r="P166" s="17" t="str">
        <f t="shared" ca="1" si="55"/>
        <v/>
      </c>
      <c r="Q166" s="17">
        <f t="shared" ca="1" si="56"/>
        <v>0</v>
      </c>
      <c r="R166" s="17">
        <f t="shared" ca="1" si="57"/>
        <v>0</v>
      </c>
      <c r="S166" s="17">
        <f t="shared" ca="1" si="58"/>
        <v>0</v>
      </c>
      <c r="T166" s="17">
        <f ca="1">IFERROR((K166+M166+MATRIZ_174!O165)/3,0)</f>
        <v>0</v>
      </c>
      <c r="U166" s="18">
        <f>IFERROR(MIN(100,ROUND(MATRIZ_174!M165,1)),0)</f>
        <v>0</v>
      </c>
      <c r="V166" s="18">
        <f t="shared" ca="1" si="59"/>
        <v>50</v>
      </c>
      <c r="W166" s="18">
        <f>IFERROR(IF(MATRIZ_174!R165=0,65,IF(MATRIZ_174!R165/MATRIZ_174!Q165&gt;=2,35,IF(MATRIZ_174!R165/MATRIZ_174!Q165&gt;=0.5,50,65))),65)</f>
        <v>65</v>
      </c>
      <c r="X166" s="18">
        <f>IFERROR(MIN(100,IF(MATRIZ_174!O165=0,70,30)+IF(MATRIZ_174!U165="",0,0.3*(100-MATRIZ_174!U165*100))),70)</f>
        <v>70</v>
      </c>
      <c r="Y166" s="18">
        <f>IF(OR(MATRIZ_174!P165="ASOCIACION",MATRIZ_174!P165="PENDIENTE"),65,40)</f>
        <v>65</v>
      </c>
      <c r="Z166" s="19" t="str">
        <f t="shared" ca="1" si="60"/>
        <v>—</v>
      </c>
      <c r="AA166" s="20">
        <f t="shared" ca="1" si="61"/>
        <v>50</v>
      </c>
      <c r="AB166" s="21" t="str">
        <f t="shared" ca="1" si="62"/>
        <v>—</v>
      </c>
      <c r="AC166" s="13" t="str">
        <f t="shared" ca="1" si="63"/>
        <v>⬜  Pendiente de instrumento</v>
      </c>
      <c r="AD166" s="13" t="str">
        <f>IF(MATRIZ_174!U165="","",IF(MATRIZ_174!U165=0,"🚫  Inh. vigente OSCE",""))</f>
        <v/>
      </c>
      <c r="AE166" s="22">
        <f>IFERROR(MATRIZ_174!W165,0)</f>
        <v>0</v>
      </c>
      <c r="AF166" s="22">
        <f>IFERROR(MATRIZ_174!X165,0)</f>
        <v>0</v>
      </c>
      <c r="AG166" s="22">
        <f>IFERROR(MATRIZ_174!Y165,0)</f>
        <v>0</v>
      </c>
      <c r="AH166" s="22">
        <f>IFERROR(MATRIZ_174!Z165,0)</f>
        <v>0</v>
      </c>
      <c r="AI166" s="17">
        <f ca="1">IFERROR(MATRIZ_174!AP165,"N/A")</f>
        <v>0</v>
      </c>
      <c r="AJ166" s="17">
        <f>IFERROR(MATRIZ_174!AO165,"N/A")</f>
        <v>0</v>
      </c>
      <c r="AK166" s="23" t="str">
        <f t="shared" ca="1" si="64"/>
        <v>N/A</v>
      </c>
      <c r="AL166" s="24" t="str">
        <f t="shared" ca="1" si="65"/>
        <v>—</v>
      </c>
    </row>
    <row r="167" spans="1:38" ht="16.05" customHeight="1" x14ac:dyDescent="0.3">
      <c r="A167" s="13" t="s">
        <v>435</v>
      </c>
      <c r="B167" s="14" t="s">
        <v>436</v>
      </c>
      <c r="C167" s="13" t="s">
        <v>248</v>
      </c>
      <c r="D167" s="15">
        <v>0</v>
      </c>
      <c r="E167" s="16" t="str">
        <f>IF(NORMALIZADO!CB166="","",NORMALIZADO!CB166)</f>
        <v/>
      </c>
      <c r="F167" s="17" t="str">
        <f ca="1">IF(NORMALIZADO!CC166="","",NORMALIZADO!CC166)</f>
        <v/>
      </c>
      <c r="G167" s="17">
        <f ca="1">IF(NORMALIZADO!CD166="",IFERROR(MATRIZ_174!U166*100,""),NORMALIZADO!CD166)</f>
        <v>100</v>
      </c>
      <c r="H167" s="16" t="str">
        <f>IF(NORMALIZADO!CE166="","",NORMALIZADO!CE166)</f>
        <v/>
      </c>
      <c r="I167" s="17" t="str">
        <f>IF(NORMALIZADO!CF166="","",NORMALIZADO!CF166)</f>
        <v/>
      </c>
      <c r="J167" s="17" t="str">
        <f ca="1">IF(NORMALIZADO!CG166="","",NORMALIZADO!CG166)</f>
        <v/>
      </c>
      <c r="K167" s="16" t="str">
        <f ca="1">IF(NORMALIZADO!CH166="","",NORMALIZADO!CH166)</f>
        <v/>
      </c>
      <c r="L167" s="16" t="str">
        <f>IF(NORMALIZADO!CI166="","",NORMALIZADO!CI166)</f>
        <v/>
      </c>
      <c r="M167" s="16" t="str">
        <f>IF(NORMALIZADO!CJ166="","",NORMALIZADO!CJ166)</f>
        <v/>
      </c>
      <c r="N167" s="16" t="str">
        <f>IF(NORMALIZADO!CK166="","",NORMALIZADO!CK166)</f>
        <v/>
      </c>
      <c r="O167" s="16" t="str">
        <f>IF(NORMALIZADO!CL166="","",NORMALIZADO!CL166)</f>
        <v/>
      </c>
      <c r="P167" s="17" t="str">
        <f t="shared" ca="1" si="55"/>
        <v/>
      </c>
      <c r="Q167" s="17">
        <f t="shared" ca="1" si="56"/>
        <v>0</v>
      </c>
      <c r="R167" s="17">
        <f t="shared" ca="1" si="57"/>
        <v>0</v>
      </c>
      <c r="S167" s="17">
        <f t="shared" ca="1" si="58"/>
        <v>0</v>
      </c>
      <c r="T167" s="17">
        <f ca="1">IFERROR((K167+M167+MATRIZ_174!O166)/3,0)</f>
        <v>0</v>
      </c>
      <c r="U167" s="18">
        <f>IFERROR(MIN(100,ROUND(MATRIZ_174!M166,1)),0)</f>
        <v>0</v>
      </c>
      <c r="V167" s="18">
        <f t="shared" ca="1" si="59"/>
        <v>50</v>
      </c>
      <c r="W167" s="18">
        <f>IFERROR(IF(MATRIZ_174!R166=0,65,IF(MATRIZ_174!R166/MATRIZ_174!Q166&gt;=2,35,IF(MATRIZ_174!R166/MATRIZ_174!Q166&gt;=0.5,50,65))),65)</f>
        <v>65</v>
      </c>
      <c r="X167" s="18">
        <f>IFERROR(MIN(100,IF(MATRIZ_174!O166=0,70,30)+IF(MATRIZ_174!U166="",0,0.3*(100-MATRIZ_174!U166*100))),70)</f>
        <v>70</v>
      </c>
      <c r="Y167" s="18">
        <f>IF(OR(MATRIZ_174!P166="ASOCIACION",MATRIZ_174!P166="PENDIENTE"),65,40)</f>
        <v>65</v>
      </c>
      <c r="Z167" s="19" t="str">
        <f t="shared" ca="1" si="60"/>
        <v>—</v>
      </c>
      <c r="AA167" s="20">
        <f t="shared" ca="1" si="61"/>
        <v>50</v>
      </c>
      <c r="AB167" s="21" t="str">
        <f t="shared" ca="1" si="62"/>
        <v>—</v>
      </c>
      <c r="AC167" s="13" t="str">
        <f t="shared" ca="1" si="63"/>
        <v>⬜  Pendiente de instrumento</v>
      </c>
      <c r="AD167" s="13" t="str">
        <f>IF(MATRIZ_174!U166="","",IF(MATRIZ_174!U166=0,"🚫  Inh. vigente OSCE",""))</f>
        <v/>
      </c>
      <c r="AE167" s="22">
        <f>IFERROR(MATRIZ_174!W166,0)</f>
        <v>0</v>
      </c>
      <c r="AF167" s="22">
        <f>IFERROR(MATRIZ_174!X166,0)</f>
        <v>0</v>
      </c>
      <c r="AG167" s="22">
        <f>IFERROR(MATRIZ_174!Y166,0)</f>
        <v>0</v>
      </c>
      <c r="AH167" s="22">
        <f>IFERROR(MATRIZ_174!Z166,0)</f>
        <v>0</v>
      </c>
      <c r="AI167" s="17">
        <f ca="1">IFERROR(MATRIZ_174!AP166,"N/A")</f>
        <v>0</v>
      </c>
      <c r="AJ167" s="17">
        <f>IFERROR(MATRIZ_174!AO166,"N/A")</f>
        <v>0</v>
      </c>
      <c r="AK167" s="23" t="str">
        <f t="shared" ca="1" si="64"/>
        <v>N/A</v>
      </c>
      <c r="AL167" s="24" t="str">
        <f t="shared" ca="1" si="65"/>
        <v>—</v>
      </c>
    </row>
    <row r="168" spans="1:38" ht="16.05" customHeight="1" x14ac:dyDescent="0.3">
      <c r="A168" s="13" t="s">
        <v>437</v>
      </c>
      <c r="B168" s="14" t="s">
        <v>438</v>
      </c>
      <c r="C168" s="13" t="s">
        <v>143</v>
      </c>
      <c r="D168" s="15">
        <v>0</v>
      </c>
      <c r="E168" s="16" t="str">
        <f>IF(NORMALIZADO!CB167="","",NORMALIZADO!CB167)</f>
        <v/>
      </c>
      <c r="F168" s="17" t="str">
        <f ca="1">IF(NORMALIZADO!CC167="","",NORMALIZADO!CC167)</f>
        <v/>
      </c>
      <c r="G168" s="17">
        <f ca="1">IF(NORMALIZADO!CD167="",IFERROR(MATRIZ_174!U167*100,""),NORMALIZADO!CD167)</f>
        <v>100</v>
      </c>
      <c r="H168" s="16" t="str">
        <f>IF(NORMALIZADO!CE167="","",NORMALIZADO!CE167)</f>
        <v/>
      </c>
      <c r="I168" s="17" t="str">
        <f>IF(NORMALIZADO!CF167="","",NORMALIZADO!CF167)</f>
        <v/>
      </c>
      <c r="J168" s="17" t="str">
        <f ca="1">IF(NORMALIZADO!CG167="","",NORMALIZADO!CG167)</f>
        <v/>
      </c>
      <c r="K168" s="16" t="str">
        <f ca="1">IF(NORMALIZADO!CH167="","",NORMALIZADO!CH167)</f>
        <v/>
      </c>
      <c r="L168" s="16" t="str">
        <f>IF(NORMALIZADO!CI167="","",NORMALIZADO!CI167)</f>
        <v/>
      </c>
      <c r="M168" s="16" t="str">
        <f>IF(NORMALIZADO!CJ167="","",NORMALIZADO!CJ167)</f>
        <v/>
      </c>
      <c r="N168" s="16" t="str">
        <f>IF(NORMALIZADO!CK167="","",NORMALIZADO!CK167)</f>
        <v/>
      </c>
      <c r="O168" s="16" t="str">
        <f>IF(NORMALIZADO!CL167="","",NORMALIZADO!CL167)</f>
        <v/>
      </c>
      <c r="P168" s="17" t="str">
        <f t="shared" ca="1" si="55"/>
        <v/>
      </c>
      <c r="Q168" s="17">
        <f t="shared" ca="1" si="56"/>
        <v>0</v>
      </c>
      <c r="R168" s="17">
        <f t="shared" ca="1" si="57"/>
        <v>0</v>
      </c>
      <c r="S168" s="17">
        <f t="shared" ca="1" si="58"/>
        <v>0</v>
      </c>
      <c r="T168" s="17">
        <f ca="1">IFERROR((K168+M168+MATRIZ_174!O167)/3,0)</f>
        <v>0</v>
      </c>
      <c r="U168" s="18">
        <f>IFERROR(MIN(100,ROUND(MATRIZ_174!M167,1)),0)</f>
        <v>0</v>
      </c>
      <c r="V168" s="18">
        <f t="shared" ca="1" si="59"/>
        <v>50</v>
      </c>
      <c r="W168" s="18">
        <f>IFERROR(IF(MATRIZ_174!R167=0,65,IF(MATRIZ_174!R167/MATRIZ_174!Q167&gt;=2,35,IF(MATRIZ_174!R167/MATRIZ_174!Q167&gt;=0.5,50,65))),65)</f>
        <v>65</v>
      </c>
      <c r="X168" s="18">
        <f>IFERROR(MIN(100,IF(MATRIZ_174!O167=0,70,30)+IF(MATRIZ_174!U167="",0,0.3*(100-MATRIZ_174!U167*100))),70)</f>
        <v>70</v>
      </c>
      <c r="Y168" s="18">
        <f>IF(OR(MATRIZ_174!P167="ASOCIACION",MATRIZ_174!P167="PENDIENTE"),65,40)</f>
        <v>65</v>
      </c>
      <c r="Z168" s="19" t="str">
        <f t="shared" ca="1" si="60"/>
        <v>—</v>
      </c>
      <c r="AA168" s="20">
        <f t="shared" ca="1" si="61"/>
        <v>50</v>
      </c>
      <c r="AB168" s="21" t="str">
        <f t="shared" ca="1" si="62"/>
        <v>—</v>
      </c>
      <c r="AC168" s="13" t="str">
        <f t="shared" ca="1" si="63"/>
        <v>⬜  Pendiente de instrumento</v>
      </c>
      <c r="AD168" s="13" t="str">
        <f>IF(MATRIZ_174!U167="","",IF(MATRIZ_174!U167=0,"🚫  Inh. vigente OSCE",""))</f>
        <v/>
      </c>
      <c r="AE168" s="22">
        <f>IFERROR(MATRIZ_174!W167,0)</f>
        <v>0</v>
      </c>
      <c r="AF168" s="22">
        <f>IFERROR(MATRIZ_174!X167,0)</f>
        <v>0</v>
      </c>
      <c r="AG168" s="22">
        <f>IFERROR(MATRIZ_174!Y167,0)</f>
        <v>0</v>
      </c>
      <c r="AH168" s="22">
        <f>IFERROR(MATRIZ_174!Z167,0)</f>
        <v>0</v>
      </c>
      <c r="AI168" s="17">
        <f ca="1">IFERROR(MATRIZ_174!AP167,"N/A")</f>
        <v>0</v>
      </c>
      <c r="AJ168" s="17">
        <f>IFERROR(MATRIZ_174!AO167,"N/A")</f>
        <v>0</v>
      </c>
      <c r="AK168" s="23" t="str">
        <f t="shared" ca="1" si="64"/>
        <v>N/A</v>
      </c>
      <c r="AL168" s="24" t="str">
        <f t="shared" ca="1" si="65"/>
        <v>—</v>
      </c>
    </row>
    <row r="169" spans="1:38" ht="16.05" customHeight="1" x14ac:dyDescent="0.3">
      <c r="A169" s="13" t="s">
        <v>439</v>
      </c>
      <c r="B169" s="14" t="s">
        <v>440</v>
      </c>
      <c r="C169" s="13" t="s">
        <v>116</v>
      </c>
      <c r="D169" s="15">
        <v>0</v>
      </c>
      <c r="E169" s="16" t="str">
        <f>IF(NORMALIZADO!CB168="","",NORMALIZADO!CB168)</f>
        <v/>
      </c>
      <c r="F169" s="17" t="str">
        <f ca="1">IF(NORMALIZADO!CC168="","",NORMALIZADO!CC168)</f>
        <v/>
      </c>
      <c r="G169" s="17">
        <f ca="1">IF(NORMALIZADO!CD168="",IFERROR(MATRIZ_174!U168*100,""),NORMALIZADO!CD168)</f>
        <v>100</v>
      </c>
      <c r="H169" s="16" t="str">
        <f>IF(NORMALIZADO!CE168="","",NORMALIZADO!CE168)</f>
        <v/>
      </c>
      <c r="I169" s="17" t="str">
        <f>IF(NORMALIZADO!CF168="","",NORMALIZADO!CF168)</f>
        <v/>
      </c>
      <c r="J169" s="17" t="str">
        <f ca="1">IF(NORMALIZADO!CG168="","",NORMALIZADO!CG168)</f>
        <v/>
      </c>
      <c r="K169" s="16" t="str">
        <f ca="1">IF(NORMALIZADO!CH168="","",NORMALIZADO!CH168)</f>
        <v/>
      </c>
      <c r="L169" s="16" t="str">
        <f>IF(NORMALIZADO!CI168="","",NORMALIZADO!CI168)</f>
        <v/>
      </c>
      <c r="M169" s="16" t="str">
        <f>IF(NORMALIZADO!CJ168="","",NORMALIZADO!CJ168)</f>
        <v/>
      </c>
      <c r="N169" s="16" t="str">
        <f>IF(NORMALIZADO!CK168="","",NORMALIZADO!CK168)</f>
        <v/>
      </c>
      <c r="O169" s="16" t="str">
        <f>IF(NORMALIZADO!CL168="","",NORMALIZADO!CL168)</f>
        <v/>
      </c>
      <c r="P169" s="17" t="str">
        <f t="shared" ca="1" si="55"/>
        <v/>
      </c>
      <c r="Q169" s="17">
        <f t="shared" ca="1" si="56"/>
        <v>0</v>
      </c>
      <c r="R169" s="17">
        <f t="shared" ca="1" si="57"/>
        <v>0</v>
      </c>
      <c r="S169" s="17">
        <f t="shared" ca="1" si="58"/>
        <v>0</v>
      </c>
      <c r="T169" s="17">
        <f ca="1">IFERROR((K169+M169+MATRIZ_174!O168)/3,0)</f>
        <v>0</v>
      </c>
      <c r="U169" s="18">
        <f>IFERROR(MIN(100,ROUND(MATRIZ_174!M168,1)),0)</f>
        <v>0</v>
      </c>
      <c r="V169" s="18">
        <f t="shared" ca="1" si="59"/>
        <v>50</v>
      </c>
      <c r="W169" s="18">
        <f>IFERROR(IF(MATRIZ_174!R168=0,65,IF(MATRIZ_174!R168/MATRIZ_174!Q168&gt;=2,35,IF(MATRIZ_174!R168/MATRIZ_174!Q168&gt;=0.5,50,65))),65)</f>
        <v>65</v>
      </c>
      <c r="X169" s="18">
        <f>IFERROR(MIN(100,IF(MATRIZ_174!O168=0,70,30)+IF(MATRIZ_174!U168="",0,0.3*(100-MATRIZ_174!U168*100))),70)</f>
        <v>70</v>
      </c>
      <c r="Y169" s="18">
        <f>IF(OR(MATRIZ_174!P168="ASOCIACION",MATRIZ_174!P168="PENDIENTE"),65,40)</f>
        <v>65</v>
      </c>
      <c r="Z169" s="19" t="str">
        <f t="shared" ca="1" si="60"/>
        <v>—</v>
      </c>
      <c r="AA169" s="20">
        <f t="shared" ca="1" si="61"/>
        <v>50</v>
      </c>
      <c r="AB169" s="21" t="str">
        <f t="shared" ca="1" si="62"/>
        <v>—</v>
      </c>
      <c r="AC169" s="13" t="str">
        <f t="shared" ca="1" si="63"/>
        <v>⬜  Pendiente de instrumento</v>
      </c>
      <c r="AD169" s="13" t="str">
        <f>IF(MATRIZ_174!U168="","",IF(MATRIZ_174!U168=0,"🚫  Inh. vigente OSCE",""))</f>
        <v/>
      </c>
      <c r="AE169" s="22">
        <f>IFERROR(MATRIZ_174!W168,0)</f>
        <v>0</v>
      </c>
      <c r="AF169" s="22">
        <f>IFERROR(MATRIZ_174!X168,0)</f>
        <v>0</v>
      </c>
      <c r="AG169" s="22">
        <f>IFERROR(MATRIZ_174!Y168,0)</f>
        <v>0</v>
      </c>
      <c r="AH169" s="22">
        <f>IFERROR(MATRIZ_174!Z168,0)</f>
        <v>0</v>
      </c>
      <c r="AI169" s="17">
        <f ca="1">IFERROR(MATRIZ_174!AP168,"N/A")</f>
        <v>0</v>
      </c>
      <c r="AJ169" s="17">
        <f>IFERROR(MATRIZ_174!AO168,"N/A")</f>
        <v>0</v>
      </c>
      <c r="AK169" s="23" t="str">
        <f t="shared" ca="1" si="64"/>
        <v>N/A</v>
      </c>
      <c r="AL169" s="24" t="str">
        <f t="shared" ca="1" si="65"/>
        <v>—</v>
      </c>
    </row>
    <row r="170" spans="1:38" ht="16.05" customHeight="1" x14ac:dyDescent="0.3">
      <c r="A170" s="13" t="s">
        <v>441</v>
      </c>
      <c r="B170" s="14" t="s">
        <v>442</v>
      </c>
      <c r="C170" s="13" t="s">
        <v>154</v>
      </c>
      <c r="D170" s="15">
        <v>0</v>
      </c>
      <c r="E170" s="16" t="str">
        <f>IF(NORMALIZADO!CB169="","",NORMALIZADO!CB169)</f>
        <v/>
      </c>
      <c r="F170" s="17" t="str">
        <f ca="1">IF(NORMALIZADO!CC169="","",NORMALIZADO!CC169)</f>
        <v/>
      </c>
      <c r="G170" s="17">
        <f ca="1">IF(NORMALIZADO!CD169="",IFERROR(MATRIZ_174!U169*100,""),NORMALIZADO!CD169)</f>
        <v>100</v>
      </c>
      <c r="H170" s="16" t="str">
        <f>IF(NORMALIZADO!CE169="","",NORMALIZADO!CE169)</f>
        <v/>
      </c>
      <c r="I170" s="17" t="str">
        <f>IF(NORMALIZADO!CF169="","",NORMALIZADO!CF169)</f>
        <v/>
      </c>
      <c r="J170" s="17" t="str">
        <f ca="1">IF(NORMALIZADO!CG169="","",NORMALIZADO!CG169)</f>
        <v/>
      </c>
      <c r="K170" s="16" t="str">
        <f ca="1">IF(NORMALIZADO!CH169="","",NORMALIZADO!CH169)</f>
        <v/>
      </c>
      <c r="L170" s="16" t="str">
        <f>IF(NORMALIZADO!CI169="","",NORMALIZADO!CI169)</f>
        <v/>
      </c>
      <c r="M170" s="16" t="str">
        <f>IF(NORMALIZADO!CJ169="","",NORMALIZADO!CJ169)</f>
        <v/>
      </c>
      <c r="N170" s="16" t="str">
        <f>IF(NORMALIZADO!CK169="","",NORMALIZADO!CK169)</f>
        <v/>
      </c>
      <c r="O170" s="16" t="str">
        <f>IF(NORMALIZADO!CL169="","",NORMALIZADO!CL169)</f>
        <v/>
      </c>
      <c r="P170" s="17" t="str">
        <f t="shared" ca="1" si="55"/>
        <v/>
      </c>
      <c r="Q170" s="17">
        <f t="shared" ca="1" si="56"/>
        <v>0</v>
      </c>
      <c r="R170" s="17">
        <f t="shared" ca="1" si="57"/>
        <v>0</v>
      </c>
      <c r="S170" s="17">
        <f t="shared" ca="1" si="58"/>
        <v>0</v>
      </c>
      <c r="T170" s="17">
        <f ca="1">IFERROR((K170+M170+MATRIZ_174!O169)/3,0)</f>
        <v>0</v>
      </c>
      <c r="U170" s="18">
        <f>IFERROR(MIN(100,ROUND(MATRIZ_174!M169,1)),0)</f>
        <v>0</v>
      </c>
      <c r="V170" s="18">
        <f t="shared" ca="1" si="59"/>
        <v>50</v>
      </c>
      <c r="W170" s="18">
        <f>IFERROR(IF(MATRIZ_174!R169=0,65,IF(MATRIZ_174!R169/MATRIZ_174!Q169&gt;=2,35,IF(MATRIZ_174!R169/MATRIZ_174!Q169&gt;=0.5,50,65))),65)</f>
        <v>65</v>
      </c>
      <c r="X170" s="18">
        <f>IFERROR(MIN(100,IF(MATRIZ_174!O169=0,70,30)+IF(MATRIZ_174!U169="",0,0.3*(100-MATRIZ_174!U169*100))),70)</f>
        <v>70</v>
      </c>
      <c r="Y170" s="18">
        <f>IF(OR(MATRIZ_174!P169="ASOCIACION",MATRIZ_174!P169="PENDIENTE"),65,40)</f>
        <v>65</v>
      </c>
      <c r="Z170" s="19" t="str">
        <f t="shared" ca="1" si="60"/>
        <v>—</v>
      </c>
      <c r="AA170" s="20">
        <f t="shared" ca="1" si="61"/>
        <v>50</v>
      </c>
      <c r="AB170" s="21" t="str">
        <f t="shared" ca="1" si="62"/>
        <v>—</v>
      </c>
      <c r="AC170" s="13" t="str">
        <f t="shared" ca="1" si="63"/>
        <v>⬜  Pendiente de instrumento</v>
      </c>
      <c r="AD170" s="13" t="str">
        <f>IF(MATRIZ_174!U169="","",IF(MATRIZ_174!U169=0,"🚫  Inh. vigente OSCE",""))</f>
        <v/>
      </c>
      <c r="AE170" s="22">
        <f>IFERROR(MATRIZ_174!W169,0)</f>
        <v>0</v>
      </c>
      <c r="AF170" s="22">
        <f>IFERROR(MATRIZ_174!X169,0)</f>
        <v>0</v>
      </c>
      <c r="AG170" s="22">
        <f>IFERROR(MATRIZ_174!Y169,0)</f>
        <v>0</v>
      </c>
      <c r="AH170" s="22">
        <f>IFERROR(MATRIZ_174!Z169,0)</f>
        <v>0</v>
      </c>
      <c r="AI170" s="17">
        <f ca="1">IFERROR(MATRIZ_174!AP169,"N/A")</f>
        <v>0</v>
      </c>
      <c r="AJ170" s="17">
        <f>IFERROR(MATRIZ_174!AO169,"N/A")</f>
        <v>0</v>
      </c>
      <c r="AK170" s="23" t="str">
        <f t="shared" ca="1" si="64"/>
        <v>N/A</v>
      </c>
      <c r="AL170" s="24" t="str">
        <f t="shared" ca="1" si="65"/>
        <v>—</v>
      </c>
    </row>
    <row r="171" spans="1:38" ht="16.05" customHeight="1" x14ac:dyDescent="0.3">
      <c r="A171" s="13" t="s">
        <v>443</v>
      </c>
      <c r="B171" s="14" t="s">
        <v>444</v>
      </c>
      <c r="C171" s="13" t="s">
        <v>113</v>
      </c>
      <c r="D171" s="15">
        <v>0</v>
      </c>
      <c r="E171" s="16" t="str">
        <f>IF(NORMALIZADO!CB170="","",NORMALIZADO!CB170)</f>
        <v/>
      </c>
      <c r="F171" s="17" t="str">
        <f ca="1">IF(NORMALIZADO!CC170="","",NORMALIZADO!CC170)</f>
        <v/>
      </c>
      <c r="G171" s="17">
        <f ca="1">IF(NORMALIZADO!CD170="",IFERROR(MATRIZ_174!U170*100,""),NORMALIZADO!CD170)</f>
        <v>100</v>
      </c>
      <c r="H171" s="16" t="str">
        <f>IF(NORMALIZADO!CE170="","",NORMALIZADO!CE170)</f>
        <v/>
      </c>
      <c r="I171" s="17" t="str">
        <f>IF(NORMALIZADO!CF170="","",NORMALIZADO!CF170)</f>
        <v/>
      </c>
      <c r="J171" s="17" t="str">
        <f ca="1">IF(NORMALIZADO!CG170="","",NORMALIZADO!CG170)</f>
        <v/>
      </c>
      <c r="K171" s="16" t="str">
        <f ca="1">IF(NORMALIZADO!CH170="","",NORMALIZADO!CH170)</f>
        <v/>
      </c>
      <c r="L171" s="16" t="str">
        <f>IF(NORMALIZADO!CI170="","",NORMALIZADO!CI170)</f>
        <v/>
      </c>
      <c r="M171" s="16" t="str">
        <f>IF(NORMALIZADO!CJ170="","",NORMALIZADO!CJ170)</f>
        <v/>
      </c>
      <c r="N171" s="16" t="str">
        <f>IF(NORMALIZADO!CK170="","",NORMALIZADO!CK170)</f>
        <v/>
      </c>
      <c r="O171" s="16" t="str">
        <f>IF(NORMALIZADO!CL170="","",NORMALIZADO!CL170)</f>
        <v/>
      </c>
      <c r="P171" s="17" t="str">
        <f t="shared" ca="1" si="55"/>
        <v/>
      </c>
      <c r="Q171" s="17">
        <f t="shared" ca="1" si="56"/>
        <v>0</v>
      </c>
      <c r="R171" s="17">
        <f t="shared" ca="1" si="57"/>
        <v>0</v>
      </c>
      <c r="S171" s="17">
        <f t="shared" ca="1" si="58"/>
        <v>0</v>
      </c>
      <c r="T171" s="17">
        <f ca="1">IFERROR((K171+M171+MATRIZ_174!O170)/3,0)</f>
        <v>0</v>
      </c>
      <c r="U171" s="18">
        <f>IFERROR(MIN(100,ROUND(MATRIZ_174!M170,1)),0)</f>
        <v>0</v>
      </c>
      <c r="V171" s="18">
        <f t="shared" ca="1" si="59"/>
        <v>50</v>
      </c>
      <c r="W171" s="18">
        <f>IFERROR(IF(MATRIZ_174!R170=0,65,IF(MATRIZ_174!R170/MATRIZ_174!Q170&gt;=2,35,IF(MATRIZ_174!R170/MATRIZ_174!Q170&gt;=0.5,50,65))),65)</f>
        <v>65</v>
      </c>
      <c r="X171" s="18">
        <f>IFERROR(MIN(100,IF(MATRIZ_174!O170=0,70,30)+IF(MATRIZ_174!U170="",0,0.3*(100-MATRIZ_174!U170*100))),70)</f>
        <v>70</v>
      </c>
      <c r="Y171" s="18">
        <f>IF(OR(MATRIZ_174!P170="ASOCIACION",MATRIZ_174!P170="PENDIENTE"),65,40)</f>
        <v>65</v>
      </c>
      <c r="Z171" s="19" t="str">
        <f t="shared" ca="1" si="60"/>
        <v>—</v>
      </c>
      <c r="AA171" s="20">
        <f t="shared" ca="1" si="61"/>
        <v>50</v>
      </c>
      <c r="AB171" s="21" t="str">
        <f t="shared" ca="1" si="62"/>
        <v>—</v>
      </c>
      <c r="AC171" s="13" t="str">
        <f t="shared" ca="1" si="63"/>
        <v>⬜  Pendiente de instrumento</v>
      </c>
      <c r="AD171" s="13" t="str">
        <f>IF(MATRIZ_174!U170="","",IF(MATRIZ_174!U170=0,"🚫  Inh. vigente OSCE",""))</f>
        <v/>
      </c>
      <c r="AE171" s="22">
        <f>IFERROR(MATRIZ_174!W170,0)</f>
        <v>0</v>
      </c>
      <c r="AF171" s="22">
        <f>IFERROR(MATRIZ_174!X170,0)</f>
        <v>0</v>
      </c>
      <c r="AG171" s="22">
        <f>IFERROR(MATRIZ_174!Y170,0)</f>
        <v>0</v>
      </c>
      <c r="AH171" s="22">
        <f>IFERROR(MATRIZ_174!Z170,0)</f>
        <v>0</v>
      </c>
      <c r="AI171" s="17">
        <f ca="1">IFERROR(MATRIZ_174!AP170,"N/A")</f>
        <v>0</v>
      </c>
      <c r="AJ171" s="17">
        <f>IFERROR(MATRIZ_174!AO170,"N/A")</f>
        <v>0</v>
      </c>
      <c r="AK171" s="23" t="str">
        <f t="shared" ca="1" si="64"/>
        <v>N/A</v>
      </c>
      <c r="AL171" s="24" t="str">
        <f t="shared" ca="1" si="65"/>
        <v>—</v>
      </c>
    </row>
    <row r="172" spans="1:38" ht="16.05" customHeight="1" x14ac:dyDescent="0.3">
      <c r="A172" s="13" t="s">
        <v>445</v>
      </c>
      <c r="B172" s="14" t="s">
        <v>446</v>
      </c>
      <c r="C172" s="13" t="s">
        <v>143</v>
      </c>
      <c r="D172" s="15">
        <v>0</v>
      </c>
      <c r="E172" s="16" t="str">
        <f>IF(NORMALIZADO!CB171="","",NORMALIZADO!CB171)</f>
        <v/>
      </c>
      <c r="F172" s="17" t="str">
        <f ca="1">IF(NORMALIZADO!CC171="","",NORMALIZADO!CC171)</f>
        <v/>
      </c>
      <c r="G172" s="17">
        <f ca="1">IF(NORMALIZADO!CD171="",IFERROR(MATRIZ_174!U171*100,""),NORMALIZADO!CD171)</f>
        <v>100</v>
      </c>
      <c r="H172" s="16" t="str">
        <f>IF(NORMALIZADO!CE171="","",NORMALIZADO!CE171)</f>
        <v/>
      </c>
      <c r="I172" s="17" t="str">
        <f>IF(NORMALIZADO!CF171="","",NORMALIZADO!CF171)</f>
        <v/>
      </c>
      <c r="J172" s="17" t="str">
        <f ca="1">IF(NORMALIZADO!CG171="","",NORMALIZADO!CG171)</f>
        <v/>
      </c>
      <c r="K172" s="16" t="str">
        <f ca="1">IF(NORMALIZADO!CH171="","",NORMALIZADO!CH171)</f>
        <v/>
      </c>
      <c r="L172" s="16" t="str">
        <f>IF(NORMALIZADO!CI171="","",NORMALIZADO!CI171)</f>
        <v/>
      </c>
      <c r="M172" s="16" t="str">
        <f>IF(NORMALIZADO!CJ171="","",NORMALIZADO!CJ171)</f>
        <v/>
      </c>
      <c r="N172" s="16" t="str">
        <f>IF(NORMALIZADO!CK171="","",NORMALIZADO!CK171)</f>
        <v/>
      </c>
      <c r="O172" s="16" t="str">
        <f>IF(NORMALIZADO!CL171="","",NORMALIZADO!CL171)</f>
        <v/>
      </c>
      <c r="P172" s="17" t="str">
        <f t="shared" ca="1" si="55"/>
        <v/>
      </c>
      <c r="Q172" s="17">
        <f t="shared" ca="1" si="56"/>
        <v>0</v>
      </c>
      <c r="R172" s="17">
        <f t="shared" ca="1" si="57"/>
        <v>0</v>
      </c>
      <c r="S172" s="17">
        <f t="shared" ca="1" si="58"/>
        <v>0</v>
      </c>
      <c r="T172" s="17">
        <f ca="1">IFERROR((K172+M172+MATRIZ_174!O171)/3,0)</f>
        <v>0.19999999999999998</v>
      </c>
      <c r="U172" s="18">
        <f>IFERROR(MIN(100,ROUND(MATRIZ_174!M171,1)),0)</f>
        <v>0</v>
      </c>
      <c r="V172" s="18">
        <f t="shared" ca="1" si="59"/>
        <v>50</v>
      </c>
      <c r="W172" s="18">
        <f>IFERROR(IF(MATRIZ_174!R171=0,65,IF(MATRIZ_174!R171/MATRIZ_174!Q171&gt;=2,35,IF(MATRIZ_174!R171/MATRIZ_174!Q171&gt;=0.5,50,65))),65)</f>
        <v>50</v>
      </c>
      <c r="X172" s="18">
        <f>IFERROR(MIN(100,IF(MATRIZ_174!O171=0,70,30)+IF(MATRIZ_174!U171="",0,0.3*(100-MATRIZ_174!U171*100))),70)</f>
        <v>30</v>
      </c>
      <c r="Y172" s="18">
        <f>IF(OR(MATRIZ_174!P171="ASOCIACION",MATRIZ_174!P171="PENDIENTE"),65,40)</f>
        <v>65</v>
      </c>
      <c r="Z172" s="19" t="str">
        <f t="shared" ca="1" si="60"/>
        <v>—</v>
      </c>
      <c r="AA172" s="20">
        <f t="shared" ca="1" si="61"/>
        <v>39</v>
      </c>
      <c r="AB172" s="21" t="str">
        <f t="shared" ca="1" si="62"/>
        <v>—</v>
      </c>
      <c r="AC172" s="13" t="str">
        <f t="shared" ca="1" si="63"/>
        <v>⬜  Pendiente de instrumento</v>
      </c>
      <c r="AD172" s="13" t="str">
        <f>IF(MATRIZ_174!U171="","",IF(MATRIZ_174!U171=0,"🚫  Inh. vigente OSCE",""))</f>
        <v/>
      </c>
      <c r="AE172" s="22">
        <f>IFERROR(MATRIZ_174!W171,0)</f>
        <v>1</v>
      </c>
      <c r="AF172" s="22">
        <f>IFERROR(MATRIZ_174!X171,0)</f>
        <v>0</v>
      </c>
      <c r="AG172" s="22">
        <f>IFERROR(MATRIZ_174!Y171,0)</f>
        <v>0</v>
      </c>
      <c r="AH172" s="22">
        <f>IFERROR(MATRIZ_174!Z171,0)</f>
        <v>0</v>
      </c>
      <c r="AI172" s="17">
        <f ca="1">IFERROR(MATRIZ_174!AP171,"N/A")</f>
        <v>7.2999999999999995E-2</v>
      </c>
      <c r="AJ172" s="17">
        <f>IFERROR(MATRIZ_174!AO171,"N/A")</f>
        <v>0</v>
      </c>
      <c r="AK172" s="23" t="str">
        <f t="shared" ca="1" si="64"/>
        <v>N/A</v>
      </c>
      <c r="AL172" s="24" t="str">
        <f t="shared" ca="1" si="65"/>
        <v>—</v>
      </c>
    </row>
    <row r="173" spans="1:38" ht="16.05" customHeight="1" x14ac:dyDescent="0.3">
      <c r="A173" s="13" t="s">
        <v>447</v>
      </c>
      <c r="B173" s="14" t="s">
        <v>448</v>
      </c>
      <c r="C173" s="13" t="s">
        <v>116</v>
      </c>
      <c r="D173" s="15">
        <v>0</v>
      </c>
      <c r="E173" s="16" t="str">
        <f>IF(NORMALIZADO!CB172="","",NORMALIZADO!CB172)</f>
        <v/>
      </c>
      <c r="F173" s="17" t="str">
        <f ca="1">IF(NORMALIZADO!CC172="","",NORMALIZADO!CC172)</f>
        <v/>
      </c>
      <c r="G173" s="17">
        <f ca="1">IF(NORMALIZADO!CD172="",IFERROR(MATRIZ_174!U172*100,""),NORMALIZADO!CD172)</f>
        <v>100</v>
      </c>
      <c r="H173" s="16" t="str">
        <f>IF(NORMALIZADO!CE172="","",NORMALIZADO!CE172)</f>
        <v/>
      </c>
      <c r="I173" s="17" t="str">
        <f>IF(NORMALIZADO!CF172="","",NORMALIZADO!CF172)</f>
        <v/>
      </c>
      <c r="J173" s="17" t="str">
        <f ca="1">IF(NORMALIZADO!CG172="","",NORMALIZADO!CG172)</f>
        <v/>
      </c>
      <c r="K173" s="16" t="str">
        <f ca="1">IF(NORMALIZADO!CH172="","",NORMALIZADO!CH172)</f>
        <v/>
      </c>
      <c r="L173" s="16" t="str">
        <f>IF(NORMALIZADO!CI172="","",NORMALIZADO!CI172)</f>
        <v/>
      </c>
      <c r="M173" s="16" t="str">
        <f>IF(NORMALIZADO!CJ172="","",NORMALIZADO!CJ172)</f>
        <v/>
      </c>
      <c r="N173" s="16" t="str">
        <f>IF(NORMALIZADO!CK172="","",NORMALIZADO!CK172)</f>
        <v/>
      </c>
      <c r="O173" s="16" t="str">
        <f>IF(NORMALIZADO!CL172="","",NORMALIZADO!CL172)</f>
        <v/>
      </c>
      <c r="P173" s="17" t="str">
        <f t="shared" ca="1" si="55"/>
        <v/>
      </c>
      <c r="Q173" s="17">
        <f t="shared" ca="1" si="56"/>
        <v>0</v>
      </c>
      <c r="R173" s="17">
        <f t="shared" ca="1" si="57"/>
        <v>0</v>
      </c>
      <c r="S173" s="17">
        <f t="shared" ca="1" si="58"/>
        <v>0</v>
      </c>
      <c r="T173" s="17">
        <f ca="1">IFERROR((K173+M173+MATRIZ_174!O172)/3,0)</f>
        <v>0</v>
      </c>
      <c r="U173" s="18">
        <f>IFERROR(MIN(100,ROUND(MATRIZ_174!M172,1)),0)</f>
        <v>0</v>
      </c>
      <c r="V173" s="18">
        <f t="shared" ca="1" si="59"/>
        <v>50</v>
      </c>
      <c r="W173" s="18">
        <f>IFERROR(IF(MATRIZ_174!R172=0,65,IF(MATRIZ_174!R172/MATRIZ_174!Q172&gt;=2,35,IF(MATRIZ_174!R172/MATRIZ_174!Q172&gt;=0.5,50,65))),65)</f>
        <v>65</v>
      </c>
      <c r="X173" s="18">
        <f>IFERROR(MIN(100,IF(MATRIZ_174!O172=0,70,30)+IF(MATRIZ_174!U172="",0,0.3*(100-MATRIZ_174!U172*100))),70)</f>
        <v>70</v>
      </c>
      <c r="Y173" s="18">
        <f>IF(OR(MATRIZ_174!P172="ASOCIACION",MATRIZ_174!P172="PENDIENTE"),65,40)</f>
        <v>65</v>
      </c>
      <c r="Z173" s="19" t="str">
        <f t="shared" ca="1" si="60"/>
        <v>—</v>
      </c>
      <c r="AA173" s="20">
        <f t="shared" ca="1" si="61"/>
        <v>50</v>
      </c>
      <c r="AB173" s="21" t="str">
        <f t="shared" ca="1" si="62"/>
        <v>—</v>
      </c>
      <c r="AC173" s="13" t="str">
        <f t="shared" ca="1" si="63"/>
        <v>⬜  Pendiente de instrumento</v>
      </c>
      <c r="AD173" s="13" t="str">
        <f>IF(MATRIZ_174!U172="","",IF(MATRIZ_174!U172=0,"🚫  Inh. vigente OSCE",""))</f>
        <v/>
      </c>
      <c r="AE173" s="22">
        <f>IFERROR(MATRIZ_174!W172,0)</f>
        <v>0</v>
      </c>
      <c r="AF173" s="22">
        <f>IFERROR(MATRIZ_174!X172,0)</f>
        <v>0</v>
      </c>
      <c r="AG173" s="22">
        <f>IFERROR(MATRIZ_174!Y172,0)</f>
        <v>0</v>
      </c>
      <c r="AH173" s="22">
        <f>IFERROR(MATRIZ_174!Z172,0)</f>
        <v>0</v>
      </c>
      <c r="AI173" s="17">
        <f ca="1">IFERROR(MATRIZ_174!AP172,"N/A")</f>
        <v>0</v>
      </c>
      <c r="AJ173" s="17">
        <f>IFERROR(MATRIZ_174!AO172,"N/A")</f>
        <v>0</v>
      </c>
      <c r="AK173" s="23" t="str">
        <f t="shared" ca="1" si="64"/>
        <v>N/A</v>
      </c>
      <c r="AL173" s="24" t="str">
        <f t="shared" ca="1" si="65"/>
        <v>—</v>
      </c>
    </row>
    <row r="174" spans="1:38" ht="16.05" customHeight="1" x14ac:dyDescent="0.3">
      <c r="A174" s="13" t="s">
        <v>449</v>
      </c>
      <c r="B174" s="14" t="s">
        <v>450</v>
      </c>
      <c r="C174" s="13" t="s">
        <v>183</v>
      </c>
      <c r="D174" s="15">
        <v>0</v>
      </c>
      <c r="E174" s="16" t="str">
        <f>IF(NORMALIZADO!CB173="","",NORMALIZADO!CB173)</f>
        <v/>
      </c>
      <c r="F174" s="17" t="str">
        <f ca="1">IF(NORMALIZADO!CC173="","",NORMALIZADO!CC173)</f>
        <v/>
      </c>
      <c r="G174" s="17">
        <f ca="1">IF(NORMALIZADO!CD173="",IFERROR(MATRIZ_174!U173*100,""),NORMALIZADO!CD173)</f>
        <v>100</v>
      </c>
      <c r="H174" s="16" t="str">
        <f>IF(NORMALIZADO!CE173="","",NORMALIZADO!CE173)</f>
        <v/>
      </c>
      <c r="I174" s="17" t="str">
        <f>IF(NORMALIZADO!CF173="","",NORMALIZADO!CF173)</f>
        <v/>
      </c>
      <c r="J174" s="17" t="str">
        <f ca="1">IF(NORMALIZADO!CG173="","",NORMALIZADO!CG173)</f>
        <v/>
      </c>
      <c r="K174" s="16" t="str">
        <f ca="1">IF(NORMALIZADO!CH173="","",NORMALIZADO!CH173)</f>
        <v/>
      </c>
      <c r="L174" s="16" t="str">
        <f>IF(NORMALIZADO!CI173="","",NORMALIZADO!CI173)</f>
        <v/>
      </c>
      <c r="M174" s="16" t="str">
        <f>IF(NORMALIZADO!CJ173="","",NORMALIZADO!CJ173)</f>
        <v/>
      </c>
      <c r="N174" s="16" t="str">
        <f>IF(NORMALIZADO!CK173="","",NORMALIZADO!CK173)</f>
        <v/>
      </c>
      <c r="O174" s="16" t="str">
        <f>IF(NORMALIZADO!CL173="","",NORMALIZADO!CL173)</f>
        <v/>
      </c>
      <c r="P174" s="17" t="str">
        <f t="shared" ca="1" si="55"/>
        <v/>
      </c>
      <c r="Q174" s="17">
        <f t="shared" ca="1" si="56"/>
        <v>0</v>
      </c>
      <c r="R174" s="17">
        <f t="shared" ca="1" si="57"/>
        <v>0</v>
      </c>
      <c r="S174" s="17">
        <f t="shared" ca="1" si="58"/>
        <v>0</v>
      </c>
      <c r="T174" s="17">
        <f ca="1">IFERROR((K174+M174+MATRIZ_174!O173)/3,0)</f>
        <v>0</v>
      </c>
      <c r="U174" s="18">
        <f>IFERROR(MIN(100,ROUND(MATRIZ_174!M173,1)),0)</f>
        <v>0</v>
      </c>
      <c r="V174" s="18">
        <f t="shared" ca="1" si="59"/>
        <v>50</v>
      </c>
      <c r="W174" s="18">
        <f>IFERROR(IF(MATRIZ_174!R173=0,65,IF(MATRIZ_174!R173/MATRIZ_174!Q173&gt;=2,35,IF(MATRIZ_174!R173/MATRIZ_174!Q173&gt;=0.5,50,65))),65)</f>
        <v>65</v>
      </c>
      <c r="X174" s="18">
        <f>IFERROR(MIN(100,IF(MATRIZ_174!O173=0,70,30)+IF(MATRIZ_174!U173="",0,0.3*(100-MATRIZ_174!U173*100))),70)</f>
        <v>70</v>
      </c>
      <c r="Y174" s="18">
        <f>IF(OR(MATRIZ_174!P173="ASOCIACION",MATRIZ_174!P173="PENDIENTE"),65,40)</f>
        <v>65</v>
      </c>
      <c r="Z174" s="19" t="str">
        <f t="shared" ca="1" si="60"/>
        <v>—</v>
      </c>
      <c r="AA174" s="20">
        <f t="shared" ca="1" si="61"/>
        <v>50</v>
      </c>
      <c r="AB174" s="21" t="str">
        <f t="shared" ca="1" si="62"/>
        <v>—</v>
      </c>
      <c r="AC174" s="13" t="str">
        <f t="shared" ca="1" si="63"/>
        <v>⬜  Pendiente de instrumento</v>
      </c>
      <c r="AD174" s="13" t="str">
        <f>IF(MATRIZ_174!U173="","",IF(MATRIZ_174!U173=0,"🚫  Inh. vigente OSCE",""))</f>
        <v/>
      </c>
      <c r="AE174" s="22">
        <f>IFERROR(MATRIZ_174!W173,0)</f>
        <v>0</v>
      </c>
      <c r="AF174" s="22">
        <f>IFERROR(MATRIZ_174!X173,0)</f>
        <v>0</v>
      </c>
      <c r="AG174" s="22">
        <f>IFERROR(MATRIZ_174!Y173,0)</f>
        <v>0</v>
      </c>
      <c r="AH174" s="22">
        <f>IFERROR(MATRIZ_174!Z173,0)</f>
        <v>0</v>
      </c>
      <c r="AI174" s="17">
        <f ca="1">IFERROR(MATRIZ_174!AP173,"N/A")</f>
        <v>0</v>
      </c>
      <c r="AJ174" s="17">
        <f>IFERROR(MATRIZ_174!AO173,"N/A")</f>
        <v>0</v>
      </c>
      <c r="AK174" s="23" t="str">
        <f t="shared" ca="1" si="64"/>
        <v>N/A</v>
      </c>
      <c r="AL174" s="24" t="str">
        <f t="shared" ca="1" si="65"/>
        <v>—</v>
      </c>
    </row>
    <row r="175" spans="1:38" ht="16.05" customHeight="1" x14ac:dyDescent="0.3">
      <c r="A175" s="13" t="s">
        <v>451</v>
      </c>
      <c r="B175" s="14"/>
      <c r="C175" s="13"/>
      <c r="D175" s="15">
        <v>0</v>
      </c>
      <c r="E175" s="16" t="str">
        <f>IF(NORMALIZADO!CB174="","",NORMALIZADO!CB174)</f>
        <v/>
      </c>
      <c r="F175" s="17" t="str">
        <f ca="1">IF(NORMALIZADO!CC174="","",NORMALIZADO!CC174)</f>
        <v/>
      </c>
      <c r="G175" s="17">
        <f ca="1">IF(NORMALIZADO!CD174="",IFERROR(MATRIZ_174!U174*100,""),NORMALIZADO!CD174)</f>
        <v>100</v>
      </c>
      <c r="H175" s="16" t="str">
        <f>IF(NORMALIZADO!CE174="","",NORMALIZADO!CE174)</f>
        <v/>
      </c>
      <c r="I175" s="17" t="str">
        <f>IF(NORMALIZADO!CF174="","",NORMALIZADO!CF174)</f>
        <v/>
      </c>
      <c r="J175" s="17" t="str">
        <f ca="1">IF(NORMALIZADO!CG174="","",NORMALIZADO!CG174)</f>
        <v/>
      </c>
      <c r="K175" s="16" t="str">
        <f ca="1">IF(NORMALIZADO!CH174="","",NORMALIZADO!CH174)</f>
        <v/>
      </c>
      <c r="L175" s="16" t="str">
        <f>IF(NORMALIZADO!CI174="","",NORMALIZADO!CI174)</f>
        <v/>
      </c>
      <c r="M175" s="16" t="str">
        <f>IF(NORMALIZADO!CJ174="","",NORMALIZADO!CJ174)</f>
        <v/>
      </c>
      <c r="N175" s="16" t="str">
        <f>IF(NORMALIZADO!CK174="","",NORMALIZADO!CK174)</f>
        <v/>
      </c>
      <c r="O175" s="16" t="str">
        <f>IF(NORMALIZADO!CL174="","",NORMALIZADO!CL174)</f>
        <v/>
      </c>
      <c r="P175" s="17" t="str">
        <f t="shared" ca="1" si="55"/>
        <v/>
      </c>
      <c r="Q175" s="17">
        <f t="shared" ca="1" si="56"/>
        <v>0</v>
      </c>
      <c r="R175" s="17">
        <f t="shared" ca="1" si="57"/>
        <v>0</v>
      </c>
      <c r="S175" s="17">
        <f t="shared" ca="1" si="58"/>
        <v>0</v>
      </c>
      <c r="T175" s="17">
        <f ca="1">IFERROR((K175+M175+MATRIZ_174!O174)/3,0)</f>
        <v>0</v>
      </c>
      <c r="U175" s="18">
        <f>IFERROR(MIN(100,ROUND(MATRIZ_174!M174,1)),0)</f>
        <v>0</v>
      </c>
      <c r="V175" s="18">
        <f t="shared" ca="1" si="59"/>
        <v>50</v>
      </c>
      <c r="W175" s="18">
        <f>IFERROR(IF(MATRIZ_174!R174=0,65,IF(MATRIZ_174!R174/MATRIZ_174!Q174&gt;=2,35,IF(MATRIZ_174!R174/MATRIZ_174!Q174&gt;=0.5,50,65))),65)</f>
        <v>65</v>
      </c>
      <c r="X175" s="18">
        <f>IFERROR(MIN(100,IF(MATRIZ_174!O174=0,70,30)+IF(MATRIZ_174!U174="",0,0.3*(100-MATRIZ_174!U174*100))),70)</f>
        <v>70</v>
      </c>
      <c r="Y175" s="18">
        <f>IF(OR(MATRIZ_174!P174="ASOCIACION",MATRIZ_174!P174="PENDIENTE"),65,40)</f>
        <v>65</v>
      </c>
      <c r="Z175" s="19" t="str">
        <f t="shared" ca="1" si="60"/>
        <v>—</v>
      </c>
      <c r="AA175" s="20">
        <f t="shared" ca="1" si="61"/>
        <v>50</v>
      </c>
      <c r="AB175" s="21" t="str">
        <f t="shared" ca="1" si="62"/>
        <v>—</v>
      </c>
      <c r="AC175" s="13" t="str">
        <f t="shared" ca="1" si="63"/>
        <v>⬜  Pendiente de instrumento</v>
      </c>
      <c r="AD175" s="13" t="str">
        <f>IF(MATRIZ_174!U174="","",IF(MATRIZ_174!U174=0,"🚫  Inh. vigente OSCE",""))</f>
        <v/>
      </c>
      <c r="AE175" s="22">
        <f>IFERROR(MATRIZ_174!W174,0)</f>
        <v>0</v>
      </c>
      <c r="AF175" s="22">
        <f>IFERROR(MATRIZ_174!X174,0)</f>
        <v>0</v>
      </c>
      <c r="AG175" s="22">
        <f>IFERROR(MATRIZ_174!Y174,0)</f>
        <v>0</v>
      </c>
      <c r="AH175" s="22">
        <f>IFERROR(MATRIZ_174!Z174,0)</f>
        <v>0</v>
      </c>
      <c r="AI175" s="17">
        <f ca="1">IFERROR(MATRIZ_174!AP174,"N/A")</f>
        <v>0</v>
      </c>
      <c r="AJ175" s="17">
        <f>IFERROR(MATRIZ_174!AO174,"N/A")</f>
        <v>0</v>
      </c>
      <c r="AK175" s="23" t="str">
        <f t="shared" ca="1" si="64"/>
        <v>N/A</v>
      </c>
      <c r="AL175" s="24" t="str">
        <f t="shared" ca="1" si="65"/>
        <v>—</v>
      </c>
    </row>
    <row r="176" spans="1:38" ht="16.05" customHeight="1" x14ac:dyDescent="0.3">
      <c r="A176" s="13" t="s">
        <v>453</v>
      </c>
      <c r="B176" s="14" t="s">
        <v>454</v>
      </c>
      <c r="C176" s="13" t="s">
        <v>113</v>
      </c>
      <c r="D176" s="15">
        <v>3861667.52</v>
      </c>
      <c r="E176" s="16" t="str">
        <f>IF(NORMALIZADO!CB175="","",NORMALIZADO!CB175)</f>
        <v/>
      </c>
      <c r="F176" s="17" t="str">
        <f ca="1">IF(NORMALIZADO!CC175="","",NORMALIZADO!CC175)</f>
        <v/>
      </c>
      <c r="G176" s="17">
        <f ca="1">IF(NORMALIZADO!CD175="",IFERROR(MATRIZ_174!U175*100,""),NORMALIZADO!CD175)</f>
        <v>100</v>
      </c>
      <c r="H176" s="16" t="str">
        <f>IF(NORMALIZADO!CE175="","",NORMALIZADO!CE175)</f>
        <v/>
      </c>
      <c r="I176" s="17" t="str">
        <f>IF(NORMALIZADO!CF175="","",NORMALIZADO!CF175)</f>
        <v/>
      </c>
      <c r="J176" s="17" t="str">
        <f ca="1">IF(NORMALIZADO!CG175="","",NORMALIZADO!CG175)</f>
        <v/>
      </c>
      <c r="K176" s="16" t="str">
        <f ca="1">IF(NORMALIZADO!CH175="","",NORMALIZADO!CH175)</f>
        <v/>
      </c>
      <c r="L176" s="16" t="str">
        <f>IF(NORMALIZADO!CI175="","",NORMALIZADO!CI175)</f>
        <v/>
      </c>
      <c r="M176" s="16" t="str">
        <f>IF(NORMALIZADO!CJ175="","",NORMALIZADO!CJ175)</f>
        <v/>
      </c>
      <c r="N176" s="16" t="str">
        <f>IF(NORMALIZADO!CK175="","",NORMALIZADO!CK175)</f>
        <v/>
      </c>
      <c r="O176" s="16" t="str">
        <f>IF(NORMALIZADO!CL175="","",NORMALIZADO!CL175)</f>
        <v/>
      </c>
      <c r="P176" s="17" t="str">
        <f t="shared" ca="1" si="55"/>
        <v/>
      </c>
      <c r="Q176" s="17">
        <f t="shared" ca="1" si="56"/>
        <v>0</v>
      </c>
      <c r="R176" s="17">
        <f t="shared" ca="1" si="57"/>
        <v>0</v>
      </c>
      <c r="S176" s="17">
        <f t="shared" ca="1" si="58"/>
        <v>0</v>
      </c>
      <c r="T176" s="17">
        <f ca="1">IFERROR((K176+M176+MATRIZ_174!O175)/3,0)</f>
        <v>0</v>
      </c>
      <c r="U176" s="18">
        <f>IFERROR(MIN(100,ROUND(MATRIZ_174!M175,1)),0)</f>
        <v>50</v>
      </c>
      <c r="V176" s="18">
        <f t="shared" ca="1" si="59"/>
        <v>50</v>
      </c>
      <c r="W176" s="18">
        <f>IFERROR(IF(MATRIZ_174!R175=0,65,IF(MATRIZ_174!R175/MATRIZ_174!Q175&gt;=2,35,IF(MATRIZ_174!R175/MATRIZ_174!Q175&gt;=0.5,50,65))),65)</f>
        <v>65</v>
      </c>
      <c r="X176" s="18">
        <f>IFERROR(MIN(100,IF(MATRIZ_174!O175=0,70,30)+IF(MATRIZ_174!U175="",0,0.3*(100-MATRIZ_174!U175*100))),70)</f>
        <v>70</v>
      </c>
      <c r="Y176" s="18">
        <f>IF(OR(MATRIZ_174!P175="ASOCIACION",MATRIZ_174!P175="PENDIENTE"),65,40)</f>
        <v>65</v>
      </c>
      <c r="Z176" s="19" t="str">
        <f t="shared" ca="1" si="60"/>
        <v>—</v>
      </c>
      <c r="AA176" s="20">
        <f t="shared" ca="1" si="61"/>
        <v>60</v>
      </c>
      <c r="AB176" s="21" t="str">
        <f t="shared" ca="1" si="62"/>
        <v>—</v>
      </c>
      <c r="AC176" s="13" t="str">
        <f t="shared" ca="1" si="63"/>
        <v>⬜  Pendiente de instrumento</v>
      </c>
      <c r="AD176" s="13" t="str">
        <f>IF(MATRIZ_174!U175="","",IF(MATRIZ_174!U175=0,"🚫  Inh. vigente OSCE",""))</f>
        <v/>
      </c>
      <c r="AE176" s="22">
        <f>IFERROR(MATRIZ_174!W175,0)</f>
        <v>1</v>
      </c>
      <c r="AF176" s="22">
        <f>IFERROR(MATRIZ_174!X175,0)</f>
        <v>0</v>
      </c>
      <c r="AG176" s="22">
        <f>IFERROR(MATRIZ_174!Y175,0)</f>
        <v>0</v>
      </c>
      <c r="AH176" s="22">
        <f>IFERROR(MATRIZ_174!Z175,0)</f>
        <v>0</v>
      </c>
      <c r="AI176" s="17">
        <f ca="1">IFERROR(MATRIZ_174!AP175,"N/A")</f>
        <v>0.125</v>
      </c>
      <c r="AJ176" s="17">
        <f>IFERROR(MATRIZ_174!AO175,"N/A")</f>
        <v>0</v>
      </c>
      <c r="AK176" s="23" t="str">
        <f t="shared" ca="1" si="64"/>
        <v>N/A</v>
      </c>
      <c r="AL176" s="24" t="str">
        <f t="shared" ca="1" si="65"/>
        <v>—</v>
      </c>
    </row>
    <row r="177" spans="1:38" ht="16.05" customHeight="1" x14ac:dyDescent="0.3">
      <c r="A177" s="13" t="s">
        <v>455</v>
      </c>
      <c r="B177" s="14" t="s">
        <v>456</v>
      </c>
      <c r="C177" s="13" t="s">
        <v>116</v>
      </c>
      <c r="D177" s="15">
        <v>0</v>
      </c>
      <c r="E177" s="16" t="str">
        <f>IF(NORMALIZADO!CB176="","",NORMALIZADO!CB176)</f>
        <v/>
      </c>
      <c r="F177" s="17" t="str">
        <f ca="1">IF(NORMALIZADO!CC176="","",NORMALIZADO!CC176)</f>
        <v/>
      </c>
      <c r="G177" s="17">
        <f ca="1">IF(NORMALIZADO!CD176="",IFERROR(MATRIZ_174!U176*100,""),NORMALIZADO!CD176)</f>
        <v>100</v>
      </c>
      <c r="H177" s="16" t="str">
        <f>IF(NORMALIZADO!CE176="","",NORMALIZADO!CE176)</f>
        <v/>
      </c>
      <c r="I177" s="17" t="str">
        <f>IF(NORMALIZADO!CF176="","",NORMALIZADO!CF176)</f>
        <v/>
      </c>
      <c r="J177" s="17" t="str">
        <f ca="1">IF(NORMALIZADO!CG176="","",NORMALIZADO!CG176)</f>
        <v/>
      </c>
      <c r="K177" s="16" t="str">
        <f ca="1">IF(NORMALIZADO!CH176="","",NORMALIZADO!CH176)</f>
        <v/>
      </c>
      <c r="L177" s="16" t="str">
        <f>IF(NORMALIZADO!CI176="","",NORMALIZADO!CI176)</f>
        <v/>
      </c>
      <c r="M177" s="16" t="str">
        <f>IF(NORMALIZADO!CJ176="","",NORMALIZADO!CJ176)</f>
        <v/>
      </c>
      <c r="N177" s="16" t="str">
        <f>IF(NORMALIZADO!CK176="","",NORMALIZADO!CK176)</f>
        <v/>
      </c>
      <c r="O177" s="16" t="str">
        <f>IF(NORMALIZADO!CL176="","",NORMALIZADO!CL176)</f>
        <v/>
      </c>
      <c r="P177" s="17" t="str">
        <f t="shared" ca="1" si="55"/>
        <v/>
      </c>
      <c r="Q177" s="17">
        <f t="shared" ca="1" si="56"/>
        <v>0</v>
      </c>
      <c r="R177" s="17">
        <f t="shared" ca="1" si="57"/>
        <v>0</v>
      </c>
      <c r="S177" s="17">
        <f t="shared" ca="1" si="58"/>
        <v>0</v>
      </c>
      <c r="T177" s="17">
        <f ca="1">IFERROR((K177+M177+MATRIZ_174!O176)/3,0)</f>
        <v>0</v>
      </c>
      <c r="U177" s="18">
        <f>IFERROR(MIN(100,ROUND(MATRIZ_174!M176,1)),0)</f>
        <v>0</v>
      </c>
      <c r="V177" s="18">
        <f t="shared" ca="1" si="59"/>
        <v>50</v>
      </c>
      <c r="W177" s="18">
        <f>IFERROR(IF(MATRIZ_174!R176=0,65,IF(MATRIZ_174!R176/MATRIZ_174!Q176&gt;=2,35,IF(MATRIZ_174!R176/MATRIZ_174!Q176&gt;=0.5,50,65))),65)</f>
        <v>65</v>
      </c>
      <c r="X177" s="18">
        <f>IFERROR(MIN(100,IF(MATRIZ_174!O176=0,70,30)+IF(MATRIZ_174!U176="",0,0.3*(100-MATRIZ_174!U176*100))),70)</f>
        <v>70</v>
      </c>
      <c r="Y177" s="18">
        <f>IF(OR(MATRIZ_174!P176="ASOCIACION",MATRIZ_174!P176="PENDIENTE"),65,40)</f>
        <v>65</v>
      </c>
      <c r="Z177" s="19" t="str">
        <f t="shared" ca="1" si="60"/>
        <v>—</v>
      </c>
      <c r="AA177" s="20">
        <f t="shared" ca="1" si="61"/>
        <v>50</v>
      </c>
      <c r="AB177" s="21" t="str">
        <f t="shared" ca="1" si="62"/>
        <v>—</v>
      </c>
      <c r="AC177" s="13" t="str">
        <f t="shared" ca="1" si="63"/>
        <v>⬜  Pendiente de instrumento</v>
      </c>
      <c r="AD177" s="13" t="str">
        <f>IF(MATRIZ_174!U176="","",IF(MATRIZ_174!U176=0,"🚫  Inh. vigente OSCE",""))</f>
        <v/>
      </c>
      <c r="AE177" s="22">
        <f>IFERROR(MATRIZ_174!W176,0)</f>
        <v>0</v>
      </c>
      <c r="AF177" s="22">
        <f>IFERROR(MATRIZ_174!X176,0)</f>
        <v>0</v>
      </c>
      <c r="AG177" s="22">
        <f>IFERROR(MATRIZ_174!Y176,0)</f>
        <v>0</v>
      </c>
      <c r="AH177" s="22">
        <f>IFERROR(MATRIZ_174!Z176,0)</f>
        <v>0</v>
      </c>
      <c r="AI177" s="17">
        <f ca="1">IFERROR(MATRIZ_174!AP176,"N/A")</f>
        <v>0</v>
      </c>
      <c r="AJ177" s="17">
        <f>IFERROR(MATRIZ_174!AO176,"N/A")</f>
        <v>0</v>
      </c>
      <c r="AK177" s="23" t="str">
        <f t="shared" ca="1" si="64"/>
        <v>N/A</v>
      </c>
      <c r="AL177" s="24" t="str">
        <f t="shared" ca="1" si="65"/>
        <v>—</v>
      </c>
    </row>
    <row r="178" spans="1:38" ht="22.05" customHeight="1" x14ac:dyDescent="0.3">
      <c r="A178" s="60" t="s">
        <v>947</v>
      </c>
      <c r="B178" s="61"/>
      <c r="C178" s="61"/>
      <c r="D178" s="62"/>
      <c r="E178" s="25"/>
      <c r="F178" s="25"/>
      <c r="G178" s="25"/>
      <c r="H178" s="25"/>
      <c r="I178" s="25"/>
      <c r="J178" s="25"/>
      <c r="K178" s="25"/>
      <c r="L178" s="25"/>
      <c r="M178" s="25"/>
      <c r="N178" s="25"/>
      <c r="O178" s="25"/>
      <c r="P178" s="25"/>
      <c r="Q178" s="25"/>
      <c r="R178" s="25"/>
      <c r="S178" s="25"/>
      <c r="T178" s="25"/>
      <c r="U178" s="25"/>
      <c r="V178" s="25"/>
      <c r="W178" s="25"/>
      <c r="X178" s="25"/>
      <c r="Y178" s="25"/>
      <c r="Z178" s="26" t="str">
        <f ca="1">IFERROR(AVERAGE(Z4:Z177),"—")</f>
        <v>—</v>
      </c>
      <c r="AA178" s="26">
        <f ca="1">IFERROR(AVERAGE(AA4:AA177),"—")</f>
        <v>51.320689655172409</v>
      </c>
      <c r="AB178" s="26" t="str">
        <f ca="1">IFERROR(AVERAGE(AB4:AB177),"—")</f>
        <v>—</v>
      </c>
      <c r="AC178" s="25" t="s">
        <v>948</v>
      </c>
      <c r="AD178" s="25"/>
      <c r="AE178" s="25"/>
      <c r="AF178" s="25"/>
      <c r="AG178" s="25"/>
      <c r="AH178" s="25"/>
      <c r="AI178" s="25"/>
      <c r="AJ178" s="25"/>
      <c r="AK178" s="25"/>
      <c r="AL178" s="26" t="str">
        <f ca="1">IFERROR(AVERAGE(AL4:AL177),"—")</f>
        <v>—</v>
      </c>
    </row>
    <row r="180" spans="1:38" ht="30" customHeight="1" x14ac:dyDescent="0.3">
      <c r="A180" s="63" t="s">
        <v>1091</v>
      </c>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c r="AJ180" s="55"/>
      <c r="AK180" s="55"/>
      <c r="AL180" s="55"/>
    </row>
    <row r="182" spans="1:38" x14ac:dyDescent="0.3">
      <c r="A182" s="66" t="s">
        <v>1544</v>
      </c>
    </row>
    <row r="183" spans="1:38" x14ac:dyDescent="0.3">
      <c r="A183" t="s">
        <v>619</v>
      </c>
      <c r="B183">
        <f>COUNT(E$4:E$177)</f>
        <v>0</v>
      </c>
      <c r="C183" t="str">
        <f>IF(B183=174,"completo",IF(B183=0,"pendiente","parcial"))</f>
        <v>pendiente</v>
      </c>
    </row>
    <row r="184" spans="1:38" x14ac:dyDescent="0.3">
      <c r="A184" t="s">
        <v>1092</v>
      </c>
      <c r="B184">
        <f ca="1">COUNT(F$4:F$177)</f>
        <v>0</v>
      </c>
      <c r="C184" t="str">
        <f ca="1">IF(B184=174,"completo",IF(B184=0,"pendiente","parcial"))</f>
        <v>pendiente</v>
      </c>
    </row>
    <row r="185" spans="1:38" x14ac:dyDescent="0.3">
      <c r="A185" t="s">
        <v>1545</v>
      </c>
      <c r="B185">
        <f ca="1">COUNT(G$4:G$177)</f>
        <v>174</v>
      </c>
      <c r="C185" t="str">
        <f ca="1">IF(B185=174,"completo",IF(B185=0,"pendiente","parcial"))</f>
        <v>completo</v>
      </c>
    </row>
    <row r="186" spans="1:38" x14ac:dyDescent="0.3">
      <c r="A186" t="s">
        <v>1093</v>
      </c>
      <c r="B186">
        <f>COUNT(H$4:H$177)</f>
        <v>0</v>
      </c>
      <c r="C186" t="str">
        <f>IF(B186=174,"completo",IF(B186=0,"pendiente","parcial"))</f>
        <v>pendiente</v>
      </c>
    </row>
    <row r="187" spans="1:38" x14ac:dyDescent="0.3">
      <c r="A187" t="s">
        <v>722</v>
      </c>
      <c r="B187">
        <f>COUNT(I$4:I$177)</f>
        <v>0</v>
      </c>
      <c r="C187" t="str">
        <f>IF(B187=174,"completo",IF(B187=0,"pendiente","parcial"))</f>
        <v>pendiente</v>
      </c>
    </row>
    <row r="188" spans="1:38" x14ac:dyDescent="0.3">
      <c r="A188" t="s">
        <v>1094</v>
      </c>
      <c r="B188">
        <f ca="1">COUNT(J$4:J$177)</f>
        <v>0</v>
      </c>
      <c r="C188" t="str">
        <f ca="1">IF(B188=174,"completo",IF(B188=0,"pendiente","parcial"))</f>
        <v>pendiente</v>
      </c>
    </row>
    <row r="189" spans="1:38" x14ac:dyDescent="0.3">
      <c r="A189" t="s">
        <v>1095</v>
      </c>
      <c r="B189">
        <f ca="1">COUNT(K$4:K$177)</f>
        <v>0</v>
      </c>
      <c r="C189" t="str">
        <f ca="1">IF(B189=174,"completo",IF(B189=0,"pendiente","parcial"))</f>
        <v>pendiente</v>
      </c>
    </row>
    <row r="190" spans="1:38" x14ac:dyDescent="0.3">
      <c r="A190" t="s">
        <v>921</v>
      </c>
      <c r="B190">
        <f>COUNT(L$4:L$177)</f>
        <v>0</v>
      </c>
      <c r="C190" t="str">
        <f>IF(B190=174,"completo",IF(B190=0,"pendiente","parcial"))</f>
        <v>pendiente</v>
      </c>
    </row>
    <row r="191" spans="1:38" x14ac:dyDescent="0.3">
      <c r="A191" t="s">
        <v>1096</v>
      </c>
      <c r="B191">
        <f>COUNT(M$4:M$177)</f>
        <v>0</v>
      </c>
      <c r="C191" t="str">
        <f>IF(B191=174,"completo",IF(B191=0,"pendiente","parcial"))</f>
        <v>pendiente</v>
      </c>
    </row>
    <row r="192" spans="1:38" x14ac:dyDescent="0.3">
      <c r="A192" t="s">
        <v>1097</v>
      </c>
      <c r="B192">
        <f>COUNT(N$4:N$177)</f>
        <v>0</v>
      </c>
      <c r="C192" t="str">
        <f>IF(B192=174,"completo",IF(B192=0,"pendiente","parcial"))</f>
        <v>pendiente</v>
      </c>
    </row>
    <row r="193" spans="1:3" x14ac:dyDescent="0.3">
      <c r="A193" t="s">
        <v>1098</v>
      </c>
      <c r="B193">
        <f>COUNT(O$4:O$177)</f>
        <v>0</v>
      </c>
      <c r="C193" t="str">
        <f>IF(B193=174,"completo",IF(B193=0,"pendiente","parcial"))</f>
        <v>pendiente</v>
      </c>
    </row>
    <row r="194" spans="1:3" x14ac:dyDescent="0.3">
      <c r="A194" t="s">
        <v>1102</v>
      </c>
      <c r="B194">
        <f>COUNT(NORMALIZADO!BV3:BV176)</f>
        <v>0</v>
      </c>
      <c r="C194" t="str">
        <f>IF(B194=174,"completo",IF(B194=0,"pendiente","parcial"))</f>
        <v>pendiente</v>
      </c>
    </row>
    <row r="195" spans="1:3" x14ac:dyDescent="0.3">
      <c r="A195" t="s">
        <v>1099</v>
      </c>
      <c r="B195">
        <f>COUNT(NORMALIZADO!BW3:BW176)</f>
        <v>0</v>
      </c>
      <c r="C195" t="str">
        <f>IF(B195=174,"completo",IF(B195=0,"pendiente","parcial"))</f>
        <v>pendiente</v>
      </c>
    </row>
    <row r="196" spans="1:3" x14ac:dyDescent="0.3">
      <c r="A196" t="s">
        <v>1100</v>
      </c>
      <c r="B196">
        <f>COUNT(NORMALIZADO!BX3:BX176)</f>
        <v>0</v>
      </c>
      <c r="C196" t="str">
        <f>IF(B196=174,"completo",IF(B196=0,"pendiente","parcial"))</f>
        <v>pendiente</v>
      </c>
    </row>
    <row r="197" spans="1:3" x14ac:dyDescent="0.3">
      <c r="A197" t="s">
        <v>1101</v>
      </c>
      <c r="B197">
        <f>COUNT(NORMALIZADO!BY3:BY176)</f>
        <v>0</v>
      </c>
      <c r="C197" t="str">
        <f>IF(B197=174,"completo",IF(B197=0,"pendiente","parcial"))</f>
        <v>pendiente</v>
      </c>
    </row>
    <row r="198" spans="1:3" x14ac:dyDescent="0.3">
      <c r="A198" t="s">
        <v>1546</v>
      </c>
      <c r="B198">
        <f ca="1">COUNT(AK4:AK177)</f>
        <v>0</v>
      </c>
      <c r="C198" t="str">
        <f ca="1">IF(B198=0,"pendiente",IF(B198=174,"completo","parcial"))</f>
        <v>pendiente</v>
      </c>
    </row>
    <row r="199" spans="1:3" x14ac:dyDescent="0.3">
      <c r="A199" t="s">
        <v>1547</v>
      </c>
      <c r="B199">
        <f ca="1">COUNT(Z4:Z177)</f>
        <v>0</v>
      </c>
      <c r="C199" t="str">
        <f ca="1">IF(B199=0,"pendiente",IF(B199=174,"completo","parcial"))</f>
        <v>pendiente</v>
      </c>
    </row>
    <row r="201" spans="1:3" x14ac:dyDescent="0.3">
      <c r="A201" t="s">
        <v>1109</v>
      </c>
    </row>
  </sheetData>
  <mergeCells count="4">
    <mergeCell ref="A1:AL1"/>
    <mergeCell ref="A178:D178"/>
    <mergeCell ref="A180:AL180"/>
    <mergeCell ref="A2:AL2"/>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3"/>
  <sheetViews>
    <sheetView topLeftCell="A16" workbookViewId="0">
      <selection activeCell="A3" sqref="A3"/>
    </sheetView>
  </sheetViews>
  <sheetFormatPr baseColWidth="10" defaultColWidth="8.88671875" defaultRowHeight="14.4" x14ac:dyDescent="0.3"/>
  <cols>
    <col min="1" max="1" width="12" customWidth="1"/>
    <col min="2" max="2" width="24" customWidth="1"/>
    <col min="3" max="3" width="48" customWidth="1"/>
    <col min="4" max="4" width="16" customWidth="1"/>
  </cols>
  <sheetData>
    <row r="1" spans="1:4" ht="28.05" customHeight="1" x14ac:dyDescent="0.3">
      <c r="A1" s="55" t="s">
        <v>949</v>
      </c>
      <c r="B1" s="55"/>
      <c r="C1" s="55"/>
      <c r="D1" s="55"/>
    </row>
    <row r="2" spans="1:4" x14ac:dyDescent="0.3">
      <c r="A2" s="55" t="s">
        <v>950</v>
      </c>
      <c r="B2" s="55"/>
      <c r="C2" s="55"/>
      <c r="D2" s="55"/>
    </row>
    <row r="3" spans="1:4" x14ac:dyDescent="0.3">
      <c r="A3" t="s">
        <v>951</v>
      </c>
      <c r="B3" t="s">
        <v>952</v>
      </c>
    </row>
    <row r="4" spans="1:4" x14ac:dyDescent="0.3">
      <c r="A4" t="s">
        <v>953</v>
      </c>
      <c r="B4" t="s">
        <v>954</v>
      </c>
    </row>
    <row r="5" spans="1:4" x14ac:dyDescent="0.3">
      <c r="A5" t="s">
        <v>955</v>
      </c>
      <c r="B5" t="s">
        <v>956</v>
      </c>
    </row>
    <row r="6" spans="1:4" x14ac:dyDescent="0.3">
      <c r="A6" t="s">
        <v>957</v>
      </c>
      <c r="B6" t="s">
        <v>958</v>
      </c>
    </row>
    <row r="7" spans="1:4" x14ac:dyDescent="0.3">
      <c r="A7" t="s">
        <v>959</v>
      </c>
      <c r="B7" t="s">
        <v>960</v>
      </c>
    </row>
    <row r="8" spans="1:4" x14ac:dyDescent="0.3">
      <c r="A8" t="s">
        <v>961</v>
      </c>
      <c r="B8" t="s">
        <v>962</v>
      </c>
    </row>
    <row r="10" spans="1:4" x14ac:dyDescent="0.3">
      <c r="A10" s="55" t="s">
        <v>963</v>
      </c>
      <c r="B10" s="55"/>
      <c r="C10" s="55"/>
      <c r="D10" s="55"/>
    </row>
    <row r="11" spans="1:4" x14ac:dyDescent="0.3">
      <c r="A11" t="s">
        <v>964</v>
      </c>
      <c r="B11" t="s">
        <v>965</v>
      </c>
      <c r="C11" t="s">
        <v>966</v>
      </c>
      <c r="D11" t="s">
        <v>967</v>
      </c>
    </row>
    <row r="12" spans="1:4" ht="18" customHeight="1" x14ac:dyDescent="0.3">
      <c r="A12" t="s">
        <v>968</v>
      </c>
      <c r="B12" t="s">
        <v>969</v>
      </c>
      <c r="C12" t="s">
        <v>970</v>
      </c>
      <c r="D12">
        <v>20</v>
      </c>
    </row>
    <row r="13" spans="1:4" ht="18" customHeight="1" x14ac:dyDescent="0.3">
      <c r="A13" t="s">
        <v>971</v>
      </c>
      <c r="B13" t="s">
        <v>972</v>
      </c>
      <c r="C13" t="s">
        <v>973</v>
      </c>
      <c r="D13">
        <v>16</v>
      </c>
    </row>
    <row r="14" spans="1:4" ht="18" customHeight="1" x14ac:dyDescent="0.3">
      <c r="A14" t="s">
        <v>974</v>
      </c>
      <c r="B14" t="s">
        <v>975</v>
      </c>
      <c r="C14" t="s">
        <v>976</v>
      </c>
      <c r="D14">
        <v>12</v>
      </c>
    </row>
    <row r="15" spans="1:4" ht="18" customHeight="1" x14ac:dyDescent="0.3">
      <c r="A15" t="s">
        <v>977</v>
      </c>
      <c r="B15" t="s">
        <v>978</v>
      </c>
      <c r="C15" t="s">
        <v>979</v>
      </c>
      <c r="D15">
        <v>8</v>
      </c>
    </row>
    <row r="16" spans="1:4" ht="18" customHeight="1" x14ac:dyDescent="0.3">
      <c r="A16" t="s">
        <v>980</v>
      </c>
      <c r="B16" t="s">
        <v>981</v>
      </c>
      <c r="C16" t="s">
        <v>982</v>
      </c>
      <c r="D16">
        <v>12</v>
      </c>
    </row>
    <row r="17" spans="1:4" ht="18" customHeight="1" x14ac:dyDescent="0.3">
      <c r="A17" t="s">
        <v>983</v>
      </c>
      <c r="B17" t="s">
        <v>984</v>
      </c>
      <c r="C17" t="s">
        <v>985</v>
      </c>
      <c r="D17">
        <v>8</v>
      </c>
    </row>
    <row r="18" spans="1:4" ht="18" customHeight="1" x14ac:dyDescent="0.3">
      <c r="A18" t="s">
        <v>986</v>
      </c>
      <c r="B18" t="s">
        <v>987</v>
      </c>
      <c r="C18" t="s">
        <v>988</v>
      </c>
      <c r="D18">
        <v>4</v>
      </c>
    </row>
    <row r="19" spans="1:4" ht="19.95" customHeight="1" x14ac:dyDescent="0.3">
      <c r="A19" t="s">
        <v>989</v>
      </c>
      <c r="B19" s="55" t="s">
        <v>990</v>
      </c>
      <c r="C19" s="55"/>
      <c r="D19">
        <v>20</v>
      </c>
    </row>
    <row r="20" spans="1:4" x14ac:dyDescent="0.3">
      <c r="A20" t="s">
        <v>991</v>
      </c>
      <c r="D20">
        <f>SUM(D12:D19)</f>
        <v>100</v>
      </c>
    </row>
    <row r="21" spans="1:4" x14ac:dyDescent="0.3">
      <c r="A21" s="55"/>
      <c r="B21" s="55"/>
      <c r="C21" s="55"/>
      <c r="D21" s="55"/>
    </row>
    <row r="22" spans="1:4" x14ac:dyDescent="0.3">
      <c r="A22" t="s">
        <v>992</v>
      </c>
    </row>
    <row r="23" spans="1:4" x14ac:dyDescent="0.3">
      <c r="A23" s="55"/>
      <c r="B23" s="55"/>
      <c r="C23" s="55"/>
      <c r="D23" s="55"/>
    </row>
    <row r="24" spans="1:4" x14ac:dyDescent="0.3">
      <c r="A24" s="65" t="s">
        <v>993</v>
      </c>
      <c r="B24" s="55"/>
      <c r="C24" s="55"/>
      <c r="D24" s="55"/>
    </row>
    <row r="25" spans="1:4" x14ac:dyDescent="0.3">
      <c r="A25" s="52" t="s">
        <v>994</v>
      </c>
    </row>
    <row r="26" spans="1:4" ht="43.2" customHeight="1" x14ac:dyDescent="0.3">
      <c r="A26" s="27" t="s">
        <v>995</v>
      </c>
      <c r="B26" s="27" t="s">
        <v>996</v>
      </c>
      <c r="C26" s="27" t="s">
        <v>997</v>
      </c>
    </row>
    <row r="27" spans="1:4" ht="43.2" customHeight="1" x14ac:dyDescent="0.3">
      <c r="A27" s="28" t="s">
        <v>998</v>
      </c>
      <c r="B27" s="29" t="s">
        <v>999</v>
      </c>
      <c r="C27" s="27" t="s">
        <v>1000</v>
      </c>
    </row>
    <row r="28" spans="1:4" ht="28.8" customHeight="1" x14ac:dyDescent="0.3">
      <c r="A28" s="14"/>
      <c r="B28" s="14"/>
      <c r="C28" s="13"/>
    </row>
    <row r="29" spans="1:4" ht="43.2" customHeight="1" x14ac:dyDescent="0.3">
      <c r="A29" s="28" t="s">
        <v>1001</v>
      </c>
      <c r="B29" s="29" t="s">
        <v>1083</v>
      </c>
      <c r="C29" s="27" t="s">
        <v>1000</v>
      </c>
    </row>
    <row r="30" spans="1:4" ht="28.8" customHeight="1" x14ac:dyDescent="0.3">
      <c r="A30" s="14"/>
      <c r="B30" s="14"/>
      <c r="C30" s="13"/>
    </row>
    <row r="31" spans="1:4" ht="28.8" customHeight="1" x14ac:dyDescent="0.3">
      <c r="A31" s="28" t="s">
        <v>1002</v>
      </c>
      <c r="B31" s="29" t="s">
        <v>1003</v>
      </c>
      <c r="C31" s="27" t="s">
        <v>1000</v>
      </c>
    </row>
    <row r="32" spans="1:4" x14ac:dyDescent="0.3">
      <c r="A32" s="14"/>
      <c r="B32" s="14"/>
      <c r="C32" s="13"/>
    </row>
    <row r="33" spans="1:3" ht="28.8" customHeight="1" x14ac:dyDescent="0.3">
      <c r="A33" s="30" t="s">
        <v>1004</v>
      </c>
      <c r="B33" s="31" t="s">
        <v>1005</v>
      </c>
      <c r="C33" s="32" t="s">
        <v>1006</v>
      </c>
    </row>
    <row r="34" spans="1:3" ht="28.8" customHeight="1" x14ac:dyDescent="0.3">
      <c r="A34" s="33" t="s">
        <v>1007</v>
      </c>
      <c r="B34" s="34" t="s">
        <v>1008</v>
      </c>
      <c r="C34" s="35" t="s">
        <v>1006</v>
      </c>
    </row>
    <row r="35" spans="1:3" ht="28.8" customHeight="1" x14ac:dyDescent="0.3">
      <c r="A35" s="30" t="s">
        <v>1009</v>
      </c>
      <c r="B35" s="31" t="s">
        <v>1010</v>
      </c>
      <c r="C35" s="32" t="s">
        <v>1006</v>
      </c>
    </row>
    <row r="36" spans="1:3" ht="28.8" customHeight="1" x14ac:dyDescent="0.3">
      <c r="A36" s="33" t="s">
        <v>1011</v>
      </c>
      <c r="B36" s="34" t="s">
        <v>1012</v>
      </c>
      <c r="C36" s="35" t="s">
        <v>1006</v>
      </c>
    </row>
    <row r="37" spans="1:3" ht="28.8" customHeight="1" x14ac:dyDescent="0.3">
      <c r="A37" s="30" t="s">
        <v>1013</v>
      </c>
      <c r="B37" s="31" t="s">
        <v>1014</v>
      </c>
      <c r="C37" s="32" t="s">
        <v>1006</v>
      </c>
    </row>
    <row r="38" spans="1:3" ht="28.8" customHeight="1" x14ac:dyDescent="0.3">
      <c r="A38" s="33" t="s">
        <v>1015</v>
      </c>
      <c r="B38" s="34" t="s">
        <v>1016</v>
      </c>
      <c r="C38" s="35" t="s">
        <v>1000</v>
      </c>
    </row>
    <row r="39" spans="1:3" ht="43.2" customHeight="1" x14ac:dyDescent="0.3">
      <c r="A39" s="14"/>
      <c r="B39" s="14"/>
      <c r="C39" s="13"/>
    </row>
    <row r="40" spans="1:3" ht="28.8" customHeight="1" x14ac:dyDescent="0.3">
      <c r="A40" s="33" t="s">
        <v>1017</v>
      </c>
      <c r="B40" s="34" t="s">
        <v>1018</v>
      </c>
      <c r="C40" s="35" t="s">
        <v>1006</v>
      </c>
    </row>
    <row r="41" spans="1:3" ht="43.2" customHeight="1" x14ac:dyDescent="0.3">
      <c r="A41" s="30" t="s">
        <v>1019</v>
      </c>
      <c r="B41" s="31" t="s">
        <v>1020</v>
      </c>
      <c r="C41" s="32" t="s">
        <v>1006</v>
      </c>
    </row>
    <row r="42" spans="1:3" ht="43.2" customHeight="1" x14ac:dyDescent="0.3">
      <c r="A42" s="33" t="s">
        <v>1021</v>
      </c>
      <c r="B42" s="34" t="s">
        <v>1022</v>
      </c>
      <c r="C42" s="35" t="s">
        <v>1006</v>
      </c>
    </row>
    <row r="43" spans="1:3" ht="43.2" customHeight="1" x14ac:dyDescent="0.3">
      <c r="A43" s="30" t="s">
        <v>1023</v>
      </c>
      <c r="B43" s="31" t="s">
        <v>1089</v>
      </c>
      <c r="C43" s="32" t="s">
        <v>1006</v>
      </c>
    </row>
    <row r="44" spans="1:3" ht="28.8" customHeight="1" x14ac:dyDescent="0.3">
      <c r="A44" s="33" t="s">
        <v>1024</v>
      </c>
      <c r="B44" s="34" t="s">
        <v>1025</v>
      </c>
      <c r="C44" s="35" t="s">
        <v>1006</v>
      </c>
    </row>
    <row r="45" spans="1:3" ht="28.8" customHeight="1" x14ac:dyDescent="0.3">
      <c r="A45" s="30" t="s">
        <v>1026</v>
      </c>
      <c r="B45" s="31" t="s">
        <v>1027</v>
      </c>
      <c r="C45" s="32" t="s">
        <v>1000</v>
      </c>
    </row>
    <row r="46" spans="1:3" x14ac:dyDescent="0.3">
      <c r="A46" s="14"/>
      <c r="B46" s="14"/>
      <c r="C46" s="13"/>
    </row>
    <row r="47" spans="1:3" ht="28.8" customHeight="1" x14ac:dyDescent="0.3">
      <c r="A47" s="30" t="s">
        <v>1028</v>
      </c>
      <c r="B47" s="31"/>
      <c r="C47" s="32" t="s">
        <v>512</v>
      </c>
    </row>
    <row r="48" spans="1:3" ht="28.8" customHeight="1" x14ac:dyDescent="0.3">
      <c r="A48" s="33" t="s">
        <v>1029</v>
      </c>
      <c r="B48" s="34" t="s">
        <v>1030</v>
      </c>
      <c r="C48" s="35" t="s">
        <v>1031</v>
      </c>
    </row>
    <row r="49" spans="1:2" x14ac:dyDescent="0.3">
      <c r="A49" t="s">
        <v>1032</v>
      </c>
      <c r="B49" t="s">
        <v>1088</v>
      </c>
    </row>
    <row r="50" spans="1:2" x14ac:dyDescent="0.3">
      <c r="A50" t="s">
        <v>1033</v>
      </c>
      <c r="B50" t="s">
        <v>1034</v>
      </c>
    </row>
    <row r="51" spans="1:2" x14ac:dyDescent="0.3">
      <c r="A51" t="s">
        <v>1035</v>
      </c>
      <c r="B51" t="s">
        <v>1036</v>
      </c>
    </row>
    <row r="53" spans="1:2" x14ac:dyDescent="0.3">
      <c r="A53" t="s">
        <v>1105</v>
      </c>
      <c r="B53" t="s">
        <v>1106</v>
      </c>
    </row>
  </sheetData>
  <mergeCells count="7">
    <mergeCell ref="A1:D1"/>
    <mergeCell ref="A23:D23"/>
    <mergeCell ref="B19:C19"/>
    <mergeCell ref="A21:D21"/>
    <mergeCell ref="A24:D24"/>
    <mergeCell ref="A2:D2"/>
    <mergeCell ref="A10:D1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176"/>
  <sheetViews>
    <sheetView workbookViewId="0">
      <pane xSplit="2" ySplit="2" topLeftCell="C3" activePane="bottomRight" state="frozen"/>
      <selection sqref="A1:AL1"/>
      <selection pane="topRight" sqref="A1:AL1"/>
      <selection pane="bottomLeft" sqref="A1:AL1"/>
      <selection pane="bottomRight" activeCell="A4" sqref="A4"/>
    </sheetView>
  </sheetViews>
  <sheetFormatPr baseColWidth="10" defaultColWidth="8.88671875" defaultRowHeight="14.4" x14ac:dyDescent="0.3"/>
  <cols>
    <col min="1" max="1" width="14" customWidth="1"/>
    <col min="2" max="2" width="65.6640625" bestFit="1" customWidth="1"/>
    <col min="3" max="3" width="14" customWidth="1"/>
    <col min="4" max="4" width="12" customWidth="1"/>
    <col min="5" max="5" width="14" customWidth="1"/>
    <col min="6" max="6" width="8" customWidth="1"/>
    <col min="7" max="7" width="9" customWidth="1"/>
    <col min="8" max="12" width="14" customWidth="1"/>
    <col min="13" max="13" width="10" customWidth="1"/>
    <col min="14" max="15" width="14" customWidth="1"/>
    <col min="16" max="16" width="12" customWidth="1"/>
    <col min="17" max="20" width="14" customWidth="1"/>
    <col min="23" max="26" width="22" customWidth="1"/>
    <col min="27" max="40" width="20" customWidth="1"/>
    <col min="41" max="42" width="16" customWidth="1"/>
  </cols>
  <sheetData>
    <row r="1" spans="1:43" ht="28.05" customHeight="1" x14ac:dyDescent="0.3">
      <c r="A1" s="55" t="s">
        <v>0</v>
      </c>
      <c r="B1" s="55"/>
      <c r="C1" s="55"/>
      <c r="D1" s="55"/>
      <c r="E1" s="55"/>
      <c r="F1" s="55"/>
      <c r="G1" s="55"/>
      <c r="H1" s="55"/>
      <c r="I1" s="55"/>
      <c r="J1" s="55"/>
      <c r="K1" s="55"/>
      <c r="L1" s="55"/>
      <c r="M1" s="55"/>
      <c r="N1" s="55"/>
      <c r="O1" s="55"/>
      <c r="P1" s="55"/>
      <c r="Q1" s="55"/>
      <c r="R1" s="55"/>
      <c r="S1" s="55"/>
      <c r="W1" t="s">
        <v>1</v>
      </c>
      <c r="X1" t="s">
        <v>2</v>
      </c>
      <c r="Y1" t="s">
        <v>3</v>
      </c>
      <c r="Z1" t="s">
        <v>4</v>
      </c>
      <c r="AA1" t="s">
        <v>5</v>
      </c>
      <c r="AB1" t="s">
        <v>6</v>
      </c>
      <c r="AC1" t="s">
        <v>7</v>
      </c>
      <c r="AD1" t="s">
        <v>8</v>
      </c>
      <c r="AE1" t="s">
        <v>9</v>
      </c>
      <c r="AF1" t="s">
        <v>10</v>
      </c>
      <c r="AG1" t="s">
        <v>11</v>
      </c>
      <c r="AH1" t="s">
        <v>12</v>
      </c>
      <c r="AI1" t="s">
        <v>13</v>
      </c>
      <c r="AJ1" t="s">
        <v>14</v>
      </c>
      <c r="AK1" t="s">
        <v>15</v>
      </c>
      <c r="AL1" t="s">
        <v>16</v>
      </c>
      <c r="AM1" t="s">
        <v>17</v>
      </c>
      <c r="AN1" t="s">
        <v>18</v>
      </c>
      <c r="AO1" t="s">
        <v>19</v>
      </c>
      <c r="AP1" t="s">
        <v>20</v>
      </c>
    </row>
    <row r="2" spans="1:43" s="50" customFormat="1" ht="100.05" customHeight="1" x14ac:dyDescent="0.3">
      <c r="A2" s="50" t="s">
        <v>21</v>
      </c>
      <c r="B2" s="50" t="s">
        <v>22</v>
      </c>
      <c r="C2" s="50" t="s">
        <v>23</v>
      </c>
      <c r="D2" s="50" t="s">
        <v>24</v>
      </c>
      <c r="E2" s="50" t="s">
        <v>25</v>
      </c>
      <c r="F2" s="50" t="s">
        <v>26</v>
      </c>
      <c r="G2" s="50" t="s">
        <v>27</v>
      </c>
      <c r="H2" s="50" t="s">
        <v>28</v>
      </c>
      <c r="I2" s="50" t="s">
        <v>29</v>
      </c>
      <c r="J2" s="50" t="s">
        <v>30</v>
      </c>
      <c r="K2" s="50" t="s">
        <v>31</v>
      </c>
      <c r="L2" s="50" t="s">
        <v>32</v>
      </c>
      <c r="M2" s="50" t="s">
        <v>33</v>
      </c>
      <c r="N2" s="50" t="s">
        <v>34</v>
      </c>
      <c r="O2" s="50" t="s">
        <v>35</v>
      </c>
      <c r="P2" s="50" t="s">
        <v>36</v>
      </c>
      <c r="Q2" s="50" t="s">
        <v>37</v>
      </c>
      <c r="R2" s="50" t="s">
        <v>38</v>
      </c>
      <c r="S2" s="50" t="s">
        <v>39</v>
      </c>
      <c r="T2" s="50" t="s">
        <v>40</v>
      </c>
      <c r="U2" s="50" t="s">
        <v>41</v>
      </c>
      <c r="V2" s="50" t="s">
        <v>42</v>
      </c>
      <c r="W2" s="50" t="s">
        <v>43</v>
      </c>
      <c r="X2" s="50" t="s">
        <v>44</v>
      </c>
      <c r="Y2" s="50" t="s">
        <v>45</v>
      </c>
      <c r="Z2" s="50" t="s">
        <v>46</v>
      </c>
      <c r="AA2" s="50" t="s">
        <v>47</v>
      </c>
      <c r="AB2" s="50" t="s">
        <v>48</v>
      </c>
      <c r="AC2" s="50" t="s">
        <v>49</v>
      </c>
      <c r="AD2" s="50" t="s">
        <v>50</v>
      </c>
      <c r="AE2" s="50" t="s">
        <v>51</v>
      </c>
      <c r="AF2" s="50" t="s">
        <v>52</v>
      </c>
      <c r="AG2" s="50" t="s">
        <v>53</v>
      </c>
      <c r="AH2" s="50" t="s">
        <v>54</v>
      </c>
      <c r="AI2" s="50" t="s">
        <v>55</v>
      </c>
      <c r="AJ2" s="50" t="s">
        <v>56</v>
      </c>
      <c r="AK2" s="50" t="s">
        <v>57</v>
      </c>
      <c r="AL2" s="50" t="s">
        <v>58</v>
      </c>
      <c r="AM2" s="50" t="s">
        <v>59</v>
      </c>
      <c r="AN2" s="50" t="s">
        <v>60</v>
      </c>
      <c r="AO2" s="50" t="s">
        <v>1085</v>
      </c>
      <c r="AP2" s="50" t="s">
        <v>61</v>
      </c>
      <c r="AQ2" s="50" t="s">
        <v>1104</v>
      </c>
    </row>
    <row r="3" spans="1:43" ht="16.05" customHeight="1" x14ac:dyDescent="0.3">
      <c r="A3" t="s">
        <v>62</v>
      </c>
      <c r="B3" t="s">
        <v>63</v>
      </c>
      <c r="C3" t="s">
        <v>64</v>
      </c>
      <c r="D3" t="s">
        <v>65</v>
      </c>
      <c r="E3">
        <v>5107246.6199999992</v>
      </c>
      <c r="F3">
        <v>38</v>
      </c>
      <c r="G3" t="s">
        <v>66</v>
      </c>
      <c r="J3" t="s">
        <v>67</v>
      </c>
      <c r="L3">
        <v>2553623.31</v>
      </c>
      <c r="M3">
        <f t="shared" ref="M3:M34" si="0">IF(E3&gt;0,ROUND(L3/E3*100,1),0)</f>
        <v>50</v>
      </c>
      <c r="N3" t="s">
        <v>68</v>
      </c>
      <c r="O3">
        <f t="shared" ref="O3:O34" si="1">IF(H3="SI",1,0)*0.6+IF(I3="SI",1,0)*0.4</f>
        <v>0</v>
      </c>
      <c r="P3" t="s">
        <v>68</v>
      </c>
      <c r="S3">
        <f t="shared" ref="S3:S34" ca="1" si="2">IFERROR(ROUND(AP3*100,1),"N/A")</f>
        <v>12.5</v>
      </c>
      <c r="T3" t="str">
        <f t="shared" ref="T3:T34" ca="1" si="3">IF(NOT(ISNUMBER(S3)),"—",IF(AQ3&lt;6,"⬜  Parcial · Inst. 2 pendiente",IF(S3&lt;34,"🔴 Crítico",IF(S3&lt;67,"🟡 Vulnerable","🟢 Preparado"))))</f>
        <v>⬜  Parcial · Inst. 2 pendiente</v>
      </c>
      <c r="U3" s="53">
        <v>1</v>
      </c>
      <c r="V3" t="s">
        <v>69</v>
      </c>
      <c r="W3">
        <f>IF(NORMALIZADO!BV3="",1,NORMALIZADO!BV3)</f>
        <v>1</v>
      </c>
      <c r="X3">
        <f>IF(NORMALIZADO!BW3="",0,NORMALIZADO!BW3)</f>
        <v>0</v>
      </c>
      <c r="Y3">
        <f>IF(NORMALIZADO!BX3="",0,NORMALIZADO!BX3)</f>
        <v>0</v>
      </c>
      <c r="Z3">
        <f>IF(NORMALIZADO!BY3="",0,NORMALIZADO!BY3)</f>
        <v>0</v>
      </c>
      <c r="AA3">
        <v>0</v>
      </c>
      <c r="AB3">
        <v>0</v>
      </c>
      <c r="AC3">
        <v>0</v>
      </c>
      <c r="AD3">
        <v>0</v>
      </c>
      <c r="AE3">
        <v>0</v>
      </c>
      <c r="AF3">
        <v>0</v>
      </c>
      <c r="AG3">
        <v>0</v>
      </c>
      <c r="AH3">
        <v>0</v>
      </c>
      <c r="AI3">
        <v>0</v>
      </c>
      <c r="AJ3">
        <v>0</v>
      </c>
      <c r="AK3">
        <v>0</v>
      </c>
      <c r="AL3">
        <v>0</v>
      </c>
      <c r="AM3">
        <v>0</v>
      </c>
      <c r="AN3">
        <v>0</v>
      </c>
      <c r="AO3">
        <f t="shared" ref="AO3:AO34" si="4">IFERROR(AVERAGE(AA3,AB3,AC3,AD3,AE3,AF3,AG3,AH3,AI3,AJ3,AK3,AL3,AM3,AN3),"N/A")</f>
        <v>0</v>
      </c>
      <c r="AP3">
        <f ca="1">IFERROR(((M3/100)*PONDERADORES!$D$12+(SCORECARDS!H3/100)*PONDERADORES!$D$13+(SCORECARDS!I3/100)*PONDERADORES!$D$14+(SCORECARDS!J3/100)*PONDERADORES!$D$15+(ISCAM_Score!K4/100)*PONDERADORES!$D$16+O3*PONDERADORES!$D$17+0*PONDERADORES!$D$18+(AVERAGE(W3:Z3)/2)*PONDERADORES!$D$19)/PONDERADORES!$D$20,"N/A")</f>
        <v>0.125</v>
      </c>
      <c r="AQ3">
        <f ca="1">COUNT(M3)+IF(SCORECARDS!H3="",0,1)+IF(SCORECARDS!I3="",0,1)+IF(SCORECARDS!J3="",0,1)+IF(ISCAM_Score!K4="",0,1)+IF(O3="",0,1)+IF(COUNT(W3:Z3)&gt;0,1,0)</f>
        <v>3</v>
      </c>
    </row>
    <row r="4" spans="1:43" ht="16.05" customHeight="1" x14ac:dyDescent="0.3">
      <c r="A4" t="s">
        <v>70</v>
      </c>
      <c r="B4" t="s">
        <v>71</v>
      </c>
      <c r="C4" t="s">
        <v>72</v>
      </c>
      <c r="D4" t="s">
        <v>73</v>
      </c>
      <c r="E4">
        <v>0</v>
      </c>
      <c r="G4" t="s">
        <v>74</v>
      </c>
      <c r="J4" t="s">
        <v>67</v>
      </c>
      <c r="L4">
        <v>0</v>
      </c>
      <c r="M4">
        <f t="shared" si="0"/>
        <v>0</v>
      </c>
      <c r="N4" t="s">
        <v>68</v>
      </c>
      <c r="O4">
        <f t="shared" si="1"/>
        <v>0</v>
      </c>
      <c r="P4" t="s">
        <v>68</v>
      </c>
      <c r="S4">
        <f t="shared" ca="1" si="2"/>
        <v>0</v>
      </c>
      <c r="T4" t="str">
        <f t="shared" ca="1" si="3"/>
        <v>⬜  Parcial · Inst. 2 pendiente</v>
      </c>
      <c r="U4" s="53">
        <v>1</v>
      </c>
      <c r="V4" t="s">
        <v>69</v>
      </c>
      <c r="W4">
        <f>IF(NORMALIZADO!BV4="",0,NORMALIZADO!BV4)</f>
        <v>0</v>
      </c>
      <c r="X4">
        <f>IF(NORMALIZADO!BW4="",0,NORMALIZADO!BW4)</f>
        <v>0</v>
      </c>
      <c r="Y4">
        <f>IF(NORMALIZADO!BX4="",0,NORMALIZADO!BX4)</f>
        <v>0</v>
      </c>
      <c r="Z4">
        <f>IF(NORMALIZADO!BY4="",0,NORMALIZADO!BY4)</f>
        <v>0</v>
      </c>
      <c r="AA4">
        <v>0</v>
      </c>
      <c r="AB4">
        <v>0</v>
      </c>
      <c r="AC4">
        <v>0</v>
      </c>
      <c r="AD4">
        <v>0</v>
      </c>
      <c r="AE4">
        <v>0</v>
      </c>
      <c r="AF4">
        <v>0</v>
      </c>
      <c r="AG4">
        <v>0</v>
      </c>
      <c r="AH4">
        <v>0</v>
      </c>
      <c r="AI4">
        <v>0</v>
      </c>
      <c r="AJ4">
        <v>0</v>
      </c>
      <c r="AK4">
        <v>0</v>
      </c>
      <c r="AL4">
        <v>0</v>
      </c>
      <c r="AM4">
        <v>0</v>
      </c>
      <c r="AN4">
        <v>0</v>
      </c>
      <c r="AO4">
        <f t="shared" si="4"/>
        <v>0</v>
      </c>
      <c r="AP4">
        <f ca="1">IFERROR(((M4/100)*PONDERADORES!$D$12+(SCORECARDS!H4/100)*PONDERADORES!$D$13+(SCORECARDS!I4/100)*PONDERADORES!$D$14+(SCORECARDS!J4/100)*PONDERADORES!$D$15+(ISCAM_Score!K5/100)*PONDERADORES!$D$16+O4*PONDERADORES!$D$17+0*PONDERADORES!$D$18+(AVERAGE(W4:Z4)/2)*PONDERADORES!$D$19)/PONDERADORES!$D$20,"N/A")</f>
        <v>0</v>
      </c>
      <c r="AQ4">
        <f ca="1">COUNT(M4)+IF(SCORECARDS!H4="",0,1)+IF(SCORECARDS!I4="",0,1)+IF(SCORECARDS!J4="",0,1)+IF(ISCAM_Score!K5="",0,1)+IF(O4="",0,1)+IF(COUNT(W4:Z4)&gt;0,1,0)</f>
        <v>3</v>
      </c>
    </row>
    <row r="5" spans="1:43" ht="16.05" customHeight="1" x14ac:dyDescent="0.3">
      <c r="A5" t="s">
        <v>75</v>
      </c>
      <c r="B5" t="s">
        <v>76</v>
      </c>
      <c r="C5" t="s">
        <v>77</v>
      </c>
      <c r="E5">
        <v>9603968.1199999992</v>
      </c>
      <c r="F5">
        <v>41</v>
      </c>
      <c r="G5" t="s">
        <v>66</v>
      </c>
      <c r="J5" t="s">
        <v>67</v>
      </c>
      <c r="L5">
        <v>4801984.0599999996</v>
      </c>
      <c r="M5">
        <f t="shared" si="0"/>
        <v>50</v>
      </c>
      <c r="N5" t="s">
        <v>68</v>
      </c>
      <c r="O5">
        <f t="shared" si="1"/>
        <v>0</v>
      </c>
      <c r="P5" t="s">
        <v>68</v>
      </c>
      <c r="S5">
        <f t="shared" ca="1" si="2"/>
        <v>12.5</v>
      </c>
      <c r="T5" t="str">
        <f t="shared" ca="1" si="3"/>
        <v>⬜  Parcial · Inst. 2 pendiente</v>
      </c>
      <c r="U5" s="53">
        <v>1</v>
      </c>
      <c r="V5" t="s">
        <v>69</v>
      </c>
      <c r="W5">
        <f>IF(NORMALIZADO!BV5="",1,NORMALIZADO!BV5)</f>
        <v>1</v>
      </c>
      <c r="X5">
        <f>IF(NORMALIZADO!BW5="",0,NORMALIZADO!BW5)</f>
        <v>0</v>
      </c>
      <c r="Y5">
        <f>IF(NORMALIZADO!BX5="",0,NORMALIZADO!BX5)</f>
        <v>0</v>
      </c>
      <c r="Z5">
        <f>IF(NORMALIZADO!BY5="",0,NORMALIZADO!BY5)</f>
        <v>0</v>
      </c>
      <c r="AA5">
        <v>0</v>
      </c>
      <c r="AB5">
        <v>0</v>
      </c>
      <c r="AC5">
        <v>0</v>
      </c>
      <c r="AD5">
        <v>0</v>
      </c>
      <c r="AE5">
        <v>0</v>
      </c>
      <c r="AF5">
        <v>0</v>
      </c>
      <c r="AG5">
        <v>0</v>
      </c>
      <c r="AH5">
        <v>0</v>
      </c>
      <c r="AI5">
        <v>0</v>
      </c>
      <c r="AJ5">
        <v>0</v>
      </c>
      <c r="AK5">
        <v>0</v>
      </c>
      <c r="AL5">
        <v>0</v>
      </c>
      <c r="AM5">
        <v>0</v>
      </c>
      <c r="AN5">
        <v>0</v>
      </c>
      <c r="AO5">
        <f t="shared" si="4"/>
        <v>0</v>
      </c>
      <c r="AP5">
        <f ca="1">IFERROR(((M5/100)*PONDERADORES!$D$12+(SCORECARDS!H5/100)*PONDERADORES!$D$13+(SCORECARDS!I5/100)*PONDERADORES!$D$14+(SCORECARDS!J5/100)*PONDERADORES!$D$15+(ISCAM_Score!K6/100)*PONDERADORES!$D$16+O5*PONDERADORES!$D$17+0*PONDERADORES!$D$18+(AVERAGE(W5:Z5)/2)*PONDERADORES!$D$19)/PONDERADORES!$D$20,"N/A")</f>
        <v>0.125</v>
      </c>
      <c r="AQ5">
        <f ca="1">COUNT(M5)+IF(SCORECARDS!H5="",0,1)+IF(SCORECARDS!I5="",0,1)+IF(SCORECARDS!J5="",0,1)+IF(ISCAM_Score!K6="",0,1)+IF(O5="",0,1)+IF(COUNT(W5:Z5)&gt;0,1,0)</f>
        <v>3</v>
      </c>
    </row>
    <row r="6" spans="1:43" ht="16.05" customHeight="1" x14ac:dyDescent="0.3">
      <c r="A6" t="s">
        <v>78</v>
      </c>
      <c r="B6" t="s">
        <v>79</v>
      </c>
      <c r="C6" t="s">
        <v>80</v>
      </c>
      <c r="G6" t="s">
        <v>74</v>
      </c>
      <c r="H6" t="s">
        <v>81</v>
      </c>
      <c r="I6" t="s">
        <v>82</v>
      </c>
      <c r="J6" t="s">
        <v>67</v>
      </c>
      <c r="L6">
        <v>0</v>
      </c>
      <c r="M6">
        <f t="shared" si="0"/>
        <v>0</v>
      </c>
      <c r="N6" t="s">
        <v>68</v>
      </c>
      <c r="O6">
        <f t="shared" si="1"/>
        <v>0</v>
      </c>
      <c r="P6" t="s">
        <v>68</v>
      </c>
      <c r="Q6">
        <v>44</v>
      </c>
      <c r="R6">
        <v>44</v>
      </c>
      <c r="S6">
        <f t="shared" ca="1" si="2"/>
        <v>2.5</v>
      </c>
      <c r="T6" t="str">
        <f t="shared" ca="1" si="3"/>
        <v>⬜  Parcial · Inst. 2 pendiente</v>
      </c>
      <c r="U6" s="53">
        <v>1</v>
      </c>
      <c r="V6" t="s">
        <v>69</v>
      </c>
      <c r="W6">
        <f>IF(NORMALIZADO!BV6="",1,NORMALIZADO!BV6)</f>
        <v>1</v>
      </c>
      <c r="X6">
        <f>IF(NORMALIZADO!BW6="",0,NORMALIZADO!BW6)</f>
        <v>0</v>
      </c>
      <c r="Y6">
        <f>IF(NORMALIZADO!BX6="",0,NORMALIZADO!BX6)</f>
        <v>0</v>
      </c>
      <c r="Z6">
        <f>IF(NORMALIZADO!BY6="",0,NORMALIZADO!BY6)</f>
        <v>0</v>
      </c>
      <c r="AA6">
        <v>0</v>
      </c>
      <c r="AB6">
        <v>0</v>
      </c>
      <c r="AC6">
        <v>0</v>
      </c>
      <c r="AD6">
        <v>0</v>
      </c>
      <c r="AE6">
        <v>0</v>
      </c>
      <c r="AF6">
        <v>0</v>
      </c>
      <c r="AG6">
        <v>0</v>
      </c>
      <c r="AH6">
        <v>0</v>
      </c>
      <c r="AI6">
        <v>0</v>
      </c>
      <c r="AJ6">
        <v>0</v>
      </c>
      <c r="AK6">
        <v>0</v>
      </c>
      <c r="AL6">
        <v>0</v>
      </c>
      <c r="AM6">
        <v>0</v>
      </c>
      <c r="AN6">
        <v>0</v>
      </c>
      <c r="AO6">
        <f t="shared" si="4"/>
        <v>0</v>
      </c>
      <c r="AP6">
        <f ca="1">IFERROR(((M6/100)*PONDERADORES!$D$12+(SCORECARDS!H6/100)*PONDERADORES!$D$13+(SCORECARDS!I6/100)*PONDERADORES!$D$14+(SCORECARDS!J6/100)*PONDERADORES!$D$15+(ISCAM_Score!K7/100)*PONDERADORES!$D$16+O6*PONDERADORES!$D$17+0*PONDERADORES!$D$18+(AVERAGE(W6:Z6)/2)*PONDERADORES!$D$19)/PONDERADORES!$D$20,"N/A")</f>
        <v>2.5000000000000001E-2</v>
      </c>
      <c r="AQ6">
        <f ca="1">COUNT(M6)+IF(SCORECARDS!H6="",0,1)+IF(SCORECARDS!I6="",0,1)+IF(SCORECARDS!J6="",0,1)+IF(ISCAM_Score!K7="",0,1)+IF(O6="",0,1)+IF(COUNT(W6:Z6)&gt;0,1,0)</f>
        <v>3</v>
      </c>
    </row>
    <row r="7" spans="1:43" ht="16.05" customHeight="1" x14ac:dyDescent="0.3">
      <c r="A7" t="s">
        <v>83</v>
      </c>
      <c r="B7" t="s">
        <v>84</v>
      </c>
      <c r="C7" t="s">
        <v>80</v>
      </c>
      <c r="D7" t="s">
        <v>65</v>
      </c>
      <c r="G7" t="s">
        <v>74</v>
      </c>
      <c r="H7" t="s">
        <v>81</v>
      </c>
      <c r="J7" t="s">
        <v>67</v>
      </c>
      <c r="K7" t="s">
        <v>85</v>
      </c>
      <c r="L7">
        <v>0</v>
      </c>
      <c r="M7">
        <f t="shared" si="0"/>
        <v>0</v>
      </c>
      <c r="N7" t="s">
        <v>68</v>
      </c>
      <c r="O7">
        <f t="shared" si="1"/>
        <v>0</v>
      </c>
      <c r="P7" t="s">
        <v>68</v>
      </c>
      <c r="Q7">
        <v>100</v>
      </c>
      <c r="R7">
        <v>218</v>
      </c>
      <c r="S7">
        <f t="shared" ca="1" si="2"/>
        <v>2.5</v>
      </c>
      <c r="T7" t="str">
        <f t="shared" ca="1" si="3"/>
        <v>⬜  Parcial · Inst. 2 pendiente</v>
      </c>
      <c r="U7" s="53">
        <v>1</v>
      </c>
      <c r="V7" t="s">
        <v>69</v>
      </c>
      <c r="W7">
        <f>IF(NORMALIZADO!BV7="",1,NORMALIZADO!BV7)</f>
        <v>1</v>
      </c>
      <c r="X7">
        <f>IF(NORMALIZADO!BW7="",0,NORMALIZADO!BW7)</f>
        <v>0</v>
      </c>
      <c r="Y7">
        <f>IF(NORMALIZADO!BX7="",0,NORMALIZADO!BX7)</f>
        <v>0</v>
      </c>
      <c r="Z7">
        <f>IF(NORMALIZADO!BY7="",0,NORMALIZADO!BY7)</f>
        <v>0</v>
      </c>
      <c r="AA7">
        <v>0</v>
      </c>
      <c r="AB7">
        <v>0</v>
      </c>
      <c r="AC7">
        <v>0</v>
      </c>
      <c r="AD7">
        <v>0</v>
      </c>
      <c r="AE7">
        <v>0</v>
      </c>
      <c r="AF7">
        <v>0</v>
      </c>
      <c r="AG7">
        <v>0</v>
      </c>
      <c r="AH7">
        <v>0</v>
      </c>
      <c r="AI7">
        <v>0</v>
      </c>
      <c r="AJ7">
        <v>0</v>
      </c>
      <c r="AK7">
        <v>0</v>
      </c>
      <c r="AL7">
        <v>0</v>
      </c>
      <c r="AM7">
        <v>0</v>
      </c>
      <c r="AN7">
        <v>0</v>
      </c>
      <c r="AO7">
        <f t="shared" si="4"/>
        <v>0</v>
      </c>
      <c r="AP7">
        <f ca="1">IFERROR(((M7/100)*PONDERADORES!$D$12+(SCORECARDS!H7/100)*PONDERADORES!$D$13+(SCORECARDS!I7/100)*PONDERADORES!$D$14+(SCORECARDS!J7/100)*PONDERADORES!$D$15+(ISCAM_Score!K8/100)*PONDERADORES!$D$16+O7*PONDERADORES!$D$17+0*PONDERADORES!$D$18+(AVERAGE(W7:Z7)/2)*PONDERADORES!$D$19)/PONDERADORES!$D$20,"N/A")</f>
        <v>2.5000000000000001E-2</v>
      </c>
      <c r="AQ7">
        <f ca="1">COUNT(M7)+IF(SCORECARDS!H7="",0,1)+IF(SCORECARDS!I7="",0,1)+IF(SCORECARDS!J7="",0,1)+IF(ISCAM_Score!K8="",0,1)+IF(O7="",0,1)+IF(COUNT(W7:Z7)&gt;0,1,0)</f>
        <v>3</v>
      </c>
    </row>
    <row r="8" spans="1:43" ht="16.05" customHeight="1" x14ac:dyDescent="0.3">
      <c r="A8" t="s">
        <v>86</v>
      </c>
      <c r="B8" t="s">
        <v>87</v>
      </c>
      <c r="C8" t="s">
        <v>80</v>
      </c>
      <c r="D8" t="s">
        <v>65</v>
      </c>
      <c r="E8">
        <v>2477083.5</v>
      </c>
      <c r="F8">
        <v>14</v>
      </c>
      <c r="G8" t="s">
        <v>66</v>
      </c>
      <c r="J8" t="s">
        <v>67</v>
      </c>
      <c r="L8">
        <v>1238541.75</v>
      </c>
      <c r="M8">
        <f t="shared" si="0"/>
        <v>50</v>
      </c>
      <c r="N8" t="s">
        <v>68</v>
      </c>
      <c r="O8">
        <f t="shared" si="1"/>
        <v>0</v>
      </c>
      <c r="P8" t="s">
        <v>68</v>
      </c>
      <c r="S8">
        <f t="shared" ca="1" si="2"/>
        <v>12.5</v>
      </c>
      <c r="T8" t="str">
        <f t="shared" ca="1" si="3"/>
        <v>⬜  Parcial · Inst. 2 pendiente</v>
      </c>
      <c r="U8" s="53">
        <v>1</v>
      </c>
      <c r="V8" t="s">
        <v>69</v>
      </c>
      <c r="W8">
        <f>IF(NORMALIZADO!BV8="",1,NORMALIZADO!BV8)</f>
        <v>1</v>
      </c>
      <c r="X8">
        <f>IF(NORMALIZADO!BW8="",0,NORMALIZADO!BW8)</f>
        <v>0</v>
      </c>
      <c r="Y8">
        <f>IF(NORMALIZADO!BX8="",0,NORMALIZADO!BX8)</f>
        <v>0</v>
      </c>
      <c r="Z8">
        <f>IF(NORMALIZADO!BY8="",0,NORMALIZADO!BY8)</f>
        <v>0</v>
      </c>
      <c r="AA8">
        <v>0</v>
      </c>
      <c r="AB8">
        <v>0</v>
      </c>
      <c r="AC8">
        <v>0</v>
      </c>
      <c r="AD8">
        <v>0</v>
      </c>
      <c r="AE8">
        <v>0</v>
      </c>
      <c r="AF8">
        <v>0</v>
      </c>
      <c r="AG8">
        <v>0</v>
      </c>
      <c r="AH8">
        <v>0</v>
      </c>
      <c r="AI8">
        <v>0</v>
      </c>
      <c r="AJ8">
        <v>0</v>
      </c>
      <c r="AK8">
        <v>0</v>
      </c>
      <c r="AL8">
        <v>0</v>
      </c>
      <c r="AM8">
        <v>0</v>
      </c>
      <c r="AN8">
        <v>0</v>
      </c>
      <c r="AO8">
        <f t="shared" si="4"/>
        <v>0</v>
      </c>
      <c r="AP8">
        <f ca="1">IFERROR(((M8/100)*PONDERADORES!$D$12+(SCORECARDS!H8/100)*PONDERADORES!$D$13+(SCORECARDS!I8/100)*PONDERADORES!$D$14+(SCORECARDS!J8/100)*PONDERADORES!$D$15+(ISCAM_Score!K9/100)*PONDERADORES!$D$16+O8*PONDERADORES!$D$17+0*PONDERADORES!$D$18+(AVERAGE(W8:Z8)/2)*PONDERADORES!$D$19)/PONDERADORES!$D$20,"N/A")</f>
        <v>0.125</v>
      </c>
      <c r="AQ8">
        <f ca="1">COUNT(M8)+IF(SCORECARDS!H8="",0,1)+IF(SCORECARDS!I8="",0,1)+IF(SCORECARDS!J8="",0,1)+IF(ISCAM_Score!K9="",0,1)+IF(O8="",0,1)+IF(COUNT(W8:Z8)&gt;0,1,0)</f>
        <v>3</v>
      </c>
    </row>
    <row r="9" spans="1:43" ht="16.05" customHeight="1" x14ac:dyDescent="0.3">
      <c r="A9" t="s">
        <v>88</v>
      </c>
      <c r="B9" t="s">
        <v>89</v>
      </c>
      <c r="C9" t="s">
        <v>80</v>
      </c>
      <c r="D9" t="s">
        <v>65</v>
      </c>
      <c r="E9">
        <v>1689820.33</v>
      </c>
      <c r="F9">
        <v>5</v>
      </c>
      <c r="G9" t="s">
        <v>66</v>
      </c>
      <c r="J9" t="s">
        <v>67</v>
      </c>
      <c r="L9">
        <v>0</v>
      </c>
      <c r="M9">
        <f t="shared" si="0"/>
        <v>0</v>
      </c>
      <c r="N9" t="s">
        <v>68</v>
      </c>
      <c r="O9">
        <f t="shared" si="1"/>
        <v>0</v>
      </c>
      <c r="P9" t="s">
        <v>68</v>
      </c>
      <c r="S9">
        <f t="shared" ca="1" si="2"/>
        <v>0</v>
      </c>
      <c r="T9" t="str">
        <f t="shared" ca="1" si="3"/>
        <v>⬜  Parcial · Inst. 2 pendiente</v>
      </c>
      <c r="U9" s="53">
        <v>1</v>
      </c>
      <c r="V9" t="s">
        <v>69</v>
      </c>
      <c r="W9">
        <f>IF(NORMALIZADO!BV9="",0,NORMALIZADO!BV9)</f>
        <v>0</v>
      </c>
      <c r="X9">
        <f>IF(NORMALIZADO!BW9="",0,NORMALIZADO!BW9)</f>
        <v>0</v>
      </c>
      <c r="Y9">
        <f>IF(NORMALIZADO!BX9="",0,NORMALIZADO!BX9)</f>
        <v>0</v>
      </c>
      <c r="Z9">
        <f>IF(NORMALIZADO!BY9="",0,NORMALIZADO!BY9)</f>
        <v>0</v>
      </c>
      <c r="AA9">
        <v>0</v>
      </c>
      <c r="AB9">
        <v>0</v>
      </c>
      <c r="AC9">
        <v>0</v>
      </c>
      <c r="AD9">
        <v>0</v>
      </c>
      <c r="AE9">
        <v>0</v>
      </c>
      <c r="AF9">
        <v>0</v>
      </c>
      <c r="AG9">
        <v>0</v>
      </c>
      <c r="AH9">
        <v>0</v>
      </c>
      <c r="AI9">
        <v>0</v>
      </c>
      <c r="AJ9">
        <v>0</v>
      </c>
      <c r="AK9">
        <v>0</v>
      </c>
      <c r="AL9">
        <v>0</v>
      </c>
      <c r="AM9">
        <v>0</v>
      </c>
      <c r="AN9">
        <v>0</v>
      </c>
      <c r="AO9">
        <f t="shared" si="4"/>
        <v>0</v>
      </c>
      <c r="AP9">
        <f ca="1">IFERROR(((M9/100)*PONDERADORES!$D$12+(SCORECARDS!H9/100)*PONDERADORES!$D$13+(SCORECARDS!I9/100)*PONDERADORES!$D$14+(SCORECARDS!J9/100)*PONDERADORES!$D$15+(ISCAM_Score!K10/100)*PONDERADORES!$D$16+O9*PONDERADORES!$D$17+0*PONDERADORES!$D$18+(AVERAGE(W9:Z9)/2)*PONDERADORES!$D$19)/PONDERADORES!$D$20,"N/A")</f>
        <v>0</v>
      </c>
      <c r="AQ9">
        <f ca="1">COUNT(M9)+IF(SCORECARDS!H9="",0,1)+IF(SCORECARDS!I9="",0,1)+IF(SCORECARDS!J9="",0,1)+IF(ISCAM_Score!K10="",0,1)+IF(O9="",0,1)+IF(COUNT(W9:Z9)&gt;0,1,0)</f>
        <v>3</v>
      </c>
    </row>
    <row r="10" spans="1:43" ht="16.05" customHeight="1" x14ac:dyDescent="0.3">
      <c r="A10" t="s">
        <v>90</v>
      </c>
      <c r="B10" t="s">
        <v>91</v>
      </c>
      <c r="C10" t="s">
        <v>80</v>
      </c>
      <c r="D10" t="s">
        <v>65</v>
      </c>
      <c r="E10">
        <v>0</v>
      </c>
      <c r="G10" t="s">
        <v>74</v>
      </c>
      <c r="H10" t="s">
        <v>81</v>
      </c>
      <c r="I10" t="s">
        <v>92</v>
      </c>
      <c r="J10" t="s">
        <v>67</v>
      </c>
      <c r="K10" t="s">
        <v>85</v>
      </c>
      <c r="L10">
        <v>0</v>
      </c>
      <c r="M10">
        <f t="shared" si="0"/>
        <v>0</v>
      </c>
      <c r="N10" t="s">
        <v>68</v>
      </c>
      <c r="O10">
        <f t="shared" si="1"/>
        <v>0</v>
      </c>
      <c r="P10" t="s">
        <v>68</v>
      </c>
      <c r="Q10">
        <v>177</v>
      </c>
      <c r="R10">
        <v>469</v>
      </c>
      <c r="S10">
        <f t="shared" ca="1" si="2"/>
        <v>2.5</v>
      </c>
      <c r="T10" t="str">
        <f t="shared" ca="1" si="3"/>
        <v>⬜  Parcial · Inst. 2 pendiente</v>
      </c>
      <c r="U10" s="53">
        <v>1</v>
      </c>
      <c r="V10" t="s">
        <v>69</v>
      </c>
      <c r="W10">
        <f>IF(NORMALIZADO!BV10="",1,NORMALIZADO!BV10)</f>
        <v>1</v>
      </c>
      <c r="X10">
        <f>IF(NORMALIZADO!BW10="",0,NORMALIZADO!BW10)</f>
        <v>0</v>
      </c>
      <c r="Y10">
        <f>IF(NORMALIZADO!BX10="",0,NORMALIZADO!BX10)</f>
        <v>0</v>
      </c>
      <c r="Z10">
        <f>IF(NORMALIZADO!BY10="",0,NORMALIZADO!BY10)</f>
        <v>0</v>
      </c>
      <c r="AA10">
        <v>0</v>
      </c>
      <c r="AB10">
        <v>0</v>
      </c>
      <c r="AC10">
        <v>0</v>
      </c>
      <c r="AD10">
        <v>0</v>
      </c>
      <c r="AE10">
        <v>0</v>
      </c>
      <c r="AF10">
        <v>0</v>
      </c>
      <c r="AG10">
        <v>0</v>
      </c>
      <c r="AH10">
        <v>0</v>
      </c>
      <c r="AI10">
        <v>0</v>
      </c>
      <c r="AJ10">
        <v>0</v>
      </c>
      <c r="AK10">
        <v>0</v>
      </c>
      <c r="AL10">
        <v>0</v>
      </c>
      <c r="AM10">
        <v>0</v>
      </c>
      <c r="AN10">
        <v>0</v>
      </c>
      <c r="AO10">
        <f t="shared" si="4"/>
        <v>0</v>
      </c>
      <c r="AP10">
        <f ca="1">IFERROR(((M10/100)*PONDERADORES!$D$12+(SCORECARDS!H10/100)*PONDERADORES!$D$13+(SCORECARDS!I10/100)*PONDERADORES!$D$14+(SCORECARDS!J10/100)*PONDERADORES!$D$15+(ISCAM_Score!K11/100)*PONDERADORES!$D$16+O10*PONDERADORES!$D$17+0*PONDERADORES!$D$18+(AVERAGE(W10:Z10)/2)*PONDERADORES!$D$19)/PONDERADORES!$D$20,"N/A")</f>
        <v>2.5000000000000001E-2</v>
      </c>
      <c r="AQ10">
        <f ca="1">COUNT(M10)+IF(SCORECARDS!H10="",0,1)+IF(SCORECARDS!I10="",0,1)+IF(SCORECARDS!J10="",0,1)+IF(ISCAM_Score!K11="",0,1)+IF(O10="",0,1)+IF(COUNT(W10:Z10)&gt;0,1,0)</f>
        <v>3</v>
      </c>
    </row>
    <row r="11" spans="1:43" ht="16.05" customHeight="1" x14ac:dyDescent="0.3">
      <c r="A11" t="s">
        <v>93</v>
      </c>
      <c r="B11" t="s">
        <v>94</v>
      </c>
      <c r="C11" t="s">
        <v>80</v>
      </c>
      <c r="D11" t="s">
        <v>65</v>
      </c>
      <c r="E11">
        <v>681394.36</v>
      </c>
      <c r="F11">
        <v>6</v>
      </c>
      <c r="G11" t="s">
        <v>66</v>
      </c>
      <c r="J11" t="s">
        <v>67</v>
      </c>
      <c r="L11">
        <v>0</v>
      </c>
      <c r="M11">
        <f t="shared" si="0"/>
        <v>0</v>
      </c>
      <c r="N11" t="s">
        <v>68</v>
      </c>
      <c r="O11">
        <f t="shared" si="1"/>
        <v>0</v>
      </c>
      <c r="P11" t="s">
        <v>68</v>
      </c>
      <c r="S11">
        <f t="shared" ca="1" si="2"/>
        <v>0</v>
      </c>
      <c r="T11" t="str">
        <f t="shared" ca="1" si="3"/>
        <v>⬜  Parcial · Inst. 2 pendiente</v>
      </c>
      <c r="U11" s="53">
        <v>1</v>
      </c>
      <c r="V11" t="s">
        <v>69</v>
      </c>
      <c r="W11">
        <f>IF(NORMALIZADO!BV11="",0,NORMALIZADO!BV11)</f>
        <v>0</v>
      </c>
      <c r="X11">
        <f>IF(NORMALIZADO!BW11="",0,NORMALIZADO!BW11)</f>
        <v>0</v>
      </c>
      <c r="Y11">
        <f>IF(NORMALIZADO!BX11="",0,NORMALIZADO!BX11)</f>
        <v>0</v>
      </c>
      <c r="Z11">
        <f>IF(NORMALIZADO!BY11="",0,NORMALIZADO!BY11)</f>
        <v>0</v>
      </c>
      <c r="AA11">
        <v>0</v>
      </c>
      <c r="AB11">
        <v>0</v>
      </c>
      <c r="AC11">
        <v>0</v>
      </c>
      <c r="AD11">
        <v>0</v>
      </c>
      <c r="AE11">
        <v>0</v>
      </c>
      <c r="AF11">
        <v>0</v>
      </c>
      <c r="AG11">
        <v>0</v>
      </c>
      <c r="AH11">
        <v>0</v>
      </c>
      <c r="AI11">
        <v>0</v>
      </c>
      <c r="AJ11">
        <v>0</v>
      </c>
      <c r="AK11">
        <v>0</v>
      </c>
      <c r="AL11">
        <v>0</v>
      </c>
      <c r="AM11">
        <v>0</v>
      </c>
      <c r="AN11">
        <v>0</v>
      </c>
      <c r="AO11">
        <f t="shared" si="4"/>
        <v>0</v>
      </c>
      <c r="AP11">
        <f ca="1">IFERROR(((M11/100)*PONDERADORES!$D$12+(SCORECARDS!H11/100)*PONDERADORES!$D$13+(SCORECARDS!I11/100)*PONDERADORES!$D$14+(SCORECARDS!J11/100)*PONDERADORES!$D$15+(ISCAM_Score!K12/100)*PONDERADORES!$D$16+O11*PONDERADORES!$D$17+0*PONDERADORES!$D$18+(AVERAGE(W11:Z11)/2)*PONDERADORES!$D$19)/PONDERADORES!$D$20,"N/A")</f>
        <v>0</v>
      </c>
      <c r="AQ11">
        <f ca="1">COUNT(M11)+IF(SCORECARDS!H11="",0,1)+IF(SCORECARDS!I11="",0,1)+IF(SCORECARDS!J11="",0,1)+IF(ISCAM_Score!K12="",0,1)+IF(O11="",0,1)+IF(COUNT(W11:Z11)&gt;0,1,0)</f>
        <v>3</v>
      </c>
    </row>
    <row r="12" spans="1:43" ht="16.05" customHeight="1" x14ac:dyDescent="0.3">
      <c r="A12" t="s">
        <v>95</v>
      </c>
      <c r="B12" t="s">
        <v>96</v>
      </c>
      <c r="C12" t="s">
        <v>80</v>
      </c>
      <c r="D12" t="s">
        <v>65</v>
      </c>
      <c r="E12">
        <v>4445611.5999999978</v>
      </c>
      <c r="F12">
        <v>33</v>
      </c>
      <c r="G12" t="s">
        <v>66</v>
      </c>
      <c r="H12" t="s">
        <v>81</v>
      </c>
      <c r="I12" t="s">
        <v>92</v>
      </c>
      <c r="J12" t="s">
        <v>67</v>
      </c>
      <c r="K12" t="s">
        <v>85</v>
      </c>
      <c r="L12">
        <v>894391.27</v>
      </c>
      <c r="M12">
        <f t="shared" si="0"/>
        <v>20.100000000000001</v>
      </c>
      <c r="N12" t="s">
        <v>68</v>
      </c>
      <c r="O12">
        <f t="shared" si="1"/>
        <v>0</v>
      </c>
      <c r="P12" t="s">
        <v>68</v>
      </c>
      <c r="Q12">
        <v>660</v>
      </c>
      <c r="R12">
        <v>1670</v>
      </c>
      <c r="S12">
        <f t="shared" ca="1" si="2"/>
        <v>6.5</v>
      </c>
      <c r="T12" t="str">
        <f t="shared" ca="1" si="3"/>
        <v>⬜  Parcial · Inst. 2 pendiente</v>
      </c>
      <c r="U12" s="54">
        <v>0.75</v>
      </c>
      <c r="V12" t="s">
        <v>97</v>
      </c>
      <c r="W12">
        <f>IF(NORMALIZADO!BV12="",1,NORMALIZADO!BV12)</f>
        <v>1</v>
      </c>
      <c r="X12">
        <f>IF(NORMALIZADO!BW12="",0,NORMALIZADO!BW12)</f>
        <v>0</v>
      </c>
      <c r="Y12">
        <f>IF(NORMALIZADO!BX12="",0,NORMALIZADO!BX12)</f>
        <v>0</v>
      </c>
      <c r="Z12">
        <f>IF(NORMALIZADO!BY12="",0,NORMALIZADO!BY12)</f>
        <v>0</v>
      </c>
      <c r="AA12">
        <v>0</v>
      </c>
      <c r="AB12">
        <v>0</v>
      </c>
      <c r="AC12">
        <v>0</v>
      </c>
      <c r="AD12">
        <v>0</v>
      </c>
      <c r="AE12">
        <v>0</v>
      </c>
      <c r="AF12">
        <v>0</v>
      </c>
      <c r="AG12">
        <v>0</v>
      </c>
      <c r="AH12">
        <v>0</v>
      </c>
      <c r="AI12">
        <v>0</v>
      </c>
      <c r="AJ12">
        <v>0</v>
      </c>
      <c r="AK12">
        <v>0</v>
      </c>
      <c r="AL12">
        <v>0</v>
      </c>
      <c r="AM12">
        <v>0</v>
      </c>
      <c r="AN12">
        <v>0</v>
      </c>
      <c r="AO12">
        <f t="shared" si="4"/>
        <v>0</v>
      </c>
      <c r="AP12">
        <f ca="1">IFERROR(((M12/100)*PONDERADORES!$D$12+(SCORECARDS!H12/100)*PONDERADORES!$D$13+(SCORECARDS!I12/100)*PONDERADORES!$D$14+(SCORECARDS!J12/100)*PONDERADORES!$D$15+(ISCAM_Score!K13/100)*PONDERADORES!$D$16+O12*PONDERADORES!$D$17+0*PONDERADORES!$D$18+(AVERAGE(W12:Z12)/2)*PONDERADORES!$D$19)/PONDERADORES!$D$20,"N/A")</f>
        <v>6.5200000000000008E-2</v>
      </c>
      <c r="AQ12">
        <f ca="1">COUNT(M12)+IF(SCORECARDS!H12="",0,1)+IF(SCORECARDS!I12="",0,1)+IF(SCORECARDS!J12="",0,1)+IF(ISCAM_Score!K13="",0,1)+IF(O12="",0,1)+IF(COUNT(W12:Z12)&gt;0,1,0)</f>
        <v>3</v>
      </c>
    </row>
    <row r="13" spans="1:43" ht="16.05" customHeight="1" x14ac:dyDescent="0.3">
      <c r="A13" t="s">
        <v>98</v>
      </c>
      <c r="B13" t="s">
        <v>99</v>
      </c>
      <c r="C13" t="s">
        <v>80</v>
      </c>
      <c r="D13" t="s">
        <v>65</v>
      </c>
      <c r="E13">
        <v>0</v>
      </c>
      <c r="G13" t="s">
        <v>74</v>
      </c>
      <c r="H13" t="s">
        <v>81</v>
      </c>
      <c r="I13" t="s">
        <v>100</v>
      </c>
      <c r="J13" t="s">
        <v>67</v>
      </c>
      <c r="K13" t="s">
        <v>85</v>
      </c>
      <c r="L13">
        <v>0</v>
      </c>
      <c r="M13">
        <f t="shared" si="0"/>
        <v>0</v>
      </c>
      <c r="N13" t="s">
        <v>68</v>
      </c>
      <c r="O13">
        <f t="shared" si="1"/>
        <v>0</v>
      </c>
      <c r="P13" t="s">
        <v>68</v>
      </c>
      <c r="Q13">
        <v>49</v>
      </c>
      <c r="R13">
        <v>136.9</v>
      </c>
      <c r="S13">
        <f t="shared" ca="1" si="2"/>
        <v>2.5</v>
      </c>
      <c r="T13" t="str">
        <f t="shared" ca="1" si="3"/>
        <v>⬜  Parcial · Inst. 2 pendiente</v>
      </c>
      <c r="U13" s="53">
        <v>1</v>
      </c>
      <c r="V13" t="s">
        <v>69</v>
      </c>
      <c r="W13">
        <f>IF(NORMALIZADO!BV13="",1,NORMALIZADO!BV13)</f>
        <v>1</v>
      </c>
      <c r="X13">
        <f>IF(NORMALIZADO!BW13="",0,NORMALIZADO!BW13)</f>
        <v>0</v>
      </c>
      <c r="Y13">
        <f>IF(NORMALIZADO!BX13="",0,NORMALIZADO!BX13)</f>
        <v>0</v>
      </c>
      <c r="Z13">
        <f>IF(NORMALIZADO!BY13="",0,NORMALIZADO!BY13)</f>
        <v>0</v>
      </c>
      <c r="AA13">
        <v>0</v>
      </c>
      <c r="AB13">
        <v>0</v>
      </c>
      <c r="AC13">
        <v>0</v>
      </c>
      <c r="AD13">
        <v>0</v>
      </c>
      <c r="AE13">
        <v>0</v>
      </c>
      <c r="AF13">
        <v>0</v>
      </c>
      <c r="AG13">
        <v>0</v>
      </c>
      <c r="AH13">
        <v>0</v>
      </c>
      <c r="AI13">
        <v>0</v>
      </c>
      <c r="AJ13">
        <v>0</v>
      </c>
      <c r="AK13">
        <v>0</v>
      </c>
      <c r="AL13">
        <v>0</v>
      </c>
      <c r="AM13">
        <v>0</v>
      </c>
      <c r="AN13">
        <v>0</v>
      </c>
      <c r="AO13">
        <f t="shared" si="4"/>
        <v>0</v>
      </c>
      <c r="AP13">
        <f ca="1">IFERROR(((M13/100)*PONDERADORES!$D$12+(SCORECARDS!H13/100)*PONDERADORES!$D$13+(SCORECARDS!I13/100)*PONDERADORES!$D$14+(SCORECARDS!J13/100)*PONDERADORES!$D$15+(ISCAM_Score!K14/100)*PONDERADORES!$D$16+O13*PONDERADORES!$D$17+0*PONDERADORES!$D$18+(AVERAGE(W13:Z13)/2)*PONDERADORES!$D$19)/PONDERADORES!$D$20,"N/A")</f>
        <v>2.5000000000000001E-2</v>
      </c>
      <c r="AQ13">
        <f ca="1">COUNT(M13)+IF(SCORECARDS!H13="",0,1)+IF(SCORECARDS!I13="",0,1)+IF(SCORECARDS!J13="",0,1)+IF(ISCAM_Score!K14="",0,1)+IF(O13="",0,1)+IF(COUNT(W13:Z13)&gt;0,1,0)</f>
        <v>3</v>
      </c>
    </row>
    <row r="14" spans="1:43" ht="16.05" customHeight="1" x14ac:dyDescent="0.3">
      <c r="A14" t="s">
        <v>101</v>
      </c>
      <c r="B14" t="s">
        <v>102</v>
      </c>
      <c r="C14" t="s">
        <v>72</v>
      </c>
      <c r="D14" t="s">
        <v>73</v>
      </c>
      <c r="E14">
        <v>4030694.66</v>
      </c>
      <c r="F14">
        <v>14</v>
      </c>
      <c r="G14" t="s">
        <v>66</v>
      </c>
      <c r="J14" t="s">
        <v>67</v>
      </c>
      <c r="L14">
        <v>2015347.33</v>
      </c>
      <c r="M14">
        <f t="shared" si="0"/>
        <v>50</v>
      </c>
      <c r="N14" t="s">
        <v>68</v>
      </c>
      <c r="O14">
        <f t="shared" si="1"/>
        <v>0</v>
      </c>
      <c r="P14" t="s">
        <v>68</v>
      </c>
      <c r="S14">
        <f t="shared" ca="1" si="2"/>
        <v>12.5</v>
      </c>
      <c r="T14" t="str">
        <f t="shared" ca="1" si="3"/>
        <v>⬜  Parcial · Inst. 2 pendiente</v>
      </c>
      <c r="U14" s="53">
        <v>1</v>
      </c>
      <c r="V14" t="s">
        <v>69</v>
      </c>
      <c r="W14">
        <f>IF(NORMALIZADO!BV14="",1,NORMALIZADO!BV14)</f>
        <v>1</v>
      </c>
      <c r="X14">
        <f>IF(NORMALIZADO!BW14="",0,NORMALIZADO!BW14)</f>
        <v>0</v>
      </c>
      <c r="Y14">
        <f>IF(NORMALIZADO!BX14="",0,NORMALIZADO!BX14)</f>
        <v>0</v>
      </c>
      <c r="Z14">
        <f>IF(NORMALIZADO!BY14="",0,NORMALIZADO!BY14)</f>
        <v>0</v>
      </c>
      <c r="AA14">
        <v>0</v>
      </c>
      <c r="AB14">
        <v>0</v>
      </c>
      <c r="AC14">
        <v>0</v>
      </c>
      <c r="AD14">
        <v>0</v>
      </c>
      <c r="AE14">
        <v>0</v>
      </c>
      <c r="AF14">
        <v>0</v>
      </c>
      <c r="AG14">
        <v>0</v>
      </c>
      <c r="AH14">
        <v>0</v>
      </c>
      <c r="AI14">
        <v>0</v>
      </c>
      <c r="AJ14">
        <v>0</v>
      </c>
      <c r="AK14">
        <v>0</v>
      </c>
      <c r="AL14">
        <v>0</v>
      </c>
      <c r="AM14">
        <v>0</v>
      </c>
      <c r="AN14">
        <v>0</v>
      </c>
      <c r="AO14">
        <f t="shared" si="4"/>
        <v>0</v>
      </c>
      <c r="AP14">
        <f ca="1">IFERROR(((M14/100)*PONDERADORES!$D$12+(SCORECARDS!H14/100)*PONDERADORES!$D$13+(SCORECARDS!I14/100)*PONDERADORES!$D$14+(SCORECARDS!J14/100)*PONDERADORES!$D$15+(ISCAM_Score!K15/100)*PONDERADORES!$D$16+O14*PONDERADORES!$D$17+0*PONDERADORES!$D$18+(AVERAGE(W14:Z14)/2)*PONDERADORES!$D$19)/PONDERADORES!$D$20,"N/A")</f>
        <v>0.125</v>
      </c>
      <c r="AQ14">
        <f ca="1">COUNT(M14)+IF(SCORECARDS!H14="",0,1)+IF(SCORECARDS!I14="",0,1)+IF(SCORECARDS!J14="",0,1)+IF(ISCAM_Score!K15="",0,1)+IF(O14="",0,1)+IF(COUNT(W14:Z14)&gt;0,1,0)</f>
        <v>3</v>
      </c>
    </row>
    <row r="15" spans="1:43" ht="16.05" customHeight="1" x14ac:dyDescent="0.3">
      <c r="A15" t="s">
        <v>103</v>
      </c>
      <c r="B15" t="s">
        <v>104</v>
      </c>
      <c r="C15" t="s">
        <v>64</v>
      </c>
      <c r="D15" t="s">
        <v>65</v>
      </c>
      <c r="G15" t="s">
        <v>74</v>
      </c>
      <c r="J15" t="s">
        <v>67</v>
      </c>
      <c r="L15">
        <v>0</v>
      </c>
      <c r="M15">
        <f t="shared" si="0"/>
        <v>0</v>
      </c>
      <c r="N15" t="s">
        <v>68</v>
      </c>
      <c r="O15">
        <f t="shared" si="1"/>
        <v>0</v>
      </c>
      <c r="P15" t="s">
        <v>68</v>
      </c>
      <c r="S15">
        <f t="shared" ca="1" si="2"/>
        <v>0</v>
      </c>
      <c r="T15" t="str">
        <f t="shared" ca="1" si="3"/>
        <v>⬜  Parcial · Inst. 2 pendiente</v>
      </c>
      <c r="U15" s="53">
        <v>1</v>
      </c>
      <c r="V15" t="s">
        <v>69</v>
      </c>
      <c r="W15">
        <f>IF(NORMALIZADO!BV15="",0,NORMALIZADO!BV15)</f>
        <v>0</v>
      </c>
      <c r="X15">
        <f>IF(NORMALIZADO!BW15="",0,NORMALIZADO!BW15)</f>
        <v>0</v>
      </c>
      <c r="Y15">
        <f>IF(NORMALIZADO!BX15="",0,NORMALIZADO!BX15)</f>
        <v>0</v>
      </c>
      <c r="Z15">
        <f>IF(NORMALIZADO!BY15="",0,NORMALIZADO!BY15)</f>
        <v>0</v>
      </c>
      <c r="AA15">
        <v>0</v>
      </c>
      <c r="AB15">
        <v>0</v>
      </c>
      <c r="AC15">
        <v>0</v>
      </c>
      <c r="AD15">
        <v>0</v>
      </c>
      <c r="AE15">
        <v>0</v>
      </c>
      <c r="AF15">
        <v>0</v>
      </c>
      <c r="AG15">
        <v>0</v>
      </c>
      <c r="AH15">
        <v>0</v>
      </c>
      <c r="AI15">
        <v>0</v>
      </c>
      <c r="AJ15">
        <v>0</v>
      </c>
      <c r="AK15">
        <v>0</v>
      </c>
      <c r="AL15">
        <v>0</v>
      </c>
      <c r="AM15">
        <v>0</v>
      </c>
      <c r="AN15">
        <v>0</v>
      </c>
      <c r="AO15">
        <f t="shared" si="4"/>
        <v>0</v>
      </c>
      <c r="AP15">
        <f ca="1">IFERROR(((M15/100)*PONDERADORES!$D$12+(SCORECARDS!H15/100)*PONDERADORES!$D$13+(SCORECARDS!I15/100)*PONDERADORES!$D$14+(SCORECARDS!J15/100)*PONDERADORES!$D$15+(ISCAM_Score!K16/100)*PONDERADORES!$D$16+O15*PONDERADORES!$D$17+0*PONDERADORES!$D$18+(AVERAGE(W15:Z15)/2)*PONDERADORES!$D$19)/PONDERADORES!$D$20,"N/A")</f>
        <v>0</v>
      </c>
      <c r="AQ15">
        <f ca="1">COUNT(M15)+IF(SCORECARDS!H15="",0,1)+IF(SCORECARDS!I15="",0,1)+IF(SCORECARDS!J15="",0,1)+IF(ISCAM_Score!K16="",0,1)+IF(O15="",0,1)+IF(COUNT(W15:Z15)&gt;0,1,0)</f>
        <v>3</v>
      </c>
    </row>
    <row r="16" spans="1:43" ht="16.05" customHeight="1" x14ac:dyDescent="0.3">
      <c r="A16" t="s">
        <v>105</v>
      </c>
      <c r="B16" t="s">
        <v>106</v>
      </c>
      <c r="C16" t="s">
        <v>107</v>
      </c>
      <c r="D16" t="s">
        <v>65</v>
      </c>
      <c r="G16" t="s">
        <v>74</v>
      </c>
      <c r="J16" t="s">
        <v>67</v>
      </c>
      <c r="L16">
        <v>0</v>
      </c>
      <c r="M16">
        <f t="shared" si="0"/>
        <v>0</v>
      </c>
      <c r="N16" t="s">
        <v>68</v>
      </c>
      <c r="O16">
        <f t="shared" si="1"/>
        <v>0</v>
      </c>
      <c r="P16" t="s">
        <v>68</v>
      </c>
      <c r="S16">
        <f t="shared" ca="1" si="2"/>
        <v>0</v>
      </c>
      <c r="T16" t="str">
        <f t="shared" ca="1" si="3"/>
        <v>⬜  Parcial · Inst. 2 pendiente</v>
      </c>
      <c r="U16" s="53">
        <v>1</v>
      </c>
      <c r="V16" t="s">
        <v>69</v>
      </c>
      <c r="W16">
        <f>IF(NORMALIZADO!BV16="",0,NORMALIZADO!BV16)</f>
        <v>0</v>
      </c>
      <c r="X16">
        <f>IF(NORMALIZADO!BW16="",0,NORMALIZADO!BW16)</f>
        <v>0</v>
      </c>
      <c r="Y16">
        <f>IF(NORMALIZADO!BX16="",0,NORMALIZADO!BX16)</f>
        <v>0</v>
      </c>
      <c r="Z16">
        <f>IF(NORMALIZADO!BY16="",0,NORMALIZADO!BY16)</f>
        <v>0</v>
      </c>
      <c r="AA16">
        <v>0</v>
      </c>
      <c r="AB16">
        <v>0</v>
      </c>
      <c r="AC16">
        <v>0</v>
      </c>
      <c r="AD16">
        <v>0</v>
      </c>
      <c r="AE16">
        <v>0</v>
      </c>
      <c r="AF16">
        <v>0</v>
      </c>
      <c r="AG16">
        <v>0</v>
      </c>
      <c r="AH16">
        <v>0</v>
      </c>
      <c r="AI16">
        <v>0</v>
      </c>
      <c r="AJ16">
        <v>0</v>
      </c>
      <c r="AK16">
        <v>0</v>
      </c>
      <c r="AL16">
        <v>0</v>
      </c>
      <c r="AM16">
        <v>0</v>
      </c>
      <c r="AN16">
        <v>0</v>
      </c>
      <c r="AO16">
        <f t="shared" si="4"/>
        <v>0</v>
      </c>
      <c r="AP16">
        <f ca="1">IFERROR(((M16/100)*PONDERADORES!$D$12+(SCORECARDS!H16/100)*PONDERADORES!$D$13+(SCORECARDS!I16/100)*PONDERADORES!$D$14+(SCORECARDS!J16/100)*PONDERADORES!$D$15+(ISCAM_Score!K17/100)*PONDERADORES!$D$16+O16*PONDERADORES!$D$17+0*PONDERADORES!$D$18+(AVERAGE(W16:Z16)/2)*PONDERADORES!$D$19)/PONDERADORES!$D$20,"N/A")</f>
        <v>0</v>
      </c>
      <c r="AQ16">
        <f ca="1">COUNT(M16)+IF(SCORECARDS!H16="",0,1)+IF(SCORECARDS!I16="",0,1)+IF(SCORECARDS!J16="",0,1)+IF(ISCAM_Score!K17="",0,1)+IF(O16="",0,1)+IF(COUNT(W16:Z16)&gt;0,1,0)</f>
        <v>3</v>
      </c>
    </row>
    <row r="17" spans="1:43" ht="16.05" customHeight="1" x14ac:dyDescent="0.3">
      <c r="A17" t="s">
        <v>108</v>
      </c>
      <c r="B17" t="s">
        <v>109</v>
      </c>
      <c r="C17" t="s">
        <v>80</v>
      </c>
      <c r="G17" t="s">
        <v>74</v>
      </c>
      <c r="H17" t="s">
        <v>81</v>
      </c>
      <c r="I17" t="s">
        <v>82</v>
      </c>
      <c r="J17" t="s">
        <v>110</v>
      </c>
      <c r="L17">
        <v>0</v>
      </c>
      <c r="M17">
        <f t="shared" si="0"/>
        <v>0</v>
      </c>
      <c r="N17" t="s">
        <v>68</v>
      </c>
      <c r="O17">
        <f t="shared" si="1"/>
        <v>0</v>
      </c>
      <c r="P17" t="s">
        <v>68</v>
      </c>
      <c r="Q17">
        <v>74</v>
      </c>
      <c r="R17">
        <v>150</v>
      </c>
      <c r="S17">
        <f t="shared" ca="1" si="2"/>
        <v>2.5</v>
      </c>
      <c r="T17" t="str">
        <f t="shared" ca="1" si="3"/>
        <v>⬜  Parcial · Inst. 2 pendiente</v>
      </c>
      <c r="U17" s="53">
        <v>1</v>
      </c>
      <c r="V17" t="s">
        <v>69</v>
      </c>
      <c r="W17">
        <f>IF(NORMALIZADO!BV17="",1,NORMALIZADO!BV17)</f>
        <v>1</v>
      </c>
      <c r="X17">
        <f>IF(NORMALIZADO!BW17="",0,NORMALIZADO!BW17)</f>
        <v>0</v>
      </c>
      <c r="Y17">
        <f>IF(NORMALIZADO!BX17="",0,NORMALIZADO!BX17)</f>
        <v>0</v>
      </c>
      <c r="Z17">
        <f>IF(NORMALIZADO!BY17="",0,NORMALIZADO!BY17)</f>
        <v>0</v>
      </c>
      <c r="AA17">
        <v>0</v>
      </c>
      <c r="AB17">
        <v>0</v>
      </c>
      <c r="AC17">
        <v>0</v>
      </c>
      <c r="AD17">
        <v>0</v>
      </c>
      <c r="AE17">
        <v>0</v>
      </c>
      <c r="AF17">
        <v>0</v>
      </c>
      <c r="AG17">
        <v>0</v>
      </c>
      <c r="AH17">
        <v>0</v>
      </c>
      <c r="AI17">
        <v>0</v>
      </c>
      <c r="AJ17">
        <v>0</v>
      </c>
      <c r="AK17">
        <v>0</v>
      </c>
      <c r="AL17">
        <v>0</v>
      </c>
      <c r="AM17">
        <v>0</v>
      </c>
      <c r="AN17">
        <v>0</v>
      </c>
      <c r="AO17">
        <f t="shared" si="4"/>
        <v>0</v>
      </c>
      <c r="AP17">
        <f ca="1">IFERROR(((M17/100)*PONDERADORES!$D$12+(SCORECARDS!H17/100)*PONDERADORES!$D$13+(SCORECARDS!I17/100)*PONDERADORES!$D$14+(SCORECARDS!J17/100)*PONDERADORES!$D$15+(ISCAM_Score!K18/100)*PONDERADORES!$D$16+O17*PONDERADORES!$D$17+0*PONDERADORES!$D$18+(AVERAGE(W17:Z17)/2)*PONDERADORES!$D$19)/PONDERADORES!$D$20,"N/A")</f>
        <v>2.5000000000000001E-2</v>
      </c>
      <c r="AQ17">
        <f ca="1">COUNT(M17)+IF(SCORECARDS!H17="",0,1)+IF(SCORECARDS!I17="",0,1)+IF(SCORECARDS!J17="",0,1)+IF(ISCAM_Score!K18="",0,1)+IF(O17="",0,1)+IF(COUNT(W17:Z17)&gt;0,1,0)</f>
        <v>3</v>
      </c>
    </row>
    <row r="18" spans="1:43" ht="16.05" customHeight="1" x14ac:dyDescent="0.3">
      <c r="A18" t="s">
        <v>111</v>
      </c>
      <c r="B18" t="s">
        <v>112</v>
      </c>
      <c r="C18" t="s">
        <v>113</v>
      </c>
      <c r="D18" t="s">
        <v>73</v>
      </c>
      <c r="G18" t="s">
        <v>74</v>
      </c>
      <c r="J18" t="s">
        <v>67</v>
      </c>
      <c r="L18">
        <v>0</v>
      </c>
      <c r="M18">
        <f t="shared" si="0"/>
        <v>0</v>
      </c>
      <c r="N18" t="s">
        <v>68</v>
      </c>
      <c r="O18">
        <f t="shared" si="1"/>
        <v>0</v>
      </c>
      <c r="P18" t="s">
        <v>68</v>
      </c>
      <c r="S18">
        <f t="shared" ca="1" si="2"/>
        <v>0</v>
      </c>
      <c r="T18" t="str">
        <f t="shared" ca="1" si="3"/>
        <v>⬜  Parcial · Inst. 2 pendiente</v>
      </c>
      <c r="U18" s="53">
        <v>1</v>
      </c>
      <c r="V18" t="s">
        <v>69</v>
      </c>
      <c r="W18">
        <f>IF(NORMALIZADO!BV18="",0,NORMALIZADO!BV18)</f>
        <v>0</v>
      </c>
      <c r="X18">
        <f>IF(NORMALIZADO!BW18="",0,NORMALIZADO!BW18)</f>
        <v>0</v>
      </c>
      <c r="Y18">
        <f>IF(NORMALIZADO!BX18="",0,NORMALIZADO!BX18)</f>
        <v>0</v>
      </c>
      <c r="Z18">
        <f>IF(NORMALIZADO!BY18="",0,NORMALIZADO!BY18)</f>
        <v>0</v>
      </c>
      <c r="AA18">
        <v>0</v>
      </c>
      <c r="AB18">
        <v>0</v>
      </c>
      <c r="AC18">
        <v>0</v>
      </c>
      <c r="AD18">
        <v>0</v>
      </c>
      <c r="AE18">
        <v>0</v>
      </c>
      <c r="AF18">
        <v>0</v>
      </c>
      <c r="AG18">
        <v>0</v>
      </c>
      <c r="AH18">
        <v>0</v>
      </c>
      <c r="AI18">
        <v>0</v>
      </c>
      <c r="AJ18">
        <v>0</v>
      </c>
      <c r="AK18">
        <v>0</v>
      </c>
      <c r="AL18">
        <v>0</v>
      </c>
      <c r="AM18">
        <v>0</v>
      </c>
      <c r="AN18">
        <v>0</v>
      </c>
      <c r="AO18">
        <f t="shared" si="4"/>
        <v>0</v>
      </c>
      <c r="AP18">
        <f ca="1">IFERROR(((M18/100)*PONDERADORES!$D$12+(SCORECARDS!H18/100)*PONDERADORES!$D$13+(SCORECARDS!I18/100)*PONDERADORES!$D$14+(SCORECARDS!J18/100)*PONDERADORES!$D$15+(ISCAM_Score!K19/100)*PONDERADORES!$D$16+O18*PONDERADORES!$D$17+0*PONDERADORES!$D$18+(AVERAGE(W18:Z18)/2)*PONDERADORES!$D$19)/PONDERADORES!$D$20,"N/A")</f>
        <v>0</v>
      </c>
      <c r="AQ18">
        <f ca="1">COUNT(M18)+IF(SCORECARDS!H18="",0,1)+IF(SCORECARDS!I18="",0,1)+IF(SCORECARDS!J18="",0,1)+IF(ISCAM_Score!K19="",0,1)+IF(O18="",0,1)+IF(COUNT(W18:Z18)&gt;0,1,0)</f>
        <v>3</v>
      </c>
    </row>
    <row r="19" spans="1:43" ht="16.05" customHeight="1" x14ac:dyDescent="0.3">
      <c r="A19" t="s">
        <v>114</v>
      </c>
      <c r="B19" t="s">
        <v>115</v>
      </c>
      <c r="C19" t="s">
        <v>116</v>
      </c>
      <c r="D19" t="s">
        <v>65</v>
      </c>
      <c r="E19">
        <v>9070756.8800000008</v>
      </c>
      <c r="F19">
        <v>41</v>
      </c>
      <c r="G19" t="s">
        <v>66</v>
      </c>
      <c r="J19" t="s">
        <v>67</v>
      </c>
      <c r="L19">
        <v>4535378.4400000004</v>
      </c>
      <c r="M19">
        <f t="shared" si="0"/>
        <v>50</v>
      </c>
      <c r="N19" t="s">
        <v>68</v>
      </c>
      <c r="O19">
        <f t="shared" si="1"/>
        <v>0</v>
      </c>
      <c r="P19" t="s">
        <v>68</v>
      </c>
      <c r="S19">
        <f t="shared" ca="1" si="2"/>
        <v>12.5</v>
      </c>
      <c r="T19" t="str">
        <f t="shared" ca="1" si="3"/>
        <v>⬜  Parcial · Inst. 2 pendiente</v>
      </c>
      <c r="U19" s="53">
        <v>1</v>
      </c>
      <c r="V19" t="s">
        <v>69</v>
      </c>
      <c r="W19">
        <f>IF(NORMALIZADO!BV19="",1,NORMALIZADO!BV19)</f>
        <v>1</v>
      </c>
      <c r="X19">
        <f>IF(NORMALIZADO!BW19="",0,NORMALIZADO!BW19)</f>
        <v>0</v>
      </c>
      <c r="Y19">
        <f>IF(NORMALIZADO!BX19="",0,NORMALIZADO!BX19)</f>
        <v>0</v>
      </c>
      <c r="Z19">
        <f>IF(NORMALIZADO!BY19="",0,NORMALIZADO!BY19)</f>
        <v>0</v>
      </c>
      <c r="AA19">
        <v>0</v>
      </c>
      <c r="AB19">
        <v>0</v>
      </c>
      <c r="AC19">
        <v>0</v>
      </c>
      <c r="AD19">
        <v>0</v>
      </c>
      <c r="AE19">
        <v>0</v>
      </c>
      <c r="AF19">
        <v>0</v>
      </c>
      <c r="AG19">
        <v>0</v>
      </c>
      <c r="AH19">
        <v>0</v>
      </c>
      <c r="AI19">
        <v>0</v>
      </c>
      <c r="AJ19">
        <v>0</v>
      </c>
      <c r="AK19">
        <v>0</v>
      </c>
      <c r="AL19">
        <v>0</v>
      </c>
      <c r="AM19">
        <v>0</v>
      </c>
      <c r="AN19">
        <v>0</v>
      </c>
      <c r="AO19">
        <f t="shared" si="4"/>
        <v>0</v>
      </c>
      <c r="AP19">
        <f ca="1">IFERROR(((M19/100)*PONDERADORES!$D$12+(SCORECARDS!H19/100)*PONDERADORES!$D$13+(SCORECARDS!I19/100)*PONDERADORES!$D$14+(SCORECARDS!J19/100)*PONDERADORES!$D$15+(ISCAM_Score!K20/100)*PONDERADORES!$D$16+O19*PONDERADORES!$D$17+0*PONDERADORES!$D$18+(AVERAGE(W19:Z19)/2)*PONDERADORES!$D$19)/PONDERADORES!$D$20,"N/A")</f>
        <v>0.125</v>
      </c>
      <c r="AQ19">
        <f ca="1">COUNT(M19)+IF(SCORECARDS!H19="",0,1)+IF(SCORECARDS!I19="",0,1)+IF(SCORECARDS!J19="",0,1)+IF(ISCAM_Score!K20="",0,1)+IF(O19="",0,1)+IF(COUNT(W19:Z19)&gt;0,1,0)</f>
        <v>3</v>
      </c>
    </row>
    <row r="20" spans="1:43" ht="16.05" customHeight="1" x14ac:dyDescent="0.3">
      <c r="A20" t="s">
        <v>117</v>
      </c>
      <c r="B20" t="s">
        <v>118</v>
      </c>
      <c r="C20" t="s">
        <v>80</v>
      </c>
      <c r="G20" t="s">
        <v>74</v>
      </c>
      <c r="H20" t="s">
        <v>81</v>
      </c>
      <c r="I20" t="s">
        <v>82</v>
      </c>
      <c r="J20" t="s">
        <v>67</v>
      </c>
      <c r="L20">
        <v>0</v>
      </c>
      <c r="M20">
        <f t="shared" si="0"/>
        <v>0</v>
      </c>
      <c r="N20" t="s">
        <v>68</v>
      </c>
      <c r="O20">
        <f t="shared" si="1"/>
        <v>0</v>
      </c>
      <c r="P20" t="s">
        <v>68</v>
      </c>
      <c r="Q20">
        <v>36</v>
      </c>
      <c r="R20">
        <v>38</v>
      </c>
      <c r="S20">
        <f t="shared" ca="1" si="2"/>
        <v>2.5</v>
      </c>
      <c r="T20" t="str">
        <f t="shared" ca="1" si="3"/>
        <v>⬜  Parcial · Inst. 2 pendiente</v>
      </c>
      <c r="U20" s="53">
        <v>1</v>
      </c>
      <c r="V20" t="s">
        <v>69</v>
      </c>
      <c r="W20">
        <f>IF(NORMALIZADO!BV20="",1,NORMALIZADO!BV20)</f>
        <v>1</v>
      </c>
      <c r="X20">
        <f>IF(NORMALIZADO!BW20="",0,NORMALIZADO!BW20)</f>
        <v>0</v>
      </c>
      <c r="Y20">
        <f>IF(NORMALIZADO!BX20="",0,NORMALIZADO!BX20)</f>
        <v>0</v>
      </c>
      <c r="Z20">
        <f>IF(NORMALIZADO!BY20="",0,NORMALIZADO!BY20)</f>
        <v>0</v>
      </c>
      <c r="AA20">
        <v>0</v>
      </c>
      <c r="AB20">
        <v>0</v>
      </c>
      <c r="AC20">
        <v>0</v>
      </c>
      <c r="AD20">
        <v>0</v>
      </c>
      <c r="AE20">
        <v>0</v>
      </c>
      <c r="AF20">
        <v>0</v>
      </c>
      <c r="AG20">
        <v>0</v>
      </c>
      <c r="AH20">
        <v>0</v>
      </c>
      <c r="AI20">
        <v>0</v>
      </c>
      <c r="AJ20">
        <v>0</v>
      </c>
      <c r="AK20">
        <v>0</v>
      </c>
      <c r="AL20">
        <v>0</v>
      </c>
      <c r="AM20">
        <v>0</v>
      </c>
      <c r="AN20">
        <v>0</v>
      </c>
      <c r="AO20">
        <f t="shared" si="4"/>
        <v>0</v>
      </c>
      <c r="AP20">
        <f ca="1">IFERROR(((M20/100)*PONDERADORES!$D$12+(SCORECARDS!H20/100)*PONDERADORES!$D$13+(SCORECARDS!I20/100)*PONDERADORES!$D$14+(SCORECARDS!J20/100)*PONDERADORES!$D$15+(ISCAM_Score!K21/100)*PONDERADORES!$D$16+O20*PONDERADORES!$D$17+0*PONDERADORES!$D$18+(AVERAGE(W20:Z20)/2)*PONDERADORES!$D$19)/PONDERADORES!$D$20,"N/A")</f>
        <v>2.5000000000000001E-2</v>
      </c>
      <c r="AQ20">
        <f ca="1">COUNT(M20)+IF(SCORECARDS!H20="",0,1)+IF(SCORECARDS!I20="",0,1)+IF(SCORECARDS!J20="",0,1)+IF(ISCAM_Score!K21="",0,1)+IF(O20="",0,1)+IF(COUNT(W20:Z20)&gt;0,1,0)</f>
        <v>3</v>
      </c>
    </row>
    <row r="21" spans="1:43" ht="16.05" customHeight="1" x14ac:dyDescent="0.3">
      <c r="A21" t="s">
        <v>119</v>
      </c>
      <c r="B21" t="s">
        <v>120</v>
      </c>
      <c r="C21" t="s">
        <v>113</v>
      </c>
      <c r="D21" t="s">
        <v>73</v>
      </c>
      <c r="E21">
        <v>0</v>
      </c>
      <c r="G21" t="s">
        <v>74</v>
      </c>
      <c r="J21" t="s">
        <v>110</v>
      </c>
      <c r="L21">
        <v>0</v>
      </c>
      <c r="M21">
        <f t="shared" si="0"/>
        <v>0</v>
      </c>
      <c r="N21" t="s">
        <v>68</v>
      </c>
      <c r="O21">
        <f t="shared" si="1"/>
        <v>0</v>
      </c>
      <c r="P21" t="s">
        <v>68</v>
      </c>
      <c r="S21">
        <f t="shared" ca="1" si="2"/>
        <v>0</v>
      </c>
      <c r="T21" t="str">
        <f t="shared" ca="1" si="3"/>
        <v>⬜  Parcial · Inst. 2 pendiente</v>
      </c>
      <c r="U21" s="53">
        <v>1</v>
      </c>
      <c r="V21" t="s">
        <v>69</v>
      </c>
      <c r="W21">
        <f>IF(NORMALIZADO!BV21="",0,NORMALIZADO!BV21)</f>
        <v>0</v>
      </c>
      <c r="X21">
        <f>IF(NORMALIZADO!BW21="",0,NORMALIZADO!BW21)</f>
        <v>0</v>
      </c>
      <c r="Y21">
        <f>IF(NORMALIZADO!BX21="",0,NORMALIZADO!BX21)</f>
        <v>0</v>
      </c>
      <c r="Z21">
        <f>IF(NORMALIZADO!BY21="",0,NORMALIZADO!BY21)</f>
        <v>0</v>
      </c>
      <c r="AA21">
        <v>0</v>
      </c>
      <c r="AB21">
        <v>0</v>
      </c>
      <c r="AC21">
        <v>0</v>
      </c>
      <c r="AD21">
        <v>0</v>
      </c>
      <c r="AE21">
        <v>0</v>
      </c>
      <c r="AF21">
        <v>0</v>
      </c>
      <c r="AG21">
        <v>0</v>
      </c>
      <c r="AH21">
        <v>0</v>
      </c>
      <c r="AI21">
        <v>0</v>
      </c>
      <c r="AJ21">
        <v>0</v>
      </c>
      <c r="AK21">
        <v>0</v>
      </c>
      <c r="AL21">
        <v>0</v>
      </c>
      <c r="AM21">
        <v>0</v>
      </c>
      <c r="AN21">
        <v>0</v>
      </c>
      <c r="AO21">
        <f t="shared" si="4"/>
        <v>0</v>
      </c>
      <c r="AP21">
        <f ca="1">IFERROR(((M21/100)*PONDERADORES!$D$12+(SCORECARDS!H21/100)*PONDERADORES!$D$13+(SCORECARDS!I21/100)*PONDERADORES!$D$14+(SCORECARDS!J21/100)*PONDERADORES!$D$15+(ISCAM_Score!K22/100)*PONDERADORES!$D$16+O21*PONDERADORES!$D$17+0*PONDERADORES!$D$18+(AVERAGE(W21:Z21)/2)*PONDERADORES!$D$19)/PONDERADORES!$D$20,"N/A")</f>
        <v>0</v>
      </c>
      <c r="AQ21">
        <f ca="1">COUNT(M21)+IF(SCORECARDS!H21="",0,1)+IF(SCORECARDS!I21="",0,1)+IF(SCORECARDS!J21="",0,1)+IF(ISCAM_Score!K22="",0,1)+IF(O21="",0,1)+IF(COUNT(W21:Z21)&gt;0,1,0)</f>
        <v>3</v>
      </c>
    </row>
    <row r="22" spans="1:43" ht="16.05" customHeight="1" x14ac:dyDescent="0.3">
      <c r="A22" t="s">
        <v>121</v>
      </c>
      <c r="B22" t="s">
        <v>122</v>
      </c>
      <c r="C22" t="s">
        <v>123</v>
      </c>
      <c r="D22" t="s">
        <v>65</v>
      </c>
      <c r="E22">
        <v>0</v>
      </c>
      <c r="G22" t="s">
        <v>74</v>
      </c>
      <c r="J22" t="s">
        <v>67</v>
      </c>
      <c r="L22">
        <v>0</v>
      </c>
      <c r="M22">
        <f t="shared" si="0"/>
        <v>0</v>
      </c>
      <c r="N22" t="s">
        <v>68</v>
      </c>
      <c r="O22">
        <f t="shared" si="1"/>
        <v>0</v>
      </c>
      <c r="P22" t="s">
        <v>68</v>
      </c>
      <c r="S22">
        <f t="shared" ca="1" si="2"/>
        <v>0</v>
      </c>
      <c r="T22" t="str">
        <f t="shared" ca="1" si="3"/>
        <v>⬜  Parcial · Inst. 2 pendiente</v>
      </c>
      <c r="U22" s="53">
        <v>1</v>
      </c>
      <c r="V22" t="s">
        <v>69</v>
      </c>
      <c r="W22">
        <f>IF(NORMALIZADO!BV22="",0,NORMALIZADO!BV22)</f>
        <v>0</v>
      </c>
      <c r="X22">
        <f>IF(NORMALIZADO!BW22="",0,NORMALIZADO!BW22)</f>
        <v>0</v>
      </c>
      <c r="Y22">
        <f>IF(NORMALIZADO!BX22="",0,NORMALIZADO!BX22)</f>
        <v>0</v>
      </c>
      <c r="Z22">
        <f>IF(NORMALIZADO!BY22="",0,NORMALIZADO!BY22)</f>
        <v>0</v>
      </c>
      <c r="AA22">
        <v>0</v>
      </c>
      <c r="AB22">
        <v>0</v>
      </c>
      <c r="AC22">
        <v>0</v>
      </c>
      <c r="AD22">
        <v>0</v>
      </c>
      <c r="AE22">
        <v>0</v>
      </c>
      <c r="AF22">
        <v>0</v>
      </c>
      <c r="AG22">
        <v>0</v>
      </c>
      <c r="AH22">
        <v>0</v>
      </c>
      <c r="AI22">
        <v>0</v>
      </c>
      <c r="AJ22">
        <v>0</v>
      </c>
      <c r="AK22">
        <v>0</v>
      </c>
      <c r="AL22">
        <v>0</v>
      </c>
      <c r="AM22">
        <v>0</v>
      </c>
      <c r="AN22">
        <v>0</v>
      </c>
      <c r="AO22">
        <f t="shared" si="4"/>
        <v>0</v>
      </c>
      <c r="AP22">
        <f ca="1">IFERROR(((M22/100)*PONDERADORES!$D$12+(SCORECARDS!H22/100)*PONDERADORES!$D$13+(SCORECARDS!I22/100)*PONDERADORES!$D$14+(SCORECARDS!J22/100)*PONDERADORES!$D$15+(ISCAM_Score!K23/100)*PONDERADORES!$D$16+O22*PONDERADORES!$D$17+0*PONDERADORES!$D$18+(AVERAGE(W22:Z22)/2)*PONDERADORES!$D$19)/PONDERADORES!$D$20,"N/A")</f>
        <v>0</v>
      </c>
      <c r="AQ22">
        <f ca="1">COUNT(M22)+IF(SCORECARDS!H22="",0,1)+IF(SCORECARDS!I22="",0,1)+IF(SCORECARDS!J22="",0,1)+IF(ISCAM_Score!K23="",0,1)+IF(O22="",0,1)+IF(COUNT(W22:Z22)&gt;0,1,0)</f>
        <v>3</v>
      </c>
    </row>
    <row r="23" spans="1:43" ht="16.05" customHeight="1" x14ac:dyDescent="0.3">
      <c r="A23" t="s">
        <v>124</v>
      </c>
      <c r="B23" t="s">
        <v>125</v>
      </c>
      <c r="C23" t="s">
        <v>113</v>
      </c>
      <c r="D23" t="s">
        <v>73</v>
      </c>
      <c r="G23" t="s">
        <v>74</v>
      </c>
      <c r="J23" t="s">
        <v>67</v>
      </c>
      <c r="L23">
        <v>0</v>
      </c>
      <c r="M23">
        <f t="shared" si="0"/>
        <v>0</v>
      </c>
      <c r="N23" t="s">
        <v>68</v>
      </c>
      <c r="O23">
        <f t="shared" si="1"/>
        <v>0</v>
      </c>
      <c r="P23" t="s">
        <v>68</v>
      </c>
      <c r="S23">
        <f t="shared" ca="1" si="2"/>
        <v>0</v>
      </c>
      <c r="T23" t="str">
        <f t="shared" ca="1" si="3"/>
        <v>⬜  Parcial · Inst. 2 pendiente</v>
      </c>
      <c r="U23" s="53">
        <v>1</v>
      </c>
      <c r="V23" t="s">
        <v>69</v>
      </c>
      <c r="W23">
        <f>IF(NORMALIZADO!BV23="",0,NORMALIZADO!BV23)</f>
        <v>0</v>
      </c>
      <c r="X23">
        <f>IF(NORMALIZADO!BW23="",0,NORMALIZADO!BW23)</f>
        <v>0</v>
      </c>
      <c r="Y23">
        <f>IF(NORMALIZADO!BX23="",0,NORMALIZADO!BX23)</f>
        <v>0</v>
      </c>
      <c r="Z23">
        <f>IF(NORMALIZADO!BY23="",0,NORMALIZADO!BY23)</f>
        <v>0</v>
      </c>
      <c r="AA23">
        <v>0</v>
      </c>
      <c r="AB23">
        <v>0</v>
      </c>
      <c r="AC23">
        <v>0</v>
      </c>
      <c r="AD23">
        <v>0</v>
      </c>
      <c r="AE23">
        <v>0</v>
      </c>
      <c r="AF23">
        <v>0</v>
      </c>
      <c r="AG23">
        <v>0</v>
      </c>
      <c r="AH23">
        <v>0</v>
      </c>
      <c r="AI23">
        <v>0</v>
      </c>
      <c r="AJ23">
        <v>0</v>
      </c>
      <c r="AK23">
        <v>0</v>
      </c>
      <c r="AL23">
        <v>0</v>
      </c>
      <c r="AM23">
        <v>0</v>
      </c>
      <c r="AN23">
        <v>0</v>
      </c>
      <c r="AO23">
        <f t="shared" si="4"/>
        <v>0</v>
      </c>
      <c r="AP23">
        <f ca="1">IFERROR(((M23/100)*PONDERADORES!$D$12+(SCORECARDS!H23/100)*PONDERADORES!$D$13+(SCORECARDS!I23/100)*PONDERADORES!$D$14+(SCORECARDS!J23/100)*PONDERADORES!$D$15+(ISCAM_Score!K24/100)*PONDERADORES!$D$16+O23*PONDERADORES!$D$17+0*PONDERADORES!$D$18+(AVERAGE(W23:Z23)/2)*PONDERADORES!$D$19)/PONDERADORES!$D$20,"N/A")</f>
        <v>0</v>
      </c>
      <c r="AQ23">
        <f ca="1">COUNT(M23)+IF(SCORECARDS!H23="",0,1)+IF(SCORECARDS!I23="",0,1)+IF(SCORECARDS!J23="",0,1)+IF(ISCAM_Score!K24="",0,1)+IF(O23="",0,1)+IF(COUNT(W23:Z23)&gt;0,1,0)</f>
        <v>3</v>
      </c>
    </row>
    <row r="24" spans="1:43" ht="16.05" customHeight="1" x14ac:dyDescent="0.3">
      <c r="A24" t="s">
        <v>126</v>
      </c>
      <c r="B24" t="s">
        <v>127</v>
      </c>
      <c r="C24" t="s">
        <v>113</v>
      </c>
      <c r="D24" t="s">
        <v>73</v>
      </c>
      <c r="E24">
        <v>0</v>
      </c>
      <c r="G24" t="s">
        <v>74</v>
      </c>
      <c r="J24" t="s">
        <v>128</v>
      </c>
      <c r="L24">
        <v>0</v>
      </c>
      <c r="M24">
        <f t="shared" si="0"/>
        <v>0</v>
      </c>
      <c r="N24" t="s">
        <v>68</v>
      </c>
      <c r="O24">
        <f t="shared" si="1"/>
        <v>0</v>
      </c>
      <c r="P24" t="s">
        <v>68</v>
      </c>
      <c r="S24">
        <f t="shared" ca="1" si="2"/>
        <v>0</v>
      </c>
      <c r="T24" t="str">
        <f t="shared" ca="1" si="3"/>
        <v>⬜  Parcial · Inst. 2 pendiente</v>
      </c>
      <c r="U24" s="53">
        <v>1</v>
      </c>
      <c r="V24" t="s">
        <v>69</v>
      </c>
      <c r="W24">
        <f>IF(NORMALIZADO!BV24="",0,NORMALIZADO!BV24)</f>
        <v>0</v>
      </c>
      <c r="X24">
        <f>IF(NORMALIZADO!BW24="",0,NORMALIZADO!BW24)</f>
        <v>0</v>
      </c>
      <c r="Y24">
        <f>IF(NORMALIZADO!BX24="",0,NORMALIZADO!BX24)</f>
        <v>0</v>
      </c>
      <c r="Z24">
        <f>IF(NORMALIZADO!BY24="",0,NORMALIZADO!BY24)</f>
        <v>0</v>
      </c>
      <c r="AA24">
        <v>0</v>
      </c>
      <c r="AB24">
        <v>0</v>
      </c>
      <c r="AC24">
        <v>0</v>
      </c>
      <c r="AD24">
        <v>0</v>
      </c>
      <c r="AE24">
        <v>0</v>
      </c>
      <c r="AF24">
        <v>0</v>
      </c>
      <c r="AG24">
        <v>0</v>
      </c>
      <c r="AH24">
        <v>0</v>
      </c>
      <c r="AI24">
        <v>0</v>
      </c>
      <c r="AJ24">
        <v>0</v>
      </c>
      <c r="AK24">
        <v>0</v>
      </c>
      <c r="AL24">
        <v>0</v>
      </c>
      <c r="AM24">
        <v>0</v>
      </c>
      <c r="AN24">
        <v>0</v>
      </c>
      <c r="AO24">
        <f t="shared" si="4"/>
        <v>0</v>
      </c>
      <c r="AP24">
        <f ca="1">IFERROR(((M24/100)*PONDERADORES!$D$12+(SCORECARDS!H24/100)*PONDERADORES!$D$13+(SCORECARDS!I24/100)*PONDERADORES!$D$14+(SCORECARDS!J24/100)*PONDERADORES!$D$15+(ISCAM_Score!K25/100)*PONDERADORES!$D$16+O24*PONDERADORES!$D$17+0*PONDERADORES!$D$18+(AVERAGE(W24:Z24)/2)*PONDERADORES!$D$19)/PONDERADORES!$D$20,"N/A")</f>
        <v>0</v>
      </c>
      <c r="AQ24">
        <f ca="1">COUNT(M24)+IF(SCORECARDS!H24="",0,1)+IF(SCORECARDS!I24="",0,1)+IF(SCORECARDS!J24="",0,1)+IF(ISCAM_Score!K25="",0,1)+IF(O24="",0,1)+IF(COUNT(W24:Z24)&gt;0,1,0)</f>
        <v>3</v>
      </c>
    </row>
    <row r="25" spans="1:43" ht="16.05" customHeight="1" x14ac:dyDescent="0.3">
      <c r="A25" t="s">
        <v>129</v>
      </c>
      <c r="B25" t="s">
        <v>130</v>
      </c>
      <c r="C25" t="s">
        <v>113</v>
      </c>
      <c r="D25" t="s">
        <v>73</v>
      </c>
      <c r="E25">
        <v>0</v>
      </c>
      <c r="G25" t="s">
        <v>74</v>
      </c>
      <c r="J25" t="s">
        <v>67</v>
      </c>
      <c r="L25">
        <v>0</v>
      </c>
      <c r="M25">
        <f t="shared" si="0"/>
        <v>0</v>
      </c>
      <c r="N25" t="s">
        <v>68</v>
      </c>
      <c r="O25">
        <f t="shared" si="1"/>
        <v>0</v>
      </c>
      <c r="P25" t="s">
        <v>68</v>
      </c>
      <c r="S25">
        <f t="shared" ca="1" si="2"/>
        <v>0</v>
      </c>
      <c r="T25" t="str">
        <f t="shared" ca="1" si="3"/>
        <v>⬜  Parcial · Inst. 2 pendiente</v>
      </c>
      <c r="U25" s="53">
        <v>1</v>
      </c>
      <c r="V25" t="s">
        <v>69</v>
      </c>
      <c r="W25">
        <f>IF(NORMALIZADO!BV25="",0,NORMALIZADO!BV25)</f>
        <v>0</v>
      </c>
      <c r="X25">
        <f>IF(NORMALIZADO!BW25="",0,NORMALIZADO!BW25)</f>
        <v>0</v>
      </c>
      <c r="Y25">
        <f>IF(NORMALIZADO!BX25="",0,NORMALIZADO!BX25)</f>
        <v>0</v>
      </c>
      <c r="Z25">
        <f>IF(NORMALIZADO!BY25="",0,NORMALIZADO!BY25)</f>
        <v>0</v>
      </c>
      <c r="AA25">
        <v>0</v>
      </c>
      <c r="AB25">
        <v>0</v>
      </c>
      <c r="AC25">
        <v>0</v>
      </c>
      <c r="AD25">
        <v>0</v>
      </c>
      <c r="AE25">
        <v>0</v>
      </c>
      <c r="AF25">
        <v>0</v>
      </c>
      <c r="AG25">
        <v>0</v>
      </c>
      <c r="AH25">
        <v>0</v>
      </c>
      <c r="AI25">
        <v>0</v>
      </c>
      <c r="AJ25">
        <v>0</v>
      </c>
      <c r="AK25">
        <v>0</v>
      </c>
      <c r="AL25">
        <v>0</v>
      </c>
      <c r="AM25">
        <v>0</v>
      </c>
      <c r="AN25">
        <v>0</v>
      </c>
      <c r="AO25">
        <f t="shared" si="4"/>
        <v>0</v>
      </c>
      <c r="AP25">
        <f ca="1">IFERROR(((M25/100)*PONDERADORES!$D$12+(SCORECARDS!H25/100)*PONDERADORES!$D$13+(SCORECARDS!I25/100)*PONDERADORES!$D$14+(SCORECARDS!J25/100)*PONDERADORES!$D$15+(ISCAM_Score!K26/100)*PONDERADORES!$D$16+O25*PONDERADORES!$D$17+0*PONDERADORES!$D$18+(AVERAGE(W25:Z25)/2)*PONDERADORES!$D$19)/PONDERADORES!$D$20,"N/A")</f>
        <v>0</v>
      </c>
      <c r="AQ25">
        <f ca="1">COUNT(M25)+IF(SCORECARDS!H25="",0,1)+IF(SCORECARDS!I25="",0,1)+IF(SCORECARDS!J25="",0,1)+IF(ISCAM_Score!K26="",0,1)+IF(O25="",0,1)+IF(COUNT(W25:Z25)&gt;0,1,0)</f>
        <v>3</v>
      </c>
    </row>
    <row r="26" spans="1:43" ht="16.05" customHeight="1" x14ac:dyDescent="0.3">
      <c r="A26" t="s">
        <v>131</v>
      </c>
      <c r="B26" t="s">
        <v>132</v>
      </c>
      <c r="C26" t="s">
        <v>113</v>
      </c>
      <c r="D26" t="s">
        <v>65</v>
      </c>
      <c r="G26" t="s">
        <v>74</v>
      </c>
      <c r="J26" t="s">
        <v>67</v>
      </c>
      <c r="L26">
        <v>0</v>
      </c>
      <c r="M26">
        <f t="shared" si="0"/>
        <v>0</v>
      </c>
      <c r="N26" t="s">
        <v>68</v>
      </c>
      <c r="O26">
        <f t="shared" si="1"/>
        <v>0</v>
      </c>
      <c r="P26" t="s">
        <v>68</v>
      </c>
      <c r="S26">
        <f t="shared" ca="1" si="2"/>
        <v>0</v>
      </c>
      <c r="T26" t="str">
        <f t="shared" ca="1" si="3"/>
        <v>⬜  Parcial · Inst. 2 pendiente</v>
      </c>
      <c r="U26" s="53">
        <v>1</v>
      </c>
      <c r="V26" t="s">
        <v>69</v>
      </c>
      <c r="W26">
        <f>IF(NORMALIZADO!BV26="",0,NORMALIZADO!BV26)</f>
        <v>0</v>
      </c>
      <c r="X26">
        <f>IF(NORMALIZADO!BW26="",0,NORMALIZADO!BW26)</f>
        <v>0</v>
      </c>
      <c r="Y26">
        <f>IF(NORMALIZADO!BX26="",0,NORMALIZADO!BX26)</f>
        <v>0</v>
      </c>
      <c r="Z26">
        <f>IF(NORMALIZADO!BY26="",0,NORMALIZADO!BY26)</f>
        <v>0</v>
      </c>
      <c r="AA26">
        <v>0</v>
      </c>
      <c r="AB26">
        <v>0</v>
      </c>
      <c r="AC26">
        <v>0</v>
      </c>
      <c r="AD26">
        <v>0</v>
      </c>
      <c r="AE26">
        <v>0</v>
      </c>
      <c r="AF26">
        <v>0</v>
      </c>
      <c r="AG26">
        <v>0</v>
      </c>
      <c r="AH26">
        <v>0</v>
      </c>
      <c r="AI26">
        <v>0</v>
      </c>
      <c r="AJ26">
        <v>0</v>
      </c>
      <c r="AK26">
        <v>0</v>
      </c>
      <c r="AL26">
        <v>0</v>
      </c>
      <c r="AM26">
        <v>0</v>
      </c>
      <c r="AN26">
        <v>0</v>
      </c>
      <c r="AO26">
        <f t="shared" si="4"/>
        <v>0</v>
      </c>
      <c r="AP26">
        <f ca="1">IFERROR(((M26/100)*PONDERADORES!$D$12+(SCORECARDS!H26/100)*PONDERADORES!$D$13+(SCORECARDS!I26/100)*PONDERADORES!$D$14+(SCORECARDS!J26/100)*PONDERADORES!$D$15+(ISCAM_Score!K27/100)*PONDERADORES!$D$16+O26*PONDERADORES!$D$17+0*PONDERADORES!$D$18+(AVERAGE(W26:Z26)/2)*PONDERADORES!$D$19)/PONDERADORES!$D$20,"N/A")</f>
        <v>0</v>
      </c>
      <c r="AQ26">
        <f ca="1">COUNT(M26)+IF(SCORECARDS!H26="",0,1)+IF(SCORECARDS!I26="",0,1)+IF(SCORECARDS!J26="",0,1)+IF(ISCAM_Score!K27="",0,1)+IF(O26="",0,1)+IF(COUNT(W26:Z26)&gt;0,1,0)</f>
        <v>3</v>
      </c>
    </row>
    <row r="27" spans="1:43" ht="16.05" customHeight="1" x14ac:dyDescent="0.3">
      <c r="A27" t="s">
        <v>133</v>
      </c>
      <c r="B27" t="s">
        <v>134</v>
      </c>
      <c r="C27" t="s">
        <v>113</v>
      </c>
      <c r="D27" t="s">
        <v>73</v>
      </c>
      <c r="E27">
        <v>0</v>
      </c>
      <c r="G27" t="s">
        <v>74</v>
      </c>
      <c r="J27" t="s">
        <v>67</v>
      </c>
      <c r="L27">
        <v>0</v>
      </c>
      <c r="M27">
        <f t="shared" si="0"/>
        <v>0</v>
      </c>
      <c r="N27" t="s">
        <v>68</v>
      </c>
      <c r="O27">
        <f t="shared" si="1"/>
        <v>0</v>
      </c>
      <c r="P27" t="s">
        <v>68</v>
      </c>
      <c r="S27">
        <f t="shared" ca="1" si="2"/>
        <v>0</v>
      </c>
      <c r="T27" t="str">
        <f t="shared" ca="1" si="3"/>
        <v>⬜  Parcial · Inst. 2 pendiente</v>
      </c>
      <c r="U27" s="53">
        <v>1</v>
      </c>
      <c r="V27" t="s">
        <v>69</v>
      </c>
      <c r="W27">
        <f>IF(NORMALIZADO!BV27="",0,NORMALIZADO!BV27)</f>
        <v>0</v>
      </c>
      <c r="X27">
        <f>IF(NORMALIZADO!BW27="",0,NORMALIZADO!BW27)</f>
        <v>0</v>
      </c>
      <c r="Y27">
        <f>IF(NORMALIZADO!BX27="",0,NORMALIZADO!BX27)</f>
        <v>0</v>
      </c>
      <c r="Z27">
        <f>IF(NORMALIZADO!BY27="",0,NORMALIZADO!BY27)</f>
        <v>0</v>
      </c>
      <c r="AA27">
        <v>0</v>
      </c>
      <c r="AB27">
        <v>0</v>
      </c>
      <c r="AC27">
        <v>0</v>
      </c>
      <c r="AD27">
        <v>0</v>
      </c>
      <c r="AE27">
        <v>0</v>
      </c>
      <c r="AF27">
        <v>0</v>
      </c>
      <c r="AG27">
        <v>0</v>
      </c>
      <c r="AH27">
        <v>0</v>
      </c>
      <c r="AI27">
        <v>0</v>
      </c>
      <c r="AJ27">
        <v>0</v>
      </c>
      <c r="AK27">
        <v>0</v>
      </c>
      <c r="AL27">
        <v>0</v>
      </c>
      <c r="AM27">
        <v>0</v>
      </c>
      <c r="AN27">
        <v>0</v>
      </c>
      <c r="AO27">
        <f t="shared" si="4"/>
        <v>0</v>
      </c>
      <c r="AP27">
        <f ca="1">IFERROR(((M27/100)*PONDERADORES!$D$12+(SCORECARDS!H27/100)*PONDERADORES!$D$13+(SCORECARDS!I27/100)*PONDERADORES!$D$14+(SCORECARDS!J27/100)*PONDERADORES!$D$15+(ISCAM_Score!K28/100)*PONDERADORES!$D$16+O27*PONDERADORES!$D$17+0*PONDERADORES!$D$18+(AVERAGE(W27:Z27)/2)*PONDERADORES!$D$19)/PONDERADORES!$D$20,"N/A")</f>
        <v>0</v>
      </c>
      <c r="AQ27">
        <f ca="1">COUNT(M27)+IF(SCORECARDS!H27="",0,1)+IF(SCORECARDS!I27="",0,1)+IF(SCORECARDS!J27="",0,1)+IF(ISCAM_Score!K28="",0,1)+IF(O27="",0,1)+IF(COUNT(W27:Z27)&gt;0,1,0)</f>
        <v>3</v>
      </c>
    </row>
    <row r="28" spans="1:43" ht="16.05" customHeight="1" x14ac:dyDescent="0.3">
      <c r="A28" t="s">
        <v>135</v>
      </c>
      <c r="B28" t="s">
        <v>136</v>
      </c>
      <c r="C28" t="s">
        <v>113</v>
      </c>
      <c r="D28" t="s">
        <v>73</v>
      </c>
      <c r="G28" t="s">
        <v>74</v>
      </c>
      <c r="J28" t="s">
        <v>67</v>
      </c>
      <c r="L28">
        <v>0</v>
      </c>
      <c r="M28">
        <f t="shared" si="0"/>
        <v>0</v>
      </c>
      <c r="N28" t="s">
        <v>68</v>
      </c>
      <c r="O28">
        <f t="shared" si="1"/>
        <v>0</v>
      </c>
      <c r="P28" t="s">
        <v>68</v>
      </c>
      <c r="S28">
        <f t="shared" ca="1" si="2"/>
        <v>0</v>
      </c>
      <c r="T28" t="str">
        <f t="shared" ca="1" si="3"/>
        <v>⬜  Parcial · Inst. 2 pendiente</v>
      </c>
      <c r="U28" s="53">
        <v>1</v>
      </c>
      <c r="V28" t="s">
        <v>69</v>
      </c>
      <c r="W28">
        <f>IF(NORMALIZADO!BV28="",0,NORMALIZADO!BV28)</f>
        <v>0</v>
      </c>
      <c r="X28">
        <f>IF(NORMALIZADO!BW28="",0,NORMALIZADO!BW28)</f>
        <v>0</v>
      </c>
      <c r="Y28">
        <f>IF(NORMALIZADO!BX28="",0,NORMALIZADO!BX28)</f>
        <v>0</v>
      </c>
      <c r="Z28">
        <f>IF(NORMALIZADO!BY28="",0,NORMALIZADO!BY28)</f>
        <v>0</v>
      </c>
      <c r="AA28">
        <v>0</v>
      </c>
      <c r="AB28">
        <v>0</v>
      </c>
      <c r="AC28">
        <v>0</v>
      </c>
      <c r="AD28">
        <v>0</v>
      </c>
      <c r="AE28">
        <v>0</v>
      </c>
      <c r="AF28">
        <v>0</v>
      </c>
      <c r="AG28">
        <v>0</v>
      </c>
      <c r="AH28">
        <v>0</v>
      </c>
      <c r="AI28">
        <v>0</v>
      </c>
      <c r="AJ28">
        <v>0</v>
      </c>
      <c r="AK28">
        <v>0</v>
      </c>
      <c r="AL28">
        <v>0</v>
      </c>
      <c r="AM28">
        <v>0</v>
      </c>
      <c r="AN28">
        <v>0</v>
      </c>
      <c r="AO28">
        <f t="shared" si="4"/>
        <v>0</v>
      </c>
      <c r="AP28">
        <f ca="1">IFERROR(((M28/100)*PONDERADORES!$D$12+(SCORECARDS!H28/100)*PONDERADORES!$D$13+(SCORECARDS!I28/100)*PONDERADORES!$D$14+(SCORECARDS!J28/100)*PONDERADORES!$D$15+(ISCAM_Score!K29/100)*PONDERADORES!$D$16+O28*PONDERADORES!$D$17+0*PONDERADORES!$D$18+(AVERAGE(W28:Z28)/2)*PONDERADORES!$D$19)/PONDERADORES!$D$20,"N/A")</f>
        <v>0</v>
      </c>
      <c r="AQ28">
        <f ca="1">COUNT(M28)+IF(SCORECARDS!H28="",0,1)+IF(SCORECARDS!I28="",0,1)+IF(SCORECARDS!J28="",0,1)+IF(ISCAM_Score!K29="",0,1)+IF(O28="",0,1)+IF(COUNT(W28:Z28)&gt;0,1,0)</f>
        <v>3</v>
      </c>
    </row>
    <row r="29" spans="1:43" ht="16.05" customHeight="1" x14ac:dyDescent="0.3">
      <c r="A29" t="s">
        <v>137</v>
      </c>
      <c r="B29" t="s">
        <v>138</v>
      </c>
      <c r="C29" t="s">
        <v>113</v>
      </c>
      <c r="D29" t="s">
        <v>73</v>
      </c>
      <c r="G29" t="s">
        <v>74</v>
      </c>
      <c r="J29" t="s">
        <v>67</v>
      </c>
      <c r="L29">
        <v>0</v>
      </c>
      <c r="M29">
        <f t="shared" si="0"/>
        <v>0</v>
      </c>
      <c r="N29" t="s">
        <v>68</v>
      </c>
      <c r="O29">
        <f t="shared" si="1"/>
        <v>0</v>
      </c>
      <c r="P29" t="s">
        <v>68</v>
      </c>
      <c r="S29">
        <f t="shared" ca="1" si="2"/>
        <v>0</v>
      </c>
      <c r="T29" t="str">
        <f t="shared" ca="1" si="3"/>
        <v>⬜  Parcial · Inst. 2 pendiente</v>
      </c>
      <c r="U29" s="53">
        <v>1</v>
      </c>
      <c r="V29" t="s">
        <v>69</v>
      </c>
      <c r="W29">
        <f>IF(NORMALIZADO!BV29="",0,NORMALIZADO!BV29)</f>
        <v>0</v>
      </c>
      <c r="X29">
        <f>IF(NORMALIZADO!BW29="",0,NORMALIZADO!BW29)</f>
        <v>0</v>
      </c>
      <c r="Y29">
        <f>IF(NORMALIZADO!BX29="",0,NORMALIZADO!BX29)</f>
        <v>0</v>
      </c>
      <c r="Z29">
        <f>IF(NORMALIZADO!BY29="",0,NORMALIZADO!BY29)</f>
        <v>0</v>
      </c>
      <c r="AA29">
        <v>0</v>
      </c>
      <c r="AB29">
        <v>0</v>
      </c>
      <c r="AC29">
        <v>0</v>
      </c>
      <c r="AD29">
        <v>0</v>
      </c>
      <c r="AE29">
        <v>0</v>
      </c>
      <c r="AF29">
        <v>0</v>
      </c>
      <c r="AG29">
        <v>0</v>
      </c>
      <c r="AH29">
        <v>0</v>
      </c>
      <c r="AI29">
        <v>0</v>
      </c>
      <c r="AJ29">
        <v>0</v>
      </c>
      <c r="AK29">
        <v>0</v>
      </c>
      <c r="AL29">
        <v>0</v>
      </c>
      <c r="AM29">
        <v>0</v>
      </c>
      <c r="AN29">
        <v>0</v>
      </c>
      <c r="AO29">
        <f t="shared" si="4"/>
        <v>0</v>
      </c>
      <c r="AP29">
        <f ca="1">IFERROR(((M29/100)*PONDERADORES!$D$12+(SCORECARDS!H29/100)*PONDERADORES!$D$13+(SCORECARDS!I29/100)*PONDERADORES!$D$14+(SCORECARDS!J29/100)*PONDERADORES!$D$15+(ISCAM_Score!K30/100)*PONDERADORES!$D$16+O29*PONDERADORES!$D$17+0*PONDERADORES!$D$18+(AVERAGE(W29:Z29)/2)*PONDERADORES!$D$19)/PONDERADORES!$D$20,"N/A")</f>
        <v>0</v>
      </c>
      <c r="AQ29">
        <f ca="1">COUNT(M29)+IF(SCORECARDS!H29="",0,1)+IF(SCORECARDS!I29="",0,1)+IF(SCORECARDS!J29="",0,1)+IF(ISCAM_Score!K30="",0,1)+IF(O29="",0,1)+IF(COUNT(W29:Z29)&gt;0,1,0)</f>
        <v>3</v>
      </c>
    </row>
    <row r="30" spans="1:43" ht="16.05" customHeight="1" x14ac:dyDescent="0.3">
      <c r="A30" t="s">
        <v>139</v>
      </c>
      <c r="B30" t="s">
        <v>140</v>
      </c>
      <c r="C30" t="s">
        <v>64</v>
      </c>
      <c r="D30" t="s">
        <v>73</v>
      </c>
      <c r="G30" t="s">
        <v>74</v>
      </c>
      <c r="J30" t="s">
        <v>67</v>
      </c>
      <c r="L30">
        <v>0</v>
      </c>
      <c r="M30">
        <f t="shared" si="0"/>
        <v>0</v>
      </c>
      <c r="N30" t="s">
        <v>68</v>
      </c>
      <c r="O30">
        <f t="shared" si="1"/>
        <v>0</v>
      </c>
      <c r="P30" t="s">
        <v>68</v>
      </c>
      <c r="S30">
        <f t="shared" ca="1" si="2"/>
        <v>0</v>
      </c>
      <c r="T30" t="str">
        <f t="shared" ca="1" si="3"/>
        <v>⬜  Parcial · Inst. 2 pendiente</v>
      </c>
      <c r="U30" s="53">
        <v>1</v>
      </c>
      <c r="V30" t="s">
        <v>69</v>
      </c>
      <c r="W30">
        <f>IF(NORMALIZADO!BV30="",0,NORMALIZADO!BV30)</f>
        <v>0</v>
      </c>
      <c r="X30">
        <f>IF(NORMALIZADO!BW30="",0,NORMALIZADO!BW30)</f>
        <v>0</v>
      </c>
      <c r="Y30">
        <f>IF(NORMALIZADO!BX30="",0,NORMALIZADO!BX30)</f>
        <v>0</v>
      </c>
      <c r="Z30">
        <f>IF(NORMALIZADO!BY30="",0,NORMALIZADO!BY30)</f>
        <v>0</v>
      </c>
      <c r="AA30">
        <v>0</v>
      </c>
      <c r="AB30">
        <v>0</v>
      </c>
      <c r="AC30">
        <v>0</v>
      </c>
      <c r="AD30">
        <v>0</v>
      </c>
      <c r="AE30">
        <v>0</v>
      </c>
      <c r="AF30">
        <v>0</v>
      </c>
      <c r="AG30">
        <v>0</v>
      </c>
      <c r="AH30">
        <v>0</v>
      </c>
      <c r="AI30">
        <v>0</v>
      </c>
      <c r="AJ30">
        <v>0</v>
      </c>
      <c r="AK30">
        <v>0</v>
      </c>
      <c r="AL30">
        <v>0</v>
      </c>
      <c r="AM30">
        <v>0</v>
      </c>
      <c r="AN30">
        <v>0</v>
      </c>
      <c r="AO30">
        <f t="shared" si="4"/>
        <v>0</v>
      </c>
      <c r="AP30">
        <f ca="1">IFERROR(((M30/100)*PONDERADORES!$D$12+(SCORECARDS!H30/100)*PONDERADORES!$D$13+(SCORECARDS!I30/100)*PONDERADORES!$D$14+(SCORECARDS!J30/100)*PONDERADORES!$D$15+(ISCAM_Score!K31/100)*PONDERADORES!$D$16+O30*PONDERADORES!$D$17+0*PONDERADORES!$D$18+(AVERAGE(W30:Z30)/2)*PONDERADORES!$D$19)/PONDERADORES!$D$20,"N/A")</f>
        <v>0</v>
      </c>
      <c r="AQ30">
        <f ca="1">COUNT(M30)+IF(SCORECARDS!H30="",0,1)+IF(SCORECARDS!I30="",0,1)+IF(SCORECARDS!J30="",0,1)+IF(ISCAM_Score!K31="",0,1)+IF(O30="",0,1)+IF(COUNT(W30:Z30)&gt;0,1,0)</f>
        <v>3</v>
      </c>
    </row>
    <row r="31" spans="1:43" ht="16.05" customHeight="1" x14ac:dyDescent="0.3">
      <c r="A31" t="s">
        <v>141</v>
      </c>
      <c r="B31" t="s">
        <v>142</v>
      </c>
      <c r="C31" t="s">
        <v>143</v>
      </c>
      <c r="D31" t="s">
        <v>65</v>
      </c>
      <c r="E31">
        <v>0</v>
      </c>
      <c r="G31" t="s">
        <v>74</v>
      </c>
      <c r="J31" t="s">
        <v>67</v>
      </c>
      <c r="L31">
        <v>0</v>
      </c>
      <c r="M31">
        <f t="shared" si="0"/>
        <v>0</v>
      </c>
      <c r="N31" t="s">
        <v>68</v>
      </c>
      <c r="O31">
        <f t="shared" si="1"/>
        <v>0</v>
      </c>
      <c r="P31" t="s">
        <v>68</v>
      </c>
      <c r="S31">
        <f t="shared" ca="1" si="2"/>
        <v>0</v>
      </c>
      <c r="T31" t="str">
        <f t="shared" ca="1" si="3"/>
        <v>⬜  Parcial · Inst. 2 pendiente</v>
      </c>
      <c r="U31" s="53">
        <v>1</v>
      </c>
      <c r="V31" t="s">
        <v>69</v>
      </c>
      <c r="W31">
        <f>IF(NORMALIZADO!BV31="",0,NORMALIZADO!BV31)</f>
        <v>0</v>
      </c>
      <c r="X31">
        <f>IF(NORMALIZADO!BW31="",0,NORMALIZADO!BW31)</f>
        <v>0</v>
      </c>
      <c r="Y31">
        <f>IF(NORMALIZADO!BX31="",0,NORMALIZADO!BX31)</f>
        <v>0</v>
      </c>
      <c r="Z31">
        <f>IF(NORMALIZADO!BY31="",0,NORMALIZADO!BY31)</f>
        <v>0</v>
      </c>
      <c r="AA31">
        <v>0</v>
      </c>
      <c r="AB31">
        <v>0</v>
      </c>
      <c r="AC31">
        <v>0</v>
      </c>
      <c r="AD31">
        <v>0</v>
      </c>
      <c r="AE31">
        <v>0</v>
      </c>
      <c r="AF31">
        <v>0</v>
      </c>
      <c r="AG31">
        <v>0</v>
      </c>
      <c r="AH31">
        <v>0</v>
      </c>
      <c r="AI31">
        <v>0</v>
      </c>
      <c r="AJ31">
        <v>0</v>
      </c>
      <c r="AK31">
        <v>0</v>
      </c>
      <c r="AL31">
        <v>0</v>
      </c>
      <c r="AM31">
        <v>0</v>
      </c>
      <c r="AN31">
        <v>0</v>
      </c>
      <c r="AO31">
        <f t="shared" si="4"/>
        <v>0</v>
      </c>
      <c r="AP31">
        <f ca="1">IFERROR(((M31/100)*PONDERADORES!$D$12+(SCORECARDS!H31/100)*PONDERADORES!$D$13+(SCORECARDS!I31/100)*PONDERADORES!$D$14+(SCORECARDS!J31/100)*PONDERADORES!$D$15+(ISCAM_Score!K32/100)*PONDERADORES!$D$16+O31*PONDERADORES!$D$17+0*PONDERADORES!$D$18+(AVERAGE(W31:Z31)/2)*PONDERADORES!$D$19)/PONDERADORES!$D$20,"N/A")</f>
        <v>0</v>
      </c>
      <c r="AQ31">
        <f ca="1">COUNT(M31)+IF(SCORECARDS!H31="",0,1)+IF(SCORECARDS!I31="",0,1)+IF(SCORECARDS!J31="",0,1)+IF(ISCAM_Score!K32="",0,1)+IF(O31="",0,1)+IF(COUNT(W31:Z31)&gt;0,1,0)</f>
        <v>3</v>
      </c>
    </row>
    <row r="32" spans="1:43" ht="16.05" customHeight="1" x14ac:dyDescent="0.3">
      <c r="A32" t="s">
        <v>144</v>
      </c>
      <c r="B32" t="s">
        <v>145</v>
      </c>
      <c r="C32" t="s">
        <v>143</v>
      </c>
      <c r="D32" t="s">
        <v>73</v>
      </c>
      <c r="E32">
        <v>0</v>
      </c>
      <c r="G32" t="s">
        <v>74</v>
      </c>
      <c r="J32" t="s">
        <v>67</v>
      </c>
      <c r="L32">
        <v>0</v>
      </c>
      <c r="M32">
        <f t="shared" si="0"/>
        <v>0</v>
      </c>
      <c r="N32" t="s">
        <v>68</v>
      </c>
      <c r="O32">
        <f t="shared" si="1"/>
        <v>0</v>
      </c>
      <c r="P32" t="s">
        <v>68</v>
      </c>
      <c r="S32">
        <f t="shared" ca="1" si="2"/>
        <v>0</v>
      </c>
      <c r="T32" t="str">
        <f t="shared" ca="1" si="3"/>
        <v>⬜  Parcial · Inst. 2 pendiente</v>
      </c>
      <c r="U32" s="53">
        <v>1</v>
      </c>
      <c r="V32" t="s">
        <v>69</v>
      </c>
      <c r="W32">
        <f>IF(NORMALIZADO!BV32="",0,NORMALIZADO!BV32)</f>
        <v>0</v>
      </c>
      <c r="X32">
        <f>IF(NORMALIZADO!BW32="",0,NORMALIZADO!BW32)</f>
        <v>0</v>
      </c>
      <c r="Y32">
        <f>IF(NORMALIZADO!BX32="",0,NORMALIZADO!BX32)</f>
        <v>0</v>
      </c>
      <c r="Z32">
        <f>IF(NORMALIZADO!BY32="",0,NORMALIZADO!BY32)</f>
        <v>0</v>
      </c>
      <c r="AA32">
        <v>0</v>
      </c>
      <c r="AB32">
        <v>0</v>
      </c>
      <c r="AC32">
        <v>0</v>
      </c>
      <c r="AD32">
        <v>0</v>
      </c>
      <c r="AE32">
        <v>0</v>
      </c>
      <c r="AF32">
        <v>0</v>
      </c>
      <c r="AG32">
        <v>0</v>
      </c>
      <c r="AH32">
        <v>0</v>
      </c>
      <c r="AI32">
        <v>0</v>
      </c>
      <c r="AJ32">
        <v>0</v>
      </c>
      <c r="AK32">
        <v>0</v>
      </c>
      <c r="AL32">
        <v>0</v>
      </c>
      <c r="AM32">
        <v>0</v>
      </c>
      <c r="AN32">
        <v>0</v>
      </c>
      <c r="AO32">
        <f t="shared" si="4"/>
        <v>0</v>
      </c>
      <c r="AP32">
        <f ca="1">IFERROR(((M32/100)*PONDERADORES!$D$12+(SCORECARDS!H32/100)*PONDERADORES!$D$13+(SCORECARDS!I32/100)*PONDERADORES!$D$14+(SCORECARDS!J32/100)*PONDERADORES!$D$15+(ISCAM_Score!K33/100)*PONDERADORES!$D$16+O32*PONDERADORES!$D$17+0*PONDERADORES!$D$18+(AVERAGE(W32:Z32)/2)*PONDERADORES!$D$19)/PONDERADORES!$D$20,"N/A")</f>
        <v>0</v>
      </c>
      <c r="AQ32">
        <f ca="1">COUNT(M32)+IF(SCORECARDS!H32="",0,1)+IF(SCORECARDS!I32="",0,1)+IF(SCORECARDS!J32="",0,1)+IF(ISCAM_Score!K33="",0,1)+IF(O32="",0,1)+IF(COUNT(W32:Z32)&gt;0,1,0)</f>
        <v>3</v>
      </c>
    </row>
    <row r="33" spans="1:43" ht="16.05" customHeight="1" x14ac:dyDescent="0.3">
      <c r="A33" t="s">
        <v>146</v>
      </c>
      <c r="B33" t="s">
        <v>147</v>
      </c>
      <c r="C33" t="s">
        <v>143</v>
      </c>
      <c r="D33" t="s">
        <v>65</v>
      </c>
      <c r="E33">
        <v>0</v>
      </c>
      <c r="G33" t="s">
        <v>74</v>
      </c>
      <c r="J33" t="s">
        <v>67</v>
      </c>
      <c r="L33">
        <v>0</v>
      </c>
      <c r="M33">
        <f t="shared" si="0"/>
        <v>0</v>
      </c>
      <c r="N33" t="s">
        <v>68</v>
      </c>
      <c r="O33">
        <f t="shared" si="1"/>
        <v>0</v>
      </c>
      <c r="P33" t="s">
        <v>68</v>
      </c>
      <c r="S33">
        <f t="shared" ca="1" si="2"/>
        <v>0</v>
      </c>
      <c r="T33" t="str">
        <f t="shared" ca="1" si="3"/>
        <v>⬜  Parcial · Inst. 2 pendiente</v>
      </c>
      <c r="U33" s="53">
        <v>1</v>
      </c>
      <c r="V33" t="s">
        <v>69</v>
      </c>
      <c r="W33">
        <f>IF(NORMALIZADO!BV33="",0,NORMALIZADO!BV33)</f>
        <v>0</v>
      </c>
      <c r="X33">
        <f>IF(NORMALIZADO!BW33="",0,NORMALIZADO!BW33)</f>
        <v>0</v>
      </c>
      <c r="Y33">
        <f>IF(NORMALIZADO!BX33="",0,NORMALIZADO!BX33)</f>
        <v>0</v>
      </c>
      <c r="Z33">
        <f>IF(NORMALIZADO!BY33="",0,NORMALIZADO!BY33)</f>
        <v>0</v>
      </c>
      <c r="AA33">
        <v>0</v>
      </c>
      <c r="AB33">
        <v>0</v>
      </c>
      <c r="AC33">
        <v>0</v>
      </c>
      <c r="AD33">
        <v>0</v>
      </c>
      <c r="AE33">
        <v>0</v>
      </c>
      <c r="AF33">
        <v>0</v>
      </c>
      <c r="AG33">
        <v>0</v>
      </c>
      <c r="AH33">
        <v>0</v>
      </c>
      <c r="AI33">
        <v>0</v>
      </c>
      <c r="AJ33">
        <v>0</v>
      </c>
      <c r="AK33">
        <v>0</v>
      </c>
      <c r="AL33">
        <v>0</v>
      </c>
      <c r="AM33">
        <v>0</v>
      </c>
      <c r="AN33">
        <v>0</v>
      </c>
      <c r="AO33">
        <f t="shared" si="4"/>
        <v>0</v>
      </c>
      <c r="AP33">
        <f ca="1">IFERROR(((M33/100)*PONDERADORES!$D$12+(SCORECARDS!H33/100)*PONDERADORES!$D$13+(SCORECARDS!I33/100)*PONDERADORES!$D$14+(SCORECARDS!J33/100)*PONDERADORES!$D$15+(ISCAM_Score!K34/100)*PONDERADORES!$D$16+O33*PONDERADORES!$D$17+0*PONDERADORES!$D$18+(AVERAGE(W33:Z33)/2)*PONDERADORES!$D$19)/PONDERADORES!$D$20,"N/A")</f>
        <v>0</v>
      </c>
      <c r="AQ33">
        <f ca="1">COUNT(M33)+IF(SCORECARDS!H33="",0,1)+IF(SCORECARDS!I33="",0,1)+IF(SCORECARDS!J33="",0,1)+IF(ISCAM_Score!K34="",0,1)+IF(O33="",0,1)+IF(COUNT(W33:Z33)&gt;0,1,0)</f>
        <v>3</v>
      </c>
    </row>
    <row r="34" spans="1:43" ht="16.05" customHeight="1" x14ac:dyDescent="0.3">
      <c r="A34" t="s">
        <v>148</v>
      </c>
      <c r="B34" t="s">
        <v>149</v>
      </c>
      <c r="C34" t="s">
        <v>143</v>
      </c>
      <c r="D34" t="s">
        <v>65</v>
      </c>
      <c r="G34" t="s">
        <v>74</v>
      </c>
      <c r="J34" t="s">
        <v>67</v>
      </c>
      <c r="L34">
        <v>0</v>
      </c>
      <c r="M34">
        <f t="shared" si="0"/>
        <v>0</v>
      </c>
      <c r="N34" t="s">
        <v>68</v>
      </c>
      <c r="O34">
        <f t="shared" si="1"/>
        <v>0</v>
      </c>
      <c r="P34" t="s">
        <v>68</v>
      </c>
      <c r="S34">
        <f t="shared" ca="1" si="2"/>
        <v>0</v>
      </c>
      <c r="T34" t="str">
        <f t="shared" ca="1" si="3"/>
        <v>⬜  Parcial · Inst. 2 pendiente</v>
      </c>
      <c r="U34" s="53">
        <v>1</v>
      </c>
      <c r="V34" t="s">
        <v>69</v>
      </c>
      <c r="W34">
        <f>IF(NORMALIZADO!BV34="",0,NORMALIZADO!BV34)</f>
        <v>0</v>
      </c>
      <c r="X34">
        <f>IF(NORMALIZADO!BW34="",0,NORMALIZADO!BW34)</f>
        <v>0</v>
      </c>
      <c r="Y34">
        <f>IF(NORMALIZADO!BX34="",0,NORMALIZADO!BX34)</f>
        <v>0</v>
      </c>
      <c r="Z34">
        <f>IF(NORMALIZADO!BY34="",0,NORMALIZADO!BY34)</f>
        <v>0</v>
      </c>
      <c r="AA34">
        <v>0</v>
      </c>
      <c r="AB34">
        <v>0</v>
      </c>
      <c r="AC34">
        <v>0</v>
      </c>
      <c r="AD34">
        <v>0</v>
      </c>
      <c r="AE34">
        <v>0</v>
      </c>
      <c r="AF34">
        <v>0</v>
      </c>
      <c r="AG34">
        <v>0</v>
      </c>
      <c r="AH34">
        <v>0</v>
      </c>
      <c r="AI34">
        <v>0</v>
      </c>
      <c r="AJ34">
        <v>0</v>
      </c>
      <c r="AK34">
        <v>0</v>
      </c>
      <c r="AL34">
        <v>0</v>
      </c>
      <c r="AM34">
        <v>0</v>
      </c>
      <c r="AN34">
        <v>0</v>
      </c>
      <c r="AO34">
        <f t="shared" si="4"/>
        <v>0</v>
      </c>
      <c r="AP34">
        <f ca="1">IFERROR(((M34/100)*PONDERADORES!$D$12+(SCORECARDS!H34/100)*PONDERADORES!$D$13+(SCORECARDS!I34/100)*PONDERADORES!$D$14+(SCORECARDS!J34/100)*PONDERADORES!$D$15+(ISCAM_Score!K35/100)*PONDERADORES!$D$16+O34*PONDERADORES!$D$17+0*PONDERADORES!$D$18+(AVERAGE(W34:Z34)/2)*PONDERADORES!$D$19)/PONDERADORES!$D$20,"N/A")</f>
        <v>0</v>
      </c>
      <c r="AQ34">
        <f ca="1">COUNT(M34)+IF(SCORECARDS!H34="",0,1)+IF(SCORECARDS!I34="",0,1)+IF(SCORECARDS!J34="",0,1)+IF(ISCAM_Score!K35="",0,1)+IF(O34="",0,1)+IF(COUNT(W34:Z34)&gt;0,1,0)</f>
        <v>3</v>
      </c>
    </row>
    <row r="35" spans="1:43" ht="16.05" customHeight="1" x14ac:dyDescent="0.3">
      <c r="A35" t="s">
        <v>150</v>
      </c>
      <c r="B35" t="s">
        <v>151</v>
      </c>
      <c r="C35" t="s">
        <v>80</v>
      </c>
      <c r="D35" t="s">
        <v>73</v>
      </c>
      <c r="E35">
        <v>1931452.7</v>
      </c>
      <c r="F35">
        <v>7</v>
      </c>
      <c r="G35" t="s">
        <v>66</v>
      </c>
      <c r="J35" t="s">
        <v>67</v>
      </c>
      <c r="L35">
        <v>965726.35</v>
      </c>
      <c r="M35">
        <f t="shared" ref="M35:M66" si="5">IF(E35&gt;0,ROUND(L35/E35*100,1),0)</f>
        <v>50</v>
      </c>
      <c r="N35" t="s">
        <v>68</v>
      </c>
      <c r="O35">
        <f t="shared" ref="O35:O66" si="6">IF(H35="SI",1,0)*0.6+IF(I35="SI",1,0)*0.4</f>
        <v>0</v>
      </c>
      <c r="P35" t="s">
        <v>68</v>
      </c>
      <c r="S35">
        <f t="shared" ref="S35:S66" ca="1" si="7">IFERROR(ROUND(AP35*100,1),"N/A")</f>
        <v>12.5</v>
      </c>
      <c r="T35" t="str">
        <f t="shared" ref="T35:T66" ca="1" si="8">IF(NOT(ISNUMBER(S35)),"—",IF(AQ35&lt;6,"⬜  Parcial · Inst. 2 pendiente",IF(S35&lt;34,"🔴 Crítico",IF(S35&lt;67,"🟡 Vulnerable","🟢 Preparado"))))</f>
        <v>⬜  Parcial · Inst. 2 pendiente</v>
      </c>
      <c r="U35" s="53">
        <v>1</v>
      </c>
      <c r="V35" t="s">
        <v>69</v>
      </c>
      <c r="W35">
        <f>IF(NORMALIZADO!BV35="",1,NORMALIZADO!BV35)</f>
        <v>1</v>
      </c>
      <c r="X35">
        <f>IF(NORMALIZADO!BW35="",0,NORMALIZADO!BW35)</f>
        <v>0</v>
      </c>
      <c r="Y35">
        <f>IF(NORMALIZADO!BX35="",0,NORMALIZADO!BX35)</f>
        <v>0</v>
      </c>
      <c r="Z35">
        <f>IF(NORMALIZADO!BY35="",0,NORMALIZADO!BY35)</f>
        <v>0</v>
      </c>
      <c r="AA35">
        <v>0</v>
      </c>
      <c r="AB35">
        <v>0</v>
      </c>
      <c r="AC35">
        <v>0</v>
      </c>
      <c r="AD35">
        <v>0</v>
      </c>
      <c r="AE35">
        <v>0</v>
      </c>
      <c r="AF35">
        <v>0</v>
      </c>
      <c r="AG35">
        <v>0</v>
      </c>
      <c r="AH35">
        <v>0</v>
      </c>
      <c r="AI35">
        <v>0</v>
      </c>
      <c r="AJ35">
        <v>0</v>
      </c>
      <c r="AK35">
        <v>0</v>
      </c>
      <c r="AL35">
        <v>0</v>
      </c>
      <c r="AM35">
        <v>0</v>
      </c>
      <c r="AN35">
        <v>0</v>
      </c>
      <c r="AO35">
        <f t="shared" ref="AO35:AO66" si="9">IFERROR(AVERAGE(AA35,AB35,AC35,AD35,AE35,AF35,AG35,AH35,AI35,AJ35,AK35,AL35,AM35,AN35),"N/A")</f>
        <v>0</v>
      </c>
      <c r="AP35">
        <f ca="1">IFERROR(((M35/100)*PONDERADORES!$D$12+(SCORECARDS!H35/100)*PONDERADORES!$D$13+(SCORECARDS!I35/100)*PONDERADORES!$D$14+(SCORECARDS!J35/100)*PONDERADORES!$D$15+(ISCAM_Score!K36/100)*PONDERADORES!$D$16+O35*PONDERADORES!$D$17+0*PONDERADORES!$D$18+(AVERAGE(W35:Z35)/2)*PONDERADORES!$D$19)/PONDERADORES!$D$20,"N/A")</f>
        <v>0.125</v>
      </c>
      <c r="AQ35">
        <f ca="1">COUNT(M35)+IF(SCORECARDS!H35="",0,1)+IF(SCORECARDS!I35="",0,1)+IF(SCORECARDS!J35="",0,1)+IF(ISCAM_Score!K36="",0,1)+IF(O35="",0,1)+IF(COUNT(W35:Z35)&gt;0,1,0)</f>
        <v>3</v>
      </c>
    </row>
    <row r="36" spans="1:43" ht="16.05" customHeight="1" x14ac:dyDescent="0.3">
      <c r="A36" t="s">
        <v>152</v>
      </c>
      <c r="B36" t="s">
        <v>153</v>
      </c>
      <c r="C36" t="s">
        <v>154</v>
      </c>
      <c r="D36" t="s">
        <v>65</v>
      </c>
      <c r="E36">
        <v>4538578.93</v>
      </c>
      <c r="F36">
        <v>24</v>
      </c>
      <c r="G36" t="s">
        <v>66</v>
      </c>
      <c r="H36" t="s">
        <v>66</v>
      </c>
      <c r="I36" t="s">
        <v>66</v>
      </c>
      <c r="J36" t="s">
        <v>67</v>
      </c>
      <c r="L36">
        <v>965167.45</v>
      </c>
      <c r="M36">
        <f t="shared" si="5"/>
        <v>21.3</v>
      </c>
      <c r="N36" t="s">
        <v>68</v>
      </c>
      <c r="O36">
        <f t="shared" si="6"/>
        <v>1</v>
      </c>
      <c r="P36" t="s">
        <v>68</v>
      </c>
      <c r="Q36">
        <v>178</v>
      </c>
      <c r="R36">
        <v>437</v>
      </c>
      <c r="S36">
        <f t="shared" ca="1" si="7"/>
        <v>14.8</v>
      </c>
      <c r="T36" t="str">
        <f t="shared" ca="1" si="8"/>
        <v>⬜  Parcial · Inst. 2 pendiente</v>
      </c>
      <c r="U36" s="53">
        <v>1</v>
      </c>
      <c r="V36" t="s">
        <v>69</v>
      </c>
      <c r="W36">
        <f>IF(NORMALIZADO!BV36="",1,NORMALIZADO!BV36)</f>
        <v>1</v>
      </c>
      <c r="X36">
        <f>IF(NORMALIZADO!BW36="",0,NORMALIZADO!BW36)</f>
        <v>0</v>
      </c>
      <c r="Y36">
        <f>IF(NORMALIZADO!BX36="",0,NORMALIZADO!BX36)</f>
        <v>0</v>
      </c>
      <c r="Z36">
        <f>IF(NORMALIZADO!BY36="",0,NORMALIZADO!BY36)</f>
        <v>0</v>
      </c>
      <c r="AA36">
        <v>0</v>
      </c>
      <c r="AB36">
        <v>0</v>
      </c>
      <c r="AC36">
        <v>0</v>
      </c>
      <c r="AD36">
        <v>0</v>
      </c>
      <c r="AE36">
        <v>0</v>
      </c>
      <c r="AF36">
        <v>0</v>
      </c>
      <c r="AG36">
        <v>0</v>
      </c>
      <c r="AH36">
        <v>0</v>
      </c>
      <c r="AI36">
        <v>0</v>
      </c>
      <c r="AJ36">
        <v>0</v>
      </c>
      <c r="AK36">
        <v>0</v>
      </c>
      <c r="AL36">
        <v>0</v>
      </c>
      <c r="AM36">
        <v>0</v>
      </c>
      <c r="AN36">
        <v>0</v>
      </c>
      <c r="AO36">
        <f t="shared" si="9"/>
        <v>0</v>
      </c>
      <c r="AP36">
        <f ca="1">IFERROR(((M36/100)*PONDERADORES!$D$12+(SCORECARDS!H36/100)*PONDERADORES!$D$13+(SCORECARDS!I36/100)*PONDERADORES!$D$14+(SCORECARDS!J36/100)*PONDERADORES!$D$15+(ISCAM_Score!K37/100)*PONDERADORES!$D$16+O36*PONDERADORES!$D$17+0*PONDERADORES!$D$18+(AVERAGE(W36:Z36)/2)*PONDERADORES!$D$19)/PONDERADORES!$D$20,"N/A")</f>
        <v>0.14760000000000001</v>
      </c>
      <c r="AQ36">
        <f ca="1">COUNT(M36)+IF(SCORECARDS!H36="",0,1)+IF(SCORECARDS!I36="",0,1)+IF(SCORECARDS!J36="",0,1)+IF(ISCAM_Score!K37="",0,1)+IF(O36="",0,1)+IF(COUNT(W36:Z36)&gt;0,1,0)</f>
        <v>3</v>
      </c>
    </row>
    <row r="37" spans="1:43" ht="16.05" customHeight="1" x14ac:dyDescent="0.3">
      <c r="A37" t="s">
        <v>155</v>
      </c>
      <c r="B37" t="s">
        <v>156</v>
      </c>
      <c r="C37" t="s">
        <v>116</v>
      </c>
      <c r="D37" t="s">
        <v>65</v>
      </c>
      <c r="E37">
        <v>0</v>
      </c>
      <c r="G37" t="s">
        <v>74</v>
      </c>
      <c r="J37" t="s">
        <v>67</v>
      </c>
      <c r="L37">
        <v>0</v>
      </c>
      <c r="M37">
        <f t="shared" si="5"/>
        <v>0</v>
      </c>
      <c r="N37" t="s">
        <v>68</v>
      </c>
      <c r="O37">
        <f t="shared" si="6"/>
        <v>0</v>
      </c>
      <c r="P37" t="s">
        <v>68</v>
      </c>
      <c r="S37">
        <f t="shared" ca="1" si="7"/>
        <v>0</v>
      </c>
      <c r="T37" t="str">
        <f t="shared" ca="1" si="8"/>
        <v>⬜  Parcial · Inst. 2 pendiente</v>
      </c>
      <c r="U37" s="53">
        <v>1</v>
      </c>
      <c r="V37" t="s">
        <v>69</v>
      </c>
      <c r="W37">
        <f>IF(NORMALIZADO!BV37="",0,NORMALIZADO!BV37)</f>
        <v>0</v>
      </c>
      <c r="X37">
        <f>IF(NORMALIZADO!BW37="",0,NORMALIZADO!BW37)</f>
        <v>0</v>
      </c>
      <c r="Y37">
        <f>IF(NORMALIZADO!BX37="",0,NORMALIZADO!BX37)</f>
        <v>0</v>
      </c>
      <c r="Z37">
        <f>IF(NORMALIZADO!BY37="",0,NORMALIZADO!BY37)</f>
        <v>0</v>
      </c>
      <c r="AA37">
        <v>0</v>
      </c>
      <c r="AB37">
        <v>0</v>
      </c>
      <c r="AC37">
        <v>0</v>
      </c>
      <c r="AD37">
        <v>0</v>
      </c>
      <c r="AE37">
        <v>0</v>
      </c>
      <c r="AF37">
        <v>0</v>
      </c>
      <c r="AG37">
        <v>0</v>
      </c>
      <c r="AH37">
        <v>0</v>
      </c>
      <c r="AI37">
        <v>0</v>
      </c>
      <c r="AJ37">
        <v>0</v>
      </c>
      <c r="AK37">
        <v>0</v>
      </c>
      <c r="AL37">
        <v>0</v>
      </c>
      <c r="AM37">
        <v>0</v>
      </c>
      <c r="AN37">
        <v>0</v>
      </c>
      <c r="AO37">
        <f t="shared" si="9"/>
        <v>0</v>
      </c>
      <c r="AP37">
        <f ca="1">IFERROR(((M37/100)*PONDERADORES!$D$12+(SCORECARDS!H37/100)*PONDERADORES!$D$13+(SCORECARDS!I37/100)*PONDERADORES!$D$14+(SCORECARDS!J37/100)*PONDERADORES!$D$15+(ISCAM_Score!K38/100)*PONDERADORES!$D$16+O37*PONDERADORES!$D$17+0*PONDERADORES!$D$18+(AVERAGE(W37:Z37)/2)*PONDERADORES!$D$19)/PONDERADORES!$D$20,"N/A")</f>
        <v>0</v>
      </c>
      <c r="AQ37">
        <f ca="1">COUNT(M37)+IF(SCORECARDS!H37="",0,1)+IF(SCORECARDS!I37="",0,1)+IF(SCORECARDS!J37="",0,1)+IF(ISCAM_Score!K38="",0,1)+IF(O37="",0,1)+IF(COUNT(W37:Z37)&gt;0,1,0)</f>
        <v>3</v>
      </c>
    </row>
    <row r="38" spans="1:43" ht="16.05" customHeight="1" x14ac:dyDescent="0.3">
      <c r="A38" t="s">
        <v>157</v>
      </c>
      <c r="B38" t="s">
        <v>158</v>
      </c>
      <c r="C38" t="s">
        <v>116</v>
      </c>
      <c r="G38" t="s">
        <v>74</v>
      </c>
      <c r="J38" t="s">
        <v>128</v>
      </c>
      <c r="L38">
        <v>0</v>
      </c>
      <c r="M38">
        <f t="shared" si="5"/>
        <v>0</v>
      </c>
      <c r="N38" t="s">
        <v>68</v>
      </c>
      <c r="O38">
        <f t="shared" si="6"/>
        <v>0</v>
      </c>
      <c r="P38" t="s">
        <v>68</v>
      </c>
      <c r="S38">
        <f t="shared" ca="1" si="7"/>
        <v>0</v>
      </c>
      <c r="T38" t="str">
        <f t="shared" ca="1" si="8"/>
        <v>⬜  Parcial · Inst. 2 pendiente</v>
      </c>
      <c r="U38" s="53">
        <v>1</v>
      </c>
      <c r="V38" t="s">
        <v>69</v>
      </c>
      <c r="W38">
        <f>IF(NORMALIZADO!BV38="",0,NORMALIZADO!BV38)</f>
        <v>0</v>
      </c>
      <c r="X38">
        <f>IF(NORMALIZADO!BW38="",0,NORMALIZADO!BW38)</f>
        <v>0</v>
      </c>
      <c r="Y38">
        <f>IF(NORMALIZADO!BX38="",0,NORMALIZADO!BX38)</f>
        <v>0</v>
      </c>
      <c r="Z38">
        <f>IF(NORMALIZADO!BY38="",0,NORMALIZADO!BY38)</f>
        <v>0</v>
      </c>
      <c r="AA38">
        <v>0</v>
      </c>
      <c r="AB38">
        <v>0</v>
      </c>
      <c r="AC38">
        <v>0</v>
      </c>
      <c r="AD38">
        <v>0</v>
      </c>
      <c r="AE38">
        <v>0</v>
      </c>
      <c r="AF38">
        <v>0</v>
      </c>
      <c r="AG38">
        <v>0</v>
      </c>
      <c r="AH38">
        <v>0</v>
      </c>
      <c r="AI38">
        <v>0</v>
      </c>
      <c r="AJ38">
        <v>0</v>
      </c>
      <c r="AK38">
        <v>0</v>
      </c>
      <c r="AL38">
        <v>0</v>
      </c>
      <c r="AM38">
        <v>0</v>
      </c>
      <c r="AN38">
        <v>0</v>
      </c>
      <c r="AO38">
        <f t="shared" si="9"/>
        <v>0</v>
      </c>
      <c r="AP38">
        <f ca="1">IFERROR(((M38/100)*PONDERADORES!$D$12+(SCORECARDS!H38/100)*PONDERADORES!$D$13+(SCORECARDS!I38/100)*PONDERADORES!$D$14+(SCORECARDS!J38/100)*PONDERADORES!$D$15+(ISCAM_Score!K39/100)*PONDERADORES!$D$16+O38*PONDERADORES!$D$17+0*PONDERADORES!$D$18+(AVERAGE(W38:Z38)/2)*PONDERADORES!$D$19)/PONDERADORES!$D$20,"N/A")</f>
        <v>0</v>
      </c>
      <c r="AQ38">
        <f ca="1">COUNT(M38)+IF(SCORECARDS!H38="",0,1)+IF(SCORECARDS!I38="",0,1)+IF(SCORECARDS!J38="",0,1)+IF(ISCAM_Score!K39="",0,1)+IF(O38="",0,1)+IF(COUNT(W38:Z38)&gt;0,1,0)</f>
        <v>3</v>
      </c>
    </row>
    <row r="39" spans="1:43" ht="16.05" customHeight="1" x14ac:dyDescent="0.3">
      <c r="A39" t="s">
        <v>159</v>
      </c>
      <c r="B39" t="s">
        <v>160</v>
      </c>
      <c r="C39" t="s">
        <v>116</v>
      </c>
      <c r="D39" t="s">
        <v>73</v>
      </c>
      <c r="E39">
        <v>1175215.28</v>
      </c>
      <c r="F39">
        <v>7</v>
      </c>
      <c r="G39" t="s">
        <v>66</v>
      </c>
      <c r="J39" t="s">
        <v>67</v>
      </c>
      <c r="L39">
        <v>587607.64</v>
      </c>
      <c r="M39">
        <f t="shared" si="5"/>
        <v>50</v>
      </c>
      <c r="N39" t="s">
        <v>68</v>
      </c>
      <c r="O39">
        <f t="shared" si="6"/>
        <v>0</v>
      </c>
      <c r="P39" t="s">
        <v>68</v>
      </c>
      <c r="S39">
        <f t="shared" ca="1" si="7"/>
        <v>12.5</v>
      </c>
      <c r="T39" t="str">
        <f t="shared" ca="1" si="8"/>
        <v>⬜  Parcial · Inst. 2 pendiente</v>
      </c>
      <c r="U39" s="53">
        <v>1</v>
      </c>
      <c r="V39" t="s">
        <v>69</v>
      </c>
      <c r="W39">
        <f>IF(NORMALIZADO!BV39="",1,NORMALIZADO!BV39)</f>
        <v>1</v>
      </c>
      <c r="X39">
        <f>IF(NORMALIZADO!BW39="",0,NORMALIZADO!BW39)</f>
        <v>0</v>
      </c>
      <c r="Y39">
        <f>IF(NORMALIZADO!BX39="",0,NORMALIZADO!BX39)</f>
        <v>0</v>
      </c>
      <c r="Z39">
        <f>IF(NORMALIZADO!BY39="",0,NORMALIZADO!BY39)</f>
        <v>0</v>
      </c>
      <c r="AA39">
        <v>0</v>
      </c>
      <c r="AB39">
        <v>0</v>
      </c>
      <c r="AC39">
        <v>0</v>
      </c>
      <c r="AD39">
        <v>0</v>
      </c>
      <c r="AE39">
        <v>0</v>
      </c>
      <c r="AF39">
        <v>0</v>
      </c>
      <c r="AG39">
        <v>0</v>
      </c>
      <c r="AH39">
        <v>0</v>
      </c>
      <c r="AI39">
        <v>0</v>
      </c>
      <c r="AJ39">
        <v>0</v>
      </c>
      <c r="AK39">
        <v>0</v>
      </c>
      <c r="AL39">
        <v>0</v>
      </c>
      <c r="AM39">
        <v>0</v>
      </c>
      <c r="AN39">
        <v>0</v>
      </c>
      <c r="AO39">
        <f t="shared" si="9"/>
        <v>0</v>
      </c>
      <c r="AP39">
        <f ca="1">IFERROR(((M39/100)*PONDERADORES!$D$12+(SCORECARDS!H39/100)*PONDERADORES!$D$13+(SCORECARDS!I39/100)*PONDERADORES!$D$14+(SCORECARDS!J39/100)*PONDERADORES!$D$15+(ISCAM_Score!K40/100)*PONDERADORES!$D$16+O39*PONDERADORES!$D$17+0*PONDERADORES!$D$18+(AVERAGE(W39:Z39)/2)*PONDERADORES!$D$19)/PONDERADORES!$D$20,"N/A")</f>
        <v>0.125</v>
      </c>
      <c r="AQ39">
        <f ca="1">COUNT(M39)+IF(SCORECARDS!H39="",0,1)+IF(SCORECARDS!I39="",0,1)+IF(SCORECARDS!J39="",0,1)+IF(ISCAM_Score!K40="",0,1)+IF(O39="",0,1)+IF(COUNT(W39:Z39)&gt;0,1,0)</f>
        <v>3</v>
      </c>
    </row>
    <row r="40" spans="1:43" ht="16.05" customHeight="1" x14ac:dyDescent="0.3">
      <c r="A40" t="s">
        <v>161</v>
      </c>
      <c r="B40" t="s">
        <v>162</v>
      </c>
      <c r="C40" t="s">
        <v>116</v>
      </c>
      <c r="D40" t="s">
        <v>73</v>
      </c>
      <c r="E40">
        <v>1684429.98</v>
      </c>
      <c r="F40">
        <v>14</v>
      </c>
      <c r="G40" t="s">
        <v>66</v>
      </c>
      <c r="J40" t="s">
        <v>67</v>
      </c>
      <c r="L40">
        <v>842214.99</v>
      </c>
      <c r="M40">
        <f t="shared" si="5"/>
        <v>50</v>
      </c>
      <c r="N40" t="s">
        <v>68</v>
      </c>
      <c r="O40">
        <f t="shared" si="6"/>
        <v>0</v>
      </c>
      <c r="P40" t="s">
        <v>68</v>
      </c>
      <c r="S40">
        <f t="shared" ca="1" si="7"/>
        <v>12.5</v>
      </c>
      <c r="T40" t="str">
        <f t="shared" ca="1" si="8"/>
        <v>⬜  Parcial · Inst. 2 pendiente</v>
      </c>
      <c r="U40" s="53">
        <v>1</v>
      </c>
      <c r="V40" t="s">
        <v>69</v>
      </c>
      <c r="W40">
        <f>IF(NORMALIZADO!BV40="",1,NORMALIZADO!BV40)</f>
        <v>1</v>
      </c>
      <c r="X40">
        <f>IF(NORMALIZADO!BW40="",0,NORMALIZADO!BW40)</f>
        <v>0</v>
      </c>
      <c r="Y40">
        <f>IF(NORMALIZADO!BX40="",0,NORMALIZADO!BX40)</f>
        <v>0</v>
      </c>
      <c r="Z40">
        <f>IF(NORMALIZADO!BY40="",0,NORMALIZADO!BY40)</f>
        <v>0</v>
      </c>
      <c r="AA40">
        <v>0</v>
      </c>
      <c r="AB40">
        <v>0</v>
      </c>
      <c r="AC40">
        <v>0</v>
      </c>
      <c r="AD40">
        <v>0</v>
      </c>
      <c r="AE40">
        <v>0</v>
      </c>
      <c r="AF40">
        <v>0</v>
      </c>
      <c r="AG40">
        <v>0</v>
      </c>
      <c r="AH40">
        <v>0</v>
      </c>
      <c r="AI40">
        <v>0</v>
      </c>
      <c r="AJ40">
        <v>0</v>
      </c>
      <c r="AK40">
        <v>0</v>
      </c>
      <c r="AL40">
        <v>0</v>
      </c>
      <c r="AM40">
        <v>0</v>
      </c>
      <c r="AN40">
        <v>0</v>
      </c>
      <c r="AO40">
        <f t="shared" si="9"/>
        <v>0</v>
      </c>
      <c r="AP40">
        <f ca="1">IFERROR(((M40/100)*PONDERADORES!$D$12+(SCORECARDS!H40/100)*PONDERADORES!$D$13+(SCORECARDS!I40/100)*PONDERADORES!$D$14+(SCORECARDS!J40/100)*PONDERADORES!$D$15+(ISCAM_Score!K41/100)*PONDERADORES!$D$16+O40*PONDERADORES!$D$17+0*PONDERADORES!$D$18+(AVERAGE(W40:Z40)/2)*PONDERADORES!$D$19)/PONDERADORES!$D$20,"N/A")</f>
        <v>0.125</v>
      </c>
      <c r="AQ40">
        <f ca="1">COUNT(M40)+IF(SCORECARDS!H40="",0,1)+IF(SCORECARDS!I40="",0,1)+IF(SCORECARDS!J40="",0,1)+IF(ISCAM_Score!K41="",0,1)+IF(O40="",0,1)+IF(COUNT(W40:Z40)&gt;0,1,0)</f>
        <v>3</v>
      </c>
    </row>
    <row r="41" spans="1:43" ht="16.05" customHeight="1" x14ac:dyDescent="0.3">
      <c r="A41" t="s">
        <v>163</v>
      </c>
      <c r="B41" t="s">
        <v>164</v>
      </c>
      <c r="C41" t="s">
        <v>116</v>
      </c>
      <c r="D41" t="s">
        <v>65</v>
      </c>
      <c r="E41">
        <v>0</v>
      </c>
      <c r="G41" t="s">
        <v>74</v>
      </c>
      <c r="J41" t="s">
        <v>128</v>
      </c>
      <c r="L41">
        <v>0</v>
      </c>
      <c r="M41">
        <f t="shared" si="5"/>
        <v>0</v>
      </c>
      <c r="N41" t="s">
        <v>68</v>
      </c>
      <c r="O41">
        <f t="shared" si="6"/>
        <v>0</v>
      </c>
      <c r="P41" t="s">
        <v>68</v>
      </c>
      <c r="S41">
        <f t="shared" ca="1" si="7"/>
        <v>0</v>
      </c>
      <c r="T41" t="str">
        <f t="shared" ca="1" si="8"/>
        <v>⬜  Parcial · Inst. 2 pendiente</v>
      </c>
      <c r="U41" s="53">
        <v>1</v>
      </c>
      <c r="V41" t="s">
        <v>69</v>
      </c>
      <c r="W41">
        <f>IF(NORMALIZADO!BV41="",0,NORMALIZADO!BV41)</f>
        <v>0</v>
      </c>
      <c r="X41">
        <f>IF(NORMALIZADO!BW41="",0,NORMALIZADO!BW41)</f>
        <v>0</v>
      </c>
      <c r="Y41">
        <f>IF(NORMALIZADO!BX41="",0,NORMALIZADO!BX41)</f>
        <v>0</v>
      </c>
      <c r="Z41">
        <f>IF(NORMALIZADO!BY41="",0,NORMALIZADO!BY41)</f>
        <v>0</v>
      </c>
      <c r="AA41">
        <v>0</v>
      </c>
      <c r="AB41">
        <v>0</v>
      </c>
      <c r="AC41">
        <v>0</v>
      </c>
      <c r="AD41">
        <v>0</v>
      </c>
      <c r="AE41">
        <v>0</v>
      </c>
      <c r="AF41">
        <v>0</v>
      </c>
      <c r="AG41">
        <v>0</v>
      </c>
      <c r="AH41">
        <v>0</v>
      </c>
      <c r="AI41">
        <v>0</v>
      </c>
      <c r="AJ41">
        <v>0</v>
      </c>
      <c r="AK41">
        <v>0</v>
      </c>
      <c r="AL41">
        <v>0</v>
      </c>
      <c r="AM41">
        <v>0</v>
      </c>
      <c r="AN41">
        <v>0</v>
      </c>
      <c r="AO41">
        <f t="shared" si="9"/>
        <v>0</v>
      </c>
      <c r="AP41">
        <f ca="1">IFERROR(((M41/100)*PONDERADORES!$D$12+(SCORECARDS!H41/100)*PONDERADORES!$D$13+(SCORECARDS!I41/100)*PONDERADORES!$D$14+(SCORECARDS!J41/100)*PONDERADORES!$D$15+(ISCAM_Score!K42/100)*PONDERADORES!$D$16+O41*PONDERADORES!$D$17+0*PONDERADORES!$D$18+(AVERAGE(W41:Z41)/2)*PONDERADORES!$D$19)/PONDERADORES!$D$20,"N/A")</f>
        <v>0</v>
      </c>
      <c r="AQ41">
        <f ca="1">COUNT(M41)+IF(SCORECARDS!H41="",0,1)+IF(SCORECARDS!I41="",0,1)+IF(SCORECARDS!J41="",0,1)+IF(ISCAM_Score!K42="",0,1)+IF(O41="",0,1)+IF(COUNT(W41:Z41)&gt;0,1,0)</f>
        <v>3</v>
      </c>
    </row>
    <row r="42" spans="1:43" ht="16.05" customHeight="1" x14ac:dyDescent="0.3">
      <c r="A42" t="s">
        <v>165</v>
      </c>
      <c r="B42" t="s">
        <v>166</v>
      </c>
      <c r="C42" t="s">
        <v>107</v>
      </c>
      <c r="D42" t="s">
        <v>73</v>
      </c>
      <c r="E42">
        <v>817000</v>
      </c>
      <c r="F42">
        <v>6</v>
      </c>
      <c r="G42" t="s">
        <v>66</v>
      </c>
      <c r="J42" t="s">
        <v>67</v>
      </c>
      <c r="L42">
        <v>408500</v>
      </c>
      <c r="M42">
        <f t="shared" si="5"/>
        <v>50</v>
      </c>
      <c r="N42" t="s">
        <v>68</v>
      </c>
      <c r="O42">
        <f t="shared" si="6"/>
        <v>0</v>
      </c>
      <c r="P42" t="s">
        <v>68</v>
      </c>
      <c r="S42">
        <f t="shared" ca="1" si="7"/>
        <v>10</v>
      </c>
      <c r="T42" t="str">
        <f t="shared" ca="1" si="8"/>
        <v>⬜  Parcial · Inst. 2 pendiente</v>
      </c>
      <c r="U42" s="53">
        <v>1</v>
      </c>
      <c r="V42" t="s">
        <v>69</v>
      </c>
      <c r="W42">
        <f>IF(NORMALIZADO!BV42="",0,NORMALIZADO!BV42)</f>
        <v>0</v>
      </c>
      <c r="X42">
        <f>IF(NORMALIZADO!BW42="",0,NORMALIZADO!BW42)</f>
        <v>0</v>
      </c>
      <c r="Y42">
        <f>IF(NORMALIZADO!BX42="",0,NORMALIZADO!BX42)</f>
        <v>0</v>
      </c>
      <c r="Z42">
        <f>IF(NORMALIZADO!BY42="",0,NORMALIZADO!BY42)</f>
        <v>0</v>
      </c>
      <c r="AA42">
        <v>0</v>
      </c>
      <c r="AB42">
        <v>0</v>
      </c>
      <c r="AC42">
        <v>0</v>
      </c>
      <c r="AD42">
        <v>0</v>
      </c>
      <c r="AE42">
        <v>0</v>
      </c>
      <c r="AF42">
        <v>0</v>
      </c>
      <c r="AG42">
        <v>0</v>
      </c>
      <c r="AH42">
        <v>0</v>
      </c>
      <c r="AI42">
        <v>0</v>
      </c>
      <c r="AJ42">
        <v>0</v>
      </c>
      <c r="AK42">
        <v>0</v>
      </c>
      <c r="AL42">
        <v>0</v>
      </c>
      <c r="AM42">
        <v>0</v>
      </c>
      <c r="AN42">
        <v>0</v>
      </c>
      <c r="AO42">
        <f t="shared" si="9"/>
        <v>0</v>
      </c>
      <c r="AP42">
        <f ca="1">IFERROR(((M42/100)*PONDERADORES!$D$12+(SCORECARDS!H42/100)*PONDERADORES!$D$13+(SCORECARDS!I42/100)*PONDERADORES!$D$14+(SCORECARDS!J42/100)*PONDERADORES!$D$15+(ISCAM_Score!K43/100)*PONDERADORES!$D$16+O42*PONDERADORES!$D$17+0*PONDERADORES!$D$18+(AVERAGE(W42:Z42)/2)*PONDERADORES!$D$19)/PONDERADORES!$D$20,"N/A")</f>
        <v>0.1</v>
      </c>
      <c r="AQ42">
        <f ca="1">COUNT(M42)+IF(SCORECARDS!H42="",0,1)+IF(SCORECARDS!I42="",0,1)+IF(SCORECARDS!J42="",0,1)+IF(ISCAM_Score!K43="",0,1)+IF(O42="",0,1)+IF(COUNT(W42:Z42)&gt;0,1,0)</f>
        <v>3</v>
      </c>
    </row>
    <row r="43" spans="1:43" ht="16.05" customHeight="1" x14ac:dyDescent="0.3">
      <c r="A43" t="s">
        <v>167</v>
      </c>
      <c r="B43" t="s">
        <v>168</v>
      </c>
      <c r="C43" t="s">
        <v>77</v>
      </c>
      <c r="D43" t="s">
        <v>65</v>
      </c>
      <c r="E43">
        <v>0</v>
      </c>
      <c r="G43" t="s">
        <v>74</v>
      </c>
      <c r="J43" t="s">
        <v>110</v>
      </c>
      <c r="L43">
        <v>0</v>
      </c>
      <c r="M43">
        <f t="shared" si="5"/>
        <v>0</v>
      </c>
      <c r="N43" t="s">
        <v>68</v>
      </c>
      <c r="O43">
        <f t="shared" si="6"/>
        <v>0</v>
      </c>
      <c r="P43" t="s">
        <v>68</v>
      </c>
      <c r="S43">
        <f t="shared" ca="1" si="7"/>
        <v>0</v>
      </c>
      <c r="T43" t="str">
        <f t="shared" ca="1" si="8"/>
        <v>⬜  Parcial · Inst. 2 pendiente</v>
      </c>
      <c r="U43" s="53">
        <v>1</v>
      </c>
      <c r="V43" t="s">
        <v>69</v>
      </c>
      <c r="W43">
        <f>IF(NORMALIZADO!BV43="",0,NORMALIZADO!BV43)</f>
        <v>0</v>
      </c>
      <c r="X43">
        <f>IF(NORMALIZADO!BW43="",0,NORMALIZADO!BW43)</f>
        <v>0</v>
      </c>
      <c r="Y43">
        <f>IF(NORMALIZADO!BX43="",0,NORMALIZADO!BX43)</f>
        <v>0</v>
      </c>
      <c r="Z43">
        <f>IF(NORMALIZADO!BY43="",0,NORMALIZADO!BY43)</f>
        <v>0</v>
      </c>
      <c r="AA43">
        <v>0</v>
      </c>
      <c r="AB43">
        <v>0</v>
      </c>
      <c r="AC43">
        <v>0</v>
      </c>
      <c r="AD43">
        <v>0</v>
      </c>
      <c r="AE43">
        <v>0</v>
      </c>
      <c r="AF43">
        <v>0</v>
      </c>
      <c r="AG43">
        <v>0</v>
      </c>
      <c r="AH43">
        <v>0</v>
      </c>
      <c r="AI43">
        <v>0</v>
      </c>
      <c r="AJ43">
        <v>0</v>
      </c>
      <c r="AK43">
        <v>0</v>
      </c>
      <c r="AL43">
        <v>0</v>
      </c>
      <c r="AM43">
        <v>0</v>
      </c>
      <c r="AN43">
        <v>0</v>
      </c>
      <c r="AO43">
        <f t="shared" si="9"/>
        <v>0</v>
      </c>
      <c r="AP43">
        <f ca="1">IFERROR(((M43/100)*PONDERADORES!$D$12+(SCORECARDS!H43/100)*PONDERADORES!$D$13+(SCORECARDS!I43/100)*PONDERADORES!$D$14+(SCORECARDS!J43/100)*PONDERADORES!$D$15+(ISCAM_Score!K44/100)*PONDERADORES!$D$16+O43*PONDERADORES!$D$17+0*PONDERADORES!$D$18+(AVERAGE(W43:Z43)/2)*PONDERADORES!$D$19)/PONDERADORES!$D$20,"N/A")</f>
        <v>0</v>
      </c>
      <c r="AQ43">
        <f ca="1">COUNT(M43)+IF(SCORECARDS!H43="",0,1)+IF(SCORECARDS!I43="",0,1)+IF(SCORECARDS!J43="",0,1)+IF(ISCAM_Score!K44="",0,1)+IF(O43="",0,1)+IF(COUNT(W43:Z43)&gt;0,1,0)</f>
        <v>3</v>
      </c>
    </row>
    <row r="44" spans="1:43" ht="16.05" customHeight="1" x14ac:dyDescent="0.3">
      <c r="A44" t="s">
        <v>169</v>
      </c>
      <c r="B44" t="s">
        <v>170</v>
      </c>
      <c r="C44" t="s">
        <v>77</v>
      </c>
      <c r="D44" t="s">
        <v>65</v>
      </c>
      <c r="E44">
        <v>0</v>
      </c>
      <c r="G44" t="s">
        <v>74</v>
      </c>
      <c r="J44" t="s">
        <v>67</v>
      </c>
      <c r="L44">
        <v>0</v>
      </c>
      <c r="M44">
        <f t="shared" si="5"/>
        <v>0</v>
      </c>
      <c r="N44" t="s">
        <v>68</v>
      </c>
      <c r="O44">
        <f t="shared" si="6"/>
        <v>0</v>
      </c>
      <c r="P44" t="s">
        <v>68</v>
      </c>
      <c r="S44">
        <f t="shared" ca="1" si="7"/>
        <v>0</v>
      </c>
      <c r="T44" t="str">
        <f t="shared" ca="1" si="8"/>
        <v>⬜  Parcial · Inst. 2 pendiente</v>
      </c>
      <c r="U44" s="53">
        <v>1</v>
      </c>
      <c r="V44" t="s">
        <v>69</v>
      </c>
      <c r="W44">
        <f>IF(NORMALIZADO!BV44="",0,NORMALIZADO!BV44)</f>
        <v>0</v>
      </c>
      <c r="X44">
        <f>IF(NORMALIZADO!BW44="",0,NORMALIZADO!BW44)</f>
        <v>0</v>
      </c>
      <c r="Y44">
        <f>IF(NORMALIZADO!BX44="",0,NORMALIZADO!BX44)</f>
        <v>0</v>
      </c>
      <c r="Z44">
        <f>IF(NORMALIZADO!BY44="",0,NORMALIZADO!BY44)</f>
        <v>0</v>
      </c>
      <c r="AA44">
        <v>0</v>
      </c>
      <c r="AB44">
        <v>0</v>
      </c>
      <c r="AC44">
        <v>0</v>
      </c>
      <c r="AD44">
        <v>0</v>
      </c>
      <c r="AE44">
        <v>0</v>
      </c>
      <c r="AF44">
        <v>0</v>
      </c>
      <c r="AG44">
        <v>0</v>
      </c>
      <c r="AH44">
        <v>0</v>
      </c>
      <c r="AI44">
        <v>0</v>
      </c>
      <c r="AJ44">
        <v>0</v>
      </c>
      <c r="AK44">
        <v>0</v>
      </c>
      <c r="AL44">
        <v>0</v>
      </c>
      <c r="AM44">
        <v>0</v>
      </c>
      <c r="AN44">
        <v>0</v>
      </c>
      <c r="AO44">
        <f t="shared" si="9"/>
        <v>0</v>
      </c>
      <c r="AP44">
        <f ca="1">IFERROR(((M44/100)*PONDERADORES!$D$12+(SCORECARDS!H44/100)*PONDERADORES!$D$13+(SCORECARDS!I44/100)*PONDERADORES!$D$14+(SCORECARDS!J44/100)*PONDERADORES!$D$15+(ISCAM_Score!K45/100)*PONDERADORES!$D$16+O44*PONDERADORES!$D$17+0*PONDERADORES!$D$18+(AVERAGE(W44:Z44)/2)*PONDERADORES!$D$19)/PONDERADORES!$D$20,"N/A")</f>
        <v>0</v>
      </c>
      <c r="AQ44">
        <f ca="1">COUNT(M44)+IF(SCORECARDS!H44="",0,1)+IF(SCORECARDS!I44="",0,1)+IF(SCORECARDS!J44="",0,1)+IF(ISCAM_Score!K45="",0,1)+IF(O44="",0,1)+IF(COUNT(W44:Z44)&gt;0,1,0)</f>
        <v>3</v>
      </c>
    </row>
    <row r="45" spans="1:43" ht="16.05" customHeight="1" x14ac:dyDescent="0.3">
      <c r="A45" t="s">
        <v>171</v>
      </c>
      <c r="B45" t="s">
        <v>172</v>
      </c>
      <c r="C45" t="s">
        <v>77</v>
      </c>
      <c r="D45" t="s">
        <v>65</v>
      </c>
      <c r="E45">
        <v>13207692.050000001</v>
      </c>
      <c r="F45">
        <v>41</v>
      </c>
      <c r="G45" t="s">
        <v>66</v>
      </c>
      <c r="J45" t="s">
        <v>67</v>
      </c>
      <c r="L45">
        <v>6603846.0300000003</v>
      </c>
      <c r="M45">
        <f t="shared" si="5"/>
        <v>50</v>
      </c>
      <c r="N45" t="s">
        <v>68</v>
      </c>
      <c r="O45">
        <f t="shared" si="6"/>
        <v>0</v>
      </c>
      <c r="P45" t="s">
        <v>68</v>
      </c>
      <c r="S45">
        <f t="shared" ca="1" si="7"/>
        <v>12.5</v>
      </c>
      <c r="T45" t="str">
        <f t="shared" ca="1" si="8"/>
        <v>⬜  Parcial · Inst. 2 pendiente</v>
      </c>
      <c r="U45" s="53">
        <v>1</v>
      </c>
      <c r="V45" t="s">
        <v>69</v>
      </c>
      <c r="W45">
        <f>IF(NORMALIZADO!BV45="",1,NORMALIZADO!BV45)</f>
        <v>1</v>
      </c>
      <c r="X45">
        <f>IF(NORMALIZADO!BW45="",0,NORMALIZADO!BW45)</f>
        <v>0</v>
      </c>
      <c r="Y45">
        <f>IF(NORMALIZADO!BX45="",0,NORMALIZADO!BX45)</f>
        <v>0</v>
      </c>
      <c r="Z45">
        <f>IF(NORMALIZADO!BY45="",0,NORMALIZADO!BY45)</f>
        <v>0</v>
      </c>
      <c r="AA45">
        <v>0</v>
      </c>
      <c r="AB45">
        <v>0</v>
      </c>
      <c r="AC45">
        <v>0</v>
      </c>
      <c r="AD45">
        <v>0</v>
      </c>
      <c r="AE45">
        <v>0</v>
      </c>
      <c r="AF45">
        <v>0</v>
      </c>
      <c r="AG45">
        <v>0</v>
      </c>
      <c r="AH45">
        <v>0</v>
      </c>
      <c r="AI45">
        <v>0</v>
      </c>
      <c r="AJ45">
        <v>0</v>
      </c>
      <c r="AK45">
        <v>0</v>
      </c>
      <c r="AL45">
        <v>0</v>
      </c>
      <c r="AM45">
        <v>0</v>
      </c>
      <c r="AN45">
        <v>0</v>
      </c>
      <c r="AO45">
        <f t="shared" si="9"/>
        <v>0</v>
      </c>
      <c r="AP45">
        <f ca="1">IFERROR(((M45/100)*PONDERADORES!$D$12+(SCORECARDS!H45/100)*PONDERADORES!$D$13+(SCORECARDS!I45/100)*PONDERADORES!$D$14+(SCORECARDS!J45/100)*PONDERADORES!$D$15+(ISCAM_Score!K46/100)*PONDERADORES!$D$16+O45*PONDERADORES!$D$17+0*PONDERADORES!$D$18+(AVERAGE(W45:Z45)/2)*PONDERADORES!$D$19)/PONDERADORES!$D$20,"N/A")</f>
        <v>0.125</v>
      </c>
      <c r="AQ45">
        <f ca="1">COUNT(M45)+IF(SCORECARDS!H45="",0,1)+IF(SCORECARDS!I45="",0,1)+IF(SCORECARDS!J45="",0,1)+IF(ISCAM_Score!K46="",0,1)+IF(O45="",0,1)+IF(COUNT(W45:Z45)&gt;0,1,0)</f>
        <v>3</v>
      </c>
    </row>
    <row r="46" spans="1:43" ht="16.05" customHeight="1" x14ac:dyDescent="0.3">
      <c r="A46" t="s">
        <v>173</v>
      </c>
      <c r="B46" t="s">
        <v>174</v>
      </c>
      <c r="C46" t="s">
        <v>77</v>
      </c>
      <c r="E46">
        <v>0</v>
      </c>
      <c r="G46" t="s">
        <v>74</v>
      </c>
      <c r="J46" t="s">
        <v>110</v>
      </c>
      <c r="L46">
        <v>0</v>
      </c>
      <c r="M46">
        <f t="shared" si="5"/>
        <v>0</v>
      </c>
      <c r="N46" t="s">
        <v>68</v>
      </c>
      <c r="O46">
        <f t="shared" si="6"/>
        <v>0</v>
      </c>
      <c r="P46" t="s">
        <v>68</v>
      </c>
      <c r="S46">
        <f t="shared" ca="1" si="7"/>
        <v>0</v>
      </c>
      <c r="T46" t="str">
        <f t="shared" ca="1" si="8"/>
        <v>⬜  Parcial · Inst. 2 pendiente</v>
      </c>
      <c r="U46" s="53">
        <v>1</v>
      </c>
      <c r="V46" t="s">
        <v>69</v>
      </c>
      <c r="W46">
        <f>IF(NORMALIZADO!BV46="",0,NORMALIZADO!BV46)</f>
        <v>0</v>
      </c>
      <c r="X46">
        <f>IF(NORMALIZADO!BW46="",0,NORMALIZADO!BW46)</f>
        <v>0</v>
      </c>
      <c r="Y46">
        <f>IF(NORMALIZADO!BX46="",0,NORMALIZADO!BX46)</f>
        <v>0</v>
      </c>
      <c r="Z46">
        <f>IF(NORMALIZADO!BY46="",0,NORMALIZADO!BY46)</f>
        <v>0</v>
      </c>
      <c r="AA46">
        <v>0</v>
      </c>
      <c r="AB46">
        <v>0</v>
      </c>
      <c r="AC46">
        <v>0</v>
      </c>
      <c r="AD46">
        <v>0</v>
      </c>
      <c r="AE46">
        <v>0</v>
      </c>
      <c r="AF46">
        <v>0</v>
      </c>
      <c r="AG46">
        <v>0</v>
      </c>
      <c r="AH46">
        <v>0</v>
      </c>
      <c r="AI46">
        <v>0</v>
      </c>
      <c r="AJ46">
        <v>0</v>
      </c>
      <c r="AK46">
        <v>0</v>
      </c>
      <c r="AL46">
        <v>0</v>
      </c>
      <c r="AM46">
        <v>0</v>
      </c>
      <c r="AN46">
        <v>0</v>
      </c>
      <c r="AO46">
        <f t="shared" si="9"/>
        <v>0</v>
      </c>
      <c r="AP46">
        <f ca="1">IFERROR(((M46/100)*PONDERADORES!$D$12+(SCORECARDS!H46/100)*PONDERADORES!$D$13+(SCORECARDS!I46/100)*PONDERADORES!$D$14+(SCORECARDS!J46/100)*PONDERADORES!$D$15+(ISCAM_Score!K47/100)*PONDERADORES!$D$16+O46*PONDERADORES!$D$17+0*PONDERADORES!$D$18+(AVERAGE(W46:Z46)/2)*PONDERADORES!$D$19)/PONDERADORES!$D$20,"N/A")</f>
        <v>0</v>
      </c>
      <c r="AQ46">
        <f ca="1">COUNT(M46)+IF(SCORECARDS!H46="",0,1)+IF(SCORECARDS!I46="",0,1)+IF(SCORECARDS!J46="",0,1)+IF(ISCAM_Score!K47="",0,1)+IF(O46="",0,1)+IF(COUNT(W46:Z46)&gt;0,1,0)</f>
        <v>3</v>
      </c>
    </row>
    <row r="47" spans="1:43" ht="16.05" customHeight="1" x14ac:dyDescent="0.3">
      <c r="A47" t="s">
        <v>175</v>
      </c>
      <c r="B47" t="s">
        <v>176</v>
      </c>
      <c r="C47" t="s">
        <v>77</v>
      </c>
      <c r="D47" t="s">
        <v>73</v>
      </c>
      <c r="G47" t="s">
        <v>74</v>
      </c>
      <c r="J47" t="s">
        <v>67</v>
      </c>
      <c r="L47">
        <v>0</v>
      </c>
      <c r="M47">
        <f t="shared" si="5"/>
        <v>0</v>
      </c>
      <c r="N47" t="s">
        <v>68</v>
      </c>
      <c r="O47">
        <f t="shared" si="6"/>
        <v>0</v>
      </c>
      <c r="P47" t="s">
        <v>68</v>
      </c>
      <c r="S47">
        <f t="shared" ca="1" si="7"/>
        <v>0</v>
      </c>
      <c r="T47" t="str">
        <f t="shared" ca="1" si="8"/>
        <v>⬜  Parcial · Inst. 2 pendiente</v>
      </c>
      <c r="U47" s="53">
        <v>1</v>
      </c>
      <c r="V47" t="s">
        <v>69</v>
      </c>
      <c r="W47">
        <f>IF(NORMALIZADO!BV47="",0,NORMALIZADO!BV47)</f>
        <v>0</v>
      </c>
      <c r="X47">
        <f>IF(NORMALIZADO!BW47="",0,NORMALIZADO!BW47)</f>
        <v>0</v>
      </c>
      <c r="Y47">
        <f>IF(NORMALIZADO!BX47="",0,NORMALIZADO!BX47)</f>
        <v>0</v>
      </c>
      <c r="Z47">
        <f>IF(NORMALIZADO!BY47="",0,NORMALIZADO!BY47)</f>
        <v>0</v>
      </c>
      <c r="AA47">
        <v>0</v>
      </c>
      <c r="AB47">
        <v>0</v>
      </c>
      <c r="AC47">
        <v>0</v>
      </c>
      <c r="AD47">
        <v>0</v>
      </c>
      <c r="AE47">
        <v>0</v>
      </c>
      <c r="AF47">
        <v>0</v>
      </c>
      <c r="AG47">
        <v>0</v>
      </c>
      <c r="AH47">
        <v>0</v>
      </c>
      <c r="AI47">
        <v>0</v>
      </c>
      <c r="AJ47">
        <v>0</v>
      </c>
      <c r="AK47">
        <v>0</v>
      </c>
      <c r="AL47">
        <v>0</v>
      </c>
      <c r="AM47">
        <v>0</v>
      </c>
      <c r="AN47">
        <v>0</v>
      </c>
      <c r="AO47">
        <f t="shared" si="9"/>
        <v>0</v>
      </c>
      <c r="AP47">
        <f ca="1">IFERROR(((M47/100)*PONDERADORES!$D$12+(SCORECARDS!H47/100)*PONDERADORES!$D$13+(SCORECARDS!I47/100)*PONDERADORES!$D$14+(SCORECARDS!J47/100)*PONDERADORES!$D$15+(ISCAM_Score!K48/100)*PONDERADORES!$D$16+O47*PONDERADORES!$D$17+0*PONDERADORES!$D$18+(AVERAGE(W47:Z47)/2)*PONDERADORES!$D$19)/PONDERADORES!$D$20,"N/A")</f>
        <v>0</v>
      </c>
      <c r="AQ47">
        <f ca="1">COUNT(M47)+IF(SCORECARDS!H47="",0,1)+IF(SCORECARDS!I47="",0,1)+IF(SCORECARDS!J47="",0,1)+IF(ISCAM_Score!K48="",0,1)+IF(O47="",0,1)+IF(COUNT(W47:Z47)&gt;0,1,0)</f>
        <v>3</v>
      </c>
    </row>
    <row r="48" spans="1:43" ht="16.05" customHeight="1" x14ac:dyDescent="0.3">
      <c r="A48" t="s">
        <v>177</v>
      </c>
      <c r="B48" t="s">
        <v>178</v>
      </c>
      <c r="C48" t="s">
        <v>77</v>
      </c>
      <c r="D48" t="s">
        <v>73</v>
      </c>
      <c r="E48">
        <v>30342293.079999998</v>
      </c>
      <c r="F48">
        <v>108</v>
      </c>
      <c r="G48" t="s">
        <v>66</v>
      </c>
      <c r="J48" t="s">
        <v>67</v>
      </c>
      <c r="L48">
        <v>15171146.539999999</v>
      </c>
      <c r="M48">
        <f t="shared" si="5"/>
        <v>50</v>
      </c>
      <c r="N48" t="s">
        <v>68</v>
      </c>
      <c r="O48">
        <f t="shared" si="6"/>
        <v>0</v>
      </c>
      <c r="P48" t="s">
        <v>68</v>
      </c>
      <c r="S48">
        <f t="shared" ca="1" si="7"/>
        <v>12.5</v>
      </c>
      <c r="T48" t="str">
        <f t="shared" ca="1" si="8"/>
        <v>⬜  Parcial · Inst. 2 pendiente</v>
      </c>
      <c r="U48" s="53">
        <v>1</v>
      </c>
      <c r="V48" t="s">
        <v>69</v>
      </c>
      <c r="W48">
        <f>IF(NORMALIZADO!BV48="",1,NORMALIZADO!BV48)</f>
        <v>1</v>
      </c>
      <c r="X48">
        <f>IF(NORMALIZADO!BW48="",0,NORMALIZADO!BW48)</f>
        <v>0</v>
      </c>
      <c r="Y48">
        <f>IF(NORMALIZADO!BX48="",0,NORMALIZADO!BX48)</f>
        <v>0</v>
      </c>
      <c r="Z48">
        <f>IF(NORMALIZADO!BY48="",0,NORMALIZADO!BY48)</f>
        <v>0</v>
      </c>
      <c r="AA48">
        <v>0</v>
      </c>
      <c r="AB48">
        <v>0</v>
      </c>
      <c r="AC48">
        <v>0</v>
      </c>
      <c r="AD48">
        <v>0</v>
      </c>
      <c r="AE48">
        <v>0</v>
      </c>
      <c r="AF48">
        <v>0</v>
      </c>
      <c r="AG48">
        <v>0</v>
      </c>
      <c r="AH48">
        <v>0</v>
      </c>
      <c r="AI48">
        <v>0</v>
      </c>
      <c r="AJ48">
        <v>0</v>
      </c>
      <c r="AK48">
        <v>0</v>
      </c>
      <c r="AL48">
        <v>0</v>
      </c>
      <c r="AM48">
        <v>0</v>
      </c>
      <c r="AN48">
        <v>0</v>
      </c>
      <c r="AO48">
        <f t="shared" si="9"/>
        <v>0</v>
      </c>
      <c r="AP48">
        <f ca="1">IFERROR(((M48/100)*PONDERADORES!$D$12+(SCORECARDS!H48/100)*PONDERADORES!$D$13+(SCORECARDS!I48/100)*PONDERADORES!$D$14+(SCORECARDS!J48/100)*PONDERADORES!$D$15+(ISCAM_Score!K49/100)*PONDERADORES!$D$16+O48*PONDERADORES!$D$17+0*PONDERADORES!$D$18+(AVERAGE(W48:Z48)/2)*PONDERADORES!$D$19)/PONDERADORES!$D$20,"N/A")</f>
        <v>0.125</v>
      </c>
      <c r="AQ48">
        <f ca="1">COUNT(M48)+IF(SCORECARDS!H48="",0,1)+IF(SCORECARDS!I48="",0,1)+IF(SCORECARDS!J48="",0,1)+IF(ISCAM_Score!K49="",0,1)+IF(O48="",0,1)+IF(COUNT(W48:Z48)&gt;0,1,0)</f>
        <v>3</v>
      </c>
    </row>
    <row r="49" spans="1:43" ht="16.05" customHeight="1" x14ac:dyDescent="0.3">
      <c r="A49" t="s">
        <v>179</v>
      </c>
      <c r="B49" t="s">
        <v>180</v>
      </c>
      <c r="C49" t="s">
        <v>77</v>
      </c>
      <c r="D49" t="s">
        <v>73</v>
      </c>
      <c r="E49">
        <v>2290978.7000000002</v>
      </c>
      <c r="F49">
        <v>10</v>
      </c>
      <c r="G49" t="s">
        <v>66</v>
      </c>
      <c r="J49" t="s">
        <v>67</v>
      </c>
      <c r="L49">
        <v>1145489.3500000001</v>
      </c>
      <c r="M49">
        <f t="shared" si="5"/>
        <v>50</v>
      </c>
      <c r="N49" t="s">
        <v>68</v>
      </c>
      <c r="O49">
        <f t="shared" si="6"/>
        <v>0</v>
      </c>
      <c r="P49" t="s">
        <v>68</v>
      </c>
      <c r="S49">
        <f t="shared" ca="1" si="7"/>
        <v>12.5</v>
      </c>
      <c r="T49" t="str">
        <f t="shared" ca="1" si="8"/>
        <v>⬜  Parcial · Inst. 2 pendiente</v>
      </c>
      <c r="U49" s="53">
        <v>1</v>
      </c>
      <c r="V49" t="s">
        <v>69</v>
      </c>
      <c r="W49">
        <f>IF(NORMALIZADO!BV49="",1,NORMALIZADO!BV49)</f>
        <v>1</v>
      </c>
      <c r="X49">
        <f>IF(NORMALIZADO!BW49="",0,NORMALIZADO!BW49)</f>
        <v>0</v>
      </c>
      <c r="Y49">
        <f>IF(NORMALIZADO!BX49="",0,NORMALIZADO!BX49)</f>
        <v>0</v>
      </c>
      <c r="Z49">
        <f>IF(NORMALIZADO!BY49="",0,NORMALIZADO!BY49)</f>
        <v>0</v>
      </c>
      <c r="AA49">
        <v>0</v>
      </c>
      <c r="AB49">
        <v>0</v>
      </c>
      <c r="AC49">
        <v>0</v>
      </c>
      <c r="AD49">
        <v>0</v>
      </c>
      <c r="AE49">
        <v>0</v>
      </c>
      <c r="AF49">
        <v>0</v>
      </c>
      <c r="AG49">
        <v>0</v>
      </c>
      <c r="AH49">
        <v>0</v>
      </c>
      <c r="AI49">
        <v>0</v>
      </c>
      <c r="AJ49">
        <v>0</v>
      </c>
      <c r="AK49">
        <v>0</v>
      </c>
      <c r="AL49">
        <v>0</v>
      </c>
      <c r="AM49">
        <v>0</v>
      </c>
      <c r="AN49">
        <v>0</v>
      </c>
      <c r="AO49">
        <f t="shared" si="9"/>
        <v>0</v>
      </c>
      <c r="AP49">
        <f ca="1">IFERROR(((M49/100)*PONDERADORES!$D$12+(SCORECARDS!H49/100)*PONDERADORES!$D$13+(SCORECARDS!I49/100)*PONDERADORES!$D$14+(SCORECARDS!J49/100)*PONDERADORES!$D$15+(ISCAM_Score!K50/100)*PONDERADORES!$D$16+O49*PONDERADORES!$D$17+0*PONDERADORES!$D$18+(AVERAGE(W49:Z49)/2)*PONDERADORES!$D$19)/PONDERADORES!$D$20,"N/A")</f>
        <v>0.125</v>
      </c>
      <c r="AQ49">
        <f ca="1">COUNT(M49)+IF(SCORECARDS!H49="",0,1)+IF(SCORECARDS!I49="",0,1)+IF(SCORECARDS!J49="",0,1)+IF(ISCAM_Score!K50="",0,1)+IF(O49="",0,1)+IF(COUNT(W49:Z49)&gt;0,1,0)</f>
        <v>3</v>
      </c>
    </row>
    <row r="50" spans="1:43" ht="16.05" customHeight="1" x14ac:dyDescent="0.3">
      <c r="A50" t="s">
        <v>181</v>
      </c>
      <c r="B50" t="s">
        <v>182</v>
      </c>
      <c r="C50" t="s">
        <v>183</v>
      </c>
      <c r="D50" t="s">
        <v>65</v>
      </c>
      <c r="G50" t="s">
        <v>74</v>
      </c>
      <c r="J50" t="s">
        <v>128</v>
      </c>
      <c r="L50">
        <v>0</v>
      </c>
      <c r="M50">
        <f t="shared" si="5"/>
        <v>0</v>
      </c>
      <c r="N50" t="s">
        <v>68</v>
      </c>
      <c r="O50">
        <f t="shared" si="6"/>
        <v>0</v>
      </c>
      <c r="P50" t="s">
        <v>68</v>
      </c>
      <c r="S50">
        <f t="shared" ca="1" si="7"/>
        <v>0</v>
      </c>
      <c r="T50" t="str">
        <f t="shared" ca="1" si="8"/>
        <v>⬜  Parcial · Inst. 2 pendiente</v>
      </c>
      <c r="U50" s="53">
        <v>1</v>
      </c>
      <c r="V50" t="s">
        <v>69</v>
      </c>
      <c r="W50">
        <f>IF(NORMALIZADO!BV50="",0,NORMALIZADO!BV50)</f>
        <v>0</v>
      </c>
      <c r="X50">
        <f>IF(NORMALIZADO!BW50="",0,NORMALIZADO!BW50)</f>
        <v>0</v>
      </c>
      <c r="Y50">
        <f>IF(NORMALIZADO!BX50="",0,NORMALIZADO!BX50)</f>
        <v>0</v>
      </c>
      <c r="Z50">
        <f>IF(NORMALIZADO!BY50="",0,NORMALIZADO!BY50)</f>
        <v>0</v>
      </c>
      <c r="AA50">
        <v>0</v>
      </c>
      <c r="AB50">
        <v>0</v>
      </c>
      <c r="AC50">
        <v>0</v>
      </c>
      <c r="AD50">
        <v>0</v>
      </c>
      <c r="AE50">
        <v>0</v>
      </c>
      <c r="AF50">
        <v>0</v>
      </c>
      <c r="AG50">
        <v>0</v>
      </c>
      <c r="AH50">
        <v>0</v>
      </c>
      <c r="AI50">
        <v>0</v>
      </c>
      <c r="AJ50">
        <v>0</v>
      </c>
      <c r="AK50">
        <v>0</v>
      </c>
      <c r="AL50">
        <v>0</v>
      </c>
      <c r="AM50">
        <v>0</v>
      </c>
      <c r="AN50">
        <v>0</v>
      </c>
      <c r="AO50">
        <f t="shared" si="9"/>
        <v>0</v>
      </c>
      <c r="AP50">
        <f ca="1">IFERROR(((M50/100)*PONDERADORES!$D$12+(SCORECARDS!H50/100)*PONDERADORES!$D$13+(SCORECARDS!I50/100)*PONDERADORES!$D$14+(SCORECARDS!J50/100)*PONDERADORES!$D$15+(ISCAM_Score!K51/100)*PONDERADORES!$D$16+O50*PONDERADORES!$D$17+0*PONDERADORES!$D$18+(AVERAGE(W50:Z50)/2)*PONDERADORES!$D$19)/PONDERADORES!$D$20,"N/A")</f>
        <v>0</v>
      </c>
      <c r="AQ50">
        <f ca="1">COUNT(M50)+IF(SCORECARDS!H50="",0,1)+IF(SCORECARDS!I50="",0,1)+IF(SCORECARDS!J50="",0,1)+IF(ISCAM_Score!K51="",0,1)+IF(O50="",0,1)+IF(COUNT(W50:Z50)&gt;0,1,0)</f>
        <v>3</v>
      </c>
    </row>
    <row r="51" spans="1:43" ht="16.05" customHeight="1" x14ac:dyDescent="0.3">
      <c r="A51" t="s">
        <v>184</v>
      </c>
      <c r="B51" t="s">
        <v>185</v>
      </c>
      <c r="C51" t="s">
        <v>154</v>
      </c>
      <c r="D51" t="s">
        <v>73</v>
      </c>
      <c r="G51" t="s">
        <v>74</v>
      </c>
      <c r="J51" t="s">
        <v>67</v>
      </c>
      <c r="L51">
        <v>0</v>
      </c>
      <c r="M51">
        <f t="shared" si="5"/>
        <v>0</v>
      </c>
      <c r="N51" t="s">
        <v>68</v>
      </c>
      <c r="O51">
        <f t="shared" si="6"/>
        <v>0</v>
      </c>
      <c r="P51" t="s">
        <v>68</v>
      </c>
      <c r="S51">
        <f t="shared" ca="1" si="7"/>
        <v>0</v>
      </c>
      <c r="T51" t="str">
        <f t="shared" ca="1" si="8"/>
        <v>⬜  Parcial · Inst. 2 pendiente</v>
      </c>
      <c r="U51" s="53">
        <v>1</v>
      </c>
      <c r="V51" t="s">
        <v>69</v>
      </c>
      <c r="W51">
        <f>IF(NORMALIZADO!BV51="",0,NORMALIZADO!BV51)</f>
        <v>0</v>
      </c>
      <c r="X51">
        <f>IF(NORMALIZADO!BW51="",0,NORMALIZADO!BW51)</f>
        <v>0</v>
      </c>
      <c r="Y51">
        <f>IF(NORMALIZADO!BX51="",0,NORMALIZADO!BX51)</f>
        <v>0</v>
      </c>
      <c r="Z51">
        <f>IF(NORMALIZADO!BY51="",0,NORMALIZADO!BY51)</f>
        <v>0</v>
      </c>
      <c r="AA51">
        <v>0</v>
      </c>
      <c r="AB51">
        <v>0</v>
      </c>
      <c r="AC51">
        <v>0</v>
      </c>
      <c r="AD51">
        <v>0</v>
      </c>
      <c r="AE51">
        <v>0</v>
      </c>
      <c r="AF51">
        <v>0</v>
      </c>
      <c r="AG51">
        <v>0</v>
      </c>
      <c r="AH51">
        <v>0</v>
      </c>
      <c r="AI51">
        <v>0</v>
      </c>
      <c r="AJ51">
        <v>0</v>
      </c>
      <c r="AK51">
        <v>0</v>
      </c>
      <c r="AL51">
        <v>0</v>
      </c>
      <c r="AM51">
        <v>0</v>
      </c>
      <c r="AN51">
        <v>0</v>
      </c>
      <c r="AO51">
        <f t="shared" si="9"/>
        <v>0</v>
      </c>
      <c r="AP51">
        <f ca="1">IFERROR(((M51/100)*PONDERADORES!$D$12+(SCORECARDS!H51/100)*PONDERADORES!$D$13+(SCORECARDS!I51/100)*PONDERADORES!$D$14+(SCORECARDS!J51/100)*PONDERADORES!$D$15+(ISCAM_Score!K52/100)*PONDERADORES!$D$16+O51*PONDERADORES!$D$17+0*PONDERADORES!$D$18+(AVERAGE(W51:Z51)/2)*PONDERADORES!$D$19)/PONDERADORES!$D$20,"N/A")</f>
        <v>0</v>
      </c>
      <c r="AQ51">
        <f ca="1">COUNT(M51)+IF(SCORECARDS!H51="",0,1)+IF(SCORECARDS!I51="",0,1)+IF(SCORECARDS!J51="",0,1)+IF(ISCAM_Score!K52="",0,1)+IF(O51="",0,1)+IF(COUNT(W51:Z51)&gt;0,1,0)</f>
        <v>3</v>
      </c>
    </row>
    <row r="52" spans="1:43" ht="16.05" customHeight="1" x14ac:dyDescent="0.3">
      <c r="A52" t="s">
        <v>186</v>
      </c>
      <c r="B52" t="s">
        <v>187</v>
      </c>
      <c r="C52" t="s">
        <v>80</v>
      </c>
      <c r="D52" t="s">
        <v>73</v>
      </c>
      <c r="G52" t="s">
        <v>74</v>
      </c>
      <c r="J52" t="s">
        <v>67</v>
      </c>
      <c r="L52">
        <v>0</v>
      </c>
      <c r="M52">
        <f t="shared" si="5"/>
        <v>0</v>
      </c>
      <c r="N52" t="s">
        <v>68</v>
      </c>
      <c r="O52">
        <f t="shared" si="6"/>
        <v>0</v>
      </c>
      <c r="P52" t="s">
        <v>68</v>
      </c>
      <c r="S52">
        <f t="shared" ca="1" si="7"/>
        <v>0</v>
      </c>
      <c r="T52" t="str">
        <f t="shared" ca="1" si="8"/>
        <v>⬜  Parcial · Inst. 2 pendiente</v>
      </c>
      <c r="U52" s="53">
        <v>1</v>
      </c>
      <c r="V52" t="s">
        <v>69</v>
      </c>
      <c r="W52">
        <f>IF(NORMALIZADO!BV52="",0,NORMALIZADO!BV52)</f>
        <v>0</v>
      </c>
      <c r="X52">
        <f>IF(NORMALIZADO!BW52="",0,NORMALIZADO!BW52)</f>
        <v>0</v>
      </c>
      <c r="Y52">
        <f>IF(NORMALIZADO!BX52="",0,NORMALIZADO!BX52)</f>
        <v>0</v>
      </c>
      <c r="Z52">
        <f>IF(NORMALIZADO!BY52="",0,NORMALIZADO!BY52)</f>
        <v>0</v>
      </c>
      <c r="AA52">
        <v>0</v>
      </c>
      <c r="AB52">
        <v>0</v>
      </c>
      <c r="AC52">
        <v>0</v>
      </c>
      <c r="AD52">
        <v>0</v>
      </c>
      <c r="AE52">
        <v>0</v>
      </c>
      <c r="AF52">
        <v>0</v>
      </c>
      <c r="AG52">
        <v>0</v>
      </c>
      <c r="AH52">
        <v>0</v>
      </c>
      <c r="AI52">
        <v>0</v>
      </c>
      <c r="AJ52">
        <v>0</v>
      </c>
      <c r="AK52">
        <v>0</v>
      </c>
      <c r="AL52">
        <v>0</v>
      </c>
      <c r="AM52">
        <v>0</v>
      </c>
      <c r="AN52">
        <v>0</v>
      </c>
      <c r="AO52">
        <f t="shared" si="9"/>
        <v>0</v>
      </c>
      <c r="AP52">
        <f ca="1">IFERROR(((M52/100)*PONDERADORES!$D$12+(SCORECARDS!H52/100)*PONDERADORES!$D$13+(SCORECARDS!I52/100)*PONDERADORES!$D$14+(SCORECARDS!J52/100)*PONDERADORES!$D$15+(ISCAM_Score!K53/100)*PONDERADORES!$D$16+O52*PONDERADORES!$D$17+0*PONDERADORES!$D$18+(AVERAGE(W52:Z52)/2)*PONDERADORES!$D$19)/PONDERADORES!$D$20,"N/A")</f>
        <v>0</v>
      </c>
      <c r="AQ52">
        <f ca="1">COUNT(M52)+IF(SCORECARDS!H52="",0,1)+IF(SCORECARDS!I52="",0,1)+IF(SCORECARDS!J52="",0,1)+IF(ISCAM_Score!K53="",0,1)+IF(O52="",0,1)+IF(COUNT(W52:Z52)&gt;0,1,0)</f>
        <v>3</v>
      </c>
    </row>
    <row r="53" spans="1:43" ht="16.05" customHeight="1" x14ac:dyDescent="0.3">
      <c r="A53" t="s">
        <v>188</v>
      </c>
      <c r="B53" t="s">
        <v>189</v>
      </c>
      <c r="C53" t="s">
        <v>143</v>
      </c>
      <c r="D53" t="s">
        <v>73</v>
      </c>
      <c r="E53">
        <v>0</v>
      </c>
      <c r="G53" t="s">
        <v>74</v>
      </c>
      <c r="J53" t="s">
        <v>67</v>
      </c>
      <c r="L53">
        <v>0</v>
      </c>
      <c r="M53">
        <f t="shared" si="5"/>
        <v>0</v>
      </c>
      <c r="N53" t="s">
        <v>68</v>
      </c>
      <c r="O53">
        <f t="shared" si="6"/>
        <v>0</v>
      </c>
      <c r="P53" t="s">
        <v>68</v>
      </c>
      <c r="S53">
        <f t="shared" ca="1" si="7"/>
        <v>0</v>
      </c>
      <c r="T53" t="str">
        <f t="shared" ca="1" si="8"/>
        <v>⬜  Parcial · Inst. 2 pendiente</v>
      </c>
      <c r="U53" s="53">
        <v>1</v>
      </c>
      <c r="V53" t="s">
        <v>69</v>
      </c>
      <c r="W53">
        <f>IF(NORMALIZADO!BV53="",0,NORMALIZADO!BV53)</f>
        <v>0</v>
      </c>
      <c r="X53">
        <f>IF(NORMALIZADO!BW53="",0,NORMALIZADO!BW53)</f>
        <v>0</v>
      </c>
      <c r="Y53">
        <f>IF(NORMALIZADO!BX53="",0,NORMALIZADO!BX53)</f>
        <v>0</v>
      </c>
      <c r="Z53">
        <f>IF(NORMALIZADO!BY53="",0,NORMALIZADO!BY53)</f>
        <v>0</v>
      </c>
      <c r="AA53">
        <v>0</v>
      </c>
      <c r="AB53">
        <v>0</v>
      </c>
      <c r="AC53">
        <v>0</v>
      </c>
      <c r="AD53">
        <v>0</v>
      </c>
      <c r="AE53">
        <v>0</v>
      </c>
      <c r="AF53">
        <v>0</v>
      </c>
      <c r="AG53">
        <v>0</v>
      </c>
      <c r="AH53">
        <v>0</v>
      </c>
      <c r="AI53">
        <v>0</v>
      </c>
      <c r="AJ53">
        <v>0</v>
      </c>
      <c r="AK53">
        <v>0</v>
      </c>
      <c r="AL53">
        <v>0</v>
      </c>
      <c r="AM53">
        <v>0</v>
      </c>
      <c r="AN53">
        <v>0</v>
      </c>
      <c r="AO53">
        <f t="shared" si="9"/>
        <v>0</v>
      </c>
      <c r="AP53">
        <f ca="1">IFERROR(((M53/100)*PONDERADORES!$D$12+(SCORECARDS!H53/100)*PONDERADORES!$D$13+(SCORECARDS!I53/100)*PONDERADORES!$D$14+(SCORECARDS!J53/100)*PONDERADORES!$D$15+(ISCAM_Score!K54/100)*PONDERADORES!$D$16+O53*PONDERADORES!$D$17+0*PONDERADORES!$D$18+(AVERAGE(W53:Z53)/2)*PONDERADORES!$D$19)/PONDERADORES!$D$20,"N/A")</f>
        <v>0</v>
      </c>
      <c r="AQ53">
        <f ca="1">COUNT(M53)+IF(SCORECARDS!H53="",0,1)+IF(SCORECARDS!I53="",0,1)+IF(SCORECARDS!J53="",0,1)+IF(ISCAM_Score!K54="",0,1)+IF(O53="",0,1)+IF(COUNT(W53:Z53)&gt;0,1,0)</f>
        <v>3</v>
      </c>
    </row>
    <row r="54" spans="1:43" ht="16.05" customHeight="1" x14ac:dyDescent="0.3">
      <c r="A54" t="s">
        <v>190</v>
      </c>
      <c r="B54" t="s">
        <v>191</v>
      </c>
      <c r="C54" t="s">
        <v>143</v>
      </c>
      <c r="D54" t="s">
        <v>73</v>
      </c>
      <c r="G54" t="s">
        <v>74</v>
      </c>
      <c r="J54" t="s">
        <v>110</v>
      </c>
      <c r="L54">
        <v>0</v>
      </c>
      <c r="M54">
        <f t="shared" si="5"/>
        <v>0</v>
      </c>
      <c r="N54" t="s">
        <v>68</v>
      </c>
      <c r="O54">
        <f t="shared" si="6"/>
        <v>0</v>
      </c>
      <c r="P54" t="s">
        <v>68</v>
      </c>
      <c r="S54">
        <f t="shared" ca="1" si="7"/>
        <v>0</v>
      </c>
      <c r="T54" t="str">
        <f t="shared" ca="1" si="8"/>
        <v>⬜  Parcial · Inst. 2 pendiente</v>
      </c>
      <c r="U54" s="53">
        <v>1</v>
      </c>
      <c r="V54" t="s">
        <v>69</v>
      </c>
      <c r="W54">
        <f>IF(NORMALIZADO!BV54="",0,NORMALIZADO!BV54)</f>
        <v>0</v>
      </c>
      <c r="X54">
        <f>IF(NORMALIZADO!BW54="",0,NORMALIZADO!BW54)</f>
        <v>0</v>
      </c>
      <c r="Y54">
        <f>IF(NORMALIZADO!BX54="",0,NORMALIZADO!BX54)</f>
        <v>0</v>
      </c>
      <c r="Z54">
        <f>IF(NORMALIZADO!BY54="",0,NORMALIZADO!BY54)</f>
        <v>0</v>
      </c>
      <c r="AA54">
        <v>0</v>
      </c>
      <c r="AB54">
        <v>0</v>
      </c>
      <c r="AC54">
        <v>0</v>
      </c>
      <c r="AD54">
        <v>0</v>
      </c>
      <c r="AE54">
        <v>0</v>
      </c>
      <c r="AF54">
        <v>0</v>
      </c>
      <c r="AG54">
        <v>0</v>
      </c>
      <c r="AH54">
        <v>0</v>
      </c>
      <c r="AI54">
        <v>0</v>
      </c>
      <c r="AJ54">
        <v>0</v>
      </c>
      <c r="AK54">
        <v>0</v>
      </c>
      <c r="AL54">
        <v>0</v>
      </c>
      <c r="AM54">
        <v>0</v>
      </c>
      <c r="AN54">
        <v>0</v>
      </c>
      <c r="AO54">
        <f t="shared" si="9"/>
        <v>0</v>
      </c>
      <c r="AP54">
        <f ca="1">IFERROR(((M54/100)*PONDERADORES!$D$12+(SCORECARDS!H54/100)*PONDERADORES!$D$13+(SCORECARDS!I54/100)*PONDERADORES!$D$14+(SCORECARDS!J54/100)*PONDERADORES!$D$15+(ISCAM_Score!K55/100)*PONDERADORES!$D$16+O54*PONDERADORES!$D$17+0*PONDERADORES!$D$18+(AVERAGE(W54:Z54)/2)*PONDERADORES!$D$19)/PONDERADORES!$D$20,"N/A")</f>
        <v>0</v>
      </c>
      <c r="AQ54">
        <f ca="1">COUNT(M54)+IF(SCORECARDS!H54="",0,1)+IF(SCORECARDS!I54="",0,1)+IF(SCORECARDS!J54="",0,1)+IF(ISCAM_Score!K55="",0,1)+IF(O54="",0,1)+IF(COUNT(W54:Z54)&gt;0,1,0)</f>
        <v>3</v>
      </c>
    </row>
    <row r="55" spans="1:43" ht="16.05" customHeight="1" x14ac:dyDescent="0.3">
      <c r="A55" t="s">
        <v>192</v>
      </c>
      <c r="B55" t="s">
        <v>193</v>
      </c>
      <c r="C55" t="s">
        <v>143</v>
      </c>
      <c r="D55" t="s">
        <v>73</v>
      </c>
      <c r="G55" t="s">
        <v>74</v>
      </c>
      <c r="J55" t="s">
        <v>67</v>
      </c>
      <c r="L55">
        <v>0</v>
      </c>
      <c r="M55">
        <f t="shared" si="5"/>
        <v>0</v>
      </c>
      <c r="N55" t="s">
        <v>68</v>
      </c>
      <c r="O55">
        <f t="shared" si="6"/>
        <v>0</v>
      </c>
      <c r="P55" t="s">
        <v>68</v>
      </c>
      <c r="S55">
        <f t="shared" ca="1" si="7"/>
        <v>0</v>
      </c>
      <c r="T55" t="str">
        <f t="shared" ca="1" si="8"/>
        <v>⬜  Parcial · Inst. 2 pendiente</v>
      </c>
      <c r="U55" s="53">
        <v>1</v>
      </c>
      <c r="V55" t="s">
        <v>69</v>
      </c>
      <c r="W55">
        <f>IF(NORMALIZADO!BV55="",0,NORMALIZADO!BV55)</f>
        <v>0</v>
      </c>
      <c r="X55">
        <f>IF(NORMALIZADO!BW55="",0,NORMALIZADO!BW55)</f>
        <v>0</v>
      </c>
      <c r="Y55">
        <f>IF(NORMALIZADO!BX55="",0,NORMALIZADO!BX55)</f>
        <v>0</v>
      </c>
      <c r="Z55">
        <f>IF(NORMALIZADO!BY55="",0,NORMALIZADO!BY55)</f>
        <v>0</v>
      </c>
      <c r="AA55">
        <v>0</v>
      </c>
      <c r="AB55">
        <v>0</v>
      </c>
      <c r="AC55">
        <v>0</v>
      </c>
      <c r="AD55">
        <v>0</v>
      </c>
      <c r="AE55">
        <v>0</v>
      </c>
      <c r="AF55">
        <v>0</v>
      </c>
      <c r="AG55">
        <v>0</v>
      </c>
      <c r="AH55">
        <v>0</v>
      </c>
      <c r="AI55">
        <v>0</v>
      </c>
      <c r="AJ55">
        <v>0</v>
      </c>
      <c r="AK55">
        <v>0</v>
      </c>
      <c r="AL55">
        <v>0</v>
      </c>
      <c r="AM55">
        <v>0</v>
      </c>
      <c r="AN55">
        <v>0</v>
      </c>
      <c r="AO55">
        <f t="shared" si="9"/>
        <v>0</v>
      </c>
      <c r="AP55">
        <f ca="1">IFERROR(((M55/100)*PONDERADORES!$D$12+(SCORECARDS!H55/100)*PONDERADORES!$D$13+(SCORECARDS!I55/100)*PONDERADORES!$D$14+(SCORECARDS!J55/100)*PONDERADORES!$D$15+(ISCAM_Score!K56/100)*PONDERADORES!$D$16+O55*PONDERADORES!$D$17+0*PONDERADORES!$D$18+(AVERAGE(W55:Z55)/2)*PONDERADORES!$D$19)/PONDERADORES!$D$20,"N/A")</f>
        <v>0</v>
      </c>
      <c r="AQ55">
        <f ca="1">COUNT(M55)+IF(SCORECARDS!H55="",0,1)+IF(SCORECARDS!I55="",0,1)+IF(SCORECARDS!J55="",0,1)+IF(ISCAM_Score!K56="",0,1)+IF(O55="",0,1)+IF(COUNT(W55:Z55)&gt;0,1,0)</f>
        <v>3</v>
      </c>
    </row>
    <row r="56" spans="1:43" ht="16.05" customHeight="1" x14ac:dyDescent="0.3">
      <c r="A56" t="s">
        <v>194</v>
      </c>
      <c r="B56" t="s">
        <v>195</v>
      </c>
      <c r="C56" t="s">
        <v>196</v>
      </c>
      <c r="D56" t="s">
        <v>73</v>
      </c>
      <c r="G56" t="s">
        <v>74</v>
      </c>
      <c r="J56" t="s">
        <v>67</v>
      </c>
      <c r="L56">
        <v>0</v>
      </c>
      <c r="M56">
        <f t="shared" si="5"/>
        <v>0</v>
      </c>
      <c r="N56" t="s">
        <v>68</v>
      </c>
      <c r="O56">
        <f t="shared" si="6"/>
        <v>0</v>
      </c>
      <c r="P56" t="s">
        <v>68</v>
      </c>
      <c r="S56">
        <f t="shared" ca="1" si="7"/>
        <v>0</v>
      </c>
      <c r="T56" t="str">
        <f t="shared" ca="1" si="8"/>
        <v>⬜  Parcial · Inst. 2 pendiente</v>
      </c>
      <c r="U56" s="53">
        <v>1</v>
      </c>
      <c r="V56" t="s">
        <v>69</v>
      </c>
      <c r="W56">
        <f>IF(NORMALIZADO!BV56="",0,NORMALIZADO!BV56)</f>
        <v>0</v>
      </c>
      <c r="X56">
        <f>IF(NORMALIZADO!BW56="",0,NORMALIZADO!BW56)</f>
        <v>0</v>
      </c>
      <c r="Y56">
        <f>IF(NORMALIZADO!BX56="",0,NORMALIZADO!BX56)</f>
        <v>0</v>
      </c>
      <c r="Z56">
        <f>IF(NORMALIZADO!BY56="",0,NORMALIZADO!BY56)</f>
        <v>0</v>
      </c>
      <c r="AA56">
        <v>0</v>
      </c>
      <c r="AB56">
        <v>0</v>
      </c>
      <c r="AC56">
        <v>0</v>
      </c>
      <c r="AD56">
        <v>0</v>
      </c>
      <c r="AE56">
        <v>0</v>
      </c>
      <c r="AF56">
        <v>0</v>
      </c>
      <c r="AG56">
        <v>0</v>
      </c>
      <c r="AH56">
        <v>0</v>
      </c>
      <c r="AI56">
        <v>0</v>
      </c>
      <c r="AJ56">
        <v>0</v>
      </c>
      <c r="AK56">
        <v>0</v>
      </c>
      <c r="AL56">
        <v>0</v>
      </c>
      <c r="AM56">
        <v>0</v>
      </c>
      <c r="AN56">
        <v>0</v>
      </c>
      <c r="AO56">
        <f t="shared" si="9"/>
        <v>0</v>
      </c>
      <c r="AP56">
        <f ca="1">IFERROR(((M56/100)*PONDERADORES!$D$12+(SCORECARDS!H56/100)*PONDERADORES!$D$13+(SCORECARDS!I56/100)*PONDERADORES!$D$14+(SCORECARDS!J56/100)*PONDERADORES!$D$15+(ISCAM_Score!K57/100)*PONDERADORES!$D$16+O56*PONDERADORES!$D$17+0*PONDERADORES!$D$18+(AVERAGE(W56:Z56)/2)*PONDERADORES!$D$19)/PONDERADORES!$D$20,"N/A")</f>
        <v>0</v>
      </c>
      <c r="AQ56">
        <f ca="1">COUNT(M56)+IF(SCORECARDS!H56="",0,1)+IF(SCORECARDS!I56="",0,1)+IF(SCORECARDS!J56="",0,1)+IF(ISCAM_Score!K57="",0,1)+IF(O56="",0,1)+IF(COUNT(W56:Z56)&gt;0,1,0)</f>
        <v>3</v>
      </c>
    </row>
    <row r="57" spans="1:43" ht="16.05" customHeight="1" x14ac:dyDescent="0.3">
      <c r="A57" t="s">
        <v>197</v>
      </c>
      <c r="B57" t="s">
        <v>198</v>
      </c>
      <c r="C57" t="s">
        <v>80</v>
      </c>
      <c r="D57" t="s">
        <v>73</v>
      </c>
      <c r="G57" t="s">
        <v>74</v>
      </c>
      <c r="J57" t="s">
        <v>67</v>
      </c>
      <c r="L57">
        <v>0</v>
      </c>
      <c r="M57">
        <f t="shared" si="5"/>
        <v>0</v>
      </c>
      <c r="N57" t="s">
        <v>68</v>
      </c>
      <c r="O57">
        <f t="shared" si="6"/>
        <v>0</v>
      </c>
      <c r="P57" t="s">
        <v>68</v>
      </c>
      <c r="S57">
        <f t="shared" ca="1" si="7"/>
        <v>0</v>
      </c>
      <c r="T57" t="str">
        <f t="shared" ca="1" si="8"/>
        <v>⬜  Parcial · Inst. 2 pendiente</v>
      </c>
      <c r="U57" s="53">
        <v>1</v>
      </c>
      <c r="V57" t="s">
        <v>69</v>
      </c>
      <c r="W57">
        <f>IF(NORMALIZADO!BV57="",0,NORMALIZADO!BV57)</f>
        <v>0</v>
      </c>
      <c r="X57">
        <f>IF(NORMALIZADO!BW57="",0,NORMALIZADO!BW57)</f>
        <v>0</v>
      </c>
      <c r="Y57">
        <f>IF(NORMALIZADO!BX57="",0,NORMALIZADO!BX57)</f>
        <v>0</v>
      </c>
      <c r="Z57">
        <f>IF(NORMALIZADO!BY57="",0,NORMALIZADO!BY57)</f>
        <v>0</v>
      </c>
      <c r="AA57">
        <v>0</v>
      </c>
      <c r="AB57">
        <v>0</v>
      </c>
      <c r="AC57">
        <v>0</v>
      </c>
      <c r="AD57">
        <v>0</v>
      </c>
      <c r="AE57">
        <v>0</v>
      </c>
      <c r="AF57">
        <v>0</v>
      </c>
      <c r="AG57">
        <v>0</v>
      </c>
      <c r="AH57">
        <v>0</v>
      </c>
      <c r="AI57">
        <v>0</v>
      </c>
      <c r="AJ57">
        <v>0</v>
      </c>
      <c r="AK57">
        <v>0</v>
      </c>
      <c r="AL57">
        <v>0</v>
      </c>
      <c r="AM57">
        <v>0</v>
      </c>
      <c r="AN57">
        <v>0</v>
      </c>
      <c r="AO57">
        <f t="shared" si="9"/>
        <v>0</v>
      </c>
      <c r="AP57">
        <f ca="1">IFERROR(((M57/100)*PONDERADORES!$D$12+(SCORECARDS!H57/100)*PONDERADORES!$D$13+(SCORECARDS!I57/100)*PONDERADORES!$D$14+(SCORECARDS!J57/100)*PONDERADORES!$D$15+(ISCAM_Score!K58/100)*PONDERADORES!$D$16+O57*PONDERADORES!$D$17+0*PONDERADORES!$D$18+(AVERAGE(W57:Z57)/2)*PONDERADORES!$D$19)/PONDERADORES!$D$20,"N/A")</f>
        <v>0</v>
      </c>
      <c r="AQ57">
        <f ca="1">COUNT(M57)+IF(SCORECARDS!H57="",0,1)+IF(SCORECARDS!I57="",0,1)+IF(SCORECARDS!J57="",0,1)+IF(ISCAM_Score!K58="",0,1)+IF(O57="",0,1)+IF(COUNT(W57:Z57)&gt;0,1,0)</f>
        <v>3</v>
      </c>
    </row>
    <row r="58" spans="1:43" ht="16.05" customHeight="1" x14ac:dyDescent="0.3">
      <c r="A58" t="s">
        <v>199</v>
      </c>
      <c r="B58" t="s">
        <v>200</v>
      </c>
      <c r="C58" t="s">
        <v>107</v>
      </c>
      <c r="D58" t="s">
        <v>73</v>
      </c>
      <c r="E58">
        <v>105840</v>
      </c>
      <c r="F58">
        <v>7</v>
      </c>
      <c r="G58" t="s">
        <v>66</v>
      </c>
      <c r="J58" t="s">
        <v>67</v>
      </c>
      <c r="L58">
        <v>52920</v>
      </c>
      <c r="M58">
        <f t="shared" si="5"/>
        <v>50</v>
      </c>
      <c r="N58" t="s">
        <v>68</v>
      </c>
      <c r="O58">
        <f t="shared" si="6"/>
        <v>0</v>
      </c>
      <c r="P58" t="s">
        <v>68</v>
      </c>
      <c r="S58">
        <f t="shared" ca="1" si="7"/>
        <v>10</v>
      </c>
      <c r="T58" t="str">
        <f t="shared" ca="1" si="8"/>
        <v>⬜  Parcial · Inst. 2 pendiente</v>
      </c>
      <c r="U58" s="53">
        <v>1</v>
      </c>
      <c r="V58" t="s">
        <v>69</v>
      </c>
      <c r="W58">
        <f>IF(NORMALIZADO!BV58="",0,NORMALIZADO!BV58)</f>
        <v>0</v>
      </c>
      <c r="X58">
        <f>IF(NORMALIZADO!BW58="",0,NORMALIZADO!BW58)</f>
        <v>0</v>
      </c>
      <c r="Y58">
        <f>IF(NORMALIZADO!BX58="",0,NORMALIZADO!BX58)</f>
        <v>0</v>
      </c>
      <c r="Z58">
        <f>IF(NORMALIZADO!BY58="",0,NORMALIZADO!BY58)</f>
        <v>0</v>
      </c>
      <c r="AA58">
        <v>0</v>
      </c>
      <c r="AB58">
        <v>0</v>
      </c>
      <c r="AC58">
        <v>0</v>
      </c>
      <c r="AD58">
        <v>0</v>
      </c>
      <c r="AE58">
        <v>0</v>
      </c>
      <c r="AF58">
        <v>0</v>
      </c>
      <c r="AG58">
        <v>0</v>
      </c>
      <c r="AH58">
        <v>0</v>
      </c>
      <c r="AI58">
        <v>0</v>
      </c>
      <c r="AJ58">
        <v>0</v>
      </c>
      <c r="AK58">
        <v>0</v>
      </c>
      <c r="AL58">
        <v>0</v>
      </c>
      <c r="AM58">
        <v>0</v>
      </c>
      <c r="AN58">
        <v>0</v>
      </c>
      <c r="AO58">
        <f t="shared" si="9"/>
        <v>0</v>
      </c>
      <c r="AP58">
        <f ca="1">IFERROR(((M58/100)*PONDERADORES!$D$12+(SCORECARDS!H58/100)*PONDERADORES!$D$13+(SCORECARDS!I58/100)*PONDERADORES!$D$14+(SCORECARDS!J58/100)*PONDERADORES!$D$15+(ISCAM_Score!K59/100)*PONDERADORES!$D$16+O58*PONDERADORES!$D$17+0*PONDERADORES!$D$18+(AVERAGE(W58:Z58)/2)*PONDERADORES!$D$19)/PONDERADORES!$D$20,"N/A")</f>
        <v>0.1</v>
      </c>
      <c r="AQ58">
        <f ca="1">COUNT(M58)+IF(SCORECARDS!H58="",0,1)+IF(SCORECARDS!I58="",0,1)+IF(SCORECARDS!J58="",0,1)+IF(ISCAM_Score!K59="",0,1)+IF(O58="",0,1)+IF(COUNT(W58:Z58)&gt;0,1,0)</f>
        <v>3</v>
      </c>
    </row>
    <row r="59" spans="1:43" ht="16.05" customHeight="1" x14ac:dyDescent="0.3">
      <c r="A59" t="s">
        <v>201</v>
      </c>
      <c r="B59" t="s">
        <v>202</v>
      </c>
      <c r="C59" t="s">
        <v>107</v>
      </c>
      <c r="D59" t="s">
        <v>73</v>
      </c>
      <c r="G59" t="s">
        <v>74</v>
      </c>
      <c r="J59" t="s">
        <v>128</v>
      </c>
      <c r="L59">
        <v>0</v>
      </c>
      <c r="M59">
        <f t="shared" si="5"/>
        <v>0</v>
      </c>
      <c r="N59" t="s">
        <v>68</v>
      </c>
      <c r="O59">
        <f t="shared" si="6"/>
        <v>0</v>
      </c>
      <c r="P59" t="s">
        <v>68</v>
      </c>
      <c r="S59">
        <f t="shared" ca="1" si="7"/>
        <v>0</v>
      </c>
      <c r="T59" t="str">
        <f t="shared" ca="1" si="8"/>
        <v>⬜  Parcial · Inst. 2 pendiente</v>
      </c>
      <c r="U59" s="53">
        <v>1</v>
      </c>
      <c r="V59" t="s">
        <v>69</v>
      </c>
      <c r="W59">
        <f>IF(NORMALIZADO!BV59="",0,NORMALIZADO!BV59)</f>
        <v>0</v>
      </c>
      <c r="X59">
        <f>IF(NORMALIZADO!BW59="",0,NORMALIZADO!BW59)</f>
        <v>0</v>
      </c>
      <c r="Y59">
        <f>IF(NORMALIZADO!BX59="",0,NORMALIZADO!BX59)</f>
        <v>0</v>
      </c>
      <c r="Z59">
        <f>IF(NORMALIZADO!BY59="",0,NORMALIZADO!BY59)</f>
        <v>0</v>
      </c>
      <c r="AA59">
        <v>0</v>
      </c>
      <c r="AB59">
        <v>0</v>
      </c>
      <c r="AC59">
        <v>0</v>
      </c>
      <c r="AD59">
        <v>0</v>
      </c>
      <c r="AE59">
        <v>0</v>
      </c>
      <c r="AF59">
        <v>0</v>
      </c>
      <c r="AG59">
        <v>0</v>
      </c>
      <c r="AH59">
        <v>0</v>
      </c>
      <c r="AI59">
        <v>0</v>
      </c>
      <c r="AJ59">
        <v>0</v>
      </c>
      <c r="AK59">
        <v>0</v>
      </c>
      <c r="AL59">
        <v>0</v>
      </c>
      <c r="AM59">
        <v>0</v>
      </c>
      <c r="AN59">
        <v>0</v>
      </c>
      <c r="AO59">
        <f t="shared" si="9"/>
        <v>0</v>
      </c>
      <c r="AP59">
        <f ca="1">IFERROR(((M59/100)*PONDERADORES!$D$12+(SCORECARDS!H59/100)*PONDERADORES!$D$13+(SCORECARDS!I59/100)*PONDERADORES!$D$14+(SCORECARDS!J59/100)*PONDERADORES!$D$15+(ISCAM_Score!K60/100)*PONDERADORES!$D$16+O59*PONDERADORES!$D$17+0*PONDERADORES!$D$18+(AVERAGE(W59:Z59)/2)*PONDERADORES!$D$19)/PONDERADORES!$D$20,"N/A")</f>
        <v>0</v>
      </c>
      <c r="AQ59">
        <f ca="1">COUNT(M59)+IF(SCORECARDS!H59="",0,1)+IF(SCORECARDS!I59="",0,1)+IF(SCORECARDS!J59="",0,1)+IF(ISCAM_Score!K60="",0,1)+IF(O59="",0,1)+IF(COUNT(W59:Z59)&gt;0,1,0)</f>
        <v>3</v>
      </c>
    </row>
    <row r="60" spans="1:43" ht="16.05" customHeight="1" x14ac:dyDescent="0.3">
      <c r="A60" t="s">
        <v>203</v>
      </c>
      <c r="B60" t="s">
        <v>204</v>
      </c>
      <c r="C60" t="s">
        <v>205</v>
      </c>
      <c r="D60" t="s">
        <v>65</v>
      </c>
      <c r="E60">
        <v>10746930.949999999</v>
      </c>
      <c r="F60">
        <v>59</v>
      </c>
      <c r="G60" t="s">
        <v>66</v>
      </c>
      <c r="J60" t="s">
        <v>67</v>
      </c>
      <c r="L60">
        <v>5373465.4699999997</v>
      </c>
      <c r="M60">
        <f t="shared" si="5"/>
        <v>50</v>
      </c>
      <c r="N60" t="s">
        <v>68</v>
      </c>
      <c r="O60">
        <f t="shared" si="6"/>
        <v>0</v>
      </c>
      <c r="P60" t="s">
        <v>68</v>
      </c>
      <c r="S60">
        <f t="shared" ca="1" si="7"/>
        <v>12.5</v>
      </c>
      <c r="T60" t="str">
        <f t="shared" ca="1" si="8"/>
        <v>⬜  Parcial · Inst. 2 pendiente</v>
      </c>
      <c r="U60" s="53">
        <v>1</v>
      </c>
      <c r="V60" t="s">
        <v>69</v>
      </c>
      <c r="W60">
        <f>IF(NORMALIZADO!BV60="",1,NORMALIZADO!BV60)</f>
        <v>1</v>
      </c>
      <c r="X60">
        <f>IF(NORMALIZADO!BW60="",0,NORMALIZADO!BW60)</f>
        <v>0</v>
      </c>
      <c r="Y60">
        <f>IF(NORMALIZADO!BX60="",0,NORMALIZADO!BX60)</f>
        <v>0</v>
      </c>
      <c r="Z60">
        <f>IF(NORMALIZADO!BY60="",0,NORMALIZADO!BY60)</f>
        <v>0</v>
      </c>
      <c r="AA60">
        <v>0</v>
      </c>
      <c r="AB60">
        <v>0</v>
      </c>
      <c r="AC60">
        <v>0</v>
      </c>
      <c r="AD60">
        <v>0</v>
      </c>
      <c r="AE60">
        <v>0</v>
      </c>
      <c r="AF60">
        <v>0</v>
      </c>
      <c r="AG60">
        <v>0</v>
      </c>
      <c r="AH60">
        <v>0</v>
      </c>
      <c r="AI60">
        <v>0</v>
      </c>
      <c r="AJ60">
        <v>0</v>
      </c>
      <c r="AK60">
        <v>0</v>
      </c>
      <c r="AL60">
        <v>0</v>
      </c>
      <c r="AM60">
        <v>0</v>
      </c>
      <c r="AN60">
        <v>0</v>
      </c>
      <c r="AO60">
        <f t="shared" si="9"/>
        <v>0</v>
      </c>
      <c r="AP60">
        <f ca="1">IFERROR(((M60/100)*PONDERADORES!$D$12+(SCORECARDS!H60/100)*PONDERADORES!$D$13+(SCORECARDS!I60/100)*PONDERADORES!$D$14+(SCORECARDS!J60/100)*PONDERADORES!$D$15+(ISCAM_Score!K61/100)*PONDERADORES!$D$16+O60*PONDERADORES!$D$17+0*PONDERADORES!$D$18+(AVERAGE(W60:Z60)/2)*PONDERADORES!$D$19)/PONDERADORES!$D$20,"N/A")</f>
        <v>0.125</v>
      </c>
      <c r="AQ60">
        <f ca="1">COUNT(M60)+IF(SCORECARDS!H60="",0,1)+IF(SCORECARDS!I60="",0,1)+IF(SCORECARDS!J60="",0,1)+IF(ISCAM_Score!K61="",0,1)+IF(O60="",0,1)+IF(COUNT(W60:Z60)&gt;0,1,0)</f>
        <v>3</v>
      </c>
    </row>
    <row r="61" spans="1:43" ht="16.05" customHeight="1" x14ac:dyDescent="0.3">
      <c r="A61" t="s">
        <v>206</v>
      </c>
      <c r="B61" t="s">
        <v>207</v>
      </c>
      <c r="C61" t="s">
        <v>123</v>
      </c>
      <c r="D61" t="s">
        <v>65</v>
      </c>
      <c r="G61" t="s">
        <v>74</v>
      </c>
      <c r="J61" t="s">
        <v>67</v>
      </c>
      <c r="L61">
        <v>0</v>
      </c>
      <c r="M61">
        <f t="shared" si="5"/>
        <v>0</v>
      </c>
      <c r="N61" t="s">
        <v>68</v>
      </c>
      <c r="O61">
        <f t="shared" si="6"/>
        <v>0</v>
      </c>
      <c r="P61" t="s">
        <v>68</v>
      </c>
      <c r="S61">
        <f t="shared" ca="1" si="7"/>
        <v>0</v>
      </c>
      <c r="T61" t="str">
        <f t="shared" ca="1" si="8"/>
        <v>⬜  Parcial · Inst. 2 pendiente</v>
      </c>
      <c r="U61" s="53">
        <v>1</v>
      </c>
      <c r="V61" t="s">
        <v>69</v>
      </c>
      <c r="W61">
        <f>IF(NORMALIZADO!BV61="",0,NORMALIZADO!BV61)</f>
        <v>0</v>
      </c>
      <c r="X61">
        <f>IF(NORMALIZADO!BW61="",0,NORMALIZADO!BW61)</f>
        <v>0</v>
      </c>
      <c r="Y61">
        <f>IF(NORMALIZADO!BX61="",0,NORMALIZADO!BX61)</f>
        <v>0</v>
      </c>
      <c r="Z61">
        <f>IF(NORMALIZADO!BY61="",0,NORMALIZADO!BY61)</f>
        <v>0</v>
      </c>
      <c r="AA61">
        <v>0</v>
      </c>
      <c r="AB61">
        <v>0</v>
      </c>
      <c r="AC61">
        <v>0</v>
      </c>
      <c r="AD61">
        <v>0</v>
      </c>
      <c r="AE61">
        <v>0</v>
      </c>
      <c r="AF61">
        <v>0</v>
      </c>
      <c r="AG61">
        <v>0</v>
      </c>
      <c r="AH61">
        <v>0</v>
      </c>
      <c r="AI61">
        <v>0</v>
      </c>
      <c r="AJ61">
        <v>0</v>
      </c>
      <c r="AK61">
        <v>0</v>
      </c>
      <c r="AL61">
        <v>0</v>
      </c>
      <c r="AM61">
        <v>0</v>
      </c>
      <c r="AN61">
        <v>0</v>
      </c>
      <c r="AO61">
        <f t="shared" si="9"/>
        <v>0</v>
      </c>
      <c r="AP61">
        <f ca="1">IFERROR(((M61/100)*PONDERADORES!$D$12+(SCORECARDS!H61/100)*PONDERADORES!$D$13+(SCORECARDS!I61/100)*PONDERADORES!$D$14+(SCORECARDS!J61/100)*PONDERADORES!$D$15+(ISCAM_Score!K62/100)*PONDERADORES!$D$16+O61*PONDERADORES!$D$17+0*PONDERADORES!$D$18+(AVERAGE(W61:Z61)/2)*PONDERADORES!$D$19)/PONDERADORES!$D$20,"N/A")</f>
        <v>0</v>
      </c>
      <c r="AQ61">
        <f ca="1">COUNT(M61)+IF(SCORECARDS!H61="",0,1)+IF(SCORECARDS!I61="",0,1)+IF(SCORECARDS!J61="",0,1)+IF(ISCAM_Score!K62="",0,1)+IF(O61="",0,1)+IF(COUNT(W61:Z61)&gt;0,1,0)</f>
        <v>3</v>
      </c>
    </row>
    <row r="62" spans="1:43" ht="16.05" customHeight="1" x14ac:dyDescent="0.3">
      <c r="A62" t="s">
        <v>208</v>
      </c>
      <c r="B62" t="s">
        <v>209</v>
      </c>
      <c r="C62" t="s">
        <v>107</v>
      </c>
      <c r="D62" t="s">
        <v>65</v>
      </c>
      <c r="G62" t="s">
        <v>74</v>
      </c>
      <c r="J62" t="s">
        <v>128</v>
      </c>
      <c r="L62">
        <v>0</v>
      </c>
      <c r="M62">
        <f t="shared" si="5"/>
        <v>0</v>
      </c>
      <c r="N62" t="s">
        <v>68</v>
      </c>
      <c r="O62">
        <f t="shared" si="6"/>
        <v>0</v>
      </c>
      <c r="P62" t="s">
        <v>68</v>
      </c>
      <c r="S62">
        <f t="shared" ca="1" si="7"/>
        <v>0</v>
      </c>
      <c r="T62" t="str">
        <f t="shared" ca="1" si="8"/>
        <v>⬜  Parcial · Inst. 2 pendiente</v>
      </c>
      <c r="U62" s="53">
        <v>1</v>
      </c>
      <c r="V62" t="s">
        <v>69</v>
      </c>
      <c r="W62">
        <f>IF(NORMALIZADO!BV62="",0,NORMALIZADO!BV62)</f>
        <v>0</v>
      </c>
      <c r="X62">
        <f>IF(NORMALIZADO!BW62="",0,NORMALIZADO!BW62)</f>
        <v>0</v>
      </c>
      <c r="Y62">
        <f>IF(NORMALIZADO!BX62="",0,NORMALIZADO!BX62)</f>
        <v>0</v>
      </c>
      <c r="Z62">
        <f>IF(NORMALIZADO!BY62="",0,NORMALIZADO!BY62)</f>
        <v>0</v>
      </c>
      <c r="AA62">
        <v>0</v>
      </c>
      <c r="AB62">
        <v>0</v>
      </c>
      <c r="AC62">
        <v>0</v>
      </c>
      <c r="AD62">
        <v>0</v>
      </c>
      <c r="AE62">
        <v>0</v>
      </c>
      <c r="AF62">
        <v>0</v>
      </c>
      <c r="AG62">
        <v>0</v>
      </c>
      <c r="AH62">
        <v>0</v>
      </c>
      <c r="AI62">
        <v>0</v>
      </c>
      <c r="AJ62">
        <v>0</v>
      </c>
      <c r="AK62">
        <v>0</v>
      </c>
      <c r="AL62">
        <v>0</v>
      </c>
      <c r="AM62">
        <v>0</v>
      </c>
      <c r="AN62">
        <v>0</v>
      </c>
      <c r="AO62">
        <f t="shared" si="9"/>
        <v>0</v>
      </c>
      <c r="AP62">
        <f ca="1">IFERROR(((M62/100)*PONDERADORES!$D$12+(SCORECARDS!H62/100)*PONDERADORES!$D$13+(SCORECARDS!I62/100)*PONDERADORES!$D$14+(SCORECARDS!J62/100)*PONDERADORES!$D$15+(ISCAM_Score!K63/100)*PONDERADORES!$D$16+O62*PONDERADORES!$D$17+0*PONDERADORES!$D$18+(AVERAGE(W62:Z62)/2)*PONDERADORES!$D$19)/PONDERADORES!$D$20,"N/A")</f>
        <v>0</v>
      </c>
      <c r="AQ62">
        <f ca="1">COUNT(M62)+IF(SCORECARDS!H62="",0,1)+IF(SCORECARDS!I62="",0,1)+IF(SCORECARDS!J62="",0,1)+IF(ISCAM_Score!K63="",0,1)+IF(O62="",0,1)+IF(COUNT(W62:Z62)&gt;0,1,0)</f>
        <v>3</v>
      </c>
    </row>
    <row r="63" spans="1:43" ht="16.05" customHeight="1" x14ac:dyDescent="0.3">
      <c r="A63" t="s">
        <v>210</v>
      </c>
      <c r="B63" t="s">
        <v>211</v>
      </c>
      <c r="C63" t="s">
        <v>107</v>
      </c>
      <c r="D63" t="s">
        <v>65</v>
      </c>
      <c r="G63" t="s">
        <v>74</v>
      </c>
      <c r="J63" t="s">
        <v>128</v>
      </c>
      <c r="L63">
        <v>0</v>
      </c>
      <c r="M63">
        <f t="shared" si="5"/>
        <v>0</v>
      </c>
      <c r="N63" t="s">
        <v>68</v>
      </c>
      <c r="O63">
        <f t="shared" si="6"/>
        <v>0</v>
      </c>
      <c r="P63" t="s">
        <v>68</v>
      </c>
      <c r="S63">
        <f t="shared" ca="1" si="7"/>
        <v>0</v>
      </c>
      <c r="T63" t="str">
        <f t="shared" ca="1" si="8"/>
        <v>⬜  Parcial · Inst. 2 pendiente</v>
      </c>
      <c r="U63" s="53">
        <v>1</v>
      </c>
      <c r="V63" t="s">
        <v>69</v>
      </c>
      <c r="W63">
        <f>IF(NORMALIZADO!BV63="",0,NORMALIZADO!BV63)</f>
        <v>0</v>
      </c>
      <c r="X63">
        <f>IF(NORMALIZADO!BW63="",0,NORMALIZADO!BW63)</f>
        <v>0</v>
      </c>
      <c r="Y63">
        <f>IF(NORMALIZADO!BX63="",0,NORMALIZADO!BX63)</f>
        <v>0</v>
      </c>
      <c r="Z63">
        <f>IF(NORMALIZADO!BY63="",0,NORMALIZADO!BY63)</f>
        <v>0</v>
      </c>
      <c r="AA63">
        <v>0</v>
      </c>
      <c r="AB63">
        <v>0</v>
      </c>
      <c r="AC63">
        <v>0</v>
      </c>
      <c r="AD63">
        <v>0</v>
      </c>
      <c r="AE63">
        <v>0</v>
      </c>
      <c r="AF63">
        <v>0</v>
      </c>
      <c r="AG63">
        <v>0</v>
      </c>
      <c r="AH63">
        <v>0</v>
      </c>
      <c r="AI63">
        <v>0</v>
      </c>
      <c r="AJ63">
        <v>0</v>
      </c>
      <c r="AK63">
        <v>0</v>
      </c>
      <c r="AL63">
        <v>0</v>
      </c>
      <c r="AM63">
        <v>0</v>
      </c>
      <c r="AN63">
        <v>0</v>
      </c>
      <c r="AO63">
        <f t="shared" si="9"/>
        <v>0</v>
      </c>
      <c r="AP63">
        <f ca="1">IFERROR(((M63/100)*PONDERADORES!$D$12+(SCORECARDS!H63/100)*PONDERADORES!$D$13+(SCORECARDS!I63/100)*PONDERADORES!$D$14+(SCORECARDS!J63/100)*PONDERADORES!$D$15+(ISCAM_Score!K64/100)*PONDERADORES!$D$16+O63*PONDERADORES!$D$17+0*PONDERADORES!$D$18+(AVERAGE(W63:Z63)/2)*PONDERADORES!$D$19)/PONDERADORES!$D$20,"N/A")</f>
        <v>0</v>
      </c>
      <c r="AQ63">
        <f ca="1">COUNT(M63)+IF(SCORECARDS!H63="",0,1)+IF(SCORECARDS!I63="",0,1)+IF(SCORECARDS!J63="",0,1)+IF(ISCAM_Score!K64="",0,1)+IF(O63="",0,1)+IF(COUNT(W63:Z63)&gt;0,1,0)</f>
        <v>3</v>
      </c>
    </row>
    <row r="64" spans="1:43" ht="16.05" customHeight="1" x14ac:dyDescent="0.3">
      <c r="A64" t="s">
        <v>212</v>
      </c>
      <c r="B64" t="s">
        <v>213</v>
      </c>
      <c r="C64" t="s">
        <v>143</v>
      </c>
      <c r="D64" t="s">
        <v>65</v>
      </c>
      <c r="E64">
        <v>0</v>
      </c>
      <c r="G64" t="s">
        <v>74</v>
      </c>
      <c r="J64" t="s">
        <v>67</v>
      </c>
      <c r="L64">
        <v>0</v>
      </c>
      <c r="M64">
        <f t="shared" si="5"/>
        <v>0</v>
      </c>
      <c r="N64" t="s">
        <v>68</v>
      </c>
      <c r="O64">
        <f t="shared" si="6"/>
        <v>0</v>
      </c>
      <c r="P64" t="s">
        <v>68</v>
      </c>
      <c r="S64">
        <f t="shared" ca="1" si="7"/>
        <v>0</v>
      </c>
      <c r="T64" t="str">
        <f t="shared" ca="1" si="8"/>
        <v>⬜  Parcial · Inst. 2 pendiente</v>
      </c>
      <c r="U64" s="53">
        <v>1</v>
      </c>
      <c r="V64" t="s">
        <v>69</v>
      </c>
      <c r="W64">
        <f>IF(NORMALIZADO!BV64="",0,NORMALIZADO!BV64)</f>
        <v>0</v>
      </c>
      <c r="X64">
        <f>IF(NORMALIZADO!BW64="",0,NORMALIZADO!BW64)</f>
        <v>0</v>
      </c>
      <c r="Y64">
        <f>IF(NORMALIZADO!BX64="",0,NORMALIZADO!BX64)</f>
        <v>0</v>
      </c>
      <c r="Z64">
        <f>IF(NORMALIZADO!BY64="",0,NORMALIZADO!BY64)</f>
        <v>0</v>
      </c>
      <c r="AA64">
        <v>0</v>
      </c>
      <c r="AB64">
        <v>0</v>
      </c>
      <c r="AC64">
        <v>0</v>
      </c>
      <c r="AD64">
        <v>0</v>
      </c>
      <c r="AE64">
        <v>0</v>
      </c>
      <c r="AF64">
        <v>0</v>
      </c>
      <c r="AG64">
        <v>0</v>
      </c>
      <c r="AH64">
        <v>0</v>
      </c>
      <c r="AI64">
        <v>0</v>
      </c>
      <c r="AJ64">
        <v>0</v>
      </c>
      <c r="AK64">
        <v>0</v>
      </c>
      <c r="AL64">
        <v>0</v>
      </c>
      <c r="AM64">
        <v>0</v>
      </c>
      <c r="AN64">
        <v>0</v>
      </c>
      <c r="AO64">
        <f t="shared" si="9"/>
        <v>0</v>
      </c>
      <c r="AP64">
        <f ca="1">IFERROR(((M64/100)*PONDERADORES!$D$12+(SCORECARDS!H64/100)*PONDERADORES!$D$13+(SCORECARDS!I64/100)*PONDERADORES!$D$14+(SCORECARDS!J64/100)*PONDERADORES!$D$15+(ISCAM_Score!K65/100)*PONDERADORES!$D$16+O64*PONDERADORES!$D$17+0*PONDERADORES!$D$18+(AVERAGE(W64:Z64)/2)*PONDERADORES!$D$19)/PONDERADORES!$D$20,"N/A")</f>
        <v>0</v>
      </c>
      <c r="AQ64">
        <f ca="1">COUNT(M64)+IF(SCORECARDS!H64="",0,1)+IF(SCORECARDS!I64="",0,1)+IF(SCORECARDS!J64="",0,1)+IF(ISCAM_Score!K65="",0,1)+IF(O64="",0,1)+IF(COUNT(W64:Z64)&gt;0,1,0)</f>
        <v>3</v>
      </c>
    </row>
    <row r="65" spans="1:43" ht="16.05" customHeight="1" x14ac:dyDescent="0.3">
      <c r="A65" t="s">
        <v>214</v>
      </c>
      <c r="B65" t="s">
        <v>215</v>
      </c>
      <c r="C65" t="s">
        <v>143</v>
      </c>
      <c r="D65" t="s">
        <v>73</v>
      </c>
      <c r="E65">
        <v>1984.05</v>
      </c>
      <c r="F65">
        <v>1</v>
      </c>
      <c r="G65" t="s">
        <v>66</v>
      </c>
      <c r="J65" t="s">
        <v>67</v>
      </c>
      <c r="L65">
        <v>0</v>
      </c>
      <c r="M65">
        <f t="shared" si="5"/>
        <v>0</v>
      </c>
      <c r="N65" t="s">
        <v>68</v>
      </c>
      <c r="O65">
        <f t="shared" si="6"/>
        <v>0</v>
      </c>
      <c r="P65" t="s">
        <v>68</v>
      </c>
      <c r="S65">
        <f t="shared" ca="1" si="7"/>
        <v>0</v>
      </c>
      <c r="T65" t="str">
        <f t="shared" ca="1" si="8"/>
        <v>⬜  Parcial · Inst. 2 pendiente</v>
      </c>
      <c r="U65" s="53">
        <v>1</v>
      </c>
      <c r="V65" t="s">
        <v>69</v>
      </c>
      <c r="W65">
        <f>IF(NORMALIZADO!BV65="",0,NORMALIZADO!BV65)</f>
        <v>0</v>
      </c>
      <c r="X65">
        <f>IF(NORMALIZADO!BW65="",0,NORMALIZADO!BW65)</f>
        <v>0</v>
      </c>
      <c r="Y65">
        <f>IF(NORMALIZADO!BX65="",0,NORMALIZADO!BX65)</f>
        <v>0</v>
      </c>
      <c r="Z65">
        <f>IF(NORMALIZADO!BY65="",0,NORMALIZADO!BY65)</f>
        <v>0</v>
      </c>
      <c r="AA65">
        <v>0</v>
      </c>
      <c r="AB65">
        <v>0</v>
      </c>
      <c r="AC65">
        <v>0</v>
      </c>
      <c r="AD65">
        <v>0</v>
      </c>
      <c r="AE65">
        <v>0</v>
      </c>
      <c r="AF65">
        <v>0</v>
      </c>
      <c r="AG65">
        <v>0</v>
      </c>
      <c r="AH65">
        <v>0</v>
      </c>
      <c r="AI65">
        <v>0</v>
      </c>
      <c r="AJ65">
        <v>0</v>
      </c>
      <c r="AK65">
        <v>0</v>
      </c>
      <c r="AL65">
        <v>0</v>
      </c>
      <c r="AM65">
        <v>0</v>
      </c>
      <c r="AN65">
        <v>0</v>
      </c>
      <c r="AO65">
        <f t="shared" si="9"/>
        <v>0</v>
      </c>
      <c r="AP65">
        <f ca="1">IFERROR(((M65/100)*PONDERADORES!$D$12+(SCORECARDS!H65/100)*PONDERADORES!$D$13+(SCORECARDS!I65/100)*PONDERADORES!$D$14+(SCORECARDS!J65/100)*PONDERADORES!$D$15+(ISCAM_Score!K66/100)*PONDERADORES!$D$16+O65*PONDERADORES!$D$17+0*PONDERADORES!$D$18+(AVERAGE(W65:Z65)/2)*PONDERADORES!$D$19)/PONDERADORES!$D$20,"N/A")</f>
        <v>0</v>
      </c>
      <c r="AQ65">
        <f ca="1">COUNT(M65)+IF(SCORECARDS!H65="",0,1)+IF(SCORECARDS!I65="",0,1)+IF(SCORECARDS!J65="",0,1)+IF(ISCAM_Score!K66="",0,1)+IF(O65="",0,1)+IF(COUNT(W65:Z65)&gt;0,1,0)</f>
        <v>3</v>
      </c>
    </row>
    <row r="66" spans="1:43" ht="16.05" customHeight="1" x14ac:dyDescent="0.3">
      <c r="A66" t="s">
        <v>216</v>
      </c>
      <c r="B66" t="s">
        <v>217</v>
      </c>
      <c r="C66" t="s">
        <v>80</v>
      </c>
      <c r="D66" t="s">
        <v>65</v>
      </c>
      <c r="G66" t="s">
        <v>74</v>
      </c>
      <c r="J66" t="s">
        <v>67</v>
      </c>
      <c r="L66">
        <v>0</v>
      </c>
      <c r="M66">
        <f t="shared" si="5"/>
        <v>0</v>
      </c>
      <c r="N66" t="s">
        <v>68</v>
      </c>
      <c r="O66">
        <f t="shared" si="6"/>
        <v>0</v>
      </c>
      <c r="P66" t="s">
        <v>68</v>
      </c>
      <c r="S66">
        <f t="shared" ca="1" si="7"/>
        <v>0</v>
      </c>
      <c r="T66" t="str">
        <f t="shared" ca="1" si="8"/>
        <v>⬜  Parcial · Inst. 2 pendiente</v>
      </c>
      <c r="U66" s="53">
        <v>1</v>
      </c>
      <c r="V66" t="s">
        <v>69</v>
      </c>
      <c r="W66">
        <f>IF(NORMALIZADO!BV66="",0,NORMALIZADO!BV66)</f>
        <v>0</v>
      </c>
      <c r="X66">
        <f>IF(NORMALIZADO!BW66="",0,NORMALIZADO!BW66)</f>
        <v>0</v>
      </c>
      <c r="Y66">
        <f>IF(NORMALIZADO!BX66="",0,NORMALIZADO!BX66)</f>
        <v>0</v>
      </c>
      <c r="Z66">
        <f>IF(NORMALIZADO!BY66="",0,NORMALIZADO!BY66)</f>
        <v>0</v>
      </c>
      <c r="AA66">
        <v>0</v>
      </c>
      <c r="AB66">
        <v>0</v>
      </c>
      <c r="AC66">
        <v>0</v>
      </c>
      <c r="AD66">
        <v>0</v>
      </c>
      <c r="AE66">
        <v>0</v>
      </c>
      <c r="AF66">
        <v>0</v>
      </c>
      <c r="AG66">
        <v>0</v>
      </c>
      <c r="AH66">
        <v>0</v>
      </c>
      <c r="AI66">
        <v>0</v>
      </c>
      <c r="AJ66">
        <v>0</v>
      </c>
      <c r="AK66">
        <v>0</v>
      </c>
      <c r="AL66">
        <v>0</v>
      </c>
      <c r="AM66">
        <v>0</v>
      </c>
      <c r="AN66">
        <v>0</v>
      </c>
      <c r="AO66">
        <f t="shared" si="9"/>
        <v>0</v>
      </c>
      <c r="AP66">
        <f ca="1">IFERROR(((M66/100)*PONDERADORES!$D$12+(SCORECARDS!H66/100)*PONDERADORES!$D$13+(SCORECARDS!I66/100)*PONDERADORES!$D$14+(SCORECARDS!J66/100)*PONDERADORES!$D$15+(ISCAM_Score!K67/100)*PONDERADORES!$D$16+O66*PONDERADORES!$D$17+0*PONDERADORES!$D$18+(AVERAGE(W66:Z66)/2)*PONDERADORES!$D$19)/PONDERADORES!$D$20,"N/A")</f>
        <v>0</v>
      </c>
      <c r="AQ66">
        <f ca="1">COUNT(M66)+IF(SCORECARDS!H66="",0,1)+IF(SCORECARDS!I66="",0,1)+IF(SCORECARDS!J66="",0,1)+IF(ISCAM_Score!K67="",0,1)+IF(O66="",0,1)+IF(COUNT(W66:Z66)&gt;0,1,0)</f>
        <v>3</v>
      </c>
    </row>
    <row r="67" spans="1:43" ht="16.05" customHeight="1" x14ac:dyDescent="0.3">
      <c r="A67" t="s">
        <v>218</v>
      </c>
      <c r="B67" t="s">
        <v>219</v>
      </c>
      <c r="C67" t="s">
        <v>116</v>
      </c>
      <c r="D67" t="s">
        <v>65</v>
      </c>
      <c r="G67" t="s">
        <v>74</v>
      </c>
      <c r="J67" t="s">
        <v>67</v>
      </c>
      <c r="L67">
        <v>0</v>
      </c>
      <c r="M67">
        <f t="shared" ref="M67:M98" si="10">IF(E67&gt;0,ROUND(L67/E67*100,1),0)</f>
        <v>0</v>
      </c>
      <c r="N67" t="s">
        <v>68</v>
      </c>
      <c r="O67">
        <f t="shared" ref="O67:O98" si="11">IF(H67="SI",1,0)*0.6+IF(I67="SI",1,0)*0.4</f>
        <v>0</v>
      </c>
      <c r="P67" t="s">
        <v>68</v>
      </c>
      <c r="S67">
        <f t="shared" ref="S67:S98" ca="1" si="12">IFERROR(ROUND(AP67*100,1),"N/A")</f>
        <v>0</v>
      </c>
      <c r="T67" t="str">
        <f t="shared" ref="T67:T98" ca="1" si="13">IF(NOT(ISNUMBER(S67)),"—",IF(AQ67&lt;6,"⬜  Parcial · Inst. 2 pendiente",IF(S67&lt;34,"🔴 Crítico",IF(S67&lt;67,"🟡 Vulnerable","🟢 Preparado"))))</f>
        <v>⬜  Parcial · Inst. 2 pendiente</v>
      </c>
      <c r="U67" s="53">
        <v>1</v>
      </c>
      <c r="V67" t="s">
        <v>69</v>
      </c>
      <c r="W67">
        <f>IF(NORMALIZADO!BV67="",0,NORMALIZADO!BV67)</f>
        <v>0</v>
      </c>
      <c r="X67">
        <f>IF(NORMALIZADO!BW67="",0,NORMALIZADO!BW67)</f>
        <v>0</v>
      </c>
      <c r="Y67">
        <f>IF(NORMALIZADO!BX67="",0,NORMALIZADO!BX67)</f>
        <v>0</v>
      </c>
      <c r="Z67">
        <f>IF(NORMALIZADO!BY67="",0,NORMALIZADO!BY67)</f>
        <v>0</v>
      </c>
      <c r="AA67">
        <v>0</v>
      </c>
      <c r="AB67">
        <v>0</v>
      </c>
      <c r="AC67">
        <v>0</v>
      </c>
      <c r="AD67">
        <v>0</v>
      </c>
      <c r="AE67">
        <v>0</v>
      </c>
      <c r="AF67">
        <v>0</v>
      </c>
      <c r="AG67">
        <v>0</v>
      </c>
      <c r="AH67">
        <v>0</v>
      </c>
      <c r="AI67">
        <v>0</v>
      </c>
      <c r="AJ67">
        <v>0</v>
      </c>
      <c r="AK67">
        <v>0</v>
      </c>
      <c r="AL67">
        <v>0</v>
      </c>
      <c r="AM67">
        <v>0</v>
      </c>
      <c r="AN67">
        <v>0</v>
      </c>
      <c r="AO67">
        <f t="shared" ref="AO67:AO98" si="14">IFERROR(AVERAGE(AA67,AB67,AC67,AD67,AE67,AF67,AG67,AH67,AI67,AJ67,AK67,AL67,AM67,AN67),"N/A")</f>
        <v>0</v>
      </c>
      <c r="AP67">
        <f ca="1">IFERROR(((M67/100)*PONDERADORES!$D$12+(SCORECARDS!H67/100)*PONDERADORES!$D$13+(SCORECARDS!I67/100)*PONDERADORES!$D$14+(SCORECARDS!J67/100)*PONDERADORES!$D$15+(ISCAM_Score!K68/100)*PONDERADORES!$D$16+O67*PONDERADORES!$D$17+0*PONDERADORES!$D$18+(AVERAGE(W67:Z67)/2)*PONDERADORES!$D$19)/PONDERADORES!$D$20,"N/A")</f>
        <v>0</v>
      </c>
      <c r="AQ67">
        <f ca="1">COUNT(M67)+IF(SCORECARDS!H67="",0,1)+IF(SCORECARDS!I67="",0,1)+IF(SCORECARDS!J67="",0,1)+IF(ISCAM_Score!K68="",0,1)+IF(O67="",0,1)+IF(COUNT(W67:Z67)&gt;0,1,0)</f>
        <v>3</v>
      </c>
    </row>
    <row r="68" spans="1:43" ht="16.05" customHeight="1" x14ac:dyDescent="0.3">
      <c r="A68" t="s">
        <v>220</v>
      </c>
      <c r="B68" t="s">
        <v>221</v>
      </c>
      <c r="C68" t="s">
        <v>116</v>
      </c>
      <c r="D68" t="s">
        <v>65</v>
      </c>
      <c r="G68" t="s">
        <v>74</v>
      </c>
      <c r="J68" t="s">
        <v>67</v>
      </c>
      <c r="L68">
        <v>0</v>
      </c>
      <c r="M68">
        <f t="shared" si="10"/>
        <v>0</v>
      </c>
      <c r="N68" t="s">
        <v>68</v>
      </c>
      <c r="O68">
        <f t="shared" si="11"/>
        <v>0</v>
      </c>
      <c r="P68" t="s">
        <v>68</v>
      </c>
      <c r="S68">
        <f t="shared" ca="1" si="12"/>
        <v>0</v>
      </c>
      <c r="T68" t="str">
        <f t="shared" ca="1" si="13"/>
        <v>⬜  Parcial · Inst. 2 pendiente</v>
      </c>
      <c r="U68" s="53">
        <v>1</v>
      </c>
      <c r="V68" t="s">
        <v>69</v>
      </c>
      <c r="W68">
        <f>IF(NORMALIZADO!BV68="",0,NORMALIZADO!BV68)</f>
        <v>0</v>
      </c>
      <c r="X68">
        <f>IF(NORMALIZADO!BW68="",0,NORMALIZADO!BW68)</f>
        <v>0</v>
      </c>
      <c r="Y68">
        <f>IF(NORMALIZADO!BX68="",0,NORMALIZADO!BX68)</f>
        <v>0</v>
      </c>
      <c r="Z68">
        <f>IF(NORMALIZADO!BY68="",0,NORMALIZADO!BY68)</f>
        <v>0</v>
      </c>
      <c r="AA68">
        <v>0</v>
      </c>
      <c r="AB68">
        <v>0</v>
      </c>
      <c r="AC68">
        <v>0</v>
      </c>
      <c r="AD68">
        <v>0</v>
      </c>
      <c r="AE68">
        <v>0</v>
      </c>
      <c r="AF68">
        <v>0</v>
      </c>
      <c r="AG68">
        <v>0</v>
      </c>
      <c r="AH68">
        <v>0</v>
      </c>
      <c r="AI68">
        <v>0</v>
      </c>
      <c r="AJ68">
        <v>0</v>
      </c>
      <c r="AK68">
        <v>0</v>
      </c>
      <c r="AL68">
        <v>0</v>
      </c>
      <c r="AM68">
        <v>0</v>
      </c>
      <c r="AN68">
        <v>0</v>
      </c>
      <c r="AO68">
        <f t="shared" si="14"/>
        <v>0</v>
      </c>
      <c r="AP68">
        <f ca="1">IFERROR(((M68/100)*PONDERADORES!$D$12+(SCORECARDS!H68/100)*PONDERADORES!$D$13+(SCORECARDS!I68/100)*PONDERADORES!$D$14+(SCORECARDS!J68/100)*PONDERADORES!$D$15+(ISCAM_Score!K69/100)*PONDERADORES!$D$16+O68*PONDERADORES!$D$17+0*PONDERADORES!$D$18+(AVERAGE(W68:Z68)/2)*PONDERADORES!$D$19)/PONDERADORES!$D$20,"N/A")</f>
        <v>0</v>
      </c>
      <c r="AQ68">
        <f ca="1">COUNT(M68)+IF(SCORECARDS!H68="",0,1)+IF(SCORECARDS!I68="",0,1)+IF(SCORECARDS!J68="",0,1)+IF(ISCAM_Score!K69="",0,1)+IF(O68="",0,1)+IF(COUNT(W68:Z68)&gt;0,1,0)</f>
        <v>3</v>
      </c>
    </row>
    <row r="69" spans="1:43" ht="16.05" customHeight="1" x14ac:dyDescent="0.3">
      <c r="A69" t="s">
        <v>222</v>
      </c>
      <c r="B69" t="s">
        <v>223</v>
      </c>
      <c r="C69" t="s">
        <v>183</v>
      </c>
      <c r="D69" t="s">
        <v>65</v>
      </c>
      <c r="G69" t="s">
        <v>74</v>
      </c>
      <c r="J69" t="s">
        <v>128</v>
      </c>
      <c r="L69">
        <v>0</v>
      </c>
      <c r="M69">
        <f t="shared" si="10"/>
        <v>0</v>
      </c>
      <c r="N69" t="s">
        <v>68</v>
      </c>
      <c r="O69">
        <f t="shared" si="11"/>
        <v>0</v>
      </c>
      <c r="P69" t="s">
        <v>68</v>
      </c>
      <c r="S69">
        <f t="shared" ca="1" si="12"/>
        <v>0</v>
      </c>
      <c r="T69" t="str">
        <f t="shared" ca="1" si="13"/>
        <v>⬜  Parcial · Inst. 2 pendiente</v>
      </c>
      <c r="U69" s="53">
        <v>1</v>
      </c>
      <c r="V69" t="s">
        <v>69</v>
      </c>
      <c r="W69">
        <f>IF(NORMALIZADO!BV69="",0,NORMALIZADO!BV69)</f>
        <v>0</v>
      </c>
      <c r="X69">
        <f>IF(NORMALIZADO!BW69="",0,NORMALIZADO!BW69)</f>
        <v>0</v>
      </c>
      <c r="Y69">
        <f>IF(NORMALIZADO!BX69="",0,NORMALIZADO!BX69)</f>
        <v>0</v>
      </c>
      <c r="Z69">
        <f>IF(NORMALIZADO!BY69="",0,NORMALIZADO!BY69)</f>
        <v>0</v>
      </c>
      <c r="AA69">
        <v>0</v>
      </c>
      <c r="AB69">
        <v>0</v>
      </c>
      <c r="AC69">
        <v>0</v>
      </c>
      <c r="AD69">
        <v>0</v>
      </c>
      <c r="AE69">
        <v>0</v>
      </c>
      <c r="AF69">
        <v>0</v>
      </c>
      <c r="AG69">
        <v>0</v>
      </c>
      <c r="AH69">
        <v>0</v>
      </c>
      <c r="AI69">
        <v>0</v>
      </c>
      <c r="AJ69">
        <v>0</v>
      </c>
      <c r="AK69">
        <v>0</v>
      </c>
      <c r="AL69">
        <v>0</v>
      </c>
      <c r="AM69">
        <v>0</v>
      </c>
      <c r="AN69">
        <v>0</v>
      </c>
      <c r="AO69">
        <f t="shared" si="14"/>
        <v>0</v>
      </c>
      <c r="AP69">
        <f ca="1">IFERROR(((M69/100)*PONDERADORES!$D$12+(SCORECARDS!H69/100)*PONDERADORES!$D$13+(SCORECARDS!I69/100)*PONDERADORES!$D$14+(SCORECARDS!J69/100)*PONDERADORES!$D$15+(ISCAM_Score!K70/100)*PONDERADORES!$D$16+O69*PONDERADORES!$D$17+0*PONDERADORES!$D$18+(AVERAGE(W69:Z69)/2)*PONDERADORES!$D$19)/PONDERADORES!$D$20,"N/A")</f>
        <v>0</v>
      </c>
      <c r="AQ69">
        <f ca="1">COUNT(M69)+IF(SCORECARDS!H69="",0,1)+IF(SCORECARDS!I69="",0,1)+IF(SCORECARDS!J69="",0,1)+IF(ISCAM_Score!K70="",0,1)+IF(O69="",0,1)+IF(COUNT(W69:Z69)&gt;0,1,0)</f>
        <v>3</v>
      </c>
    </row>
    <row r="70" spans="1:43" ht="16.05" customHeight="1" x14ac:dyDescent="0.3">
      <c r="A70" t="s">
        <v>224</v>
      </c>
      <c r="B70" t="s">
        <v>225</v>
      </c>
      <c r="C70" t="s">
        <v>143</v>
      </c>
      <c r="D70" t="s">
        <v>65</v>
      </c>
      <c r="E70">
        <v>13246408.59</v>
      </c>
      <c r="F70">
        <v>46</v>
      </c>
      <c r="G70" t="s">
        <v>66</v>
      </c>
      <c r="H70" t="s">
        <v>226</v>
      </c>
      <c r="I70" t="s">
        <v>226</v>
      </c>
      <c r="J70" t="s">
        <v>67</v>
      </c>
      <c r="K70" t="s">
        <v>227</v>
      </c>
      <c r="L70">
        <v>7878141.7300000004</v>
      </c>
      <c r="M70">
        <f t="shared" si="10"/>
        <v>59.5</v>
      </c>
      <c r="N70" t="s">
        <v>68</v>
      </c>
      <c r="O70">
        <f t="shared" si="11"/>
        <v>0</v>
      </c>
      <c r="P70" t="s">
        <v>68</v>
      </c>
      <c r="Q70">
        <v>622</v>
      </c>
      <c r="R70">
        <v>4031</v>
      </c>
      <c r="S70">
        <f t="shared" ca="1" si="12"/>
        <v>14.4</v>
      </c>
      <c r="T70" t="str">
        <f t="shared" ca="1" si="13"/>
        <v>⬜  Parcial · Inst. 2 pendiente</v>
      </c>
      <c r="U70" s="53">
        <v>1</v>
      </c>
      <c r="V70" t="s">
        <v>69</v>
      </c>
      <c r="W70">
        <f>IF(NORMALIZADO!BV70="",1,NORMALIZADO!BV70)</f>
        <v>1</v>
      </c>
      <c r="X70">
        <f>IF(NORMALIZADO!BW70="",0,NORMALIZADO!BW70)</f>
        <v>0</v>
      </c>
      <c r="Y70">
        <f>IF(NORMALIZADO!BX70="",0,NORMALIZADO!BX70)</f>
        <v>0</v>
      </c>
      <c r="Z70">
        <f>IF(NORMALIZADO!BY70="",0,NORMALIZADO!BY70)</f>
        <v>0</v>
      </c>
      <c r="AA70">
        <v>0</v>
      </c>
      <c r="AB70">
        <v>0</v>
      </c>
      <c r="AC70">
        <v>0</v>
      </c>
      <c r="AD70">
        <v>0</v>
      </c>
      <c r="AE70">
        <v>0</v>
      </c>
      <c r="AF70">
        <v>0</v>
      </c>
      <c r="AG70">
        <v>0</v>
      </c>
      <c r="AH70">
        <v>0</v>
      </c>
      <c r="AI70">
        <v>0</v>
      </c>
      <c r="AJ70">
        <v>0</v>
      </c>
      <c r="AK70">
        <v>0</v>
      </c>
      <c r="AL70">
        <v>0</v>
      </c>
      <c r="AM70">
        <v>0</v>
      </c>
      <c r="AN70">
        <v>0</v>
      </c>
      <c r="AO70">
        <f t="shared" si="14"/>
        <v>0</v>
      </c>
      <c r="AP70">
        <f ca="1">IFERROR(((M70/100)*PONDERADORES!$D$12+(SCORECARDS!H70/100)*PONDERADORES!$D$13+(SCORECARDS!I70/100)*PONDERADORES!$D$14+(SCORECARDS!J70/100)*PONDERADORES!$D$15+(ISCAM_Score!K71/100)*PONDERADORES!$D$16+O70*PONDERADORES!$D$17+0*PONDERADORES!$D$18+(AVERAGE(W70:Z70)/2)*PONDERADORES!$D$19)/PONDERADORES!$D$20,"N/A")</f>
        <v>0.14399999999999999</v>
      </c>
      <c r="AQ70">
        <f ca="1">COUNT(M70)+IF(SCORECARDS!H70="",0,1)+IF(SCORECARDS!I70="",0,1)+IF(SCORECARDS!J70="",0,1)+IF(ISCAM_Score!K71="",0,1)+IF(O70="",0,1)+IF(COUNT(W70:Z70)&gt;0,1,0)</f>
        <v>3</v>
      </c>
    </row>
    <row r="71" spans="1:43" ht="16.05" customHeight="1" x14ac:dyDescent="0.3">
      <c r="A71" t="s">
        <v>228</v>
      </c>
      <c r="B71" t="s">
        <v>229</v>
      </c>
      <c r="C71" t="s">
        <v>143</v>
      </c>
      <c r="D71" t="s">
        <v>73</v>
      </c>
      <c r="G71" t="s">
        <v>74</v>
      </c>
      <c r="J71" t="s">
        <v>67</v>
      </c>
      <c r="L71">
        <v>0</v>
      </c>
      <c r="M71">
        <f t="shared" si="10"/>
        <v>0</v>
      </c>
      <c r="N71" t="s">
        <v>68</v>
      </c>
      <c r="O71">
        <f t="shared" si="11"/>
        <v>0</v>
      </c>
      <c r="P71" t="s">
        <v>68</v>
      </c>
      <c r="S71">
        <f t="shared" ca="1" si="12"/>
        <v>0</v>
      </c>
      <c r="T71" t="str">
        <f t="shared" ca="1" si="13"/>
        <v>⬜  Parcial · Inst. 2 pendiente</v>
      </c>
      <c r="U71" s="53">
        <v>1</v>
      </c>
      <c r="V71" t="s">
        <v>69</v>
      </c>
      <c r="W71">
        <f>IF(NORMALIZADO!BV71="",0,NORMALIZADO!BV71)</f>
        <v>0</v>
      </c>
      <c r="X71">
        <f>IF(NORMALIZADO!BW71="",0,NORMALIZADO!BW71)</f>
        <v>0</v>
      </c>
      <c r="Y71">
        <f>IF(NORMALIZADO!BX71="",0,NORMALIZADO!BX71)</f>
        <v>0</v>
      </c>
      <c r="Z71">
        <f>IF(NORMALIZADO!BY71="",0,NORMALIZADO!BY71)</f>
        <v>0</v>
      </c>
      <c r="AA71">
        <v>0</v>
      </c>
      <c r="AB71">
        <v>0</v>
      </c>
      <c r="AC71">
        <v>0</v>
      </c>
      <c r="AD71">
        <v>0</v>
      </c>
      <c r="AE71">
        <v>0</v>
      </c>
      <c r="AF71">
        <v>0</v>
      </c>
      <c r="AG71">
        <v>0</v>
      </c>
      <c r="AH71">
        <v>0</v>
      </c>
      <c r="AI71">
        <v>0</v>
      </c>
      <c r="AJ71">
        <v>0</v>
      </c>
      <c r="AK71">
        <v>0</v>
      </c>
      <c r="AL71">
        <v>0</v>
      </c>
      <c r="AM71">
        <v>0</v>
      </c>
      <c r="AN71">
        <v>0</v>
      </c>
      <c r="AO71">
        <f t="shared" si="14"/>
        <v>0</v>
      </c>
      <c r="AP71">
        <f ca="1">IFERROR(((M71/100)*PONDERADORES!$D$12+(SCORECARDS!H71/100)*PONDERADORES!$D$13+(SCORECARDS!I71/100)*PONDERADORES!$D$14+(SCORECARDS!J71/100)*PONDERADORES!$D$15+(ISCAM_Score!K72/100)*PONDERADORES!$D$16+O71*PONDERADORES!$D$17+0*PONDERADORES!$D$18+(AVERAGE(W71:Z71)/2)*PONDERADORES!$D$19)/PONDERADORES!$D$20,"N/A")</f>
        <v>0</v>
      </c>
      <c r="AQ71">
        <f ca="1">COUNT(M71)+IF(SCORECARDS!H71="",0,1)+IF(SCORECARDS!I71="",0,1)+IF(SCORECARDS!J71="",0,1)+IF(ISCAM_Score!K72="",0,1)+IF(O71="",0,1)+IF(COUNT(W71:Z71)&gt;0,1,0)</f>
        <v>3</v>
      </c>
    </row>
    <row r="72" spans="1:43" ht="16.05" customHeight="1" x14ac:dyDescent="0.3">
      <c r="A72" t="s">
        <v>230</v>
      </c>
      <c r="B72" t="s">
        <v>231</v>
      </c>
      <c r="C72" t="s">
        <v>143</v>
      </c>
      <c r="D72" t="s">
        <v>73</v>
      </c>
      <c r="E72">
        <v>2826075</v>
      </c>
      <c r="F72">
        <v>12</v>
      </c>
      <c r="G72" t="s">
        <v>66</v>
      </c>
      <c r="J72" t="s">
        <v>67</v>
      </c>
      <c r="L72">
        <v>1413037.5</v>
      </c>
      <c r="M72">
        <f t="shared" si="10"/>
        <v>50</v>
      </c>
      <c r="N72" t="s">
        <v>68</v>
      </c>
      <c r="O72">
        <f t="shared" si="11"/>
        <v>0</v>
      </c>
      <c r="P72" t="s">
        <v>68</v>
      </c>
      <c r="S72">
        <f t="shared" ca="1" si="12"/>
        <v>12.5</v>
      </c>
      <c r="T72" t="str">
        <f t="shared" ca="1" si="13"/>
        <v>⬜  Parcial · Inst. 2 pendiente</v>
      </c>
      <c r="U72" s="53">
        <v>1</v>
      </c>
      <c r="V72" t="s">
        <v>69</v>
      </c>
      <c r="W72">
        <f>IF(NORMALIZADO!BV72="",1,NORMALIZADO!BV72)</f>
        <v>1</v>
      </c>
      <c r="X72">
        <f>IF(NORMALIZADO!BW72="",0,NORMALIZADO!BW72)</f>
        <v>0</v>
      </c>
      <c r="Y72">
        <f>IF(NORMALIZADO!BX72="",0,NORMALIZADO!BX72)</f>
        <v>0</v>
      </c>
      <c r="Z72">
        <f>IF(NORMALIZADO!BY72="",0,NORMALIZADO!BY72)</f>
        <v>0</v>
      </c>
      <c r="AA72">
        <v>0</v>
      </c>
      <c r="AB72">
        <v>0</v>
      </c>
      <c r="AC72">
        <v>0</v>
      </c>
      <c r="AD72">
        <v>0</v>
      </c>
      <c r="AE72">
        <v>0</v>
      </c>
      <c r="AF72">
        <v>0</v>
      </c>
      <c r="AG72">
        <v>0</v>
      </c>
      <c r="AH72">
        <v>0</v>
      </c>
      <c r="AI72">
        <v>0</v>
      </c>
      <c r="AJ72">
        <v>0</v>
      </c>
      <c r="AK72">
        <v>0</v>
      </c>
      <c r="AL72">
        <v>0</v>
      </c>
      <c r="AM72">
        <v>0</v>
      </c>
      <c r="AN72">
        <v>0</v>
      </c>
      <c r="AO72">
        <f t="shared" si="14"/>
        <v>0</v>
      </c>
      <c r="AP72">
        <f ca="1">IFERROR(((M72/100)*PONDERADORES!$D$12+(SCORECARDS!H72/100)*PONDERADORES!$D$13+(SCORECARDS!I72/100)*PONDERADORES!$D$14+(SCORECARDS!J72/100)*PONDERADORES!$D$15+(ISCAM_Score!K73/100)*PONDERADORES!$D$16+O72*PONDERADORES!$D$17+0*PONDERADORES!$D$18+(AVERAGE(W72:Z72)/2)*PONDERADORES!$D$19)/PONDERADORES!$D$20,"N/A")</f>
        <v>0.125</v>
      </c>
      <c r="AQ72">
        <f ca="1">COUNT(M72)+IF(SCORECARDS!H72="",0,1)+IF(SCORECARDS!I72="",0,1)+IF(SCORECARDS!J72="",0,1)+IF(ISCAM_Score!K73="",0,1)+IF(O72="",0,1)+IF(COUNT(W72:Z72)&gt;0,1,0)</f>
        <v>3</v>
      </c>
    </row>
    <row r="73" spans="1:43" ht="16.05" customHeight="1" x14ac:dyDescent="0.3">
      <c r="A73" t="s">
        <v>232</v>
      </c>
      <c r="B73" t="s">
        <v>233</v>
      </c>
      <c r="C73" t="s">
        <v>143</v>
      </c>
      <c r="D73" t="s">
        <v>65</v>
      </c>
      <c r="E73">
        <v>1187600.46</v>
      </c>
      <c r="F73">
        <v>6</v>
      </c>
      <c r="G73" t="s">
        <v>66</v>
      </c>
      <c r="H73" t="s">
        <v>234</v>
      </c>
      <c r="I73" t="s">
        <v>235</v>
      </c>
      <c r="J73" t="s">
        <v>67</v>
      </c>
      <c r="K73" t="s">
        <v>227</v>
      </c>
      <c r="L73">
        <v>1187600.48</v>
      </c>
      <c r="M73">
        <f t="shared" si="10"/>
        <v>100</v>
      </c>
      <c r="N73" t="s">
        <v>68</v>
      </c>
      <c r="O73">
        <f t="shared" si="11"/>
        <v>0</v>
      </c>
      <c r="P73" t="s">
        <v>68</v>
      </c>
      <c r="Q73">
        <v>416</v>
      </c>
      <c r="R73">
        <v>1248</v>
      </c>
      <c r="S73">
        <f t="shared" ca="1" si="12"/>
        <v>22.5</v>
      </c>
      <c r="T73" t="str">
        <f t="shared" ca="1" si="13"/>
        <v>⬜  Parcial · Inst. 2 pendiente</v>
      </c>
      <c r="U73" s="53">
        <v>1</v>
      </c>
      <c r="V73" t="s">
        <v>69</v>
      </c>
      <c r="W73">
        <f>IF(NORMALIZADO!BV73="",1,NORMALIZADO!BV73)</f>
        <v>1</v>
      </c>
      <c r="X73">
        <f>IF(NORMALIZADO!BW73="",0,NORMALIZADO!BW73)</f>
        <v>0</v>
      </c>
      <c r="Y73">
        <f>IF(NORMALIZADO!BX73="",0,NORMALIZADO!BX73)</f>
        <v>0</v>
      </c>
      <c r="Z73">
        <f>IF(NORMALIZADO!BY73="",0,NORMALIZADO!BY73)</f>
        <v>0</v>
      </c>
      <c r="AA73">
        <v>0</v>
      </c>
      <c r="AB73">
        <v>0</v>
      </c>
      <c r="AC73">
        <v>0</v>
      </c>
      <c r="AD73">
        <v>0</v>
      </c>
      <c r="AE73">
        <v>0</v>
      </c>
      <c r="AF73">
        <v>0</v>
      </c>
      <c r="AG73">
        <v>0</v>
      </c>
      <c r="AH73">
        <v>0</v>
      </c>
      <c r="AI73">
        <v>0</v>
      </c>
      <c r="AJ73">
        <v>0</v>
      </c>
      <c r="AK73">
        <v>0</v>
      </c>
      <c r="AL73">
        <v>0</v>
      </c>
      <c r="AM73">
        <v>0</v>
      </c>
      <c r="AN73">
        <v>0</v>
      </c>
      <c r="AO73">
        <f t="shared" si="14"/>
        <v>0</v>
      </c>
      <c r="AP73">
        <f ca="1">IFERROR(((M73/100)*PONDERADORES!$D$12+(SCORECARDS!H73/100)*PONDERADORES!$D$13+(SCORECARDS!I73/100)*PONDERADORES!$D$14+(SCORECARDS!J73/100)*PONDERADORES!$D$15+(ISCAM_Score!K74/100)*PONDERADORES!$D$16+O73*PONDERADORES!$D$17+0*PONDERADORES!$D$18+(AVERAGE(W73:Z73)/2)*PONDERADORES!$D$19)/PONDERADORES!$D$20,"N/A")</f>
        <v>0.22500000000000001</v>
      </c>
      <c r="AQ73">
        <f ca="1">COUNT(M73)+IF(SCORECARDS!H73="",0,1)+IF(SCORECARDS!I73="",0,1)+IF(SCORECARDS!J73="",0,1)+IF(ISCAM_Score!K74="",0,1)+IF(O73="",0,1)+IF(COUNT(W73:Z73)&gt;0,1,0)</f>
        <v>3</v>
      </c>
    </row>
    <row r="74" spans="1:43" ht="16.05" customHeight="1" x14ac:dyDescent="0.3">
      <c r="A74" t="s">
        <v>236</v>
      </c>
      <c r="B74" t="s">
        <v>237</v>
      </c>
      <c r="C74" t="s">
        <v>143</v>
      </c>
      <c r="D74" t="s">
        <v>73</v>
      </c>
      <c r="E74">
        <v>24285431.82</v>
      </c>
      <c r="F74">
        <v>111</v>
      </c>
      <c r="G74" t="s">
        <v>66</v>
      </c>
      <c r="J74" t="s">
        <v>67</v>
      </c>
      <c r="L74">
        <v>12142715.91</v>
      </c>
      <c r="M74">
        <f t="shared" si="10"/>
        <v>50</v>
      </c>
      <c r="N74" t="s">
        <v>68</v>
      </c>
      <c r="O74">
        <f t="shared" si="11"/>
        <v>0</v>
      </c>
      <c r="P74" t="s">
        <v>68</v>
      </c>
      <c r="S74">
        <f t="shared" ca="1" si="12"/>
        <v>12.5</v>
      </c>
      <c r="T74" t="str">
        <f t="shared" ca="1" si="13"/>
        <v>⬜  Parcial · Inst. 2 pendiente</v>
      </c>
      <c r="U74" s="53">
        <v>1</v>
      </c>
      <c r="V74" t="s">
        <v>69</v>
      </c>
      <c r="W74">
        <f>IF(NORMALIZADO!BV74="",1,NORMALIZADO!BV74)</f>
        <v>1</v>
      </c>
      <c r="X74">
        <f>IF(NORMALIZADO!BW74="",0,NORMALIZADO!BW74)</f>
        <v>0</v>
      </c>
      <c r="Y74">
        <f>IF(NORMALIZADO!BX74="",0,NORMALIZADO!BX74)</f>
        <v>0</v>
      </c>
      <c r="Z74">
        <f>IF(NORMALIZADO!BY74="",0,NORMALIZADO!BY74)</f>
        <v>0</v>
      </c>
      <c r="AA74">
        <v>0</v>
      </c>
      <c r="AB74">
        <v>0</v>
      </c>
      <c r="AC74">
        <v>0</v>
      </c>
      <c r="AD74">
        <v>0</v>
      </c>
      <c r="AE74">
        <v>0</v>
      </c>
      <c r="AF74">
        <v>0</v>
      </c>
      <c r="AG74">
        <v>0</v>
      </c>
      <c r="AH74">
        <v>0</v>
      </c>
      <c r="AI74">
        <v>0</v>
      </c>
      <c r="AJ74">
        <v>0</v>
      </c>
      <c r="AK74">
        <v>0</v>
      </c>
      <c r="AL74">
        <v>0</v>
      </c>
      <c r="AM74">
        <v>0</v>
      </c>
      <c r="AN74">
        <v>0</v>
      </c>
      <c r="AO74">
        <f t="shared" si="14"/>
        <v>0</v>
      </c>
      <c r="AP74">
        <f ca="1">IFERROR(((M74/100)*PONDERADORES!$D$12+(SCORECARDS!H74/100)*PONDERADORES!$D$13+(SCORECARDS!I74/100)*PONDERADORES!$D$14+(SCORECARDS!J74/100)*PONDERADORES!$D$15+(ISCAM_Score!K75/100)*PONDERADORES!$D$16+O74*PONDERADORES!$D$17+0*PONDERADORES!$D$18+(AVERAGE(W74:Z74)/2)*PONDERADORES!$D$19)/PONDERADORES!$D$20,"N/A")</f>
        <v>0.125</v>
      </c>
      <c r="AQ74">
        <f ca="1">COUNT(M74)+IF(SCORECARDS!H74="",0,1)+IF(SCORECARDS!I74="",0,1)+IF(SCORECARDS!J74="",0,1)+IF(ISCAM_Score!K75="",0,1)+IF(O74="",0,1)+IF(COUNT(W74:Z74)&gt;0,1,0)</f>
        <v>3</v>
      </c>
    </row>
    <row r="75" spans="1:43" ht="16.05" customHeight="1" x14ac:dyDescent="0.3">
      <c r="A75" t="s">
        <v>238</v>
      </c>
      <c r="B75" t="s">
        <v>239</v>
      </c>
      <c r="C75" t="s">
        <v>196</v>
      </c>
      <c r="D75" t="s">
        <v>73</v>
      </c>
      <c r="G75" t="s">
        <v>74</v>
      </c>
      <c r="J75" t="s">
        <v>67</v>
      </c>
      <c r="L75">
        <v>0</v>
      </c>
      <c r="M75">
        <f t="shared" si="10"/>
        <v>0</v>
      </c>
      <c r="N75" t="s">
        <v>68</v>
      </c>
      <c r="O75">
        <f t="shared" si="11"/>
        <v>0</v>
      </c>
      <c r="P75" t="s">
        <v>68</v>
      </c>
      <c r="S75">
        <f t="shared" ca="1" si="12"/>
        <v>0</v>
      </c>
      <c r="T75" t="str">
        <f t="shared" ca="1" si="13"/>
        <v>⬜  Parcial · Inst. 2 pendiente</v>
      </c>
      <c r="U75" s="53">
        <v>1</v>
      </c>
      <c r="V75" t="s">
        <v>69</v>
      </c>
      <c r="W75">
        <f>IF(NORMALIZADO!BV75="",0,NORMALIZADO!BV75)</f>
        <v>0</v>
      </c>
      <c r="X75">
        <f>IF(NORMALIZADO!BW75="",0,NORMALIZADO!BW75)</f>
        <v>0</v>
      </c>
      <c r="Y75">
        <f>IF(NORMALIZADO!BX75="",0,NORMALIZADO!BX75)</f>
        <v>0</v>
      </c>
      <c r="Z75">
        <f>IF(NORMALIZADO!BY75="",0,NORMALIZADO!BY75)</f>
        <v>0</v>
      </c>
      <c r="AA75">
        <v>0</v>
      </c>
      <c r="AB75">
        <v>0</v>
      </c>
      <c r="AC75">
        <v>0</v>
      </c>
      <c r="AD75">
        <v>0</v>
      </c>
      <c r="AE75">
        <v>0</v>
      </c>
      <c r="AF75">
        <v>0</v>
      </c>
      <c r="AG75">
        <v>0</v>
      </c>
      <c r="AH75">
        <v>0</v>
      </c>
      <c r="AI75">
        <v>0</v>
      </c>
      <c r="AJ75">
        <v>0</v>
      </c>
      <c r="AK75">
        <v>0</v>
      </c>
      <c r="AL75">
        <v>0</v>
      </c>
      <c r="AM75">
        <v>0</v>
      </c>
      <c r="AN75">
        <v>0</v>
      </c>
      <c r="AO75">
        <f t="shared" si="14"/>
        <v>0</v>
      </c>
      <c r="AP75">
        <f ca="1">IFERROR(((M75/100)*PONDERADORES!$D$12+(SCORECARDS!H75/100)*PONDERADORES!$D$13+(SCORECARDS!I75/100)*PONDERADORES!$D$14+(SCORECARDS!J75/100)*PONDERADORES!$D$15+(ISCAM_Score!K76/100)*PONDERADORES!$D$16+O75*PONDERADORES!$D$17+0*PONDERADORES!$D$18+(AVERAGE(W75:Z75)/2)*PONDERADORES!$D$19)/PONDERADORES!$D$20,"N/A")</f>
        <v>0</v>
      </c>
      <c r="AQ75">
        <f ca="1">COUNT(M75)+IF(SCORECARDS!H75="",0,1)+IF(SCORECARDS!I75="",0,1)+IF(SCORECARDS!J75="",0,1)+IF(ISCAM_Score!K76="",0,1)+IF(O75="",0,1)+IF(COUNT(W75:Z75)&gt;0,1,0)</f>
        <v>3</v>
      </c>
    </row>
    <row r="76" spans="1:43" ht="16.05" customHeight="1" x14ac:dyDescent="0.3">
      <c r="A76" t="s">
        <v>240</v>
      </c>
      <c r="B76" t="s">
        <v>241</v>
      </c>
      <c r="C76" t="s">
        <v>196</v>
      </c>
      <c r="D76" t="s">
        <v>73</v>
      </c>
      <c r="G76" t="s">
        <v>74</v>
      </c>
      <c r="J76" t="s">
        <v>67</v>
      </c>
      <c r="L76">
        <v>0</v>
      </c>
      <c r="M76">
        <f t="shared" si="10"/>
        <v>0</v>
      </c>
      <c r="N76" t="s">
        <v>68</v>
      </c>
      <c r="O76">
        <f t="shared" si="11"/>
        <v>0</v>
      </c>
      <c r="P76" t="s">
        <v>68</v>
      </c>
      <c r="S76">
        <f t="shared" ca="1" si="12"/>
        <v>0</v>
      </c>
      <c r="T76" t="str">
        <f t="shared" ca="1" si="13"/>
        <v>⬜  Parcial · Inst. 2 pendiente</v>
      </c>
      <c r="U76" s="53">
        <v>1</v>
      </c>
      <c r="V76" t="s">
        <v>69</v>
      </c>
      <c r="W76">
        <f>IF(NORMALIZADO!BV76="",0,NORMALIZADO!BV76)</f>
        <v>0</v>
      </c>
      <c r="X76">
        <f>IF(NORMALIZADO!BW76="",0,NORMALIZADO!BW76)</f>
        <v>0</v>
      </c>
      <c r="Y76">
        <f>IF(NORMALIZADO!BX76="",0,NORMALIZADO!BX76)</f>
        <v>0</v>
      </c>
      <c r="Z76">
        <f>IF(NORMALIZADO!BY76="",0,NORMALIZADO!BY76)</f>
        <v>0</v>
      </c>
      <c r="AA76">
        <v>0</v>
      </c>
      <c r="AB76">
        <v>0</v>
      </c>
      <c r="AC76">
        <v>0</v>
      </c>
      <c r="AD76">
        <v>0</v>
      </c>
      <c r="AE76">
        <v>0</v>
      </c>
      <c r="AF76">
        <v>0</v>
      </c>
      <c r="AG76">
        <v>0</v>
      </c>
      <c r="AH76">
        <v>0</v>
      </c>
      <c r="AI76">
        <v>0</v>
      </c>
      <c r="AJ76">
        <v>0</v>
      </c>
      <c r="AK76">
        <v>0</v>
      </c>
      <c r="AL76">
        <v>0</v>
      </c>
      <c r="AM76">
        <v>0</v>
      </c>
      <c r="AN76">
        <v>0</v>
      </c>
      <c r="AO76">
        <f t="shared" si="14"/>
        <v>0</v>
      </c>
      <c r="AP76">
        <f ca="1">IFERROR(((M76/100)*PONDERADORES!$D$12+(SCORECARDS!H76/100)*PONDERADORES!$D$13+(SCORECARDS!I76/100)*PONDERADORES!$D$14+(SCORECARDS!J76/100)*PONDERADORES!$D$15+(ISCAM_Score!K77/100)*PONDERADORES!$D$16+O76*PONDERADORES!$D$17+0*PONDERADORES!$D$18+(AVERAGE(W76:Z76)/2)*PONDERADORES!$D$19)/PONDERADORES!$D$20,"N/A")</f>
        <v>0</v>
      </c>
      <c r="AQ76">
        <f ca="1">COUNT(M76)+IF(SCORECARDS!H76="",0,1)+IF(SCORECARDS!I76="",0,1)+IF(SCORECARDS!J76="",0,1)+IF(ISCAM_Score!K77="",0,1)+IF(O76="",0,1)+IF(COUNT(W76:Z76)&gt;0,1,0)</f>
        <v>3</v>
      </c>
    </row>
    <row r="77" spans="1:43" ht="16.05" customHeight="1" x14ac:dyDescent="0.3">
      <c r="A77" t="s">
        <v>242</v>
      </c>
      <c r="B77" t="s">
        <v>243</v>
      </c>
      <c r="C77" t="s">
        <v>154</v>
      </c>
      <c r="D77" t="s">
        <v>65</v>
      </c>
      <c r="E77">
        <v>16891006.489999998</v>
      </c>
      <c r="F77">
        <v>81</v>
      </c>
      <c r="G77" t="s">
        <v>66</v>
      </c>
      <c r="J77" t="s">
        <v>67</v>
      </c>
      <c r="L77">
        <v>8445503.2400000002</v>
      </c>
      <c r="M77">
        <f t="shared" si="10"/>
        <v>50</v>
      </c>
      <c r="N77" t="s">
        <v>68</v>
      </c>
      <c r="O77">
        <f t="shared" si="11"/>
        <v>0</v>
      </c>
      <c r="P77" t="s">
        <v>68</v>
      </c>
      <c r="S77">
        <f t="shared" ca="1" si="12"/>
        <v>12.5</v>
      </c>
      <c r="T77" t="str">
        <f t="shared" ca="1" si="13"/>
        <v>⬜  Parcial · Inst. 2 pendiente</v>
      </c>
      <c r="U77" s="53">
        <v>1</v>
      </c>
      <c r="V77" t="s">
        <v>69</v>
      </c>
      <c r="W77">
        <f>IF(NORMALIZADO!BV77="",1,NORMALIZADO!BV77)</f>
        <v>1</v>
      </c>
      <c r="X77">
        <f>IF(NORMALIZADO!BW77="",0,NORMALIZADO!BW77)</f>
        <v>0</v>
      </c>
      <c r="Y77">
        <f>IF(NORMALIZADO!BX77="",0,NORMALIZADO!BX77)</f>
        <v>0</v>
      </c>
      <c r="Z77">
        <f>IF(NORMALIZADO!BY77="",0,NORMALIZADO!BY77)</f>
        <v>0</v>
      </c>
      <c r="AA77">
        <v>0</v>
      </c>
      <c r="AB77">
        <v>0</v>
      </c>
      <c r="AC77">
        <v>0</v>
      </c>
      <c r="AD77">
        <v>0</v>
      </c>
      <c r="AE77">
        <v>0</v>
      </c>
      <c r="AF77">
        <v>0</v>
      </c>
      <c r="AG77">
        <v>0</v>
      </c>
      <c r="AH77">
        <v>0</v>
      </c>
      <c r="AI77">
        <v>0</v>
      </c>
      <c r="AJ77">
        <v>0</v>
      </c>
      <c r="AK77">
        <v>0</v>
      </c>
      <c r="AL77">
        <v>0</v>
      </c>
      <c r="AM77">
        <v>0</v>
      </c>
      <c r="AN77">
        <v>0</v>
      </c>
      <c r="AO77">
        <f t="shared" si="14"/>
        <v>0</v>
      </c>
      <c r="AP77">
        <f ca="1">IFERROR(((M77/100)*PONDERADORES!$D$12+(SCORECARDS!H77/100)*PONDERADORES!$D$13+(SCORECARDS!I77/100)*PONDERADORES!$D$14+(SCORECARDS!J77/100)*PONDERADORES!$D$15+(ISCAM_Score!K78/100)*PONDERADORES!$D$16+O77*PONDERADORES!$D$17+0*PONDERADORES!$D$18+(AVERAGE(W77:Z77)/2)*PONDERADORES!$D$19)/PONDERADORES!$D$20,"N/A")</f>
        <v>0.125</v>
      </c>
      <c r="AQ77">
        <f ca="1">COUNT(M77)+IF(SCORECARDS!H77="",0,1)+IF(SCORECARDS!I77="",0,1)+IF(SCORECARDS!J77="",0,1)+IF(ISCAM_Score!K78="",0,1)+IF(O77="",0,1)+IF(COUNT(W77:Z77)&gt;0,1,0)</f>
        <v>3</v>
      </c>
    </row>
    <row r="78" spans="1:43" ht="16.05" customHeight="1" x14ac:dyDescent="0.3">
      <c r="A78" t="s">
        <v>244</v>
      </c>
      <c r="B78" t="s">
        <v>245</v>
      </c>
      <c r="C78" t="s">
        <v>123</v>
      </c>
      <c r="D78" t="s">
        <v>73</v>
      </c>
      <c r="G78" t="s">
        <v>74</v>
      </c>
      <c r="J78" t="s">
        <v>110</v>
      </c>
      <c r="L78">
        <v>0</v>
      </c>
      <c r="M78">
        <f t="shared" si="10"/>
        <v>0</v>
      </c>
      <c r="N78" t="s">
        <v>68</v>
      </c>
      <c r="O78">
        <f t="shared" si="11"/>
        <v>0</v>
      </c>
      <c r="P78" t="s">
        <v>68</v>
      </c>
      <c r="S78">
        <f t="shared" ca="1" si="12"/>
        <v>0</v>
      </c>
      <c r="T78" t="str">
        <f t="shared" ca="1" si="13"/>
        <v>⬜  Parcial · Inst. 2 pendiente</v>
      </c>
      <c r="U78" s="53">
        <v>1</v>
      </c>
      <c r="V78" t="s">
        <v>69</v>
      </c>
      <c r="W78">
        <f>IF(NORMALIZADO!BV78="",0,NORMALIZADO!BV78)</f>
        <v>0</v>
      </c>
      <c r="X78">
        <f>IF(NORMALIZADO!BW78="",0,NORMALIZADO!BW78)</f>
        <v>0</v>
      </c>
      <c r="Y78">
        <f>IF(NORMALIZADO!BX78="",0,NORMALIZADO!BX78)</f>
        <v>0</v>
      </c>
      <c r="Z78">
        <f>IF(NORMALIZADO!BY78="",0,NORMALIZADO!BY78)</f>
        <v>0</v>
      </c>
      <c r="AA78">
        <v>0</v>
      </c>
      <c r="AB78">
        <v>0</v>
      </c>
      <c r="AC78">
        <v>0</v>
      </c>
      <c r="AD78">
        <v>0</v>
      </c>
      <c r="AE78">
        <v>0</v>
      </c>
      <c r="AF78">
        <v>0</v>
      </c>
      <c r="AG78">
        <v>0</v>
      </c>
      <c r="AH78">
        <v>0</v>
      </c>
      <c r="AI78">
        <v>0</v>
      </c>
      <c r="AJ78">
        <v>0</v>
      </c>
      <c r="AK78">
        <v>0</v>
      </c>
      <c r="AL78">
        <v>0</v>
      </c>
      <c r="AM78">
        <v>0</v>
      </c>
      <c r="AN78">
        <v>0</v>
      </c>
      <c r="AO78">
        <f t="shared" si="14"/>
        <v>0</v>
      </c>
      <c r="AP78">
        <f ca="1">IFERROR(((M78/100)*PONDERADORES!$D$12+(SCORECARDS!H78/100)*PONDERADORES!$D$13+(SCORECARDS!I78/100)*PONDERADORES!$D$14+(SCORECARDS!J78/100)*PONDERADORES!$D$15+(ISCAM_Score!K79/100)*PONDERADORES!$D$16+O78*PONDERADORES!$D$17+0*PONDERADORES!$D$18+(AVERAGE(W78:Z78)/2)*PONDERADORES!$D$19)/PONDERADORES!$D$20,"N/A")</f>
        <v>0</v>
      </c>
      <c r="AQ78">
        <f ca="1">COUNT(M78)+IF(SCORECARDS!H78="",0,1)+IF(SCORECARDS!I78="",0,1)+IF(SCORECARDS!J78="",0,1)+IF(ISCAM_Score!K79="",0,1)+IF(O78="",0,1)+IF(COUNT(W78:Z78)&gt;0,1,0)</f>
        <v>3</v>
      </c>
    </row>
    <row r="79" spans="1:43" ht="16.05" customHeight="1" x14ac:dyDescent="0.3">
      <c r="A79" t="s">
        <v>246</v>
      </c>
      <c r="B79" t="s">
        <v>247</v>
      </c>
      <c r="C79" t="s">
        <v>248</v>
      </c>
      <c r="D79" t="s">
        <v>73</v>
      </c>
      <c r="E79">
        <v>0</v>
      </c>
      <c r="G79" t="s">
        <v>74</v>
      </c>
      <c r="J79" t="s">
        <v>67</v>
      </c>
      <c r="L79">
        <v>0</v>
      </c>
      <c r="M79">
        <f t="shared" si="10"/>
        <v>0</v>
      </c>
      <c r="N79" t="s">
        <v>68</v>
      </c>
      <c r="O79">
        <f t="shared" si="11"/>
        <v>0</v>
      </c>
      <c r="P79" t="s">
        <v>68</v>
      </c>
      <c r="S79">
        <f t="shared" ca="1" si="12"/>
        <v>0</v>
      </c>
      <c r="T79" t="str">
        <f t="shared" ca="1" si="13"/>
        <v>⬜  Parcial · Inst. 2 pendiente</v>
      </c>
      <c r="U79" s="53">
        <v>1</v>
      </c>
      <c r="V79" t="s">
        <v>69</v>
      </c>
      <c r="W79">
        <f>IF(NORMALIZADO!BV79="",0,NORMALIZADO!BV79)</f>
        <v>0</v>
      </c>
      <c r="X79">
        <f>IF(NORMALIZADO!BW79="",0,NORMALIZADO!BW79)</f>
        <v>0</v>
      </c>
      <c r="Y79">
        <f>IF(NORMALIZADO!BX79="",0,NORMALIZADO!BX79)</f>
        <v>0</v>
      </c>
      <c r="Z79">
        <f>IF(NORMALIZADO!BY79="",0,NORMALIZADO!BY79)</f>
        <v>0</v>
      </c>
      <c r="AA79">
        <v>0</v>
      </c>
      <c r="AB79">
        <v>0</v>
      </c>
      <c r="AC79">
        <v>0</v>
      </c>
      <c r="AD79">
        <v>0</v>
      </c>
      <c r="AE79">
        <v>0</v>
      </c>
      <c r="AF79">
        <v>0</v>
      </c>
      <c r="AG79">
        <v>0</v>
      </c>
      <c r="AH79">
        <v>0</v>
      </c>
      <c r="AI79">
        <v>0</v>
      </c>
      <c r="AJ79">
        <v>0</v>
      </c>
      <c r="AK79">
        <v>0</v>
      </c>
      <c r="AL79">
        <v>0</v>
      </c>
      <c r="AM79">
        <v>0</v>
      </c>
      <c r="AN79">
        <v>0</v>
      </c>
      <c r="AO79">
        <f t="shared" si="14"/>
        <v>0</v>
      </c>
      <c r="AP79">
        <f ca="1">IFERROR(((M79/100)*PONDERADORES!$D$12+(SCORECARDS!H79/100)*PONDERADORES!$D$13+(SCORECARDS!I79/100)*PONDERADORES!$D$14+(SCORECARDS!J79/100)*PONDERADORES!$D$15+(ISCAM_Score!K80/100)*PONDERADORES!$D$16+O79*PONDERADORES!$D$17+0*PONDERADORES!$D$18+(AVERAGE(W79:Z79)/2)*PONDERADORES!$D$19)/PONDERADORES!$D$20,"N/A")</f>
        <v>0</v>
      </c>
      <c r="AQ79">
        <f ca="1">COUNT(M79)+IF(SCORECARDS!H79="",0,1)+IF(SCORECARDS!I79="",0,1)+IF(SCORECARDS!J79="",0,1)+IF(ISCAM_Score!K80="",0,1)+IF(O79="",0,1)+IF(COUNT(W79:Z79)&gt;0,1,0)</f>
        <v>3</v>
      </c>
    </row>
    <row r="80" spans="1:43" ht="16.05" customHeight="1" x14ac:dyDescent="0.3">
      <c r="A80" t="s">
        <v>249</v>
      </c>
      <c r="B80" t="s">
        <v>250</v>
      </c>
      <c r="C80" t="s">
        <v>116</v>
      </c>
      <c r="D80" t="s">
        <v>65</v>
      </c>
      <c r="E80">
        <v>0</v>
      </c>
      <c r="G80" t="s">
        <v>74</v>
      </c>
      <c r="H80" t="s">
        <v>251</v>
      </c>
      <c r="I80" t="s">
        <v>74</v>
      </c>
      <c r="J80" t="s">
        <v>110</v>
      </c>
      <c r="K80" t="s">
        <v>252</v>
      </c>
      <c r="L80">
        <v>0</v>
      </c>
      <c r="M80">
        <f t="shared" si="10"/>
        <v>0</v>
      </c>
      <c r="N80" t="s">
        <v>68</v>
      </c>
      <c r="O80">
        <f t="shared" si="11"/>
        <v>0</v>
      </c>
      <c r="P80" t="s">
        <v>68</v>
      </c>
      <c r="Q80">
        <v>351</v>
      </c>
      <c r="R80">
        <v>1045.5999999999999</v>
      </c>
      <c r="S80">
        <f t="shared" ca="1" si="12"/>
        <v>2.5</v>
      </c>
      <c r="T80" t="str">
        <f t="shared" ca="1" si="13"/>
        <v>⬜  Parcial · Inst. 2 pendiente</v>
      </c>
      <c r="U80" s="53">
        <v>1</v>
      </c>
      <c r="V80" t="s">
        <v>69</v>
      </c>
      <c r="W80">
        <f>IF(NORMALIZADO!BV80="",1,NORMALIZADO!BV80)</f>
        <v>1</v>
      </c>
      <c r="X80">
        <f>IF(NORMALIZADO!BW80="",0,NORMALIZADO!BW80)</f>
        <v>0</v>
      </c>
      <c r="Y80">
        <f>IF(NORMALIZADO!BX80="",0,NORMALIZADO!BX80)</f>
        <v>0</v>
      </c>
      <c r="Z80">
        <f>IF(NORMALIZADO!BY80="",0,NORMALIZADO!BY80)</f>
        <v>0</v>
      </c>
      <c r="AA80">
        <v>0</v>
      </c>
      <c r="AB80">
        <v>0</v>
      </c>
      <c r="AC80">
        <v>0</v>
      </c>
      <c r="AD80">
        <v>0</v>
      </c>
      <c r="AE80">
        <v>0</v>
      </c>
      <c r="AF80">
        <v>0</v>
      </c>
      <c r="AG80">
        <v>0</v>
      </c>
      <c r="AH80">
        <v>0</v>
      </c>
      <c r="AI80">
        <v>0</v>
      </c>
      <c r="AJ80">
        <v>0</v>
      </c>
      <c r="AK80">
        <v>0</v>
      </c>
      <c r="AL80">
        <v>0</v>
      </c>
      <c r="AM80">
        <v>0</v>
      </c>
      <c r="AN80">
        <v>0</v>
      </c>
      <c r="AO80">
        <f t="shared" si="14"/>
        <v>0</v>
      </c>
      <c r="AP80">
        <f ca="1">IFERROR(((M80/100)*PONDERADORES!$D$12+(SCORECARDS!H80/100)*PONDERADORES!$D$13+(SCORECARDS!I80/100)*PONDERADORES!$D$14+(SCORECARDS!J80/100)*PONDERADORES!$D$15+(ISCAM_Score!K81/100)*PONDERADORES!$D$16+O80*PONDERADORES!$D$17+0*PONDERADORES!$D$18+(AVERAGE(W80:Z80)/2)*PONDERADORES!$D$19)/PONDERADORES!$D$20,"N/A")</f>
        <v>2.5000000000000001E-2</v>
      </c>
      <c r="AQ80">
        <f ca="1">COUNT(M80)+IF(SCORECARDS!H80="",0,1)+IF(SCORECARDS!I80="",0,1)+IF(SCORECARDS!J80="",0,1)+IF(ISCAM_Score!K81="",0,1)+IF(O80="",0,1)+IF(COUNT(W80:Z80)&gt;0,1,0)</f>
        <v>3</v>
      </c>
    </row>
    <row r="81" spans="1:43" ht="16.05" customHeight="1" x14ac:dyDescent="0.3">
      <c r="A81" t="s">
        <v>253</v>
      </c>
      <c r="B81" t="s">
        <v>254</v>
      </c>
      <c r="C81" t="s">
        <v>80</v>
      </c>
      <c r="D81" t="s">
        <v>73</v>
      </c>
      <c r="E81">
        <v>0</v>
      </c>
      <c r="G81" t="s">
        <v>74</v>
      </c>
      <c r="J81" t="s">
        <v>67</v>
      </c>
      <c r="L81">
        <v>0</v>
      </c>
      <c r="M81">
        <f t="shared" si="10"/>
        <v>0</v>
      </c>
      <c r="N81" t="s">
        <v>68</v>
      </c>
      <c r="O81">
        <f t="shared" si="11"/>
        <v>0</v>
      </c>
      <c r="P81" t="s">
        <v>68</v>
      </c>
      <c r="S81">
        <f t="shared" ca="1" si="12"/>
        <v>0</v>
      </c>
      <c r="T81" t="str">
        <f t="shared" ca="1" si="13"/>
        <v>⬜  Parcial · Inst. 2 pendiente</v>
      </c>
      <c r="U81" s="53">
        <v>1</v>
      </c>
      <c r="V81" t="s">
        <v>69</v>
      </c>
      <c r="W81">
        <f>IF(NORMALIZADO!BV81="",0,NORMALIZADO!BV81)</f>
        <v>0</v>
      </c>
      <c r="X81">
        <f>IF(NORMALIZADO!BW81="",0,NORMALIZADO!BW81)</f>
        <v>0</v>
      </c>
      <c r="Y81">
        <f>IF(NORMALIZADO!BX81="",0,NORMALIZADO!BX81)</f>
        <v>0</v>
      </c>
      <c r="Z81">
        <f>IF(NORMALIZADO!BY81="",0,NORMALIZADO!BY81)</f>
        <v>0</v>
      </c>
      <c r="AA81">
        <v>0</v>
      </c>
      <c r="AB81">
        <v>0</v>
      </c>
      <c r="AC81">
        <v>0</v>
      </c>
      <c r="AD81">
        <v>0</v>
      </c>
      <c r="AE81">
        <v>0</v>
      </c>
      <c r="AF81">
        <v>0</v>
      </c>
      <c r="AG81">
        <v>0</v>
      </c>
      <c r="AH81">
        <v>0</v>
      </c>
      <c r="AI81">
        <v>0</v>
      </c>
      <c r="AJ81">
        <v>0</v>
      </c>
      <c r="AK81">
        <v>0</v>
      </c>
      <c r="AL81">
        <v>0</v>
      </c>
      <c r="AM81">
        <v>0</v>
      </c>
      <c r="AN81">
        <v>0</v>
      </c>
      <c r="AO81">
        <f t="shared" si="14"/>
        <v>0</v>
      </c>
      <c r="AP81">
        <f ca="1">IFERROR(((M81/100)*PONDERADORES!$D$12+(SCORECARDS!H81/100)*PONDERADORES!$D$13+(SCORECARDS!I81/100)*PONDERADORES!$D$14+(SCORECARDS!J81/100)*PONDERADORES!$D$15+(ISCAM_Score!K82/100)*PONDERADORES!$D$16+O81*PONDERADORES!$D$17+0*PONDERADORES!$D$18+(AVERAGE(W81:Z81)/2)*PONDERADORES!$D$19)/PONDERADORES!$D$20,"N/A")</f>
        <v>0</v>
      </c>
      <c r="AQ81">
        <f ca="1">COUNT(M81)+IF(SCORECARDS!H81="",0,1)+IF(SCORECARDS!I81="",0,1)+IF(SCORECARDS!J81="",0,1)+IF(ISCAM_Score!K82="",0,1)+IF(O81="",0,1)+IF(COUNT(W81:Z81)&gt;0,1,0)</f>
        <v>3</v>
      </c>
    </row>
    <row r="82" spans="1:43" ht="16.05" customHeight="1" x14ac:dyDescent="0.3">
      <c r="A82" t="s">
        <v>255</v>
      </c>
      <c r="B82" t="s">
        <v>256</v>
      </c>
      <c r="C82" t="s">
        <v>257</v>
      </c>
      <c r="D82" t="s">
        <v>65</v>
      </c>
      <c r="E82">
        <v>1435723.71</v>
      </c>
      <c r="F82">
        <v>10</v>
      </c>
      <c r="G82" t="s">
        <v>66</v>
      </c>
      <c r="J82" t="s">
        <v>67</v>
      </c>
      <c r="L82">
        <v>717861.85</v>
      </c>
      <c r="M82">
        <f t="shared" si="10"/>
        <v>50</v>
      </c>
      <c r="N82" t="s">
        <v>68</v>
      </c>
      <c r="O82">
        <f t="shared" si="11"/>
        <v>0</v>
      </c>
      <c r="P82" t="s">
        <v>68</v>
      </c>
      <c r="S82">
        <f t="shared" ca="1" si="12"/>
        <v>12.5</v>
      </c>
      <c r="T82" t="str">
        <f t="shared" ca="1" si="13"/>
        <v>⬜  Parcial · Inst. 2 pendiente</v>
      </c>
      <c r="U82" s="53">
        <v>1</v>
      </c>
      <c r="V82" t="s">
        <v>69</v>
      </c>
      <c r="W82">
        <f>IF(NORMALIZADO!BV82="",1,NORMALIZADO!BV82)</f>
        <v>1</v>
      </c>
      <c r="X82">
        <f>IF(NORMALIZADO!BW82="",0,NORMALIZADO!BW82)</f>
        <v>0</v>
      </c>
      <c r="Y82">
        <f>IF(NORMALIZADO!BX82="",0,NORMALIZADO!BX82)</f>
        <v>0</v>
      </c>
      <c r="Z82">
        <f>IF(NORMALIZADO!BY82="",0,NORMALIZADO!BY82)</f>
        <v>0</v>
      </c>
      <c r="AA82">
        <v>0</v>
      </c>
      <c r="AB82">
        <v>0</v>
      </c>
      <c r="AC82">
        <v>0</v>
      </c>
      <c r="AD82">
        <v>0</v>
      </c>
      <c r="AE82">
        <v>0</v>
      </c>
      <c r="AF82">
        <v>0</v>
      </c>
      <c r="AG82">
        <v>0</v>
      </c>
      <c r="AH82">
        <v>0</v>
      </c>
      <c r="AI82">
        <v>0</v>
      </c>
      <c r="AJ82">
        <v>0</v>
      </c>
      <c r="AK82">
        <v>0</v>
      </c>
      <c r="AL82">
        <v>0</v>
      </c>
      <c r="AM82">
        <v>0</v>
      </c>
      <c r="AN82">
        <v>0</v>
      </c>
      <c r="AO82">
        <f t="shared" si="14"/>
        <v>0</v>
      </c>
      <c r="AP82">
        <f ca="1">IFERROR(((M82/100)*PONDERADORES!$D$12+(SCORECARDS!H82/100)*PONDERADORES!$D$13+(SCORECARDS!I82/100)*PONDERADORES!$D$14+(SCORECARDS!J82/100)*PONDERADORES!$D$15+(ISCAM_Score!K83/100)*PONDERADORES!$D$16+O82*PONDERADORES!$D$17+0*PONDERADORES!$D$18+(AVERAGE(W82:Z82)/2)*PONDERADORES!$D$19)/PONDERADORES!$D$20,"N/A")</f>
        <v>0.125</v>
      </c>
      <c r="AQ82">
        <f ca="1">COUNT(M82)+IF(SCORECARDS!H82="",0,1)+IF(SCORECARDS!I82="",0,1)+IF(SCORECARDS!J82="",0,1)+IF(ISCAM_Score!K83="",0,1)+IF(O82="",0,1)+IF(COUNT(W82:Z82)&gt;0,1,0)</f>
        <v>3</v>
      </c>
    </row>
    <row r="83" spans="1:43" ht="16.05" customHeight="1" x14ac:dyDescent="0.3">
      <c r="A83" t="s">
        <v>258</v>
      </c>
      <c r="B83" t="s">
        <v>259</v>
      </c>
      <c r="C83" t="s">
        <v>257</v>
      </c>
      <c r="D83" t="s">
        <v>65</v>
      </c>
      <c r="G83" t="s">
        <v>74</v>
      </c>
      <c r="J83" t="s">
        <v>67</v>
      </c>
      <c r="L83">
        <v>0</v>
      </c>
      <c r="M83">
        <f t="shared" si="10"/>
        <v>0</v>
      </c>
      <c r="N83" t="s">
        <v>68</v>
      </c>
      <c r="O83">
        <f t="shared" si="11"/>
        <v>0</v>
      </c>
      <c r="P83" t="s">
        <v>68</v>
      </c>
      <c r="S83">
        <f t="shared" ca="1" si="12"/>
        <v>0</v>
      </c>
      <c r="T83" t="str">
        <f t="shared" ca="1" si="13"/>
        <v>⬜  Parcial · Inst. 2 pendiente</v>
      </c>
      <c r="U83" s="53">
        <v>1</v>
      </c>
      <c r="V83" t="s">
        <v>69</v>
      </c>
      <c r="W83">
        <f>IF(NORMALIZADO!BV83="",0,NORMALIZADO!BV83)</f>
        <v>0</v>
      </c>
      <c r="X83">
        <f>IF(NORMALIZADO!BW83="",0,NORMALIZADO!BW83)</f>
        <v>0</v>
      </c>
      <c r="Y83">
        <f>IF(NORMALIZADO!BX83="",0,NORMALIZADO!BX83)</f>
        <v>0</v>
      </c>
      <c r="Z83">
        <f>IF(NORMALIZADO!BY83="",0,NORMALIZADO!BY83)</f>
        <v>0</v>
      </c>
      <c r="AA83">
        <v>0</v>
      </c>
      <c r="AB83">
        <v>0</v>
      </c>
      <c r="AC83">
        <v>0</v>
      </c>
      <c r="AD83">
        <v>0</v>
      </c>
      <c r="AE83">
        <v>0</v>
      </c>
      <c r="AF83">
        <v>0</v>
      </c>
      <c r="AG83">
        <v>0</v>
      </c>
      <c r="AH83">
        <v>0</v>
      </c>
      <c r="AI83">
        <v>0</v>
      </c>
      <c r="AJ83">
        <v>0</v>
      </c>
      <c r="AK83">
        <v>0</v>
      </c>
      <c r="AL83">
        <v>0</v>
      </c>
      <c r="AM83">
        <v>0</v>
      </c>
      <c r="AN83">
        <v>0</v>
      </c>
      <c r="AO83">
        <f t="shared" si="14"/>
        <v>0</v>
      </c>
      <c r="AP83">
        <f ca="1">IFERROR(((M83/100)*PONDERADORES!$D$12+(SCORECARDS!H83/100)*PONDERADORES!$D$13+(SCORECARDS!I83/100)*PONDERADORES!$D$14+(SCORECARDS!J83/100)*PONDERADORES!$D$15+(ISCAM_Score!K84/100)*PONDERADORES!$D$16+O83*PONDERADORES!$D$17+0*PONDERADORES!$D$18+(AVERAGE(W83:Z83)/2)*PONDERADORES!$D$19)/PONDERADORES!$D$20,"N/A")</f>
        <v>0</v>
      </c>
      <c r="AQ83">
        <f ca="1">COUNT(M83)+IF(SCORECARDS!H83="",0,1)+IF(SCORECARDS!I83="",0,1)+IF(SCORECARDS!J83="",0,1)+IF(ISCAM_Score!K84="",0,1)+IF(O83="",0,1)+IF(COUNT(W83:Z83)&gt;0,1,0)</f>
        <v>3</v>
      </c>
    </row>
    <row r="84" spans="1:43" ht="16.05" customHeight="1" x14ac:dyDescent="0.3">
      <c r="A84" t="s">
        <v>260</v>
      </c>
      <c r="B84" t="s">
        <v>261</v>
      </c>
      <c r="C84" t="s">
        <v>77</v>
      </c>
      <c r="D84" t="s">
        <v>73</v>
      </c>
      <c r="E84">
        <v>113466.98</v>
      </c>
      <c r="F84">
        <v>10</v>
      </c>
      <c r="G84" t="s">
        <v>66</v>
      </c>
      <c r="J84" t="s">
        <v>67</v>
      </c>
      <c r="L84">
        <v>0</v>
      </c>
      <c r="M84">
        <f t="shared" si="10"/>
        <v>0</v>
      </c>
      <c r="N84" t="s">
        <v>68</v>
      </c>
      <c r="O84">
        <f t="shared" si="11"/>
        <v>0</v>
      </c>
      <c r="P84" t="s">
        <v>68</v>
      </c>
      <c r="S84">
        <f t="shared" ca="1" si="12"/>
        <v>0</v>
      </c>
      <c r="T84" t="str">
        <f t="shared" ca="1" si="13"/>
        <v>⬜  Parcial · Inst. 2 pendiente</v>
      </c>
      <c r="U84" s="53">
        <v>1</v>
      </c>
      <c r="V84" t="s">
        <v>69</v>
      </c>
      <c r="W84">
        <f>IF(NORMALIZADO!BV84="",0,NORMALIZADO!BV84)</f>
        <v>0</v>
      </c>
      <c r="X84">
        <f>IF(NORMALIZADO!BW84="",0,NORMALIZADO!BW84)</f>
        <v>0</v>
      </c>
      <c r="Y84">
        <f>IF(NORMALIZADO!BX84="",0,NORMALIZADO!BX84)</f>
        <v>0</v>
      </c>
      <c r="Z84">
        <f>IF(NORMALIZADO!BY84="",0,NORMALIZADO!BY84)</f>
        <v>0</v>
      </c>
      <c r="AA84">
        <v>0</v>
      </c>
      <c r="AB84">
        <v>0</v>
      </c>
      <c r="AC84">
        <v>0</v>
      </c>
      <c r="AD84">
        <v>0</v>
      </c>
      <c r="AE84">
        <v>0</v>
      </c>
      <c r="AF84">
        <v>0</v>
      </c>
      <c r="AG84">
        <v>0</v>
      </c>
      <c r="AH84">
        <v>0</v>
      </c>
      <c r="AI84">
        <v>0</v>
      </c>
      <c r="AJ84">
        <v>0</v>
      </c>
      <c r="AK84">
        <v>0</v>
      </c>
      <c r="AL84">
        <v>0</v>
      </c>
      <c r="AM84">
        <v>0</v>
      </c>
      <c r="AN84">
        <v>0</v>
      </c>
      <c r="AO84">
        <f t="shared" si="14"/>
        <v>0</v>
      </c>
      <c r="AP84">
        <f ca="1">IFERROR(((M84/100)*PONDERADORES!$D$12+(SCORECARDS!H84/100)*PONDERADORES!$D$13+(SCORECARDS!I84/100)*PONDERADORES!$D$14+(SCORECARDS!J84/100)*PONDERADORES!$D$15+(ISCAM_Score!K85/100)*PONDERADORES!$D$16+O84*PONDERADORES!$D$17+0*PONDERADORES!$D$18+(AVERAGE(W84:Z84)/2)*PONDERADORES!$D$19)/PONDERADORES!$D$20,"N/A")</f>
        <v>0</v>
      </c>
      <c r="AQ84">
        <f ca="1">COUNT(M84)+IF(SCORECARDS!H84="",0,1)+IF(SCORECARDS!I84="",0,1)+IF(SCORECARDS!J84="",0,1)+IF(ISCAM_Score!K85="",0,1)+IF(O84="",0,1)+IF(COUNT(W84:Z84)&gt;0,1,0)</f>
        <v>3</v>
      </c>
    </row>
    <row r="85" spans="1:43" ht="16.05" customHeight="1" x14ac:dyDescent="0.3">
      <c r="A85" t="s">
        <v>262</v>
      </c>
      <c r="B85" t="s">
        <v>263</v>
      </c>
      <c r="C85" t="s">
        <v>77</v>
      </c>
      <c r="D85" t="s">
        <v>65</v>
      </c>
      <c r="E85">
        <v>5355025.2299999986</v>
      </c>
      <c r="F85">
        <v>27</v>
      </c>
      <c r="G85" t="s">
        <v>66</v>
      </c>
      <c r="J85" t="s">
        <v>67</v>
      </c>
      <c r="L85">
        <v>2677512.61</v>
      </c>
      <c r="M85">
        <f t="shared" si="10"/>
        <v>50</v>
      </c>
      <c r="N85" t="s">
        <v>68</v>
      </c>
      <c r="O85">
        <f t="shared" si="11"/>
        <v>0</v>
      </c>
      <c r="P85" t="s">
        <v>68</v>
      </c>
      <c r="S85">
        <f t="shared" ca="1" si="12"/>
        <v>12.5</v>
      </c>
      <c r="T85" t="str">
        <f t="shared" ca="1" si="13"/>
        <v>⬜  Parcial · Inst. 2 pendiente</v>
      </c>
      <c r="U85" s="53">
        <v>1</v>
      </c>
      <c r="V85" t="s">
        <v>69</v>
      </c>
      <c r="W85">
        <f>IF(NORMALIZADO!BV85="",1,NORMALIZADO!BV85)</f>
        <v>1</v>
      </c>
      <c r="X85">
        <f>IF(NORMALIZADO!BW85="",0,NORMALIZADO!BW85)</f>
        <v>0</v>
      </c>
      <c r="Y85">
        <f>IF(NORMALIZADO!BX85="",0,NORMALIZADO!BX85)</f>
        <v>0</v>
      </c>
      <c r="Z85">
        <f>IF(NORMALIZADO!BY85="",0,NORMALIZADO!BY85)</f>
        <v>0</v>
      </c>
      <c r="AA85">
        <v>0</v>
      </c>
      <c r="AB85">
        <v>0</v>
      </c>
      <c r="AC85">
        <v>0</v>
      </c>
      <c r="AD85">
        <v>0</v>
      </c>
      <c r="AE85">
        <v>0</v>
      </c>
      <c r="AF85">
        <v>0</v>
      </c>
      <c r="AG85">
        <v>0</v>
      </c>
      <c r="AH85">
        <v>0</v>
      </c>
      <c r="AI85">
        <v>0</v>
      </c>
      <c r="AJ85">
        <v>0</v>
      </c>
      <c r="AK85">
        <v>0</v>
      </c>
      <c r="AL85">
        <v>0</v>
      </c>
      <c r="AM85">
        <v>0</v>
      </c>
      <c r="AN85">
        <v>0</v>
      </c>
      <c r="AO85">
        <f t="shared" si="14"/>
        <v>0</v>
      </c>
      <c r="AP85">
        <f ca="1">IFERROR(((M85/100)*PONDERADORES!$D$12+(SCORECARDS!H85/100)*PONDERADORES!$D$13+(SCORECARDS!I85/100)*PONDERADORES!$D$14+(SCORECARDS!J85/100)*PONDERADORES!$D$15+(ISCAM_Score!K86/100)*PONDERADORES!$D$16+O85*PONDERADORES!$D$17+0*PONDERADORES!$D$18+(AVERAGE(W85:Z85)/2)*PONDERADORES!$D$19)/PONDERADORES!$D$20,"N/A")</f>
        <v>0.125</v>
      </c>
      <c r="AQ85">
        <f ca="1">COUNT(M85)+IF(SCORECARDS!H85="",0,1)+IF(SCORECARDS!I85="",0,1)+IF(SCORECARDS!J85="",0,1)+IF(ISCAM_Score!K86="",0,1)+IF(O85="",0,1)+IF(COUNT(W85:Z85)&gt;0,1,0)</f>
        <v>3</v>
      </c>
    </row>
    <row r="86" spans="1:43" ht="16.05" customHeight="1" x14ac:dyDescent="0.3">
      <c r="A86" t="s">
        <v>264</v>
      </c>
      <c r="B86" t="s">
        <v>265</v>
      </c>
      <c r="C86" t="s">
        <v>257</v>
      </c>
      <c r="D86" t="s">
        <v>73</v>
      </c>
      <c r="G86" t="s">
        <v>74</v>
      </c>
      <c r="J86" t="s">
        <v>67</v>
      </c>
      <c r="L86">
        <v>0</v>
      </c>
      <c r="M86">
        <f t="shared" si="10"/>
        <v>0</v>
      </c>
      <c r="N86" t="s">
        <v>68</v>
      </c>
      <c r="O86">
        <f t="shared" si="11"/>
        <v>0</v>
      </c>
      <c r="P86" t="s">
        <v>68</v>
      </c>
      <c r="S86">
        <f t="shared" ca="1" si="12"/>
        <v>0</v>
      </c>
      <c r="T86" t="str">
        <f t="shared" ca="1" si="13"/>
        <v>⬜  Parcial · Inst. 2 pendiente</v>
      </c>
      <c r="U86" s="53">
        <v>1</v>
      </c>
      <c r="V86" t="s">
        <v>69</v>
      </c>
      <c r="W86">
        <f>IF(NORMALIZADO!BV86="",0,NORMALIZADO!BV86)</f>
        <v>0</v>
      </c>
      <c r="X86">
        <f>IF(NORMALIZADO!BW86="",0,NORMALIZADO!BW86)</f>
        <v>0</v>
      </c>
      <c r="Y86">
        <f>IF(NORMALIZADO!BX86="",0,NORMALIZADO!BX86)</f>
        <v>0</v>
      </c>
      <c r="Z86">
        <f>IF(NORMALIZADO!BY86="",0,NORMALIZADO!BY86)</f>
        <v>0</v>
      </c>
      <c r="AA86">
        <v>0</v>
      </c>
      <c r="AB86">
        <v>0</v>
      </c>
      <c r="AC86">
        <v>0</v>
      </c>
      <c r="AD86">
        <v>0</v>
      </c>
      <c r="AE86">
        <v>0</v>
      </c>
      <c r="AF86">
        <v>0</v>
      </c>
      <c r="AG86">
        <v>0</v>
      </c>
      <c r="AH86">
        <v>0</v>
      </c>
      <c r="AI86">
        <v>0</v>
      </c>
      <c r="AJ86">
        <v>0</v>
      </c>
      <c r="AK86">
        <v>0</v>
      </c>
      <c r="AL86">
        <v>0</v>
      </c>
      <c r="AM86">
        <v>0</v>
      </c>
      <c r="AN86">
        <v>0</v>
      </c>
      <c r="AO86">
        <f t="shared" si="14"/>
        <v>0</v>
      </c>
      <c r="AP86">
        <f ca="1">IFERROR(((M86/100)*PONDERADORES!$D$12+(SCORECARDS!H86/100)*PONDERADORES!$D$13+(SCORECARDS!I86/100)*PONDERADORES!$D$14+(SCORECARDS!J86/100)*PONDERADORES!$D$15+(ISCAM_Score!K87/100)*PONDERADORES!$D$16+O86*PONDERADORES!$D$17+0*PONDERADORES!$D$18+(AVERAGE(W86:Z86)/2)*PONDERADORES!$D$19)/PONDERADORES!$D$20,"N/A")</f>
        <v>0</v>
      </c>
      <c r="AQ86">
        <f ca="1">COUNT(M86)+IF(SCORECARDS!H86="",0,1)+IF(SCORECARDS!I86="",0,1)+IF(SCORECARDS!J86="",0,1)+IF(ISCAM_Score!K87="",0,1)+IF(O86="",0,1)+IF(COUNT(W86:Z86)&gt;0,1,0)</f>
        <v>3</v>
      </c>
    </row>
    <row r="87" spans="1:43" ht="16.05" customHeight="1" x14ac:dyDescent="0.3">
      <c r="A87" t="s">
        <v>266</v>
      </c>
      <c r="B87" t="s">
        <v>267</v>
      </c>
      <c r="C87" t="s">
        <v>257</v>
      </c>
      <c r="D87" t="s">
        <v>73</v>
      </c>
      <c r="G87" t="s">
        <v>74</v>
      </c>
      <c r="J87" t="s">
        <v>67</v>
      </c>
      <c r="L87">
        <v>0</v>
      </c>
      <c r="M87">
        <f t="shared" si="10"/>
        <v>0</v>
      </c>
      <c r="N87" t="s">
        <v>68</v>
      </c>
      <c r="O87">
        <f t="shared" si="11"/>
        <v>0</v>
      </c>
      <c r="P87" t="s">
        <v>68</v>
      </c>
      <c r="S87">
        <f t="shared" ca="1" si="12"/>
        <v>0</v>
      </c>
      <c r="T87" t="str">
        <f t="shared" ca="1" si="13"/>
        <v>⬜  Parcial · Inst. 2 pendiente</v>
      </c>
      <c r="U87" s="53">
        <v>1</v>
      </c>
      <c r="V87" t="s">
        <v>69</v>
      </c>
      <c r="W87">
        <f>IF(NORMALIZADO!BV87="",0,NORMALIZADO!BV87)</f>
        <v>0</v>
      </c>
      <c r="X87">
        <f>IF(NORMALIZADO!BW87="",0,NORMALIZADO!BW87)</f>
        <v>0</v>
      </c>
      <c r="Y87">
        <f>IF(NORMALIZADO!BX87="",0,NORMALIZADO!BX87)</f>
        <v>0</v>
      </c>
      <c r="Z87">
        <f>IF(NORMALIZADO!BY87="",0,NORMALIZADO!BY87)</f>
        <v>0</v>
      </c>
      <c r="AA87">
        <v>0</v>
      </c>
      <c r="AB87">
        <v>0</v>
      </c>
      <c r="AC87">
        <v>0</v>
      </c>
      <c r="AD87">
        <v>0</v>
      </c>
      <c r="AE87">
        <v>0</v>
      </c>
      <c r="AF87">
        <v>0</v>
      </c>
      <c r="AG87">
        <v>0</v>
      </c>
      <c r="AH87">
        <v>0</v>
      </c>
      <c r="AI87">
        <v>0</v>
      </c>
      <c r="AJ87">
        <v>0</v>
      </c>
      <c r="AK87">
        <v>0</v>
      </c>
      <c r="AL87">
        <v>0</v>
      </c>
      <c r="AM87">
        <v>0</v>
      </c>
      <c r="AN87">
        <v>0</v>
      </c>
      <c r="AO87">
        <f t="shared" si="14"/>
        <v>0</v>
      </c>
      <c r="AP87">
        <f ca="1">IFERROR(((M87/100)*PONDERADORES!$D$12+(SCORECARDS!H87/100)*PONDERADORES!$D$13+(SCORECARDS!I87/100)*PONDERADORES!$D$14+(SCORECARDS!J87/100)*PONDERADORES!$D$15+(ISCAM_Score!K88/100)*PONDERADORES!$D$16+O87*PONDERADORES!$D$17+0*PONDERADORES!$D$18+(AVERAGE(W87:Z87)/2)*PONDERADORES!$D$19)/PONDERADORES!$D$20,"N/A")</f>
        <v>0</v>
      </c>
      <c r="AQ87">
        <f ca="1">COUNT(M87)+IF(SCORECARDS!H87="",0,1)+IF(SCORECARDS!I87="",0,1)+IF(SCORECARDS!J87="",0,1)+IF(ISCAM_Score!K88="",0,1)+IF(O87="",0,1)+IF(COUNT(W87:Z87)&gt;0,1,0)</f>
        <v>3</v>
      </c>
    </row>
    <row r="88" spans="1:43" ht="16.05" customHeight="1" x14ac:dyDescent="0.3">
      <c r="A88" t="s">
        <v>268</v>
      </c>
      <c r="B88" t="s">
        <v>269</v>
      </c>
      <c r="C88" t="s">
        <v>257</v>
      </c>
      <c r="D88" t="s">
        <v>73</v>
      </c>
      <c r="G88" t="s">
        <v>74</v>
      </c>
      <c r="J88" t="s">
        <v>67</v>
      </c>
      <c r="L88">
        <v>0</v>
      </c>
      <c r="M88">
        <f t="shared" si="10"/>
        <v>0</v>
      </c>
      <c r="N88" t="s">
        <v>68</v>
      </c>
      <c r="O88">
        <f t="shared" si="11"/>
        <v>0</v>
      </c>
      <c r="P88" t="s">
        <v>68</v>
      </c>
      <c r="S88">
        <f t="shared" ca="1" si="12"/>
        <v>0</v>
      </c>
      <c r="T88" t="str">
        <f t="shared" ca="1" si="13"/>
        <v>⬜  Parcial · Inst. 2 pendiente</v>
      </c>
      <c r="U88" s="53">
        <v>1</v>
      </c>
      <c r="V88" t="s">
        <v>69</v>
      </c>
      <c r="W88">
        <f>IF(NORMALIZADO!BV88="",0,NORMALIZADO!BV88)</f>
        <v>0</v>
      </c>
      <c r="X88">
        <f>IF(NORMALIZADO!BW88="",0,NORMALIZADO!BW88)</f>
        <v>0</v>
      </c>
      <c r="Y88">
        <f>IF(NORMALIZADO!BX88="",0,NORMALIZADO!BX88)</f>
        <v>0</v>
      </c>
      <c r="Z88">
        <f>IF(NORMALIZADO!BY88="",0,NORMALIZADO!BY88)</f>
        <v>0</v>
      </c>
      <c r="AA88">
        <v>0</v>
      </c>
      <c r="AB88">
        <v>0</v>
      </c>
      <c r="AC88">
        <v>0</v>
      </c>
      <c r="AD88">
        <v>0</v>
      </c>
      <c r="AE88">
        <v>0</v>
      </c>
      <c r="AF88">
        <v>0</v>
      </c>
      <c r="AG88">
        <v>0</v>
      </c>
      <c r="AH88">
        <v>0</v>
      </c>
      <c r="AI88">
        <v>0</v>
      </c>
      <c r="AJ88">
        <v>0</v>
      </c>
      <c r="AK88">
        <v>0</v>
      </c>
      <c r="AL88">
        <v>0</v>
      </c>
      <c r="AM88">
        <v>0</v>
      </c>
      <c r="AN88">
        <v>0</v>
      </c>
      <c r="AO88">
        <f t="shared" si="14"/>
        <v>0</v>
      </c>
      <c r="AP88">
        <f ca="1">IFERROR(((M88/100)*PONDERADORES!$D$12+(SCORECARDS!H88/100)*PONDERADORES!$D$13+(SCORECARDS!I88/100)*PONDERADORES!$D$14+(SCORECARDS!J88/100)*PONDERADORES!$D$15+(ISCAM_Score!K89/100)*PONDERADORES!$D$16+O88*PONDERADORES!$D$17+0*PONDERADORES!$D$18+(AVERAGE(W88:Z88)/2)*PONDERADORES!$D$19)/PONDERADORES!$D$20,"N/A")</f>
        <v>0</v>
      </c>
      <c r="AQ88">
        <f ca="1">COUNT(M88)+IF(SCORECARDS!H88="",0,1)+IF(SCORECARDS!I88="",0,1)+IF(SCORECARDS!J88="",0,1)+IF(ISCAM_Score!K89="",0,1)+IF(O88="",0,1)+IF(COUNT(W88:Z88)&gt;0,1,0)</f>
        <v>3</v>
      </c>
    </row>
    <row r="89" spans="1:43" ht="16.05" customHeight="1" x14ac:dyDescent="0.3">
      <c r="A89" t="s">
        <v>270</v>
      </c>
      <c r="B89" t="s">
        <v>271</v>
      </c>
      <c r="C89" t="s">
        <v>257</v>
      </c>
      <c r="D89" t="s">
        <v>65</v>
      </c>
      <c r="E89">
        <v>0</v>
      </c>
      <c r="G89" t="s">
        <v>74</v>
      </c>
      <c r="J89" t="s">
        <v>67</v>
      </c>
      <c r="L89">
        <v>0</v>
      </c>
      <c r="M89">
        <f t="shared" si="10"/>
        <v>0</v>
      </c>
      <c r="N89" t="s">
        <v>68</v>
      </c>
      <c r="O89">
        <f t="shared" si="11"/>
        <v>0</v>
      </c>
      <c r="P89" t="s">
        <v>68</v>
      </c>
      <c r="S89">
        <f t="shared" ca="1" si="12"/>
        <v>0</v>
      </c>
      <c r="T89" t="str">
        <f t="shared" ca="1" si="13"/>
        <v>⬜  Parcial · Inst. 2 pendiente</v>
      </c>
      <c r="U89" s="53">
        <v>1</v>
      </c>
      <c r="V89" t="s">
        <v>69</v>
      </c>
      <c r="W89">
        <f>IF(NORMALIZADO!BV89="",0,NORMALIZADO!BV89)</f>
        <v>0</v>
      </c>
      <c r="X89">
        <f>IF(NORMALIZADO!BW89="",0,NORMALIZADO!BW89)</f>
        <v>0</v>
      </c>
      <c r="Y89">
        <f>IF(NORMALIZADO!BX89="",0,NORMALIZADO!BX89)</f>
        <v>0</v>
      </c>
      <c r="Z89">
        <f>IF(NORMALIZADO!BY89="",0,NORMALIZADO!BY89)</f>
        <v>0</v>
      </c>
      <c r="AA89">
        <v>0</v>
      </c>
      <c r="AB89">
        <v>0</v>
      </c>
      <c r="AC89">
        <v>0</v>
      </c>
      <c r="AD89">
        <v>0</v>
      </c>
      <c r="AE89">
        <v>0</v>
      </c>
      <c r="AF89">
        <v>0</v>
      </c>
      <c r="AG89">
        <v>0</v>
      </c>
      <c r="AH89">
        <v>0</v>
      </c>
      <c r="AI89">
        <v>0</v>
      </c>
      <c r="AJ89">
        <v>0</v>
      </c>
      <c r="AK89">
        <v>0</v>
      </c>
      <c r="AL89">
        <v>0</v>
      </c>
      <c r="AM89">
        <v>0</v>
      </c>
      <c r="AN89">
        <v>0</v>
      </c>
      <c r="AO89">
        <f t="shared" si="14"/>
        <v>0</v>
      </c>
      <c r="AP89">
        <f ca="1">IFERROR(((M89/100)*PONDERADORES!$D$12+(SCORECARDS!H89/100)*PONDERADORES!$D$13+(SCORECARDS!I89/100)*PONDERADORES!$D$14+(SCORECARDS!J89/100)*PONDERADORES!$D$15+(ISCAM_Score!K90/100)*PONDERADORES!$D$16+O89*PONDERADORES!$D$17+0*PONDERADORES!$D$18+(AVERAGE(W89:Z89)/2)*PONDERADORES!$D$19)/PONDERADORES!$D$20,"N/A")</f>
        <v>0</v>
      </c>
      <c r="AQ89">
        <f ca="1">COUNT(M89)+IF(SCORECARDS!H89="",0,1)+IF(SCORECARDS!I89="",0,1)+IF(SCORECARDS!J89="",0,1)+IF(ISCAM_Score!K90="",0,1)+IF(O89="",0,1)+IF(COUNT(W89:Z89)&gt;0,1,0)</f>
        <v>3</v>
      </c>
    </row>
    <row r="90" spans="1:43" ht="16.05" customHeight="1" x14ac:dyDescent="0.3">
      <c r="A90" t="s">
        <v>272</v>
      </c>
      <c r="B90" t="s">
        <v>273</v>
      </c>
      <c r="C90" t="s">
        <v>77</v>
      </c>
      <c r="D90" t="s">
        <v>73</v>
      </c>
      <c r="G90" t="s">
        <v>74</v>
      </c>
      <c r="J90" t="s">
        <v>128</v>
      </c>
      <c r="L90">
        <v>0</v>
      </c>
      <c r="M90">
        <f t="shared" si="10"/>
        <v>0</v>
      </c>
      <c r="N90" t="s">
        <v>68</v>
      </c>
      <c r="O90">
        <f t="shared" si="11"/>
        <v>0</v>
      </c>
      <c r="P90" t="s">
        <v>68</v>
      </c>
      <c r="S90">
        <f t="shared" ca="1" si="12"/>
        <v>0</v>
      </c>
      <c r="T90" t="str">
        <f t="shared" ca="1" si="13"/>
        <v>⬜  Parcial · Inst. 2 pendiente</v>
      </c>
      <c r="U90" s="53">
        <v>1</v>
      </c>
      <c r="V90" t="s">
        <v>69</v>
      </c>
      <c r="W90">
        <f>IF(NORMALIZADO!BV90="",0,NORMALIZADO!BV90)</f>
        <v>0</v>
      </c>
      <c r="X90">
        <f>IF(NORMALIZADO!BW90="",0,NORMALIZADO!BW90)</f>
        <v>0</v>
      </c>
      <c r="Y90">
        <f>IF(NORMALIZADO!BX90="",0,NORMALIZADO!BX90)</f>
        <v>0</v>
      </c>
      <c r="Z90">
        <f>IF(NORMALIZADO!BY90="",0,NORMALIZADO!BY90)</f>
        <v>0</v>
      </c>
      <c r="AA90">
        <v>0</v>
      </c>
      <c r="AB90">
        <v>0</v>
      </c>
      <c r="AC90">
        <v>0</v>
      </c>
      <c r="AD90">
        <v>0</v>
      </c>
      <c r="AE90">
        <v>0</v>
      </c>
      <c r="AF90">
        <v>0</v>
      </c>
      <c r="AG90">
        <v>0</v>
      </c>
      <c r="AH90">
        <v>0</v>
      </c>
      <c r="AI90">
        <v>0</v>
      </c>
      <c r="AJ90">
        <v>0</v>
      </c>
      <c r="AK90">
        <v>0</v>
      </c>
      <c r="AL90">
        <v>0</v>
      </c>
      <c r="AM90">
        <v>0</v>
      </c>
      <c r="AN90">
        <v>0</v>
      </c>
      <c r="AO90">
        <f t="shared" si="14"/>
        <v>0</v>
      </c>
      <c r="AP90">
        <f ca="1">IFERROR(((M90/100)*PONDERADORES!$D$12+(SCORECARDS!H90/100)*PONDERADORES!$D$13+(SCORECARDS!I90/100)*PONDERADORES!$D$14+(SCORECARDS!J90/100)*PONDERADORES!$D$15+(ISCAM_Score!K91/100)*PONDERADORES!$D$16+O90*PONDERADORES!$D$17+0*PONDERADORES!$D$18+(AVERAGE(W90:Z90)/2)*PONDERADORES!$D$19)/PONDERADORES!$D$20,"N/A")</f>
        <v>0</v>
      </c>
      <c r="AQ90">
        <f ca="1">COUNT(M90)+IF(SCORECARDS!H90="",0,1)+IF(SCORECARDS!I90="",0,1)+IF(SCORECARDS!J90="",0,1)+IF(ISCAM_Score!K91="",0,1)+IF(O90="",0,1)+IF(COUNT(W90:Z90)&gt;0,1,0)</f>
        <v>3</v>
      </c>
    </row>
    <row r="91" spans="1:43" ht="16.05" customHeight="1" x14ac:dyDescent="0.3">
      <c r="A91" t="s">
        <v>274</v>
      </c>
      <c r="B91" t="s">
        <v>275</v>
      </c>
      <c r="C91" t="s">
        <v>77</v>
      </c>
      <c r="D91" t="s">
        <v>65</v>
      </c>
      <c r="E91">
        <v>0</v>
      </c>
      <c r="G91" t="s">
        <v>74</v>
      </c>
      <c r="J91" t="s">
        <v>110</v>
      </c>
      <c r="L91">
        <v>0</v>
      </c>
      <c r="M91">
        <f t="shared" si="10"/>
        <v>0</v>
      </c>
      <c r="N91" t="s">
        <v>68</v>
      </c>
      <c r="O91">
        <f t="shared" si="11"/>
        <v>0</v>
      </c>
      <c r="P91" t="s">
        <v>68</v>
      </c>
      <c r="S91">
        <f t="shared" ca="1" si="12"/>
        <v>0</v>
      </c>
      <c r="T91" t="str">
        <f t="shared" ca="1" si="13"/>
        <v>⬜  Parcial · Inst. 2 pendiente</v>
      </c>
      <c r="U91" s="53">
        <v>1</v>
      </c>
      <c r="V91" t="s">
        <v>69</v>
      </c>
      <c r="W91">
        <f>IF(NORMALIZADO!BV91="",0,NORMALIZADO!BV91)</f>
        <v>0</v>
      </c>
      <c r="X91">
        <f>IF(NORMALIZADO!BW91="",0,NORMALIZADO!BW91)</f>
        <v>0</v>
      </c>
      <c r="Y91">
        <f>IF(NORMALIZADO!BX91="",0,NORMALIZADO!BX91)</f>
        <v>0</v>
      </c>
      <c r="Z91">
        <f>IF(NORMALIZADO!BY91="",0,NORMALIZADO!BY91)</f>
        <v>0</v>
      </c>
      <c r="AA91">
        <v>0</v>
      </c>
      <c r="AB91">
        <v>0</v>
      </c>
      <c r="AC91">
        <v>0</v>
      </c>
      <c r="AD91">
        <v>0</v>
      </c>
      <c r="AE91">
        <v>0</v>
      </c>
      <c r="AF91">
        <v>0</v>
      </c>
      <c r="AG91">
        <v>0</v>
      </c>
      <c r="AH91">
        <v>0</v>
      </c>
      <c r="AI91">
        <v>0</v>
      </c>
      <c r="AJ91">
        <v>0</v>
      </c>
      <c r="AK91">
        <v>0</v>
      </c>
      <c r="AL91">
        <v>0</v>
      </c>
      <c r="AM91">
        <v>0</v>
      </c>
      <c r="AN91">
        <v>0</v>
      </c>
      <c r="AO91">
        <f t="shared" si="14"/>
        <v>0</v>
      </c>
      <c r="AP91">
        <f ca="1">IFERROR(((M91/100)*PONDERADORES!$D$12+(SCORECARDS!H91/100)*PONDERADORES!$D$13+(SCORECARDS!I91/100)*PONDERADORES!$D$14+(SCORECARDS!J91/100)*PONDERADORES!$D$15+(ISCAM_Score!K92/100)*PONDERADORES!$D$16+O91*PONDERADORES!$D$17+0*PONDERADORES!$D$18+(AVERAGE(W91:Z91)/2)*PONDERADORES!$D$19)/PONDERADORES!$D$20,"N/A")</f>
        <v>0</v>
      </c>
      <c r="AQ91">
        <f ca="1">COUNT(M91)+IF(SCORECARDS!H91="",0,1)+IF(SCORECARDS!I91="",0,1)+IF(SCORECARDS!J91="",0,1)+IF(ISCAM_Score!K92="",0,1)+IF(O91="",0,1)+IF(COUNT(W91:Z91)&gt;0,1,0)</f>
        <v>3</v>
      </c>
    </row>
    <row r="92" spans="1:43" ht="16.05" customHeight="1" x14ac:dyDescent="0.3">
      <c r="A92" t="s">
        <v>276</v>
      </c>
      <c r="B92" t="s">
        <v>277</v>
      </c>
      <c r="C92" t="s">
        <v>154</v>
      </c>
      <c r="D92" t="s">
        <v>65</v>
      </c>
      <c r="E92">
        <v>9585341.8000000007</v>
      </c>
      <c r="F92">
        <v>58</v>
      </c>
      <c r="G92" t="s">
        <v>66</v>
      </c>
      <c r="J92" t="s">
        <v>67</v>
      </c>
      <c r="L92">
        <v>4792670.9000000004</v>
      </c>
      <c r="M92">
        <f t="shared" si="10"/>
        <v>50</v>
      </c>
      <c r="N92" t="s">
        <v>68</v>
      </c>
      <c r="O92">
        <f t="shared" si="11"/>
        <v>0</v>
      </c>
      <c r="P92" t="s">
        <v>68</v>
      </c>
      <c r="S92">
        <f t="shared" ca="1" si="12"/>
        <v>12.5</v>
      </c>
      <c r="T92" t="str">
        <f t="shared" ca="1" si="13"/>
        <v>⬜  Parcial · Inst. 2 pendiente</v>
      </c>
      <c r="U92" s="53">
        <v>1</v>
      </c>
      <c r="V92" t="s">
        <v>69</v>
      </c>
      <c r="W92">
        <f>IF(NORMALIZADO!BV92="",1,NORMALIZADO!BV92)</f>
        <v>1</v>
      </c>
      <c r="X92">
        <f>IF(NORMALIZADO!BW92="",0,NORMALIZADO!BW92)</f>
        <v>0</v>
      </c>
      <c r="Y92">
        <f>IF(NORMALIZADO!BX92="",0,NORMALIZADO!BX92)</f>
        <v>0</v>
      </c>
      <c r="Z92">
        <f>IF(NORMALIZADO!BY92="",0,NORMALIZADO!BY92)</f>
        <v>0</v>
      </c>
      <c r="AA92">
        <v>0</v>
      </c>
      <c r="AB92">
        <v>0</v>
      </c>
      <c r="AC92">
        <v>0</v>
      </c>
      <c r="AD92">
        <v>0</v>
      </c>
      <c r="AE92">
        <v>0</v>
      </c>
      <c r="AF92">
        <v>0</v>
      </c>
      <c r="AG92">
        <v>0</v>
      </c>
      <c r="AH92">
        <v>0</v>
      </c>
      <c r="AI92">
        <v>0</v>
      </c>
      <c r="AJ92">
        <v>0</v>
      </c>
      <c r="AK92">
        <v>0</v>
      </c>
      <c r="AL92">
        <v>0</v>
      </c>
      <c r="AM92">
        <v>0</v>
      </c>
      <c r="AN92">
        <v>0</v>
      </c>
      <c r="AO92">
        <f t="shared" si="14"/>
        <v>0</v>
      </c>
      <c r="AP92">
        <f ca="1">IFERROR(((M92/100)*PONDERADORES!$D$12+(SCORECARDS!H92/100)*PONDERADORES!$D$13+(SCORECARDS!I92/100)*PONDERADORES!$D$14+(SCORECARDS!J92/100)*PONDERADORES!$D$15+(ISCAM_Score!K93/100)*PONDERADORES!$D$16+O92*PONDERADORES!$D$17+0*PONDERADORES!$D$18+(AVERAGE(W92:Z92)/2)*PONDERADORES!$D$19)/PONDERADORES!$D$20,"N/A")</f>
        <v>0.125</v>
      </c>
      <c r="AQ92">
        <f ca="1">COUNT(M92)+IF(SCORECARDS!H92="",0,1)+IF(SCORECARDS!I92="",0,1)+IF(SCORECARDS!J92="",0,1)+IF(ISCAM_Score!K93="",0,1)+IF(O92="",0,1)+IF(COUNT(W92:Z92)&gt;0,1,0)</f>
        <v>3</v>
      </c>
    </row>
    <row r="93" spans="1:43" ht="16.05" customHeight="1" x14ac:dyDescent="0.3">
      <c r="A93" t="s">
        <v>278</v>
      </c>
      <c r="B93" t="s">
        <v>279</v>
      </c>
      <c r="C93" t="s">
        <v>143</v>
      </c>
      <c r="G93" t="s">
        <v>74</v>
      </c>
      <c r="J93" t="s">
        <v>67</v>
      </c>
      <c r="L93">
        <v>0</v>
      </c>
      <c r="M93">
        <f t="shared" si="10"/>
        <v>0</v>
      </c>
      <c r="N93" t="s">
        <v>68</v>
      </c>
      <c r="O93">
        <f t="shared" si="11"/>
        <v>0</v>
      </c>
      <c r="P93" t="s">
        <v>68</v>
      </c>
      <c r="S93">
        <f t="shared" ca="1" si="12"/>
        <v>0</v>
      </c>
      <c r="T93" t="str">
        <f t="shared" ca="1" si="13"/>
        <v>⬜  Parcial · Inst. 2 pendiente</v>
      </c>
      <c r="U93" s="53">
        <v>1</v>
      </c>
      <c r="V93" t="s">
        <v>69</v>
      </c>
      <c r="W93">
        <f>IF(NORMALIZADO!BV93="",0,NORMALIZADO!BV93)</f>
        <v>0</v>
      </c>
      <c r="X93">
        <f>IF(NORMALIZADO!BW93="",0,NORMALIZADO!BW93)</f>
        <v>0</v>
      </c>
      <c r="Y93">
        <f>IF(NORMALIZADO!BX93="",0,NORMALIZADO!BX93)</f>
        <v>0</v>
      </c>
      <c r="Z93">
        <f>IF(NORMALIZADO!BY93="",0,NORMALIZADO!BY93)</f>
        <v>0</v>
      </c>
      <c r="AA93">
        <v>0</v>
      </c>
      <c r="AB93">
        <v>0</v>
      </c>
      <c r="AC93">
        <v>0</v>
      </c>
      <c r="AD93">
        <v>0</v>
      </c>
      <c r="AE93">
        <v>0</v>
      </c>
      <c r="AF93">
        <v>0</v>
      </c>
      <c r="AG93">
        <v>0</v>
      </c>
      <c r="AH93">
        <v>0</v>
      </c>
      <c r="AI93">
        <v>0</v>
      </c>
      <c r="AJ93">
        <v>0</v>
      </c>
      <c r="AK93">
        <v>0</v>
      </c>
      <c r="AL93">
        <v>0</v>
      </c>
      <c r="AM93">
        <v>0</v>
      </c>
      <c r="AN93">
        <v>0</v>
      </c>
      <c r="AO93">
        <f t="shared" si="14"/>
        <v>0</v>
      </c>
      <c r="AP93">
        <f ca="1">IFERROR(((M93/100)*PONDERADORES!$D$12+(SCORECARDS!H93/100)*PONDERADORES!$D$13+(SCORECARDS!I93/100)*PONDERADORES!$D$14+(SCORECARDS!J93/100)*PONDERADORES!$D$15+(ISCAM_Score!K94/100)*PONDERADORES!$D$16+O93*PONDERADORES!$D$17+0*PONDERADORES!$D$18+(AVERAGE(W93:Z93)/2)*PONDERADORES!$D$19)/PONDERADORES!$D$20,"N/A")</f>
        <v>0</v>
      </c>
      <c r="AQ93">
        <f ca="1">COUNT(M93)+IF(SCORECARDS!H93="",0,1)+IF(SCORECARDS!I93="",0,1)+IF(SCORECARDS!J93="",0,1)+IF(ISCAM_Score!K94="",0,1)+IF(O93="",0,1)+IF(COUNT(W93:Z93)&gt;0,1,0)</f>
        <v>3</v>
      </c>
    </row>
    <row r="94" spans="1:43" ht="16.05" customHeight="1" x14ac:dyDescent="0.3">
      <c r="A94" t="s">
        <v>280</v>
      </c>
      <c r="B94" t="s">
        <v>281</v>
      </c>
      <c r="C94" t="s">
        <v>143</v>
      </c>
      <c r="E94">
        <v>3777944.83</v>
      </c>
      <c r="F94">
        <v>14</v>
      </c>
      <c r="G94" t="s">
        <v>66</v>
      </c>
      <c r="J94" t="s">
        <v>67</v>
      </c>
      <c r="L94">
        <v>1888972.42</v>
      </c>
      <c r="M94">
        <f t="shared" si="10"/>
        <v>50</v>
      </c>
      <c r="N94" t="s">
        <v>68</v>
      </c>
      <c r="O94">
        <f t="shared" si="11"/>
        <v>0</v>
      </c>
      <c r="P94" t="s">
        <v>68</v>
      </c>
      <c r="S94">
        <f t="shared" ca="1" si="12"/>
        <v>12.5</v>
      </c>
      <c r="T94" t="str">
        <f t="shared" ca="1" si="13"/>
        <v>⬜  Parcial · Inst. 2 pendiente</v>
      </c>
      <c r="U94" s="53">
        <v>1</v>
      </c>
      <c r="V94" t="s">
        <v>69</v>
      </c>
      <c r="W94">
        <f>IF(NORMALIZADO!BV94="",1,NORMALIZADO!BV94)</f>
        <v>1</v>
      </c>
      <c r="X94">
        <f>IF(NORMALIZADO!BW94="",0,NORMALIZADO!BW94)</f>
        <v>0</v>
      </c>
      <c r="Y94">
        <f>IF(NORMALIZADO!BX94="",0,NORMALIZADO!BX94)</f>
        <v>0</v>
      </c>
      <c r="Z94">
        <f>IF(NORMALIZADO!BY94="",0,NORMALIZADO!BY94)</f>
        <v>0</v>
      </c>
      <c r="AA94">
        <v>0</v>
      </c>
      <c r="AB94">
        <v>0</v>
      </c>
      <c r="AC94">
        <v>0</v>
      </c>
      <c r="AD94">
        <v>0</v>
      </c>
      <c r="AE94">
        <v>0</v>
      </c>
      <c r="AF94">
        <v>0</v>
      </c>
      <c r="AG94">
        <v>0</v>
      </c>
      <c r="AH94">
        <v>0</v>
      </c>
      <c r="AI94">
        <v>0</v>
      </c>
      <c r="AJ94">
        <v>0</v>
      </c>
      <c r="AK94">
        <v>0</v>
      </c>
      <c r="AL94">
        <v>0</v>
      </c>
      <c r="AM94">
        <v>0</v>
      </c>
      <c r="AN94">
        <v>0</v>
      </c>
      <c r="AO94">
        <f t="shared" si="14"/>
        <v>0</v>
      </c>
      <c r="AP94">
        <f ca="1">IFERROR(((M94/100)*PONDERADORES!$D$12+(SCORECARDS!H94/100)*PONDERADORES!$D$13+(SCORECARDS!I94/100)*PONDERADORES!$D$14+(SCORECARDS!J94/100)*PONDERADORES!$D$15+(ISCAM_Score!K95/100)*PONDERADORES!$D$16+O94*PONDERADORES!$D$17+0*PONDERADORES!$D$18+(AVERAGE(W94:Z94)/2)*PONDERADORES!$D$19)/PONDERADORES!$D$20,"N/A")</f>
        <v>0.125</v>
      </c>
      <c r="AQ94">
        <f ca="1">COUNT(M94)+IF(SCORECARDS!H94="",0,1)+IF(SCORECARDS!I94="",0,1)+IF(SCORECARDS!J94="",0,1)+IF(ISCAM_Score!K95="",0,1)+IF(O94="",0,1)+IF(COUNT(W94:Z94)&gt;0,1,0)</f>
        <v>3</v>
      </c>
    </row>
    <row r="95" spans="1:43" ht="16.05" customHeight="1" x14ac:dyDescent="0.3">
      <c r="A95" t="s">
        <v>282</v>
      </c>
      <c r="B95" t="s">
        <v>283</v>
      </c>
      <c r="C95" t="s">
        <v>123</v>
      </c>
      <c r="D95" t="s">
        <v>73</v>
      </c>
      <c r="G95" t="s">
        <v>74</v>
      </c>
      <c r="J95" t="s">
        <v>67</v>
      </c>
      <c r="L95">
        <v>0</v>
      </c>
      <c r="M95">
        <f t="shared" si="10"/>
        <v>0</v>
      </c>
      <c r="N95" t="s">
        <v>68</v>
      </c>
      <c r="O95">
        <f t="shared" si="11"/>
        <v>0</v>
      </c>
      <c r="P95" t="s">
        <v>68</v>
      </c>
      <c r="S95">
        <f t="shared" ca="1" si="12"/>
        <v>0</v>
      </c>
      <c r="T95" t="str">
        <f t="shared" ca="1" si="13"/>
        <v>⬜  Parcial · Inst. 2 pendiente</v>
      </c>
      <c r="U95" s="53">
        <v>1</v>
      </c>
      <c r="V95" t="s">
        <v>69</v>
      </c>
      <c r="W95">
        <f>IF(NORMALIZADO!BV95="",0,NORMALIZADO!BV95)</f>
        <v>0</v>
      </c>
      <c r="X95">
        <f>IF(NORMALIZADO!BW95="",0,NORMALIZADO!BW95)</f>
        <v>0</v>
      </c>
      <c r="Y95">
        <f>IF(NORMALIZADO!BX95="",0,NORMALIZADO!BX95)</f>
        <v>0</v>
      </c>
      <c r="Z95">
        <f>IF(NORMALIZADO!BY95="",0,NORMALIZADO!BY95)</f>
        <v>0</v>
      </c>
      <c r="AA95">
        <v>0</v>
      </c>
      <c r="AB95">
        <v>0</v>
      </c>
      <c r="AC95">
        <v>0</v>
      </c>
      <c r="AD95">
        <v>0</v>
      </c>
      <c r="AE95">
        <v>0</v>
      </c>
      <c r="AF95">
        <v>0</v>
      </c>
      <c r="AG95">
        <v>0</v>
      </c>
      <c r="AH95">
        <v>0</v>
      </c>
      <c r="AI95">
        <v>0</v>
      </c>
      <c r="AJ95">
        <v>0</v>
      </c>
      <c r="AK95">
        <v>0</v>
      </c>
      <c r="AL95">
        <v>0</v>
      </c>
      <c r="AM95">
        <v>0</v>
      </c>
      <c r="AN95">
        <v>0</v>
      </c>
      <c r="AO95">
        <f t="shared" si="14"/>
        <v>0</v>
      </c>
      <c r="AP95">
        <f ca="1">IFERROR(((M95/100)*PONDERADORES!$D$12+(SCORECARDS!H95/100)*PONDERADORES!$D$13+(SCORECARDS!I95/100)*PONDERADORES!$D$14+(SCORECARDS!J95/100)*PONDERADORES!$D$15+(ISCAM_Score!K96/100)*PONDERADORES!$D$16+O95*PONDERADORES!$D$17+0*PONDERADORES!$D$18+(AVERAGE(W95:Z95)/2)*PONDERADORES!$D$19)/PONDERADORES!$D$20,"N/A")</f>
        <v>0</v>
      </c>
      <c r="AQ95">
        <f ca="1">COUNT(M95)+IF(SCORECARDS!H95="",0,1)+IF(SCORECARDS!I95="",0,1)+IF(SCORECARDS!J95="",0,1)+IF(ISCAM_Score!K96="",0,1)+IF(O95="",0,1)+IF(COUNT(W95:Z95)&gt;0,1,0)</f>
        <v>3</v>
      </c>
    </row>
    <row r="96" spans="1:43" ht="16.05" customHeight="1" x14ac:dyDescent="0.3">
      <c r="A96" t="s">
        <v>284</v>
      </c>
      <c r="B96" t="s">
        <v>285</v>
      </c>
      <c r="C96" t="s">
        <v>123</v>
      </c>
      <c r="D96" t="s">
        <v>73</v>
      </c>
      <c r="E96">
        <v>0</v>
      </c>
      <c r="G96" t="s">
        <v>74</v>
      </c>
      <c r="J96" t="s">
        <v>67</v>
      </c>
      <c r="L96">
        <v>0</v>
      </c>
      <c r="M96">
        <f t="shared" si="10"/>
        <v>0</v>
      </c>
      <c r="N96" t="s">
        <v>68</v>
      </c>
      <c r="O96">
        <f t="shared" si="11"/>
        <v>0</v>
      </c>
      <c r="P96" t="s">
        <v>68</v>
      </c>
      <c r="S96">
        <f t="shared" ca="1" si="12"/>
        <v>0</v>
      </c>
      <c r="T96" t="str">
        <f t="shared" ca="1" si="13"/>
        <v>⬜  Parcial · Inst. 2 pendiente</v>
      </c>
      <c r="U96" s="53">
        <v>1</v>
      </c>
      <c r="V96" t="s">
        <v>69</v>
      </c>
      <c r="W96">
        <f>IF(NORMALIZADO!BV96="",0,NORMALIZADO!BV96)</f>
        <v>0</v>
      </c>
      <c r="X96">
        <f>IF(NORMALIZADO!BW96="",0,NORMALIZADO!BW96)</f>
        <v>0</v>
      </c>
      <c r="Y96">
        <f>IF(NORMALIZADO!BX96="",0,NORMALIZADO!BX96)</f>
        <v>0</v>
      </c>
      <c r="Z96">
        <f>IF(NORMALIZADO!BY96="",0,NORMALIZADO!BY96)</f>
        <v>0</v>
      </c>
      <c r="AA96">
        <v>0</v>
      </c>
      <c r="AB96">
        <v>0</v>
      </c>
      <c r="AC96">
        <v>0</v>
      </c>
      <c r="AD96">
        <v>0</v>
      </c>
      <c r="AE96">
        <v>0</v>
      </c>
      <c r="AF96">
        <v>0</v>
      </c>
      <c r="AG96">
        <v>0</v>
      </c>
      <c r="AH96">
        <v>0</v>
      </c>
      <c r="AI96">
        <v>0</v>
      </c>
      <c r="AJ96">
        <v>0</v>
      </c>
      <c r="AK96">
        <v>0</v>
      </c>
      <c r="AL96">
        <v>0</v>
      </c>
      <c r="AM96">
        <v>0</v>
      </c>
      <c r="AN96">
        <v>0</v>
      </c>
      <c r="AO96">
        <f t="shared" si="14"/>
        <v>0</v>
      </c>
      <c r="AP96">
        <f ca="1">IFERROR(((M96/100)*PONDERADORES!$D$12+(SCORECARDS!H96/100)*PONDERADORES!$D$13+(SCORECARDS!I96/100)*PONDERADORES!$D$14+(SCORECARDS!J96/100)*PONDERADORES!$D$15+(ISCAM_Score!K97/100)*PONDERADORES!$D$16+O96*PONDERADORES!$D$17+0*PONDERADORES!$D$18+(AVERAGE(W96:Z96)/2)*PONDERADORES!$D$19)/PONDERADORES!$D$20,"N/A")</f>
        <v>0</v>
      </c>
      <c r="AQ96">
        <f ca="1">COUNT(M96)+IF(SCORECARDS!H96="",0,1)+IF(SCORECARDS!I96="",0,1)+IF(SCORECARDS!J96="",0,1)+IF(ISCAM_Score!K97="",0,1)+IF(O96="",0,1)+IF(COUNT(W96:Z96)&gt;0,1,0)</f>
        <v>3</v>
      </c>
    </row>
    <row r="97" spans="1:43" ht="16.05" customHeight="1" x14ac:dyDescent="0.3">
      <c r="A97" t="s">
        <v>286</v>
      </c>
      <c r="B97" t="s">
        <v>287</v>
      </c>
      <c r="C97" t="s">
        <v>123</v>
      </c>
      <c r="D97" t="s">
        <v>73</v>
      </c>
      <c r="G97" t="s">
        <v>74</v>
      </c>
      <c r="J97" t="s">
        <v>128</v>
      </c>
      <c r="L97">
        <v>0</v>
      </c>
      <c r="M97">
        <f t="shared" si="10"/>
        <v>0</v>
      </c>
      <c r="N97" t="s">
        <v>68</v>
      </c>
      <c r="O97">
        <f t="shared" si="11"/>
        <v>0</v>
      </c>
      <c r="P97" t="s">
        <v>68</v>
      </c>
      <c r="S97">
        <f t="shared" ca="1" si="12"/>
        <v>0</v>
      </c>
      <c r="T97" t="str">
        <f t="shared" ca="1" si="13"/>
        <v>⬜  Parcial · Inst. 2 pendiente</v>
      </c>
      <c r="U97" s="53">
        <v>1</v>
      </c>
      <c r="V97" t="s">
        <v>69</v>
      </c>
      <c r="W97">
        <f>IF(NORMALIZADO!BV97="",0,NORMALIZADO!BV97)</f>
        <v>0</v>
      </c>
      <c r="X97">
        <f>IF(NORMALIZADO!BW97="",0,NORMALIZADO!BW97)</f>
        <v>0</v>
      </c>
      <c r="Y97">
        <f>IF(NORMALIZADO!BX97="",0,NORMALIZADO!BX97)</f>
        <v>0</v>
      </c>
      <c r="Z97">
        <f>IF(NORMALIZADO!BY97="",0,NORMALIZADO!BY97)</f>
        <v>0</v>
      </c>
      <c r="AA97">
        <v>0</v>
      </c>
      <c r="AB97">
        <v>0</v>
      </c>
      <c r="AC97">
        <v>0</v>
      </c>
      <c r="AD97">
        <v>0</v>
      </c>
      <c r="AE97">
        <v>0</v>
      </c>
      <c r="AF97">
        <v>0</v>
      </c>
      <c r="AG97">
        <v>0</v>
      </c>
      <c r="AH97">
        <v>0</v>
      </c>
      <c r="AI97">
        <v>0</v>
      </c>
      <c r="AJ97">
        <v>0</v>
      </c>
      <c r="AK97">
        <v>0</v>
      </c>
      <c r="AL97">
        <v>0</v>
      </c>
      <c r="AM97">
        <v>0</v>
      </c>
      <c r="AN97">
        <v>0</v>
      </c>
      <c r="AO97">
        <f t="shared" si="14"/>
        <v>0</v>
      </c>
      <c r="AP97">
        <f ca="1">IFERROR(((M97/100)*PONDERADORES!$D$12+(SCORECARDS!H97/100)*PONDERADORES!$D$13+(SCORECARDS!I97/100)*PONDERADORES!$D$14+(SCORECARDS!J97/100)*PONDERADORES!$D$15+(ISCAM_Score!K98/100)*PONDERADORES!$D$16+O97*PONDERADORES!$D$17+0*PONDERADORES!$D$18+(AVERAGE(W97:Z97)/2)*PONDERADORES!$D$19)/PONDERADORES!$D$20,"N/A")</f>
        <v>0</v>
      </c>
      <c r="AQ97">
        <f ca="1">COUNT(M97)+IF(SCORECARDS!H97="",0,1)+IF(SCORECARDS!I97="",0,1)+IF(SCORECARDS!J97="",0,1)+IF(ISCAM_Score!K98="",0,1)+IF(O97="",0,1)+IF(COUNT(W97:Z97)&gt;0,1,0)</f>
        <v>3</v>
      </c>
    </row>
    <row r="98" spans="1:43" ht="16.05" customHeight="1" x14ac:dyDescent="0.3">
      <c r="A98" t="s">
        <v>288</v>
      </c>
      <c r="B98" t="s">
        <v>289</v>
      </c>
      <c r="C98" t="s">
        <v>123</v>
      </c>
      <c r="D98" t="s">
        <v>73</v>
      </c>
      <c r="G98" t="s">
        <v>74</v>
      </c>
      <c r="J98" t="s">
        <v>67</v>
      </c>
      <c r="L98">
        <v>0</v>
      </c>
      <c r="M98">
        <f t="shared" si="10"/>
        <v>0</v>
      </c>
      <c r="N98" t="s">
        <v>68</v>
      </c>
      <c r="O98">
        <f t="shared" si="11"/>
        <v>0</v>
      </c>
      <c r="P98" t="s">
        <v>68</v>
      </c>
      <c r="S98">
        <f t="shared" ca="1" si="12"/>
        <v>0</v>
      </c>
      <c r="T98" t="str">
        <f t="shared" ca="1" si="13"/>
        <v>⬜  Parcial · Inst. 2 pendiente</v>
      </c>
      <c r="U98" s="53">
        <v>1</v>
      </c>
      <c r="V98" t="s">
        <v>69</v>
      </c>
      <c r="W98">
        <f>IF(NORMALIZADO!BV98="",0,NORMALIZADO!BV98)</f>
        <v>0</v>
      </c>
      <c r="X98">
        <f>IF(NORMALIZADO!BW98="",0,NORMALIZADO!BW98)</f>
        <v>0</v>
      </c>
      <c r="Y98">
        <f>IF(NORMALIZADO!BX98="",0,NORMALIZADO!BX98)</f>
        <v>0</v>
      </c>
      <c r="Z98">
        <f>IF(NORMALIZADO!BY98="",0,NORMALIZADO!BY98)</f>
        <v>0</v>
      </c>
      <c r="AA98">
        <v>0</v>
      </c>
      <c r="AB98">
        <v>0</v>
      </c>
      <c r="AC98">
        <v>0</v>
      </c>
      <c r="AD98">
        <v>0</v>
      </c>
      <c r="AE98">
        <v>0</v>
      </c>
      <c r="AF98">
        <v>0</v>
      </c>
      <c r="AG98">
        <v>0</v>
      </c>
      <c r="AH98">
        <v>0</v>
      </c>
      <c r="AI98">
        <v>0</v>
      </c>
      <c r="AJ98">
        <v>0</v>
      </c>
      <c r="AK98">
        <v>0</v>
      </c>
      <c r="AL98">
        <v>0</v>
      </c>
      <c r="AM98">
        <v>0</v>
      </c>
      <c r="AN98">
        <v>0</v>
      </c>
      <c r="AO98">
        <f t="shared" si="14"/>
        <v>0</v>
      </c>
      <c r="AP98">
        <f ca="1">IFERROR(((M98/100)*PONDERADORES!$D$12+(SCORECARDS!H98/100)*PONDERADORES!$D$13+(SCORECARDS!I98/100)*PONDERADORES!$D$14+(SCORECARDS!J98/100)*PONDERADORES!$D$15+(ISCAM_Score!K99/100)*PONDERADORES!$D$16+O98*PONDERADORES!$D$17+0*PONDERADORES!$D$18+(AVERAGE(W98:Z98)/2)*PONDERADORES!$D$19)/PONDERADORES!$D$20,"N/A")</f>
        <v>0</v>
      </c>
      <c r="AQ98">
        <f ca="1">COUNT(M98)+IF(SCORECARDS!H98="",0,1)+IF(SCORECARDS!I98="",0,1)+IF(SCORECARDS!J98="",0,1)+IF(ISCAM_Score!K99="",0,1)+IF(O98="",0,1)+IF(COUNT(W98:Z98)&gt;0,1,0)</f>
        <v>3</v>
      </c>
    </row>
    <row r="99" spans="1:43" ht="16.05" customHeight="1" x14ac:dyDescent="0.3">
      <c r="A99" t="s">
        <v>290</v>
      </c>
      <c r="B99" t="s">
        <v>291</v>
      </c>
      <c r="C99" t="s">
        <v>123</v>
      </c>
      <c r="D99" t="s">
        <v>292</v>
      </c>
      <c r="G99" t="s">
        <v>74</v>
      </c>
      <c r="J99" t="s">
        <v>128</v>
      </c>
      <c r="L99">
        <v>0</v>
      </c>
      <c r="M99">
        <f t="shared" ref="M99:M130" si="15">IF(E99&gt;0,ROUND(L99/E99*100,1),0)</f>
        <v>0</v>
      </c>
      <c r="N99" t="s">
        <v>68</v>
      </c>
      <c r="O99">
        <f t="shared" ref="O99:O130" si="16">IF(H99="SI",1,0)*0.6+IF(I99="SI",1,0)*0.4</f>
        <v>0</v>
      </c>
      <c r="P99" t="s">
        <v>68</v>
      </c>
      <c r="S99">
        <f t="shared" ref="S99:S130" ca="1" si="17">IFERROR(ROUND(AP99*100,1),"N/A")</f>
        <v>0</v>
      </c>
      <c r="T99" t="str">
        <f t="shared" ref="T99:T130" ca="1" si="18">IF(NOT(ISNUMBER(S99)),"—",IF(AQ99&lt;6,"⬜  Parcial · Inst. 2 pendiente",IF(S99&lt;34,"🔴 Crítico",IF(S99&lt;67,"🟡 Vulnerable","🟢 Preparado"))))</f>
        <v>⬜  Parcial · Inst. 2 pendiente</v>
      </c>
      <c r="U99" s="53">
        <v>1</v>
      </c>
      <c r="V99" t="s">
        <v>69</v>
      </c>
      <c r="W99">
        <f>IF(NORMALIZADO!BV99="",0,NORMALIZADO!BV99)</f>
        <v>0</v>
      </c>
      <c r="X99">
        <f>IF(NORMALIZADO!BW99="",0,NORMALIZADO!BW99)</f>
        <v>0</v>
      </c>
      <c r="Y99">
        <f>IF(NORMALIZADO!BX99="",0,NORMALIZADO!BX99)</f>
        <v>0</v>
      </c>
      <c r="Z99">
        <f>IF(NORMALIZADO!BY99="",0,NORMALIZADO!BY99)</f>
        <v>0</v>
      </c>
      <c r="AA99">
        <v>0</v>
      </c>
      <c r="AB99">
        <v>0</v>
      </c>
      <c r="AC99">
        <v>0</v>
      </c>
      <c r="AD99">
        <v>0</v>
      </c>
      <c r="AE99">
        <v>0</v>
      </c>
      <c r="AF99">
        <v>0</v>
      </c>
      <c r="AG99">
        <v>0</v>
      </c>
      <c r="AH99">
        <v>0</v>
      </c>
      <c r="AI99">
        <v>0</v>
      </c>
      <c r="AJ99">
        <v>0</v>
      </c>
      <c r="AK99">
        <v>0</v>
      </c>
      <c r="AL99">
        <v>0</v>
      </c>
      <c r="AM99">
        <v>0</v>
      </c>
      <c r="AN99">
        <v>0</v>
      </c>
      <c r="AO99">
        <f t="shared" ref="AO99:AO130" si="19">IFERROR(AVERAGE(AA99,AB99,AC99,AD99,AE99,AF99,AG99,AH99,AI99,AJ99,AK99,AL99,AM99,AN99),"N/A")</f>
        <v>0</v>
      </c>
      <c r="AP99">
        <f ca="1">IFERROR(((M99/100)*PONDERADORES!$D$12+(SCORECARDS!H99/100)*PONDERADORES!$D$13+(SCORECARDS!I99/100)*PONDERADORES!$D$14+(SCORECARDS!J99/100)*PONDERADORES!$D$15+(ISCAM_Score!K100/100)*PONDERADORES!$D$16+O99*PONDERADORES!$D$17+0*PONDERADORES!$D$18+(AVERAGE(W99:Z99)/2)*PONDERADORES!$D$19)/PONDERADORES!$D$20,"N/A")</f>
        <v>0</v>
      </c>
      <c r="AQ99">
        <f ca="1">COUNT(M99)+IF(SCORECARDS!H99="",0,1)+IF(SCORECARDS!I99="",0,1)+IF(SCORECARDS!J99="",0,1)+IF(ISCAM_Score!K100="",0,1)+IF(O99="",0,1)+IF(COUNT(W99:Z99)&gt;0,1,0)</f>
        <v>3</v>
      </c>
    </row>
    <row r="100" spans="1:43" ht="16.05" customHeight="1" x14ac:dyDescent="0.3">
      <c r="A100" t="s">
        <v>293</v>
      </c>
      <c r="B100" t="s">
        <v>294</v>
      </c>
      <c r="C100" t="s">
        <v>80</v>
      </c>
      <c r="D100" t="s">
        <v>73</v>
      </c>
      <c r="G100" t="s">
        <v>74</v>
      </c>
      <c r="J100" t="s">
        <v>67</v>
      </c>
      <c r="L100">
        <v>0</v>
      </c>
      <c r="M100">
        <f t="shared" si="15"/>
        <v>0</v>
      </c>
      <c r="N100" t="s">
        <v>68</v>
      </c>
      <c r="O100">
        <f t="shared" si="16"/>
        <v>0</v>
      </c>
      <c r="P100" t="s">
        <v>68</v>
      </c>
      <c r="S100">
        <f t="shared" ca="1" si="17"/>
        <v>0</v>
      </c>
      <c r="T100" t="str">
        <f t="shared" ca="1" si="18"/>
        <v>⬜  Parcial · Inst. 2 pendiente</v>
      </c>
      <c r="U100" s="53">
        <v>1</v>
      </c>
      <c r="V100" t="s">
        <v>69</v>
      </c>
      <c r="W100">
        <f>IF(NORMALIZADO!BV100="",0,NORMALIZADO!BV100)</f>
        <v>0</v>
      </c>
      <c r="X100">
        <f>IF(NORMALIZADO!BW100="",0,NORMALIZADO!BW100)</f>
        <v>0</v>
      </c>
      <c r="Y100">
        <f>IF(NORMALIZADO!BX100="",0,NORMALIZADO!BX100)</f>
        <v>0</v>
      </c>
      <c r="Z100">
        <f>IF(NORMALIZADO!BY100="",0,NORMALIZADO!BY100)</f>
        <v>0</v>
      </c>
      <c r="AA100">
        <v>0</v>
      </c>
      <c r="AB100">
        <v>0</v>
      </c>
      <c r="AC100">
        <v>0</v>
      </c>
      <c r="AD100">
        <v>0</v>
      </c>
      <c r="AE100">
        <v>0</v>
      </c>
      <c r="AF100">
        <v>0</v>
      </c>
      <c r="AG100">
        <v>0</v>
      </c>
      <c r="AH100">
        <v>0</v>
      </c>
      <c r="AI100">
        <v>0</v>
      </c>
      <c r="AJ100">
        <v>0</v>
      </c>
      <c r="AK100">
        <v>0</v>
      </c>
      <c r="AL100">
        <v>0</v>
      </c>
      <c r="AM100">
        <v>0</v>
      </c>
      <c r="AN100">
        <v>0</v>
      </c>
      <c r="AO100">
        <f t="shared" si="19"/>
        <v>0</v>
      </c>
      <c r="AP100">
        <f ca="1">IFERROR(((M100/100)*PONDERADORES!$D$12+(SCORECARDS!H100/100)*PONDERADORES!$D$13+(SCORECARDS!I100/100)*PONDERADORES!$D$14+(SCORECARDS!J100/100)*PONDERADORES!$D$15+(ISCAM_Score!K101/100)*PONDERADORES!$D$16+O100*PONDERADORES!$D$17+0*PONDERADORES!$D$18+(AVERAGE(W100:Z100)/2)*PONDERADORES!$D$19)/PONDERADORES!$D$20,"N/A")</f>
        <v>0</v>
      </c>
      <c r="AQ100">
        <f ca="1">COUNT(M100)+IF(SCORECARDS!H100="",0,1)+IF(SCORECARDS!I100="",0,1)+IF(SCORECARDS!J100="",0,1)+IF(ISCAM_Score!K101="",0,1)+IF(O100="",0,1)+IF(COUNT(W100:Z100)&gt;0,1,0)</f>
        <v>3</v>
      </c>
    </row>
    <row r="101" spans="1:43" ht="16.05" customHeight="1" x14ac:dyDescent="0.3">
      <c r="A101" t="s">
        <v>295</v>
      </c>
      <c r="B101" t="s">
        <v>296</v>
      </c>
      <c r="C101" t="s">
        <v>116</v>
      </c>
      <c r="D101" t="s">
        <v>65</v>
      </c>
      <c r="G101" t="s">
        <v>74</v>
      </c>
      <c r="J101" t="s">
        <v>67</v>
      </c>
      <c r="L101">
        <v>0</v>
      </c>
      <c r="M101">
        <f t="shared" si="15"/>
        <v>0</v>
      </c>
      <c r="N101" t="s">
        <v>68</v>
      </c>
      <c r="O101">
        <f t="shared" si="16"/>
        <v>0</v>
      </c>
      <c r="P101" t="s">
        <v>68</v>
      </c>
      <c r="S101">
        <f t="shared" ca="1" si="17"/>
        <v>0</v>
      </c>
      <c r="T101" t="str">
        <f t="shared" ca="1" si="18"/>
        <v>⬜  Parcial · Inst. 2 pendiente</v>
      </c>
      <c r="U101" s="53">
        <v>1</v>
      </c>
      <c r="V101" t="s">
        <v>69</v>
      </c>
      <c r="W101">
        <f>IF(NORMALIZADO!BV101="",0,NORMALIZADO!BV101)</f>
        <v>0</v>
      </c>
      <c r="X101">
        <f>IF(NORMALIZADO!BW101="",0,NORMALIZADO!BW101)</f>
        <v>0</v>
      </c>
      <c r="Y101">
        <f>IF(NORMALIZADO!BX101="",0,NORMALIZADO!BX101)</f>
        <v>0</v>
      </c>
      <c r="Z101">
        <f>IF(NORMALIZADO!BY101="",0,NORMALIZADO!BY101)</f>
        <v>0</v>
      </c>
      <c r="AA101">
        <v>0</v>
      </c>
      <c r="AB101">
        <v>0</v>
      </c>
      <c r="AC101">
        <v>0</v>
      </c>
      <c r="AD101">
        <v>0</v>
      </c>
      <c r="AE101">
        <v>0</v>
      </c>
      <c r="AF101">
        <v>0</v>
      </c>
      <c r="AG101">
        <v>0</v>
      </c>
      <c r="AH101">
        <v>0</v>
      </c>
      <c r="AI101">
        <v>0</v>
      </c>
      <c r="AJ101">
        <v>0</v>
      </c>
      <c r="AK101">
        <v>0</v>
      </c>
      <c r="AL101">
        <v>0</v>
      </c>
      <c r="AM101">
        <v>0</v>
      </c>
      <c r="AN101">
        <v>0</v>
      </c>
      <c r="AO101">
        <f t="shared" si="19"/>
        <v>0</v>
      </c>
      <c r="AP101">
        <f ca="1">IFERROR(((M101/100)*PONDERADORES!$D$12+(SCORECARDS!H101/100)*PONDERADORES!$D$13+(SCORECARDS!I101/100)*PONDERADORES!$D$14+(SCORECARDS!J101/100)*PONDERADORES!$D$15+(ISCAM_Score!K102/100)*PONDERADORES!$D$16+O101*PONDERADORES!$D$17+0*PONDERADORES!$D$18+(AVERAGE(W101:Z101)/2)*PONDERADORES!$D$19)/PONDERADORES!$D$20,"N/A")</f>
        <v>0</v>
      </c>
      <c r="AQ101">
        <f ca="1">COUNT(M101)+IF(SCORECARDS!H101="",0,1)+IF(SCORECARDS!I101="",0,1)+IF(SCORECARDS!J101="",0,1)+IF(ISCAM_Score!K102="",0,1)+IF(O101="",0,1)+IF(COUNT(W101:Z101)&gt;0,1,0)</f>
        <v>3</v>
      </c>
    </row>
    <row r="102" spans="1:43" ht="16.05" customHeight="1" x14ac:dyDescent="0.3">
      <c r="A102" t="s">
        <v>297</v>
      </c>
      <c r="B102" t="s">
        <v>298</v>
      </c>
      <c r="C102" t="s">
        <v>123</v>
      </c>
      <c r="D102" t="s">
        <v>73</v>
      </c>
      <c r="G102" t="s">
        <v>74</v>
      </c>
      <c r="J102" t="s">
        <v>67</v>
      </c>
      <c r="L102">
        <v>0</v>
      </c>
      <c r="M102">
        <f t="shared" si="15"/>
        <v>0</v>
      </c>
      <c r="N102" t="s">
        <v>68</v>
      </c>
      <c r="O102">
        <f t="shared" si="16"/>
        <v>0</v>
      </c>
      <c r="P102" t="s">
        <v>68</v>
      </c>
      <c r="S102">
        <f t="shared" ca="1" si="17"/>
        <v>0</v>
      </c>
      <c r="T102" t="str">
        <f t="shared" ca="1" si="18"/>
        <v>⬜  Parcial · Inst. 2 pendiente</v>
      </c>
      <c r="U102" s="53">
        <v>1</v>
      </c>
      <c r="V102" t="s">
        <v>69</v>
      </c>
      <c r="W102">
        <f>IF(NORMALIZADO!BV102="",0,NORMALIZADO!BV102)</f>
        <v>0</v>
      </c>
      <c r="X102">
        <f>IF(NORMALIZADO!BW102="",0,NORMALIZADO!BW102)</f>
        <v>0</v>
      </c>
      <c r="Y102">
        <f>IF(NORMALIZADO!BX102="",0,NORMALIZADO!BX102)</f>
        <v>0</v>
      </c>
      <c r="Z102">
        <f>IF(NORMALIZADO!BY102="",0,NORMALIZADO!BY102)</f>
        <v>0</v>
      </c>
      <c r="AA102">
        <v>0</v>
      </c>
      <c r="AB102">
        <v>0</v>
      </c>
      <c r="AC102">
        <v>0</v>
      </c>
      <c r="AD102">
        <v>0</v>
      </c>
      <c r="AE102">
        <v>0</v>
      </c>
      <c r="AF102">
        <v>0</v>
      </c>
      <c r="AG102">
        <v>0</v>
      </c>
      <c r="AH102">
        <v>0</v>
      </c>
      <c r="AI102">
        <v>0</v>
      </c>
      <c r="AJ102">
        <v>0</v>
      </c>
      <c r="AK102">
        <v>0</v>
      </c>
      <c r="AL102">
        <v>0</v>
      </c>
      <c r="AM102">
        <v>0</v>
      </c>
      <c r="AN102">
        <v>0</v>
      </c>
      <c r="AO102">
        <f t="shared" si="19"/>
        <v>0</v>
      </c>
      <c r="AP102">
        <f ca="1">IFERROR(((M102/100)*PONDERADORES!$D$12+(SCORECARDS!H102/100)*PONDERADORES!$D$13+(SCORECARDS!I102/100)*PONDERADORES!$D$14+(SCORECARDS!J102/100)*PONDERADORES!$D$15+(ISCAM_Score!K103/100)*PONDERADORES!$D$16+O102*PONDERADORES!$D$17+0*PONDERADORES!$D$18+(AVERAGE(W102:Z102)/2)*PONDERADORES!$D$19)/PONDERADORES!$D$20,"N/A")</f>
        <v>0</v>
      </c>
      <c r="AQ102">
        <f ca="1">COUNT(M102)+IF(SCORECARDS!H102="",0,1)+IF(SCORECARDS!I102="",0,1)+IF(SCORECARDS!J102="",0,1)+IF(ISCAM_Score!K103="",0,1)+IF(O102="",0,1)+IF(COUNT(W102:Z102)&gt;0,1,0)</f>
        <v>3</v>
      </c>
    </row>
    <row r="103" spans="1:43" ht="16.05" customHeight="1" x14ac:dyDescent="0.3">
      <c r="A103" t="s">
        <v>299</v>
      </c>
      <c r="B103" t="s">
        <v>300</v>
      </c>
      <c r="C103" t="s">
        <v>196</v>
      </c>
      <c r="D103" t="s">
        <v>73</v>
      </c>
      <c r="G103" t="s">
        <v>74</v>
      </c>
      <c r="J103" t="s">
        <v>67</v>
      </c>
      <c r="L103">
        <v>0</v>
      </c>
      <c r="M103">
        <f t="shared" si="15"/>
        <v>0</v>
      </c>
      <c r="N103" t="s">
        <v>68</v>
      </c>
      <c r="O103">
        <f t="shared" si="16"/>
        <v>0</v>
      </c>
      <c r="P103" t="s">
        <v>68</v>
      </c>
      <c r="S103">
        <f t="shared" ca="1" si="17"/>
        <v>0</v>
      </c>
      <c r="T103" t="str">
        <f t="shared" ca="1" si="18"/>
        <v>⬜  Parcial · Inst. 2 pendiente</v>
      </c>
      <c r="U103" s="53">
        <v>1</v>
      </c>
      <c r="V103" t="s">
        <v>69</v>
      </c>
      <c r="W103">
        <f>IF(NORMALIZADO!BV103="",0,NORMALIZADO!BV103)</f>
        <v>0</v>
      </c>
      <c r="X103">
        <f>IF(NORMALIZADO!BW103="",0,NORMALIZADO!BW103)</f>
        <v>0</v>
      </c>
      <c r="Y103">
        <f>IF(NORMALIZADO!BX103="",0,NORMALIZADO!BX103)</f>
        <v>0</v>
      </c>
      <c r="Z103">
        <f>IF(NORMALIZADO!BY103="",0,NORMALIZADO!BY103)</f>
        <v>0</v>
      </c>
      <c r="AA103">
        <v>0</v>
      </c>
      <c r="AB103">
        <v>0</v>
      </c>
      <c r="AC103">
        <v>0</v>
      </c>
      <c r="AD103">
        <v>0</v>
      </c>
      <c r="AE103">
        <v>0</v>
      </c>
      <c r="AF103">
        <v>0</v>
      </c>
      <c r="AG103">
        <v>0</v>
      </c>
      <c r="AH103">
        <v>0</v>
      </c>
      <c r="AI103">
        <v>0</v>
      </c>
      <c r="AJ103">
        <v>0</v>
      </c>
      <c r="AK103">
        <v>0</v>
      </c>
      <c r="AL103">
        <v>0</v>
      </c>
      <c r="AM103">
        <v>0</v>
      </c>
      <c r="AN103">
        <v>0</v>
      </c>
      <c r="AO103">
        <f t="shared" si="19"/>
        <v>0</v>
      </c>
      <c r="AP103">
        <f ca="1">IFERROR(((M103/100)*PONDERADORES!$D$12+(SCORECARDS!H103/100)*PONDERADORES!$D$13+(SCORECARDS!I103/100)*PONDERADORES!$D$14+(SCORECARDS!J103/100)*PONDERADORES!$D$15+(ISCAM_Score!K104/100)*PONDERADORES!$D$16+O103*PONDERADORES!$D$17+0*PONDERADORES!$D$18+(AVERAGE(W103:Z103)/2)*PONDERADORES!$D$19)/PONDERADORES!$D$20,"N/A")</f>
        <v>0</v>
      </c>
      <c r="AQ103">
        <f ca="1">COUNT(M103)+IF(SCORECARDS!H103="",0,1)+IF(SCORECARDS!I103="",0,1)+IF(SCORECARDS!J103="",0,1)+IF(ISCAM_Score!K104="",0,1)+IF(O103="",0,1)+IF(COUNT(W103:Z103)&gt;0,1,0)</f>
        <v>3</v>
      </c>
    </row>
    <row r="104" spans="1:43" ht="16.05" customHeight="1" x14ac:dyDescent="0.3">
      <c r="A104" t="s">
        <v>301</v>
      </c>
      <c r="B104" t="s">
        <v>302</v>
      </c>
      <c r="C104" t="s">
        <v>248</v>
      </c>
      <c r="D104" t="s">
        <v>73</v>
      </c>
      <c r="E104">
        <v>0</v>
      </c>
      <c r="G104" t="s">
        <v>74</v>
      </c>
      <c r="J104" t="s">
        <v>67</v>
      </c>
      <c r="L104">
        <v>0</v>
      </c>
      <c r="M104">
        <f t="shared" si="15"/>
        <v>0</v>
      </c>
      <c r="N104" t="s">
        <v>68</v>
      </c>
      <c r="O104">
        <f t="shared" si="16"/>
        <v>0</v>
      </c>
      <c r="P104" t="s">
        <v>68</v>
      </c>
      <c r="S104">
        <f t="shared" ca="1" si="17"/>
        <v>0</v>
      </c>
      <c r="T104" t="str">
        <f t="shared" ca="1" si="18"/>
        <v>⬜  Parcial · Inst. 2 pendiente</v>
      </c>
      <c r="U104" s="53">
        <v>1</v>
      </c>
      <c r="V104" t="s">
        <v>69</v>
      </c>
      <c r="W104">
        <f>IF(NORMALIZADO!BV104="",0,NORMALIZADO!BV104)</f>
        <v>0</v>
      </c>
      <c r="X104">
        <f>IF(NORMALIZADO!BW104="",0,NORMALIZADO!BW104)</f>
        <v>0</v>
      </c>
      <c r="Y104">
        <f>IF(NORMALIZADO!BX104="",0,NORMALIZADO!BX104)</f>
        <v>0</v>
      </c>
      <c r="Z104">
        <f>IF(NORMALIZADO!BY104="",0,NORMALIZADO!BY104)</f>
        <v>0</v>
      </c>
      <c r="AA104">
        <v>0</v>
      </c>
      <c r="AB104">
        <v>0</v>
      </c>
      <c r="AC104">
        <v>0</v>
      </c>
      <c r="AD104">
        <v>0</v>
      </c>
      <c r="AE104">
        <v>0</v>
      </c>
      <c r="AF104">
        <v>0</v>
      </c>
      <c r="AG104">
        <v>0</v>
      </c>
      <c r="AH104">
        <v>0</v>
      </c>
      <c r="AI104">
        <v>0</v>
      </c>
      <c r="AJ104">
        <v>0</v>
      </c>
      <c r="AK104">
        <v>0</v>
      </c>
      <c r="AL104">
        <v>0</v>
      </c>
      <c r="AM104">
        <v>0</v>
      </c>
      <c r="AN104">
        <v>0</v>
      </c>
      <c r="AO104">
        <f t="shared" si="19"/>
        <v>0</v>
      </c>
      <c r="AP104">
        <f ca="1">IFERROR(((M104/100)*PONDERADORES!$D$12+(SCORECARDS!H104/100)*PONDERADORES!$D$13+(SCORECARDS!I104/100)*PONDERADORES!$D$14+(SCORECARDS!J104/100)*PONDERADORES!$D$15+(ISCAM_Score!K105/100)*PONDERADORES!$D$16+O104*PONDERADORES!$D$17+0*PONDERADORES!$D$18+(AVERAGE(W104:Z104)/2)*PONDERADORES!$D$19)/PONDERADORES!$D$20,"N/A")</f>
        <v>0</v>
      </c>
      <c r="AQ104">
        <f ca="1">COUNT(M104)+IF(SCORECARDS!H104="",0,1)+IF(SCORECARDS!I104="",0,1)+IF(SCORECARDS!J104="",0,1)+IF(ISCAM_Score!K105="",0,1)+IF(O104="",0,1)+IF(COUNT(W104:Z104)&gt;0,1,0)</f>
        <v>3</v>
      </c>
    </row>
    <row r="105" spans="1:43" ht="16.05" customHeight="1" x14ac:dyDescent="0.3">
      <c r="A105" t="s">
        <v>303</v>
      </c>
      <c r="B105" t="s">
        <v>304</v>
      </c>
      <c r="C105" t="s">
        <v>116</v>
      </c>
      <c r="D105" t="s">
        <v>65</v>
      </c>
      <c r="E105">
        <v>0</v>
      </c>
      <c r="G105" t="s">
        <v>74</v>
      </c>
      <c r="J105" t="s">
        <v>67</v>
      </c>
      <c r="L105">
        <v>0</v>
      </c>
      <c r="M105">
        <f t="shared" si="15"/>
        <v>0</v>
      </c>
      <c r="N105" t="s">
        <v>68</v>
      </c>
      <c r="O105">
        <f t="shared" si="16"/>
        <v>0</v>
      </c>
      <c r="P105" t="s">
        <v>68</v>
      </c>
      <c r="S105">
        <f t="shared" ca="1" si="17"/>
        <v>0</v>
      </c>
      <c r="T105" t="str">
        <f t="shared" ca="1" si="18"/>
        <v>⬜  Parcial · Inst. 2 pendiente</v>
      </c>
      <c r="U105" s="53">
        <v>1</v>
      </c>
      <c r="V105" t="s">
        <v>69</v>
      </c>
      <c r="W105">
        <f>IF(NORMALIZADO!BV105="",0,NORMALIZADO!BV105)</f>
        <v>0</v>
      </c>
      <c r="X105">
        <f>IF(NORMALIZADO!BW105="",0,NORMALIZADO!BW105)</f>
        <v>0</v>
      </c>
      <c r="Y105">
        <f>IF(NORMALIZADO!BX105="",0,NORMALIZADO!BX105)</f>
        <v>0</v>
      </c>
      <c r="Z105">
        <f>IF(NORMALIZADO!BY105="",0,NORMALIZADO!BY105)</f>
        <v>0</v>
      </c>
      <c r="AA105">
        <v>0</v>
      </c>
      <c r="AB105">
        <v>0</v>
      </c>
      <c r="AC105">
        <v>0</v>
      </c>
      <c r="AD105">
        <v>0</v>
      </c>
      <c r="AE105">
        <v>0</v>
      </c>
      <c r="AF105">
        <v>0</v>
      </c>
      <c r="AG105">
        <v>0</v>
      </c>
      <c r="AH105">
        <v>0</v>
      </c>
      <c r="AI105">
        <v>0</v>
      </c>
      <c r="AJ105">
        <v>0</v>
      </c>
      <c r="AK105">
        <v>0</v>
      </c>
      <c r="AL105">
        <v>0</v>
      </c>
      <c r="AM105">
        <v>0</v>
      </c>
      <c r="AN105">
        <v>0</v>
      </c>
      <c r="AO105">
        <f t="shared" si="19"/>
        <v>0</v>
      </c>
      <c r="AP105">
        <f ca="1">IFERROR(((M105/100)*PONDERADORES!$D$12+(SCORECARDS!H105/100)*PONDERADORES!$D$13+(SCORECARDS!I105/100)*PONDERADORES!$D$14+(SCORECARDS!J105/100)*PONDERADORES!$D$15+(ISCAM_Score!K106/100)*PONDERADORES!$D$16+O105*PONDERADORES!$D$17+0*PONDERADORES!$D$18+(AVERAGE(W105:Z105)/2)*PONDERADORES!$D$19)/PONDERADORES!$D$20,"N/A")</f>
        <v>0</v>
      </c>
      <c r="AQ105">
        <f ca="1">COUNT(M105)+IF(SCORECARDS!H105="",0,1)+IF(SCORECARDS!I105="",0,1)+IF(SCORECARDS!J105="",0,1)+IF(ISCAM_Score!K106="",0,1)+IF(O105="",0,1)+IF(COUNT(W105:Z105)&gt;0,1,0)</f>
        <v>3</v>
      </c>
    </row>
    <row r="106" spans="1:43" ht="16.05" customHeight="1" x14ac:dyDescent="0.3">
      <c r="A106" t="s">
        <v>305</v>
      </c>
      <c r="B106" t="s">
        <v>306</v>
      </c>
      <c r="C106" t="s">
        <v>143</v>
      </c>
      <c r="D106" t="s">
        <v>65</v>
      </c>
      <c r="E106">
        <v>4154567.790000001</v>
      </c>
      <c r="F106">
        <v>25</v>
      </c>
      <c r="G106" t="s">
        <v>66</v>
      </c>
      <c r="H106" t="s">
        <v>226</v>
      </c>
      <c r="I106" t="s">
        <v>226</v>
      </c>
      <c r="J106" t="s">
        <v>67</v>
      </c>
      <c r="K106" t="s">
        <v>227</v>
      </c>
      <c r="L106">
        <v>2059443.82</v>
      </c>
      <c r="M106">
        <f t="shared" si="15"/>
        <v>49.6</v>
      </c>
      <c r="N106" t="s">
        <v>68</v>
      </c>
      <c r="O106">
        <f t="shared" si="16"/>
        <v>0</v>
      </c>
      <c r="P106" t="s">
        <v>68</v>
      </c>
      <c r="Q106">
        <v>797</v>
      </c>
      <c r="R106">
        <v>2110</v>
      </c>
      <c r="S106">
        <f t="shared" ca="1" si="17"/>
        <v>12.4</v>
      </c>
      <c r="T106" t="str">
        <f t="shared" ca="1" si="18"/>
        <v>⬜  Parcial · Inst. 2 pendiente</v>
      </c>
      <c r="U106" s="53">
        <v>1</v>
      </c>
      <c r="V106" t="s">
        <v>69</v>
      </c>
      <c r="W106">
        <f>IF(NORMALIZADO!BV106="",1,NORMALIZADO!BV106)</f>
        <v>1</v>
      </c>
      <c r="X106">
        <f>IF(NORMALIZADO!BW106="",0,NORMALIZADO!BW106)</f>
        <v>0</v>
      </c>
      <c r="Y106">
        <f>IF(NORMALIZADO!BX106="",0,NORMALIZADO!BX106)</f>
        <v>0</v>
      </c>
      <c r="Z106">
        <f>IF(NORMALIZADO!BY106="",0,NORMALIZADO!BY106)</f>
        <v>0</v>
      </c>
      <c r="AA106">
        <v>0</v>
      </c>
      <c r="AB106">
        <v>0</v>
      </c>
      <c r="AC106">
        <v>0</v>
      </c>
      <c r="AD106">
        <v>0</v>
      </c>
      <c r="AE106">
        <v>0</v>
      </c>
      <c r="AF106">
        <v>0</v>
      </c>
      <c r="AG106">
        <v>0</v>
      </c>
      <c r="AH106">
        <v>0</v>
      </c>
      <c r="AI106">
        <v>0</v>
      </c>
      <c r="AJ106">
        <v>0</v>
      </c>
      <c r="AK106">
        <v>0</v>
      </c>
      <c r="AL106">
        <v>0</v>
      </c>
      <c r="AM106">
        <v>0</v>
      </c>
      <c r="AN106">
        <v>0</v>
      </c>
      <c r="AO106">
        <f t="shared" si="19"/>
        <v>0</v>
      </c>
      <c r="AP106">
        <f ca="1">IFERROR(((M106/100)*PONDERADORES!$D$12+(SCORECARDS!H106/100)*PONDERADORES!$D$13+(SCORECARDS!I106/100)*PONDERADORES!$D$14+(SCORECARDS!J106/100)*PONDERADORES!$D$15+(ISCAM_Score!K107/100)*PONDERADORES!$D$16+O106*PONDERADORES!$D$17+0*PONDERADORES!$D$18+(AVERAGE(W106:Z106)/2)*PONDERADORES!$D$19)/PONDERADORES!$D$20,"N/A")</f>
        <v>0.1242</v>
      </c>
      <c r="AQ106">
        <f ca="1">COUNT(M106)+IF(SCORECARDS!H106="",0,1)+IF(SCORECARDS!I106="",0,1)+IF(SCORECARDS!J106="",0,1)+IF(ISCAM_Score!K107="",0,1)+IF(O106="",0,1)+IF(COUNT(W106:Z106)&gt;0,1,0)</f>
        <v>3</v>
      </c>
    </row>
    <row r="107" spans="1:43" ht="16.05" customHeight="1" x14ac:dyDescent="0.3">
      <c r="A107" t="s">
        <v>307</v>
      </c>
      <c r="B107" t="s">
        <v>308</v>
      </c>
      <c r="C107" t="s">
        <v>113</v>
      </c>
      <c r="D107" t="s">
        <v>73</v>
      </c>
      <c r="G107" t="s">
        <v>74</v>
      </c>
      <c r="J107" t="s">
        <v>67</v>
      </c>
      <c r="L107">
        <v>0</v>
      </c>
      <c r="M107">
        <f t="shared" si="15"/>
        <v>0</v>
      </c>
      <c r="N107" t="s">
        <v>68</v>
      </c>
      <c r="O107">
        <f t="shared" si="16"/>
        <v>0</v>
      </c>
      <c r="P107" t="s">
        <v>68</v>
      </c>
      <c r="S107">
        <f t="shared" ca="1" si="17"/>
        <v>0</v>
      </c>
      <c r="T107" t="str">
        <f t="shared" ca="1" si="18"/>
        <v>⬜  Parcial · Inst. 2 pendiente</v>
      </c>
      <c r="U107" s="53">
        <v>1</v>
      </c>
      <c r="V107" t="s">
        <v>69</v>
      </c>
      <c r="W107">
        <f>IF(NORMALIZADO!BV107="",0,NORMALIZADO!BV107)</f>
        <v>0</v>
      </c>
      <c r="X107">
        <f>IF(NORMALIZADO!BW107="",0,NORMALIZADO!BW107)</f>
        <v>0</v>
      </c>
      <c r="Y107">
        <f>IF(NORMALIZADO!BX107="",0,NORMALIZADO!BX107)</f>
        <v>0</v>
      </c>
      <c r="Z107">
        <f>IF(NORMALIZADO!BY107="",0,NORMALIZADO!BY107)</f>
        <v>0</v>
      </c>
      <c r="AA107">
        <v>0</v>
      </c>
      <c r="AB107">
        <v>0</v>
      </c>
      <c r="AC107">
        <v>0</v>
      </c>
      <c r="AD107">
        <v>0</v>
      </c>
      <c r="AE107">
        <v>0</v>
      </c>
      <c r="AF107">
        <v>0</v>
      </c>
      <c r="AG107">
        <v>0</v>
      </c>
      <c r="AH107">
        <v>0</v>
      </c>
      <c r="AI107">
        <v>0</v>
      </c>
      <c r="AJ107">
        <v>0</v>
      </c>
      <c r="AK107">
        <v>0</v>
      </c>
      <c r="AL107">
        <v>0</v>
      </c>
      <c r="AM107">
        <v>0</v>
      </c>
      <c r="AN107">
        <v>0</v>
      </c>
      <c r="AO107">
        <f t="shared" si="19"/>
        <v>0</v>
      </c>
      <c r="AP107">
        <f ca="1">IFERROR(((M107/100)*PONDERADORES!$D$12+(SCORECARDS!H107/100)*PONDERADORES!$D$13+(SCORECARDS!I107/100)*PONDERADORES!$D$14+(SCORECARDS!J107/100)*PONDERADORES!$D$15+(ISCAM_Score!K108/100)*PONDERADORES!$D$16+O107*PONDERADORES!$D$17+0*PONDERADORES!$D$18+(AVERAGE(W107:Z107)/2)*PONDERADORES!$D$19)/PONDERADORES!$D$20,"N/A")</f>
        <v>0</v>
      </c>
      <c r="AQ107">
        <f ca="1">COUNT(M107)+IF(SCORECARDS!H107="",0,1)+IF(SCORECARDS!I107="",0,1)+IF(SCORECARDS!J107="",0,1)+IF(ISCAM_Score!K108="",0,1)+IF(O107="",0,1)+IF(COUNT(W107:Z107)&gt;0,1,0)</f>
        <v>3</v>
      </c>
    </row>
    <row r="108" spans="1:43" ht="16.05" customHeight="1" x14ac:dyDescent="0.3">
      <c r="A108" t="s">
        <v>309</v>
      </c>
      <c r="B108" t="s">
        <v>310</v>
      </c>
      <c r="C108" t="s">
        <v>113</v>
      </c>
      <c r="D108" t="s">
        <v>73</v>
      </c>
      <c r="E108">
        <v>21233720.820000011</v>
      </c>
      <c r="F108">
        <v>93</v>
      </c>
      <c r="G108" t="s">
        <v>66</v>
      </c>
      <c r="J108" t="s">
        <v>67</v>
      </c>
      <c r="L108">
        <v>10616860.41</v>
      </c>
      <c r="M108">
        <f t="shared" si="15"/>
        <v>50</v>
      </c>
      <c r="N108" t="s">
        <v>68</v>
      </c>
      <c r="O108">
        <f t="shared" si="16"/>
        <v>0</v>
      </c>
      <c r="P108" t="s">
        <v>68</v>
      </c>
      <c r="S108">
        <f t="shared" ca="1" si="17"/>
        <v>12.5</v>
      </c>
      <c r="T108" t="str">
        <f t="shared" ca="1" si="18"/>
        <v>⬜  Parcial · Inst. 2 pendiente</v>
      </c>
      <c r="U108" s="53">
        <v>1</v>
      </c>
      <c r="V108" t="s">
        <v>69</v>
      </c>
      <c r="W108">
        <f>IF(NORMALIZADO!BV108="",1,NORMALIZADO!BV108)</f>
        <v>1</v>
      </c>
      <c r="X108">
        <f>IF(NORMALIZADO!BW108="",0,NORMALIZADO!BW108)</f>
        <v>0</v>
      </c>
      <c r="Y108">
        <f>IF(NORMALIZADO!BX108="",0,NORMALIZADO!BX108)</f>
        <v>0</v>
      </c>
      <c r="Z108">
        <f>IF(NORMALIZADO!BY108="",0,NORMALIZADO!BY108)</f>
        <v>0</v>
      </c>
      <c r="AA108">
        <v>0</v>
      </c>
      <c r="AB108">
        <v>0</v>
      </c>
      <c r="AC108">
        <v>0</v>
      </c>
      <c r="AD108">
        <v>0</v>
      </c>
      <c r="AE108">
        <v>0</v>
      </c>
      <c r="AF108">
        <v>0</v>
      </c>
      <c r="AG108">
        <v>0</v>
      </c>
      <c r="AH108">
        <v>0</v>
      </c>
      <c r="AI108">
        <v>0</v>
      </c>
      <c r="AJ108">
        <v>0</v>
      </c>
      <c r="AK108">
        <v>0</v>
      </c>
      <c r="AL108">
        <v>0</v>
      </c>
      <c r="AM108">
        <v>0</v>
      </c>
      <c r="AN108">
        <v>0</v>
      </c>
      <c r="AO108">
        <f t="shared" si="19"/>
        <v>0</v>
      </c>
      <c r="AP108">
        <f ca="1">IFERROR(((M108/100)*PONDERADORES!$D$12+(SCORECARDS!H108/100)*PONDERADORES!$D$13+(SCORECARDS!I108/100)*PONDERADORES!$D$14+(SCORECARDS!J108/100)*PONDERADORES!$D$15+(ISCAM_Score!K109/100)*PONDERADORES!$D$16+O108*PONDERADORES!$D$17+0*PONDERADORES!$D$18+(AVERAGE(W108:Z108)/2)*PONDERADORES!$D$19)/PONDERADORES!$D$20,"N/A")</f>
        <v>0.125</v>
      </c>
      <c r="AQ108">
        <f ca="1">COUNT(M108)+IF(SCORECARDS!H108="",0,1)+IF(SCORECARDS!I108="",0,1)+IF(SCORECARDS!J108="",0,1)+IF(ISCAM_Score!K109="",0,1)+IF(O108="",0,1)+IF(COUNT(W108:Z108)&gt;0,1,0)</f>
        <v>3</v>
      </c>
    </row>
    <row r="109" spans="1:43" ht="16.05" customHeight="1" x14ac:dyDescent="0.3">
      <c r="A109" t="s">
        <v>311</v>
      </c>
      <c r="B109" t="s">
        <v>312</v>
      </c>
      <c r="C109" t="s">
        <v>72</v>
      </c>
      <c r="D109" t="s">
        <v>73</v>
      </c>
      <c r="G109" t="s">
        <v>74</v>
      </c>
      <c r="J109" t="s">
        <v>128</v>
      </c>
      <c r="L109">
        <v>0</v>
      </c>
      <c r="M109">
        <f t="shared" si="15"/>
        <v>0</v>
      </c>
      <c r="N109" t="s">
        <v>68</v>
      </c>
      <c r="O109">
        <f t="shared" si="16"/>
        <v>0</v>
      </c>
      <c r="P109" t="s">
        <v>68</v>
      </c>
      <c r="S109">
        <f t="shared" ca="1" si="17"/>
        <v>0</v>
      </c>
      <c r="T109" t="str">
        <f t="shared" ca="1" si="18"/>
        <v>⬜  Parcial · Inst. 2 pendiente</v>
      </c>
      <c r="U109" s="53">
        <v>1</v>
      </c>
      <c r="V109" t="s">
        <v>69</v>
      </c>
      <c r="W109">
        <f>IF(NORMALIZADO!BV109="",0,NORMALIZADO!BV109)</f>
        <v>0</v>
      </c>
      <c r="X109">
        <f>IF(NORMALIZADO!BW109="",0,NORMALIZADO!BW109)</f>
        <v>0</v>
      </c>
      <c r="Y109">
        <f>IF(NORMALIZADO!BX109="",0,NORMALIZADO!BX109)</f>
        <v>0</v>
      </c>
      <c r="Z109">
        <f>IF(NORMALIZADO!BY109="",0,NORMALIZADO!BY109)</f>
        <v>0</v>
      </c>
      <c r="AA109">
        <v>0</v>
      </c>
      <c r="AB109">
        <v>0</v>
      </c>
      <c r="AC109">
        <v>0</v>
      </c>
      <c r="AD109">
        <v>0</v>
      </c>
      <c r="AE109">
        <v>0</v>
      </c>
      <c r="AF109">
        <v>0</v>
      </c>
      <c r="AG109">
        <v>0</v>
      </c>
      <c r="AH109">
        <v>0</v>
      </c>
      <c r="AI109">
        <v>0</v>
      </c>
      <c r="AJ109">
        <v>0</v>
      </c>
      <c r="AK109">
        <v>0</v>
      </c>
      <c r="AL109">
        <v>0</v>
      </c>
      <c r="AM109">
        <v>0</v>
      </c>
      <c r="AN109">
        <v>0</v>
      </c>
      <c r="AO109">
        <f t="shared" si="19"/>
        <v>0</v>
      </c>
      <c r="AP109">
        <f ca="1">IFERROR(((M109/100)*PONDERADORES!$D$12+(SCORECARDS!H109/100)*PONDERADORES!$D$13+(SCORECARDS!I109/100)*PONDERADORES!$D$14+(SCORECARDS!J109/100)*PONDERADORES!$D$15+(ISCAM_Score!K110/100)*PONDERADORES!$D$16+O109*PONDERADORES!$D$17+0*PONDERADORES!$D$18+(AVERAGE(W109:Z109)/2)*PONDERADORES!$D$19)/PONDERADORES!$D$20,"N/A")</f>
        <v>0</v>
      </c>
      <c r="AQ109">
        <f ca="1">COUNT(M109)+IF(SCORECARDS!H109="",0,1)+IF(SCORECARDS!I109="",0,1)+IF(SCORECARDS!J109="",0,1)+IF(ISCAM_Score!K110="",0,1)+IF(O109="",0,1)+IF(COUNT(W109:Z109)&gt;0,1,0)</f>
        <v>3</v>
      </c>
    </row>
    <row r="110" spans="1:43" ht="16.05" customHeight="1" x14ac:dyDescent="0.3">
      <c r="A110" t="s">
        <v>313</v>
      </c>
      <c r="B110" t="s">
        <v>314</v>
      </c>
      <c r="C110" t="s">
        <v>123</v>
      </c>
      <c r="D110" t="s">
        <v>73</v>
      </c>
      <c r="G110" t="s">
        <v>74</v>
      </c>
      <c r="J110" t="s">
        <v>67</v>
      </c>
      <c r="L110">
        <v>0</v>
      </c>
      <c r="M110">
        <f t="shared" si="15"/>
        <v>0</v>
      </c>
      <c r="N110" t="s">
        <v>68</v>
      </c>
      <c r="O110">
        <f t="shared" si="16"/>
        <v>0</v>
      </c>
      <c r="P110" t="s">
        <v>68</v>
      </c>
      <c r="S110">
        <f t="shared" ca="1" si="17"/>
        <v>0</v>
      </c>
      <c r="T110" t="str">
        <f t="shared" ca="1" si="18"/>
        <v>⬜  Parcial · Inst. 2 pendiente</v>
      </c>
      <c r="U110" s="53">
        <v>1</v>
      </c>
      <c r="V110" t="s">
        <v>69</v>
      </c>
      <c r="W110">
        <f>IF(NORMALIZADO!BV110="",0,NORMALIZADO!BV110)</f>
        <v>0</v>
      </c>
      <c r="X110">
        <f>IF(NORMALIZADO!BW110="",0,NORMALIZADO!BW110)</f>
        <v>0</v>
      </c>
      <c r="Y110">
        <f>IF(NORMALIZADO!BX110="",0,NORMALIZADO!BX110)</f>
        <v>0</v>
      </c>
      <c r="Z110">
        <f>IF(NORMALIZADO!BY110="",0,NORMALIZADO!BY110)</f>
        <v>0</v>
      </c>
      <c r="AA110">
        <v>0</v>
      </c>
      <c r="AB110">
        <v>0</v>
      </c>
      <c r="AC110">
        <v>0</v>
      </c>
      <c r="AD110">
        <v>0</v>
      </c>
      <c r="AE110">
        <v>0</v>
      </c>
      <c r="AF110">
        <v>0</v>
      </c>
      <c r="AG110">
        <v>0</v>
      </c>
      <c r="AH110">
        <v>0</v>
      </c>
      <c r="AI110">
        <v>0</v>
      </c>
      <c r="AJ110">
        <v>0</v>
      </c>
      <c r="AK110">
        <v>0</v>
      </c>
      <c r="AL110">
        <v>0</v>
      </c>
      <c r="AM110">
        <v>0</v>
      </c>
      <c r="AN110">
        <v>0</v>
      </c>
      <c r="AO110">
        <f t="shared" si="19"/>
        <v>0</v>
      </c>
      <c r="AP110">
        <f ca="1">IFERROR(((M110/100)*PONDERADORES!$D$12+(SCORECARDS!H110/100)*PONDERADORES!$D$13+(SCORECARDS!I110/100)*PONDERADORES!$D$14+(SCORECARDS!J110/100)*PONDERADORES!$D$15+(ISCAM_Score!K111/100)*PONDERADORES!$D$16+O110*PONDERADORES!$D$17+0*PONDERADORES!$D$18+(AVERAGE(W110:Z110)/2)*PONDERADORES!$D$19)/PONDERADORES!$D$20,"N/A")</f>
        <v>0</v>
      </c>
      <c r="AQ110">
        <f ca="1">COUNT(M110)+IF(SCORECARDS!H110="",0,1)+IF(SCORECARDS!I110="",0,1)+IF(SCORECARDS!J110="",0,1)+IF(ISCAM_Score!K111="",0,1)+IF(O110="",0,1)+IF(COUNT(W110:Z110)&gt;0,1,0)</f>
        <v>3</v>
      </c>
    </row>
    <row r="111" spans="1:43" ht="16.05" customHeight="1" x14ac:dyDescent="0.3">
      <c r="A111" t="s">
        <v>315</v>
      </c>
      <c r="B111" t="s">
        <v>316</v>
      </c>
      <c r="C111" t="s">
        <v>116</v>
      </c>
      <c r="D111" t="s">
        <v>65</v>
      </c>
      <c r="E111">
        <v>3887946.29</v>
      </c>
      <c r="F111">
        <v>16</v>
      </c>
      <c r="G111" t="s">
        <v>66</v>
      </c>
      <c r="J111" t="s">
        <v>67</v>
      </c>
      <c r="L111">
        <v>0</v>
      </c>
      <c r="M111">
        <f t="shared" si="15"/>
        <v>0</v>
      </c>
      <c r="N111" t="s">
        <v>68</v>
      </c>
      <c r="O111">
        <f t="shared" si="16"/>
        <v>0</v>
      </c>
      <c r="P111" t="s">
        <v>68</v>
      </c>
      <c r="S111">
        <f t="shared" ca="1" si="17"/>
        <v>0</v>
      </c>
      <c r="T111" t="str">
        <f t="shared" ca="1" si="18"/>
        <v>⬜  Parcial · Inst. 2 pendiente</v>
      </c>
      <c r="U111" s="53">
        <v>1</v>
      </c>
      <c r="V111" t="s">
        <v>69</v>
      </c>
      <c r="W111">
        <f>IF(NORMALIZADO!BV111="",0,NORMALIZADO!BV111)</f>
        <v>0</v>
      </c>
      <c r="X111">
        <f>IF(NORMALIZADO!BW111="",0,NORMALIZADO!BW111)</f>
        <v>0</v>
      </c>
      <c r="Y111">
        <f>IF(NORMALIZADO!BX111="",0,NORMALIZADO!BX111)</f>
        <v>0</v>
      </c>
      <c r="Z111">
        <f>IF(NORMALIZADO!BY111="",0,NORMALIZADO!BY111)</f>
        <v>0</v>
      </c>
      <c r="AA111">
        <v>0</v>
      </c>
      <c r="AB111">
        <v>0</v>
      </c>
      <c r="AC111">
        <v>0</v>
      </c>
      <c r="AD111">
        <v>0</v>
      </c>
      <c r="AE111">
        <v>0</v>
      </c>
      <c r="AF111">
        <v>0</v>
      </c>
      <c r="AG111">
        <v>0</v>
      </c>
      <c r="AH111">
        <v>0</v>
      </c>
      <c r="AI111">
        <v>0</v>
      </c>
      <c r="AJ111">
        <v>0</v>
      </c>
      <c r="AK111">
        <v>0</v>
      </c>
      <c r="AL111">
        <v>0</v>
      </c>
      <c r="AM111">
        <v>0</v>
      </c>
      <c r="AN111">
        <v>0</v>
      </c>
      <c r="AO111">
        <f t="shared" si="19"/>
        <v>0</v>
      </c>
      <c r="AP111">
        <f ca="1">IFERROR(((M111/100)*PONDERADORES!$D$12+(SCORECARDS!H111/100)*PONDERADORES!$D$13+(SCORECARDS!I111/100)*PONDERADORES!$D$14+(SCORECARDS!J111/100)*PONDERADORES!$D$15+(ISCAM_Score!K112/100)*PONDERADORES!$D$16+O111*PONDERADORES!$D$17+0*PONDERADORES!$D$18+(AVERAGE(W111:Z111)/2)*PONDERADORES!$D$19)/PONDERADORES!$D$20,"N/A")</f>
        <v>0</v>
      </c>
      <c r="AQ111">
        <f ca="1">COUNT(M111)+IF(SCORECARDS!H111="",0,1)+IF(SCORECARDS!I111="",0,1)+IF(SCORECARDS!J111="",0,1)+IF(ISCAM_Score!K112="",0,1)+IF(O111="",0,1)+IF(COUNT(W111:Z111)&gt;0,1,0)</f>
        <v>3</v>
      </c>
    </row>
    <row r="112" spans="1:43" ht="16.05" customHeight="1" x14ac:dyDescent="0.3">
      <c r="A112" t="s">
        <v>317</v>
      </c>
      <c r="B112" t="s">
        <v>318</v>
      </c>
      <c r="C112" t="s">
        <v>123</v>
      </c>
      <c r="D112" t="s">
        <v>73</v>
      </c>
      <c r="G112" t="s">
        <v>74</v>
      </c>
      <c r="J112" t="s">
        <v>67</v>
      </c>
      <c r="L112">
        <v>0</v>
      </c>
      <c r="M112">
        <f t="shared" si="15"/>
        <v>0</v>
      </c>
      <c r="N112" t="s">
        <v>68</v>
      </c>
      <c r="O112">
        <f t="shared" si="16"/>
        <v>0</v>
      </c>
      <c r="P112" t="s">
        <v>68</v>
      </c>
      <c r="S112">
        <f t="shared" ca="1" si="17"/>
        <v>0</v>
      </c>
      <c r="T112" t="str">
        <f t="shared" ca="1" si="18"/>
        <v>⬜  Parcial · Inst. 2 pendiente</v>
      </c>
      <c r="U112" s="53">
        <v>1</v>
      </c>
      <c r="V112" t="s">
        <v>69</v>
      </c>
      <c r="W112">
        <f>IF(NORMALIZADO!BV112="",0,NORMALIZADO!BV112)</f>
        <v>0</v>
      </c>
      <c r="X112">
        <f>IF(NORMALIZADO!BW112="",0,NORMALIZADO!BW112)</f>
        <v>0</v>
      </c>
      <c r="Y112">
        <f>IF(NORMALIZADO!BX112="",0,NORMALIZADO!BX112)</f>
        <v>0</v>
      </c>
      <c r="Z112">
        <f>IF(NORMALIZADO!BY112="",0,NORMALIZADO!BY112)</f>
        <v>0</v>
      </c>
      <c r="AA112">
        <v>0</v>
      </c>
      <c r="AB112">
        <v>0</v>
      </c>
      <c r="AC112">
        <v>0</v>
      </c>
      <c r="AD112">
        <v>0</v>
      </c>
      <c r="AE112">
        <v>0</v>
      </c>
      <c r="AF112">
        <v>0</v>
      </c>
      <c r="AG112">
        <v>0</v>
      </c>
      <c r="AH112">
        <v>0</v>
      </c>
      <c r="AI112">
        <v>0</v>
      </c>
      <c r="AJ112">
        <v>0</v>
      </c>
      <c r="AK112">
        <v>0</v>
      </c>
      <c r="AL112">
        <v>0</v>
      </c>
      <c r="AM112">
        <v>0</v>
      </c>
      <c r="AN112">
        <v>0</v>
      </c>
      <c r="AO112">
        <f t="shared" si="19"/>
        <v>0</v>
      </c>
      <c r="AP112">
        <f ca="1">IFERROR(((M112/100)*PONDERADORES!$D$12+(SCORECARDS!H112/100)*PONDERADORES!$D$13+(SCORECARDS!I112/100)*PONDERADORES!$D$14+(SCORECARDS!J112/100)*PONDERADORES!$D$15+(ISCAM_Score!K113/100)*PONDERADORES!$D$16+O112*PONDERADORES!$D$17+0*PONDERADORES!$D$18+(AVERAGE(W112:Z112)/2)*PONDERADORES!$D$19)/PONDERADORES!$D$20,"N/A")</f>
        <v>0</v>
      </c>
      <c r="AQ112">
        <f ca="1">COUNT(M112)+IF(SCORECARDS!H112="",0,1)+IF(SCORECARDS!I112="",0,1)+IF(SCORECARDS!J112="",0,1)+IF(ISCAM_Score!K113="",0,1)+IF(O112="",0,1)+IF(COUNT(W112:Z112)&gt;0,1,0)</f>
        <v>3</v>
      </c>
    </row>
    <row r="113" spans="1:43" ht="16.05" customHeight="1" x14ac:dyDescent="0.3">
      <c r="A113" t="s">
        <v>319</v>
      </c>
      <c r="B113" t="s">
        <v>320</v>
      </c>
      <c r="C113" t="s">
        <v>154</v>
      </c>
      <c r="D113" t="s">
        <v>65</v>
      </c>
      <c r="E113">
        <v>464428.88</v>
      </c>
      <c r="F113">
        <v>3</v>
      </c>
      <c r="G113" t="s">
        <v>66</v>
      </c>
      <c r="J113" t="s">
        <v>67</v>
      </c>
      <c r="L113">
        <v>0</v>
      </c>
      <c r="M113">
        <f t="shared" si="15"/>
        <v>0</v>
      </c>
      <c r="N113" t="s">
        <v>68</v>
      </c>
      <c r="O113">
        <f t="shared" si="16"/>
        <v>0</v>
      </c>
      <c r="P113" t="s">
        <v>68</v>
      </c>
      <c r="S113">
        <f t="shared" ca="1" si="17"/>
        <v>0</v>
      </c>
      <c r="T113" t="str">
        <f t="shared" ca="1" si="18"/>
        <v>⬜  Parcial · Inst. 2 pendiente</v>
      </c>
      <c r="U113" s="53">
        <v>1</v>
      </c>
      <c r="V113" t="s">
        <v>69</v>
      </c>
      <c r="W113">
        <f>IF(NORMALIZADO!BV113="",0,NORMALIZADO!BV113)</f>
        <v>0</v>
      </c>
      <c r="X113">
        <f>IF(NORMALIZADO!BW113="",0,NORMALIZADO!BW113)</f>
        <v>0</v>
      </c>
      <c r="Y113">
        <f>IF(NORMALIZADO!BX113="",0,NORMALIZADO!BX113)</f>
        <v>0</v>
      </c>
      <c r="Z113">
        <f>IF(NORMALIZADO!BY113="",0,NORMALIZADO!BY113)</f>
        <v>0</v>
      </c>
      <c r="AA113">
        <v>0</v>
      </c>
      <c r="AB113">
        <v>0</v>
      </c>
      <c r="AC113">
        <v>0</v>
      </c>
      <c r="AD113">
        <v>0</v>
      </c>
      <c r="AE113">
        <v>0</v>
      </c>
      <c r="AF113">
        <v>0</v>
      </c>
      <c r="AG113">
        <v>0</v>
      </c>
      <c r="AH113">
        <v>0</v>
      </c>
      <c r="AI113">
        <v>0</v>
      </c>
      <c r="AJ113">
        <v>0</v>
      </c>
      <c r="AK113">
        <v>0</v>
      </c>
      <c r="AL113">
        <v>0</v>
      </c>
      <c r="AM113">
        <v>0</v>
      </c>
      <c r="AN113">
        <v>0</v>
      </c>
      <c r="AO113">
        <f t="shared" si="19"/>
        <v>0</v>
      </c>
      <c r="AP113">
        <f ca="1">IFERROR(((M113/100)*PONDERADORES!$D$12+(SCORECARDS!H113/100)*PONDERADORES!$D$13+(SCORECARDS!I113/100)*PONDERADORES!$D$14+(SCORECARDS!J113/100)*PONDERADORES!$D$15+(ISCAM_Score!K114/100)*PONDERADORES!$D$16+O113*PONDERADORES!$D$17+0*PONDERADORES!$D$18+(AVERAGE(W113:Z113)/2)*PONDERADORES!$D$19)/PONDERADORES!$D$20,"N/A")</f>
        <v>0</v>
      </c>
      <c r="AQ113">
        <f ca="1">COUNT(M113)+IF(SCORECARDS!H113="",0,1)+IF(SCORECARDS!I113="",0,1)+IF(SCORECARDS!J113="",0,1)+IF(ISCAM_Score!K114="",0,1)+IF(O113="",0,1)+IF(COUNT(W113:Z113)&gt;0,1,0)</f>
        <v>3</v>
      </c>
    </row>
    <row r="114" spans="1:43" ht="16.05" customHeight="1" x14ac:dyDescent="0.3">
      <c r="A114" t="s">
        <v>321</v>
      </c>
      <c r="B114" t="s">
        <v>322</v>
      </c>
      <c r="C114" t="s">
        <v>248</v>
      </c>
      <c r="D114" t="s">
        <v>73</v>
      </c>
      <c r="G114" t="s">
        <v>74</v>
      </c>
      <c r="J114" t="s">
        <v>67</v>
      </c>
      <c r="L114">
        <v>0</v>
      </c>
      <c r="M114">
        <f t="shared" si="15"/>
        <v>0</v>
      </c>
      <c r="N114" t="s">
        <v>68</v>
      </c>
      <c r="O114">
        <f t="shared" si="16"/>
        <v>0</v>
      </c>
      <c r="P114" t="s">
        <v>68</v>
      </c>
      <c r="S114">
        <f t="shared" ca="1" si="17"/>
        <v>0</v>
      </c>
      <c r="T114" t="str">
        <f t="shared" ca="1" si="18"/>
        <v>⬜  Parcial · Inst. 2 pendiente</v>
      </c>
      <c r="U114" s="53">
        <v>1</v>
      </c>
      <c r="V114" t="s">
        <v>69</v>
      </c>
      <c r="W114">
        <f>IF(NORMALIZADO!BV114="",0,NORMALIZADO!BV114)</f>
        <v>0</v>
      </c>
      <c r="X114">
        <f>IF(NORMALIZADO!BW114="",0,NORMALIZADO!BW114)</f>
        <v>0</v>
      </c>
      <c r="Y114">
        <f>IF(NORMALIZADO!BX114="",0,NORMALIZADO!BX114)</f>
        <v>0</v>
      </c>
      <c r="Z114">
        <f>IF(NORMALIZADO!BY114="",0,NORMALIZADO!BY114)</f>
        <v>0</v>
      </c>
      <c r="AA114">
        <v>0</v>
      </c>
      <c r="AB114">
        <v>0</v>
      </c>
      <c r="AC114">
        <v>0</v>
      </c>
      <c r="AD114">
        <v>0</v>
      </c>
      <c r="AE114">
        <v>0</v>
      </c>
      <c r="AF114">
        <v>0</v>
      </c>
      <c r="AG114">
        <v>0</v>
      </c>
      <c r="AH114">
        <v>0</v>
      </c>
      <c r="AI114">
        <v>0</v>
      </c>
      <c r="AJ114">
        <v>0</v>
      </c>
      <c r="AK114">
        <v>0</v>
      </c>
      <c r="AL114">
        <v>0</v>
      </c>
      <c r="AM114">
        <v>0</v>
      </c>
      <c r="AN114">
        <v>0</v>
      </c>
      <c r="AO114">
        <f t="shared" si="19"/>
        <v>0</v>
      </c>
      <c r="AP114">
        <f ca="1">IFERROR(((M114/100)*PONDERADORES!$D$12+(SCORECARDS!H114/100)*PONDERADORES!$D$13+(SCORECARDS!I114/100)*PONDERADORES!$D$14+(SCORECARDS!J114/100)*PONDERADORES!$D$15+(ISCAM_Score!K115/100)*PONDERADORES!$D$16+O114*PONDERADORES!$D$17+0*PONDERADORES!$D$18+(AVERAGE(W114:Z114)/2)*PONDERADORES!$D$19)/PONDERADORES!$D$20,"N/A")</f>
        <v>0</v>
      </c>
      <c r="AQ114">
        <f ca="1">COUNT(M114)+IF(SCORECARDS!H114="",0,1)+IF(SCORECARDS!I114="",0,1)+IF(SCORECARDS!J114="",0,1)+IF(ISCAM_Score!K115="",0,1)+IF(O114="",0,1)+IF(COUNT(W114:Z114)&gt;0,1,0)</f>
        <v>3</v>
      </c>
    </row>
    <row r="115" spans="1:43" ht="16.05" customHeight="1" x14ac:dyDescent="0.3">
      <c r="A115" t="s">
        <v>323</v>
      </c>
      <c r="B115" t="s">
        <v>324</v>
      </c>
      <c r="C115" t="s">
        <v>143</v>
      </c>
      <c r="D115" t="s">
        <v>65</v>
      </c>
      <c r="E115">
        <v>1789601.59</v>
      </c>
      <c r="F115">
        <v>11</v>
      </c>
      <c r="G115" t="s">
        <v>66</v>
      </c>
      <c r="J115" t="s">
        <v>67</v>
      </c>
      <c r="L115">
        <v>0</v>
      </c>
      <c r="M115">
        <f t="shared" si="15"/>
        <v>0</v>
      </c>
      <c r="N115" t="s">
        <v>68</v>
      </c>
      <c r="O115">
        <f t="shared" si="16"/>
        <v>0</v>
      </c>
      <c r="P115" t="s">
        <v>68</v>
      </c>
      <c r="S115">
        <f t="shared" ca="1" si="17"/>
        <v>0</v>
      </c>
      <c r="T115" t="str">
        <f t="shared" ca="1" si="18"/>
        <v>⬜  Parcial · Inst. 2 pendiente</v>
      </c>
      <c r="U115" s="53">
        <v>1</v>
      </c>
      <c r="V115" t="s">
        <v>69</v>
      </c>
      <c r="W115">
        <f>IF(NORMALIZADO!BV115="",0,NORMALIZADO!BV115)</f>
        <v>0</v>
      </c>
      <c r="X115">
        <f>IF(NORMALIZADO!BW115="",0,NORMALIZADO!BW115)</f>
        <v>0</v>
      </c>
      <c r="Y115">
        <f>IF(NORMALIZADO!BX115="",0,NORMALIZADO!BX115)</f>
        <v>0</v>
      </c>
      <c r="Z115">
        <f>IF(NORMALIZADO!BY115="",0,NORMALIZADO!BY115)</f>
        <v>0</v>
      </c>
      <c r="AA115">
        <v>0</v>
      </c>
      <c r="AB115">
        <v>0</v>
      </c>
      <c r="AC115">
        <v>0</v>
      </c>
      <c r="AD115">
        <v>0</v>
      </c>
      <c r="AE115">
        <v>0</v>
      </c>
      <c r="AF115">
        <v>0</v>
      </c>
      <c r="AG115">
        <v>0</v>
      </c>
      <c r="AH115">
        <v>0</v>
      </c>
      <c r="AI115">
        <v>0</v>
      </c>
      <c r="AJ115">
        <v>0</v>
      </c>
      <c r="AK115">
        <v>0</v>
      </c>
      <c r="AL115">
        <v>0</v>
      </c>
      <c r="AM115">
        <v>0</v>
      </c>
      <c r="AN115">
        <v>0</v>
      </c>
      <c r="AO115">
        <f t="shared" si="19"/>
        <v>0</v>
      </c>
      <c r="AP115">
        <f ca="1">IFERROR(((M115/100)*PONDERADORES!$D$12+(SCORECARDS!H115/100)*PONDERADORES!$D$13+(SCORECARDS!I115/100)*PONDERADORES!$D$14+(SCORECARDS!J115/100)*PONDERADORES!$D$15+(ISCAM_Score!K116/100)*PONDERADORES!$D$16+O115*PONDERADORES!$D$17+0*PONDERADORES!$D$18+(AVERAGE(W115:Z115)/2)*PONDERADORES!$D$19)/PONDERADORES!$D$20,"N/A")</f>
        <v>0</v>
      </c>
      <c r="AQ115">
        <f ca="1">COUNT(M115)+IF(SCORECARDS!H115="",0,1)+IF(SCORECARDS!I115="",0,1)+IF(SCORECARDS!J115="",0,1)+IF(ISCAM_Score!K116="",0,1)+IF(O115="",0,1)+IF(COUNT(W115:Z115)&gt;0,1,0)</f>
        <v>3</v>
      </c>
    </row>
    <row r="116" spans="1:43" ht="16.05" customHeight="1" x14ac:dyDescent="0.3">
      <c r="A116" t="s">
        <v>325</v>
      </c>
      <c r="B116" t="s">
        <v>326</v>
      </c>
      <c r="C116" t="s">
        <v>248</v>
      </c>
      <c r="D116" t="s">
        <v>73</v>
      </c>
      <c r="G116" t="s">
        <v>74</v>
      </c>
      <c r="J116" t="s">
        <v>67</v>
      </c>
      <c r="L116">
        <v>0</v>
      </c>
      <c r="M116">
        <f t="shared" si="15"/>
        <v>0</v>
      </c>
      <c r="N116" t="s">
        <v>68</v>
      </c>
      <c r="O116">
        <f t="shared" si="16"/>
        <v>0</v>
      </c>
      <c r="P116" t="s">
        <v>68</v>
      </c>
      <c r="S116">
        <f t="shared" ca="1" si="17"/>
        <v>0</v>
      </c>
      <c r="T116" t="str">
        <f t="shared" ca="1" si="18"/>
        <v>⬜  Parcial · Inst. 2 pendiente</v>
      </c>
      <c r="U116" s="53">
        <v>1</v>
      </c>
      <c r="V116" t="s">
        <v>69</v>
      </c>
      <c r="W116">
        <f>IF(NORMALIZADO!BV116="",0,NORMALIZADO!BV116)</f>
        <v>0</v>
      </c>
      <c r="X116">
        <f>IF(NORMALIZADO!BW116="",0,NORMALIZADO!BW116)</f>
        <v>0</v>
      </c>
      <c r="Y116">
        <f>IF(NORMALIZADO!BX116="",0,NORMALIZADO!BX116)</f>
        <v>0</v>
      </c>
      <c r="Z116">
        <f>IF(NORMALIZADO!BY116="",0,NORMALIZADO!BY116)</f>
        <v>0</v>
      </c>
      <c r="AA116">
        <v>0</v>
      </c>
      <c r="AB116">
        <v>0</v>
      </c>
      <c r="AC116">
        <v>0</v>
      </c>
      <c r="AD116">
        <v>0</v>
      </c>
      <c r="AE116">
        <v>0</v>
      </c>
      <c r="AF116">
        <v>0</v>
      </c>
      <c r="AG116">
        <v>0</v>
      </c>
      <c r="AH116">
        <v>0</v>
      </c>
      <c r="AI116">
        <v>0</v>
      </c>
      <c r="AJ116">
        <v>0</v>
      </c>
      <c r="AK116">
        <v>0</v>
      </c>
      <c r="AL116">
        <v>0</v>
      </c>
      <c r="AM116">
        <v>0</v>
      </c>
      <c r="AN116">
        <v>0</v>
      </c>
      <c r="AO116">
        <f t="shared" si="19"/>
        <v>0</v>
      </c>
      <c r="AP116">
        <f ca="1">IFERROR(((M116/100)*PONDERADORES!$D$12+(SCORECARDS!H116/100)*PONDERADORES!$D$13+(SCORECARDS!I116/100)*PONDERADORES!$D$14+(SCORECARDS!J116/100)*PONDERADORES!$D$15+(ISCAM_Score!K117/100)*PONDERADORES!$D$16+O116*PONDERADORES!$D$17+0*PONDERADORES!$D$18+(AVERAGE(W116:Z116)/2)*PONDERADORES!$D$19)/PONDERADORES!$D$20,"N/A")</f>
        <v>0</v>
      </c>
      <c r="AQ116">
        <f ca="1">COUNT(M116)+IF(SCORECARDS!H116="",0,1)+IF(SCORECARDS!I116="",0,1)+IF(SCORECARDS!J116="",0,1)+IF(ISCAM_Score!K117="",0,1)+IF(O116="",0,1)+IF(COUNT(W116:Z116)&gt;0,1,0)</f>
        <v>3</v>
      </c>
    </row>
    <row r="117" spans="1:43" ht="16.05" customHeight="1" x14ac:dyDescent="0.3">
      <c r="A117" t="s">
        <v>327</v>
      </c>
      <c r="B117" t="s">
        <v>328</v>
      </c>
      <c r="C117" t="s">
        <v>183</v>
      </c>
      <c r="D117" t="s">
        <v>65</v>
      </c>
      <c r="G117" t="s">
        <v>74</v>
      </c>
      <c r="J117" t="s">
        <v>67</v>
      </c>
      <c r="L117">
        <v>0</v>
      </c>
      <c r="M117">
        <f t="shared" si="15"/>
        <v>0</v>
      </c>
      <c r="N117" t="s">
        <v>68</v>
      </c>
      <c r="O117">
        <f t="shared" si="16"/>
        <v>0</v>
      </c>
      <c r="P117" t="s">
        <v>68</v>
      </c>
      <c r="S117">
        <f t="shared" ca="1" si="17"/>
        <v>0</v>
      </c>
      <c r="T117" t="str">
        <f t="shared" ca="1" si="18"/>
        <v>⬜  Parcial · Inst. 2 pendiente</v>
      </c>
      <c r="U117" s="53">
        <v>1</v>
      </c>
      <c r="V117" t="s">
        <v>69</v>
      </c>
      <c r="W117">
        <f>IF(NORMALIZADO!BV117="",0,NORMALIZADO!BV117)</f>
        <v>0</v>
      </c>
      <c r="X117">
        <f>IF(NORMALIZADO!BW117="",0,NORMALIZADO!BW117)</f>
        <v>0</v>
      </c>
      <c r="Y117">
        <f>IF(NORMALIZADO!BX117="",0,NORMALIZADO!BX117)</f>
        <v>0</v>
      </c>
      <c r="Z117">
        <f>IF(NORMALIZADO!BY117="",0,NORMALIZADO!BY117)</f>
        <v>0</v>
      </c>
      <c r="AA117">
        <v>0</v>
      </c>
      <c r="AB117">
        <v>0</v>
      </c>
      <c r="AC117">
        <v>0</v>
      </c>
      <c r="AD117">
        <v>0</v>
      </c>
      <c r="AE117">
        <v>0</v>
      </c>
      <c r="AF117">
        <v>0</v>
      </c>
      <c r="AG117">
        <v>0</v>
      </c>
      <c r="AH117">
        <v>0</v>
      </c>
      <c r="AI117">
        <v>0</v>
      </c>
      <c r="AJ117">
        <v>0</v>
      </c>
      <c r="AK117">
        <v>0</v>
      </c>
      <c r="AL117">
        <v>0</v>
      </c>
      <c r="AM117">
        <v>0</v>
      </c>
      <c r="AN117">
        <v>0</v>
      </c>
      <c r="AO117">
        <f t="shared" si="19"/>
        <v>0</v>
      </c>
      <c r="AP117">
        <f ca="1">IFERROR(((M117/100)*PONDERADORES!$D$12+(SCORECARDS!H117/100)*PONDERADORES!$D$13+(SCORECARDS!I117/100)*PONDERADORES!$D$14+(SCORECARDS!J117/100)*PONDERADORES!$D$15+(ISCAM_Score!K118/100)*PONDERADORES!$D$16+O117*PONDERADORES!$D$17+0*PONDERADORES!$D$18+(AVERAGE(W117:Z117)/2)*PONDERADORES!$D$19)/PONDERADORES!$D$20,"N/A")</f>
        <v>0</v>
      </c>
      <c r="AQ117">
        <f ca="1">COUNT(M117)+IF(SCORECARDS!H117="",0,1)+IF(SCORECARDS!I117="",0,1)+IF(SCORECARDS!J117="",0,1)+IF(ISCAM_Score!K118="",0,1)+IF(O117="",0,1)+IF(COUNT(W117:Z117)&gt;0,1,0)</f>
        <v>3</v>
      </c>
    </row>
    <row r="118" spans="1:43" ht="16.05" customHeight="1" x14ac:dyDescent="0.3">
      <c r="A118" t="s">
        <v>329</v>
      </c>
      <c r="B118" t="s">
        <v>330</v>
      </c>
      <c r="C118" t="s">
        <v>113</v>
      </c>
      <c r="D118" t="s">
        <v>73</v>
      </c>
      <c r="G118" t="s">
        <v>74</v>
      </c>
      <c r="J118" t="s">
        <v>110</v>
      </c>
      <c r="L118">
        <v>0</v>
      </c>
      <c r="M118">
        <f t="shared" si="15"/>
        <v>0</v>
      </c>
      <c r="N118" t="s">
        <v>68</v>
      </c>
      <c r="O118">
        <f t="shared" si="16"/>
        <v>0</v>
      </c>
      <c r="P118" t="s">
        <v>68</v>
      </c>
      <c r="S118">
        <f t="shared" ca="1" si="17"/>
        <v>0</v>
      </c>
      <c r="T118" t="str">
        <f t="shared" ca="1" si="18"/>
        <v>⬜  Parcial · Inst. 2 pendiente</v>
      </c>
      <c r="U118" s="53">
        <v>1</v>
      </c>
      <c r="V118" t="s">
        <v>69</v>
      </c>
      <c r="W118">
        <f>IF(NORMALIZADO!BV118="",0,NORMALIZADO!BV118)</f>
        <v>0</v>
      </c>
      <c r="X118">
        <f>IF(NORMALIZADO!BW118="",0,NORMALIZADO!BW118)</f>
        <v>0</v>
      </c>
      <c r="Y118">
        <f>IF(NORMALIZADO!BX118="",0,NORMALIZADO!BX118)</f>
        <v>0</v>
      </c>
      <c r="Z118">
        <f>IF(NORMALIZADO!BY118="",0,NORMALIZADO!BY118)</f>
        <v>0</v>
      </c>
      <c r="AA118">
        <v>0</v>
      </c>
      <c r="AB118">
        <v>0</v>
      </c>
      <c r="AC118">
        <v>0</v>
      </c>
      <c r="AD118">
        <v>0</v>
      </c>
      <c r="AE118">
        <v>0</v>
      </c>
      <c r="AF118">
        <v>0</v>
      </c>
      <c r="AG118">
        <v>0</v>
      </c>
      <c r="AH118">
        <v>0</v>
      </c>
      <c r="AI118">
        <v>0</v>
      </c>
      <c r="AJ118">
        <v>0</v>
      </c>
      <c r="AK118">
        <v>0</v>
      </c>
      <c r="AL118">
        <v>0</v>
      </c>
      <c r="AM118">
        <v>0</v>
      </c>
      <c r="AN118">
        <v>0</v>
      </c>
      <c r="AO118">
        <f t="shared" si="19"/>
        <v>0</v>
      </c>
      <c r="AP118">
        <f ca="1">IFERROR(((M118/100)*PONDERADORES!$D$12+(SCORECARDS!H118/100)*PONDERADORES!$D$13+(SCORECARDS!I118/100)*PONDERADORES!$D$14+(SCORECARDS!J118/100)*PONDERADORES!$D$15+(ISCAM_Score!K119/100)*PONDERADORES!$D$16+O118*PONDERADORES!$D$17+0*PONDERADORES!$D$18+(AVERAGE(W118:Z118)/2)*PONDERADORES!$D$19)/PONDERADORES!$D$20,"N/A")</f>
        <v>0</v>
      </c>
      <c r="AQ118">
        <f ca="1">COUNT(M118)+IF(SCORECARDS!H118="",0,1)+IF(SCORECARDS!I118="",0,1)+IF(SCORECARDS!J118="",0,1)+IF(ISCAM_Score!K119="",0,1)+IF(O118="",0,1)+IF(COUNT(W118:Z118)&gt;0,1,0)</f>
        <v>3</v>
      </c>
    </row>
    <row r="119" spans="1:43" ht="16.05" customHeight="1" x14ac:dyDescent="0.3">
      <c r="A119" t="s">
        <v>331</v>
      </c>
      <c r="B119" t="s">
        <v>332</v>
      </c>
      <c r="C119" t="s">
        <v>113</v>
      </c>
      <c r="D119" t="s">
        <v>73</v>
      </c>
      <c r="G119" t="s">
        <v>74</v>
      </c>
      <c r="J119" t="s">
        <v>67</v>
      </c>
      <c r="L119">
        <v>0</v>
      </c>
      <c r="M119">
        <f t="shared" si="15"/>
        <v>0</v>
      </c>
      <c r="N119" t="s">
        <v>68</v>
      </c>
      <c r="O119">
        <f t="shared" si="16"/>
        <v>0</v>
      </c>
      <c r="P119" t="s">
        <v>68</v>
      </c>
      <c r="S119">
        <f t="shared" ca="1" si="17"/>
        <v>0</v>
      </c>
      <c r="T119" t="str">
        <f t="shared" ca="1" si="18"/>
        <v>⬜  Parcial · Inst. 2 pendiente</v>
      </c>
      <c r="U119" s="53">
        <v>1</v>
      </c>
      <c r="V119" t="s">
        <v>69</v>
      </c>
      <c r="W119">
        <f>IF(NORMALIZADO!BV119="",0,NORMALIZADO!BV119)</f>
        <v>0</v>
      </c>
      <c r="X119">
        <f>IF(NORMALIZADO!BW119="",0,NORMALIZADO!BW119)</f>
        <v>0</v>
      </c>
      <c r="Y119">
        <f>IF(NORMALIZADO!BX119="",0,NORMALIZADO!BX119)</f>
        <v>0</v>
      </c>
      <c r="Z119">
        <f>IF(NORMALIZADO!BY119="",0,NORMALIZADO!BY119)</f>
        <v>0</v>
      </c>
      <c r="AA119">
        <v>0</v>
      </c>
      <c r="AB119">
        <v>0</v>
      </c>
      <c r="AC119">
        <v>0</v>
      </c>
      <c r="AD119">
        <v>0</v>
      </c>
      <c r="AE119">
        <v>0</v>
      </c>
      <c r="AF119">
        <v>0</v>
      </c>
      <c r="AG119">
        <v>0</v>
      </c>
      <c r="AH119">
        <v>0</v>
      </c>
      <c r="AI119">
        <v>0</v>
      </c>
      <c r="AJ119">
        <v>0</v>
      </c>
      <c r="AK119">
        <v>0</v>
      </c>
      <c r="AL119">
        <v>0</v>
      </c>
      <c r="AM119">
        <v>0</v>
      </c>
      <c r="AN119">
        <v>0</v>
      </c>
      <c r="AO119">
        <f t="shared" si="19"/>
        <v>0</v>
      </c>
      <c r="AP119">
        <f ca="1">IFERROR(((M119/100)*PONDERADORES!$D$12+(SCORECARDS!H119/100)*PONDERADORES!$D$13+(SCORECARDS!I119/100)*PONDERADORES!$D$14+(SCORECARDS!J119/100)*PONDERADORES!$D$15+(ISCAM_Score!K120/100)*PONDERADORES!$D$16+O119*PONDERADORES!$D$17+0*PONDERADORES!$D$18+(AVERAGE(W119:Z119)/2)*PONDERADORES!$D$19)/PONDERADORES!$D$20,"N/A")</f>
        <v>0</v>
      </c>
      <c r="AQ119">
        <f ca="1">COUNT(M119)+IF(SCORECARDS!H119="",0,1)+IF(SCORECARDS!I119="",0,1)+IF(SCORECARDS!J119="",0,1)+IF(ISCAM_Score!K120="",0,1)+IF(O119="",0,1)+IF(COUNT(W119:Z119)&gt;0,1,0)</f>
        <v>3</v>
      </c>
    </row>
    <row r="120" spans="1:43" ht="16.05" customHeight="1" x14ac:dyDescent="0.3">
      <c r="A120" t="s">
        <v>333</v>
      </c>
      <c r="B120" t="s">
        <v>334</v>
      </c>
      <c r="C120" t="s">
        <v>154</v>
      </c>
      <c r="D120" t="s">
        <v>65</v>
      </c>
      <c r="G120" t="s">
        <v>74</v>
      </c>
      <c r="J120" t="s">
        <v>67</v>
      </c>
      <c r="L120">
        <v>0</v>
      </c>
      <c r="M120">
        <f t="shared" si="15"/>
        <v>0</v>
      </c>
      <c r="N120" t="s">
        <v>68</v>
      </c>
      <c r="O120">
        <f t="shared" si="16"/>
        <v>0</v>
      </c>
      <c r="P120" t="s">
        <v>68</v>
      </c>
      <c r="S120">
        <f t="shared" ca="1" si="17"/>
        <v>0</v>
      </c>
      <c r="T120" t="str">
        <f t="shared" ca="1" si="18"/>
        <v>⬜  Parcial · Inst. 2 pendiente</v>
      </c>
      <c r="U120" s="53">
        <v>1</v>
      </c>
      <c r="V120" t="s">
        <v>69</v>
      </c>
      <c r="W120">
        <f>IF(NORMALIZADO!BV120="",0,NORMALIZADO!BV120)</f>
        <v>0</v>
      </c>
      <c r="X120">
        <f>IF(NORMALIZADO!BW120="",0,NORMALIZADO!BW120)</f>
        <v>0</v>
      </c>
      <c r="Y120">
        <f>IF(NORMALIZADO!BX120="",0,NORMALIZADO!BX120)</f>
        <v>0</v>
      </c>
      <c r="Z120">
        <f>IF(NORMALIZADO!BY120="",0,NORMALIZADO!BY120)</f>
        <v>0</v>
      </c>
      <c r="AA120">
        <v>0</v>
      </c>
      <c r="AB120">
        <v>0</v>
      </c>
      <c r="AC120">
        <v>0</v>
      </c>
      <c r="AD120">
        <v>0</v>
      </c>
      <c r="AE120">
        <v>0</v>
      </c>
      <c r="AF120">
        <v>0</v>
      </c>
      <c r="AG120">
        <v>0</v>
      </c>
      <c r="AH120">
        <v>0</v>
      </c>
      <c r="AI120">
        <v>0</v>
      </c>
      <c r="AJ120">
        <v>0</v>
      </c>
      <c r="AK120">
        <v>0</v>
      </c>
      <c r="AL120">
        <v>0</v>
      </c>
      <c r="AM120">
        <v>0</v>
      </c>
      <c r="AN120">
        <v>0</v>
      </c>
      <c r="AO120">
        <f t="shared" si="19"/>
        <v>0</v>
      </c>
      <c r="AP120">
        <f ca="1">IFERROR(((M120/100)*PONDERADORES!$D$12+(SCORECARDS!H120/100)*PONDERADORES!$D$13+(SCORECARDS!I120/100)*PONDERADORES!$D$14+(SCORECARDS!J120/100)*PONDERADORES!$D$15+(ISCAM_Score!K121/100)*PONDERADORES!$D$16+O120*PONDERADORES!$D$17+0*PONDERADORES!$D$18+(AVERAGE(W120:Z120)/2)*PONDERADORES!$D$19)/PONDERADORES!$D$20,"N/A")</f>
        <v>0</v>
      </c>
      <c r="AQ120">
        <f ca="1">COUNT(M120)+IF(SCORECARDS!H120="",0,1)+IF(SCORECARDS!I120="",0,1)+IF(SCORECARDS!J120="",0,1)+IF(ISCAM_Score!K121="",0,1)+IF(O120="",0,1)+IF(COUNT(W120:Z120)&gt;0,1,0)</f>
        <v>3</v>
      </c>
    </row>
    <row r="121" spans="1:43" ht="16.05" customHeight="1" x14ac:dyDescent="0.3">
      <c r="A121" t="s">
        <v>335</v>
      </c>
      <c r="B121" t="s">
        <v>336</v>
      </c>
      <c r="C121" t="s">
        <v>257</v>
      </c>
      <c r="D121" t="s">
        <v>65</v>
      </c>
      <c r="G121" t="s">
        <v>74</v>
      </c>
      <c r="J121" t="s">
        <v>67</v>
      </c>
      <c r="L121">
        <v>0</v>
      </c>
      <c r="M121">
        <f t="shared" si="15"/>
        <v>0</v>
      </c>
      <c r="N121" t="s">
        <v>68</v>
      </c>
      <c r="O121">
        <f t="shared" si="16"/>
        <v>0</v>
      </c>
      <c r="P121" t="s">
        <v>68</v>
      </c>
      <c r="S121">
        <f t="shared" ca="1" si="17"/>
        <v>0</v>
      </c>
      <c r="T121" t="str">
        <f t="shared" ca="1" si="18"/>
        <v>⬜  Parcial · Inst. 2 pendiente</v>
      </c>
      <c r="U121" s="53">
        <v>1</v>
      </c>
      <c r="V121" t="s">
        <v>69</v>
      </c>
      <c r="W121">
        <f>IF(NORMALIZADO!BV121="",0,NORMALIZADO!BV121)</f>
        <v>0</v>
      </c>
      <c r="X121">
        <f>IF(NORMALIZADO!BW121="",0,NORMALIZADO!BW121)</f>
        <v>0</v>
      </c>
      <c r="Y121">
        <f>IF(NORMALIZADO!BX121="",0,NORMALIZADO!BX121)</f>
        <v>0</v>
      </c>
      <c r="Z121">
        <f>IF(NORMALIZADO!BY121="",0,NORMALIZADO!BY121)</f>
        <v>0</v>
      </c>
      <c r="AA121">
        <v>0</v>
      </c>
      <c r="AB121">
        <v>0</v>
      </c>
      <c r="AC121">
        <v>0</v>
      </c>
      <c r="AD121">
        <v>0</v>
      </c>
      <c r="AE121">
        <v>0</v>
      </c>
      <c r="AF121">
        <v>0</v>
      </c>
      <c r="AG121">
        <v>0</v>
      </c>
      <c r="AH121">
        <v>0</v>
      </c>
      <c r="AI121">
        <v>0</v>
      </c>
      <c r="AJ121">
        <v>0</v>
      </c>
      <c r="AK121">
        <v>0</v>
      </c>
      <c r="AL121">
        <v>0</v>
      </c>
      <c r="AM121">
        <v>0</v>
      </c>
      <c r="AN121">
        <v>0</v>
      </c>
      <c r="AO121">
        <f t="shared" si="19"/>
        <v>0</v>
      </c>
      <c r="AP121">
        <f ca="1">IFERROR(((M121/100)*PONDERADORES!$D$12+(SCORECARDS!H121/100)*PONDERADORES!$D$13+(SCORECARDS!I121/100)*PONDERADORES!$D$14+(SCORECARDS!J121/100)*PONDERADORES!$D$15+(ISCAM_Score!K122/100)*PONDERADORES!$D$16+O121*PONDERADORES!$D$17+0*PONDERADORES!$D$18+(AVERAGE(W121:Z121)/2)*PONDERADORES!$D$19)/PONDERADORES!$D$20,"N/A")</f>
        <v>0</v>
      </c>
      <c r="AQ121">
        <f ca="1">COUNT(M121)+IF(SCORECARDS!H121="",0,1)+IF(SCORECARDS!I121="",0,1)+IF(SCORECARDS!J121="",0,1)+IF(ISCAM_Score!K122="",0,1)+IF(O121="",0,1)+IF(COUNT(W121:Z121)&gt;0,1,0)</f>
        <v>3</v>
      </c>
    </row>
    <row r="122" spans="1:43" ht="16.05" customHeight="1" x14ac:dyDescent="0.3">
      <c r="A122" t="s">
        <v>337</v>
      </c>
      <c r="B122" t="s">
        <v>338</v>
      </c>
      <c r="C122" t="s">
        <v>123</v>
      </c>
      <c r="D122" t="s">
        <v>65</v>
      </c>
      <c r="G122" t="s">
        <v>74</v>
      </c>
      <c r="J122" t="s">
        <v>67</v>
      </c>
      <c r="L122">
        <v>0</v>
      </c>
      <c r="M122">
        <f t="shared" si="15"/>
        <v>0</v>
      </c>
      <c r="N122" t="s">
        <v>68</v>
      </c>
      <c r="O122">
        <f t="shared" si="16"/>
        <v>0</v>
      </c>
      <c r="P122" t="s">
        <v>68</v>
      </c>
      <c r="S122">
        <f t="shared" ca="1" si="17"/>
        <v>0</v>
      </c>
      <c r="T122" t="str">
        <f t="shared" ca="1" si="18"/>
        <v>⬜  Parcial · Inst. 2 pendiente</v>
      </c>
      <c r="U122" s="53">
        <v>1</v>
      </c>
      <c r="V122" t="s">
        <v>69</v>
      </c>
      <c r="W122">
        <f>IF(NORMALIZADO!BV122="",0,NORMALIZADO!BV122)</f>
        <v>0</v>
      </c>
      <c r="X122">
        <f>IF(NORMALIZADO!BW122="",0,NORMALIZADO!BW122)</f>
        <v>0</v>
      </c>
      <c r="Y122">
        <f>IF(NORMALIZADO!BX122="",0,NORMALIZADO!BX122)</f>
        <v>0</v>
      </c>
      <c r="Z122">
        <f>IF(NORMALIZADO!BY122="",0,NORMALIZADO!BY122)</f>
        <v>0</v>
      </c>
      <c r="AA122">
        <v>0</v>
      </c>
      <c r="AB122">
        <v>0</v>
      </c>
      <c r="AC122">
        <v>0</v>
      </c>
      <c r="AD122">
        <v>0</v>
      </c>
      <c r="AE122">
        <v>0</v>
      </c>
      <c r="AF122">
        <v>0</v>
      </c>
      <c r="AG122">
        <v>0</v>
      </c>
      <c r="AH122">
        <v>0</v>
      </c>
      <c r="AI122">
        <v>0</v>
      </c>
      <c r="AJ122">
        <v>0</v>
      </c>
      <c r="AK122">
        <v>0</v>
      </c>
      <c r="AL122">
        <v>0</v>
      </c>
      <c r="AM122">
        <v>0</v>
      </c>
      <c r="AN122">
        <v>0</v>
      </c>
      <c r="AO122">
        <f t="shared" si="19"/>
        <v>0</v>
      </c>
      <c r="AP122">
        <f ca="1">IFERROR(((M122/100)*PONDERADORES!$D$12+(SCORECARDS!H122/100)*PONDERADORES!$D$13+(SCORECARDS!I122/100)*PONDERADORES!$D$14+(SCORECARDS!J122/100)*PONDERADORES!$D$15+(ISCAM_Score!K123/100)*PONDERADORES!$D$16+O122*PONDERADORES!$D$17+0*PONDERADORES!$D$18+(AVERAGE(W122:Z122)/2)*PONDERADORES!$D$19)/PONDERADORES!$D$20,"N/A")</f>
        <v>0</v>
      </c>
      <c r="AQ122">
        <f ca="1">COUNT(M122)+IF(SCORECARDS!H122="",0,1)+IF(SCORECARDS!I122="",0,1)+IF(SCORECARDS!J122="",0,1)+IF(ISCAM_Score!K123="",0,1)+IF(O122="",0,1)+IF(COUNT(W122:Z122)&gt;0,1,0)</f>
        <v>3</v>
      </c>
    </row>
    <row r="123" spans="1:43" ht="16.05" customHeight="1" x14ac:dyDescent="0.3">
      <c r="A123" t="s">
        <v>339</v>
      </c>
      <c r="B123" t="s">
        <v>340</v>
      </c>
      <c r="C123" t="s">
        <v>77</v>
      </c>
      <c r="D123" t="s">
        <v>65</v>
      </c>
      <c r="E123">
        <v>0</v>
      </c>
      <c r="G123" t="s">
        <v>74</v>
      </c>
      <c r="J123" t="s">
        <v>128</v>
      </c>
      <c r="L123">
        <v>0</v>
      </c>
      <c r="M123">
        <f t="shared" si="15"/>
        <v>0</v>
      </c>
      <c r="N123" t="s">
        <v>68</v>
      </c>
      <c r="O123">
        <f t="shared" si="16"/>
        <v>0</v>
      </c>
      <c r="P123" t="s">
        <v>68</v>
      </c>
      <c r="S123">
        <f t="shared" ca="1" si="17"/>
        <v>0</v>
      </c>
      <c r="T123" t="str">
        <f t="shared" ca="1" si="18"/>
        <v>⬜  Parcial · Inst. 2 pendiente</v>
      </c>
      <c r="U123" s="53">
        <v>1</v>
      </c>
      <c r="V123" t="s">
        <v>69</v>
      </c>
      <c r="W123">
        <f>IF(NORMALIZADO!BV123="",0,NORMALIZADO!BV123)</f>
        <v>0</v>
      </c>
      <c r="X123">
        <f>IF(NORMALIZADO!BW123="",0,NORMALIZADO!BW123)</f>
        <v>0</v>
      </c>
      <c r="Y123">
        <f>IF(NORMALIZADO!BX123="",0,NORMALIZADO!BX123)</f>
        <v>0</v>
      </c>
      <c r="Z123">
        <f>IF(NORMALIZADO!BY123="",0,NORMALIZADO!BY123)</f>
        <v>0</v>
      </c>
      <c r="AA123">
        <v>0</v>
      </c>
      <c r="AB123">
        <v>0</v>
      </c>
      <c r="AC123">
        <v>0</v>
      </c>
      <c r="AD123">
        <v>0</v>
      </c>
      <c r="AE123">
        <v>0</v>
      </c>
      <c r="AF123">
        <v>0</v>
      </c>
      <c r="AG123">
        <v>0</v>
      </c>
      <c r="AH123">
        <v>0</v>
      </c>
      <c r="AI123">
        <v>0</v>
      </c>
      <c r="AJ123">
        <v>0</v>
      </c>
      <c r="AK123">
        <v>0</v>
      </c>
      <c r="AL123">
        <v>0</v>
      </c>
      <c r="AM123">
        <v>0</v>
      </c>
      <c r="AN123">
        <v>0</v>
      </c>
      <c r="AO123">
        <f t="shared" si="19"/>
        <v>0</v>
      </c>
      <c r="AP123">
        <f ca="1">IFERROR(((M123/100)*PONDERADORES!$D$12+(SCORECARDS!H123/100)*PONDERADORES!$D$13+(SCORECARDS!I123/100)*PONDERADORES!$D$14+(SCORECARDS!J123/100)*PONDERADORES!$D$15+(ISCAM_Score!K124/100)*PONDERADORES!$D$16+O123*PONDERADORES!$D$17+0*PONDERADORES!$D$18+(AVERAGE(W123:Z123)/2)*PONDERADORES!$D$19)/PONDERADORES!$D$20,"N/A")</f>
        <v>0</v>
      </c>
      <c r="AQ123">
        <f ca="1">COUNT(M123)+IF(SCORECARDS!H123="",0,1)+IF(SCORECARDS!I123="",0,1)+IF(SCORECARDS!J123="",0,1)+IF(ISCAM_Score!K124="",0,1)+IF(O123="",0,1)+IF(COUNT(W123:Z123)&gt;0,1,0)</f>
        <v>3</v>
      </c>
    </row>
    <row r="124" spans="1:43" ht="16.05" customHeight="1" x14ac:dyDescent="0.3">
      <c r="A124" t="s">
        <v>341</v>
      </c>
      <c r="B124" t="s">
        <v>342</v>
      </c>
      <c r="C124" t="s">
        <v>116</v>
      </c>
      <c r="D124" t="s">
        <v>65</v>
      </c>
      <c r="E124">
        <v>442439.35</v>
      </c>
      <c r="F124">
        <v>4</v>
      </c>
      <c r="G124" t="s">
        <v>66</v>
      </c>
      <c r="H124" t="s">
        <v>251</v>
      </c>
      <c r="I124" t="s">
        <v>343</v>
      </c>
      <c r="J124" t="s">
        <v>67</v>
      </c>
      <c r="K124" t="s">
        <v>344</v>
      </c>
      <c r="L124">
        <v>0</v>
      </c>
      <c r="M124">
        <f t="shared" si="15"/>
        <v>0</v>
      </c>
      <c r="N124" t="s">
        <v>68</v>
      </c>
      <c r="O124">
        <f t="shared" si="16"/>
        <v>0</v>
      </c>
      <c r="P124" t="s">
        <v>68</v>
      </c>
      <c r="Q124">
        <v>256</v>
      </c>
      <c r="R124">
        <v>685</v>
      </c>
      <c r="S124">
        <f t="shared" ca="1" si="17"/>
        <v>2.5</v>
      </c>
      <c r="T124" t="str">
        <f t="shared" ca="1" si="18"/>
        <v>⬜  Parcial · Inst. 2 pendiente</v>
      </c>
      <c r="U124" s="53">
        <v>1</v>
      </c>
      <c r="V124" t="s">
        <v>69</v>
      </c>
      <c r="W124">
        <f>IF(NORMALIZADO!BV124="",1,NORMALIZADO!BV124)</f>
        <v>1</v>
      </c>
      <c r="X124">
        <f>IF(NORMALIZADO!BW124="",0,NORMALIZADO!BW124)</f>
        <v>0</v>
      </c>
      <c r="Y124">
        <f>IF(NORMALIZADO!BX124="",0,NORMALIZADO!BX124)</f>
        <v>0</v>
      </c>
      <c r="Z124">
        <f>IF(NORMALIZADO!BY124="",0,NORMALIZADO!BY124)</f>
        <v>0</v>
      </c>
      <c r="AA124">
        <v>0</v>
      </c>
      <c r="AB124">
        <v>0</v>
      </c>
      <c r="AC124">
        <v>0</v>
      </c>
      <c r="AD124">
        <v>0</v>
      </c>
      <c r="AE124">
        <v>0</v>
      </c>
      <c r="AF124">
        <v>0</v>
      </c>
      <c r="AG124">
        <v>0</v>
      </c>
      <c r="AH124">
        <v>0</v>
      </c>
      <c r="AI124">
        <v>0</v>
      </c>
      <c r="AJ124">
        <v>0</v>
      </c>
      <c r="AK124">
        <v>0</v>
      </c>
      <c r="AL124">
        <v>0</v>
      </c>
      <c r="AM124">
        <v>0</v>
      </c>
      <c r="AN124">
        <v>0</v>
      </c>
      <c r="AO124">
        <f t="shared" si="19"/>
        <v>0</v>
      </c>
      <c r="AP124">
        <f ca="1">IFERROR(((M124/100)*PONDERADORES!$D$12+(SCORECARDS!H124/100)*PONDERADORES!$D$13+(SCORECARDS!I124/100)*PONDERADORES!$D$14+(SCORECARDS!J124/100)*PONDERADORES!$D$15+(ISCAM_Score!K125/100)*PONDERADORES!$D$16+O124*PONDERADORES!$D$17+0*PONDERADORES!$D$18+(AVERAGE(W124:Z124)/2)*PONDERADORES!$D$19)/PONDERADORES!$D$20,"N/A")</f>
        <v>2.5000000000000001E-2</v>
      </c>
      <c r="AQ124">
        <f ca="1">COUNT(M124)+IF(SCORECARDS!H124="",0,1)+IF(SCORECARDS!I124="",0,1)+IF(SCORECARDS!J124="",0,1)+IF(ISCAM_Score!K125="",0,1)+IF(O124="",0,1)+IF(COUNT(W124:Z124)&gt;0,1,0)</f>
        <v>3</v>
      </c>
    </row>
    <row r="125" spans="1:43" ht="16.05" customHeight="1" x14ac:dyDescent="0.3">
      <c r="A125" t="s">
        <v>345</v>
      </c>
      <c r="B125" t="s">
        <v>346</v>
      </c>
      <c r="C125" t="s">
        <v>77</v>
      </c>
      <c r="D125" t="s">
        <v>73</v>
      </c>
      <c r="G125" t="s">
        <v>74</v>
      </c>
      <c r="J125" t="s">
        <v>67</v>
      </c>
      <c r="L125">
        <v>0</v>
      </c>
      <c r="M125">
        <f t="shared" si="15"/>
        <v>0</v>
      </c>
      <c r="N125" t="s">
        <v>68</v>
      </c>
      <c r="O125">
        <f t="shared" si="16"/>
        <v>0</v>
      </c>
      <c r="P125" t="s">
        <v>68</v>
      </c>
      <c r="S125">
        <f t="shared" ca="1" si="17"/>
        <v>0</v>
      </c>
      <c r="T125" t="str">
        <f t="shared" ca="1" si="18"/>
        <v>⬜  Parcial · Inst. 2 pendiente</v>
      </c>
      <c r="U125" s="53">
        <v>1</v>
      </c>
      <c r="V125" t="s">
        <v>69</v>
      </c>
      <c r="W125">
        <f>IF(NORMALIZADO!BV125="",0,NORMALIZADO!BV125)</f>
        <v>0</v>
      </c>
      <c r="X125">
        <f>IF(NORMALIZADO!BW125="",0,NORMALIZADO!BW125)</f>
        <v>0</v>
      </c>
      <c r="Y125">
        <f>IF(NORMALIZADO!BX125="",0,NORMALIZADO!BX125)</f>
        <v>0</v>
      </c>
      <c r="Z125">
        <f>IF(NORMALIZADO!BY125="",0,NORMALIZADO!BY125)</f>
        <v>0</v>
      </c>
      <c r="AA125">
        <v>0</v>
      </c>
      <c r="AB125">
        <v>0</v>
      </c>
      <c r="AC125">
        <v>0</v>
      </c>
      <c r="AD125">
        <v>0</v>
      </c>
      <c r="AE125">
        <v>0</v>
      </c>
      <c r="AF125">
        <v>0</v>
      </c>
      <c r="AG125">
        <v>0</v>
      </c>
      <c r="AH125">
        <v>0</v>
      </c>
      <c r="AI125">
        <v>0</v>
      </c>
      <c r="AJ125">
        <v>0</v>
      </c>
      <c r="AK125">
        <v>0</v>
      </c>
      <c r="AL125">
        <v>0</v>
      </c>
      <c r="AM125">
        <v>0</v>
      </c>
      <c r="AN125">
        <v>0</v>
      </c>
      <c r="AO125">
        <f t="shared" si="19"/>
        <v>0</v>
      </c>
      <c r="AP125">
        <f ca="1">IFERROR(((M125/100)*PONDERADORES!$D$12+(SCORECARDS!H125/100)*PONDERADORES!$D$13+(SCORECARDS!I125/100)*PONDERADORES!$D$14+(SCORECARDS!J125/100)*PONDERADORES!$D$15+(ISCAM_Score!K126/100)*PONDERADORES!$D$16+O125*PONDERADORES!$D$17+0*PONDERADORES!$D$18+(AVERAGE(W125:Z125)/2)*PONDERADORES!$D$19)/PONDERADORES!$D$20,"N/A")</f>
        <v>0</v>
      </c>
      <c r="AQ125">
        <f ca="1">COUNT(M125)+IF(SCORECARDS!H125="",0,1)+IF(SCORECARDS!I125="",0,1)+IF(SCORECARDS!J125="",0,1)+IF(ISCAM_Score!K126="",0,1)+IF(O125="",0,1)+IF(COUNT(W125:Z125)&gt;0,1,0)</f>
        <v>3</v>
      </c>
    </row>
    <row r="126" spans="1:43" ht="16.05" customHeight="1" x14ac:dyDescent="0.3">
      <c r="A126" t="s">
        <v>347</v>
      </c>
      <c r="B126" t="s">
        <v>348</v>
      </c>
      <c r="C126" t="s">
        <v>77</v>
      </c>
      <c r="D126" t="s">
        <v>73</v>
      </c>
      <c r="E126">
        <v>0</v>
      </c>
      <c r="G126" t="s">
        <v>74</v>
      </c>
      <c r="J126" t="s">
        <v>67</v>
      </c>
      <c r="L126">
        <v>0</v>
      </c>
      <c r="M126">
        <f t="shared" si="15"/>
        <v>0</v>
      </c>
      <c r="N126" t="s">
        <v>68</v>
      </c>
      <c r="O126">
        <f t="shared" si="16"/>
        <v>0</v>
      </c>
      <c r="P126" t="s">
        <v>68</v>
      </c>
      <c r="S126">
        <f t="shared" ca="1" si="17"/>
        <v>0</v>
      </c>
      <c r="T126" t="str">
        <f t="shared" ca="1" si="18"/>
        <v>⬜  Parcial · Inst. 2 pendiente</v>
      </c>
      <c r="U126" s="53">
        <v>1</v>
      </c>
      <c r="V126" t="s">
        <v>69</v>
      </c>
      <c r="W126">
        <f>IF(NORMALIZADO!BV126="",0,NORMALIZADO!BV126)</f>
        <v>0</v>
      </c>
      <c r="X126">
        <f>IF(NORMALIZADO!BW126="",0,NORMALIZADO!BW126)</f>
        <v>0</v>
      </c>
      <c r="Y126">
        <f>IF(NORMALIZADO!BX126="",0,NORMALIZADO!BX126)</f>
        <v>0</v>
      </c>
      <c r="Z126">
        <f>IF(NORMALIZADO!BY126="",0,NORMALIZADO!BY126)</f>
        <v>0</v>
      </c>
      <c r="AA126">
        <v>0</v>
      </c>
      <c r="AB126">
        <v>0</v>
      </c>
      <c r="AC126">
        <v>0</v>
      </c>
      <c r="AD126">
        <v>0</v>
      </c>
      <c r="AE126">
        <v>0</v>
      </c>
      <c r="AF126">
        <v>0</v>
      </c>
      <c r="AG126">
        <v>0</v>
      </c>
      <c r="AH126">
        <v>0</v>
      </c>
      <c r="AI126">
        <v>0</v>
      </c>
      <c r="AJ126">
        <v>0</v>
      </c>
      <c r="AK126">
        <v>0</v>
      </c>
      <c r="AL126">
        <v>0</v>
      </c>
      <c r="AM126">
        <v>0</v>
      </c>
      <c r="AN126">
        <v>0</v>
      </c>
      <c r="AO126">
        <f t="shared" si="19"/>
        <v>0</v>
      </c>
      <c r="AP126">
        <f ca="1">IFERROR(((M126/100)*PONDERADORES!$D$12+(SCORECARDS!H126/100)*PONDERADORES!$D$13+(SCORECARDS!I126/100)*PONDERADORES!$D$14+(SCORECARDS!J126/100)*PONDERADORES!$D$15+(ISCAM_Score!K127/100)*PONDERADORES!$D$16+O126*PONDERADORES!$D$17+0*PONDERADORES!$D$18+(AVERAGE(W126:Z126)/2)*PONDERADORES!$D$19)/PONDERADORES!$D$20,"N/A")</f>
        <v>0</v>
      </c>
      <c r="AQ126">
        <f ca="1">COUNT(M126)+IF(SCORECARDS!H126="",0,1)+IF(SCORECARDS!I126="",0,1)+IF(SCORECARDS!J126="",0,1)+IF(ISCAM_Score!K127="",0,1)+IF(O126="",0,1)+IF(COUNT(W126:Z126)&gt;0,1,0)</f>
        <v>3</v>
      </c>
    </row>
    <row r="127" spans="1:43" ht="16.05" customHeight="1" x14ac:dyDescent="0.3">
      <c r="A127" t="s">
        <v>349</v>
      </c>
      <c r="B127" t="s">
        <v>350</v>
      </c>
      <c r="C127" t="s">
        <v>77</v>
      </c>
      <c r="D127" t="s">
        <v>73</v>
      </c>
      <c r="E127">
        <v>0</v>
      </c>
      <c r="G127" t="s">
        <v>74</v>
      </c>
      <c r="J127" t="s">
        <v>67</v>
      </c>
      <c r="L127">
        <v>0</v>
      </c>
      <c r="M127">
        <f t="shared" si="15"/>
        <v>0</v>
      </c>
      <c r="N127" t="s">
        <v>68</v>
      </c>
      <c r="O127">
        <f t="shared" si="16"/>
        <v>0</v>
      </c>
      <c r="P127" t="s">
        <v>68</v>
      </c>
      <c r="S127">
        <f t="shared" ca="1" si="17"/>
        <v>0</v>
      </c>
      <c r="T127" t="str">
        <f t="shared" ca="1" si="18"/>
        <v>⬜  Parcial · Inst. 2 pendiente</v>
      </c>
      <c r="U127" s="53">
        <v>1</v>
      </c>
      <c r="V127" t="s">
        <v>69</v>
      </c>
      <c r="W127">
        <f>IF(NORMALIZADO!BV127="",0,NORMALIZADO!BV127)</f>
        <v>0</v>
      </c>
      <c r="X127">
        <f>IF(NORMALIZADO!BW127="",0,NORMALIZADO!BW127)</f>
        <v>0</v>
      </c>
      <c r="Y127">
        <f>IF(NORMALIZADO!BX127="",0,NORMALIZADO!BX127)</f>
        <v>0</v>
      </c>
      <c r="Z127">
        <f>IF(NORMALIZADO!BY127="",0,NORMALIZADO!BY127)</f>
        <v>0</v>
      </c>
      <c r="AA127">
        <v>0</v>
      </c>
      <c r="AB127">
        <v>0</v>
      </c>
      <c r="AC127">
        <v>0</v>
      </c>
      <c r="AD127">
        <v>0</v>
      </c>
      <c r="AE127">
        <v>0</v>
      </c>
      <c r="AF127">
        <v>0</v>
      </c>
      <c r="AG127">
        <v>0</v>
      </c>
      <c r="AH127">
        <v>0</v>
      </c>
      <c r="AI127">
        <v>0</v>
      </c>
      <c r="AJ127">
        <v>0</v>
      </c>
      <c r="AK127">
        <v>0</v>
      </c>
      <c r="AL127">
        <v>0</v>
      </c>
      <c r="AM127">
        <v>0</v>
      </c>
      <c r="AN127">
        <v>0</v>
      </c>
      <c r="AO127">
        <f t="shared" si="19"/>
        <v>0</v>
      </c>
      <c r="AP127">
        <f ca="1">IFERROR(((M127/100)*PONDERADORES!$D$12+(SCORECARDS!H127/100)*PONDERADORES!$D$13+(SCORECARDS!I127/100)*PONDERADORES!$D$14+(SCORECARDS!J127/100)*PONDERADORES!$D$15+(ISCAM_Score!K128/100)*PONDERADORES!$D$16+O127*PONDERADORES!$D$17+0*PONDERADORES!$D$18+(AVERAGE(W127:Z127)/2)*PONDERADORES!$D$19)/PONDERADORES!$D$20,"N/A")</f>
        <v>0</v>
      </c>
      <c r="AQ127">
        <f ca="1">COUNT(M127)+IF(SCORECARDS!H127="",0,1)+IF(SCORECARDS!I127="",0,1)+IF(SCORECARDS!J127="",0,1)+IF(ISCAM_Score!K128="",0,1)+IF(O127="",0,1)+IF(COUNT(W127:Z127)&gt;0,1,0)</f>
        <v>3</v>
      </c>
    </row>
    <row r="128" spans="1:43" ht="16.05" customHeight="1" x14ac:dyDescent="0.3">
      <c r="A128" t="s">
        <v>351</v>
      </c>
      <c r="B128" t="s">
        <v>352</v>
      </c>
      <c r="C128" t="s">
        <v>116</v>
      </c>
      <c r="D128" t="s">
        <v>65</v>
      </c>
      <c r="E128">
        <v>13966273.33</v>
      </c>
      <c r="F128">
        <v>80</v>
      </c>
      <c r="G128" t="s">
        <v>66</v>
      </c>
      <c r="J128" t="s">
        <v>67</v>
      </c>
      <c r="L128">
        <v>6983136.6699999999</v>
      </c>
      <c r="M128">
        <f t="shared" si="15"/>
        <v>50</v>
      </c>
      <c r="N128" t="s">
        <v>68</v>
      </c>
      <c r="O128">
        <f t="shared" si="16"/>
        <v>0</v>
      </c>
      <c r="P128" t="s">
        <v>68</v>
      </c>
      <c r="S128">
        <f t="shared" ca="1" si="17"/>
        <v>12.5</v>
      </c>
      <c r="T128" t="str">
        <f t="shared" ca="1" si="18"/>
        <v>⬜  Parcial · Inst. 2 pendiente</v>
      </c>
      <c r="U128" s="53">
        <v>1</v>
      </c>
      <c r="V128" t="s">
        <v>69</v>
      </c>
      <c r="W128">
        <f>IF(NORMALIZADO!BV128="",1,NORMALIZADO!BV128)</f>
        <v>1</v>
      </c>
      <c r="X128">
        <f>IF(NORMALIZADO!BW128="",0,NORMALIZADO!BW128)</f>
        <v>0</v>
      </c>
      <c r="Y128">
        <f>IF(NORMALIZADO!BX128="",0,NORMALIZADO!BX128)</f>
        <v>0</v>
      </c>
      <c r="Z128">
        <f>IF(NORMALIZADO!BY128="",0,NORMALIZADO!BY128)</f>
        <v>0</v>
      </c>
      <c r="AA128">
        <v>0</v>
      </c>
      <c r="AB128">
        <v>0</v>
      </c>
      <c r="AC128">
        <v>0</v>
      </c>
      <c r="AD128">
        <v>0</v>
      </c>
      <c r="AE128">
        <v>0</v>
      </c>
      <c r="AF128">
        <v>0</v>
      </c>
      <c r="AG128">
        <v>0</v>
      </c>
      <c r="AH128">
        <v>0</v>
      </c>
      <c r="AI128">
        <v>0</v>
      </c>
      <c r="AJ128">
        <v>0</v>
      </c>
      <c r="AK128">
        <v>0</v>
      </c>
      <c r="AL128">
        <v>0</v>
      </c>
      <c r="AM128">
        <v>0</v>
      </c>
      <c r="AN128">
        <v>0</v>
      </c>
      <c r="AO128">
        <f t="shared" si="19"/>
        <v>0</v>
      </c>
      <c r="AP128">
        <f ca="1">IFERROR(((M128/100)*PONDERADORES!$D$12+(SCORECARDS!H128/100)*PONDERADORES!$D$13+(SCORECARDS!I128/100)*PONDERADORES!$D$14+(SCORECARDS!J128/100)*PONDERADORES!$D$15+(ISCAM_Score!K129/100)*PONDERADORES!$D$16+O128*PONDERADORES!$D$17+0*PONDERADORES!$D$18+(AVERAGE(W128:Z128)/2)*PONDERADORES!$D$19)/PONDERADORES!$D$20,"N/A")</f>
        <v>0.125</v>
      </c>
      <c r="AQ128">
        <f ca="1">COUNT(M128)+IF(SCORECARDS!H128="",0,1)+IF(SCORECARDS!I128="",0,1)+IF(SCORECARDS!J128="",0,1)+IF(ISCAM_Score!K129="",0,1)+IF(O128="",0,1)+IF(COUNT(W128:Z128)&gt;0,1,0)</f>
        <v>3</v>
      </c>
    </row>
    <row r="129" spans="1:43" ht="16.05" customHeight="1" x14ac:dyDescent="0.3">
      <c r="A129" t="s">
        <v>353</v>
      </c>
      <c r="B129" t="s">
        <v>354</v>
      </c>
      <c r="C129" t="s">
        <v>113</v>
      </c>
      <c r="D129" t="s">
        <v>73</v>
      </c>
      <c r="G129" t="s">
        <v>74</v>
      </c>
      <c r="J129" t="s">
        <v>67</v>
      </c>
      <c r="L129">
        <v>0</v>
      </c>
      <c r="M129">
        <f t="shared" si="15"/>
        <v>0</v>
      </c>
      <c r="N129" t="s">
        <v>68</v>
      </c>
      <c r="O129">
        <f t="shared" si="16"/>
        <v>0</v>
      </c>
      <c r="P129" t="s">
        <v>68</v>
      </c>
      <c r="S129">
        <f t="shared" ca="1" si="17"/>
        <v>0</v>
      </c>
      <c r="T129" t="str">
        <f t="shared" ca="1" si="18"/>
        <v>⬜  Parcial · Inst. 2 pendiente</v>
      </c>
      <c r="U129" s="53">
        <v>1</v>
      </c>
      <c r="V129" t="s">
        <v>69</v>
      </c>
      <c r="W129">
        <f>IF(NORMALIZADO!BV129="",0,NORMALIZADO!BV129)</f>
        <v>0</v>
      </c>
      <c r="X129">
        <f>IF(NORMALIZADO!BW129="",0,NORMALIZADO!BW129)</f>
        <v>0</v>
      </c>
      <c r="Y129">
        <f>IF(NORMALIZADO!BX129="",0,NORMALIZADO!BX129)</f>
        <v>0</v>
      </c>
      <c r="Z129">
        <f>IF(NORMALIZADO!BY129="",0,NORMALIZADO!BY129)</f>
        <v>0</v>
      </c>
      <c r="AA129">
        <v>0</v>
      </c>
      <c r="AB129">
        <v>0</v>
      </c>
      <c r="AC129">
        <v>0</v>
      </c>
      <c r="AD129">
        <v>0</v>
      </c>
      <c r="AE129">
        <v>0</v>
      </c>
      <c r="AF129">
        <v>0</v>
      </c>
      <c r="AG129">
        <v>0</v>
      </c>
      <c r="AH129">
        <v>0</v>
      </c>
      <c r="AI129">
        <v>0</v>
      </c>
      <c r="AJ129">
        <v>0</v>
      </c>
      <c r="AK129">
        <v>0</v>
      </c>
      <c r="AL129">
        <v>0</v>
      </c>
      <c r="AM129">
        <v>0</v>
      </c>
      <c r="AN129">
        <v>0</v>
      </c>
      <c r="AO129">
        <f t="shared" si="19"/>
        <v>0</v>
      </c>
      <c r="AP129">
        <f ca="1">IFERROR(((M129/100)*PONDERADORES!$D$12+(SCORECARDS!H129/100)*PONDERADORES!$D$13+(SCORECARDS!I129/100)*PONDERADORES!$D$14+(SCORECARDS!J129/100)*PONDERADORES!$D$15+(ISCAM_Score!K130/100)*PONDERADORES!$D$16+O129*PONDERADORES!$D$17+0*PONDERADORES!$D$18+(AVERAGE(W129:Z129)/2)*PONDERADORES!$D$19)/PONDERADORES!$D$20,"N/A")</f>
        <v>0</v>
      </c>
      <c r="AQ129">
        <f ca="1">COUNT(M129)+IF(SCORECARDS!H129="",0,1)+IF(SCORECARDS!I129="",0,1)+IF(SCORECARDS!J129="",0,1)+IF(ISCAM_Score!K130="",0,1)+IF(O129="",0,1)+IF(COUNT(W129:Z129)&gt;0,1,0)</f>
        <v>3</v>
      </c>
    </row>
    <row r="130" spans="1:43" ht="16.05" customHeight="1" x14ac:dyDescent="0.3">
      <c r="A130" t="s">
        <v>355</v>
      </c>
      <c r="B130" t="s">
        <v>356</v>
      </c>
      <c r="C130" t="s">
        <v>257</v>
      </c>
      <c r="D130" t="s">
        <v>65</v>
      </c>
      <c r="E130">
        <v>826100.75</v>
      </c>
      <c r="F130">
        <v>5</v>
      </c>
      <c r="G130" t="s">
        <v>66</v>
      </c>
      <c r="H130" t="s">
        <v>343</v>
      </c>
      <c r="I130" t="s">
        <v>343</v>
      </c>
      <c r="J130" t="s">
        <v>67</v>
      </c>
      <c r="K130" t="s">
        <v>357</v>
      </c>
      <c r="L130">
        <v>0</v>
      </c>
      <c r="M130">
        <f t="shared" si="15"/>
        <v>0</v>
      </c>
      <c r="N130" t="s">
        <v>68</v>
      </c>
      <c r="O130">
        <f t="shared" si="16"/>
        <v>0</v>
      </c>
      <c r="P130" t="s">
        <v>68</v>
      </c>
      <c r="Q130">
        <v>177</v>
      </c>
      <c r="R130">
        <v>213</v>
      </c>
      <c r="S130">
        <f t="shared" ca="1" si="17"/>
        <v>2.5</v>
      </c>
      <c r="T130" t="str">
        <f t="shared" ca="1" si="18"/>
        <v>⬜  Parcial · Inst. 2 pendiente</v>
      </c>
      <c r="U130" s="53">
        <v>1</v>
      </c>
      <c r="V130" t="s">
        <v>69</v>
      </c>
      <c r="W130">
        <f>IF(NORMALIZADO!BV130="",1,NORMALIZADO!BV130)</f>
        <v>1</v>
      </c>
      <c r="X130">
        <f>IF(NORMALIZADO!BW130="",0,NORMALIZADO!BW130)</f>
        <v>0</v>
      </c>
      <c r="Y130">
        <f>IF(NORMALIZADO!BX130="",0,NORMALIZADO!BX130)</f>
        <v>0</v>
      </c>
      <c r="Z130">
        <f>IF(NORMALIZADO!BY130="",0,NORMALIZADO!BY130)</f>
        <v>0</v>
      </c>
      <c r="AA130">
        <v>0</v>
      </c>
      <c r="AB130">
        <v>0</v>
      </c>
      <c r="AC130">
        <v>0</v>
      </c>
      <c r="AD130">
        <v>0</v>
      </c>
      <c r="AE130">
        <v>0</v>
      </c>
      <c r="AF130">
        <v>0</v>
      </c>
      <c r="AG130">
        <v>0</v>
      </c>
      <c r="AH130">
        <v>0</v>
      </c>
      <c r="AI130">
        <v>0</v>
      </c>
      <c r="AJ130">
        <v>0</v>
      </c>
      <c r="AK130">
        <v>0</v>
      </c>
      <c r="AL130">
        <v>0</v>
      </c>
      <c r="AM130">
        <v>0</v>
      </c>
      <c r="AN130">
        <v>0</v>
      </c>
      <c r="AO130">
        <f t="shared" si="19"/>
        <v>0</v>
      </c>
      <c r="AP130">
        <f ca="1">IFERROR(((M130/100)*PONDERADORES!$D$12+(SCORECARDS!H130/100)*PONDERADORES!$D$13+(SCORECARDS!I130/100)*PONDERADORES!$D$14+(SCORECARDS!J130/100)*PONDERADORES!$D$15+(ISCAM_Score!K131/100)*PONDERADORES!$D$16+O130*PONDERADORES!$D$17+0*PONDERADORES!$D$18+(AVERAGE(W130:Z130)/2)*PONDERADORES!$D$19)/PONDERADORES!$D$20,"N/A")</f>
        <v>2.5000000000000001E-2</v>
      </c>
      <c r="AQ130">
        <f ca="1">COUNT(M130)+IF(SCORECARDS!H130="",0,1)+IF(SCORECARDS!I130="",0,1)+IF(SCORECARDS!J130="",0,1)+IF(ISCAM_Score!K131="",0,1)+IF(O130="",0,1)+IF(COUNT(W130:Z130)&gt;0,1,0)</f>
        <v>3</v>
      </c>
    </row>
    <row r="131" spans="1:43" ht="16.05" customHeight="1" x14ac:dyDescent="0.3">
      <c r="A131" t="s">
        <v>358</v>
      </c>
      <c r="B131" t="s">
        <v>359</v>
      </c>
      <c r="C131" t="s">
        <v>77</v>
      </c>
      <c r="D131" t="s">
        <v>65</v>
      </c>
      <c r="E131">
        <v>0</v>
      </c>
      <c r="G131" t="s">
        <v>74</v>
      </c>
      <c r="J131" t="s">
        <v>128</v>
      </c>
      <c r="L131">
        <v>0</v>
      </c>
      <c r="M131">
        <f t="shared" ref="M131:M162" si="20">IF(E131&gt;0,ROUND(L131/E131*100,1),0)</f>
        <v>0</v>
      </c>
      <c r="N131" t="s">
        <v>68</v>
      </c>
      <c r="O131">
        <f t="shared" ref="O131:O162" si="21">IF(H131="SI",1,0)*0.6+IF(I131="SI",1,0)*0.4</f>
        <v>0</v>
      </c>
      <c r="P131" t="s">
        <v>68</v>
      </c>
      <c r="S131">
        <f t="shared" ref="S131:S162" ca="1" si="22">IFERROR(ROUND(AP131*100,1),"N/A")</f>
        <v>0</v>
      </c>
      <c r="T131" t="str">
        <f t="shared" ref="T131:T162" ca="1" si="23">IF(NOT(ISNUMBER(S131)),"—",IF(AQ131&lt;6,"⬜  Parcial · Inst. 2 pendiente",IF(S131&lt;34,"🔴 Crítico",IF(S131&lt;67,"🟡 Vulnerable","🟢 Preparado"))))</f>
        <v>⬜  Parcial · Inst. 2 pendiente</v>
      </c>
      <c r="U131" s="53">
        <v>1</v>
      </c>
      <c r="V131" t="s">
        <v>69</v>
      </c>
      <c r="W131">
        <f>IF(NORMALIZADO!BV131="",0,NORMALIZADO!BV131)</f>
        <v>0</v>
      </c>
      <c r="X131">
        <f>IF(NORMALIZADO!BW131="",0,NORMALIZADO!BW131)</f>
        <v>0</v>
      </c>
      <c r="Y131">
        <f>IF(NORMALIZADO!BX131="",0,NORMALIZADO!BX131)</f>
        <v>0</v>
      </c>
      <c r="Z131">
        <f>IF(NORMALIZADO!BY131="",0,NORMALIZADO!BY131)</f>
        <v>0</v>
      </c>
      <c r="AA131">
        <v>0</v>
      </c>
      <c r="AB131">
        <v>0</v>
      </c>
      <c r="AC131">
        <v>0</v>
      </c>
      <c r="AD131">
        <v>0</v>
      </c>
      <c r="AE131">
        <v>0</v>
      </c>
      <c r="AF131">
        <v>0</v>
      </c>
      <c r="AG131">
        <v>0</v>
      </c>
      <c r="AH131">
        <v>0</v>
      </c>
      <c r="AI131">
        <v>0</v>
      </c>
      <c r="AJ131">
        <v>0</v>
      </c>
      <c r="AK131">
        <v>0</v>
      </c>
      <c r="AL131">
        <v>0</v>
      </c>
      <c r="AM131">
        <v>0</v>
      </c>
      <c r="AN131">
        <v>0</v>
      </c>
      <c r="AO131">
        <f t="shared" ref="AO131:AO162" si="24">IFERROR(AVERAGE(AA131,AB131,AC131,AD131,AE131,AF131,AG131,AH131,AI131,AJ131,AK131,AL131,AM131,AN131),"N/A")</f>
        <v>0</v>
      </c>
      <c r="AP131">
        <f ca="1">IFERROR(((M131/100)*PONDERADORES!$D$12+(SCORECARDS!H131/100)*PONDERADORES!$D$13+(SCORECARDS!I131/100)*PONDERADORES!$D$14+(SCORECARDS!J131/100)*PONDERADORES!$D$15+(ISCAM_Score!K132/100)*PONDERADORES!$D$16+O131*PONDERADORES!$D$17+0*PONDERADORES!$D$18+(AVERAGE(W131:Z131)/2)*PONDERADORES!$D$19)/PONDERADORES!$D$20,"N/A")</f>
        <v>0</v>
      </c>
      <c r="AQ131">
        <f ca="1">COUNT(M131)+IF(SCORECARDS!H131="",0,1)+IF(SCORECARDS!I131="",0,1)+IF(SCORECARDS!J131="",0,1)+IF(ISCAM_Score!K132="",0,1)+IF(O131="",0,1)+IF(COUNT(W131:Z131)&gt;0,1,0)</f>
        <v>3</v>
      </c>
    </row>
    <row r="132" spans="1:43" ht="16.05" customHeight="1" x14ac:dyDescent="0.3">
      <c r="A132" t="s">
        <v>360</v>
      </c>
      <c r="B132" t="s">
        <v>361</v>
      </c>
      <c r="C132" t="s">
        <v>113</v>
      </c>
      <c r="D132" t="s">
        <v>73</v>
      </c>
      <c r="G132" t="s">
        <v>74</v>
      </c>
      <c r="J132" t="s">
        <v>128</v>
      </c>
      <c r="L132">
        <v>0</v>
      </c>
      <c r="M132">
        <f t="shared" si="20"/>
        <v>0</v>
      </c>
      <c r="N132" t="s">
        <v>68</v>
      </c>
      <c r="O132">
        <f t="shared" si="21"/>
        <v>0</v>
      </c>
      <c r="P132" t="s">
        <v>68</v>
      </c>
      <c r="S132">
        <f t="shared" ca="1" si="22"/>
        <v>0</v>
      </c>
      <c r="T132" t="str">
        <f t="shared" ca="1" si="23"/>
        <v>⬜  Parcial · Inst. 2 pendiente</v>
      </c>
      <c r="U132" s="53">
        <v>1</v>
      </c>
      <c r="V132" t="s">
        <v>69</v>
      </c>
      <c r="W132">
        <f>IF(NORMALIZADO!BV132="",0,NORMALIZADO!BV132)</f>
        <v>0</v>
      </c>
      <c r="X132">
        <f>IF(NORMALIZADO!BW132="",0,NORMALIZADO!BW132)</f>
        <v>0</v>
      </c>
      <c r="Y132">
        <f>IF(NORMALIZADO!BX132="",0,NORMALIZADO!BX132)</f>
        <v>0</v>
      </c>
      <c r="Z132">
        <f>IF(NORMALIZADO!BY132="",0,NORMALIZADO!BY132)</f>
        <v>0</v>
      </c>
      <c r="AA132">
        <v>0</v>
      </c>
      <c r="AB132">
        <v>0</v>
      </c>
      <c r="AC132">
        <v>0</v>
      </c>
      <c r="AD132">
        <v>0</v>
      </c>
      <c r="AE132">
        <v>0</v>
      </c>
      <c r="AF132">
        <v>0</v>
      </c>
      <c r="AG132">
        <v>0</v>
      </c>
      <c r="AH132">
        <v>0</v>
      </c>
      <c r="AI132">
        <v>0</v>
      </c>
      <c r="AJ132">
        <v>0</v>
      </c>
      <c r="AK132">
        <v>0</v>
      </c>
      <c r="AL132">
        <v>0</v>
      </c>
      <c r="AM132">
        <v>0</v>
      </c>
      <c r="AN132">
        <v>0</v>
      </c>
      <c r="AO132">
        <f t="shared" si="24"/>
        <v>0</v>
      </c>
      <c r="AP132">
        <f ca="1">IFERROR(((M132/100)*PONDERADORES!$D$12+(SCORECARDS!H132/100)*PONDERADORES!$D$13+(SCORECARDS!I132/100)*PONDERADORES!$D$14+(SCORECARDS!J132/100)*PONDERADORES!$D$15+(ISCAM_Score!K133/100)*PONDERADORES!$D$16+O132*PONDERADORES!$D$17+0*PONDERADORES!$D$18+(AVERAGE(W132:Z132)/2)*PONDERADORES!$D$19)/PONDERADORES!$D$20,"N/A")</f>
        <v>0</v>
      </c>
      <c r="AQ132">
        <f ca="1">COUNT(M132)+IF(SCORECARDS!H132="",0,1)+IF(SCORECARDS!I132="",0,1)+IF(SCORECARDS!J132="",0,1)+IF(ISCAM_Score!K133="",0,1)+IF(O132="",0,1)+IF(COUNT(W132:Z132)&gt;0,1,0)</f>
        <v>3</v>
      </c>
    </row>
    <row r="133" spans="1:43" ht="16.05" customHeight="1" x14ac:dyDescent="0.3">
      <c r="A133" t="s">
        <v>362</v>
      </c>
      <c r="B133" t="s">
        <v>363</v>
      </c>
      <c r="C133" t="s">
        <v>107</v>
      </c>
      <c r="D133" t="s">
        <v>73</v>
      </c>
      <c r="G133" t="s">
        <v>74</v>
      </c>
      <c r="J133" t="s">
        <v>67</v>
      </c>
      <c r="L133">
        <v>0</v>
      </c>
      <c r="M133">
        <f t="shared" si="20"/>
        <v>0</v>
      </c>
      <c r="N133" t="s">
        <v>68</v>
      </c>
      <c r="O133">
        <f t="shared" si="21"/>
        <v>0</v>
      </c>
      <c r="P133" t="s">
        <v>68</v>
      </c>
      <c r="S133">
        <f t="shared" ca="1" si="22"/>
        <v>0</v>
      </c>
      <c r="T133" t="str">
        <f t="shared" ca="1" si="23"/>
        <v>⬜  Parcial · Inst. 2 pendiente</v>
      </c>
      <c r="U133" s="53">
        <v>1</v>
      </c>
      <c r="V133" t="s">
        <v>69</v>
      </c>
      <c r="W133">
        <f>IF(NORMALIZADO!BV133="",0,NORMALIZADO!BV133)</f>
        <v>0</v>
      </c>
      <c r="X133">
        <f>IF(NORMALIZADO!BW133="",0,NORMALIZADO!BW133)</f>
        <v>0</v>
      </c>
      <c r="Y133">
        <f>IF(NORMALIZADO!BX133="",0,NORMALIZADO!BX133)</f>
        <v>0</v>
      </c>
      <c r="Z133">
        <f>IF(NORMALIZADO!BY133="",0,NORMALIZADO!BY133)</f>
        <v>0</v>
      </c>
      <c r="AA133">
        <v>0</v>
      </c>
      <c r="AB133">
        <v>0</v>
      </c>
      <c r="AC133">
        <v>0</v>
      </c>
      <c r="AD133">
        <v>0</v>
      </c>
      <c r="AE133">
        <v>0</v>
      </c>
      <c r="AF133">
        <v>0</v>
      </c>
      <c r="AG133">
        <v>0</v>
      </c>
      <c r="AH133">
        <v>0</v>
      </c>
      <c r="AI133">
        <v>0</v>
      </c>
      <c r="AJ133">
        <v>0</v>
      </c>
      <c r="AK133">
        <v>0</v>
      </c>
      <c r="AL133">
        <v>0</v>
      </c>
      <c r="AM133">
        <v>0</v>
      </c>
      <c r="AN133">
        <v>0</v>
      </c>
      <c r="AO133">
        <f t="shared" si="24"/>
        <v>0</v>
      </c>
      <c r="AP133">
        <f ca="1">IFERROR(((M133/100)*PONDERADORES!$D$12+(SCORECARDS!H133/100)*PONDERADORES!$D$13+(SCORECARDS!I133/100)*PONDERADORES!$D$14+(SCORECARDS!J133/100)*PONDERADORES!$D$15+(ISCAM_Score!K134/100)*PONDERADORES!$D$16+O133*PONDERADORES!$D$17+0*PONDERADORES!$D$18+(AVERAGE(W133:Z133)/2)*PONDERADORES!$D$19)/PONDERADORES!$D$20,"N/A")</f>
        <v>0</v>
      </c>
      <c r="AQ133">
        <f ca="1">COUNT(M133)+IF(SCORECARDS!H133="",0,1)+IF(SCORECARDS!I133="",0,1)+IF(SCORECARDS!J133="",0,1)+IF(ISCAM_Score!K134="",0,1)+IF(O133="",0,1)+IF(COUNT(W133:Z133)&gt;0,1,0)</f>
        <v>3</v>
      </c>
    </row>
    <row r="134" spans="1:43" ht="16.05" customHeight="1" x14ac:dyDescent="0.3">
      <c r="A134" t="s">
        <v>364</v>
      </c>
      <c r="B134" t="s">
        <v>365</v>
      </c>
      <c r="C134" t="s">
        <v>77</v>
      </c>
      <c r="D134" t="s">
        <v>65</v>
      </c>
      <c r="E134">
        <v>0</v>
      </c>
      <c r="G134" t="s">
        <v>74</v>
      </c>
      <c r="H134" t="s">
        <v>343</v>
      </c>
      <c r="I134" t="s">
        <v>366</v>
      </c>
      <c r="J134" t="s">
        <v>67</v>
      </c>
      <c r="K134" t="s">
        <v>367</v>
      </c>
      <c r="L134">
        <v>0</v>
      </c>
      <c r="M134">
        <f t="shared" si="20"/>
        <v>0</v>
      </c>
      <c r="N134" t="s">
        <v>68</v>
      </c>
      <c r="O134">
        <f t="shared" si="21"/>
        <v>0</v>
      </c>
      <c r="P134" t="s">
        <v>68</v>
      </c>
      <c r="Q134">
        <v>162</v>
      </c>
      <c r="R134">
        <v>454.5</v>
      </c>
      <c r="S134">
        <f t="shared" ca="1" si="22"/>
        <v>2.5</v>
      </c>
      <c r="T134" t="str">
        <f t="shared" ca="1" si="23"/>
        <v>⬜  Parcial · Inst. 2 pendiente</v>
      </c>
      <c r="U134" s="53">
        <v>1</v>
      </c>
      <c r="V134" t="s">
        <v>69</v>
      </c>
      <c r="W134">
        <f>IF(NORMALIZADO!BV134="",1,NORMALIZADO!BV134)</f>
        <v>1</v>
      </c>
      <c r="X134">
        <f>IF(NORMALIZADO!BW134="",0,NORMALIZADO!BW134)</f>
        <v>0</v>
      </c>
      <c r="Y134">
        <f>IF(NORMALIZADO!BX134="",0,NORMALIZADO!BX134)</f>
        <v>0</v>
      </c>
      <c r="Z134">
        <f>IF(NORMALIZADO!BY134="",0,NORMALIZADO!BY134)</f>
        <v>0</v>
      </c>
      <c r="AA134">
        <v>0</v>
      </c>
      <c r="AB134">
        <v>0</v>
      </c>
      <c r="AC134">
        <v>0</v>
      </c>
      <c r="AD134">
        <v>0</v>
      </c>
      <c r="AE134">
        <v>0</v>
      </c>
      <c r="AF134">
        <v>0</v>
      </c>
      <c r="AG134">
        <v>0</v>
      </c>
      <c r="AH134">
        <v>0</v>
      </c>
      <c r="AI134">
        <v>0</v>
      </c>
      <c r="AJ134">
        <v>0</v>
      </c>
      <c r="AK134">
        <v>0</v>
      </c>
      <c r="AL134">
        <v>0</v>
      </c>
      <c r="AM134">
        <v>0</v>
      </c>
      <c r="AN134">
        <v>0</v>
      </c>
      <c r="AO134">
        <f t="shared" si="24"/>
        <v>0</v>
      </c>
      <c r="AP134">
        <f ca="1">IFERROR(((M134/100)*PONDERADORES!$D$12+(SCORECARDS!H134/100)*PONDERADORES!$D$13+(SCORECARDS!I134/100)*PONDERADORES!$D$14+(SCORECARDS!J134/100)*PONDERADORES!$D$15+(ISCAM_Score!K135/100)*PONDERADORES!$D$16+O134*PONDERADORES!$D$17+0*PONDERADORES!$D$18+(AVERAGE(W134:Z134)/2)*PONDERADORES!$D$19)/PONDERADORES!$D$20,"N/A")</f>
        <v>2.5000000000000001E-2</v>
      </c>
      <c r="AQ134">
        <f ca="1">COUNT(M134)+IF(SCORECARDS!H134="",0,1)+IF(SCORECARDS!I134="",0,1)+IF(SCORECARDS!J134="",0,1)+IF(ISCAM_Score!K135="",0,1)+IF(O134="",0,1)+IF(COUNT(W134:Z134)&gt;0,1,0)</f>
        <v>3</v>
      </c>
    </row>
    <row r="135" spans="1:43" ht="16.05" customHeight="1" x14ac:dyDescent="0.3">
      <c r="A135" t="s">
        <v>368</v>
      </c>
      <c r="B135" t="s">
        <v>369</v>
      </c>
      <c r="C135" t="s">
        <v>143</v>
      </c>
      <c r="D135" t="s">
        <v>65</v>
      </c>
      <c r="E135">
        <v>6836861.4500000002</v>
      </c>
      <c r="F135">
        <v>36</v>
      </c>
      <c r="G135" t="s">
        <v>66</v>
      </c>
      <c r="H135" t="s">
        <v>226</v>
      </c>
      <c r="I135" t="s">
        <v>226</v>
      </c>
      <c r="J135" t="s">
        <v>67</v>
      </c>
      <c r="K135" t="s">
        <v>370</v>
      </c>
      <c r="L135">
        <v>4575551.37</v>
      </c>
      <c r="M135">
        <f t="shared" si="20"/>
        <v>66.900000000000006</v>
      </c>
      <c r="N135" t="s">
        <v>68</v>
      </c>
      <c r="O135">
        <f t="shared" si="21"/>
        <v>0</v>
      </c>
      <c r="P135" t="s">
        <v>68</v>
      </c>
      <c r="Q135">
        <v>762</v>
      </c>
      <c r="R135">
        <v>1500</v>
      </c>
      <c r="S135">
        <f t="shared" ca="1" si="22"/>
        <v>15.9</v>
      </c>
      <c r="T135" t="str">
        <f t="shared" ca="1" si="23"/>
        <v>⬜  Parcial · Inst. 2 pendiente</v>
      </c>
      <c r="U135" s="53">
        <v>1</v>
      </c>
      <c r="V135" t="s">
        <v>69</v>
      </c>
      <c r="W135">
        <f>IF(NORMALIZADO!BV135="",1,NORMALIZADO!BV135)</f>
        <v>1</v>
      </c>
      <c r="X135">
        <f>IF(NORMALIZADO!BW135="",0,NORMALIZADO!BW135)</f>
        <v>0</v>
      </c>
      <c r="Y135">
        <f>IF(NORMALIZADO!BX135="",0,NORMALIZADO!BX135)</f>
        <v>0</v>
      </c>
      <c r="Z135">
        <f>IF(NORMALIZADO!BY135="",0,NORMALIZADO!BY135)</f>
        <v>0</v>
      </c>
      <c r="AA135">
        <v>0</v>
      </c>
      <c r="AB135">
        <v>0</v>
      </c>
      <c r="AC135">
        <v>0</v>
      </c>
      <c r="AD135">
        <v>0</v>
      </c>
      <c r="AE135">
        <v>0</v>
      </c>
      <c r="AF135">
        <v>0</v>
      </c>
      <c r="AG135">
        <v>0</v>
      </c>
      <c r="AH135">
        <v>0</v>
      </c>
      <c r="AI135">
        <v>0</v>
      </c>
      <c r="AJ135">
        <v>0</v>
      </c>
      <c r="AK135">
        <v>0</v>
      </c>
      <c r="AL135">
        <v>0</v>
      </c>
      <c r="AM135">
        <v>0</v>
      </c>
      <c r="AN135">
        <v>0</v>
      </c>
      <c r="AO135">
        <f t="shared" si="24"/>
        <v>0</v>
      </c>
      <c r="AP135">
        <f ca="1">IFERROR(((M135/100)*PONDERADORES!$D$12+(SCORECARDS!H135/100)*PONDERADORES!$D$13+(SCORECARDS!I135/100)*PONDERADORES!$D$14+(SCORECARDS!J135/100)*PONDERADORES!$D$15+(ISCAM_Score!K136/100)*PONDERADORES!$D$16+O135*PONDERADORES!$D$17+0*PONDERADORES!$D$18+(AVERAGE(W135:Z135)/2)*PONDERADORES!$D$19)/PONDERADORES!$D$20,"N/A")</f>
        <v>0.1588</v>
      </c>
      <c r="AQ135">
        <f ca="1">COUNT(M135)+IF(SCORECARDS!H135="",0,1)+IF(SCORECARDS!I135="",0,1)+IF(SCORECARDS!J135="",0,1)+IF(ISCAM_Score!K136="",0,1)+IF(O135="",0,1)+IF(COUNT(W135:Z135)&gt;0,1,0)</f>
        <v>3</v>
      </c>
    </row>
    <row r="136" spans="1:43" ht="16.05" customHeight="1" x14ac:dyDescent="0.3">
      <c r="A136" t="s">
        <v>371</v>
      </c>
      <c r="B136" t="s">
        <v>372</v>
      </c>
      <c r="C136" t="s">
        <v>77</v>
      </c>
      <c r="D136" t="s">
        <v>65</v>
      </c>
      <c r="G136" t="s">
        <v>74</v>
      </c>
      <c r="J136" t="s">
        <v>67</v>
      </c>
      <c r="L136">
        <v>0</v>
      </c>
      <c r="M136">
        <f t="shared" si="20"/>
        <v>0</v>
      </c>
      <c r="N136" t="s">
        <v>68</v>
      </c>
      <c r="O136">
        <f t="shared" si="21"/>
        <v>0</v>
      </c>
      <c r="P136" t="s">
        <v>68</v>
      </c>
      <c r="S136">
        <f t="shared" ca="1" si="22"/>
        <v>0</v>
      </c>
      <c r="T136" t="str">
        <f t="shared" ca="1" si="23"/>
        <v>⬜  Parcial · Inst. 2 pendiente</v>
      </c>
      <c r="U136" s="53">
        <v>1</v>
      </c>
      <c r="V136" t="s">
        <v>69</v>
      </c>
      <c r="W136">
        <f>IF(NORMALIZADO!BV136="",0,NORMALIZADO!BV136)</f>
        <v>0</v>
      </c>
      <c r="X136">
        <f>IF(NORMALIZADO!BW136="",0,NORMALIZADO!BW136)</f>
        <v>0</v>
      </c>
      <c r="Y136">
        <f>IF(NORMALIZADO!BX136="",0,NORMALIZADO!BX136)</f>
        <v>0</v>
      </c>
      <c r="Z136">
        <f>IF(NORMALIZADO!BY136="",0,NORMALIZADO!BY136)</f>
        <v>0</v>
      </c>
      <c r="AA136">
        <v>0</v>
      </c>
      <c r="AB136">
        <v>0</v>
      </c>
      <c r="AC136">
        <v>0</v>
      </c>
      <c r="AD136">
        <v>0</v>
      </c>
      <c r="AE136">
        <v>0</v>
      </c>
      <c r="AF136">
        <v>0</v>
      </c>
      <c r="AG136">
        <v>0</v>
      </c>
      <c r="AH136">
        <v>0</v>
      </c>
      <c r="AI136">
        <v>0</v>
      </c>
      <c r="AJ136">
        <v>0</v>
      </c>
      <c r="AK136">
        <v>0</v>
      </c>
      <c r="AL136">
        <v>0</v>
      </c>
      <c r="AM136">
        <v>0</v>
      </c>
      <c r="AN136">
        <v>0</v>
      </c>
      <c r="AO136">
        <f t="shared" si="24"/>
        <v>0</v>
      </c>
      <c r="AP136">
        <f ca="1">IFERROR(((M136/100)*PONDERADORES!$D$12+(SCORECARDS!H136/100)*PONDERADORES!$D$13+(SCORECARDS!I136/100)*PONDERADORES!$D$14+(SCORECARDS!J136/100)*PONDERADORES!$D$15+(ISCAM_Score!K137/100)*PONDERADORES!$D$16+O136*PONDERADORES!$D$17+0*PONDERADORES!$D$18+(AVERAGE(W136:Z136)/2)*PONDERADORES!$D$19)/PONDERADORES!$D$20,"N/A")</f>
        <v>0</v>
      </c>
      <c r="AQ136">
        <f ca="1">COUNT(M136)+IF(SCORECARDS!H136="",0,1)+IF(SCORECARDS!I136="",0,1)+IF(SCORECARDS!J136="",0,1)+IF(ISCAM_Score!K137="",0,1)+IF(O136="",0,1)+IF(COUNT(W136:Z136)&gt;0,1,0)</f>
        <v>3</v>
      </c>
    </row>
    <row r="137" spans="1:43" ht="16.05" customHeight="1" x14ac:dyDescent="0.3">
      <c r="A137" t="s">
        <v>373</v>
      </c>
      <c r="B137" t="s">
        <v>374</v>
      </c>
      <c r="C137" t="s">
        <v>80</v>
      </c>
      <c r="D137" t="s">
        <v>73</v>
      </c>
      <c r="G137" t="s">
        <v>74</v>
      </c>
      <c r="J137" t="s">
        <v>67</v>
      </c>
      <c r="L137">
        <v>0</v>
      </c>
      <c r="M137">
        <f t="shared" si="20"/>
        <v>0</v>
      </c>
      <c r="N137" t="s">
        <v>68</v>
      </c>
      <c r="O137">
        <f t="shared" si="21"/>
        <v>0</v>
      </c>
      <c r="P137" t="s">
        <v>68</v>
      </c>
      <c r="S137">
        <f t="shared" ca="1" si="22"/>
        <v>0</v>
      </c>
      <c r="T137" t="str">
        <f t="shared" ca="1" si="23"/>
        <v>⬜  Parcial · Inst. 2 pendiente</v>
      </c>
      <c r="U137" s="53">
        <v>1</v>
      </c>
      <c r="V137" t="s">
        <v>69</v>
      </c>
      <c r="W137">
        <f>IF(NORMALIZADO!BV137="",0,NORMALIZADO!BV137)</f>
        <v>0</v>
      </c>
      <c r="X137">
        <f>IF(NORMALIZADO!BW137="",0,NORMALIZADO!BW137)</f>
        <v>0</v>
      </c>
      <c r="Y137">
        <f>IF(NORMALIZADO!BX137="",0,NORMALIZADO!BX137)</f>
        <v>0</v>
      </c>
      <c r="Z137">
        <f>IF(NORMALIZADO!BY137="",0,NORMALIZADO!BY137)</f>
        <v>0</v>
      </c>
      <c r="AA137">
        <v>0</v>
      </c>
      <c r="AB137">
        <v>0</v>
      </c>
      <c r="AC137">
        <v>0</v>
      </c>
      <c r="AD137">
        <v>0</v>
      </c>
      <c r="AE137">
        <v>0</v>
      </c>
      <c r="AF137">
        <v>0</v>
      </c>
      <c r="AG137">
        <v>0</v>
      </c>
      <c r="AH137">
        <v>0</v>
      </c>
      <c r="AI137">
        <v>0</v>
      </c>
      <c r="AJ137">
        <v>0</v>
      </c>
      <c r="AK137">
        <v>0</v>
      </c>
      <c r="AL137">
        <v>0</v>
      </c>
      <c r="AM137">
        <v>0</v>
      </c>
      <c r="AN137">
        <v>0</v>
      </c>
      <c r="AO137">
        <f t="shared" si="24"/>
        <v>0</v>
      </c>
      <c r="AP137">
        <f ca="1">IFERROR(((M137/100)*PONDERADORES!$D$12+(SCORECARDS!H137/100)*PONDERADORES!$D$13+(SCORECARDS!I137/100)*PONDERADORES!$D$14+(SCORECARDS!J137/100)*PONDERADORES!$D$15+(ISCAM_Score!K138/100)*PONDERADORES!$D$16+O137*PONDERADORES!$D$17+0*PONDERADORES!$D$18+(AVERAGE(W137:Z137)/2)*PONDERADORES!$D$19)/PONDERADORES!$D$20,"N/A")</f>
        <v>0</v>
      </c>
      <c r="AQ137">
        <f ca="1">COUNT(M137)+IF(SCORECARDS!H137="",0,1)+IF(SCORECARDS!I137="",0,1)+IF(SCORECARDS!J137="",0,1)+IF(ISCAM_Score!K138="",0,1)+IF(O137="",0,1)+IF(COUNT(W137:Z137)&gt;0,1,0)</f>
        <v>3</v>
      </c>
    </row>
    <row r="138" spans="1:43" ht="16.05" customHeight="1" x14ac:dyDescent="0.3">
      <c r="A138" t="s">
        <v>375</v>
      </c>
      <c r="B138" t="s">
        <v>376</v>
      </c>
      <c r="C138" t="s">
        <v>116</v>
      </c>
      <c r="D138" t="s">
        <v>65</v>
      </c>
      <c r="E138">
        <v>161000</v>
      </c>
      <c r="F138">
        <v>1</v>
      </c>
      <c r="G138" t="s">
        <v>66</v>
      </c>
      <c r="J138" t="s">
        <v>67</v>
      </c>
      <c r="L138">
        <v>80500</v>
      </c>
      <c r="M138">
        <f t="shared" si="20"/>
        <v>50</v>
      </c>
      <c r="N138" t="s">
        <v>68</v>
      </c>
      <c r="O138">
        <f t="shared" si="21"/>
        <v>0</v>
      </c>
      <c r="P138" t="s">
        <v>68</v>
      </c>
      <c r="S138">
        <f t="shared" ca="1" si="22"/>
        <v>10</v>
      </c>
      <c r="T138" t="str">
        <f t="shared" ca="1" si="23"/>
        <v>⬜  Parcial · Inst. 2 pendiente</v>
      </c>
      <c r="U138" s="53">
        <v>1</v>
      </c>
      <c r="V138" t="s">
        <v>69</v>
      </c>
      <c r="W138">
        <f>IF(NORMALIZADO!BV138="",0,NORMALIZADO!BV138)</f>
        <v>0</v>
      </c>
      <c r="X138">
        <f>IF(NORMALIZADO!BW138="",0,NORMALIZADO!BW138)</f>
        <v>0</v>
      </c>
      <c r="Y138">
        <f>IF(NORMALIZADO!BX138="",0,NORMALIZADO!BX138)</f>
        <v>0</v>
      </c>
      <c r="Z138">
        <f>IF(NORMALIZADO!BY138="",0,NORMALIZADO!BY138)</f>
        <v>0</v>
      </c>
      <c r="AA138">
        <v>0</v>
      </c>
      <c r="AB138">
        <v>0</v>
      </c>
      <c r="AC138">
        <v>0</v>
      </c>
      <c r="AD138">
        <v>0</v>
      </c>
      <c r="AE138">
        <v>0</v>
      </c>
      <c r="AF138">
        <v>0</v>
      </c>
      <c r="AG138">
        <v>0</v>
      </c>
      <c r="AH138">
        <v>0</v>
      </c>
      <c r="AI138">
        <v>0</v>
      </c>
      <c r="AJ138">
        <v>0</v>
      </c>
      <c r="AK138">
        <v>0</v>
      </c>
      <c r="AL138">
        <v>0</v>
      </c>
      <c r="AM138">
        <v>0</v>
      </c>
      <c r="AN138">
        <v>0</v>
      </c>
      <c r="AO138">
        <f t="shared" si="24"/>
        <v>0</v>
      </c>
      <c r="AP138">
        <f ca="1">IFERROR(((M138/100)*PONDERADORES!$D$12+(SCORECARDS!H138/100)*PONDERADORES!$D$13+(SCORECARDS!I138/100)*PONDERADORES!$D$14+(SCORECARDS!J138/100)*PONDERADORES!$D$15+(ISCAM_Score!K139/100)*PONDERADORES!$D$16+O138*PONDERADORES!$D$17+0*PONDERADORES!$D$18+(AVERAGE(W138:Z138)/2)*PONDERADORES!$D$19)/PONDERADORES!$D$20,"N/A")</f>
        <v>0.1</v>
      </c>
      <c r="AQ138">
        <f ca="1">COUNT(M138)+IF(SCORECARDS!H138="",0,1)+IF(SCORECARDS!I138="",0,1)+IF(SCORECARDS!J138="",0,1)+IF(ISCAM_Score!K139="",0,1)+IF(O138="",0,1)+IF(COUNT(W138:Z138)&gt;0,1,0)</f>
        <v>3</v>
      </c>
    </row>
    <row r="139" spans="1:43" ht="16.05" customHeight="1" x14ac:dyDescent="0.3">
      <c r="A139" t="s">
        <v>377</v>
      </c>
      <c r="B139" t="s">
        <v>378</v>
      </c>
      <c r="C139" t="s">
        <v>196</v>
      </c>
      <c r="D139" t="s">
        <v>73</v>
      </c>
      <c r="G139" t="s">
        <v>74</v>
      </c>
      <c r="J139" t="s">
        <v>67</v>
      </c>
      <c r="L139">
        <v>0</v>
      </c>
      <c r="M139">
        <f t="shared" si="20"/>
        <v>0</v>
      </c>
      <c r="N139" t="s">
        <v>68</v>
      </c>
      <c r="O139">
        <f t="shared" si="21"/>
        <v>0</v>
      </c>
      <c r="P139" t="s">
        <v>68</v>
      </c>
      <c r="S139">
        <f t="shared" ca="1" si="22"/>
        <v>0</v>
      </c>
      <c r="T139" t="str">
        <f t="shared" ca="1" si="23"/>
        <v>⬜  Parcial · Inst. 2 pendiente</v>
      </c>
      <c r="U139" s="53">
        <v>1</v>
      </c>
      <c r="V139" t="s">
        <v>69</v>
      </c>
      <c r="W139">
        <f>IF(NORMALIZADO!BV139="",0,NORMALIZADO!BV139)</f>
        <v>0</v>
      </c>
      <c r="X139">
        <f>IF(NORMALIZADO!BW139="",0,NORMALIZADO!BW139)</f>
        <v>0</v>
      </c>
      <c r="Y139">
        <f>IF(NORMALIZADO!BX139="",0,NORMALIZADO!BX139)</f>
        <v>0</v>
      </c>
      <c r="Z139">
        <f>IF(NORMALIZADO!BY139="",0,NORMALIZADO!BY139)</f>
        <v>0</v>
      </c>
      <c r="AA139">
        <v>0</v>
      </c>
      <c r="AB139">
        <v>0</v>
      </c>
      <c r="AC139">
        <v>0</v>
      </c>
      <c r="AD139">
        <v>0</v>
      </c>
      <c r="AE139">
        <v>0</v>
      </c>
      <c r="AF139">
        <v>0</v>
      </c>
      <c r="AG139">
        <v>0</v>
      </c>
      <c r="AH139">
        <v>0</v>
      </c>
      <c r="AI139">
        <v>0</v>
      </c>
      <c r="AJ139">
        <v>0</v>
      </c>
      <c r="AK139">
        <v>0</v>
      </c>
      <c r="AL139">
        <v>0</v>
      </c>
      <c r="AM139">
        <v>0</v>
      </c>
      <c r="AN139">
        <v>0</v>
      </c>
      <c r="AO139">
        <f t="shared" si="24"/>
        <v>0</v>
      </c>
      <c r="AP139">
        <f ca="1">IFERROR(((M139/100)*PONDERADORES!$D$12+(SCORECARDS!H139/100)*PONDERADORES!$D$13+(SCORECARDS!I139/100)*PONDERADORES!$D$14+(SCORECARDS!J139/100)*PONDERADORES!$D$15+(ISCAM_Score!K140/100)*PONDERADORES!$D$16+O139*PONDERADORES!$D$17+0*PONDERADORES!$D$18+(AVERAGE(W139:Z139)/2)*PONDERADORES!$D$19)/PONDERADORES!$D$20,"N/A")</f>
        <v>0</v>
      </c>
      <c r="AQ139">
        <f ca="1">COUNT(M139)+IF(SCORECARDS!H139="",0,1)+IF(SCORECARDS!I139="",0,1)+IF(SCORECARDS!J139="",0,1)+IF(ISCAM_Score!K140="",0,1)+IF(O139="",0,1)+IF(COUNT(W139:Z139)&gt;0,1,0)</f>
        <v>3</v>
      </c>
    </row>
    <row r="140" spans="1:43" ht="16.05" customHeight="1" x14ac:dyDescent="0.3">
      <c r="A140" t="s">
        <v>379</v>
      </c>
      <c r="B140" t="s">
        <v>380</v>
      </c>
      <c r="C140" t="s">
        <v>77</v>
      </c>
      <c r="D140" t="s">
        <v>65</v>
      </c>
      <c r="E140">
        <v>378122</v>
      </c>
      <c r="F140">
        <v>3</v>
      </c>
      <c r="G140" t="s">
        <v>66</v>
      </c>
      <c r="J140" t="s">
        <v>67</v>
      </c>
      <c r="L140">
        <v>0</v>
      </c>
      <c r="M140">
        <f t="shared" si="20"/>
        <v>0</v>
      </c>
      <c r="N140" t="s">
        <v>68</v>
      </c>
      <c r="O140">
        <f t="shared" si="21"/>
        <v>0</v>
      </c>
      <c r="P140" t="s">
        <v>68</v>
      </c>
      <c r="S140">
        <f t="shared" ca="1" si="22"/>
        <v>0</v>
      </c>
      <c r="T140" t="str">
        <f t="shared" ca="1" si="23"/>
        <v>⬜  Parcial · Inst. 2 pendiente</v>
      </c>
      <c r="U140" s="53">
        <v>1</v>
      </c>
      <c r="V140" t="s">
        <v>69</v>
      </c>
      <c r="W140">
        <f>IF(NORMALIZADO!BV140="",0,NORMALIZADO!BV140)</f>
        <v>0</v>
      </c>
      <c r="X140">
        <f>IF(NORMALIZADO!BW140="",0,NORMALIZADO!BW140)</f>
        <v>0</v>
      </c>
      <c r="Y140">
        <f>IF(NORMALIZADO!BX140="",0,NORMALIZADO!BX140)</f>
        <v>0</v>
      </c>
      <c r="Z140">
        <f>IF(NORMALIZADO!BY140="",0,NORMALIZADO!BY140)</f>
        <v>0</v>
      </c>
      <c r="AA140">
        <v>0</v>
      </c>
      <c r="AB140">
        <v>0</v>
      </c>
      <c r="AC140">
        <v>0</v>
      </c>
      <c r="AD140">
        <v>0</v>
      </c>
      <c r="AE140">
        <v>0</v>
      </c>
      <c r="AF140">
        <v>0</v>
      </c>
      <c r="AG140">
        <v>0</v>
      </c>
      <c r="AH140">
        <v>0</v>
      </c>
      <c r="AI140">
        <v>0</v>
      </c>
      <c r="AJ140">
        <v>0</v>
      </c>
      <c r="AK140">
        <v>0</v>
      </c>
      <c r="AL140">
        <v>0</v>
      </c>
      <c r="AM140">
        <v>0</v>
      </c>
      <c r="AN140">
        <v>0</v>
      </c>
      <c r="AO140">
        <f t="shared" si="24"/>
        <v>0</v>
      </c>
      <c r="AP140">
        <f ca="1">IFERROR(((M140/100)*PONDERADORES!$D$12+(SCORECARDS!H140/100)*PONDERADORES!$D$13+(SCORECARDS!I140/100)*PONDERADORES!$D$14+(SCORECARDS!J140/100)*PONDERADORES!$D$15+(ISCAM_Score!K141/100)*PONDERADORES!$D$16+O140*PONDERADORES!$D$17+0*PONDERADORES!$D$18+(AVERAGE(W140:Z140)/2)*PONDERADORES!$D$19)/PONDERADORES!$D$20,"N/A")</f>
        <v>0</v>
      </c>
      <c r="AQ140">
        <f ca="1">COUNT(M140)+IF(SCORECARDS!H140="",0,1)+IF(SCORECARDS!I140="",0,1)+IF(SCORECARDS!J140="",0,1)+IF(ISCAM_Score!K141="",0,1)+IF(O140="",0,1)+IF(COUNT(W140:Z140)&gt;0,1,0)</f>
        <v>3</v>
      </c>
    </row>
    <row r="141" spans="1:43" ht="16.05" customHeight="1" x14ac:dyDescent="0.3">
      <c r="A141" t="s">
        <v>381</v>
      </c>
      <c r="B141" t="s">
        <v>382</v>
      </c>
      <c r="C141" t="s">
        <v>80</v>
      </c>
      <c r="D141" t="s">
        <v>73</v>
      </c>
      <c r="G141" t="s">
        <v>74</v>
      </c>
      <c r="J141" t="s">
        <v>67</v>
      </c>
      <c r="L141">
        <v>0</v>
      </c>
      <c r="M141">
        <f t="shared" si="20"/>
        <v>0</v>
      </c>
      <c r="N141" t="s">
        <v>68</v>
      </c>
      <c r="O141">
        <f t="shared" si="21"/>
        <v>0</v>
      </c>
      <c r="P141" t="s">
        <v>68</v>
      </c>
      <c r="S141">
        <f t="shared" ca="1" si="22"/>
        <v>0</v>
      </c>
      <c r="T141" t="str">
        <f t="shared" ca="1" si="23"/>
        <v>⬜  Parcial · Inst. 2 pendiente</v>
      </c>
      <c r="U141" s="53">
        <v>1</v>
      </c>
      <c r="V141" t="s">
        <v>69</v>
      </c>
      <c r="W141">
        <f>IF(NORMALIZADO!BV141="",0,NORMALIZADO!BV141)</f>
        <v>0</v>
      </c>
      <c r="X141">
        <f>IF(NORMALIZADO!BW141="",0,NORMALIZADO!BW141)</f>
        <v>0</v>
      </c>
      <c r="Y141">
        <f>IF(NORMALIZADO!BX141="",0,NORMALIZADO!BX141)</f>
        <v>0</v>
      </c>
      <c r="Z141">
        <f>IF(NORMALIZADO!BY141="",0,NORMALIZADO!BY141)</f>
        <v>0</v>
      </c>
      <c r="AA141">
        <v>0</v>
      </c>
      <c r="AB141">
        <v>0</v>
      </c>
      <c r="AC141">
        <v>0</v>
      </c>
      <c r="AD141">
        <v>0</v>
      </c>
      <c r="AE141">
        <v>0</v>
      </c>
      <c r="AF141">
        <v>0</v>
      </c>
      <c r="AG141">
        <v>0</v>
      </c>
      <c r="AH141">
        <v>0</v>
      </c>
      <c r="AI141">
        <v>0</v>
      </c>
      <c r="AJ141">
        <v>0</v>
      </c>
      <c r="AK141">
        <v>0</v>
      </c>
      <c r="AL141">
        <v>0</v>
      </c>
      <c r="AM141">
        <v>0</v>
      </c>
      <c r="AN141">
        <v>0</v>
      </c>
      <c r="AO141">
        <f t="shared" si="24"/>
        <v>0</v>
      </c>
      <c r="AP141">
        <f ca="1">IFERROR(((M141/100)*PONDERADORES!$D$12+(SCORECARDS!H141/100)*PONDERADORES!$D$13+(SCORECARDS!I141/100)*PONDERADORES!$D$14+(SCORECARDS!J141/100)*PONDERADORES!$D$15+(ISCAM_Score!K142/100)*PONDERADORES!$D$16+O141*PONDERADORES!$D$17+0*PONDERADORES!$D$18+(AVERAGE(W141:Z141)/2)*PONDERADORES!$D$19)/PONDERADORES!$D$20,"N/A")</f>
        <v>0</v>
      </c>
      <c r="AQ141">
        <f ca="1">COUNT(M141)+IF(SCORECARDS!H141="",0,1)+IF(SCORECARDS!I141="",0,1)+IF(SCORECARDS!J141="",0,1)+IF(ISCAM_Score!K142="",0,1)+IF(O141="",0,1)+IF(COUNT(W141:Z141)&gt;0,1,0)</f>
        <v>3</v>
      </c>
    </row>
    <row r="142" spans="1:43" ht="16.05" customHeight="1" x14ac:dyDescent="0.3">
      <c r="A142" t="s">
        <v>383</v>
      </c>
      <c r="B142" t="s">
        <v>384</v>
      </c>
      <c r="C142" t="s">
        <v>80</v>
      </c>
      <c r="D142" t="s">
        <v>73</v>
      </c>
      <c r="G142" t="s">
        <v>74</v>
      </c>
      <c r="J142" t="s">
        <v>67</v>
      </c>
      <c r="L142">
        <v>0</v>
      </c>
      <c r="M142">
        <f t="shared" si="20"/>
        <v>0</v>
      </c>
      <c r="N142" t="s">
        <v>68</v>
      </c>
      <c r="O142">
        <f t="shared" si="21"/>
        <v>0</v>
      </c>
      <c r="P142" t="s">
        <v>68</v>
      </c>
      <c r="S142">
        <f t="shared" ca="1" si="22"/>
        <v>0</v>
      </c>
      <c r="T142" t="str">
        <f t="shared" ca="1" si="23"/>
        <v>⬜  Parcial · Inst. 2 pendiente</v>
      </c>
      <c r="U142" s="53">
        <v>1</v>
      </c>
      <c r="V142" t="s">
        <v>69</v>
      </c>
      <c r="W142">
        <f>IF(NORMALIZADO!BV142="",0,NORMALIZADO!BV142)</f>
        <v>0</v>
      </c>
      <c r="X142">
        <f>IF(NORMALIZADO!BW142="",0,NORMALIZADO!BW142)</f>
        <v>0</v>
      </c>
      <c r="Y142">
        <f>IF(NORMALIZADO!BX142="",0,NORMALIZADO!BX142)</f>
        <v>0</v>
      </c>
      <c r="Z142">
        <f>IF(NORMALIZADO!BY142="",0,NORMALIZADO!BY142)</f>
        <v>0</v>
      </c>
      <c r="AA142">
        <v>0</v>
      </c>
      <c r="AB142">
        <v>0</v>
      </c>
      <c r="AC142">
        <v>0</v>
      </c>
      <c r="AD142">
        <v>0</v>
      </c>
      <c r="AE142">
        <v>0</v>
      </c>
      <c r="AF142">
        <v>0</v>
      </c>
      <c r="AG142">
        <v>0</v>
      </c>
      <c r="AH142">
        <v>0</v>
      </c>
      <c r="AI142">
        <v>0</v>
      </c>
      <c r="AJ142">
        <v>0</v>
      </c>
      <c r="AK142">
        <v>0</v>
      </c>
      <c r="AL142">
        <v>0</v>
      </c>
      <c r="AM142">
        <v>0</v>
      </c>
      <c r="AN142">
        <v>0</v>
      </c>
      <c r="AO142">
        <f t="shared" si="24"/>
        <v>0</v>
      </c>
      <c r="AP142">
        <f ca="1">IFERROR(((M142/100)*PONDERADORES!$D$12+(SCORECARDS!H142/100)*PONDERADORES!$D$13+(SCORECARDS!I142/100)*PONDERADORES!$D$14+(SCORECARDS!J142/100)*PONDERADORES!$D$15+(ISCAM_Score!K143/100)*PONDERADORES!$D$16+O142*PONDERADORES!$D$17+0*PONDERADORES!$D$18+(AVERAGE(W142:Z142)/2)*PONDERADORES!$D$19)/PONDERADORES!$D$20,"N/A")</f>
        <v>0</v>
      </c>
      <c r="AQ142">
        <f ca="1">COUNT(M142)+IF(SCORECARDS!H142="",0,1)+IF(SCORECARDS!I142="",0,1)+IF(SCORECARDS!J142="",0,1)+IF(ISCAM_Score!K143="",0,1)+IF(O142="",0,1)+IF(COUNT(W142:Z142)&gt;0,1,0)</f>
        <v>3</v>
      </c>
    </row>
    <row r="143" spans="1:43" ht="16.05" customHeight="1" x14ac:dyDescent="0.3">
      <c r="A143" t="s">
        <v>385</v>
      </c>
      <c r="B143" t="s">
        <v>386</v>
      </c>
      <c r="C143" t="s">
        <v>143</v>
      </c>
      <c r="D143" t="s">
        <v>65</v>
      </c>
      <c r="E143">
        <v>1201126.56</v>
      </c>
      <c r="F143">
        <v>8</v>
      </c>
      <c r="G143" t="s">
        <v>66</v>
      </c>
      <c r="H143" t="s">
        <v>387</v>
      </c>
      <c r="I143" t="s">
        <v>235</v>
      </c>
      <c r="J143" t="s">
        <v>67</v>
      </c>
      <c r="K143" t="s">
        <v>227</v>
      </c>
      <c r="L143">
        <v>852880.44</v>
      </c>
      <c r="M143">
        <f t="shared" si="20"/>
        <v>71</v>
      </c>
      <c r="N143" t="s">
        <v>68</v>
      </c>
      <c r="O143">
        <f t="shared" si="21"/>
        <v>0</v>
      </c>
      <c r="P143" t="s">
        <v>68</v>
      </c>
      <c r="Q143">
        <v>381</v>
      </c>
      <c r="R143">
        <v>1143</v>
      </c>
      <c r="S143">
        <f t="shared" ca="1" si="22"/>
        <v>16.7</v>
      </c>
      <c r="T143" t="str">
        <f t="shared" ca="1" si="23"/>
        <v>⬜  Parcial · Inst. 2 pendiente</v>
      </c>
      <c r="U143" s="53">
        <v>1</v>
      </c>
      <c r="V143" t="s">
        <v>69</v>
      </c>
      <c r="W143">
        <f>IF(NORMALIZADO!BV143="",1,NORMALIZADO!BV143)</f>
        <v>1</v>
      </c>
      <c r="X143">
        <f>IF(NORMALIZADO!BW143="",0,NORMALIZADO!BW143)</f>
        <v>0</v>
      </c>
      <c r="Y143">
        <f>IF(NORMALIZADO!BX143="",0,NORMALIZADO!BX143)</f>
        <v>0</v>
      </c>
      <c r="Z143">
        <f>IF(NORMALIZADO!BY143="",0,NORMALIZADO!BY143)</f>
        <v>0</v>
      </c>
      <c r="AA143">
        <v>0</v>
      </c>
      <c r="AB143">
        <v>0</v>
      </c>
      <c r="AC143">
        <v>0</v>
      </c>
      <c r="AD143">
        <v>0</v>
      </c>
      <c r="AE143">
        <v>0</v>
      </c>
      <c r="AF143">
        <v>0</v>
      </c>
      <c r="AG143">
        <v>0</v>
      </c>
      <c r="AH143">
        <v>0</v>
      </c>
      <c r="AI143">
        <v>0</v>
      </c>
      <c r="AJ143">
        <v>0</v>
      </c>
      <c r="AK143">
        <v>0</v>
      </c>
      <c r="AL143">
        <v>0</v>
      </c>
      <c r="AM143">
        <v>0</v>
      </c>
      <c r="AN143">
        <v>0</v>
      </c>
      <c r="AO143">
        <f t="shared" si="24"/>
        <v>0</v>
      </c>
      <c r="AP143">
        <f ca="1">IFERROR(((M143/100)*PONDERADORES!$D$12+(SCORECARDS!H143/100)*PONDERADORES!$D$13+(SCORECARDS!I143/100)*PONDERADORES!$D$14+(SCORECARDS!J143/100)*PONDERADORES!$D$15+(ISCAM_Score!K144/100)*PONDERADORES!$D$16+O143*PONDERADORES!$D$17+0*PONDERADORES!$D$18+(AVERAGE(W143:Z143)/2)*PONDERADORES!$D$19)/PONDERADORES!$D$20,"N/A")</f>
        <v>0.16699999999999998</v>
      </c>
      <c r="AQ143">
        <f ca="1">COUNT(M143)+IF(SCORECARDS!H143="",0,1)+IF(SCORECARDS!I143="",0,1)+IF(SCORECARDS!J143="",0,1)+IF(ISCAM_Score!K144="",0,1)+IF(O143="",0,1)+IF(COUNT(W143:Z143)&gt;0,1,0)</f>
        <v>3</v>
      </c>
    </row>
    <row r="144" spans="1:43" ht="16.05" customHeight="1" x14ac:dyDescent="0.3">
      <c r="A144" t="s">
        <v>388</v>
      </c>
      <c r="B144" t="s">
        <v>389</v>
      </c>
      <c r="C144" t="s">
        <v>80</v>
      </c>
      <c r="D144" t="s">
        <v>73</v>
      </c>
      <c r="G144" t="s">
        <v>74</v>
      </c>
      <c r="J144" t="s">
        <v>67</v>
      </c>
      <c r="L144">
        <v>0</v>
      </c>
      <c r="M144">
        <f t="shared" si="20"/>
        <v>0</v>
      </c>
      <c r="N144" t="s">
        <v>68</v>
      </c>
      <c r="O144">
        <f t="shared" si="21"/>
        <v>0</v>
      </c>
      <c r="P144" t="s">
        <v>68</v>
      </c>
      <c r="S144">
        <f t="shared" ca="1" si="22"/>
        <v>0</v>
      </c>
      <c r="T144" t="str">
        <f t="shared" ca="1" si="23"/>
        <v>⬜  Parcial · Inst. 2 pendiente</v>
      </c>
      <c r="U144" s="53">
        <v>1</v>
      </c>
      <c r="V144" t="s">
        <v>69</v>
      </c>
      <c r="W144">
        <f>IF(NORMALIZADO!BV144="",0,NORMALIZADO!BV144)</f>
        <v>0</v>
      </c>
      <c r="X144">
        <f>IF(NORMALIZADO!BW144="",0,NORMALIZADO!BW144)</f>
        <v>0</v>
      </c>
      <c r="Y144">
        <f>IF(NORMALIZADO!BX144="",0,NORMALIZADO!BX144)</f>
        <v>0</v>
      </c>
      <c r="Z144">
        <f>IF(NORMALIZADO!BY144="",0,NORMALIZADO!BY144)</f>
        <v>0</v>
      </c>
      <c r="AA144">
        <v>0</v>
      </c>
      <c r="AB144">
        <v>0</v>
      </c>
      <c r="AC144">
        <v>0</v>
      </c>
      <c r="AD144">
        <v>0</v>
      </c>
      <c r="AE144">
        <v>0</v>
      </c>
      <c r="AF144">
        <v>0</v>
      </c>
      <c r="AG144">
        <v>0</v>
      </c>
      <c r="AH144">
        <v>0</v>
      </c>
      <c r="AI144">
        <v>0</v>
      </c>
      <c r="AJ144">
        <v>0</v>
      </c>
      <c r="AK144">
        <v>0</v>
      </c>
      <c r="AL144">
        <v>0</v>
      </c>
      <c r="AM144">
        <v>0</v>
      </c>
      <c r="AN144">
        <v>0</v>
      </c>
      <c r="AO144">
        <f t="shared" si="24"/>
        <v>0</v>
      </c>
      <c r="AP144">
        <f ca="1">IFERROR(((M144/100)*PONDERADORES!$D$12+(SCORECARDS!H144/100)*PONDERADORES!$D$13+(SCORECARDS!I144/100)*PONDERADORES!$D$14+(SCORECARDS!J144/100)*PONDERADORES!$D$15+(ISCAM_Score!K145/100)*PONDERADORES!$D$16+O144*PONDERADORES!$D$17+0*PONDERADORES!$D$18+(AVERAGE(W144:Z144)/2)*PONDERADORES!$D$19)/PONDERADORES!$D$20,"N/A")</f>
        <v>0</v>
      </c>
      <c r="AQ144">
        <f ca="1">COUNT(M144)+IF(SCORECARDS!H144="",0,1)+IF(SCORECARDS!I144="",0,1)+IF(SCORECARDS!J144="",0,1)+IF(ISCAM_Score!K145="",0,1)+IF(O144="",0,1)+IF(COUNT(W144:Z144)&gt;0,1,0)</f>
        <v>3</v>
      </c>
    </row>
    <row r="145" spans="1:43" ht="16.05" customHeight="1" x14ac:dyDescent="0.3">
      <c r="A145" t="s">
        <v>390</v>
      </c>
      <c r="B145" t="s">
        <v>391</v>
      </c>
      <c r="C145" t="s">
        <v>80</v>
      </c>
      <c r="D145" t="s">
        <v>73</v>
      </c>
      <c r="G145" t="s">
        <v>74</v>
      </c>
      <c r="J145" t="s">
        <v>67</v>
      </c>
      <c r="L145">
        <v>0</v>
      </c>
      <c r="M145">
        <f t="shared" si="20"/>
        <v>0</v>
      </c>
      <c r="N145" t="s">
        <v>68</v>
      </c>
      <c r="O145">
        <f t="shared" si="21"/>
        <v>0</v>
      </c>
      <c r="P145" t="s">
        <v>68</v>
      </c>
      <c r="S145">
        <f t="shared" ca="1" si="22"/>
        <v>0</v>
      </c>
      <c r="T145" t="str">
        <f t="shared" ca="1" si="23"/>
        <v>⬜  Parcial · Inst. 2 pendiente</v>
      </c>
      <c r="U145" s="53">
        <v>1</v>
      </c>
      <c r="V145" t="s">
        <v>69</v>
      </c>
      <c r="W145">
        <f>IF(NORMALIZADO!BV145="",0,NORMALIZADO!BV145)</f>
        <v>0</v>
      </c>
      <c r="X145">
        <f>IF(NORMALIZADO!BW145="",0,NORMALIZADO!BW145)</f>
        <v>0</v>
      </c>
      <c r="Y145">
        <f>IF(NORMALIZADO!BX145="",0,NORMALIZADO!BX145)</f>
        <v>0</v>
      </c>
      <c r="Z145">
        <f>IF(NORMALIZADO!BY145="",0,NORMALIZADO!BY145)</f>
        <v>0</v>
      </c>
      <c r="AA145">
        <v>0</v>
      </c>
      <c r="AB145">
        <v>0</v>
      </c>
      <c r="AC145">
        <v>0</v>
      </c>
      <c r="AD145">
        <v>0</v>
      </c>
      <c r="AE145">
        <v>0</v>
      </c>
      <c r="AF145">
        <v>0</v>
      </c>
      <c r="AG145">
        <v>0</v>
      </c>
      <c r="AH145">
        <v>0</v>
      </c>
      <c r="AI145">
        <v>0</v>
      </c>
      <c r="AJ145">
        <v>0</v>
      </c>
      <c r="AK145">
        <v>0</v>
      </c>
      <c r="AL145">
        <v>0</v>
      </c>
      <c r="AM145">
        <v>0</v>
      </c>
      <c r="AN145">
        <v>0</v>
      </c>
      <c r="AO145">
        <f t="shared" si="24"/>
        <v>0</v>
      </c>
      <c r="AP145">
        <f ca="1">IFERROR(((M145/100)*PONDERADORES!$D$12+(SCORECARDS!H145/100)*PONDERADORES!$D$13+(SCORECARDS!I145/100)*PONDERADORES!$D$14+(SCORECARDS!J145/100)*PONDERADORES!$D$15+(ISCAM_Score!K146/100)*PONDERADORES!$D$16+O145*PONDERADORES!$D$17+0*PONDERADORES!$D$18+(AVERAGE(W145:Z145)/2)*PONDERADORES!$D$19)/PONDERADORES!$D$20,"N/A")</f>
        <v>0</v>
      </c>
      <c r="AQ145">
        <f ca="1">COUNT(M145)+IF(SCORECARDS!H145="",0,1)+IF(SCORECARDS!I145="",0,1)+IF(SCORECARDS!J145="",0,1)+IF(ISCAM_Score!K146="",0,1)+IF(O145="",0,1)+IF(COUNT(W145:Z145)&gt;0,1,0)</f>
        <v>3</v>
      </c>
    </row>
    <row r="146" spans="1:43" ht="16.05" customHeight="1" x14ac:dyDescent="0.3">
      <c r="A146" t="s">
        <v>392</v>
      </c>
      <c r="B146" t="s">
        <v>393</v>
      </c>
      <c r="C146" t="s">
        <v>77</v>
      </c>
      <c r="D146" t="s">
        <v>65</v>
      </c>
      <c r="E146">
        <v>332555.15999999997</v>
      </c>
      <c r="F146">
        <v>2</v>
      </c>
      <c r="G146" t="s">
        <v>66</v>
      </c>
      <c r="H146" t="s">
        <v>394</v>
      </c>
      <c r="I146" t="s">
        <v>235</v>
      </c>
      <c r="J146" t="s">
        <v>67</v>
      </c>
      <c r="K146" t="s">
        <v>85</v>
      </c>
      <c r="L146">
        <v>332555.15999999997</v>
      </c>
      <c r="M146">
        <f t="shared" si="20"/>
        <v>100</v>
      </c>
      <c r="N146" t="s">
        <v>68</v>
      </c>
      <c r="O146">
        <f t="shared" si="21"/>
        <v>0</v>
      </c>
      <c r="P146" t="s">
        <v>68</v>
      </c>
      <c r="Q146">
        <v>203</v>
      </c>
      <c r="R146">
        <v>609</v>
      </c>
      <c r="S146">
        <f t="shared" ca="1" si="22"/>
        <v>22.5</v>
      </c>
      <c r="T146" t="str">
        <f t="shared" ca="1" si="23"/>
        <v>⬜  Parcial · Inst. 2 pendiente</v>
      </c>
      <c r="U146" s="53">
        <v>1</v>
      </c>
      <c r="V146" t="s">
        <v>69</v>
      </c>
      <c r="W146">
        <f>IF(NORMALIZADO!BV146="",1,NORMALIZADO!BV146)</f>
        <v>1</v>
      </c>
      <c r="X146">
        <f>IF(NORMALIZADO!BW146="",0,NORMALIZADO!BW146)</f>
        <v>0</v>
      </c>
      <c r="Y146">
        <f>IF(NORMALIZADO!BX146="",0,NORMALIZADO!BX146)</f>
        <v>0</v>
      </c>
      <c r="Z146">
        <f>IF(NORMALIZADO!BY146="",0,NORMALIZADO!BY146)</f>
        <v>0</v>
      </c>
      <c r="AA146">
        <v>0</v>
      </c>
      <c r="AB146">
        <v>0</v>
      </c>
      <c r="AC146">
        <v>0</v>
      </c>
      <c r="AD146">
        <v>0</v>
      </c>
      <c r="AE146">
        <v>0</v>
      </c>
      <c r="AF146">
        <v>0</v>
      </c>
      <c r="AG146">
        <v>0</v>
      </c>
      <c r="AH146">
        <v>0</v>
      </c>
      <c r="AI146">
        <v>0</v>
      </c>
      <c r="AJ146">
        <v>0</v>
      </c>
      <c r="AK146">
        <v>0</v>
      </c>
      <c r="AL146">
        <v>0</v>
      </c>
      <c r="AM146">
        <v>0</v>
      </c>
      <c r="AN146">
        <v>0</v>
      </c>
      <c r="AO146">
        <f t="shared" si="24"/>
        <v>0</v>
      </c>
      <c r="AP146">
        <f ca="1">IFERROR(((M146/100)*PONDERADORES!$D$12+(SCORECARDS!H146/100)*PONDERADORES!$D$13+(SCORECARDS!I146/100)*PONDERADORES!$D$14+(SCORECARDS!J146/100)*PONDERADORES!$D$15+(ISCAM_Score!K147/100)*PONDERADORES!$D$16+O146*PONDERADORES!$D$17+0*PONDERADORES!$D$18+(AVERAGE(W146:Z146)/2)*PONDERADORES!$D$19)/PONDERADORES!$D$20,"N/A")</f>
        <v>0.22500000000000001</v>
      </c>
      <c r="AQ146">
        <f ca="1">COUNT(M146)+IF(SCORECARDS!H146="",0,1)+IF(SCORECARDS!I146="",0,1)+IF(SCORECARDS!J146="",0,1)+IF(ISCAM_Score!K147="",0,1)+IF(O146="",0,1)+IF(COUNT(W146:Z146)&gt;0,1,0)</f>
        <v>3</v>
      </c>
    </row>
    <row r="147" spans="1:43" ht="16.05" customHeight="1" x14ac:dyDescent="0.3">
      <c r="A147" t="s">
        <v>395</v>
      </c>
      <c r="B147" t="s">
        <v>396</v>
      </c>
      <c r="C147" t="s">
        <v>248</v>
      </c>
      <c r="D147" t="s">
        <v>73</v>
      </c>
      <c r="E147">
        <v>543961.38</v>
      </c>
      <c r="F147">
        <v>5</v>
      </c>
      <c r="G147" t="s">
        <v>66</v>
      </c>
      <c r="J147" t="s">
        <v>67</v>
      </c>
      <c r="L147">
        <v>271980.69</v>
      </c>
      <c r="M147">
        <f t="shared" si="20"/>
        <v>50</v>
      </c>
      <c r="N147" t="s">
        <v>68</v>
      </c>
      <c r="O147">
        <f t="shared" si="21"/>
        <v>0</v>
      </c>
      <c r="P147" t="s">
        <v>68</v>
      </c>
      <c r="S147">
        <f t="shared" ca="1" si="22"/>
        <v>10</v>
      </c>
      <c r="T147" t="str">
        <f t="shared" ca="1" si="23"/>
        <v>⬜  Parcial · Inst. 2 pendiente</v>
      </c>
      <c r="U147" s="53">
        <v>1</v>
      </c>
      <c r="V147" t="s">
        <v>69</v>
      </c>
      <c r="W147">
        <f>IF(NORMALIZADO!BV147="",0,NORMALIZADO!BV147)</f>
        <v>0</v>
      </c>
      <c r="X147">
        <f>IF(NORMALIZADO!BW147="",0,NORMALIZADO!BW147)</f>
        <v>0</v>
      </c>
      <c r="Y147">
        <f>IF(NORMALIZADO!BX147="",0,NORMALIZADO!BX147)</f>
        <v>0</v>
      </c>
      <c r="Z147">
        <f>IF(NORMALIZADO!BY147="",0,NORMALIZADO!BY147)</f>
        <v>0</v>
      </c>
      <c r="AA147">
        <v>0</v>
      </c>
      <c r="AB147">
        <v>0</v>
      </c>
      <c r="AC147">
        <v>0</v>
      </c>
      <c r="AD147">
        <v>0</v>
      </c>
      <c r="AE147">
        <v>0</v>
      </c>
      <c r="AF147">
        <v>0</v>
      </c>
      <c r="AG147">
        <v>0</v>
      </c>
      <c r="AH147">
        <v>0</v>
      </c>
      <c r="AI147">
        <v>0</v>
      </c>
      <c r="AJ147">
        <v>0</v>
      </c>
      <c r="AK147">
        <v>0</v>
      </c>
      <c r="AL147">
        <v>0</v>
      </c>
      <c r="AM147">
        <v>0</v>
      </c>
      <c r="AN147">
        <v>0</v>
      </c>
      <c r="AO147">
        <f t="shared" si="24"/>
        <v>0</v>
      </c>
      <c r="AP147">
        <f ca="1">IFERROR(((M147/100)*PONDERADORES!$D$12+(SCORECARDS!H147/100)*PONDERADORES!$D$13+(SCORECARDS!I147/100)*PONDERADORES!$D$14+(SCORECARDS!J147/100)*PONDERADORES!$D$15+(ISCAM_Score!K148/100)*PONDERADORES!$D$16+O147*PONDERADORES!$D$17+0*PONDERADORES!$D$18+(AVERAGE(W147:Z147)/2)*PONDERADORES!$D$19)/PONDERADORES!$D$20,"N/A")</f>
        <v>0.1</v>
      </c>
      <c r="AQ147">
        <f ca="1">COUNT(M147)+IF(SCORECARDS!H147="",0,1)+IF(SCORECARDS!I147="",0,1)+IF(SCORECARDS!J147="",0,1)+IF(ISCAM_Score!K148="",0,1)+IF(O147="",0,1)+IF(COUNT(W147:Z147)&gt;0,1,0)</f>
        <v>3</v>
      </c>
    </row>
    <row r="148" spans="1:43" ht="16.05" customHeight="1" x14ac:dyDescent="0.3">
      <c r="A148" t="s">
        <v>397</v>
      </c>
      <c r="B148" t="s">
        <v>398</v>
      </c>
      <c r="C148" t="s">
        <v>80</v>
      </c>
      <c r="D148" t="s">
        <v>73</v>
      </c>
      <c r="G148" t="s">
        <v>74</v>
      </c>
      <c r="J148" t="s">
        <v>67</v>
      </c>
      <c r="L148">
        <v>0</v>
      </c>
      <c r="M148">
        <f t="shared" si="20"/>
        <v>0</v>
      </c>
      <c r="N148" t="s">
        <v>68</v>
      </c>
      <c r="O148">
        <f t="shared" si="21"/>
        <v>0</v>
      </c>
      <c r="P148" t="s">
        <v>68</v>
      </c>
      <c r="S148">
        <f t="shared" ca="1" si="22"/>
        <v>0</v>
      </c>
      <c r="T148" t="str">
        <f t="shared" ca="1" si="23"/>
        <v>⬜  Parcial · Inst. 2 pendiente</v>
      </c>
      <c r="U148" s="53">
        <v>1</v>
      </c>
      <c r="V148" t="s">
        <v>69</v>
      </c>
      <c r="W148">
        <f>IF(NORMALIZADO!BV148="",0,NORMALIZADO!BV148)</f>
        <v>0</v>
      </c>
      <c r="X148">
        <f>IF(NORMALIZADO!BW148="",0,NORMALIZADO!BW148)</f>
        <v>0</v>
      </c>
      <c r="Y148">
        <f>IF(NORMALIZADO!BX148="",0,NORMALIZADO!BX148)</f>
        <v>0</v>
      </c>
      <c r="Z148">
        <f>IF(NORMALIZADO!BY148="",0,NORMALIZADO!BY148)</f>
        <v>0</v>
      </c>
      <c r="AA148">
        <v>0</v>
      </c>
      <c r="AB148">
        <v>0</v>
      </c>
      <c r="AC148">
        <v>0</v>
      </c>
      <c r="AD148">
        <v>0</v>
      </c>
      <c r="AE148">
        <v>0</v>
      </c>
      <c r="AF148">
        <v>0</v>
      </c>
      <c r="AG148">
        <v>0</v>
      </c>
      <c r="AH148">
        <v>0</v>
      </c>
      <c r="AI148">
        <v>0</v>
      </c>
      <c r="AJ148">
        <v>0</v>
      </c>
      <c r="AK148">
        <v>0</v>
      </c>
      <c r="AL148">
        <v>0</v>
      </c>
      <c r="AM148">
        <v>0</v>
      </c>
      <c r="AN148">
        <v>0</v>
      </c>
      <c r="AO148">
        <f t="shared" si="24"/>
        <v>0</v>
      </c>
      <c r="AP148">
        <f ca="1">IFERROR(((M148/100)*PONDERADORES!$D$12+(SCORECARDS!H148/100)*PONDERADORES!$D$13+(SCORECARDS!I148/100)*PONDERADORES!$D$14+(SCORECARDS!J148/100)*PONDERADORES!$D$15+(ISCAM_Score!K149/100)*PONDERADORES!$D$16+O148*PONDERADORES!$D$17+0*PONDERADORES!$D$18+(AVERAGE(W148:Z148)/2)*PONDERADORES!$D$19)/PONDERADORES!$D$20,"N/A")</f>
        <v>0</v>
      </c>
      <c r="AQ148">
        <f ca="1">COUNT(M148)+IF(SCORECARDS!H148="",0,1)+IF(SCORECARDS!I148="",0,1)+IF(SCORECARDS!J148="",0,1)+IF(ISCAM_Score!K149="",0,1)+IF(O148="",0,1)+IF(COUNT(W148:Z148)&gt;0,1,0)</f>
        <v>3</v>
      </c>
    </row>
    <row r="149" spans="1:43" ht="16.05" customHeight="1" x14ac:dyDescent="0.3">
      <c r="A149" t="s">
        <v>399</v>
      </c>
      <c r="B149" t="s">
        <v>400</v>
      </c>
      <c r="C149" t="s">
        <v>154</v>
      </c>
      <c r="D149" t="s">
        <v>65</v>
      </c>
      <c r="E149">
        <v>7275.18</v>
      </c>
      <c r="F149">
        <v>1</v>
      </c>
      <c r="G149" t="s">
        <v>66</v>
      </c>
      <c r="H149" t="s">
        <v>66</v>
      </c>
      <c r="I149" t="s">
        <v>66</v>
      </c>
      <c r="J149" t="s">
        <v>67</v>
      </c>
      <c r="L149">
        <v>0</v>
      </c>
      <c r="M149">
        <f t="shared" si="20"/>
        <v>0</v>
      </c>
      <c r="N149" t="s">
        <v>68</v>
      </c>
      <c r="O149">
        <f t="shared" si="21"/>
        <v>1</v>
      </c>
      <c r="P149" t="s">
        <v>68</v>
      </c>
      <c r="Q149">
        <v>305</v>
      </c>
      <c r="R149">
        <v>699</v>
      </c>
      <c r="S149">
        <f t="shared" ca="1" si="22"/>
        <v>10.5</v>
      </c>
      <c r="T149" t="str">
        <f t="shared" ca="1" si="23"/>
        <v>⬜  Parcial · Inst. 2 pendiente</v>
      </c>
      <c r="U149" s="53">
        <v>1</v>
      </c>
      <c r="V149" t="s">
        <v>69</v>
      </c>
      <c r="W149">
        <f>IF(NORMALIZADO!BV149="",1,NORMALIZADO!BV149)</f>
        <v>1</v>
      </c>
      <c r="X149">
        <f>IF(NORMALIZADO!BW149="",0,NORMALIZADO!BW149)</f>
        <v>0</v>
      </c>
      <c r="Y149">
        <f>IF(NORMALIZADO!BX149="",0,NORMALIZADO!BX149)</f>
        <v>0</v>
      </c>
      <c r="Z149">
        <f>IF(NORMALIZADO!BY149="",0,NORMALIZADO!BY149)</f>
        <v>0</v>
      </c>
      <c r="AA149">
        <v>0</v>
      </c>
      <c r="AB149">
        <v>0</v>
      </c>
      <c r="AC149">
        <v>0</v>
      </c>
      <c r="AD149">
        <v>0</v>
      </c>
      <c r="AE149">
        <v>0</v>
      </c>
      <c r="AF149">
        <v>0</v>
      </c>
      <c r="AG149">
        <v>0</v>
      </c>
      <c r="AH149">
        <v>0</v>
      </c>
      <c r="AI149">
        <v>0</v>
      </c>
      <c r="AJ149">
        <v>0</v>
      </c>
      <c r="AK149">
        <v>0</v>
      </c>
      <c r="AL149">
        <v>0</v>
      </c>
      <c r="AM149">
        <v>0</v>
      </c>
      <c r="AN149">
        <v>0</v>
      </c>
      <c r="AO149">
        <f t="shared" si="24"/>
        <v>0</v>
      </c>
      <c r="AP149">
        <f ca="1">IFERROR(((M149/100)*PONDERADORES!$D$12+(SCORECARDS!H149/100)*PONDERADORES!$D$13+(SCORECARDS!I149/100)*PONDERADORES!$D$14+(SCORECARDS!J149/100)*PONDERADORES!$D$15+(ISCAM_Score!K150/100)*PONDERADORES!$D$16+O149*PONDERADORES!$D$17+0*PONDERADORES!$D$18+(AVERAGE(W149:Z149)/2)*PONDERADORES!$D$19)/PONDERADORES!$D$20,"N/A")</f>
        <v>0.105</v>
      </c>
      <c r="AQ149">
        <f ca="1">COUNT(M149)+IF(SCORECARDS!H149="",0,1)+IF(SCORECARDS!I149="",0,1)+IF(SCORECARDS!J149="",0,1)+IF(ISCAM_Score!K150="",0,1)+IF(O149="",0,1)+IF(COUNT(W149:Z149)&gt;0,1,0)</f>
        <v>3</v>
      </c>
    </row>
    <row r="150" spans="1:43" ht="16.05" customHeight="1" x14ac:dyDescent="0.3">
      <c r="A150" t="s">
        <v>401</v>
      </c>
      <c r="B150" t="s">
        <v>402</v>
      </c>
      <c r="C150" t="s">
        <v>107</v>
      </c>
      <c r="D150" t="s">
        <v>65</v>
      </c>
      <c r="G150" t="s">
        <v>74</v>
      </c>
      <c r="J150" t="s">
        <v>128</v>
      </c>
      <c r="L150">
        <v>0</v>
      </c>
      <c r="M150">
        <f t="shared" si="20"/>
        <v>0</v>
      </c>
      <c r="N150" t="s">
        <v>68</v>
      </c>
      <c r="O150">
        <f t="shared" si="21"/>
        <v>0</v>
      </c>
      <c r="P150" t="s">
        <v>68</v>
      </c>
      <c r="S150">
        <f t="shared" ca="1" si="22"/>
        <v>0</v>
      </c>
      <c r="T150" t="str">
        <f t="shared" ca="1" si="23"/>
        <v>⬜  Parcial · Inst. 2 pendiente</v>
      </c>
      <c r="U150" s="53">
        <v>1</v>
      </c>
      <c r="V150" t="s">
        <v>69</v>
      </c>
      <c r="W150">
        <f>IF(NORMALIZADO!BV150="",0,NORMALIZADO!BV150)</f>
        <v>0</v>
      </c>
      <c r="X150">
        <f>IF(NORMALIZADO!BW150="",0,NORMALIZADO!BW150)</f>
        <v>0</v>
      </c>
      <c r="Y150">
        <f>IF(NORMALIZADO!BX150="",0,NORMALIZADO!BX150)</f>
        <v>0</v>
      </c>
      <c r="Z150">
        <f>IF(NORMALIZADO!BY150="",0,NORMALIZADO!BY150)</f>
        <v>0</v>
      </c>
      <c r="AA150">
        <v>0</v>
      </c>
      <c r="AB150">
        <v>0</v>
      </c>
      <c r="AC150">
        <v>0</v>
      </c>
      <c r="AD150">
        <v>0</v>
      </c>
      <c r="AE150">
        <v>0</v>
      </c>
      <c r="AF150">
        <v>0</v>
      </c>
      <c r="AG150">
        <v>0</v>
      </c>
      <c r="AH150">
        <v>0</v>
      </c>
      <c r="AI150">
        <v>0</v>
      </c>
      <c r="AJ150">
        <v>0</v>
      </c>
      <c r="AK150">
        <v>0</v>
      </c>
      <c r="AL150">
        <v>0</v>
      </c>
      <c r="AM150">
        <v>0</v>
      </c>
      <c r="AN150">
        <v>0</v>
      </c>
      <c r="AO150">
        <f t="shared" si="24"/>
        <v>0</v>
      </c>
      <c r="AP150">
        <f ca="1">IFERROR(((M150/100)*PONDERADORES!$D$12+(SCORECARDS!H150/100)*PONDERADORES!$D$13+(SCORECARDS!I150/100)*PONDERADORES!$D$14+(SCORECARDS!J150/100)*PONDERADORES!$D$15+(ISCAM_Score!K151/100)*PONDERADORES!$D$16+O150*PONDERADORES!$D$17+0*PONDERADORES!$D$18+(AVERAGE(W150:Z150)/2)*PONDERADORES!$D$19)/PONDERADORES!$D$20,"N/A")</f>
        <v>0</v>
      </c>
      <c r="AQ150">
        <f ca="1">COUNT(M150)+IF(SCORECARDS!H150="",0,1)+IF(SCORECARDS!I150="",0,1)+IF(SCORECARDS!J150="",0,1)+IF(ISCAM_Score!K151="",0,1)+IF(O150="",0,1)+IF(COUNT(W150:Z150)&gt;0,1,0)</f>
        <v>3</v>
      </c>
    </row>
    <row r="151" spans="1:43" ht="16.05" customHeight="1" x14ac:dyDescent="0.3">
      <c r="A151" t="s">
        <v>403</v>
      </c>
      <c r="B151" t="s">
        <v>404</v>
      </c>
      <c r="C151" t="s">
        <v>183</v>
      </c>
      <c r="D151" t="s">
        <v>65</v>
      </c>
      <c r="G151" t="s">
        <v>74</v>
      </c>
      <c r="J151" t="s">
        <v>67</v>
      </c>
      <c r="L151">
        <v>0</v>
      </c>
      <c r="M151">
        <f t="shared" si="20"/>
        <v>0</v>
      </c>
      <c r="N151" t="s">
        <v>68</v>
      </c>
      <c r="O151">
        <f t="shared" si="21"/>
        <v>0</v>
      </c>
      <c r="P151" t="s">
        <v>68</v>
      </c>
      <c r="S151">
        <f t="shared" ca="1" si="22"/>
        <v>0</v>
      </c>
      <c r="T151" t="str">
        <f t="shared" ca="1" si="23"/>
        <v>⬜  Parcial · Inst. 2 pendiente</v>
      </c>
      <c r="U151" s="53">
        <v>1</v>
      </c>
      <c r="V151" t="s">
        <v>69</v>
      </c>
      <c r="W151">
        <f>IF(NORMALIZADO!BV151="",0,NORMALIZADO!BV151)</f>
        <v>0</v>
      </c>
      <c r="X151">
        <f>IF(NORMALIZADO!BW151="",0,NORMALIZADO!BW151)</f>
        <v>0</v>
      </c>
      <c r="Y151">
        <f>IF(NORMALIZADO!BX151="",0,NORMALIZADO!BX151)</f>
        <v>0</v>
      </c>
      <c r="Z151">
        <f>IF(NORMALIZADO!BY151="",0,NORMALIZADO!BY151)</f>
        <v>0</v>
      </c>
      <c r="AA151">
        <v>0</v>
      </c>
      <c r="AB151">
        <v>0</v>
      </c>
      <c r="AC151">
        <v>0</v>
      </c>
      <c r="AD151">
        <v>0</v>
      </c>
      <c r="AE151">
        <v>0</v>
      </c>
      <c r="AF151">
        <v>0</v>
      </c>
      <c r="AG151">
        <v>0</v>
      </c>
      <c r="AH151">
        <v>0</v>
      </c>
      <c r="AI151">
        <v>0</v>
      </c>
      <c r="AJ151">
        <v>0</v>
      </c>
      <c r="AK151">
        <v>0</v>
      </c>
      <c r="AL151">
        <v>0</v>
      </c>
      <c r="AM151">
        <v>0</v>
      </c>
      <c r="AN151">
        <v>0</v>
      </c>
      <c r="AO151">
        <f t="shared" si="24"/>
        <v>0</v>
      </c>
      <c r="AP151">
        <f ca="1">IFERROR(((M151/100)*PONDERADORES!$D$12+(SCORECARDS!H151/100)*PONDERADORES!$D$13+(SCORECARDS!I151/100)*PONDERADORES!$D$14+(SCORECARDS!J151/100)*PONDERADORES!$D$15+(ISCAM_Score!K152/100)*PONDERADORES!$D$16+O151*PONDERADORES!$D$17+0*PONDERADORES!$D$18+(AVERAGE(W151:Z151)/2)*PONDERADORES!$D$19)/PONDERADORES!$D$20,"N/A")</f>
        <v>0</v>
      </c>
      <c r="AQ151">
        <f ca="1">COUNT(M151)+IF(SCORECARDS!H151="",0,1)+IF(SCORECARDS!I151="",0,1)+IF(SCORECARDS!J151="",0,1)+IF(ISCAM_Score!K152="",0,1)+IF(O151="",0,1)+IF(COUNT(W151:Z151)&gt;0,1,0)</f>
        <v>3</v>
      </c>
    </row>
    <row r="152" spans="1:43" ht="16.05" customHeight="1" x14ac:dyDescent="0.3">
      <c r="A152" t="s">
        <v>405</v>
      </c>
      <c r="B152" t="s">
        <v>406</v>
      </c>
      <c r="C152" t="s">
        <v>80</v>
      </c>
      <c r="D152" t="s">
        <v>73</v>
      </c>
      <c r="G152" t="s">
        <v>74</v>
      </c>
      <c r="J152" t="s">
        <v>67</v>
      </c>
      <c r="L152">
        <v>0</v>
      </c>
      <c r="M152">
        <f t="shared" si="20"/>
        <v>0</v>
      </c>
      <c r="N152" t="s">
        <v>68</v>
      </c>
      <c r="O152">
        <f t="shared" si="21"/>
        <v>0</v>
      </c>
      <c r="P152" t="s">
        <v>68</v>
      </c>
      <c r="S152">
        <f t="shared" ca="1" si="22"/>
        <v>0</v>
      </c>
      <c r="T152" t="str">
        <f t="shared" ca="1" si="23"/>
        <v>⬜  Parcial · Inst. 2 pendiente</v>
      </c>
      <c r="U152" s="53">
        <v>1</v>
      </c>
      <c r="V152" t="s">
        <v>69</v>
      </c>
      <c r="W152">
        <f>IF(NORMALIZADO!BV152="",0,NORMALIZADO!BV152)</f>
        <v>0</v>
      </c>
      <c r="X152">
        <f>IF(NORMALIZADO!BW152="",0,NORMALIZADO!BW152)</f>
        <v>0</v>
      </c>
      <c r="Y152">
        <f>IF(NORMALIZADO!BX152="",0,NORMALIZADO!BX152)</f>
        <v>0</v>
      </c>
      <c r="Z152">
        <f>IF(NORMALIZADO!BY152="",0,NORMALIZADO!BY152)</f>
        <v>0</v>
      </c>
      <c r="AA152">
        <v>0</v>
      </c>
      <c r="AB152">
        <v>0</v>
      </c>
      <c r="AC152">
        <v>0</v>
      </c>
      <c r="AD152">
        <v>0</v>
      </c>
      <c r="AE152">
        <v>0</v>
      </c>
      <c r="AF152">
        <v>0</v>
      </c>
      <c r="AG152">
        <v>0</v>
      </c>
      <c r="AH152">
        <v>0</v>
      </c>
      <c r="AI152">
        <v>0</v>
      </c>
      <c r="AJ152">
        <v>0</v>
      </c>
      <c r="AK152">
        <v>0</v>
      </c>
      <c r="AL152">
        <v>0</v>
      </c>
      <c r="AM152">
        <v>0</v>
      </c>
      <c r="AN152">
        <v>0</v>
      </c>
      <c r="AO152">
        <f t="shared" si="24"/>
        <v>0</v>
      </c>
      <c r="AP152">
        <f ca="1">IFERROR(((M152/100)*PONDERADORES!$D$12+(SCORECARDS!H152/100)*PONDERADORES!$D$13+(SCORECARDS!I152/100)*PONDERADORES!$D$14+(SCORECARDS!J152/100)*PONDERADORES!$D$15+(ISCAM_Score!K153/100)*PONDERADORES!$D$16+O152*PONDERADORES!$D$17+0*PONDERADORES!$D$18+(AVERAGE(W152:Z152)/2)*PONDERADORES!$D$19)/PONDERADORES!$D$20,"N/A")</f>
        <v>0</v>
      </c>
      <c r="AQ152">
        <f ca="1">COUNT(M152)+IF(SCORECARDS!H152="",0,1)+IF(SCORECARDS!I152="",0,1)+IF(SCORECARDS!J152="",0,1)+IF(ISCAM_Score!K153="",0,1)+IF(O152="",0,1)+IF(COUNT(W152:Z152)&gt;0,1,0)</f>
        <v>3</v>
      </c>
    </row>
    <row r="153" spans="1:43" ht="16.05" customHeight="1" x14ac:dyDescent="0.3">
      <c r="A153" t="s">
        <v>407</v>
      </c>
      <c r="B153" t="s">
        <v>408</v>
      </c>
      <c r="C153" t="s">
        <v>80</v>
      </c>
      <c r="D153" t="s">
        <v>73</v>
      </c>
      <c r="G153" t="s">
        <v>74</v>
      </c>
      <c r="J153" t="s">
        <v>67</v>
      </c>
      <c r="L153">
        <v>0</v>
      </c>
      <c r="M153">
        <f t="shared" si="20"/>
        <v>0</v>
      </c>
      <c r="N153" t="s">
        <v>68</v>
      </c>
      <c r="O153">
        <f t="shared" si="21"/>
        <v>0</v>
      </c>
      <c r="P153" t="s">
        <v>68</v>
      </c>
      <c r="S153">
        <f t="shared" ca="1" si="22"/>
        <v>0</v>
      </c>
      <c r="T153" t="str">
        <f t="shared" ca="1" si="23"/>
        <v>⬜  Parcial · Inst. 2 pendiente</v>
      </c>
      <c r="U153" s="53">
        <v>1</v>
      </c>
      <c r="V153" t="s">
        <v>69</v>
      </c>
      <c r="W153">
        <f>IF(NORMALIZADO!BV153="",0,NORMALIZADO!BV153)</f>
        <v>0</v>
      </c>
      <c r="X153">
        <f>IF(NORMALIZADO!BW153="",0,NORMALIZADO!BW153)</f>
        <v>0</v>
      </c>
      <c r="Y153">
        <f>IF(NORMALIZADO!BX153="",0,NORMALIZADO!BX153)</f>
        <v>0</v>
      </c>
      <c r="Z153">
        <f>IF(NORMALIZADO!BY153="",0,NORMALIZADO!BY153)</f>
        <v>0</v>
      </c>
      <c r="AA153">
        <v>0</v>
      </c>
      <c r="AB153">
        <v>0</v>
      </c>
      <c r="AC153">
        <v>0</v>
      </c>
      <c r="AD153">
        <v>0</v>
      </c>
      <c r="AE153">
        <v>0</v>
      </c>
      <c r="AF153">
        <v>0</v>
      </c>
      <c r="AG153">
        <v>0</v>
      </c>
      <c r="AH153">
        <v>0</v>
      </c>
      <c r="AI153">
        <v>0</v>
      </c>
      <c r="AJ153">
        <v>0</v>
      </c>
      <c r="AK153">
        <v>0</v>
      </c>
      <c r="AL153">
        <v>0</v>
      </c>
      <c r="AM153">
        <v>0</v>
      </c>
      <c r="AN153">
        <v>0</v>
      </c>
      <c r="AO153">
        <f t="shared" si="24"/>
        <v>0</v>
      </c>
      <c r="AP153">
        <f ca="1">IFERROR(((M153/100)*PONDERADORES!$D$12+(SCORECARDS!H153/100)*PONDERADORES!$D$13+(SCORECARDS!I153/100)*PONDERADORES!$D$14+(SCORECARDS!J153/100)*PONDERADORES!$D$15+(ISCAM_Score!K154/100)*PONDERADORES!$D$16+O153*PONDERADORES!$D$17+0*PONDERADORES!$D$18+(AVERAGE(W153:Z153)/2)*PONDERADORES!$D$19)/PONDERADORES!$D$20,"N/A")</f>
        <v>0</v>
      </c>
      <c r="AQ153">
        <f ca="1">COUNT(M153)+IF(SCORECARDS!H153="",0,1)+IF(SCORECARDS!I153="",0,1)+IF(SCORECARDS!J153="",0,1)+IF(ISCAM_Score!K154="",0,1)+IF(O153="",0,1)+IF(COUNT(W153:Z153)&gt;0,1,0)</f>
        <v>3</v>
      </c>
    </row>
    <row r="154" spans="1:43" ht="16.05" customHeight="1" x14ac:dyDescent="0.3">
      <c r="A154" t="s">
        <v>409</v>
      </c>
      <c r="B154" t="s">
        <v>410</v>
      </c>
      <c r="C154" t="s">
        <v>77</v>
      </c>
      <c r="D154" t="s">
        <v>65</v>
      </c>
      <c r="E154">
        <v>147669.48000000001</v>
      </c>
      <c r="F154">
        <v>1</v>
      </c>
      <c r="G154" t="s">
        <v>66</v>
      </c>
      <c r="I154" t="s">
        <v>235</v>
      </c>
      <c r="J154" t="s">
        <v>67</v>
      </c>
      <c r="K154" t="s">
        <v>85</v>
      </c>
      <c r="L154">
        <v>0</v>
      </c>
      <c r="M154">
        <f t="shared" si="20"/>
        <v>0</v>
      </c>
      <c r="N154" t="s">
        <v>68</v>
      </c>
      <c r="O154">
        <f t="shared" si="21"/>
        <v>0</v>
      </c>
      <c r="P154" t="s">
        <v>68</v>
      </c>
      <c r="Q154">
        <v>257</v>
      </c>
      <c r="R154">
        <v>771</v>
      </c>
      <c r="S154">
        <f t="shared" ca="1" si="22"/>
        <v>2.5</v>
      </c>
      <c r="T154" t="str">
        <f t="shared" ca="1" si="23"/>
        <v>⬜  Parcial · Inst. 2 pendiente</v>
      </c>
      <c r="U154" s="53">
        <v>1</v>
      </c>
      <c r="V154" t="s">
        <v>69</v>
      </c>
      <c r="W154">
        <f>IF(NORMALIZADO!BV154="",1,NORMALIZADO!BV154)</f>
        <v>1</v>
      </c>
      <c r="X154">
        <f>IF(NORMALIZADO!BW154="",0,NORMALIZADO!BW154)</f>
        <v>0</v>
      </c>
      <c r="Y154">
        <f>IF(NORMALIZADO!BX154="",0,NORMALIZADO!BX154)</f>
        <v>0</v>
      </c>
      <c r="Z154">
        <f>IF(NORMALIZADO!BY154="",0,NORMALIZADO!BY154)</f>
        <v>0</v>
      </c>
      <c r="AA154">
        <v>0</v>
      </c>
      <c r="AB154">
        <v>0</v>
      </c>
      <c r="AC154">
        <v>0</v>
      </c>
      <c r="AD154">
        <v>0</v>
      </c>
      <c r="AE154">
        <v>0</v>
      </c>
      <c r="AF154">
        <v>0</v>
      </c>
      <c r="AG154">
        <v>0</v>
      </c>
      <c r="AH154">
        <v>0</v>
      </c>
      <c r="AI154">
        <v>0</v>
      </c>
      <c r="AJ154">
        <v>0</v>
      </c>
      <c r="AK154">
        <v>0</v>
      </c>
      <c r="AL154">
        <v>0</v>
      </c>
      <c r="AM154">
        <v>0</v>
      </c>
      <c r="AN154">
        <v>0</v>
      </c>
      <c r="AO154">
        <f t="shared" si="24"/>
        <v>0</v>
      </c>
      <c r="AP154">
        <f ca="1">IFERROR(((M154/100)*PONDERADORES!$D$12+(SCORECARDS!H154/100)*PONDERADORES!$D$13+(SCORECARDS!I154/100)*PONDERADORES!$D$14+(SCORECARDS!J154/100)*PONDERADORES!$D$15+(ISCAM_Score!K155/100)*PONDERADORES!$D$16+O154*PONDERADORES!$D$17+0*PONDERADORES!$D$18+(AVERAGE(W154:Z154)/2)*PONDERADORES!$D$19)/PONDERADORES!$D$20,"N/A")</f>
        <v>2.5000000000000001E-2</v>
      </c>
      <c r="AQ154">
        <f ca="1">COUNT(M154)+IF(SCORECARDS!H154="",0,1)+IF(SCORECARDS!I154="",0,1)+IF(SCORECARDS!J154="",0,1)+IF(ISCAM_Score!K155="",0,1)+IF(O154="",0,1)+IF(COUNT(W154:Z154)&gt;0,1,0)</f>
        <v>3</v>
      </c>
    </row>
    <row r="155" spans="1:43" ht="16.05" customHeight="1" x14ac:dyDescent="0.3">
      <c r="A155" t="s">
        <v>411</v>
      </c>
      <c r="B155" t="s">
        <v>412</v>
      </c>
      <c r="C155" t="s">
        <v>113</v>
      </c>
      <c r="D155" t="s">
        <v>73</v>
      </c>
      <c r="G155" t="s">
        <v>74</v>
      </c>
      <c r="J155" t="s">
        <v>67</v>
      </c>
      <c r="L155">
        <v>0</v>
      </c>
      <c r="M155">
        <f t="shared" si="20"/>
        <v>0</v>
      </c>
      <c r="N155" t="s">
        <v>68</v>
      </c>
      <c r="O155">
        <f t="shared" si="21"/>
        <v>0</v>
      </c>
      <c r="P155" t="s">
        <v>68</v>
      </c>
      <c r="S155">
        <f t="shared" ca="1" si="22"/>
        <v>0</v>
      </c>
      <c r="T155" t="str">
        <f t="shared" ca="1" si="23"/>
        <v>⬜  Parcial · Inst. 2 pendiente</v>
      </c>
      <c r="U155" s="53">
        <v>1</v>
      </c>
      <c r="V155" t="s">
        <v>69</v>
      </c>
      <c r="W155">
        <f>IF(NORMALIZADO!BV155="",0,NORMALIZADO!BV155)</f>
        <v>0</v>
      </c>
      <c r="X155">
        <f>IF(NORMALIZADO!BW155="",0,NORMALIZADO!BW155)</f>
        <v>0</v>
      </c>
      <c r="Y155">
        <f>IF(NORMALIZADO!BX155="",0,NORMALIZADO!BX155)</f>
        <v>0</v>
      </c>
      <c r="Z155">
        <f>IF(NORMALIZADO!BY155="",0,NORMALIZADO!BY155)</f>
        <v>0</v>
      </c>
      <c r="AA155">
        <v>0</v>
      </c>
      <c r="AB155">
        <v>0</v>
      </c>
      <c r="AC155">
        <v>0</v>
      </c>
      <c r="AD155">
        <v>0</v>
      </c>
      <c r="AE155">
        <v>0</v>
      </c>
      <c r="AF155">
        <v>0</v>
      </c>
      <c r="AG155">
        <v>0</v>
      </c>
      <c r="AH155">
        <v>0</v>
      </c>
      <c r="AI155">
        <v>0</v>
      </c>
      <c r="AJ155">
        <v>0</v>
      </c>
      <c r="AK155">
        <v>0</v>
      </c>
      <c r="AL155">
        <v>0</v>
      </c>
      <c r="AM155">
        <v>0</v>
      </c>
      <c r="AN155">
        <v>0</v>
      </c>
      <c r="AO155">
        <f t="shared" si="24"/>
        <v>0</v>
      </c>
      <c r="AP155">
        <f ca="1">IFERROR(((M155/100)*PONDERADORES!$D$12+(SCORECARDS!H155/100)*PONDERADORES!$D$13+(SCORECARDS!I155/100)*PONDERADORES!$D$14+(SCORECARDS!J155/100)*PONDERADORES!$D$15+(ISCAM_Score!K156/100)*PONDERADORES!$D$16+O155*PONDERADORES!$D$17+0*PONDERADORES!$D$18+(AVERAGE(W155:Z155)/2)*PONDERADORES!$D$19)/PONDERADORES!$D$20,"N/A")</f>
        <v>0</v>
      </c>
      <c r="AQ155">
        <f ca="1">COUNT(M155)+IF(SCORECARDS!H155="",0,1)+IF(SCORECARDS!I155="",0,1)+IF(SCORECARDS!J155="",0,1)+IF(ISCAM_Score!K156="",0,1)+IF(O155="",0,1)+IF(COUNT(W155:Z155)&gt;0,1,0)</f>
        <v>3</v>
      </c>
    </row>
    <row r="156" spans="1:43" ht="16.05" customHeight="1" x14ac:dyDescent="0.3">
      <c r="A156" t="s">
        <v>413</v>
      </c>
      <c r="B156" t="s">
        <v>414</v>
      </c>
      <c r="C156" t="s">
        <v>183</v>
      </c>
      <c r="D156" t="s">
        <v>65</v>
      </c>
      <c r="G156" t="s">
        <v>74</v>
      </c>
      <c r="J156" t="s">
        <v>128</v>
      </c>
      <c r="L156">
        <v>0</v>
      </c>
      <c r="M156">
        <f t="shared" si="20"/>
        <v>0</v>
      </c>
      <c r="N156" t="s">
        <v>68</v>
      </c>
      <c r="O156">
        <f t="shared" si="21"/>
        <v>0</v>
      </c>
      <c r="P156" t="s">
        <v>68</v>
      </c>
      <c r="S156">
        <f t="shared" ca="1" si="22"/>
        <v>0</v>
      </c>
      <c r="T156" t="str">
        <f t="shared" ca="1" si="23"/>
        <v>⬜  Parcial · Inst. 2 pendiente</v>
      </c>
      <c r="U156" s="53">
        <v>1</v>
      </c>
      <c r="V156" t="s">
        <v>69</v>
      </c>
      <c r="W156">
        <f>IF(NORMALIZADO!BV156="",0,NORMALIZADO!BV156)</f>
        <v>0</v>
      </c>
      <c r="X156">
        <f>IF(NORMALIZADO!BW156="",0,NORMALIZADO!BW156)</f>
        <v>0</v>
      </c>
      <c r="Y156">
        <f>IF(NORMALIZADO!BX156="",0,NORMALIZADO!BX156)</f>
        <v>0</v>
      </c>
      <c r="Z156">
        <f>IF(NORMALIZADO!BY156="",0,NORMALIZADO!BY156)</f>
        <v>0</v>
      </c>
      <c r="AA156">
        <v>0</v>
      </c>
      <c r="AB156">
        <v>0</v>
      </c>
      <c r="AC156">
        <v>0</v>
      </c>
      <c r="AD156">
        <v>0</v>
      </c>
      <c r="AE156">
        <v>0</v>
      </c>
      <c r="AF156">
        <v>0</v>
      </c>
      <c r="AG156">
        <v>0</v>
      </c>
      <c r="AH156">
        <v>0</v>
      </c>
      <c r="AI156">
        <v>0</v>
      </c>
      <c r="AJ156">
        <v>0</v>
      </c>
      <c r="AK156">
        <v>0</v>
      </c>
      <c r="AL156">
        <v>0</v>
      </c>
      <c r="AM156">
        <v>0</v>
      </c>
      <c r="AN156">
        <v>0</v>
      </c>
      <c r="AO156">
        <f t="shared" si="24"/>
        <v>0</v>
      </c>
      <c r="AP156">
        <f ca="1">IFERROR(((M156/100)*PONDERADORES!$D$12+(SCORECARDS!H156/100)*PONDERADORES!$D$13+(SCORECARDS!I156/100)*PONDERADORES!$D$14+(SCORECARDS!J156/100)*PONDERADORES!$D$15+(ISCAM_Score!K157/100)*PONDERADORES!$D$16+O156*PONDERADORES!$D$17+0*PONDERADORES!$D$18+(AVERAGE(W156:Z156)/2)*PONDERADORES!$D$19)/PONDERADORES!$D$20,"N/A")</f>
        <v>0</v>
      </c>
      <c r="AQ156">
        <f ca="1">COUNT(M156)+IF(SCORECARDS!H156="",0,1)+IF(SCORECARDS!I156="",0,1)+IF(SCORECARDS!J156="",0,1)+IF(ISCAM_Score!K157="",0,1)+IF(O156="",0,1)+IF(COUNT(W156:Z156)&gt;0,1,0)</f>
        <v>3</v>
      </c>
    </row>
    <row r="157" spans="1:43" ht="16.05" customHeight="1" x14ac:dyDescent="0.3">
      <c r="A157" t="s">
        <v>415</v>
      </c>
      <c r="B157" t="s">
        <v>416</v>
      </c>
      <c r="C157" t="s">
        <v>143</v>
      </c>
      <c r="D157" t="s">
        <v>65</v>
      </c>
      <c r="E157">
        <v>940783.32</v>
      </c>
      <c r="F157">
        <v>7</v>
      </c>
      <c r="G157" t="s">
        <v>66</v>
      </c>
      <c r="H157" t="s">
        <v>226</v>
      </c>
      <c r="I157" t="s">
        <v>226</v>
      </c>
      <c r="J157" t="s">
        <v>67</v>
      </c>
      <c r="K157" t="s">
        <v>417</v>
      </c>
      <c r="L157">
        <v>76135.47</v>
      </c>
      <c r="M157">
        <f t="shared" si="20"/>
        <v>8.1</v>
      </c>
      <c r="N157" t="s">
        <v>68</v>
      </c>
      <c r="O157">
        <f t="shared" si="21"/>
        <v>0</v>
      </c>
      <c r="P157" t="s">
        <v>68</v>
      </c>
      <c r="Q157">
        <v>187</v>
      </c>
      <c r="R157">
        <v>600</v>
      </c>
      <c r="S157">
        <f t="shared" ca="1" si="22"/>
        <v>4.0999999999999996</v>
      </c>
      <c r="T157" t="str">
        <f t="shared" ca="1" si="23"/>
        <v>⬜  Parcial · Inst. 2 pendiente</v>
      </c>
      <c r="U157" s="53">
        <v>1</v>
      </c>
      <c r="V157" t="s">
        <v>69</v>
      </c>
      <c r="W157">
        <f>IF(NORMALIZADO!BV157="",1,NORMALIZADO!BV157)</f>
        <v>1</v>
      </c>
      <c r="X157">
        <f>IF(NORMALIZADO!BW157="",0,NORMALIZADO!BW157)</f>
        <v>0</v>
      </c>
      <c r="Y157">
        <f>IF(NORMALIZADO!BX157="",0,NORMALIZADO!BX157)</f>
        <v>0</v>
      </c>
      <c r="Z157">
        <f>IF(NORMALIZADO!BY157="",0,NORMALIZADO!BY157)</f>
        <v>0</v>
      </c>
      <c r="AA157">
        <v>0</v>
      </c>
      <c r="AB157">
        <v>0</v>
      </c>
      <c r="AC157">
        <v>0</v>
      </c>
      <c r="AD157">
        <v>0</v>
      </c>
      <c r="AE157">
        <v>0</v>
      </c>
      <c r="AF157">
        <v>0</v>
      </c>
      <c r="AG157">
        <v>0</v>
      </c>
      <c r="AH157">
        <v>0</v>
      </c>
      <c r="AI157">
        <v>0</v>
      </c>
      <c r="AJ157">
        <v>0</v>
      </c>
      <c r="AK157">
        <v>0</v>
      </c>
      <c r="AL157">
        <v>0</v>
      </c>
      <c r="AM157">
        <v>0</v>
      </c>
      <c r="AN157">
        <v>0</v>
      </c>
      <c r="AO157">
        <f t="shared" si="24"/>
        <v>0</v>
      </c>
      <c r="AP157">
        <f ca="1">IFERROR(((M157/100)*PONDERADORES!$D$12+(SCORECARDS!H157/100)*PONDERADORES!$D$13+(SCORECARDS!I157/100)*PONDERADORES!$D$14+(SCORECARDS!J157/100)*PONDERADORES!$D$15+(ISCAM_Score!K158/100)*PONDERADORES!$D$16+O157*PONDERADORES!$D$17+0*PONDERADORES!$D$18+(AVERAGE(W157:Z157)/2)*PONDERADORES!$D$19)/PONDERADORES!$D$20,"N/A")</f>
        <v>4.1200000000000001E-2</v>
      </c>
      <c r="AQ157">
        <f ca="1">COUNT(M157)+IF(SCORECARDS!H157="",0,1)+IF(SCORECARDS!I157="",0,1)+IF(SCORECARDS!J157="",0,1)+IF(ISCAM_Score!K158="",0,1)+IF(O157="",0,1)+IF(COUNT(W157:Z157)&gt;0,1,0)</f>
        <v>3</v>
      </c>
    </row>
    <row r="158" spans="1:43" ht="16.05" customHeight="1" x14ac:dyDescent="0.3">
      <c r="A158" t="s">
        <v>418</v>
      </c>
      <c r="B158" t="s">
        <v>419</v>
      </c>
      <c r="C158" t="s">
        <v>77</v>
      </c>
      <c r="G158" t="s">
        <v>74</v>
      </c>
      <c r="J158" t="s">
        <v>67</v>
      </c>
      <c r="L158">
        <v>0</v>
      </c>
      <c r="M158">
        <f t="shared" si="20"/>
        <v>0</v>
      </c>
      <c r="N158" t="s">
        <v>68</v>
      </c>
      <c r="O158">
        <f t="shared" si="21"/>
        <v>0</v>
      </c>
      <c r="P158" t="s">
        <v>68</v>
      </c>
      <c r="S158">
        <f t="shared" ca="1" si="22"/>
        <v>0</v>
      </c>
      <c r="T158" t="str">
        <f t="shared" ca="1" si="23"/>
        <v>⬜  Parcial · Inst. 2 pendiente</v>
      </c>
      <c r="U158" s="53">
        <v>1</v>
      </c>
      <c r="V158" t="s">
        <v>69</v>
      </c>
      <c r="W158">
        <f>IF(NORMALIZADO!BV158="",0,NORMALIZADO!BV158)</f>
        <v>0</v>
      </c>
      <c r="X158">
        <f>IF(NORMALIZADO!BW158="",0,NORMALIZADO!BW158)</f>
        <v>0</v>
      </c>
      <c r="Y158">
        <f>IF(NORMALIZADO!BX158="",0,NORMALIZADO!BX158)</f>
        <v>0</v>
      </c>
      <c r="Z158">
        <f>IF(NORMALIZADO!BY158="",0,NORMALIZADO!BY158)</f>
        <v>0</v>
      </c>
      <c r="AA158">
        <v>0</v>
      </c>
      <c r="AB158">
        <v>0</v>
      </c>
      <c r="AC158">
        <v>0</v>
      </c>
      <c r="AD158">
        <v>0</v>
      </c>
      <c r="AE158">
        <v>0</v>
      </c>
      <c r="AF158">
        <v>0</v>
      </c>
      <c r="AG158">
        <v>0</v>
      </c>
      <c r="AH158">
        <v>0</v>
      </c>
      <c r="AI158">
        <v>0</v>
      </c>
      <c r="AJ158">
        <v>0</v>
      </c>
      <c r="AK158">
        <v>0</v>
      </c>
      <c r="AL158">
        <v>0</v>
      </c>
      <c r="AM158">
        <v>0</v>
      </c>
      <c r="AN158">
        <v>0</v>
      </c>
      <c r="AO158">
        <f t="shared" si="24"/>
        <v>0</v>
      </c>
      <c r="AP158">
        <f ca="1">IFERROR(((M158/100)*PONDERADORES!$D$12+(SCORECARDS!H158/100)*PONDERADORES!$D$13+(SCORECARDS!I158/100)*PONDERADORES!$D$14+(SCORECARDS!J158/100)*PONDERADORES!$D$15+(ISCAM_Score!K159/100)*PONDERADORES!$D$16+O158*PONDERADORES!$D$17+0*PONDERADORES!$D$18+(AVERAGE(W158:Z158)/2)*PONDERADORES!$D$19)/PONDERADORES!$D$20,"N/A")</f>
        <v>0</v>
      </c>
      <c r="AQ158">
        <f ca="1">COUNT(M158)+IF(SCORECARDS!H158="",0,1)+IF(SCORECARDS!I158="",0,1)+IF(SCORECARDS!J158="",0,1)+IF(ISCAM_Score!K159="",0,1)+IF(O158="",0,1)+IF(COUNT(W158:Z158)&gt;0,1,0)</f>
        <v>3</v>
      </c>
    </row>
    <row r="159" spans="1:43" ht="16.05" customHeight="1" x14ac:dyDescent="0.3">
      <c r="A159" t="s">
        <v>420</v>
      </c>
      <c r="B159" t="s">
        <v>421</v>
      </c>
      <c r="C159" t="s">
        <v>143</v>
      </c>
      <c r="D159" t="s">
        <v>73</v>
      </c>
      <c r="G159" t="s">
        <v>74</v>
      </c>
      <c r="J159" t="s">
        <v>67</v>
      </c>
      <c r="L159">
        <v>0</v>
      </c>
      <c r="M159">
        <f t="shared" si="20"/>
        <v>0</v>
      </c>
      <c r="N159" t="s">
        <v>68</v>
      </c>
      <c r="O159">
        <f t="shared" si="21"/>
        <v>0</v>
      </c>
      <c r="P159" t="s">
        <v>68</v>
      </c>
      <c r="S159">
        <f t="shared" ca="1" si="22"/>
        <v>0</v>
      </c>
      <c r="T159" t="str">
        <f t="shared" ca="1" si="23"/>
        <v>⬜  Parcial · Inst. 2 pendiente</v>
      </c>
      <c r="U159" s="53">
        <v>1</v>
      </c>
      <c r="V159" t="s">
        <v>69</v>
      </c>
      <c r="W159">
        <f>IF(NORMALIZADO!BV159="",0,NORMALIZADO!BV159)</f>
        <v>0</v>
      </c>
      <c r="X159">
        <f>IF(NORMALIZADO!BW159="",0,NORMALIZADO!BW159)</f>
        <v>0</v>
      </c>
      <c r="Y159">
        <f>IF(NORMALIZADO!BX159="",0,NORMALIZADO!BX159)</f>
        <v>0</v>
      </c>
      <c r="Z159">
        <f>IF(NORMALIZADO!BY159="",0,NORMALIZADO!BY159)</f>
        <v>0</v>
      </c>
      <c r="AA159">
        <v>0</v>
      </c>
      <c r="AB159">
        <v>0</v>
      </c>
      <c r="AC159">
        <v>0</v>
      </c>
      <c r="AD159">
        <v>0</v>
      </c>
      <c r="AE159">
        <v>0</v>
      </c>
      <c r="AF159">
        <v>0</v>
      </c>
      <c r="AG159">
        <v>0</v>
      </c>
      <c r="AH159">
        <v>0</v>
      </c>
      <c r="AI159">
        <v>0</v>
      </c>
      <c r="AJ159">
        <v>0</v>
      </c>
      <c r="AK159">
        <v>0</v>
      </c>
      <c r="AL159">
        <v>0</v>
      </c>
      <c r="AM159">
        <v>0</v>
      </c>
      <c r="AN159">
        <v>0</v>
      </c>
      <c r="AO159">
        <f t="shared" si="24"/>
        <v>0</v>
      </c>
      <c r="AP159">
        <f ca="1">IFERROR(((M159/100)*PONDERADORES!$D$12+(SCORECARDS!H159/100)*PONDERADORES!$D$13+(SCORECARDS!I159/100)*PONDERADORES!$D$14+(SCORECARDS!J159/100)*PONDERADORES!$D$15+(ISCAM_Score!K160/100)*PONDERADORES!$D$16+O159*PONDERADORES!$D$17+0*PONDERADORES!$D$18+(AVERAGE(W159:Z159)/2)*PONDERADORES!$D$19)/PONDERADORES!$D$20,"N/A")</f>
        <v>0</v>
      </c>
      <c r="AQ159">
        <f ca="1">COUNT(M159)+IF(SCORECARDS!H159="",0,1)+IF(SCORECARDS!I159="",0,1)+IF(SCORECARDS!J159="",0,1)+IF(ISCAM_Score!K160="",0,1)+IF(O159="",0,1)+IF(COUNT(W159:Z159)&gt;0,1,0)</f>
        <v>3</v>
      </c>
    </row>
    <row r="160" spans="1:43" ht="16.05" customHeight="1" x14ac:dyDescent="0.3">
      <c r="A160" t="s">
        <v>422</v>
      </c>
      <c r="B160" t="s">
        <v>423</v>
      </c>
      <c r="C160" t="s">
        <v>107</v>
      </c>
      <c r="D160" t="s">
        <v>65</v>
      </c>
      <c r="G160" t="s">
        <v>74</v>
      </c>
      <c r="J160" t="s">
        <v>424</v>
      </c>
      <c r="L160">
        <v>0</v>
      </c>
      <c r="M160">
        <f t="shared" si="20"/>
        <v>0</v>
      </c>
      <c r="N160" t="s">
        <v>68</v>
      </c>
      <c r="O160">
        <f t="shared" si="21"/>
        <v>0</v>
      </c>
      <c r="P160" t="s">
        <v>68</v>
      </c>
      <c r="S160">
        <f t="shared" ca="1" si="22"/>
        <v>0</v>
      </c>
      <c r="T160" t="str">
        <f t="shared" ca="1" si="23"/>
        <v>⬜  Parcial · Inst. 2 pendiente</v>
      </c>
      <c r="U160" s="53">
        <v>1</v>
      </c>
      <c r="V160" t="s">
        <v>69</v>
      </c>
      <c r="W160">
        <f>IF(NORMALIZADO!BV160="",0,NORMALIZADO!BV160)</f>
        <v>0</v>
      </c>
      <c r="X160">
        <f>IF(NORMALIZADO!BW160="",0,NORMALIZADO!BW160)</f>
        <v>0</v>
      </c>
      <c r="Y160">
        <f>IF(NORMALIZADO!BX160="",0,NORMALIZADO!BX160)</f>
        <v>0</v>
      </c>
      <c r="Z160">
        <f>IF(NORMALIZADO!BY160="",0,NORMALIZADO!BY160)</f>
        <v>0</v>
      </c>
      <c r="AA160">
        <v>0</v>
      </c>
      <c r="AB160">
        <v>0</v>
      </c>
      <c r="AC160">
        <v>0</v>
      </c>
      <c r="AD160">
        <v>0</v>
      </c>
      <c r="AE160">
        <v>0</v>
      </c>
      <c r="AF160">
        <v>0</v>
      </c>
      <c r="AG160">
        <v>0</v>
      </c>
      <c r="AH160">
        <v>0</v>
      </c>
      <c r="AI160">
        <v>0</v>
      </c>
      <c r="AJ160">
        <v>0</v>
      </c>
      <c r="AK160">
        <v>0</v>
      </c>
      <c r="AL160">
        <v>0</v>
      </c>
      <c r="AM160">
        <v>0</v>
      </c>
      <c r="AN160">
        <v>0</v>
      </c>
      <c r="AO160">
        <f t="shared" si="24"/>
        <v>0</v>
      </c>
      <c r="AP160">
        <f ca="1">IFERROR(((M160/100)*PONDERADORES!$D$12+(SCORECARDS!H160/100)*PONDERADORES!$D$13+(SCORECARDS!I160/100)*PONDERADORES!$D$14+(SCORECARDS!J160/100)*PONDERADORES!$D$15+(ISCAM_Score!K161/100)*PONDERADORES!$D$16+O160*PONDERADORES!$D$17+0*PONDERADORES!$D$18+(AVERAGE(W160:Z160)/2)*PONDERADORES!$D$19)/PONDERADORES!$D$20,"N/A")</f>
        <v>0</v>
      </c>
      <c r="AQ160">
        <f ca="1">COUNT(M160)+IF(SCORECARDS!H160="",0,1)+IF(SCORECARDS!I160="",0,1)+IF(SCORECARDS!J160="",0,1)+IF(ISCAM_Score!K161="",0,1)+IF(O160="",0,1)+IF(COUNT(W160:Z160)&gt;0,1,0)</f>
        <v>3</v>
      </c>
    </row>
    <row r="161" spans="1:43" ht="16.05" customHeight="1" x14ac:dyDescent="0.3">
      <c r="A161" t="s">
        <v>425</v>
      </c>
      <c r="B161" t="s">
        <v>426</v>
      </c>
      <c r="C161" t="s">
        <v>183</v>
      </c>
      <c r="D161" t="s">
        <v>65</v>
      </c>
      <c r="G161" t="s">
        <v>74</v>
      </c>
      <c r="J161" t="s">
        <v>67</v>
      </c>
      <c r="L161">
        <v>0</v>
      </c>
      <c r="M161">
        <f t="shared" si="20"/>
        <v>0</v>
      </c>
      <c r="N161" t="s">
        <v>68</v>
      </c>
      <c r="O161">
        <f t="shared" si="21"/>
        <v>0</v>
      </c>
      <c r="P161" t="s">
        <v>68</v>
      </c>
      <c r="S161">
        <f t="shared" ca="1" si="22"/>
        <v>0</v>
      </c>
      <c r="T161" t="str">
        <f t="shared" ca="1" si="23"/>
        <v>⬜  Parcial · Inst. 2 pendiente</v>
      </c>
      <c r="U161" s="53">
        <v>1</v>
      </c>
      <c r="V161" t="s">
        <v>69</v>
      </c>
      <c r="W161">
        <f>IF(NORMALIZADO!BV161="",0,NORMALIZADO!BV161)</f>
        <v>0</v>
      </c>
      <c r="X161">
        <f>IF(NORMALIZADO!BW161="",0,NORMALIZADO!BW161)</f>
        <v>0</v>
      </c>
      <c r="Y161">
        <f>IF(NORMALIZADO!BX161="",0,NORMALIZADO!BX161)</f>
        <v>0</v>
      </c>
      <c r="Z161">
        <f>IF(NORMALIZADO!BY161="",0,NORMALIZADO!BY161)</f>
        <v>0</v>
      </c>
      <c r="AA161">
        <v>0</v>
      </c>
      <c r="AB161">
        <v>0</v>
      </c>
      <c r="AC161">
        <v>0</v>
      </c>
      <c r="AD161">
        <v>0</v>
      </c>
      <c r="AE161">
        <v>0</v>
      </c>
      <c r="AF161">
        <v>0</v>
      </c>
      <c r="AG161">
        <v>0</v>
      </c>
      <c r="AH161">
        <v>0</v>
      </c>
      <c r="AI161">
        <v>0</v>
      </c>
      <c r="AJ161">
        <v>0</v>
      </c>
      <c r="AK161">
        <v>0</v>
      </c>
      <c r="AL161">
        <v>0</v>
      </c>
      <c r="AM161">
        <v>0</v>
      </c>
      <c r="AN161">
        <v>0</v>
      </c>
      <c r="AO161">
        <f t="shared" si="24"/>
        <v>0</v>
      </c>
      <c r="AP161">
        <f ca="1">IFERROR(((M161/100)*PONDERADORES!$D$12+(SCORECARDS!H161/100)*PONDERADORES!$D$13+(SCORECARDS!I161/100)*PONDERADORES!$D$14+(SCORECARDS!J161/100)*PONDERADORES!$D$15+(ISCAM_Score!K162/100)*PONDERADORES!$D$16+O161*PONDERADORES!$D$17+0*PONDERADORES!$D$18+(AVERAGE(W161:Z161)/2)*PONDERADORES!$D$19)/PONDERADORES!$D$20,"N/A")</f>
        <v>0</v>
      </c>
      <c r="AQ161">
        <f ca="1">COUNT(M161)+IF(SCORECARDS!H161="",0,1)+IF(SCORECARDS!I161="",0,1)+IF(SCORECARDS!J161="",0,1)+IF(ISCAM_Score!K162="",0,1)+IF(O161="",0,1)+IF(COUNT(W161:Z161)&gt;0,1,0)</f>
        <v>3</v>
      </c>
    </row>
    <row r="162" spans="1:43" ht="16.05" customHeight="1" x14ac:dyDescent="0.3">
      <c r="A162" t="s">
        <v>427</v>
      </c>
      <c r="B162" t="s">
        <v>428</v>
      </c>
      <c r="C162" t="s">
        <v>107</v>
      </c>
      <c r="D162" t="s">
        <v>65</v>
      </c>
      <c r="G162" t="s">
        <v>74</v>
      </c>
      <c r="J162" t="s">
        <v>67</v>
      </c>
      <c r="L162">
        <v>0</v>
      </c>
      <c r="M162">
        <f t="shared" si="20"/>
        <v>0</v>
      </c>
      <c r="N162" t="s">
        <v>68</v>
      </c>
      <c r="O162">
        <f t="shared" si="21"/>
        <v>0</v>
      </c>
      <c r="P162" t="s">
        <v>68</v>
      </c>
      <c r="S162">
        <f t="shared" ca="1" si="22"/>
        <v>0</v>
      </c>
      <c r="T162" t="str">
        <f t="shared" ca="1" si="23"/>
        <v>⬜  Parcial · Inst. 2 pendiente</v>
      </c>
      <c r="U162" s="53">
        <v>1</v>
      </c>
      <c r="V162" t="s">
        <v>69</v>
      </c>
      <c r="W162">
        <f>IF(NORMALIZADO!BV162="",0,NORMALIZADO!BV162)</f>
        <v>0</v>
      </c>
      <c r="X162">
        <f>IF(NORMALIZADO!BW162="",0,NORMALIZADO!BW162)</f>
        <v>0</v>
      </c>
      <c r="Y162">
        <f>IF(NORMALIZADO!BX162="",0,NORMALIZADO!BX162)</f>
        <v>0</v>
      </c>
      <c r="Z162">
        <f>IF(NORMALIZADO!BY162="",0,NORMALIZADO!BY162)</f>
        <v>0</v>
      </c>
      <c r="AA162">
        <v>0</v>
      </c>
      <c r="AB162">
        <v>0</v>
      </c>
      <c r="AC162">
        <v>0</v>
      </c>
      <c r="AD162">
        <v>0</v>
      </c>
      <c r="AE162">
        <v>0</v>
      </c>
      <c r="AF162">
        <v>0</v>
      </c>
      <c r="AG162">
        <v>0</v>
      </c>
      <c r="AH162">
        <v>0</v>
      </c>
      <c r="AI162">
        <v>0</v>
      </c>
      <c r="AJ162">
        <v>0</v>
      </c>
      <c r="AK162">
        <v>0</v>
      </c>
      <c r="AL162">
        <v>0</v>
      </c>
      <c r="AM162">
        <v>0</v>
      </c>
      <c r="AN162">
        <v>0</v>
      </c>
      <c r="AO162">
        <f t="shared" si="24"/>
        <v>0</v>
      </c>
      <c r="AP162">
        <f ca="1">IFERROR(((M162/100)*PONDERADORES!$D$12+(SCORECARDS!H162/100)*PONDERADORES!$D$13+(SCORECARDS!I162/100)*PONDERADORES!$D$14+(SCORECARDS!J162/100)*PONDERADORES!$D$15+(ISCAM_Score!K163/100)*PONDERADORES!$D$16+O162*PONDERADORES!$D$17+0*PONDERADORES!$D$18+(AVERAGE(W162:Z162)/2)*PONDERADORES!$D$19)/PONDERADORES!$D$20,"N/A")</f>
        <v>0</v>
      </c>
      <c r="AQ162">
        <f ca="1">COUNT(M162)+IF(SCORECARDS!H162="",0,1)+IF(SCORECARDS!I162="",0,1)+IF(SCORECARDS!J162="",0,1)+IF(ISCAM_Score!K163="",0,1)+IF(O162="",0,1)+IF(COUNT(W162:Z162)&gt;0,1,0)</f>
        <v>3</v>
      </c>
    </row>
    <row r="163" spans="1:43" ht="16.05" customHeight="1" x14ac:dyDescent="0.3">
      <c r="A163" t="s">
        <v>429</v>
      </c>
      <c r="B163" t="s">
        <v>430</v>
      </c>
      <c r="C163" t="s">
        <v>154</v>
      </c>
      <c r="D163" t="s">
        <v>65</v>
      </c>
      <c r="E163">
        <v>3002219.02</v>
      </c>
      <c r="F163">
        <v>19</v>
      </c>
      <c r="G163" t="s">
        <v>66</v>
      </c>
      <c r="J163" t="s">
        <v>67</v>
      </c>
      <c r="L163">
        <v>1501109.51</v>
      </c>
      <c r="M163">
        <f t="shared" ref="M163:M176" si="25">IF(E163&gt;0,ROUND(L163/E163*100,1),0)</f>
        <v>50</v>
      </c>
      <c r="N163" t="s">
        <v>68</v>
      </c>
      <c r="O163">
        <f t="shared" ref="O163:O176" si="26">IF(H163="SI",1,0)*0.6+IF(I163="SI",1,0)*0.4</f>
        <v>0</v>
      </c>
      <c r="P163" t="s">
        <v>68</v>
      </c>
      <c r="S163">
        <f t="shared" ref="S163:S176" ca="1" si="27">IFERROR(ROUND(AP163*100,1),"N/A")</f>
        <v>12.5</v>
      </c>
      <c r="T163" t="str">
        <f t="shared" ref="T163:T176" ca="1" si="28">IF(NOT(ISNUMBER(S163)),"—",IF(AQ163&lt;6,"⬜  Parcial · Inst. 2 pendiente",IF(S163&lt;34,"🔴 Crítico",IF(S163&lt;67,"🟡 Vulnerable","🟢 Preparado"))))</f>
        <v>⬜  Parcial · Inst. 2 pendiente</v>
      </c>
      <c r="U163" s="53">
        <v>1</v>
      </c>
      <c r="V163" t="s">
        <v>69</v>
      </c>
      <c r="W163">
        <f>IF(NORMALIZADO!BV163="",1,NORMALIZADO!BV163)</f>
        <v>1</v>
      </c>
      <c r="X163">
        <f>IF(NORMALIZADO!BW163="",0,NORMALIZADO!BW163)</f>
        <v>0</v>
      </c>
      <c r="Y163">
        <f>IF(NORMALIZADO!BX163="",0,NORMALIZADO!BX163)</f>
        <v>0</v>
      </c>
      <c r="Z163">
        <f>IF(NORMALIZADO!BY163="",0,NORMALIZADO!BY163)</f>
        <v>0</v>
      </c>
      <c r="AA163">
        <v>0</v>
      </c>
      <c r="AB163">
        <v>0</v>
      </c>
      <c r="AC163">
        <v>0</v>
      </c>
      <c r="AD163">
        <v>0</v>
      </c>
      <c r="AE163">
        <v>0</v>
      </c>
      <c r="AF163">
        <v>0</v>
      </c>
      <c r="AG163">
        <v>0</v>
      </c>
      <c r="AH163">
        <v>0</v>
      </c>
      <c r="AI163">
        <v>0</v>
      </c>
      <c r="AJ163">
        <v>0</v>
      </c>
      <c r="AK163">
        <v>0</v>
      </c>
      <c r="AL163">
        <v>0</v>
      </c>
      <c r="AM163">
        <v>0</v>
      </c>
      <c r="AN163">
        <v>0</v>
      </c>
      <c r="AO163">
        <f t="shared" ref="AO163:AO176" si="29">IFERROR(AVERAGE(AA163,AB163,AC163,AD163,AE163,AF163,AG163,AH163,AI163,AJ163,AK163,AL163,AM163,AN163),"N/A")</f>
        <v>0</v>
      </c>
      <c r="AP163">
        <f ca="1">IFERROR(((M163/100)*PONDERADORES!$D$12+(SCORECARDS!H163/100)*PONDERADORES!$D$13+(SCORECARDS!I163/100)*PONDERADORES!$D$14+(SCORECARDS!J163/100)*PONDERADORES!$D$15+(ISCAM_Score!K164/100)*PONDERADORES!$D$16+O163*PONDERADORES!$D$17+0*PONDERADORES!$D$18+(AVERAGE(W163:Z163)/2)*PONDERADORES!$D$19)/PONDERADORES!$D$20,"N/A")</f>
        <v>0.125</v>
      </c>
      <c r="AQ163">
        <f ca="1">COUNT(M163)+IF(SCORECARDS!H163="",0,1)+IF(SCORECARDS!I163="",0,1)+IF(SCORECARDS!J163="",0,1)+IF(ISCAM_Score!K164="",0,1)+IF(O163="",0,1)+IF(COUNT(W163:Z163)&gt;0,1,0)</f>
        <v>3</v>
      </c>
    </row>
    <row r="164" spans="1:43" ht="16.05" customHeight="1" x14ac:dyDescent="0.3">
      <c r="A164" t="s">
        <v>431</v>
      </c>
      <c r="B164" t="s">
        <v>432</v>
      </c>
      <c r="C164" t="s">
        <v>116</v>
      </c>
      <c r="D164" t="s">
        <v>73</v>
      </c>
      <c r="G164" t="s">
        <v>74</v>
      </c>
      <c r="J164" t="s">
        <v>67</v>
      </c>
      <c r="L164">
        <v>0</v>
      </c>
      <c r="M164">
        <f t="shared" si="25"/>
        <v>0</v>
      </c>
      <c r="N164" t="s">
        <v>68</v>
      </c>
      <c r="O164">
        <f t="shared" si="26"/>
        <v>0</v>
      </c>
      <c r="P164" t="s">
        <v>68</v>
      </c>
      <c r="S164">
        <f t="shared" ca="1" si="27"/>
        <v>0</v>
      </c>
      <c r="T164" t="str">
        <f t="shared" ca="1" si="28"/>
        <v>⬜  Parcial · Inst. 2 pendiente</v>
      </c>
      <c r="U164" s="53">
        <v>1</v>
      </c>
      <c r="V164" t="s">
        <v>69</v>
      </c>
      <c r="W164">
        <f>IF(NORMALIZADO!BV164="",0,NORMALIZADO!BV164)</f>
        <v>0</v>
      </c>
      <c r="X164">
        <f>IF(NORMALIZADO!BW164="",0,NORMALIZADO!BW164)</f>
        <v>0</v>
      </c>
      <c r="Y164">
        <f>IF(NORMALIZADO!BX164="",0,NORMALIZADO!BX164)</f>
        <v>0</v>
      </c>
      <c r="Z164">
        <f>IF(NORMALIZADO!BY164="",0,NORMALIZADO!BY164)</f>
        <v>0</v>
      </c>
      <c r="AA164">
        <v>0</v>
      </c>
      <c r="AB164">
        <v>0</v>
      </c>
      <c r="AC164">
        <v>0</v>
      </c>
      <c r="AD164">
        <v>0</v>
      </c>
      <c r="AE164">
        <v>0</v>
      </c>
      <c r="AF164">
        <v>0</v>
      </c>
      <c r="AG164">
        <v>0</v>
      </c>
      <c r="AH164">
        <v>0</v>
      </c>
      <c r="AI164">
        <v>0</v>
      </c>
      <c r="AJ164">
        <v>0</v>
      </c>
      <c r="AK164">
        <v>0</v>
      </c>
      <c r="AL164">
        <v>0</v>
      </c>
      <c r="AM164">
        <v>0</v>
      </c>
      <c r="AN164">
        <v>0</v>
      </c>
      <c r="AO164">
        <f t="shared" si="29"/>
        <v>0</v>
      </c>
      <c r="AP164">
        <f ca="1">IFERROR(((M164/100)*PONDERADORES!$D$12+(SCORECARDS!H164/100)*PONDERADORES!$D$13+(SCORECARDS!I164/100)*PONDERADORES!$D$14+(SCORECARDS!J164/100)*PONDERADORES!$D$15+(ISCAM_Score!K165/100)*PONDERADORES!$D$16+O164*PONDERADORES!$D$17+0*PONDERADORES!$D$18+(AVERAGE(W164:Z164)/2)*PONDERADORES!$D$19)/PONDERADORES!$D$20,"N/A")</f>
        <v>0</v>
      </c>
      <c r="AQ164">
        <f ca="1">COUNT(M164)+IF(SCORECARDS!H164="",0,1)+IF(SCORECARDS!I164="",0,1)+IF(SCORECARDS!J164="",0,1)+IF(ISCAM_Score!K165="",0,1)+IF(O164="",0,1)+IF(COUNT(W164:Z164)&gt;0,1,0)</f>
        <v>3</v>
      </c>
    </row>
    <row r="165" spans="1:43" ht="16.05" customHeight="1" x14ac:dyDescent="0.3">
      <c r="A165" t="s">
        <v>433</v>
      </c>
      <c r="B165" t="s">
        <v>434</v>
      </c>
      <c r="C165" t="s">
        <v>183</v>
      </c>
      <c r="D165" t="s">
        <v>65</v>
      </c>
      <c r="G165" t="s">
        <v>74</v>
      </c>
      <c r="J165" t="s">
        <v>128</v>
      </c>
      <c r="L165">
        <v>0</v>
      </c>
      <c r="M165">
        <f t="shared" si="25"/>
        <v>0</v>
      </c>
      <c r="N165" t="s">
        <v>68</v>
      </c>
      <c r="O165">
        <f t="shared" si="26"/>
        <v>0</v>
      </c>
      <c r="P165" t="s">
        <v>68</v>
      </c>
      <c r="S165">
        <f t="shared" ca="1" si="27"/>
        <v>0</v>
      </c>
      <c r="T165" t="str">
        <f t="shared" ca="1" si="28"/>
        <v>⬜  Parcial · Inst. 2 pendiente</v>
      </c>
      <c r="U165" s="53">
        <v>1</v>
      </c>
      <c r="V165" t="s">
        <v>69</v>
      </c>
      <c r="W165">
        <f>IF(NORMALIZADO!BV165="",0,NORMALIZADO!BV165)</f>
        <v>0</v>
      </c>
      <c r="X165">
        <f>IF(NORMALIZADO!BW165="",0,NORMALIZADO!BW165)</f>
        <v>0</v>
      </c>
      <c r="Y165">
        <f>IF(NORMALIZADO!BX165="",0,NORMALIZADO!BX165)</f>
        <v>0</v>
      </c>
      <c r="Z165">
        <f>IF(NORMALIZADO!BY165="",0,NORMALIZADO!BY165)</f>
        <v>0</v>
      </c>
      <c r="AA165">
        <v>0</v>
      </c>
      <c r="AB165">
        <v>0</v>
      </c>
      <c r="AC165">
        <v>0</v>
      </c>
      <c r="AD165">
        <v>0</v>
      </c>
      <c r="AE165">
        <v>0</v>
      </c>
      <c r="AF165">
        <v>0</v>
      </c>
      <c r="AG165">
        <v>0</v>
      </c>
      <c r="AH165">
        <v>0</v>
      </c>
      <c r="AI165">
        <v>0</v>
      </c>
      <c r="AJ165">
        <v>0</v>
      </c>
      <c r="AK165">
        <v>0</v>
      </c>
      <c r="AL165">
        <v>0</v>
      </c>
      <c r="AM165">
        <v>0</v>
      </c>
      <c r="AN165">
        <v>0</v>
      </c>
      <c r="AO165">
        <f t="shared" si="29"/>
        <v>0</v>
      </c>
      <c r="AP165">
        <f ca="1">IFERROR(((M165/100)*PONDERADORES!$D$12+(SCORECARDS!H165/100)*PONDERADORES!$D$13+(SCORECARDS!I165/100)*PONDERADORES!$D$14+(SCORECARDS!J165/100)*PONDERADORES!$D$15+(ISCAM_Score!K166/100)*PONDERADORES!$D$16+O165*PONDERADORES!$D$17+0*PONDERADORES!$D$18+(AVERAGE(W165:Z165)/2)*PONDERADORES!$D$19)/PONDERADORES!$D$20,"N/A")</f>
        <v>0</v>
      </c>
      <c r="AQ165">
        <f ca="1">COUNT(M165)+IF(SCORECARDS!H165="",0,1)+IF(SCORECARDS!I165="",0,1)+IF(SCORECARDS!J165="",0,1)+IF(ISCAM_Score!K166="",0,1)+IF(O165="",0,1)+IF(COUNT(W165:Z165)&gt;0,1,0)</f>
        <v>3</v>
      </c>
    </row>
    <row r="166" spans="1:43" ht="16.05" customHeight="1" x14ac:dyDescent="0.3">
      <c r="A166" t="s">
        <v>435</v>
      </c>
      <c r="B166" t="s">
        <v>436</v>
      </c>
      <c r="C166" t="s">
        <v>248</v>
      </c>
      <c r="D166" t="s">
        <v>73</v>
      </c>
      <c r="G166" t="s">
        <v>74</v>
      </c>
      <c r="J166" t="s">
        <v>67</v>
      </c>
      <c r="L166">
        <v>0</v>
      </c>
      <c r="M166">
        <f t="shared" si="25"/>
        <v>0</v>
      </c>
      <c r="N166" t="s">
        <v>68</v>
      </c>
      <c r="O166">
        <f t="shared" si="26"/>
        <v>0</v>
      </c>
      <c r="P166" t="s">
        <v>68</v>
      </c>
      <c r="S166">
        <f t="shared" ca="1" si="27"/>
        <v>0</v>
      </c>
      <c r="T166" t="str">
        <f t="shared" ca="1" si="28"/>
        <v>⬜  Parcial · Inst. 2 pendiente</v>
      </c>
      <c r="U166" s="53">
        <v>1</v>
      </c>
      <c r="V166" t="s">
        <v>69</v>
      </c>
      <c r="W166">
        <f>IF(NORMALIZADO!BV166="",0,NORMALIZADO!BV166)</f>
        <v>0</v>
      </c>
      <c r="X166">
        <f>IF(NORMALIZADO!BW166="",0,NORMALIZADO!BW166)</f>
        <v>0</v>
      </c>
      <c r="Y166">
        <f>IF(NORMALIZADO!BX166="",0,NORMALIZADO!BX166)</f>
        <v>0</v>
      </c>
      <c r="Z166">
        <f>IF(NORMALIZADO!BY166="",0,NORMALIZADO!BY166)</f>
        <v>0</v>
      </c>
      <c r="AA166">
        <v>0</v>
      </c>
      <c r="AB166">
        <v>0</v>
      </c>
      <c r="AC166">
        <v>0</v>
      </c>
      <c r="AD166">
        <v>0</v>
      </c>
      <c r="AE166">
        <v>0</v>
      </c>
      <c r="AF166">
        <v>0</v>
      </c>
      <c r="AG166">
        <v>0</v>
      </c>
      <c r="AH166">
        <v>0</v>
      </c>
      <c r="AI166">
        <v>0</v>
      </c>
      <c r="AJ166">
        <v>0</v>
      </c>
      <c r="AK166">
        <v>0</v>
      </c>
      <c r="AL166">
        <v>0</v>
      </c>
      <c r="AM166">
        <v>0</v>
      </c>
      <c r="AN166">
        <v>0</v>
      </c>
      <c r="AO166">
        <f t="shared" si="29"/>
        <v>0</v>
      </c>
      <c r="AP166">
        <f ca="1">IFERROR(((M166/100)*PONDERADORES!$D$12+(SCORECARDS!H166/100)*PONDERADORES!$D$13+(SCORECARDS!I166/100)*PONDERADORES!$D$14+(SCORECARDS!J166/100)*PONDERADORES!$D$15+(ISCAM_Score!K167/100)*PONDERADORES!$D$16+O166*PONDERADORES!$D$17+0*PONDERADORES!$D$18+(AVERAGE(W166:Z166)/2)*PONDERADORES!$D$19)/PONDERADORES!$D$20,"N/A")</f>
        <v>0</v>
      </c>
      <c r="AQ166">
        <f ca="1">COUNT(M166)+IF(SCORECARDS!H166="",0,1)+IF(SCORECARDS!I166="",0,1)+IF(SCORECARDS!J166="",0,1)+IF(ISCAM_Score!K167="",0,1)+IF(O166="",0,1)+IF(COUNT(W166:Z166)&gt;0,1,0)</f>
        <v>3</v>
      </c>
    </row>
    <row r="167" spans="1:43" ht="16.05" customHeight="1" x14ac:dyDescent="0.3">
      <c r="A167" t="s">
        <v>437</v>
      </c>
      <c r="B167" t="s">
        <v>438</v>
      </c>
      <c r="C167" t="s">
        <v>143</v>
      </c>
      <c r="D167" t="s">
        <v>73</v>
      </c>
      <c r="E167">
        <v>4097</v>
      </c>
      <c r="F167">
        <v>2</v>
      </c>
      <c r="G167" t="s">
        <v>66</v>
      </c>
      <c r="J167" t="s">
        <v>67</v>
      </c>
      <c r="L167">
        <v>0</v>
      </c>
      <c r="M167">
        <f t="shared" si="25"/>
        <v>0</v>
      </c>
      <c r="N167" t="s">
        <v>68</v>
      </c>
      <c r="O167">
        <f t="shared" si="26"/>
        <v>0</v>
      </c>
      <c r="P167" t="s">
        <v>68</v>
      </c>
      <c r="S167">
        <f t="shared" ca="1" si="27"/>
        <v>0</v>
      </c>
      <c r="T167" t="str">
        <f t="shared" ca="1" si="28"/>
        <v>⬜  Parcial · Inst. 2 pendiente</v>
      </c>
      <c r="U167" s="53">
        <v>1</v>
      </c>
      <c r="V167" t="s">
        <v>69</v>
      </c>
      <c r="W167">
        <f>IF(NORMALIZADO!BV167="",0,NORMALIZADO!BV167)</f>
        <v>0</v>
      </c>
      <c r="X167">
        <f>IF(NORMALIZADO!BW167="",0,NORMALIZADO!BW167)</f>
        <v>0</v>
      </c>
      <c r="Y167">
        <f>IF(NORMALIZADO!BX167="",0,NORMALIZADO!BX167)</f>
        <v>0</v>
      </c>
      <c r="Z167">
        <f>IF(NORMALIZADO!BY167="",0,NORMALIZADO!BY167)</f>
        <v>0</v>
      </c>
      <c r="AA167">
        <v>0</v>
      </c>
      <c r="AB167">
        <v>0</v>
      </c>
      <c r="AC167">
        <v>0</v>
      </c>
      <c r="AD167">
        <v>0</v>
      </c>
      <c r="AE167">
        <v>0</v>
      </c>
      <c r="AF167">
        <v>0</v>
      </c>
      <c r="AG167">
        <v>0</v>
      </c>
      <c r="AH167">
        <v>0</v>
      </c>
      <c r="AI167">
        <v>0</v>
      </c>
      <c r="AJ167">
        <v>0</v>
      </c>
      <c r="AK167">
        <v>0</v>
      </c>
      <c r="AL167">
        <v>0</v>
      </c>
      <c r="AM167">
        <v>0</v>
      </c>
      <c r="AN167">
        <v>0</v>
      </c>
      <c r="AO167">
        <f t="shared" si="29"/>
        <v>0</v>
      </c>
      <c r="AP167">
        <f ca="1">IFERROR(((M167/100)*PONDERADORES!$D$12+(SCORECARDS!H167/100)*PONDERADORES!$D$13+(SCORECARDS!I167/100)*PONDERADORES!$D$14+(SCORECARDS!J167/100)*PONDERADORES!$D$15+(ISCAM_Score!K168/100)*PONDERADORES!$D$16+O167*PONDERADORES!$D$17+0*PONDERADORES!$D$18+(AVERAGE(W167:Z167)/2)*PONDERADORES!$D$19)/PONDERADORES!$D$20,"N/A")</f>
        <v>0</v>
      </c>
      <c r="AQ167">
        <f ca="1">COUNT(M167)+IF(SCORECARDS!H167="",0,1)+IF(SCORECARDS!I167="",0,1)+IF(SCORECARDS!J167="",0,1)+IF(ISCAM_Score!K168="",0,1)+IF(O167="",0,1)+IF(COUNT(W167:Z167)&gt;0,1,0)</f>
        <v>3</v>
      </c>
    </row>
    <row r="168" spans="1:43" ht="16.05" customHeight="1" x14ac:dyDescent="0.3">
      <c r="A168" t="s">
        <v>439</v>
      </c>
      <c r="B168" t="s">
        <v>440</v>
      </c>
      <c r="C168" t="s">
        <v>116</v>
      </c>
      <c r="D168" t="s">
        <v>73</v>
      </c>
      <c r="E168">
        <v>19111.5</v>
      </c>
      <c r="F168">
        <v>1</v>
      </c>
      <c r="G168" t="s">
        <v>66</v>
      </c>
      <c r="J168" t="s">
        <v>67</v>
      </c>
      <c r="L168">
        <v>0</v>
      </c>
      <c r="M168">
        <f t="shared" si="25"/>
        <v>0</v>
      </c>
      <c r="N168" t="s">
        <v>68</v>
      </c>
      <c r="O168">
        <f t="shared" si="26"/>
        <v>0</v>
      </c>
      <c r="P168" t="s">
        <v>68</v>
      </c>
      <c r="S168">
        <f t="shared" ca="1" si="27"/>
        <v>0</v>
      </c>
      <c r="T168" t="str">
        <f t="shared" ca="1" si="28"/>
        <v>⬜  Parcial · Inst. 2 pendiente</v>
      </c>
      <c r="U168" s="53">
        <v>1</v>
      </c>
      <c r="V168" t="s">
        <v>69</v>
      </c>
      <c r="W168">
        <f>IF(NORMALIZADO!BV168="",0,NORMALIZADO!BV168)</f>
        <v>0</v>
      </c>
      <c r="X168">
        <f>IF(NORMALIZADO!BW168="",0,NORMALIZADO!BW168)</f>
        <v>0</v>
      </c>
      <c r="Y168">
        <f>IF(NORMALIZADO!BX168="",0,NORMALIZADO!BX168)</f>
        <v>0</v>
      </c>
      <c r="Z168">
        <f>IF(NORMALIZADO!BY168="",0,NORMALIZADO!BY168)</f>
        <v>0</v>
      </c>
      <c r="AA168">
        <v>0</v>
      </c>
      <c r="AB168">
        <v>0</v>
      </c>
      <c r="AC168">
        <v>0</v>
      </c>
      <c r="AD168">
        <v>0</v>
      </c>
      <c r="AE168">
        <v>0</v>
      </c>
      <c r="AF168">
        <v>0</v>
      </c>
      <c r="AG168">
        <v>0</v>
      </c>
      <c r="AH168">
        <v>0</v>
      </c>
      <c r="AI168">
        <v>0</v>
      </c>
      <c r="AJ168">
        <v>0</v>
      </c>
      <c r="AK168">
        <v>0</v>
      </c>
      <c r="AL168">
        <v>0</v>
      </c>
      <c r="AM168">
        <v>0</v>
      </c>
      <c r="AN168">
        <v>0</v>
      </c>
      <c r="AO168">
        <f t="shared" si="29"/>
        <v>0</v>
      </c>
      <c r="AP168">
        <f ca="1">IFERROR(((M168/100)*PONDERADORES!$D$12+(SCORECARDS!H168/100)*PONDERADORES!$D$13+(SCORECARDS!I168/100)*PONDERADORES!$D$14+(SCORECARDS!J168/100)*PONDERADORES!$D$15+(ISCAM_Score!K169/100)*PONDERADORES!$D$16+O168*PONDERADORES!$D$17+0*PONDERADORES!$D$18+(AVERAGE(W168:Z168)/2)*PONDERADORES!$D$19)/PONDERADORES!$D$20,"N/A")</f>
        <v>0</v>
      </c>
      <c r="AQ168">
        <f ca="1">COUNT(M168)+IF(SCORECARDS!H168="",0,1)+IF(SCORECARDS!I168="",0,1)+IF(SCORECARDS!J168="",0,1)+IF(ISCAM_Score!K169="",0,1)+IF(O168="",0,1)+IF(COUNT(W168:Z168)&gt;0,1,0)</f>
        <v>3</v>
      </c>
    </row>
    <row r="169" spans="1:43" ht="16.05" customHeight="1" x14ac:dyDescent="0.3">
      <c r="A169" t="s">
        <v>441</v>
      </c>
      <c r="B169" t="s">
        <v>442</v>
      </c>
      <c r="C169" t="s">
        <v>154</v>
      </c>
      <c r="D169" t="s">
        <v>65</v>
      </c>
      <c r="G169" t="s">
        <v>74</v>
      </c>
      <c r="J169" t="s">
        <v>67</v>
      </c>
      <c r="L169">
        <v>0</v>
      </c>
      <c r="M169">
        <f t="shared" si="25"/>
        <v>0</v>
      </c>
      <c r="N169" t="s">
        <v>68</v>
      </c>
      <c r="O169">
        <f t="shared" si="26"/>
        <v>0</v>
      </c>
      <c r="P169" t="s">
        <v>68</v>
      </c>
      <c r="S169">
        <f t="shared" ca="1" si="27"/>
        <v>0</v>
      </c>
      <c r="T169" t="str">
        <f t="shared" ca="1" si="28"/>
        <v>⬜  Parcial · Inst. 2 pendiente</v>
      </c>
      <c r="U169" s="53">
        <v>1</v>
      </c>
      <c r="V169" t="s">
        <v>69</v>
      </c>
      <c r="W169">
        <f>IF(NORMALIZADO!BV169="",0,NORMALIZADO!BV169)</f>
        <v>0</v>
      </c>
      <c r="X169">
        <f>IF(NORMALIZADO!BW169="",0,NORMALIZADO!BW169)</f>
        <v>0</v>
      </c>
      <c r="Y169">
        <f>IF(NORMALIZADO!BX169="",0,NORMALIZADO!BX169)</f>
        <v>0</v>
      </c>
      <c r="Z169">
        <f>IF(NORMALIZADO!BY169="",0,NORMALIZADO!BY169)</f>
        <v>0</v>
      </c>
      <c r="AA169">
        <v>0</v>
      </c>
      <c r="AB169">
        <v>0</v>
      </c>
      <c r="AC169">
        <v>0</v>
      </c>
      <c r="AD169">
        <v>0</v>
      </c>
      <c r="AE169">
        <v>0</v>
      </c>
      <c r="AF169">
        <v>0</v>
      </c>
      <c r="AG169">
        <v>0</v>
      </c>
      <c r="AH169">
        <v>0</v>
      </c>
      <c r="AI169">
        <v>0</v>
      </c>
      <c r="AJ169">
        <v>0</v>
      </c>
      <c r="AK169">
        <v>0</v>
      </c>
      <c r="AL169">
        <v>0</v>
      </c>
      <c r="AM169">
        <v>0</v>
      </c>
      <c r="AN169">
        <v>0</v>
      </c>
      <c r="AO169">
        <f t="shared" si="29"/>
        <v>0</v>
      </c>
      <c r="AP169">
        <f ca="1">IFERROR(((M169/100)*PONDERADORES!$D$12+(SCORECARDS!H169/100)*PONDERADORES!$D$13+(SCORECARDS!I169/100)*PONDERADORES!$D$14+(SCORECARDS!J169/100)*PONDERADORES!$D$15+(ISCAM_Score!K170/100)*PONDERADORES!$D$16+O169*PONDERADORES!$D$17+0*PONDERADORES!$D$18+(AVERAGE(W169:Z169)/2)*PONDERADORES!$D$19)/PONDERADORES!$D$20,"N/A")</f>
        <v>0</v>
      </c>
      <c r="AQ169">
        <f ca="1">COUNT(M169)+IF(SCORECARDS!H169="",0,1)+IF(SCORECARDS!I169="",0,1)+IF(SCORECARDS!J169="",0,1)+IF(ISCAM_Score!K170="",0,1)+IF(O169="",0,1)+IF(COUNT(W169:Z169)&gt;0,1,0)</f>
        <v>3</v>
      </c>
    </row>
    <row r="170" spans="1:43" ht="16.05" customHeight="1" x14ac:dyDescent="0.3">
      <c r="A170" t="s">
        <v>443</v>
      </c>
      <c r="B170" t="s">
        <v>444</v>
      </c>
      <c r="C170" t="s">
        <v>113</v>
      </c>
      <c r="D170" t="s">
        <v>73</v>
      </c>
      <c r="E170">
        <v>1265261.8999999999</v>
      </c>
      <c r="F170">
        <v>6</v>
      </c>
      <c r="G170" t="s">
        <v>66</v>
      </c>
      <c r="J170" t="s">
        <v>67</v>
      </c>
      <c r="L170">
        <v>0</v>
      </c>
      <c r="M170">
        <f t="shared" si="25"/>
        <v>0</v>
      </c>
      <c r="N170" t="s">
        <v>68</v>
      </c>
      <c r="O170">
        <f t="shared" si="26"/>
        <v>0</v>
      </c>
      <c r="P170" t="s">
        <v>68</v>
      </c>
      <c r="S170">
        <f t="shared" ca="1" si="27"/>
        <v>0</v>
      </c>
      <c r="T170" t="str">
        <f t="shared" ca="1" si="28"/>
        <v>⬜  Parcial · Inst. 2 pendiente</v>
      </c>
      <c r="U170" s="53">
        <v>1</v>
      </c>
      <c r="V170" t="s">
        <v>69</v>
      </c>
      <c r="W170">
        <f>IF(NORMALIZADO!BV170="",0,NORMALIZADO!BV170)</f>
        <v>0</v>
      </c>
      <c r="X170">
        <f>IF(NORMALIZADO!BW170="",0,NORMALIZADO!BW170)</f>
        <v>0</v>
      </c>
      <c r="Y170">
        <f>IF(NORMALIZADO!BX170="",0,NORMALIZADO!BX170)</f>
        <v>0</v>
      </c>
      <c r="Z170">
        <f>IF(NORMALIZADO!BY170="",0,NORMALIZADO!BY170)</f>
        <v>0</v>
      </c>
      <c r="AA170">
        <v>0</v>
      </c>
      <c r="AB170">
        <v>0</v>
      </c>
      <c r="AC170">
        <v>0</v>
      </c>
      <c r="AD170">
        <v>0</v>
      </c>
      <c r="AE170">
        <v>0</v>
      </c>
      <c r="AF170">
        <v>0</v>
      </c>
      <c r="AG170">
        <v>0</v>
      </c>
      <c r="AH170">
        <v>0</v>
      </c>
      <c r="AI170">
        <v>0</v>
      </c>
      <c r="AJ170">
        <v>0</v>
      </c>
      <c r="AK170">
        <v>0</v>
      </c>
      <c r="AL170">
        <v>0</v>
      </c>
      <c r="AM170">
        <v>0</v>
      </c>
      <c r="AN170">
        <v>0</v>
      </c>
      <c r="AO170">
        <f t="shared" si="29"/>
        <v>0</v>
      </c>
      <c r="AP170">
        <f ca="1">IFERROR(((M170/100)*PONDERADORES!$D$12+(SCORECARDS!H170/100)*PONDERADORES!$D$13+(SCORECARDS!I170/100)*PONDERADORES!$D$14+(SCORECARDS!J170/100)*PONDERADORES!$D$15+(ISCAM_Score!K171/100)*PONDERADORES!$D$16+O170*PONDERADORES!$D$17+0*PONDERADORES!$D$18+(AVERAGE(W170:Z170)/2)*PONDERADORES!$D$19)/PONDERADORES!$D$20,"N/A")</f>
        <v>0</v>
      </c>
      <c r="AQ170">
        <f ca="1">COUNT(M170)+IF(SCORECARDS!H170="",0,1)+IF(SCORECARDS!I170="",0,1)+IF(SCORECARDS!J170="",0,1)+IF(ISCAM_Score!K171="",0,1)+IF(O170="",0,1)+IF(COUNT(W170:Z170)&gt;0,1,0)</f>
        <v>3</v>
      </c>
    </row>
    <row r="171" spans="1:43" ht="16.05" customHeight="1" x14ac:dyDescent="0.3">
      <c r="A171" t="s">
        <v>445</v>
      </c>
      <c r="B171" t="s">
        <v>446</v>
      </c>
      <c r="C171" t="s">
        <v>143</v>
      </c>
      <c r="D171" t="s">
        <v>65</v>
      </c>
      <c r="G171" t="s">
        <v>74</v>
      </c>
      <c r="H171" t="s">
        <v>66</v>
      </c>
      <c r="J171" t="s">
        <v>67</v>
      </c>
      <c r="K171" t="s">
        <v>417</v>
      </c>
      <c r="L171">
        <v>0</v>
      </c>
      <c r="M171">
        <f t="shared" si="25"/>
        <v>0</v>
      </c>
      <c r="N171" t="s">
        <v>68</v>
      </c>
      <c r="O171">
        <f t="shared" si="26"/>
        <v>0.6</v>
      </c>
      <c r="P171" t="s">
        <v>68</v>
      </c>
      <c r="Q171">
        <v>698</v>
      </c>
      <c r="R171">
        <v>921.1</v>
      </c>
      <c r="S171">
        <f t="shared" ca="1" si="27"/>
        <v>7.3</v>
      </c>
      <c r="T171" t="str">
        <f t="shared" ca="1" si="28"/>
        <v>⬜  Parcial · Inst. 2 pendiente</v>
      </c>
      <c r="U171" s="53">
        <v>1</v>
      </c>
      <c r="V171" t="s">
        <v>69</v>
      </c>
      <c r="W171">
        <f>IF(NORMALIZADO!BV171="",1,NORMALIZADO!BV171)</f>
        <v>1</v>
      </c>
      <c r="X171">
        <f>IF(NORMALIZADO!BW171="",0,NORMALIZADO!BW171)</f>
        <v>0</v>
      </c>
      <c r="Y171">
        <f>IF(NORMALIZADO!BX171="",0,NORMALIZADO!BX171)</f>
        <v>0</v>
      </c>
      <c r="Z171">
        <f>IF(NORMALIZADO!BY171="",0,NORMALIZADO!BY171)</f>
        <v>0</v>
      </c>
      <c r="AA171">
        <v>0</v>
      </c>
      <c r="AB171">
        <v>0</v>
      </c>
      <c r="AC171">
        <v>0</v>
      </c>
      <c r="AD171">
        <v>0</v>
      </c>
      <c r="AE171">
        <v>0</v>
      </c>
      <c r="AF171">
        <v>0</v>
      </c>
      <c r="AG171">
        <v>0</v>
      </c>
      <c r="AH171">
        <v>0</v>
      </c>
      <c r="AI171">
        <v>0</v>
      </c>
      <c r="AJ171">
        <v>0</v>
      </c>
      <c r="AK171">
        <v>0</v>
      </c>
      <c r="AL171">
        <v>0</v>
      </c>
      <c r="AM171">
        <v>0</v>
      </c>
      <c r="AN171">
        <v>0</v>
      </c>
      <c r="AO171">
        <f t="shared" si="29"/>
        <v>0</v>
      </c>
      <c r="AP171">
        <f ca="1">IFERROR(((M171/100)*PONDERADORES!$D$12+(SCORECARDS!H171/100)*PONDERADORES!$D$13+(SCORECARDS!I171/100)*PONDERADORES!$D$14+(SCORECARDS!J171/100)*PONDERADORES!$D$15+(ISCAM_Score!K172/100)*PONDERADORES!$D$16+O171*PONDERADORES!$D$17+0*PONDERADORES!$D$18+(AVERAGE(W171:Z171)/2)*PONDERADORES!$D$19)/PONDERADORES!$D$20,"N/A")</f>
        <v>7.2999999999999995E-2</v>
      </c>
      <c r="AQ171">
        <f ca="1">COUNT(M171)+IF(SCORECARDS!H171="",0,1)+IF(SCORECARDS!I171="",0,1)+IF(SCORECARDS!J171="",0,1)+IF(ISCAM_Score!K172="",0,1)+IF(O171="",0,1)+IF(COUNT(W171:Z171)&gt;0,1,0)</f>
        <v>3</v>
      </c>
    </row>
    <row r="172" spans="1:43" ht="16.05" customHeight="1" x14ac:dyDescent="0.3">
      <c r="A172" t="s">
        <v>447</v>
      </c>
      <c r="B172" t="s">
        <v>448</v>
      </c>
      <c r="C172" t="s">
        <v>116</v>
      </c>
      <c r="D172" t="s">
        <v>65</v>
      </c>
      <c r="E172">
        <v>0</v>
      </c>
      <c r="G172" t="s">
        <v>74</v>
      </c>
      <c r="J172" t="s">
        <v>67</v>
      </c>
      <c r="L172">
        <v>0</v>
      </c>
      <c r="M172">
        <f t="shared" si="25"/>
        <v>0</v>
      </c>
      <c r="N172" t="s">
        <v>68</v>
      </c>
      <c r="O172">
        <f t="shared" si="26"/>
        <v>0</v>
      </c>
      <c r="P172" t="s">
        <v>68</v>
      </c>
      <c r="S172">
        <f t="shared" ca="1" si="27"/>
        <v>0</v>
      </c>
      <c r="T172" t="str">
        <f t="shared" ca="1" si="28"/>
        <v>⬜  Parcial · Inst. 2 pendiente</v>
      </c>
      <c r="U172" s="53">
        <v>1</v>
      </c>
      <c r="V172" t="s">
        <v>69</v>
      </c>
      <c r="W172">
        <f>IF(NORMALIZADO!BV172="",0,NORMALIZADO!BV172)</f>
        <v>0</v>
      </c>
      <c r="X172">
        <f>IF(NORMALIZADO!BW172="",0,NORMALIZADO!BW172)</f>
        <v>0</v>
      </c>
      <c r="Y172">
        <f>IF(NORMALIZADO!BX172="",0,NORMALIZADO!BX172)</f>
        <v>0</v>
      </c>
      <c r="Z172">
        <f>IF(NORMALIZADO!BY172="",0,NORMALIZADO!BY172)</f>
        <v>0</v>
      </c>
      <c r="AA172">
        <v>0</v>
      </c>
      <c r="AB172">
        <v>0</v>
      </c>
      <c r="AC172">
        <v>0</v>
      </c>
      <c r="AD172">
        <v>0</v>
      </c>
      <c r="AE172">
        <v>0</v>
      </c>
      <c r="AF172">
        <v>0</v>
      </c>
      <c r="AG172">
        <v>0</v>
      </c>
      <c r="AH172">
        <v>0</v>
      </c>
      <c r="AI172">
        <v>0</v>
      </c>
      <c r="AJ172">
        <v>0</v>
      </c>
      <c r="AK172">
        <v>0</v>
      </c>
      <c r="AL172">
        <v>0</v>
      </c>
      <c r="AM172">
        <v>0</v>
      </c>
      <c r="AN172">
        <v>0</v>
      </c>
      <c r="AO172">
        <f t="shared" si="29"/>
        <v>0</v>
      </c>
      <c r="AP172">
        <f ca="1">IFERROR(((M172/100)*PONDERADORES!$D$12+(SCORECARDS!H172/100)*PONDERADORES!$D$13+(SCORECARDS!I172/100)*PONDERADORES!$D$14+(SCORECARDS!J172/100)*PONDERADORES!$D$15+(ISCAM_Score!K173/100)*PONDERADORES!$D$16+O172*PONDERADORES!$D$17+0*PONDERADORES!$D$18+(AVERAGE(W172:Z172)/2)*PONDERADORES!$D$19)/PONDERADORES!$D$20,"N/A")</f>
        <v>0</v>
      </c>
      <c r="AQ172">
        <f ca="1">COUNT(M172)+IF(SCORECARDS!H172="",0,1)+IF(SCORECARDS!I172="",0,1)+IF(SCORECARDS!J172="",0,1)+IF(ISCAM_Score!K173="",0,1)+IF(O172="",0,1)+IF(COUNT(W172:Z172)&gt;0,1,0)</f>
        <v>3</v>
      </c>
    </row>
    <row r="173" spans="1:43" ht="16.05" customHeight="1" x14ac:dyDescent="0.3">
      <c r="A173" t="s">
        <v>449</v>
      </c>
      <c r="B173" t="s">
        <v>450</v>
      </c>
      <c r="C173" t="s">
        <v>183</v>
      </c>
      <c r="D173" t="s">
        <v>65</v>
      </c>
      <c r="G173" t="s">
        <v>74</v>
      </c>
      <c r="J173" t="s">
        <v>128</v>
      </c>
      <c r="L173">
        <v>0</v>
      </c>
      <c r="M173">
        <f t="shared" si="25"/>
        <v>0</v>
      </c>
      <c r="N173" t="s">
        <v>68</v>
      </c>
      <c r="O173">
        <f t="shared" si="26"/>
        <v>0</v>
      </c>
      <c r="P173" t="s">
        <v>68</v>
      </c>
      <c r="S173">
        <f t="shared" ca="1" si="27"/>
        <v>0</v>
      </c>
      <c r="T173" t="str">
        <f t="shared" ca="1" si="28"/>
        <v>⬜  Parcial · Inst. 2 pendiente</v>
      </c>
      <c r="U173" s="53">
        <v>1</v>
      </c>
      <c r="V173" t="s">
        <v>69</v>
      </c>
      <c r="W173">
        <f>IF(NORMALIZADO!BV173="",0,NORMALIZADO!BV173)</f>
        <v>0</v>
      </c>
      <c r="X173">
        <f>IF(NORMALIZADO!BW173="",0,NORMALIZADO!BW173)</f>
        <v>0</v>
      </c>
      <c r="Y173">
        <f>IF(NORMALIZADO!BX173="",0,NORMALIZADO!BX173)</f>
        <v>0</v>
      </c>
      <c r="Z173">
        <f>IF(NORMALIZADO!BY173="",0,NORMALIZADO!BY173)</f>
        <v>0</v>
      </c>
      <c r="AA173">
        <v>0</v>
      </c>
      <c r="AB173">
        <v>0</v>
      </c>
      <c r="AC173">
        <v>0</v>
      </c>
      <c r="AD173">
        <v>0</v>
      </c>
      <c r="AE173">
        <v>0</v>
      </c>
      <c r="AF173">
        <v>0</v>
      </c>
      <c r="AG173">
        <v>0</v>
      </c>
      <c r="AH173">
        <v>0</v>
      </c>
      <c r="AI173">
        <v>0</v>
      </c>
      <c r="AJ173">
        <v>0</v>
      </c>
      <c r="AK173">
        <v>0</v>
      </c>
      <c r="AL173">
        <v>0</v>
      </c>
      <c r="AM173">
        <v>0</v>
      </c>
      <c r="AN173">
        <v>0</v>
      </c>
      <c r="AO173">
        <f t="shared" si="29"/>
        <v>0</v>
      </c>
      <c r="AP173">
        <f ca="1">IFERROR(((M173/100)*PONDERADORES!$D$12+(SCORECARDS!H173/100)*PONDERADORES!$D$13+(SCORECARDS!I173/100)*PONDERADORES!$D$14+(SCORECARDS!J173/100)*PONDERADORES!$D$15+(ISCAM_Score!K174/100)*PONDERADORES!$D$16+O173*PONDERADORES!$D$17+0*PONDERADORES!$D$18+(AVERAGE(W173:Z173)/2)*PONDERADORES!$D$19)/PONDERADORES!$D$20,"N/A")</f>
        <v>0</v>
      </c>
      <c r="AQ173">
        <f ca="1">COUNT(M173)+IF(SCORECARDS!H173="",0,1)+IF(SCORECARDS!I173="",0,1)+IF(SCORECARDS!J173="",0,1)+IF(ISCAM_Score!K174="",0,1)+IF(O173="",0,1)+IF(COUNT(W173:Z173)&gt;0,1,0)</f>
        <v>3</v>
      </c>
    </row>
    <row r="174" spans="1:43" ht="16.05" customHeight="1" x14ac:dyDescent="0.3">
      <c r="A174" t="s">
        <v>451</v>
      </c>
      <c r="C174" t="s">
        <v>452</v>
      </c>
      <c r="L174">
        <v>0</v>
      </c>
      <c r="M174">
        <f t="shared" si="25"/>
        <v>0</v>
      </c>
      <c r="N174" t="s">
        <v>68</v>
      </c>
      <c r="O174">
        <f t="shared" si="26"/>
        <v>0</v>
      </c>
      <c r="P174" t="s">
        <v>68</v>
      </c>
      <c r="S174">
        <f t="shared" ca="1" si="27"/>
        <v>0</v>
      </c>
      <c r="T174" t="str">
        <f t="shared" ca="1" si="28"/>
        <v>⬜  Parcial · Inst. 2 pendiente</v>
      </c>
      <c r="U174" s="53">
        <v>1</v>
      </c>
      <c r="V174" t="s">
        <v>69</v>
      </c>
      <c r="W174">
        <f>IF(NORMALIZADO!BV174="",0,NORMALIZADO!BV174)</f>
        <v>0</v>
      </c>
      <c r="X174">
        <f>IF(NORMALIZADO!BW174="",0,NORMALIZADO!BW174)</f>
        <v>0</v>
      </c>
      <c r="Y174">
        <f>IF(NORMALIZADO!BX174="",0,NORMALIZADO!BX174)</f>
        <v>0</v>
      </c>
      <c r="Z174">
        <f>IF(NORMALIZADO!BY174="",0,NORMALIZADO!BY174)</f>
        <v>0</v>
      </c>
      <c r="AA174">
        <v>0</v>
      </c>
      <c r="AB174">
        <v>0</v>
      </c>
      <c r="AC174">
        <v>0</v>
      </c>
      <c r="AD174">
        <v>0</v>
      </c>
      <c r="AE174">
        <v>0</v>
      </c>
      <c r="AF174">
        <v>0</v>
      </c>
      <c r="AG174">
        <v>0</v>
      </c>
      <c r="AH174">
        <v>0</v>
      </c>
      <c r="AI174">
        <v>0</v>
      </c>
      <c r="AJ174">
        <v>0</v>
      </c>
      <c r="AK174">
        <v>0</v>
      </c>
      <c r="AL174">
        <v>0</v>
      </c>
      <c r="AM174">
        <v>0</v>
      </c>
      <c r="AN174">
        <v>0</v>
      </c>
      <c r="AO174">
        <f t="shared" si="29"/>
        <v>0</v>
      </c>
      <c r="AP174">
        <f ca="1">IFERROR(((M174/100)*PONDERADORES!$D$12+(SCORECARDS!H174/100)*PONDERADORES!$D$13+(SCORECARDS!I174/100)*PONDERADORES!$D$14+(SCORECARDS!J174/100)*PONDERADORES!$D$15+(ISCAM_Score!K175/100)*PONDERADORES!$D$16+O174*PONDERADORES!$D$17+0*PONDERADORES!$D$18+(AVERAGE(W174:Z174)/2)*PONDERADORES!$D$19)/PONDERADORES!$D$20,"N/A")</f>
        <v>0</v>
      </c>
      <c r="AQ174">
        <f ca="1">COUNT(M174)+IF(SCORECARDS!H174="",0,1)+IF(SCORECARDS!I174="",0,1)+IF(SCORECARDS!J174="",0,1)+IF(ISCAM_Score!K175="",0,1)+IF(O174="",0,1)+IF(COUNT(W174:Z174)&gt;0,1,0)</f>
        <v>3</v>
      </c>
    </row>
    <row r="175" spans="1:43" ht="16.05" customHeight="1" x14ac:dyDescent="0.3">
      <c r="A175" t="s">
        <v>453</v>
      </c>
      <c r="B175" t="s">
        <v>454</v>
      </c>
      <c r="C175" t="s">
        <v>113</v>
      </c>
      <c r="D175" t="s">
        <v>73</v>
      </c>
      <c r="E175">
        <v>7723335.0299999993</v>
      </c>
      <c r="F175">
        <v>17</v>
      </c>
      <c r="G175" t="s">
        <v>66</v>
      </c>
      <c r="J175" t="s">
        <v>67</v>
      </c>
      <c r="L175">
        <v>3861667.52</v>
      </c>
      <c r="M175">
        <f t="shared" si="25"/>
        <v>50</v>
      </c>
      <c r="N175" t="s">
        <v>68</v>
      </c>
      <c r="O175">
        <f t="shared" si="26"/>
        <v>0</v>
      </c>
      <c r="P175" t="s">
        <v>68</v>
      </c>
      <c r="S175">
        <f t="shared" ca="1" si="27"/>
        <v>12.5</v>
      </c>
      <c r="T175" t="str">
        <f t="shared" ca="1" si="28"/>
        <v>⬜  Parcial · Inst. 2 pendiente</v>
      </c>
      <c r="U175" s="53">
        <v>1</v>
      </c>
      <c r="V175" t="s">
        <v>69</v>
      </c>
      <c r="W175">
        <f>IF(NORMALIZADO!BV175="",1,NORMALIZADO!BV175)</f>
        <v>1</v>
      </c>
      <c r="X175">
        <f>IF(NORMALIZADO!BW175="",0,NORMALIZADO!BW175)</f>
        <v>0</v>
      </c>
      <c r="Y175">
        <f>IF(NORMALIZADO!BX175="",0,NORMALIZADO!BX175)</f>
        <v>0</v>
      </c>
      <c r="Z175">
        <f>IF(NORMALIZADO!BY175="",0,NORMALIZADO!BY175)</f>
        <v>0</v>
      </c>
      <c r="AA175">
        <v>0</v>
      </c>
      <c r="AB175">
        <v>0</v>
      </c>
      <c r="AC175">
        <v>0</v>
      </c>
      <c r="AD175">
        <v>0</v>
      </c>
      <c r="AE175">
        <v>0</v>
      </c>
      <c r="AF175">
        <v>0</v>
      </c>
      <c r="AG175">
        <v>0</v>
      </c>
      <c r="AH175">
        <v>0</v>
      </c>
      <c r="AI175">
        <v>0</v>
      </c>
      <c r="AJ175">
        <v>0</v>
      </c>
      <c r="AK175">
        <v>0</v>
      </c>
      <c r="AL175">
        <v>0</v>
      </c>
      <c r="AM175">
        <v>0</v>
      </c>
      <c r="AN175">
        <v>0</v>
      </c>
      <c r="AO175">
        <f t="shared" si="29"/>
        <v>0</v>
      </c>
      <c r="AP175">
        <f ca="1">IFERROR(((M175/100)*PONDERADORES!$D$12+(SCORECARDS!H175/100)*PONDERADORES!$D$13+(SCORECARDS!I175/100)*PONDERADORES!$D$14+(SCORECARDS!J175/100)*PONDERADORES!$D$15+(ISCAM_Score!K176/100)*PONDERADORES!$D$16+O175*PONDERADORES!$D$17+0*PONDERADORES!$D$18+(AVERAGE(W175:Z175)/2)*PONDERADORES!$D$19)/PONDERADORES!$D$20,"N/A")</f>
        <v>0.125</v>
      </c>
      <c r="AQ175">
        <f ca="1">COUNT(M175)+IF(SCORECARDS!H175="",0,1)+IF(SCORECARDS!I175="",0,1)+IF(SCORECARDS!J175="",0,1)+IF(ISCAM_Score!K176="",0,1)+IF(O175="",0,1)+IF(COUNT(W175:Z175)&gt;0,1,0)</f>
        <v>3</v>
      </c>
    </row>
    <row r="176" spans="1:43" ht="16.05" customHeight="1" x14ac:dyDescent="0.3">
      <c r="A176" t="s">
        <v>455</v>
      </c>
      <c r="B176" t="s">
        <v>456</v>
      </c>
      <c r="C176" t="s">
        <v>116</v>
      </c>
      <c r="D176" t="s">
        <v>65</v>
      </c>
      <c r="E176">
        <v>300233.07</v>
      </c>
      <c r="F176">
        <v>2</v>
      </c>
      <c r="G176" t="s">
        <v>66</v>
      </c>
      <c r="J176" t="s">
        <v>67</v>
      </c>
      <c r="L176">
        <v>0</v>
      </c>
      <c r="M176">
        <f t="shared" si="25"/>
        <v>0</v>
      </c>
      <c r="N176" t="s">
        <v>68</v>
      </c>
      <c r="O176">
        <f t="shared" si="26"/>
        <v>0</v>
      </c>
      <c r="P176" t="s">
        <v>68</v>
      </c>
      <c r="S176">
        <f t="shared" ca="1" si="27"/>
        <v>0</v>
      </c>
      <c r="T176" t="str">
        <f t="shared" ca="1" si="28"/>
        <v>⬜  Parcial · Inst. 2 pendiente</v>
      </c>
      <c r="U176" s="53">
        <v>1</v>
      </c>
      <c r="V176" t="s">
        <v>69</v>
      </c>
      <c r="W176">
        <f>IF(NORMALIZADO!BV176="",0,NORMALIZADO!BV176)</f>
        <v>0</v>
      </c>
      <c r="X176">
        <f>IF(NORMALIZADO!BW176="",0,NORMALIZADO!BW176)</f>
        <v>0</v>
      </c>
      <c r="Y176">
        <f>IF(NORMALIZADO!BX176="",0,NORMALIZADO!BX176)</f>
        <v>0</v>
      </c>
      <c r="Z176">
        <f>IF(NORMALIZADO!BY176="",0,NORMALIZADO!BY176)</f>
        <v>0</v>
      </c>
      <c r="AA176">
        <v>0</v>
      </c>
      <c r="AB176">
        <v>0</v>
      </c>
      <c r="AC176">
        <v>0</v>
      </c>
      <c r="AD176">
        <v>0</v>
      </c>
      <c r="AE176">
        <v>0</v>
      </c>
      <c r="AF176">
        <v>0</v>
      </c>
      <c r="AG176">
        <v>0</v>
      </c>
      <c r="AH176">
        <v>0</v>
      </c>
      <c r="AI176">
        <v>0</v>
      </c>
      <c r="AJ176">
        <v>0</v>
      </c>
      <c r="AK176">
        <v>0</v>
      </c>
      <c r="AL176">
        <v>0</v>
      </c>
      <c r="AM176">
        <v>0</v>
      </c>
      <c r="AN176">
        <v>0</v>
      </c>
      <c r="AO176">
        <f t="shared" si="29"/>
        <v>0</v>
      </c>
      <c r="AP176">
        <f ca="1">IFERROR(((M176/100)*PONDERADORES!$D$12+(SCORECARDS!H176/100)*PONDERADORES!$D$13+(SCORECARDS!I176/100)*PONDERADORES!$D$14+(SCORECARDS!J176/100)*PONDERADORES!$D$15+(ISCAM_Score!K177/100)*PONDERADORES!$D$16+O176*PONDERADORES!$D$17+0*PONDERADORES!$D$18+(AVERAGE(W176:Z176)/2)*PONDERADORES!$D$19)/PONDERADORES!$D$20,"N/A")</f>
        <v>0</v>
      </c>
      <c r="AQ176">
        <f ca="1">COUNT(M176)+IF(SCORECARDS!H176="",0,1)+IF(SCORECARDS!I176="",0,1)+IF(SCORECARDS!J176="",0,1)+IF(ISCAM_Score!K177="",0,1)+IF(O176="",0,1)+IF(COUNT(W176:Z176)&gt;0,1,0)</f>
        <v>3</v>
      </c>
    </row>
  </sheetData>
  <mergeCells count="1">
    <mergeCell ref="A1:S1"/>
  </mergeCell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87"/>
  <sheetViews>
    <sheetView workbookViewId="0">
      <pane xSplit="2" ySplit="2" topLeftCell="C166" activePane="bottomRight" state="frozen"/>
      <selection pane="topRight"/>
      <selection pane="bottomLeft"/>
      <selection pane="bottomRight" activeCell="B174" sqref="B174"/>
    </sheetView>
  </sheetViews>
  <sheetFormatPr baseColWidth="10" defaultColWidth="8.88671875" defaultRowHeight="14.4" x14ac:dyDescent="0.3"/>
  <cols>
    <col min="1" max="1" width="34.88671875" customWidth="1"/>
    <col min="2" max="2" width="38" customWidth="1"/>
    <col min="3" max="3" width="11" customWidth="1"/>
    <col min="4" max="4" width="14" customWidth="1"/>
    <col min="5" max="5" width="8" customWidth="1"/>
    <col min="6" max="6" width="14" customWidth="1"/>
    <col min="7" max="7" width="10" customWidth="1"/>
    <col min="8" max="8" width="11" customWidth="1"/>
    <col min="9" max="9" width="12" customWidth="1"/>
    <col min="10" max="10" width="13" customWidth="1"/>
    <col min="11" max="11" width="14" customWidth="1"/>
    <col min="12" max="12" width="10" customWidth="1"/>
    <col min="13" max="13" width="8" customWidth="1"/>
    <col min="14" max="14" width="14" customWidth="1"/>
    <col min="15" max="16" width="16" customWidth="1"/>
  </cols>
  <sheetData>
    <row r="1" spans="1:16" ht="28.05" customHeight="1" x14ac:dyDescent="0.3">
      <c r="A1" s="55" t="s">
        <v>1037</v>
      </c>
      <c r="B1" s="55"/>
      <c r="C1" s="55"/>
      <c r="D1" s="55"/>
      <c r="E1" s="55"/>
      <c r="F1" s="55"/>
      <c r="G1" s="55"/>
      <c r="H1" s="55"/>
      <c r="I1" s="55"/>
      <c r="J1" s="55"/>
      <c r="K1" s="55"/>
      <c r="L1" s="55"/>
      <c r="M1" s="55"/>
      <c r="N1" s="55"/>
      <c r="O1" s="55"/>
    </row>
    <row r="2" spans="1:16" ht="22.05" customHeight="1" x14ac:dyDescent="0.3">
      <c r="A2" t="s">
        <v>21</v>
      </c>
      <c r="B2" t="s">
        <v>913</v>
      </c>
      <c r="C2" t="s">
        <v>1038</v>
      </c>
      <c r="D2" t="s">
        <v>1039</v>
      </c>
      <c r="E2" t="s">
        <v>1040</v>
      </c>
      <c r="F2" t="s">
        <v>32</v>
      </c>
      <c r="G2" t="s">
        <v>33</v>
      </c>
      <c r="H2" t="s">
        <v>1041</v>
      </c>
      <c r="I2" t="s">
        <v>1042</v>
      </c>
      <c r="J2" t="s">
        <v>1043</v>
      </c>
      <c r="K2" t="s">
        <v>1044</v>
      </c>
      <c r="L2" t="s">
        <v>1045</v>
      </c>
      <c r="M2" t="s">
        <v>986</v>
      </c>
      <c r="N2" t="s">
        <v>1046</v>
      </c>
      <c r="O2" t="s">
        <v>1047</v>
      </c>
      <c r="P2" t="s">
        <v>1048</v>
      </c>
    </row>
    <row r="3" spans="1:16" ht="16.05" customHeight="1" x14ac:dyDescent="0.3">
      <c r="A3" t="s">
        <v>62</v>
      </c>
      <c r="B3" t="s">
        <v>63</v>
      </c>
      <c r="C3" s="36" t="str">
        <f ca="1">IFERROR(ISCAM_Score!AL4,"—")</f>
        <v>—</v>
      </c>
      <c r="D3" t="str">
        <f t="shared" ref="D3:D34" ca="1" si="0">IF(C3="—","— Sin Inst.2",IF(C3&lt;34,"🔴  Crítico",IF(C3&lt;67,"🟡  Vulnerable","🟢  Preparado")))</f>
        <v>— Sin Inst.2</v>
      </c>
      <c r="E3" t="str">
        <f t="shared" ref="E3:E34" ca="1" si="1">IFERROR(RANK(C3,C:C,-1),"")</f>
        <v/>
      </c>
      <c r="F3">
        <f>IFERROR(MATRIZ_174!L3,0)</f>
        <v>2553623.31</v>
      </c>
      <c r="G3">
        <f>IFERROR(MATRIZ_174!M3,0)</f>
        <v>50</v>
      </c>
      <c r="H3" t="str">
        <f ca="1">IF(NORMALIZADO!CC3="","",NORMALIZADO!CC3)</f>
        <v/>
      </c>
      <c r="I3" t="str">
        <f>IF(NORMALIZADO!CF3="","",NORMALIZADO!CF3)</f>
        <v/>
      </c>
      <c r="J3" t="str">
        <f ca="1">IF(NORMALIZADO!CG3="","",NORMALIZADO!CG3)</f>
        <v/>
      </c>
      <c r="K3">
        <f>IFERROR(INDEX(MATRIZ_174!$U:$U,MATCH(A3,MATRIZ_174!$A:$A,0))*100,"")</f>
        <v>100</v>
      </c>
      <c r="L3">
        <f>IFERROR(MATRIZ_174!O3,0)</f>
        <v>0</v>
      </c>
      <c r="N3" t="str">
        <f ca="1">IFERROR(ISCAM_Score!AC4,"")</f>
        <v>⬜  Pendiente de instrumento</v>
      </c>
      <c r="O3" t="s">
        <v>64</v>
      </c>
      <c r="P3" t="str">
        <f>IFERROR(INDEX(MATRIZ_174!$C:$C,MATCH(A3,MATRIZ_174!$A:$A,0)),"")</f>
        <v>PUNO</v>
      </c>
    </row>
    <row r="4" spans="1:16" ht="16.05" customHeight="1" x14ac:dyDescent="0.3">
      <c r="A4" t="s">
        <v>70</v>
      </c>
      <c r="B4" t="s">
        <v>71</v>
      </c>
      <c r="C4" s="36" t="str">
        <f ca="1">IFERROR(ISCAM_Score!AL5,"—")</f>
        <v>—</v>
      </c>
      <c r="D4" t="str">
        <f t="shared" ca="1" si="0"/>
        <v>— Sin Inst.2</v>
      </c>
      <c r="E4" t="str">
        <f t="shared" ca="1" si="1"/>
        <v/>
      </c>
      <c r="F4">
        <f>IFERROR(MATRIZ_174!L4,0)</f>
        <v>0</v>
      </c>
      <c r="G4">
        <f>IFERROR(MATRIZ_174!M4,0)</f>
        <v>0</v>
      </c>
      <c r="H4" t="str">
        <f ca="1">IF(NORMALIZADO!CC4="","",NORMALIZADO!CC4)</f>
        <v/>
      </c>
      <c r="I4" t="str">
        <f>IF(NORMALIZADO!CF4="","",NORMALIZADO!CF4)</f>
        <v/>
      </c>
      <c r="J4" t="str">
        <f ca="1">IF(NORMALIZADO!CG4="","",NORMALIZADO!CG4)</f>
        <v/>
      </c>
      <c r="K4">
        <f>IFERROR(INDEX(MATRIZ_174!$U:$U,MATCH(A4,MATRIZ_174!$A:$A,0))*100,"")</f>
        <v>100</v>
      </c>
      <c r="L4">
        <f>IFERROR(MATRIZ_174!O4,0)</f>
        <v>0</v>
      </c>
      <c r="N4" t="str">
        <f ca="1">IFERROR(ISCAM_Score!AC5,"")</f>
        <v>⬜  Pendiente de instrumento</v>
      </c>
      <c r="O4" t="s">
        <v>72</v>
      </c>
      <c r="P4" t="str">
        <f>IFERROR(INDEX(MATRIZ_174!$C:$C,MATCH(A4,MATRIZ_174!$A:$A,0)),"")</f>
        <v>AYACUCHO</v>
      </c>
    </row>
    <row r="5" spans="1:16" ht="16.05" customHeight="1" x14ac:dyDescent="0.3">
      <c r="A5" t="s">
        <v>75</v>
      </c>
      <c r="B5" t="s">
        <v>76</v>
      </c>
      <c r="C5" s="36" t="str">
        <f ca="1">IFERROR(ISCAM_Score!AL6,"—")</f>
        <v>—</v>
      </c>
      <c r="D5" t="str">
        <f t="shared" ca="1" si="0"/>
        <v>— Sin Inst.2</v>
      </c>
      <c r="E5" t="str">
        <f t="shared" ca="1" si="1"/>
        <v/>
      </c>
      <c r="F5">
        <f>IFERROR(MATRIZ_174!L5,0)</f>
        <v>4801984.0599999996</v>
      </c>
      <c r="G5">
        <f>IFERROR(MATRIZ_174!M5,0)</f>
        <v>50</v>
      </c>
      <c r="H5" t="str">
        <f ca="1">IF(NORMALIZADO!CC5="","",NORMALIZADO!CC5)</f>
        <v/>
      </c>
      <c r="I5" t="str">
        <f>IF(NORMALIZADO!CF5="","",NORMALIZADO!CF5)</f>
        <v/>
      </c>
      <c r="J5" t="str">
        <f ca="1">IF(NORMALIZADO!CG5="","",NORMALIZADO!CG5)</f>
        <v/>
      </c>
      <c r="K5">
        <f>IFERROR(INDEX(MATRIZ_174!$U:$U,MATCH(A5,MATRIZ_174!$A:$A,0))*100,"")</f>
        <v>100</v>
      </c>
      <c r="L5">
        <f>IFERROR(MATRIZ_174!O5,0)</f>
        <v>0</v>
      </c>
      <c r="N5" t="str">
        <f ca="1">IFERROR(ISCAM_Score!AC6,"")</f>
        <v>⬜  Pendiente de instrumento</v>
      </c>
      <c r="O5" t="s">
        <v>77</v>
      </c>
      <c r="P5" t="str">
        <f>IFERROR(INDEX(MATRIZ_174!$C:$C,MATCH(A5,MATRIZ_174!$A:$A,0)),"")</f>
        <v>JUNIN</v>
      </c>
    </row>
    <row r="6" spans="1:16" ht="16.05" customHeight="1" x14ac:dyDescent="0.3">
      <c r="A6" t="s">
        <v>78</v>
      </c>
      <c r="B6" t="s">
        <v>79</v>
      </c>
      <c r="C6" s="36" t="str">
        <f ca="1">IFERROR(ISCAM_Score!AL7,"—")</f>
        <v>—</v>
      </c>
      <c r="D6" t="str">
        <f t="shared" ca="1" si="0"/>
        <v>— Sin Inst.2</v>
      </c>
      <c r="E6" t="str">
        <f t="shared" ca="1" si="1"/>
        <v/>
      </c>
      <c r="F6">
        <f>IFERROR(MATRIZ_174!L6,0)</f>
        <v>0</v>
      </c>
      <c r="G6">
        <f>IFERROR(MATRIZ_174!M6,0)</f>
        <v>0</v>
      </c>
      <c r="H6" t="str">
        <f ca="1">IF(NORMALIZADO!CC6="","",NORMALIZADO!CC6)</f>
        <v/>
      </c>
      <c r="I6" t="str">
        <f>IF(NORMALIZADO!CF6="","",NORMALIZADO!CF6)</f>
        <v/>
      </c>
      <c r="J6" t="str">
        <f ca="1">IF(NORMALIZADO!CG6="","",NORMALIZADO!CG6)</f>
        <v/>
      </c>
      <c r="K6">
        <f>IFERROR(INDEX(MATRIZ_174!$U:$U,MATCH(A6,MATRIZ_174!$A:$A,0))*100,"")</f>
        <v>100</v>
      </c>
      <c r="L6">
        <f>IFERROR(MATRIZ_174!O6,0)</f>
        <v>0</v>
      </c>
      <c r="N6" t="str">
        <f ca="1">IFERROR(ISCAM_Score!AC7,"")</f>
        <v>⬜  Pendiente de instrumento</v>
      </c>
      <c r="O6" t="s">
        <v>80</v>
      </c>
      <c r="P6" t="str">
        <f>IFERROR(INDEX(MATRIZ_174!$C:$C,MATCH(A6,MATRIZ_174!$A:$A,0)),"")</f>
        <v>CUSCO</v>
      </c>
    </row>
    <row r="7" spans="1:16" ht="16.05" customHeight="1" x14ac:dyDescent="0.3">
      <c r="A7" t="s">
        <v>83</v>
      </c>
      <c r="B7" t="s">
        <v>84</v>
      </c>
      <c r="C7" s="36" t="str">
        <f ca="1">IFERROR(ISCAM_Score!AL8,"—")</f>
        <v>—</v>
      </c>
      <c r="D7" t="str">
        <f t="shared" ca="1" si="0"/>
        <v>— Sin Inst.2</v>
      </c>
      <c r="E7" t="str">
        <f t="shared" ca="1" si="1"/>
        <v/>
      </c>
      <c r="F7">
        <f>IFERROR(MATRIZ_174!L7,0)</f>
        <v>0</v>
      </c>
      <c r="G7">
        <f>IFERROR(MATRIZ_174!M7,0)</f>
        <v>0</v>
      </c>
      <c r="H7" t="str">
        <f ca="1">IF(NORMALIZADO!CC7="","",NORMALIZADO!CC7)</f>
        <v/>
      </c>
      <c r="I7" t="str">
        <f>IF(NORMALIZADO!CF7="","",NORMALIZADO!CF7)</f>
        <v/>
      </c>
      <c r="J7" t="str">
        <f ca="1">IF(NORMALIZADO!CG7="","",NORMALIZADO!CG7)</f>
        <v/>
      </c>
      <c r="K7">
        <f>IFERROR(INDEX(MATRIZ_174!$U:$U,MATCH(A7,MATRIZ_174!$A:$A,0))*100,"")</f>
        <v>100</v>
      </c>
      <c r="L7">
        <f>IFERROR(MATRIZ_174!O7,0)</f>
        <v>0</v>
      </c>
      <c r="N7" t="str">
        <f ca="1">IFERROR(ISCAM_Score!AC8,"")</f>
        <v>⬜  Pendiente de instrumento</v>
      </c>
      <c r="O7" t="s">
        <v>80</v>
      </c>
      <c r="P7" t="str">
        <f>IFERROR(INDEX(MATRIZ_174!$C:$C,MATCH(A7,MATRIZ_174!$A:$A,0)),"")</f>
        <v>CUSCO</v>
      </c>
    </row>
    <row r="8" spans="1:16" ht="16.05" customHeight="1" x14ac:dyDescent="0.3">
      <c r="A8" t="s">
        <v>86</v>
      </c>
      <c r="B8" t="s">
        <v>87</v>
      </c>
      <c r="C8" s="36" t="str">
        <f ca="1">IFERROR(ISCAM_Score!AL9,"—")</f>
        <v>—</v>
      </c>
      <c r="D8" t="str">
        <f t="shared" ca="1" si="0"/>
        <v>— Sin Inst.2</v>
      </c>
      <c r="E8" t="str">
        <f t="shared" ca="1" si="1"/>
        <v/>
      </c>
      <c r="F8">
        <f>IFERROR(MATRIZ_174!L8,0)</f>
        <v>1238541.75</v>
      </c>
      <c r="G8">
        <f>IFERROR(MATRIZ_174!M8,0)</f>
        <v>50</v>
      </c>
      <c r="H8" t="str">
        <f ca="1">IF(NORMALIZADO!CC8="","",NORMALIZADO!CC8)</f>
        <v/>
      </c>
      <c r="I8" t="str">
        <f>IF(NORMALIZADO!CF8="","",NORMALIZADO!CF8)</f>
        <v/>
      </c>
      <c r="J8" t="str">
        <f ca="1">IF(NORMALIZADO!CG8="","",NORMALIZADO!CG8)</f>
        <v/>
      </c>
      <c r="K8">
        <f>IFERROR(INDEX(MATRIZ_174!$U:$U,MATCH(A8,MATRIZ_174!$A:$A,0))*100,"")</f>
        <v>100</v>
      </c>
      <c r="L8">
        <f>IFERROR(MATRIZ_174!O8,0)</f>
        <v>0</v>
      </c>
      <c r="N8" t="str">
        <f ca="1">IFERROR(ISCAM_Score!AC9,"")</f>
        <v>⬜  Pendiente de instrumento</v>
      </c>
      <c r="O8" t="s">
        <v>80</v>
      </c>
      <c r="P8" t="str">
        <f>IFERROR(INDEX(MATRIZ_174!$C:$C,MATCH(A8,MATRIZ_174!$A:$A,0)),"")</f>
        <v>CUSCO</v>
      </c>
    </row>
    <row r="9" spans="1:16" ht="16.05" customHeight="1" x14ac:dyDescent="0.3">
      <c r="A9" t="s">
        <v>88</v>
      </c>
      <c r="B9" t="s">
        <v>89</v>
      </c>
      <c r="C9" s="36" t="str">
        <f ca="1">IFERROR(ISCAM_Score!AL10,"—")</f>
        <v>—</v>
      </c>
      <c r="D9" t="str">
        <f t="shared" ca="1" si="0"/>
        <v>— Sin Inst.2</v>
      </c>
      <c r="E9" t="str">
        <f t="shared" ca="1" si="1"/>
        <v/>
      </c>
      <c r="F9">
        <f>IFERROR(MATRIZ_174!L9,0)</f>
        <v>0</v>
      </c>
      <c r="G9">
        <f>IFERROR(MATRIZ_174!M9,0)</f>
        <v>0</v>
      </c>
      <c r="H9" t="str">
        <f ca="1">IF(NORMALIZADO!CC9="","",NORMALIZADO!CC9)</f>
        <v/>
      </c>
      <c r="I9" t="str">
        <f>IF(NORMALIZADO!CF9="","",NORMALIZADO!CF9)</f>
        <v/>
      </c>
      <c r="J9" t="str">
        <f ca="1">IF(NORMALIZADO!CG9="","",NORMALIZADO!CG9)</f>
        <v/>
      </c>
      <c r="K9">
        <f>IFERROR(INDEX(MATRIZ_174!$U:$U,MATCH(A9,MATRIZ_174!$A:$A,0))*100,"")</f>
        <v>100</v>
      </c>
      <c r="L9">
        <f>IFERROR(MATRIZ_174!O9,0)</f>
        <v>0</v>
      </c>
      <c r="N9" t="str">
        <f ca="1">IFERROR(ISCAM_Score!AC10,"")</f>
        <v>⬜  Pendiente de instrumento</v>
      </c>
      <c r="O9" t="s">
        <v>80</v>
      </c>
      <c r="P9" t="str">
        <f>IFERROR(INDEX(MATRIZ_174!$C:$C,MATCH(A9,MATRIZ_174!$A:$A,0)),"")</f>
        <v>CUSCO</v>
      </c>
    </row>
    <row r="10" spans="1:16" ht="16.05" customHeight="1" x14ac:dyDescent="0.3">
      <c r="A10" t="s">
        <v>90</v>
      </c>
      <c r="B10" t="s">
        <v>91</v>
      </c>
      <c r="C10" s="36" t="str">
        <f ca="1">IFERROR(ISCAM_Score!AL11,"—")</f>
        <v>—</v>
      </c>
      <c r="D10" t="str">
        <f t="shared" ca="1" si="0"/>
        <v>— Sin Inst.2</v>
      </c>
      <c r="E10" t="str">
        <f t="shared" ca="1" si="1"/>
        <v/>
      </c>
      <c r="F10">
        <f>IFERROR(MATRIZ_174!L10,0)</f>
        <v>0</v>
      </c>
      <c r="G10">
        <f>IFERROR(MATRIZ_174!M10,0)</f>
        <v>0</v>
      </c>
      <c r="H10" t="str">
        <f ca="1">IF(NORMALIZADO!CC10="","",NORMALIZADO!CC10)</f>
        <v/>
      </c>
      <c r="I10" t="str">
        <f>IF(NORMALIZADO!CF10="","",NORMALIZADO!CF10)</f>
        <v/>
      </c>
      <c r="J10" t="str">
        <f ca="1">IF(NORMALIZADO!CG10="","",NORMALIZADO!CG10)</f>
        <v/>
      </c>
      <c r="K10">
        <f>IFERROR(INDEX(MATRIZ_174!$U:$U,MATCH(A10,MATRIZ_174!$A:$A,0))*100,"")</f>
        <v>100</v>
      </c>
      <c r="L10">
        <f>IFERROR(MATRIZ_174!O10,0)</f>
        <v>0</v>
      </c>
      <c r="N10" t="str">
        <f ca="1">IFERROR(ISCAM_Score!AC11,"")</f>
        <v>⬜  Pendiente de instrumento</v>
      </c>
      <c r="O10" t="s">
        <v>80</v>
      </c>
      <c r="P10" t="str">
        <f>IFERROR(INDEX(MATRIZ_174!$C:$C,MATCH(A10,MATRIZ_174!$A:$A,0)),"")</f>
        <v>CUSCO</v>
      </c>
    </row>
    <row r="11" spans="1:16" ht="16.05" customHeight="1" x14ac:dyDescent="0.3">
      <c r="A11" t="s">
        <v>93</v>
      </c>
      <c r="B11" t="s">
        <v>94</v>
      </c>
      <c r="C11" s="36" t="str">
        <f ca="1">IFERROR(ISCAM_Score!AL12,"—")</f>
        <v>—</v>
      </c>
      <c r="D11" t="str">
        <f t="shared" ca="1" si="0"/>
        <v>— Sin Inst.2</v>
      </c>
      <c r="E11" t="str">
        <f t="shared" ca="1" si="1"/>
        <v/>
      </c>
      <c r="F11">
        <f>IFERROR(MATRIZ_174!L11,0)</f>
        <v>0</v>
      </c>
      <c r="G11">
        <f>IFERROR(MATRIZ_174!M11,0)</f>
        <v>0</v>
      </c>
      <c r="H11" t="str">
        <f ca="1">IF(NORMALIZADO!CC11="","",NORMALIZADO!CC11)</f>
        <v/>
      </c>
      <c r="I11" t="str">
        <f>IF(NORMALIZADO!CF11="","",NORMALIZADO!CF11)</f>
        <v/>
      </c>
      <c r="J11" t="str">
        <f ca="1">IF(NORMALIZADO!CG11="","",NORMALIZADO!CG11)</f>
        <v/>
      </c>
      <c r="K11">
        <f>IFERROR(INDEX(MATRIZ_174!$U:$U,MATCH(A11,MATRIZ_174!$A:$A,0))*100,"")</f>
        <v>100</v>
      </c>
      <c r="L11">
        <f>IFERROR(MATRIZ_174!O11,0)</f>
        <v>0</v>
      </c>
      <c r="N11" t="str">
        <f ca="1">IFERROR(ISCAM_Score!AC12,"")</f>
        <v>⬜  Pendiente de instrumento</v>
      </c>
      <c r="O11" t="s">
        <v>80</v>
      </c>
      <c r="P11" t="str">
        <f>IFERROR(INDEX(MATRIZ_174!$C:$C,MATCH(A11,MATRIZ_174!$A:$A,0)),"")</f>
        <v>CUSCO</v>
      </c>
    </row>
    <row r="12" spans="1:16" ht="16.05" customHeight="1" x14ac:dyDescent="0.3">
      <c r="A12" t="s">
        <v>95</v>
      </c>
      <c r="B12" t="s">
        <v>96</v>
      </c>
      <c r="C12" s="36" t="str">
        <f ca="1">IFERROR(ISCAM_Score!AL13,"—")</f>
        <v>—</v>
      </c>
      <c r="D12" t="str">
        <f t="shared" ca="1" si="0"/>
        <v>— Sin Inst.2</v>
      </c>
      <c r="E12" t="str">
        <f t="shared" ca="1" si="1"/>
        <v/>
      </c>
      <c r="F12">
        <f>IFERROR(MATRIZ_174!L12,0)</f>
        <v>894391.27</v>
      </c>
      <c r="G12">
        <f>IFERROR(MATRIZ_174!M12,0)</f>
        <v>20.100000000000001</v>
      </c>
      <c r="H12" t="str">
        <f ca="1">IF(NORMALIZADO!CC12="","",NORMALIZADO!CC12)</f>
        <v/>
      </c>
      <c r="I12" t="str">
        <f>IF(NORMALIZADO!CF12="","",NORMALIZADO!CF12)</f>
        <v/>
      </c>
      <c r="J12" t="str">
        <f ca="1">IF(NORMALIZADO!CG12="","",NORMALIZADO!CG12)</f>
        <v/>
      </c>
      <c r="K12">
        <f>IFERROR(INDEX(MATRIZ_174!$U:$U,MATCH(A12,MATRIZ_174!$A:$A,0))*100,"")</f>
        <v>75</v>
      </c>
      <c r="L12">
        <f>IFERROR(MATRIZ_174!O12,0)</f>
        <v>0</v>
      </c>
      <c r="N12" t="str">
        <f ca="1">IFERROR(ISCAM_Score!AC13,"")</f>
        <v>⬜  Pendiente de instrumento</v>
      </c>
      <c r="O12" t="s">
        <v>80</v>
      </c>
      <c r="P12" t="str">
        <f>IFERROR(INDEX(MATRIZ_174!$C:$C,MATCH(A12,MATRIZ_174!$A:$A,0)),"")</f>
        <v>CUSCO</v>
      </c>
    </row>
    <row r="13" spans="1:16" ht="16.05" customHeight="1" x14ac:dyDescent="0.3">
      <c r="A13" t="s">
        <v>98</v>
      </c>
      <c r="B13" t="s">
        <v>99</v>
      </c>
      <c r="C13" s="36" t="str">
        <f ca="1">IFERROR(ISCAM_Score!AL14,"—")</f>
        <v>—</v>
      </c>
      <c r="D13" t="str">
        <f t="shared" ca="1" si="0"/>
        <v>— Sin Inst.2</v>
      </c>
      <c r="E13" t="str">
        <f t="shared" ca="1" si="1"/>
        <v/>
      </c>
      <c r="F13">
        <f>IFERROR(MATRIZ_174!L13,0)</f>
        <v>0</v>
      </c>
      <c r="G13">
        <f>IFERROR(MATRIZ_174!M13,0)</f>
        <v>0</v>
      </c>
      <c r="H13" t="str">
        <f ca="1">IF(NORMALIZADO!CC13="","",NORMALIZADO!CC13)</f>
        <v/>
      </c>
      <c r="I13" t="str">
        <f>IF(NORMALIZADO!CF13="","",NORMALIZADO!CF13)</f>
        <v/>
      </c>
      <c r="J13" t="str">
        <f ca="1">IF(NORMALIZADO!CG13="","",NORMALIZADO!CG13)</f>
        <v/>
      </c>
      <c r="K13">
        <f>IFERROR(INDEX(MATRIZ_174!$U:$U,MATCH(A13,MATRIZ_174!$A:$A,0))*100,"")</f>
        <v>100</v>
      </c>
      <c r="L13">
        <f>IFERROR(MATRIZ_174!O13,0)</f>
        <v>0</v>
      </c>
      <c r="N13" t="str">
        <f ca="1">IFERROR(ISCAM_Score!AC14,"")</f>
        <v>⬜  Pendiente de instrumento</v>
      </c>
      <c r="O13" t="s">
        <v>80</v>
      </c>
      <c r="P13" t="str">
        <f>IFERROR(INDEX(MATRIZ_174!$C:$C,MATCH(A13,MATRIZ_174!$A:$A,0)),"")</f>
        <v>CUSCO</v>
      </c>
    </row>
    <row r="14" spans="1:16" ht="16.05" customHeight="1" x14ac:dyDescent="0.3">
      <c r="A14" t="s">
        <v>101</v>
      </c>
      <c r="B14" t="s">
        <v>102</v>
      </c>
      <c r="C14" s="36" t="str">
        <f ca="1">IFERROR(ISCAM_Score!AL15,"—")</f>
        <v>—</v>
      </c>
      <c r="D14" t="str">
        <f t="shared" ca="1" si="0"/>
        <v>— Sin Inst.2</v>
      </c>
      <c r="E14" t="str">
        <f t="shared" ca="1" si="1"/>
        <v/>
      </c>
      <c r="F14">
        <f>IFERROR(MATRIZ_174!L14,0)</f>
        <v>2015347.33</v>
      </c>
      <c r="G14">
        <f>IFERROR(MATRIZ_174!M14,0)</f>
        <v>50</v>
      </c>
      <c r="H14" t="str">
        <f ca="1">IF(NORMALIZADO!CC14="","",NORMALIZADO!CC14)</f>
        <v/>
      </c>
      <c r="I14" t="str">
        <f>IF(NORMALIZADO!CF14="","",NORMALIZADO!CF14)</f>
        <v/>
      </c>
      <c r="J14" t="str">
        <f ca="1">IF(NORMALIZADO!CG14="","",NORMALIZADO!CG14)</f>
        <v/>
      </c>
      <c r="K14">
        <f>IFERROR(INDEX(MATRIZ_174!$U:$U,MATCH(A14,MATRIZ_174!$A:$A,0))*100,"")</f>
        <v>100</v>
      </c>
      <c r="L14">
        <f>IFERROR(MATRIZ_174!O14,0)</f>
        <v>0</v>
      </c>
      <c r="N14" t="str">
        <f ca="1">IFERROR(ISCAM_Score!AC15,"")</f>
        <v>⬜  Pendiente de instrumento</v>
      </c>
      <c r="O14" t="s">
        <v>72</v>
      </c>
      <c r="P14" t="str">
        <f>IFERROR(INDEX(MATRIZ_174!$C:$C,MATCH(A14,MATRIZ_174!$A:$A,0)),"")</f>
        <v>AYACUCHO</v>
      </c>
    </row>
    <row r="15" spans="1:16" ht="16.05" customHeight="1" x14ac:dyDescent="0.3">
      <c r="A15" t="s">
        <v>103</v>
      </c>
      <c r="B15" t="s">
        <v>104</v>
      </c>
      <c r="C15" s="36" t="str">
        <f ca="1">IFERROR(ISCAM_Score!AL16,"—")</f>
        <v>—</v>
      </c>
      <c r="D15" t="str">
        <f t="shared" ca="1" si="0"/>
        <v>— Sin Inst.2</v>
      </c>
      <c r="E15" t="str">
        <f t="shared" ca="1" si="1"/>
        <v/>
      </c>
      <c r="F15">
        <f>IFERROR(MATRIZ_174!L15,0)</f>
        <v>0</v>
      </c>
      <c r="G15">
        <f>IFERROR(MATRIZ_174!M15,0)</f>
        <v>0</v>
      </c>
      <c r="H15" t="str">
        <f ca="1">IF(NORMALIZADO!CC15="","",NORMALIZADO!CC15)</f>
        <v/>
      </c>
      <c r="I15" t="str">
        <f>IF(NORMALIZADO!CF15="","",NORMALIZADO!CF15)</f>
        <v/>
      </c>
      <c r="J15" t="str">
        <f ca="1">IF(NORMALIZADO!CG15="","",NORMALIZADO!CG15)</f>
        <v/>
      </c>
      <c r="K15">
        <f>IFERROR(INDEX(MATRIZ_174!$U:$U,MATCH(A15,MATRIZ_174!$A:$A,0))*100,"")</f>
        <v>100</v>
      </c>
      <c r="L15">
        <f>IFERROR(MATRIZ_174!O15,0)</f>
        <v>0</v>
      </c>
      <c r="N15" t="str">
        <f ca="1">IFERROR(ISCAM_Score!AC16,"")</f>
        <v>⬜  Pendiente de instrumento</v>
      </c>
      <c r="O15" t="s">
        <v>64</v>
      </c>
      <c r="P15" t="str">
        <f>IFERROR(INDEX(MATRIZ_174!$C:$C,MATCH(A15,MATRIZ_174!$A:$A,0)),"")</f>
        <v>PUNO</v>
      </c>
    </row>
    <row r="16" spans="1:16" ht="16.05" customHeight="1" x14ac:dyDescent="0.3">
      <c r="A16" t="s">
        <v>105</v>
      </c>
      <c r="B16" t="s">
        <v>106</v>
      </c>
      <c r="C16" s="36" t="str">
        <f ca="1">IFERROR(ISCAM_Score!AL17,"—")</f>
        <v>—</v>
      </c>
      <c r="D16" t="str">
        <f t="shared" ca="1" si="0"/>
        <v>— Sin Inst.2</v>
      </c>
      <c r="E16" t="str">
        <f t="shared" ca="1" si="1"/>
        <v/>
      </c>
      <c r="F16">
        <f>IFERROR(MATRIZ_174!L16,0)</f>
        <v>0</v>
      </c>
      <c r="G16">
        <f>IFERROR(MATRIZ_174!M16,0)</f>
        <v>0</v>
      </c>
      <c r="H16" t="str">
        <f ca="1">IF(NORMALIZADO!CC16="","",NORMALIZADO!CC16)</f>
        <v/>
      </c>
      <c r="I16" t="str">
        <f>IF(NORMALIZADO!CF16="","",NORMALIZADO!CF16)</f>
        <v/>
      </c>
      <c r="J16" t="str">
        <f ca="1">IF(NORMALIZADO!CG16="","",NORMALIZADO!CG16)</f>
        <v/>
      </c>
      <c r="K16">
        <f>IFERROR(INDEX(MATRIZ_174!$U:$U,MATCH(A16,MATRIZ_174!$A:$A,0))*100,"")</f>
        <v>100</v>
      </c>
      <c r="L16">
        <f>IFERROR(MATRIZ_174!O16,0)</f>
        <v>0</v>
      </c>
      <c r="N16" t="str">
        <f ca="1">IFERROR(ISCAM_Score!AC17,"")</f>
        <v>⬜  Pendiente de instrumento</v>
      </c>
      <c r="O16" t="s">
        <v>107</v>
      </c>
      <c r="P16" t="str">
        <f>IFERROR(INDEX(MATRIZ_174!$C:$C,MATCH(A16,MATRIZ_174!$A:$A,0)),"")</f>
        <v>PIURA</v>
      </c>
    </row>
    <row r="17" spans="1:16" ht="16.05" customHeight="1" x14ac:dyDescent="0.3">
      <c r="A17" t="s">
        <v>108</v>
      </c>
      <c r="B17" t="s">
        <v>109</v>
      </c>
      <c r="C17" s="36" t="str">
        <f ca="1">IFERROR(ISCAM_Score!AL18,"—")</f>
        <v>—</v>
      </c>
      <c r="D17" t="str">
        <f t="shared" ca="1" si="0"/>
        <v>— Sin Inst.2</v>
      </c>
      <c r="E17" t="str">
        <f t="shared" ca="1" si="1"/>
        <v/>
      </c>
      <c r="F17">
        <f>IFERROR(MATRIZ_174!L17,0)</f>
        <v>0</v>
      </c>
      <c r="G17">
        <f>IFERROR(MATRIZ_174!M17,0)</f>
        <v>0</v>
      </c>
      <c r="H17" t="str">
        <f ca="1">IF(NORMALIZADO!CC17="","",NORMALIZADO!CC17)</f>
        <v/>
      </c>
      <c r="I17" t="str">
        <f>IF(NORMALIZADO!CF17="","",NORMALIZADO!CF17)</f>
        <v/>
      </c>
      <c r="J17" t="str">
        <f ca="1">IF(NORMALIZADO!CG17="","",NORMALIZADO!CG17)</f>
        <v/>
      </c>
      <c r="K17">
        <f>IFERROR(INDEX(MATRIZ_174!$U:$U,MATCH(A17,MATRIZ_174!$A:$A,0))*100,"")</f>
        <v>100</v>
      </c>
      <c r="L17">
        <f>IFERROR(MATRIZ_174!O17,0)</f>
        <v>0</v>
      </c>
      <c r="N17" t="str">
        <f ca="1">IFERROR(ISCAM_Score!AC18,"")</f>
        <v>⬜  Pendiente de instrumento</v>
      </c>
      <c r="O17" t="s">
        <v>80</v>
      </c>
      <c r="P17" t="str">
        <f>IFERROR(INDEX(MATRIZ_174!$C:$C,MATCH(A17,MATRIZ_174!$A:$A,0)),"")</f>
        <v>CUSCO</v>
      </c>
    </row>
    <row r="18" spans="1:16" ht="16.05" customHeight="1" x14ac:dyDescent="0.3">
      <c r="A18" t="s">
        <v>111</v>
      </c>
      <c r="B18" t="s">
        <v>112</v>
      </c>
      <c r="C18" s="36" t="str">
        <f ca="1">IFERROR(ISCAM_Score!AL19,"—")</f>
        <v>—</v>
      </c>
      <c r="D18" t="str">
        <f t="shared" ca="1" si="0"/>
        <v>— Sin Inst.2</v>
      </c>
      <c r="E18" t="str">
        <f t="shared" ca="1" si="1"/>
        <v/>
      </c>
      <c r="F18">
        <f>IFERROR(MATRIZ_174!L18,0)</f>
        <v>0</v>
      </c>
      <c r="G18">
        <f>IFERROR(MATRIZ_174!M18,0)</f>
        <v>0</v>
      </c>
      <c r="H18" t="str">
        <f ca="1">IF(NORMALIZADO!CC18="","",NORMALIZADO!CC18)</f>
        <v/>
      </c>
      <c r="I18" t="str">
        <f>IF(NORMALIZADO!CF18="","",NORMALIZADO!CF18)</f>
        <v/>
      </c>
      <c r="J18" t="str">
        <f ca="1">IF(NORMALIZADO!CG18="","",NORMALIZADO!CG18)</f>
        <v/>
      </c>
      <c r="K18">
        <f>IFERROR(INDEX(MATRIZ_174!$U:$U,MATCH(A18,MATRIZ_174!$A:$A,0))*100,"")</f>
        <v>100</v>
      </c>
      <c r="L18">
        <f>IFERROR(MATRIZ_174!O18,0)</f>
        <v>0</v>
      </c>
      <c r="N18" t="str">
        <f ca="1">IFERROR(ISCAM_Score!AC19,"")</f>
        <v>⬜  Pendiente de instrumento</v>
      </c>
      <c r="O18" t="s">
        <v>113</v>
      </c>
      <c r="P18" t="str">
        <f>IFERROR(INDEX(MATRIZ_174!$C:$C,MATCH(A18,MATRIZ_174!$A:$A,0)),"")</f>
        <v>UCAYALI</v>
      </c>
    </row>
    <row r="19" spans="1:16" ht="16.05" customHeight="1" x14ac:dyDescent="0.3">
      <c r="A19" t="s">
        <v>114</v>
      </c>
      <c r="B19" t="s">
        <v>115</v>
      </c>
      <c r="C19" s="36" t="str">
        <f ca="1">IFERROR(ISCAM_Score!AL20,"—")</f>
        <v>—</v>
      </c>
      <c r="D19" t="str">
        <f t="shared" ca="1" si="0"/>
        <v>— Sin Inst.2</v>
      </c>
      <c r="E19" t="str">
        <f t="shared" ca="1" si="1"/>
        <v/>
      </c>
      <c r="F19">
        <f>IFERROR(MATRIZ_174!L19,0)</f>
        <v>4535378.4400000004</v>
      </c>
      <c r="G19">
        <f>IFERROR(MATRIZ_174!M19,0)</f>
        <v>50</v>
      </c>
      <c r="H19" t="str">
        <f ca="1">IF(NORMALIZADO!CC19="","",NORMALIZADO!CC19)</f>
        <v/>
      </c>
      <c r="I19" t="str">
        <f>IF(NORMALIZADO!CF19="","",NORMALIZADO!CF19)</f>
        <v/>
      </c>
      <c r="J19" t="str">
        <f ca="1">IF(NORMALIZADO!CG19="","",NORMALIZADO!CG19)</f>
        <v/>
      </c>
      <c r="K19">
        <f>IFERROR(INDEX(MATRIZ_174!$U:$U,MATCH(A19,MATRIZ_174!$A:$A,0))*100,"")</f>
        <v>100</v>
      </c>
      <c r="L19">
        <f>IFERROR(MATRIZ_174!O19,0)</f>
        <v>0</v>
      </c>
      <c r="N19" t="str">
        <f ca="1">IFERROR(ISCAM_Score!AC20,"")</f>
        <v>⬜  Pendiente de instrumento</v>
      </c>
      <c r="O19" t="s">
        <v>116</v>
      </c>
      <c r="P19" t="str">
        <f>IFERROR(INDEX(MATRIZ_174!$C:$C,MATCH(A19,MATRIZ_174!$A:$A,0)),"")</f>
        <v>AMAZONAS</v>
      </c>
    </row>
    <row r="20" spans="1:16" ht="16.05" customHeight="1" x14ac:dyDescent="0.3">
      <c r="A20" t="s">
        <v>117</v>
      </c>
      <c r="B20" t="s">
        <v>118</v>
      </c>
      <c r="C20" s="36" t="str">
        <f ca="1">IFERROR(ISCAM_Score!AL21,"—")</f>
        <v>—</v>
      </c>
      <c r="D20" t="str">
        <f t="shared" ca="1" si="0"/>
        <v>— Sin Inst.2</v>
      </c>
      <c r="E20" t="str">
        <f t="shared" ca="1" si="1"/>
        <v/>
      </c>
      <c r="F20">
        <f>IFERROR(MATRIZ_174!L20,0)</f>
        <v>0</v>
      </c>
      <c r="G20">
        <f>IFERROR(MATRIZ_174!M20,0)</f>
        <v>0</v>
      </c>
      <c r="H20" t="str">
        <f ca="1">IF(NORMALIZADO!CC20="","",NORMALIZADO!CC20)</f>
        <v/>
      </c>
      <c r="I20" t="str">
        <f>IF(NORMALIZADO!CF20="","",NORMALIZADO!CF20)</f>
        <v/>
      </c>
      <c r="J20" t="str">
        <f ca="1">IF(NORMALIZADO!CG20="","",NORMALIZADO!CG20)</f>
        <v/>
      </c>
      <c r="K20">
        <f>IFERROR(INDEX(MATRIZ_174!$U:$U,MATCH(A20,MATRIZ_174!$A:$A,0))*100,"")</f>
        <v>100</v>
      </c>
      <c r="L20">
        <f>IFERROR(MATRIZ_174!O20,0)</f>
        <v>0</v>
      </c>
      <c r="N20" t="str">
        <f ca="1">IFERROR(ISCAM_Score!AC21,"")</f>
        <v>⬜  Pendiente de instrumento</v>
      </c>
      <c r="O20" t="s">
        <v>80</v>
      </c>
      <c r="P20" t="str">
        <f>IFERROR(INDEX(MATRIZ_174!$C:$C,MATCH(A20,MATRIZ_174!$A:$A,0)),"")</f>
        <v>CUSCO</v>
      </c>
    </row>
    <row r="21" spans="1:16" ht="16.05" customHeight="1" x14ac:dyDescent="0.3">
      <c r="A21" t="s">
        <v>119</v>
      </c>
      <c r="B21" t="s">
        <v>120</v>
      </c>
      <c r="C21" s="36" t="str">
        <f ca="1">IFERROR(ISCAM_Score!AL22,"—")</f>
        <v>—</v>
      </c>
      <c r="D21" t="str">
        <f t="shared" ca="1" si="0"/>
        <v>— Sin Inst.2</v>
      </c>
      <c r="E21" t="str">
        <f t="shared" ca="1" si="1"/>
        <v/>
      </c>
      <c r="F21">
        <f>IFERROR(MATRIZ_174!L21,0)</f>
        <v>0</v>
      </c>
      <c r="G21">
        <f>IFERROR(MATRIZ_174!M21,0)</f>
        <v>0</v>
      </c>
      <c r="H21" t="str">
        <f ca="1">IF(NORMALIZADO!CC21="","",NORMALIZADO!CC21)</f>
        <v/>
      </c>
      <c r="I21" t="str">
        <f>IF(NORMALIZADO!CF21="","",NORMALIZADO!CF21)</f>
        <v/>
      </c>
      <c r="J21" t="str">
        <f ca="1">IF(NORMALIZADO!CG21="","",NORMALIZADO!CG21)</f>
        <v/>
      </c>
      <c r="K21">
        <f>IFERROR(INDEX(MATRIZ_174!$U:$U,MATCH(A21,MATRIZ_174!$A:$A,0))*100,"")</f>
        <v>100</v>
      </c>
      <c r="L21">
        <f>IFERROR(MATRIZ_174!O21,0)</f>
        <v>0</v>
      </c>
      <c r="N21" t="str">
        <f ca="1">IFERROR(ISCAM_Score!AC22,"")</f>
        <v>⬜  Pendiente de instrumento</v>
      </c>
      <c r="O21" t="s">
        <v>113</v>
      </c>
      <c r="P21" t="str">
        <f>IFERROR(INDEX(MATRIZ_174!$C:$C,MATCH(A21,MATRIZ_174!$A:$A,0)),"")</f>
        <v>UCAYALI</v>
      </c>
    </row>
    <row r="22" spans="1:16" ht="16.05" customHeight="1" x14ac:dyDescent="0.3">
      <c r="A22" t="s">
        <v>121</v>
      </c>
      <c r="B22" t="s">
        <v>122</v>
      </c>
      <c r="C22" s="36" t="str">
        <f ca="1">IFERROR(ISCAM_Score!AL23,"—")</f>
        <v>—</v>
      </c>
      <c r="D22" t="str">
        <f t="shared" ca="1" si="0"/>
        <v>— Sin Inst.2</v>
      </c>
      <c r="E22" t="str">
        <f t="shared" ca="1" si="1"/>
        <v/>
      </c>
      <c r="F22">
        <f>IFERROR(MATRIZ_174!L22,0)</f>
        <v>0</v>
      </c>
      <c r="G22">
        <f>IFERROR(MATRIZ_174!M22,0)</f>
        <v>0</v>
      </c>
      <c r="H22" t="str">
        <f ca="1">IF(NORMALIZADO!CC22="","",NORMALIZADO!CC22)</f>
        <v/>
      </c>
      <c r="I22" t="str">
        <f>IF(NORMALIZADO!CF22="","",NORMALIZADO!CF22)</f>
        <v/>
      </c>
      <c r="J22" t="str">
        <f ca="1">IF(NORMALIZADO!CG22="","",NORMALIZADO!CG22)</f>
        <v/>
      </c>
      <c r="K22">
        <f>IFERROR(INDEX(MATRIZ_174!$U:$U,MATCH(A22,MATRIZ_174!$A:$A,0))*100,"")</f>
        <v>100</v>
      </c>
      <c r="L22">
        <f>IFERROR(MATRIZ_174!O22,0)</f>
        <v>0</v>
      </c>
      <c r="N22" t="str">
        <f ca="1">IFERROR(ISCAM_Score!AC23,"")</f>
        <v>⬜  Pendiente de instrumento</v>
      </c>
      <c r="O22" t="s">
        <v>123</v>
      </c>
      <c r="P22" t="str">
        <f>IFERROR(INDEX(MATRIZ_174!$C:$C,MATCH(A22,MATRIZ_174!$A:$A,0)),"")</f>
        <v>HUANUCO</v>
      </c>
    </row>
    <row r="23" spans="1:16" ht="16.05" customHeight="1" x14ac:dyDescent="0.3">
      <c r="A23" t="s">
        <v>124</v>
      </c>
      <c r="B23" t="s">
        <v>125</v>
      </c>
      <c r="C23" s="36" t="str">
        <f ca="1">IFERROR(ISCAM_Score!AL24,"—")</f>
        <v>—</v>
      </c>
      <c r="D23" t="str">
        <f t="shared" ca="1" si="0"/>
        <v>— Sin Inst.2</v>
      </c>
      <c r="E23" t="str">
        <f t="shared" ca="1" si="1"/>
        <v/>
      </c>
      <c r="F23">
        <f>IFERROR(MATRIZ_174!L23,0)</f>
        <v>0</v>
      </c>
      <c r="G23">
        <f>IFERROR(MATRIZ_174!M23,0)</f>
        <v>0</v>
      </c>
      <c r="H23" t="str">
        <f ca="1">IF(NORMALIZADO!CC23="","",NORMALIZADO!CC23)</f>
        <v/>
      </c>
      <c r="I23" t="str">
        <f>IF(NORMALIZADO!CF23="","",NORMALIZADO!CF23)</f>
        <v/>
      </c>
      <c r="J23" t="str">
        <f ca="1">IF(NORMALIZADO!CG23="","",NORMALIZADO!CG23)</f>
        <v/>
      </c>
      <c r="K23">
        <f>IFERROR(INDEX(MATRIZ_174!$U:$U,MATCH(A23,MATRIZ_174!$A:$A,0))*100,"")</f>
        <v>100</v>
      </c>
      <c r="L23">
        <f>IFERROR(MATRIZ_174!O23,0)</f>
        <v>0</v>
      </c>
      <c r="N23" t="str">
        <f ca="1">IFERROR(ISCAM_Score!AC24,"")</f>
        <v>⬜  Pendiente de instrumento</v>
      </c>
      <c r="O23" t="s">
        <v>113</v>
      </c>
      <c r="P23" t="str">
        <f>IFERROR(INDEX(MATRIZ_174!$C:$C,MATCH(A23,MATRIZ_174!$A:$A,0)),"")</f>
        <v>UCAYALI</v>
      </c>
    </row>
    <row r="24" spans="1:16" ht="16.05" customHeight="1" x14ac:dyDescent="0.3">
      <c r="A24" t="s">
        <v>126</v>
      </c>
      <c r="B24" t="s">
        <v>127</v>
      </c>
      <c r="C24" s="36" t="str">
        <f ca="1">IFERROR(ISCAM_Score!AL25,"—")</f>
        <v>—</v>
      </c>
      <c r="D24" t="str">
        <f t="shared" ca="1" si="0"/>
        <v>— Sin Inst.2</v>
      </c>
      <c r="E24" t="str">
        <f t="shared" ca="1" si="1"/>
        <v/>
      </c>
      <c r="F24">
        <f>IFERROR(MATRIZ_174!L24,0)</f>
        <v>0</v>
      </c>
      <c r="G24">
        <f>IFERROR(MATRIZ_174!M24,0)</f>
        <v>0</v>
      </c>
      <c r="H24" t="str">
        <f ca="1">IF(NORMALIZADO!CC24="","",NORMALIZADO!CC24)</f>
        <v/>
      </c>
      <c r="I24" t="str">
        <f>IF(NORMALIZADO!CF24="","",NORMALIZADO!CF24)</f>
        <v/>
      </c>
      <c r="J24" t="str">
        <f ca="1">IF(NORMALIZADO!CG24="","",NORMALIZADO!CG24)</f>
        <v/>
      </c>
      <c r="K24">
        <f>IFERROR(INDEX(MATRIZ_174!$U:$U,MATCH(A24,MATRIZ_174!$A:$A,0))*100,"")</f>
        <v>100</v>
      </c>
      <c r="L24">
        <f>IFERROR(MATRIZ_174!O24,0)</f>
        <v>0</v>
      </c>
      <c r="N24" t="str">
        <f ca="1">IFERROR(ISCAM_Score!AC25,"")</f>
        <v>⬜  Pendiente de instrumento</v>
      </c>
      <c r="O24" t="s">
        <v>113</v>
      </c>
      <c r="P24" t="str">
        <f>IFERROR(INDEX(MATRIZ_174!$C:$C,MATCH(A24,MATRIZ_174!$A:$A,0)),"")</f>
        <v>UCAYALI</v>
      </c>
    </row>
    <row r="25" spans="1:16" ht="16.05" customHeight="1" x14ac:dyDescent="0.3">
      <c r="A25" t="s">
        <v>129</v>
      </c>
      <c r="B25" t="s">
        <v>130</v>
      </c>
      <c r="C25" s="36" t="str">
        <f ca="1">IFERROR(ISCAM_Score!AL26,"—")</f>
        <v>—</v>
      </c>
      <c r="D25" t="str">
        <f t="shared" ca="1" si="0"/>
        <v>— Sin Inst.2</v>
      </c>
      <c r="E25" t="str">
        <f t="shared" ca="1" si="1"/>
        <v/>
      </c>
      <c r="F25">
        <f>IFERROR(MATRIZ_174!L25,0)</f>
        <v>0</v>
      </c>
      <c r="G25">
        <f>IFERROR(MATRIZ_174!M25,0)</f>
        <v>0</v>
      </c>
      <c r="H25" t="str">
        <f ca="1">IF(NORMALIZADO!CC25="","",NORMALIZADO!CC25)</f>
        <v/>
      </c>
      <c r="I25" t="str">
        <f>IF(NORMALIZADO!CF25="","",NORMALIZADO!CF25)</f>
        <v/>
      </c>
      <c r="J25" t="str">
        <f ca="1">IF(NORMALIZADO!CG25="","",NORMALIZADO!CG25)</f>
        <v/>
      </c>
      <c r="K25">
        <f>IFERROR(INDEX(MATRIZ_174!$U:$U,MATCH(A25,MATRIZ_174!$A:$A,0))*100,"")</f>
        <v>100</v>
      </c>
      <c r="L25">
        <f>IFERROR(MATRIZ_174!O25,0)</f>
        <v>0</v>
      </c>
      <c r="N25" t="str">
        <f ca="1">IFERROR(ISCAM_Score!AC26,"")</f>
        <v>⬜  Pendiente de instrumento</v>
      </c>
      <c r="O25" t="s">
        <v>113</v>
      </c>
      <c r="P25" t="str">
        <f>IFERROR(INDEX(MATRIZ_174!$C:$C,MATCH(A25,MATRIZ_174!$A:$A,0)),"")</f>
        <v>UCAYALI</v>
      </c>
    </row>
    <row r="26" spans="1:16" ht="16.05" customHeight="1" x14ac:dyDescent="0.3">
      <c r="A26" t="s">
        <v>131</v>
      </c>
      <c r="B26" t="s">
        <v>132</v>
      </c>
      <c r="C26" s="36" t="str">
        <f ca="1">IFERROR(ISCAM_Score!AL27,"—")</f>
        <v>—</v>
      </c>
      <c r="D26" t="str">
        <f t="shared" ca="1" si="0"/>
        <v>— Sin Inst.2</v>
      </c>
      <c r="E26" t="str">
        <f t="shared" ca="1" si="1"/>
        <v/>
      </c>
      <c r="F26">
        <f>IFERROR(MATRIZ_174!L26,0)</f>
        <v>0</v>
      </c>
      <c r="G26">
        <f>IFERROR(MATRIZ_174!M26,0)</f>
        <v>0</v>
      </c>
      <c r="H26" t="str">
        <f ca="1">IF(NORMALIZADO!CC26="","",NORMALIZADO!CC26)</f>
        <v/>
      </c>
      <c r="I26" t="str">
        <f>IF(NORMALIZADO!CF26="","",NORMALIZADO!CF26)</f>
        <v/>
      </c>
      <c r="J26" t="str">
        <f ca="1">IF(NORMALIZADO!CG26="","",NORMALIZADO!CG26)</f>
        <v/>
      </c>
      <c r="K26">
        <f>IFERROR(INDEX(MATRIZ_174!$U:$U,MATCH(A26,MATRIZ_174!$A:$A,0))*100,"")</f>
        <v>100</v>
      </c>
      <c r="L26">
        <f>IFERROR(MATRIZ_174!O26,0)</f>
        <v>0</v>
      </c>
      <c r="N26" t="str">
        <f ca="1">IFERROR(ISCAM_Score!AC27,"")</f>
        <v>⬜  Pendiente de instrumento</v>
      </c>
      <c r="O26" t="s">
        <v>113</v>
      </c>
      <c r="P26" t="str">
        <f>IFERROR(INDEX(MATRIZ_174!$C:$C,MATCH(A26,MATRIZ_174!$A:$A,0)),"")</f>
        <v>UCAYALI</v>
      </c>
    </row>
    <row r="27" spans="1:16" ht="16.05" customHeight="1" x14ac:dyDescent="0.3">
      <c r="A27" t="s">
        <v>133</v>
      </c>
      <c r="B27" t="s">
        <v>134</v>
      </c>
      <c r="C27" s="36" t="str">
        <f ca="1">IFERROR(ISCAM_Score!AL28,"—")</f>
        <v>—</v>
      </c>
      <c r="D27" t="str">
        <f t="shared" ca="1" si="0"/>
        <v>— Sin Inst.2</v>
      </c>
      <c r="E27" t="str">
        <f t="shared" ca="1" si="1"/>
        <v/>
      </c>
      <c r="F27">
        <f>IFERROR(MATRIZ_174!L27,0)</f>
        <v>0</v>
      </c>
      <c r="G27">
        <f>IFERROR(MATRIZ_174!M27,0)</f>
        <v>0</v>
      </c>
      <c r="H27" t="str">
        <f ca="1">IF(NORMALIZADO!CC27="","",NORMALIZADO!CC27)</f>
        <v/>
      </c>
      <c r="I27" t="str">
        <f>IF(NORMALIZADO!CF27="","",NORMALIZADO!CF27)</f>
        <v/>
      </c>
      <c r="J27" t="str">
        <f ca="1">IF(NORMALIZADO!CG27="","",NORMALIZADO!CG27)</f>
        <v/>
      </c>
      <c r="K27">
        <f>IFERROR(INDEX(MATRIZ_174!$U:$U,MATCH(A27,MATRIZ_174!$A:$A,0))*100,"")</f>
        <v>100</v>
      </c>
      <c r="L27">
        <f>IFERROR(MATRIZ_174!O27,0)</f>
        <v>0</v>
      </c>
      <c r="N27" t="str">
        <f ca="1">IFERROR(ISCAM_Score!AC28,"")</f>
        <v>⬜  Pendiente de instrumento</v>
      </c>
      <c r="O27" t="s">
        <v>113</v>
      </c>
      <c r="P27" t="str">
        <f>IFERROR(INDEX(MATRIZ_174!$C:$C,MATCH(A27,MATRIZ_174!$A:$A,0)),"")</f>
        <v>UCAYALI</v>
      </c>
    </row>
    <row r="28" spans="1:16" ht="16.05" customHeight="1" x14ac:dyDescent="0.3">
      <c r="A28" t="s">
        <v>135</v>
      </c>
      <c r="B28" t="s">
        <v>136</v>
      </c>
      <c r="C28" s="36" t="str">
        <f ca="1">IFERROR(ISCAM_Score!AL29,"—")</f>
        <v>—</v>
      </c>
      <c r="D28" t="str">
        <f t="shared" ca="1" si="0"/>
        <v>— Sin Inst.2</v>
      </c>
      <c r="E28" t="str">
        <f t="shared" ca="1" si="1"/>
        <v/>
      </c>
      <c r="F28">
        <f>IFERROR(MATRIZ_174!L28,0)</f>
        <v>0</v>
      </c>
      <c r="G28">
        <f>IFERROR(MATRIZ_174!M28,0)</f>
        <v>0</v>
      </c>
      <c r="H28" t="str">
        <f ca="1">IF(NORMALIZADO!CC28="","",NORMALIZADO!CC28)</f>
        <v/>
      </c>
      <c r="I28" t="str">
        <f>IF(NORMALIZADO!CF28="","",NORMALIZADO!CF28)</f>
        <v/>
      </c>
      <c r="J28" t="str">
        <f ca="1">IF(NORMALIZADO!CG28="","",NORMALIZADO!CG28)</f>
        <v/>
      </c>
      <c r="K28">
        <f>IFERROR(INDEX(MATRIZ_174!$U:$U,MATCH(A28,MATRIZ_174!$A:$A,0))*100,"")</f>
        <v>100</v>
      </c>
      <c r="L28">
        <f>IFERROR(MATRIZ_174!O28,0)</f>
        <v>0</v>
      </c>
      <c r="N28" t="str">
        <f ca="1">IFERROR(ISCAM_Score!AC29,"")</f>
        <v>⬜  Pendiente de instrumento</v>
      </c>
      <c r="O28" t="s">
        <v>113</v>
      </c>
      <c r="P28" t="str">
        <f>IFERROR(INDEX(MATRIZ_174!$C:$C,MATCH(A28,MATRIZ_174!$A:$A,0)),"")</f>
        <v>UCAYALI</v>
      </c>
    </row>
    <row r="29" spans="1:16" ht="16.05" customHeight="1" x14ac:dyDescent="0.3">
      <c r="A29" t="s">
        <v>137</v>
      </c>
      <c r="B29" t="s">
        <v>138</v>
      </c>
      <c r="C29" s="36" t="str">
        <f ca="1">IFERROR(ISCAM_Score!AL30,"—")</f>
        <v>—</v>
      </c>
      <c r="D29" t="str">
        <f t="shared" ca="1" si="0"/>
        <v>— Sin Inst.2</v>
      </c>
      <c r="E29" t="str">
        <f t="shared" ca="1" si="1"/>
        <v/>
      </c>
      <c r="F29">
        <f>IFERROR(MATRIZ_174!L29,0)</f>
        <v>0</v>
      </c>
      <c r="G29">
        <f>IFERROR(MATRIZ_174!M29,0)</f>
        <v>0</v>
      </c>
      <c r="H29" t="str">
        <f ca="1">IF(NORMALIZADO!CC29="","",NORMALIZADO!CC29)</f>
        <v/>
      </c>
      <c r="I29" t="str">
        <f>IF(NORMALIZADO!CF29="","",NORMALIZADO!CF29)</f>
        <v/>
      </c>
      <c r="J29" t="str">
        <f ca="1">IF(NORMALIZADO!CG29="","",NORMALIZADO!CG29)</f>
        <v/>
      </c>
      <c r="K29">
        <f>IFERROR(INDEX(MATRIZ_174!$U:$U,MATCH(A29,MATRIZ_174!$A:$A,0))*100,"")</f>
        <v>100</v>
      </c>
      <c r="L29">
        <f>IFERROR(MATRIZ_174!O29,0)</f>
        <v>0</v>
      </c>
      <c r="N29" t="str">
        <f ca="1">IFERROR(ISCAM_Score!AC30,"")</f>
        <v>⬜  Pendiente de instrumento</v>
      </c>
      <c r="O29" t="s">
        <v>113</v>
      </c>
      <c r="P29" t="str">
        <f>IFERROR(INDEX(MATRIZ_174!$C:$C,MATCH(A29,MATRIZ_174!$A:$A,0)),"")</f>
        <v>UCAYALI</v>
      </c>
    </row>
    <row r="30" spans="1:16" ht="16.05" customHeight="1" x14ac:dyDescent="0.3">
      <c r="A30" t="s">
        <v>139</v>
      </c>
      <c r="B30" t="s">
        <v>140</v>
      </c>
      <c r="C30" s="36" t="str">
        <f ca="1">IFERROR(ISCAM_Score!AL31,"—")</f>
        <v>—</v>
      </c>
      <c r="D30" t="str">
        <f t="shared" ca="1" si="0"/>
        <v>— Sin Inst.2</v>
      </c>
      <c r="E30" t="str">
        <f t="shared" ca="1" si="1"/>
        <v/>
      </c>
      <c r="F30">
        <f>IFERROR(MATRIZ_174!L30,0)</f>
        <v>0</v>
      </c>
      <c r="G30">
        <f>IFERROR(MATRIZ_174!M30,0)</f>
        <v>0</v>
      </c>
      <c r="H30" t="str">
        <f ca="1">IF(NORMALIZADO!CC30="","",NORMALIZADO!CC30)</f>
        <v/>
      </c>
      <c r="I30" t="str">
        <f>IF(NORMALIZADO!CF30="","",NORMALIZADO!CF30)</f>
        <v/>
      </c>
      <c r="J30" t="str">
        <f ca="1">IF(NORMALIZADO!CG30="","",NORMALIZADO!CG30)</f>
        <v/>
      </c>
      <c r="K30">
        <f>IFERROR(INDEX(MATRIZ_174!$U:$U,MATCH(A30,MATRIZ_174!$A:$A,0))*100,"")</f>
        <v>100</v>
      </c>
      <c r="L30">
        <f>IFERROR(MATRIZ_174!O30,0)</f>
        <v>0</v>
      </c>
      <c r="N30" t="str">
        <f ca="1">IFERROR(ISCAM_Score!AC31,"")</f>
        <v>⬜  Pendiente de instrumento</v>
      </c>
      <c r="O30" t="s">
        <v>64</v>
      </c>
      <c r="P30" t="str">
        <f>IFERROR(INDEX(MATRIZ_174!$C:$C,MATCH(A30,MATRIZ_174!$A:$A,0)),"")</f>
        <v>PUNO</v>
      </c>
    </row>
    <row r="31" spans="1:16" ht="16.05" customHeight="1" x14ac:dyDescent="0.3">
      <c r="A31" t="s">
        <v>141</v>
      </c>
      <c r="B31" t="s">
        <v>142</v>
      </c>
      <c r="C31" s="36" t="str">
        <f ca="1">IFERROR(ISCAM_Score!AL32,"—")</f>
        <v>—</v>
      </c>
      <c r="D31" t="str">
        <f t="shared" ca="1" si="0"/>
        <v>— Sin Inst.2</v>
      </c>
      <c r="E31" t="str">
        <f t="shared" ca="1" si="1"/>
        <v/>
      </c>
      <c r="F31">
        <f>IFERROR(MATRIZ_174!L31,0)</f>
        <v>0</v>
      </c>
      <c r="G31">
        <f>IFERROR(MATRIZ_174!M31,0)</f>
        <v>0</v>
      </c>
      <c r="H31" t="str">
        <f ca="1">IF(NORMALIZADO!CC31="","",NORMALIZADO!CC31)</f>
        <v/>
      </c>
      <c r="I31" t="str">
        <f>IF(NORMALIZADO!CF31="","",NORMALIZADO!CF31)</f>
        <v/>
      </c>
      <c r="J31" t="str">
        <f ca="1">IF(NORMALIZADO!CG31="","",NORMALIZADO!CG31)</f>
        <v/>
      </c>
      <c r="K31">
        <f>IFERROR(INDEX(MATRIZ_174!$U:$U,MATCH(A31,MATRIZ_174!$A:$A,0))*100,"")</f>
        <v>100</v>
      </c>
      <c r="L31">
        <f>IFERROR(MATRIZ_174!O31,0)</f>
        <v>0</v>
      </c>
      <c r="N31" t="str">
        <f ca="1">IFERROR(ISCAM_Score!AC32,"")</f>
        <v>⬜  Pendiente de instrumento</v>
      </c>
      <c r="O31" t="s">
        <v>143</v>
      </c>
      <c r="P31" t="str">
        <f>IFERROR(INDEX(MATRIZ_174!$C:$C,MATCH(A31,MATRIZ_174!$A:$A,0)),"")</f>
        <v>SAN MARTIN</v>
      </c>
    </row>
    <row r="32" spans="1:16" ht="16.05" customHeight="1" x14ac:dyDescent="0.3">
      <c r="A32" t="s">
        <v>144</v>
      </c>
      <c r="B32" t="s">
        <v>145</v>
      </c>
      <c r="C32" s="36" t="str">
        <f ca="1">IFERROR(ISCAM_Score!AL33,"—")</f>
        <v>—</v>
      </c>
      <c r="D32" t="str">
        <f t="shared" ca="1" si="0"/>
        <v>— Sin Inst.2</v>
      </c>
      <c r="E32" t="str">
        <f t="shared" ca="1" si="1"/>
        <v/>
      </c>
      <c r="F32">
        <f>IFERROR(MATRIZ_174!L32,0)</f>
        <v>0</v>
      </c>
      <c r="G32">
        <f>IFERROR(MATRIZ_174!M32,0)</f>
        <v>0</v>
      </c>
      <c r="H32" t="str">
        <f ca="1">IF(NORMALIZADO!CC32="","",NORMALIZADO!CC32)</f>
        <v/>
      </c>
      <c r="I32" t="str">
        <f>IF(NORMALIZADO!CF32="","",NORMALIZADO!CF32)</f>
        <v/>
      </c>
      <c r="J32" t="str">
        <f ca="1">IF(NORMALIZADO!CG32="","",NORMALIZADO!CG32)</f>
        <v/>
      </c>
      <c r="K32">
        <f>IFERROR(INDEX(MATRIZ_174!$U:$U,MATCH(A32,MATRIZ_174!$A:$A,0))*100,"")</f>
        <v>100</v>
      </c>
      <c r="L32">
        <f>IFERROR(MATRIZ_174!O32,0)</f>
        <v>0</v>
      </c>
      <c r="N32" t="str">
        <f ca="1">IFERROR(ISCAM_Score!AC33,"")</f>
        <v>⬜  Pendiente de instrumento</v>
      </c>
      <c r="O32" t="s">
        <v>143</v>
      </c>
      <c r="P32" t="str">
        <f>IFERROR(INDEX(MATRIZ_174!$C:$C,MATCH(A32,MATRIZ_174!$A:$A,0)),"")</f>
        <v>SAN MARTIN</v>
      </c>
    </row>
    <row r="33" spans="1:16" ht="16.05" customHeight="1" x14ac:dyDescent="0.3">
      <c r="A33" t="s">
        <v>146</v>
      </c>
      <c r="B33" t="s">
        <v>147</v>
      </c>
      <c r="C33" s="36" t="str">
        <f ca="1">IFERROR(ISCAM_Score!AL34,"—")</f>
        <v>—</v>
      </c>
      <c r="D33" t="str">
        <f t="shared" ca="1" si="0"/>
        <v>— Sin Inst.2</v>
      </c>
      <c r="E33" t="str">
        <f t="shared" ca="1" si="1"/>
        <v/>
      </c>
      <c r="F33">
        <f>IFERROR(MATRIZ_174!L33,0)</f>
        <v>0</v>
      </c>
      <c r="G33">
        <f>IFERROR(MATRIZ_174!M33,0)</f>
        <v>0</v>
      </c>
      <c r="H33" t="str">
        <f ca="1">IF(NORMALIZADO!CC33="","",NORMALIZADO!CC33)</f>
        <v/>
      </c>
      <c r="I33" t="str">
        <f>IF(NORMALIZADO!CF33="","",NORMALIZADO!CF33)</f>
        <v/>
      </c>
      <c r="J33" t="str">
        <f ca="1">IF(NORMALIZADO!CG33="","",NORMALIZADO!CG33)</f>
        <v/>
      </c>
      <c r="K33">
        <f>IFERROR(INDEX(MATRIZ_174!$U:$U,MATCH(A33,MATRIZ_174!$A:$A,0))*100,"")</f>
        <v>100</v>
      </c>
      <c r="L33">
        <f>IFERROR(MATRIZ_174!O33,0)</f>
        <v>0</v>
      </c>
      <c r="N33" t="str">
        <f ca="1">IFERROR(ISCAM_Score!AC34,"")</f>
        <v>⬜  Pendiente de instrumento</v>
      </c>
      <c r="O33" t="s">
        <v>143</v>
      </c>
      <c r="P33" t="str">
        <f>IFERROR(INDEX(MATRIZ_174!$C:$C,MATCH(A33,MATRIZ_174!$A:$A,0)),"")</f>
        <v>SAN MARTIN</v>
      </c>
    </row>
    <row r="34" spans="1:16" ht="16.05" customHeight="1" x14ac:dyDescent="0.3">
      <c r="A34" t="s">
        <v>148</v>
      </c>
      <c r="B34" t="s">
        <v>149</v>
      </c>
      <c r="C34" s="36" t="str">
        <f ca="1">IFERROR(ISCAM_Score!AL35,"—")</f>
        <v>—</v>
      </c>
      <c r="D34" t="str">
        <f t="shared" ca="1" si="0"/>
        <v>— Sin Inst.2</v>
      </c>
      <c r="E34" t="str">
        <f t="shared" ca="1" si="1"/>
        <v/>
      </c>
      <c r="F34">
        <f>IFERROR(MATRIZ_174!L34,0)</f>
        <v>0</v>
      </c>
      <c r="G34">
        <f>IFERROR(MATRIZ_174!M34,0)</f>
        <v>0</v>
      </c>
      <c r="H34" t="str">
        <f ca="1">IF(NORMALIZADO!CC34="","",NORMALIZADO!CC34)</f>
        <v/>
      </c>
      <c r="I34" t="str">
        <f>IF(NORMALIZADO!CF34="","",NORMALIZADO!CF34)</f>
        <v/>
      </c>
      <c r="J34" t="str">
        <f ca="1">IF(NORMALIZADO!CG34="","",NORMALIZADO!CG34)</f>
        <v/>
      </c>
      <c r="K34">
        <f>IFERROR(INDEX(MATRIZ_174!$U:$U,MATCH(A34,MATRIZ_174!$A:$A,0))*100,"")</f>
        <v>100</v>
      </c>
      <c r="L34">
        <f>IFERROR(MATRIZ_174!O34,0)</f>
        <v>0</v>
      </c>
      <c r="N34" t="str">
        <f ca="1">IFERROR(ISCAM_Score!AC35,"")</f>
        <v>⬜  Pendiente de instrumento</v>
      </c>
      <c r="O34" t="s">
        <v>143</v>
      </c>
      <c r="P34" t="str">
        <f>IFERROR(INDEX(MATRIZ_174!$C:$C,MATCH(A34,MATRIZ_174!$A:$A,0)),"")</f>
        <v>SAN MARTIN</v>
      </c>
    </row>
    <row r="35" spans="1:16" ht="16.05" customHeight="1" x14ac:dyDescent="0.3">
      <c r="A35" t="s">
        <v>150</v>
      </c>
      <c r="B35" t="s">
        <v>151</v>
      </c>
      <c r="C35" s="36" t="str">
        <f ca="1">IFERROR(ISCAM_Score!AL36,"—")</f>
        <v>—</v>
      </c>
      <c r="D35" t="str">
        <f t="shared" ref="D35:D66" ca="1" si="2">IF(C35="—","— Sin Inst.2",IF(C35&lt;34,"🔴  Crítico",IF(C35&lt;67,"🟡  Vulnerable","🟢  Preparado")))</f>
        <v>— Sin Inst.2</v>
      </c>
      <c r="E35" t="str">
        <f t="shared" ref="E35:E66" ca="1" si="3">IFERROR(RANK(C35,C:C,-1),"")</f>
        <v/>
      </c>
      <c r="F35">
        <f>IFERROR(MATRIZ_174!L35,0)</f>
        <v>965726.35</v>
      </c>
      <c r="G35">
        <f>IFERROR(MATRIZ_174!M35,0)</f>
        <v>50</v>
      </c>
      <c r="H35" t="str">
        <f ca="1">IF(NORMALIZADO!CC35="","",NORMALIZADO!CC35)</f>
        <v/>
      </c>
      <c r="I35" t="str">
        <f>IF(NORMALIZADO!CF35="","",NORMALIZADO!CF35)</f>
        <v/>
      </c>
      <c r="J35" t="str">
        <f ca="1">IF(NORMALIZADO!CG35="","",NORMALIZADO!CG35)</f>
        <v/>
      </c>
      <c r="K35">
        <f>IFERROR(INDEX(MATRIZ_174!$U:$U,MATCH(A35,MATRIZ_174!$A:$A,0))*100,"")</f>
        <v>100</v>
      </c>
      <c r="L35">
        <f>IFERROR(MATRIZ_174!O35,0)</f>
        <v>0</v>
      </c>
      <c r="N35" t="str">
        <f ca="1">IFERROR(ISCAM_Score!AC36,"")</f>
        <v>⬜  Pendiente de instrumento</v>
      </c>
      <c r="O35" t="s">
        <v>80</v>
      </c>
      <c r="P35" t="str">
        <f>IFERROR(INDEX(MATRIZ_174!$C:$C,MATCH(A35,MATRIZ_174!$A:$A,0)),"")</f>
        <v>CUSCO</v>
      </c>
    </row>
    <row r="36" spans="1:16" ht="16.05" customHeight="1" x14ac:dyDescent="0.3">
      <c r="A36" t="s">
        <v>152</v>
      </c>
      <c r="B36" t="s">
        <v>153</v>
      </c>
      <c r="C36" s="36" t="str">
        <f ca="1">IFERROR(ISCAM_Score!AL37,"—")</f>
        <v>—</v>
      </c>
      <c r="D36" t="str">
        <f t="shared" ca="1" si="2"/>
        <v>— Sin Inst.2</v>
      </c>
      <c r="E36" t="str">
        <f t="shared" ca="1" si="3"/>
        <v/>
      </c>
      <c r="F36">
        <f>IFERROR(MATRIZ_174!L36,0)</f>
        <v>965167.45</v>
      </c>
      <c r="G36">
        <f>IFERROR(MATRIZ_174!M36,0)</f>
        <v>21.3</v>
      </c>
      <c r="H36" t="str">
        <f ca="1">IF(NORMALIZADO!CC36="","",NORMALIZADO!CC36)</f>
        <v/>
      </c>
      <c r="I36" t="str">
        <f>IF(NORMALIZADO!CF36="","",NORMALIZADO!CF36)</f>
        <v/>
      </c>
      <c r="J36" t="str">
        <f ca="1">IF(NORMALIZADO!CG36="","",NORMALIZADO!CG36)</f>
        <v/>
      </c>
      <c r="K36">
        <f>IFERROR(INDEX(MATRIZ_174!$U:$U,MATCH(A36,MATRIZ_174!$A:$A,0))*100,"")</f>
        <v>100</v>
      </c>
      <c r="L36">
        <f>IFERROR(MATRIZ_174!O36,0)</f>
        <v>1</v>
      </c>
      <c r="N36" t="str">
        <f ca="1">IFERROR(ISCAM_Score!AC37,"")</f>
        <v>⬜  Pendiente de instrumento</v>
      </c>
      <c r="O36" t="s">
        <v>154</v>
      </c>
      <c r="P36" t="str">
        <f>IFERROR(INDEX(MATRIZ_174!$C:$C,MATCH(A36,MATRIZ_174!$A:$A,0)),"")</f>
        <v>CAJAMARCA</v>
      </c>
    </row>
    <row r="37" spans="1:16" ht="16.05" customHeight="1" x14ac:dyDescent="0.3">
      <c r="A37" t="s">
        <v>155</v>
      </c>
      <c r="B37" t="s">
        <v>156</v>
      </c>
      <c r="C37" s="36" t="str">
        <f ca="1">IFERROR(ISCAM_Score!AL38,"—")</f>
        <v>—</v>
      </c>
      <c r="D37" t="str">
        <f t="shared" ca="1" si="2"/>
        <v>— Sin Inst.2</v>
      </c>
      <c r="E37" t="str">
        <f t="shared" ca="1" si="3"/>
        <v/>
      </c>
      <c r="F37">
        <f>IFERROR(MATRIZ_174!L37,0)</f>
        <v>0</v>
      </c>
      <c r="G37">
        <f>IFERROR(MATRIZ_174!M37,0)</f>
        <v>0</v>
      </c>
      <c r="H37" t="str">
        <f ca="1">IF(NORMALIZADO!CC37="","",NORMALIZADO!CC37)</f>
        <v/>
      </c>
      <c r="I37" t="str">
        <f>IF(NORMALIZADO!CF37="","",NORMALIZADO!CF37)</f>
        <v/>
      </c>
      <c r="J37" t="str">
        <f ca="1">IF(NORMALIZADO!CG37="","",NORMALIZADO!CG37)</f>
        <v/>
      </c>
      <c r="K37">
        <f>IFERROR(INDEX(MATRIZ_174!$U:$U,MATCH(A37,MATRIZ_174!$A:$A,0))*100,"")</f>
        <v>100</v>
      </c>
      <c r="L37">
        <f>IFERROR(MATRIZ_174!O37,0)</f>
        <v>0</v>
      </c>
      <c r="N37" t="str">
        <f ca="1">IFERROR(ISCAM_Score!AC38,"")</f>
        <v>⬜  Pendiente de instrumento</v>
      </c>
      <c r="O37" t="s">
        <v>116</v>
      </c>
      <c r="P37" t="str">
        <f>IFERROR(INDEX(MATRIZ_174!$C:$C,MATCH(A37,MATRIZ_174!$A:$A,0)),"")</f>
        <v>AMAZONAS</v>
      </c>
    </row>
    <row r="38" spans="1:16" ht="16.05" customHeight="1" x14ac:dyDescent="0.3">
      <c r="A38" t="s">
        <v>157</v>
      </c>
      <c r="B38" t="s">
        <v>158</v>
      </c>
      <c r="C38" s="36" t="str">
        <f ca="1">IFERROR(ISCAM_Score!AL39,"—")</f>
        <v>—</v>
      </c>
      <c r="D38" t="str">
        <f t="shared" ca="1" si="2"/>
        <v>— Sin Inst.2</v>
      </c>
      <c r="E38" t="str">
        <f t="shared" ca="1" si="3"/>
        <v/>
      </c>
      <c r="F38">
        <f>IFERROR(MATRIZ_174!L38,0)</f>
        <v>0</v>
      </c>
      <c r="G38">
        <f>IFERROR(MATRIZ_174!M38,0)</f>
        <v>0</v>
      </c>
      <c r="H38" t="str">
        <f ca="1">IF(NORMALIZADO!CC38="","",NORMALIZADO!CC38)</f>
        <v/>
      </c>
      <c r="I38" t="str">
        <f>IF(NORMALIZADO!CF38="","",NORMALIZADO!CF38)</f>
        <v/>
      </c>
      <c r="J38" t="str">
        <f ca="1">IF(NORMALIZADO!CG38="","",NORMALIZADO!CG38)</f>
        <v/>
      </c>
      <c r="K38">
        <f>IFERROR(INDEX(MATRIZ_174!$U:$U,MATCH(A38,MATRIZ_174!$A:$A,0))*100,"")</f>
        <v>100</v>
      </c>
      <c r="L38">
        <f>IFERROR(MATRIZ_174!O38,0)</f>
        <v>0</v>
      </c>
      <c r="N38" t="str">
        <f ca="1">IFERROR(ISCAM_Score!AC39,"")</f>
        <v>⬜  Pendiente de instrumento</v>
      </c>
      <c r="O38" t="s">
        <v>116</v>
      </c>
      <c r="P38" t="str">
        <f>IFERROR(INDEX(MATRIZ_174!$C:$C,MATCH(A38,MATRIZ_174!$A:$A,0)),"")</f>
        <v>AMAZONAS</v>
      </c>
    </row>
    <row r="39" spans="1:16" ht="16.05" customHeight="1" x14ac:dyDescent="0.3">
      <c r="A39" t="s">
        <v>159</v>
      </c>
      <c r="B39" t="s">
        <v>160</v>
      </c>
      <c r="C39" s="36" t="str">
        <f ca="1">IFERROR(ISCAM_Score!AL40,"—")</f>
        <v>—</v>
      </c>
      <c r="D39" t="str">
        <f t="shared" ca="1" si="2"/>
        <v>— Sin Inst.2</v>
      </c>
      <c r="E39" t="str">
        <f t="shared" ca="1" si="3"/>
        <v/>
      </c>
      <c r="F39">
        <f>IFERROR(MATRIZ_174!L39,0)</f>
        <v>587607.64</v>
      </c>
      <c r="G39">
        <f>IFERROR(MATRIZ_174!M39,0)</f>
        <v>50</v>
      </c>
      <c r="H39" t="str">
        <f ca="1">IF(NORMALIZADO!CC39="","",NORMALIZADO!CC39)</f>
        <v/>
      </c>
      <c r="I39" t="str">
        <f>IF(NORMALIZADO!CF39="","",NORMALIZADO!CF39)</f>
        <v/>
      </c>
      <c r="J39" t="str">
        <f ca="1">IF(NORMALIZADO!CG39="","",NORMALIZADO!CG39)</f>
        <v/>
      </c>
      <c r="K39">
        <f>IFERROR(INDEX(MATRIZ_174!$U:$U,MATCH(A39,MATRIZ_174!$A:$A,0))*100,"")</f>
        <v>100</v>
      </c>
      <c r="L39">
        <f>IFERROR(MATRIZ_174!O39,0)</f>
        <v>0</v>
      </c>
      <c r="N39" t="str">
        <f ca="1">IFERROR(ISCAM_Score!AC40,"")</f>
        <v>⬜  Pendiente de instrumento</v>
      </c>
      <c r="O39" t="s">
        <v>116</v>
      </c>
      <c r="P39" t="str">
        <f>IFERROR(INDEX(MATRIZ_174!$C:$C,MATCH(A39,MATRIZ_174!$A:$A,0)),"")</f>
        <v>AMAZONAS</v>
      </c>
    </row>
    <row r="40" spans="1:16" ht="16.05" customHeight="1" x14ac:dyDescent="0.3">
      <c r="A40" t="s">
        <v>161</v>
      </c>
      <c r="B40" t="s">
        <v>162</v>
      </c>
      <c r="C40" s="36" t="str">
        <f ca="1">IFERROR(ISCAM_Score!AL41,"—")</f>
        <v>—</v>
      </c>
      <c r="D40" t="str">
        <f t="shared" ca="1" si="2"/>
        <v>— Sin Inst.2</v>
      </c>
      <c r="E40" t="str">
        <f t="shared" ca="1" si="3"/>
        <v/>
      </c>
      <c r="F40">
        <f>IFERROR(MATRIZ_174!L40,0)</f>
        <v>842214.99</v>
      </c>
      <c r="G40">
        <f>IFERROR(MATRIZ_174!M40,0)</f>
        <v>50</v>
      </c>
      <c r="H40" t="str">
        <f ca="1">IF(NORMALIZADO!CC40="","",NORMALIZADO!CC40)</f>
        <v/>
      </c>
      <c r="I40" t="str">
        <f>IF(NORMALIZADO!CF40="","",NORMALIZADO!CF40)</f>
        <v/>
      </c>
      <c r="J40" t="str">
        <f ca="1">IF(NORMALIZADO!CG40="","",NORMALIZADO!CG40)</f>
        <v/>
      </c>
      <c r="K40">
        <f>IFERROR(INDEX(MATRIZ_174!$U:$U,MATCH(A40,MATRIZ_174!$A:$A,0))*100,"")</f>
        <v>100</v>
      </c>
      <c r="L40">
        <f>IFERROR(MATRIZ_174!O40,0)</f>
        <v>0</v>
      </c>
      <c r="N40" t="str">
        <f ca="1">IFERROR(ISCAM_Score!AC41,"")</f>
        <v>⬜  Pendiente de instrumento</v>
      </c>
      <c r="O40" t="s">
        <v>116</v>
      </c>
      <c r="P40" t="str">
        <f>IFERROR(INDEX(MATRIZ_174!$C:$C,MATCH(A40,MATRIZ_174!$A:$A,0)),"")</f>
        <v>AMAZONAS</v>
      </c>
    </row>
    <row r="41" spans="1:16" ht="16.05" customHeight="1" x14ac:dyDescent="0.3">
      <c r="A41" t="s">
        <v>163</v>
      </c>
      <c r="B41" t="s">
        <v>164</v>
      </c>
      <c r="C41" s="36" t="str">
        <f ca="1">IFERROR(ISCAM_Score!AL42,"—")</f>
        <v>—</v>
      </c>
      <c r="D41" t="str">
        <f t="shared" ca="1" si="2"/>
        <v>— Sin Inst.2</v>
      </c>
      <c r="E41" t="str">
        <f t="shared" ca="1" si="3"/>
        <v/>
      </c>
      <c r="F41">
        <f>IFERROR(MATRIZ_174!L41,0)</f>
        <v>0</v>
      </c>
      <c r="G41">
        <f>IFERROR(MATRIZ_174!M41,0)</f>
        <v>0</v>
      </c>
      <c r="H41" t="str">
        <f ca="1">IF(NORMALIZADO!CC41="","",NORMALIZADO!CC41)</f>
        <v/>
      </c>
      <c r="I41" t="str">
        <f>IF(NORMALIZADO!CF41="","",NORMALIZADO!CF41)</f>
        <v/>
      </c>
      <c r="J41" t="str">
        <f ca="1">IF(NORMALIZADO!CG41="","",NORMALIZADO!CG41)</f>
        <v/>
      </c>
      <c r="K41">
        <f>IFERROR(INDEX(MATRIZ_174!$U:$U,MATCH(A41,MATRIZ_174!$A:$A,0))*100,"")</f>
        <v>100</v>
      </c>
      <c r="L41">
        <f>IFERROR(MATRIZ_174!O41,0)</f>
        <v>0</v>
      </c>
      <c r="N41" t="str">
        <f ca="1">IFERROR(ISCAM_Score!AC42,"")</f>
        <v>⬜  Pendiente de instrumento</v>
      </c>
      <c r="O41" t="s">
        <v>116</v>
      </c>
      <c r="P41" t="str">
        <f>IFERROR(INDEX(MATRIZ_174!$C:$C,MATCH(A41,MATRIZ_174!$A:$A,0)),"")</f>
        <v>AMAZONAS</v>
      </c>
    </row>
    <row r="42" spans="1:16" ht="16.05" customHeight="1" x14ac:dyDescent="0.3">
      <c r="A42" t="s">
        <v>165</v>
      </c>
      <c r="B42" t="s">
        <v>166</v>
      </c>
      <c r="C42" s="36" t="str">
        <f ca="1">IFERROR(ISCAM_Score!AL43,"—")</f>
        <v>—</v>
      </c>
      <c r="D42" t="str">
        <f t="shared" ca="1" si="2"/>
        <v>— Sin Inst.2</v>
      </c>
      <c r="E42" t="str">
        <f t="shared" ca="1" si="3"/>
        <v/>
      </c>
      <c r="F42">
        <f>IFERROR(MATRIZ_174!L42,0)</f>
        <v>408500</v>
      </c>
      <c r="G42">
        <f>IFERROR(MATRIZ_174!M42,0)</f>
        <v>50</v>
      </c>
      <c r="H42" t="str">
        <f ca="1">IF(NORMALIZADO!CC42="","",NORMALIZADO!CC42)</f>
        <v/>
      </c>
      <c r="I42" t="str">
        <f>IF(NORMALIZADO!CF42="","",NORMALIZADO!CF42)</f>
        <v/>
      </c>
      <c r="J42" t="str">
        <f ca="1">IF(NORMALIZADO!CG42="","",NORMALIZADO!CG42)</f>
        <v/>
      </c>
      <c r="K42">
        <f>IFERROR(INDEX(MATRIZ_174!$U:$U,MATCH(A42,MATRIZ_174!$A:$A,0))*100,"")</f>
        <v>100</v>
      </c>
      <c r="L42">
        <f>IFERROR(MATRIZ_174!O42,0)</f>
        <v>0</v>
      </c>
      <c r="N42" t="str">
        <f ca="1">IFERROR(ISCAM_Score!AC43,"")</f>
        <v>⬜  Pendiente de instrumento</v>
      </c>
      <c r="O42" t="s">
        <v>107</v>
      </c>
      <c r="P42" t="str">
        <f>IFERROR(INDEX(MATRIZ_174!$C:$C,MATCH(A42,MATRIZ_174!$A:$A,0)),"")</f>
        <v>PIURA</v>
      </c>
    </row>
    <row r="43" spans="1:16" ht="16.05" customHeight="1" x14ac:dyDescent="0.3">
      <c r="A43" t="s">
        <v>167</v>
      </c>
      <c r="B43" t="s">
        <v>168</v>
      </c>
      <c r="C43" s="36" t="str">
        <f ca="1">IFERROR(ISCAM_Score!AL44,"—")</f>
        <v>—</v>
      </c>
      <c r="D43" t="str">
        <f t="shared" ca="1" si="2"/>
        <v>— Sin Inst.2</v>
      </c>
      <c r="E43" t="str">
        <f t="shared" ca="1" si="3"/>
        <v/>
      </c>
      <c r="F43">
        <f>IFERROR(MATRIZ_174!L43,0)</f>
        <v>0</v>
      </c>
      <c r="G43">
        <f>IFERROR(MATRIZ_174!M43,0)</f>
        <v>0</v>
      </c>
      <c r="H43" t="str">
        <f ca="1">IF(NORMALIZADO!CC43="","",NORMALIZADO!CC43)</f>
        <v/>
      </c>
      <c r="I43" t="str">
        <f>IF(NORMALIZADO!CF43="","",NORMALIZADO!CF43)</f>
        <v/>
      </c>
      <c r="J43" t="str">
        <f ca="1">IF(NORMALIZADO!CG43="","",NORMALIZADO!CG43)</f>
        <v/>
      </c>
      <c r="K43">
        <f>IFERROR(INDEX(MATRIZ_174!$U:$U,MATCH(A43,MATRIZ_174!$A:$A,0))*100,"")</f>
        <v>100</v>
      </c>
      <c r="L43">
        <f>IFERROR(MATRIZ_174!O43,0)</f>
        <v>0</v>
      </c>
      <c r="N43" t="str">
        <f ca="1">IFERROR(ISCAM_Score!AC44,"")</f>
        <v>⬜  Pendiente de instrumento</v>
      </c>
      <c r="O43" t="s">
        <v>77</v>
      </c>
      <c r="P43" t="str">
        <f>IFERROR(INDEX(MATRIZ_174!$C:$C,MATCH(A43,MATRIZ_174!$A:$A,0)),"")</f>
        <v>JUNIN</v>
      </c>
    </row>
    <row r="44" spans="1:16" ht="16.05" customHeight="1" x14ac:dyDescent="0.3">
      <c r="A44" t="s">
        <v>169</v>
      </c>
      <c r="B44" t="s">
        <v>170</v>
      </c>
      <c r="C44" s="36" t="str">
        <f ca="1">IFERROR(ISCAM_Score!AL45,"—")</f>
        <v>—</v>
      </c>
      <c r="D44" t="str">
        <f t="shared" ca="1" si="2"/>
        <v>— Sin Inst.2</v>
      </c>
      <c r="E44" t="str">
        <f t="shared" ca="1" si="3"/>
        <v/>
      </c>
      <c r="F44">
        <f>IFERROR(MATRIZ_174!L44,0)</f>
        <v>0</v>
      </c>
      <c r="G44">
        <f>IFERROR(MATRIZ_174!M44,0)</f>
        <v>0</v>
      </c>
      <c r="H44" t="str">
        <f ca="1">IF(NORMALIZADO!CC44="","",NORMALIZADO!CC44)</f>
        <v/>
      </c>
      <c r="I44" t="str">
        <f>IF(NORMALIZADO!CF44="","",NORMALIZADO!CF44)</f>
        <v/>
      </c>
      <c r="J44" t="str">
        <f ca="1">IF(NORMALIZADO!CG44="","",NORMALIZADO!CG44)</f>
        <v/>
      </c>
      <c r="K44">
        <f>IFERROR(INDEX(MATRIZ_174!$U:$U,MATCH(A44,MATRIZ_174!$A:$A,0))*100,"")</f>
        <v>100</v>
      </c>
      <c r="L44">
        <f>IFERROR(MATRIZ_174!O44,0)</f>
        <v>0</v>
      </c>
      <c r="N44" t="str">
        <f ca="1">IFERROR(ISCAM_Score!AC45,"")</f>
        <v>⬜  Pendiente de instrumento</v>
      </c>
      <c r="O44" t="s">
        <v>77</v>
      </c>
      <c r="P44" t="str">
        <f>IFERROR(INDEX(MATRIZ_174!$C:$C,MATCH(A44,MATRIZ_174!$A:$A,0)),"")</f>
        <v>JUNIN</v>
      </c>
    </row>
    <row r="45" spans="1:16" ht="16.05" customHeight="1" x14ac:dyDescent="0.3">
      <c r="A45" t="s">
        <v>171</v>
      </c>
      <c r="B45" t="s">
        <v>172</v>
      </c>
      <c r="C45" s="36" t="str">
        <f ca="1">IFERROR(ISCAM_Score!AL46,"—")</f>
        <v>—</v>
      </c>
      <c r="D45" t="str">
        <f t="shared" ca="1" si="2"/>
        <v>— Sin Inst.2</v>
      </c>
      <c r="E45" t="str">
        <f t="shared" ca="1" si="3"/>
        <v/>
      </c>
      <c r="F45">
        <f>IFERROR(MATRIZ_174!L45,0)</f>
        <v>6603846.0300000003</v>
      </c>
      <c r="G45">
        <f>IFERROR(MATRIZ_174!M45,0)</f>
        <v>50</v>
      </c>
      <c r="H45" t="str">
        <f ca="1">IF(NORMALIZADO!CC45="","",NORMALIZADO!CC45)</f>
        <v/>
      </c>
      <c r="I45" t="str">
        <f>IF(NORMALIZADO!CF45="","",NORMALIZADO!CF45)</f>
        <v/>
      </c>
      <c r="J45" t="str">
        <f ca="1">IF(NORMALIZADO!CG45="","",NORMALIZADO!CG45)</f>
        <v/>
      </c>
      <c r="K45">
        <f>IFERROR(INDEX(MATRIZ_174!$U:$U,MATCH(A45,MATRIZ_174!$A:$A,0))*100,"")</f>
        <v>100</v>
      </c>
      <c r="L45">
        <f>IFERROR(MATRIZ_174!O45,0)</f>
        <v>0</v>
      </c>
      <c r="N45" t="str">
        <f ca="1">IFERROR(ISCAM_Score!AC46,"")</f>
        <v>⬜  Pendiente de instrumento</v>
      </c>
      <c r="O45" t="s">
        <v>77</v>
      </c>
      <c r="P45" t="str">
        <f>IFERROR(INDEX(MATRIZ_174!$C:$C,MATCH(A45,MATRIZ_174!$A:$A,0)),"")</f>
        <v>JUNIN</v>
      </c>
    </row>
    <row r="46" spans="1:16" ht="16.05" customHeight="1" x14ac:dyDescent="0.3">
      <c r="A46" t="s">
        <v>173</v>
      </c>
      <c r="B46" t="s">
        <v>174</v>
      </c>
      <c r="C46" s="36" t="str">
        <f ca="1">IFERROR(ISCAM_Score!AL47,"—")</f>
        <v>—</v>
      </c>
      <c r="D46" t="str">
        <f t="shared" ca="1" si="2"/>
        <v>— Sin Inst.2</v>
      </c>
      <c r="E46" t="str">
        <f t="shared" ca="1" si="3"/>
        <v/>
      </c>
      <c r="F46">
        <f>IFERROR(MATRIZ_174!L46,0)</f>
        <v>0</v>
      </c>
      <c r="G46">
        <f>IFERROR(MATRIZ_174!M46,0)</f>
        <v>0</v>
      </c>
      <c r="H46" t="str">
        <f ca="1">IF(NORMALIZADO!CC46="","",NORMALIZADO!CC46)</f>
        <v/>
      </c>
      <c r="I46" t="str">
        <f>IF(NORMALIZADO!CF46="","",NORMALIZADO!CF46)</f>
        <v/>
      </c>
      <c r="J46" t="str">
        <f ca="1">IF(NORMALIZADO!CG46="","",NORMALIZADO!CG46)</f>
        <v/>
      </c>
      <c r="K46">
        <f>IFERROR(INDEX(MATRIZ_174!$U:$U,MATCH(A46,MATRIZ_174!$A:$A,0))*100,"")</f>
        <v>100</v>
      </c>
      <c r="L46">
        <f>IFERROR(MATRIZ_174!O46,0)</f>
        <v>0</v>
      </c>
      <c r="N46" t="str">
        <f ca="1">IFERROR(ISCAM_Score!AC47,"")</f>
        <v>⬜  Pendiente de instrumento</v>
      </c>
      <c r="O46" t="s">
        <v>77</v>
      </c>
      <c r="P46" t="str">
        <f>IFERROR(INDEX(MATRIZ_174!$C:$C,MATCH(A46,MATRIZ_174!$A:$A,0)),"")</f>
        <v>JUNIN</v>
      </c>
    </row>
    <row r="47" spans="1:16" ht="16.05" customHeight="1" x14ac:dyDescent="0.3">
      <c r="A47" t="s">
        <v>175</v>
      </c>
      <c r="B47" t="s">
        <v>176</v>
      </c>
      <c r="C47" s="36" t="str">
        <f ca="1">IFERROR(ISCAM_Score!AL48,"—")</f>
        <v>—</v>
      </c>
      <c r="D47" t="str">
        <f t="shared" ca="1" si="2"/>
        <v>— Sin Inst.2</v>
      </c>
      <c r="E47" t="str">
        <f t="shared" ca="1" si="3"/>
        <v/>
      </c>
      <c r="F47">
        <f>IFERROR(MATRIZ_174!L47,0)</f>
        <v>0</v>
      </c>
      <c r="G47">
        <f>IFERROR(MATRIZ_174!M47,0)</f>
        <v>0</v>
      </c>
      <c r="H47" t="str">
        <f ca="1">IF(NORMALIZADO!CC47="","",NORMALIZADO!CC47)</f>
        <v/>
      </c>
      <c r="I47" t="str">
        <f>IF(NORMALIZADO!CF47="","",NORMALIZADO!CF47)</f>
        <v/>
      </c>
      <c r="J47" t="str">
        <f ca="1">IF(NORMALIZADO!CG47="","",NORMALIZADO!CG47)</f>
        <v/>
      </c>
      <c r="K47">
        <f>IFERROR(INDEX(MATRIZ_174!$U:$U,MATCH(A47,MATRIZ_174!$A:$A,0))*100,"")</f>
        <v>100</v>
      </c>
      <c r="L47">
        <f>IFERROR(MATRIZ_174!O47,0)</f>
        <v>0</v>
      </c>
      <c r="N47" t="str">
        <f ca="1">IFERROR(ISCAM_Score!AC48,"")</f>
        <v>⬜  Pendiente de instrumento</v>
      </c>
      <c r="O47" t="s">
        <v>77</v>
      </c>
      <c r="P47" t="str">
        <f>IFERROR(INDEX(MATRIZ_174!$C:$C,MATCH(A47,MATRIZ_174!$A:$A,0)),"")</f>
        <v>JUNIN</v>
      </c>
    </row>
    <row r="48" spans="1:16" ht="16.05" customHeight="1" x14ac:dyDescent="0.3">
      <c r="A48" t="s">
        <v>177</v>
      </c>
      <c r="B48" t="s">
        <v>178</v>
      </c>
      <c r="C48" s="36" t="str">
        <f ca="1">IFERROR(ISCAM_Score!AL49,"—")</f>
        <v>—</v>
      </c>
      <c r="D48" t="str">
        <f t="shared" ca="1" si="2"/>
        <v>— Sin Inst.2</v>
      </c>
      <c r="E48" t="str">
        <f t="shared" ca="1" si="3"/>
        <v/>
      </c>
      <c r="F48">
        <f>IFERROR(MATRIZ_174!L48,0)</f>
        <v>15171146.539999999</v>
      </c>
      <c r="G48">
        <f>IFERROR(MATRIZ_174!M48,0)</f>
        <v>50</v>
      </c>
      <c r="H48" t="str">
        <f ca="1">IF(NORMALIZADO!CC48="","",NORMALIZADO!CC48)</f>
        <v/>
      </c>
      <c r="I48" t="str">
        <f>IF(NORMALIZADO!CF48="","",NORMALIZADO!CF48)</f>
        <v/>
      </c>
      <c r="J48" t="str">
        <f ca="1">IF(NORMALIZADO!CG48="","",NORMALIZADO!CG48)</f>
        <v/>
      </c>
      <c r="K48">
        <f>IFERROR(INDEX(MATRIZ_174!$U:$U,MATCH(A48,MATRIZ_174!$A:$A,0))*100,"")</f>
        <v>100</v>
      </c>
      <c r="L48">
        <f>IFERROR(MATRIZ_174!O48,0)</f>
        <v>0</v>
      </c>
      <c r="N48" t="str">
        <f ca="1">IFERROR(ISCAM_Score!AC49,"")</f>
        <v>⬜  Pendiente de instrumento</v>
      </c>
      <c r="O48" t="s">
        <v>77</v>
      </c>
      <c r="P48" t="str">
        <f>IFERROR(INDEX(MATRIZ_174!$C:$C,MATCH(A48,MATRIZ_174!$A:$A,0)),"")</f>
        <v>JUNIN</v>
      </c>
    </row>
    <row r="49" spans="1:16" ht="16.05" customHeight="1" x14ac:dyDescent="0.3">
      <c r="A49" t="s">
        <v>179</v>
      </c>
      <c r="B49" t="s">
        <v>180</v>
      </c>
      <c r="C49" s="36" t="str">
        <f ca="1">IFERROR(ISCAM_Score!AL50,"—")</f>
        <v>—</v>
      </c>
      <c r="D49" t="str">
        <f t="shared" ca="1" si="2"/>
        <v>— Sin Inst.2</v>
      </c>
      <c r="E49" t="str">
        <f t="shared" ca="1" si="3"/>
        <v/>
      </c>
      <c r="F49">
        <f>IFERROR(MATRIZ_174!L49,0)</f>
        <v>1145489.3500000001</v>
      </c>
      <c r="G49">
        <f>IFERROR(MATRIZ_174!M49,0)</f>
        <v>50</v>
      </c>
      <c r="H49" t="str">
        <f ca="1">IF(NORMALIZADO!CC49="","",NORMALIZADO!CC49)</f>
        <v/>
      </c>
      <c r="I49" t="str">
        <f>IF(NORMALIZADO!CF49="","",NORMALIZADO!CF49)</f>
        <v/>
      </c>
      <c r="J49" t="str">
        <f ca="1">IF(NORMALIZADO!CG49="","",NORMALIZADO!CG49)</f>
        <v/>
      </c>
      <c r="K49">
        <f>IFERROR(INDEX(MATRIZ_174!$U:$U,MATCH(A49,MATRIZ_174!$A:$A,0))*100,"")</f>
        <v>100</v>
      </c>
      <c r="L49">
        <f>IFERROR(MATRIZ_174!O49,0)</f>
        <v>0</v>
      </c>
      <c r="N49" t="str">
        <f ca="1">IFERROR(ISCAM_Score!AC50,"")</f>
        <v>⬜  Pendiente de instrumento</v>
      </c>
      <c r="O49" t="s">
        <v>77</v>
      </c>
      <c r="P49" t="str">
        <f>IFERROR(INDEX(MATRIZ_174!$C:$C,MATCH(A49,MATRIZ_174!$A:$A,0)),"")</f>
        <v>JUNIN</v>
      </c>
    </row>
    <row r="50" spans="1:16" ht="16.05" customHeight="1" x14ac:dyDescent="0.3">
      <c r="A50" t="s">
        <v>181</v>
      </c>
      <c r="B50" t="s">
        <v>182</v>
      </c>
      <c r="C50" s="36" t="str">
        <f ca="1">IFERROR(ISCAM_Score!AL51,"—")</f>
        <v>—</v>
      </c>
      <c r="D50" t="str">
        <f t="shared" ca="1" si="2"/>
        <v>— Sin Inst.2</v>
      </c>
      <c r="E50" t="str">
        <f t="shared" ca="1" si="3"/>
        <v/>
      </c>
      <c r="F50">
        <f>IFERROR(MATRIZ_174!L50,0)</f>
        <v>0</v>
      </c>
      <c r="G50">
        <f>IFERROR(MATRIZ_174!M50,0)</f>
        <v>0</v>
      </c>
      <c r="H50" t="str">
        <f ca="1">IF(NORMALIZADO!CC50="","",NORMALIZADO!CC50)</f>
        <v/>
      </c>
      <c r="I50" t="str">
        <f>IF(NORMALIZADO!CF50="","",NORMALIZADO!CF50)</f>
        <v/>
      </c>
      <c r="J50" t="str">
        <f ca="1">IF(NORMALIZADO!CG50="","",NORMALIZADO!CG50)</f>
        <v/>
      </c>
      <c r="K50">
        <f>IFERROR(INDEX(MATRIZ_174!$U:$U,MATCH(A50,MATRIZ_174!$A:$A,0))*100,"")</f>
        <v>100</v>
      </c>
      <c r="L50">
        <f>IFERROR(MATRIZ_174!O50,0)</f>
        <v>0</v>
      </c>
      <c r="N50" t="str">
        <f ca="1">IFERROR(ISCAM_Score!AC51,"")</f>
        <v>⬜  Pendiente de instrumento</v>
      </c>
      <c r="O50" t="s">
        <v>183</v>
      </c>
      <c r="P50" t="str">
        <f>IFERROR(INDEX(MATRIZ_174!$C:$C,MATCH(A50,MATRIZ_174!$A:$A,0)),"")</f>
        <v>LAMBAYEQUE</v>
      </c>
    </row>
    <row r="51" spans="1:16" ht="16.05" customHeight="1" x14ac:dyDescent="0.3">
      <c r="A51" t="s">
        <v>184</v>
      </c>
      <c r="B51" t="s">
        <v>185</v>
      </c>
      <c r="C51" s="36" t="str">
        <f ca="1">IFERROR(ISCAM_Score!AL52,"—")</f>
        <v>—</v>
      </c>
      <c r="D51" t="str">
        <f t="shared" ca="1" si="2"/>
        <v>— Sin Inst.2</v>
      </c>
      <c r="E51" t="str">
        <f t="shared" ca="1" si="3"/>
        <v/>
      </c>
      <c r="F51">
        <f>IFERROR(MATRIZ_174!L51,0)</f>
        <v>0</v>
      </c>
      <c r="G51">
        <f>IFERROR(MATRIZ_174!M51,0)</f>
        <v>0</v>
      </c>
      <c r="H51" t="str">
        <f ca="1">IF(NORMALIZADO!CC51="","",NORMALIZADO!CC51)</f>
        <v/>
      </c>
      <c r="I51" t="str">
        <f>IF(NORMALIZADO!CF51="","",NORMALIZADO!CF51)</f>
        <v/>
      </c>
      <c r="J51" t="str">
        <f ca="1">IF(NORMALIZADO!CG51="","",NORMALIZADO!CG51)</f>
        <v/>
      </c>
      <c r="K51">
        <f>IFERROR(INDEX(MATRIZ_174!$U:$U,MATCH(A51,MATRIZ_174!$A:$A,0))*100,"")</f>
        <v>100</v>
      </c>
      <c r="L51">
        <f>IFERROR(MATRIZ_174!O51,0)</f>
        <v>0</v>
      </c>
      <c r="N51" t="str">
        <f ca="1">IFERROR(ISCAM_Score!AC52,"")</f>
        <v>⬜  Pendiente de instrumento</v>
      </c>
      <c r="O51" t="s">
        <v>154</v>
      </c>
      <c r="P51" t="str">
        <f>IFERROR(INDEX(MATRIZ_174!$C:$C,MATCH(A51,MATRIZ_174!$A:$A,0)),"")</f>
        <v>CAJAMARCA</v>
      </c>
    </row>
    <row r="52" spans="1:16" ht="16.05" customHeight="1" x14ac:dyDescent="0.3">
      <c r="A52" t="s">
        <v>186</v>
      </c>
      <c r="B52" t="s">
        <v>187</v>
      </c>
      <c r="C52" s="36" t="str">
        <f ca="1">IFERROR(ISCAM_Score!AL53,"—")</f>
        <v>—</v>
      </c>
      <c r="D52" t="str">
        <f t="shared" ca="1" si="2"/>
        <v>— Sin Inst.2</v>
      </c>
      <c r="E52" t="str">
        <f t="shared" ca="1" si="3"/>
        <v/>
      </c>
      <c r="F52">
        <f>IFERROR(MATRIZ_174!L52,0)</f>
        <v>0</v>
      </c>
      <c r="G52">
        <f>IFERROR(MATRIZ_174!M52,0)</f>
        <v>0</v>
      </c>
      <c r="H52" t="str">
        <f ca="1">IF(NORMALIZADO!CC52="","",NORMALIZADO!CC52)</f>
        <v/>
      </c>
      <c r="I52" t="str">
        <f>IF(NORMALIZADO!CF52="","",NORMALIZADO!CF52)</f>
        <v/>
      </c>
      <c r="J52" t="str">
        <f ca="1">IF(NORMALIZADO!CG52="","",NORMALIZADO!CG52)</f>
        <v/>
      </c>
      <c r="K52">
        <f>IFERROR(INDEX(MATRIZ_174!$U:$U,MATCH(A52,MATRIZ_174!$A:$A,0))*100,"")</f>
        <v>100</v>
      </c>
      <c r="L52">
        <f>IFERROR(MATRIZ_174!O52,0)</f>
        <v>0</v>
      </c>
      <c r="N52" t="str">
        <f ca="1">IFERROR(ISCAM_Score!AC53,"")</f>
        <v>⬜  Pendiente de instrumento</v>
      </c>
      <c r="O52" t="s">
        <v>80</v>
      </c>
      <c r="P52" t="str">
        <f>IFERROR(INDEX(MATRIZ_174!$C:$C,MATCH(A52,MATRIZ_174!$A:$A,0)),"")</f>
        <v>CUSCO</v>
      </c>
    </row>
    <row r="53" spans="1:16" ht="16.05" customHeight="1" x14ac:dyDescent="0.3">
      <c r="A53" t="s">
        <v>188</v>
      </c>
      <c r="B53" t="s">
        <v>189</v>
      </c>
      <c r="C53" s="36" t="str">
        <f ca="1">IFERROR(ISCAM_Score!AL54,"—")</f>
        <v>—</v>
      </c>
      <c r="D53" t="str">
        <f t="shared" ca="1" si="2"/>
        <v>— Sin Inst.2</v>
      </c>
      <c r="E53" t="str">
        <f t="shared" ca="1" si="3"/>
        <v/>
      </c>
      <c r="F53">
        <f>IFERROR(MATRIZ_174!L53,0)</f>
        <v>0</v>
      </c>
      <c r="G53">
        <f>IFERROR(MATRIZ_174!M53,0)</f>
        <v>0</v>
      </c>
      <c r="H53" t="str">
        <f ca="1">IF(NORMALIZADO!CC53="","",NORMALIZADO!CC53)</f>
        <v/>
      </c>
      <c r="I53" t="str">
        <f>IF(NORMALIZADO!CF53="","",NORMALIZADO!CF53)</f>
        <v/>
      </c>
      <c r="J53" t="str">
        <f ca="1">IF(NORMALIZADO!CG53="","",NORMALIZADO!CG53)</f>
        <v/>
      </c>
      <c r="K53">
        <f>IFERROR(INDEX(MATRIZ_174!$U:$U,MATCH(A53,MATRIZ_174!$A:$A,0))*100,"")</f>
        <v>100</v>
      </c>
      <c r="L53">
        <f>IFERROR(MATRIZ_174!O53,0)</f>
        <v>0</v>
      </c>
      <c r="N53" t="str">
        <f ca="1">IFERROR(ISCAM_Score!AC54,"")</f>
        <v>⬜  Pendiente de instrumento</v>
      </c>
      <c r="O53" t="s">
        <v>143</v>
      </c>
      <c r="P53" t="str">
        <f>IFERROR(INDEX(MATRIZ_174!$C:$C,MATCH(A53,MATRIZ_174!$A:$A,0)),"")</f>
        <v>SAN MARTIN</v>
      </c>
    </row>
    <row r="54" spans="1:16" ht="16.05" customHeight="1" x14ac:dyDescent="0.3">
      <c r="A54" t="s">
        <v>190</v>
      </c>
      <c r="B54" t="s">
        <v>191</v>
      </c>
      <c r="C54" s="36" t="str">
        <f ca="1">IFERROR(ISCAM_Score!AL55,"—")</f>
        <v>—</v>
      </c>
      <c r="D54" t="str">
        <f t="shared" ca="1" si="2"/>
        <v>— Sin Inst.2</v>
      </c>
      <c r="E54" t="str">
        <f t="shared" ca="1" si="3"/>
        <v/>
      </c>
      <c r="F54">
        <f>IFERROR(MATRIZ_174!L54,0)</f>
        <v>0</v>
      </c>
      <c r="G54">
        <f>IFERROR(MATRIZ_174!M54,0)</f>
        <v>0</v>
      </c>
      <c r="H54" t="str">
        <f ca="1">IF(NORMALIZADO!CC54="","",NORMALIZADO!CC54)</f>
        <v/>
      </c>
      <c r="I54" t="str">
        <f>IF(NORMALIZADO!CF54="","",NORMALIZADO!CF54)</f>
        <v/>
      </c>
      <c r="J54" t="str">
        <f ca="1">IF(NORMALIZADO!CG54="","",NORMALIZADO!CG54)</f>
        <v/>
      </c>
      <c r="K54">
        <f>IFERROR(INDEX(MATRIZ_174!$U:$U,MATCH(A54,MATRIZ_174!$A:$A,0))*100,"")</f>
        <v>100</v>
      </c>
      <c r="L54">
        <f>IFERROR(MATRIZ_174!O54,0)</f>
        <v>0</v>
      </c>
      <c r="N54" t="str">
        <f ca="1">IFERROR(ISCAM_Score!AC55,"")</f>
        <v>⬜  Pendiente de instrumento</v>
      </c>
      <c r="O54" t="s">
        <v>143</v>
      </c>
      <c r="P54" t="str">
        <f>IFERROR(INDEX(MATRIZ_174!$C:$C,MATCH(A54,MATRIZ_174!$A:$A,0)),"")</f>
        <v>SAN MARTIN</v>
      </c>
    </row>
    <row r="55" spans="1:16" ht="16.05" customHeight="1" x14ac:dyDescent="0.3">
      <c r="A55" t="s">
        <v>192</v>
      </c>
      <c r="B55" t="s">
        <v>193</v>
      </c>
      <c r="C55" s="36" t="str">
        <f ca="1">IFERROR(ISCAM_Score!AL56,"—")</f>
        <v>—</v>
      </c>
      <c r="D55" t="str">
        <f t="shared" ca="1" si="2"/>
        <v>— Sin Inst.2</v>
      </c>
      <c r="E55" t="str">
        <f t="shared" ca="1" si="3"/>
        <v/>
      </c>
      <c r="F55">
        <f>IFERROR(MATRIZ_174!L55,0)</f>
        <v>0</v>
      </c>
      <c r="G55">
        <f>IFERROR(MATRIZ_174!M55,0)</f>
        <v>0</v>
      </c>
      <c r="H55" t="str">
        <f ca="1">IF(NORMALIZADO!CC55="","",NORMALIZADO!CC55)</f>
        <v/>
      </c>
      <c r="I55" t="str">
        <f>IF(NORMALIZADO!CF55="","",NORMALIZADO!CF55)</f>
        <v/>
      </c>
      <c r="J55" t="str">
        <f ca="1">IF(NORMALIZADO!CG55="","",NORMALIZADO!CG55)</f>
        <v/>
      </c>
      <c r="K55">
        <f>IFERROR(INDEX(MATRIZ_174!$U:$U,MATCH(A55,MATRIZ_174!$A:$A,0))*100,"")</f>
        <v>100</v>
      </c>
      <c r="L55">
        <f>IFERROR(MATRIZ_174!O55,0)</f>
        <v>0</v>
      </c>
      <c r="N55" t="str">
        <f ca="1">IFERROR(ISCAM_Score!AC56,"")</f>
        <v>⬜  Pendiente de instrumento</v>
      </c>
      <c r="O55" t="s">
        <v>143</v>
      </c>
      <c r="P55" t="str">
        <f>IFERROR(INDEX(MATRIZ_174!$C:$C,MATCH(A55,MATRIZ_174!$A:$A,0)),"")</f>
        <v>SAN MARTIN</v>
      </c>
    </row>
    <row r="56" spans="1:16" ht="16.05" customHeight="1" x14ac:dyDescent="0.3">
      <c r="A56" t="s">
        <v>194</v>
      </c>
      <c r="B56" t="s">
        <v>195</v>
      </c>
      <c r="C56" s="36" t="str">
        <f ca="1">IFERROR(ISCAM_Score!AL57,"—")</f>
        <v>—</v>
      </c>
      <c r="D56" t="str">
        <f t="shared" ca="1" si="2"/>
        <v>— Sin Inst.2</v>
      </c>
      <c r="E56" t="str">
        <f t="shared" ca="1" si="3"/>
        <v/>
      </c>
      <c r="F56">
        <f>IFERROR(MATRIZ_174!L56,0)</f>
        <v>0</v>
      </c>
      <c r="G56">
        <f>IFERROR(MATRIZ_174!M56,0)</f>
        <v>0</v>
      </c>
      <c r="H56" t="str">
        <f ca="1">IF(NORMALIZADO!CC56="","",NORMALIZADO!CC56)</f>
        <v/>
      </c>
      <c r="I56" t="str">
        <f>IF(NORMALIZADO!CF56="","",NORMALIZADO!CF56)</f>
        <v/>
      </c>
      <c r="J56" t="str">
        <f ca="1">IF(NORMALIZADO!CG56="","",NORMALIZADO!CG56)</f>
        <v/>
      </c>
      <c r="K56">
        <f>IFERROR(INDEX(MATRIZ_174!$U:$U,MATCH(A56,MATRIZ_174!$A:$A,0))*100,"")</f>
        <v>100</v>
      </c>
      <c r="L56">
        <f>IFERROR(MATRIZ_174!O56,0)</f>
        <v>0</v>
      </c>
      <c r="N56" t="str">
        <f ca="1">IFERROR(ISCAM_Score!AC57,"")</f>
        <v>⬜  Pendiente de instrumento</v>
      </c>
      <c r="O56" t="s">
        <v>196</v>
      </c>
      <c r="P56" t="str">
        <f>IFERROR(INDEX(MATRIZ_174!$C:$C,MATCH(A56,MATRIZ_174!$A:$A,0)),"")</f>
        <v>LORETO</v>
      </c>
    </row>
    <row r="57" spans="1:16" ht="16.05" customHeight="1" x14ac:dyDescent="0.3">
      <c r="A57" t="s">
        <v>197</v>
      </c>
      <c r="B57" t="s">
        <v>198</v>
      </c>
      <c r="C57" s="36" t="str">
        <f ca="1">IFERROR(ISCAM_Score!AL58,"—")</f>
        <v>—</v>
      </c>
      <c r="D57" t="str">
        <f t="shared" ca="1" si="2"/>
        <v>— Sin Inst.2</v>
      </c>
      <c r="E57" t="str">
        <f t="shared" ca="1" si="3"/>
        <v/>
      </c>
      <c r="F57">
        <f>IFERROR(MATRIZ_174!L57,0)</f>
        <v>0</v>
      </c>
      <c r="G57">
        <f>IFERROR(MATRIZ_174!M57,0)</f>
        <v>0</v>
      </c>
      <c r="H57" t="str">
        <f ca="1">IF(NORMALIZADO!CC57="","",NORMALIZADO!CC57)</f>
        <v/>
      </c>
      <c r="I57" t="str">
        <f>IF(NORMALIZADO!CF57="","",NORMALIZADO!CF57)</f>
        <v/>
      </c>
      <c r="J57" t="str">
        <f ca="1">IF(NORMALIZADO!CG57="","",NORMALIZADO!CG57)</f>
        <v/>
      </c>
      <c r="K57">
        <f>IFERROR(INDEX(MATRIZ_174!$U:$U,MATCH(A57,MATRIZ_174!$A:$A,0))*100,"")</f>
        <v>100</v>
      </c>
      <c r="L57">
        <f>IFERROR(MATRIZ_174!O57,0)</f>
        <v>0</v>
      </c>
      <c r="N57" t="str">
        <f ca="1">IFERROR(ISCAM_Score!AC58,"")</f>
        <v>⬜  Pendiente de instrumento</v>
      </c>
      <c r="O57" t="s">
        <v>80</v>
      </c>
      <c r="P57" t="str">
        <f>IFERROR(INDEX(MATRIZ_174!$C:$C,MATCH(A57,MATRIZ_174!$A:$A,0)),"")</f>
        <v>CUSCO</v>
      </c>
    </row>
    <row r="58" spans="1:16" ht="16.05" customHeight="1" x14ac:dyDescent="0.3">
      <c r="A58" t="s">
        <v>199</v>
      </c>
      <c r="B58" t="s">
        <v>200</v>
      </c>
      <c r="C58" s="36" t="str">
        <f ca="1">IFERROR(ISCAM_Score!AL59,"—")</f>
        <v>—</v>
      </c>
      <c r="D58" t="str">
        <f t="shared" ca="1" si="2"/>
        <v>— Sin Inst.2</v>
      </c>
      <c r="E58" t="str">
        <f t="shared" ca="1" si="3"/>
        <v/>
      </c>
      <c r="F58">
        <f>IFERROR(MATRIZ_174!L58,0)</f>
        <v>52920</v>
      </c>
      <c r="G58">
        <f>IFERROR(MATRIZ_174!M58,0)</f>
        <v>50</v>
      </c>
      <c r="H58" t="str">
        <f ca="1">IF(NORMALIZADO!CC58="","",NORMALIZADO!CC58)</f>
        <v/>
      </c>
      <c r="I58" t="str">
        <f>IF(NORMALIZADO!CF58="","",NORMALIZADO!CF58)</f>
        <v/>
      </c>
      <c r="J58" t="str">
        <f ca="1">IF(NORMALIZADO!CG58="","",NORMALIZADO!CG58)</f>
        <v/>
      </c>
      <c r="K58">
        <f>IFERROR(INDEX(MATRIZ_174!$U:$U,MATCH(A58,MATRIZ_174!$A:$A,0))*100,"")</f>
        <v>100</v>
      </c>
      <c r="L58">
        <f>IFERROR(MATRIZ_174!O58,0)</f>
        <v>0</v>
      </c>
      <c r="N58" t="str">
        <f ca="1">IFERROR(ISCAM_Score!AC59,"")</f>
        <v>⬜  Pendiente de instrumento</v>
      </c>
      <c r="O58" t="s">
        <v>107</v>
      </c>
      <c r="P58" t="str">
        <f>IFERROR(INDEX(MATRIZ_174!$C:$C,MATCH(A58,MATRIZ_174!$A:$A,0)),"")</f>
        <v>PIURA</v>
      </c>
    </row>
    <row r="59" spans="1:16" ht="16.05" customHeight="1" x14ac:dyDescent="0.3">
      <c r="A59" t="s">
        <v>201</v>
      </c>
      <c r="B59" t="s">
        <v>202</v>
      </c>
      <c r="C59" s="36" t="str">
        <f ca="1">IFERROR(ISCAM_Score!AL60,"—")</f>
        <v>—</v>
      </c>
      <c r="D59" t="str">
        <f t="shared" ca="1" si="2"/>
        <v>— Sin Inst.2</v>
      </c>
      <c r="E59" t="str">
        <f t="shared" ca="1" si="3"/>
        <v/>
      </c>
      <c r="F59">
        <f>IFERROR(MATRIZ_174!L59,0)</f>
        <v>0</v>
      </c>
      <c r="G59">
        <f>IFERROR(MATRIZ_174!M59,0)</f>
        <v>0</v>
      </c>
      <c r="H59" t="str">
        <f ca="1">IF(NORMALIZADO!CC59="","",NORMALIZADO!CC59)</f>
        <v/>
      </c>
      <c r="I59" t="str">
        <f>IF(NORMALIZADO!CF59="","",NORMALIZADO!CF59)</f>
        <v/>
      </c>
      <c r="J59" t="str">
        <f ca="1">IF(NORMALIZADO!CG59="","",NORMALIZADO!CG59)</f>
        <v/>
      </c>
      <c r="K59">
        <f>IFERROR(INDEX(MATRIZ_174!$U:$U,MATCH(A59,MATRIZ_174!$A:$A,0))*100,"")</f>
        <v>100</v>
      </c>
      <c r="L59">
        <f>IFERROR(MATRIZ_174!O59,0)</f>
        <v>0</v>
      </c>
      <c r="N59" t="str">
        <f ca="1">IFERROR(ISCAM_Score!AC60,"")</f>
        <v>⬜  Pendiente de instrumento</v>
      </c>
      <c r="O59" t="s">
        <v>107</v>
      </c>
      <c r="P59" t="str">
        <f>IFERROR(INDEX(MATRIZ_174!$C:$C,MATCH(A59,MATRIZ_174!$A:$A,0)),"")</f>
        <v>PIURA</v>
      </c>
    </row>
    <row r="60" spans="1:16" ht="16.05" customHeight="1" x14ac:dyDescent="0.3">
      <c r="A60" t="s">
        <v>203</v>
      </c>
      <c r="B60" t="s">
        <v>204</v>
      </c>
      <c r="C60" s="36" t="str">
        <f ca="1">IFERROR(ISCAM_Score!AL61,"—")</f>
        <v>—</v>
      </c>
      <c r="D60" t="str">
        <f t="shared" ca="1" si="2"/>
        <v>— Sin Inst.2</v>
      </c>
      <c r="E60" t="str">
        <f t="shared" ca="1" si="3"/>
        <v/>
      </c>
      <c r="F60">
        <f>IFERROR(MATRIZ_174!L60,0)</f>
        <v>5373465.4699999997</v>
      </c>
      <c r="G60">
        <f>IFERROR(MATRIZ_174!M60,0)</f>
        <v>50</v>
      </c>
      <c r="H60" t="str">
        <f ca="1">IF(NORMALIZADO!CC60="","",NORMALIZADO!CC60)</f>
        <v/>
      </c>
      <c r="I60" t="str">
        <f>IF(NORMALIZADO!CF60="","",NORMALIZADO!CF60)</f>
        <v/>
      </c>
      <c r="J60" t="str">
        <f ca="1">IF(NORMALIZADO!CG60="","",NORMALIZADO!CG60)</f>
        <v/>
      </c>
      <c r="K60">
        <f>IFERROR(INDEX(MATRIZ_174!$U:$U,MATCH(A60,MATRIZ_174!$A:$A,0))*100,"")</f>
        <v>100</v>
      </c>
      <c r="L60">
        <f>IFERROR(MATRIZ_174!O60,0)</f>
        <v>0</v>
      </c>
      <c r="N60" t="str">
        <f ca="1">IFERROR(ISCAM_Score!AC61,"")</f>
        <v>⬜  Pendiente de instrumento</v>
      </c>
      <c r="O60" t="s">
        <v>205</v>
      </c>
      <c r="P60" t="str">
        <f>IFERROR(INDEX(MATRIZ_174!$C:$C,MATCH(A60,MATRIZ_174!$A:$A,0)),"")</f>
        <v>APURIMAC</v>
      </c>
    </row>
    <row r="61" spans="1:16" ht="16.05" customHeight="1" x14ac:dyDescent="0.3">
      <c r="A61" t="s">
        <v>206</v>
      </c>
      <c r="B61" t="s">
        <v>207</v>
      </c>
      <c r="C61" s="36" t="str">
        <f ca="1">IFERROR(ISCAM_Score!AL62,"—")</f>
        <v>—</v>
      </c>
      <c r="D61" t="str">
        <f t="shared" ca="1" si="2"/>
        <v>— Sin Inst.2</v>
      </c>
      <c r="E61" t="str">
        <f t="shared" ca="1" si="3"/>
        <v/>
      </c>
      <c r="F61">
        <f>IFERROR(MATRIZ_174!L61,0)</f>
        <v>0</v>
      </c>
      <c r="G61">
        <f>IFERROR(MATRIZ_174!M61,0)</f>
        <v>0</v>
      </c>
      <c r="H61" t="str">
        <f ca="1">IF(NORMALIZADO!CC61="","",NORMALIZADO!CC61)</f>
        <v/>
      </c>
      <c r="I61" t="str">
        <f>IF(NORMALIZADO!CF61="","",NORMALIZADO!CF61)</f>
        <v/>
      </c>
      <c r="J61" t="str">
        <f ca="1">IF(NORMALIZADO!CG61="","",NORMALIZADO!CG61)</f>
        <v/>
      </c>
      <c r="K61">
        <f>IFERROR(INDEX(MATRIZ_174!$U:$U,MATCH(A61,MATRIZ_174!$A:$A,0))*100,"")</f>
        <v>100</v>
      </c>
      <c r="L61">
        <f>IFERROR(MATRIZ_174!O61,0)</f>
        <v>0</v>
      </c>
      <c r="N61" t="str">
        <f ca="1">IFERROR(ISCAM_Score!AC62,"")</f>
        <v>⬜  Pendiente de instrumento</v>
      </c>
      <c r="O61" t="s">
        <v>123</v>
      </c>
      <c r="P61" t="str">
        <f>IFERROR(INDEX(MATRIZ_174!$C:$C,MATCH(A61,MATRIZ_174!$A:$A,0)),"")</f>
        <v>HUANUCO</v>
      </c>
    </row>
    <row r="62" spans="1:16" ht="16.05" customHeight="1" x14ac:dyDescent="0.3">
      <c r="A62" t="s">
        <v>208</v>
      </c>
      <c r="B62" t="s">
        <v>209</v>
      </c>
      <c r="C62" s="36" t="str">
        <f ca="1">IFERROR(ISCAM_Score!AL63,"—")</f>
        <v>—</v>
      </c>
      <c r="D62" t="str">
        <f t="shared" ca="1" si="2"/>
        <v>— Sin Inst.2</v>
      </c>
      <c r="E62" t="str">
        <f t="shared" ca="1" si="3"/>
        <v/>
      </c>
      <c r="F62">
        <f>IFERROR(MATRIZ_174!L62,0)</f>
        <v>0</v>
      </c>
      <c r="G62">
        <f>IFERROR(MATRIZ_174!M62,0)</f>
        <v>0</v>
      </c>
      <c r="H62" t="str">
        <f ca="1">IF(NORMALIZADO!CC62="","",NORMALIZADO!CC62)</f>
        <v/>
      </c>
      <c r="I62" t="str">
        <f>IF(NORMALIZADO!CF62="","",NORMALIZADO!CF62)</f>
        <v/>
      </c>
      <c r="J62" t="str">
        <f ca="1">IF(NORMALIZADO!CG62="","",NORMALIZADO!CG62)</f>
        <v/>
      </c>
      <c r="K62">
        <f>IFERROR(INDEX(MATRIZ_174!$U:$U,MATCH(A62,MATRIZ_174!$A:$A,0))*100,"")</f>
        <v>100</v>
      </c>
      <c r="L62">
        <f>IFERROR(MATRIZ_174!O62,0)</f>
        <v>0</v>
      </c>
      <c r="N62" t="str">
        <f ca="1">IFERROR(ISCAM_Score!AC63,"")</f>
        <v>⬜  Pendiente de instrumento</v>
      </c>
      <c r="O62" t="s">
        <v>107</v>
      </c>
      <c r="P62" t="str">
        <f>IFERROR(INDEX(MATRIZ_174!$C:$C,MATCH(A62,MATRIZ_174!$A:$A,0)),"")</f>
        <v>PIURA</v>
      </c>
    </row>
    <row r="63" spans="1:16" ht="16.05" customHeight="1" x14ac:dyDescent="0.3">
      <c r="A63" t="s">
        <v>210</v>
      </c>
      <c r="B63" t="s">
        <v>211</v>
      </c>
      <c r="C63" s="36" t="str">
        <f ca="1">IFERROR(ISCAM_Score!AL64,"—")</f>
        <v>—</v>
      </c>
      <c r="D63" t="str">
        <f t="shared" ca="1" si="2"/>
        <v>— Sin Inst.2</v>
      </c>
      <c r="E63" t="str">
        <f t="shared" ca="1" si="3"/>
        <v/>
      </c>
      <c r="F63">
        <f>IFERROR(MATRIZ_174!L63,0)</f>
        <v>0</v>
      </c>
      <c r="G63">
        <f>IFERROR(MATRIZ_174!M63,0)</f>
        <v>0</v>
      </c>
      <c r="H63" t="str">
        <f ca="1">IF(NORMALIZADO!CC63="","",NORMALIZADO!CC63)</f>
        <v/>
      </c>
      <c r="I63" t="str">
        <f>IF(NORMALIZADO!CF63="","",NORMALIZADO!CF63)</f>
        <v/>
      </c>
      <c r="J63" t="str">
        <f ca="1">IF(NORMALIZADO!CG63="","",NORMALIZADO!CG63)</f>
        <v/>
      </c>
      <c r="K63">
        <f>IFERROR(INDEX(MATRIZ_174!$U:$U,MATCH(A63,MATRIZ_174!$A:$A,0))*100,"")</f>
        <v>100</v>
      </c>
      <c r="L63">
        <f>IFERROR(MATRIZ_174!O63,0)</f>
        <v>0</v>
      </c>
      <c r="N63" t="str">
        <f ca="1">IFERROR(ISCAM_Score!AC64,"")</f>
        <v>⬜  Pendiente de instrumento</v>
      </c>
      <c r="O63" t="s">
        <v>107</v>
      </c>
      <c r="P63" t="str">
        <f>IFERROR(INDEX(MATRIZ_174!$C:$C,MATCH(A63,MATRIZ_174!$A:$A,0)),"")</f>
        <v>PIURA</v>
      </c>
    </row>
    <row r="64" spans="1:16" ht="16.05" customHeight="1" x14ac:dyDescent="0.3">
      <c r="A64" t="s">
        <v>212</v>
      </c>
      <c r="B64" t="s">
        <v>213</v>
      </c>
      <c r="C64" s="36" t="str">
        <f ca="1">IFERROR(ISCAM_Score!AL65,"—")</f>
        <v>—</v>
      </c>
      <c r="D64" t="str">
        <f t="shared" ca="1" si="2"/>
        <v>— Sin Inst.2</v>
      </c>
      <c r="E64" t="str">
        <f t="shared" ca="1" si="3"/>
        <v/>
      </c>
      <c r="F64">
        <f>IFERROR(MATRIZ_174!L64,0)</f>
        <v>0</v>
      </c>
      <c r="G64">
        <f>IFERROR(MATRIZ_174!M64,0)</f>
        <v>0</v>
      </c>
      <c r="H64" t="str">
        <f ca="1">IF(NORMALIZADO!CC64="","",NORMALIZADO!CC64)</f>
        <v/>
      </c>
      <c r="I64" t="str">
        <f>IF(NORMALIZADO!CF64="","",NORMALIZADO!CF64)</f>
        <v/>
      </c>
      <c r="J64" t="str">
        <f ca="1">IF(NORMALIZADO!CG64="","",NORMALIZADO!CG64)</f>
        <v/>
      </c>
      <c r="K64">
        <f>IFERROR(INDEX(MATRIZ_174!$U:$U,MATCH(A64,MATRIZ_174!$A:$A,0))*100,"")</f>
        <v>100</v>
      </c>
      <c r="L64">
        <f>IFERROR(MATRIZ_174!O64,0)</f>
        <v>0</v>
      </c>
      <c r="N64" t="str">
        <f ca="1">IFERROR(ISCAM_Score!AC65,"")</f>
        <v>⬜  Pendiente de instrumento</v>
      </c>
      <c r="O64" t="s">
        <v>143</v>
      </c>
      <c r="P64" t="str">
        <f>IFERROR(INDEX(MATRIZ_174!$C:$C,MATCH(A64,MATRIZ_174!$A:$A,0)),"")</f>
        <v>SAN MARTIN</v>
      </c>
    </row>
    <row r="65" spans="1:16" ht="16.05" customHeight="1" x14ac:dyDescent="0.3">
      <c r="A65" t="s">
        <v>214</v>
      </c>
      <c r="B65" t="s">
        <v>215</v>
      </c>
      <c r="C65" s="36" t="str">
        <f ca="1">IFERROR(ISCAM_Score!AL66,"—")</f>
        <v>—</v>
      </c>
      <c r="D65" t="str">
        <f t="shared" ca="1" si="2"/>
        <v>— Sin Inst.2</v>
      </c>
      <c r="E65" t="str">
        <f t="shared" ca="1" si="3"/>
        <v/>
      </c>
      <c r="F65">
        <f>IFERROR(MATRIZ_174!L65,0)</f>
        <v>0</v>
      </c>
      <c r="G65">
        <f>IFERROR(MATRIZ_174!M65,0)</f>
        <v>0</v>
      </c>
      <c r="H65" t="str">
        <f ca="1">IF(NORMALIZADO!CC65="","",NORMALIZADO!CC65)</f>
        <v/>
      </c>
      <c r="I65" t="str">
        <f>IF(NORMALIZADO!CF65="","",NORMALIZADO!CF65)</f>
        <v/>
      </c>
      <c r="J65" t="str">
        <f ca="1">IF(NORMALIZADO!CG65="","",NORMALIZADO!CG65)</f>
        <v/>
      </c>
      <c r="K65">
        <f>IFERROR(INDEX(MATRIZ_174!$U:$U,MATCH(A65,MATRIZ_174!$A:$A,0))*100,"")</f>
        <v>100</v>
      </c>
      <c r="L65">
        <f>IFERROR(MATRIZ_174!O65,0)</f>
        <v>0</v>
      </c>
      <c r="N65" t="str">
        <f ca="1">IFERROR(ISCAM_Score!AC66,"")</f>
        <v>⬜  Pendiente de instrumento</v>
      </c>
      <c r="O65" t="s">
        <v>143</v>
      </c>
      <c r="P65" t="str">
        <f>IFERROR(INDEX(MATRIZ_174!$C:$C,MATCH(A65,MATRIZ_174!$A:$A,0)),"")</f>
        <v>SAN MARTIN</v>
      </c>
    </row>
    <row r="66" spans="1:16" ht="16.05" customHeight="1" x14ac:dyDescent="0.3">
      <c r="A66" t="s">
        <v>216</v>
      </c>
      <c r="B66" t="s">
        <v>217</v>
      </c>
      <c r="C66" s="36" t="str">
        <f ca="1">IFERROR(ISCAM_Score!AL67,"—")</f>
        <v>—</v>
      </c>
      <c r="D66" t="str">
        <f t="shared" ca="1" si="2"/>
        <v>— Sin Inst.2</v>
      </c>
      <c r="E66" t="str">
        <f t="shared" ca="1" si="3"/>
        <v/>
      </c>
      <c r="F66">
        <f>IFERROR(MATRIZ_174!L66,0)</f>
        <v>0</v>
      </c>
      <c r="G66">
        <f>IFERROR(MATRIZ_174!M66,0)</f>
        <v>0</v>
      </c>
      <c r="H66" t="str">
        <f ca="1">IF(NORMALIZADO!CC66="","",NORMALIZADO!CC66)</f>
        <v/>
      </c>
      <c r="I66" t="str">
        <f>IF(NORMALIZADO!CF66="","",NORMALIZADO!CF66)</f>
        <v/>
      </c>
      <c r="J66" t="str">
        <f ca="1">IF(NORMALIZADO!CG66="","",NORMALIZADO!CG66)</f>
        <v/>
      </c>
      <c r="K66">
        <f>IFERROR(INDEX(MATRIZ_174!$U:$U,MATCH(A66,MATRIZ_174!$A:$A,0))*100,"")</f>
        <v>100</v>
      </c>
      <c r="L66">
        <f>IFERROR(MATRIZ_174!O66,0)</f>
        <v>0</v>
      </c>
      <c r="N66" t="str">
        <f ca="1">IFERROR(ISCAM_Score!AC67,"")</f>
        <v>⬜  Pendiente de instrumento</v>
      </c>
      <c r="O66" t="s">
        <v>80</v>
      </c>
      <c r="P66" t="str">
        <f>IFERROR(INDEX(MATRIZ_174!$C:$C,MATCH(A66,MATRIZ_174!$A:$A,0)),"")</f>
        <v>CUSCO</v>
      </c>
    </row>
    <row r="67" spans="1:16" ht="16.05" customHeight="1" x14ac:dyDescent="0.3">
      <c r="A67" t="s">
        <v>218</v>
      </c>
      <c r="B67" t="s">
        <v>219</v>
      </c>
      <c r="C67" s="36" t="str">
        <f ca="1">IFERROR(ISCAM_Score!AL68,"—")</f>
        <v>—</v>
      </c>
      <c r="D67" t="str">
        <f t="shared" ref="D67:D98" ca="1" si="4">IF(C67="—","— Sin Inst.2",IF(C67&lt;34,"🔴  Crítico",IF(C67&lt;67,"🟡  Vulnerable","🟢  Preparado")))</f>
        <v>— Sin Inst.2</v>
      </c>
      <c r="E67" t="str">
        <f t="shared" ref="E67:E98" ca="1" si="5">IFERROR(RANK(C67,C:C,-1),"")</f>
        <v/>
      </c>
      <c r="F67">
        <f>IFERROR(MATRIZ_174!L67,0)</f>
        <v>0</v>
      </c>
      <c r="G67">
        <f>IFERROR(MATRIZ_174!M67,0)</f>
        <v>0</v>
      </c>
      <c r="H67" t="str">
        <f ca="1">IF(NORMALIZADO!CC67="","",NORMALIZADO!CC67)</f>
        <v/>
      </c>
      <c r="I67" t="str">
        <f>IF(NORMALIZADO!CF67="","",NORMALIZADO!CF67)</f>
        <v/>
      </c>
      <c r="J67" t="str">
        <f ca="1">IF(NORMALIZADO!CG67="","",NORMALIZADO!CG67)</f>
        <v/>
      </c>
      <c r="K67">
        <f>IFERROR(INDEX(MATRIZ_174!$U:$U,MATCH(A67,MATRIZ_174!$A:$A,0))*100,"")</f>
        <v>100</v>
      </c>
      <c r="L67">
        <f>IFERROR(MATRIZ_174!O67,0)</f>
        <v>0</v>
      </c>
      <c r="N67" t="str">
        <f ca="1">IFERROR(ISCAM_Score!AC68,"")</f>
        <v>⬜  Pendiente de instrumento</v>
      </c>
      <c r="O67" t="s">
        <v>116</v>
      </c>
      <c r="P67" t="str">
        <f>IFERROR(INDEX(MATRIZ_174!$C:$C,MATCH(A67,MATRIZ_174!$A:$A,0)),"")</f>
        <v>AMAZONAS</v>
      </c>
    </row>
    <row r="68" spans="1:16" ht="16.05" customHeight="1" x14ac:dyDescent="0.3">
      <c r="A68" t="s">
        <v>220</v>
      </c>
      <c r="B68" t="s">
        <v>221</v>
      </c>
      <c r="C68" s="36" t="str">
        <f ca="1">IFERROR(ISCAM_Score!AL69,"—")</f>
        <v>—</v>
      </c>
      <c r="D68" t="str">
        <f t="shared" ca="1" si="4"/>
        <v>— Sin Inst.2</v>
      </c>
      <c r="E68" t="str">
        <f t="shared" ca="1" si="5"/>
        <v/>
      </c>
      <c r="F68">
        <f>IFERROR(MATRIZ_174!L68,0)</f>
        <v>0</v>
      </c>
      <c r="G68">
        <f>IFERROR(MATRIZ_174!M68,0)</f>
        <v>0</v>
      </c>
      <c r="H68" t="str">
        <f ca="1">IF(NORMALIZADO!CC68="","",NORMALIZADO!CC68)</f>
        <v/>
      </c>
      <c r="I68" t="str">
        <f>IF(NORMALIZADO!CF68="","",NORMALIZADO!CF68)</f>
        <v/>
      </c>
      <c r="J68" t="str">
        <f ca="1">IF(NORMALIZADO!CG68="","",NORMALIZADO!CG68)</f>
        <v/>
      </c>
      <c r="K68">
        <f>IFERROR(INDEX(MATRIZ_174!$U:$U,MATCH(A68,MATRIZ_174!$A:$A,0))*100,"")</f>
        <v>100</v>
      </c>
      <c r="L68">
        <f>IFERROR(MATRIZ_174!O68,0)</f>
        <v>0</v>
      </c>
      <c r="N68" t="str">
        <f ca="1">IFERROR(ISCAM_Score!AC69,"")</f>
        <v>⬜  Pendiente de instrumento</v>
      </c>
      <c r="O68" t="s">
        <v>116</v>
      </c>
      <c r="P68" t="str">
        <f>IFERROR(INDEX(MATRIZ_174!$C:$C,MATCH(A68,MATRIZ_174!$A:$A,0)),"")</f>
        <v>AMAZONAS</v>
      </c>
    </row>
    <row r="69" spans="1:16" ht="16.05" customHeight="1" x14ac:dyDescent="0.3">
      <c r="A69" t="s">
        <v>222</v>
      </c>
      <c r="B69" t="s">
        <v>223</v>
      </c>
      <c r="C69" s="36" t="str">
        <f ca="1">IFERROR(ISCAM_Score!AL70,"—")</f>
        <v>—</v>
      </c>
      <c r="D69" t="str">
        <f t="shared" ca="1" si="4"/>
        <v>— Sin Inst.2</v>
      </c>
      <c r="E69" t="str">
        <f t="shared" ca="1" si="5"/>
        <v/>
      </c>
      <c r="F69">
        <f>IFERROR(MATRIZ_174!L69,0)</f>
        <v>0</v>
      </c>
      <c r="G69">
        <f>IFERROR(MATRIZ_174!M69,0)</f>
        <v>0</v>
      </c>
      <c r="H69" t="str">
        <f ca="1">IF(NORMALIZADO!CC69="","",NORMALIZADO!CC69)</f>
        <v/>
      </c>
      <c r="I69" t="str">
        <f>IF(NORMALIZADO!CF69="","",NORMALIZADO!CF69)</f>
        <v/>
      </c>
      <c r="J69" t="str">
        <f ca="1">IF(NORMALIZADO!CG69="","",NORMALIZADO!CG69)</f>
        <v/>
      </c>
      <c r="K69">
        <f>IFERROR(INDEX(MATRIZ_174!$U:$U,MATCH(A69,MATRIZ_174!$A:$A,0))*100,"")</f>
        <v>100</v>
      </c>
      <c r="L69">
        <f>IFERROR(MATRIZ_174!O69,0)</f>
        <v>0</v>
      </c>
      <c r="N69" t="str">
        <f ca="1">IFERROR(ISCAM_Score!AC70,"")</f>
        <v>⬜  Pendiente de instrumento</v>
      </c>
      <c r="O69" t="s">
        <v>183</v>
      </c>
      <c r="P69" t="str">
        <f>IFERROR(INDEX(MATRIZ_174!$C:$C,MATCH(A69,MATRIZ_174!$A:$A,0)),"")</f>
        <v>LAMBAYEQUE</v>
      </c>
    </row>
    <row r="70" spans="1:16" ht="16.05" customHeight="1" x14ac:dyDescent="0.3">
      <c r="A70" t="s">
        <v>224</v>
      </c>
      <c r="B70" t="s">
        <v>225</v>
      </c>
      <c r="C70" s="36" t="str">
        <f ca="1">IFERROR(ISCAM_Score!AL71,"—")</f>
        <v>—</v>
      </c>
      <c r="D70" t="str">
        <f t="shared" ca="1" si="4"/>
        <v>— Sin Inst.2</v>
      </c>
      <c r="E70" t="str">
        <f t="shared" ca="1" si="5"/>
        <v/>
      </c>
      <c r="F70">
        <f>IFERROR(MATRIZ_174!L70,0)</f>
        <v>7878141.7300000004</v>
      </c>
      <c r="G70">
        <f>IFERROR(MATRIZ_174!M70,0)</f>
        <v>59.5</v>
      </c>
      <c r="H70" t="str">
        <f ca="1">IF(NORMALIZADO!CC70="","",NORMALIZADO!CC70)</f>
        <v/>
      </c>
      <c r="I70" t="str">
        <f>IF(NORMALIZADO!CF70="","",NORMALIZADO!CF70)</f>
        <v/>
      </c>
      <c r="J70" t="str">
        <f ca="1">IF(NORMALIZADO!CG70="","",NORMALIZADO!CG70)</f>
        <v/>
      </c>
      <c r="K70">
        <f>IFERROR(INDEX(MATRIZ_174!$U:$U,MATCH(A70,MATRIZ_174!$A:$A,0))*100,"")</f>
        <v>100</v>
      </c>
      <c r="L70">
        <f>IFERROR(MATRIZ_174!O70,0)</f>
        <v>0</v>
      </c>
      <c r="N70" t="str">
        <f ca="1">IFERROR(ISCAM_Score!AC71,"")</f>
        <v>⬜  Pendiente de instrumento</v>
      </c>
      <c r="O70" t="s">
        <v>143</v>
      </c>
      <c r="P70" t="str">
        <f>IFERROR(INDEX(MATRIZ_174!$C:$C,MATCH(A70,MATRIZ_174!$A:$A,0)),"")</f>
        <v>SAN MARTIN</v>
      </c>
    </row>
    <row r="71" spans="1:16" ht="16.05" customHeight="1" x14ac:dyDescent="0.3">
      <c r="A71" t="s">
        <v>228</v>
      </c>
      <c r="B71" t="s">
        <v>229</v>
      </c>
      <c r="C71" s="36" t="str">
        <f ca="1">IFERROR(ISCAM_Score!AL72,"—")</f>
        <v>—</v>
      </c>
      <c r="D71" t="str">
        <f t="shared" ca="1" si="4"/>
        <v>— Sin Inst.2</v>
      </c>
      <c r="E71" t="str">
        <f t="shared" ca="1" si="5"/>
        <v/>
      </c>
      <c r="F71">
        <f>IFERROR(MATRIZ_174!L71,0)</f>
        <v>0</v>
      </c>
      <c r="G71">
        <f>IFERROR(MATRIZ_174!M71,0)</f>
        <v>0</v>
      </c>
      <c r="H71" t="str">
        <f ca="1">IF(NORMALIZADO!CC71="","",NORMALIZADO!CC71)</f>
        <v/>
      </c>
      <c r="I71" t="str">
        <f>IF(NORMALIZADO!CF71="","",NORMALIZADO!CF71)</f>
        <v/>
      </c>
      <c r="J71" t="str">
        <f ca="1">IF(NORMALIZADO!CG71="","",NORMALIZADO!CG71)</f>
        <v/>
      </c>
      <c r="K71">
        <f>IFERROR(INDEX(MATRIZ_174!$U:$U,MATCH(A71,MATRIZ_174!$A:$A,0))*100,"")</f>
        <v>100</v>
      </c>
      <c r="L71">
        <f>IFERROR(MATRIZ_174!O71,0)</f>
        <v>0</v>
      </c>
      <c r="N71" t="str">
        <f ca="1">IFERROR(ISCAM_Score!AC72,"")</f>
        <v>⬜  Pendiente de instrumento</v>
      </c>
      <c r="O71" t="s">
        <v>143</v>
      </c>
      <c r="P71" t="str">
        <f>IFERROR(INDEX(MATRIZ_174!$C:$C,MATCH(A71,MATRIZ_174!$A:$A,0)),"")</f>
        <v>SAN MARTIN</v>
      </c>
    </row>
    <row r="72" spans="1:16" ht="16.05" customHeight="1" x14ac:dyDescent="0.3">
      <c r="A72" t="s">
        <v>230</v>
      </c>
      <c r="B72" t="s">
        <v>231</v>
      </c>
      <c r="C72" s="36" t="str">
        <f ca="1">IFERROR(ISCAM_Score!AL73,"—")</f>
        <v>—</v>
      </c>
      <c r="D72" t="str">
        <f t="shared" ca="1" si="4"/>
        <v>— Sin Inst.2</v>
      </c>
      <c r="E72" t="str">
        <f t="shared" ca="1" si="5"/>
        <v/>
      </c>
      <c r="F72">
        <f>IFERROR(MATRIZ_174!L72,0)</f>
        <v>1413037.5</v>
      </c>
      <c r="G72">
        <f>IFERROR(MATRIZ_174!M72,0)</f>
        <v>50</v>
      </c>
      <c r="H72" t="str">
        <f ca="1">IF(NORMALIZADO!CC72="","",NORMALIZADO!CC72)</f>
        <v/>
      </c>
      <c r="I72" t="str">
        <f>IF(NORMALIZADO!CF72="","",NORMALIZADO!CF72)</f>
        <v/>
      </c>
      <c r="J72" t="str">
        <f ca="1">IF(NORMALIZADO!CG72="","",NORMALIZADO!CG72)</f>
        <v/>
      </c>
      <c r="K72">
        <f>IFERROR(INDEX(MATRIZ_174!$U:$U,MATCH(A72,MATRIZ_174!$A:$A,0))*100,"")</f>
        <v>100</v>
      </c>
      <c r="L72">
        <f>IFERROR(MATRIZ_174!O72,0)</f>
        <v>0</v>
      </c>
      <c r="N72" t="str">
        <f ca="1">IFERROR(ISCAM_Score!AC73,"")</f>
        <v>⬜  Pendiente de instrumento</v>
      </c>
      <c r="O72" t="s">
        <v>143</v>
      </c>
      <c r="P72" t="str">
        <f>IFERROR(INDEX(MATRIZ_174!$C:$C,MATCH(A72,MATRIZ_174!$A:$A,0)),"")</f>
        <v>SAN MARTIN</v>
      </c>
    </row>
    <row r="73" spans="1:16" ht="16.05" customHeight="1" x14ac:dyDescent="0.3">
      <c r="A73" t="s">
        <v>232</v>
      </c>
      <c r="B73" t="s">
        <v>233</v>
      </c>
      <c r="C73" s="36" t="str">
        <f ca="1">IFERROR(ISCAM_Score!AL74,"—")</f>
        <v>—</v>
      </c>
      <c r="D73" t="str">
        <f t="shared" ca="1" si="4"/>
        <v>— Sin Inst.2</v>
      </c>
      <c r="E73" t="str">
        <f t="shared" ca="1" si="5"/>
        <v/>
      </c>
      <c r="F73">
        <f>IFERROR(MATRIZ_174!L73,0)</f>
        <v>1187600.48</v>
      </c>
      <c r="G73">
        <f>IFERROR(MATRIZ_174!M73,0)</f>
        <v>100</v>
      </c>
      <c r="H73" t="str">
        <f ca="1">IF(NORMALIZADO!CC73="","",NORMALIZADO!CC73)</f>
        <v/>
      </c>
      <c r="I73" t="str">
        <f>IF(NORMALIZADO!CF73="","",NORMALIZADO!CF73)</f>
        <v/>
      </c>
      <c r="J73" t="str">
        <f ca="1">IF(NORMALIZADO!CG73="","",NORMALIZADO!CG73)</f>
        <v/>
      </c>
      <c r="K73">
        <f>IFERROR(INDEX(MATRIZ_174!$U:$U,MATCH(A73,MATRIZ_174!$A:$A,0))*100,"")</f>
        <v>100</v>
      </c>
      <c r="L73">
        <f>IFERROR(MATRIZ_174!O73,0)</f>
        <v>0</v>
      </c>
      <c r="N73" t="str">
        <f ca="1">IFERROR(ISCAM_Score!AC74,"")</f>
        <v>⬜  Pendiente de instrumento</v>
      </c>
      <c r="O73" t="s">
        <v>143</v>
      </c>
      <c r="P73" t="str">
        <f>IFERROR(INDEX(MATRIZ_174!$C:$C,MATCH(A73,MATRIZ_174!$A:$A,0)),"")</f>
        <v>SAN MARTIN</v>
      </c>
    </row>
    <row r="74" spans="1:16" ht="16.05" customHeight="1" x14ac:dyDescent="0.3">
      <c r="A74" t="s">
        <v>236</v>
      </c>
      <c r="B74" t="s">
        <v>237</v>
      </c>
      <c r="C74" s="36" t="str">
        <f ca="1">IFERROR(ISCAM_Score!AL75,"—")</f>
        <v>—</v>
      </c>
      <c r="D74" t="str">
        <f t="shared" ca="1" si="4"/>
        <v>— Sin Inst.2</v>
      </c>
      <c r="E74" t="str">
        <f t="shared" ca="1" si="5"/>
        <v/>
      </c>
      <c r="F74">
        <f>IFERROR(MATRIZ_174!L74,0)</f>
        <v>12142715.91</v>
      </c>
      <c r="G74">
        <f>IFERROR(MATRIZ_174!M74,0)</f>
        <v>50</v>
      </c>
      <c r="H74" t="str">
        <f ca="1">IF(NORMALIZADO!CC74="","",NORMALIZADO!CC74)</f>
        <v/>
      </c>
      <c r="I74" t="str">
        <f>IF(NORMALIZADO!CF74="","",NORMALIZADO!CF74)</f>
        <v/>
      </c>
      <c r="J74" t="str">
        <f ca="1">IF(NORMALIZADO!CG74="","",NORMALIZADO!CG74)</f>
        <v/>
      </c>
      <c r="K74">
        <f>IFERROR(INDEX(MATRIZ_174!$U:$U,MATCH(A74,MATRIZ_174!$A:$A,0))*100,"")</f>
        <v>100</v>
      </c>
      <c r="L74">
        <f>IFERROR(MATRIZ_174!O74,0)</f>
        <v>0</v>
      </c>
      <c r="N74" t="str">
        <f ca="1">IFERROR(ISCAM_Score!AC75,"")</f>
        <v>⬜  Pendiente de instrumento</v>
      </c>
      <c r="O74" t="s">
        <v>143</v>
      </c>
      <c r="P74" t="str">
        <f>IFERROR(INDEX(MATRIZ_174!$C:$C,MATCH(A74,MATRIZ_174!$A:$A,0)),"")</f>
        <v>SAN MARTIN</v>
      </c>
    </row>
    <row r="75" spans="1:16" ht="16.05" customHeight="1" x14ac:dyDescent="0.3">
      <c r="A75" t="s">
        <v>238</v>
      </c>
      <c r="B75" t="s">
        <v>239</v>
      </c>
      <c r="C75" s="36" t="str">
        <f ca="1">IFERROR(ISCAM_Score!AL76,"—")</f>
        <v>—</v>
      </c>
      <c r="D75" t="str">
        <f t="shared" ca="1" si="4"/>
        <v>— Sin Inst.2</v>
      </c>
      <c r="E75" t="str">
        <f t="shared" ca="1" si="5"/>
        <v/>
      </c>
      <c r="F75">
        <f>IFERROR(MATRIZ_174!L75,0)</f>
        <v>0</v>
      </c>
      <c r="G75">
        <f>IFERROR(MATRIZ_174!M75,0)</f>
        <v>0</v>
      </c>
      <c r="H75" t="str">
        <f ca="1">IF(NORMALIZADO!CC75="","",NORMALIZADO!CC75)</f>
        <v/>
      </c>
      <c r="I75" t="str">
        <f>IF(NORMALIZADO!CF75="","",NORMALIZADO!CF75)</f>
        <v/>
      </c>
      <c r="J75" t="str">
        <f ca="1">IF(NORMALIZADO!CG75="","",NORMALIZADO!CG75)</f>
        <v/>
      </c>
      <c r="K75">
        <f>IFERROR(INDEX(MATRIZ_174!$U:$U,MATCH(A75,MATRIZ_174!$A:$A,0))*100,"")</f>
        <v>100</v>
      </c>
      <c r="L75">
        <f>IFERROR(MATRIZ_174!O75,0)</f>
        <v>0</v>
      </c>
      <c r="N75" t="str">
        <f ca="1">IFERROR(ISCAM_Score!AC76,"")</f>
        <v>⬜  Pendiente de instrumento</v>
      </c>
      <c r="O75" t="s">
        <v>196</v>
      </c>
      <c r="P75" t="str">
        <f>IFERROR(INDEX(MATRIZ_174!$C:$C,MATCH(A75,MATRIZ_174!$A:$A,0)),"")</f>
        <v>LORETO</v>
      </c>
    </row>
    <row r="76" spans="1:16" ht="16.05" customHeight="1" x14ac:dyDescent="0.3">
      <c r="A76" t="s">
        <v>240</v>
      </c>
      <c r="B76" t="s">
        <v>241</v>
      </c>
      <c r="C76" s="36" t="str">
        <f ca="1">IFERROR(ISCAM_Score!AL77,"—")</f>
        <v>—</v>
      </c>
      <c r="D76" t="str">
        <f t="shared" ca="1" si="4"/>
        <v>— Sin Inst.2</v>
      </c>
      <c r="E76" t="str">
        <f t="shared" ca="1" si="5"/>
        <v/>
      </c>
      <c r="F76">
        <f>IFERROR(MATRIZ_174!L76,0)</f>
        <v>0</v>
      </c>
      <c r="G76">
        <f>IFERROR(MATRIZ_174!M76,0)</f>
        <v>0</v>
      </c>
      <c r="H76" t="str">
        <f ca="1">IF(NORMALIZADO!CC76="","",NORMALIZADO!CC76)</f>
        <v/>
      </c>
      <c r="I76" t="str">
        <f>IF(NORMALIZADO!CF76="","",NORMALIZADO!CF76)</f>
        <v/>
      </c>
      <c r="J76" t="str">
        <f ca="1">IF(NORMALIZADO!CG76="","",NORMALIZADO!CG76)</f>
        <v/>
      </c>
      <c r="K76">
        <f>IFERROR(INDEX(MATRIZ_174!$U:$U,MATCH(A76,MATRIZ_174!$A:$A,0))*100,"")</f>
        <v>100</v>
      </c>
      <c r="L76">
        <f>IFERROR(MATRIZ_174!O76,0)</f>
        <v>0</v>
      </c>
      <c r="N76" t="str">
        <f ca="1">IFERROR(ISCAM_Score!AC77,"")</f>
        <v>⬜  Pendiente de instrumento</v>
      </c>
      <c r="O76" t="s">
        <v>196</v>
      </c>
      <c r="P76" t="str">
        <f>IFERROR(INDEX(MATRIZ_174!$C:$C,MATCH(A76,MATRIZ_174!$A:$A,0)),"")</f>
        <v>LORETO</v>
      </c>
    </row>
    <row r="77" spans="1:16" ht="16.05" customHeight="1" x14ac:dyDescent="0.3">
      <c r="A77" t="s">
        <v>242</v>
      </c>
      <c r="B77" t="s">
        <v>243</v>
      </c>
      <c r="C77" s="36" t="str">
        <f ca="1">IFERROR(ISCAM_Score!AL78,"—")</f>
        <v>—</v>
      </c>
      <c r="D77" t="str">
        <f t="shared" ca="1" si="4"/>
        <v>— Sin Inst.2</v>
      </c>
      <c r="E77" t="str">
        <f t="shared" ca="1" si="5"/>
        <v/>
      </c>
      <c r="F77">
        <f>IFERROR(MATRIZ_174!L77,0)</f>
        <v>8445503.2400000002</v>
      </c>
      <c r="G77">
        <f>IFERROR(MATRIZ_174!M77,0)</f>
        <v>50</v>
      </c>
      <c r="H77" t="str">
        <f ca="1">IF(NORMALIZADO!CC77="","",NORMALIZADO!CC77)</f>
        <v/>
      </c>
      <c r="I77" t="str">
        <f>IF(NORMALIZADO!CF77="","",NORMALIZADO!CF77)</f>
        <v/>
      </c>
      <c r="J77" t="str">
        <f ca="1">IF(NORMALIZADO!CG77="","",NORMALIZADO!CG77)</f>
        <v/>
      </c>
      <c r="K77">
        <f>IFERROR(INDEX(MATRIZ_174!$U:$U,MATCH(A77,MATRIZ_174!$A:$A,0))*100,"")</f>
        <v>100</v>
      </c>
      <c r="L77">
        <f>IFERROR(MATRIZ_174!O77,0)</f>
        <v>0</v>
      </c>
      <c r="N77" t="str">
        <f ca="1">IFERROR(ISCAM_Score!AC78,"")</f>
        <v>⬜  Pendiente de instrumento</v>
      </c>
      <c r="O77" t="s">
        <v>154</v>
      </c>
      <c r="P77" t="str">
        <f>IFERROR(INDEX(MATRIZ_174!$C:$C,MATCH(A77,MATRIZ_174!$A:$A,0)),"")</f>
        <v>CAJAMARCA</v>
      </c>
    </row>
    <row r="78" spans="1:16" ht="16.05" customHeight="1" x14ac:dyDescent="0.3">
      <c r="A78" t="s">
        <v>244</v>
      </c>
      <c r="B78" t="s">
        <v>245</v>
      </c>
      <c r="C78" s="36" t="str">
        <f ca="1">IFERROR(ISCAM_Score!AL79,"—")</f>
        <v>—</v>
      </c>
      <c r="D78" t="str">
        <f t="shared" ca="1" si="4"/>
        <v>— Sin Inst.2</v>
      </c>
      <c r="E78" t="str">
        <f t="shared" ca="1" si="5"/>
        <v/>
      </c>
      <c r="F78">
        <f>IFERROR(MATRIZ_174!L78,0)</f>
        <v>0</v>
      </c>
      <c r="G78">
        <f>IFERROR(MATRIZ_174!M78,0)</f>
        <v>0</v>
      </c>
      <c r="H78" t="str">
        <f ca="1">IF(NORMALIZADO!CC78="","",NORMALIZADO!CC78)</f>
        <v/>
      </c>
      <c r="I78" t="str">
        <f>IF(NORMALIZADO!CF78="","",NORMALIZADO!CF78)</f>
        <v/>
      </c>
      <c r="J78" t="str">
        <f ca="1">IF(NORMALIZADO!CG78="","",NORMALIZADO!CG78)</f>
        <v/>
      </c>
      <c r="K78">
        <f>IFERROR(INDEX(MATRIZ_174!$U:$U,MATCH(A78,MATRIZ_174!$A:$A,0))*100,"")</f>
        <v>100</v>
      </c>
      <c r="L78">
        <f>IFERROR(MATRIZ_174!O78,0)</f>
        <v>0</v>
      </c>
      <c r="N78" t="str">
        <f ca="1">IFERROR(ISCAM_Score!AC79,"")</f>
        <v>⬜  Pendiente de instrumento</v>
      </c>
      <c r="O78" t="s">
        <v>123</v>
      </c>
      <c r="P78" t="str">
        <f>IFERROR(INDEX(MATRIZ_174!$C:$C,MATCH(A78,MATRIZ_174!$A:$A,0)),"")</f>
        <v>HUANUCO</v>
      </c>
    </row>
    <row r="79" spans="1:16" ht="16.05" customHeight="1" x14ac:dyDescent="0.3">
      <c r="A79" t="s">
        <v>246</v>
      </c>
      <c r="B79" t="s">
        <v>247</v>
      </c>
      <c r="C79" s="36" t="str">
        <f ca="1">IFERROR(ISCAM_Score!AL80,"—")</f>
        <v>—</v>
      </c>
      <c r="D79" t="str">
        <f t="shared" ca="1" si="4"/>
        <v>— Sin Inst.2</v>
      </c>
      <c r="E79" t="str">
        <f t="shared" ca="1" si="5"/>
        <v/>
      </c>
      <c r="F79">
        <f>IFERROR(MATRIZ_174!L79,0)</f>
        <v>0</v>
      </c>
      <c r="G79">
        <f>IFERROR(MATRIZ_174!M79,0)</f>
        <v>0</v>
      </c>
      <c r="H79" t="str">
        <f ca="1">IF(NORMALIZADO!CC79="","",NORMALIZADO!CC79)</f>
        <v/>
      </c>
      <c r="I79" t="str">
        <f>IF(NORMALIZADO!CF79="","",NORMALIZADO!CF79)</f>
        <v/>
      </c>
      <c r="J79" t="str">
        <f ca="1">IF(NORMALIZADO!CG79="","",NORMALIZADO!CG79)</f>
        <v/>
      </c>
      <c r="K79">
        <f>IFERROR(INDEX(MATRIZ_174!$U:$U,MATCH(A79,MATRIZ_174!$A:$A,0))*100,"")</f>
        <v>100</v>
      </c>
      <c r="L79">
        <f>IFERROR(MATRIZ_174!O79,0)</f>
        <v>0</v>
      </c>
      <c r="N79" t="str">
        <f ca="1">IFERROR(ISCAM_Score!AC80,"")</f>
        <v>⬜  Pendiente de instrumento</v>
      </c>
      <c r="O79" t="s">
        <v>248</v>
      </c>
      <c r="P79" t="str">
        <f>IFERROR(INDEX(MATRIZ_174!$C:$C,MATCH(A79,MATRIZ_174!$A:$A,0)),"")</f>
        <v>MADRE DE DIOS</v>
      </c>
    </row>
    <row r="80" spans="1:16" ht="16.05" customHeight="1" x14ac:dyDescent="0.3">
      <c r="A80" t="s">
        <v>249</v>
      </c>
      <c r="B80" t="s">
        <v>250</v>
      </c>
      <c r="C80" s="36" t="str">
        <f ca="1">IFERROR(ISCAM_Score!AL81,"—")</f>
        <v>—</v>
      </c>
      <c r="D80" t="str">
        <f t="shared" ca="1" si="4"/>
        <v>— Sin Inst.2</v>
      </c>
      <c r="E80" t="str">
        <f t="shared" ca="1" si="5"/>
        <v/>
      </c>
      <c r="F80">
        <f>IFERROR(MATRIZ_174!L80,0)</f>
        <v>0</v>
      </c>
      <c r="G80">
        <f>IFERROR(MATRIZ_174!M80,0)</f>
        <v>0</v>
      </c>
      <c r="H80" t="str">
        <f ca="1">IF(NORMALIZADO!CC80="","",NORMALIZADO!CC80)</f>
        <v/>
      </c>
      <c r="I80" t="str">
        <f>IF(NORMALIZADO!CF80="","",NORMALIZADO!CF80)</f>
        <v/>
      </c>
      <c r="J80" t="str">
        <f ca="1">IF(NORMALIZADO!CG80="","",NORMALIZADO!CG80)</f>
        <v/>
      </c>
      <c r="K80">
        <f>IFERROR(INDEX(MATRIZ_174!$U:$U,MATCH(A80,MATRIZ_174!$A:$A,0))*100,"")</f>
        <v>100</v>
      </c>
      <c r="L80">
        <f>IFERROR(MATRIZ_174!O80,0)</f>
        <v>0</v>
      </c>
      <c r="N80" t="str">
        <f ca="1">IFERROR(ISCAM_Score!AC81,"")</f>
        <v>⬜  Pendiente de instrumento</v>
      </c>
      <c r="O80" t="s">
        <v>116</v>
      </c>
      <c r="P80" t="str">
        <f>IFERROR(INDEX(MATRIZ_174!$C:$C,MATCH(A80,MATRIZ_174!$A:$A,0)),"")</f>
        <v>AMAZONAS</v>
      </c>
    </row>
    <row r="81" spans="1:16" ht="16.05" customHeight="1" x14ac:dyDescent="0.3">
      <c r="A81" t="s">
        <v>253</v>
      </c>
      <c r="B81" t="s">
        <v>254</v>
      </c>
      <c r="C81" s="36" t="str">
        <f ca="1">IFERROR(ISCAM_Score!AL82,"—")</f>
        <v>—</v>
      </c>
      <c r="D81" t="str">
        <f t="shared" ca="1" si="4"/>
        <v>— Sin Inst.2</v>
      </c>
      <c r="E81" t="str">
        <f t="shared" ca="1" si="5"/>
        <v/>
      </c>
      <c r="F81">
        <f>IFERROR(MATRIZ_174!L81,0)</f>
        <v>0</v>
      </c>
      <c r="G81">
        <f>IFERROR(MATRIZ_174!M81,0)</f>
        <v>0</v>
      </c>
      <c r="H81" t="str">
        <f ca="1">IF(NORMALIZADO!CC81="","",NORMALIZADO!CC81)</f>
        <v/>
      </c>
      <c r="I81" t="str">
        <f>IF(NORMALIZADO!CF81="","",NORMALIZADO!CF81)</f>
        <v/>
      </c>
      <c r="J81" t="str">
        <f ca="1">IF(NORMALIZADO!CG81="","",NORMALIZADO!CG81)</f>
        <v/>
      </c>
      <c r="K81">
        <f>IFERROR(INDEX(MATRIZ_174!$U:$U,MATCH(A81,MATRIZ_174!$A:$A,0))*100,"")</f>
        <v>100</v>
      </c>
      <c r="L81">
        <f>IFERROR(MATRIZ_174!O81,0)</f>
        <v>0</v>
      </c>
      <c r="N81" t="str">
        <f ca="1">IFERROR(ISCAM_Score!AC82,"")</f>
        <v>⬜  Pendiente de instrumento</v>
      </c>
      <c r="O81" t="s">
        <v>80</v>
      </c>
      <c r="P81" t="str">
        <f>IFERROR(INDEX(MATRIZ_174!$C:$C,MATCH(A81,MATRIZ_174!$A:$A,0)),"")</f>
        <v>CUSCO</v>
      </c>
    </row>
    <row r="82" spans="1:16" ht="16.05" customHeight="1" x14ac:dyDescent="0.3">
      <c r="A82" t="s">
        <v>255</v>
      </c>
      <c r="B82" t="s">
        <v>256</v>
      </c>
      <c r="C82" s="36" t="str">
        <f ca="1">IFERROR(ISCAM_Score!AL83,"—")</f>
        <v>—</v>
      </c>
      <c r="D82" t="str">
        <f t="shared" ca="1" si="4"/>
        <v>— Sin Inst.2</v>
      </c>
      <c r="E82" t="str">
        <f t="shared" ca="1" si="5"/>
        <v/>
      </c>
      <c r="F82">
        <f>IFERROR(MATRIZ_174!L82,0)</f>
        <v>717861.85</v>
      </c>
      <c r="G82">
        <f>IFERROR(MATRIZ_174!M82,0)</f>
        <v>50</v>
      </c>
      <c r="H82" t="str">
        <f ca="1">IF(NORMALIZADO!CC82="","",NORMALIZADO!CC82)</f>
        <v/>
      </c>
      <c r="I82" t="str">
        <f>IF(NORMALIZADO!CF82="","",NORMALIZADO!CF82)</f>
        <v/>
      </c>
      <c r="J82" t="str">
        <f ca="1">IF(NORMALIZADO!CG82="","",NORMALIZADO!CG82)</f>
        <v/>
      </c>
      <c r="K82">
        <f>IFERROR(INDEX(MATRIZ_174!$U:$U,MATCH(A82,MATRIZ_174!$A:$A,0))*100,"")</f>
        <v>100</v>
      </c>
      <c r="L82">
        <f>IFERROR(MATRIZ_174!O82,0)</f>
        <v>0</v>
      </c>
      <c r="N82" t="str">
        <f ca="1">IFERROR(ISCAM_Score!AC83,"")</f>
        <v>⬜  Pendiente de instrumento</v>
      </c>
      <c r="O82" t="s">
        <v>257</v>
      </c>
      <c r="P82" t="str">
        <f>IFERROR(INDEX(MATRIZ_174!$C:$C,MATCH(A82,MATRIZ_174!$A:$A,0)),"")</f>
        <v>PASCO</v>
      </c>
    </row>
    <row r="83" spans="1:16" ht="16.05" customHeight="1" x14ac:dyDescent="0.3">
      <c r="A83" t="s">
        <v>258</v>
      </c>
      <c r="B83" t="s">
        <v>259</v>
      </c>
      <c r="C83" s="36" t="str">
        <f ca="1">IFERROR(ISCAM_Score!AL84,"—")</f>
        <v>—</v>
      </c>
      <c r="D83" t="str">
        <f t="shared" ca="1" si="4"/>
        <v>— Sin Inst.2</v>
      </c>
      <c r="E83" t="str">
        <f t="shared" ca="1" si="5"/>
        <v/>
      </c>
      <c r="F83">
        <f>IFERROR(MATRIZ_174!L83,0)</f>
        <v>0</v>
      </c>
      <c r="G83">
        <f>IFERROR(MATRIZ_174!M83,0)</f>
        <v>0</v>
      </c>
      <c r="H83" t="str">
        <f ca="1">IF(NORMALIZADO!CC83="","",NORMALIZADO!CC83)</f>
        <v/>
      </c>
      <c r="I83" t="str">
        <f>IF(NORMALIZADO!CF83="","",NORMALIZADO!CF83)</f>
        <v/>
      </c>
      <c r="J83" t="str">
        <f ca="1">IF(NORMALIZADO!CG83="","",NORMALIZADO!CG83)</f>
        <v/>
      </c>
      <c r="K83">
        <f>IFERROR(INDEX(MATRIZ_174!$U:$U,MATCH(A83,MATRIZ_174!$A:$A,0))*100,"")</f>
        <v>100</v>
      </c>
      <c r="L83">
        <f>IFERROR(MATRIZ_174!O83,0)</f>
        <v>0</v>
      </c>
      <c r="N83" t="str">
        <f ca="1">IFERROR(ISCAM_Score!AC84,"")</f>
        <v>⬜  Pendiente de instrumento</v>
      </c>
      <c r="O83" t="s">
        <v>257</v>
      </c>
      <c r="P83" t="str">
        <f>IFERROR(INDEX(MATRIZ_174!$C:$C,MATCH(A83,MATRIZ_174!$A:$A,0)),"")</f>
        <v>PASCO</v>
      </c>
    </row>
    <row r="84" spans="1:16" ht="16.05" customHeight="1" x14ac:dyDescent="0.3">
      <c r="A84" t="s">
        <v>260</v>
      </c>
      <c r="B84" t="s">
        <v>261</v>
      </c>
      <c r="C84" s="36" t="str">
        <f ca="1">IFERROR(ISCAM_Score!AL85,"—")</f>
        <v>—</v>
      </c>
      <c r="D84" t="str">
        <f t="shared" ca="1" si="4"/>
        <v>— Sin Inst.2</v>
      </c>
      <c r="E84" t="str">
        <f t="shared" ca="1" si="5"/>
        <v/>
      </c>
      <c r="F84">
        <f>IFERROR(MATRIZ_174!L84,0)</f>
        <v>0</v>
      </c>
      <c r="G84">
        <f>IFERROR(MATRIZ_174!M84,0)</f>
        <v>0</v>
      </c>
      <c r="H84" t="str">
        <f ca="1">IF(NORMALIZADO!CC84="","",NORMALIZADO!CC84)</f>
        <v/>
      </c>
      <c r="I84" t="str">
        <f>IF(NORMALIZADO!CF84="","",NORMALIZADO!CF84)</f>
        <v/>
      </c>
      <c r="J84" t="str">
        <f ca="1">IF(NORMALIZADO!CG84="","",NORMALIZADO!CG84)</f>
        <v/>
      </c>
      <c r="K84">
        <f>IFERROR(INDEX(MATRIZ_174!$U:$U,MATCH(A84,MATRIZ_174!$A:$A,0))*100,"")</f>
        <v>100</v>
      </c>
      <c r="L84">
        <f>IFERROR(MATRIZ_174!O84,0)</f>
        <v>0</v>
      </c>
      <c r="N84" t="str">
        <f ca="1">IFERROR(ISCAM_Score!AC85,"")</f>
        <v>⬜  Pendiente de instrumento</v>
      </c>
      <c r="O84" t="s">
        <v>77</v>
      </c>
      <c r="P84" t="str">
        <f>IFERROR(INDEX(MATRIZ_174!$C:$C,MATCH(A84,MATRIZ_174!$A:$A,0)),"")</f>
        <v>JUNIN</v>
      </c>
    </row>
    <row r="85" spans="1:16" ht="16.05" customHeight="1" x14ac:dyDescent="0.3">
      <c r="A85" t="s">
        <v>262</v>
      </c>
      <c r="B85" t="s">
        <v>263</v>
      </c>
      <c r="C85" s="36" t="str">
        <f ca="1">IFERROR(ISCAM_Score!AL86,"—")</f>
        <v>—</v>
      </c>
      <c r="D85" t="str">
        <f t="shared" ca="1" si="4"/>
        <v>— Sin Inst.2</v>
      </c>
      <c r="E85" t="str">
        <f t="shared" ca="1" si="5"/>
        <v/>
      </c>
      <c r="F85">
        <f>IFERROR(MATRIZ_174!L85,0)</f>
        <v>2677512.61</v>
      </c>
      <c r="G85">
        <f>IFERROR(MATRIZ_174!M85,0)</f>
        <v>50</v>
      </c>
      <c r="H85" t="str">
        <f ca="1">IF(NORMALIZADO!CC85="","",NORMALIZADO!CC85)</f>
        <v/>
      </c>
      <c r="I85" t="str">
        <f>IF(NORMALIZADO!CF85="","",NORMALIZADO!CF85)</f>
        <v/>
      </c>
      <c r="J85" t="str">
        <f ca="1">IF(NORMALIZADO!CG85="","",NORMALIZADO!CG85)</f>
        <v/>
      </c>
      <c r="K85">
        <f>IFERROR(INDEX(MATRIZ_174!$U:$U,MATCH(A85,MATRIZ_174!$A:$A,0))*100,"")</f>
        <v>100</v>
      </c>
      <c r="L85">
        <f>IFERROR(MATRIZ_174!O85,0)</f>
        <v>0</v>
      </c>
      <c r="N85" t="str">
        <f ca="1">IFERROR(ISCAM_Score!AC86,"")</f>
        <v>⬜  Pendiente de instrumento</v>
      </c>
      <c r="O85" t="s">
        <v>77</v>
      </c>
      <c r="P85" t="str">
        <f>IFERROR(INDEX(MATRIZ_174!$C:$C,MATCH(A85,MATRIZ_174!$A:$A,0)),"")</f>
        <v>JUNIN</v>
      </c>
    </row>
    <row r="86" spans="1:16" ht="16.05" customHeight="1" x14ac:dyDescent="0.3">
      <c r="A86" t="s">
        <v>264</v>
      </c>
      <c r="B86" t="s">
        <v>265</v>
      </c>
      <c r="C86" s="36" t="str">
        <f ca="1">IFERROR(ISCAM_Score!AL87,"—")</f>
        <v>—</v>
      </c>
      <c r="D86" t="str">
        <f t="shared" ca="1" si="4"/>
        <v>— Sin Inst.2</v>
      </c>
      <c r="E86" t="str">
        <f t="shared" ca="1" si="5"/>
        <v/>
      </c>
      <c r="F86">
        <f>IFERROR(MATRIZ_174!L86,0)</f>
        <v>0</v>
      </c>
      <c r="G86">
        <f>IFERROR(MATRIZ_174!M86,0)</f>
        <v>0</v>
      </c>
      <c r="H86" t="str">
        <f ca="1">IF(NORMALIZADO!CC86="","",NORMALIZADO!CC86)</f>
        <v/>
      </c>
      <c r="I86" t="str">
        <f>IF(NORMALIZADO!CF86="","",NORMALIZADO!CF86)</f>
        <v/>
      </c>
      <c r="J86" t="str">
        <f ca="1">IF(NORMALIZADO!CG86="","",NORMALIZADO!CG86)</f>
        <v/>
      </c>
      <c r="K86">
        <f>IFERROR(INDEX(MATRIZ_174!$U:$U,MATCH(A86,MATRIZ_174!$A:$A,0))*100,"")</f>
        <v>100</v>
      </c>
      <c r="L86">
        <f>IFERROR(MATRIZ_174!O86,0)</f>
        <v>0</v>
      </c>
      <c r="N86" t="str">
        <f ca="1">IFERROR(ISCAM_Score!AC87,"")</f>
        <v>⬜  Pendiente de instrumento</v>
      </c>
      <c r="O86" t="s">
        <v>257</v>
      </c>
      <c r="P86" t="str">
        <f>IFERROR(INDEX(MATRIZ_174!$C:$C,MATCH(A86,MATRIZ_174!$A:$A,0)),"")</f>
        <v>PASCO</v>
      </c>
    </row>
    <row r="87" spans="1:16" ht="16.05" customHeight="1" x14ac:dyDescent="0.3">
      <c r="A87" t="s">
        <v>266</v>
      </c>
      <c r="B87" t="s">
        <v>267</v>
      </c>
      <c r="C87" s="36" t="str">
        <f ca="1">IFERROR(ISCAM_Score!AL88,"—")</f>
        <v>—</v>
      </c>
      <c r="D87" t="str">
        <f t="shared" ca="1" si="4"/>
        <v>— Sin Inst.2</v>
      </c>
      <c r="E87" t="str">
        <f t="shared" ca="1" si="5"/>
        <v/>
      </c>
      <c r="F87">
        <f>IFERROR(MATRIZ_174!L87,0)</f>
        <v>0</v>
      </c>
      <c r="G87">
        <f>IFERROR(MATRIZ_174!M87,0)</f>
        <v>0</v>
      </c>
      <c r="H87" t="str">
        <f ca="1">IF(NORMALIZADO!CC87="","",NORMALIZADO!CC87)</f>
        <v/>
      </c>
      <c r="I87" t="str">
        <f>IF(NORMALIZADO!CF87="","",NORMALIZADO!CF87)</f>
        <v/>
      </c>
      <c r="J87" t="str">
        <f ca="1">IF(NORMALIZADO!CG87="","",NORMALIZADO!CG87)</f>
        <v/>
      </c>
      <c r="K87">
        <f>IFERROR(INDEX(MATRIZ_174!$U:$U,MATCH(A87,MATRIZ_174!$A:$A,0))*100,"")</f>
        <v>100</v>
      </c>
      <c r="L87">
        <f>IFERROR(MATRIZ_174!O87,0)</f>
        <v>0</v>
      </c>
      <c r="N87" t="str">
        <f ca="1">IFERROR(ISCAM_Score!AC88,"")</f>
        <v>⬜  Pendiente de instrumento</v>
      </c>
      <c r="O87" t="s">
        <v>257</v>
      </c>
      <c r="P87" t="str">
        <f>IFERROR(INDEX(MATRIZ_174!$C:$C,MATCH(A87,MATRIZ_174!$A:$A,0)),"")</f>
        <v>PASCO</v>
      </c>
    </row>
    <row r="88" spans="1:16" ht="16.05" customHeight="1" x14ac:dyDescent="0.3">
      <c r="A88" t="s">
        <v>268</v>
      </c>
      <c r="B88" t="s">
        <v>269</v>
      </c>
      <c r="C88" s="36" t="str">
        <f ca="1">IFERROR(ISCAM_Score!AL89,"—")</f>
        <v>—</v>
      </c>
      <c r="D88" t="str">
        <f t="shared" ca="1" si="4"/>
        <v>— Sin Inst.2</v>
      </c>
      <c r="E88" t="str">
        <f t="shared" ca="1" si="5"/>
        <v/>
      </c>
      <c r="F88">
        <f>IFERROR(MATRIZ_174!L88,0)</f>
        <v>0</v>
      </c>
      <c r="G88">
        <f>IFERROR(MATRIZ_174!M88,0)</f>
        <v>0</v>
      </c>
      <c r="H88" t="str">
        <f ca="1">IF(NORMALIZADO!CC88="","",NORMALIZADO!CC88)</f>
        <v/>
      </c>
      <c r="I88" t="str">
        <f>IF(NORMALIZADO!CF88="","",NORMALIZADO!CF88)</f>
        <v/>
      </c>
      <c r="J88" t="str">
        <f ca="1">IF(NORMALIZADO!CG88="","",NORMALIZADO!CG88)</f>
        <v/>
      </c>
      <c r="K88">
        <f>IFERROR(INDEX(MATRIZ_174!$U:$U,MATCH(A88,MATRIZ_174!$A:$A,0))*100,"")</f>
        <v>100</v>
      </c>
      <c r="L88">
        <f>IFERROR(MATRIZ_174!O88,0)</f>
        <v>0</v>
      </c>
      <c r="N88" t="str">
        <f ca="1">IFERROR(ISCAM_Score!AC89,"")</f>
        <v>⬜  Pendiente de instrumento</v>
      </c>
      <c r="O88" t="s">
        <v>257</v>
      </c>
      <c r="P88" t="str">
        <f>IFERROR(INDEX(MATRIZ_174!$C:$C,MATCH(A88,MATRIZ_174!$A:$A,0)),"")</f>
        <v>PASCO</v>
      </c>
    </row>
    <row r="89" spans="1:16" ht="16.05" customHeight="1" x14ac:dyDescent="0.3">
      <c r="A89" t="s">
        <v>270</v>
      </c>
      <c r="B89" t="s">
        <v>271</v>
      </c>
      <c r="C89" s="36" t="str">
        <f ca="1">IFERROR(ISCAM_Score!AL90,"—")</f>
        <v>—</v>
      </c>
      <c r="D89" t="str">
        <f t="shared" ca="1" si="4"/>
        <v>— Sin Inst.2</v>
      </c>
      <c r="E89" t="str">
        <f t="shared" ca="1" si="5"/>
        <v/>
      </c>
      <c r="F89">
        <f>IFERROR(MATRIZ_174!L89,0)</f>
        <v>0</v>
      </c>
      <c r="G89">
        <f>IFERROR(MATRIZ_174!M89,0)</f>
        <v>0</v>
      </c>
      <c r="H89" t="str">
        <f ca="1">IF(NORMALIZADO!CC89="","",NORMALIZADO!CC89)</f>
        <v/>
      </c>
      <c r="I89" t="str">
        <f>IF(NORMALIZADO!CF89="","",NORMALIZADO!CF89)</f>
        <v/>
      </c>
      <c r="J89" t="str">
        <f ca="1">IF(NORMALIZADO!CG89="","",NORMALIZADO!CG89)</f>
        <v/>
      </c>
      <c r="K89">
        <f>IFERROR(INDEX(MATRIZ_174!$U:$U,MATCH(A89,MATRIZ_174!$A:$A,0))*100,"")</f>
        <v>100</v>
      </c>
      <c r="L89">
        <f>IFERROR(MATRIZ_174!O89,0)</f>
        <v>0</v>
      </c>
      <c r="N89" t="str">
        <f ca="1">IFERROR(ISCAM_Score!AC90,"")</f>
        <v>⬜  Pendiente de instrumento</v>
      </c>
      <c r="O89" t="s">
        <v>257</v>
      </c>
      <c r="P89" t="str">
        <f>IFERROR(INDEX(MATRIZ_174!$C:$C,MATCH(A89,MATRIZ_174!$A:$A,0)),"")</f>
        <v>PASCO</v>
      </c>
    </row>
    <row r="90" spans="1:16" ht="16.05" customHeight="1" x14ac:dyDescent="0.3">
      <c r="A90" t="s">
        <v>272</v>
      </c>
      <c r="B90" t="s">
        <v>273</v>
      </c>
      <c r="C90" s="36" t="str">
        <f ca="1">IFERROR(ISCAM_Score!AL91,"—")</f>
        <v>—</v>
      </c>
      <c r="D90" t="str">
        <f t="shared" ca="1" si="4"/>
        <v>— Sin Inst.2</v>
      </c>
      <c r="E90" t="str">
        <f t="shared" ca="1" si="5"/>
        <v/>
      </c>
      <c r="F90">
        <f>IFERROR(MATRIZ_174!L90,0)</f>
        <v>0</v>
      </c>
      <c r="G90">
        <f>IFERROR(MATRIZ_174!M90,0)</f>
        <v>0</v>
      </c>
      <c r="H90" t="str">
        <f ca="1">IF(NORMALIZADO!CC90="","",NORMALIZADO!CC90)</f>
        <v/>
      </c>
      <c r="I90" t="str">
        <f>IF(NORMALIZADO!CF90="","",NORMALIZADO!CF90)</f>
        <v/>
      </c>
      <c r="J90" t="str">
        <f ca="1">IF(NORMALIZADO!CG90="","",NORMALIZADO!CG90)</f>
        <v/>
      </c>
      <c r="K90">
        <f>IFERROR(INDEX(MATRIZ_174!$U:$U,MATCH(A90,MATRIZ_174!$A:$A,0))*100,"")</f>
        <v>100</v>
      </c>
      <c r="L90">
        <f>IFERROR(MATRIZ_174!O90,0)</f>
        <v>0</v>
      </c>
      <c r="N90" t="str">
        <f ca="1">IFERROR(ISCAM_Score!AC91,"")</f>
        <v>⬜  Pendiente de instrumento</v>
      </c>
      <c r="O90" t="s">
        <v>77</v>
      </c>
      <c r="P90" t="str">
        <f>IFERROR(INDEX(MATRIZ_174!$C:$C,MATCH(A90,MATRIZ_174!$A:$A,0)),"")</f>
        <v>JUNIN</v>
      </c>
    </row>
    <row r="91" spans="1:16" ht="16.05" customHeight="1" x14ac:dyDescent="0.3">
      <c r="A91" t="s">
        <v>274</v>
      </c>
      <c r="B91" t="s">
        <v>275</v>
      </c>
      <c r="C91" s="36" t="str">
        <f ca="1">IFERROR(ISCAM_Score!AL92,"—")</f>
        <v>—</v>
      </c>
      <c r="D91" t="str">
        <f t="shared" ca="1" si="4"/>
        <v>— Sin Inst.2</v>
      </c>
      <c r="E91" t="str">
        <f t="shared" ca="1" si="5"/>
        <v/>
      </c>
      <c r="F91">
        <f>IFERROR(MATRIZ_174!L91,0)</f>
        <v>0</v>
      </c>
      <c r="G91">
        <f>IFERROR(MATRIZ_174!M91,0)</f>
        <v>0</v>
      </c>
      <c r="H91" t="str">
        <f ca="1">IF(NORMALIZADO!CC91="","",NORMALIZADO!CC91)</f>
        <v/>
      </c>
      <c r="I91" t="str">
        <f>IF(NORMALIZADO!CF91="","",NORMALIZADO!CF91)</f>
        <v/>
      </c>
      <c r="J91" t="str">
        <f ca="1">IF(NORMALIZADO!CG91="","",NORMALIZADO!CG91)</f>
        <v/>
      </c>
      <c r="K91">
        <f>IFERROR(INDEX(MATRIZ_174!$U:$U,MATCH(A91,MATRIZ_174!$A:$A,0))*100,"")</f>
        <v>100</v>
      </c>
      <c r="L91">
        <f>IFERROR(MATRIZ_174!O91,0)</f>
        <v>0</v>
      </c>
      <c r="N91" t="str">
        <f ca="1">IFERROR(ISCAM_Score!AC92,"")</f>
        <v>⬜  Pendiente de instrumento</v>
      </c>
      <c r="O91" t="s">
        <v>77</v>
      </c>
      <c r="P91" t="str">
        <f>IFERROR(INDEX(MATRIZ_174!$C:$C,MATCH(A91,MATRIZ_174!$A:$A,0)),"")</f>
        <v>JUNIN</v>
      </c>
    </row>
    <row r="92" spans="1:16" ht="16.05" customHeight="1" x14ac:dyDescent="0.3">
      <c r="A92" t="s">
        <v>276</v>
      </c>
      <c r="B92" t="s">
        <v>277</v>
      </c>
      <c r="C92" s="36" t="str">
        <f ca="1">IFERROR(ISCAM_Score!AL93,"—")</f>
        <v>—</v>
      </c>
      <c r="D92" t="str">
        <f t="shared" ca="1" si="4"/>
        <v>— Sin Inst.2</v>
      </c>
      <c r="E92" t="str">
        <f t="shared" ca="1" si="5"/>
        <v/>
      </c>
      <c r="F92">
        <f>IFERROR(MATRIZ_174!L92,0)</f>
        <v>4792670.9000000004</v>
      </c>
      <c r="G92">
        <f>IFERROR(MATRIZ_174!M92,0)</f>
        <v>50</v>
      </c>
      <c r="H92" t="str">
        <f ca="1">IF(NORMALIZADO!CC92="","",NORMALIZADO!CC92)</f>
        <v/>
      </c>
      <c r="I92" t="str">
        <f>IF(NORMALIZADO!CF92="","",NORMALIZADO!CF92)</f>
        <v/>
      </c>
      <c r="J92" t="str">
        <f ca="1">IF(NORMALIZADO!CG92="","",NORMALIZADO!CG92)</f>
        <v/>
      </c>
      <c r="K92">
        <f>IFERROR(INDEX(MATRIZ_174!$U:$U,MATCH(A92,MATRIZ_174!$A:$A,0))*100,"")</f>
        <v>100</v>
      </c>
      <c r="L92">
        <f>IFERROR(MATRIZ_174!O92,0)</f>
        <v>0</v>
      </c>
      <c r="N92" t="str">
        <f ca="1">IFERROR(ISCAM_Score!AC93,"")</f>
        <v>⬜  Pendiente de instrumento</v>
      </c>
      <c r="O92" t="s">
        <v>154</v>
      </c>
      <c r="P92" t="str">
        <f>IFERROR(INDEX(MATRIZ_174!$C:$C,MATCH(A92,MATRIZ_174!$A:$A,0)),"")</f>
        <v>CAJAMARCA</v>
      </c>
    </row>
    <row r="93" spans="1:16" ht="16.05" customHeight="1" x14ac:dyDescent="0.3">
      <c r="A93" t="s">
        <v>278</v>
      </c>
      <c r="B93" t="s">
        <v>279</v>
      </c>
      <c r="C93" s="36" t="str">
        <f ca="1">IFERROR(ISCAM_Score!AL94,"—")</f>
        <v>—</v>
      </c>
      <c r="D93" t="str">
        <f t="shared" ca="1" si="4"/>
        <v>— Sin Inst.2</v>
      </c>
      <c r="E93" t="str">
        <f t="shared" ca="1" si="5"/>
        <v/>
      </c>
      <c r="F93">
        <f>IFERROR(MATRIZ_174!L93,0)</f>
        <v>0</v>
      </c>
      <c r="G93">
        <f>IFERROR(MATRIZ_174!M93,0)</f>
        <v>0</v>
      </c>
      <c r="H93" t="str">
        <f ca="1">IF(NORMALIZADO!CC93="","",NORMALIZADO!CC93)</f>
        <v/>
      </c>
      <c r="I93" t="str">
        <f>IF(NORMALIZADO!CF93="","",NORMALIZADO!CF93)</f>
        <v/>
      </c>
      <c r="J93" t="str">
        <f ca="1">IF(NORMALIZADO!CG93="","",NORMALIZADO!CG93)</f>
        <v/>
      </c>
      <c r="K93">
        <f>IFERROR(INDEX(MATRIZ_174!$U:$U,MATCH(A93,MATRIZ_174!$A:$A,0))*100,"")</f>
        <v>100</v>
      </c>
      <c r="L93">
        <f>IFERROR(MATRIZ_174!O93,0)</f>
        <v>0</v>
      </c>
      <c r="N93" t="str">
        <f ca="1">IFERROR(ISCAM_Score!AC94,"")</f>
        <v>⬜  Pendiente de instrumento</v>
      </c>
      <c r="O93" t="s">
        <v>143</v>
      </c>
      <c r="P93" t="str">
        <f>IFERROR(INDEX(MATRIZ_174!$C:$C,MATCH(A93,MATRIZ_174!$A:$A,0)),"")</f>
        <v>SAN MARTIN</v>
      </c>
    </row>
    <row r="94" spans="1:16" ht="16.05" customHeight="1" x14ac:dyDescent="0.3">
      <c r="A94" t="s">
        <v>280</v>
      </c>
      <c r="B94" t="s">
        <v>281</v>
      </c>
      <c r="C94" s="36" t="str">
        <f ca="1">IFERROR(ISCAM_Score!AL95,"—")</f>
        <v>—</v>
      </c>
      <c r="D94" t="str">
        <f t="shared" ca="1" si="4"/>
        <v>— Sin Inst.2</v>
      </c>
      <c r="E94" t="str">
        <f t="shared" ca="1" si="5"/>
        <v/>
      </c>
      <c r="F94">
        <f>IFERROR(MATRIZ_174!L94,0)</f>
        <v>1888972.42</v>
      </c>
      <c r="G94">
        <f>IFERROR(MATRIZ_174!M94,0)</f>
        <v>50</v>
      </c>
      <c r="H94" t="str">
        <f ca="1">IF(NORMALIZADO!CC94="","",NORMALIZADO!CC94)</f>
        <v/>
      </c>
      <c r="I94" t="str">
        <f>IF(NORMALIZADO!CF94="","",NORMALIZADO!CF94)</f>
        <v/>
      </c>
      <c r="J94" t="str">
        <f ca="1">IF(NORMALIZADO!CG94="","",NORMALIZADO!CG94)</f>
        <v/>
      </c>
      <c r="K94">
        <f>IFERROR(INDEX(MATRIZ_174!$U:$U,MATCH(A94,MATRIZ_174!$A:$A,0))*100,"")</f>
        <v>100</v>
      </c>
      <c r="L94">
        <f>IFERROR(MATRIZ_174!O94,0)</f>
        <v>0</v>
      </c>
      <c r="N94" t="str">
        <f ca="1">IFERROR(ISCAM_Score!AC95,"")</f>
        <v>⬜  Pendiente de instrumento</v>
      </c>
      <c r="O94" t="s">
        <v>143</v>
      </c>
      <c r="P94" t="str">
        <f>IFERROR(INDEX(MATRIZ_174!$C:$C,MATCH(A94,MATRIZ_174!$A:$A,0)),"")</f>
        <v>SAN MARTIN</v>
      </c>
    </row>
    <row r="95" spans="1:16" ht="16.05" customHeight="1" x14ac:dyDescent="0.3">
      <c r="A95" t="s">
        <v>282</v>
      </c>
      <c r="B95" t="s">
        <v>283</v>
      </c>
      <c r="C95" s="36" t="str">
        <f ca="1">IFERROR(ISCAM_Score!AL96,"—")</f>
        <v>—</v>
      </c>
      <c r="D95" t="str">
        <f t="shared" ca="1" si="4"/>
        <v>— Sin Inst.2</v>
      </c>
      <c r="E95" t="str">
        <f t="shared" ca="1" si="5"/>
        <v/>
      </c>
      <c r="F95">
        <f>IFERROR(MATRIZ_174!L95,0)</f>
        <v>0</v>
      </c>
      <c r="G95">
        <f>IFERROR(MATRIZ_174!M95,0)</f>
        <v>0</v>
      </c>
      <c r="H95" t="str">
        <f ca="1">IF(NORMALIZADO!CC95="","",NORMALIZADO!CC95)</f>
        <v/>
      </c>
      <c r="I95" t="str">
        <f>IF(NORMALIZADO!CF95="","",NORMALIZADO!CF95)</f>
        <v/>
      </c>
      <c r="J95" t="str">
        <f ca="1">IF(NORMALIZADO!CG95="","",NORMALIZADO!CG95)</f>
        <v/>
      </c>
      <c r="K95">
        <f>IFERROR(INDEX(MATRIZ_174!$U:$U,MATCH(A95,MATRIZ_174!$A:$A,0))*100,"")</f>
        <v>100</v>
      </c>
      <c r="L95">
        <f>IFERROR(MATRIZ_174!O95,0)</f>
        <v>0</v>
      </c>
      <c r="N95" t="str">
        <f ca="1">IFERROR(ISCAM_Score!AC96,"")</f>
        <v>⬜  Pendiente de instrumento</v>
      </c>
      <c r="O95" t="s">
        <v>123</v>
      </c>
      <c r="P95" t="str">
        <f>IFERROR(INDEX(MATRIZ_174!$C:$C,MATCH(A95,MATRIZ_174!$A:$A,0)),"")</f>
        <v>HUANUCO</v>
      </c>
    </row>
    <row r="96" spans="1:16" ht="16.05" customHeight="1" x14ac:dyDescent="0.3">
      <c r="A96" t="s">
        <v>284</v>
      </c>
      <c r="B96" t="s">
        <v>285</v>
      </c>
      <c r="C96" s="36" t="str">
        <f ca="1">IFERROR(ISCAM_Score!AL97,"—")</f>
        <v>—</v>
      </c>
      <c r="D96" t="str">
        <f t="shared" ca="1" si="4"/>
        <v>— Sin Inst.2</v>
      </c>
      <c r="E96" t="str">
        <f t="shared" ca="1" si="5"/>
        <v/>
      </c>
      <c r="F96">
        <f>IFERROR(MATRIZ_174!L96,0)</f>
        <v>0</v>
      </c>
      <c r="G96">
        <f>IFERROR(MATRIZ_174!M96,0)</f>
        <v>0</v>
      </c>
      <c r="H96" t="str">
        <f ca="1">IF(NORMALIZADO!CC96="","",NORMALIZADO!CC96)</f>
        <v/>
      </c>
      <c r="I96" t="str">
        <f>IF(NORMALIZADO!CF96="","",NORMALIZADO!CF96)</f>
        <v/>
      </c>
      <c r="J96" t="str">
        <f ca="1">IF(NORMALIZADO!CG96="","",NORMALIZADO!CG96)</f>
        <v/>
      </c>
      <c r="K96">
        <f>IFERROR(INDEX(MATRIZ_174!$U:$U,MATCH(A96,MATRIZ_174!$A:$A,0))*100,"")</f>
        <v>100</v>
      </c>
      <c r="L96">
        <f>IFERROR(MATRIZ_174!O96,0)</f>
        <v>0</v>
      </c>
      <c r="N96" t="str">
        <f ca="1">IFERROR(ISCAM_Score!AC97,"")</f>
        <v>⬜  Pendiente de instrumento</v>
      </c>
      <c r="O96" t="s">
        <v>123</v>
      </c>
      <c r="P96" t="str">
        <f>IFERROR(INDEX(MATRIZ_174!$C:$C,MATCH(A96,MATRIZ_174!$A:$A,0)),"")</f>
        <v>HUANUCO</v>
      </c>
    </row>
    <row r="97" spans="1:16" ht="16.05" customHeight="1" x14ac:dyDescent="0.3">
      <c r="A97" t="s">
        <v>286</v>
      </c>
      <c r="B97" t="s">
        <v>287</v>
      </c>
      <c r="C97" s="36" t="str">
        <f ca="1">IFERROR(ISCAM_Score!AL98,"—")</f>
        <v>—</v>
      </c>
      <c r="D97" t="str">
        <f t="shared" ca="1" si="4"/>
        <v>— Sin Inst.2</v>
      </c>
      <c r="E97" t="str">
        <f t="shared" ca="1" si="5"/>
        <v/>
      </c>
      <c r="F97">
        <f>IFERROR(MATRIZ_174!L97,0)</f>
        <v>0</v>
      </c>
      <c r="G97">
        <f>IFERROR(MATRIZ_174!M97,0)</f>
        <v>0</v>
      </c>
      <c r="H97" t="str">
        <f ca="1">IF(NORMALIZADO!CC97="","",NORMALIZADO!CC97)</f>
        <v/>
      </c>
      <c r="I97" t="str">
        <f>IF(NORMALIZADO!CF97="","",NORMALIZADO!CF97)</f>
        <v/>
      </c>
      <c r="J97" t="str">
        <f ca="1">IF(NORMALIZADO!CG97="","",NORMALIZADO!CG97)</f>
        <v/>
      </c>
      <c r="K97">
        <f>IFERROR(INDEX(MATRIZ_174!$U:$U,MATCH(A97,MATRIZ_174!$A:$A,0))*100,"")</f>
        <v>100</v>
      </c>
      <c r="L97">
        <f>IFERROR(MATRIZ_174!O97,0)</f>
        <v>0</v>
      </c>
      <c r="N97" t="str">
        <f ca="1">IFERROR(ISCAM_Score!AC98,"")</f>
        <v>⬜  Pendiente de instrumento</v>
      </c>
      <c r="O97" t="s">
        <v>123</v>
      </c>
      <c r="P97" t="str">
        <f>IFERROR(INDEX(MATRIZ_174!$C:$C,MATCH(A97,MATRIZ_174!$A:$A,0)),"")</f>
        <v>HUANUCO</v>
      </c>
    </row>
    <row r="98" spans="1:16" ht="16.05" customHeight="1" x14ac:dyDescent="0.3">
      <c r="A98" t="s">
        <v>288</v>
      </c>
      <c r="B98" t="s">
        <v>289</v>
      </c>
      <c r="C98" s="36" t="str">
        <f ca="1">IFERROR(ISCAM_Score!AL99,"—")</f>
        <v>—</v>
      </c>
      <c r="D98" t="str">
        <f t="shared" ca="1" si="4"/>
        <v>— Sin Inst.2</v>
      </c>
      <c r="E98" t="str">
        <f t="shared" ca="1" si="5"/>
        <v/>
      </c>
      <c r="F98">
        <f>IFERROR(MATRIZ_174!L98,0)</f>
        <v>0</v>
      </c>
      <c r="G98">
        <f>IFERROR(MATRIZ_174!M98,0)</f>
        <v>0</v>
      </c>
      <c r="H98" t="str">
        <f ca="1">IF(NORMALIZADO!CC98="","",NORMALIZADO!CC98)</f>
        <v/>
      </c>
      <c r="I98" t="str">
        <f>IF(NORMALIZADO!CF98="","",NORMALIZADO!CF98)</f>
        <v/>
      </c>
      <c r="J98" t="str">
        <f ca="1">IF(NORMALIZADO!CG98="","",NORMALIZADO!CG98)</f>
        <v/>
      </c>
      <c r="K98">
        <f>IFERROR(INDEX(MATRIZ_174!$U:$U,MATCH(A98,MATRIZ_174!$A:$A,0))*100,"")</f>
        <v>100</v>
      </c>
      <c r="L98">
        <f>IFERROR(MATRIZ_174!O98,0)</f>
        <v>0</v>
      </c>
      <c r="N98" t="str">
        <f ca="1">IFERROR(ISCAM_Score!AC99,"")</f>
        <v>⬜  Pendiente de instrumento</v>
      </c>
      <c r="O98" t="s">
        <v>123</v>
      </c>
      <c r="P98" t="str">
        <f>IFERROR(INDEX(MATRIZ_174!$C:$C,MATCH(A98,MATRIZ_174!$A:$A,0)),"")</f>
        <v>HUANUCO</v>
      </c>
    </row>
    <row r="99" spans="1:16" ht="16.05" customHeight="1" x14ac:dyDescent="0.3">
      <c r="A99" t="s">
        <v>290</v>
      </c>
      <c r="B99" t="s">
        <v>291</v>
      </c>
      <c r="C99" s="36" t="str">
        <f ca="1">IFERROR(ISCAM_Score!AL100,"—")</f>
        <v>—</v>
      </c>
      <c r="D99" t="str">
        <f t="shared" ref="D99:D130" ca="1" si="6">IF(C99="—","— Sin Inst.2",IF(C99&lt;34,"🔴  Crítico",IF(C99&lt;67,"🟡  Vulnerable","🟢  Preparado")))</f>
        <v>— Sin Inst.2</v>
      </c>
      <c r="E99" t="str">
        <f t="shared" ref="E99:E130" ca="1" si="7">IFERROR(RANK(C99,C:C,-1),"")</f>
        <v/>
      </c>
      <c r="F99">
        <f>IFERROR(MATRIZ_174!L99,0)</f>
        <v>0</v>
      </c>
      <c r="G99">
        <f>IFERROR(MATRIZ_174!M99,0)</f>
        <v>0</v>
      </c>
      <c r="H99" t="str">
        <f ca="1">IF(NORMALIZADO!CC99="","",NORMALIZADO!CC99)</f>
        <v/>
      </c>
      <c r="I99" t="str">
        <f>IF(NORMALIZADO!CF99="","",NORMALIZADO!CF99)</f>
        <v/>
      </c>
      <c r="J99" t="str">
        <f ca="1">IF(NORMALIZADO!CG99="","",NORMALIZADO!CG99)</f>
        <v/>
      </c>
      <c r="K99">
        <f>IFERROR(INDEX(MATRIZ_174!$U:$U,MATCH(A99,MATRIZ_174!$A:$A,0))*100,"")</f>
        <v>100</v>
      </c>
      <c r="L99">
        <f>IFERROR(MATRIZ_174!O99,0)</f>
        <v>0</v>
      </c>
      <c r="N99" t="str">
        <f ca="1">IFERROR(ISCAM_Score!AC100,"")</f>
        <v>⬜  Pendiente de instrumento</v>
      </c>
      <c r="O99" t="s">
        <v>123</v>
      </c>
      <c r="P99" t="str">
        <f>IFERROR(INDEX(MATRIZ_174!$C:$C,MATCH(A99,MATRIZ_174!$A:$A,0)),"")</f>
        <v>HUANUCO</v>
      </c>
    </row>
    <row r="100" spans="1:16" ht="16.05" customHeight="1" x14ac:dyDescent="0.3">
      <c r="A100" t="s">
        <v>293</v>
      </c>
      <c r="B100" t="s">
        <v>294</v>
      </c>
      <c r="C100" s="36" t="str">
        <f ca="1">IFERROR(ISCAM_Score!AL101,"—")</f>
        <v>—</v>
      </c>
      <c r="D100" t="str">
        <f t="shared" ca="1" si="6"/>
        <v>— Sin Inst.2</v>
      </c>
      <c r="E100" t="str">
        <f t="shared" ca="1" si="7"/>
        <v/>
      </c>
      <c r="F100">
        <f>IFERROR(MATRIZ_174!L100,0)</f>
        <v>0</v>
      </c>
      <c r="G100">
        <f>IFERROR(MATRIZ_174!M100,0)</f>
        <v>0</v>
      </c>
      <c r="H100" t="str">
        <f ca="1">IF(NORMALIZADO!CC100="","",NORMALIZADO!CC100)</f>
        <v/>
      </c>
      <c r="I100" t="str">
        <f>IF(NORMALIZADO!CF100="","",NORMALIZADO!CF100)</f>
        <v/>
      </c>
      <c r="J100" t="str">
        <f ca="1">IF(NORMALIZADO!CG100="","",NORMALIZADO!CG100)</f>
        <v/>
      </c>
      <c r="K100">
        <f>IFERROR(INDEX(MATRIZ_174!$U:$U,MATCH(A100,MATRIZ_174!$A:$A,0))*100,"")</f>
        <v>100</v>
      </c>
      <c r="L100">
        <f>IFERROR(MATRIZ_174!O100,0)</f>
        <v>0</v>
      </c>
      <c r="N100" t="str">
        <f ca="1">IFERROR(ISCAM_Score!AC101,"")</f>
        <v>⬜  Pendiente de instrumento</v>
      </c>
      <c r="O100" t="s">
        <v>80</v>
      </c>
      <c r="P100" t="str">
        <f>IFERROR(INDEX(MATRIZ_174!$C:$C,MATCH(A100,MATRIZ_174!$A:$A,0)),"")</f>
        <v>CUSCO</v>
      </c>
    </row>
    <row r="101" spans="1:16" ht="16.05" customHeight="1" x14ac:dyDescent="0.3">
      <c r="A101" t="s">
        <v>295</v>
      </c>
      <c r="B101" t="s">
        <v>296</v>
      </c>
      <c r="C101" s="36" t="str">
        <f ca="1">IFERROR(ISCAM_Score!AL102,"—")</f>
        <v>—</v>
      </c>
      <c r="D101" t="str">
        <f t="shared" ca="1" si="6"/>
        <v>— Sin Inst.2</v>
      </c>
      <c r="E101" t="str">
        <f t="shared" ca="1" si="7"/>
        <v/>
      </c>
      <c r="F101">
        <f>IFERROR(MATRIZ_174!L101,0)</f>
        <v>0</v>
      </c>
      <c r="G101">
        <f>IFERROR(MATRIZ_174!M101,0)</f>
        <v>0</v>
      </c>
      <c r="H101" t="str">
        <f ca="1">IF(NORMALIZADO!CC101="","",NORMALIZADO!CC101)</f>
        <v/>
      </c>
      <c r="I101" t="str">
        <f>IF(NORMALIZADO!CF101="","",NORMALIZADO!CF101)</f>
        <v/>
      </c>
      <c r="J101" t="str">
        <f ca="1">IF(NORMALIZADO!CG101="","",NORMALIZADO!CG101)</f>
        <v/>
      </c>
      <c r="K101">
        <f>IFERROR(INDEX(MATRIZ_174!$U:$U,MATCH(A101,MATRIZ_174!$A:$A,0))*100,"")</f>
        <v>100</v>
      </c>
      <c r="L101">
        <f>IFERROR(MATRIZ_174!O101,0)</f>
        <v>0</v>
      </c>
      <c r="N101" t="str">
        <f ca="1">IFERROR(ISCAM_Score!AC102,"")</f>
        <v>⬜  Pendiente de instrumento</v>
      </c>
      <c r="O101" t="s">
        <v>116</v>
      </c>
      <c r="P101" t="str">
        <f>IFERROR(INDEX(MATRIZ_174!$C:$C,MATCH(A101,MATRIZ_174!$A:$A,0)),"")</f>
        <v>AMAZONAS</v>
      </c>
    </row>
    <row r="102" spans="1:16" ht="16.05" customHeight="1" x14ac:dyDescent="0.3">
      <c r="A102" t="s">
        <v>297</v>
      </c>
      <c r="B102" t="s">
        <v>298</v>
      </c>
      <c r="C102" s="36" t="str">
        <f ca="1">IFERROR(ISCAM_Score!AL103,"—")</f>
        <v>—</v>
      </c>
      <c r="D102" t="str">
        <f t="shared" ca="1" si="6"/>
        <v>— Sin Inst.2</v>
      </c>
      <c r="E102" t="str">
        <f t="shared" ca="1" si="7"/>
        <v/>
      </c>
      <c r="F102">
        <f>IFERROR(MATRIZ_174!L102,0)</f>
        <v>0</v>
      </c>
      <c r="G102">
        <f>IFERROR(MATRIZ_174!M102,0)</f>
        <v>0</v>
      </c>
      <c r="H102" t="str">
        <f ca="1">IF(NORMALIZADO!CC102="","",NORMALIZADO!CC102)</f>
        <v/>
      </c>
      <c r="I102" t="str">
        <f>IF(NORMALIZADO!CF102="","",NORMALIZADO!CF102)</f>
        <v/>
      </c>
      <c r="J102" t="str">
        <f ca="1">IF(NORMALIZADO!CG102="","",NORMALIZADO!CG102)</f>
        <v/>
      </c>
      <c r="K102">
        <f>IFERROR(INDEX(MATRIZ_174!$U:$U,MATCH(A102,MATRIZ_174!$A:$A,0))*100,"")</f>
        <v>100</v>
      </c>
      <c r="L102">
        <f>IFERROR(MATRIZ_174!O102,0)</f>
        <v>0</v>
      </c>
      <c r="N102" t="str">
        <f ca="1">IFERROR(ISCAM_Score!AC103,"")</f>
        <v>⬜  Pendiente de instrumento</v>
      </c>
      <c r="O102" t="s">
        <v>123</v>
      </c>
      <c r="P102" t="str">
        <f>IFERROR(INDEX(MATRIZ_174!$C:$C,MATCH(A102,MATRIZ_174!$A:$A,0)),"")</f>
        <v>HUANUCO</v>
      </c>
    </row>
    <row r="103" spans="1:16" ht="16.05" customHeight="1" x14ac:dyDescent="0.3">
      <c r="A103" t="s">
        <v>299</v>
      </c>
      <c r="B103" t="s">
        <v>300</v>
      </c>
      <c r="C103" s="36" t="str">
        <f ca="1">IFERROR(ISCAM_Score!AL104,"—")</f>
        <v>—</v>
      </c>
      <c r="D103" t="str">
        <f t="shared" ca="1" si="6"/>
        <v>— Sin Inst.2</v>
      </c>
      <c r="E103" t="str">
        <f t="shared" ca="1" si="7"/>
        <v/>
      </c>
      <c r="F103">
        <f>IFERROR(MATRIZ_174!L103,0)</f>
        <v>0</v>
      </c>
      <c r="G103">
        <f>IFERROR(MATRIZ_174!M103,0)</f>
        <v>0</v>
      </c>
      <c r="H103" t="str">
        <f ca="1">IF(NORMALIZADO!CC103="","",NORMALIZADO!CC103)</f>
        <v/>
      </c>
      <c r="I103" t="str">
        <f>IF(NORMALIZADO!CF103="","",NORMALIZADO!CF103)</f>
        <v/>
      </c>
      <c r="J103" t="str">
        <f ca="1">IF(NORMALIZADO!CG103="","",NORMALIZADO!CG103)</f>
        <v/>
      </c>
      <c r="K103">
        <f>IFERROR(INDEX(MATRIZ_174!$U:$U,MATCH(A103,MATRIZ_174!$A:$A,0))*100,"")</f>
        <v>100</v>
      </c>
      <c r="L103">
        <f>IFERROR(MATRIZ_174!O103,0)</f>
        <v>0</v>
      </c>
      <c r="N103" t="str">
        <f ca="1">IFERROR(ISCAM_Score!AC104,"")</f>
        <v>⬜  Pendiente de instrumento</v>
      </c>
      <c r="O103" t="s">
        <v>196</v>
      </c>
      <c r="P103" t="str">
        <f>IFERROR(INDEX(MATRIZ_174!$C:$C,MATCH(A103,MATRIZ_174!$A:$A,0)),"")</f>
        <v>LORETO</v>
      </c>
    </row>
    <row r="104" spans="1:16" ht="16.05" customHeight="1" x14ac:dyDescent="0.3">
      <c r="A104" t="s">
        <v>301</v>
      </c>
      <c r="B104" t="s">
        <v>302</v>
      </c>
      <c r="C104" s="36" t="str">
        <f ca="1">IFERROR(ISCAM_Score!AL105,"—")</f>
        <v>—</v>
      </c>
      <c r="D104" t="str">
        <f t="shared" ca="1" si="6"/>
        <v>— Sin Inst.2</v>
      </c>
      <c r="E104" t="str">
        <f t="shared" ca="1" si="7"/>
        <v/>
      </c>
      <c r="F104">
        <f>IFERROR(MATRIZ_174!L104,0)</f>
        <v>0</v>
      </c>
      <c r="G104">
        <f>IFERROR(MATRIZ_174!M104,0)</f>
        <v>0</v>
      </c>
      <c r="H104" t="str">
        <f ca="1">IF(NORMALIZADO!CC104="","",NORMALIZADO!CC104)</f>
        <v/>
      </c>
      <c r="I104" t="str">
        <f>IF(NORMALIZADO!CF104="","",NORMALIZADO!CF104)</f>
        <v/>
      </c>
      <c r="J104" t="str">
        <f ca="1">IF(NORMALIZADO!CG104="","",NORMALIZADO!CG104)</f>
        <v/>
      </c>
      <c r="K104">
        <f>IFERROR(INDEX(MATRIZ_174!$U:$U,MATCH(A104,MATRIZ_174!$A:$A,0))*100,"")</f>
        <v>100</v>
      </c>
      <c r="L104">
        <f>IFERROR(MATRIZ_174!O104,0)</f>
        <v>0</v>
      </c>
      <c r="N104" t="str">
        <f ca="1">IFERROR(ISCAM_Score!AC105,"")</f>
        <v>⬜  Pendiente de instrumento</v>
      </c>
      <c r="O104" t="s">
        <v>248</v>
      </c>
      <c r="P104" t="str">
        <f>IFERROR(INDEX(MATRIZ_174!$C:$C,MATCH(A104,MATRIZ_174!$A:$A,0)),"")</f>
        <v>MADRE DE DIOS</v>
      </c>
    </row>
    <row r="105" spans="1:16" ht="16.05" customHeight="1" x14ac:dyDescent="0.3">
      <c r="A105" t="s">
        <v>303</v>
      </c>
      <c r="B105" t="s">
        <v>304</v>
      </c>
      <c r="C105" s="36" t="str">
        <f ca="1">IFERROR(ISCAM_Score!AL106,"—")</f>
        <v>—</v>
      </c>
      <c r="D105" t="str">
        <f t="shared" ca="1" si="6"/>
        <v>— Sin Inst.2</v>
      </c>
      <c r="E105" t="str">
        <f t="shared" ca="1" si="7"/>
        <v/>
      </c>
      <c r="F105">
        <f>IFERROR(MATRIZ_174!L105,0)</f>
        <v>0</v>
      </c>
      <c r="G105">
        <f>IFERROR(MATRIZ_174!M105,0)</f>
        <v>0</v>
      </c>
      <c r="H105" t="str">
        <f ca="1">IF(NORMALIZADO!CC105="","",NORMALIZADO!CC105)</f>
        <v/>
      </c>
      <c r="I105" t="str">
        <f>IF(NORMALIZADO!CF105="","",NORMALIZADO!CF105)</f>
        <v/>
      </c>
      <c r="J105" t="str">
        <f ca="1">IF(NORMALIZADO!CG105="","",NORMALIZADO!CG105)</f>
        <v/>
      </c>
      <c r="K105">
        <f>IFERROR(INDEX(MATRIZ_174!$U:$U,MATCH(A105,MATRIZ_174!$A:$A,0))*100,"")</f>
        <v>100</v>
      </c>
      <c r="L105">
        <f>IFERROR(MATRIZ_174!O105,0)</f>
        <v>0</v>
      </c>
      <c r="N105" t="str">
        <f ca="1">IFERROR(ISCAM_Score!AC106,"")</f>
        <v>⬜  Pendiente de instrumento</v>
      </c>
      <c r="O105" t="s">
        <v>116</v>
      </c>
      <c r="P105" t="str">
        <f>IFERROR(INDEX(MATRIZ_174!$C:$C,MATCH(A105,MATRIZ_174!$A:$A,0)),"")</f>
        <v>AMAZONAS</v>
      </c>
    </row>
    <row r="106" spans="1:16" ht="16.05" customHeight="1" x14ac:dyDescent="0.3">
      <c r="A106" t="s">
        <v>305</v>
      </c>
      <c r="B106" t="s">
        <v>306</v>
      </c>
      <c r="C106" s="36" t="str">
        <f ca="1">IFERROR(ISCAM_Score!AL107,"—")</f>
        <v>—</v>
      </c>
      <c r="D106" t="str">
        <f t="shared" ca="1" si="6"/>
        <v>— Sin Inst.2</v>
      </c>
      <c r="E106" t="str">
        <f t="shared" ca="1" si="7"/>
        <v/>
      </c>
      <c r="F106">
        <f>IFERROR(MATRIZ_174!L106,0)</f>
        <v>2059443.82</v>
      </c>
      <c r="G106">
        <f>IFERROR(MATRIZ_174!M106,0)</f>
        <v>49.6</v>
      </c>
      <c r="H106" t="str">
        <f ca="1">IF(NORMALIZADO!CC106="","",NORMALIZADO!CC106)</f>
        <v/>
      </c>
      <c r="I106" t="str">
        <f>IF(NORMALIZADO!CF106="","",NORMALIZADO!CF106)</f>
        <v/>
      </c>
      <c r="J106" t="str">
        <f ca="1">IF(NORMALIZADO!CG106="","",NORMALIZADO!CG106)</f>
        <v/>
      </c>
      <c r="K106">
        <f>IFERROR(INDEX(MATRIZ_174!$U:$U,MATCH(A106,MATRIZ_174!$A:$A,0))*100,"")</f>
        <v>100</v>
      </c>
      <c r="L106">
        <f>IFERROR(MATRIZ_174!O106,0)</f>
        <v>0</v>
      </c>
      <c r="N106" t="str">
        <f ca="1">IFERROR(ISCAM_Score!AC107,"")</f>
        <v>⬜  Pendiente de instrumento</v>
      </c>
      <c r="O106" t="s">
        <v>143</v>
      </c>
      <c r="P106" t="str">
        <f>IFERROR(INDEX(MATRIZ_174!$C:$C,MATCH(A106,MATRIZ_174!$A:$A,0)),"")</f>
        <v>SAN MARTIN</v>
      </c>
    </row>
    <row r="107" spans="1:16" ht="16.05" customHeight="1" x14ac:dyDescent="0.3">
      <c r="A107" t="s">
        <v>307</v>
      </c>
      <c r="B107" t="s">
        <v>308</v>
      </c>
      <c r="C107" s="36" t="str">
        <f ca="1">IFERROR(ISCAM_Score!AL108,"—")</f>
        <v>—</v>
      </c>
      <c r="D107" t="str">
        <f t="shared" ca="1" si="6"/>
        <v>— Sin Inst.2</v>
      </c>
      <c r="E107" t="str">
        <f t="shared" ca="1" si="7"/>
        <v/>
      </c>
      <c r="F107">
        <f>IFERROR(MATRIZ_174!L107,0)</f>
        <v>0</v>
      </c>
      <c r="G107">
        <f>IFERROR(MATRIZ_174!M107,0)</f>
        <v>0</v>
      </c>
      <c r="H107" t="str">
        <f ca="1">IF(NORMALIZADO!CC107="","",NORMALIZADO!CC107)</f>
        <v/>
      </c>
      <c r="I107" t="str">
        <f>IF(NORMALIZADO!CF107="","",NORMALIZADO!CF107)</f>
        <v/>
      </c>
      <c r="J107" t="str">
        <f ca="1">IF(NORMALIZADO!CG107="","",NORMALIZADO!CG107)</f>
        <v/>
      </c>
      <c r="K107">
        <f>IFERROR(INDEX(MATRIZ_174!$U:$U,MATCH(A107,MATRIZ_174!$A:$A,0))*100,"")</f>
        <v>100</v>
      </c>
      <c r="L107">
        <f>IFERROR(MATRIZ_174!O107,0)</f>
        <v>0</v>
      </c>
      <c r="N107" t="str">
        <f ca="1">IFERROR(ISCAM_Score!AC108,"")</f>
        <v>⬜  Pendiente de instrumento</v>
      </c>
      <c r="O107" t="s">
        <v>113</v>
      </c>
      <c r="P107" t="str">
        <f>IFERROR(INDEX(MATRIZ_174!$C:$C,MATCH(A107,MATRIZ_174!$A:$A,0)),"")</f>
        <v>UCAYALI</v>
      </c>
    </row>
    <row r="108" spans="1:16" ht="16.05" customHeight="1" x14ac:dyDescent="0.3">
      <c r="A108" t="s">
        <v>309</v>
      </c>
      <c r="B108" t="s">
        <v>310</v>
      </c>
      <c r="C108" s="36" t="str">
        <f ca="1">IFERROR(ISCAM_Score!AL109,"—")</f>
        <v>—</v>
      </c>
      <c r="D108" t="str">
        <f t="shared" ca="1" si="6"/>
        <v>— Sin Inst.2</v>
      </c>
      <c r="E108" t="str">
        <f t="shared" ca="1" si="7"/>
        <v/>
      </c>
      <c r="F108">
        <f>IFERROR(MATRIZ_174!L108,0)</f>
        <v>10616860.41</v>
      </c>
      <c r="G108">
        <f>IFERROR(MATRIZ_174!M108,0)</f>
        <v>50</v>
      </c>
      <c r="H108" t="str">
        <f ca="1">IF(NORMALIZADO!CC108="","",NORMALIZADO!CC108)</f>
        <v/>
      </c>
      <c r="I108" t="str">
        <f>IF(NORMALIZADO!CF108="","",NORMALIZADO!CF108)</f>
        <v/>
      </c>
      <c r="J108" t="str">
        <f ca="1">IF(NORMALIZADO!CG108="","",NORMALIZADO!CG108)</f>
        <v/>
      </c>
      <c r="K108">
        <f>IFERROR(INDEX(MATRIZ_174!$U:$U,MATCH(A108,MATRIZ_174!$A:$A,0))*100,"")</f>
        <v>100</v>
      </c>
      <c r="L108">
        <f>IFERROR(MATRIZ_174!O108,0)</f>
        <v>0</v>
      </c>
      <c r="N108" t="str">
        <f ca="1">IFERROR(ISCAM_Score!AC109,"")</f>
        <v>⬜  Pendiente de instrumento</v>
      </c>
      <c r="O108" t="s">
        <v>113</v>
      </c>
      <c r="P108" t="str">
        <f>IFERROR(INDEX(MATRIZ_174!$C:$C,MATCH(A108,MATRIZ_174!$A:$A,0)),"")</f>
        <v>UCAYALI</v>
      </c>
    </row>
    <row r="109" spans="1:16" ht="16.05" customHeight="1" x14ac:dyDescent="0.3">
      <c r="A109" t="s">
        <v>311</v>
      </c>
      <c r="B109" t="s">
        <v>312</v>
      </c>
      <c r="C109" s="36" t="str">
        <f ca="1">IFERROR(ISCAM_Score!AL110,"—")</f>
        <v>—</v>
      </c>
      <c r="D109" t="str">
        <f t="shared" ca="1" si="6"/>
        <v>— Sin Inst.2</v>
      </c>
      <c r="E109" t="str">
        <f t="shared" ca="1" si="7"/>
        <v/>
      </c>
      <c r="F109">
        <f>IFERROR(MATRIZ_174!L109,0)</f>
        <v>0</v>
      </c>
      <c r="G109">
        <f>IFERROR(MATRIZ_174!M109,0)</f>
        <v>0</v>
      </c>
      <c r="H109" t="str">
        <f ca="1">IF(NORMALIZADO!CC109="","",NORMALIZADO!CC109)</f>
        <v/>
      </c>
      <c r="I109" t="str">
        <f>IF(NORMALIZADO!CF109="","",NORMALIZADO!CF109)</f>
        <v/>
      </c>
      <c r="J109" t="str">
        <f ca="1">IF(NORMALIZADO!CG109="","",NORMALIZADO!CG109)</f>
        <v/>
      </c>
      <c r="K109">
        <f>IFERROR(INDEX(MATRIZ_174!$U:$U,MATCH(A109,MATRIZ_174!$A:$A,0))*100,"")</f>
        <v>100</v>
      </c>
      <c r="L109">
        <f>IFERROR(MATRIZ_174!O109,0)</f>
        <v>0</v>
      </c>
      <c r="N109" t="str">
        <f ca="1">IFERROR(ISCAM_Score!AC110,"")</f>
        <v>⬜  Pendiente de instrumento</v>
      </c>
      <c r="O109" t="s">
        <v>72</v>
      </c>
      <c r="P109" t="str">
        <f>IFERROR(INDEX(MATRIZ_174!$C:$C,MATCH(A109,MATRIZ_174!$A:$A,0)),"")</f>
        <v>AYACUCHO</v>
      </c>
    </row>
    <row r="110" spans="1:16" ht="16.05" customHeight="1" x14ac:dyDescent="0.3">
      <c r="A110" t="s">
        <v>313</v>
      </c>
      <c r="B110" t="s">
        <v>314</v>
      </c>
      <c r="C110" s="36" t="str">
        <f ca="1">IFERROR(ISCAM_Score!AL111,"—")</f>
        <v>—</v>
      </c>
      <c r="D110" t="str">
        <f t="shared" ca="1" si="6"/>
        <v>— Sin Inst.2</v>
      </c>
      <c r="E110" t="str">
        <f t="shared" ca="1" si="7"/>
        <v/>
      </c>
      <c r="F110">
        <f>IFERROR(MATRIZ_174!L110,0)</f>
        <v>0</v>
      </c>
      <c r="G110">
        <f>IFERROR(MATRIZ_174!M110,0)</f>
        <v>0</v>
      </c>
      <c r="H110" t="str">
        <f ca="1">IF(NORMALIZADO!CC110="","",NORMALIZADO!CC110)</f>
        <v/>
      </c>
      <c r="I110" t="str">
        <f>IF(NORMALIZADO!CF110="","",NORMALIZADO!CF110)</f>
        <v/>
      </c>
      <c r="J110" t="str">
        <f ca="1">IF(NORMALIZADO!CG110="","",NORMALIZADO!CG110)</f>
        <v/>
      </c>
      <c r="K110">
        <f>IFERROR(INDEX(MATRIZ_174!$U:$U,MATCH(A110,MATRIZ_174!$A:$A,0))*100,"")</f>
        <v>100</v>
      </c>
      <c r="L110">
        <f>IFERROR(MATRIZ_174!O110,0)</f>
        <v>0</v>
      </c>
      <c r="N110" t="str">
        <f ca="1">IFERROR(ISCAM_Score!AC111,"")</f>
        <v>⬜  Pendiente de instrumento</v>
      </c>
      <c r="O110" t="s">
        <v>123</v>
      </c>
      <c r="P110" t="str">
        <f>IFERROR(INDEX(MATRIZ_174!$C:$C,MATCH(A110,MATRIZ_174!$A:$A,0)),"")</f>
        <v>HUANUCO</v>
      </c>
    </row>
    <row r="111" spans="1:16" ht="16.05" customHeight="1" x14ac:dyDescent="0.3">
      <c r="A111" t="s">
        <v>315</v>
      </c>
      <c r="B111" t="s">
        <v>316</v>
      </c>
      <c r="C111" s="36" t="str">
        <f ca="1">IFERROR(ISCAM_Score!AL112,"—")</f>
        <v>—</v>
      </c>
      <c r="D111" t="str">
        <f t="shared" ca="1" si="6"/>
        <v>— Sin Inst.2</v>
      </c>
      <c r="E111" t="str">
        <f t="shared" ca="1" si="7"/>
        <v/>
      </c>
      <c r="F111">
        <f>IFERROR(MATRIZ_174!L111,0)</f>
        <v>0</v>
      </c>
      <c r="G111">
        <f>IFERROR(MATRIZ_174!M111,0)</f>
        <v>0</v>
      </c>
      <c r="H111" t="str">
        <f ca="1">IF(NORMALIZADO!CC111="","",NORMALIZADO!CC111)</f>
        <v/>
      </c>
      <c r="I111" t="str">
        <f>IF(NORMALIZADO!CF111="","",NORMALIZADO!CF111)</f>
        <v/>
      </c>
      <c r="J111" t="str">
        <f ca="1">IF(NORMALIZADO!CG111="","",NORMALIZADO!CG111)</f>
        <v/>
      </c>
      <c r="K111">
        <f>IFERROR(INDEX(MATRIZ_174!$U:$U,MATCH(A111,MATRIZ_174!$A:$A,0))*100,"")</f>
        <v>100</v>
      </c>
      <c r="L111">
        <f>IFERROR(MATRIZ_174!O111,0)</f>
        <v>0</v>
      </c>
      <c r="N111" t="str">
        <f ca="1">IFERROR(ISCAM_Score!AC112,"")</f>
        <v>⬜  Pendiente de instrumento</v>
      </c>
      <c r="O111" t="s">
        <v>116</v>
      </c>
      <c r="P111" t="str">
        <f>IFERROR(INDEX(MATRIZ_174!$C:$C,MATCH(A111,MATRIZ_174!$A:$A,0)),"")</f>
        <v>AMAZONAS</v>
      </c>
    </row>
    <row r="112" spans="1:16" ht="16.05" customHeight="1" x14ac:dyDescent="0.3">
      <c r="A112" t="s">
        <v>317</v>
      </c>
      <c r="B112" t="s">
        <v>318</v>
      </c>
      <c r="C112" s="36" t="str">
        <f ca="1">IFERROR(ISCAM_Score!AL113,"—")</f>
        <v>—</v>
      </c>
      <c r="D112" t="str">
        <f t="shared" ca="1" si="6"/>
        <v>— Sin Inst.2</v>
      </c>
      <c r="E112" t="str">
        <f t="shared" ca="1" si="7"/>
        <v/>
      </c>
      <c r="F112">
        <f>IFERROR(MATRIZ_174!L112,0)</f>
        <v>0</v>
      </c>
      <c r="G112">
        <f>IFERROR(MATRIZ_174!M112,0)</f>
        <v>0</v>
      </c>
      <c r="H112" t="str">
        <f ca="1">IF(NORMALIZADO!CC112="","",NORMALIZADO!CC112)</f>
        <v/>
      </c>
      <c r="I112" t="str">
        <f>IF(NORMALIZADO!CF112="","",NORMALIZADO!CF112)</f>
        <v/>
      </c>
      <c r="J112" t="str">
        <f ca="1">IF(NORMALIZADO!CG112="","",NORMALIZADO!CG112)</f>
        <v/>
      </c>
      <c r="K112">
        <f>IFERROR(INDEX(MATRIZ_174!$U:$U,MATCH(A112,MATRIZ_174!$A:$A,0))*100,"")</f>
        <v>100</v>
      </c>
      <c r="L112">
        <f>IFERROR(MATRIZ_174!O112,0)</f>
        <v>0</v>
      </c>
      <c r="N112" t="str">
        <f ca="1">IFERROR(ISCAM_Score!AC113,"")</f>
        <v>⬜  Pendiente de instrumento</v>
      </c>
      <c r="O112" t="s">
        <v>123</v>
      </c>
      <c r="P112" t="str">
        <f>IFERROR(INDEX(MATRIZ_174!$C:$C,MATCH(A112,MATRIZ_174!$A:$A,0)),"")</f>
        <v>HUANUCO</v>
      </c>
    </row>
    <row r="113" spans="1:16" ht="16.05" customHeight="1" x14ac:dyDescent="0.3">
      <c r="A113" t="s">
        <v>319</v>
      </c>
      <c r="B113" t="s">
        <v>320</v>
      </c>
      <c r="C113" s="36" t="str">
        <f ca="1">IFERROR(ISCAM_Score!AL114,"—")</f>
        <v>—</v>
      </c>
      <c r="D113" t="str">
        <f t="shared" ca="1" si="6"/>
        <v>— Sin Inst.2</v>
      </c>
      <c r="E113" t="str">
        <f t="shared" ca="1" si="7"/>
        <v/>
      </c>
      <c r="F113">
        <f>IFERROR(MATRIZ_174!L113,0)</f>
        <v>0</v>
      </c>
      <c r="G113">
        <f>IFERROR(MATRIZ_174!M113,0)</f>
        <v>0</v>
      </c>
      <c r="H113" t="str">
        <f ca="1">IF(NORMALIZADO!CC113="","",NORMALIZADO!CC113)</f>
        <v/>
      </c>
      <c r="I113" t="str">
        <f>IF(NORMALIZADO!CF113="","",NORMALIZADO!CF113)</f>
        <v/>
      </c>
      <c r="J113" t="str">
        <f ca="1">IF(NORMALIZADO!CG113="","",NORMALIZADO!CG113)</f>
        <v/>
      </c>
      <c r="K113">
        <f>IFERROR(INDEX(MATRIZ_174!$U:$U,MATCH(A113,MATRIZ_174!$A:$A,0))*100,"")</f>
        <v>100</v>
      </c>
      <c r="L113">
        <f>IFERROR(MATRIZ_174!O113,0)</f>
        <v>0</v>
      </c>
      <c r="N113" t="str">
        <f ca="1">IFERROR(ISCAM_Score!AC114,"")</f>
        <v>⬜  Pendiente de instrumento</v>
      </c>
      <c r="O113" t="s">
        <v>154</v>
      </c>
      <c r="P113" t="str">
        <f>IFERROR(INDEX(MATRIZ_174!$C:$C,MATCH(A113,MATRIZ_174!$A:$A,0)),"")</f>
        <v>CAJAMARCA</v>
      </c>
    </row>
    <row r="114" spans="1:16" ht="16.05" customHeight="1" x14ac:dyDescent="0.3">
      <c r="A114" t="s">
        <v>321</v>
      </c>
      <c r="B114" t="s">
        <v>322</v>
      </c>
      <c r="C114" s="36" t="str">
        <f ca="1">IFERROR(ISCAM_Score!AL115,"—")</f>
        <v>—</v>
      </c>
      <c r="D114" t="str">
        <f t="shared" ca="1" si="6"/>
        <v>— Sin Inst.2</v>
      </c>
      <c r="E114" t="str">
        <f t="shared" ca="1" si="7"/>
        <v/>
      </c>
      <c r="F114">
        <f>IFERROR(MATRIZ_174!L114,0)</f>
        <v>0</v>
      </c>
      <c r="G114">
        <f>IFERROR(MATRIZ_174!M114,0)</f>
        <v>0</v>
      </c>
      <c r="H114" t="str">
        <f ca="1">IF(NORMALIZADO!CC114="","",NORMALIZADO!CC114)</f>
        <v/>
      </c>
      <c r="I114" t="str">
        <f>IF(NORMALIZADO!CF114="","",NORMALIZADO!CF114)</f>
        <v/>
      </c>
      <c r="J114" t="str">
        <f ca="1">IF(NORMALIZADO!CG114="","",NORMALIZADO!CG114)</f>
        <v/>
      </c>
      <c r="K114">
        <f>IFERROR(INDEX(MATRIZ_174!$U:$U,MATCH(A114,MATRIZ_174!$A:$A,0))*100,"")</f>
        <v>100</v>
      </c>
      <c r="L114">
        <f>IFERROR(MATRIZ_174!O114,0)</f>
        <v>0</v>
      </c>
      <c r="N114" t="str">
        <f ca="1">IFERROR(ISCAM_Score!AC115,"")</f>
        <v>⬜  Pendiente de instrumento</v>
      </c>
      <c r="O114" t="s">
        <v>248</v>
      </c>
      <c r="P114" t="str">
        <f>IFERROR(INDEX(MATRIZ_174!$C:$C,MATCH(A114,MATRIZ_174!$A:$A,0)),"")</f>
        <v>MADRE DE DIOS</v>
      </c>
    </row>
    <row r="115" spans="1:16" ht="16.05" customHeight="1" x14ac:dyDescent="0.3">
      <c r="A115" t="s">
        <v>323</v>
      </c>
      <c r="B115" t="s">
        <v>324</v>
      </c>
      <c r="C115" s="36" t="str">
        <f ca="1">IFERROR(ISCAM_Score!AL116,"—")</f>
        <v>—</v>
      </c>
      <c r="D115" t="str">
        <f t="shared" ca="1" si="6"/>
        <v>— Sin Inst.2</v>
      </c>
      <c r="E115" t="str">
        <f t="shared" ca="1" si="7"/>
        <v/>
      </c>
      <c r="F115">
        <f>IFERROR(MATRIZ_174!L115,0)</f>
        <v>0</v>
      </c>
      <c r="G115">
        <f>IFERROR(MATRIZ_174!M115,0)</f>
        <v>0</v>
      </c>
      <c r="H115" t="str">
        <f ca="1">IF(NORMALIZADO!CC115="","",NORMALIZADO!CC115)</f>
        <v/>
      </c>
      <c r="I115" t="str">
        <f>IF(NORMALIZADO!CF115="","",NORMALIZADO!CF115)</f>
        <v/>
      </c>
      <c r="J115" t="str">
        <f ca="1">IF(NORMALIZADO!CG115="","",NORMALIZADO!CG115)</f>
        <v/>
      </c>
      <c r="K115">
        <f>IFERROR(INDEX(MATRIZ_174!$U:$U,MATCH(A115,MATRIZ_174!$A:$A,0))*100,"")</f>
        <v>100</v>
      </c>
      <c r="L115">
        <f>IFERROR(MATRIZ_174!O115,0)</f>
        <v>0</v>
      </c>
      <c r="N115" t="str">
        <f ca="1">IFERROR(ISCAM_Score!AC116,"")</f>
        <v>⬜  Pendiente de instrumento</v>
      </c>
      <c r="O115" t="s">
        <v>143</v>
      </c>
      <c r="P115" t="str">
        <f>IFERROR(INDEX(MATRIZ_174!$C:$C,MATCH(A115,MATRIZ_174!$A:$A,0)),"")</f>
        <v>SAN MARTIN</v>
      </c>
    </row>
    <row r="116" spans="1:16" ht="16.05" customHeight="1" x14ac:dyDescent="0.3">
      <c r="A116" t="s">
        <v>325</v>
      </c>
      <c r="B116" t="s">
        <v>326</v>
      </c>
      <c r="C116" s="36" t="str">
        <f ca="1">IFERROR(ISCAM_Score!AL117,"—")</f>
        <v>—</v>
      </c>
      <c r="D116" t="str">
        <f t="shared" ca="1" si="6"/>
        <v>— Sin Inst.2</v>
      </c>
      <c r="E116" t="str">
        <f t="shared" ca="1" si="7"/>
        <v/>
      </c>
      <c r="F116">
        <f>IFERROR(MATRIZ_174!L116,0)</f>
        <v>0</v>
      </c>
      <c r="G116">
        <f>IFERROR(MATRIZ_174!M116,0)</f>
        <v>0</v>
      </c>
      <c r="H116" t="str">
        <f ca="1">IF(NORMALIZADO!CC116="","",NORMALIZADO!CC116)</f>
        <v/>
      </c>
      <c r="I116" t="str">
        <f>IF(NORMALIZADO!CF116="","",NORMALIZADO!CF116)</f>
        <v/>
      </c>
      <c r="J116" t="str">
        <f ca="1">IF(NORMALIZADO!CG116="","",NORMALIZADO!CG116)</f>
        <v/>
      </c>
      <c r="K116">
        <f>IFERROR(INDEX(MATRIZ_174!$U:$U,MATCH(A116,MATRIZ_174!$A:$A,0))*100,"")</f>
        <v>100</v>
      </c>
      <c r="L116">
        <f>IFERROR(MATRIZ_174!O116,0)</f>
        <v>0</v>
      </c>
      <c r="N116" t="str">
        <f ca="1">IFERROR(ISCAM_Score!AC117,"")</f>
        <v>⬜  Pendiente de instrumento</v>
      </c>
      <c r="O116" t="s">
        <v>248</v>
      </c>
      <c r="P116" t="str">
        <f>IFERROR(INDEX(MATRIZ_174!$C:$C,MATCH(A116,MATRIZ_174!$A:$A,0)),"")</f>
        <v>MADRE DE DIOS</v>
      </c>
    </row>
    <row r="117" spans="1:16" ht="16.05" customHeight="1" x14ac:dyDescent="0.3">
      <c r="A117" t="s">
        <v>327</v>
      </c>
      <c r="B117" t="s">
        <v>328</v>
      </c>
      <c r="C117" s="36" t="str">
        <f ca="1">IFERROR(ISCAM_Score!AL118,"—")</f>
        <v>—</v>
      </c>
      <c r="D117" t="str">
        <f t="shared" ca="1" si="6"/>
        <v>— Sin Inst.2</v>
      </c>
      <c r="E117" t="str">
        <f t="shared" ca="1" si="7"/>
        <v/>
      </c>
      <c r="F117">
        <f>IFERROR(MATRIZ_174!L117,0)</f>
        <v>0</v>
      </c>
      <c r="G117">
        <f>IFERROR(MATRIZ_174!M117,0)</f>
        <v>0</v>
      </c>
      <c r="H117" t="str">
        <f ca="1">IF(NORMALIZADO!CC117="","",NORMALIZADO!CC117)</f>
        <v/>
      </c>
      <c r="I117" t="str">
        <f>IF(NORMALIZADO!CF117="","",NORMALIZADO!CF117)</f>
        <v/>
      </c>
      <c r="J117" t="str">
        <f ca="1">IF(NORMALIZADO!CG117="","",NORMALIZADO!CG117)</f>
        <v/>
      </c>
      <c r="K117">
        <f>IFERROR(INDEX(MATRIZ_174!$U:$U,MATCH(A117,MATRIZ_174!$A:$A,0))*100,"")</f>
        <v>100</v>
      </c>
      <c r="L117">
        <f>IFERROR(MATRIZ_174!O117,0)</f>
        <v>0</v>
      </c>
      <c r="N117" t="str">
        <f ca="1">IFERROR(ISCAM_Score!AC118,"")</f>
        <v>⬜  Pendiente de instrumento</v>
      </c>
      <c r="O117" t="s">
        <v>183</v>
      </c>
      <c r="P117" t="str">
        <f>IFERROR(INDEX(MATRIZ_174!$C:$C,MATCH(A117,MATRIZ_174!$A:$A,0)),"")</f>
        <v>LAMBAYEQUE</v>
      </c>
    </row>
    <row r="118" spans="1:16" ht="16.05" customHeight="1" x14ac:dyDescent="0.3">
      <c r="A118" t="s">
        <v>329</v>
      </c>
      <c r="B118" t="s">
        <v>330</v>
      </c>
      <c r="C118" s="36" t="str">
        <f ca="1">IFERROR(ISCAM_Score!AL119,"—")</f>
        <v>—</v>
      </c>
      <c r="D118" t="str">
        <f t="shared" ca="1" si="6"/>
        <v>— Sin Inst.2</v>
      </c>
      <c r="E118" t="str">
        <f t="shared" ca="1" si="7"/>
        <v/>
      </c>
      <c r="F118">
        <f>IFERROR(MATRIZ_174!L118,0)</f>
        <v>0</v>
      </c>
      <c r="G118">
        <f>IFERROR(MATRIZ_174!M118,0)</f>
        <v>0</v>
      </c>
      <c r="H118" t="str">
        <f ca="1">IF(NORMALIZADO!CC118="","",NORMALIZADO!CC118)</f>
        <v/>
      </c>
      <c r="I118" t="str">
        <f>IF(NORMALIZADO!CF118="","",NORMALIZADO!CF118)</f>
        <v/>
      </c>
      <c r="J118" t="str">
        <f ca="1">IF(NORMALIZADO!CG118="","",NORMALIZADO!CG118)</f>
        <v/>
      </c>
      <c r="K118">
        <f>IFERROR(INDEX(MATRIZ_174!$U:$U,MATCH(A118,MATRIZ_174!$A:$A,0))*100,"")</f>
        <v>100</v>
      </c>
      <c r="L118">
        <f>IFERROR(MATRIZ_174!O118,0)</f>
        <v>0</v>
      </c>
      <c r="N118" t="str">
        <f ca="1">IFERROR(ISCAM_Score!AC119,"")</f>
        <v>⬜  Pendiente de instrumento</v>
      </c>
      <c r="O118" t="s">
        <v>113</v>
      </c>
      <c r="P118" t="str">
        <f>IFERROR(INDEX(MATRIZ_174!$C:$C,MATCH(A118,MATRIZ_174!$A:$A,0)),"")</f>
        <v>UCAYALI</v>
      </c>
    </row>
    <row r="119" spans="1:16" ht="16.05" customHeight="1" x14ac:dyDescent="0.3">
      <c r="A119" t="s">
        <v>331</v>
      </c>
      <c r="B119" t="s">
        <v>332</v>
      </c>
      <c r="C119" s="36" t="str">
        <f ca="1">IFERROR(ISCAM_Score!AL120,"—")</f>
        <v>—</v>
      </c>
      <c r="D119" t="str">
        <f t="shared" ca="1" si="6"/>
        <v>— Sin Inst.2</v>
      </c>
      <c r="E119" t="str">
        <f t="shared" ca="1" si="7"/>
        <v/>
      </c>
      <c r="F119">
        <f>IFERROR(MATRIZ_174!L119,0)</f>
        <v>0</v>
      </c>
      <c r="G119">
        <f>IFERROR(MATRIZ_174!M119,0)</f>
        <v>0</v>
      </c>
      <c r="H119" t="str">
        <f ca="1">IF(NORMALIZADO!CC119="","",NORMALIZADO!CC119)</f>
        <v/>
      </c>
      <c r="I119" t="str">
        <f>IF(NORMALIZADO!CF119="","",NORMALIZADO!CF119)</f>
        <v/>
      </c>
      <c r="J119" t="str">
        <f ca="1">IF(NORMALIZADO!CG119="","",NORMALIZADO!CG119)</f>
        <v/>
      </c>
      <c r="K119">
        <f>IFERROR(INDEX(MATRIZ_174!$U:$U,MATCH(A119,MATRIZ_174!$A:$A,0))*100,"")</f>
        <v>100</v>
      </c>
      <c r="L119">
        <f>IFERROR(MATRIZ_174!O119,0)</f>
        <v>0</v>
      </c>
      <c r="N119" t="str">
        <f ca="1">IFERROR(ISCAM_Score!AC120,"")</f>
        <v>⬜  Pendiente de instrumento</v>
      </c>
      <c r="O119" t="s">
        <v>113</v>
      </c>
      <c r="P119" t="str">
        <f>IFERROR(INDEX(MATRIZ_174!$C:$C,MATCH(A119,MATRIZ_174!$A:$A,0)),"")</f>
        <v>UCAYALI</v>
      </c>
    </row>
    <row r="120" spans="1:16" ht="16.05" customHeight="1" x14ac:dyDescent="0.3">
      <c r="A120" t="s">
        <v>333</v>
      </c>
      <c r="B120" t="s">
        <v>334</v>
      </c>
      <c r="C120" s="36" t="str">
        <f ca="1">IFERROR(ISCAM_Score!AL121,"—")</f>
        <v>—</v>
      </c>
      <c r="D120" t="str">
        <f t="shared" ca="1" si="6"/>
        <v>— Sin Inst.2</v>
      </c>
      <c r="E120" t="str">
        <f t="shared" ca="1" si="7"/>
        <v/>
      </c>
      <c r="F120">
        <f>IFERROR(MATRIZ_174!L120,0)</f>
        <v>0</v>
      </c>
      <c r="G120">
        <f>IFERROR(MATRIZ_174!M120,0)</f>
        <v>0</v>
      </c>
      <c r="H120" t="str">
        <f ca="1">IF(NORMALIZADO!CC120="","",NORMALIZADO!CC120)</f>
        <v/>
      </c>
      <c r="I120" t="str">
        <f>IF(NORMALIZADO!CF120="","",NORMALIZADO!CF120)</f>
        <v/>
      </c>
      <c r="J120" t="str">
        <f ca="1">IF(NORMALIZADO!CG120="","",NORMALIZADO!CG120)</f>
        <v/>
      </c>
      <c r="K120">
        <f>IFERROR(INDEX(MATRIZ_174!$U:$U,MATCH(A120,MATRIZ_174!$A:$A,0))*100,"")</f>
        <v>100</v>
      </c>
      <c r="L120">
        <f>IFERROR(MATRIZ_174!O120,0)</f>
        <v>0</v>
      </c>
      <c r="N120" t="str">
        <f ca="1">IFERROR(ISCAM_Score!AC121,"")</f>
        <v>⬜  Pendiente de instrumento</v>
      </c>
      <c r="O120" t="s">
        <v>154</v>
      </c>
      <c r="P120" t="str">
        <f>IFERROR(INDEX(MATRIZ_174!$C:$C,MATCH(A120,MATRIZ_174!$A:$A,0)),"")</f>
        <v>CAJAMARCA</v>
      </c>
    </row>
    <row r="121" spans="1:16" ht="16.05" customHeight="1" x14ac:dyDescent="0.3">
      <c r="A121" t="s">
        <v>335</v>
      </c>
      <c r="B121" t="s">
        <v>336</v>
      </c>
      <c r="C121" s="36" t="str">
        <f ca="1">IFERROR(ISCAM_Score!AL122,"—")</f>
        <v>—</v>
      </c>
      <c r="D121" t="str">
        <f t="shared" ca="1" si="6"/>
        <v>— Sin Inst.2</v>
      </c>
      <c r="E121" t="str">
        <f t="shared" ca="1" si="7"/>
        <v/>
      </c>
      <c r="F121">
        <f>IFERROR(MATRIZ_174!L121,0)</f>
        <v>0</v>
      </c>
      <c r="G121">
        <f>IFERROR(MATRIZ_174!M121,0)</f>
        <v>0</v>
      </c>
      <c r="H121" t="str">
        <f ca="1">IF(NORMALIZADO!CC121="","",NORMALIZADO!CC121)</f>
        <v/>
      </c>
      <c r="I121" t="str">
        <f>IF(NORMALIZADO!CF121="","",NORMALIZADO!CF121)</f>
        <v/>
      </c>
      <c r="J121" t="str">
        <f ca="1">IF(NORMALIZADO!CG121="","",NORMALIZADO!CG121)</f>
        <v/>
      </c>
      <c r="K121">
        <f>IFERROR(INDEX(MATRIZ_174!$U:$U,MATCH(A121,MATRIZ_174!$A:$A,0))*100,"")</f>
        <v>100</v>
      </c>
      <c r="L121">
        <f>IFERROR(MATRIZ_174!O121,0)</f>
        <v>0</v>
      </c>
      <c r="N121" t="str">
        <f ca="1">IFERROR(ISCAM_Score!AC122,"")</f>
        <v>⬜  Pendiente de instrumento</v>
      </c>
      <c r="O121" t="s">
        <v>257</v>
      </c>
      <c r="P121" t="str">
        <f>IFERROR(INDEX(MATRIZ_174!$C:$C,MATCH(A121,MATRIZ_174!$A:$A,0)),"")</f>
        <v>PASCO</v>
      </c>
    </row>
    <row r="122" spans="1:16" ht="16.05" customHeight="1" x14ac:dyDescent="0.3">
      <c r="A122" t="s">
        <v>337</v>
      </c>
      <c r="B122" t="s">
        <v>338</v>
      </c>
      <c r="C122" s="36" t="str">
        <f ca="1">IFERROR(ISCAM_Score!AL123,"—")</f>
        <v>—</v>
      </c>
      <c r="D122" t="str">
        <f t="shared" ca="1" si="6"/>
        <v>— Sin Inst.2</v>
      </c>
      <c r="E122" t="str">
        <f t="shared" ca="1" si="7"/>
        <v/>
      </c>
      <c r="F122">
        <f>IFERROR(MATRIZ_174!L122,0)</f>
        <v>0</v>
      </c>
      <c r="G122">
        <f>IFERROR(MATRIZ_174!M122,0)</f>
        <v>0</v>
      </c>
      <c r="H122" t="str">
        <f ca="1">IF(NORMALIZADO!CC122="","",NORMALIZADO!CC122)</f>
        <v/>
      </c>
      <c r="I122" t="str">
        <f>IF(NORMALIZADO!CF122="","",NORMALIZADO!CF122)</f>
        <v/>
      </c>
      <c r="J122" t="str">
        <f ca="1">IF(NORMALIZADO!CG122="","",NORMALIZADO!CG122)</f>
        <v/>
      </c>
      <c r="K122">
        <f>IFERROR(INDEX(MATRIZ_174!$U:$U,MATCH(A122,MATRIZ_174!$A:$A,0))*100,"")</f>
        <v>100</v>
      </c>
      <c r="L122">
        <f>IFERROR(MATRIZ_174!O122,0)</f>
        <v>0</v>
      </c>
      <c r="N122" t="str">
        <f ca="1">IFERROR(ISCAM_Score!AC123,"")</f>
        <v>⬜  Pendiente de instrumento</v>
      </c>
      <c r="O122" t="s">
        <v>123</v>
      </c>
      <c r="P122" t="str">
        <f>IFERROR(INDEX(MATRIZ_174!$C:$C,MATCH(A122,MATRIZ_174!$A:$A,0)),"")</f>
        <v>HUANUCO</v>
      </c>
    </row>
    <row r="123" spans="1:16" ht="16.05" customHeight="1" x14ac:dyDescent="0.3">
      <c r="A123" t="s">
        <v>339</v>
      </c>
      <c r="B123" t="s">
        <v>340</v>
      </c>
      <c r="C123" s="36" t="str">
        <f ca="1">IFERROR(ISCAM_Score!AL124,"—")</f>
        <v>—</v>
      </c>
      <c r="D123" t="str">
        <f t="shared" ca="1" si="6"/>
        <v>— Sin Inst.2</v>
      </c>
      <c r="E123" t="str">
        <f t="shared" ca="1" si="7"/>
        <v/>
      </c>
      <c r="F123">
        <f>IFERROR(MATRIZ_174!L123,0)</f>
        <v>0</v>
      </c>
      <c r="G123">
        <f>IFERROR(MATRIZ_174!M123,0)</f>
        <v>0</v>
      </c>
      <c r="H123" t="str">
        <f ca="1">IF(NORMALIZADO!CC123="","",NORMALIZADO!CC123)</f>
        <v/>
      </c>
      <c r="I123" t="str">
        <f>IF(NORMALIZADO!CF123="","",NORMALIZADO!CF123)</f>
        <v/>
      </c>
      <c r="J123" t="str">
        <f ca="1">IF(NORMALIZADO!CG123="","",NORMALIZADO!CG123)</f>
        <v/>
      </c>
      <c r="K123">
        <f>IFERROR(INDEX(MATRIZ_174!$U:$U,MATCH(A123,MATRIZ_174!$A:$A,0))*100,"")</f>
        <v>100</v>
      </c>
      <c r="L123">
        <f>IFERROR(MATRIZ_174!O123,0)</f>
        <v>0</v>
      </c>
      <c r="N123" t="str">
        <f ca="1">IFERROR(ISCAM_Score!AC124,"")</f>
        <v>⬜  Pendiente de instrumento</v>
      </c>
      <c r="O123" t="s">
        <v>77</v>
      </c>
      <c r="P123" t="str">
        <f>IFERROR(INDEX(MATRIZ_174!$C:$C,MATCH(A123,MATRIZ_174!$A:$A,0)),"")</f>
        <v>JUNIN</v>
      </c>
    </row>
    <row r="124" spans="1:16" ht="16.05" customHeight="1" x14ac:dyDescent="0.3">
      <c r="A124" t="s">
        <v>341</v>
      </c>
      <c r="B124" t="s">
        <v>342</v>
      </c>
      <c r="C124" s="36" t="str">
        <f ca="1">IFERROR(ISCAM_Score!AL125,"—")</f>
        <v>—</v>
      </c>
      <c r="D124" t="str">
        <f t="shared" ca="1" si="6"/>
        <v>— Sin Inst.2</v>
      </c>
      <c r="E124" t="str">
        <f t="shared" ca="1" si="7"/>
        <v/>
      </c>
      <c r="F124">
        <f>IFERROR(MATRIZ_174!L124,0)</f>
        <v>0</v>
      </c>
      <c r="G124">
        <f>IFERROR(MATRIZ_174!M124,0)</f>
        <v>0</v>
      </c>
      <c r="H124" t="str">
        <f ca="1">IF(NORMALIZADO!CC124="","",NORMALIZADO!CC124)</f>
        <v/>
      </c>
      <c r="I124" t="str">
        <f>IF(NORMALIZADO!CF124="","",NORMALIZADO!CF124)</f>
        <v/>
      </c>
      <c r="J124" t="str">
        <f ca="1">IF(NORMALIZADO!CG124="","",NORMALIZADO!CG124)</f>
        <v/>
      </c>
      <c r="K124">
        <f>IFERROR(INDEX(MATRIZ_174!$U:$U,MATCH(A124,MATRIZ_174!$A:$A,0))*100,"")</f>
        <v>100</v>
      </c>
      <c r="L124">
        <f>IFERROR(MATRIZ_174!O124,0)</f>
        <v>0</v>
      </c>
      <c r="N124" t="str">
        <f ca="1">IFERROR(ISCAM_Score!AC125,"")</f>
        <v>⬜  Pendiente de instrumento</v>
      </c>
      <c r="O124" t="s">
        <v>116</v>
      </c>
      <c r="P124" t="str">
        <f>IFERROR(INDEX(MATRIZ_174!$C:$C,MATCH(A124,MATRIZ_174!$A:$A,0)),"")</f>
        <v>AMAZONAS</v>
      </c>
    </row>
    <row r="125" spans="1:16" ht="16.05" customHeight="1" x14ac:dyDescent="0.3">
      <c r="A125" t="s">
        <v>345</v>
      </c>
      <c r="B125" t="s">
        <v>346</v>
      </c>
      <c r="C125" s="36" t="str">
        <f ca="1">IFERROR(ISCAM_Score!AL126,"—")</f>
        <v>—</v>
      </c>
      <c r="D125" t="str">
        <f t="shared" ca="1" si="6"/>
        <v>— Sin Inst.2</v>
      </c>
      <c r="E125" t="str">
        <f t="shared" ca="1" si="7"/>
        <v/>
      </c>
      <c r="F125">
        <f>IFERROR(MATRIZ_174!L125,0)</f>
        <v>0</v>
      </c>
      <c r="G125">
        <f>IFERROR(MATRIZ_174!M125,0)</f>
        <v>0</v>
      </c>
      <c r="H125" t="str">
        <f ca="1">IF(NORMALIZADO!CC125="","",NORMALIZADO!CC125)</f>
        <v/>
      </c>
      <c r="I125" t="str">
        <f>IF(NORMALIZADO!CF125="","",NORMALIZADO!CF125)</f>
        <v/>
      </c>
      <c r="J125" t="str">
        <f ca="1">IF(NORMALIZADO!CG125="","",NORMALIZADO!CG125)</f>
        <v/>
      </c>
      <c r="K125">
        <f>IFERROR(INDEX(MATRIZ_174!$U:$U,MATCH(A125,MATRIZ_174!$A:$A,0))*100,"")</f>
        <v>100</v>
      </c>
      <c r="L125">
        <f>IFERROR(MATRIZ_174!O125,0)</f>
        <v>0</v>
      </c>
      <c r="N125" t="str">
        <f ca="1">IFERROR(ISCAM_Score!AC126,"")</f>
        <v>⬜  Pendiente de instrumento</v>
      </c>
      <c r="O125" t="s">
        <v>77</v>
      </c>
      <c r="P125" t="str">
        <f>IFERROR(INDEX(MATRIZ_174!$C:$C,MATCH(A125,MATRIZ_174!$A:$A,0)),"")</f>
        <v>JUNIN</v>
      </c>
    </row>
    <row r="126" spans="1:16" ht="16.05" customHeight="1" x14ac:dyDescent="0.3">
      <c r="A126" t="s">
        <v>347</v>
      </c>
      <c r="B126" t="s">
        <v>348</v>
      </c>
      <c r="C126" s="36" t="str">
        <f ca="1">IFERROR(ISCAM_Score!AL127,"—")</f>
        <v>—</v>
      </c>
      <c r="D126" t="str">
        <f t="shared" ca="1" si="6"/>
        <v>— Sin Inst.2</v>
      </c>
      <c r="E126" t="str">
        <f t="shared" ca="1" si="7"/>
        <v/>
      </c>
      <c r="F126">
        <f>IFERROR(MATRIZ_174!L126,0)</f>
        <v>0</v>
      </c>
      <c r="G126">
        <f>IFERROR(MATRIZ_174!M126,0)</f>
        <v>0</v>
      </c>
      <c r="H126" t="str">
        <f ca="1">IF(NORMALIZADO!CC126="","",NORMALIZADO!CC126)</f>
        <v/>
      </c>
      <c r="I126" t="str">
        <f>IF(NORMALIZADO!CF126="","",NORMALIZADO!CF126)</f>
        <v/>
      </c>
      <c r="J126" t="str">
        <f ca="1">IF(NORMALIZADO!CG126="","",NORMALIZADO!CG126)</f>
        <v/>
      </c>
      <c r="K126">
        <f>IFERROR(INDEX(MATRIZ_174!$U:$U,MATCH(A126,MATRIZ_174!$A:$A,0))*100,"")</f>
        <v>100</v>
      </c>
      <c r="L126">
        <f>IFERROR(MATRIZ_174!O126,0)</f>
        <v>0</v>
      </c>
      <c r="N126" t="str">
        <f ca="1">IFERROR(ISCAM_Score!AC127,"")</f>
        <v>⬜  Pendiente de instrumento</v>
      </c>
      <c r="O126" t="s">
        <v>77</v>
      </c>
      <c r="P126" t="str">
        <f>IFERROR(INDEX(MATRIZ_174!$C:$C,MATCH(A126,MATRIZ_174!$A:$A,0)),"")</f>
        <v>JUNIN</v>
      </c>
    </row>
    <row r="127" spans="1:16" ht="16.05" customHeight="1" x14ac:dyDescent="0.3">
      <c r="A127" t="s">
        <v>349</v>
      </c>
      <c r="B127" t="s">
        <v>350</v>
      </c>
      <c r="C127" s="36" t="str">
        <f ca="1">IFERROR(ISCAM_Score!AL128,"—")</f>
        <v>—</v>
      </c>
      <c r="D127" t="str">
        <f t="shared" ca="1" si="6"/>
        <v>— Sin Inst.2</v>
      </c>
      <c r="E127" t="str">
        <f t="shared" ca="1" si="7"/>
        <v/>
      </c>
      <c r="F127">
        <f>IFERROR(MATRIZ_174!L127,0)</f>
        <v>0</v>
      </c>
      <c r="G127">
        <f>IFERROR(MATRIZ_174!M127,0)</f>
        <v>0</v>
      </c>
      <c r="H127" t="str">
        <f ca="1">IF(NORMALIZADO!CC127="","",NORMALIZADO!CC127)</f>
        <v/>
      </c>
      <c r="I127" t="str">
        <f>IF(NORMALIZADO!CF127="","",NORMALIZADO!CF127)</f>
        <v/>
      </c>
      <c r="J127" t="str">
        <f ca="1">IF(NORMALIZADO!CG127="","",NORMALIZADO!CG127)</f>
        <v/>
      </c>
      <c r="K127">
        <f>IFERROR(INDEX(MATRIZ_174!$U:$U,MATCH(A127,MATRIZ_174!$A:$A,0))*100,"")</f>
        <v>100</v>
      </c>
      <c r="L127">
        <f>IFERROR(MATRIZ_174!O127,0)</f>
        <v>0</v>
      </c>
      <c r="N127" t="str">
        <f ca="1">IFERROR(ISCAM_Score!AC128,"")</f>
        <v>⬜  Pendiente de instrumento</v>
      </c>
      <c r="O127" t="s">
        <v>77</v>
      </c>
      <c r="P127" t="str">
        <f>IFERROR(INDEX(MATRIZ_174!$C:$C,MATCH(A127,MATRIZ_174!$A:$A,0)),"")</f>
        <v>JUNIN</v>
      </c>
    </row>
    <row r="128" spans="1:16" ht="16.05" customHeight="1" x14ac:dyDescent="0.3">
      <c r="A128" t="s">
        <v>351</v>
      </c>
      <c r="B128" t="s">
        <v>352</v>
      </c>
      <c r="C128" s="36" t="str">
        <f ca="1">IFERROR(ISCAM_Score!AL129,"—")</f>
        <v>—</v>
      </c>
      <c r="D128" t="str">
        <f t="shared" ca="1" si="6"/>
        <v>— Sin Inst.2</v>
      </c>
      <c r="E128" t="str">
        <f t="shared" ca="1" si="7"/>
        <v/>
      </c>
      <c r="F128">
        <f>IFERROR(MATRIZ_174!L128,0)</f>
        <v>6983136.6699999999</v>
      </c>
      <c r="G128">
        <f>IFERROR(MATRIZ_174!M128,0)</f>
        <v>50</v>
      </c>
      <c r="H128" t="str">
        <f ca="1">IF(NORMALIZADO!CC128="","",NORMALIZADO!CC128)</f>
        <v/>
      </c>
      <c r="I128" t="str">
        <f>IF(NORMALIZADO!CF128="","",NORMALIZADO!CF128)</f>
        <v/>
      </c>
      <c r="J128" t="str">
        <f ca="1">IF(NORMALIZADO!CG128="","",NORMALIZADO!CG128)</f>
        <v/>
      </c>
      <c r="K128">
        <f>IFERROR(INDEX(MATRIZ_174!$U:$U,MATCH(A128,MATRIZ_174!$A:$A,0))*100,"")</f>
        <v>100</v>
      </c>
      <c r="L128">
        <f>IFERROR(MATRIZ_174!O128,0)</f>
        <v>0</v>
      </c>
      <c r="N128" t="str">
        <f ca="1">IFERROR(ISCAM_Score!AC129,"")</f>
        <v>⬜  Pendiente de instrumento</v>
      </c>
      <c r="O128" t="s">
        <v>116</v>
      </c>
      <c r="P128" t="str">
        <f>IFERROR(INDEX(MATRIZ_174!$C:$C,MATCH(A128,MATRIZ_174!$A:$A,0)),"")</f>
        <v>AMAZONAS</v>
      </c>
    </row>
    <row r="129" spans="1:16" ht="16.05" customHeight="1" x14ac:dyDescent="0.3">
      <c r="A129" t="s">
        <v>353</v>
      </c>
      <c r="B129" t="s">
        <v>354</v>
      </c>
      <c r="C129" s="36" t="str">
        <f ca="1">IFERROR(ISCAM_Score!AL130,"—")</f>
        <v>—</v>
      </c>
      <c r="D129" t="str">
        <f t="shared" ca="1" si="6"/>
        <v>— Sin Inst.2</v>
      </c>
      <c r="E129" t="str">
        <f t="shared" ca="1" si="7"/>
        <v/>
      </c>
      <c r="F129">
        <f>IFERROR(MATRIZ_174!L129,0)</f>
        <v>0</v>
      </c>
      <c r="G129">
        <f>IFERROR(MATRIZ_174!M129,0)</f>
        <v>0</v>
      </c>
      <c r="H129" t="str">
        <f ca="1">IF(NORMALIZADO!CC129="","",NORMALIZADO!CC129)</f>
        <v/>
      </c>
      <c r="I129" t="str">
        <f>IF(NORMALIZADO!CF129="","",NORMALIZADO!CF129)</f>
        <v/>
      </c>
      <c r="J129" t="str">
        <f ca="1">IF(NORMALIZADO!CG129="","",NORMALIZADO!CG129)</f>
        <v/>
      </c>
      <c r="K129">
        <f>IFERROR(INDEX(MATRIZ_174!$U:$U,MATCH(A129,MATRIZ_174!$A:$A,0))*100,"")</f>
        <v>100</v>
      </c>
      <c r="L129">
        <f>IFERROR(MATRIZ_174!O129,0)</f>
        <v>0</v>
      </c>
      <c r="N129" t="str">
        <f ca="1">IFERROR(ISCAM_Score!AC130,"")</f>
        <v>⬜  Pendiente de instrumento</v>
      </c>
      <c r="O129" t="s">
        <v>113</v>
      </c>
      <c r="P129" t="str">
        <f>IFERROR(INDEX(MATRIZ_174!$C:$C,MATCH(A129,MATRIZ_174!$A:$A,0)),"")</f>
        <v>UCAYALI</v>
      </c>
    </row>
    <row r="130" spans="1:16" ht="16.05" customHeight="1" x14ac:dyDescent="0.3">
      <c r="A130" t="s">
        <v>355</v>
      </c>
      <c r="B130" t="s">
        <v>356</v>
      </c>
      <c r="C130" s="36" t="str">
        <f ca="1">IFERROR(ISCAM_Score!AL131,"—")</f>
        <v>—</v>
      </c>
      <c r="D130" t="str">
        <f t="shared" ca="1" si="6"/>
        <v>— Sin Inst.2</v>
      </c>
      <c r="E130" t="str">
        <f t="shared" ca="1" si="7"/>
        <v/>
      </c>
      <c r="F130">
        <f>IFERROR(MATRIZ_174!L130,0)</f>
        <v>0</v>
      </c>
      <c r="G130">
        <f>IFERROR(MATRIZ_174!M130,0)</f>
        <v>0</v>
      </c>
      <c r="H130" t="str">
        <f ca="1">IF(NORMALIZADO!CC130="","",NORMALIZADO!CC130)</f>
        <v/>
      </c>
      <c r="I130" t="str">
        <f>IF(NORMALIZADO!CF130="","",NORMALIZADO!CF130)</f>
        <v/>
      </c>
      <c r="J130" t="str">
        <f ca="1">IF(NORMALIZADO!CG130="","",NORMALIZADO!CG130)</f>
        <v/>
      </c>
      <c r="K130">
        <f>IFERROR(INDEX(MATRIZ_174!$U:$U,MATCH(A130,MATRIZ_174!$A:$A,0))*100,"")</f>
        <v>100</v>
      </c>
      <c r="L130">
        <f>IFERROR(MATRIZ_174!O130,0)</f>
        <v>0</v>
      </c>
      <c r="N130" t="str">
        <f ca="1">IFERROR(ISCAM_Score!AC131,"")</f>
        <v>⬜  Pendiente de instrumento</v>
      </c>
      <c r="O130" t="s">
        <v>257</v>
      </c>
      <c r="P130" t="str">
        <f>IFERROR(INDEX(MATRIZ_174!$C:$C,MATCH(A130,MATRIZ_174!$A:$A,0)),"")</f>
        <v>PASCO</v>
      </c>
    </row>
    <row r="131" spans="1:16" ht="16.05" customHeight="1" x14ac:dyDescent="0.3">
      <c r="A131" t="s">
        <v>358</v>
      </c>
      <c r="B131" t="s">
        <v>359</v>
      </c>
      <c r="C131" s="36" t="str">
        <f ca="1">IFERROR(ISCAM_Score!AL132,"—")</f>
        <v>—</v>
      </c>
      <c r="D131" t="str">
        <f t="shared" ref="D131:D162" ca="1" si="8">IF(C131="—","— Sin Inst.2",IF(C131&lt;34,"🔴  Crítico",IF(C131&lt;67,"🟡  Vulnerable","🟢  Preparado")))</f>
        <v>— Sin Inst.2</v>
      </c>
      <c r="E131" t="str">
        <f t="shared" ref="E131:E162" ca="1" si="9">IFERROR(RANK(C131,C:C,-1),"")</f>
        <v/>
      </c>
      <c r="F131">
        <f>IFERROR(MATRIZ_174!L131,0)</f>
        <v>0</v>
      </c>
      <c r="G131">
        <f>IFERROR(MATRIZ_174!M131,0)</f>
        <v>0</v>
      </c>
      <c r="H131" t="str">
        <f ca="1">IF(NORMALIZADO!CC131="","",NORMALIZADO!CC131)</f>
        <v/>
      </c>
      <c r="I131" t="str">
        <f>IF(NORMALIZADO!CF131="","",NORMALIZADO!CF131)</f>
        <v/>
      </c>
      <c r="J131" t="str">
        <f ca="1">IF(NORMALIZADO!CG131="","",NORMALIZADO!CG131)</f>
        <v/>
      </c>
      <c r="K131">
        <f>IFERROR(INDEX(MATRIZ_174!$U:$U,MATCH(A131,MATRIZ_174!$A:$A,0))*100,"")</f>
        <v>100</v>
      </c>
      <c r="L131">
        <f>IFERROR(MATRIZ_174!O131,0)</f>
        <v>0</v>
      </c>
      <c r="N131" t="str">
        <f ca="1">IFERROR(ISCAM_Score!AC132,"")</f>
        <v>⬜  Pendiente de instrumento</v>
      </c>
      <c r="O131" t="s">
        <v>77</v>
      </c>
      <c r="P131" t="str">
        <f>IFERROR(INDEX(MATRIZ_174!$C:$C,MATCH(A131,MATRIZ_174!$A:$A,0)),"")</f>
        <v>JUNIN</v>
      </c>
    </row>
    <row r="132" spans="1:16" ht="16.05" customHeight="1" x14ac:dyDescent="0.3">
      <c r="A132" t="s">
        <v>360</v>
      </c>
      <c r="B132" t="s">
        <v>361</v>
      </c>
      <c r="C132" s="36" t="str">
        <f ca="1">IFERROR(ISCAM_Score!AL133,"—")</f>
        <v>—</v>
      </c>
      <c r="D132" t="str">
        <f t="shared" ca="1" si="8"/>
        <v>— Sin Inst.2</v>
      </c>
      <c r="E132" t="str">
        <f t="shared" ca="1" si="9"/>
        <v/>
      </c>
      <c r="F132">
        <f>IFERROR(MATRIZ_174!L132,0)</f>
        <v>0</v>
      </c>
      <c r="G132">
        <f>IFERROR(MATRIZ_174!M132,0)</f>
        <v>0</v>
      </c>
      <c r="H132" t="str">
        <f ca="1">IF(NORMALIZADO!CC132="","",NORMALIZADO!CC132)</f>
        <v/>
      </c>
      <c r="I132" t="str">
        <f>IF(NORMALIZADO!CF132="","",NORMALIZADO!CF132)</f>
        <v/>
      </c>
      <c r="J132" t="str">
        <f ca="1">IF(NORMALIZADO!CG132="","",NORMALIZADO!CG132)</f>
        <v/>
      </c>
      <c r="K132">
        <f>IFERROR(INDEX(MATRIZ_174!$U:$U,MATCH(A132,MATRIZ_174!$A:$A,0))*100,"")</f>
        <v>100</v>
      </c>
      <c r="L132">
        <f>IFERROR(MATRIZ_174!O132,0)</f>
        <v>0</v>
      </c>
      <c r="N132" t="str">
        <f ca="1">IFERROR(ISCAM_Score!AC133,"")</f>
        <v>⬜  Pendiente de instrumento</v>
      </c>
      <c r="O132" t="s">
        <v>113</v>
      </c>
      <c r="P132" t="str">
        <f>IFERROR(INDEX(MATRIZ_174!$C:$C,MATCH(A132,MATRIZ_174!$A:$A,0)),"")</f>
        <v>UCAYALI</v>
      </c>
    </row>
    <row r="133" spans="1:16" ht="16.05" customHeight="1" x14ac:dyDescent="0.3">
      <c r="A133" t="s">
        <v>362</v>
      </c>
      <c r="B133" t="s">
        <v>363</v>
      </c>
      <c r="C133" s="36" t="str">
        <f ca="1">IFERROR(ISCAM_Score!AL134,"—")</f>
        <v>—</v>
      </c>
      <c r="D133" t="str">
        <f t="shared" ca="1" si="8"/>
        <v>— Sin Inst.2</v>
      </c>
      <c r="E133" t="str">
        <f t="shared" ca="1" si="9"/>
        <v/>
      </c>
      <c r="F133">
        <f>IFERROR(MATRIZ_174!L133,0)</f>
        <v>0</v>
      </c>
      <c r="G133">
        <f>IFERROR(MATRIZ_174!M133,0)</f>
        <v>0</v>
      </c>
      <c r="H133" t="str">
        <f ca="1">IF(NORMALIZADO!CC133="","",NORMALIZADO!CC133)</f>
        <v/>
      </c>
      <c r="I133" t="str">
        <f>IF(NORMALIZADO!CF133="","",NORMALIZADO!CF133)</f>
        <v/>
      </c>
      <c r="J133" t="str">
        <f ca="1">IF(NORMALIZADO!CG133="","",NORMALIZADO!CG133)</f>
        <v/>
      </c>
      <c r="K133">
        <f>IFERROR(INDEX(MATRIZ_174!$U:$U,MATCH(A133,MATRIZ_174!$A:$A,0))*100,"")</f>
        <v>100</v>
      </c>
      <c r="L133">
        <f>IFERROR(MATRIZ_174!O133,0)</f>
        <v>0</v>
      </c>
      <c r="N133" t="str">
        <f ca="1">IFERROR(ISCAM_Score!AC134,"")</f>
        <v>⬜  Pendiente de instrumento</v>
      </c>
      <c r="O133" t="s">
        <v>107</v>
      </c>
      <c r="P133" t="str">
        <f>IFERROR(INDEX(MATRIZ_174!$C:$C,MATCH(A133,MATRIZ_174!$A:$A,0)),"")</f>
        <v>PIURA</v>
      </c>
    </row>
    <row r="134" spans="1:16" ht="16.05" customHeight="1" x14ac:dyDescent="0.3">
      <c r="A134" t="s">
        <v>364</v>
      </c>
      <c r="B134" t="s">
        <v>365</v>
      </c>
      <c r="C134" s="36" t="str">
        <f ca="1">IFERROR(ISCAM_Score!AL135,"—")</f>
        <v>—</v>
      </c>
      <c r="D134" t="str">
        <f t="shared" ca="1" si="8"/>
        <v>— Sin Inst.2</v>
      </c>
      <c r="E134" t="str">
        <f t="shared" ca="1" si="9"/>
        <v/>
      </c>
      <c r="F134">
        <f>IFERROR(MATRIZ_174!L134,0)</f>
        <v>0</v>
      </c>
      <c r="G134">
        <f>IFERROR(MATRIZ_174!M134,0)</f>
        <v>0</v>
      </c>
      <c r="H134" t="str">
        <f ca="1">IF(NORMALIZADO!CC134="","",NORMALIZADO!CC134)</f>
        <v/>
      </c>
      <c r="I134" t="str">
        <f>IF(NORMALIZADO!CF134="","",NORMALIZADO!CF134)</f>
        <v/>
      </c>
      <c r="J134" t="str">
        <f ca="1">IF(NORMALIZADO!CG134="","",NORMALIZADO!CG134)</f>
        <v/>
      </c>
      <c r="K134">
        <f>IFERROR(INDEX(MATRIZ_174!$U:$U,MATCH(A134,MATRIZ_174!$A:$A,0))*100,"")</f>
        <v>100</v>
      </c>
      <c r="L134">
        <f>IFERROR(MATRIZ_174!O134,0)</f>
        <v>0</v>
      </c>
      <c r="N134" t="str">
        <f ca="1">IFERROR(ISCAM_Score!AC135,"")</f>
        <v>⬜  Pendiente de instrumento</v>
      </c>
      <c r="O134" t="s">
        <v>77</v>
      </c>
      <c r="P134" t="str">
        <f>IFERROR(INDEX(MATRIZ_174!$C:$C,MATCH(A134,MATRIZ_174!$A:$A,0)),"")</f>
        <v>JUNIN</v>
      </c>
    </row>
    <row r="135" spans="1:16" ht="16.05" customHeight="1" x14ac:dyDescent="0.3">
      <c r="A135" t="s">
        <v>368</v>
      </c>
      <c r="B135" t="s">
        <v>369</v>
      </c>
      <c r="C135" s="36" t="str">
        <f ca="1">IFERROR(ISCAM_Score!AL136,"—")</f>
        <v>—</v>
      </c>
      <c r="D135" t="str">
        <f t="shared" ca="1" si="8"/>
        <v>— Sin Inst.2</v>
      </c>
      <c r="E135" t="str">
        <f t="shared" ca="1" si="9"/>
        <v/>
      </c>
      <c r="F135">
        <f>IFERROR(MATRIZ_174!L135,0)</f>
        <v>4575551.37</v>
      </c>
      <c r="G135">
        <f>IFERROR(MATRIZ_174!M135,0)</f>
        <v>66.900000000000006</v>
      </c>
      <c r="H135" t="str">
        <f ca="1">IF(NORMALIZADO!CC135="","",NORMALIZADO!CC135)</f>
        <v/>
      </c>
      <c r="I135" t="str">
        <f>IF(NORMALIZADO!CF135="","",NORMALIZADO!CF135)</f>
        <v/>
      </c>
      <c r="J135" t="str">
        <f ca="1">IF(NORMALIZADO!CG135="","",NORMALIZADO!CG135)</f>
        <v/>
      </c>
      <c r="K135">
        <f>IFERROR(INDEX(MATRIZ_174!$U:$U,MATCH(A135,MATRIZ_174!$A:$A,0))*100,"")</f>
        <v>100</v>
      </c>
      <c r="L135">
        <f>IFERROR(MATRIZ_174!O135,0)</f>
        <v>0</v>
      </c>
      <c r="N135" t="str">
        <f ca="1">IFERROR(ISCAM_Score!AC136,"")</f>
        <v>⬜  Pendiente de instrumento</v>
      </c>
      <c r="O135" t="s">
        <v>143</v>
      </c>
      <c r="P135" t="str">
        <f>IFERROR(INDEX(MATRIZ_174!$C:$C,MATCH(A135,MATRIZ_174!$A:$A,0)),"")</f>
        <v>SAN MARTIN</v>
      </c>
    </row>
    <row r="136" spans="1:16" ht="16.05" customHeight="1" x14ac:dyDescent="0.3">
      <c r="A136" t="s">
        <v>371</v>
      </c>
      <c r="B136" t="s">
        <v>372</v>
      </c>
      <c r="C136" s="36" t="str">
        <f ca="1">IFERROR(ISCAM_Score!AL137,"—")</f>
        <v>—</v>
      </c>
      <c r="D136" t="str">
        <f t="shared" ca="1" si="8"/>
        <v>— Sin Inst.2</v>
      </c>
      <c r="E136" t="str">
        <f t="shared" ca="1" si="9"/>
        <v/>
      </c>
      <c r="F136">
        <f>IFERROR(MATRIZ_174!L136,0)</f>
        <v>0</v>
      </c>
      <c r="G136">
        <f>IFERROR(MATRIZ_174!M136,0)</f>
        <v>0</v>
      </c>
      <c r="H136" t="str">
        <f ca="1">IF(NORMALIZADO!CC136="","",NORMALIZADO!CC136)</f>
        <v/>
      </c>
      <c r="I136" t="str">
        <f>IF(NORMALIZADO!CF136="","",NORMALIZADO!CF136)</f>
        <v/>
      </c>
      <c r="J136" t="str">
        <f ca="1">IF(NORMALIZADO!CG136="","",NORMALIZADO!CG136)</f>
        <v/>
      </c>
      <c r="K136">
        <f>IFERROR(INDEX(MATRIZ_174!$U:$U,MATCH(A136,MATRIZ_174!$A:$A,0))*100,"")</f>
        <v>100</v>
      </c>
      <c r="L136">
        <f>IFERROR(MATRIZ_174!O136,0)</f>
        <v>0</v>
      </c>
      <c r="N136" t="str">
        <f ca="1">IFERROR(ISCAM_Score!AC137,"")</f>
        <v>⬜  Pendiente de instrumento</v>
      </c>
      <c r="O136" t="s">
        <v>77</v>
      </c>
      <c r="P136" t="str">
        <f>IFERROR(INDEX(MATRIZ_174!$C:$C,MATCH(A136,MATRIZ_174!$A:$A,0)),"")</f>
        <v>JUNIN</v>
      </c>
    </row>
    <row r="137" spans="1:16" ht="16.05" customHeight="1" x14ac:dyDescent="0.3">
      <c r="A137" t="s">
        <v>373</v>
      </c>
      <c r="B137" t="s">
        <v>374</v>
      </c>
      <c r="C137" s="36" t="str">
        <f ca="1">IFERROR(ISCAM_Score!AL138,"—")</f>
        <v>—</v>
      </c>
      <c r="D137" t="str">
        <f t="shared" ca="1" si="8"/>
        <v>— Sin Inst.2</v>
      </c>
      <c r="E137" t="str">
        <f t="shared" ca="1" si="9"/>
        <v/>
      </c>
      <c r="F137">
        <f>IFERROR(MATRIZ_174!L137,0)</f>
        <v>0</v>
      </c>
      <c r="G137">
        <f>IFERROR(MATRIZ_174!M137,0)</f>
        <v>0</v>
      </c>
      <c r="H137" t="str">
        <f ca="1">IF(NORMALIZADO!CC137="","",NORMALIZADO!CC137)</f>
        <v/>
      </c>
      <c r="I137" t="str">
        <f>IF(NORMALIZADO!CF137="","",NORMALIZADO!CF137)</f>
        <v/>
      </c>
      <c r="J137" t="str">
        <f ca="1">IF(NORMALIZADO!CG137="","",NORMALIZADO!CG137)</f>
        <v/>
      </c>
      <c r="K137">
        <f>IFERROR(INDEX(MATRIZ_174!$U:$U,MATCH(A137,MATRIZ_174!$A:$A,0))*100,"")</f>
        <v>100</v>
      </c>
      <c r="L137">
        <f>IFERROR(MATRIZ_174!O137,0)</f>
        <v>0</v>
      </c>
      <c r="N137" t="str">
        <f ca="1">IFERROR(ISCAM_Score!AC138,"")</f>
        <v>⬜  Pendiente de instrumento</v>
      </c>
      <c r="O137" t="s">
        <v>80</v>
      </c>
      <c r="P137" t="str">
        <f>IFERROR(INDEX(MATRIZ_174!$C:$C,MATCH(A137,MATRIZ_174!$A:$A,0)),"")</f>
        <v>CUSCO</v>
      </c>
    </row>
    <row r="138" spans="1:16" ht="16.05" customHeight="1" x14ac:dyDescent="0.3">
      <c r="A138" t="s">
        <v>375</v>
      </c>
      <c r="B138" t="s">
        <v>376</v>
      </c>
      <c r="C138" s="36" t="str">
        <f ca="1">IFERROR(ISCAM_Score!AL139,"—")</f>
        <v>—</v>
      </c>
      <c r="D138" t="str">
        <f t="shared" ca="1" si="8"/>
        <v>— Sin Inst.2</v>
      </c>
      <c r="E138" t="str">
        <f t="shared" ca="1" si="9"/>
        <v/>
      </c>
      <c r="F138">
        <f>IFERROR(MATRIZ_174!L138,0)</f>
        <v>80500</v>
      </c>
      <c r="G138">
        <f>IFERROR(MATRIZ_174!M138,0)</f>
        <v>50</v>
      </c>
      <c r="H138" t="str">
        <f ca="1">IF(NORMALIZADO!CC138="","",NORMALIZADO!CC138)</f>
        <v/>
      </c>
      <c r="I138" t="str">
        <f>IF(NORMALIZADO!CF138="","",NORMALIZADO!CF138)</f>
        <v/>
      </c>
      <c r="J138" t="str">
        <f ca="1">IF(NORMALIZADO!CG138="","",NORMALIZADO!CG138)</f>
        <v/>
      </c>
      <c r="K138">
        <f>IFERROR(INDEX(MATRIZ_174!$U:$U,MATCH(A138,MATRIZ_174!$A:$A,0))*100,"")</f>
        <v>100</v>
      </c>
      <c r="L138">
        <f>IFERROR(MATRIZ_174!O138,0)</f>
        <v>0</v>
      </c>
      <c r="N138" t="str">
        <f ca="1">IFERROR(ISCAM_Score!AC139,"")</f>
        <v>⬜  Pendiente de instrumento</v>
      </c>
      <c r="O138" t="s">
        <v>116</v>
      </c>
      <c r="P138" t="str">
        <f>IFERROR(INDEX(MATRIZ_174!$C:$C,MATCH(A138,MATRIZ_174!$A:$A,0)),"")</f>
        <v>AMAZONAS</v>
      </c>
    </row>
    <row r="139" spans="1:16" ht="16.05" customHeight="1" x14ac:dyDescent="0.3">
      <c r="A139" t="s">
        <v>377</v>
      </c>
      <c r="B139" t="s">
        <v>378</v>
      </c>
      <c r="C139" s="36" t="str">
        <f ca="1">IFERROR(ISCAM_Score!AL140,"—")</f>
        <v>—</v>
      </c>
      <c r="D139" t="str">
        <f t="shared" ca="1" si="8"/>
        <v>— Sin Inst.2</v>
      </c>
      <c r="E139" t="str">
        <f t="shared" ca="1" si="9"/>
        <v/>
      </c>
      <c r="F139">
        <f>IFERROR(MATRIZ_174!L139,0)</f>
        <v>0</v>
      </c>
      <c r="G139">
        <f>IFERROR(MATRIZ_174!M139,0)</f>
        <v>0</v>
      </c>
      <c r="H139" t="str">
        <f ca="1">IF(NORMALIZADO!CC139="","",NORMALIZADO!CC139)</f>
        <v/>
      </c>
      <c r="I139" t="str">
        <f>IF(NORMALIZADO!CF139="","",NORMALIZADO!CF139)</f>
        <v/>
      </c>
      <c r="J139" t="str">
        <f ca="1">IF(NORMALIZADO!CG139="","",NORMALIZADO!CG139)</f>
        <v/>
      </c>
      <c r="K139">
        <f>IFERROR(INDEX(MATRIZ_174!$U:$U,MATCH(A139,MATRIZ_174!$A:$A,0))*100,"")</f>
        <v>100</v>
      </c>
      <c r="L139">
        <f>IFERROR(MATRIZ_174!O139,0)</f>
        <v>0</v>
      </c>
      <c r="N139" t="str">
        <f ca="1">IFERROR(ISCAM_Score!AC140,"")</f>
        <v>⬜  Pendiente de instrumento</v>
      </c>
      <c r="O139" t="s">
        <v>196</v>
      </c>
      <c r="P139" t="str">
        <f>IFERROR(INDEX(MATRIZ_174!$C:$C,MATCH(A139,MATRIZ_174!$A:$A,0)),"")</f>
        <v>LORETO</v>
      </c>
    </row>
    <row r="140" spans="1:16" ht="16.05" customHeight="1" x14ac:dyDescent="0.3">
      <c r="A140" t="s">
        <v>379</v>
      </c>
      <c r="B140" t="s">
        <v>380</v>
      </c>
      <c r="C140" s="36" t="str">
        <f ca="1">IFERROR(ISCAM_Score!AL141,"—")</f>
        <v>—</v>
      </c>
      <c r="D140" t="str">
        <f t="shared" ca="1" si="8"/>
        <v>— Sin Inst.2</v>
      </c>
      <c r="E140" t="str">
        <f t="shared" ca="1" si="9"/>
        <v/>
      </c>
      <c r="F140">
        <f>IFERROR(MATRIZ_174!L140,0)</f>
        <v>0</v>
      </c>
      <c r="G140">
        <f>IFERROR(MATRIZ_174!M140,0)</f>
        <v>0</v>
      </c>
      <c r="H140" t="str">
        <f ca="1">IF(NORMALIZADO!CC140="","",NORMALIZADO!CC140)</f>
        <v/>
      </c>
      <c r="I140" t="str">
        <f>IF(NORMALIZADO!CF140="","",NORMALIZADO!CF140)</f>
        <v/>
      </c>
      <c r="J140" t="str">
        <f ca="1">IF(NORMALIZADO!CG140="","",NORMALIZADO!CG140)</f>
        <v/>
      </c>
      <c r="K140">
        <f>IFERROR(INDEX(MATRIZ_174!$U:$U,MATCH(A140,MATRIZ_174!$A:$A,0))*100,"")</f>
        <v>100</v>
      </c>
      <c r="L140">
        <f>IFERROR(MATRIZ_174!O140,0)</f>
        <v>0</v>
      </c>
      <c r="N140" t="str">
        <f ca="1">IFERROR(ISCAM_Score!AC141,"")</f>
        <v>⬜  Pendiente de instrumento</v>
      </c>
      <c r="O140" t="s">
        <v>77</v>
      </c>
      <c r="P140" t="str">
        <f>IFERROR(INDEX(MATRIZ_174!$C:$C,MATCH(A140,MATRIZ_174!$A:$A,0)),"")</f>
        <v>JUNIN</v>
      </c>
    </row>
    <row r="141" spans="1:16" ht="16.05" customHeight="1" x14ac:dyDescent="0.3">
      <c r="A141" t="s">
        <v>381</v>
      </c>
      <c r="B141" t="s">
        <v>382</v>
      </c>
      <c r="C141" s="36" t="str">
        <f ca="1">IFERROR(ISCAM_Score!AL142,"—")</f>
        <v>—</v>
      </c>
      <c r="D141" t="str">
        <f t="shared" ca="1" si="8"/>
        <v>— Sin Inst.2</v>
      </c>
      <c r="E141" t="str">
        <f t="shared" ca="1" si="9"/>
        <v/>
      </c>
      <c r="F141">
        <f>IFERROR(MATRIZ_174!L141,0)</f>
        <v>0</v>
      </c>
      <c r="G141">
        <f>IFERROR(MATRIZ_174!M141,0)</f>
        <v>0</v>
      </c>
      <c r="H141" t="str">
        <f ca="1">IF(NORMALIZADO!CC141="","",NORMALIZADO!CC141)</f>
        <v/>
      </c>
      <c r="I141" t="str">
        <f>IF(NORMALIZADO!CF141="","",NORMALIZADO!CF141)</f>
        <v/>
      </c>
      <c r="J141" t="str">
        <f ca="1">IF(NORMALIZADO!CG141="","",NORMALIZADO!CG141)</f>
        <v/>
      </c>
      <c r="K141">
        <f>IFERROR(INDEX(MATRIZ_174!$U:$U,MATCH(A141,MATRIZ_174!$A:$A,0))*100,"")</f>
        <v>100</v>
      </c>
      <c r="L141">
        <f>IFERROR(MATRIZ_174!O141,0)</f>
        <v>0</v>
      </c>
      <c r="N141" t="str">
        <f ca="1">IFERROR(ISCAM_Score!AC142,"")</f>
        <v>⬜  Pendiente de instrumento</v>
      </c>
      <c r="O141" t="s">
        <v>80</v>
      </c>
      <c r="P141" t="str">
        <f>IFERROR(INDEX(MATRIZ_174!$C:$C,MATCH(A141,MATRIZ_174!$A:$A,0)),"")</f>
        <v>CUSCO</v>
      </c>
    </row>
    <row r="142" spans="1:16" ht="16.05" customHeight="1" x14ac:dyDescent="0.3">
      <c r="A142" t="s">
        <v>383</v>
      </c>
      <c r="B142" t="s">
        <v>384</v>
      </c>
      <c r="C142" s="36" t="str">
        <f ca="1">IFERROR(ISCAM_Score!AL143,"—")</f>
        <v>—</v>
      </c>
      <c r="D142" t="str">
        <f t="shared" ca="1" si="8"/>
        <v>— Sin Inst.2</v>
      </c>
      <c r="E142" t="str">
        <f t="shared" ca="1" si="9"/>
        <v/>
      </c>
      <c r="F142">
        <f>IFERROR(MATRIZ_174!L142,0)</f>
        <v>0</v>
      </c>
      <c r="G142">
        <f>IFERROR(MATRIZ_174!M142,0)</f>
        <v>0</v>
      </c>
      <c r="H142" t="str">
        <f ca="1">IF(NORMALIZADO!CC142="","",NORMALIZADO!CC142)</f>
        <v/>
      </c>
      <c r="I142" t="str">
        <f>IF(NORMALIZADO!CF142="","",NORMALIZADO!CF142)</f>
        <v/>
      </c>
      <c r="J142" t="str">
        <f ca="1">IF(NORMALIZADO!CG142="","",NORMALIZADO!CG142)</f>
        <v/>
      </c>
      <c r="K142">
        <f>IFERROR(INDEX(MATRIZ_174!$U:$U,MATCH(A142,MATRIZ_174!$A:$A,0))*100,"")</f>
        <v>100</v>
      </c>
      <c r="L142">
        <f>IFERROR(MATRIZ_174!O142,0)</f>
        <v>0</v>
      </c>
      <c r="N142" t="str">
        <f ca="1">IFERROR(ISCAM_Score!AC143,"")</f>
        <v>⬜  Pendiente de instrumento</v>
      </c>
      <c r="O142" t="s">
        <v>80</v>
      </c>
      <c r="P142" t="str">
        <f>IFERROR(INDEX(MATRIZ_174!$C:$C,MATCH(A142,MATRIZ_174!$A:$A,0)),"")</f>
        <v>CUSCO</v>
      </c>
    </row>
    <row r="143" spans="1:16" ht="16.05" customHeight="1" x14ac:dyDescent="0.3">
      <c r="A143" t="s">
        <v>385</v>
      </c>
      <c r="B143" t="s">
        <v>386</v>
      </c>
      <c r="C143" s="36" t="str">
        <f ca="1">IFERROR(ISCAM_Score!AL144,"—")</f>
        <v>—</v>
      </c>
      <c r="D143" t="str">
        <f t="shared" ca="1" si="8"/>
        <v>— Sin Inst.2</v>
      </c>
      <c r="E143" t="str">
        <f t="shared" ca="1" si="9"/>
        <v/>
      </c>
      <c r="F143">
        <f>IFERROR(MATRIZ_174!L143,0)</f>
        <v>852880.44</v>
      </c>
      <c r="G143">
        <f>IFERROR(MATRIZ_174!M143,0)</f>
        <v>71</v>
      </c>
      <c r="H143" t="str">
        <f ca="1">IF(NORMALIZADO!CC143="","",NORMALIZADO!CC143)</f>
        <v/>
      </c>
      <c r="I143" t="str">
        <f>IF(NORMALIZADO!CF143="","",NORMALIZADO!CF143)</f>
        <v/>
      </c>
      <c r="J143" t="str">
        <f ca="1">IF(NORMALIZADO!CG143="","",NORMALIZADO!CG143)</f>
        <v/>
      </c>
      <c r="K143">
        <f>IFERROR(INDEX(MATRIZ_174!$U:$U,MATCH(A143,MATRIZ_174!$A:$A,0))*100,"")</f>
        <v>100</v>
      </c>
      <c r="L143">
        <f>IFERROR(MATRIZ_174!O143,0)</f>
        <v>0</v>
      </c>
      <c r="N143" t="str">
        <f ca="1">IFERROR(ISCAM_Score!AC144,"")</f>
        <v>⬜  Pendiente de instrumento</v>
      </c>
      <c r="O143" t="s">
        <v>143</v>
      </c>
      <c r="P143" t="str">
        <f>IFERROR(INDEX(MATRIZ_174!$C:$C,MATCH(A143,MATRIZ_174!$A:$A,0)),"")</f>
        <v>SAN MARTIN</v>
      </c>
    </row>
    <row r="144" spans="1:16" ht="16.05" customHeight="1" x14ac:dyDescent="0.3">
      <c r="A144" t="s">
        <v>388</v>
      </c>
      <c r="B144" t="s">
        <v>389</v>
      </c>
      <c r="C144" s="36" t="str">
        <f ca="1">IFERROR(ISCAM_Score!AL145,"—")</f>
        <v>—</v>
      </c>
      <c r="D144" t="str">
        <f t="shared" ca="1" si="8"/>
        <v>— Sin Inst.2</v>
      </c>
      <c r="E144" t="str">
        <f t="shared" ca="1" si="9"/>
        <v/>
      </c>
      <c r="F144">
        <f>IFERROR(MATRIZ_174!L144,0)</f>
        <v>0</v>
      </c>
      <c r="G144">
        <f>IFERROR(MATRIZ_174!M144,0)</f>
        <v>0</v>
      </c>
      <c r="H144" t="str">
        <f ca="1">IF(NORMALIZADO!CC144="","",NORMALIZADO!CC144)</f>
        <v/>
      </c>
      <c r="I144" t="str">
        <f>IF(NORMALIZADO!CF144="","",NORMALIZADO!CF144)</f>
        <v/>
      </c>
      <c r="J144" t="str">
        <f ca="1">IF(NORMALIZADO!CG144="","",NORMALIZADO!CG144)</f>
        <v/>
      </c>
      <c r="K144">
        <f>IFERROR(INDEX(MATRIZ_174!$U:$U,MATCH(A144,MATRIZ_174!$A:$A,0))*100,"")</f>
        <v>100</v>
      </c>
      <c r="L144">
        <f>IFERROR(MATRIZ_174!O144,0)</f>
        <v>0</v>
      </c>
      <c r="N144" t="str">
        <f ca="1">IFERROR(ISCAM_Score!AC145,"")</f>
        <v>⬜  Pendiente de instrumento</v>
      </c>
      <c r="O144" t="s">
        <v>80</v>
      </c>
      <c r="P144" t="str">
        <f>IFERROR(INDEX(MATRIZ_174!$C:$C,MATCH(A144,MATRIZ_174!$A:$A,0)),"")</f>
        <v>CUSCO</v>
      </c>
    </row>
    <row r="145" spans="1:16" ht="16.05" customHeight="1" x14ac:dyDescent="0.3">
      <c r="A145" t="s">
        <v>390</v>
      </c>
      <c r="B145" t="s">
        <v>391</v>
      </c>
      <c r="C145" s="36" t="str">
        <f ca="1">IFERROR(ISCAM_Score!AL146,"—")</f>
        <v>—</v>
      </c>
      <c r="D145" t="str">
        <f t="shared" ca="1" si="8"/>
        <v>— Sin Inst.2</v>
      </c>
      <c r="E145" t="str">
        <f t="shared" ca="1" si="9"/>
        <v/>
      </c>
      <c r="F145">
        <f>IFERROR(MATRIZ_174!L145,0)</f>
        <v>0</v>
      </c>
      <c r="G145">
        <f>IFERROR(MATRIZ_174!M145,0)</f>
        <v>0</v>
      </c>
      <c r="H145" t="str">
        <f ca="1">IF(NORMALIZADO!CC145="","",NORMALIZADO!CC145)</f>
        <v/>
      </c>
      <c r="I145" t="str">
        <f>IF(NORMALIZADO!CF145="","",NORMALIZADO!CF145)</f>
        <v/>
      </c>
      <c r="J145" t="str">
        <f ca="1">IF(NORMALIZADO!CG145="","",NORMALIZADO!CG145)</f>
        <v/>
      </c>
      <c r="K145">
        <f>IFERROR(INDEX(MATRIZ_174!$U:$U,MATCH(A145,MATRIZ_174!$A:$A,0))*100,"")</f>
        <v>100</v>
      </c>
      <c r="L145">
        <f>IFERROR(MATRIZ_174!O145,0)</f>
        <v>0</v>
      </c>
      <c r="N145" t="str">
        <f ca="1">IFERROR(ISCAM_Score!AC146,"")</f>
        <v>⬜  Pendiente de instrumento</v>
      </c>
      <c r="O145" t="s">
        <v>80</v>
      </c>
      <c r="P145" t="str">
        <f>IFERROR(INDEX(MATRIZ_174!$C:$C,MATCH(A145,MATRIZ_174!$A:$A,0)),"")</f>
        <v>CUSCO</v>
      </c>
    </row>
    <row r="146" spans="1:16" ht="16.05" customHeight="1" x14ac:dyDescent="0.3">
      <c r="A146" t="s">
        <v>392</v>
      </c>
      <c r="B146" t="s">
        <v>393</v>
      </c>
      <c r="C146" s="36" t="str">
        <f ca="1">IFERROR(ISCAM_Score!AL147,"—")</f>
        <v>—</v>
      </c>
      <c r="D146" t="str">
        <f t="shared" ca="1" si="8"/>
        <v>— Sin Inst.2</v>
      </c>
      <c r="E146" t="str">
        <f t="shared" ca="1" si="9"/>
        <v/>
      </c>
      <c r="F146">
        <f>IFERROR(MATRIZ_174!L146,0)</f>
        <v>332555.15999999997</v>
      </c>
      <c r="G146">
        <f>IFERROR(MATRIZ_174!M146,0)</f>
        <v>100</v>
      </c>
      <c r="H146" t="str">
        <f ca="1">IF(NORMALIZADO!CC146="","",NORMALIZADO!CC146)</f>
        <v/>
      </c>
      <c r="I146" t="str">
        <f>IF(NORMALIZADO!CF146="","",NORMALIZADO!CF146)</f>
        <v/>
      </c>
      <c r="J146" t="str">
        <f ca="1">IF(NORMALIZADO!CG146="","",NORMALIZADO!CG146)</f>
        <v/>
      </c>
      <c r="K146">
        <f>IFERROR(INDEX(MATRIZ_174!$U:$U,MATCH(A146,MATRIZ_174!$A:$A,0))*100,"")</f>
        <v>100</v>
      </c>
      <c r="L146">
        <f>IFERROR(MATRIZ_174!O146,0)</f>
        <v>0</v>
      </c>
      <c r="N146" t="str">
        <f ca="1">IFERROR(ISCAM_Score!AC147,"")</f>
        <v>⬜  Pendiente de instrumento</v>
      </c>
      <c r="O146" t="s">
        <v>77</v>
      </c>
      <c r="P146" t="str">
        <f>IFERROR(INDEX(MATRIZ_174!$C:$C,MATCH(A146,MATRIZ_174!$A:$A,0)),"")</f>
        <v>JUNIN</v>
      </c>
    </row>
    <row r="147" spans="1:16" ht="16.05" customHeight="1" x14ac:dyDescent="0.3">
      <c r="A147" t="s">
        <v>395</v>
      </c>
      <c r="B147" t="s">
        <v>396</v>
      </c>
      <c r="C147" s="36" t="str">
        <f ca="1">IFERROR(ISCAM_Score!AL148,"—")</f>
        <v>—</v>
      </c>
      <c r="D147" t="str">
        <f t="shared" ca="1" si="8"/>
        <v>— Sin Inst.2</v>
      </c>
      <c r="E147" t="str">
        <f t="shared" ca="1" si="9"/>
        <v/>
      </c>
      <c r="F147">
        <f>IFERROR(MATRIZ_174!L147,0)</f>
        <v>271980.69</v>
      </c>
      <c r="G147">
        <f>IFERROR(MATRIZ_174!M147,0)</f>
        <v>50</v>
      </c>
      <c r="H147" t="str">
        <f ca="1">IF(NORMALIZADO!CC147="","",NORMALIZADO!CC147)</f>
        <v/>
      </c>
      <c r="I147" t="str">
        <f>IF(NORMALIZADO!CF147="","",NORMALIZADO!CF147)</f>
        <v/>
      </c>
      <c r="J147" t="str">
        <f ca="1">IF(NORMALIZADO!CG147="","",NORMALIZADO!CG147)</f>
        <v/>
      </c>
      <c r="K147">
        <f>IFERROR(INDEX(MATRIZ_174!$U:$U,MATCH(A147,MATRIZ_174!$A:$A,0))*100,"")</f>
        <v>100</v>
      </c>
      <c r="L147">
        <f>IFERROR(MATRIZ_174!O147,0)</f>
        <v>0</v>
      </c>
      <c r="N147" t="str">
        <f ca="1">IFERROR(ISCAM_Score!AC148,"")</f>
        <v>⬜  Pendiente de instrumento</v>
      </c>
      <c r="O147" t="s">
        <v>248</v>
      </c>
      <c r="P147" t="str">
        <f>IFERROR(INDEX(MATRIZ_174!$C:$C,MATCH(A147,MATRIZ_174!$A:$A,0)),"")</f>
        <v>MADRE DE DIOS</v>
      </c>
    </row>
    <row r="148" spans="1:16" ht="16.05" customHeight="1" x14ac:dyDescent="0.3">
      <c r="A148" t="s">
        <v>397</v>
      </c>
      <c r="B148" t="s">
        <v>398</v>
      </c>
      <c r="C148" s="36" t="str">
        <f ca="1">IFERROR(ISCAM_Score!AL149,"—")</f>
        <v>—</v>
      </c>
      <c r="D148" t="str">
        <f t="shared" ca="1" si="8"/>
        <v>— Sin Inst.2</v>
      </c>
      <c r="E148" t="str">
        <f t="shared" ca="1" si="9"/>
        <v/>
      </c>
      <c r="F148">
        <f>IFERROR(MATRIZ_174!L148,0)</f>
        <v>0</v>
      </c>
      <c r="G148">
        <f>IFERROR(MATRIZ_174!M148,0)</f>
        <v>0</v>
      </c>
      <c r="H148" t="str">
        <f ca="1">IF(NORMALIZADO!CC148="","",NORMALIZADO!CC148)</f>
        <v/>
      </c>
      <c r="I148" t="str">
        <f>IF(NORMALIZADO!CF148="","",NORMALIZADO!CF148)</f>
        <v/>
      </c>
      <c r="J148" t="str">
        <f ca="1">IF(NORMALIZADO!CG148="","",NORMALIZADO!CG148)</f>
        <v/>
      </c>
      <c r="K148">
        <f>IFERROR(INDEX(MATRIZ_174!$U:$U,MATCH(A148,MATRIZ_174!$A:$A,0))*100,"")</f>
        <v>100</v>
      </c>
      <c r="L148">
        <f>IFERROR(MATRIZ_174!O148,0)</f>
        <v>0</v>
      </c>
      <c r="N148" t="str">
        <f ca="1">IFERROR(ISCAM_Score!AC149,"")</f>
        <v>⬜  Pendiente de instrumento</v>
      </c>
      <c r="O148" t="s">
        <v>80</v>
      </c>
      <c r="P148" t="str">
        <f>IFERROR(INDEX(MATRIZ_174!$C:$C,MATCH(A148,MATRIZ_174!$A:$A,0)),"")</f>
        <v>CUSCO</v>
      </c>
    </row>
    <row r="149" spans="1:16" ht="16.05" customHeight="1" x14ac:dyDescent="0.3">
      <c r="A149" t="s">
        <v>399</v>
      </c>
      <c r="B149" t="s">
        <v>400</v>
      </c>
      <c r="C149" s="36" t="str">
        <f ca="1">IFERROR(ISCAM_Score!AL150,"—")</f>
        <v>—</v>
      </c>
      <c r="D149" t="str">
        <f t="shared" ca="1" si="8"/>
        <v>— Sin Inst.2</v>
      </c>
      <c r="E149" t="str">
        <f t="shared" ca="1" si="9"/>
        <v/>
      </c>
      <c r="F149">
        <f>IFERROR(MATRIZ_174!L149,0)</f>
        <v>0</v>
      </c>
      <c r="G149">
        <f>IFERROR(MATRIZ_174!M149,0)</f>
        <v>0</v>
      </c>
      <c r="H149" t="str">
        <f ca="1">IF(NORMALIZADO!CC149="","",NORMALIZADO!CC149)</f>
        <v/>
      </c>
      <c r="I149" t="str">
        <f>IF(NORMALIZADO!CF149="","",NORMALIZADO!CF149)</f>
        <v/>
      </c>
      <c r="J149" t="str">
        <f ca="1">IF(NORMALIZADO!CG149="","",NORMALIZADO!CG149)</f>
        <v/>
      </c>
      <c r="K149">
        <f>IFERROR(INDEX(MATRIZ_174!$U:$U,MATCH(A149,MATRIZ_174!$A:$A,0))*100,"")</f>
        <v>100</v>
      </c>
      <c r="L149">
        <f>IFERROR(MATRIZ_174!O149,0)</f>
        <v>1</v>
      </c>
      <c r="N149" t="str">
        <f ca="1">IFERROR(ISCAM_Score!AC150,"")</f>
        <v>⬜  Pendiente de instrumento</v>
      </c>
      <c r="O149" t="s">
        <v>154</v>
      </c>
      <c r="P149" t="str">
        <f>IFERROR(INDEX(MATRIZ_174!$C:$C,MATCH(A149,MATRIZ_174!$A:$A,0)),"")</f>
        <v>CAJAMARCA</v>
      </c>
    </row>
    <row r="150" spans="1:16" ht="16.05" customHeight="1" x14ac:dyDescent="0.3">
      <c r="A150" t="s">
        <v>401</v>
      </c>
      <c r="B150" t="s">
        <v>402</v>
      </c>
      <c r="C150" s="36" t="str">
        <f ca="1">IFERROR(ISCAM_Score!AL151,"—")</f>
        <v>—</v>
      </c>
      <c r="D150" t="str">
        <f t="shared" ca="1" si="8"/>
        <v>— Sin Inst.2</v>
      </c>
      <c r="E150" t="str">
        <f t="shared" ca="1" si="9"/>
        <v/>
      </c>
      <c r="F150">
        <f>IFERROR(MATRIZ_174!L150,0)</f>
        <v>0</v>
      </c>
      <c r="G150">
        <f>IFERROR(MATRIZ_174!M150,0)</f>
        <v>0</v>
      </c>
      <c r="H150" t="str">
        <f ca="1">IF(NORMALIZADO!CC150="","",NORMALIZADO!CC150)</f>
        <v/>
      </c>
      <c r="I150" t="str">
        <f>IF(NORMALIZADO!CF150="","",NORMALIZADO!CF150)</f>
        <v/>
      </c>
      <c r="J150" t="str">
        <f ca="1">IF(NORMALIZADO!CG150="","",NORMALIZADO!CG150)</f>
        <v/>
      </c>
      <c r="K150">
        <f>IFERROR(INDEX(MATRIZ_174!$U:$U,MATCH(A150,MATRIZ_174!$A:$A,0))*100,"")</f>
        <v>100</v>
      </c>
      <c r="L150">
        <f>IFERROR(MATRIZ_174!O150,0)</f>
        <v>0</v>
      </c>
      <c r="N150" t="str">
        <f ca="1">IFERROR(ISCAM_Score!AC151,"")</f>
        <v>⬜  Pendiente de instrumento</v>
      </c>
      <c r="O150" t="s">
        <v>107</v>
      </c>
      <c r="P150" t="str">
        <f>IFERROR(INDEX(MATRIZ_174!$C:$C,MATCH(A150,MATRIZ_174!$A:$A,0)),"")</f>
        <v>PIURA</v>
      </c>
    </row>
    <row r="151" spans="1:16" ht="16.05" customHeight="1" x14ac:dyDescent="0.3">
      <c r="A151" t="s">
        <v>403</v>
      </c>
      <c r="B151" t="s">
        <v>404</v>
      </c>
      <c r="C151" s="36" t="str">
        <f ca="1">IFERROR(ISCAM_Score!AL152,"—")</f>
        <v>—</v>
      </c>
      <c r="D151" t="str">
        <f t="shared" ca="1" si="8"/>
        <v>— Sin Inst.2</v>
      </c>
      <c r="E151" t="str">
        <f t="shared" ca="1" si="9"/>
        <v/>
      </c>
      <c r="F151">
        <f>IFERROR(MATRIZ_174!L151,0)</f>
        <v>0</v>
      </c>
      <c r="G151">
        <f>IFERROR(MATRIZ_174!M151,0)</f>
        <v>0</v>
      </c>
      <c r="H151" t="str">
        <f ca="1">IF(NORMALIZADO!CC151="","",NORMALIZADO!CC151)</f>
        <v/>
      </c>
      <c r="I151" t="str">
        <f>IF(NORMALIZADO!CF151="","",NORMALIZADO!CF151)</f>
        <v/>
      </c>
      <c r="J151" t="str">
        <f ca="1">IF(NORMALIZADO!CG151="","",NORMALIZADO!CG151)</f>
        <v/>
      </c>
      <c r="K151">
        <f>IFERROR(INDEX(MATRIZ_174!$U:$U,MATCH(A151,MATRIZ_174!$A:$A,0))*100,"")</f>
        <v>100</v>
      </c>
      <c r="L151">
        <f>IFERROR(MATRIZ_174!O151,0)</f>
        <v>0</v>
      </c>
      <c r="N151" t="str">
        <f ca="1">IFERROR(ISCAM_Score!AC152,"")</f>
        <v>⬜  Pendiente de instrumento</v>
      </c>
      <c r="O151" t="s">
        <v>183</v>
      </c>
      <c r="P151" t="str">
        <f>IFERROR(INDEX(MATRIZ_174!$C:$C,MATCH(A151,MATRIZ_174!$A:$A,0)),"")</f>
        <v>LAMBAYEQUE</v>
      </c>
    </row>
    <row r="152" spans="1:16" ht="16.05" customHeight="1" x14ac:dyDescent="0.3">
      <c r="A152" t="s">
        <v>405</v>
      </c>
      <c r="B152" t="s">
        <v>406</v>
      </c>
      <c r="C152" s="36" t="str">
        <f ca="1">IFERROR(ISCAM_Score!AL153,"—")</f>
        <v>—</v>
      </c>
      <c r="D152" t="str">
        <f t="shared" ca="1" si="8"/>
        <v>— Sin Inst.2</v>
      </c>
      <c r="E152" t="str">
        <f t="shared" ca="1" si="9"/>
        <v/>
      </c>
      <c r="F152">
        <f>IFERROR(MATRIZ_174!L152,0)</f>
        <v>0</v>
      </c>
      <c r="G152">
        <f>IFERROR(MATRIZ_174!M152,0)</f>
        <v>0</v>
      </c>
      <c r="H152" t="str">
        <f ca="1">IF(NORMALIZADO!CC152="","",NORMALIZADO!CC152)</f>
        <v/>
      </c>
      <c r="I152" t="str">
        <f>IF(NORMALIZADO!CF152="","",NORMALIZADO!CF152)</f>
        <v/>
      </c>
      <c r="J152" t="str">
        <f ca="1">IF(NORMALIZADO!CG152="","",NORMALIZADO!CG152)</f>
        <v/>
      </c>
      <c r="K152">
        <f>IFERROR(INDEX(MATRIZ_174!$U:$U,MATCH(A152,MATRIZ_174!$A:$A,0))*100,"")</f>
        <v>100</v>
      </c>
      <c r="L152">
        <f>IFERROR(MATRIZ_174!O152,0)</f>
        <v>0</v>
      </c>
      <c r="N152" t="str">
        <f ca="1">IFERROR(ISCAM_Score!AC153,"")</f>
        <v>⬜  Pendiente de instrumento</v>
      </c>
      <c r="O152" t="s">
        <v>80</v>
      </c>
      <c r="P152" t="str">
        <f>IFERROR(INDEX(MATRIZ_174!$C:$C,MATCH(A152,MATRIZ_174!$A:$A,0)),"")</f>
        <v>CUSCO</v>
      </c>
    </row>
    <row r="153" spans="1:16" ht="16.05" customHeight="1" x14ac:dyDescent="0.3">
      <c r="A153" t="s">
        <v>407</v>
      </c>
      <c r="B153" t="s">
        <v>408</v>
      </c>
      <c r="C153" s="36" t="str">
        <f ca="1">IFERROR(ISCAM_Score!AL154,"—")</f>
        <v>—</v>
      </c>
      <c r="D153" t="str">
        <f t="shared" ca="1" si="8"/>
        <v>— Sin Inst.2</v>
      </c>
      <c r="E153" t="str">
        <f t="shared" ca="1" si="9"/>
        <v/>
      </c>
      <c r="F153">
        <f>IFERROR(MATRIZ_174!L153,0)</f>
        <v>0</v>
      </c>
      <c r="G153">
        <f>IFERROR(MATRIZ_174!M153,0)</f>
        <v>0</v>
      </c>
      <c r="H153" t="str">
        <f ca="1">IF(NORMALIZADO!CC153="","",NORMALIZADO!CC153)</f>
        <v/>
      </c>
      <c r="I153" t="str">
        <f>IF(NORMALIZADO!CF153="","",NORMALIZADO!CF153)</f>
        <v/>
      </c>
      <c r="J153" t="str">
        <f ca="1">IF(NORMALIZADO!CG153="","",NORMALIZADO!CG153)</f>
        <v/>
      </c>
      <c r="K153">
        <f>IFERROR(INDEX(MATRIZ_174!$U:$U,MATCH(A153,MATRIZ_174!$A:$A,0))*100,"")</f>
        <v>100</v>
      </c>
      <c r="L153">
        <f>IFERROR(MATRIZ_174!O153,0)</f>
        <v>0</v>
      </c>
      <c r="N153" t="str">
        <f ca="1">IFERROR(ISCAM_Score!AC154,"")</f>
        <v>⬜  Pendiente de instrumento</v>
      </c>
      <c r="O153" t="s">
        <v>80</v>
      </c>
      <c r="P153" t="str">
        <f>IFERROR(INDEX(MATRIZ_174!$C:$C,MATCH(A153,MATRIZ_174!$A:$A,0)),"")</f>
        <v>CUSCO</v>
      </c>
    </row>
    <row r="154" spans="1:16" ht="16.05" customHeight="1" x14ac:dyDescent="0.3">
      <c r="A154" t="s">
        <v>409</v>
      </c>
      <c r="B154" t="s">
        <v>410</v>
      </c>
      <c r="C154" s="36" t="str">
        <f ca="1">IFERROR(ISCAM_Score!AL155,"—")</f>
        <v>—</v>
      </c>
      <c r="D154" t="str">
        <f t="shared" ca="1" si="8"/>
        <v>— Sin Inst.2</v>
      </c>
      <c r="E154" t="str">
        <f t="shared" ca="1" si="9"/>
        <v/>
      </c>
      <c r="F154">
        <f>IFERROR(MATRIZ_174!L154,0)</f>
        <v>0</v>
      </c>
      <c r="G154">
        <f>IFERROR(MATRIZ_174!M154,0)</f>
        <v>0</v>
      </c>
      <c r="H154" t="str">
        <f ca="1">IF(NORMALIZADO!CC154="","",NORMALIZADO!CC154)</f>
        <v/>
      </c>
      <c r="I154" t="str">
        <f>IF(NORMALIZADO!CF154="","",NORMALIZADO!CF154)</f>
        <v/>
      </c>
      <c r="J154" t="str">
        <f ca="1">IF(NORMALIZADO!CG154="","",NORMALIZADO!CG154)</f>
        <v/>
      </c>
      <c r="K154">
        <f>IFERROR(INDEX(MATRIZ_174!$U:$U,MATCH(A154,MATRIZ_174!$A:$A,0))*100,"")</f>
        <v>100</v>
      </c>
      <c r="L154">
        <f>IFERROR(MATRIZ_174!O154,0)</f>
        <v>0</v>
      </c>
      <c r="N154" t="str">
        <f ca="1">IFERROR(ISCAM_Score!AC155,"")</f>
        <v>⬜  Pendiente de instrumento</v>
      </c>
      <c r="O154" t="s">
        <v>77</v>
      </c>
      <c r="P154" t="str">
        <f>IFERROR(INDEX(MATRIZ_174!$C:$C,MATCH(A154,MATRIZ_174!$A:$A,0)),"")</f>
        <v>JUNIN</v>
      </c>
    </row>
    <row r="155" spans="1:16" ht="16.05" customHeight="1" x14ac:dyDescent="0.3">
      <c r="A155" t="s">
        <v>411</v>
      </c>
      <c r="B155" t="s">
        <v>412</v>
      </c>
      <c r="C155" s="36" t="str">
        <f ca="1">IFERROR(ISCAM_Score!AL156,"—")</f>
        <v>—</v>
      </c>
      <c r="D155" t="str">
        <f t="shared" ca="1" si="8"/>
        <v>— Sin Inst.2</v>
      </c>
      <c r="E155" t="str">
        <f t="shared" ca="1" si="9"/>
        <v/>
      </c>
      <c r="F155">
        <f>IFERROR(MATRIZ_174!L155,0)</f>
        <v>0</v>
      </c>
      <c r="G155">
        <f>IFERROR(MATRIZ_174!M155,0)</f>
        <v>0</v>
      </c>
      <c r="H155" t="str">
        <f ca="1">IF(NORMALIZADO!CC155="","",NORMALIZADO!CC155)</f>
        <v/>
      </c>
      <c r="I155" t="str">
        <f>IF(NORMALIZADO!CF155="","",NORMALIZADO!CF155)</f>
        <v/>
      </c>
      <c r="J155" t="str">
        <f ca="1">IF(NORMALIZADO!CG155="","",NORMALIZADO!CG155)</f>
        <v/>
      </c>
      <c r="K155">
        <f>IFERROR(INDEX(MATRIZ_174!$U:$U,MATCH(A155,MATRIZ_174!$A:$A,0))*100,"")</f>
        <v>100</v>
      </c>
      <c r="L155">
        <f>IFERROR(MATRIZ_174!O155,0)</f>
        <v>0</v>
      </c>
      <c r="N155" t="str">
        <f ca="1">IFERROR(ISCAM_Score!AC156,"")</f>
        <v>⬜  Pendiente de instrumento</v>
      </c>
      <c r="O155" t="s">
        <v>113</v>
      </c>
      <c r="P155" t="str">
        <f>IFERROR(INDEX(MATRIZ_174!$C:$C,MATCH(A155,MATRIZ_174!$A:$A,0)),"")</f>
        <v>UCAYALI</v>
      </c>
    </row>
    <row r="156" spans="1:16" ht="16.05" customHeight="1" x14ac:dyDescent="0.3">
      <c r="A156" t="s">
        <v>413</v>
      </c>
      <c r="B156" t="s">
        <v>414</v>
      </c>
      <c r="C156" s="36" t="str">
        <f ca="1">IFERROR(ISCAM_Score!AL157,"—")</f>
        <v>—</v>
      </c>
      <c r="D156" t="str">
        <f t="shared" ca="1" si="8"/>
        <v>— Sin Inst.2</v>
      </c>
      <c r="E156" t="str">
        <f t="shared" ca="1" si="9"/>
        <v/>
      </c>
      <c r="F156">
        <f>IFERROR(MATRIZ_174!L156,0)</f>
        <v>0</v>
      </c>
      <c r="G156">
        <f>IFERROR(MATRIZ_174!M156,0)</f>
        <v>0</v>
      </c>
      <c r="H156" t="str">
        <f ca="1">IF(NORMALIZADO!CC156="","",NORMALIZADO!CC156)</f>
        <v/>
      </c>
      <c r="I156" t="str">
        <f>IF(NORMALIZADO!CF156="","",NORMALIZADO!CF156)</f>
        <v/>
      </c>
      <c r="J156" t="str">
        <f ca="1">IF(NORMALIZADO!CG156="","",NORMALIZADO!CG156)</f>
        <v/>
      </c>
      <c r="K156">
        <f>IFERROR(INDEX(MATRIZ_174!$U:$U,MATCH(A156,MATRIZ_174!$A:$A,0))*100,"")</f>
        <v>100</v>
      </c>
      <c r="L156">
        <f>IFERROR(MATRIZ_174!O156,0)</f>
        <v>0</v>
      </c>
      <c r="N156" t="str">
        <f ca="1">IFERROR(ISCAM_Score!AC157,"")</f>
        <v>⬜  Pendiente de instrumento</v>
      </c>
      <c r="O156" t="s">
        <v>183</v>
      </c>
      <c r="P156" t="str">
        <f>IFERROR(INDEX(MATRIZ_174!$C:$C,MATCH(A156,MATRIZ_174!$A:$A,0)),"")</f>
        <v>LAMBAYEQUE</v>
      </c>
    </row>
    <row r="157" spans="1:16" ht="16.05" customHeight="1" x14ac:dyDescent="0.3">
      <c r="A157" t="s">
        <v>415</v>
      </c>
      <c r="B157" t="s">
        <v>416</v>
      </c>
      <c r="C157" s="36" t="str">
        <f ca="1">IFERROR(ISCAM_Score!AL158,"—")</f>
        <v>—</v>
      </c>
      <c r="D157" t="str">
        <f t="shared" ca="1" si="8"/>
        <v>— Sin Inst.2</v>
      </c>
      <c r="E157" t="str">
        <f t="shared" ca="1" si="9"/>
        <v/>
      </c>
      <c r="F157">
        <f>IFERROR(MATRIZ_174!L157,0)</f>
        <v>76135.47</v>
      </c>
      <c r="G157">
        <f>IFERROR(MATRIZ_174!M157,0)</f>
        <v>8.1</v>
      </c>
      <c r="H157" t="str">
        <f ca="1">IF(NORMALIZADO!CC157="","",NORMALIZADO!CC157)</f>
        <v/>
      </c>
      <c r="I157" t="str">
        <f>IF(NORMALIZADO!CF157="","",NORMALIZADO!CF157)</f>
        <v/>
      </c>
      <c r="J157" t="str">
        <f ca="1">IF(NORMALIZADO!CG157="","",NORMALIZADO!CG157)</f>
        <v/>
      </c>
      <c r="K157">
        <f>IFERROR(INDEX(MATRIZ_174!$U:$U,MATCH(A157,MATRIZ_174!$A:$A,0))*100,"")</f>
        <v>100</v>
      </c>
      <c r="L157">
        <f>IFERROR(MATRIZ_174!O157,0)</f>
        <v>0</v>
      </c>
      <c r="N157" t="str">
        <f ca="1">IFERROR(ISCAM_Score!AC158,"")</f>
        <v>⬜  Pendiente de instrumento</v>
      </c>
      <c r="O157" t="s">
        <v>143</v>
      </c>
      <c r="P157" t="str">
        <f>IFERROR(INDEX(MATRIZ_174!$C:$C,MATCH(A157,MATRIZ_174!$A:$A,0)),"")</f>
        <v>SAN MARTIN</v>
      </c>
    </row>
    <row r="158" spans="1:16" ht="16.05" customHeight="1" x14ac:dyDescent="0.3">
      <c r="A158" t="s">
        <v>418</v>
      </c>
      <c r="B158" t="s">
        <v>419</v>
      </c>
      <c r="C158" s="36" t="str">
        <f ca="1">IFERROR(ISCAM_Score!AL159,"—")</f>
        <v>—</v>
      </c>
      <c r="D158" t="str">
        <f t="shared" ca="1" si="8"/>
        <v>— Sin Inst.2</v>
      </c>
      <c r="E158" t="str">
        <f t="shared" ca="1" si="9"/>
        <v/>
      </c>
      <c r="F158">
        <f>IFERROR(MATRIZ_174!L158,0)</f>
        <v>0</v>
      </c>
      <c r="G158">
        <f>IFERROR(MATRIZ_174!M158,0)</f>
        <v>0</v>
      </c>
      <c r="H158" t="str">
        <f ca="1">IF(NORMALIZADO!CC158="","",NORMALIZADO!CC158)</f>
        <v/>
      </c>
      <c r="I158" t="str">
        <f>IF(NORMALIZADO!CF158="","",NORMALIZADO!CF158)</f>
        <v/>
      </c>
      <c r="J158" t="str">
        <f ca="1">IF(NORMALIZADO!CG158="","",NORMALIZADO!CG158)</f>
        <v/>
      </c>
      <c r="K158">
        <f>IFERROR(INDEX(MATRIZ_174!$U:$U,MATCH(A158,MATRIZ_174!$A:$A,0))*100,"")</f>
        <v>100</v>
      </c>
      <c r="L158">
        <f>IFERROR(MATRIZ_174!O158,0)</f>
        <v>0</v>
      </c>
      <c r="N158" t="str">
        <f ca="1">IFERROR(ISCAM_Score!AC159,"")</f>
        <v>⬜  Pendiente de instrumento</v>
      </c>
      <c r="O158" t="s">
        <v>77</v>
      </c>
      <c r="P158" t="str">
        <f>IFERROR(INDEX(MATRIZ_174!$C:$C,MATCH(A158,MATRIZ_174!$A:$A,0)),"")</f>
        <v>JUNIN</v>
      </c>
    </row>
    <row r="159" spans="1:16" ht="16.05" customHeight="1" x14ac:dyDescent="0.3">
      <c r="A159" t="s">
        <v>420</v>
      </c>
      <c r="B159" t="s">
        <v>421</v>
      </c>
      <c r="C159" s="36" t="str">
        <f ca="1">IFERROR(ISCAM_Score!AL160,"—")</f>
        <v>—</v>
      </c>
      <c r="D159" t="str">
        <f t="shared" ca="1" si="8"/>
        <v>— Sin Inst.2</v>
      </c>
      <c r="E159" t="str">
        <f t="shared" ca="1" si="9"/>
        <v/>
      </c>
      <c r="F159">
        <f>IFERROR(MATRIZ_174!L159,0)</f>
        <v>0</v>
      </c>
      <c r="G159">
        <f>IFERROR(MATRIZ_174!M159,0)</f>
        <v>0</v>
      </c>
      <c r="H159" t="str">
        <f ca="1">IF(NORMALIZADO!CC159="","",NORMALIZADO!CC159)</f>
        <v/>
      </c>
      <c r="I159" t="str">
        <f>IF(NORMALIZADO!CF159="","",NORMALIZADO!CF159)</f>
        <v/>
      </c>
      <c r="J159" t="str">
        <f ca="1">IF(NORMALIZADO!CG159="","",NORMALIZADO!CG159)</f>
        <v/>
      </c>
      <c r="K159">
        <f>IFERROR(INDEX(MATRIZ_174!$U:$U,MATCH(A159,MATRIZ_174!$A:$A,0))*100,"")</f>
        <v>100</v>
      </c>
      <c r="L159">
        <f>IFERROR(MATRIZ_174!O159,0)</f>
        <v>0</v>
      </c>
      <c r="N159" t="str">
        <f ca="1">IFERROR(ISCAM_Score!AC160,"")</f>
        <v>⬜  Pendiente de instrumento</v>
      </c>
      <c r="O159" t="s">
        <v>143</v>
      </c>
      <c r="P159" t="str">
        <f>IFERROR(INDEX(MATRIZ_174!$C:$C,MATCH(A159,MATRIZ_174!$A:$A,0)),"")</f>
        <v>SAN MARTIN</v>
      </c>
    </row>
    <row r="160" spans="1:16" ht="16.05" customHeight="1" x14ac:dyDescent="0.3">
      <c r="A160" t="s">
        <v>422</v>
      </c>
      <c r="B160" t="s">
        <v>423</v>
      </c>
      <c r="C160" s="36" t="str">
        <f ca="1">IFERROR(ISCAM_Score!AL161,"—")</f>
        <v>—</v>
      </c>
      <c r="D160" t="str">
        <f t="shared" ca="1" si="8"/>
        <v>— Sin Inst.2</v>
      </c>
      <c r="E160" t="str">
        <f t="shared" ca="1" si="9"/>
        <v/>
      </c>
      <c r="F160">
        <f>IFERROR(MATRIZ_174!L160,0)</f>
        <v>0</v>
      </c>
      <c r="G160">
        <f>IFERROR(MATRIZ_174!M160,0)</f>
        <v>0</v>
      </c>
      <c r="H160" t="str">
        <f ca="1">IF(NORMALIZADO!CC160="","",NORMALIZADO!CC160)</f>
        <v/>
      </c>
      <c r="I160" t="str">
        <f>IF(NORMALIZADO!CF160="","",NORMALIZADO!CF160)</f>
        <v/>
      </c>
      <c r="J160" t="str">
        <f ca="1">IF(NORMALIZADO!CG160="","",NORMALIZADO!CG160)</f>
        <v/>
      </c>
      <c r="K160">
        <f>IFERROR(INDEX(MATRIZ_174!$U:$U,MATCH(A160,MATRIZ_174!$A:$A,0))*100,"")</f>
        <v>100</v>
      </c>
      <c r="L160">
        <f>IFERROR(MATRIZ_174!O160,0)</f>
        <v>0</v>
      </c>
      <c r="N160" t="str">
        <f ca="1">IFERROR(ISCAM_Score!AC161,"")</f>
        <v>⬜  Pendiente de instrumento</v>
      </c>
      <c r="O160" t="s">
        <v>107</v>
      </c>
      <c r="P160" t="str">
        <f>IFERROR(INDEX(MATRIZ_174!$C:$C,MATCH(A160,MATRIZ_174!$A:$A,0)),"")</f>
        <v>PIURA</v>
      </c>
    </row>
    <row r="161" spans="1:16" ht="16.05" customHeight="1" x14ac:dyDescent="0.3">
      <c r="A161" t="s">
        <v>425</v>
      </c>
      <c r="B161" t="s">
        <v>426</v>
      </c>
      <c r="C161" s="36" t="str">
        <f ca="1">IFERROR(ISCAM_Score!AL162,"—")</f>
        <v>—</v>
      </c>
      <c r="D161" t="str">
        <f t="shared" ca="1" si="8"/>
        <v>— Sin Inst.2</v>
      </c>
      <c r="E161" t="str">
        <f t="shared" ca="1" si="9"/>
        <v/>
      </c>
      <c r="F161">
        <f>IFERROR(MATRIZ_174!L161,0)</f>
        <v>0</v>
      </c>
      <c r="G161">
        <f>IFERROR(MATRIZ_174!M161,0)</f>
        <v>0</v>
      </c>
      <c r="H161" t="str">
        <f ca="1">IF(NORMALIZADO!CC161="","",NORMALIZADO!CC161)</f>
        <v/>
      </c>
      <c r="I161" t="str">
        <f>IF(NORMALIZADO!CF161="","",NORMALIZADO!CF161)</f>
        <v/>
      </c>
      <c r="J161" t="str">
        <f ca="1">IF(NORMALIZADO!CG161="","",NORMALIZADO!CG161)</f>
        <v/>
      </c>
      <c r="K161">
        <f>IFERROR(INDEX(MATRIZ_174!$U:$U,MATCH(A161,MATRIZ_174!$A:$A,0))*100,"")</f>
        <v>100</v>
      </c>
      <c r="L161">
        <f>IFERROR(MATRIZ_174!O161,0)</f>
        <v>0</v>
      </c>
      <c r="N161" t="str">
        <f ca="1">IFERROR(ISCAM_Score!AC162,"")</f>
        <v>⬜  Pendiente de instrumento</v>
      </c>
      <c r="O161" t="s">
        <v>183</v>
      </c>
      <c r="P161" t="str">
        <f>IFERROR(INDEX(MATRIZ_174!$C:$C,MATCH(A161,MATRIZ_174!$A:$A,0)),"")</f>
        <v>LAMBAYEQUE</v>
      </c>
    </row>
    <row r="162" spans="1:16" ht="16.05" customHeight="1" x14ac:dyDescent="0.3">
      <c r="A162" t="s">
        <v>427</v>
      </c>
      <c r="B162" t="s">
        <v>428</v>
      </c>
      <c r="C162" s="36" t="str">
        <f ca="1">IFERROR(ISCAM_Score!AL163,"—")</f>
        <v>—</v>
      </c>
      <c r="D162" t="str">
        <f t="shared" ca="1" si="8"/>
        <v>— Sin Inst.2</v>
      </c>
      <c r="E162" t="str">
        <f t="shared" ca="1" si="9"/>
        <v/>
      </c>
      <c r="F162">
        <f>IFERROR(MATRIZ_174!L162,0)</f>
        <v>0</v>
      </c>
      <c r="G162">
        <f>IFERROR(MATRIZ_174!M162,0)</f>
        <v>0</v>
      </c>
      <c r="H162" t="str">
        <f ca="1">IF(NORMALIZADO!CC162="","",NORMALIZADO!CC162)</f>
        <v/>
      </c>
      <c r="I162" t="str">
        <f>IF(NORMALIZADO!CF162="","",NORMALIZADO!CF162)</f>
        <v/>
      </c>
      <c r="J162" t="str">
        <f ca="1">IF(NORMALIZADO!CG162="","",NORMALIZADO!CG162)</f>
        <v/>
      </c>
      <c r="K162">
        <f>IFERROR(INDEX(MATRIZ_174!$U:$U,MATCH(A162,MATRIZ_174!$A:$A,0))*100,"")</f>
        <v>100</v>
      </c>
      <c r="L162">
        <f>IFERROR(MATRIZ_174!O162,0)</f>
        <v>0</v>
      </c>
      <c r="N162" t="str">
        <f ca="1">IFERROR(ISCAM_Score!AC163,"")</f>
        <v>⬜  Pendiente de instrumento</v>
      </c>
      <c r="O162" t="s">
        <v>107</v>
      </c>
      <c r="P162" t="str">
        <f>IFERROR(INDEX(MATRIZ_174!$C:$C,MATCH(A162,MATRIZ_174!$A:$A,0)),"")</f>
        <v>PIURA</v>
      </c>
    </row>
    <row r="163" spans="1:16" ht="16.05" customHeight="1" x14ac:dyDescent="0.3">
      <c r="A163" t="s">
        <v>429</v>
      </c>
      <c r="B163" t="s">
        <v>430</v>
      </c>
      <c r="C163" s="36" t="str">
        <f ca="1">IFERROR(ISCAM_Score!AL164,"—")</f>
        <v>—</v>
      </c>
      <c r="D163" t="str">
        <f t="shared" ref="D163:D176" ca="1" si="10">IF(C163="—","— Sin Inst.2",IF(C163&lt;34,"🔴  Crítico",IF(C163&lt;67,"🟡  Vulnerable","🟢  Preparado")))</f>
        <v>— Sin Inst.2</v>
      </c>
      <c r="E163" t="str">
        <f t="shared" ref="E163:E176" ca="1" si="11">IFERROR(RANK(C163,C:C,-1),"")</f>
        <v/>
      </c>
      <c r="F163">
        <f>IFERROR(MATRIZ_174!L163,0)</f>
        <v>1501109.51</v>
      </c>
      <c r="G163">
        <f>IFERROR(MATRIZ_174!M163,0)</f>
        <v>50</v>
      </c>
      <c r="H163" t="str">
        <f ca="1">IF(NORMALIZADO!CC163="","",NORMALIZADO!CC163)</f>
        <v/>
      </c>
      <c r="I163" t="str">
        <f>IF(NORMALIZADO!CF163="","",NORMALIZADO!CF163)</f>
        <v/>
      </c>
      <c r="J163" t="str">
        <f ca="1">IF(NORMALIZADO!CG163="","",NORMALIZADO!CG163)</f>
        <v/>
      </c>
      <c r="K163">
        <f>IFERROR(INDEX(MATRIZ_174!$U:$U,MATCH(A163,MATRIZ_174!$A:$A,0))*100,"")</f>
        <v>100</v>
      </c>
      <c r="L163">
        <f>IFERROR(MATRIZ_174!O163,0)</f>
        <v>0</v>
      </c>
      <c r="N163" t="str">
        <f ca="1">IFERROR(ISCAM_Score!AC164,"")</f>
        <v>⬜  Pendiente de instrumento</v>
      </c>
      <c r="O163" t="s">
        <v>154</v>
      </c>
      <c r="P163" t="str">
        <f>IFERROR(INDEX(MATRIZ_174!$C:$C,MATCH(A163,MATRIZ_174!$A:$A,0)),"")</f>
        <v>CAJAMARCA</v>
      </c>
    </row>
    <row r="164" spans="1:16" ht="16.05" customHeight="1" x14ac:dyDescent="0.3">
      <c r="A164" t="s">
        <v>431</v>
      </c>
      <c r="B164" t="s">
        <v>432</v>
      </c>
      <c r="C164" s="36" t="str">
        <f ca="1">IFERROR(ISCAM_Score!AL165,"—")</f>
        <v>—</v>
      </c>
      <c r="D164" t="str">
        <f t="shared" ca="1" si="10"/>
        <v>— Sin Inst.2</v>
      </c>
      <c r="E164" t="str">
        <f t="shared" ca="1" si="11"/>
        <v/>
      </c>
      <c r="F164">
        <f>IFERROR(MATRIZ_174!L164,0)</f>
        <v>0</v>
      </c>
      <c r="G164">
        <f>IFERROR(MATRIZ_174!M164,0)</f>
        <v>0</v>
      </c>
      <c r="H164" t="str">
        <f ca="1">IF(NORMALIZADO!CC164="","",NORMALIZADO!CC164)</f>
        <v/>
      </c>
      <c r="I164" t="str">
        <f>IF(NORMALIZADO!CF164="","",NORMALIZADO!CF164)</f>
        <v/>
      </c>
      <c r="J164" t="str">
        <f ca="1">IF(NORMALIZADO!CG164="","",NORMALIZADO!CG164)</f>
        <v/>
      </c>
      <c r="K164">
        <f>IFERROR(INDEX(MATRIZ_174!$U:$U,MATCH(A164,MATRIZ_174!$A:$A,0))*100,"")</f>
        <v>100</v>
      </c>
      <c r="L164">
        <f>IFERROR(MATRIZ_174!O164,0)</f>
        <v>0</v>
      </c>
      <c r="N164" t="str">
        <f ca="1">IFERROR(ISCAM_Score!AC165,"")</f>
        <v>⬜  Pendiente de instrumento</v>
      </c>
      <c r="O164" t="s">
        <v>116</v>
      </c>
      <c r="P164" t="str">
        <f>IFERROR(INDEX(MATRIZ_174!$C:$C,MATCH(A164,MATRIZ_174!$A:$A,0)),"")</f>
        <v>AMAZONAS</v>
      </c>
    </row>
    <row r="165" spans="1:16" ht="16.05" customHeight="1" x14ac:dyDescent="0.3">
      <c r="A165" t="s">
        <v>433</v>
      </c>
      <c r="B165" t="s">
        <v>434</v>
      </c>
      <c r="C165" s="36" t="str">
        <f ca="1">IFERROR(ISCAM_Score!AL166,"—")</f>
        <v>—</v>
      </c>
      <c r="D165" t="str">
        <f t="shared" ca="1" si="10"/>
        <v>— Sin Inst.2</v>
      </c>
      <c r="E165" t="str">
        <f t="shared" ca="1" si="11"/>
        <v/>
      </c>
      <c r="F165">
        <f>IFERROR(MATRIZ_174!L165,0)</f>
        <v>0</v>
      </c>
      <c r="G165">
        <f>IFERROR(MATRIZ_174!M165,0)</f>
        <v>0</v>
      </c>
      <c r="H165" t="str">
        <f ca="1">IF(NORMALIZADO!CC165="","",NORMALIZADO!CC165)</f>
        <v/>
      </c>
      <c r="I165" t="str">
        <f>IF(NORMALIZADO!CF165="","",NORMALIZADO!CF165)</f>
        <v/>
      </c>
      <c r="J165" t="str">
        <f ca="1">IF(NORMALIZADO!CG165="","",NORMALIZADO!CG165)</f>
        <v/>
      </c>
      <c r="K165">
        <f>IFERROR(INDEX(MATRIZ_174!$U:$U,MATCH(A165,MATRIZ_174!$A:$A,0))*100,"")</f>
        <v>100</v>
      </c>
      <c r="L165">
        <f>IFERROR(MATRIZ_174!O165,0)</f>
        <v>0</v>
      </c>
      <c r="N165" t="str">
        <f ca="1">IFERROR(ISCAM_Score!AC166,"")</f>
        <v>⬜  Pendiente de instrumento</v>
      </c>
      <c r="O165" t="s">
        <v>183</v>
      </c>
      <c r="P165" t="str">
        <f>IFERROR(INDEX(MATRIZ_174!$C:$C,MATCH(A165,MATRIZ_174!$A:$A,0)),"")</f>
        <v>LAMBAYEQUE</v>
      </c>
    </row>
    <row r="166" spans="1:16" ht="16.05" customHeight="1" x14ac:dyDescent="0.3">
      <c r="A166" t="s">
        <v>435</v>
      </c>
      <c r="B166" t="s">
        <v>436</v>
      </c>
      <c r="C166" s="36" t="str">
        <f ca="1">IFERROR(ISCAM_Score!AL167,"—")</f>
        <v>—</v>
      </c>
      <c r="D166" t="str">
        <f t="shared" ca="1" si="10"/>
        <v>— Sin Inst.2</v>
      </c>
      <c r="E166" t="str">
        <f t="shared" ca="1" si="11"/>
        <v/>
      </c>
      <c r="F166">
        <f>IFERROR(MATRIZ_174!L166,0)</f>
        <v>0</v>
      </c>
      <c r="G166">
        <f>IFERROR(MATRIZ_174!M166,0)</f>
        <v>0</v>
      </c>
      <c r="H166" t="str">
        <f ca="1">IF(NORMALIZADO!CC166="","",NORMALIZADO!CC166)</f>
        <v/>
      </c>
      <c r="I166" t="str">
        <f>IF(NORMALIZADO!CF166="","",NORMALIZADO!CF166)</f>
        <v/>
      </c>
      <c r="J166" t="str">
        <f ca="1">IF(NORMALIZADO!CG166="","",NORMALIZADO!CG166)</f>
        <v/>
      </c>
      <c r="K166">
        <f>IFERROR(INDEX(MATRIZ_174!$U:$U,MATCH(A166,MATRIZ_174!$A:$A,0))*100,"")</f>
        <v>100</v>
      </c>
      <c r="L166">
        <f>IFERROR(MATRIZ_174!O166,0)</f>
        <v>0</v>
      </c>
      <c r="N166" t="str">
        <f ca="1">IFERROR(ISCAM_Score!AC167,"")</f>
        <v>⬜  Pendiente de instrumento</v>
      </c>
      <c r="O166" t="s">
        <v>248</v>
      </c>
      <c r="P166" t="str">
        <f>IFERROR(INDEX(MATRIZ_174!$C:$C,MATCH(A166,MATRIZ_174!$A:$A,0)),"")</f>
        <v>MADRE DE DIOS</v>
      </c>
    </row>
    <row r="167" spans="1:16" ht="16.05" customHeight="1" x14ac:dyDescent="0.3">
      <c r="A167" t="s">
        <v>437</v>
      </c>
      <c r="B167" t="s">
        <v>438</v>
      </c>
      <c r="C167" s="36" t="str">
        <f ca="1">IFERROR(ISCAM_Score!AL168,"—")</f>
        <v>—</v>
      </c>
      <c r="D167" t="str">
        <f t="shared" ca="1" si="10"/>
        <v>— Sin Inst.2</v>
      </c>
      <c r="E167" t="str">
        <f t="shared" ca="1" si="11"/>
        <v/>
      </c>
      <c r="F167">
        <f>IFERROR(MATRIZ_174!L167,0)</f>
        <v>0</v>
      </c>
      <c r="G167">
        <f>IFERROR(MATRIZ_174!M167,0)</f>
        <v>0</v>
      </c>
      <c r="H167" t="str">
        <f ca="1">IF(NORMALIZADO!CC167="","",NORMALIZADO!CC167)</f>
        <v/>
      </c>
      <c r="I167" t="str">
        <f>IF(NORMALIZADO!CF167="","",NORMALIZADO!CF167)</f>
        <v/>
      </c>
      <c r="J167" t="str">
        <f ca="1">IF(NORMALIZADO!CG167="","",NORMALIZADO!CG167)</f>
        <v/>
      </c>
      <c r="K167">
        <f>IFERROR(INDEX(MATRIZ_174!$U:$U,MATCH(A167,MATRIZ_174!$A:$A,0))*100,"")</f>
        <v>100</v>
      </c>
      <c r="L167">
        <f>IFERROR(MATRIZ_174!O167,0)</f>
        <v>0</v>
      </c>
      <c r="N167" t="str">
        <f ca="1">IFERROR(ISCAM_Score!AC168,"")</f>
        <v>⬜  Pendiente de instrumento</v>
      </c>
      <c r="O167" t="s">
        <v>143</v>
      </c>
      <c r="P167" t="str">
        <f>IFERROR(INDEX(MATRIZ_174!$C:$C,MATCH(A167,MATRIZ_174!$A:$A,0)),"")</f>
        <v>SAN MARTIN</v>
      </c>
    </row>
    <row r="168" spans="1:16" ht="16.05" customHeight="1" x14ac:dyDescent="0.3">
      <c r="A168" t="s">
        <v>439</v>
      </c>
      <c r="B168" t="s">
        <v>440</v>
      </c>
      <c r="C168" s="36" t="str">
        <f ca="1">IFERROR(ISCAM_Score!AL169,"—")</f>
        <v>—</v>
      </c>
      <c r="D168" t="str">
        <f t="shared" ca="1" si="10"/>
        <v>— Sin Inst.2</v>
      </c>
      <c r="E168" t="str">
        <f t="shared" ca="1" si="11"/>
        <v/>
      </c>
      <c r="F168">
        <f>IFERROR(MATRIZ_174!L168,0)</f>
        <v>0</v>
      </c>
      <c r="G168">
        <f>IFERROR(MATRIZ_174!M168,0)</f>
        <v>0</v>
      </c>
      <c r="H168" t="str">
        <f ca="1">IF(NORMALIZADO!CC168="","",NORMALIZADO!CC168)</f>
        <v/>
      </c>
      <c r="I168" t="str">
        <f>IF(NORMALIZADO!CF168="","",NORMALIZADO!CF168)</f>
        <v/>
      </c>
      <c r="J168" t="str">
        <f ca="1">IF(NORMALIZADO!CG168="","",NORMALIZADO!CG168)</f>
        <v/>
      </c>
      <c r="K168">
        <f>IFERROR(INDEX(MATRIZ_174!$U:$U,MATCH(A168,MATRIZ_174!$A:$A,0))*100,"")</f>
        <v>100</v>
      </c>
      <c r="L168">
        <f>IFERROR(MATRIZ_174!O168,0)</f>
        <v>0</v>
      </c>
      <c r="N168" t="str">
        <f ca="1">IFERROR(ISCAM_Score!AC169,"")</f>
        <v>⬜  Pendiente de instrumento</v>
      </c>
      <c r="O168" t="s">
        <v>116</v>
      </c>
      <c r="P168" t="str">
        <f>IFERROR(INDEX(MATRIZ_174!$C:$C,MATCH(A168,MATRIZ_174!$A:$A,0)),"")</f>
        <v>AMAZONAS</v>
      </c>
    </row>
    <row r="169" spans="1:16" ht="16.05" customHeight="1" x14ac:dyDescent="0.3">
      <c r="A169" t="s">
        <v>441</v>
      </c>
      <c r="B169" t="s">
        <v>442</v>
      </c>
      <c r="C169" s="36" t="str">
        <f ca="1">IFERROR(ISCAM_Score!AL170,"—")</f>
        <v>—</v>
      </c>
      <c r="D169" t="str">
        <f t="shared" ca="1" si="10"/>
        <v>— Sin Inst.2</v>
      </c>
      <c r="E169" t="str">
        <f t="shared" ca="1" si="11"/>
        <v/>
      </c>
      <c r="F169">
        <f>IFERROR(MATRIZ_174!L169,0)</f>
        <v>0</v>
      </c>
      <c r="G169">
        <f>IFERROR(MATRIZ_174!M169,0)</f>
        <v>0</v>
      </c>
      <c r="H169" t="str">
        <f ca="1">IF(NORMALIZADO!CC169="","",NORMALIZADO!CC169)</f>
        <v/>
      </c>
      <c r="I169" t="str">
        <f>IF(NORMALIZADO!CF169="","",NORMALIZADO!CF169)</f>
        <v/>
      </c>
      <c r="J169" t="str">
        <f ca="1">IF(NORMALIZADO!CG169="","",NORMALIZADO!CG169)</f>
        <v/>
      </c>
      <c r="K169">
        <f>IFERROR(INDEX(MATRIZ_174!$U:$U,MATCH(A169,MATRIZ_174!$A:$A,0))*100,"")</f>
        <v>100</v>
      </c>
      <c r="L169">
        <f>IFERROR(MATRIZ_174!O169,0)</f>
        <v>0</v>
      </c>
      <c r="N169" t="str">
        <f ca="1">IFERROR(ISCAM_Score!AC170,"")</f>
        <v>⬜  Pendiente de instrumento</v>
      </c>
      <c r="O169" t="s">
        <v>154</v>
      </c>
      <c r="P169" t="str">
        <f>IFERROR(INDEX(MATRIZ_174!$C:$C,MATCH(A169,MATRIZ_174!$A:$A,0)),"")</f>
        <v>CAJAMARCA</v>
      </c>
    </row>
    <row r="170" spans="1:16" ht="16.05" customHeight="1" x14ac:dyDescent="0.3">
      <c r="A170" t="s">
        <v>443</v>
      </c>
      <c r="B170" t="s">
        <v>444</v>
      </c>
      <c r="C170" s="36" t="str">
        <f ca="1">IFERROR(ISCAM_Score!AL171,"—")</f>
        <v>—</v>
      </c>
      <c r="D170" t="str">
        <f t="shared" ca="1" si="10"/>
        <v>— Sin Inst.2</v>
      </c>
      <c r="E170" t="str">
        <f t="shared" ca="1" si="11"/>
        <v/>
      </c>
      <c r="F170">
        <f>IFERROR(MATRIZ_174!L170,0)</f>
        <v>0</v>
      </c>
      <c r="G170">
        <f>IFERROR(MATRIZ_174!M170,0)</f>
        <v>0</v>
      </c>
      <c r="H170" t="str">
        <f ca="1">IF(NORMALIZADO!CC170="","",NORMALIZADO!CC170)</f>
        <v/>
      </c>
      <c r="I170" t="str">
        <f>IF(NORMALIZADO!CF170="","",NORMALIZADO!CF170)</f>
        <v/>
      </c>
      <c r="J170" t="str">
        <f ca="1">IF(NORMALIZADO!CG170="","",NORMALIZADO!CG170)</f>
        <v/>
      </c>
      <c r="K170">
        <f>IFERROR(INDEX(MATRIZ_174!$U:$U,MATCH(A170,MATRIZ_174!$A:$A,0))*100,"")</f>
        <v>100</v>
      </c>
      <c r="L170">
        <f>IFERROR(MATRIZ_174!O170,0)</f>
        <v>0</v>
      </c>
      <c r="N170" t="str">
        <f ca="1">IFERROR(ISCAM_Score!AC171,"")</f>
        <v>⬜  Pendiente de instrumento</v>
      </c>
      <c r="O170" t="s">
        <v>113</v>
      </c>
      <c r="P170" t="str">
        <f>IFERROR(INDEX(MATRIZ_174!$C:$C,MATCH(A170,MATRIZ_174!$A:$A,0)),"")</f>
        <v>UCAYALI</v>
      </c>
    </row>
    <row r="171" spans="1:16" ht="16.05" customHeight="1" x14ac:dyDescent="0.3">
      <c r="A171" t="s">
        <v>445</v>
      </c>
      <c r="B171" t="s">
        <v>446</v>
      </c>
      <c r="C171" s="36" t="str">
        <f ca="1">IFERROR(ISCAM_Score!AL172,"—")</f>
        <v>—</v>
      </c>
      <c r="D171" t="str">
        <f t="shared" ca="1" si="10"/>
        <v>— Sin Inst.2</v>
      </c>
      <c r="E171" t="str">
        <f t="shared" ca="1" si="11"/>
        <v/>
      </c>
      <c r="F171">
        <f>IFERROR(MATRIZ_174!L171,0)</f>
        <v>0</v>
      </c>
      <c r="G171">
        <f>IFERROR(MATRIZ_174!M171,0)</f>
        <v>0</v>
      </c>
      <c r="H171" t="str">
        <f ca="1">IF(NORMALIZADO!CC171="","",NORMALIZADO!CC171)</f>
        <v/>
      </c>
      <c r="I171" t="str">
        <f>IF(NORMALIZADO!CF171="","",NORMALIZADO!CF171)</f>
        <v/>
      </c>
      <c r="J171" t="str">
        <f ca="1">IF(NORMALIZADO!CG171="","",NORMALIZADO!CG171)</f>
        <v/>
      </c>
      <c r="K171">
        <f>IFERROR(INDEX(MATRIZ_174!$U:$U,MATCH(A171,MATRIZ_174!$A:$A,0))*100,"")</f>
        <v>100</v>
      </c>
      <c r="L171">
        <f>IFERROR(MATRIZ_174!O171,0)</f>
        <v>0.6</v>
      </c>
      <c r="N171" t="str">
        <f ca="1">IFERROR(ISCAM_Score!AC172,"")</f>
        <v>⬜  Pendiente de instrumento</v>
      </c>
      <c r="O171" t="s">
        <v>143</v>
      </c>
      <c r="P171" t="str">
        <f>IFERROR(INDEX(MATRIZ_174!$C:$C,MATCH(A171,MATRIZ_174!$A:$A,0)),"")</f>
        <v>SAN MARTIN</v>
      </c>
    </row>
    <row r="172" spans="1:16" ht="16.05" customHeight="1" x14ac:dyDescent="0.3">
      <c r="A172" t="s">
        <v>447</v>
      </c>
      <c r="B172" t="s">
        <v>448</v>
      </c>
      <c r="C172" s="36" t="str">
        <f ca="1">IFERROR(ISCAM_Score!AL173,"—")</f>
        <v>—</v>
      </c>
      <c r="D172" t="str">
        <f t="shared" ca="1" si="10"/>
        <v>— Sin Inst.2</v>
      </c>
      <c r="E172" t="str">
        <f t="shared" ca="1" si="11"/>
        <v/>
      </c>
      <c r="F172">
        <f>IFERROR(MATRIZ_174!L172,0)</f>
        <v>0</v>
      </c>
      <c r="G172">
        <f>IFERROR(MATRIZ_174!M172,0)</f>
        <v>0</v>
      </c>
      <c r="H172" t="str">
        <f ca="1">IF(NORMALIZADO!CC172="","",NORMALIZADO!CC172)</f>
        <v/>
      </c>
      <c r="I172" t="str">
        <f>IF(NORMALIZADO!CF172="","",NORMALIZADO!CF172)</f>
        <v/>
      </c>
      <c r="J172" t="str">
        <f ca="1">IF(NORMALIZADO!CG172="","",NORMALIZADO!CG172)</f>
        <v/>
      </c>
      <c r="K172">
        <f>IFERROR(INDEX(MATRIZ_174!$U:$U,MATCH(A172,MATRIZ_174!$A:$A,0))*100,"")</f>
        <v>100</v>
      </c>
      <c r="L172">
        <f>IFERROR(MATRIZ_174!O172,0)</f>
        <v>0</v>
      </c>
      <c r="N172" t="str">
        <f ca="1">IFERROR(ISCAM_Score!AC173,"")</f>
        <v>⬜  Pendiente de instrumento</v>
      </c>
      <c r="O172" t="s">
        <v>116</v>
      </c>
      <c r="P172" t="str">
        <f>IFERROR(INDEX(MATRIZ_174!$C:$C,MATCH(A172,MATRIZ_174!$A:$A,0)),"")</f>
        <v>AMAZONAS</v>
      </c>
    </row>
    <row r="173" spans="1:16" ht="16.05" customHeight="1" x14ac:dyDescent="0.3">
      <c r="A173" t="s">
        <v>449</v>
      </c>
      <c r="B173" t="s">
        <v>450</v>
      </c>
      <c r="C173" s="36" t="str">
        <f ca="1">IFERROR(ISCAM_Score!AL174,"—")</f>
        <v>—</v>
      </c>
      <c r="D173" t="str">
        <f t="shared" ca="1" si="10"/>
        <v>— Sin Inst.2</v>
      </c>
      <c r="E173" t="str">
        <f t="shared" ca="1" si="11"/>
        <v/>
      </c>
      <c r="F173">
        <f>IFERROR(MATRIZ_174!L173,0)</f>
        <v>0</v>
      </c>
      <c r="G173">
        <f>IFERROR(MATRIZ_174!M173,0)</f>
        <v>0</v>
      </c>
      <c r="H173" t="str">
        <f ca="1">IF(NORMALIZADO!CC173="","",NORMALIZADO!CC173)</f>
        <v/>
      </c>
      <c r="I173" t="str">
        <f>IF(NORMALIZADO!CF173="","",NORMALIZADO!CF173)</f>
        <v/>
      </c>
      <c r="J173" t="str">
        <f ca="1">IF(NORMALIZADO!CG173="","",NORMALIZADO!CG173)</f>
        <v/>
      </c>
      <c r="K173">
        <f>IFERROR(INDEX(MATRIZ_174!$U:$U,MATCH(A173,MATRIZ_174!$A:$A,0))*100,"")</f>
        <v>100</v>
      </c>
      <c r="L173">
        <f>IFERROR(MATRIZ_174!O173,0)</f>
        <v>0</v>
      </c>
      <c r="N173" t="str">
        <f ca="1">IFERROR(ISCAM_Score!AC174,"")</f>
        <v>⬜  Pendiente de instrumento</v>
      </c>
      <c r="O173" t="s">
        <v>183</v>
      </c>
      <c r="P173" t="str">
        <f>IFERROR(INDEX(MATRIZ_174!$C:$C,MATCH(A173,MATRIZ_174!$A:$A,0)),"")</f>
        <v>LAMBAYEQUE</v>
      </c>
    </row>
    <row r="174" spans="1:16" ht="16.05" customHeight="1" x14ac:dyDescent="0.3">
      <c r="A174" t="s">
        <v>451</v>
      </c>
      <c r="C174" s="36" t="str">
        <f ca="1">IFERROR(ISCAM_Score!AL175,"—")</f>
        <v>—</v>
      </c>
      <c r="D174" t="str">
        <f t="shared" ca="1" si="10"/>
        <v>— Sin Inst.2</v>
      </c>
      <c r="E174" t="str">
        <f t="shared" ca="1" si="11"/>
        <v/>
      </c>
      <c r="F174">
        <f>IFERROR(MATRIZ_174!L174,0)</f>
        <v>0</v>
      </c>
      <c r="G174">
        <f>IFERROR(MATRIZ_174!M174,0)</f>
        <v>0</v>
      </c>
      <c r="H174" t="str">
        <f ca="1">IF(NORMALIZADO!CC174="","",NORMALIZADO!CC174)</f>
        <v/>
      </c>
      <c r="I174" t="str">
        <f>IF(NORMALIZADO!CF174="","",NORMALIZADO!CF174)</f>
        <v/>
      </c>
      <c r="J174" t="str">
        <f ca="1">IF(NORMALIZADO!CG174="","",NORMALIZADO!CG174)</f>
        <v/>
      </c>
      <c r="K174">
        <f>IFERROR(INDEX(MATRIZ_174!$U:$U,MATCH(A174,MATRIZ_174!$A:$A,0))*100,"")</f>
        <v>100</v>
      </c>
      <c r="L174">
        <f>IFERROR(MATRIZ_174!O174,0)</f>
        <v>0</v>
      </c>
      <c r="N174" t="str">
        <f ca="1">IFERROR(ISCAM_Score!AC175,"")</f>
        <v>⬜  Pendiente de instrumento</v>
      </c>
      <c r="P174" t="str">
        <f>IFERROR(INDEX(MATRIZ_174!$C:$C,MATCH(A174,MATRIZ_174!$A:$A,0)),"")</f>
        <v>OTROS</v>
      </c>
    </row>
    <row r="175" spans="1:16" ht="16.05" customHeight="1" x14ac:dyDescent="0.3">
      <c r="A175" t="s">
        <v>453</v>
      </c>
      <c r="B175" t="s">
        <v>454</v>
      </c>
      <c r="C175" s="36" t="str">
        <f ca="1">IFERROR(ISCAM_Score!AL176,"—")</f>
        <v>—</v>
      </c>
      <c r="D175" t="str">
        <f t="shared" ca="1" si="10"/>
        <v>— Sin Inst.2</v>
      </c>
      <c r="E175" t="str">
        <f t="shared" ca="1" si="11"/>
        <v/>
      </c>
      <c r="F175">
        <f>IFERROR(MATRIZ_174!L175,0)</f>
        <v>3861667.52</v>
      </c>
      <c r="G175">
        <f>IFERROR(MATRIZ_174!M175,0)</f>
        <v>50</v>
      </c>
      <c r="H175" t="str">
        <f ca="1">IF(NORMALIZADO!CC175="","",NORMALIZADO!CC175)</f>
        <v/>
      </c>
      <c r="I175" t="str">
        <f>IF(NORMALIZADO!CF175="","",NORMALIZADO!CF175)</f>
        <v/>
      </c>
      <c r="J175" t="str">
        <f ca="1">IF(NORMALIZADO!CG175="","",NORMALIZADO!CG175)</f>
        <v/>
      </c>
      <c r="K175">
        <f>IFERROR(INDEX(MATRIZ_174!$U:$U,MATCH(A175,MATRIZ_174!$A:$A,0))*100,"")</f>
        <v>100</v>
      </c>
      <c r="L175">
        <f>IFERROR(MATRIZ_174!O175,0)</f>
        <v>0</v>
      </c>
      <c r="N175" t="str">
        <f ca="1">IFERROR(ISCAM_Score!AC176,"")</f>
        <v>⬜  Pendiente de instrumento</v>
      </c>
      <c r="O175" t="s">
        <v>113</v>
      </c>
      <c r="P175" t="str">
        <f>IFERROR(INDEX(MATRIZ_174!$C:$C,MATCH(A175,MATRIZ_174!$A:$A,0)),"")</f>
        <v>UCAYALI</v>
      </c>
    </row>
    <row r="176" spans="1:16" ht="16.05" customHeight="1" x14ac:dyDescent="0.3">
      <c r="A176" t="s">
        <v>455</v>
      </c>
      <c r="B176" t="s">
        <v>456</v>
      </c>
      <c r="C176" s="36" t="str">
        <f ca="1">IFERROR(ISCAM_Score!AL177,"—")</f>
        <v>—</v>
      </c>
      <c r="D176" t="str">
        <f t="shared" ca="1" si="10"/>
        <v>— Sin Inst.2</v>
      </c>
      <c r="E176" t="str">
        <f t="shared" ca="1" si="11"/>
        <v/>
      </c>
      <c r="F176">
        <f>IFERROR(MATRIZ_174!L176,0)</f>
        <v>0</v>
      </c>
      <c r="G176">
        <f>IFERROR(MATRIZ_174!M176,0)</f>
        <v>0</v>
      </c>
      <c r="H176" t="str">
        <f ca="1">IF(NORMALIZADO!CC176="","",NORMALIZADO!CC176)</f>
        <v/>
      </c>
      <c r="I176" t="str">
        <f>IF(NORMALIZADO!CF176="","",NORMALIZADO!CF176)</f>
        <v/>
      </c>
      <c r="J176" t="str">
        <f ca="1">IF(NORMALIZADO!CG176="","",NORMALIZADO!CG176)</f>
        <v/>
      </c>
      <c r="K176">
        <f>IFERROR(INDEX(MATRIZ_174!$U:$U,MATCH(A176,MATRIZ_174!$A:$A,0))*100,"")</f>
        <v>100</v>
      </c>
      <c r="L176">
        <f>IFERROR(MATRIZ_174!O176,0)</f>
        <v>0</v>
      </c>
      <c r="N176" t="str">
        <f ca="1">IFERROR(ISCAM_Score!AC177,"")</f>
        <v>⬜  Pendiente de instrumento</v>
      </c>
      <c r="O176" t="s">
        <v>116</v>
      </c>
      <c r="P176" t="str">
        <f>IFERROR(INDEX(MATRIZ_174!$C:$C,MATCH(A176,MATRIZ_174!$A:$A,0)),"")</f>
        <v>AMAZONAS</v>
      </c>
    </row>
    <row r="177" spans="1:11" x14ac:dyDescent="0.3">
      <c r="K177" t="str">
        <f>IFERROR(INDEX(MATRIZ_174!$U:$U,MATCH(A177,MATRIZ_174!$A:$A,0)),"")</f>
        <v/>
      </c>
    </row>
    <row r="178" spans="1:11" x14ac:dyDescent="0.3">
      <c r="K178" t="str">
        <f>IFERROR(INDEX(MATRIZ_174!$U:$U,MATCH(A178,MATRIZ_174!$A:$A,0)),"")</f>
        <v/>
      </c>
    </row>
    <row r="179" spans="1:11" ht="22.05" customHeight="1" x14ac:dyDescent="0.3">
      <c r="A179" s="55" t="s">
        <v>1049</v>
      </c>
      <c r="B179" s="55"/>
      <c r="C179" s="55"/>
      <c r="D179" s="55"/>
      <c r="E179" s="55"/>
      <c r="F179" s="55"/>
      <c r="G179" s="55"/>
      <c r="K179" t="str">
        <f>IFERROR(INDEX(MATRIZ_174!$U:$U,MATCH(A179,MATRIZ_174!$A:$A,0)),"")</f>
        <v/>
      </c>
    </row>
    <row r="180" spans="1:11" ht="18" customHeight="1" x14ac:dyDescent="0.3">
      <c r="A180" t="s">
        <v>1050</v>
      </c>
      <c r="B180" s="55">
        <f>COUNTA(A3:A176)</f>
        <v>174</v>
      </c>
      <c r="C180" s="55"/>
      <c r="D180" s="55"/>
      <c r="K180" t="str">
        <f>IFERROR(INDEX(MATRIZ_174!$U:$U,MATCH(A180,MATRIZ_174!$A:$A,0)),"")</f>
        <v/>
      </c>
    </row>
    <row r="181" spans="1:11" ht="18" customHeight="1" x14ac:dyDescent="0.3">
      <c r="A181" t="s">
        <v>1051</v>
      </c>
      <c r="B181" s="55">
        <f>COUNTIF(F3:F176,"&gt;0")</f>
        <v>36</v>
      </c>
      <c r="C181" s="55"/>
      <c r="D181" s="55"/>
      <c r="K181" t="str">
        <f>IFERROR(INDEX(MATRIZ_174!$U:$U,MATCH(A181,MATRIZ_174!$A:$A,0)),"")</f>
        <v/>
      </c>
    </row>
    <row r="182" spans="1:11" ht="18" customHeight="1" x14ac:dyDescent="0.3">
      <c r="A182" t="s">
        <v>1052</v>
      </c>
      <c r="B182" s="55">
        <f ca="1">COUNTIF(C3:C176,"&lt;34")-COUNTIF(C3:C176,0)</f>
        <v>0</v>
      </c>
      <c r="C182" s="55"/>
      <c r="D182" s="55"/>
      <c r="K182" t="str">
        <f>IFERROR(INDEX(MATRIZ_174!$U:$U,MATCH(A182,MATRIZ_174!$A:$A,0)),"")</f>
        <v/>
      </c>
    </row>
    <row r="183" spans="1:11" ht="18" customHeight="1" x14ac:dyDescent="0.3">
      <c r="A183" t="s">
        <v>1053</v>
      </c>
      <c r="B183" s="55">
        <f ca="1">COUNTIFS(C3:C176,"&gt;=34",C3:C176,"&lt;67")</f>
        <v>0</v>
      </c>
      <c r="C183" s="55"/>
      <c r="D183" s="55"/>
      <c r="K183" t="str">
        <f>IFERROR(INDEX(MATRIZ_174!$U:$U,MATCH(A183,MATRIZ_174!$A:$A,0)),"")</f>
        <v/>
      </c>
    </row>
    <row r="184" spans="1:11" ht="18" customHeight="1" x14ac:dyDescent="0.3">
      <c r="A184" t="s">
        <v>1054</v>
      </c>
      <c r="B184" s="55">
        <f ca="1">COUNTIF(C3:C176,"&gt;=67")</f>
        <v>0</v>
      </c>
      <c r="C184" s="55"/>
      <c r="D184" s="55"/>
      <c r="K184" t="str">
        <f>IFERROR(INDEX(MATRIZ_174!$U:$U,MATCH(A184,MATRIZ_174!$A:$A,0)),"")</f>
        <v/>
      </c>
    </row>
    <row r="185" spans="1:11" ht="18" customHeight="1" x14ac:dyDescent="0.3">
      <c r="A185" t="s">
        <v>1090</v>
      </c>
      <c r="B185" s="55">
        <f ca="1">COUNTIF(C3:C176,"—")</f>
        <v>174</v>
      </c>
      <c r="C185" s="55"/>
      <c r="D185" s="55"/>
      <c r="K185" t="str">
        <f>IFERROR(INDEX(MATRIZ_174!$U:$U,MATCH(A185,MATRIZ_174!$A:$A,0)),"")</f>
        <v/>
      </c>
    </row>
    <row r="186" spans="1:11" ht="18" customHeight="1" x14ac:dyDescent="0.3">
      <c r="A186" t="s">
        <v>1103</v>
      </c>
      <c r="B186" s="55">
        <f ca="1">IFERROR(ROUND(AVERAGE(MATRIZ_174!S3:S176),1),"N/A")</f>
        <v>2.9</v>
      </c>
      <c r="C186" s="55"/>
      <c r="D186" s="55"/>
      <c r="K186" t="str">
        <f>IFERROR(INDEX(MATRIZ_174!$U:$U,MATCH(A186,MATRIZ_174!$A:$A,0)),"")</f>
        <v/>
      </c>
    </row>
    <row r="187" spans="1:11" ht="18" customHeight="1" x14ac:dyDescent="0.3">
      <c r="A187" t="s">
        <v>1055</v>
      </c>
      <c r="B187" s="55">
        <f>SUMIF(F3:F176,"&gt;0",F3:F176)</f>
        <v>120511187.67999998</v>
      </c>
      <c r="C187" s="55"/>
      <c r="D187" s="55"/>
      <c r="K187" t="str">
        <f>IFERROR(INDEX(MATRIZ_174!$U:$U,MATCH(A187,MATRIZ_174!$A:$A,0)),"")</f>
        <v/>
      </c>
    </row>
  </sheetData>
  <mergeCells count="10">
    <mergeCell ref="A1:O1"/>
    <mergeCell ref="B187:D187"/>
    <mergeCell ref="B183:D183"/>
    <mergeCell ref="A179:G179"/>
    <mergeCell ref="B182:D182"/>
    <mergeCell ref="B185:D185"/>
    <mergeCell ref="B186:D186"/>
    <mergeCell ref="B184:D184"/>
    <mergeCell ref="B180:D180"/>
    <mergeCell ref="B181:D18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5"/>
  <sheetViews>
    <sheetView workbookViewId="0">
      <selection activeCell="M9" sqref="M9"/>
    </sheetView>
  </sheetViews>
  <sheetFormatPr baseColWidth="10" defaultColWidth="8.88671875" defaultRowHeight="14.4" x14ac:dyDescent="0.3"/>
  <cols>
    <col min="1" max="1" width="28" customWidth="1"/>
    <col min="2" max="12" width="10" customWidth="1"/>
    <col min="13" max="13" width="12" customWidth="1"/>
  </cols>
  <sheetData>
    <row r="1" spans="1:13" ht="28.05" customHeight="1" x14ac:dyDescent="0.3">
      <c r="A1" s="55" t="s">
        <v>1056</v>
      </c>
      <c r="B1" s="55"/>
      <c r="C1" s="55"/>
      <c r="D1" s="55"/>
      <c r="E1" s="55"/>
      <c r="F1" s="55"/>
      <c r="G1" s="55"/>
      <c r="H1" s="55"/>
      <c r="I1" s="55"/>
      <c r="J1" s="55"/>
    </row>
    <row r="2" spans="1:13" x14ac:dyDescent="0.3">
      <c r="A2" t="s">
        <v>1057</v>
      </c>
      <c r="B2" t="s">
        <v>1058</v>
      </c>
      <c r="C2" t="s">
        <v>1059</v>
      </c>
      <c r="D2" t="s">
        <v>1060</v>
      </c>
      <c r="E2" t="s">
        <v>1061</v>
      </c>
      <c r="F2" t="s">
        <v>1062</v>
      </c>
      <c r="G2" t="s">
        <v>1063</v>
      </c>
      <c r="H2" t="s">
        <v>1064</v>
      </c>
      <c r="I2" t="s">
        <v>1065</v>
      </c>
      <c r="J2" t="s">
        <v>1066</v>
      </c>
      <c r="K2" t="s">
        <v>1067</v>
      </c>
      <c r="L2" t="s">
        <v>1068</v>
      </c>
      <c r="M2" t="s">
        <v>1086</v>
      </c>
    </row>
    <row r="3" spans="1:13" ht="18" customHeight="1" x14ac:dyDescent="0.3">
      <c r="A3" t="s">
        <v>143</v>
      </c>
      <c r="B3" t="str">
        <f>IFERROR(AVERAGEIF(ISCAM_Score!$C$4:$C$177,$A3,ISCAM_Score!$E$4:$E$177),"—")</f>
        <v>—</v>
      </c>
      <c r="C3" t="str">
        <f ca="1">IFERROR(AVERAGEIF(SCORECARDS!$P$3:$P$176,$A3,SCORECARDS!$H$3:$H$176),"—")</f>
        <v>—</v>
      </c>
      <c r="D3">
        <f ca="1">IFERROR(AVERAGEIF(ISCAM_Score!$C$4:$C$177,$A3,ISCAM_Score!$G$4:$G$177),"—")</f>
        <v>100</v>
      </c>
      <c r="E3" t="str">
        <f>IFERROR(AVERAGEIF(ISCAM_Score!$C$4:$C$177,$A3,ISCAM_Score!$H$4:$H$177),"—")</f>
        <v>—</v>
      </c>
      <c r="F3" t="str">
        <f>IFERROR(AVERAGEIF(SCORECARDS!$P$3:$P$176,$A3,SCORECARDS!$I$3:$I$176),"—")</f>
        <v>—</v>
      </c>
      <c r="G3" t="str">
        <f ca="1">IFERROR(AVERAGEIF(SCORECARDS!$P$3:$P$176,$A3,SCORECARDS!$J$3:$J$176),"—")</f>
        <v>—</v>
      </c>
      <c r="H3" t="str">
        <f ca="1">IFERROR(AVERAGEIF(ISCAM_Score!$C$4:$C$177,$A3,ISCAM_Score!$K$4:$K$177),"—")</f>
        <v>—</v>
      </c>
      <c r="I3" t="str">
        <f>IFERROR(AVERAGEIF(ISCAM_Score!$C$4:$C$177,$A3,ISCAM_Score!$L$4:$L$177),"—")</f>
        <v>—</v>
      </c>
      <c r="J3" t="str">
        <f>IFERROR(AVERAGEIF(ISCAM_Score!$C$4:$C$177,$A3,ISCAM_Score!$M$4:$M$177),"—")</f>
        <v>—</v>
      </c>
      <c r="K3" t="str">
        <f>IFERROR(AVERAGEIF(ISCAM_Score!$C$4:$C$177,$A3,ISCAM_Score!$N$4:$N$177),"—")</f>
        <v>—</v>
      </c>
      <c r="L3" t="str">
        <f>IFERROR(AVERAGEIF(ISCAM_Score!$C$4:$C$177,$A3,ISCAM_Score!$O$4:$O$177),"—")</f>
        <v>—</v>
      </c>
      <c r="M3" t="str">
        <f t="shared" ref="M3:M17" ca="1" si="0">IF(COUNT(B3:L3)&lt;7,"—",IFERROR(AVERAGE(B3:L3),"—"))</f>
        <v>—</v>
      </c>
    </row>
    <row r="4" spans="1:13" ht="18" customHeight="1" x14ac:dyDescent="0.3">
      <c r="A4" t="s">
        <v>77</v>
      </c>
      <c r="B4" t="str">
        <f>IFERROR(AVERAGEIF(ISCAM_Score!$C$4:$C$177,$A4,ISCAM_Score!$E$4:$E$177),"—")</f>
        <v>—</v>
      </c>
      <c r="C4" t="str">
        <f ca="1">IFERROR(AVERAGEIF(SCORECARDS!$P$3:$P$176,$A4,SCORECARDS!$H$3:$H$176),"—")</f>
        <v>—</v>
      </c>
      <c r="D4">
        <f ca="1">IFERROR(AVERAGEIF(ISCAM_Score!$C$4:$C$177,$A4,ISCAM_Score!$G$4:$G$177),"—")</f>
        <v>100</v>
      </c>
      <c r="E4" t="str">
        <f>IFERROR(AVERAGEIF(ISCAM_Score!$C$4:$C$177,$A4,ISCAM_Score!$H$4:$H$177),"—")</f>
        <v>—</v>
      </c>
      <c r="F4" t="str">
        <f>IFERROR(AVERAGEIF(SCORECARDS!$P$3:$P$176,$A4,SCORECARDS!$I$3:$I$176),"—")</f>
        <v>—</v>
      </c>
      <c r="G4" t="str">
        <f ca="1">IFERROR(AVERAGEIF(SCORECARDS!$P$3:$P$176,$A4,SCORECARDS!$J$3:$J$176),"—")</f>
        <v>—</v>
      </c>
      <c r="H4" t="str">
        <f ca="1">IFERROR(AVERAGEIF(ISCAM_Score!$C$4:$C$177,$A4,ISCAM_Score!$K$4:$K$177),"—")</f>
        <v>—</v>
      </c>
      <c r="I4" t="str">
        <f>IFERROR(AVERAGEIF(ISCAM_Score!$C$4:$C$177,$A4,ISCAM_Score!$L$4:$L$177),"—")</f>
        <v>—</v>
      </c>
      <c r="J4" t="str">
        <f>IFERROR(AVERAGEIF(ISCAM_Score!$C$4:$C$177,$A4,ISCAM_Score!$M$4:$M$177),"—")</f>
        <v>—</v>
      </c>
      <c r="K4" t="str">
        <f>IFERROR(AVERAGEIF(ISCAM_Score!$C$4:$C$177,$A4,ISCAM_Score!$N$4:$N$177),"—")</f>
        <v>—</v>
      </c>
      <c r="L4" t="str">
        <f>IFERROR(AVERAGEIF(ISCAM_Score!$C$4:$C$177,$A4,ISCAM_Score!$O$4:$O$177),"—")</f>
        <v>—</v>
      </c>
      <c r="M4" t="str">
        <f t="shared" ca="1" si="0"/>
        <v>—</v>
      </c>
    </row>
    <row r="5" spans="1:13" ht="18" customHeight="1" x14ac:dyDescent="0.3">
      <c r="A5" t="s">
        <v>116</v>
      </c>
      <c r="B5" t="str">
        <f>IFERROR(AVERAGEIF(ISCAM_Score!$C$4:$C$177,$A5,ISCAM_Score!$E$4:$E$177),"—")</f>
        <v>—</v>
      </c>
      <c r="C5" t="str">
        <f ca="1">IFERROR(AVERAGEIF(SCORECARDS!$P$3:$P$176,$A5,SCORECARDS!$H$3:$H$176),"—")</f>
        <v>—</v>
      </c>
      <c r="D5">
        <f ca="1">IFERROR(AVERAGEIF(ISCAM_Score!$C$4:$C$177,$A5,ISCAM_Score!$G$4:$G$177),"—")</f>
        <v>100</v>
      </c>
      <c r="E5" t="str">
        <f>IFERROR(AVERAGEIF(ISCAM_Score!$C$4:$C$177,$A5,ISCAM_Score!$H$4:$H$177),"—")</f>
        <v>—</v>
      </c>
      <c r="F5" t="str">
        <f>IFERROR(AVERAGEIF(SCORECARDS!$P$3:$P$176,$A5,SCORECARDS!$I$3:$I$176),"—")</f>
        <v>—</v>
      </c>
      <c r="G5" t="str">
        <f ca="1">IFERROR(AVERAGEIF(SCORECARDS!$P$3:$P$176,$A5,SCORECARDS!$J$3:$J$176),"—")</f>
        <v>—</v>
      </c>
      <c r="H5" t="str">
        <f ca="1">IFERROR(AVERAGEIF(ISCAM_Score!$C$4:$C$177,$A5,ISCAM_Score!$K$4:$K$177),"—")</f>
        <v>—</v>
      </c>
      <c r="I5" t="str">
        <f>IFERROR(AVERAGEIF(ISCAM_Score!$C$4:$C$177,$A5,ISCAM_Score!$L$4:$L$177),"—")</f>
        <v>—</v>
      </c>
      <c r="J5" t="str">
        <f>IFERROR(AVERAGEIF(ISCAM_Score!$C$4:$C$177,$A5,ISCAM_Score!$M$4:$M$177),"—")</f>
        <v>—</v>
      </c>
      <c r="K5" t="str">
        <f>IFERROR(AVERAGEIF(ISCAM_Score!$C$4:$C$177,$A5,ISCAM_Score!$N$4:$N$177),"—")</f>
        <v>—</v>
      </c>
      <c r="L5" t="str">
        <f>IFERROR(AVERAGEIF(ISCAM_Score!$C$4:$C$177,$A5,ISCAM_Score!$O$4:$O$177),"—")</f>
        <v>—</v>
      </c>
      <c r="M5" t="str">
        <f t="shared" ca="1" si="0"/>
        <v>—</v>
      </c>
    </row>
    <row r="6" spans="1:13" ht="18" customHeight="1" x14ac:dyDescent="0.3">
      <c r="A6" t="s">
        <v>154</v>
      </c>
      <c r="B6" t="str">
        <f>IFERROR(AVERAGEIF(ISCAM_Score!$C$4:$C$177,$A6,ISCAM_Score!$E$4:$E$177),"—")</f>
        <v>—</v>
      </c>
      <c r="C6" t="str">
        <f ca="1">IFERROR(AVERAGEIF(SCORECARDS!$P$3:$P$176,$A6,SCORECARDS!$H$3:$H$176),"—")</f>
        <v>—</v>
      </c>
      <c r="D6">
        <f ca="1">IFERROR(AVERAGEIF(ISCAM_Score!$C$4:$C$177,$A6,ISCAM_Score!$G$4:$G$177),"—")</f>
        <v>100</v>
      </c>
      <c r="E6" t="str">
        <f>IFERROR(AVERAGEIF(ISCAM_Score!$C$4:$C$177,$A6,ISCAM_Score!$H$4:$H$177),"—")</f>
        <v>—</v>
      </c>
      <c r="F6" t="str">
        <f>IFERROR(AVERAGEIF(SCORECARDS!$P$3:$P$176,$A6,SCORECARDS!$I$3:$I$176),"—")</f>
        <v>—</v>
      </c>
      <c r="G6" t="str">
        <f ca="1">IFERROR(AVERAGEIF(SCORECARDS!$P$3:$P$176,$A6,SCORECARDS!$J$3:$J$176),"—")</f>
        <v>—</v>
      </c>
      <c r="H6" t="str">
        <f ca="1">IFERROR(AVERAGEIF(ISCAM_Score!$C$4:$C$177,$A6,ISCAM_Score!$K$4:$K$177),"—")</f>
        <v>—</v>
      </c>
      <c r="I6" t="str">
        <f>IFERROR(AVERAGEIF(ISCAM_Score!$C$4:$C$177,$A6,ISCAM_Score!$L$4:$L$177),"—")</f>
        <v>—</v>
      </c>
      <c r="J6" t="str">
        <f>IFERROR(AVERAGEIF(ISCAM_Score!$C$4:$C$177,$A6,ISCAM_Score!$M$4:$M$177),"—")</f>
        <v>—</v>
      </c>
      <c r="K6" t="str">
        <f>IFERROR(AVERAGEIF(ISCAM_Score!$C$4:$C$177,$A6,ISCAM_Score!$N$4:$N$177),"—")</f>
        <v>—</v>
      </c>
      <c r="L6" t="str">
        <f>IFERROR(AVERAGEIF(ISCAM_Score!$C$4:$C$177,$A6,ISCAM_Score!$O$4:$O$177),"—")</f>
        <v>—</v>
      </c>
      <c r="M6" t="str">
        <f t="shared" ca="1" si="0"/>
        <v>—</v>
      </c>
    </row>
    <row r="7" spans="1:13" ht="18" customHeight="1" x14ac:dyDescent="0.3">
      <c r="A7" t="s">
        <v>80</v>
      </c>
      <c r="B7" t="str">
        <f>IFERROR(AVERAGEIF(ISCAM_Score!$C$4:$C$177,$A7,ISCAM_Score!$E$4:$E$177),"—")</f>
        <v>—</v>
      </c>
      <c r="C7" t="str">
        <f ca="1">IFERROR(AVERAGEIF(SCORECARDS!$P$3:$P$176,$A7,SCORECARDS!$H$3:$H$176),"—")</f>
        <v>—</v>
      </c>
      <c r="D7">
        <f ca="1">IFERROR(AVERAGEIF(ISCAM_Score!$C$4:$C$177,$A7,ISCAM_Score!$G$4:$G$177),"—")</f>
        <v>98.958333333333329</v>
      </c>
      <c r="E7" t="str">
        <f>IFERROR(AVERAGEIF(ISCAM_Score!$C$4:$C$177,$A7,ISCAM_Score!$H$4:$H$177),"—")</f>
        <v>—</v>
      </c>
      <c r="F7" t="str">
        <f>IFERROR(AVERAGEIF(SCORECARDS!$P$3:$P$176,$A7,SCORECARDS!$I$3:$I$176),"—")</f>
        <v>—</v>
      </c>
      <c r="G7" t="str">
        <f ca="1">IFERROR(AVERAGEIF(SCORECARDS!$P$3:$P$176,$A7,SCORECARDS!$J$3:$J$176),"—")</f>
        <v>—</v>
      </c>
      <c r="H7" t="str">
        <f ca="1">IFERROR(AVERAGEIF(ISCAM_Score!$C$4:$C$177,$A7,ISCAM_Score!$K$4:$K$177),"—")</f>
        <v>—</v>
      </c>
      <c r="I7" t="str">
        <f>IFERROR(AVERAGEIF(ISCAM_Score!$C$4:$C$177,$A7,ISCAM_Score!$L$4:$L$177),"—")</f>
        <v>—</v>
      </c>
      <c r="J7" t="str">
        <f>IFERROR(AVERAGEIF(ISCAM_Score!$C$4:$C$177,$A7,ISCAM_Score!$M$4:$M$177),"—")</f>
        <v>—</v>
      </c>
      <c r="K7" t="str">
        <f>IFERROR(AVERAGEIF(ISCAM_Score!$C$4:$C$177,$A7,ISCAM_Score!$N$4:$N$177),"—")</f>
        <v>—</v>
      </c>
      <c r="L7" t="str">
        <f>IFERROR(AVERAGEIF(ISCAM_Score!$C$4:$C$177,$A7,ISCAM_Score!$O$4:$O$177),"—")</f>
        <v>—</v>
      </c>
      <c r="M7" t="str">
        <f t="shared" ca="1" si="0"/>
        <v>—</v>
      </c>
    </row>
    <row r="8" spans="1:13" ht="18" customHeight="1" x14ac:dyDescent="0.3">
      <c r="A8" t="s">
        <v>113</v>
      </c>
      <c r="B8" t="str">
        <f>IFERROR(AVERAGEIF(ISCAM_Score!$C$4:$C$177,$A8,ISCAM_Score!$E$4:$E$177),"—")</f>
        <v>—</v>
      </c>
      <c r="C8" t="str">
        <f ca="1">IFERROR(AVERAGEIF(SCORECARDS!$P$3:$P$176,$A8,SCORECARDS!$H$3:$H$176),"—")</f>
        <v>—</v>
      </c>
      <c r="D8">
        <f ca="1">IFERROR(AVERAGEIF(ISCAM_Score!$C$4:$C$177,$A8,ISCAM_Score!$G$4:$G$177),"—")</f>
        <v>100</v>
      </c>
      <c r="E8" t="str">
        <f>IFERROR(AVERAGEIF(ISCAM_Score!$C$4:$C$177,$A8,ISCAM_Score!$H$4:$H$177),"—")</f>
        <v>—</v>
      </c>
      <c r="F8" t="str">
        <f>IFERROR(AVERAGEIF(SCORECARDS!$P$3:$P$176,$A8,SCORECARDS!$I$3:$I$176),"—")</f>
        <v>—</v>
      </c>
      <c r="G8" t="str">
        <f ca="1">IFERROR(AVERAGEIF(SCORECARDS!$P$3:$P$176,$A8,SCORECARDS!$J$3:$J$176),"—")</f>
        <v>—</v>
      </c>
      <c r="H8" t="str">
        <f ca="1">IFERROR(AVERAGEIF(ISCAM_Score!$C$4:$C$177,$A8,ISCAM_Score!$K$4:$K$177),"—")</f>
        <v>—</v>
      </c>
      <c r="I8" t="str">
        <f>IFERROR(AVERAGEIF(ISCAM_Score!$C$4:$C$177,$A8,ISCAM_Score!$L$4:$L$177),"—")</f>
        <v>—</v>
      </c>
      <c r="J8" t="str">
        <f>IFERROR(AVERAGEIF(ISCAM_Score!$C$4:$C$177,$A8,ISCAM_Score!$M$4:$M$177),"—")</f>
        <v>—</v>
      </c>
      <c r="K8" t="str">
        <f>IFERROR(AVERAGEIF(ISCAM_Score!$C$4:$C$177,$A8,ISCAM_Score!$N$4:$N$177),"—")</f>
        <v>—</v>
      </c>
      <c r="L8" t="str">
        <f>IFERROR(AVERAGEIF(ISCAM_Score!$C$4:$C$177,$A8,ISCAM_Score!$O$4:$O$177),"—")</f>
        <v>—</v>
      </c>
      <c r="M8" t="str">
        <f t="shared" ca="1" si="0"/>
        <v>—</v>
      </c>
    </row>
    <row r="9" spans="1:13" ht="18" customHeight="1" x14ac:dyDescent="0.3">
      <c r="A9" t="s">
        <v>257</v>
      </c>
      <c r="B9" t="str">
        <f>IFERROR(AVERAGEIF(ISCAM_Score!$C$4:$C$177,$A9,ISCAM_Score!$E$4:$E$177),"—")</f>
        <v>—</v>
      </c>
      <c r="C9" t="str">
        <f ca="1">IFERROR(AVERAGEIF(SCORECARDS!$P$3:$P$176,$A9,SCORECARDS!$H$3:$H$176),"—")</f>
        <v>—</v>
      </c>
      <c r="D9">
        <f ca="1">IFERROR(AVERAGEIF(ISCAM_Score!$C$4:$C$177,$A9,ISCAM_Score!$G$4:$G$177),"—")</f>
        <v>100</v>
      </c>
      <c r="E9" t="str">
        <f>IFERROR(AVERAGEIF(ISCAM_Score!$C$4:$C$177,$A9,ISCAM_Score!$H$4:$H$177),"—")</f>
        <v>—</v>
      </c>
      <c r="F9" t="str">
        <f>IFERROR(AVERAGEIF(SCORECARDS!$P$3:$P$176,$A9,SCORECARDS!$I$3:$I$176),"—")</f>
        <v>—</v>
      </c>
      <c r="G9" t="str">
        <f ca="1">IFERROR(AVERAGEIF(SCORECARDS!$P$3:$P$176,$A9,SCORECARDS!$J$3:$J$176),"—")</f>
        <v>—</v>
      </c>
      <c r="H9" t="str">
        <f ca="1">IFERROR(AVERAGEIF(ISCAM_Score!$C$4:$C$177,$A9,ISCAM_Score!$K$4:$K$177),"—")</f>
        <v>—</v>
      </c>
      <c r="I9" t="str">
        <f>IFERROR(AVERAGEIF(ISCAM_Score!$C$4:$C$177,$A9,ISCAM_Score!$L$4:$L$177),"—")</f>
        <v>—</v>
      </c>
      <c r="J9" t="str">
        <f>IFERROR(AVERAGEIF(ISCAM_Score!$C$4:$C$177,$A9,ISCAM_Score!$M$4:$M$177),"—")</f>
        <v>—</v>
      </c>
      <c r="K9" t="str">
        <f>IFERROR(AVERAGEIF(ISCAM_Score!$C$4:$C$177,$A9,ISCAM_Score!$N$4:$N$177),"—")</f>
        <v>—</v>
      </c>
      <c r="L9" t="str">
        <f>IFERROR(AVERAGEIF(ISCAM_Score!$C$4:$C$177,$A9,ISCAM_Score!$O$4:$O$177),"—")</f>
        <v>—</v>
      </c>
      <c r="M9" t="str">
        <f t="shared" ca="1" si="0"/>
        <v>—</v>
      </c>
    </row>
    <row r="10" spans="1:13" ht="18" customHeight="1" x14ac:dyDescent="0.3">
      <c r="A10" t="s">
        <v>107</v>
      </c>
      <c r="B10" t="str">
        <f>IFERROR(AVERAGEIF(ISCAM_Score!$C$4:$C$177,$A10,ISCAM_Score!$E$4:$E$177),"—")</f>
        <v>—</v>
      </c>
      <c r="C10" t="str">
        <f ca="1">IFERROR(AVERAGEIF(SCORECARDS!$P$3:$P$176,$A10,SCORECARDS!$H$3:$H$176),"—")</f>
        <v>—</v>
      </c>
      <c r="D10">
        <f ca="1">IFERROR(AVERAGEIF(ISCAM_Score!$C$4:$C$177,$A10,ISCAM_Score!$G$4:$G$177),"—")</f>
        <v>100</v>
      </c>
      <c r="E10" t="str">
        <f>IFERROR(AVERAGEIF(ISCAM_Score!$C$4:$C$177,$A10,ISCAM_Score!$H$4:$H$177),"—")</f>
        <v>—</v>
      </c>
      <c r="F10" t="str">
        <f>IFERROR(AVERAGEIF(SCORECARDS!$P$3:$P$176,$A10,SCORECARDS!$I$3:$I$176),"—")</f>
        <v>—</v>
      </c>
      <c r="G10" t="str">
        <f ca="1">IFERROR(AVERAGEIF(SCORECARDS!$P$3:$P$176,$A10,SCORECARDS!$J$3:$J$176),"—")</f>
        <v>—</v>
      </c>
      <c r="H10" t="str">
        <f ca="1">IFERROR(AVERAGEIF(ISCAM_Score!$C$4:$C$177,$A10,ISCAM_Score!$K$4:$K$177),"—")</f>
        <v>—</v>
      </c>
      <c r="I10" t="str">
        <f>IFERROR(AVERAGEIF(ISCAM_Score!$C$4:$C$177,$A10,ISCAM_Score!$L$4:$L$177),"—")</f>
        <v>—</v>
      </c>
      <c r="J10" t="str">
        <f>IFERROR(AVERAGEIF(ISCAM_Score!$C$4:$C$177,$A10,ISCAM_Score!$M$4:$M$177),"—")</f>
        <v>—</v>
      </c>
      <c r="K10" t="str">
        <f>IFERROR(AVERAGEIF(ISCAM_Score!$C$4:$C$177,$A10,ISCAM_Score!$N$4:$N$177),"—")</f>
        <v>—</v>
      </c>
      <c r="L10" t="str">
        <f>IFERROR(AVERAGEIF(ISCAM_Score!$C$4:$C$177,$A10,ISCAM_Score!$O$4:$O$177),"—")</f>
        <v>—</v>
      </c>
      <c r="M10" t="str">
        <f t="shared" ca="1" si="0"/>
        <v>—</v>
      </c>
    </row>
    <row r="11" spans="1:13" ht="18" customHeight="1" x14ac:dyDescent="0.3">
      <c r="A11" t="s">
        <v>72</v>
      </c>
      <c r="B11" t="str">
        <f>IFERROR(AVERAGEIF(ISCAM_Score!$C$4:$C$177,$A11,ISCAM_Score!$E$4:$E$177),"—")</f>
        <v>—</v>
      </c>
      <c r="C11" t="str">
        <f ca="1">IFERROR(AVERAGEIF(SCORECARDS!$P$3:$P$176,$A11,SCORECARDS!$H$3:$H$176),"—")</f>
        <v>—</v>
      </c>
      <c r="D11">
        <f ca="1">IFERROR(AVERAGEIF(ISCAM_Score!$C$4:$C$177,$A11,ISCAM_Score!$G$4:$G$177),"—")</f>
        <v>100</v>
      </c>
      <c r="E11" t="str">
        <f>IFERROR(AVERAGEIF(ISCAM_Score!$C$4:$C$177,$A11,ISCAM_Score!$H$4:$H$177),"—")</f>
        <v>—</v>
      </c>
      <c r="F11" t="str">
        <f>IFERROR(AVERAGEIF(SCORECARDS!$P$3:$P$176,$A11,SCORECARDS!$I$3:$I$176),"—")</f>
        <v>—</v>
      </c>
      <c r="G11" t="str">
        <f ca="1">IFERROR(AVERAGEIF(SCORECARDS!$P$3:$P$176,$A11,SCORECARDS!$J$3:$J$176),"—")</f>
        <v>—</v>
      </c>
      <c r="H11" t="str">
        <f ca="1">IFERROR(AVERAGEIF(ISCAM_Score!$C$4:$C$177,$A11,ISCAM_Score!$K$4:$K$177),"—")</f>
        <v>—</v>
      </c>
      <c r="I11" t="str">
        <f>IFERROR(AVERAGEIF(ISCAM_Score!$C$4:$C$177,$A11,ISCAM_Score!$L$4:$L$177),"—")</f>
        <v>—</v>
      </c>
      <c r="J11" t="str">
        <f>IFERROR(AVERAGEIF(ISCAM_Score!$C$4:$C$177,$A11,ISCAM_Score!$M$4:$M$177),"—")</f>
        <v>—</v>
      </c>
      <c r="K11" t="str">
        <f>IFERROR(AVERAGEIF(ISCAM_Score!$C$4:$C$177,$A11,ISCAM_Score!$N$4:$N$177),"—")</f>
        <v>—</v>
      </c>
      <c r="L11" t="str">
        <f>IFERROR(AVERAGEIF(ISCAM_Score!$C$4:$C$177,$A11,ISCAM_Score!$O$4:$O$177),"—")</f>
        <v>—</v>
      </c>
      <c r="M11" t="str">
        <f t="shared" ca="1" si="0"/>
        <v>—</v>
      </c>
    </row>
    <row r="12" spans="1:13" ht="18" customHeight="1" x14ac:dyDescent="0.3">
      <c r="A12" t="s">
        <v>64</v>
      </c>
      <c r="B12" t="str">
        <f>IFERROR(AVERAGEIF(ISCAM_Score!$C$4:$C$177,$A12,ISCAM_Score!$E$4:$E$177),"—")</f>
        <v>—</v>
      </c>
      <c r="C12" t="str">
        <f ca="1">IFERROR(AVERAGEIF(SCORECARDS!$P$3:$P$176,$A12,SCORECARDS!$H$3:$H$176),"—")</f>
        <v>—</v>
      </c>
      <c r="D12">
        <f ca="1">IFERROR(AVERAGEIF(ISCAM_Score!$C$4:$C$177,$A12,ISCAM_Score!$G$4:$G$177),"—")</f>
        <v>100</v>
      </c>
      <c r="E12" t="str">
        <f>IFERROR(AVERAGEIF(ISCAM_Score!$C$4:$C$177,$A12,ISCAM_Score!$H$4:$H$177),"—")</f>
        <v>—</v>
      </c>
      <c r="F12" t="str">
        <f>IFERROR(AVERAGEIF(SCORECARDS!$P$3:$P$176,$A12,SCORECARDS!$I$3:$I$176),"—")</f>
        <v>—</v>
      </c>
      <c r="G12" t="str">
        <f ca="1">IFERROR(AVERAGEIF(SCORECARDS!$P$3:$P$176,$A12,SCORECARDS!$J$3:$J$176),"—")</f>
        <v>—</v>
      </c>
      <c r="H12" t="str">
        <f ca="1">IFERROR(AVERAGEIF(ISCAM_Score!$C$4:$C$177,$A12,ISCAM_Score!$K$4:$K$177),"—")</f>
        <v>—</v>
      </c>
      <c r="I12" t="str">
        <f>IFERROR(AVERAGEIF(ISCAM_Score!$C$4:$C$177,$A12,ISCAM_Score!$L$4:$L$177),"—")</f>
        <v>—</v>
      </c>
      <c r="J12" t="str">
        <f>IFERROR(AVERAGEIF(ISCAM_Score!$C$4:$C$177,$A12,ISCAM_Score!$M$4:$M$177),"—")</f>
        <v>—</v>
      </c>
      <c r="K12" t="str">
        <f>IFERROR(AVERAGEIF(ISCAM_Score!$C$4:$C$177,$A12,ISCAM_Score!$N$4:$N$177),"—")</f>
        <v>—</v>
      </c>
      <c r="L12" t="str">
        <f>IFERROR(AVERAGEIF(ISCAM_Score!$C$4:$C$177,$A12,ISCAM_Score!$O$4:$O$177),"—")</f>
        <v>—</v>
      </c>
      <c r="M12" t="str">
        <f t="shared" ca="1" si="0"/>
        <v>—</v>
      </c>
    </row>
    <row r="13" spans="1:13" ht="18" customHeight="1" x14ac:dyDescent="0.3">
      <c r="A13" t="s">
        <v>205</v>
      </c>
      <c r="B13" t="str">
        <f>IFERROR(AVERAGEIF(ISCAM_Score!$C$4:$C$177,$A13,ISCAM_Score!$E$4:$E$177),"—")</f>
        <v>—</v>
      </c>
      <c r="C13" t="str">
        <f ca="1">IFERROR(AVERAGEIF(SCORECARDS!$P$3:$P$176,$A13,SCORECARDS!$H$3:$H$176),"—")</f>
        <v>—</v>
      </c>
      <c r="D13">
        <f ca="1">IFERROR(AVERAGEIF(ISCAM_Score!$C$4:$C$177,$A13,ISCAM_Score!$G$4:$G$177),"—")</f>
        <v>100</v>
      </c>
      <c r="E13" t="str">
        <f>IFERROR(AVERAGEIF(ISCAM_Score!$C$4:$C$177,$A13,ISCAM_Score!$H$4:$H$177),"—")</f>
        <v>—</v>
      </c>
      <c r="F13" t="str">
        <f>IFERROR(AVERAGEIF(SCORECARDS!$P$3:$P$176,$A13,SCORECARDS!$I$3:$I$176),"—")</f>
        <v>—</v>
      </c>
      <c r="G13" t="str">
        <f ca="1">IFERROR(AVERAGEIF(SCORECARDS!$P$3:$P$176,$A13,SCORECARDS!$J$3:$J$176),"—")</f>
        <v>—</v>
      </c>
      <c r="H13" t="str">
        <f ca="1">IFERROR(AVERAGEIF(ISCAM_Score!$C$4:$C$177,$A13,ISCAM_Score!$K$4:$K$177),"—")</f>
        <v>—</v>
      </c>
      <c r="I13" t="str">
        <f>IFERROR(AVERAGEIF(ISCAM_Score!$C$4:$C$177,$A13,ISCAM_Score!$L$4:$L$177),"—")</f>
        <v>—</v>
      </c>
      <c r="J13" t="str">
        <f>IFERROR(AVERAGEIF(ISCAM_Score!$C$4:$C$177,$A13,ISCAM_Score!$M$4:$M$177),"—")</f>
        <v>—</v>
      </c>
      <c r="K13" t="str">
        <f>IFERROR(AVERAGEIF(ISCAM_Score!$C$4:$C$177,$A13,ISCAM_Score!$N$4:$N$177),"—")</f>
        <v>—</v>
      </c>
      <c r="L13" t="str">
        <f>IFERROR(AVERAGEIF(ISCAM_Score!$C$4:$C$177,$A13,ISCAM_Score!$O$4:$O$177),"—")</f>
        <v>—</v>
      </c>
      <c r="M13" t="str">
        <f t="shared" ca="1" si="0"/>
        <v>—</v>
      </c>
    </row>
    <row r="14" spans="1:13" ht="18" customHeight="1" x14ac:dyDescent="0.3">
      <c r="A14" t="s">
        <v>248</v>
      </c>
      <c r="B14" t="str">
        <f>IFERROR(AVERAGEIF(ISCAM_Score!$C$4:$C$177,$A14,ISCAM_Score!$E$4:$E$177),"—")</f>
        <v>—</v>
      </c>
      <c r="C14" t="str">
        <f ca="1">IFERROR(AVERAGEIF(SCORECARDS!$P$3:$P$176,$A14,SCORECARDS!$H$3:$H$176),"—")</f>
        <v>—</v>
      </c>
      <c r="D14">
        <f ca="1">IFERROR(AVERAGEIF(ISCAM_Score!$C$4:$C$177,$A14,ISCAM_Score!$G$4:$G$177),"—")</f>
        <v>100</v>
      </c>
      <c r="E14" t="str">
        <f>IFERROR(AVERAGEIF(ISCAM_Score!$C$4:$C$177,$A14,ISCAM_Score!$H$4:$H$177),"—")</f>
        <v>—</v>
      </c>
      <c r="F14" t="str">
        <f>IFERROR(AVERAGEIF(SCORECARDS!$P$3:$P$176,$A14,SCORECARDS!$I$3:$I$176),"—")</f>
        <v>—</v>
      </c>
      <c r="G14" t="str">
        <f ca="1">IFERROR(AVERAGEIF(SCORECARDS!$P$3:$P$176,$A14,SCORECARDS!$J$3:$J$176),"—")</f>
        <v>—</v>
      </c>
      <c r="H14" t="str">
        <f ca="1">IFERROR(AVERAGEIF(ISCAM_Score!$C$4:$C$177,$A14,ISCAM_Score!$K$4:$K$177),"—")</f>
        <v>—</v>
      </c>
      <c r="I14" t="str">
        <f>IFERROR(AVERAGEIF(ISCAM_Score!$C$4:$C$177,$A14,ISCAM_Score!$L$4:$L$177),"—")</f>
        <v>—</v>
      </c>
      <c r="J14" t="str">
        <f>IFERROR(AVERAGEIF(ISCAM_Score!$C$4:$C$177,$A14,ISCAM_Score!$M$4:$M$177),"—")</f>
        <v>—</v>
      </c>
      <c r="K14" t="str">
        <f>IFERROR(AVERAGEIF(ISCAM_Score!$C$4:$C$177,$A14,ISCAM_Score!$N$4:$N$177),"—")</f>
        <v>—</v>
      </c>
      <c r="L14" t="str">
        <f>IFERROR(AVERAGEIF(ISCAM_Score!$C$4:$C$177,$A14,ISCAM_Score!$O$4:$O$177),"—")</f>
        <v>—</v>
      </c>
      <c r="M14" t="str">
        <f t="shared" ca="1" si="0"/>
        <v>—</v>
      </c>
    </row>
    <row r="15" spans="1:13" ht="18" customHeight="1" x14ac:dyDescent="0.3">
      <c r="A15" t="s">
        <v>196</v>
      </c>
      <c r="B15" t="str">
        <f>IFERROR(AVERAGEIF(ISCAM_Score!$C$4:$C$177,$A15,ISCAM_Score!$E$4:$E$177),"—")</f>
        <v>—</v>
      </c>
      <c r="C15" t="str">
        <f ca="1">IFERROR(AVERAGEIF(SCORECARDS!$P$3:$P$176,$A15,SCORECARDS!$H$3:$H$176),"—")</f>
        <v>—</v>
      </c>
      <c r="D15">
        <f ca="1">IFERROR(AVERAGEIF(ISCAM_Score!$C$4:$C$177,$A15,ISCAM_Score!$G$4:$G$177),"—")</f>
        <v>100</v>
      </c>
      <c r="E15" t="str">
        <f>IFERROR(AVERAGEIF(ISCAM_Score!$C$4:$C$177,$A15,ISCAM_Score!$H$4:$H$177),"—")</f>
        <v>—</v>
      </c>
      <c r="F15" t="str">
        <f>IFERROR(AVERAGEIF(SCORECARDS!$P$3:$P$176,$A15,SCORECARDS!$I$3:$I$176),"—")</f>
        <v>—</v>
      </c>
      <c r="G15" t="str">
        <f ca="1">IFERROR(AVERAGEIF(SCORECARDS!$P$3:$P$176,$A15,SCORECARDS!$J$3:$J$176),"—")</f>
        <v>—</v>
      </c>
      <c r="H15" t="str">
        <f ca="1">IFERROR(AVERAGEIF(ISCAM_Score!$C$4:$C$177,$A15,ISCAM_Score!$K$4:$K$177),"—")</f>
        <v>—</v>
      </c>
      <c r="I15" t="str">
        <f>IFERROR(AVERAGEIF(ISCAM_Score!$C$4:$C$177,$A15,ISCAM_Score!$L$4:$L$177),"—")</f>
        <v>—</v>
      </c>
      <c r="J15" t="str">
        <f>IFERROR(AVERAGEIF(ISCAM_Score!$C$4:$C$177,$A15,ISCAM_Score!$M$4:$M$177),"—")</f>
        <v>—</v>
      </c>
      <c r="K15" t="str">
        <f>IFERROR(AVERAGEIF(ISCAM_Score!$C$4:$C$177,$A15,ISCAM_Score!$N$4:$N$177),"—")</f>
        <v>—</v>
      </c>
      <c r="L15" t="str">
        <f>IFERROR(AVERAGEIF(ISCAM_Score!$C$4:$C$177,$A15,ISCAM_Score!$O$4:$O$177),"—")</f>
        <v>—</v>
      </c>
      <c r="M15" t="str">
        <f t="shared" ca="1" si="0"/>
        <v>—</v>
      </c>
    </row>
    <row r="16" spans="1:13" ht="18" customHeight="1" x14ac:dyDescent="0.3">
      <c r="A16" t="s">
        <v>183</v>
      </c>
      <c r="B16" t="str">
        <f>IFERROR(AVERAGEIF(ISCAM_Score!$C$4:$C$177,$A16,ISCAM_Score!$E$4:$E$177),"—")</f>
        <v>—</v>
      </c>
      <c r="C16" t="str">
        <f ca="1">IFERROR(AVERAGEIF(SCORECARDS!$P$3:$P$176,$A16,SCORECARDS!$H$3:$H$176),"—")</f>
        <v>—</v>
      </c>
      <c r="D16">
        <f ca="1">IFERROR(AVERAGEIF(ISCAM_Score!$C$4:$C$177,$A16,ISCAM_Score!$G$4:$G$177),"—")</f>
        <v>100</v>
      </c>
      <c r="E16" t="str">
        <f>IFERROR(AVERAGEIF(ISCAM_Score!$C$4:$C$177,$A16,ISCAM_Score!$H$4:$H$177),"—")</f>
        <v>—</v>
      </c>
      <c r="F16" t="str">
        <f>IFERROR(AVERAGEIF(SCORECARDS!$P$3:$P$176,$A16,SCORECARDS!$I$3:$I$176),"—")</f>
        <v>—</v>
      </c>
      <c r="G16" t="str">
        <f ca="1">IFERROR(AVERAGEIF(SCORECARDS!$P$3:$P$176,$A16,SCORECARDS!$J$3:$J$176),"—")</f>
        <v>—</v>
      </c>
      <c r="H16" t="str">
        <f ca="1">IFERROR(AVERAGEIF(ISCAM_Score!$C$4:$C$177,$A16,ISCAM_Score!$K$4:$K$177),"—")</f>
        <v>—</v>
      </c>
      <c r="I16" t="str">
        <f>IFERROR(AVERAGEIF(ISCAM_Score!$C$4:$C$177,$A16,ISCAM_Score!$L$4:$L$177),"—")</f>
        <v>—</v>
      </c>
      <c r="J16" t="str">
        <f>IFERROR(AVERAGEIF(ISCAM_Score!$C$4:$C$177,$A16,ISCAM_Score!$M$4:$M$177),"—")</f>
        <v>—</v>
      </c>
      <c r="K16" t="str">
        <f>IFERROR(AVERAGEIF(ISCAM_Score!$C$4:$C$177,$A16,ISCAM_Score!$N$4:$N$177),"—")</f>
        <v>—</v>
      </c>
      <c r="L16" t="str">
        <f>IFERROR(AVERAGEIF(ISCAM_Score!$C$4:$C$177,$A16,ISCAM_Score!$O$4:$O$177),"—")</f>
        <v>—</v>
      </c>
      <c r="M16" t="str">
        <f t="shared" ca="1" si="0"/>
        <v>—</v>
      </c>
    </row>
    <row r="17" spans="1:13" ht="18" customHeight="1" x14ac:dyDescent="0.3">
      <c r="A17" t="s">
        <v>452</v>
      </c>
      <c r="B17" t="str">
        <f>IFERROR(AVERAGEIF(ISCAM_Score!$C$4:$C$177,$A17,ISCAM_Score!$E$4:$E$177),"—")</f>
        <v>—</v>
      </c>
      <c r="C17" t="str">
        <f ca="1">IFERROR(AVERAGEIF(SCORECARDS!$P$3:$P$176,$A17,SCORECARDS!$H$3:$H$176),"—")</f>
        <v>—</v>
      </c>
      <c r="D17" t="str">
        <f>IFERROR(AVERAGEIF(ISCAM_Score!$C$4:$C$177,$A17,ISCAM_Score!$G$4:$G$177),"—")</f>
        <v>—</v>
      </c>
      <c r="E17" t="str">
        <f>IFERROR(AVERAGEIF(ISCAM_Score!$C$4:$C$177,$A17,ISCAM_Score!$H$4:$H$177),"—")</f>
        <v>—</v>
      </c>
      <c r="F17" t="str">
        <f>IFERROR(AVERAGEIF(SCORECARDS!$P$3:$P$176,$A17,SCORECARDS!$I$3:$I$176),"—")</f>
        <v>—</v>
      </c>
      <c r="G17" t="str">
        <f ca="1">IFERROR(AVERAGEIF(SCORECARDS!$P$3:$P$176,$A17,SCORECARDS!$J$3:$J$176),"—")</f>
        <v>—</v>
      </c>
      <c r="H17" t="str">
        <f>IFERROR(AVERAGEIF(ISCAM_Score!$C$4:$C$177,$A17,ISCAM_Score!$K$4:$K$177),"—")</f>
        <v>—</v>
      </c>
      <c r="I17" t="str">
        <f>IFERROR(AVERAGEIF(ISCAM_Score!$C$4:$C$177,$A17,ISCAM_Score!$L$4:$L$177),"—")</f>
        <v>—</v>
      </c>
      <c r="J17" t="str">
        <f>IFERROR(AVERAGEIF(ISCAM_Score!$C$4:$C$177,$A17,ISCAM_Score!$M$4:$M$177),"—")</f>
        <v>—</v>
      </c>
      <c r="K17" t="str">
        <f>IFERROR(AVERAGEIF(ISCAM_Score!$C$4:$C$177,$A17,ISCAM_Score!$N$4:$N$177),"—")</f>
        <v>—</v>
      </c>
      <c r="L17" t="str">
        <f>IFERROR(AVERAGEIF(ISCAM_Score!$C$4:$C$177,$A17,ISCAM_Score!$O$4:$O$177),"—")</f>
        <v>—</v>
      </c>
      <c r="M17" t="str">
        <f t="shared" ca="1" si="0"/>
        <v>—</v>
      </c>
    </row>
    <row r="20" spans="1:13" ht="19.95" customHeight="1" x14ac:dyDescent="0.3">
      <c r="A20" s="55" t="s">
        <v>1069</v>
      </c>
      <c r="B20" s="55"/>
      <c r="C20" s="55"/>
      <c r="D20" s="55"/>
      <c r="E20" s="55"/>
      <c r="F20" s="55"/>
      <c r="G20" s="55"/>
    </row>
    <row r="21" spans="1:13" ht="18" customHeight="1" x14ac:dyDescent="0.3">
      <c r="A21" s="55" t="s">
        <v>1070</v>
      </c>
      <c r="B21" s="55"/>
      <c r="C21" s="55"/>
      <c r="D21" s="55"/>
      <c r="E21" s="55"/>
      <c r="F21" s="55"/>
      <c r="G21" s="55"/>
    </row>
    <row r="22" spans="1:13" ht="18" customHeight="1" x14ac:dyDescent="0.3">
      <c r="A22" s="55" t="s">
        <v>1071</v>
      </c>
      <c r="B22" s="55"/>
      <c r="C22" s="55"/>
      <c r="D22" s="55"/>
      <c r="E22" s="55"/>
      <c r="F22" s="55"/>
      <c r="G22" s="55"/>
    </row>
    <row r="23" spans="1:13" ht="18" customHeight="1" x14ac:dyDescent="0.3">
      <c r="A23" s="55" t="s">
        <v>1072</v>
      </c>
      <c r="B23" s="55"/>
      <c r="C23" s="55"/>
      <c r="D23" s="55"/>
      <c r="E23" s="55"/>
      <c r="F23" s="55"/>
      <c r="G23" s="55"/>
    </row>
    <row r="24" spans="1:13" ht="18" customHeight="1" x14ac:dyDescent="0.3">
      <c r="A24" s="55" t="s">
        <v>1108</v>
      </c>
      <c r="B24" s="55"/>
      <c r="C24" s="55"/>
      <c r="D24" s="55"/>
      <c r="E24" s="55"/>
      <c r="F24" s="55"/>
      <c r="G24" s="55"/>
    </row>
    <row r="26" spans="1:13" x14ac:dyDescent="0.3">
      <c r="A26" s="55" t="s">
        <v>1107</v>
      </c>
      <c r="B26" s="55"/>
      <c r="C26" s="55"/>
      <c r="D26" s="55"/>
      <c r="E26" s="55"/>
      <c r="F26" s="55"/>
      <c r="G26" s="55"/>
    </row>
    <row r="28" spans="1:13" x14ac:dyDescent="0.3">
      <c r="A28" s="44" t="s">
        <v>1073</v>
      </c>
    </row>
    <row r="29" spans="1:13" x14ac:dyDescent="0.3">
      <c r="A29" s="45" t="s">
        <v>24</v>
      </c>
      <c r="B29" s="45" t="s">
        <v>1074</v>
      </c>
      <c r="C29" s="45" t="s">
        <v>998</v>
      </c>
      <c r="D29" s="45" t="s">
        <v>1075</v>
      </c>
      <c r="E29" s="45" t="s">
        <v>1002</v>
      </c>
      <c r="F29" s="45" t="s">
        <v>1076</v>
      </c>
      <c r="G29" s="45" t="s">
        <v>1077</v>
      </c>
      <c r="H29" s="45" t="s">
        <v>1028</v>
      </c>
    </row>
    <row r="30" spans="1:13" x14ac:dyDescent="0.3">
      <c r="A30" s="46" t="s">
        <v>65</v>
      </c>
      <c r="B30" s="47">
        <f>COUNTIF(MATRIZ_174!$D$3:$D$176,A30)</f>
        <v>80</v>
      </c>
      <c r="C30" s="48" t="str">
        <f ca="1">IFERROR(AVERAGEIF(MATRIZ_174!$D$3:$D$176,$A30,ISCAM_Score!$AK$4:$AK$177),"—")</f>
        <v>—</v>
      </c>
      <c r="D30" s="48">
        <f ca="1">IFERROR(AVERAGEIF(MATRIZ_174!$D$3:$D$176,$A30,ISCAM_Score!$AI$4:$AI$177),"—")</f>
        <v>3.9387499999999992E-2</v>
      </c>
      <c r="E30" s="48" t="str">
        <f ca="1">IFERROR(AVERAGEIF(MATRIZ_174!$D$3:$D$176,$A30,ISCAM_Score!$AL$4:$AL$177),"—")</f>
        <v>—</v>
      </c>
      <c r="F30" s="48" t="str">
        <f ca="1">IFERROR(AVERAGEIF(MATRIZ_174!$D$3:$D$176,$A30,ISCAM_Score!$Z$4:$Z$177),"—")</f>
        <v>—</v>
      </c>
      <c r="G30" s="48">
        <f ca="1">IFERROR(AVERAGEIF(MATRIZ_174!$D$3:$D$176,$A30,ISCAM_Score!$AA$4:$AA$177),"—")</f>
        <v>51.147499999999994</v>
      </c>
      <c r="H30" s="48" t="str">
        <f ca="1">IFERROR(AVERAGEIF(MATRIZ_174!$D$3:$D$176,$A30,ISCAM_Score!$AB$4:$AB$177),"—")</f>
        <v>—</v>
      </c>
    </row>
    <row r="31" spans="1:13" x14ac:dyDescent="0.3">
      <c r="A31" s="46" t="s">
        <v>73</v>
      </c>
      <c r="B31" s="47">
        <f>COUNTIF(MATRIZ_174!$D$3:$D$176,A31)</f>
        <v>83</v>
      </c>
      <c r="C31" s="48" t="str">
        <f ca="1">IFERROR(AVERAGEIF(MATRIZ_174!$D$3:$D$176,$A31,ISCAM_Score!$AK$4:$AK$177),"—")</f>
        <v>—</v>
      </c>
      <c r="D31" s="48">
        <f ca="1">IFERROR(AVERAGEIF(MATRIZ_174!$D$3:$D$176,$A31,ISCAM_Score!$AI$4:$AI$177),"—")</f>
        <v>1.8674698795180723E-2</v>
      </c>
      <c r="E31" s="48" t="str">
        <f ca="1">IFERROR(AVERAGEIF(MATRIZ_174!$D$3:$D$176,$A31,ISCAM_Score!$AL$4:$AL$177),"—")</f>
        <v>—</v>
      </c>
      <c r="F31" s="48" t="str">
        <f ca="1">IFERROR(AVERAGEIF(MATRIZ_174!$D$3:$D$176,$A31,ISCAM_Score!$Z$4:$Z$177),"—")</f>
        <v>—</v>
      </c>
      <c r="G31" s="48">
        <f ca="1">IFERROR(AVERAGEIF(MATRIZ_174!$D$3:$D$176,$A31,ISCAM_Score!$AA$4:$AA$177),"—")</f>
        <v>51.566265060240966</v>
      </c>
      <c r="H31" s="48" t="str">
        <f ca="1">IFERROR(AVERAGEIF(MATRIZ_174!$D$3:$D$176,$A31,ISCAM_Score!$AB$4:$AB$177),"—")</f>
        <v>—</v>
      </c>
    </row>
    <row r="32" spans="1:13" x14ac:dyDescent="0.3">
      <c r="A32" s="47" t="s">
        <v>1078</v>
      </c>
      <c r="B32" s="47">
        <f>COUNTBLANK(MATRIZ_174!$D$3:$D$176)</f>
        <v>10</v>
      </c>
      <c r="C32" s="48" t="str">
        <f ca="1">IFERROR(AVERAGEIF(MATRIZ_174!$D$3:$D$176,"",ISCAM_Score!$AK$4:$AK$177),"—")</f>
        <v>—</v>
      </c>
      <c r="D32" s="48">
        <f ca="1">IFERROR(AVERAGEIF(MATRIZ_174!$D$3:$D$176,"",ISCAM_Score!$AI$4:$AI$177),"—")</f>
        <v>3.2499999999999994E-2</v>
      </c>
      <c r="E32" s="48" t="str">
        <f ca="1">IFERROR(AVERAGEIF(MATRIZ_174!$D$3:$D$176,"",ISCAM_Score!$AL$4:$AL$177),"—")</f>
        <v>—</v>
      </c>
      <c r="F32" s="48" t="str">
        <f ca="1">IFERROR(AVERAGEIF(MATRIZ_174!$D$3:$D$176,"",ISCAM_Score!$Z$4:$Z$177),"—")</f>
        <v>—</v>
      </c>
      <c r="G32" s="48">
        <f ca="1">IFERROR(AVERAGEIF(MATRIZ_174!$D$3:$D$176,"",ISCAM_Score!$AA$4:$AA$177),"—")</f>
        <v>50.8</v>
      </c>
      <c r="H32" s="48" t="str">
        <f ca="1">IFERROR(AVERAGEIF(MATRIZ_174!$D$3:$D$176,"",ISCAM_Score!$AB$4:$AB$177),"—")</f>
        <v>—</v>
      </c>
    </row>
    <row r="34" spans="1:2" x14ac:dyDescent="0.3">
      <c r="A34" t="s">
        <v>1079</v>
      </c>
      <c r="B34" t="str">
        <f ca="1">IF(OR(NOT(ISNUMBER(E30)),NOT(ISNUMBER(E31))),"⏳ Sin datos suficientes para evaluar paridad",IF(ABS(E30-E31)&lt;=5,"✔ Sin brecha café/cacao (≤5 pts en ISA-Completo)","⚠ Brecha café/cacao &gt;5 pts en ISA-Completo — revisar sesgo antes de publicar"))</f>
        <v>⏳ Sin datos suficientes para evaluar paridad</v>
      </c>
    </row>
    <row r="35" spans="1:2" x14ac:dyDescent="0.3">
      <c r="A35" s="49" t="s">
        <v>1080</v>
      </c>
    </row>
  </sheetData>
  <mergeCells count="7">
    <mergeCell ref="A1:J1"/>
    <mergeCell ref="A21:G21"/>
    <mergeCell ref="A22:G22"/>
    <mergeCell ref="A20:G20"/>
    <mergeCell ref="A26:G26"/>
    <mergeCell ref="A24:G24"/>
    <mergeCell ref="A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INSTRUCCIONES</vt:lpstr>
      <vt:lpstr>INSTRUMENTO_2_PREGUNTAS</vt:lpstr>
      <vt:lpstr>CODIFICACION</vt:lpstr>
      <vt:lpstr>CAPTURA</vt:lpstr>
      <vt:lpstr>NORMALIZADO</vt:lpstr>
      <vt:lpstr>ISCAM_Score</vt:lpstr>
      <vt:lpstr>PONDERADORES</vt:lpstr>
      <vt:lpstr>MATRIZ_174</vt:lpstr>
      <vt:lpstr>SCORECARDS</vt:lpstr>
      <vt:lpstr>RADAR_BRECHAS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Cuba</cp:lastModifiedBy>
  <dcterms:created xsi:type="dcterms:W3CDTF">2026-10-13T02:21:49Z</dcterms:created>
  <dcterms:modified xsi:type="dcterms:W3CDTF">2026-10-15T18:22:29Z</dcterms:modified>
</cp:coreProperties>
</file>