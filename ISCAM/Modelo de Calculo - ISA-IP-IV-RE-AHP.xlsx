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me" sheetId="1" state="visible" r:id="rId1"/>
    <sheet xmlns:r="http://schemas.openxmlformats.org/officeDocument/2006/relationships" name="Datos_Crudos" sheetId="2" state="visible" r:id="rId2"/>
    <sheet xmlns:r="http://schemas.openxmlformats.org/officeDocument/2006/relationships" name="Items_Normalizados" sheetId="3" state="visible" r:id="rId3"/>
    <sheet xmlns:r="http://schemas.openxmlformats.org/officeDocument/2006/relationships" name="Dimensiones" sheetId="4" state="visible" r:id="rId4"/>
    <sheet xmlns:r="http://schemas.openxmlformats.org/officeDocument/2006/relationships" name="ISA" sheetId="5" state="visible" r:id="rId5"/>
    <sheet xmlns:r="http://schemas.openxmlformats.org/officeDocument/2006/relationships" name="AHP_Pesos" sheetId="6" state="visible" r:id="rId6"/>
    <sheet xmlns:r="http://schemas.openxmlformats.org/officeDocument/2006/relationships" name="IP" sheetId="7" state="visible" r:id="rId7"/>
    <sheet xmlns:r="http://schemas.openxmlformats.org/officeDocument/2006/relationships" name="IV" sheetId="8" state="visible" r:id="rId8"/>
    <sheet xmlns:r="http://schemas.openxmlformats.org/officeDocument/2006/relationships" name="RE_Tipologia" sheetId="9" state="visible" r:id="rId9"/>
    <sheet xmlns:r="http://schemas.openxmlformats.org/officeDocument/2006/relationships" name="Codificacion"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16">
    <font>
      <name val="Calibri"/>
      <family val="2"/>
      <color theme="1"/>
      <sz val="11"/>
      <scheme val="minor"/>
    </font>
    <font>
      <b val="1"/>
      <color rgb="00FFFFFF"/>
      <sz val="9"/>
    </font>
    <font>
      <sz val="9.5"/>
    </font>
    <font>
      <b val="1"/>
      <color rgb="002B6F65"/>
      <sz val="9.5"/>
    </font>
    <font>
      <b val="1"/>
      <color rgb="002B6F65"/>
      <sz val="13"/>
    </font>
    <font>
      <i val="1"/>
      <color rgb="005B5548"/>
      <sz val="8.5"/>
    </font>
    <font>
      <i val="1"/>
      <sz val="8.5"/>
    </font>
    <font>
      <sz val="8.5"/>
    </font>
    <font>
      <b val="1"/>
      <sz val="9.5"/>
    </font>
    <font>
      <b val="1"/>
      <color rgb="003F7D53"/>
      <sz val="9.5"/>
    </font>
    <font>
      <b val="1"/>
      <color rgb="002B6F65"/>
      <sz val="12"/>
    </font>
    <font>
      <b val="1"/>
    </font>
    <font>
      <b val="1"/>
      <color rgb="002B6F65"/>
      <sz val="10"/>
    </font>
    <font>
      <b val="1"/>
      <color rgb="00A24936"/>
      <sz val="10"/>
    </font>
    <font>
      <i val="1"/>
      <color rgb="00A24936"/>
      <sz val="9"/>
    </font>
    <font>
      <sz val="10"/>
    </font>
  </fonts>
  <fills count="8">
    <fill>
      <patternFill/>
    </fill>
    <fill>
      <patternFill patternType="gray125"/>
    </fill>
    <fill>
      <patternFill patternType="solid">
        <fgColor rgb="002B6F65"/>
        <bgColor rgb="002B6F65"/>
      </patternFill>
    </fill>
    <fill>
      <patternFill patternType="solid">
        <fgColor rgb="00FFFDF5"/>
        <bgColor rgb="00FFFDF5"/>
      </patternFill>
    </fill>
    <fill>
      <patternFill patternType="solid">
        <fgColor rgb="00DCEAE6"/>
        <bgColor rgb="00DCEAE6"/>
      </patternFill>
    </fill>
    <fill>
      <patternFill patternType="solid">
        <fgColor rgb="00E6E3D6"/>
        <bgColor rgb="00E6E3D6"/>
      </patternFill>
    </fill>
    <fill>
      <patternFill patternType="solid">
        <fgColor rgb="00F3E4CE"/>
        <bgColor rgb="00F3E4CE"/>
      </patternFill>
    </fill>
    <fill>
      <patternFill patternType="solid">
        <fgColor rgb="00DEEAE0"/>
        <bgColor rgb="00DEEAE0"/>
      </patternFill>
    </fill>
  </fills>
  <borders count="2">
    <border>
      <left/>
      <right/>
      <top/>
      <bottom/>
      <diagonal/>
    </border>
    <border>
      <left style="thin">
        <color rgb="00DAD5C5"/>
      </left>
      <right style="thin">
        <color rgb="00DAD5C5"/>
      </right>
      <top style="thin">
        <color rgb="00DAD5C5"/>
      </top>
      <bottom style="thin">
        <color rgb="00DAD5C5"/>
      </bottom>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4" borderId="1" applyAlignment="1" pivotButton="0" quotePrefix="0" xfId="0">
      <alignment horizontal="center" vertical="center" wrapText="1"/>
    </xf>
    <xf numFmtId="0" fontId="2" fillId="0" borderId="1" pivotButton="0" quotePrefix="0" xfId="0"/>
    <xf numFmtId="0" fontId="2" fillId="5" borderId="1" pivotButton="0" quotePrefix="0" xfId="0"/>
    <xf numFmtId="0" fontId="2" fillId="6" borderId="1" pivotButton="0" quotePrefix="0" xfId="0"/>
    <xf numFmtId="0" fontId="4" fillId="0" borderId="0" pivotButton="0" quotePrefix="0" xfId="0"/>
    <xf numFmtId="0" fontId="5" fillId="0" borderId="0" applyAlignment="1" pivotButton="0" quotePrefix="0" xfId="0">
      <alignment vertical="top" wrapText="1"/>
    </xf>
    <xf numFmtId="0" fontId="3" fillId="0" borderId="0" applyAlignment="1" pivotButton="0" quotePrefix="0" xfId="0">
      <alignment vertical="center" wrapText="1"/>
    </xf>
    <xf numFmtId="0" fontId="2" fillId="5" borderId="1" applyAlignment="1" pivotButton="0" quotePrefix="0" xfId="0">
      <alignment horizontal="center" vertical="center" wrapText="1"/>
    </xf>
    <xf numFmtId="0" fontId="2" fillId="3" borderId="1" applyAlignment="1" pivotButton="0" quotePrefix="0" xfId="0">
      <alignment horizontal="center" vertical="center" wrapText="1"/>
    </xf>
    <xf numFmtId="0" fontId="6" fillId="0" borderId="0" pivotButton="0" quotePrefix="0" xfId="0"/>
    <xf numFmtId="0" fontId="7" fillId="0" borderId="0" pivotButton="0" quotePrefix="0" xfId="0"/>
    <xf numFmtId="0" fontId="3" fillId="0" borderId="0" pivotButton="0" quotePrefix="0" xfId="0"/>
    <xf numFmtId="0" fontId="1" fillId="4" borderId="0" applyAlignment="1" pivotButton="0" quotePrefix="0" xfId="0">
      <alignment horizontal="center" vertical="center" wrapText="1"/>
    </xf>
    <xf numFmtId="164" fontId="8" fillId="7" borderId="1" applyAlignment="1" pivotButton="0" quotePrefix="0" xfId="0">
      <alignment horizontal="center" vertical="center" wrapText="1"/>
    </xf>
    <xf numFmtId="0" fontId="8" fillId="0" borderId="0" pivotButton="0" quotePrefix="0" xfId="0"/>
    <xf numFmtId="165" fontId="8" fillId="0" borderId="0" pivotButton="0" quotePrefix="0" xfId="0"/>
    <xf numFmtId="165" fontId="7" fillId="0" borderId="0" pivotButton="0" quotePrefix="0" xfId="0"/>
    <xf numFmtId="0" fontId="2" fillId="0" borderId="0" pivotButton="0" quotePrefix="0" xfId="0"/>
    <xf numFmtId="165" fontId="0" fillId="0" borderId="0" pivotButton="0" quotePrefix="0" xfId="0"/>
    <xf numFmtId="0" fontId="9" fillId="0" borderId="0" pivotButton="0" quotePrefix="0" xfId="0"/>
    <xf numFmtId="0" fontId="10" fillId="0" borderId="0" pivotButton="0" quotePrefix="0" xfId="0"/>
    <xf numFmtId="0" fontId="6" fillId="0" borderId="0" applyAlignment="1" pivotButton="0" quotePrefix="0" xfId="0">
      <alignment vertical="top" wrapText="1"/>
    </xf>
    <xf numFmtId="164" fontId="11" fillId="0" borderId="1" pivotButton="0" quotePrefix="0" xfId="0"/>
    <xf numFmtId="0" fontId="12" fillId="5" borderId="1" pivotButton="0" quotePrefix="0" xfId="0"/>
    <xf numFmtId="0" fontId="13" fillId="5" borderId="1" pivotButton="0" quotePrefix="0" xfId="0"/>
    <xf numFmtId="0" fontId="3" fillId="5" borderId="1" pivotButton="0" quotePrefix="0" xfId="0"/>
    <xf numFmtId="0" fontId="14" fillId="0" borderId="0" applyAlignment="1" pivotButton="0" quotePrefix="0" xfId="0">
      <alignment vertical="top" wrapText="1"/>
    </xf>
    <xf numFmtId="0" fontId="8" fillId="0" borderId="1" applyAlignment="1" pivotButton="0" quotePrefix="0" xfId="0">
      <alignment vertical="top" wrapText="1"/>
    </xf>
    <xf numFmtId="0" fontId="2" fillId="0" borderId="1" applyAlignment="1" pivotButton="0" quotePrefix="0" xfId="0">
      <alignment vertical="top" wrapText="1"/>
    </xf>
    <xf numFmtId="0" fontId="12" fillId="0" borderId="0" applyAlignment="1" pivotButton="0" quotePrefix="0" xfId="0">
      <alignment vertical="top" wrapText="1"/>
    </xf>
    <xf numFmtId="0" fontId="15" fillId="0" borderId="0" applyAlignment="1" pivotButton="0" quotePrefix="0" xfId="0">
      <alignment vertical="top" wrapText="1"/>
    </xf>
    <xf numFmtId="0"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2"/>
  <sheetViews>
    <sheetView workbookViewId="0">
      <selection activeCell="A1" sqref="A1"/>
    </sheetView>
  </sheetViews>
  <sheetFormatPr baseColWidth="8" defaultRowHeight="15"/>
  <sheetData>
    <row r="2" ht="70" customHeight="1">
      <c r="A2" s="32" t="inlineStr">
        <is>
          <t>Actualizacion 2026-09-16</t>
        </is>
      </c>
      <c r="B2" s="33" t="inlineStr">
        <is>
          <t>Se agrego '% de mujeres en la directiva' (Datos_Crudos, ultima columna) como insumo nuevo de IV5 (Riesgo social y comercial), tras revisar la evaluacion de preparacion EUDR de Vietnam (Team Europe Initiative, 2025), que trata la representacion/inclusion como criterio transversal de riesgo de exclusion. Es variable de contexto - NO entra al puntaje D1-D9 ni a IP, solo a IV5, invertida (baja representacion = mayor contribucion al riesgo).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9"/>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4" customWidth="1" min="52" max="52"/>
  </cols>
  <sheetData>
    <row r="1" ht="30" customHeight="1">
      <c r="A1" s="1" t="inlineStr">
        <is>
          <t>Organizacion</t>
        </is>
      </c>
      <c r="B1" s="1" t="inlineStr">
        <is>
          <t>RUC</t>
        </is>
      </c>
      <c r="C1" s="1" t="inlineStr">
        <is>
          <t>D1_1</t>
        </is>
      </c>
      <c r="D1" s="1" t="inlineStr">
        <is>
          <t>D1_2</t>
        </is>
      </c>
      <c r="E1" s="1" t="inlineStr">
        <is>
          <t>D1_3</t>
        </is>
      </c>
      <c r="F1" s="1" t="inlineStr">
        <is>
          <t>D1_4</t>
        </is>
      </c>
      <c r="G1" s="1" t="inlineStr">
        <is>
          <t>D2_5</t>
        </is>
      </c>
      <c r="H1" s="1" t="inlineStr">
        <is>
          <t>D2_6_pct</t>
        </is>
      </c>
      <c r="I1" s="1" t="inlineStr">
        <is>
          <t>D2_7</t>
        </is>
      </c>
      <c r="J1" s="1" t="inlineStr">
        <is>
          <t>D2_8</t>
        </is>
      </c>
      <c r="K1" s="1" t="inlineStr">
        <is>
          <t>D2_9</t>
        </is>
      </c>
      <c r="L1" s="1" t="inlineStr">
        <is>
          <t>D2_10_flag</t>
        </is>
      </c>
      <c r="M1" s="1" t="inlineStr">
        <is>
          <t>D3_11_pct</t>
        </is>
      </c>
      <c r="N1" s="1" t="inlineStr">
        <is>
          <t>D3_12</t>
        </is>
      </c>
      <c r="O1" s="1" t="inlineStr">
        <is>
          <t>D3_13</t>
        </is>
      </c>
      <c r="P1" s="1" t="inlineStr">
        <is>
          <t>D3_14_flag</t>
        </is>
      </c>
      <c r="Q1" s="1" t="inlineStr">
        <is>
          <t>D3_14a</t>
        </is>
      </c>
      <c r="R1" s="1" t="inlineStr">
        <is>
          <t>D3_14b</t>
        </is>
      </c>
      <c r="S1" s="1" t="inlineStr">
        <is>
          <t>D3_14c</t>
        </is>
      </c>
      <c r="T1" s="1" t="inlineStr">
        <is>
          <t>D4_15</t>
        </is>
      </c>
      <c r="U1" s="1" t="inlineStr">
        <is>
          <t>D4_16</t>
        </is>
      </c>
      <c r="V1" s="1" t="inlineStr">
        <is>
          <t>D4_17</t>
        </is>
      </c>
      <c r="W1" s="1" t="inlineStr">
        <is>
          <t>D5_18</t>
        </is>
      </c>
      <c r="X1" s="1" t="inlineStr">
        <is>
          <t>D5_19</t>
        </is>
      </c>
      <c r="Y1" s="1" t="inlineStr">
        <is>
          <t>D5_20</t>
        </is>
      </c>
      <c r="Z1" s="1" t="inlineStr">
        <is>
          <t>D5_21</t>
        </is>
      </c>
      <c r="AA1" s="1" t="inlineStr">
        <is>
          <t>D6_22</t>
        </is>
      </c>
      <c r="AB1" s="1" t="inlineStr">
        <is>
          <t>D6_23</t>
        </is>
      </c>
      <c r="AC1" s="1" t="inlineStr">
        <is>
          <t>D6_24</t>
        </is>
      </c>
      <c r="AD1" s="1" t="inlineStr">
        <is>
          <t>D6_25</t>
        </is>
      </c>
      <c r="AE1" s="1" t="inlineStr">
        <is>
          <t>D7_26</t>
        </is>
      </c>
      <c r="AF1" s="1" t="inlineStr">
        <is>
          <t>D7_27</t>
        </is>
      </c>
      <c r="AG1" s="1" t="inlineStr">
        <is>
          <t>D7_28_urgencia</t>
        </is>
      </c>
      <c r="AH1" s="1" t="inlineStr">
        <is>
          <t>D8_29</t>
        </is>
      </c>
      <c r="AI1" s="1" t="inlineStr">
        <is>
          <t>D8_30_pct</t>
        </is>
      </c>
      <c r="AJ1" s="1" t="inlineStr">
        <is>
          <t>D8_31</t>
        </is>
      </c>
      <c r="AK1" s="1" t="inlineStr">
        <is>
          <t>D8_32</t>
        </is>
      </c>
      <c r="AL1" s="1" t="inlineStr">
        <is>
          <t>D9_33</t>
        </is>
      </c>
      <c r="AM1" s="1" t="inlineStr">
        <is>
          <t>D9_34</t>
        </is>
      </c>
      <c r="AN1" s="1" t="inlineStr">
        <is>
          <t>D9_35</t>
        </is>
      </c>
      <c r="AO1" s="1" t="inlineStr">
        <is>
          <t>D10_36_texto</t>
        </is>
      </c>
      <c r="AP1" s="1" t="inlineStr">
        <is>
          <t>D10_37_texto</t>
        </is>
      </c>
      <c r="AQ1" s="1" t="inlineStr">
        <is>
          <t>D11_conteo_0a7</t>
        </is>
      </c>
      <c r="AR1" s="1" t="inlineStr">
        <is>
          <t>Cert_conteo_0a4</t>
        </is>
      </c>
      <c r="AS1" s="1" t="inlineStr">
        <is>
          <t>Dispersion_geo</t>
        </is>
      </c>
      <c r="AT1" s="1" t="inlineStr">
        <is>
          <t>Distancia_acopio</t>
        </is>
      </c>
      <c r="AU1" s="1" t="inlineStr">
        <is>
          <t>N_socios</t>
        </is>
      </c>
      <c r="AV1" s="1" t="inlineStr">
        <is>
          <t>Hectareas_totales</t>
        </is>
      </c>
      <c r="AW1" s="1" t="inlineStr">
        <is>
          <t>P1_vol_UE</t>
        </is>
      </c>
      <c r="AX1" s="1" t="inlineStr">
        <is>
          <t>P1b_vol_total</t>
        </is>
      </c>
      <c r="AY1" s="1" t="inlineStr">
        <is>
          <t>P4_n_compradores</t>
        </is>
      </c>
      <c r="AZ1" s="1" t="inlineStr">
        <is>
          <t>MujeresDirectiva_pct</t>
        </is>
      </c>
    </row>
    <row r="2">
      <c r="A2" s="2" t="inlineStr">
        <is>
          <t>Coop. Ejemplo Norte</t>
        </is>
      </c>
      <c r="B2" s="2" t="inlineStr">
        <is>
          <t>20100000000</t>
        </is>
      </c>
      <c r="C2" s="2" t="n">
        <v>1</v>
      </c>
      <c r="D2" s="2" t="n">
        <v>0</v>
      </c>
      <c r="E2" s="2" t="n">
        <v>4</v>
      </c>
      <c r="F2" s="2" t="n">
        <v>4</v>
      </c>
      <c r="G2" s="2" t="n">
        <v>4</v>
      </c>
      <c r="H2" s="2" t="n">
        <v>28</v>
      </c>
      <c r="I2" s="2" t="n">
        <v>3</v>
      </c>
      <c r="J2" s="2" t="n">
        <v>0</v>
      </c>
      <c r="K2" s="2" t="n">
        <v>0</v>
      </c>
      <c r="L2" s="2" t="n">
        <v>0</v>
      </c>
      <c r="M2" s="2" t="n">
        <v>91</v>
      </c>
      <c r="N2" s="2" t="n">
        <v>4</v>
      </c>
      <c r="O2" s="2" t="n">
        <v>4</v>
      </c>
      <c r="P2" s="2" t="n">
        <v>0</v>
      </c>
      <c r="Q2" s="2" t="n">
        <v>0</v>
      </c>
      <c r="R2" s="2" t="n">
        <v>1</v>
      </c>
      <c r="S2" s="2" t="n">
        <v>1</v>
      </c>
      <c r="T2" s="2" t="n">
        <v>4</v>
      </c>
      <c r="U2" s="2" t="n">
        <v>1</v>
      </c>
      <c r="V2" s="2" t="n">
        <v>4</v>
      </c>
      <c r="W2" s="2" t="n">
        <v>0</v>
      </c>
      <c r="X2" s="2" t="n">
        <v>0</v>
      </c>
      <c r="Y2" s="2" t="n">
        <v>0</v>
      </c>
      <c r="Z2" s="2" t="n">
        <v>0</v>
      </c>
      <c r="AA2" s="2" t="n">
        <v>2</v>
      </c>
      <c r="AB2" s="2" t="n">
        <v>3</v>
      </c>
      <c r="AC2" s="2" t="n">
        <v>1</v>
      </c>
      <c r="AD2" s="2" t="n">
        <v>1</v>
      </c>
      <c r="AE2" s="2" t="n">
        <v>2</v>
      </c>
      <c r="AF2" s="2" t="n">
        <v>2</v>
      </c>
      <c r="AG2" s="2" t="n">
        <v>2</v>
      </c>
      <c r="AH2" s="2" t="n">
        <v>0</v>
      </c>
      <c r="AI2" s="2" t="n">
        <v>20</v>
      </c>
      <c r="AJ2" s="2" t="n">
        <v>2</v>
      </c>
      <c r="AK2" s="2" t="n">
        <v>3</v>
      </c>
      <c r="AL2" s="2" t="n">
        <v>0</v>
      </c>
      <c r="AM2" s="2" t="n">
        <v>4</v>
      </c>
      <c r="AN2" s="2" t="n">
        <v>2</v>
      </c>
      <c r="AO2" s="2" t="inlineStr">
        <is>
          <t>No, sabe que son distintas</t>
        </is>
      </c>
      <c r="AP2" s="2" t="inlineStr">
        <is>
          <t>No</t>
        </is>
      </c>
      <c r="AQ2" s="2" t="n">
        <v>7</v>
      </c>
      <c r="AR2" s="2" t="n">
        <v>4</v>
      </c>
      <c r="AS2" s="2" t="n">
        <v>0</v>
      </c>
      <c r="AT2" s="2" t="n">
        <v>2</v>
      </c>
      <c r="AU2" s="2" t="n">
        <v>272</v>
      </c>
      <c r="AV2" s="2" t="n">
        <v>646</v>
      </c>
      <c r="AW2" s="2" t="n">
        <v>31700</v>
      </c>
      <c r="AX2" s="2" t="n">
        <v>138416</v>
      </c>
      <c r="AY2" s="2" t="n">
        <v>6</v>
      </c>
      <c r="AZ2" s="34" t="n">
        <v>28</v>
      </c>
    </row>
    <row r="3">
      <c r="A3" s="2" t="inlineStr">
        <is>
          <t>Coop. Ejemplo Sur</t>
        </is>
      </c>
      <c r="B3" s="2" t="inlineStr">
        <is>
          <t>20100111111</t>
        </is>
      </c>
      <c r="C3" s="2" t="n">
        <v>3</v>
      </c>
      <c r="D3" s="2" t="n">
        <v>3</v>
      </c>
      <c r="E3" s="2" t="n">
        <v>2</v>
      </c>
      <c r="F3" s="2" t="n"/>
      <c r="G3" s="2" t="n">
        <v>1</v>
      </c>
      <c r="H3" s="2" t="n">
        <v>62</v>
      </c>
      <c r="I3" s="2" t="n">
        <v>1</v>
      </c>
      <c r="J3" s="2" t="n">
        <v>1</v>
      </c>
      <c r="K3" s="2" t="n">
        <v>3</v>
      </c>
      <c r="L3" s="2" t="n">
        <v>3</v>
      </c>
      <c r="M3" s="2" t="n">
        <v>17</v>
      </c>
      <c r="N3" s="2" t="n">
        <v>4</v>
      </c>
      <c r="O3" s="2" t="n">
        <v>1</v>
      </c>
      <c r="P3" s="2" t="n">
        <v>4</v>
      </c>
      <c r="Q3" s="2" t="n">
        <v>3</v>
      </c>
      <c r="R3" s="2" t="n">
        <v>3</v>
      </c>
      <c r="S3" s="2" t="n">
        <v>1</v>
      </c>
      <c r="T3" s="2" t="n">
        <v>1</v>
      </c>
      <c r="U3" s="2" t="n">
        <v>1</v>
      </c>
      <c r="V3" s="2" t="n"/>
      <c r="W3" s="2" t="n">
        <v>1</v>
      </c>
      <c r="X3" s="2" t="n">
        <v>0</v>
      </c>
      <c r="Y3" s="2" t="n">
        <v>4</v>
      </c>
      <c r="Z3" s="2" t="n">
        <v>4</v>
      </c>
      <c r="AA3" s="2" t="n"/>
      <c r="AB3" s="2" t="n"/>
      <c r="AC3" s="2" t="n"/>
      <c r="AD3" s="2" t="n"/>
      <c r="AE3" s="2" t="n">
        <v>3</v>
      </c>
      <c r="AF3" s="2" t="n">
        <v>3</v>
      </c>
      <c r="AG3" s="2" t="n">
        <v>0</v>
      </c>
      <c r="AH3" s="2" t="n">
        <v>1</v>
      </c>
      <c r="AI3" s="2" t="n">
        <v>47</v>
      </c>
      <c r="AJ3" s="2" t="n">
        <v>4</v>
      </c>
      <c r="AK3" s="2" t="n">
        <v>0</v>
      </c>
      <c r="AL3" s="2" t="n">
        <v>4</v>
      </c>
      <c r="AM3" s="2" t="n">
        <v>2</v>
      </c>
      <c r="AN3" s="2" t="n">
        <v>0</v>
      </c>
      <c r="AO3" s="2" t="inlineStr">
        <is>
          <t>Si, en parte</t>
        </is>
      </c>
      <c r="AP3" s="2" t="inlineStr">
        <is>
          <t>No</t>
        </is>
      </c>
      <c r="AQ3" s="2" t="n">
        <v>2</v>
      </c>
      <c r="AR3" s="2" t="n">
        <v>2</v>
      </c>
      <c r="AS3" s="2" t="n">
        <v>4</v>
      </c>
      <c r="AT3" s="2" t="n">
        <v>0</v>
      </c>
      <c r="AU3" s="2" t="n">
        <v>89</v>
      </c>
      <c r="AV3" s="2" t="n">
        <v>773</v>
      </c>
      <c r="AW3" s="2" t="n">
        <v>198758</v>
      </c>
      <c r="AX3" s="2" t="n">
        <v>273415</v>
      </c>
      <c r="AY3" s="2" t="n">
        <v>4</v>
      </c>
      <c r="AZ3" s="34" t="n">
        <v>33</v>
      </c>
    </row>
    <row r="4">
      <c r="A4" s="2" t="inlineStr">
        <is>
          <t>Asoc. Ejemplo Centro</t>
        </is>
      </c>
      <c r="B4" s="2" t="inlineStr">
        <is>
          <t>20100222222</t>
        </is>
      </c>
      <c r="C4" s="2" t="n">
        <v>1</v>
      </c>
      <c r="D4" s="2" t="n">
        <v>2</v>
      </c>
      <c r="E4" s="2" t="n">
        <v>3</v>
      </c>
      <c r="F4" s="2" t="n">
        <v>1</v>
      </c>
      <c r="G4" s="2" t="n">
        <v>1</v>
      </c>
      <c r="H4" s="2" t="n">
        <v>91</v>
      </c>
      <c r="I4" s="2" t="n">
        <v>1</v>
      </c>
      <c r="J4" s="2" t="n">
        <v>0</v>
      </c>
      <c r="K4" s="2" t="n">
        <v>2</v>
      </c>
      <c r="L4" s="2" t="n">
        <v>0</v>
      </c>
      <c r="M4" s="2" t="n">
        <v>69</v>
      </c>
      <c r="N4" s="2" t="n">
        <v>2</v>
      </c>
      <c r="O4" s="2" t="n">
        <v>2</v>
      </c>
      <c r="P4" s="2" t="n">
        <v>4</v>
      </c>
      <c r="Q4" s="2" t="n">
        <v>4</v>
      </c>
      <c r="R4" s="2" t="n">
        <v>1</v>
      </c>
      <c r="S4" s="2" t="n">
        <v>1</v>
      </c>
      <c r="T4" s="2" t="n">
        <v>3</v>
      </c>
      <c r="U4" s="2" t="n">
        <v>1</v>
      </c>
      <c r="V4" s="2" t="n">
        <v>3</v>
      </c>
      <c r="W4" s="2" t="n">
        <v>0</v>
      </c>
      <c r="X4" s="2" t="n">
        <v>2</v>
      </c>
      <c r="Y4" s="2" t="n">
        <v>1</v>
      </c>
      <c r="Z4" s="2" t="n">
        <v>2</v>
      </c>
      <c r="AA4" s="2" t="n">
        <v>2</v>
      </c>
      <c r="AB4" s="2" t="n">
        <v>2</v>
      </c>
      <c r="AC4" s="2" t="n">
        <v>0</v>
      </c>
      <c r="AD4" s="2" t="n">
        <v>1</v>
      </c>
      <c r="AE4" s="2" t="n">
        <v>3</v>
      </c>
      <c r="AF4" s="2" t="n">
        <v>4</v>
      </c>
      <c r="AG4" s="2" t="n">
        <v>3</v>
      </c>
      <c r="AH4" s="2" t="n">
        <v>2</v>
      </c>
      <c r="AI4" s="2" t="n">
        <v>78</v>
      </c>
      <c r="AJ4" s="2" t="n">
        <v>0</v>
      </c>
      <c r="AK4" s="2" t="n">
        <v>1</v>
      </c>
      <c r="AL4" s="2" t="n">
        <v>1</v>
      </c>
      <c r="AM4" s="2" t="n">
        <v>2</v>
      </c>
      <c r="AN4" s="2" t="n">
        <v>3</v>
      </c>
      <c r="AO4" s="2" t="inlineStr">
        <is>
          <t>No tiene certificacion</t>
        </is>
      </c>
      <c r="AP4" s="2" t="inlineStr">
        <is>
          <t>No</t>
        </is>
      </c>
      <c r="AQ4" s="2" t="n">
        <v>1</v>
      </c>
      <c r="AR4" s="2" t="n">
        <v>1</v>
      </c>
      <c r="AS4" s="2" t="n">
        <v>1</v>
      </c>
      <c r="AT4" s="2" t="n"/>
      <c r="AU4" s="2" t="n">
        <v>268</v>
      </c>
      <c r="AV4" s="2" t="n">
        <v>737</v>
      </c>
      <c r="AW4" s="2" t="n">
        <v>46311</v>
      </c>
      <c r="AX4" s="2" t="n">
        <v>193455</v>
      </c>
      <c r="AY4" s="2" t="n">
        <v>5</v>
      </c>
      <c r="AZ4" s="34" t="n">
        <v>51</v>
      </c>
    </row>
    <row r="5">
      <c r="A5" s="2" t="inlineStr">
        <is>
          <t>Coop. Ejemplo VRAEM</t>
        </is>
      </c>
      <c r="B5" s="2" t="inlineStr">
        <is>
          <t>20100333333</t>
        </is>
      </c>
      <c r="C5" s="2" t="n">
        <v>2</v>
      </c>
      <c r="D5" s="2" t="n">
        <v>4</v>
      </c>
      <c r="E5" s="2" t="n">
        <v>0</v>
      </c>
      <c r="F5" s="2" t="n">
        <v>0</v>
      </c>
      <c r="G5" s="2" t="n">
        <v>1</v>
      </c>
      <c r="H5" s="2" t="n">
        <v>47</v>
      </c>
      <c r="I5" s="2" t="n">
        <v>1</v>
      </c>
      <c r="J5" s="2" t="n"/>
      <c r="K5" s="2" t="n">
        <v>4</v>
      </c>
      <c r="L5" s="2" t="n">
        <v>4</v>
      </c>
      <c r="M5" s="2" t="n">
        <v>38</v>
      </c>
      <c r="N5" s="2" t="n">
        <v>1</v>
      </c>
      <c r="O5" s="2" t="n">
        <v>2</v>
      </c>
      <c r="P5" s="2" t="n">
        <v>4</v>
      </c>
      <c r="Q5" s="2" t="n">
        <v>4</v>
      </c>
      <c r="R5" s="2" t="n">
        <v>4</v>
      </c>
      <c r="S5" s="2" t="n">
        <v>1</v>
      </c>
      <c r="T5" s="2" t="n">
        <v>0</v>
      </c>
      <c r="U5" s="2" t="n">
        <v>1</v>
      </c>
      <c r="V5" s="2" t="n">
        <v>1</v>
      </c>
      <c r="W5" s="2" t="n">
        <v>3</v>
      </c>
      <c r="X5" s="2" t="n">
        <v>0</v>
      </c>
      <c r="Y5" s="2" t="n">
        <v>2</v>
      </c>
      <c r="Z5" s="2" t="n">
        <v>4</v>
      </c>
      <c r="AA5" s="2" t="n">
        <v>0</v>
      </c>
      <c r="AB5" s="2" t="n">
        <v>0</v>
      </c>
      <c r="AC5" s="2" t="n">
        <v>2</v>
      </c>
      <c r="AD5" s="2" t="n">
        <v>0</v>
      </c>
      <c r="AE5" s="2" t="n">
        <v>4</v>
      </c>
      <c r="AF5" s="2" t="n"/>
      <c r="AG5" s="2" t="n">
        <v>0</v>
      </c>
      <c r="AH5" s="2" t="n">
        <v>4</v>
      </c>
      <c r="AI5" s="2" t="n">
        <v>93</v>
      </c>
      <c r="AJ5" s="2" t="n">
        <v>1</v>
      </c>
      <c r="AK5" s="2" t="n">
        <v>3</v>
      </c>
      <c r="AL5" s="2" t="n">
        <v>3</v>
      </c>
      <c r="AM5" s="2" t="n">
        <v>1</v>
      </c>
      <c r="AN5" s="2" t="n">
        <v>2</v>
      </c>
      <c r="AO5" s="2" t="inlineStr">
        <is>
          <t>Si, en parte</t>
        </is>
      </c>
      <c r="AP5" s="2" t="inlineStr">
        <is>
          <t>No</t>
        </is>
      </c>
      <c r="AQ5" s="2" t="n">
        <v>2</v>
      </c>
      <c r="AR5" s="2" t="n">
        <v>3</v>
      </c>
      <c r="AS5" s="2" t="n">
        <v>3</v>
      </c>
      <c r="AT5" s="2" t="n">
        <v>1</v>
      </c>
      <c r="AU5" s="2" t="n">
        <v>249</v>
      </c>
      <c r="AV5" s="2" t="n">
        <v>121</v>
      </c>
      <c r="AW5" s="2" t="n">
        <v>140505</v>
      </c>
      <c r="AX5" s="2" t="n">
        <v>275574</v>
      </c>
      <c r="AY5" s="2" t="n">
        <v>1</v>
      </c>
      <c r="AZ5" s="34" t="n">
        <v>28</v>
      </c>
    </row>
    <row r="6">
      <c r="A6" s="2" t="inlineStr">
        <is>
          <t>Coop. Ejemplo Amazonas</t>
        </is>
      </c>
      <c r="B6" s="2" t="inlineStr">
        <is>
          <t>20100444444</t>
        </is>
      </c>
      <c r="C6" s="2" t="n">
        <v>2</v>
      </c>
      <c r="D6" s="2" t="n">
        <v>1</v>
      </c>
      <c r="E6" s="2" t="n">
        <v>1</v>
      </c>
      <c r="F6" s="2" t="n">
        <v>0</v>
      </c>
      <c r="G6" s="2" t="n">
        <v>3</v>
      </c>
      <c r="H6" s="2" t="n">
        <v>24</v>
      </c>
      <c r="I6" s="2" t="n">
        <v>1</v>
      </c>
      <c r="J6" s="2" t="n">
        <v>3</v>
      </c>
      <c r="K6" s="2" t="n">
        <v>3</v>
      </c>
      <c r="L6" s="2" t="n">
        <v>1</v>
      </c>
      <c r="M6" s="2" t="n">
        <v>40</v>
      </c>
      <c r="N6" s="2" t="n">
        <v>2</v>
      </c>
      <c r="O6" s="2" t="n"/>
      <c r="P6" s="2" t="n">
        <v>3</v>
      </c>
      <c r="Q6" s="2" t="n">
        <v>3</v>
      </c>
      <c r="R6" s="2" t="n">
        <v>4</v>
      </c>
      <c r="S6" s="2" t="n">
        <v>0</v>
      </c>
      <c r="T6" s="2" t="n">
        <v>1</v>
      </c>
      <c r="U6" s="2" t="n">
        <v>0</v>
      </c>
      <c r="V6" s="2" t="n">
        <v>2</v>
      </c>
      <c r="W6" s="2" t="n">
        <v>1</v>
      </c>
      <c r="X6" s="2" t="n">
        <v>1</v>
      </c>
      <c r="Y6" s="2" t="n">
        <v>2</v>
      </c>
      <c r="Z6" s="2" t="n">
        <v>4</v>
      </c>
      <c r="AA6" s="2" t="n">
        <v>4</v>
      </c>
      <c r="AB6" s="2" t="n">
        <v>2</v>
      </c>
      <c r="AC6" s="2" t="n">
        <v>0</v>
      </c>
      <c r="AD6" s="2" t="n">
        <v>1</v>
      </c>
      <c r="AE6" s="2" t="n">
        <v>0</v>
      </c>
      <c r="AF6" s="2" t="n">
        <v>0</v>
      </c>
      <c r="AG6" s="2" t="n">
        <v>2</v>
      </c>
      <c r="AH6" s="2" t="n">
        <v>1</v>
      </c>
      <c r="AI6" s="2" t="n">
        <v>16</v>
      </c>
      <c r="AJ6" s="2" t="n">
        <v>3</v>
      </c>
      <c r="AK6" s="2" t="n"/>
      <c r="AL6" s="2" t="n">
        <v>3</v>
      </c>
      <c r="AM6" s="2" t="n">
        <v>2</v>
      </c>
      <c r="AN6" s="2" t="n">
        <v>0</v>
      </c>
      <c r="AO6" s="2" t="inlineStr">
        <is>
          <t>Si, en parte</t>
        </is>
      </c>
      <c r="AP6" s="2" t="inlineStr">
        <is>
          <t>Si</t>
        </is>
      </c>
      <c r="AQ6" s="2" t="n">
        <v>2</v>
      </c>
      <c r="AR6" s="2" t="n">
        <v>2</v>
      </c>
      <c r="AS6" s="2" t="n">
        <v>1</v>
      </c>
      <c r="AT6" s="2" t="n">
        <v>2</v>
      </c>
      <c r="AU6" s="2" t="n">
        <v>135</v>
      </c>
      <c r="AV6" s="2" t="n">
        <v>304</v>
      </c>
      <c r="AW6" s="2" t="n">
        <v>110016</v>
      </c>
      <c r="AX6" s="2" t="n">
        <v>154242</v>
      </c>
      <c r="AY6" s="2" t="n">
        <v>2</v>
      </c>
      <c r="AZ6" s="34" t="n">
        <v>30</v>
      </c>
    </row>
    <row r="7">
      <c r="A7" s="2" t="inlineStr">
        <is>
          <t>Asoc. Ejemplo Cusco</t>
        </is>
      </c>
      <c r="B7" s="2" t="inlineStr">
        <is>
          <t>20100555555</t>
        </is>
      </c>
      <c r="C7" s="2" t="n">
        <v>2</v>
      </c>
      <c r="D7" s="2" t="n">
        <v>0</v>
      </c>
      <c r="E7" s="2" t="n">
        <v>4</v>
      </c>
      <c r="F7" s="2" t="n">
        <v>4</v>
      </c>
      <c r="G7" s="2" t="n">
        <v>3</v>
      </c>
      <c r="H7" s="2" t="n">
        <v>19</v>
      </c>
      <c r="I7" s="2" t="n">
        <v>3</v>
      </c>
      <c r="J7" s="2" t="n">
        <v>4</v>
      </c>
      <c r="K7" s="2" t="n">
        <v>3</v>
      </c>
      <c r="L7" s="2" t="n">
        <v>2</v>
      </c>
      <c r="M7" s="2" t="n">
        <v>68</v>
      </c>
      <c r="N7" s="2" t="n">
        <v>2</v>
      </c>
      <c r="O7" s="2" t="n">
        <v>1</v>
      </c>
      <c r="P7" s="2" t="n">
        <v>2</v>
      </c>
      <c r="Q7" s="2" t="n">
        <v>1</v>
      </c>
      <c r="R7" s="2" t="n"/>
      <c r="S7" s="2" t="n">
        <v>2</v>
      </c>
      <c r="T7" s="2" t="n">
        <v>0</v>
      </c>
      <c r="U7" s="2" t="n">
        <v>3</v>
      </c>
      <c r="V7" s="2" t="n">
        <v>2</v>
      </c>
      <c r="W7" s="2" t="n">
        <v>2</v>
      </c>
      <c r="X7" s="2" t="n">
        <v>1</v>
      </c>
      <c r="Y7" s="2" t="n">
        <v>3</v>
      </c>
      <c r="Z7" s="2" t="n"/>
      <c r="AA7" s="2" t="n">
        <v>2</v>
      </c>
      <c r="AB7" s="2" t="n">
        <v>4</v>
      </c>
      <c r="AC7" s="2" t="n">
        <v>0</v>
      </c>
      <c r="AD7" s="2" t="n">
        <v>2</v>
      </c>
      <c r="AE7" s="2" t="n">
        <v>1</v>
      </c>
      <c r="AF7" s="2" t="n"/>
      <c r="AG7" s="2" t="n">
        <v>3</v>
      </c>
      <c r="AH7" s="2" t="n">
        <v>1</v>
      </c>
      <c r="AI7" s="2" t="n">
        <v>31</v>
      </c>
      <c r="AJ7" s="2" t="n">
        <v>0</v>
      </c>
      <c r="AK7" s="2" t="n">
        <v>0</v>
      </c>
      <c r="AL7" s="2" t="n">
        <v>4</v>
      </c>
      <c r="AM7" s="2" t="n">
        <v>0</v>
      </c>
      <c r="AN7" s="2" t="n">
        <v>1</v>
      </c>
      <c r="AO7" s="2" t="inlineStr">
        <is>
          <t>Si, totalmente</t>
        </is>
      </c>
      <c r="AP7" s="2" t="inlineStr">
        <is>
          <t>Si</t>
        </is>
      </c>
      <c r="AQ7" s="2" t="n">
        <v>6</v>
      </c>
      <c r="AR7" s="2" t="n">
        <v>2</v>
      </c>
      <c r="AS7" s="2" t="n">
        <v>3</v>
      </c>
      <c r="AT7" s="2" t="n">
        <v>4</v>
      </c>
      <c r="AU7" s="2" t="n">
        <v>104</v>
      </c>
      <c r="AV7" s="2" t="n">
        <v>97</v>
      </c>
      <c r="AW7" s="2" t="n">
        <v>170352</v>
      </c>
      <c r="AX7" s="2" t="n">
        <v>266315</v>
      </c>
      <c r="AY7" s="2" t="n">
        <v>5</v>
      </c>
      <c r="AZ7" s="34" t="n">
        <v>34</v>
      </c>
    </row>
    <row r="8">
      <c r="A8" s="2" t="inlineStr">
        <is>
          <t>Coop. Ejemplo San Martin</t>
        </is>
      </c>
      <c r="B8" s="2" t="inlineStr">
        <is>
          <t>20100666666</t>
        </is>
      </c>
      <c r="C8" s="2" t="n">
        <v>4</v>
      </c>
      <c r="D8" s="2" t="n">
        <v>4</v>
      </c>
      <c r="E8" s="2" t="n">
        <v>4</v>
      </c>
      <c r="F8" s="2" t="n">
        <v>0</v>
      </c>
      <c r="G8" s="2" t="n">
        <v>4</v>
      </c>
      <c r="H8" s="2" t="n">
        <v>78</v>
      </c>
      <c r="I8" s="2" t="n">
        <v>1</v>
      </c>
      <c r="J8" s="2" t="n">
        <v>0</v>
      </c>
      <c r="K8" s="2" t="n">
        <v>2</v>
      </c>
      <c r="L8" s="2" t="n">
        <v>3</v>
      </c>
      <c r="M8" s="2" t="n">
        <v>81</v>
      </c>
      <c r="N8" s="2" t="n">
        <v>0</v>
      </c>
      <c r="O8" s="2" t="n">
        <v>1</v>
      </c>
      <c r="P8" s="2" t="n">
        <v>0</v>
      </c>
      <c r="Q8" s="2" t="n">
        <v>0</v>
      </c>
      <c r="R8" s="2" t="n">
        <v>4</v>
      </c>
      <c r="S8" s="2" t="n">
        <v>0</v>
      </c>
      <c r="T8" s="2" t="n">
        <v>0</v>
      </c>
      <c r="U8" s="2" t="n">
        <v>3</v>
      </c>
      <c r="V8" s="2" t="n">
        <v>0</v>
      </c>
      <c r="W8" s="2" t="n">
        <v>1</v>
      </c>
      <c r="X8" s="2" t="n">
        <v>1</v>
      </c>
      <c r="Y8" s="2" t="n">
        <v>3</v>
      </c>
      <c r="Z8" s="2" t="n">
        <v>3</v>
      </c>
      <c r="AA8" s="2" t="n">
        <v>2</v>
      </c>
      <c r="AB8" s="2" t="n">
        <v>4</v>
      </c>
      <c r="AC8" s="2" t="n">
        <v>1</v>
      </c>
      <c r="AD8" s="2" t="n">
        <v>1</v>
      </c>
      <c r="AE8" s="2" t="n">
        <v>2</v>
      </c>
      <c r="AF8" s="2" t="n">
        <v>1</v>
      </c>
      <c r="AG8" s="2" t="n"/>
      <c r="AH8" s="2" t="n">
        <v>2</v>
      </c>
      <c r="AI8" s="2" t="n">
        <v>93</v>
      </c>
      <c r="AJ8" s="2" t="n">
        <v>1</v>
      </c>
      <c r="AK8" s="2" t="n">
        <v>2</v>
      </c>
      <c r="AL8" s="2" t="n">
        <v>2</v>
      </c>
      <c r="AM8" s="2" t="n">
        <v>3</v>
      </c>
      <c r="AN8" s="2" t="n">
        <v>4</v>
      </c>
      <c r="AO8" s="2" t="inlineStr">
        <is>
          <t>Si, en parte</t>
        </is>
      </c>
      <c r="AP8" s="2" t="inlineStr">
        <is>
          <t>No</t>
        </is>
      </c>
      <c r="AQ8" s="2" t="n">
        <v>1</v>
      </c>
      <c r="AR8" s="2" t="n">
        <v>3</v>
      </c>
      <c r="AS8" s="2" t="n"/>
      <c r="AT8" s="2" t="n">
        <v>4</v>
      </c>
      <c r="AU8" s="2" t="n">
        <v>260</v>
      </c>
      <c r="AV8" s="2" t="n">
        <v>895</v>
      </c>
      <c r="AW8" s="2" t="n">
        <v>89633</v>
      </c>
      <c r="AX8" s="2" t="n">
        <v>105452</v>
      </c>
      <c r="AY8" s="2" t="n">
        <v>2</v>
      </c>
      <c r="AZ8" s="34" t="n">
        <v>14</v>
      </c>
    </row>
    <row r="9">
      <c r="A9" s="2" t="inlineStr">
        <is>
          <t>Coop. Ejemplo Junin</t>
        </is>
      </c>
      <c r="B9" s="2" t="inlineStr">
        <is>
          <t>20100777777</t>
        </is>
      </c>
      <c r="C9" s="2" t="n">
        <v>4</v>
      </c>
      <c r="D9" s="2" t="n">
        <v>2</v>
      </c>
      <c r="E9" s="2" t="n">
        <v>4</v>
      </c>
      <c r="F9" s="2" t="n">
        <v>0</v>
      </c>
      <c r="G9" s="2" t="n">
        <v>1</v>
      </c>
      <c r="H9" s="2" t="n">
        <v>52</v>
      </c>
      <c r="I9" s="2" t="n">
        <v>3</v>
      </c>
      <c r="J9" s="2" t="n"/>
      <c r="K9" s="2" t="n"/>
      <c r="L9" s="2" t="n">
        <v>3</v>
      </c>
      <c r="M9" s="2" t="n">
        <v>44</v>
      </c>
      <c r="N9" s="2" t="n">
        <v>3</v>
      </c>
      <c r="O9" s="2" t="n">
        <v>2</v>
      </c>
      <c r="P9" s="2" t="n">
        <v>2</v>
      </c>
      <c r="Q9" s="2" t="n"/>
      <c r="R9" s="2" t="n">
        <v>3</v>
      </c>
      <c r="S9" s="2" t="n">
        <v>1</v>
      </c>
      <c r="T9" s="2" t="n">
        <v>2</v>
      </c>
      <c r="U9" s="2" t="n">
        <v>0</v>
      </c>
      <c r="V9" s="2" t="n">
        <v>4</v>
      </c>
      <c r="W9" s="2" t="n">
        <v>3</v>
      </c>
      <c r="X9" s="2" t="n">
        <v>0</v>
      </c>
      <c r="Y9" s="2" t="n">
        <v>0</v>
      </c>
      <c r="Z9" s="2" t="n">
        <v>2</v>
      </c>
      <c r="AA9" s="2" t="n">
        <v>1</v>
      </c>
      <c r="AB9" s="2" t="n">
        <v>2</v>
      </c>
      <c r="AC9" s="2" t="n">
        <v>2</v>
      </c>
      <c r="AD9" s="2" t="n">
        <v>2</v>
      </c>
      <c r="AE9" s="2" t="n">
        <v>3</v>
      </c>
      <c r="AF9" s="2" t="n">
        <v>3</v>
      </c>
      <c r="AG9" s="2" t="n">
        <v>4</v>
      </c>
      <c r="AH9" s="2" t="n">
        <v>0</v>
      </c>
      <c r="AI9" s="2" t="n">
        <v>14</v>
      </c>
      <c r="AJ9" s="2" t="n">
        <v>3</v>
      </c>
      <c r="AK9" s="2" t="n">
        <v>1</v>
      </c>
      <c r="AL9" s="2" t="n">
        <v>2</v>
      </c>
      <c r="AM9" s="2" t="n">
        <v>4</v>
      </c>
      <c r="AN9" s="2" t="n">
        <v>3</v>
      </c>
      <c r="AO9" s="2" t="inlineStr">
        <is>
          <t>No tiene certificacion</t>
        </is>
      </c>
      <c r="AP9" s="2" t="inlineStr">
        <is>
          <t>No</t>
        </is>
      </c>
      <c r="AQ9" s="2" t="n">
        <v>4</v>
      </c>
      <c r="AR9" s="2" t="n">
        <v>2</v>
      </c>
      <c r="AS9" s="2" t="n">
        <v>2</v>
      </c>
      <c r="AT9" s="2" t="n">
        <v>1</v>
      </c>
      <c r="AU9" s="2" t="n">
        <v>184</v>
      </c>
      <c r="AV9" s="2" t="n">
        <v>466</v>
      </c>
      <c r="AW9" s="2" t="n">
        <v>140398</v>
      </c>
      <c r="AX9" s="2" t="n">
        <v>169661</v>
      </c>
      <c r="AY9" s="2" t="n">
        <v>1</v>
      </c>
      <c r="AZ9" s="34" t="n">
        <v>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9"/>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4" customWidth="1" min="52" max="52"/>
  </cols>
  <sheetData>
    <row r="1" ht="26" customHeight="1">
      <c r="A1" s="3" t="inlineStr">
        <is>
          <t>Organizacion</t>
        </is>
      </c>
      <c r="B1" s="3" t="inlineStr">
        <is>
          <t>RUC</t>
        </is>
      </c>
      <c r="C1" s="3" t="inlineStr">
        <is>
          <t>D1_1</t>
        </is>
      </c>
      <c r="D1" s="3" t="inlineStr">
        <is>
          <t>D1_2</t>
        </is>
      </c>
      <c r="E1" s="3" t="inlineStr">
        <is>
          <t>D1_3</t>
        </is>
      </c>
      <c r="F1" s="3" t="inlineStr">
        <is>
          <t>D1_4</t>
        </is>
      </c>
      <c r="G1" s="3" t="inlineStr">
        <is>
          <t>D2_5</t>
        </is>
      </c>
      <c r="H1" s="3" t="inlineStr">
        <is>
          <t>D2_6</t>
        </is>
      </c>
      <c r="I1" s="3" t="inlineStr">
        <is>
          <t>D2_7</t>
        </is>
      </c>
      <c r="J1" s="3" t="inlineStr">
        <is>
          <t>D2_8</t>
        </is>
      </c>
      <c r="K1" s="3" t="inlineStr">
        <is>
          <t>D2_9</t>
        </is>
      </c>
      <c r="L1" s="3" t="inlineStr">
        <is>
          <t>D2_10</t>
        </is>
      </c>
      <c r="M1" s="3" t="inlineStr">
        <is>
          <t>D3_11</t>
        </is>
      </c>
      <c r="N1" s="3" t="inlineStr">
        <is>
          <t>D3_12</t>
        </is>
      </c>
      <c r="O1" s="3" t="inlineStr">
        <is>
          <t>D3_13</t>
        </is>
      </c>
      <c r="P1" s="3" t="inlineStr">
        <is>
          <t>D3_14</t>
        </is>
      </c>
      <c r="Q1" s="3" t="inlineStr">
        <is>
          <t>D3_14a</t>
        </is>
      </c>
      <c r="R1" s="3" t="inlineStr">
        <is>
          <t>D3_14b</t>
        </is>
      </c>
      <c r="S1" s="3" t="inlineStr">
        <is>
          <t>D3_14c</t>
        </is>
      </c>
      <c r="T1" s="3" t="inlineStr">
        <is>
          <t>D4_15</t>
        </is>
      </c>
      <c r="U1" s="3" t="inlineStr">
        <is>
          <t>D4_16</t>
        </is>
      </c>
      <c r="V1" s="3" t="inlineStr">
        <is>
          <t>D4_17</t>
        </is>
      </c>
      <c r="W1" s="3" t="inlineStr">
        <is>
          <t>D5_18</t>
        </is>
      </c>
      <c r="X1" s="3" t="inlineStr">
        <is>
          <t>D5_19</t>
        </is>
      </c>
      <c r="Y1" s="3" t="inlineStr">
        <is>
          <t>D5_20</t>
        </is>
      </c>
      <c r="Z1" s="3" t="inlineStr">
        <is>
          <t>D5_21</t>
        </is>
      </c>
      <c r="AA1" s="3" t="inlineStr">
        <is>
          <t>D6_22</t>
        </is>
      </c>
      <c r="AB1" s="3" t="inlineStr">
        <is>
          <t>D6_23</t>
        </is>
      </c>
      <c r="AC1" s="3" t="inlineStr">
        <is>
          <t>D6_24</t>
        </is>
      </c>
      <c r="AD1" s="3" t="inlineStr">
        <is>
          <t>D6_25</t>
        </is>
      </c>
      <c r="AE1" s="3" t="inlineStr">
        <is>
          <t>D7_26</t>
        </is>
      </c>
      <c r="AF1" s="3" t="inlineStr">
        <is>
          <t>D7_27</t>
        </is>
      </c>
      <c r="AG1" s="3" t="inlineStr">
        <is>
          <t>D7_28_urgencia</t>
        </is>
      </c>
      <c r="AH1" s="3" t="inlineStr">
        <is>
          <t>D8_29</t>
        </is>
      </c>
      <c r="AI1" s="3" t="inlineStr">
        <is>
          <t>D8_30</t>
        </is>
      </c>
      <c r="AJ1" s="3" t="inlineStr">
        <is>
          <t>D8_31</t>
        </is>
      </c>
      <c r="AK1" s="3" t="inlineStr">
        <is>
          <t>D8_32</t>
        </is>
      </c>
      <c r="AL1" s="3" t="inlineStr">
        <is>
          <t>D9_33</t>
        </is>
      </c>
      <c r="AM1" s="3" t="inlineStr">
        <is>
          <t>D9_34</t>
        </is>
      </c>
      <c r="AN1" s="3" t="inlineStr">
        <is>
          <t>D9_35</t>
        </is>
      </c>
      <c r="AO1" s="3" t="inlineStr">
        <is>
          <t>D10_36</t>
        </is>
      </c>
      <c r="AP1" s="3" t="inlineStr">
        <is>
          <t>D10_37</t>
        </is>
      </c>
      <c r="AQ1" s="3" t="inlineStr">
        <is>
          <t>D11_conteo_0a7</t>
        </is>
      </c>
      <c r="AR1" s="3" t="inlineStr">
        <is>
          <t>Cert_conteo_0a4</t>
        </is>
      </c>
      <c r="AS1" s="3" t="inlineStr">
        <is>
          <t>Dispersion_geo</t>
        </is>
      </c>
      <c r="AT1" s="3" t="inlineStr">
        <is>
          <t>Distancia_acopio</t>
        </is>
      </c>
      <c r="AU1" s="3" t="inlineStr">
        <is>
          <t>N_socios</t>
        </is>
      </c>
      <c r="AV1" s="3" t="inlineStr">
        <is>
          <t>Hectareas_totales</t>
        </is>
      </c>
      <c r="AW1" s="3" t="inlineStr">
        <is>
          <t>P1_vol_UE</t>
        </is>
      </c>
      <c r="AX1" s="3" t="inlineStr">
        <is>
          <t>P1b_vol_total</t>
        </is>
      </c>
      <c r="AY1" s="3" t="inlineStr">
        <is>
          <t>P4_n_compradores</t>
        </is>
      </c>
      <c r="AZ1" s="3" t="inlineStr">
        <is>
          <t>MujeresDirectiva</t>
        </is>
      </c>
    </row>
    <row r="2">
      <c r="A2" s="4" t="n"/>
      <c r="B2" s="4" t="n"/>
      <c r="C2" s="5">
        <f>IF(Datos_Crudos!C2="","",Datos_Crudos!C2*25)</f>
        <v/>
      </c>
      <c r="D2" s="5">
        <f>IF(Datos_Crudos!D2="","",Datos_Crudos!D2*25)</f>
        <v/>
      </c>
      <c r="E2" s="5">
        <f>IF(Datos_Crudos!E2="","",Datos_Crudos!E2*25)</f>
        <v/>
      </c>
      <c r="F2" s="5">
        <f>IF(Datos_Crudos!F2="","",Datos_Crudos!F2*25)</f>
        <v/>
      </c>
      <c r="G2" s="5">
        <f>IF(Datos_Crudos!G2="","",Datos_Crudos!G2*25)</f>
        <v/>
      </c>
      <c r="H2" s="5">
        <f>Datos_Crudos!H2</f>
        <v/>
      </c>
      <c r="I2" s="5">
        <f>IF(Datos_Crudos!I2="","",Datos_Crudos!I2*25)</f>
        <v/>
      </c>
      <c r="J2" s="5">
        <f>IF(Datos_Crudos!J2="","",Datos_Crudos!J2*25)</f>
        <v/>
      </c>
      <c r="K2" s="5">
        <f>IF(Datos_Crudos!K2="","",Datos_Crudos!K2*25)</f>
        <v/>
      </c>
      <c r="L2" s="5">
        <f>IF(Datos_Crudos!L2="","",Datos_Crudos!L2*25)</f>
        <v/>
      </c>
      <c r="M2" s="5">
        <f>Datos_Crudos!M2</f>
        <v/>
      </c>
      <c r="N2" s="5">
        <f>IF(Datos_Crudos!N2="","",Datos_Crudos!N2*25)</f>
        <v/>
      </c>
      <c r="O2" s="5">
        <f>IF(Datos_Crudos!O2="","",Datos_Crudos!O2*25)</f>
        <v/>
      </c>
      <c r="P2" s="5">
        <f>IF(Datos_Crudos!P2="","",Datos_Crudos!P2*25)</f>
        <v/>
      </c>
      <c r="Q2" s="5">
        <f>IF(Datos_Crudos!Q2="","",Datos_Crudos!Q2*25)</f>
        <v/>
      </c>
      <c r="R2" s="5">
        <f>IF(Datos_Crudos!R2="","",Datos_Crudos!R2*25)</f>
        <v/>
      </c>
      <c r="S2" s="5">
        <f>IF(Datos_Crudos!S2="","",Datos_Crudos!S2*25)</f>
        <v/>
      </c>
      <c r="T2" s="5">
        <f>IF(Datos_Crudos!T2="","",Datos_Crudos!T2*25)</f>
        <v/>
      </c>
      <c r="U2" s="5">
        <f>IF(Datos_Crudos!U2="","",Datos_Crudos!U2*25)</f>
        <v/>
      </c>
      <c r="V2" s="5">
        <f>IF(Datos_Crudos!V2="","",Datos_Crudos!V2*25)</f>
        <v/>
      </c>
      <c r="W2" s="5">
        <f>IF(Datos_Crudos!W2="","",Datos_Crudos!W2*25)</f>
        <v/>
      </c>
      <c r="X2" s="5">
        <f>IF(Datos_Crudos!X2="","",Datos_Crudos!X2*25)</f>
        <v/>
      </c>
      <c r="Y2" s="5">
        <f>IF(Datos_Crudos!Y2="","",Datos_Crudos!Y2*25)</f>
        <v/>
      </c>
      <c r="Z2" s="5">
        <f>IF(Datos_Crudos!Z2="","",Datos_Crudos!Z2*25)</f>
        <v/>
      </c>
      <c r="AA2" s="5">
        <f>IF(Datos_Crudos!AA2="","",Datos_Crudos!AA2*25)</f>
        <v/>
      </c>
      <c r="AB2" s="5">
        <f>IF(Datos_Crudos!AB2="","",Datos_Crudos!AB2*25)</f>
        <v/>
      </c>
      <c r="AC2" s="5">
        <f>IF(Datos_Crudos!AC2="","",Datos_Crudos!AC2*25)</f>
        <v/>
      </c>
      <c r="AD2" s="5">
        <f>IF(Datos_Crudos!AD2="","",Datos_Crudos!AD2*25)</f>
        <v/>
      </c>
      <c r="AE2" s="5">
        <f>IF(Datos_Crudos!AE2="","",Datos_Crudos!AE2*25)</f>
        <v/>
      </c>
      <c r="AF2" s="5">
        <f>IF(Datos_Crudos!AF2="","",Datos_Crudos!AF2*25)</f>
        <v/>
      </c>
      <c r="AG2" s="5">
        <f>IF(Datos_Crudos!AG2="","",Datos_Crudos!AG2*25)</f>
        <v/>
      </c>
      <c r="AH2" s="5">
        <f>IF(Datos_Crudos!AH2="","",Datos_Crudos!AH2*25)</f>
        <v/>
      </c>
      <c r="AI2" s="5">
        <f>Datos_Crudos!AI2</f>
        <v/>
      </c>
      <c r="AJ2" s="5">
        <f>IF(Datos_Crudos!AJ2="","",Datos_Crudos!AJ2*25)</f>
        <v/>
      </c>
      <c r="AK2" s="5">
        <f>IF(Datos_Crudos!AK2="","",Datos_Crudos!AK2*25)</f>
        <v/>
      </c>
      <c r="AL2" s="5">
        <f>IF(Datos_Crudos!AL2="","",Datos_Crudos!AL2*25)</f>
        <v/>
      </c>
      <c r="AM2" s="5">
        <f>IF(Datos_Crudos!AM2="","",Datos_Crudos!AM2*25)</f>
        <v/>
      </c>
      <c r="AN2" s="5">
        <f>IF(Datos_Crudos!AN2="","",Datos_Crudos!AN2*25)</f>
        <v/>
      </c>
      <c r="AO2" s="4" t="n"/>
      <c r="AP2" s="4" t="n"/>
      <c r="AQ2" s="4" t="n"/>
      <c r="AR2" s="4" t="n"/>
      <c r="AS2" s="5">
        <f>IF(Datos_Crudos!AS2="","",Datos_Crudos!AS2*25)</f>
        <v/>
      </c>
      <c r="AT2" s="5">
        <f>IF(Datos_Crudos!AT2="","",Datos_Crudos!AT2*25)</f>
        <v/>
      </c>
      <c r="AU2" s="4" t="n"/>
      <c r="AV2" s="4" t="n"/>
      <c r="AW2" s="4" t="n"/>
      <c r="AX2" s="4" t="n"/>
      <c r="AY2" s="4" t="n"/>
      <c r="AZ2" s="5">
        <f>Datos_Crudos!AZ2</f>
        <v/>
      </c>
    </row>
    <row r="3">
      <c r="A3" s="4" t="n"/>
      <c r="B3" s="4" t="n"/>
      <c r="C3" s="5">
        <f>IF(Datos_Crudos!C3="","",Datos_Crudos!C3*25)</f>
        <v/>
      </c>
      <c r="D3" s="5">
        <f>IF(Datos_Crudos!D3="","",Datos_Crudos!D3*25)</f>
        <v/>
      </c>
      <c r="E3" s="5">
        <f>IF(Datos_Crudos!E3="","",Datos_Crudos!E3*25)</f>
        <v/>
      </c>
      <c r="F3" s="5">
        <f>IF(Datos_Crudos!F3="","",Datos_Crudos!F3*25)</f>
        <v/>
      </c>
      <c r="G3" s="5">
        <f>IF(Datos_Crudos!G3="","",Datos_Crudos!G3*25)</f>
        <v/>
      </c>
      <c r="H3" s="5">
        <f>Datos_Crudos!H3</f>
        <v/>
      </c>
      <c r="I3" s="5">
        <f>IF(Datos_Crudos!I3="","",Datos_Crudos!I3*25)</f>
        <v/>
      </c>
      <c r="J3" s="5">
        <f>IF(Datos_Crudos!J3="","",Datos_Crudos!J3*25)</f>
        <v/>
      </c>
      <c r="K3" s="5">
        <f>IF(Datos_Crudos!K3="","",Datos_Crudos!K3*25)</f>
        <v/>
      </c>
      <c r="L3" s="5">
        <f>IF(Datos_Crudos!L3="","",Datos_Crudos!L3*25)</f>
        <v/>
      </c>
      <c r="M3" s="5">
        <f>Datos_Crudos!M3</f>
        <v/>
      </c>
      <c r="N3" s="5">
        <f>IF(Datos_Crudos!N3="","",Datos_Crudos!N3*25)</f>
        <v/>
      </c>
      <c r="O3" s="5">
        <f>IF(Datos_Crudos!O3="","",Datos_Crudos!O3*25)</f>
        <v/>
      </c>
      <c r="P3" s="5">
        <f>IF(Datos_Crudos!P3="","",Datos_Crudos!P3*25)</f>
        <v/>
      </c>
      <c r="Q3" s="5">
        <f>IF(Datos_Crudos!Q3="","",Datos_Crudos!Q3*25)</f>
        <v/>
      </c>
      <c r="R3" s="5">
        <f>IF(Datos_Crudos!R3="","",Datos_Crudos!R3*25)</f>
        <v/>
      </c>
      <c r="S3" s="5">
        <f>IF(Datos_Crudos!S3="","",Datos_Crudos!S3*25)</f>
        <v/>
      </c>
      <c r="T3" s="5">
        <f>IF(Datos_Crudos!T3="","",Datos_Crudos!T3*25)</f>
        <v/>
      </c>
      <c r="U3" s="5">
        <f>IF(Datos_Crudos!U3="","",Datos_Crudos!U3*25)</f>
        <v/>
      </c>
      <c r="V3" s="5">
        <f>IF(Datos_Crudos!V3="","",Datos_Crudos!V3*25)</f>
        <v/>
      </c>
      <c r="W3" s="5">
        <f>IF(Datos_Crudos!W3="","",Datos_Crudos!W3*25)</f>
        <v/>
      </c>
      <c r="X3" s="5">
        <f>IF(Datos_Crudos!X3="","",Datos_Crudos!X3*25)</f>
        <v/>
      </c>
      <c r="Y3" s="5">
        <f>IF(Datos_Crudos!Y3="","",Datos_Crudos!Y3*25)</f>
        <v/>
      </c>
      <c r="Z3" s="5">
        <f>IF(Datos_Crudos!Z3="","",Datos_Crudos!Z3*25)</f>
        <v/>
      </c>
      <c r="AA3" s="5">
        <f>IF(Datos_Crudos!AA3="","",Datos_Crudos!AA3*25)</f>
        <v/>
      </c>
      <c r="AB3" s="5">
        <f>IF(Datos_Crudos!AB3="","",Datos_Crudos!AB3*25)</f>
        <v/>
      </c>
      <c r="AC3" s="5">
        <f>IF(Datos_Crudos!AC3="","",Datos_Crudos!AC3*25)</f>
        <v/>
      </c>
      <c r="AD3" s="5">
        <f>IF(Datos_Crudos!AD3="","",Datos_Crudos!AD3*25)</f>
        <v/>
      </c>
      <c r="AE3" s="5">
        <f>IF(Datos_Crudos!AE3="","",Datos_Crudos!AE3*25)</f>
        <v/>
      </c>
      <c r="AF3" s="5">
        <f>IF(Datos_Crudos!AF3="","",Datos_Crudos!AF3*25)</f>
        <v/>
      </c>
      <c r="AG3" s="5">
        <f>IF(Datos_Crudos!AG3="","",Datos_Crudos!AG3*25)</f>
        <v/>
      </c>
      <c r="AH3" s="5">
        <f>IF(Datos_Crudos!AH3="","",Datos_Crudos!AH3*25)</f>
        <v/>
      </c>
      <c r="AI3" s="5">
        <f>Datos_Crudos!AI3</f>
        <v/>
      </c>
      <c r="AJ3" s="5">
        <f>IF(Datos_Crudos!AJ3="","",Datos_Crudos!AJ3*25)</f>
        <v/>
      </c>
      <c r="AK3" s="5">
        <f>IF(Datos_Crudos!AK3="","",Datos_Crudos!AK3*25)</f>
        <v/>
      </c>
      <c r="AL3" s="5">
        <f>IF(Datos_Crudos!AL3="","",Datos_Crudos!AL3*25)</f>
        <v/>
      </c>
      <c r="AM3" s="5">
        <f>IF(Datos_Crudos!AM3="","",Datos_Crudos!AM3*25)</f>
        <v/>
      </c>
      <c r="AN3" s="5">
        <f>IF(Datos_Crudos!AN3="","",Datos_Crudos!AN3*25)</f>
        <v/>
      </c>
      <c r="AO3" s="4" t="n"/>
      <c r="AP3" s="4" t="n"/>
      <c r="AQ3" s="4" t="n"/>
      <c r="AR3" s="4" t="n"/>
      <c r="AS3" s="5">
        <f>IF(Datos_Crudos!AS3="","",Datos_Crudos!AS3*25)</f>
        <v/>
      </c>
      <c r="AT3" s="5">
        <f>IF(Datos_Crudos!AT3="","",Datos_Crudos!AT3*25)</f>
        <v/>
      </c>
      <c r="AU3" s="4" t="n"/>
      <c r="AV3" s="4" t="n"/>
      <c r="AW3" s="4" t="n"/>
      <c r="AX3" s="4" t="n"/>
      <c r="AY3" s="4" t="n"/>
      <c r="AZ3" s="5">
        <f>Datos_Crudos!AZ3</f>
        <v/>
      </c>
    </row>
    <row r="4">
      <c r="A4" s="4" t="n"/>
      <c r="B4" s="4" t="n"/>
      <c r="C4" s="5">
        <f>IF(Datos_Crudos!C4="","",Datos_Crudos!C4*25)</f>
        <v/>
      </c>
      <c r="D4" s="5">
        <f>IF(Datos_Crudos!D4="","",Datos_Crudos!D4*25)</f>
        <v/>
      </c>
      <c r="E4" s="5">
        <f>IF(Datos_Crudos!E4="","",Datos_Crudos!E4*25)</f>
        <v/>
      </c>
      <c r="F4" s="5">
        <f>IF(Datos_Crudos!F4="","",Datos_Crudos!F4*25)</f>
        <v/>
      </c>
      <c r="G4" s="5">
        <f>IF(Datos_Crudos!G4="","",Datos_Crudos!G4*25)</f>
        <v/>
      </c>
      <c r="H4" s="5">
        <f>Datos_Crudos!H4</f>
        <v/>
      </c>
      <c r="I4" s="5">
        <f>IF(Datos_Crudos!I4="","",Datos_Crudos!I4*25)</f>
        <v/>
      </c>
      <c r="J4" s="5">
        <f>IF(Datos_Crudos!J4="","",Datos_Crudos!J4*25)</f>
        <v/>
      </c>
      <c r="K4" s="5">
        <f>IF(Datos_Crudos!K4="","",Datos_Crudos!K4*25)</f>
        <v/>
      </c>
      <c r="L4" s="5">
        <f>IF(Datos_Crudos!L4="","",Datos_Crudos!L4*25)</f>
        <v/>
      </c>
      <c r="M4" s="5">
        <f>Datos_Crudos!M4</f>
        <v/>
      </c>
      <c r="N4" s="5">
        <f>IF(Datos_Crudos!N4="","",Datos_Crudos!N4*25)</f>
        <v/>
      </c>
      <c r="O4" s="5">
        <f>IF(Datos_Crudos!O4="","",Datos_Crudos!O4*25)</f>
        <v/>
      </c>
      <c r="P4" s="5">
        <f>IF(Datos_Crudos!P4="","",Datos_Crudos!P4*25)</f>
        <v/>
      </c>
      <c r="Q4" s="5">
        <f>IF(Datos_Crudos!Q4="","",Datos_Crudos!Q4*25)</f>
        <v/>
      </c>
      <c r="R4" s="5">
        <f>IF(Datos_Crudos!R4="","",Datos_Crudos!R4*25)</f>
        <v/>
      </c>
      <c r="S4" s="5">
        <f>IF(Datos_Crudos!S4="","",Datos_Crudos!S4*25)</f>
        <v/>
      </c>
      <c r="T4" s="5">
        <f>IF(Datos_Crudos!T4="","",Datos_Crudos!T4*25)</f>
        <v/>
      </c>
      <c r="U4" s="5">
        <f>IF(Datos_Crudos!U4="","",Datos_Crudos!U4*25)</f>
        <v/>
      </c>
      <c r="V4" s="5">
        <f>IF(Datos_Crudos!V4="","",Datos_Crudos!V4*25)</f>
        <v/>
      </c>
      <c r="W4" s="5">
        <f>IF(Datos_Crudos!W4="","",Datos_Crudos!W4*25)</f>
        <v/>
      </c>
      <c r="X4" s="5">
        <f>IF(Datos_Crudos!X4="","",Datos_Crudos!X4*25)</f>
        <v/>
      </c>
      <c r="Y4" s="5">
        <f>IF(Datos_Crudos!Y4="","",Datos_Crudos!Y4*25)</f>
        <v/>
      </c>
      <c r="Z4" s="5">
        <f>IF(Datos_Crudos!Z4="","",Datos_Crudos!Z4*25)</f>
        <v/>
      </c>
      <c r="AA4" s="5">
        <f>IF(Datos_Crudos!AA4="","",Datos_Crudos!AA4*25)</f>
        <v/>
      </c>
      <c r="AB4" s="5">
        <f>IF(Datos_Crudos!AB4="","",Datos_Crudos!AB4*25)</f>
        <v/>
      </c>
      <c r="AC4" s="5">
        <f>IF(Datos_Crudos!AC4="","",Datos_Crudos!AC4*25)</f>
        <v/>
      </c>
      <c r="AD4" s="5">
        <f>IF(Datos_Crudos!AD4="","",Datos_Crudos!AD4*25)</f>
        <v/>
      </c>
      <c r="AE4" s="5">
        <f>IF(Datos_Crudos!AE4="","",Datos_Crudos!AE4*25)</f>
        <v/>
      </c>
      <c r="AF4" s="5">
        <f>IF(Datos_Crudos!AF4="","",Datos_Crudos!AF4*25)</f>
        <v/>
      </c>
      <c r="AG4" s="5">
        <f>IF(Datos_Crudos!AG4="","",Datos_Crudos!AG4*25)</f>
        <v/>
      </c>
      <c r="AH4" s="5">
        <f>IF(Datos_Crudos!AH4="","",Datos_Crudos!AH4*25)</f>
        <v/>
      </c>
      <c r="AI4" s="5">
        <f>Datos_Crudos!AI4</f>
        <v/>
      </c>
      <c r="AJ4" s="5">
        <f>IF(Datos_Crudos!AJ4="","",Datos_Crudos!AJ4*25)</f>
        <v/>
      </c>
      <c r="AK4" s="5">
        <f>IF(Datos_Crudos!AK4="","",Datos_Crudos!AK4*25)</f>
        <v/>
      </c>
      <c r="AL4" s="5">
        <f>IF(Datos_Crudos!AL4="","",Datos_Crudos!AL4*25)</f>
        <v/>
      </c>
      <c r="AM4" s="5">
        <f>IF(Datos_Crudos!AM4="","",Datos_Crudos!AM4*25)</f>
        <v/>
      </c>
      <c r="AN4" s="5">
        <f>IF(Datos_Crudos!AN4="","",Datos_Crudos!AN4*25)</f>
        <v/>
      </c>
      <c r="AO4" s="4" t="n"/>
      <c r="AP4" s="4" t="n"/>
      <c r="AQ4" s="4" t="n"/>
      <c r="AR4" s="4" t="n"/>
      <c r="AS4" s="5">
        <f>IF(Datos_Crudos!AS4="","",Datos_Crudos!AS4*25)</f>
        <v/>
      </c>
      <c r="AT4" s="5">
        <f>IF(Datos_Crudos!AT4="","",Datos_Crudos!AT4*25)</f>
        <v/>
      </c>
      <c r="AU4" s="4" t="n"/>
      <c r="AV4" s="4" t="n"/>
      <c r="AW4" s="4" t="n"/>
      <c r="AX4" s="4" t="n"/>
      <c r="AY4" s="4" t="n"/>
      <c r="AZ4" s="5">
        <f>Datos_Crudos!AZ4</f>
        <v/>
      </c>
    </row>
    <row r="5">
      <c r="A5" s="4" t="n"/>
      <c r="B5" s="4" t="n"/>
      <c r="C5" s="5">
        <f>IF(Datos_Crudos!C5="","",Datos_Crudos!C5*25)</f>
        <v/>
      </c>
      <c r="D5" s="5">
        <f>IF(Datos_Crudos!D5="","",Datos_Crudos!D5*25)</f>
        <v/>
      </c>
      <c r="E5" s="5">
        <f>IF(Datos_Crudos!E5="","",Datos_Crudos!E5*25)</f>
        <v/>
      </c>
      <c r="F5" s="5">
        <f>IF(Datos_Crudos!F5="","",Datos_Crudos!F5*25)</f>
        <v/>
      </c>
      <c r="G5" s="5">
        <f>IF(Datos_Crudos!G5="","",Datos_Crudos!G5*25)</f>
        <v/>
      </c>
      <c r="H5" s="5">
        <f>Datos_Crudos!H5</f>
        <v/>
      </c>
      <c r="I5" s="5">
        <f>IF(Datos_Crudos!I5="","",Datos_Crudos!I5*25)</f>
        <v/>
      </c>
      <c r="J5" s="5">
        <f>IF(Datos_Crudos!J5="","",Datos_Crudos!J5*25)</f>
        <v/>
      </c>
      <c r="K5" s="5">
        <f>IF(Datos_Crudos!K5="","",Datos_Crudos!K5*25)</f>
        <v/>
      </c>
      <c r="L5" s="5">
        <f>IF(Datos_Crudos!L5="","",Datos_Crudos!L5*25)</f>
        <v/>
      </c>
      <c r="M5" s="5">
        <f>Datos_Crudos!M5</f>
        <v/>
      </c>
      <c r="N5" s="5">
        <f>IF(Datos_Crudos!N5="","",Datos_Crudos!N5*25)</f>
        <v/>
      </c>
      <c r="O5" s="5">
        <f>IF(Datos_Crudos!O5="","",Datos_Crudos!O5*25)</f>
        <v/>
      </c>
      <c r="P5" s="5">
        <f>IF(Datos_Crudos!P5="","",Datos_Crudos!P5*25)</f>
        <v/>
      </c>
      <c r="Q5" s="5">
        <f>IF(Datos_Crudos!Q5="","",Datos_Crudos!Q5*25)</f>
        <v/>
      </c>
      <c r="R5" s="5">
        <f>IF(Datos_Crudos!R5="","",Datos_Crudos!R5*25)</f>
        <v/>
      </c>
      <c r="S5" s="5">
        <f>IF(Datos_Crudos!S5="","",Datos_Crudos!S5*25)</f>
        <v/>
      </c>
      <c r="T5" s="5">
        <f>IF(Datos_Crudos!T5="","",Datos_Crudos!T5*25)</f>
        <v/>
      </c>
      <c r="U5" s="5">
        <f>IF(Datos_Crudos!U5="","",Datos_Crudos!U5*25)</f>
        <v/>
      </c>
      <c r="V5" s="5">
        <f>IF(Datos_Crudos!V5="","",Datos_Crudos!V5*25)</f>
        <v/>
      </c>
      <c r="W5" s="5">
        <f>IF(Datos_Crudos!W5="","",Datos_Crudos!W5*25)</f>
        <v/>
      </c>
      <c r="X5" s="5">
        <f>IF(Datos_Crudos!X5="","",Datos_Crudos!X5*25)</f>
        <v/>
      </c>
      <c r="Y5" s="5">
        <f>IF(Datos_Crudos!Y5="","",Datos_Crudos!Y5*25)</f>
        <v/>
      </c>
      <c r="Z5" s="5">
        <f>IF(Datos_Crudos!Z5="","",Datos_Crudos!Z5*25)</f>
        <v/>
      </c>
      <c r="AA5" s="5">
        <f>IF(Datos_Crudos!AA5="","",Datos_Crudos!AA5*25)</f>
        <v/>
      </c>
      <c r="AB5" s="5">
        <f>IF(Datos_Crudos!AB5="","",Datos_Crudos!AB5*25)</f>
        <v/>
      </c>
      <c r="AC5" s="5">
        <f>IF(Datos_Crudos!AC5="","",Datos_Crudos!AC5*25)</f>
        <v/>
      </c>
      <c r="AD5" s="5">
        <f>IF(Datos_Crudos!AD5="","",Datos_Crudos!AD5*25)</f>
        <v/>
      </c>
      <c r="AE5" s="5">
        <f>IF(Datos_Crudos!AE5="","",Datos_Crudos!AE5*25)</f>
        <v/>
      </c>
      <c r="AF5" s="5">
        <f>IF(Datos_Crudos!AF5="","",Datos_Crudos!AF5*25)</f>
        <v/>
      </c>
      <c r="AG5" s="5">
        <f>IF(Datos_Crudos!AG5="","",Datos_Crudos!AG5*25)</f>
        <v/>
      </c>
      <c r="AH5" s="5">
        <f>IF(Datos_Crudos!AH5="","",Datos_Crudos!AH5*25)</f>
        <v/>
      </c>
      <c r="AI5" s="5">
        <f>Datos_Crudos!AI5</f>
        <v/>
      </c>
      <c r="AJ5" s="5">
        <f>IF(Datos_Crudos!AJ5="","",Datos_Crudos!AJ5*25)</f>
        <v/>
      </c>
      <c r="AK5" s="5">
        <f>IF(Datos_Crudos!AK5="","",Datos_Crudos!AK5*25)</f>
        <v/>
      </c>
      <c r="AL5" s="5">
        <f>IF(Datos_Crudos!AL5="","",Datos_Crudos!AL5*25)</f>
        <v/>
      </c>
      <c r="AM5" s="5">
        <f>IF(Datos_Crudos!AM5="","",Datos_Crudos!AM5*25)</f>
        <v/>
      </c>
      <c r="AN5" s="5">
        <f>IF(Datos_Crudos!AN5="","",Datos_Crudos!AN5*25)</f>
        <v/>
      </c>
      <c r="AO5" s="4" t="n"/>
      <c r="AP5" s="4" t="n"/>
      <c r="AQ5" s="4" t="n"/>
      <c r="AR5" s="4" t="n"/>
      <c r="AS5" s="5">
        <f>IF(Datos_Crudos!AS5="","",Datos_Crudos!AS5*25)</f>
        <v/>
      </c>
      <c r="AT5" s="5">
        <f>IF(Datos_Crudos!AT5="","",Datos_Crudos!AT5*25)</f>
        <v/>
      </c>
      <c r="AU5" s="4" t="n"/>
      <c r="AV5" s="4" t="n"/>
      <c r="AW5" s="4" t="n"/>
      <c r="AX5" s="4" t="n"/>
      <c r="AY5" s="4" t="n"/>
      <c r="AZ5" s="5">
        <f>Datos_Crudos!AZ5</f>
        <v/>
      </c>
    </row>
    <row r="6">
      <c r="A6" s="4" t="n"/>
      <c r="B6" s="4" t="n"/>
      <c r="C6" s="5">
        <f>IF(Datos_Crudos!C6="","",Datos_Crudos!C6*25)</f>
        <v/>
      </c>
      <c r="D6" s="5">
        <f>IF(Datos_Crudos!D6="","",Datos_Crudos!D6*25)</f>
        <v/>
      </c>
      <c r="E6" s="5">
        <f>IF(Datos_Crudos!E6="","",Datos_Crudos!E6*25)</f>
        <v/>
      </c>
      <c r="F6" s="5">
        <f>IF(Datos_Crudos!F6="","",Datos_Crudos!F6*25)</f>
        <v/>
      </c>
      <c r="G6" s="5">
        <f>IF(Datos_Crudos!G6="","",Datos_Crudos!G6*25)</f>
        <v/>
      </c>
      <c r="H6" s="5">
        <f>Datos_Crudos!H6</f>
        <v/>
      </c>
      <c r="I6" s="5">
        <f>IF(Datos_Crudos!I6="","",Datos_Crudos!I6*25)</f>
        <v/>
      </c>
      <c r="J6" s="5">
        <f>IF(Datos_Crudos!J6="","",Datos_Crudos!J6*25)</f>
        <v/>
      </c>
      <c r="K6" s="5">
        <f>IF(Datos_Crudos!K6="","",Datos_Crudos!K6*25)</f>
        <v/>
      </c>
      <c r="L6" s="5">
        <f>IF(Datos_Crudos!L6="","",Datos_Crudos!L6*25)</f>
        <v/>
      </c>
      <c r="M6" s="5">
        <f>Datos_Crudos!M6</f>
        <v/>
      </c>
      <c r="N6" s="5">
        <f>IF(Datos_Crudos!N6="","",Datos_Crudos!N6*25)</f>
        <v/>
      </c>
      <c r="O6" s="5">
        <f>IF(Datos_Crudos!O6="","",Datos_Crudos!O6*25)</f>
        <v/>
      </c>
      <c r="P6" s="5">
        <f>IF(Datos_Crudos!P6="","",Datos_Crudos!P6*25)</f>
        <v/>
      </c>
      <c r="Q6" s="5">
        <f>IF(Datos_Crudos!Q6="","",Datos_Crudos!Q6*25)</f>
        <v/>
      </c>
      <c r="R6" s="5">
        <f>IF(Datos_Crudos!R6="","",Datos_Crudos!R6*25)</f>
        <v/>
      </c>
      <c r="S6" s="5">
        <f>IF(Datos_Crudos!S6="","",Datos_Crudos!S6*25)</f>
        <v/>
      </c>
      <c r="T6" s="5">
        <f>IF(Datos_Crudos!T6="","",Datos_Crudos!T6*25)</f>
        <v/>
      </c>
      <c r="U6" s="5">
        <f>IF(Datos_Crudos!U6="","",Datos_Crudos!U6*25)</f>
        <v/>
      </c>
      <c r="V6" s="5">
        <f>IF(Datos_Crudos!V6="","",Datos_Crudos!V6*25)</f>
        <v/>
      </c>
      <c r="W6" s="5">
        <f>IF(Datos_Crudos!W6="","",Datos_Crudos!W6*25)</f>
        <v/>
      </c>
      <c r="X6" s="5">
        <f>IF(Datos_Crudos!X6="","",Datos_Crudos!X6*25)</f>
        <v/>
      </c>
      <c r="Y6" s="5">
        <f>IF(Datos_Crudos!Y6="","",Datos_Crudos!Y6*25)</f>
        <v/>
      </c>
      <c r="Z6" s="5">
        <f>IF(Datos_Crudos!Z6="","",Datos_Crudos!Z6*25)</f>
        <v/>
      </c>
      <c r="AA6" s="5">
        <f>IF(Datos_Crudos!AA6="","",Datos_Crudos!AA6*25)</f>
        <v/>
      </c>
      <c r="AB6" s="5">
        <f>IF(Datos_Crudos!AB6="","",Datos_Crudos!AB6*25)</f>
        <v/>
      </c>
      <c r="AC6" s="5">
        <f>IF(Datos_Crudos!AC6="","",Datos_Crudos!AC6*25)</f>
        <v/>
      </c>
      <c r="AD6" s="5">
        <f>IF(Datos_Crudos!AD6="","",Datos_Crudos!AD6*25)</f>
        <v/>
      </c>
      <c r="AE6" s="5">
        <f>IF(Datos_Crudos!AE6="","",Datos_Crudos!AE6*25)</f>
        <v/>
      </c>
      <c r="AF6" s="5">
        <f>IF(Datos_Crudos!AF6="","",Datos_Crudos!AF6*25)</f>
        <v/>
      </c>
      <c r="AG6" s="5">
        <f>IF(Datos_Crudos!AG6="","",Datos_Crudos!AG6*25)</f>
        <v/>
      </c>
      <c r="AH6" s="5">
        <f>IF(Datos_Crudos!AH6="","",Datos_Crudos!AH6*25)</f>
        <v/>
      </c>
      <c r="AI6" s="5">
        <f>Datos_Crudos!AI6</f>
        <v/>
      </c>
      <c r="AJ6" s="5">
        <f>IF(Datos_Crudos!AJ6="","",Datos_Crudos!AJ6*25)</f>
        <v/>
      </c>
      <c r="AK6" s="5">
        <f>IF(Datos_Crudos!AK6="","",Datos_Crudos!AK6*25)</f>
        <v/>
      </c>
      <c r="AL6" s="5">
        <f>IF(Datos_Crudos!AL6="","",Datos_Crudos!AL6*25)</f>
        <v/>
      </c>
      <c r="AM6" s="5">
        <f>IF(Datos_Crudos!AM6="","",Datos_Crudos!AM6*25)</f>
        <v/>
      </c>
      <c r="AN6" s="5">
        <f>IF(Datos_Crudos!AN6="","",Datos_Crudos!AN6*25)</f>
        <v/>
      </c>
      <c r="AO6" s="4" t="n"/>
      <c r="AP6" s="4" t="n"/>
      <c r="AQ6" s="4" t="n"/>
      <c r="AR6" s="4" t="n"/>
      <c r="AS6" s="5">
        <f>IF(Datos_Crudos!AS6="","",Datos_Crudos!AS6*25)</f>
        <v/>
      </c>
      <c r="AT6" s="5">
        <f>IF(Datos_Crudos!AT6="","",Datos_Crudos!AT6*25)</f>
        <v/>
      </c>
      <c r="AU6" s="4" t="n"/>
      <c r="AV6" s="4" t="n"/>
      <c r="AW6" s="4" t="n"/>
      <c r="AX6" s="4" t="n"/>
      <c r="AY6" s="4" t="n"/>
      <c r="AZ6" s="5">
        <f>Datos_Crudos!AZ6</f>
        <v/>
      </c>
    </row>
    <row r="7">
      <c r="A7" s="4" t="n"/>
      <c r="B7" s="4" t="n"/>
      <c r="C7" s="5">
        <f>IF(Datos_Crudos!C7="","",Datos_Crudos!C7*25)</f>
        <v/>
      </c>
      <c r="D7" s="5">
        <f>IF(Datos_Crudos!D7="","",Datos_Crudos!D7*25)</f>
        <v/>
      </c>
      <c r="E7" s="5">
        <f>IF(Datos_Crudos!E7="","",Datos_Crudos!E7*25)</f>
        <v/>
      </c>
      <c r="F7" s="5">
        <f>IF(Datos_Crudos!F7="","",Datos_Crudos!F7*25)</f>
        <v/>
      </c>
      <c r="G7" s="5">
        <f>IF(Datos_Crudos!G7="","",Datos_Crudos!G7*25)</f>
        <v/>
      </c>
      <c r="H7" s="5">
        <f>Datos_Crudos!H7</f>
        <v/>
      </c>
      <c r="I7" s="5">
        <f>IF(Datos_Crudos!I7="","",Datos_Crudos!I7*25)</f>
        <v/>
      </c>
      <c r="J7" s="5">
        <f>IF(Datos_Crudos!J7="","",Datos_Crudos!J7*25)</f>
        <v/>
      </c>
      <c r="K7" s="5">
        <f>IF(Datos_Crudos!K7="","",Datos_Crudos!K7*25)</f>
        <v/>
      </c>
      <c r="L7" s="5">
        <f>IF(Datos_Crudos!L7="","",Datos_Crudos!L7*25)</f>
        <v/>
      </c>
      <c r="M7" s="5">
        <f>Datos_Crudos!M7</f>
        <v/>
      </c>
      <c r="N7" s="5">
        <f>IF(Datos_Crudos!N7="","",Datos_Crudos!N7*25)</f>
        <v/>
      </c>
      <c r="O7" s="5">
        <f>IF(Datos_Crudos!O7="","",Datos_Crudos!O7*25)</f>
        <v/>
      </c>
      <c r="P7" s="5">
        <f>IF(Datos_Crudos!P7="","",Datos_Crudos!P7*25)</f>
        <v/>
      </c>
      <c r="Q7" s="5">
        <f>IF(Datos_Crudos!Q7="","",Datos_Crudos!Q7*25)</f>
        <v/>
      </c>
      <c r="R7" s="5">
        <f>IF(Datos_Crudos!R7="","",Datos_Crudos!R7*25)</f>
        <v/>
      </c>
      <c r="S7" s="5">
        <f>IF(Datos_Crudos!S7="","",Datos_Crudos!S7*25)</f>
        <v/>
      </c>
      <c r="T7" s="5">
        <f>IF(Datos_Crudos!T7="","",Datos_Crudos!T7*25)</f>
        <v/>
      </c>
      <c r="U7" s="5">
        <f>IF(Datos_Crudos!U7="","",Datos_Crudos!U7*25)</f>
        <v/>
      </c>
      <c r="V7" s="5">
        <f>IF(Datos_Crudos!V7="","",Datos_Crudos!V7*25)</f>
        <v/>
      </c>
      <c r="W7" s="5">
        <f>IF(Datos_Crudos!W7="","",Datos_Crudos!W7*25)</f>
        <v/>
      </c>
      <c r="X7" s="5">
        <f>IF(Datos_Crudos!X7="","",Datos_Crudos!X7*25)</f>
        <v/>
      </c>
      <c r="Y7" s="5">
        <f>IF(Datos_Crudos!Y7="","",Datos_Crudos!Y7*25)</f>
        <v/>
      </c>
      <c r="Z7" s="5">
        <f>IF(Datos_Crudos!Z7="","",Datos_Crudos!Z7*25)</f>
        <v/>
      </c>
      <c r="AA7" s="5">
        <f>IF(Datos_Crudos!AA7="","",Datos_Crudos!AA7*25)</f>
        <v/>
      </c>
      <c r="AB7" s="5">
        <f>IF(Datos_Crudos!AB7="","",Datos_Crudos!AB7*25)</f>
        <v/>
      </c>
      <c r="AC7" s="5">
        <f>IF(Datos_Crudos!AC7="","",Datos_Crudos!AC7*25)</f>
        <v/>
      </c>
      <c r="AD7" s="5">
        <f>IF(Datos_Crudos!AD7="","",Datos_Crudos!AD7*25)</f>
        <v/>
      </c>
      <c r="AE7" s="5">
        <f>IF(Datos_Crudos!AE7="","",Datos_Crudos!AE7*25)</f>
        <v/>
      </c>
      <c r="AF7" s="5">
        <f>IF(Datos_Crudos!AF7="","",Datos_Crudos!AF7*25)</f>
        <v/>
      </c>
      <c r="AG7" s="5">
        <f>IF(Datos_Crudos!AG7="","",Datos_Crudos!AG7*25)</f>
        <v/>
      </c>
      <c r="AH7" s="5">
        <f>IF(Datos_Crudos!AH7="","",Datos_Crudos!AH7*25)</f>
        <v/>
      </c>
      <c r="AI7" s="5">
        <f>Datos_Crudos!AI7</f>
        <v/>
      </c>
      <c r="AJ7" s="5">
        <f>IF(Datos_Crudos!AJ7="","",Datos_Crudos!AJ7*25)</f>
        <v/>
      </c>
      <c r="AK7" s="5">
        <f>IF(Datos_Crudos!AK7="","",Datos_Crudos!AK7*25)</f>
        <v/>
      </c>
      <c r="AL7" s="5">
        <f>IF(Datos_Crudos!AL7="","",Datos_Crudos!AL7*25)</f>
        <v/>
      </c>
      <c r="AM7" s="5">
        <f>IF(Datos_Crudos!AM7="","",Datos_Crudos!AM7*25)</f>
        <v/>
      </c>
      <c r="AN7" s="5">
        <f>IF(Datos_Crudos!AN7="","",Datos_Crudos!AN7*25)</f>
        <v/>
      </c>
      <c r="AO7" s="4" t="n"/>
      <c r="AP7" s="4" t="n"/>
      <c r="AQ7" s="4" t="n"/>
      <c r="AR7" s="4" t="n"/>
      <c r="AS7" s="5">
        <f>IF(Datos_Crudos!AS7="","",Datos_Crudos!AS7*25)</f>
        <v/>
      </c>
      <c r="AT7" s="5">
        <f>IF(Datos_Crudos!AT7="","",Datos_Crudos!AT7*25)</f>
        <v/>
      </c>
      <c r="AU7" s="4" t="n"/>
      <c r="AV7" s="4" t="n"/>
      <c r="AW7" s="4" t="n"/>
      <c r="AX7" s="4" t="n"/>
      <c r="AY7" s="4" t="n"/>
      <c r="AZ7" s="5">
        <f>Datos_Crudos!AZ7</f>
        <v/>
      </c>
    </row>
    <row r="8">
      <c r="A8" s="4" t="n"/>
      <c r="B8" s="4" t="n"/>
      <c r="C8" s="5">
        <f>IF(Datos_Crudos!C8="","",Datos_Crudos!C8*25)</f>
        <v/>
      </c>
      <c r="D8" s="5">
        <f>IF(Datos_Crudos!D8="","",Datos_Crudos!D8*25)</f>
        <v/>
      </c>
      <c r="E8" s="5">
        <f>IF(Datos_Crudos!E8="","",Datos_Crudos!E8*25)</f>
        <v/>
      </c>
      <c r="F8" s="5">
        <f>IF(Datos_Crudos!F8="","",Datos_Crudos!F8*25)</f>
        <v/>
      </c>
      <c r="G8" s="5">
        <f>IF(Datos_Crudos!G8="","",Datos_Crudos!G8*25)</f>
        <v/>
      </c>
      <c r="H8" s="5">
        <f>Datos_Crudos!H8</f>
        <v/>
      </c>
      <c r="I8" s="5">
        <f>IF(Datos_Crudos!I8="","",Datos_Crudos!I8*25)</f>
        <v/>
      </c>
      <c r="J8" s="5">
        <f>IF(Datos_Crudos!J8="","",Datos_Crudos!J8*25)</f>
        <v/>
      </c>
      <c r="K8" s="5">
        <f>IF(Datos_Crudos!K8="","",Datos_Crudos!K8*25)</f>
        <v/>
      </c>
      <c r="L8" s="5">
        <f>IF(Datos_Crudos!L8="","",Datos_Crudos!L8*25)</f>
        <v/>
      </c>
      <c r="M8" s="5">
        <f>Datos_Crudos!M8</f>
        <v/>
      </c>
      <c r="N8" s="5">
        <f>IF(Datos_Crudos!N8="","",Datos_Crudos!N8*25)</f>
        <v/>
      </c>
      <c r="O8" s="5">
        <f>IF(Datos_Crudos!O8="","",Datos_Crudos!O8*25)</f>
        <v/>
      </c>
      <c r="P8" s="5">
        <f>IF(Datos_Crudos!P8="","",Datos_Crudos!P8*25)</f>
        <v/>
      </c>
      <c r="Q8" s="5">
        <f>IF(Datos_Crudos!Q8="","",Datos_Crudos!Q8*25)</f>
        <v/>
      </c>
      <c r="R8" s="5">
        <f>IF(Datos_Crudos!R8="","",Datos_Crudos!R8*25)</f>
        <v/>
      </c>
      <c r="S8" s="5">
        <f>IF(Datos_Crudos!S8="","",Datos_Crudos!S8*25)</f>
        <v/>
      </c>
      <c r="T8" s="5">
        <f>IF(Datos_Crudos!T8="","",Datos_Crudos!T8*25)</f>
        <v/>
      </c>
      <c r="U8" s="5">
        <f>IF(Datos_Crudos!U8="","",Datos_Crudos!U8*25)</f>
        <v/>
      </c>
      <c r="V8" s="5">
        <f>IF(Datos_Crudos!V8="","",Datos_Crudos!V8*25)</f>
        <v/>
      </c>
      <c r="W8" s="5">
        <f>IF(Datos_Crudos!W8="","",Datos_Crudos!W8*25)</f>
        <v/>
      </c>
      <c r="X8" s="5">
        <f>IF(Datos_Crudos!X8="","",Datos_Crudos!X8*25)</f>
        <v/>
      </c>
      <c r="Y8" s="5">
        <f>IF(Datos_Crudos!Y8="","",Datos_Crudos!Y8*25)</f>
        <v/>
      </c>
      <c r="Z8" s="5">
        <f>IF(Datos_Crudos!Z8="","",Datos_Crudos!Z8*25)</f>
        <v/>
      </c>
      <c r="AA8" s="5">
        <f>IF(Datos_Crudos!AA8="","",Datos_Crudos!AA8*25)</f>
        <v/>
      </c>
      <c r="AB8" s="5">
        <f>IF(Datos_Crudos!AB8="","",Datos_Crudos!AB8*25)</f>
        <v/>
      </c>
      <c r="AC8" s="5">
        <f>IF(Datos_Crudos!AC8="","",Datos_Crudos!AC8*25)</f>
        <v/>
      </c>
      <c r="AD8" s="5">
        <f>IF(Datos_Crudos!AD8="","",Datos_Crudos!AD8*25)</f>
        <v/>
      </c>
      <c r="AE8" s="5">
        <f>IF(Datos_Crudos!AE8="","",Datos_Crudos!AE8*25)</f>
        <v/>
      </c>
      <c r="AF8" s="5">
        <f>IF(Datos_Crudos!AF8="","",Datos_Crudos!AF8*25)</f>
        <v/>
      </c>
      <c r="AG8" s="5">
        <f>IF(Datos_Crudos!AG8="","",Datos_Crudos!AG8*25)</f>
        <v/>
      </c>
      <c r="AH8" s="5">
        <f>IF(Datos_Crudos!AH8="","",Datos_Crudos!AH8*25)</f>
        <v/>
      </c>
      <c r="AI8" s="5">
        <f>Datos_Crudos!AI8</f>
        <v/>
      </c>
      <c r="AJ8" s="5">
        <f>IF(Datos_Crudos!AJ8="","",Datos_Crudos!AJ8*25)</f>
        <v/>
      </c>
      <c r="AK8" s="5">
        <f>IF(Datos_Crudos!AK8="","",Datos_Crudos!AK8*25)</f>
        <v/>
      </c>
      <c r="AL8" s="5">
        <f>IF(Datos_Crudos!AL8="","",Datos_Crudos!AL8*25)</f>
        <v/>
      </c>
      <c r="AM8" s="5">
        <f>IF(Datos_Crudos!AM8="","",Datos_Crudos!AM8*25)</f>
        <v/>
      </c>
      <c r="AN8" s="5">
        <f>IF(Datos_Crudos!AN8="","",Datos_Crudos!AN8*25)</f>
        <v/>
      </c>
      <c r="AO8" s="4" t="n"/>
      <c r="AP8" s="4" t="n"/>
      <c r="AQ8" s="4" t="n"/>
      <c r="AR8" s="4" t="n"/>
      <c r="AS8" s="5">
        <f>IF(Datos_Crudos!AS8="","",Datos_Crudos!AS8*25)</f>
        <v/>
      </c>
      <c r="AT8" s="5">
        <f>IF(Datos_Crudos!AT8="","",Datos_Crudos!AT8*25)</f>
        <v/>
      </c>
      <c r="AU8" s="4" t="n"/>
      <c r="AV8" s="4" t="n"/>
      <c r="AW8" s="4" t="n"/>
      <c r="AX8" s="4" t="n"/>
      <c r="AY8" s="4" t="n"/>
      <c r="AZ8" s="5">
        <f>Datos_Crudos!AZ8</f>
        <v/>
      </c>
    </row>
    <row r="9">
      <c r="A9" s="4" t="n"/>
      <c r="B9" s="4" t="n"/>
      <c r="C9" s="5">
        <f>IF(Datos_Crudos!C9="","",Datos_Crudos!C9*25)</f>
        <v/>
      </c>
      <c r="D9" s="5">
        <f>IF(Datos_Crudos!D9="","",Datos_Crudos!D9*25)</f>
        <v/>
      </c>
      <c r="E9" s="5">
        <f>IF(Datos_Crudos!E9="","",Datos_Crudos!E9*25)</f>
        <v/>
      </c>
      <c r="F9" s="5">
        <f>IF(Datos_Crudos!F9="","",Datos_Crudos!F9*25)</f>
        <v/>
      </c>
      <c r="G9" s="5">
        <f>IF(Datos_Crudos!G9="","",Datos_Crudos!G9*25)</f>
        <v/>
      </c>
      <c r="H9" s="5">
        <f>Datos_Crudos!H9</f>
        <v/>
      </c>
      <c r="I9" s="5">
        <f>IF(Datos_Crudos!I9="","",Datos_Crudos!I9*25)</f>
        <v/>
      </c>
      <c r="J9" s="5">
        <f>IF(Datos_Crudos!J9="","",Datos_Crudos!J9*25)</f>
        <v/>
      </c>
      <c r="K9" s="5">
        <f>IF(Datos_Crudos!K9="","",Datos_Crudos!K9*25)</f>
        <v/>
      </c>
      <c r="L9" s="5">
        <f>IF(Datos_Crudos!L9="","",Datos_Crudos!L9*25)</f>
        <v/>
      </c>
      <c r="M9" s="5">
        <f>Datos_Crudos!M9</f>
        <v/>
      </c>
      <c r="N9" s="5">
        <f>IF(Datos_Crudos!N9="","",Datos_Crudos!N9*25)</f>
        <v/>
      </c>
      <c r="O9" s="5">
        <f>IF(Datos_Crudos!O9="","",Datos_Crudos!O9*25)</f>
        <v/>
      </c>
      <c r="P9" s="5">
        <f>IF(Datos_Crudos!P9="","",Datos_Crudos!P9*25)</f>
        <v/>
      </c>
      <c r="Q9" s="5">
        <f>IF(Datos_Crudos!Q9="","",Datos_Crudos!Q9*25)</f>
        <v/>
      </c>
      <c r="R9" s="5">
        <f>IF(Datos_Crudos!R9="","",Datos_Crudos!R9*25)</f>
        <v/>
      </c>
      <c r="S9" s="5">
        <f>IF(Datos_Crudos!S9="","",Datos_Crudos!S9*25)</f>
        <v/>
      </c>
      <c r="T9" s="5">
        <f>IF(Datos_Crudos!T9="","",Datos_Crudos!T9*25)</f>
        <v/>
      </c>
      <c r="U9" s="5">
        <f>IF(Datos_Crudos!U9="","",Datos_Crudos!U9*25)</f>
        <v/>
      </c>
      <c r="V9" s="5">
        <f>IF(Datos_Crudos!V9="","",Datos_Crudos!V9*25)</f>
        <v/>
      </c>
      <c r="W9" s="5">
        <f>IF(Datos_Crudos!W9="","",Datos_Crudos!W9*25)</f>
        <v/>
      </c>
      <c r="X9" s="5">
        <f>IF(Datos_Crudos!X9="","",Datos_Crudos!X9*25)</f>
        <v/>
      </c>
      <c r="Y9" s="5">
        <f>IF(Datos_Crudos!Y9="","",Datos_Crudos!Y9*25)</f>
        <v/>
      </c>
      <c r="Z9" s="5">
        <f>IF(Datos_Crudos!Z9="","",Datos_Crudos!Z9*25)</f>
        <v/>
      </c>
      <c r="AA9" s="5">
        <f>IF(Datos_Crudos!AA9="","",Datos_Crudos!AA9*25)</f>
        <v/>
      </c>
      <c r="AB9" s="5">
        <f>IF(Datos_Crudos!AB9="","",Datos_Crudos!AB9*25)</f>
        <v/>
      </c>
      <c r="AC9" s="5">
        <f>IF(Datos_Crudos!AC9="","",Datos_Crudos!AC9*25)</f>
        <v/>
      </c>
      <c r="AD9" s="5">
        <f>IF(Datos_Crudos!AD9="","",Datos_Crudos!AD9*25)</f>
        <v/>
      </c>
      <c r="AE9" s="5">
        <f>IF(Datos_Crudos!AE9="","",Datos_Crudos!AE9*25)</f>
        <v/>
      </c>
      <c r="AF9" s="5">
        <f>IF(Datos_Crudos!AF9="","",Datos_Crudos!AF9*25)</f>
        <v/>
      </c>
      <c r="AG9" s="5">
        <f>IF(Datos_Crudos!AG9="","",Datos_Crudos!AG9*25)</f>
        <v/>
      </c>
      <c r="AH9" s="5">
        <f>IF(Datos_Crudos!AH9="","",Datos_Crudos!AH9*25)</f>
        <v/>
      </c>
      <c r="AI9" s="5">
        <f>Datos_Crudos!AI9</f>
        <v/>
      </c>
      <c r="AJ9" s="5">
        <f>IF(Datos_Crudos!AJ9="","",Datos_Crudos!AJ9*25)</f>
        <v/>
      </c>
      <c r="AK9" s="5">
        <f>IF(Datos_Crudos!AK9="","",Datos_Crudos!AK9*25)</f>
        <v/>
      </c>
      <c r="AL9" s="5">
        <f>IF(Datos_Crudos!AL9="","",Datos_Crudos!AL9*25)</f>
        <v/>
      </c>
      <c r="AM9" s="5">
        <f>IF(Datos_Crudos!AM9="","",Datos_Crudos!AM9*25)</f>
        <v/>
      </c>
      <c r="AN9" s="5">
        <f>IF(Datos_Crudos!AN9="","",Datos_Crudos!AN9*25)</f>
        <v/>
      </c>
      <c r="AO9" s="4" t="n"/>
      <c r="AP9" s="4" t="n"/>
      <c r="AQ9" s="4" t="n"/>
      <c r="AR9" s="4" t="n"/>
      <c r="AS9" s="5">
        <f>IF(Datos_Crudos!AS9="","",Datos_Crudos!AS9*25)</f>
        <v/>
      </c>
      <c r="AT9" s="5">
        <f>IF(Datos_Crudos!AT9="","",Datos_Crudos!AT9*25)</f>
        <v/>
      </c>
      <c r="AU9" s="4" t="n"/>
      <c r="AV9" s="4" t="n"/>
      <c r="AW9" s="4" t="n"/>
      <c r="AX9" s="4" t="n"/>
      <c r="AY9" s="4" t="n"/>
      <c r="AZ9" s="5">
        <f>Datos_Crudos!AZ9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6" customWidth="1" min="31" max="31"/>
  </cols>
  <sheetData>
    <row r="1" ht="34" customHeight="1">
      <c r="A1" s="1" t="inlineStr">
        <is>
          <t>Organizacion</t>
        </is>
      </c>
      <c r="B1" s="1" t="inlineStr">
        <is>
          <t>D1_pct</t>
        </is>
      </c>
      <c r="C1" s="1" t="inlineStr">
        <is>
          <t>D2_pct</t>
        </is>
      </c>
      <c r="D1" s="1" t="inlineStr">
        <is>
          <t>D2_9_pct</t>
        </is>
      </c>
      <c r="E1" s="1" t="inlineStr">
        <is>
          <t>D2_10_raw</t>
        </is>
      </c>
      <c r="F1" s="1" t="inlineStr">
        <is>
          <t>D2_10_flag</t>
        </is>
      </c>
      <c r="G1" s="1" t="inlineStr">
        <is>
          <t>D3_pct</t>
        </is>
      </c>
      <c r="H1" s="1" t="inlineStr">
        <is>
          <t>D3_14_pct</t>
        </is>
      </c>
      <c r="I1" s="1" t="inlineStr">
        <is>
          <t>D4_pct</t>
        </is>
      </c>
      <c r="J1" s="1" t="inlineStr">
        <is>
          <t>D5_pct</t>
        </is>
      </c>
      <c r="K1" s="1" t="inlineStr">
        <is>
          <t>D6_pct</t>
        </is>
      </c>
      <c r="L1" s="1" t="inlineStr">
        <is>
          <t>D6_sistemas_pct</t>
        </is>
      </c>
      <c r="M1" s="1" t="inlineStr">
        <is>
          <t>D6_23_pct</t>
        </is>
      </c>
      <c r="N1" s="1" t="inlineStr">
        <is>
          <t>D6_24_pct</t>
        </is>
      </c>
      <c r="O1" s="1" t="inlineStr">
        <is>
          <t>D7_pct</t>
        </is>
      </c>
      <c r="P1" s="1" t="inlineStr">
        <is>
          <t>D7_28_urgencia</t>
        </is>
      </c>
      <c r="Q1" s="1" t="inlineStr">
        <is>
          <t>D8_pct</t>
        </is>
      </c>
      <c r="R1" s="1" t="inlineStr">
        <is>
          <t>D8_31_32_pct</t>
        </is>
      </c>
      <c r="S1" s="1" t="inlineStr">
        <is>
          <t>D9_pct</t>
        </is>
      </c>
      <c r="T1" s="1" t="inlineStr">
        <is>
          <t>D11_pct</t>
        </is>
      </c>
      <c r="U1" s="1" t="inlineStr">
        <is>
          <t>Cert_recod</t>
        </is>
      </c>
      <c r="V1" s="1" t="inlineStr">
        <is>
          <t>Dispersion_pct</t>
        </is>
      </c>
      <c r="W1" s="1" t="inlineStr">
        <is>
          <t>Distancia_pct</t>
        </is>
      </c>
      <c r="X1" s="1" t="inlineStr">
        <is>
          <t>TamanoParcela_ratio</t>
        </is>
      </c>
      <c r="Y1" s="1" t="inlineStr">
        <is>
          <t>TamanoParcela_norm</t>
        </is>
      </c>
      <c r="Z1" s="1" t="inlineStr">
        <is>
          <t>PctUE</t>
        </is>
      </c>
      <c r="AA1" s="1" t="inlineStr">
        <is>
          <t>ConcentracionCompradores</t>
        </is>
      </c>
      <c r="AB1" s="1" t="inlineStr">
        <is>
          <t>D10_36_raw</t>
        </is>
      </c>
      <c r="AC1" s="1" t="inlineStr">
        <is>
          <t>Alerta_D10</t>
        </is>
      </c>
      <c r="AD1" s="1" t="inlineStr">
        <is>
          <t>D10_37_raw</t>
        </is>
      </c>
      <c r="AE1" s="1" t="inlineStr">
        <is>
          <t>MujeresDirectiva_pct</t>
        </is>
      </c>
    </row>
    <row r="2">
      <c r="A2" s="4">
        <f>Datos_Crudos!A2</f>
        <v/>
      </c>
      <c r="B2" s="5">
        <f>IFERROR(AVERAGE(Items_Normalizados!C2,Items_Normalizados!D2,Items_Normalizados!E2,Items_Normalizados!F2),"")</f>
        <v/>
      </c>
      <c r="C2" s="5">
        <f>IFERROR(AVERAGE(Items_Normalizados!G2,Items_Normalizados!H2,Items_Normalizados!I2,Items_Normalizados!J2,Items_Normalizados!K2),"")</f>
        <v/>
      </c>
      <c r="D2" s="5">
        <f>Items_Normalizados!K2</f>
        <v/>
      </c>
      <c r="E2" s="5">
        <f>Datos_Crudos!L2</f>
        <v/>
      </c>
      <c r="F2" s="6">
        <f>IF(Datos_Crudos!L2="","(sin dato)",IF(Datos_Crudos!L2&lt;=1,"ALERTA: mezcla sin control","OK"))</f>
        <v/>
      </c>
      <c r="G2" s="5">
        <f>IFERROR(AVERAGE(Items_Normalizados!M2,Items_Normalizados!N2,Items_Normalizados!O2,Items_Normalizados!Q2,Items_Normalizados!R2,Items_Normalizados!S2),"")</f>
        <v/>
      </c>
      <c r="H2" s="5">
        <f>Items_Normalizados!P2</f>
        <v/>
      </c>
      <c r="I2" s="5">
        <f>IFERROR(AVERAGE(Items_Normalizados!T2,Items_Normalizados!U2,Items_Normalizados!V2),"")</f>
        <v/>
      </c>
      <c r="J2" s="5">
        <f>IFERROR(AVERAGE(Items_Normalizados!W2,Items_Normalizados!X2,Items_Normalizados!Y2,Items_Normalizados!Z2),"")</f>
        <v/>
      </c>
      <c r="K2" s="5">
        <f>IFERROR(AVERAGE(Items_Normalizados!AA2,Items_Normalizados!AB2,Items_Normalizados!AC2,Items_Normalizados!AD2),"")</f>
        <v/>
      </c>
      <c r="L2" s="5">
        <f>IFERROR(AVERAGE(Items_Normalizados!AA2,Items_Normalizados!AD2),"")</f>
        <v/>
      </c>
      <c r="M2" s="5">
        <f>Items_Normalizados!AB2</f>
        <v/>
      </c>
      <c r="N2" s="5">
        <f>Items_Normalizados!AC2</f>
        <v/>
      </c>
      <c r="O2" s="5">
        <f>IFERROR(AVERAGE(Items_Normalizados!AE2,Items_Normalizados!AF2),"")</f>
        <v/>
      </c>
      <c r="P2" s="5">
        <f>Items_Normalizados!AG2</f>
        <v/>
      </c>
      <c r="Q2" s="5">
        <f>IFERROR(AVERAGE(Items_Normalizados!AH2,Items_Normalizados!AI2,Items_Normalizados!AJ2,Items_Normalizados!AK2),"")</f>
        <v/>
      </c>
      <c r="R2" s="5">
        <f>IFERROR(AVERAGE(Items_Normalizados!AJ2,Items_Normalizados!AK2),"")</f>
        <v/>
      </c>
      <c r="S2" s="5">
        <f>IFERROR(AVERAGE(Items_Normalizados!AL2,Items_Normalizados!AM2,Items_Normalizados!AN2),"")</f>
        <v/>
      </c>
      <c r="T2" s="5">
        <f>IFERROR(Datos_Crudos!AQ2/7*100,"")</f>
        <v/>
      </c>
      <c r="U2" s="5">
        <f>IF(Datos_Crudos!AR2&gt;=3,100,IF(Datos_Crudos!AR2=2,66,IF(Datos_Crudos!AR2=1,33,0)))</f>
        <v/>
      </c>
      <c r="V2" s="5">
        <f>Items_Normalizados!AS2</f>
        <v/>
      </c>
      <c r="W2" s="5">
        <f>Items_Normalizados!AT2</f>
        <v/>
      </c>
      <c r="X2" s="5">
        <f>IFERROR(Datos_Crudos!AV2/Datos_Crudos!AU2,"")</f>
        <v/>
      </c>
      <c r="Y2" s="5">
        <f>IFERROR((X2-MIN($X$2:$X$9))/(MAX($X$2:$X$9)-MIN($X$2:$X$9))*100,50)</f>
        <v/>
      </c>
      <c r="Z2" s="5">
        <f>IFERROR(Datos_Crudos!AW2/Datos_Crudos!AX2*100,"")</f>
        <v/>
      </c>
      <c r="AA2" s="5">
        <f>IFERROR(MIN(100,100/Datos_Crudos!AY2),100)</f>
        <v/>
      </c>
      <c r="AB2" s="5">
        <f>Datos_Crudos!AO2</f>
        <v/>
      </c>
      <c r="AC2" s="6">
        <f>IF(AB2="Si, totalmente","ALERTA: falsa seguridad","OK")</f>
        <v/>
      </c>
      <c r="AD2" s="5">
        <f>Datos_Crudos!AP2</f>
        <v/>
      </c>
      <c r="AE2" s="5">
        <f>Items_Normalizados!AZ2</f>
        <v/>
      </c>
    </row>
    <row r="3">
      <c r="A3" s="4">
        <f>Datos_Crudos!A3</f>
        <v/>
      </c>
      <c r="B3" s="5">
        <f>IFERROR(AVERAGE(Items_Normalizados!C3,Items_Normalizados!D3,Items_Normalizados!E3,Items_Normalizados!F3),"")</f>
        <v/>
      </c>
      <c r="C3" s="5">
        <f>IFERROR(AVERAGE(Items_Normalizados!G3,Items_Normalizados!H3,Items_Normalizados!I3,Items_Normalizados!J3,Items_Normalizados!K3),"")</f>
        <v/>
      </c>
      <c r="D3" s="5">
        <f>Items_Normalizados!K3</f>
        <v/>
      </c>
      <c r="E3" s="5">
        <f>Datos_Crudos!L3</f>
        <v/>
      </c>
      <c r="F3" s="6">
        <f>IF(Datos_Crudos!L3="","(sin dato)",IF(Datos_Crudos!L3&lt;=1,"ALERTA: mezcla sin control","OK"))</f>
        <v/>
      </c>
      <c r="G3" s="5">
        <f>IFERROR(AVERAGE(Items_Normalizados!M3,Items_Normalizados!N3,Items_Normalizados!O3,Items_Normalizados!Q3,Items_Normalizados!R3,Items_Normalizados!S3),"")</f>
        <v/>
      </c>
      <c r="H3" s="5">
        <f>Items_Normalizados!P3</f>
        <v/>
      </c>
      <c r="I3" s="5">
        <f>IFERROR(AVERAGE(Items_Normalizados!T3,Items_Normalizados!U3,Items_Normalizados!V3),"")</f>
        <v/>
      </c>
      <c r="J3" s="5">
        <f>IFERROR(AVERAGE(Items_Normalizados!W3,Items_Normalizados!X3,Items_Normalizados!Y3,Items_Normalizados!Z3),"")</f>
        <v/>
      </c>
      <c r="K3" s="5">
        <f>IFERROR(AVERAGE(Items_Normalizados!AA3,Items_Normalizados!AB3,Items_Normalizados!AC3,Items_Normalizados!AD3),"")</f>
        <v/>
      </c>
      <c r="L3" s="5">
        <f>IFERROR(AVERAGE(Items_Normalizados!AA3,Items_Normalizados!AD3),"")</f>
        <v/>
      </c>
      <c r="M3" s="5">
        <f>Items_Normalizados!AB3</f>
        <v/>
      </c>
      <c r="N3" s="5">
        <f>Items_Normalizados!AC3</f>
        <v/>
      </c>
      <c r="O3" s="5">
        <f>IFERROR(AVERAGE(Items_Normalizados!AE3,Items_Normalizados!AF3),"")</f>
        <v/>
      </c>
      <c r="P3" s="5">
        <f>Items_Normalizados!AG3</f>
        <v/>
      </c>
      <c r="Q3" s="5">
        <f>IFERROR(AVERAGE(Items_Normalizados!AH3,Items_Normalizados!AI3,Items_Normalizados!AJ3,Items_Normalizados!AK3),"")</f>
        <v/>
      </c>
      <c r="R3" s="5">
        <f>IFERROR(AVERAGE(Items_Normalizados!AJ3,Items_Normalizados!AK3),"")</f>
        <v/>
      </c>
      <c r="S3" s="5">
        <f>IFERROR(AVERAGE(Items_Normalizados!AL3,Items_Normalizados!AM3,Items_Normalizados!AN3),"")</f>
        <v/>
      </c>
      <c r="T3" s="5">
        <f>IFERROR(Datos_Crudos!AQ3/7*100,"")</f>
        <v/>
      </c>
      <c r="U3" s="5">
        <f>IF(Datos_Crudos!AR3&gt;=3,100,IF(Datos_Crudos!AR3=2,66,IF(Datos_Crudos!AR3=1,33,0)))</f>
        <v/>
      </c>
      <c r="V3" s="5">
        <f>Items_Normalizados!AS3</f>
        <v/>
      </c>
      <c r="W3" s="5">
        <f>Items_Normalizados!AT3</f>
        <v/>
      </c>
      <c r="X3" s="5">
        <f>IFERROR(Datos_Crudos!AV3/Datos_Crudos!AU3,"")</f>
        <v/>
      </c>
      <c r="Y3" s="5">
        <f>IFERROR((X3-MIN($X$2:$X$9))/(MAX($X$2:$X$9)-MIN($X$2:$X$9))*100,50)</f>
        <v/>
      </c>
      <c r="Z3" s="5">
        <f>IFERROR(Datos_Crudos!AW3/Datos_Crudos!AX3*100,"")</f>
        <v/>
      </c>
      <c r="AA3" s="5">
        <f>IFERROR(MIN(100,100/Datos_Crudos!AY3),100)</f>
        <v/>
      </c>
      <c r="AB3" s="5">
        <f>Datos_Crudos!AO3</f>
        <v/>
      </c>
      <c r="AC3" s="6">
        <f>IF(AB3="Si, totalmente","ALERTA: falsa seguridad","OK")</f>
        <v/>
      </c>
      <c r="AD3" s="5">
        <f>Datos_Crudos!AP3</f>
        <v/>
      </c>
      <c r="AE3" s="5">
        <f>Items_Normalizados!AZ3</f>
        <v/>
      </c>
    </row>
    <row r="4">
      <c r="A4" s="4">
        <f>Datos_Crudos!A4</f>
        <v/>
      </c>
      <c r="B4" s="5">
        <f>IFERROR(AVERAGE(Items_Normalizados!C4,Items_Normalizados!D4,Items_Normalizados!E4,Items_Normalizados!F4),"")</f>
        <v/>
      </c>
      <c r="C4" s="5">
        <f>IFERROR(AVERAGE(Items_Normalizados!G4,Items_Normalizados!H4,Items_Normalizados!I4,Items_Normalizados!J4,Items_Normalizados!K4),"")</f>
        <v/>
      </c>
      <c r="D4" s="5">
        <f>Items_Normalizados!K4</f>
        <v/>
      </c>
      <c r="E4" s="5">
        <f>Datos_Crudos!L4</f>
        <v/>
      </c>
      <c r="F4" s="6">
        <f>IF(Datos_Crudos!L4="","(sin dato)",IF(Datos_Crudos!L4&lt;=1,"ALERTA: mezcla sin control","OK"))</f>
        <v/>
      </c>
      <c r="G4" s="5">
        <f>IFERROR(AVERAGE(Items_Normalizados!M4,Items_Normalizados!N4,Items_Normalizados!O4,Items_Normalizados!Q4,Items_Normalizados!R4,Items_Normalizados!S4),"")</f>
        <v/>
      </c>
      <c r="H4" s="5">
        <f>Items_Normalizados!P4</f>
        <v/>
      </c>
      <c r="I4" s="5">
        <f>IFERROR(AVERAGE(Items_Normalizados!T4,Items_Normalizados!U4,Items_Normalizados!V4),"")</f>
        <v/>
      </c>
      <c r="J4" s="5">
        <f>IFERROR(AVERAGE(Items_Normalizados!W4,Items_Normalizados!X4,Items_Normalizados!Y4,Items_Normalizados!Z4),"")</f>
        <v/>
      </c>
      <c r="K4" s="5">
        <f>IFERROR(AVERAGE(Items_Normalizados!AA4,Items_Normalizados!AB4,Items_Normalizados!AC4,Items_Normalizados!AD4),"")</f>
        <v/>
      </c>
      <c r="L4" s="5">
        <f>IFERROR(AVERAGE(Items_Normalizados!AA4,Items_Normalizados!AD4),"")</f>
        <v/>
      </c>
      <c r="M4" s="5">
        <f>Items_Normalizados!AB4</f>
        <v/>
      </c>
      <c r="N4" s="5">
        <f>Items_Normalizados!AC4</f>
        <v/>
      </c>
      <c r="O4" s="5">
        <f>IFERROR(AVERAGE(Items_Normalizados!AE4,Items_Normalizados!AF4),"")</f>
        <v/>
      </c>
      <c r="P4" s="5">
        <f>Items_Normalizados!AG4</f>
        <v/>
      </c>
      <c r="Q4" s="5">
        <f>IFERROR(AVERAGE(Items_Normalizados!AH4,Items_Normalizados!AI4,Items_Normalizados!AJ4,Items_Normalizados!AK4),"")</f>
        <v/>
      </c>
      <c r="R4" s="5">
        <f>IFERROR(AVERAGE(Items_Normalizados!AJ4,Items_Normalizados!AK4),"")</f>
        <v/>
      </c>
      <c r="S4" s="5">
        <f>IFERROR(AVERAGE(Items_Normalizados!AL4,Items_Normalizados!AM4,Items_Normalizados!AN4),"")</f>
        <v/>
      </c>
      <c r="T4" s="5">
        <f>IFERROR(Datos_Crudos!AQ4/7*100,"")</f>
        <v/>
      </c>
      <c r="U4" s="5">
        <f>IF(Datos_Crudos!AR4&gt;=3,100,IF(Datos_Crudos!AR4=2,66,IF(Datos_Crudos!AR4=1,33,0)))</f>
        <v/>
      </c>
      <c r="V4" s="5">
        <f>Items_Normalizados!AS4</f>
        <v/>
      </c>
      <c r="W4" s="5">
        <f>Items_Normalizados!AT4</f>
        <v/>
      </c>
      <c r="X4" s="5">
        <f>IFERROR(Datos_Crudos!AV4/Datos_Crudos!AU4,"")</f>
        <v/>
      </c>
      <c r="Y4" s="5">
        <f>IFERROR((X4-MIN($X$2:$X$9))/(MAX($X$2:$X$9)-MIN($X$2:$X$9))*100,50)</f>
        <v/>
      </c>
      <c r="Z4" s="5">
        <f>IFERROR(Datos_Crudos!AW4/Datos_Crudos!AX4*100,"")</f>
        <v/>
      </c>
      <c r="AA4" s="5">
        <f>IFERROR(MIN(100,100/Datos_Crudos!AY4),100)</f>
        <v/>
      </c>
      <c r="AB4" s="5">
        <f>Datos_Crudos!AO4</f>
        <v/>
      </c>
      <c r="AC4" s="6">
        <f>IF(AB4="Si, totalmente","ALERTA: falsa seguridad","OK")</f>
        <v/>
      </c>
      <c r="AD4" s="5">
        <f>Datos_Crudos!AP4</f>
        <v/>
      </c>
      <c r="AE4" s="5">
        <f>Items_Normalizados!AZ4</f>
        <v/>
      </c>
    </row>
    <row r="5">
      <c r="A5" s="4">
        <f>Datos_Crudos!A5</f>
        <v/>
      </c>
      <c r="B5" s="5">
        <f>IFERROR(AVERAGE(Items_Normalizados!C5,Items_Normalizados!D5,Items_Normalizados!E5,Items_Normalizados!F5),"")</f>
        <v/>
      </c>
      <c r="C5" s="5">
        <f>IFERROR(AVERAGE(Items_Normalizados!G5,Items_Normalizados!H5,Items_Normalizados!I5,Items_Normalizados!J5,Items_Normalizados!K5),"")</f>
        <v/>
      </c>
      <c r="D5" s="5">
        <f>Items_Normalizados!K5</f>
        <v/>
      </c>
      <c r="E5" s="5">
        <f>Datos_Crudos!L5</f>
        <v/>
      </c>
      <c r="F5" s="6">
        <f>IF(Datos_Crudos!L5="","(sin dato)",IF(Datos_Crudos!L5&lt;=1,"ALERTA: mezcla sin control","OK"))</f>
        <v/>
      </c>
      <c r="G5" s="5">
        <f>IFERROR(AVERAGE(Items_Normalizados!M5,Items_Normalizados!N5,Items_Normalizados!O5,Items_Normalizados!Q5,Items_Normalizados!R5,Items_Normalizados!S5),"")</f>
        <v/>
      </c>
      <c r="H5" s="5">
        <f>Items_Normalizados!P5</f>
        <v/>
      </c>
      <c r="I5" s="5">
        <f>IFERROR(AVERAGE(Items_Normalizados!T5,Items_Normalizados!U5,Items_Normalizados!V5),"")</f>
        <v/>
      </c>
      <c r="J5" s="5">
        <f>IFERROR(AVERAGE(Items_Normalizados!W5,Items_Normalizados!X5,Items_Normalizados!Y5,Items_Normalizados!Z5),"")</f>
        <v/>
      </c>
      <c r="K5" s="5">
        <f>IFERROR(AVERAGE(Items_Normalizados!AA5,Items_Normalizados!AB5,Items_Normalizados!AC5,Items_Normalizados!AD5),"")</f>
        <v/>
      </c>
      <c r="L5" s="5">
        <f>IFERROR(AVERAGE(Items_Normalizados!AA5,Items_Normalizados!AD5),"")</f>
        <v/>
      </c>
      <c r="M5" s="5">
        <f>Items_Normalizados!AB5</f>
        <v/>
      </c>
      <c r="N5" s="5">
        <f>Items_Normalizados!AC5</f>
        <v/>
      </c>
      <c r="O5" s="5">
        <f>IFERROR(AVERAGE(Items_Normalizados!AE5,Items_Normalizados!AF5),"")</f>
        <v/>
      </c>
      <c r="P5" s="5">
        <f>Items_Normalizados!AG5</f>
        <v/>
      </c>
      <c r="Q5" s="5">
        <f>IFERROR(AVERAGE(Items_Normalizados!AH5,Items_Normalizados!AI5,Items_Normalizados!AJ5,Items_Normalizados!AK5),"")</f>
        <v/>
      </c>
      <c r="R5" s="5">
        <f>IFERROR(AVERAGE(Items_Normalizados!AJ5,Items_Normalizados!AK5),"")</f>
        <v/>
      </c>
      <c r="S5" s="5">
        <f>IFERROR(AVERAGE(Items_Normalizados!AL5,Items_Normalizados!AM5,Items_Normalizados!AN5),"")</f>
        <v/>
      </c>
      <c r="T5" s="5">
        <f>IFERROR(Datos_Crudos!AQ5/7*100,"")</f>
        <v/>
      </c>
      <c r="U5" s="5">
        <f>IF(Datos_Crudos!AR5&gt;=3,100,IF(Datos_Crudos!AR5=2,66,IF(Datos_Crudos!AR5=1,33,0)))</f>
        <v/>
      </c>
      <c r="V5" s="5">
        <f>Items_Normalizados!AS5</f>
        <v/>
      </c>
      <c r="W5" s="5">
        <f>Items_Normalizados!AT5</f>
        <v/>
      </c>
      <c r="X5" s="5">
        <f>IFERROR(Datos_Crudos!AV5/Datos_Crudos!AU5,"")</f>
        <v/>
      </c>
      <c r="Y5" s="5">
        <f>IFERROR((X5-MIN($X$2:$X$9))/(MAX($X$2:$X$9)-MIN($X$2:$X$9))*100,50)</f>
        <v/>
      </c>
      <c r="Z5" s="5">
        <f>IFERROR(Datos_Crudos!AW5/Datos_Crudos!AX5*100,"")</f>
        <v/>
      </c>
      <c r="AA5" s="5">
        <f>IFERROR(MIN(100,100/Datos_Crudos!AY5),100)</f>
        <v/>
      </c>
      <c r="AB5" s="5">
        <f>Datos_Crudos!AO5</f>
        <v/>
      </c>
      <c r="AC5" s="6">
        <f>IF(AB5="Si, totalmente","ALERTA: falsa seguridad","OK")</f>
        <v/>
      </c>
      <c r="AD5" s="5">
        <f>Datos_Crudos!AP5</f>
        <v/>
      </c>
      <c r="AE5" s="5">
        <f>Items_Normalizados!AZ5</f>
        <v/>
      </c>
    </row>
    <row r="6">
      <c r="A6" s="4">
        <f>Datos_Crudos!A6</f>
        <v/>
      </c>
      <c r="B6" s="5">
        <f>IFERROR(AVERAGE(Items_Normalizados!C6,Items_Normalizados!D6,Items_Normalizados!E6,Items_Normalizados!F6),"")</f>
        <v/>
      </c>
      <c r="C6" s="5">
        <f>IFERROR(AVERAGE(Items_Normalizados!G6,Items_Normalizados!H6,Items_Normalizados!I6,Items_Normalizados!J6,Items_Normalizados!K6),"")</f>
        <v/>
      </c>
      <c r="D6" s="5">
        <f>Items_Normalizados!K6</f>
        <v/>
      </c>
      <c r="E6" s="5">
        <f>Datos_Crudos!L6</f>
        <v/>
      </c>
      <c r="F6" s="6">
        <f>IF(Datos_Crudos!L6="","(sin dato)",IF(Datos_Crudos!L6&lt;=1,"ALERTA: mezcla sin control","OK"))</f>
        <v/>
      </c>
      <c r="G6" s="5">
        <f>IFERROR(AVERAGE(Items_Normalizados!M6,Items_Normalizados!N6,Items_Normalizados!O6,Items_Normalizados!Q6,Items_Normalizados!R6,Items_Normalizados!S6),"")</f>
        <v/>
      </c>
      <c r="H6" s="5">
        <f>Items_Normalizados!P6</f>
        <v/>
      </c>
      <c r="I6" s="5">
        <f>IFERROR(AVERAGE(Items_Normalizados!T6,Items_Normalizados!U6,Items_Normalizados!V6),"")</f>
        <v/>
      </c>
      <c r="J6" s="5">
        <f>IFERROR(AVERAGE(Items_Normalizados!W6,Items_Normalizados!X6,Items_Normalizados!Y6,Items_Normalizados!Z6),"")</f>
        <v/>
      </c>
      <c r="K6" s="5">
        <f>IFERROR(AVERAGE(Items_Normalizados!AA6,Items_Normalizados!AB6,Items_Normalizados!AC6,Items_Normalizados!AD6),"")</f>
        <v/>
      </c>
      <c r="L6" s="5">
        <f>IFERROR(AVERAGE(Items_Normalizados!AA6,Items_Normalizados!AD6),"")</f>
        <v/>
      </c>
      <c r="M6" s="5">
        <f>Items_Normalizados!AB6</f>
        <v/>
      </c>
      <c r="N6" s="5">
        <f>Items_Normalizados!AC6</f>
        <v/>
      </c>
      <c r="O6" s="5">
        <f>IFERROR(AVERAGE(Items_Normalizados!AE6,Items_Normalizados!AF6),"")</f>
        <v/>
      </c>
      <c r="P6" s="5">
        <f>Items_Normalizados!AG6</f>
        <v/>
      </c>
      <c r="Q6" s="5">
        <f>IFERROR(AVERAGE(Items_Normalizados!AH6,Items_Normalizados!AI6,Items_Normalizados!AJ6,Items_Normalizados!AK6),"")</f>
        <v/>
      </c>
      <c r="R6" s="5">
        <f>IFERROR(AVERAGE(Items_Normalizados!AJ6,Items_Normalizados!AK6),"")</f>
        <v/>
      </c>
      <c r="S6" s="5">
        <f>IFERROR(AVERAGE(Items_Normalizados!AL6,Items_Normalizados!AM6,Items_Normalizados!AN6),"")</f>
        <v/>
      </c>
      <c r="T6" s="5">
        <f>IFERROR(Datos_Crudos!AQ6/7*100,"")</f>
        <v/>
      </c>
      <c r="U6" s="5">
        <f>IF(Datos_Crudos!AR6&gt;=3,100,IF(Datos_Crudos!AR6=2,66,IF(Datos_Crudos!AR6=1,33,0)))</f>
        <v/>
      </c>
      <c r="V6" s="5">
        <f>Items_Normalizados!AS6</f>
        <v/>
      </c>
      <c r="W6" s="5">
        <f>Items_Normalizados!AT6</f>
        <v/>
      </c>
      <c r="X6" s="5">
        <f>IFERROR(Datos_Crudos!AV6/Datos_Crudos!AU6,"")</f>
        <v/>
      </c>
      <c r="Y6" s="5">
        <f>IFERROR((X6-MIN($X$2:$X$9))/(MAX($X$2:$X$9)-MIN($X$2:$X$9))*100,50)</f>
        <v/>
      </c>
      <c r="Z6" s="5">
        <f>IFERROR(Datos_Crudos!AW6/Datos_Crudos!AX6*100,"")</f>
        <v/>
      </c>
      <c r="AA6" s="5">
        <f>IFERROR(MIN(100,100/Datos_Crudos!AY6),100)</f>
        <v/>
      </c>
      <c r="AB6" s="5">
        <f>Datos_Crudos!AO6</f>
        <v/>
      </c>
      <c r="AC6" s="6">
        <f>IF(AB6="Si, totalmente","ALERTA: falsa seguridad","OK")</f>
        <v/>
      </c>
      <c r="AD6" s="5">
        <f>Datos_Crudos!AP6</f>
        <v/>
      </c>
      <c r="AE6" s="5">
        <f>Items_Normalizados!AZ6</f>
        <v/>
      </c>
    </row>
    <row r="7">
      <c r="A7" s="4">
        <f>Datos_Crudos!A7</f>
        <v/>
      </c>
      <c r="B7" s="5">
        <f>IFERROR(AVERAGE(Items_Normalizados!C7,Items_Normalizados!D7,Items_Normalizados!E7,Items_Normalizados!F7),"")</f>
        <v/>
      </c>
      <c r="C7" s="5">
        <f>IFERROR(AVERAGE(Items_Normalizados!G7,Items_Normalizados!H7,Items_Normalizados!I7,Items_Normalizados!J7,Items_Normalizados!K7),"")</f>
        <v/>
      </c>
      <c r="D7" s="5">
        <f>Items_Normalizados!K7</f>
        <v/>
      </c>
      <c r="E7" s="5">
        <f>Datos_Crudos!L7</f>
        <v/>
      </c>
      <c r="F7" s="6">
        <f>IF(Datos_Crudos!L7="","(sin dato)",IF(Datos_Crudos!L7&lt;=1,"ALERTA: mezcla sin control","OK"))</f>
        <v/>
      </c>
      <c r="G7" s="5">
        <f>IFERROR(AVERAGE(Items_Normalizados!M7,Items_Normalizados!N7,Items_Normalizados!O7,Items_Normalizados!Q7,Items_Normalizados!R7,Items_Normalizados!S7),"")</f>
        <v/>
      </c>
      <c r="H7" s="5">
        <f>Items_Normalizados!P7</f>
        <v/>
      </c>
      <c r="I7" s="5">
        <f>IFERROR(AVERAGE(Items_Normalizados!T7,Items_Normalizados!U7,Items_Normalizados!V7),"")</f>
        <v/>
      </c>
      <c r="J7" s="5">
        <f>IFERROR(AVERAGE(Items_Normalizados!W7,Items_Normalizados!X7,Items_Normalizados!Y7,Items_Normalizados!Z7),"")</f>
        <v/>
      </c>
      <c r="K7" s="5">
        <f>IFERROR(AVERAGE(Items_Normalizados!AA7,Items_Normalizados!AB7,Items_Normalizados!AC7,Items_Normalizados!AD7),"")</f>
        <v/>
      </c>
      <c r="L7" s="5">
        <f>IFERROR(AVERAGE(Items_Normalizados!AA7,Items_Normalizados!AD7),"")</f>
        <v/>
      </c>
      <c r="M7" s="5">
        <f>Items_Normalizados!AB7</f>
        <v/>
      </c>
      <c r="N7" s="5">
        <f>Items_Normalizados!AC7</f>
        <v/>
      </c>
      <c r="O7" s="5">
        <f>IFERROR(AVERAGE(Items_Normalizados!AE7,Items_Normalizados!AF7),"")</f>
        <v/>
      </c>
      <c r="P7" s="5">
        <f>Items_Normalizados!AG7</f>
        <v/>
      </c>
      <c r="Q7" s="5">
        <f>IFERROR(AVERAGE(Items_Normalizados!AH7,Items_Normalizados!AI7,Items_Normalizados!AJ7,Items_Normalizados!AK7),"")</f>
        <v/>
      </c>
      <c r="R7" s="5">
        <f>IFERROR(AVERAGE(Items_Normalizados!AJ7,Items_Normalizados!AK7),"")</f>
        <v/>
      </c>
      <c r="S7" s="5">
        <f>IFERROR(AVERAGE(Items_Normalizados!AL7,Items_Normalizados!AM7,Items_Normalizados!AN7),"")</f>
        <v/>
      </c>
      <c r="T7" s="5">
        <f>IFERROR(Datos_Crudos!AQ7/7*100,"")</f>
        <v/>
      </c>
      <c r="U7" s="5">
        <f>IF(Datos_Crudos!AR7&gt;=3,100,IF(Datos_Crudos!AR7=2,66,IF(Datos_Crudos!AR7=1,33,0)))</f>
        <v/>
      </c>
      <c r="V7" s="5">
        <f>Items_Normalizados!AS7</f>
        <v/>
      </c>
      <c r="W7" s="5">
        <f>Items_Normalizados!AT7</f>
        <v/>
      </c>
      <c r="X7" s="5">
        <f>IFERROR(Datos_Crudos!AV7/Datos_Crudos!AU7,"")</f>
        <v/>
      </c>
      <c r="Y7" s="5">
        <f>IFERROR((X7-MIN($X$2:$X$9))/(MAX($X$2:$X$9)-MIN($X$2:$X$9))*100,50)</f>
        <v/>
      </c>
      <c r="Z7" s="5">
        <f>IFERROR(Datos_Crudos!AW7/Datos_Crudos!AX7*100,"")</f>
        <v/>
      </c>
      <c r="AA7" s="5">
        <f>IFERROR(MIN(100,100/Datos_Crudos!AY7),100)</f>
        <v/>
      </c>
      <c r="AB7" s="5">
        <f>Datos_Crudos!AO7</f>
        <v/>
      </c>
      <c r="AC7" s="6">
        <f>IF(AB7="Si, totalmente","ALERTA: falsa seguridad","OK")</f>
        <v/>
      </c>
      <c r="AD7" s="5">
        <f>Datos_Crudos!AP7</f>
        <v/>
      </c>
      <c r="AE7" s="5">
        <f>Items_Normalizados!AZ7</f>
        <v/>
      </c>
    </row>
    <row r="8">
      <c r="A8" s="4">
        <f>Datos_Crudos!A8</f>
        <v/>
      </c>
      <c r="B8" s="5">
        <f>IFERROR(AVERAGE(Items_Normalizados!C8,Items_Normalizados!D8,Items_Normalizados!E8,Items_Normalizados!F8),"")</f>
        <v/>
      </c>
      <c r="C8" s="5">
        <f>IFERROR(AVERAGE(Items_Normalizados!G8,Items_Normalizados!H8,Items_Normalizados!I8,Items_Normalizados!J8,Items_Normalizados!K8),"")</f>
        <v/>
      </c>
      <c r="D8" s="5">
        <f>Items_Normalizados!K8</f>
        <v/>
      </c>
      <c r="E8" s="5">
        <f>Datos_Crudos!L8</f>
        <v/>
      </c>
      <c r="F8" s="6">
        <f>IF(Datos_Crudos!L8="","(sin dato)",IF(Datos_Crudos!L8&lt;=1,"ALERTA: mezcla sin control","OK"))</f>
        <v/>
      </c>
      <c r="G8" s="5">
        <f>IFERROR(AVERAGE(Items_Normalizados!M8,Items_Normalizados!N8,Items_Normalizados!O8,Items_Normalizados!Q8,Items_Normalizados!R8,Items_Normalizados!S8),"")</f>
        <v/>
      </c>
      <c r="H8" s="5">
        <f>Items_Normalizados!P8</f>
        <v/>
      </c>
      <c r="I8" s="5">
        <f>IFERROR(AVERAGE(Items_Normalizados!T8,Items_Normalizados!U8,Items_Normalizados!V8),"")</f>
        <v/>
      </c>
      <c r="J8" s="5">
        <f>IFERROR(AVERAGE(Items_Normalizados!W8,Items_Normalizados!X8,Items_Normalizados!Y8,Items_Normalizados!Z8),"")</f>
        <v/>
      </c>
      <c r="K8" s="5">
        <f>IFERROR(AVERAGE(Items_Normalizados!AA8,Items_Normalizados!AB8,Items_Normalizados!AC8,Items_Normalizados!AD8),"")</f>
        <v/>
      </c>
      <c r="L8" s="5">
        <f>IFERROR(AVERAGE(Items_Normalizados!AA8,Items_Normalizados!AD8),"")</f>
        <v/>
      </c>
      <c r="M8" s="5">
        <f>Items_Normalizados!AB8</f>
        <v/>
      </c>
      <c r="N8" s="5">
        <f>Items_Normalizados!AC8</f>
        <v/>
      </c>
      <c r="O8" s="5">
        <f>IFERROR(AVERAGE(Items_Normalizados!AE8,Items_Normalizados!AF8),"")</f>
        <v/>
      </c>
      <c r="P8" s="5">
        <f>Items_Normalizados!AG8</f>
        <v/>
      </c>
      <c r="Q8" s="5">
        <f>IFERROR(AVERAGE(Items_Normalizados!AH8,Items_Normalizados!AI8,Items_Normalizados!AJ8,Items_Normalizados!AK8),"")</f>
        <v/>
      </c>
      <c r="R8" s="5">
        <f>IFERROR(AVERAGE(Items_Normalizados!AJ8,Items_Normalizados!AK8),"")</f>
        <v/>
      </c>
      <c r="S8" s="5">
        <f>IFERROR(AVERAGE(Items_Normalizados!AL8,Items_Normalizados!AM8,Items_Normalizados!AN8),"")</f>
        <v/>
      </c>
      <c r="T8" s="5">
        <f>IFERROR(Datos_Crudos!AQ8/7*100,"")</f>
        <v/>
      </c>
      <c r="U8" s="5">
        <f>IF(Datos_Crudos!AR8&gt;=3,100,IF(Datos_Crudos!AR8=2,66,IF(Datos_Crudos!AR8=1,33,0)))</f>
        <v/>
      </c>
      <c r="V8" s="5">
        <f>Items_Normalizados!AS8</f>
        <v/>
      </c>
      <c r="W8" s="5">
        <f>Items_Normalizados!AT8</f>
        <v/>
      </c>
      <c r="X8" s="5">
        <f>IFERROR(Datos_Crudos!AV8/Datos_Crudos!AU8,"")</f>
        <v/>
      </c>
      <c r="Y8" s="5">
        <f>IFERROR((X8-MIN($X$2:$X$9))/(MAX($X$2:$X$9)-MIN($X$2:$X$9))*100,50)</f>
        <v/>
      </c>
      <c r="Z8" s="5">
        <f>IFERROR(Datos_Crudos!AW8/Datos_Crudos!AX8*100,"")</f>
        <v/>
      </c>
      <c r="AA8" s="5">
        <f>IFERROR(MIN(100,100/Datos_Crudos!AY8),100)</f>
        <v/>
      </c>
      <c r="AB8" s="5">
        <f>Datos_Crudos!AO8</f>
        <v/>
      </c>
      <c r="AC8" s="6">
        <f>IF(AB8="Si, totalmente","ALERTA: falsa seguridad","OK")</f>
        <v/>
      </c>
      <c r="AD8" s="5">
        <f>Datos_Crudos!AP8</f>
        <v/>
      </c>
      <c r="AE8" s="5">
        <f>Items_Normalizados!AZ8</f>
        <v/>
      </c>
    </row>
    <row r="9">
      <c r="A9" s="4">
        <f>Datos_Crudos!A9</f>
        <v/>
      </c>
      <c r="B9" s="5">
        <f>IFERROR(AVERAGE(Items_Normalizados!C9,Items_Normalizados!D9,Items_Normalizados!E9,Items_Normalizados!F9),"")</f>
        <v/>
      </c>
      <c r="C9" s="5">
        <f>IFERROR(AVERAGE(Items_Normalizados!G9,Items_Normalizados!H9,Items_Normalizados!I9,Items_Normalizados!J9,Items_Normalizados!K9),"")</f>
        <v/>
      </c>
      <c r="D9" s="5">
        <f>Items_Normalizados!K9</f>
        <v/>
      </c>
      <c r="E9" s="5">
        <f>Datos_Crudos!L9</f>
        <v/>
      </c>
      <c r="F9" s="6">
        <f>IF(Datos_Crudos!L9="","(sin dato)",IF(Datos_Crudos!L9&lt;=1,"ALERTA: mezcla sin control","OK"))</f>
        <v/>
      </c>
      <c r="G9" s="5">
        <f>IFERROR(AVERAGE(Items_Normalizados!M9,Items_Normalizados!N9,Items_Normalizados!O9,Items_Normalizados!Q9,Items_Normalizados!R9,Items_Normalizados!S9),"")</f>
        <v/>
      </c>
      <c r="H9" s="5">
        <f>Items_Normalizados!P9</f>
        <v/>
      </c>
      <c r="I9" s="5">
        <f>IFERROR(AVERAGE(Items_Normalizados!T9,Items_Normalizados!U9,Items_Normalizados!V9),"")</f>
        <v/>
      </c>
      <c r="J9" s="5">
        <f>IFERROR(AVERAGE(Items_Normalizados!W9,Items_Normalizados!X9,Items_Normalizados!Y9,Items_Normalizados!Z9),"")</f>
        <v/>
      </c>
      <c r="K9" s="5">
        <f>IFERROR(AVERAGE(Items_Normalizados!AA9,Items_Normalizados!AB9,Items_Normalizados!AC9,Items_Normalizados!AD9),"")</f>
        <v/>
      </c>
      <c r="L9" s="5">
        <f>IFERROR(AVERAGE(Items_Normalizados!AA9,Items_Normalizados!AD9),"")</f>
        <v/>
      </c>
      <c r="M9" s="5">
        <f>Items_Normalizados!AB9</f>
        <v/>
      </c>
      <c r="N9" s="5">
        <f>Items_Normalizados!AC9</f>
        <v/>
      </c>
      <c r="O9" s="5">
        <f>IFERROR(AVERAGE(Items_Normalizados!AE9,Items_Normalizados!AF9),"")</f>
        <v/>
      </c>
      <c r="P9" s="5">
        <f>Items_Normalizados!AG9</f>
        <v/>
      </c>
      <c r="Q9" s="5">
        <f>IFERROR(AVERAGE(Items_Normalizados!AH9,Items_Normalizados!AI9,Items_Normalizados!AJ9,Items_Normalizados!AK9),"")</f>
        <v/>
      </c>
      <c r="R9" s="5">
        <f>IFERROR(AVERAGE(Items_Normalizados!AJ9,Items_Normalizados!AK9),"")</f>
        <v/>
      </c>
      <c r="S9" s="5">
        <f>IFERROR(AVERAGE(Items_Normalizados!AL9,Items_Normalizados!AM9,Items_Normalizados!AN9),"")</f>
        <v/>
      </c>
      <c r="T9" s="5">
        <f>IFERROR(Datos_Crudos!AQ9/7*100,"")</f>
        <v/>
      </c>
      <c r="U9" s="5">
        <f>IF(Datos_Crudos!AR9&gt;=3,100,IF(Datos_Crudos!AR9=2,66,IF(Datos_Crudos!AR9=1,33,0)))</f>
        <v/>
      </c>
      <c r="V9" s="5">
        <f>Items_Normalizados!AS9</f>
        <v/>
      </c>
      <c r="W9" s="5">
        <f>Items_Normalizados!AT9</f>
        <v/>
      </c>
      <c r="X9" s="5">
        <f>IFERROR(Datos_Crudos!AV9/Datos_Crudos!AU9,"")</f>
        <v/>
      </c>
      <c r="Y9" s="5">
        <f>IFERROR((X9-MIN($X$2:$X$9))/(MAX($X$2:$X$9)-MIN($X$2:$X$9))*100,50)</f>
        <v/>
      </c>
      <c r="Z9" s="5">
        <f>IFERROR(Datos_Crudos!AW9/Datos_Crudos!AX9*100,"")</f>
        <v/>
      </c>
      <c r="AA9" s="5">
        <f>IFERROR(MIN(100,100/Datos_Crudos!AY9),100)</f>
        <v/>
      </c>
      <c r="AB9" s="5">
        <f>Datos_Crudos!AO9</f>
        <v/>
      </c>
      <c r="AC9" s="6">
        <f>IF(AB9="Si, totalmente","ALERTA: falsa seguridad","OK")</f>
        <v/>
      </c>
      <c r="AD9" s="5">
        <f>Datos_Crudos!AP9</f>
        <v/>
      </c>
      <c r="AE9" s="5">
        <f>Items_Normalizados!AZ9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showGridLines="0" workbookViewId="0">
      <selection activeCell="A1" sqref="A1"/>
    </sheetView>
  </sheetViews>
  <sheetFormatPr baseColWidth="8" defaultRowHeight="15"/>
  <cols>
    <col width="20" customWidth="1" min="1" max="1"/>
    <col width="20" customWidth="1" min="2" max="2"/>
    <col width="20" customWidth="1" min="3" max="3"/>
    <col width="16" customWidth="1" min="4" max="4"/>
    <col width="16" customWidth="1" min="5" max="5"/>
    <col width="14" customWidth="1" min="6" max="6"/>
    <col width="30" customWidth="1" min="7" max="7"/>
  </cols>
  <sheetData>
    <row r="1" ht="40" customHeight="1">
      <c r="A1" s="1" t="inlineStr">
        <is>
          <t>Organizacion</t>
        </is>
      </c>
      <c r="B1" s="1" t="inlineStr">
        <is>
          <t>Nucleo_D1D7 (geometrica)</t>
        </is>
      </c>
      <c r="C1" s="1" t="inlineStr">
        <is>
          <t>Extendido_D8D9 (aritmetica)</t>
        </is>
      </c>
      <c r="D1" s="1" t="inlineStr">
        <is>
          <t>N dimensiones nucleo con dato</t>
        </is>
      </c>
      <c r="E1" s="1" t="inlineStr">
        <is>
          <t>N dimensiones extendido con dato</t>
        </is>
      </c>
      <c r="F1" s="1" t="inlineStr">
        <is>
          <t>ISA final (0-100)</t>
        </is>
      </c>
      <c r="G1" s="1" t="inlineStr">
        <is>
          <t>Estado</t>
        </is>
      </c>
    </row>
    <row r="2">
      <c r="A2" s="4">
        <f>Datos_Crudos!A2</f>
        <v/>
      </c>
      <c r="B2" s="5">
        <f>IF(COUNT(Dimensiones!B2,Dimensiones!C2,Dimensiones!G2,Dimensiones!I2,Dimensiones!J2,Dimensiones!K2,Dimensiones!O2)=0,"",PRODUCT(Dimensiones!B2,Dimensiones!C2,Dimensiones!G2,Dimensiones!I2,Dimensiones!J2,Dimensiones!K2,Dimensiones!O2)^(1/COUNT(Dimensiones!B2,Dimensiones!C2,Dimensiones!G2,Dimensiones!I2,Dimensiones!J2,Dimensiones!K2,Dimensiones!O2)))</f>
        <v/>
      </c>
      <c r="C2" s="5">
        <f>IFERROR(AVERAGE(Dimensiones!Q2,Dimensiones!S2),"")</f>
        <v/>
      </c>
      <c r="D2" s="5">
        <f>COUNT(Dimensiones!B2,Dimensiones!C2,Dimensiones!G2,Dimensiones!I2,Dimensiones!J2,Dimensiones!K2,Dimensiones!O2)</f>
        <v/>
      </c>
      <c r="E2" s="5">
        <f>COUNT(Dimensiones!Q2,Dimensiones!S2)</f>
        <v/>
      </c>
      <c r="F2" s="5">
        <f>IF(B2="","",IF(D2=0,B2,0.875*B2+0.125*C2))</f>
        <v/>
      </c>
      <c r="G2" s="5">
        <f>IF(E2&gt;=6,"ISA numerico","Diagnostico incompleto (aproximacion, ver Leeme)")</f>
        <v/>
      </c>
    </row>
    <row r="3">
      <c r="A3" s="4">
        <f>Datos_Crudos!A3</f>
        <v/>
      </c>
      <c r="B3" s="5">
        <f>IF(COUNT(Dimensiones!B3,Dimensiones!C3,Dimensiones!G3,Dimensiones!I3,Dimensiones!J3,Dimensiones!K3,Dimensiones!O3)=0,"",PRODUCT(Dimensiones!B3,Dimensiones!C3,Dimensiones!G3,Dimensiones!I3,Dimensiones!J3,Dimensiones!K3,Dimensiones!O3)^(1/COUNT(Dimensiones!B3,Dimensiones!C3,Dimensiones!G3,Dimensiones!I3,Dimensiones!J3,Dimensiones!K3,Dimensiones!O3)))</f>
        <v/>
      </c>
      <c r="C3" s="5">
        <f>IFERROR(AVERAGE(Dimensiones!Q3,Dimensiones!S3),"")</f>
        <v/>
      </c>
      <c r="D3" s="5">
        <f>COUNT(Dimensiones!B3,Dimensiones!C3,Dimensiones!G3,Dimensiones!I3,Dimensiones!J3,Dimensiones!K3,Dimensiones!O3)</f>
        <v/>
      </c>
      <c r="E3" s="5">
        <f>COUNT(Dimensiones!Q3,Dimensiones!S3)</f>
        <v/>
      </c>
      <c r="F3" s="5">
        <f>IF(B3="","",IF(D3=0,B3,0.875*B3+0.125*C3))</f>
        <v/>
      </c>
      <c r="G3" s="5">
        <f>IF(E3&gt;=6,"ISA numerico","Diagnostico incompleto (aproximacion, ver Leeme)")</f>
        <v/>
      </c>
    </row>
    <row r="4">
      <c r="A4" s="4">
        <f>Datos_Crudos!A4</f>
        <v/>
      </c>
      <c r="B4" s="5">
        <f>IF(COUNT(Dimensiones!B4,Dimensiones!C4,Dimensiones!G4,Dimensiones!I4,Dimensiones!J4,Dimensiones!K4,Dimensiones!O4)=0,"",PRODUCT(Dimensiones!B4,Dimensiones!C4,Dimensiones!G4,Dimensiones!I4,Dimensiones!J4,Dimensiones!K4,Dimensiones!O4)^(1/COUNT(Dimensiones!B4,Dimensiones!C4,Dimensiones!G4,Dimensiones!I4,Dimensiones!J4,Dimensiones!K4,Dimensiones!O4)))</f>
        <v/>
      </c>
      <c r="C4" s="5">
        <f>IFERROR(AVERAGE(Dimensiones!Q4,Dimensiones!S4),"")</f>
        <v/>
      </c>
      <c r="D4" s="5">
        <f>COUNT(Dimensiones!B4,Dimensiones!C4,Dimensiones!G4,Dimensiones!I4,Dimensiones!J4,Dimensiones!K4,Dimensiones!O4)</f>
        <v/>
      </c>
      <c r="E4" s="5">
        <f>COUNT(Dimensiones!Q4,Dimensiones!S4)</f>
        <v/>
      </c>
      <c r="F4" s="5">
        <f>IF(B4="","",IF(D4=0,B4,0.875*B4+0.125*C4))</f>
        <v/>
      </c>
      <c r="G4" s="5">
        <f>IF(E4&gt;=6,"ISA numerico","Diagnostico incompleto (aproximacion, ver Leeme)")</f>
        <v/>
      </c>
    </row>
    <row r="5">
      <c r="A5" s="4">
        <f>Datos_Crudos!A5</f>
        <v/>
      </c>
      <c r="B5" s="5">
        <f>IF(COUNT(Dimensiones!B5,Dimensiones!C5,Dimensiones!G5,Dimensiones!I5,Dimensiones!J5,Dimensiones!K5,Dimensiones!O5)=0,"",PRODUCT(Dimensiones!B5,Dimensiones!C5,Dimensiones!G5,Dimensiones!I5,Dimensiones!J5,Dimensiones!K5,Dimensiones!O5)^(1/COUNT(Dimensiones!B5,Dimensiones!C5,Dimensiones!G5,Dimensiones!I5,Dimensiones!J5,Dimensiones!K5,Dimensiones!O5)))</f>
        <v/>
      </c>
      <c r="C5" s="5">
        <f>IFERROR(AVERAGE(Dimensiones!Q5,Dimensiones!S5),"")</f>
        <v/>
      </c>
      <c r="D5" s="5">
        <f>COUNT(Dimensiones!B5,Dimensiones!C5,Dimensiones!G5,Dimensiones!I5,Dimensiones!J5,Dimensiones!K5,Dimensiones!O5)</f>
        <v/>
      </c>
      <c r="E5" s="5">
        <f>COUNT(Dimensiones!Q5,Dimensiones!S5)</f>
        <v/>
      </c>
      <c r="F5" s="5">
        <f>IF(B5="","",IF(D5=0,B5,0.875*B5+0.125*C5))</f>
        <v/>
      </c>
      <c r="G5" s="5">
        <f>IF(E5&gt;=6,"ISA numerico","Diagnostico incompleto (aproximacion, ver Leeme)")</f>
        <v/>
      </c>
    </row>
    <row r="6">
      <c r="A6" s="4">
        <f>Datos_Crudos!A6</f>
        <v/>
      </c>
      <c r="B6" s="5">
        <f>IF(COUNT(Dimensiones!B6,Dimensiones!C6,Dimensiones!G6,Dimensiones!I6,Dimensiones!J6,Dimensiones!K6,Dimensiones!O6)=0,"",PRODUCT(Dimensiones!B6,Dimensiones!C6,Dimensiones!G6,Dimensiones!I6,Dimensiones!J6,Dimensiones!K6,Dimensiones!O6)^(1/COUNT(Dimensiones!B6,Dimensiones!C6,Dimensiones!G6,Dimensiones!I6,Dimensiones!J6,Dimensiones!K6,Dimensiones!O6)))</f>
        <v/>
      </c>
      <c r="C6" s="5">
        <f>IFERROR(AVERAGE(Dimensiones!Q6,Dimensiones!S6),"")</f>
        <v/>
      </c>
      <c r="D6" s="5">
        <f>COUNT(Dimensiones!B6,Dimensiones!C6,Dimensiones!G6,Dimensiones!I6,Dimensiones!J6,Dimensiones!K6,Dimensiones!O6)</f>
        <v/>
      </c>
      <c r="E6" s="5">
        <f>COUNT(Dimensiones!Q6,Dimensiones!S6)</f>
        <v/>
      </c>
      <c r="F6" s="5">
        <f>IF(B6="","",IF(D6=0,B6,0.875*B6+0.125*C6))</f>
        <v/>
      </c>
      <c r="G6" s="5">
        <f>IF(E6&gt;=6,"ISA numerico","Diagnostico incompleto (aproximacion, ver Leeme)")</f>
        <v/>
      </c>
    </row>
    <row r="7">
      <c r="A7" s="4">
        <f>Datos_Crudos!A7</f>
        <v/>
      </c>
      <c r="B7" s="5">
        <f>IF(COUNT(Dimensiones!B7,Dimensiones!C7,Dimensiones!G7,Dimensiones!I7,Dimensiones!J7,Dimensiones!K7,Dimensiones!O7)=0,"",PRODUCT(Dimensiones!B7,Dimensiones!C7,Dimensiones!G7,Dimensiones!I7,Dimensiones!J7,Dimensiones!K7,Dimensiones!O7)^(1/COUNT(Dimensiones!B7,Dimensiones!C7,Dimensiones!G7,Dimensiones!I7,Dimensiones!J7,Dimensiones!K7,Dimensiones!O7)))</f>
        <v/>
      </c>
      <c r="C7" s="5">
        <f>IFERROR(AVERAGE(Dimensiones!Q7,Dimensiones!S7),"")</f>
        <v/>
      </c>
      <c r="D7" s="5">
        <f>COUNT(Dimensiones!B7,Dimensiones!C7,Dimensiones!G7,Dimensiones!I7,Dimensiones!J7,Dimensiones!K7,Dimensiones!O7)</f>
        <v/>
      </c>
      <c r="E7" s="5">
        <f>COUNT(Dimensiones!Q7,Dimensiones!S7)</f>
        <v/>
      </c>
      <c r="F7" s="5">
        <f>IF(B7="","",IF(D7=0,B7,0.875*B7+0.125*C7))</f>
        <v/>
      </c>
      <c r="G7" s="5">
        <f>IF(E7&gt;=6,"ISA numerico","Diagnostico incompleto (aproximacion, ver Leeme)")</f>
        <v/>
      </c>
    </row>
    <row r="8">
      <c r="A8" s="4">
        <f>Datos_Crudos!A8</f>
        <v/>
      </c>
      <c r="B8" s="5">
        <f>IF(COUNT(Dimensiones!B8,Dimensiones!C8,Dimensiones!G8,Dimensiones!I8,Dimensiones!J8,Dimensiones!K8,Dimensiones!O8)=0,"",PRODUCT(Dimensiones!B8,Dimensiones!C8,Dimensiones!G8,Dimensiones!I8,Dimensiones!J8,Dimensiones!K8,Dimensiones!O8)^(1/COUNT(Dimensiones!B8,Dimensiones!C8,Dimensiones!G8,Dimensiones!I8,Dimensiones!J8,Dimensiones!K8,Dimensiones!O8)))</f>
        <v/>
      </c>
      <c r="C8" s="5">
        <f>IFERROR(AVERAGE(Dimensiones!Q8,Dimensiones!S8),"")</f>
        <v/>
      </c>
      <c r="D8" s="5">
        <f>COUNT(Dimensiones!B8,Dimensiones!C8,Dimensiones!G8,Dimensiones!I8,Dimensiones!J8,Dimensiones!K8,Dimensiones!O8)</f>
        <v/>
      </c>
      <c r="E8" s="5">
        <f>COUNT(Dimensiones!Q8,Dimensiones!S8)</f>
        <v/>
      </c>
      <c r="F8" s="5">
        <f>IF(B8="","",IF(D8=0,B8,0.875*B8+0.125*C8))</f>
        <v/>
      </c>
      <c r="G8" s="5">
        <f>IF(E8&gt;=6,"ISA numerico","Diagnostico incompleto (aproximacion, ver Leeme)")</f>
        <v/>
      </c>
    </row>
    <row r="9">
      <c r="A9" s="4">
        <f>Datos_Crudos!A9</f>
        <v/>
      </c>
      <c r="B9" s="5">
        <f>IF(COUNT(Dimensiones!B9,Dimensiones!C9,Dimensiones!G9,Dimensiones!I9,Dimensiones!J9,Dimensiones!K9,Dimensiones!O9)=0,"",PRODUCT(Dimensiones!B9,Dimensiones!C9,Dimensiones!G9,Dimensiones!I9,Dimensiones!J9,Dimensiones!K9,Dimensiones!O9)^(1/COUNT(Dimensiones!B9,Dimensiones!C9,Dimensiones!G9,Dimensiones!I9,Dimensiones!J9,Dimensiones!K9,Dimensiones!O9)))</f>
        <v/>
      </c>
      <c r="C9" s="5">
        <f>IFERROR(AVERAGE(Dimensiones!Q9,Dimensiones!S9),"")</f>
        <v/>
      </c>
      <c r="D9" s="5">
        <f>COUNT(Dimensiones!B9,Dimensiones!C9,Dimensiones!G9,Dimensiones!I9,Dimensiones!J9,Dimensiones!K9,Dimensiones!O9)</f>
        <v/>
      </c>
      <c r="E9" s="5">
        <f>COUNT(Dimensiones!Q9,Dimensiones!S9)</f>
        <v/>
      </c>
      <c r="F9" s="5">
        <f>IF(B9="","",IF(D9=0,B9,0.875*B9+0.125*C9))</f>
        <v/>
      </c>
      <c r="G9" s="5">
        <f>IF(E9&gt;=6,"ISA numerico","Diagnostico incompleto (aproximacion, ver Leeme)")</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H88"/>
  <sheetViews>
    <sheetView showGridLines="0" workbookViewId="0">
      <selection activeCell="A1" sqref="A1"/>
    </sheetView>
  </sheetViews>
  <sheetFormatPr baseColWidth="8" defaultRowHeight="15"/>
  <cols>
    <col width="26" customWidth="1" min="1" max="1"/>
    <col width="10" customWidth="1" min="2" max="2"/>
    <col width="10" customWidth="1" min="3" max="3"/>
    <col width="10" customWidth="1" min="4" max="4"/>
    <col width="10" customWidth="1" min="5" max="5"/>
    <col width="10" customWidth="1" min="6" max="6"/>
    <col width="4" customWidth="1" min="7" max="7"/>
    <col width="12" customWidth="1" min="8" max="8"/>
    <col width="12" customWidth="1" min="9" max="9"/>
    <col width="12" customWidth="1" min="10" max="10"/>
  </cols>
  <sheetData>
    <row r="2">
      <c r="A2" s="7" t="inlineStr">
        <is>
          <t>Matriz de comparacion pareada - Indice de Preparacion (IP)</t>
        </is>
      </c>
    </row>
    <row r="3" ht="28" customHeight="1">
      <c r="A3" s="8" t="inlineStr">
        <is>
          <t>Escriba SOLO en el triangulo superior (celdas claras) la razon de Saaty: 1=igual, 3=moderada, 5=fuerte, 7=muy fuerte, 9=extrema (o su reciproco 1/3,1/5... si la columna pesa mas que la fila). El triangulo inferior y la diagonal se calculan solos.</t>
        </is>
      </c>
    </row>
    <row r="4">
      <c r="B4" s="1" t="n">
        <v>1</v>
      </c>
      <c r="C4" s="1" t="n">
        <v>2</v>
      </c>
      <c r="D4" s="1" t="n">
        <v>3</v>
      </c>
      <c r="E4" s="1" t="n">
        <v>4</v>
      </c>
      <c r="F4" s="1" t="n">
        <v>5</v>
      </c>
    </row>
    <row r="5" ht="30" customHeight="1">
      <c r="A5" s="9" t="inlineStr">
        <is>
          <t>1. Trazabilidad y origen</t>
        </is>
      </c>
      <c r="B5" s="10" t="n">
        <v>1</v>
      </c>
      <c r="C5" s="11" t="n"/>
      <c r="D5" s="11" t="n"/>
      <c r="E5" s="11" t="n"/>
      <c r="F5" s="11" t="n"/>
    </row>
    <row r="6" ht="30" customHeight="1">
      <c r="A6" s="9" t="inlineStr">
        <is>
          <t>2. Cumplimiento ambiental</t>
        </is>
      </c>
      <c r="B6" s="10">
        <f>IFERROR(1/C5,"")</f>
        <v/>
      </c>
      <c r="C6" s="10" t="n">
        <v>1</v>
      </c>
      <c r="D6" s="11" t="n"/>
      <c r="E6" s="11" t="n"/>
      <c r="F6" s="11" t="n"/>
    </row>
    <row r="7" ht="30" customHeight="1">
      <c r="A7" s="9" t="inlineStr">
        <is>
          <t>3. Capacidades organizacionales</t>
        </is>
      </c>
      <c r="B7" s="10">
        <f>IFERROR(1/D5,"")</f>
        <v/>
      </c>
      <c r="C7" s="10">
        <f>IFERROR(1/D6,"")</f>
        <v/>
      </c>
      <c r="D7" s="10" t="n">
        <v>1</v>
      </c>
      <c r="E7" s="11" t="n"/>
      <c r="F7" s="11" t="n"/>
    </row>
    <row r="8" ht="30" customHeight="1">
      <c r="A8" s="9" t="inlineStr">
        <is>
          <t>4. Informacion y documentacion</t>
        </is>
      </c>
      <c r="B8" s="10">
        <f>IFERROR(1/E5,"")</f>
        <v/>
      </c>
      <c r="C8" s="10">
        <f>IFERROR(1/E6,"")</f>
        <v/>
      </c>
      <c r="D8" s="10">
        <f>IFERROR(1/E7,"")</f>
        <v/>
      </c>
      <c r="E8" s="10" t="n">
        <v>1</v>
      </c>
      <c r="F8" s="11" t="n"/>
    </row>
    <row r="9" ht="30" customHeight="1">
      <c r="A9" s="9" t="inlineStr">
        <is>
          <t>5. Capacidad de adaptacion y recursos</t>
        </is>
      </c>
      <c r="B9" s="10">
        <f>IFERROR(1/F5,"")</f>
        <v/>
      </c>
      <c r="C9" s="10">
        <f>IFERROR(1/F6,"")</f>
        <v/>
      </c>
      <c r="D9" s="10">
        <f>IFERROR(1/F7,"")</f>
        <v/>
      </c>
      <c r="E9" s="10">
        <f>IFERROR(1/F8,"")</f>
        <v/>
      </c>
      <c r="F9" s="10" t="n">
        <v>1</v>
      </c>
    </row>
    <row r="10">
      <c r="A10" s="12" t="inlineStr">
        <is>
          <t>Suma columna</t>
        </is>
      </c>
      <c r="B10" s="13">
        <f>SUM(B5:B9)</f>
        <v/>
      </c>
      <c r="C10" s="13">
        <f>SUM(C5:C9)</f>
        <v/>
      </c>
      <c r="D10" s="13">
        <f>SUM(D5:D9)</f>
        <v/>
      </c>
      <c r="E10" s="13">
        <f>SUM(E5:E9)</f>
        <v/>
      </c>
      <c r="F10" s="13">
        <f>SUM(F5:F9)</f>
        <v/>
      </c>
    </row>
    <row r="11">
      <c r="A11" s="14" t="inlineStr">
        <is>
          <t>Matriz normalizada y vector de prioridad</t>
        </is>
      </c>
    </row>
    <row r="12">
      <c r="B12" s="15" t="n">
        <v>1</v>
      </c>
      <c r="C12" s="15" t="n">
        <v>2</v>
      </c>
      <c r="D12" s="15" t="n">
        <v>3</v>
      </c>
      <c r="E12" s="15" t="n">
        <v>4</v>
      </c>
      <c r="F12" s="15" t="n">
        <v>5</v>
      </c>
      <c r="G12" s="15" t="inlineStr">
        <is>
          <t>Peso (%)</t>
        </is>
      </c>
    </row>
    <row r="13">
      <c r="B13" s="10">
        <f>IFERROR(B5/B10,"")</f>
        <v/>
      </c>
      <c r="C13" s="10">
        <f>IFERROR(C5/C10,"")</f>
        <v/>
      </c>
      <c r="D13" s="10">
        <f>IFERROR(D5/D10,"")</f>
        <v/>
      </c>
      <c r="E13" s="10">
        <f>IFERROR(E5/E10,"")</f>
        <v/>
      </c>
      <c r="F13" s="10">
        <f>IFERROR(F5/F10,"")</f>
        <v/>
      </c>
      <c r="G13" s="16">
        <f>IFERROR(AVERAGE(B13:F13),"")</f>
        <v/>
      </c>
    </row>
    <row r="14">
      <c r="B14" s="10">
        <f>IFERROR(B6/B10,"")</f>
        <v/>
      </c>
      <c r="C14" s="10">
        <f>IFERROR(C6/C10,"")</f>
        <v/>
      </c>
      <c r="D14" s="10">
        <f>IFERROR(D6/D10,"")</f>
        <v/>
      </c>
      <c r="E14" s="10">
        <f>IFERROR(E6/E10,"")</f>
        <v/>
      </c>
      <c r="F14" s="10">
        <f>IFERROR(F6/F10,"")</f>
        <v/>
      </c>
      <c r="G14" s="16">
        <f>IFERROR(AVERAGE(B14:F14),"")</f>
        <v/>
      </c>
    </row>
    <row r="15">
      <c r="B15" s="10">
        <f>IFERROR(B7/B10,"")</f>
        <v/>
      </c>
      <c r="C15" s="10">
        <f>IFERROR(C7/C10,"")</f>
        <v/>
      </c>
      <c r="D15" s="10">
        <f>IFERROR(D7/D10,"")</f>
        <v/>
      </c>
      <c r="E15" s="10">
        <f>IFERROR(E7/E10,"")</f>
        <v/>
      </c>
      <c r="F15" s="10">
        <f>IFERROR(F7/F10,"")</f>
        <v/>
      </c>
      <c r="G15" s="16">
        <f>IFERROR(AVERAGE(B15:F15),"")</f>
        <v/>
      </c>
    </row>
    <row r="16">
      <c r="B16" s="10">
        <f>IFERROR(B8/B10,"")</f>
        <v/>
      </c>
      <c r="C16" s="10">
        <f>IFERROR(C8/C10,"")</f>
        <v/>
      </c>
      <c r="D16" s="10">
        <f>IFERROR(D8/D10,"")</f>
        <v/>
      </c>
      <c r="E16" s="10">
        <f>IFERROR(E8/E10,"")</f>
        <v/>
      </c>
      <c r="F16" s="10">
        <f>IFERROR(F8/F10,"")</f>
        <v/>
      </c>
      <c r="G16" s="16">
        <f>IFERROR(AVERAGE(B16:F16),"")</f>
        <v/>
      </c>
    </row>
    <row r="17">
      <c r="B17" s="10">
        <f>IFERROR(B9/B10,"")</f>
        <v/>
      </c>
      <c r="C17" s="10">
        <f>IFERROR(C9/C10,"")</f>
        <v/>
      </c>
      <c r="D17" s="10">
        <f>IFERROR(D9/D10,"")</f>
        <v/>
      </c>
      <c r="E17" s="10">
        <f>IFERROR(E9/E10,"")</f>
        <v/>
      </c>
      <c r="F17" s="10">
        <f>IFERROR(F9/F10,"")</f>
        <v/>
      </c>
      <c r="G17" s="16">
        <f>IFERROR(AVERAGE(B17:F17),"")</f>
        <v/>
      </c>
    </row>
    <row r="19">
      <c r="A19" s="17" t="inlineStr">
        <is>
          <t>Lambda max</t>
        </is>
      </c>
      <c r="B19" s="18">
        <f>IFERROR(AVERAGE(B20:B24),"")</f>
        <v/>
      </c>
    </row>
    <row r="20">
      <c r="A20" s="13" t="inlineStr">
        <is>
          <t>Fila 1: suma ponderada / peso</t>
        </is>
      </c>
      <c r="B20" s="19">
        <f>IFERROR((B5*G13+C5*G14+D5*G15+E5*G16+F5*G17)/G13,"")</f>
        <v/>
      </c>
    </row>
    <row r="21">
      <c r="A21" s="13" t="inlineStr">
        <is>
          <t>Fila 2: suma ponderada / peso</t>
        </is>
      </c>
      <c r="B21" s="19">
        <f>IFERROR((B6*G13+C6*G14+D6*G15+E6*G16+F6*G17)/G14,"")</f>
        <v/>
      </c>
    </row>
    <row r="22">
      <c r="A22" s="13" t="inlineStr">
        <is>
          <t>Fila 3: suma ponderada / peso</t>
        </is>
      </c>
      <c r="B22" s="19">
        <f>IFERROR((B7*G13+C7*G14+D7*G15+E7*G16+F7*G17)/G15,"")</f>
        <v/>
      </c>
    </row>
    <row r="23">
      <c r="A23" s="13" t="inlineStr">
        <is>
          <t>Fila 4: suma ponderada / peso</t>
        </is>
      </c>
      <c r="B23" s="19">
        <f>IFERROR((B8*G13+C8*G14+D8*G15+E8*G16+F8*G17)/G16,"")</f>
        <v/>
      </c>
    </row>
    <row r="24">
      <c r="A24" s="13" t="inlineStr">
        <is>
          <t>Fila 5: suma ponderada / peso</t>
        </is>
      </c>
      <c r="B24" s="19">
        <f>IFERROR((B9*G13+C9*G14+D9*G15+E9*G16+F9*G17)/G17,"")</f>
        <v/>
      </c>
    </row>
    <row r="26">
      <c r="A26" s="20" t="inlineStr">
        <is>
          <t>CI = (Lambda max - n) / (n-1)</t>
        </is>
      </c>
      <c r="B26" s="21">
        <f>IFERROR((B19-5)/(5-1),"")</f>
        <v/>
      </c>
    </row>
    <row r="27">
      <c r="A27" s="20" t="inlineStr">
        <is>
          <t>CR = CI / RI  (RI=1.12 para n=5)</t>
        </is>
      </c>
      <c r="B27" s="21">
        <f>IFERROR(B26/1.12,"")</f>
        <v/>
      </c>
    </row>
    <row r="28">
      <c r="A28" s="22">
        <f>IF(B27="","(completar las 10 comparaciones para ver el CR)",IF(B27&lt;=0.10,"CR aceptable (&lt;=0.10, Saaty 2008)","CR alto - revisar comparaciones, hay contradicciones"))</f>
        <v/>
      </c>
    </row>
    <row r="40">
      <c r="A40" s="7" t="inlineStr">
        <is>
          <t>Matriz de comparacion pareada - Indice de Vulnerabilidad (IV)</t>
        </is>
      </c>
    </row>
    <row r="41" ht="28" customHeight="1">
      <c r="A41" s="8" t="inlineStr">
        <is>
          <t>Escriba SOLO en el triangulo superior (celdas claras) la razon de Saaty: 1=igual, 3=moderada, 5=fuerte, 7=muy fuerte, 9=extrema (o su reciproco 1/3,1/5... si la columna pesa mas que la fila). El triangulo inferior y la diagonal se calculan solos.</t>
        </is>
      </c>
    </row>
    <row r="42">
      <c r="B42" s="1" t="n">
        <v>1</v>
      </c>
      <c r="C42" s="1" t="n">
        <v>2</v>
      </c>
      <c r="D42" s="1" t="n">
        <v>3</v>
      </c>
      <c r="E42" s="1" t="n">
        <v>4</v>
      </c>
      <c r="F42" s="1" t="n">
        <v>5</v>
      </c>
    </row>
    <row r="43" ht="30" customHeight="1">
      <c r="A43" s="9" t="inlineStr">
        <is>
          <t>1. Dependencia mercado europeo</t>
        </is>
      </c>
      <c r="B43" s="10" t="n">
        <v>1</v>
      </c>
      <c r="C43" s="11" t="n"/>
      <c r="D43" s="11" t="n"/>
      <c r="E43" s="11" t="n"/>
      <c r="F43" s="11" t="n"/>
    </row>
    <row r="44" ht="30" customHeight="1">
      <c r="A44" s="9" t="inlineStr">
        <is>
          <t>2. Exposicion regulatoria</t>
        </is>
      </c>
      <c r="B44" s="10">
        <f>IFERROR(1/C43,"")</f>
        <v/>
      </c>
      <c r="C44" s="10" t="n">
        <v>1</v>
      </c>
      <c r="D44" s="11" t="n"/>
      <c r="E44" s="11" t="n"/>
      <c r="F44" s="11" t="n"/>
    </row>
    <row r="45" ht="30" customHeight="1">
      <c r="A45" s="9" t="inlineStr">
        <is>
          <t>3. Fragilidad productiva/territorial</t>
        </is>
      </c>
      <c r="B45" s="10">
        <f>IFERROR(1/D43,"")</f>
        <v/>
      </c>
      <c r="C45" s="10">
        <f>IFERROR(1/D44,"")</f>
        <v/>
      </c>
      <c r="D45" s="10" t="n">
        <v>1</v>
      </c>
      <c r="E45" s="11" t="n"/>
      <c r="F45" s="11" t="n"/>
    </row>
    <row r="46" ht="30" customHeight="1">
      <c r="A46" s="9" t="inlineStr">
        <is>
          <t>4. Brechas tecnologicas/financieras</t>
        </is>
      </c>
      <c r="B46" s="10">
        <f>IFERROR(1/E43,"")</f>
        <v/>
      </c>
      <c r="C46" s="10">
        <f>IFERROR(1/E44,"")</f>
        <v/>
      </c>
      <c r="D46" s="10">
        <f>IFERROR(1/E45,"")</f>
        <v/>
      </c>
      <c r="E46" s="10" t="n">
        <v>1</v>
      </c>
      <c r="F46" s="11" t="n"/>
    </row>
    <row r="47" ht="30" customHeight="1">
      <c r="A47" s="9" t="inlineStr">
        <is>
          <t>5. Riesgo social y comercial</t>
        </is>
      </c>
      <c r="B47" s="10">
        <f>IFERROR(1/F43,"")</f>
        <v/>
      </c>
      <c r="C47" s="10">
        <f>IFERROR(1/F44,"")</f>
        <v/>
      </c>
      <c r="D47" s="10">
        <f>IFERROR(1/F45,"")</f>
        <v/>
      </c>
      <c r="E47" s="10">
        <f>IFERROR(1/F46,"")</f>
        <v/>
      </c>
      <c r="F47" s="10" t="n">
        <v>1</v>
      </c>
    </row>
    <row r="48">
      <c r="A48" s="12" t="inlineStr">
        <is>
          <t>Suma columna</t>
        </is>
      </c>
      <c r="B48" s="13">
        <f>SUM(B43:B47)</f>
        <v/>
      </c>
      <c r="C48" s="13">
        <f>SUM(C43:C47)</f>
        <v/>
      </c>
      <c r="D48" s="13">
        <f>SUM(D43:D47)</f>
        <v/>
      </c>
      <c r="E48" s="13">
        <f>SUM(E43:E47)</f>
        <v/>
      </c>
      <c r="F48" s="13">
        <f>SUM(F43:F47)</f>
        <v/>
      </c>
    </row>
    <row r="49">
      <c r="A49" s="14" t="inlineStr">
        <is>
          <t>Matriz normalizada y vector de prioridad</t>
        </is>
      </c>
    </row>
    <row r="50">
      <c r="B50" s="15" t="n">
        <v>1</v>
      </c>
      <c r="C50" s="15" t="n">
        <v>2</v>
      </c>
      <c r="D50" s="15" t="n">
        <v>3</v>
      </c>
      <c r="E50" s="15" t="n">
        <v>4</v>
      </c>
      <c r="F50" s="15" t="n">
        <v>5</v>
      </c>
      <c r="G50" s="15" t="inlineStr">
        <is>
          <t>Peso (%)</t>
        </is>
      </c>
    </row>
    <row r="51">
      <c r="B51" s="10">
        <f>IFERROR(B43/B48,"")</f>
        <v/>
      </c>
      <c r="C51" s="10">
        <f>IFERROR(C43/C48,"")</f>
        <v/>
      </c>
      <c r="D51" s="10">
        <f>IFERROR(D43/D48,"")</f>
        <v/>
      </c>
      <c r="E51" s="10">
        <f>IFERROR(E43/E48,"")</f>
        <v/>
      </c>
      <c r="F51" s="10">
        <f>IFERROR(F43/F48,"")</f>
        <v/>
      </c>
      <c r="G51" s="16">
        <f>IFERROR(AVERAGE(B51:F51),"")</f>
        <v/>
      </c>
    </row>
    <row r="52">
      <c r="B52" s="10">
        <f>IFERROR(B44/B48,"")</f>
        <v/>
      </c>
      <c r="C52" s="10">
        <f>IFERROR(C44/C48,"")</f>
        <v/>
      </c>
      <c r="D52" s="10">
        <f>IFERROR(D44/D48,"")</f>
        <v/>
      </c>
      <c r="E52" s="10">
        <f>IFERROR(E44/E48,"")</f>
        <v/>
      </c>
      <c r="F52" s="10">
        <f>IFERROR(F44/F48,"")</f>
        <v/>
      </c>
      <c r="G52" s="16">
        <f>IFERROR(AVERAGE(B52:F52),"")</f>
        <v/>
      </c>
    </row>
    <row r="53">
      <c r="B53" s="10">
        <f>IFERROR(B45/B48,"")</f>
        <v/>
      </c>
      <c r="C53" s="10">
        <f>IFERROR(C45/C48,"")</f>
        <v/>
      </c>
      <c r="D53" s="10">
        <f>IFERROR(D45/D48,"")</f>
        <v/>
      </c>
      <c r="E53" s="10">
        <f>IFERROR(E45/E48,"")</f>
        <v/>
      </c>
      <c r="F53" s="10">
        <f>IFERROR(F45/F48,"")</f>
        <v/>
      </c>
      <c r="G53" s="16">
        <f>IFERROR(AVERAGE(B53:F53),"")</f>
        <v/>
      </c>
    </row>
    <row r="54">
      <c r="B54" s="10">
        <f>IFERROR(B46/B48,"")</f>
        <v/>
      </c>
      <c r="C54" s="10">
        <f>IFERROR(C46/C48,"")</f>
        <v/>
      </c>
      <c r="D54" s="10">
        <f>IFERROR(D46/D48,"")</f>
        <v/>
      </c>
      <c r="E54" s="10">
        <f>IFERROR(E46/E48,"")</f>
        <v/>
      </c>
      <c r="F54" s="10">
        <f>IFERROR(F46/F48,"")</f>
        <v/>
      </c>
      <c r="G54" s="16">
        <f>IFERROR(AVERAGE(B54:F54),"")</f>
        <v/>
      </c>
    </row>
    <row r="55">
      <c r="B55" s="10">
        <f>IFERROR(B47/B48,"")</f>
        <v/>
      </c>
      <c r="C55" s="10">
        <f>IFERROR(C47/C48,"")</f>
        <v/>
      </c>
      <c r="D55" s="10">
        <f>IFERROR(D47/D48,"")</f>
        <v/>
      </c>
      <c r="E55" s="10">
        <f>IFERROR(E47/E48,"")</f>
        <v/>
      </c>
      <c r="F55" s="10">
        <f>IFERROR(F47/F48,"")</f>
        <v/>
      </c>
      <c r="G55" s="16">
        <f>IFERROR(AVERAGE(B55:F55),"")</f>
        <v/>
      </c>
    </row>
    <row r="57">
      <c r="A57" s="17" t="inlineStr">
        <is>
          <t>Lambda max</t>
        </is>
      </c>
      <c r="B57" s="18">
        <f>IFERROR(AVERAGE(B58:B62),"")</f>
        <v/>
      </c>
    </row>
    <row r="58">
      <c r="A58" s="13" t="inlineStr">
        <is>
          <t>Fila 1: suma ponderada / peso</t>
        </is>
      </c>
      <c r="B58" s="19">
        <f>IFERROR((B43*G51+C43*G52+D43*G53+E43*G54+F43*G55)/G51,"")</f>
        <v/>
      </c>
    </row>
    <row r="59">
      <c r="A59" s="13" t="inlineStr">
        <is>
          <t>Fila 2: suma ponderada / peso</t>
        </is>
      </c>
      <c r="B59" s="19">
        <f>IFERROR((B44*G51+C44*G52+D44*G53+E44*G54+F44*G55)/G52,"")</f>
        <v/>
      </c>
    </row>
    <row r="60">
      <c r="A60" s="13" t="inlineStr">
        <is>
          <t>Fila 3: suma ponderada / peso</t>
        </is>
      </c>
      <c r="B60" s="19">
        <f>IFERROR((B45*G51+C45*G52+D45*G53+E45*G54+F45*G55)/G53,"")</f>
        <v/>
      </c>
    </row>
    <row r="61">
      <c r="A61" s="13" t="inlineStr">
        <is>
          <t>Fila 4: suma ponderada / peso</t>
        </is>
      </c>
      <c r="B61" s="19">
        <f>IFERROR((B46*G51+C46*G52+D46*G53+E46*G54+F46*G55)/G54,"")</f>
        <v/>
      </c>
    </row>
    <row r="62">
      <c r="A62" s="13" t="inlineStr">
        <is>
          <t>Fila 5: suma ponderada / peso</t>
        </is>
      </c>
      <c r="B62" s="19">
        <f>IFERROR((B47*G51+C47*G52+D47*G53+E47*G54+F47*G55)/G55,"")</f>
        <v/>
      </c>
    </row>
    <row r="64">
      <c r="A64" s="20" t="inlineStr">
        <is>
          <t>CI = (Lambda max - n) / (n-1)</t>
        </is>
      </c>
      <c r="B64" s="21">
        <f>IFERROR((B57-5)/(5-1),"")</f>
        <v/>
      </c>
    </row>
    <row r="65">
      <c r="A65" s="20" t="inlineStr">
        <is>
          <t>CR = CI / RI  (RI=1.12 para n=5)</t>
        </is>
      </c>
      <c r="B65" s="21">
        <f>IFERROR(B64/1.12,"")</f>
        <v/>
      </c>
    </row>
    <row r="66">
      <c r="A66" s="22">
        <f>IF(B65="","(completar las 10 comparaciones para ver el CR)",IF(B65&lt;=0.10,"CR aceptable (&lt;=0.10, Saaty 2008)","CR alto - revisar comparaciones, hay contradicciones"))</f>
        <v/>
      </c>
    </row>
    <row r="80">
      <c r="A80" s="23" t="inlineStr">
        <is>
          <t>Pesos a usar en IP e IV (automatico)</t>
        </is>
      </c>
    </row>
    <row r="81">
      <c r="A81" s="24" t="inlineStr">
        <is>
          <t>Mientras la matriz de arriba este vacia (triangulo superior sin llenar), aqui se usan pesos iguales (20%). En cuanto se llena, se reemplazan solos por los pesos AHP calculados.</t>
        </is>
      </c>
    </row>
    <row r="83">
      <c r="A83" s="1" t="inlineStr">
        <is>
          <t>Sub-dimension</t>
        </is>
      </c>
      <c r="B83" s="1" t="inlineStr">
        <is>
          <t>Peso IP a usar</t>
        </is>
      </c>
      <c r="C83" s="1" t="inlineStr">
        <is>
          <t>Peso IV a usar</t>
        </is>
      </c>
    </row>
    <row r="84">
      <c r="A84" s="4" t="inlineStr">
        <is>
          <t>Sub-dimension 1</t>
        </is>
      </c>
      <c r="B84" s="25">
        <f>IF(COUNT(C5:F8)=0,0.2,G13)</f>
        <v/>
      </c>
      <c r="C84" s="25">
        <f>IF(COUNT(C43:F46)=0,0.2,G51)</f>
        <v/>
      </c>
    </row>
    <row r="85">
      <c r="A85" s="4" t="inlineStr">
        <is>
          <t>Sub-dimension 2</t>
        </is>
      </c>
      <c r="B85" s="25">
        <f>IF(COUNT(C5:F8)=0,0.2,G14)</f>
        <v/>
      </c>
      <c r="C85" s="25">
        <f>IF(COUNT(C43:F46)=0,0.2,G52)</f>
        <v/>
      </c>
    </row>
    <row r="86">
      <c r="A86" s="4" t="inlineStr">
        <is>
          <t>Sub-dimension 3</t>
        </is>
      </c>
      <c r="B86" s="25">
        <f>IF(COUNT(C5:F8)=0,0.2,G15)</f>
        <v/>
      </c>
      <c r="C86" s="25">
        <f>IF(COUNT(C43:F46)=0,0.2,G53)</f>
        <v/>
      </c>
    </row>
    <row r="87">
      <c r="A87" s="4" t="inlineStr">
        <is>
          <t>Sub-dimension 4</t>
        </is>
      </c>
      <c r="B87" s="25">
        <f>IF(COUNT(C5:F8)=0,0.2,G16)</f>
        <v/>
      </c>
      <c r="C87" s="25">
        <f>IF(COUNT(C43:F46)=0,0.2,G54)</f>
        <v/>
      </c>
    </row>
    <row r="88">
      <c r="A88" s="4" t="inlineStr">
        <is>
          <t>Sub-dimension 5</t>
        </is>
      </c>
      <c r="B88" s="25">
        <f>IF(COUNT(C5:F8)=0,0.2,G17)</f>
        <v/>
      </c>
      <c r="C88" s="25">
        <f>IF(COUNT(C43:F46)=0,0.2,G55)</f>
        <v/>
      </c>
    </row>
  </sheetData>
  <mergeCells count="3">
    <mergeCell ref="A41:H41"/>
    <mergeCell ref="A3:H3"/>
    <mergeCell ref="A81:F8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showGridLines="0" workbookViewId="0">
      <selection activeCell="A1" sqref="A1"/>
    </sheetView>
  </sheetViews>
  <sheetFormatPr baseColWidth="8" defaultRowHeight="15"/>
  <cols>
    <col width="20" customWidth="1" min="1" max="1"/>
    <col width="17" customWidth="1" min="2" max="2"/>
    <col width="20" customWidth="1" min="3" max="3"/>
    <col width="20" customWidth="1" min="4" max="4"/>
    <col width="18" customWidth="1" min="5" max="5"/>
    <col width="22" customWidth="1" min="6" max="6"/>
    <col width="16" customWidth="1" min="7" max="7"/>
  </cols>
  <sheetData>
    <row r="1" ht="42" customHeight="1">
      <c r="A1" s="1" t="inlineStr">
        <is>
          <t>Organizacion</t>
        </is>
      </c>
      <c r="B1" s="1" t="inlineStr">
        <is>
          <t>IP1 Trazabilidad y origen</t>
        </is>
      </c>
      <c r="C1" s="1" t="inlineStr">
        <is>
          <t>IP2 Cumplimiento ambiental (geometrica)</t>
        </is>
      </c>
      <c r="D1" s="1" t="inlineStr">
        <is>
          <t>IP3 Capacidades organizacionales</t>
        </is>
      </c>
      <c r="E1" s="1" t="inlineStr">
        <is>
          <t>IP4 Informacion y documentacion</t>
        </is>
      </c>
      <c r="F1" s="1" t="inlineStr">
        <is>
          <t>IP5 Capacidad de adaptacion y recursos</t>
        </is>
      </c>
      <c r="G1" s="1" t="inlineStr">
        <is>
          <t>IP final (0-100)</t>
        </is>
      </c>
    </row>
    <row r="2">
      <c r="A2" s="4">
        <f>Datos_Crudos!A2</f>
        <v/>
      </c>
      <c r="B2" s="5">
        <f>Dimensiones!C2</f>
        <v/>
      </c>
      <c r="C2" s="5">
        <f>IFERROR(SQRT(Dimensiones!G2*Dimensiones!I2),"")</f>
        <v/>
      </c>
      <c r="D2" s="5">
        <f>IFERROR(AVERAGE(Dimensiones!Q2,Dimensiones!J2,Dimensiones!L2),"")</f>
        <v/>
      </c>
      <c r="E2" s="5">
        <f>IFERROR(AVERAGE(Dimensiones!M2,Dimensiones!D2),"")</f>
        <v/>
      </c>
      <c r="F2" s="5">
        <f>IFERROR(AVERAGE(Dimensiones!O2,Dimensiones!S2,Dimensiones!T2,Dimensiones!U2),"")</f>
        <v/>
      </c>
      <c r="G2" s="26">
        <f>IFERROR(B2*AHP_Pesos!B84+C2*AHP_Pesos!B85+D2*AHP_Pesos!B86+E2*AHP_Pesos!B87+F2*AHP_Pesos!B88,"")</f>
        <v/>
      </c>
    </row>
    <row r="3">
      <c r="A3" s="4">
        <f>Datos_Crudos!A3</f>
        <v/>
      </c>
      <c r="B3" s="5">
        <f>Dimensiones!C3</f>
        <v/>
      </c>
      <c r="C3" s="5">
        <f>IFERROR(SQRT(Dimensiones!G3*Dimensiones!I3),"")</f>
        <v/>
      </c>
      <c r="D3" s="5">
        <f>IFERROR(AVERAGE(Dimensiones!Q3,Dimensiones!J3,Dimensiones!L3),"")</f>
        <v/>
      </c>
      <c r="E3" s="5">
        <f>IFERROR(AVERAGE(Dimensiones!M3,Dimensiones!D3),"")</f>
        <v/>
      </c>
      <c r="F3" s="5">
        <f>IFERROR(AVERAGE(Dimensiones!O3,Dimensiones!S3,Dimensiones!T3,Dimensiones!U3),"")</f>
        <v/>
      </c>
      <c r="G3" s="26">
        <f>IFERROR(B3*AHP_Pesos!B84+C3*AHP_Pesos!B85+D3*AHP_Pesos!B86+E3*AHP_Pesos!B87+F3*AHP_Pesos!B88,"")</f>
        <v/>
      </c>
    </row>
    <row r="4">
      <c r="A4" s="4">
        <f>Datos_Crudos!A4</f>
        <v/>
      </c>
      <c r="B4" s="5">
        <f>Dimensiones!C4</f>
        <v/>
      </c>
      <c r="C4" s="5">
        <f>IFERROR(SQRT(Dimensiones!G4*Dimensiones!I4),"")</f>
        <v/>
      </c>
      <c r="D4" s="5">
        <f>IFERROR(AVERAGE(Dimensiones!Q4,Dimensiones!J4,Dimensiones!L4),"")</f>
        <v/>
      </c>
      <c r="E4" s="5">
        <f>IFERROR(AVERAGE(Dimensiones!M4,Dimensiones!D4),"")</f>
        <v/>
      </c>
      <c r="F4" s="5">
        <f>IFERROR(AVERAGE(Dimensiones!O4,Dimensiones!S4,Dimensiones!T4,Dimensiones!U4),"")</f>
        <v/>
      </c>
      <c r="G4" s="26">
        <f>IFERROR(B4*AHP_Pesos!B84+C4*AHP_Pesos!B85+D4*AHP_Pesos!B86+E4*AHP_Pesos!B87+F4*AHP_Pesos!B88,"")</f>
        <v/>
      </c>
    </row>
    <row r="5">
      <c r="A5" s="4">
        <f>Datos_Crudos!A5</f>
        <v/>
      </c>
      <c r="B5" s="5">
        <f>Dimensiones!C5</f>
        <v/>
      </c>
      <c r="C5" s="5">
        <f>IFERROR(SQRT(Dimensiones!G5*Dimensiones!I5),"")</f>
        <v/>
      </c>
      <c r="D5" s="5">
        <f>IFERROR(AVERAGE(Dimensiones!Q5,Dimensiones!J5,Dimensiones!L5),"")</f>
        <v/>
      </c>
      <c r="E5" s="5">
        <f>IFERROR(AVERAGE(Dimensiones!M5,Dimensiones!D5),"")</f>
        <v/>
      </c>
      <c r="F5" s="5">
        <f>IFERROR(AVERAGE(Dimensiones!O5,Dimensiones!S5,Dimensiones!T5,Dimensiones!U5),"")</f>
        <v/>
      </c>
      <c r="G5" s="26">
        <f>IFERROR(B5*AHP_Pesos!B84+C5*AHP_Pesos!B85+D5*AHP_Pesos!B86+E5*AHP_Pesos!B87+F5*AHP_Pesos!B88,"")</f>
        <v/>
      </c>
    </row>
    <row r="6">
      <c r="A6" s="4">
        <f>Datos_Crudos!A6</f>
        <v/>
      </c>
      <c r="B6" s="5">
        <f>Dimensiones!C6</f>
        <v/>
      </c>
      <c r="C6" s="5">
        <f>IFERROR(SQRT(Dimensiones!G6*Dimensiones!I6),"")</f>
        <v/>
      </c>
      <c r="D6" s="5">
        <f>IFERROR(AVERAGE(Dimensiones!Q6,Dimensiones!J6,Dimensiones!L6),"")</f>
        <v/>
      </c>
      <c r="E6" s="5">
        <f>IFERROR(AVERAGE(Dimensiones!M6,Dimensiones!D6),"")</f>
        <v/>
      </c>
      <c r="F6" s="5">
        <f>IFERROR(AVERAGE(Dimensiones!O6,Dimensiones!S6,Dimensiones!T6,Dimensiones!U6),"")</f>
        <v/>
      </c>
      <c r="G6" s="26">
        <f>IFERROR(B6*AHP_Pesos!B84+C6*AHP_Pesos!B85+D6*AHP_Pesos!B86+E6*AHP_Pesos!B87+F6*AHP_Pesos!B88,"")</f>
        <v/>
      </c>
    </row>
    <row r="7">
      <c r="A7" s="4">
        <f>Datos_Crudos!A7</f>
        <v/>
      </c>
      <c r="B7" s="5">
        <f>Dimensiones!C7</f>
        <v/>
      </c>
      <c r="C7" s="5">
        <f>IFERROR(SQRT(Dimensiones!G7*Dimensiones!I7),"")</f>
        <v/>
      </c>
      <c r="D7" s="5">
        <f>IFERROR(AVERAGE(Dimensiones!Q7,Dimensiones!J7,Dimensiones!L7),"")</f>
        <v/>
      </c>
      <c r="E7" s="5">
        <f>IFERROR(AVERAGE(Dimensiones!M7,Dimensiones!D7),"")</f>
        <v/>
      </c>
      <c r="F7" s="5">
        <f>IFERROR(AVERAGE(Dimensiones!O7,Dimensiones!S7,Dimensiones!T7,Dimensiones!U7),"")</f>
        <v/>
      </c>
      <c r="G7" s="26">
        <f>IFERROR(B7*AHP_Pesos!B84+C7*AHP_Pesos!B85+D7*AHP_Pesos!B86+E7*AHP_Pesos!B87+F7*AHP_Pesos!B88,"")</f>
        <v/>
      </c>
    </row>
    <row r="8">
      <c r="A8" s="4">
        <f>Datos_Crudos!A8</f>
        <v/>
      </c>
      <c r="B8" s="5">
        <f>Dimensiones!C8</f>
        <v/>
      </c>
      <c r="C8" s="5">
        <f>IFERROR(SQRT(Dimensiones!G8*Dimensiones!I8),"")</f>
        <v/>
      </c>
      <c r="D8" s="5">
        <f>IFERROR(AVERAGE(Dimensiones!Q8,Dimensiones!J8,Dimensiones!L8),"")</f>
        <v/>
      </c>
      <c r="E8" s="5">
        <f>IFERROR(AVERAGE(Dimensiones!M8,Dimensiones!D8),"")</f>
        <v/>
      </c>
      <c r="F8" s="5">
        <f>IFERROR(AVERAGE(Dimensiones!O8,Dimensiones!S8,Dimensiones!T8,Dimensiones!U8),"")</f>
        <v/>
      </c>
      <c r="G8" s="26">
        <f>IFERROR(B8*AHP_Pesos!B84+C8*AHP_Pesos!B85+D8*AHP_Pesos!B86+E8*AHP_Pesos!B87+F8*AHP_Pesos!B88,"")</f>
        <v/>
      </c>
    </row>
    <row r="9">
      <c r="A9" s="4">
        <f>Datos_Crudos!A9</f>
        <v/>
      </c>
      <c r="B9" s="5">
        <f>Dimensiones!C9</f>
        <v/>
      </c>
      <c r="C9" s="5">
        <f>IFERROR(SQRT(Dimensiones!G9*Dimensiones!I9),"")</f>
        <v/>
      </c>
      <c r="D9" s="5">
        <f>IFERROR(AVERAGE(Dimensiones!Q9,Dimensiones!J9,Dimensiones!L9),"")</f>
        <v/>
      </c>
      <c r="E9" s="5">
        <f>IFERROR(AVERAGE(Dimensiones!M9,Dimensiones!D9),"")</f>
        <v/>
      </c>
      <c r="F9" s="5">
        <f>IFERROR(AVERAGE(Dimensiones!O9,Dimensiones!S9,Dimensiones!T9,Dimensiones!U9),"")</f>
        <v/>
      </c>
      <c r="G9" s="26">
        <f>IFERROR(B9*AHP_Pesos!B84+C9*AHP_Pesos!B85+D9*AHP_Pesos!B86+E9*AHP_Pesos!B87+F9*AHP_Pesos!B88,"")</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showGridLines="0" workbookViewId="0">
      <selection activeCell="A1" sqref="A1"/>
    </sheetView>
  </sheetViews>
  <sheetFormatPr baseColWidth="8" defaultRowHeight="15"/>
  <cols>
    <col width="20" customWidth="1" min="1" max="1"/>
    <col width="20" customWidth="1" min="2" max="2"/>
    <col width="26" customWidth="1" min="3" max="3"/>
    <col width="22" customWidth="1" min="4" max="4"/>
    <col width="22" customWidth="1" min="5" max="5"/>
    <col width="18" customWidth="1" min="6" max="6"/>
    <col width="16" customWidth="1" min="7" max="7"/>
  </cols>
  <sheetData>
    <row r="1" ht="42" customHeight="1">
      <c r="A1" s="1" t="inlineStr">
        <is>
          <t>Organizacion</t>
        </is>
      </c>
      <c r="B1" s="1" t="inlineStr">
        <is>
          <t>IV1 Dependencia mercado europeo</t>
        </is>
      </c>
      <c r="C1" s="1" t="inlineStr">
        <is>
          <t>IV2 Exposicion regulatoria (directo, no invertido)</t>
        </is>
      </c>
      <c r="D1" s="1" t="inlineStr">
        <is>
          <t>IV3 Fragilidad productiva/territorial</t>
        </is>
      </c>
      <c r="E1" s="1" t="inlineStr">
        <is>
          <t>IV4 Brechas tecnologicas/financieras</t>
        </is>
      </c>
      <c r="F1" s="1" t="inlineStr">
        <is>
          <t>IV5 Riesgo social y comercial</t>
        </is>
      </c>
      <c r="G1" s="1" t="inlineStr">
        <is>
          <t>IV final (0-100)</t>
        </is>
      </c>
    </row>
    <row r="2">
      <c r="A2" s="4">
        <f>Datos_Crudos!A2</f>
        <v/>
      </c>
      <c r="B2" s="5">
        <f>IFERROR(AVERAGE(Dimensiones!Z2,Dimensiones!AA2),"")</f>
        <v/>
      </c>
      <c r="C2" s="5">
        <f>Dimensiones!B2</f>
        <v/>
      </c>
      <c r="D2" s="5">
        <f>IFERROR(AVERAGE(100-Dimensiones!H2,100-Dimensiones!V2,100-Dimensiones!W2,100-Dimensiones!Y2),"")</f>
        <v/>
      </c>
      <c r="E2" s="5">
        <f>IFERROR(AVERAGE(100-Dimensiones!N2,100-Dimensiones!S2),"")</f>
        <v/>
      </c>
      <c r="F2" s="5">
        <f>IFERROR(AVERAGE(100-Dimensiones!O2,100-Dimensiones!R2,100-Dimensiones!AE2),"")</f>
        <v/>
      </c>
      <c r="G2" s="27">
        <f>IFERROR(B2*AHP_Pesos!C84+C2*AHP_Pesos!C85+D2*AHP_Pesos!C86+E2*AHP_Pesos!C87+F2*AHP_Pesos!C88,"")</f>
        <v/>
      </c>
    </row>
    <row r="3">
      <c r="A3" s="4">
        <f>Datos_Crudos!A3</f>
        <v/>
      </c>
      <c r="B3" s="5">
        <f>IFERROR(AVERAGE(Dimensiones!Z3,Dimensiones!AA3),"")</f>
        <v/>
      </c>
      <c r="C3" s="5">
        <f>Dimensiones!B3</f>
        <v/>
      </c>
      <c r="D3" s="5">
        <f>IFERROR(AVERAGE(100-Dimensiones!H3,100-Dimensiones!V3,100-Dimensiones!W3,100-Dimensiones!Y3),"")</f>
        <v/>
      </c>
      <c r="E3" s="5">
        <f>IFERROR(AVERAGE(100-Dimensiones!N3,100-Dimensiones!S3),"")</f>
        <v/>
      </c>
      <c r="F3" s="5">
        <f>IFERROR(AVERAGE(100-Dimensiones!O3,100-Dimensiones!R3,100-Dimensiones!AE3),"")</f>
        <v/>
      </c>
      <c r="G3" s="27">
        <f>IFERROR(B3*AHP_Pesos!C84+C3*AHP_Pesos!C85+D3*AHP_Pesos!C86+E3*AHP_Pesos!C87+F3*AHP_Pesos!C88,"")</f>
        <v/>
      </c>
    </row>
    <row r="4">
      <c r="A4" s="4">
        <f>Datos_Crudos!A4</f>
        <v/>
      </c>
      <c r="B4" s="5">
        <f>IFERROR(AVERAGE(Dimensiones!Z4,Dimensiones!AA4),"")</f>
        <v/>
      </c>
      <c r="C4" s="5">
        <f>Dimensiones!B4</f>
        <v/>
      </c>
      <c r="D4" s="5">
        <f>IFERROR(AVERAGE(100-Dimensiones!H4,100-Dimensiones!V4,100-Dimensiones!W4,100-Dimensiones!Y4),"")</f>
        <v/>
      </c>
      <c r="E4" s="5">
        <f>IFERROR(AVERAGE(100-Dimensiones!N4,100-Dimensiones!S4),"")</f>
        <v/>
      </c>
      <c r="F4" s="5">
        <f>IFERROR(AVERAGE(100-Dimensiones!O4,100-Dimensiones!R4,100-Dimensiones!AE4),"")</f>
        <v/>
      </c>
      <c r="G4" s="27">
        <f>IFERROR(B4*AHP_Pesos!C84+C4*AHP_Pesos!C85+D4*AHP_Pesos!C86+E4*AHP_Pesos!C87+F4*AHP_Pesos!C88,"")</f>
        <v/>
      </c>
    </row>
    <row r="5">
      <c r="A5" s="4">
        <f>Datos_Crudos!A5</f>
        <v/>
      </c>
      <c r="B5" s="5">
        <f>IFERROR(AVERAGE(Dimensiones!Z5,Dimensiones!AA5),"")</f>
        <v/>
      </c>
      <c r="C5" s="5">
        <f>Dimensiones!B5</f>
        <v/>
      </c>
      <c r="D5" s="5">
        <f>IFERROR(AVERAGE(100-Dimensiones!H5,100-Dimensiones!V5,100-Dimensiones!W5,100-Dimensiones!Y5),"")</f>
        <v/>
      </c>
      <c r="E5" s="5">
        <f>IFERROR(AVERAGE(100-Dimensiones!N5,100-Dimensiones!S5),"")</f>
        <v/>
      </c>
      <c r="F5" s="5">
        <f>IFERROR(AVERAGE(100-Dimensiones!O5,100-Dimensiones!R5,100-Dimensiones!AE5),"")</f>
        <v/>
      </c>
      <c r="G5" s="27">
        <f>IFERROR(B5*AHP_Pesos!C84+C5*AHP_Pesos!C85+D5*AHP_Pesos!C86+E5*AHP_Pesos!C87+F5*AHP_Pesos!C88,"")</f>
        <v/>
      </c>
    </row>
    <row r="6">
      <c r="A6" s="4">
        <f>Datos_Crudos!A6</f>
        <v/>
      </c>
      <c r="B6" s="5">
        <f>IFERROR(AVERAGE(Dimensiones!Z6,Dimensiones!AA6),"")</f>
        <v/>
      </c>
      <c r="C6" s="5">
        <f>Dimensiones!B6</f>
        <v/>
      </c>
      <c r="D6" s="5">
        <f>IFERROR(AVERAGE(100-Dimensiones!H6,100-Dimensiones!V6,100-Dimensiones!W6,100-Dimensiones!Y6),"")</f>
        <v/>
      </c>
      <c r="E6" s="5">
        <f>IFERROR(AVERAGE(100-Dimensiones!N6,100-Dimensiones!S6),"")</f>
        <v/>
      </c>
      <c r="F6" s="5">
        <f>IFERROR(AVERAGE(100-Dimensiones!O6,100-Dimensiones!R6,100-Dimensiones!AE6),"")</f>
        <v/>
      </c>
      <c r="G6" s="27">
        <f>IFERROR(B6*AHP_Pesos!C84+C6*AHP_Pesos!C85+D6*AHP_Pesos!C86+E6*AHP_Pesos!C87+F6*AHP_Pesos!C88,"")</f>
        <v/>
      </c>
    </row>
    <row r="7">
      <c r="A7" s="4">
        <f>Datos_Crudos!A7</f>
        <v/>
      </c>
      <c r="B7" s="5">
        <f>IFERROR(AVERAGE(Dimensiones!Z7,Dimensiones!AA7),"")</f>
        <v/>
      </c>
      <c r="C7" s="5">
        <f>Dimensiones!B7</f>
        <v/>
      </c>
      <c r="D7" s="5">
        <f>IFERROR(AVERAGE(100-Dimensiones!H7,100-Dimensiones!V7,100-Dimensiones!W7,100-Dimensiones!Y7),"")</f>
        <v/>
      </c>
      <c r="E7" s="5">
        <f>IFERROR(AVERAGE(100-Dimensiones!N7,100-Dimensiones!S7),"")</f>
        <v/>
      </c>
      <c r="F7" s="5">
        <f>IFERROR(AVERAGE(100-Dimensiones!O7,100-Dimensiones!R7,100-Dimensiones!AE7),"")</f>
        <v/>
      </c>
      <c r="G7" s="27">
        <f>IFERROR(B7*AHP_Pesos!C84+C7*AHP_Pesos!C85+D7*AHP_Pesos!C86+E7*AHP_Pesos!C87+F7*AHP_Pesos!C88,"")</f>
        <v/>
      </c>
    </row>
    <row r="8">
      <c r="A8" s="4">
        <f>Datos_Crudos!A8</f>
        <v/>
      </c>
      <c r="B8" s="5">
        <f>IFERROR(AVERAGE(Dimensiones!Z8,Dimensiones!AA8),"")</f>
        <v/>
      </c>
      <c r="C8" s="5">
        <f>Dimensiones!B8</f>
        <v/>
      </c>
      <c r="D8" s="5">
        <f>IFERROR(AVERAGE(100-Dimensiones!H8,100-Dimensiones!V8,100-Dimensiones!W8,100-Dimensiones!Y8),"")</f>
        <v/>
      </c>
      <c r="E8" s="5">
        <f>IFERROR(AVERAGE(100-Dimensiones!N8,100-Dimensiones!S8),"")</f>
        <v/>
      </c>
      <c r="F8" s="5">
        <f>IFERROR(AVERAGE(100-Dimensiones!O8,100-Dimensiones!R8,100-Dimensiones!AE8),"")</f>
        <v/>
      </c>
      <c r="G8" s="27">
        <f>IFERROR(B8*AHP_Pesos!C84+C8*AHP_Pesos!C85+D8*AHP_Pesos!C86+E8*AHP_Pesos!C87+F8*AHP_Pesos!C88,"")</f>
        <v/>
      </c>
    </row>
    <row r="9">
      <c r="A9" s="4">
        <f>Datos_Crudos!A9</f>
        <v/>
      </c>
      <c r="B9" s="5">
        <f>IFERROR(AVERAGE(Dimensiones!Z9,Dimensiones!AA9),"")</f>
        <v/>
      </c>
      <c r="C9" s="5">
        <f>Dimensiones!B9</f>
        <v/>
      </c>
      <c r="D9" s="5">
        <f>IFERROR(AVERAGE(100-Dimensiones!H9,100-Dimensiones!V9,100-Dimensiones!W9,100-Dimensiones!Y9),"")</f>
        <v/>
      </c>
      <c r="E9" s="5">
        <f>IFERROR(AVERAGE(100-Dimensiones!N9,100-Dimensiones!S9),"")</f>
        <v/>
      </c>
      <c r="F9" s="5">
        <f>IFERROR(AVERAGE(100-Dimensiones!O9,100-Dimensiones!R9,100-Dimensiones!AE9),"")</f>
        <v/>
      </c>
      <c r="G9" s="27">
        <f>IFERROR(B9*AHP_Pesos!C84+C9*AHP_Pesos!C85+D9*AHP_Pesos!C86+E9*AHP_Pesos!C87+F9*AHP_Pesos!C88,"")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5"/>
  <cols>
    <col width="20" customWidth="1" min="1" max="1"/>
    <col width="12" customWidth="1" min="2" max="2"/>
    <col width="12" customWidth="1" min="3" max="3"/>
    <col width="18" customWidth="1" min="4" max="4"/>
    <col width="30" customWidth="1" min="5" max="5"/>
  </cols>
  <sheetData>
    <row r="1" ht="30" customHeight="1">
      <c r="A1" s="1" t="inlineStr">
        <is>
          <t>Organizacion</t>
        </is>
      </c>
      <c r="B1" s="1" t="inlineStr">
        <is>
          <t>IP final</t>
        </is>
      </c>
      <c r="C1" s="1" t="inlineStr">
        <is>
          <t>IV final</t>
        </is>
      </c>
      <c r="D1" s="1" t="inlineStr">
        <is>
          <t>RE = IV*(1-IP/100)</t>
        </is>
      </c>
      <c r="E1" s="1" t="inlineStr">
        <is>
          <t>Tipologia (corte = mediana de la muestra)</t>
        </is>
      </c>
    </row>
    <row r="2">
      <c r="A2" s="4">
        <f>Datos_Crudos!A2</f>
        <v/>
      </c>
      <c r="B2" s="5">
        <f>IP!G2</f>
        <v/>
      </c>
      <c r="C2" s="5">
        <f>IV!G2</f>
        <v/>
      </c>
      <c r="D2" s="27">
        <f>IFERROR(C2*(1-B2/100),"")</f>
        <v/>
      </c>
      <c r="E2" s="28">
        <f>IF(OR(B2="",C2=""),"(sin datos)",IF(B2&gt;=MEDIAN(IP!$G$2:$G$9),IF(C2&gt;=MEDIAN(IV!$G$2:$G$9),"Expuestas pero adaptables","Resilientes y mejor posicionadas"),IF(C2&gt;=MEDIAN(IV!$G$2:$G$9),"Riesgo critico de exclusion","Riesgo latente")))</f>
        <v/>
      </c>
    </row>
    <row r="3">
      <c r="A3" s="4">
        <f>Datos_Crudos!A3</f>
        <v/>
      </c>
      <c r="B3" s="5">
        <f>IP!G3</f>
        <v/>
      </c>
      <c r="C3" s="5">
        <f>IV!G3</f>
        <v/>
      </c>
      <c r="D3" s="27">
        <f>IFERROR(C3*(1-B3/100),"")</f>
        <v/>
      </c>
      <c r="E3" s="28">
        <f>IF(OR(B3="",C3=""),"(sin datos)",IF(B3&gt;=MEDIAN(IP!$G$2:$G$9),IF(C3&gt;=MEDIAN(IV!$G$2:$G$9),"Expuestas pero adaptables","Resilientes y mejor posicionadas"),IF(C3&gt;=MEDIAN(IV!$G$2:$G$9),"Riesgo critico de exclusion","Riesgo latente")))</f>
        <v/>
      </c>
    </row>
    <row r="4">
      <c r="A4" s="4">
        <f>Datos_Crudos!A4</f>
        <v/>
      </c>
      <c r="B4" s="5">
        <f>IP!G4</f>
        <v/>
      </c>
      <c r="C4" s="5">
        <f>IV!G4</f>
        <v/>
      </c>
      <c r="D4" s="27">
        <f>IFERROR(C4*(1-B4/100),"")</f>
        <v/>
      </c>
      <c r="E4" s="28">
        <f>IF(OR(B4="",C4=""),"(sin datos)",IF(B4&gt;=MEDIAN(IP!$G$2:$G$9),IF(C4&gt;=MEDIAN(IV!$G$2:$G$9),"Expuestas pero adaptables","Resilientes y mejor posicionadas"),IF(C4&gt;=MEDIAN(IV!$G$2:$G$9),"Riesgo critico de exclusion","Riesgo latente")))</f>
        <v/>
      </c>
    </row>
    <row r="5">
      <c r="A5" s="4">
        <f>Datos_Crudos!A5</f>
        <v/>
      </c>
      <c r="B5" s="5">
        <f>IP!G5</f>
        <v/>
      </c>
      <c r="C5" s="5">
        <f>IV!G5</f>
        <v/>
      </c>
      <c r="D5" s="27">
        <f>IFERROR(C5*(1-B5/100),"")</f>
        <v/>
      </c>
      <c r="E5" s="28">
        <f>IF(OR(B5="",C5=""),"(sin datos)",IF(B5&gt;=MEDIAN(IP!$G$2:$G$9),IF(C5&gt;=MEDIAN(IV!$G$2:$G$9),"Expuestas pero adaptables","Resilientes y mejor posicionadas"),IF(C5&gt;=MEDIAN(IV!$G$2:$G$9),"Riesgo critico de exclusion","Riesgo latente")))</f>
        <v/>
      </c>
    </row>
    <row r="6">
      <c r="A6" s="4">
        <f>Datos_Crudos!A6</f>
        <v/>
      </c>
      <c r="B6" s="5">
        <f>IP!G6</f>
        <v/>
      </c>
      <c r="C6" s="5">
        <f>IV!G6</f>
        <v/>
      </c>
      <c r="D6" s="27">
        <f>IFERROR(C6*(1-B6/100),"")</f>
        <v/>
      </c>
      <c r="E6" s="28">
        <f>IF(OR(B6="",C6=""),"(sin datos)",IF(B6&gt;=MEDIAN(IP!$G$2:$G$9),IF(C6&gt;=MEDIAN(IV!$G$2:$G$9),"Expuestas pero adaptables","Resilientes y mejor posicionadas"),IF(C6&gt;=MEDIAN(IV!$G$2:$G$9),"Riesgo critico de exclusion","Riesgo latente")))</f>
        <v/>
      </c>
    </row>
    <row r="7">
      <c r="A7" s="4">
        <f>Datos_Crudos!A7</f>
        <v/>
      </c>
      <c r="B7" s="5">
        <f>IP!G7</f>
        <v/>
      </c>
      <c r="C7" s="5">
        <f>IV!G7</f>
        <v/>
      </c>
      <c r="D7" s="27">
        <f>IFERROR(C7*(1-B7/100),"")</f>
        <v/>
      </c>
      <c r="E7" s="28">
        <f>IF(OR(B7="",C7=""),"(sin datos)",IF(B7&gt;=MEDIAN(IP!$G$2:$G$9),IF(C7&gt;=MEDIAN(IV!$G$2:$G$9),"Expuestas pero adaptables","Resilientes y mejor posicionadas"),IF(C7&gt;=MEDIAN(IV!$G$2:$G$9),"Riesgo critico de exclusion","Riesgo latente")))</f>
        <v/>
      </c>
    </row>
    <row r="8">
      <c r="A8" s="4">
        <f>Datos_Crudos!A8</f>
        <v/>
      </c>
      <c r="B8" s="5">
        <f>IP!G8</f>
        <v/>
      </c>
      <c r="C8" s="5">
        <f>IV!G8</f>
        <v/>
      </c>
      <c r="D8" s="27">
        <f>IFERROR(C8*(1-B8/100),"")</f>
        <v/>
      </c>
      <c r="E8" s="28">
        <f>IF(OR(B8="",C8=""),"(sin datos)",IF(B8&gt;=MEDIAN(IP!$G$2:$G$9),IF(C8&gt;=MEDIAN(IV!$G$2:$G$9),"Expuestas pero adaptables","Resilientes y mejor posicionadas"),IF(C8&gt;=MEDIAN(IV!$G$2:$G$9),"Riesgo critico de exclusion","Riesgo latente")))</f>
        <v/>
      </c>
    </row>
    <row r="9">
      <c r="A9" s="4">
        <f>Datos_Crudos!A9</f>
        <v/>
      </c>
      <c r="B9" s="5">
        <f>IP!G9</f>
        <v/>
      </c>
      <c r="C9" s="5">
        <f>IV!G9</f>
        <v/>
      </c>
      <c r="D9" s="27">
        <f>IFERROR(C9*(1-B9/100),"")</f>
        <v/>
      </c>
      <c r="E9" s="28">
        <f>IF(OR(B9="",C9=""),"(sin datos)",IF(B9&gt;=MEDIAN(IP!$G$2:$G$9),IF(C9&gt;=MEDIAN(IV!$G$2:$G$9),"Expuestas pero adaptables","Resilientes y mejor posicionadas"),IF(C9&gt;=MEDIAN(IV!$G$2:$G$9),"Riesgo critico de exclusion","Riesgo latente")))</f>
        <v/>
      </c>
    </row>
    <row r="11" ht="40" customHeight="1">
      <c r="A11" s="29" t="inlineStr">
        <is>
          <t>El punto de corte alto/bajo usa la MEDIANA de esta muestra (8 organizaciones de ejemplo) - no es un umbral oficial. Se recalcula solo cuando reemplace los datos de ejemplo por datos reales del piloto, tal como indica el Diseno del Indice de Vulnerabilidad (no fijar el corte sin datos).</t>
        </is>
      </c>
    </row>
  </sheetData>
  <mergeCells count="1">
    <mergeCell ref="A11:E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0"/>
  <sheetViews>
    <sheetView showGridLines="0" workbookViewId="0">
      <selection activeCell="A1" sqref="A1"/>
    </sheetView>
  </sheetViews>
  <sheetFormatPr baseColWidth="8" defaultRowHeight="15"/>
  <cols>
    <col width="16" customWidth="1" min="1" max="1"/>
    <col width="30" customWidth="1" min="2" max="2"/>
    <col width="16" customWidth="1" min="3" max="3"/>
    <col width="55" customWidth="1" min="4" max="4"/>
    <col width="34" customWidth="1" min="5" max="5"/>
  </cols>
  <sheetData>
    <row r="1" ht="24" customHeight="1">
      <c r="A1" s="1" t="inlineStr">
        <is>
          <t>Item</t>
        </is>
      </c>
      <c r="B1" s="1" t="inlineStr">
        <is>
          <t>Pregunta (resumen)</t>
        </is>
      </c>
      <c r="C1" s="1" t="inlineStr">
        <is>
          <t>Tipo</t>
        </is>
      </c>
      <c r="D1" s="1" t="inlineStr">
        <is>
          <t>Opciones en orden (mejor -&gt; peor) y valor asignado</t>
        </is>
      </c>
      <c r="E1" s="1" t="inlineStr">
        <is>
          <t>Uso</t>
        </is>
      </c>
    </row>
    <row r="2" ht="30" customHeight="1">
      <c r="A2" s="30" t="inlineStr">
        <is>
          <t>Regla general</t>
        </is>
      </c>
      <c r="B2" s="30" t="inlineStr">
        <is>
          <t>-</t>
        </is>
      </c>
      <c r="C2" s="30" t="inlineStr">
        <is>
          <t>-</t>
        </is>
      </c>
      <c r="D2" s="30" t="inlineStr">
        <is>
          <t>Escala 0-4: se listan las opciones de Instrumento 2 en el orden en que aparecen; la PRIMERA = 4 (mejor/mas preparado), la ULTIMA = 0 (peor), distribuidas uniformemente. Las preguntas de % se escriben directo 0-100.</t>
        </is>
      </c>
      <c r="E2" s="30" t="inlineStr">
        <is>
          <t>Convencion aplicada a todos los items salvo excepcion senalada</t>
        </is>
      </c>
    </row>
    <row r="3" ht="30" customHeight="1">
      <c r="A3" s="31" t="inlineStr">
        <is>
          <t>D1.1</t>
        </is>
      </c>
      <c r="B3" s="31" t="inlineStr">
        <is>
          <t>Introduce el producto directo a la UE</t>
        </is>
      </c>
      <c r="C3" s="31" t="inlineStr">
        <is>
          <t>binaria</t>
        </is>
      </c>
      <c r="D3" s="31" t="inlineStr">
        <is>
          <t>Si=4 | No=0</t>
        </is>
      </c>
      <c r="E3" s="31" t="inlineStr">
        <is>
          <t>ISA (nucleo) y IV2 (directo, no invertido)</t>
        </is>
      </c>
    </row>
    <row r="4" ht="30" customHeight="1">
      <c r="A4" s="31" t="inlineStr">
        <is>
          <t>D1.2</t>
        </is>
      </c>
      <c r="B4" s="31" t="inlineStr">
        <is>
          <t>Transforma el producto</t>
        </is>
      </c>
      <c r="C4" s="31" t="inlineStr">
        <is>
          <t>binaria</t>
        </is>
      </c>
      <c r="D4" s="31" t="inlineStr">
        <is>
          <t>Transforma=4 | No transforma=0</t>
        </is>
      </c>
      <c r="E4" s="31" t="inlineStr">
        <is>
          <t>ISA y IV2</t>
        </is>
      </c>
    </row>
    <row r="5" ht="30" customHeight="1">
      <c r="A5" s="31" t="inlineStr">
        <is>
          <t>D1.3</t>
        </is>
      </c>
      <c r="B5" s="31" t="inlineStr">
        <is>
          <t>Sabe con certeza su rol</t>
        </is>
      </c>
      <c r="C5" s="31" t="inlineStr">
        <is>
          <t>3 opciones</t>
        </is>
      </c>
      <c r="D5" s="31" t="inlineStr">
        <is>
          <t>Si con certeza=4 | Idea aproximada=2 | No sabe=0</t>
        </is>
      </c>
      <c r="E5" s="31" t="inlineStr">
        <is>
          <t>ISA y IV2</t>
        </is>
      </c>
    </row>
    <row r="6" ht="30" customHeight="1">
      <c r="A6" s="31" t="inlineStr">
        <is>
          <t>D1.4</t>
        </is>
      </c>
      <c r="B6" s="31" t="inlineStr">
        <is>
          <t>Cumple umbrales micro/pequena empresa</t>
        </is>
      </c>
      <c r="C6" s="31" t="inlineStr">
        <is>
          <t>3 opciones</t>
        </is>
      </c>
      <c r="D6" s="31" t="inlineStr">
        <is>
          <t>Si=4 | No=2 | No sabe=0</t>
        </is>
      </c>
      <c r="E6" s="31" t="inlineStr">
        <is>
          <t>ISA y IV2</t>
        </is>
      </c>
    </row>
    <row r="7" ht="30" customHeight="1">
      <c r="A7" s="31" t="inlineStr">
        <is>
          <t>D2.5</t>
        </is>
      </c>
      <c r="B7" s="31" t="inlineStr">
        <is>
          <t>Registro de geolocalizacion</t>
        </is>
      </c>
      <c r="C7" s="31" t="inlineStr">
        <is>
          <t>escala 0-4 directa</t>
        </is>
      </c>
      <c r="D7" s="31" t="inlineStr">
        <is>
          <t>Ya viene en escala 0-4 del instrumento</t>
        </is>
      </c>
      <c r="E7" s="31" t="inlineStr">
        <is>
          <t>ISA (nucleo), IP1</t>
        </is>
      </c>
    </row>
    <row r="8" ht="30" customHeight="1">
      <c r="A8" s="31" t="inlineStr">
        <is>
          <t>D2.6</t>
        </is>
      </c>
      <c r="B8" s="31" t="inlineStr">
        <is>
          <t>% socios geolocalizados</t>
        </is>
      </c>
      <c r="C8" s="31" t="inlineStr">
        <is>
          <t>porcentaje</t>
        </is>
      </c>
      <c r="D8" s="31" t="inlineStr">
        <is>
          <t>Escribir directo 0-100</t>
        </is>
      </c>
      <c r="E8" s="31" t="inlineStr">
        <is>
          <t>ISA (nucleo), IP1</t>
        </is>
      </c>
    </row>
    <row r="9" ht="30" customHeight="1">
      <c r="A9" s="31" t="inlineStr">
        <is>
          <t>D2.7</t>
        </is>
      </c>
      <c r="B9" s="31" t="inlineStr">
        <is>
          <t>Sistema vincula lote-parcela</t>
        </is>
      </c>
      <c r="C9" s="31" t="inlineStr">
        <is>
          <t>escala 0-4 directa</t>
        </is>
      </c>
      <c r="D9" s="31" t="inlineStr">
        <is>
          <t>Ya viene en escala 0-4</t>
        </is>
      </c>
      <c r="E9" s="31" t="inlineStr">
        <is>
          <t>ISA (nucleo), IP1</t>
        </is>
      </c>
    </row>
    <row r="10" ht="30" customHeight="1">
      <c r="A10" s="31" t="inlineStr">
        <is>
          <t>D2.8</t>
        </is>
      </c>
      <c r="B10" s="31" t="inlineStr">
        <is>
          <t>Quien levanto la informacion</t>
        </is>
      </c>
      <c r="C10" s="31" t="inlineStr">
        <is>
          <t>5 opciones</t>
        </is>
      </c>
      <c r="D10" s="31" t="inlineStr">
        <is>
          <t>Tecnico propio=4 | Consultor=3 | Proyecto cooperacion=2 | Socio por su cuenta=1 | No se ha levantado=0</t>
        </is>
      </c>
      <c r="E10" s="31" t="inlineStr">
        <is>
          <t>IP1</t>
        </is>
      </c>
    </row>
    <row r="11" ht="30" customHeight="1">
      <c r="A11" s="31" t="inlineStr">
        <is>
          <t>D2.9</t>
        </is>
      </c>
      <c r="B11" s="31" t="inlineStr">
        <is>
          <t>Frecuencia de actualizacion</t>
        </is>
      </c>
      <c r="C11" s="31" t="inlineStr">
        <is>
          <t>4 opciones</t>
        </is>
      </c>
      <c r="D11" s="31" t="inlineStr">
        <is>
          <t>Por cosecha=4 | Anual=2.7 | Al ingreso del socio=1.3 | Nunca=0</t>
        </is>
      </c>
      <c r="E11" s="31" t="inlineStr">
        <is>
          <t>IP1, IP4</t>
        </is>
      </c>
    </row>
    <row r="12" ht="30" customHeight="1">
      <c r="A12" s="31" t="inlineStr">
        <is>
          <t>D2.10</t>
        </is>
      </c>
      <c r="B12" s="31" t="inlineStr">
        <is>
          <t>Mezcla de lotes sin control (BANDERA)</t>
        </is>
      </c>
      <c r="C12" s="31" t="inlineStr">
        <is>
          <t>3 opciones - NO se promedia</t>
        </is>
      </c>
      <c r="D12" s="31" t="inlineStr">
        <is>
          <t>Segregacion completa=4 | Se mezcla con registro=2 | Se mezcla sin control=0</t>
        </is>
      </c>
      <c r="E12" s="31" t="inlineStr">
        <is>
          <t>Bandera aparte, nunca en el promedio</t>
        </is>
      </c>
    </row>
    <row r="13" ht="30" customHeight="1">
      <c r="A13" s="31" t="inlineStr">
        <is>
          <t>D3.11</t>
        </is>
      </c>
      <c r="B13" s="31" t="inlineStr">
        <is>
          <t>% socios con titulo/posesion</t>
        </is>
      </c>
      <c r="C13" s="31" t="inlineStr">
        <is>
          <t>porcentaje</t>
        </is>
      </c>
      <c r="D13" s="31" t="inlineStr">
        <is>
          <t>Escribir directo 0-100</t>
        </is>
      </c>
      <c r="E13" s="31" t="inlineStr">
        <is>
          <t>ISA (nucleo), IP2</t>
        </is>
      </c>
    </row>
    <row r="14" ht="30" customHeight="1">
      <c r="A14" s="31" t="inlineStr">
        <is>
          <t>D3.12</t>
        </is>
      </c>
      <c r="B14" s="31" t="inlineStr">
        <is>
          <t>Superposicion a areas protegidas</t>
        </is>
      </c>
      <c r="C14" s="31" t="inlineStr">
        <is>
          <t>4 opciones</t>
        </is>
      </c>
      <c r="D14" s="31" t="inlineStr">
        <is>
          <t>No, ninguna=4 | No verificado=2.7 | Si puntual=1.3 | Si extensa=0</t>
        </is>
      </c>
      <c r="E14" s="31" t="inlineStr">
        <is>
          <t>ISA, IP2</t>
        </is>
      </c>
    </row>
    <row r="15" ht="30" customHeight="1">
      <c r="A15" s="31" t="inlineStr">
        <is>
          <t>D3.13</t>
        </is>
      </c>
      <c r="B15" s="31" t="inlineStr">
        <is>
          <t>Verificacion cumplimiento laboral</t>
        </is>
      </c>
      <c r="C15" s="31" t="inlineStr">
        <is>
          <t>escala 0-4 directa</t>
        </is>
      </c>
      <c r="D15" s="31" t="inlineStr">
        <is>
          <t>Ya viene en escala 0-4</t>
        </is>
      </c>
      <c r="E15" s="31" t="inlineStr">
        <is>
          <t>ISA, IP2</t>
        </is>
      </c>
    </row>
    <row r="16" ht="30" customHeight="1">
      <c r="A16" s="31" t="inlineStr">
        <is>
          <t>D3.14</t>
        </is>
      </c>
      <c r="B16" s="31" t="inlineStr">
        <is>
          <t>Zona de riesgo social/ex-coca (CONTEXTO, no en el promedio de D3)</t>
        </is>
      </c>
      <c r="C16" s="31" t="inlineStr">
        <is>
          <t>3 opciones</t>
        </is>
      </c>
      <c r="D16" s="31" t="inlineStr">
        <is>
          <t>No=4 | No verificado=2 | Si=0</t>
        </is>
      </c>
      <c r="E16" s="31" t="inlineStr">
        <is>
          <t>Solo IV3 (invertido)</t>
        </is>
      </c>
    </row>
    <row r="17" ht="30" customHeight="1">
      <c r="A17" s="31" t="inlineStr">
        <is>
          <t>D3.14a</t>
        </is>
      </c>
      <c r="B17" s="31" t="inlineStr">
        <is>
          <t>Autorizacion de uso de agua</t>
        </is>
      </c>
      <c r="C17" s="31" t="inlineStr">
        <is>
          <t>4 opciones</t>
        </is>
      </c>
      <c r="D17" s="31" t="inlineStr">
        <is>
          <t>Todas verificadas=4 | No aplica=4 | Parcialmente=2 | No=0</t>
        </is>
      </c>
      <c r="E17" s="31" t="inlineStr">
        <is>
          <t>ISA, IP2</t>
        </is>
      </c>
    </row>
    <row r="18" ht="30" customHeight="1">
      <c r="A18" s="31" t="inlineStr">
        <is>
          <t>D3.14b</t>
        </is>
      </c>
      <c r="B18" s="31" t="inlineStr">
        <is>
          <t>Tratamiento de aguas residuales</t>
        </is>
      </c>
      <c r="C18" s="31" t="inlineStr">
        <is>
          <t>4 opciones</t>
        </is>
      </c>
      <c r="D18" s="31" t="inlineStr">
        <is>
          <t>Siempre=4 | No aplica=4 | A veces=2 | No=0</t>
        </is>
      </c>
      <c r="E18" s="31" t="inlineStr">
        <is>
          <t>ISA, IP2</t>
        </is>
      </c>
    </row>
    <row r="19" ht="30" customHeight="1">
      <c r="A19" s="31" t="inlineStr">
        <is>
          <t>D3.14c</t>
        </is>
      </c>
      <c r="B19" s="31" t="inlineStr">
        <is>
          <t>Parcelas en faja marginal</t>
        </is>
      </c>
      <c r="C19" s="31" t="inlineStr">
        <is>
          <t>3 opciones</t>
        </is>
      </c>
      <c r="D19" s="31" t="inlineStr">
        <is>
          <t>No=4 | No sabe=2 | Si=0</t>
        </is>
      </c>
      <c r="E19" s="31" t="inlineStr">
        <is>
          <t>ISA, IP2</t>
        </is>
      </c>
    </row>
    <row r="20" ht="30" customHeight="1">
      <c r="A20" s="31" t="inlineStr">
        <is>
          <t>D4.15</t>
        </is>
      </c>
      <c r="B20" s="31" t="inlineStr">
        <is>
          <t>Verificacion cambio de uso de suelo</t>
        </is>
      </c>
      <c r="C20" s="31" t="inlineStr">
        <is>
          <t>5 opciones</t>
        </is>
      </c>
      <c r="D20" s="31" t="inlineStr">
        <is>
          <t>Verificado sistematicamente=4 | Verificado sin hallazgos=3 | Verificacion parcial=2 | Casos detectados sin resolver=1 | No verificado=0</t>
        </is>
      </c>
      <c r="E20" s="31" t="inlineStr">
        <is>
          <t>ISA, IP2</t>
        </is>
      </c>
    </row>
    <row r="21" ht="30" customHeight="1">
      <c r="A21" s="31" t="inlineStr">
        <is>
          <t>D4.16</t>
        </is>
      </c>
      <c r="B21" s="31" t="inlineStr">
        <is>
          <t>Usa monitoreo satelital</t>
        </is>
      </c>
      <c r="C21" s="31" t="inlineStr">
        <is>
          <t>escala 0-4 directa</t>
        </is>
      </c>
      <c r="D21" s="31" t="inlineStr">
        <is>
          <t>Ya viene en escala 0-4</t>
        </is>
      </c>
      <c r="E21" s="31" t="inlineStr">
        <is>
          <t>ISA, IP2</t>
        </is>
      </c>
    </row>
    <row r="22" ht="30" customHeight="1">
      <c r="A22" s="31" t="inlineStr">
        <is>
          <t>D4.17</t>
        </is>
      </c>
      <c r="B22" s="31" t="inlineStr">
        <is>
          <t>Conoce clasificacion de riesgo de su zona</t>
        </is>
      </c>
      <c r="C22" s="31" t="inlineStr">
        <is>
          <t>3 opciones</t>
        </is>
      </c>
      <c r="D22" s="31" t="inlineStr">
        <is>
          <t>Si documentado=4 | Idea aproximada=2 | No sabe=0</t>
        </is>
      </c>
      <c r="E22" s="31" t="inlineStr">
        <is>
          <t>ISA, IP2</t>
        </is>
      </c>
    </row>
    <row r="23" ht="30" customHeight="1">
      <c r="A23" s="31" t="inlineStr">
        <is>
          <t>D5.18 a D5.21</t>
        </is>
      </c>
      <c r="B23" s="31" t="inlineStr">
        <is>
          <t>Sistema de diligencia debida (4 items)</t>
        </is>
      </c>
      <c r="C23" s="31" t="inlineStr">
        <is>
          <t>escala 0-4 / categorica</t>
        </is>
      </c>
      <c r="D23" s="31" t="inlineStr">
        <is>
          <t>18 ya es escala directa; 19,20,21 codificar de mejor a peor segun orden del Instrumento 2</t>
        </is>
      </c>
      <c r="E23" s="31" t="inlineStr">
        <is>
          <t>ISA, IP3</t>
        </is>
      </c>
    </row>
    <row r="24" ht="30" customHeight="1">
      <c r="A24" s="31" t="inlineStr">
        <is>
          <t>D6.22</t>
        </is>
      </c>
      <c r="B24" s="31" t="inlineStr">
        <is>
          <t>Presupuesto asignado</t>
        </is>
      </c>
      <c r="C24" s="31" t="inlineStr">
        <is>
          <t>3 opciones</t>
        </is>
      </c>
      <c r="D24" s="31" t="inlineStr">
        <is>
          <t>Si=4 | Parcial=2 | No=0</t>
        </is>
      </c>
      <c r="E24" s="31" t="inlineStr">
        <is>
          <t>ISA, IP3 (sistemas de gestion)</t>
        </is>
      </c>
    </row>
    <row r="25" ht="30" customHeight="1">
      <c r="A25" s="31" t="inlineStr">
        <is>
          <t>D6.23</t>
        </is>
      </c>
      <c r="B25" s="31" t="inlineStr">
        <is>
          <t>Digitalizacion de registros</t>
        </is>
      </c>
      <c r="C25" s="31" t="inlineStr">
        <is>
          <t>3 opciones</t>
        </is>
      </c>
      <c r="D25" s="31" t="inlineStr">
        <is>
          <t>Digital=4 | Mixto=2 | Papel=0</t>
        </is>
      </c>
      <c r="E25" s="31" t="inlineStr">
        <is>
          <t>ISA, IP4</t>
        </is>
      </c>
    </row>
    <row r="26" ht="30" customHeight="1">
      <c r="A26" s="31" t="inlineStr">
        <is>
          <t>D6.24</t>
        </is>
      </c>
      <c r="B26" s="31" t="inlineStr">
        <is>
          <t>Conectividad a internet</t>
        </is>
      </c>
      <c r="C26" s="31" t="inlineStr">
        <is>
          <t>3 opciones</t>
        </is>
      </c>
      <c r="D26" s="31" t="inlineStr">
        <is>
          <t>Confiable=4 | Limitada=2 | No hay=0</t>
        </is>
      </c>
      <c r="E26" s="31" t="inlineStr">
        <is>
          <t>ISA (nucleo); IV4 (invertido, NO entra a IP)</t>
        </is>
      </c>
    </row>
    <row r="27" ht="30" customHeight="1">
      <c r="A27" s="31" t="inlineStr">
        <is>
          <t>D6.25</t>
        </is>
      </c>
      <c r="B27" s="31" t="inlineStr">
        <is>
          <t>Ha gestionado apoyo externo</t>
        </is>
      </c>
      <c r="C27" s="31" t="inlineStr">
        <is>
          <t>4 opciones</t>
        </is>
      </c>
      <c r="D27" s="31" t="inlineStr">
        <is>
          <t>Si activo=4 | Si en el pasado=2.7 | No lo cree necesario=1.3 | No y lo necesita=0</t>
        </is>
      </c>
      <c r="E27" s="31" t="inlineStr">
        <is>
          <t>ISA, IP3 (sistemas de gestion)</t>
        </is>
      </c>
    </row>
    <row r="28" ht="30" customHeight="1">
      <c r="A28" s="31" t="inlineStr">
        <is>
          <t>D7.26 y D7.27</t>
        </is>
      </c>
      <c r="B28" s="31" t="inlineStr">
        <is>
          <t>Exigencias y apoyo del comprador</t>
        </is>
      </c>
      <c r="C28" s="31" t="inlineStr">
        <is>
          <t>categoricas</t>
        </is>
      </c>
      <c r="D28" s="31" t="inlineStr">
        <is>
          <t>Codificar mejor a peor segun orden del Instrumento 2</t>
        </is>
      </c>
      <c r="E28" s="31" t="inlineStr">
        <is>
          <t>ISA, IP5; IV5 (invertido)</t>
        </is>
      </c>
    </row>
    <row r="29" ht="30" customHeight="1">
      <c r="A29" s="31" t="inlineStr">
        <is>
          <t>D7.28</t>
        </is>
      </c>
      <c r="B29" s="31" t="inlineStr">
        <is>
          <t>Riesgo percibido de perder contrato (INFORMATIVO, no se promedia)</t>
        </is>
      </c>
      <c r="C29" s="31" t="inlineStr">
        <is>
          <t>4 opciones</t>
        </is>
      </c>
      <c r="D29" s="31" t="inlineStr">
        <is>
          <t>No se guarda en ningun indice - solo referencia</t>
        </is>
      </c>
      <c r="E29" s="31" t="inlineStr">
        <is>
          <t>Ninguno (excluido por diseno)</t>
        </is>
      </c>
    </row>
    <row r="30" ht="30" customHeight="1">
      <c r="A30" s="31" t="inlineStr">
        <is>
          <t>D8.29 a D8.32</t>
        </is>
      </c>
      <c r="B30" s="31" t="inlineStr">
        <is>
          <t>Gobernanza interna (4 items)</t>
        </is>
      </c>
      <c r="C30" s="31" t="inlineStr">
        <is>
          <t>escala 0-4 / % / categorica</t>
        </is>
      </c>
      <c r="D30" s="31" t="inlineStr">
        <is>
          <t>29 es escala directa, 30 es %, 31-32 codificar mejor a peor</t>
        </is>
      </c>
      <c r="E30" s="31" t="inlineStr">
        <is>
          <t>ISA (nucleo extendido); D8.31-32 tambien alimentan IV5 (invertidos, PROVISIONAL)</t>
        </is>
      </c>
    </row>
    <row r="31" ht="30" customHeight="1">
      <c r="A31" s="31" t="inlineStr">
        <is>
          <t>D9.33 a D9.35</t>
        </is>
      </c>
      <c r="B31" s="31" t="inlineStr">
        <is>
          <t>Sostenibilidad economica (3 items)</t>
        </is>
      </c>
      <c r="C31" s="31" t="inlineStr">
        <is>
          <t>categoricas</t>
        </is>
      </c>
      <c r="D31" s="31" t="inlineStr">
        <is>
          <t>Codificar mejor a peor segun orden del Instrumento 2</t>
        </is>
      </c>
      <c r="E31" s="31" t="inlineStr">
        <is>
          <t>ISA (nucleo extendido), IP5; TAMBIEN IV4 (invertido) - uso dual documentado</t>
        </is>
      </c>
    </row>
    <row r="32" ht="30" customHeight="1">
      <c r="A32" s="31" t="inlineStr">
        <is>
          <t>D10.36</t>
        </is>
      </c>
      <c r="B32" s="31" t="inlineStr">
        <is>
          <t>Cree que la certificacion ya cubre EUDR (BANDERA, texto exacto)</t>
        </is>
      </c>
      <c r="C32" s="31" t="inlineStr">
        <is>
          <t>4 opciones, texto libre</t>
        </is>
      </c>
      <c r="D32" s="31" t="inlineStr">
        <is>
          <t>Escribir EXACTAMENTE: 'Si, totalmente' / 'Si, en parte' / 'No, sabe que son distintas' / 'No tiene certificacion'</t>
        </is>
      </c>
      <c r="E32" s="31" t="inlineStr">
        <is>
          <t>Bandera aparte, nunca en ningun indice</t>
        </is>
      </c>
    </row>
    <row r="33" ht="30" customHeight="1">
      <c r="A33" s="31" t="inlineStr">
        <is>
          <t>D10.37</t>
        </is>
      </c>
      <c r="B33" s="31" t="inlineStr">
        <is>
          <t>Le ofrecieron 'certificacion EUDR' (texto)</t>
        </is>
      </c>
      <c r="C33" s="31" t="inlineStr">
        <is>
          <t>Si/No</t>
        </is>
      </c>
      <c r="D33" s="31" t="inlineStr">
        <is>
          <t>Escribir 'Si' o 'No'</t>
        </is>
      </c>
      <c r="E33" s="31" t="inlineStr">
        <is>
          <t>Bandera aparte</t>
        </is>
      </c>
    </row>
    <row r="34" ht="30" customHeight="1">
      <c r="A34" s="31" t="inlineStr">
        <is>
          <t>D11 conteo</t>
        </is>
      </c>
      <c r="B34" s="31" t="inlineStr">
        <is>
          <t>N de actores con contacto activo (de 7 posibles)</t>
        </is>
      </c>
      <c r="C34" s="31" t="inlineStr">
        <is>
          <t>conteo 0-7</t>
        </is>
      </c>
      <c r="D34" s="31" t="inlineStr">
        <is>
          <t>Escribir el numero de actores marcados en la pregunta 38</t>
        </is>
      </c>
      <c r="E34" s="31" t="inlineStr">
        <is>
          <t>IP5 (recalculado como %); NO se usa en IV</t>
        </is>
      </c>
    </row>
    <row r="35" ht="30" customHeight="1">
      <c r="A35" s="31" t="inlineStr">
        <is>
          <t>Certificaciones conteo</t>
        </is>
      </c>
      <c r="B35" s="31" t="inlineStr">
        <is>
          <t>N de certificaciones vigentes</t>
        </is>
      </c>
      <c r="C35" s="31" t="inlineStr">
        <is>
          <t>conteo 0-4</t>
        </is>
      </c>
      <c r="D35" s="31" t="inlineStr">
        <is>
          <t>0=0 pts | 1=33 pts | 2=66 pts | 3+=100 pts</t>
        </is>
      </c>
      <c r="E35" s="31" t="inlineStr">
        <is>
          <t>IP5 (recalculado); NO se usa en IV</t>
        </is>
      </c>
    </row>
    <row r="36" ht="30" customHeight="1">
      <c r="A36" s="31" t="inlineStr">
        <is>
          <t>Dispersion geografica</t>
        </is>
      </c>
      <c r="B36" s="31" t="inlineStr">
        <is>
          <t>Nueva - insumo IV3</t>
        </is>
      </c>
      <c r="C36" s="31" t="inlineStr">
        <is>
          <t>3 opciones</t>
        </is>
      </c>
      <c r="D36" s="31" t="inlineStr">
        <is>
          <t>Un solo distrito=4 | Varios distritos, misma provincia=2 | Varias provincias=0</t>
        </is>
      </c>
      <c r="E36" s="31" t="inlineStr">
        <is>
          <t>Solo IV3 (invertido)</t>
        </is>
      </c>
    </row>
    <row r="37" ht="30" customHeight="1">
      <c r="A37" s="31" t="inlineStr">
        <is>
          <t>Distancia a centro de acopio</t>
        </is>
      </c>
      <c r="B37" s="31" t="inlineStr">
        <is>
          <t>Nueva - insumo IV3</t>
        </is>
      </c>
      <c r="C37" s="31" t="inlineStr">
        <is>
          <t>5 opciones</t>
        </is>
      </c>
      <c r="D37" s="31" t="inlineStr">
        <is>
          <t>Menos de 5 km=4 | 5-20 km=3 | 20-50 km=2 | Mas de 50 km=1 | No medido=0</t>
        </is>
      </c>
      <c r="E37" s="31" t="inlineStr">
        <is>
          <t>Solo IV3 (invertido)</t>
        </is>
      </c>
    </row>
    <row r="38" ht="30" customHeight="1">
      <c r="A38" s="31" t="inlineStr">
        <is>
          <t>N socios / Hectareas totales</t>
        </is>
      </c>
      <c r="B38" s="31" t="inlineStr">
        <is>
          <t>Bloque 0 (ya existia)</t>
        </is>
      </c>
      <c r="C38" s="31" t="inlineStr">
        <is>
          <t>numeros</t>
        </is>
      </c>
      <c r="D38" s="31" t="inlineStr">
        <is>
          <t>Escribir cifras reales</t>
        </is>
      </c>
      <c r="E38" s="31" t="inlineStr">
        <is>
          <t>Deriva TamanoParcela = Ha/socios -&gt; normalizado min-max -&gt; IV3 (invertido)</t>
        </is>
      </c>
    </row>
    <row r="39" ht="30" customHeight="1">
      <c r="A39" s="31" t="inlineStr">
        <is>
          <t>P1 / P1b / P4</t>
        </is>
      </c>
      <c r="B39" s="31" t="inlineStr">
        <is>
          <t>Bloque P (P1b es nueva)</t>
        </is>
      </c>
      <c r="C39" s="31" t="inlineStr">
        <is>
          <t>numeros</t>
        </is>
      </c>
      <c r="D39" s="31" t="inlineStr">
        <is>
          <t>P1=volumen UE ultimo ano; P1b=volumen TOTAL todos los destinos (NUEVA); P4=N compradores UE activos</t>
        </is>
      </c>
      <c r="E39" s="31" t="inlineStr">
        <is>
          <t>IV1 (dependencia del mercado europeo)</t>
        </is>
      </c>
    </row>
    <row r="40" ht="30" customHeight="1">
      <c r="A40" s="31" t="inlineStr">
        <is>
          <t>% mujeres en directiva</t>
        </is>
      </c>
      <c r="B40" s="31" t="inlineStr">
        <is>
          <t>Nueva - insumo IV5 (hallazgo Vietnam EUDR readiness study 2025)</t>
        </is>
      </c>
      <c r="C40" s="31" t="inlineStr">
        <is>
          <t>porcentaje</t>
        </is>
      </c>
      <c r="D40" s="31" t="inlineStr">
        <is>
          <t>Escribir directo 0-100 (variable de contexto, NO entra a D1-D9/ISA/IP)</t>
        </is>
      </c>
      <c r="E40" s="31" t="inlineStr">
        <is>
          <t>Solo IV5 (invertido) - proxy de riesgo de exclusion por baja representacion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2026-09-16T23:46:10Z</dcterms:created>
  <dcterms:modified xmlns:dcterms="http://purl.org/dc/terms/" xmlns:xsi="http://www.w3.org/2001/XMLSchema-instance" xsi:type="dcterms:W3CDTF">2026-09-17T03:09:08Z</dcterms:modified>
</cp:coreProperties>
</file>