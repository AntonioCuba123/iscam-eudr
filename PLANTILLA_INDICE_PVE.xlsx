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NDERADORES" sheetId="2" state="visible" r:id="rId2"/>
    <sheet xmlns:r="http://schemas.openxmlformats.org/officeDocument/2006/relationships" name="MATRIZ_174" sheetId="3" state="visible" r:id="rId3"/>
    <sheet xmlns:r="http://schemas.openxmlformats.org/officeDocument/2006/relationships" name="PREGUNTAS_PROXY" sheetId="4" state="visible" r:id="rId4"/>
    <sheet xmlns:r="http://schemas.openxmlformats.org/officeDocument/2006/relationships" name="SCORECARDS" sheetId="5" state="visible" r:id="rId5"/>
    <sheet xmlns:r="http://schemas.openxmlformats.org/officeDocument/2006/relationships" name="RADAR_BRECH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.0"/>
    <numFmt numFmtId="166" formatCode="0.0"/>
    <numFmt numFmtId="167" formatCode="$#,##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97D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</font>
    <font>
      <name val="Calibri"/>
      <b val="1"/>
      <color rgb="00000000"/>
    </font>
    <font>
      <name val="Calibri"/>
      <i val="1"/>
      <color rgb="009C0006"/>
      <sz val="10"/>
    </font>
    <font>
      <b val="1"/>
      <color rgb="00375623"/>
    </font>
    <font>
      <name val="Calibri"/>
      <i val="1"/>
      <color rgb="00999999"/>
      <sz val="10"/>
    </font>
    <font>
      <b val="1"/>
      <color rgb="009C0006"/>
    </font>
    <font>
      <name val="Calibri"/>
      <i val="1"/>
      <color rgb="009C0006"/>
      <sz val="9"/>
    </font>
    <font>
      <name val="Calibri"/>
      <b val="1"/>
      <color rgb="00000000"/>
      <sz val="10"/>
    </font>
    <font>
      <b val="1"/>
      <color rgb="009C6500"/>
    </font>
    <font>
      <name val="Calibri"/>
      <i val="1"/>
      <color rgb="00595959"/>
      <sz val="9"/>
    </font>
    <font>
      <b val="1"/>
    </font>
    <font>
      <b val="1"/>
      <sz val="8"/>
    </font>
  </fonts>
  <fills count="3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97D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9DC3E6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2D050"/>
      </patternFill>
    </fill>
    <fill>
      <patternFill patternType="solid">
        <fgColor rgb="00FF6600"/>
      </patternFill>
    </fill>
    <fill>
      <patternFill patternType="solid">
        <fgColor rgb="00C9A227"/>
      </patternFill>
    </fill>
    <fill>
      <patternFill patternType="solid">
        <fgColor rgb="00808080"/>
      </patternFill>
    </fill>
    <fill>
      <patternFill patternType="solid">
        <fgColor rgb="00FFEB9C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E699"/>
        <bgColor rgb="00FFE699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1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left" vertical="center" wrapText="1"/>
    </xf>
    <xf numFmtId="0" fontId="6" fillId="2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7" fontId="4" fillId="0" borderId="1" pivotButton="0" quotePrefix="0" xfId="0"/>
    <xf numFmtId="2" fontId="3" fillId="0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17" fillId="21" borderId="1" pivotButton="0" quotePrefix="0" xfId="0"/>
    <xf numFmtId="0" fontId="14" fillId="8" borderId="1" pivotButton="0" quotePrefix="0" xfId="0"/>
    <xf numFmtId="0" fontId="13" fillId="7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22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19" fillId="24" borderId="0" applyAlignment="1" pivotButton="0" quotePrefix="0" xfId="0">
      <alignment horizontal="center" wrapText="1"/>
    </xf>
    <xf numFmtId="0" fontId="19" fillId="26" borderId="0" applyAlignment="1" pivotButton="0" quotePrefix="0" xfId="0">
      <alignment horizontal="center" wrapText="1"/>
    </xf>
    <xf numFmtId="0" fontId="19" fillId="28" borderId="0" applyAlignment="1" pivotButton="0" quotePrefix="0" xfId="0">
      <alignment horizontal="center" wrapText="1"/>
    </xf>
    <xf numFmtId="0" fontId="0" fillId="25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19" fillId="24" borderId="1" applyAlignment="1" pivotButton="0" quotePrefix="0" xfId="0">
      <alignment horizontal="center" wrapText="1"/>
    </xf>
    <xf numFmtId="2" fontId="8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0" borderId="0" applyAlignment="1" pivotButton="0" quotePrefix="0" xfId="0">
      <alignment horizontal="center"/>
    </xf>
    <xf numFmtId="0" fontId="19" fillId="24" borderId="0" applyAlignment="1" pivotButton="0" quotePrefix="0" xfId="0">
      <alignment horizontal="center"/>
    </xf>
    <xf numFmtId="0" fontId="20" fillId="24" borderId="0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375623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PLANTILLA ÍNDICE PVE — PACTO VERDE EUROPEO</t>
        </is>
      </c>
    </row>
    <row r="2" ht="22" customHeight="1">
      <c r="A2" s="1" t="inlineStr">
        <is>
          <t>Clasificación de preparación y vulnerabilidad de cooperativas café y cacao ante el EUDR / Pacto Verde Europeo</t>
        </is>
      </c>
    </row>
    <row r="4" ht="18" customHeight="1">
      <c r="A4" s="2" t="inlineStr">
        <is>
          <t>PROPÓSITO</t>
        </is>
      </c>
    </row>
    <row r="5"/>
    <row r="7" ht="18" customHeight="1">
      <c r="A7" s="2" t="inlineStr">
        <is>
          <t>CÓMO FUNCIONA</t>
        </is>
      </c>
    </row>
    <row r="8"/>
    <row r="10" ht="18" customHeight="1">
      <c r="A10" s="2" t="inlineStr">
        <is>
          <t>FLUJO DE USO</t>
        </is>
      </c>
    </row>
    <row r="11">
      <c r="A11" s="3" t="inlineStr">
        <is>
          <t>Paso 1</t>
        </is>
      </c>
      <c r="B11" s="4" t="inlineStr">
        <is>
          <t>Revisar PONDERADORES — los pesos son editables en celdas amarillas</t>
        </is>
      </c>
      <c r="C11" s="6" t="n"/>
      <c r="D11" s="6" t="n"/>
      <c r="E11" s="6" t="n"/>
      <c r="F11" s="6" t="n"/>
      <c r="G11" s="6" t="n"/>
      <c r="H11" s="7" t="n"/>
    </row>
    <row r="12">
      <c r="A12" s="3" t="inlineStr">
        <is>
          <t>Paso 2</t>
        </is>
      </c>
      <c r="B12" s="4" t="inlineStr">
        <is>
          <t>Ir a MATRIZ_174 — verificar/actualizar FOB, país destino, certificaciones</t>
        </is>
      </c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Paso 3</t>
        </is>
      </c>
      <c r="B13" s="4" t="inlineStr">
        <is>
          <t>Para cada organización con FOB UE &gt; 0, completar PREGUNTAS_PROXY usando llamada telefónica o visita de 30 min</t>
        </is>
      </c>
      <c r="C13" s="6" t="n"/>
      <c r="D13" s="6" t="n"/>
      <c r="E13" s="6" t="n"/>
      <c r="F13" s="6" t="n"/>
      <c r="G13" s="6" t="n"/>
      <c r="H13" s="7" t="n"/>
    </row>
    <row r="14">
      <c r="A14" s="3" t="inlineStr">
        <is>
          <t>Paso 4</t>
        </is>
      </c>
      <c r="B14" s="4" t="inlineStr">
        <is>
          <t>Revisar SCORECARDS — el semáforo se actualiza automáticamente</t>
        </is>
      </c>
      <c r="C14" s="6" t="n"/>
      <c r="D14" s="6" t="n"/>
      <c r="E14" s="6" t="n"/>
      <c r="F14" s="6" t="n"/>
      <c r="G14" s="6" t="n"/>
      <c r="H14" s="7" t="n"/>
    </row>
    <row r="15">
      <c r="A15" s="3" t="inlineStr">
        <is>
          <t>Paso 5</t>
        </is>
      </c>
      <c r="B15" s="4" t="inlineStr">
        <is>
          <t>Usar RADAR_BRECHAS para comparación por departamento</t>
        </is>
      </c>
      <c r="C15" s="6" t="n"/>
      <c r="D15" s="6" t="n"/>
      <c r="E15" s="6" t="n"/>
      <c r="F15" s="6" t="n"/>
      <c r="G15" s="6" t="n"/>
      <c r="H15" s="7" t="n"/>
    </row>
    <row r="17" ht="18" customHeight="1">
      <c r="A17" s="2" t="inlineStr">
        <is>
          <t>SEMÁFORO</t>
        </is>
      </c>
    </row>
    <row r="18">
      <c r="A18" s="3" t="inlineStr">
        <is>
          <t>🔴 Crítico (0–33)</t>
        </is>
      </c>
      <c r="B18" s="4" t="inlineStr">
        <is>
          <t>La cooperativa no puede generar la declaración EUDR. Riesgo de rechazo en frontera UE desde dic 2026.</t>
        </is>
      </c>
      <c r="C18" s="6" t="n"/>
      <c r="D18" s="6" t="n"/>
      <c r="E18" s="6" t="n"/>
      <c r="F18" s="6" t="n"/>
      <c r="G18" s="6" t="n"/>
      <c r="H18" s="7" t="n"/>
    </row>
    <row r="19">
      <c r="A19" s="3" t="inlineStr">
        <is>
          <t>🟡 Vulnerable (34–66)</t>
        </is>
      </c>
      <c r="B19" s="4" t="inlineStr">
        <is>
          <t>Tiene infraestructura parcial pero incompleta. Necesita inversión en geolocalización y proceso.</t>
        </is>
      </c>
      <c r="C19" s="6" t="n"/>
      <c r="D19" s="6" t="n"/>
      <c r="E19" s="6" t="n"/>
      <c r="F19" s="6" t="n"/>
      <c r="G19" s="6" t="n"/>
      <c r="H19" s="7" t="n"/>
    </row>
    <row r="20">
      <c r="A20" s="3" t="inlineStr">
        <is>
          <t>🟢 Preparado (67–100)</t>
        </is>
      </c>
      <c r="B20" s="4" t="inlineStr">
        <is>
          <t>Cumple los requisitos mínimos. Requiere monitoreo de actualización.</t>
        </is>
      </c>
      <c r="C20" s="6" t="n"/>
      <c r="D20" s="6" t="n"/>
      <c r="E20" s="6" t="n"/>
      <c r="F20" s="6" t="n"/>
      <c r="G20" s="6" t="n"/>
      <c r="H20" s="7" t="n"/>
    </row>
    <row r="22" ht="18" customHeight="1">
      <c r="A22" s="2" t="inlineStr">
        <is>
          <t>NOTAS IMPORTANTES</t>
        </is>
      </c>
    </row>
    <row r="23"/>
    <row r="24"/>
    <row r="25"/>
    <row r="26"/>
    <row r="27"/>
  </sheetData>
  <mergeCells count="22">
    <mergeCell ref="A24:H24"/>
    <mergeCell ref="B15:H15"/>
    <mergeCell ref="A1:H1"/>
    <mergeCell ref="B20:H20"/>
    <mergeCell ref="A7:H7"/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6" customWidth="1" min="4" max="4"/>
  </cols>
  <sheetData>
    <row r="1" ht="28" customHeight="1">
      <c r="A1" s="1" t="inlineStr">
        <is>
          <t>BLOQUE DE SUPUESTOS — PONDERACIONES DEL ÍNDICE PVE</t>
        </is>
      </c>
    </row>
    <row r="2">
      <c r="A2" s="5" t="inlineStr">
        <is>
          <t>LEYENDA DE COLORES</t>
        </is>
      </c>
      <c r="B2" s="6" t="n"/>
      <c r="C2" s="6" t="n"/>
      <c r="D2" s="7" t="n"/>
    </row>
    <row r="3">
      <c r="A3" s="4" t="inlineStr">
        <is>
          <t>🔵 Azul</t>
        </is>
      </c>
      <c r="B3" s="4" t="inlineStr">
        <is>
          <t>Input hardcoded — valor primario, editable</t>
        </is>
      </c>
    </row>
    <row r="4">
      <c r="A4" s="4" t="inlineStr">
        <is>
          <t>⚫ Negro</t>
        </is>
      </c>
      <c r="B4" s="4" t="inlineStr">
        <is>
          <t>Fórmula calculada — no editar manualmente</t>
        </is>
      </c>
    </row>
    <row r="5">
      <c r="A5" s="4" t="inlineStr">
        <is>
          <t>🟡 Amarillo</t>
        </is>
      </c>
      <c r="B5" s="4" t="inlineStr">
        <is>
          <t>Input editable — cambiar ponderación aquí</t>
        </is>
      </c>
    </row>
    <row r="6">
      <c r="A6" s="4" t="inlineStr">
        <is>
          <t>🟢 Verde</t>
        </is>
      </c>
      <c r="B6" s="4" t="inlineStr">
        <is>
          <t>Resultado positivo (cumple)</t>
        </is>
      </c>
    </row>
    <row r="7">
      <c r="A7" s="4" t="inlineStr">
        <is>
          <t>🔴 Rojo</t>
        </is>
      </c>
      <c r="B7" s="4" t="inlineStr">
        <is>
          <t>Resultado negativo (no cumple)</t>
        </is>
      </c>
    </row>
    <row r="8">
      <c r="A8" s="4" t="inlineStr">
        <is>
          <t>⬜ Gris</t>
        </is>
      </c>
      <c r="B8" s="4" t="inlineStr">
        <is>
          <t>Dato pendiente de capturar</t>
        </is>
      </c>
    </row>
    <row r="10">
      <c r="A10" s="5" t="inlineStr">
        <is>
          <t>PONDERACIONES — MODIFICAR SOLO LAS CELDAS AMARILLAS</t>
        </is>
      </c>
      <c r="B10" s="6" t="n"/>
      <c r="C10" s="6" t="n"/>
      <c r="D10" s="7" t="n"/>
    </row>
    <row r="11">
      <c r="A11" s="8" t="inlineStr">
        <is>
          <t>Componente</t>
        </is>
      </c>
      <c r="B11" s="8" t="inlineStr">
        <is>
          <t>Dimensión EUDR</t>
        </is>
      </c>
      <c r="C11" s="8" t="inlineStr">
        <is>
          <t>Variable</t>
        </is>
      </c>
      <c r="D11" s="8" t="inlineStr">
        <is>
          <t>Ponderación (%)</t>
        </is>
      </c>
    </row>
    <row r="12" ht="18" customHeight="1">
      <c r="A12" s="9" t="inlineStr">
        <is>
          <t>EXP_UE</t>
        </is>
      </c>
      <c r="B12" s="9" t="inlineStr">
        <is>
          <t>D7 / Exposición UE</t>
        </is>
      </c>
      <c r="C12" s="9" t="inlineStr">
        <is>
          <t>% FOB exportado a UE sobre FOB total</t>
        </is>
      </c>
      <c r="D12" s="10" t="n">
        <v>25</v>
      </c>
    </row>
    <row r="13" ht="18" customHeight="1">
      <c r="A13" s="9" t="inlineStr">
        <is>
          <t>TRAZA</t>
        </is>
      </c>
      <c r="B13" s="9" t="inlineStr">
        <is>
          <t>D2 / Trazabilidad</t>
        </is>
      </c>
      <c r="C13" s="9" t="inlineStr">
        <is>
          <t>¿Existe vínculo lote → parcela con coords?</t>
        </is>
      </c>
      <c r="D13" s="10" t="n">
        <v>20</v>
      </c>
    </row>
    <row r="14" ht="18" customHeight="1">
      <c r="A14" s="9" t="inlineStr">
        <is>
          <t>DILIG</t>
        </is>
      </c>
      <c r="B14" s="9" t="inlineStr">
        <is>
          <t>D5 / Debida diligencia</t>
        </is>
      </c>
      <c r="C14" s="9" t="inlineStr">
        <is>
          <t>¿Existe proceso de evaluación de riesgo?</t>
        </is>
      </c>
      <c r="D14" s="10" t="n">
        <v>15</v>
      </c>
    </row>
    <row r="15" ht="18" customHeight="1">
      <c r="A15" s="9" t="inlineStr">
        <is>
          <t>CAPAC</t>
        </is>
      </c>
      <c r="B15" s="9" t="inlineStr">
        <is>
          <t>D6 / Capacidad digital</t>
        </is>
      </c>
      <c r="C15" s="9" t="inlineStr">
        <is>
          <t>¿Tiene personal dedicado a datos?</t>
        </is>
      </c>
      <c r="D15" s="10" t="n">
        <v>10</v>
      </c>
    </row>
    <row r="16" ht="18" customHeight="1">
      <c r="A16" s="9" t="inlineStr">
        <is>
          <t>PRESION</t>
        </is>
      </c>
      <c r="B16" s="9" t="inlineStr">
        <is>
          <t>D7 / Presión comprador</t>
        </is>
      </c>
      <c r="C16" s="9" t="inlineStr">
        <is>
          <t>¿Comprador UE exige EUDR?</t>
        </is>
      </c>
      <c r="D16" s="10" t="n">
        <v>15</v>
      </c>
    </row>
    <row r="17" ht="18" customHeight="1">
      <c r="A17" s="9" t="inlineStr">
        <is>
          <t>CERTIF</t>
        </is>
      </c>
      <c r="B17" s="9" t="inlineStr">
        <is>
          <t>D8 / Certificaciones</t>
        </is>
      </c>
      <c r="C17" s="9" t="inlineStr">
        <is>
          <t>Score de certificaciones vigentes (Org + Ftrade)</t>
        </is>
      </c>
      <c r="D17" s="10" t="n">
        <v>10</v>
      </c>
    </row>
    <row r="18" ht="18" customHeight="1">
      <c r="A18" s="9" t="inlineStr">
        <is>
          <t>PPWR</t>
        </is>
      </c>
      <c r="B18" s="9" t="inlineStr">
        <is>
          <t>D14 / Envases</t>
        </is>
      </c>
      <c r="C18" s="9" t="inlineStr">
        <is>
          <t>¿Usa sacos reutilizables o certificados?</t>
        </is>
      </c>
      <c r="D18" s="10" t="n">
        <v>5</v>
      </c>
    </row>
    <row r="19" ht="20" customHeight="1">
      <c r="A19" s="11" t="inlineStr">
        <is>
          <t>TOTAL</t>
        </is>
      </c>
      <c r="D19" s="12">
        <f>SUM(D12:D18)</f>
        <v/>
      </c>
    </row>
    <row r="21">
      <c r="A21" s="13" t="inlineStr">
        <is>
          <t>⚠  El TOTAL debe sumar 100. Si lo ajustas, el Índice PVE en SCORECARDS se recalcula automáticamente.</t>
        </is>
      </c>
    </row>
  </sheetData>
  <mergeCells count="5">
    <mergeCell ref="A1:D1"/>
    <mergeCell ref="B19:C19"/>
    <mergeCell ref="A21:D21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7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3" max="23"/>
    <col width="22" customWidth="1" min="24" max="24"/>
    <col width="22" customWidth="1" min="25" max="25"/>
    <col width="22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6" customWidth="1" min="41" max="41"/>
    <col width="16" customWidth="1" min="42" max="42"/>
  </cols>
  <sheetData>
    <row r="1" ht="28" customHeight="1">
      <c r="A1" s="1" t="inlineStr">
        <is>
          <t>MATRIZ 174 — Datos existentes de organizaciones</t>
        </is>
      </c>
      <c r="W1" s="69" t="inlineStr">
        <is>
          <t>D12</t>
        </is>
      </c>
      <c r="X1" s="59" t="inlineStr">
        <is>
          <t>D13</t>
        </is>
      </c>
      <c r="Y1" s="59" t="inlineStr">
        <is>
          <t>D14</t>
        </is>
      </c>
      <c r="Z1" s="59" t="inlineStr">
        <is>
          <t>D15</t>
        </is>
      </c>
      <c r="AA1" s="60" t="inlineStr">
        <is>
          <t>P1</t>
        </is>
      </c>
      <c r="AB1" s="60" t="inlineStr">
        <is>
          <t>P2</t>
        </is>
      </c>
      <c r="AC1" s="60" t="inlineStr">
        <is>
          <t>P3</t>
        </is>
      </c>
      <c r="AD1" s="60" t="inlineStr">
        <is>
          <t>P4</t>
        </is>
      </c>
      <c r="AE1" s="60" t="inlineStr">
        <is>
          <t>P5</t>
        </is>
      </c>
      <c r="AF1" s="60" t="inlineStr">
        <is>
          <t>P6</t>
        </is>
      </c>
      <c r="AG1" s="60" t="inlineStr">
        <is>
          <t>P7</t>
        </is>
      </c>
      <c r="AH1" s="60" t="inlineStr">
        <is>
          <t>P8</t>
        </is>
      </c>
      <c r="AI1" s="60" t="inlineStr">
        <is>
          <t>P9</t>
        </is>
      </c>
      <c r="AJ1" s="60" t="inlineStr">
        <is>
          <t>P10</t>
        </is>
      </c>
      <c r="AK1" s="60" t="inlineStr">
        <is>
          <t>P11</t>
        </is>
      </c>
      <c r="AL1" s="60" t="inlineStr">
        <is>
          <t>P12</t>
        </is>
      </c>
      <c r="AM1" s="60" t="inlineStr">
        <is>
          <t>P13</t>
        </is>
      </c>
      <c r="AN1" s="60" t="inlineStr">
        <is>
          <t>P14</t>
        </is>
      </c>
      <c r="AO1" s="60" t="inlineStr">
        <is>
          <t>Bloque P
Score (0-1)</t>
        </is>
      </c>
      <c r="AP1" s="61" t="inlineStr">
        <is>
          <t>ISA-PactoVerde
(0-1)</t>
        </is>
      </c>
    </row>
    <row r="2" ht="100" customHeight="1">
      <c r="A2" s="8" t="inlineStr">
        <is>
          <t>RUC</t>
        </is>
      </c>
      <c r="B2" s="8" t="inlineStr">
        <is>
          <t>Razón Social (SUNAT)</t>
        </is>
      </c>
      <c r="C2" s="8" t="inlineStr">
        <is>
          <t>Depto</t>
        </is>
      </c>
      <c r="D2" s="8" t="inlineStr">
        <is>
          <t>Producto</t>
        </is>
      </c>
      <c r="E2" s="8" t="inlineStr">
        <is>
          <t>FOB Total USD</t>
        </is>
      </c>
      <c r="F2" s="8" t="inlineStr">
        <is>
          <t>N° DUAs</t>
        </is>
      </c>
      <c r="G2" s="8" t="inlineStr">
        <is>
          <t>Exporta</t>
        </is>
      </c>
      <c r="H2" s="8" t="inlineStr">
        <is>
          <t>Cert. Orgánica</t>
        </is>
      </c>
      <c r="I2" s="8" t="inlineStr">
        <is>
          <t>Cert. Fairtrade</t>
        </is>
      </c>
      <c r="J2" s="8" t="inlineStr">
        <is>
          <t>Estado SUNAT</t>
        </is>
      </c>
      <c r="K2" s="8" t="inlineStr">
        <is>
          <t>Avance EUDR</t>
        </is>
      </c>
      <c r="L2" s="8" t="inlineStr">
        <is>
          <t>FOB UE USD</t>
        </is>
      </c>
      <c r="M2" s="8" t="inlineStr">
        <is>
          <t>% UE/FOB</t>
        </is>
      </c>
      <c r="N2" s="8" t="inlineStr">
        <is>
          <t>HS Code principal</t>
        </is>
      </c>
      <c r="O2" s="8" t="inlineStr">
        <is>
          <t>Score Cert (0-1)</t>
        </is>
      </c>
      <c r="P2" s="8" t="inlineStr">
        <is>
          <t>Tipo org.</t>
        </is>
      </c>
      <c r="Q2" s="8" t="inlineStr">
        <is>
          <t>N° aprox. socios</t>
        </is>
      </c>
      <c r="R2" s="8" t="inlineStr">
        <is>
          <t>Hectáreas aprox.</t>
        </is>
      </c>
      <c r="S2" s="8" t="inlineStr">
        <is>
          <t>PVE Score (0-100)</t>
        </is>
      </c>
      <c r="T2" s="8" t="inlineStr">
        <is>
          <t>Clasificación</t>
        </is>
      </c>
      <c r="U2" s="56" t="inlineStr">
        <is>
          <t>D3 Score (OSCE)</t>
        </is>
      </c>
      <c r="V2" s="56" t="inlineStr">
        <is>
          <t>D3 Observación</t>
        </is>
      </c>
      <c r="W2" s="70" t="inlineStr">
        <is>
          <t>D12 — Huella Carbono
0=Sin medición
1=En curso (ha conocidas)
2=Certificado
─────────────────────
NOTA: Valor actual = proxy FAO/IPCC
(ha × factor IPCC/FAO por cultivo).
Reemplazar tras Instrumento 2 Q40-Q44.</t>
        </is>
      </c>
      <c r="X2" s="59" t="inlineStr">
        <is>
          <t>Reporte Sostenibilidad (D13)
0=No, 1=En curso, 2=Publicado</t>
        </is>
      </c>
      <c r="Y2" s="59" t="inlineStr">
        <is>
          <t>Economía Circular (D14)
0=No, 1=En transición, 2=Avanzado</t>
        </is>
      </c>
      <c r="Z2" s="59" t="inlineStr">
        <is>
          <t>Fitosanitario/LMR (D15)
0=No verificado, 1=En monitoreo, 2=Cumple UE</t>
        </is>
      </c>
      <c r="AA2" s="60" t="inlineStr">
        <is>
          <t>P1 — Productividad (USD/ha/año)</t>
        </is>
      </c>
      <c r="AB2" s="60" t="inlineStr">
        <is>
          <t>P2 — Ingreso neto (USD/ha)</t>
        </is>
      </c>
      <c r="AC2" s="60" t="inlineStr">
        <is>
          <t>P3 — % socios con acceso crédito</t>
        </is>
      </c>
      <c r="AD2" s="60" t="inlineStr">
        <is>
          <t>P4 — Gender score (% muj. en org.)</t>
        </is>
      </c>
      <c r="AE2" s="60" t="inlineStr">
        <is>
          <t>P5 — Formalización laboral (%)</t>
        </is>
      </c>
      <c r="AF2" s="60" t="inlineStr">
        <is>
          <t>P6 — Capacitación/año/persona</t>
        </is>
      </c>
      <c r="AG2" s="60" t="inlineStr">
        <is>
          <t>P7 — Tasa retención socios (%)</t>
        </is>
      </c>
      <c r="AH2" s="60" t="inlineStr">
        <is>
          <t>P8 — Diversificación ingresos (%)</t>
        </is>
      </c>
      <c r="AI2" s="60" t="inlineStr">
        <is>
          <t>P9 — Acceso mercados premium (%)</t>
        </is>
      </c>
      <c r="AJ2" s="60" t="inlineStr">
        <is>
          <t>P10 — Inversión EUDR (USD/año)</t>
        </is>
      </c>
      <c r="AK2" s="60" t="inlineStr">
        <is>
          <t>P11 — Score trazabilidad (%)</t>
        </is>
      </c>
      <c r="AL2" s="60" t="inlineStr">
        <is>
          <t>P12 — Quejas resueltas (%)</t>
        </is>
      </c>
      <c r="AM2" s="60" t="inlineStr">
        <is>
          <t>P13 — Energía renovable (%)</t>
        </is>
      </c>
      <c r="AN2" s="60" t="inlineStr">
        <is>
          <t>P14 — Residuos gestionados (%)</t>
        </is>
      </c>
      <c r="AO2" s="60" t="inlineStr">
        <is>
          <t>P_Global — Promedio P1:P14
(0=None, 1=满分)</t>
        </is>
      </c>
      <c r="AP2" s="61" t="inlineStr">
        <is>
          <t>ISA-PactoVerde = AVG(D12:D15)/2
0=Nada, 2=Certificado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9" t="inlineStr">
        <is>
          <t>PUNO</t>
        </is>
      </c>
      <c r="D3" s="9" t="inlineStr">
        <is>
          <t>CAFÉ</t>
        </is>
      </c>
      <c r="E3" s="14" t="n">
        <v>5107246.619999999</v>
      </c>
      <c r="F3" s="15" t="n">
        <v>38</v>
      </c>
      <c r="G3" s="16" t="inlineStr">
        <is>
          <t>SI</t>
        </is>
      </c>
      <c r="H3" s="15" t="inlineStr">
        <is>
          <t>nan</t>
        </is>
      </c>
      <c r="I3" s="15" t="inlineStr">
        <is>
          <t>nan</t>
        </is>
      </c>
      <c r="J3" s="15" t="inlineStr">
        <is>
          <t>ACTIVO</t>
        </is>
      </c>
      <c r="K3" s="15" t="inlineStr">
        <is>
          <t>nan</t>
        </is>
      </c>
      <c r="L3" s="17" t="n">
        <v>2553623.31</v>
      </c>
      <c r="M3" s="18">
        <f>IF(E3&gt;0,ROUND(L3/E3*100,1),0)</f>
        <v/>
      </c>
      <c r="N3" s="19" t="inlineStr">
        <is>
          <t>PENDIENTE</t>
        </is>
      </c>
      <c r="O3" s="20">
        <f>IF(H3="SI",1,0)*0.6+IF(I3="SI",1,0)*0.4</f>
        <v/>
      </c>
      <c r="P3" s="19" t="inlineStr">
        <is>
          <t>PENDIENTE</t>
        </is>
      </c>
      <c r="Q3" s="14" t="n"/>
      <c r="R3" s="21" t="n"/>
      <c r="S3" s="22">
        <f>IFERROR(SCORECARDS!C1,"—")</f>
        <v/>
      </c>
      <c r="T3" s="23">
        <f>IF(ISTEXT(S3),S3,IF(S3&lt;34,"🔴 Crítico",IF(S3&lt;67,"🟡 Vulnerable","🟢 Preparado")))</f>
        <v/>
      </c>
      <c r="U3" s="57" t="n">
        <v>1</v>
      </c>
      <c r="V3" t="inlineStr">
        <is>
          <t>Sin hallazgos OSCE / OEFA</t>
        </is>
      </c>
      <c r="W3" s="68" t="n">
        <v>1</v>
      </c>
      <c r="X3" s="62" t="n">
        <v>0</v>
      </c>
      <c r="Y3" s="62" t="n">
        <v>0</v>
      </c>
      <c r="Z3" s="62" t="n">
        <v>0</v>
      </c>
      <c r="AA3" s="62" t="n">
        <v>0</v>
      </c>
      <c r="AB3" s="62" t="n">
        <v>0</v>
      </c>
      <c r="AC3" s="62" t="n">
        <v>0</v>
      </c>
      <c r="AD3" s="62" t="n">
        <v>0</v>
      </c>
      <c r="AE3" s="62" t="n">
        <v>0</v>
      </c>
      <c r="AF3" s="62" t="n">
        <v>0</v>
      </c>
      <c r="AG3" s="62" t="n">
        <v>0</v>
      </c>
      <c r="AH3" s="62" t="n">
        <v>0</v>
      </c>
      <c r="AI3" s="62" t="n">
        <v>0</v>
      </c>
      <c r="AJ3" s="62" t="n">
        <v>0</v>
      </c>
      <c r="AK3" s="62" t="n">
        <v>0</v>
      </c>
      <c r="AL3" s="62" t="n">
        <v>0</v>
      </c>
      <c r="AM3" s="62" t="n">
        <v>0</v>
      </c>
      <c r="AN3" s="62" t="n">
        <v>0</v>
      </c>
      <c r="AO3" s="63">
        <f>IFERROR(AVERAGE(AA3,AB3,AC3,AD3,AE3,AF3,AG3,AH3,AI3,AJ3,AK3,AL3,AM3,AN3),"N/A")</f>
        <v/>
      </c>
      <c r="AP3" s="64">
        <f>IFERROR(AVERAGE(W3,X3,Y3,Z3)/2,"N/A")</f>
        <v/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9" t="inlineStr">
        <is>
          <t>AYACUCHO</t>
        </is>
      </c>
      <c r="D4" s="9" t="inlineStr">
        <is>
          <t>CACAO</t>
        </is>
      </c>
      <c r="E4" s="14" t="n">
        <v>0</v>
      </c>
      <c r="F4" s="15" t="n"/>
      <c r="G4" s="24" t="inlineStr">
        <is>
          <t>NO</t>
        </is>
      </c>
      <c r="H4" s="15" t="inlineStr">
        <is>
          <t>nan</t>
        </is>
      </c>
      <c r="I4" s="15" t="inlineStr">
        <is>
          <t>nan</t>
        </is>
      </c>
      <c r="J4" s="15" t="inlineStr">
        <is>
          <t>ACTIVO</t>
        </is>
      </c>
      <c r="K4" s="15" t="inlineStr">
        <is>
          <t>nan</t>
        </is>
      </c>
      <c r="L4" s="17" t="n">
        <v>0</v>
      </c>
      <c r="M4" s="18">
        <f>IF(E4&gt;0,ROUND(L4/E4*100,1),0)</f>
        <v/>
      </c>
      <c r="N4" s="19" t="inlineStr">
        <is>
          <t>PENDIENTE</t>
        </is>
      </c>
      <c r="O4" s="20">
        <f>IF(H4="SI",1,0)*0.6+IF(I4="SI",1,0)*0.4</f>
        <v/>
      </c>
      <c r="P4" s="19" t="inlineStr">
        <is>
          <t>PENDIENTE</t>
        </is>
      </c>
      <c r="Q4" s="14" t="n"/>
      <c r="R4" s="21" t="n"/>
      <c r="S4" s="22">
        <f>IFERROR(SCORECARDS!C2,"—")</f>
        <v/>
      </c>
      <c r="T4" s="23">
        <f>IF(ISTEXT(S4),S4,IF(S4&lt;34,"🔴 Crítico",IF(S4&lt;67,"🟡 Vulnerable","🟢 Preparado")))</f>
        <v/>
      </c>
      <c r="W4" s="62" t="n">
        <v>0</v>
      </c>
      <c r="X4" s="62" t="n">
        <v>0</v>
      </c>
      <c r="Y4" s="62" t="n">
        <v>0</v>
      </c>
      <c r="Z4" s="62" t="n">
        <v>0</v>
      </c>
      <c r="AA4" s="62" t="n">
        <v>0</v>
      </c>
      <c r="AB4" s="62" t="n">
        <v>0</v>
      </c>
      <c r="AC4" s="62" t="n">
        <v>0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0</v>
      </c>
      <c r="AI4" s="62" t="n">
        <v>0</v>
      </c>
      <c r="AJ4" s="62" t="n">
        <v>0</v>
      </c>
      <c r="AK4" s="62" t="n">
        <v>0</v>
      </c>
      <c r="AL4" s="62" t="n">
        <v>0</v>
      </c>
      <c r="AM4" s="62" t="n">
        <v>0</v>
      </c>
      <c r="AN4" s="62" t="n">
        <v>0</v>
      </c>
      <c r="AO4" s="63">
        <f>IFERROR(AVERAGE(AA4,AB4,AC4,AD4,AE4,AF4,AG4,AH4,AI4,AJ4,AK4,AL4,AM4,AN4),"N/A")</f>
        <v/>
      </c>
      <c r="AP4" s="64">
        <f>IFERROR(AVERAGE(W4,X4,Y4,Z4)/2,"N/A")</f>
        <v/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9" t="inlineStr">
        <is>
          <t>JUNIN</t>
        </is>
      </c>
      <c r="D5" s="9" t="inlineStr">
        <is>
          <t>nan</t>
        </is>
      </c>
      <c r="E5" s="14" t="n">
        <v>9603968.119999999</v>
      </c>
      <c r="F5" s="15" t="n">
        <v>41</v>
      </c>
      <c r="G5" s="16" t="inlineStr">
        <is>
          <t>SI</t>
        </is>
      </c>
      <c r="H5" s="15" t="inlineStr">
        <is>
          <t>nan</t>
        </is>
      </c>
      <c r="I5" s="15" t="inlineStr">
        <is>
          <t>nan</t>
        </is>
      </c>
      <c r="J5" s="15" t="inlineStr">
        <is>
          <t>ACTIVO</t>
        </is>
      </c>
      <c r="K5" s="15" t="inlineStr">
        <is>
          <t>nan</t>
        </is>
      </c>
      <c r="L5" s="17" t="n">
        <v>4801984.06</v>
      </c>
      <c r="M5" s="18">
        <f>IF(E5&gt;0,ROUND(L5/E5*100,1),0)</f>
        <v/>
      </c>
      <c r="N5" s="19" t="inlineStr">
        <is>
          <t>PENDIENTE</t>
        </is>
      </c>
      <c r="O5" s="20">
        <f>IF(H5="SI",1,0)*0.6+IF(I5="SI",1,0)*0.4</f>
        <v/>
      </c>
      <c r="P5" s="19" t="inlineStr">
        <is>
          <t>PENDIENTE</t>
        </is>
      </c>
      <c r="Q5" s="14" t="n"/>
      <c r="R5" s="21" t="n"/>
      <c r="S5" s="22">
        <f>IFERROR(SCORECARDS!C3,"—")</f>
        <v/>
      </c>
      <c r="T5" s="23">
        <f>IF(ISTEXT(S5),S5,IF(S5&lt;34,"🔴 Crítico",IF(S5&lt;67,"🟡 Vulnerable","🟢 Preparado")))</f>
        <v/>
      </c>
      <c r="U5" s="57" t="n">
        <v>1</v>
      </c>
      <c r="V5" t="inlineStr">
        <is>
          <t>Sin hallazgos OSCE / OEFA</t>
        </is>
      </c>
      <c r="W5" s="68" t="n">
        <v>1</v>
      </c>
      <c r="X5" s="62" t="n">
        <v>0</v>
      </c>
      <c r="Y5" s="62" t="n">
        <v>0</v>
      </c>
      <c r="Z5" s="62" t="n">
        <v>0</v>
      </c>
      <c r="AA5" s="62" t="n">
        <v>0</v>
      </c>
      <c r="AB5" s="62" t="n">
        <v>0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</v>
      </c>
      <c r="AI5" s="62" t="n">
        <v>0</v>
      </c>
      <c r="AJ5" s="62" t="n">
        <v>0</v>
      </c>
      <c r="AK5" s="62" t="n">
        <v>0</v>
      </c>
      <c r="AL5" s="62" t="n">
        <v>0</v>
      </c>
      <c r="AM5" s="62" t="n">
        <v>0</v>
      </c>
      <c r="AN5" s="62" t="n">
        <v>0</v>
      </c>
      <c r="AO5" s="63">
        <f>IFERROR(AVERAGE(AA5,AB5,AC5,AD5,AE5,AF5,AG5,AH5,AI5,AJ5,AK5,AL5,AM5,AN5),"N/A")</f>
        <v/>
      </c>
      <c r="AP5" s="64">
        <f>IFERROR(AVERAGE(W5,X5,Y5,Z5)/2,"N/A")</f>
        <v/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9" t="inlineStr">
        <is>
          <t>CUSCO</t>
        </is>
      </c>
      <c r="D6" s="9" t="inlineStr">
        <is>
          <t>nan</t>
        </is>
      </c>
      <c r="E6" s="14" t="n"/>
      <c r="F6" s="15" t="n"/>
      <c r="G6" s="24" t="inlineStr">
        <is>
          <t>NO</t>
        </is>
      </c>
      <c r="H6" s="15" t="inlineStr">
        <is>
          <t>Cer</t>
        </is>
      </c>
      <c r="I6" s="15" t="inlineStr">
        <is>
          <t>Vig</t>
        </is>
      </c>
      <c r="J6" s="15" t="inlineStr">
        <is>
          <t>ACTIVO</t>
        </is>
      </c>
      <c r="K6" s="15" t="inlineStr">
        <is>
          <t>nan</t>
        </is>
      </c>
      <c r="L6" s="17" t="n">
        <v>0</v>
      </c>
      <c r="M6" s="18">
        <f>IF(E6&gt;0,ROUND(L6/E6*100,1),0)</f>
        <v/>
      </c>
      <c r="N6" s="19" t="inlineStr">
        <is>
          <t>PENDIENTE</t>
        </is>
      </c>
      <c r="O6" s="20">
        <f>IF(H6="SI",1,0)*0.6+IF(I6="SI",1,0)*0.4</f>
        <v/>
      </c>
      <c r="P6" s="19" t="inlineStr">
        <is>
          <t>PENDIENTE</t>
        </is>
      </c>
      <c r="Q6" s="14" t="n">
        <v>44</v>
      </c>
      <c r="R6" s="21" t="n">
        <v>44</v>
      </c>
      <c r="S6" s="22">
        <f>IFERROR(SCORECARDS!C4,"—")</f>
        <v/>
      </c>
      <c r="T6" s="23">
        <f>IF(ISTEXT(S6),S6,IF(S6&lt;34,"🔴 Crítico",IF(S6&lt;67,"🟡 Vulnerable","🟢 Preparado")))</f>
        <v/>
      </c>
      <c r="W6" s="68" t="n">
        <v>1</v>
      </c>
      <c r="X6" s="62" t="n">
        <v>0</v>
      </c>
      <c r="Y6" s="62" t="n">
        <v>0</v>
      </c>
      <c r="Z6" s="62" t="n">
        <v>0</v>
      </c>
      <c r="AA6" s="62" t="n">
        <v>0</v>
      </c>
      <c r="AB6" s="62" t="n">
        <v>0</v>
      </c>
      <c r="AC6" s="62" t="n">
        <v>0</v>
      </c>
      <c r="AD6" s="62" t="n">
        <v>0</v>
      </c>
      <c r="AE6" s="62" t="n">
        <v>0</v>
      </c>
      <c r="AF6" s="62" t="n">
        <v>0</v>
      </c>
      <c r="AG6" s="62" t="n">
        <v>0</v>
      </c>
      <c r="AH6" s="62" t="n">
        <v>0</v>
      </c>
      <c r="AI6" s="62" t="n">
        <v>0</v>
      </c>
      <c r="AJ6" s="62" t="n">
        <v>0</v>
      </c>
      <c r="AK6" s="62" t="n">
        <v>0</v>
      </c>
      <c r="AL6" s="62" t="n">
        <v>0</v>
      </c>
      <c r="AM6" s="62" t="n">
        <v>0</v>
      </c>
      <c r="AN6" s="62" t="n">
        <v>0</v>
      </c>
      <c r="AO6" s="63">
        <f>IFERROR(AVERAGE(AA6,AB6,AC6,AD6,AE6,AF6,AG6,AH6,AI6,AJ6,AK6,AL6,AM6,AN6),"N/A")</f>
        <v/>
      </c>
      <c r="AP6" s="64">
        <f>IFERROR(AVERAGE(W6,X6,Y6,Z6)/2,"N/A")</f>
        <v/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9" t="inlineStr">
        <is>
          <t>CUSCO</t>
        </is>
      </c>
      <c r="D7" s="9" t="inlineStr">
        <is>
          <t>CAFÉ</t>
        </is>
      </c>
      <c r="E7" s="14" t="n"/>
      <c r="F7" s="15" t="n"/>
      <c r="G7" s="24" t="inlineStr">
        <is>
          <t>NO</t>
        </is>
      </c>
      <c r="H7" s="15" t="inlineStr">
        <is>
          <t>Cer</t>
        </is>
      </c>
      <c r="I7" s="15" t="inlineStr">
        <is>
          <t>nan</t>
        </is>
      </c>
      <c r="J7" s="15" t="inlineStr">
        <is>
          <t>ACTIVO</t>
        </is>
      </c>
      <c r="K7" s="15" t="inlineStr">
        <is>
          <t>0.75</t>
        </is>
      </c>
      <c r="L7" s="17" t="n">
        <v>0</v>
      </c>
      <c r="M7" s="18">
        <f>IF(E7&gt;0,ROUND(L7/E7*100,1),0)</f>
        <v/>
      </c>
      <c r="N7" s="19" t="inlineStr">
        <is>
          <t>PENDIENTE</t>
        </is>
      </c>
      <c r="O7" s="20">
        <f>IF(H7="SI",1,0)*0.6+IF(I7="SI",1,0)*0.4</f>
        <v/>
      </c>
      <c r="P7" s="19" t="inlineStr">
        <is>
          <t>PENDIENTE</t>
        </is>
      </c>
      <c r="Q7" s="14" t="n">
        <v>100</v>
      </c>
      <c r="R7" s="21" t="n">
        <v>218</v>
      </c>
      <c r="S7" s="22">
        <f>IFERROR(SCORECARDS!C5,"—")</f>
        <v/>
      </c>
      <c r="T7" s="23">
        <f>IF(ISTEXT(S7),S7,IF(S7&lt;34,"🔴 Crítico",IF(S7&lt;67,"🟡 Vulnerable","🟢 Preparado")))</f>
        <v/>
      </c>
      <c r="W7" s="68" t="n">
        <v>1</v>
      </c>
      <c r="X7" s="62" t="n">
        <v>0</v>
      </c>
      <c r="Y7" s="62" t="n">
        <v>0</v>
      </c>
      <c r="Z7" s="62" t="n">
        <v>0</v>
      </c>
      <c r="AA7" s="62" t="n">
        <v>0</v>
      </c>
      <c r="AB7" s="62" t="n">
        <v>0</v>
      </c>
      <c r="AC7" s="62" t="n">
        <v>0</v>
      </c>
      <c r="AD7" s="62" t="n">
        <v>0</v>
      </c>
      <c r="AE7" s="62" t="n">
        <v>0</v>
      </c>
      <c r="AF7" s="62" t="n">
        <v>0</v>
      </c>
      <c r="AG7" s="62" t="n">
        <v>0</v>
      </c>
      <c r="AH7" s="62" t="n">
        <v>0</v>
      </c>
      <c r="AI7" s="62" t="n">
        <v>0</v>
      </c>
      <c r="AJ7" s="62" t="n">
        <v>0</v>
      </c>
      <c r="AK7" s="62" t="n">
        <v>0</v>
      </c>
      <c r="AL7" s="62" t="n">
        <v>0</v>
      </c>
      <c r="AM7" s="62" t="n">
        <v>0</v>
      </c>
      <c r="AN7" s="62" t="n">
        <v>0</v>
      </c>
      <c r="AO7" s="63">
        <f>IFERROR(AVERAGE(AA7,AB7,AC7,AD7,AE7,AF7,AG7,AH7,AI7,AJ7,AK7,AL7,AM7,AN7),"N/A")</f>
        <v/>
      </c>
      <c r="AP7" s="64">
        <f>IFERROR(AVERAGE(W7,X7,Y7,Z7)/2,"N/A")</f>
        <v/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9" t="inlineStr">
        <is>
          <t>CUSCO</t>
        </is>
      </c>
      <c r="D8" s="9" t="inlineStr">
        <is>
          <t>CAFÉ</t>
        </is>
      </c>
      <c r="E8" s="14" t="n">
        <v>2477083.5</v>
      </c>
      <c r="F8" s="15" t="n">
        <v>14</v>
      </c>
      <c r="G8" s="16" t="inlineStr">
        <is>
          <t>SI</t>
        </is>
      </c>
      <c r="H8" s="15" t="inlineStr">
        <is>
          <t>nan</t>
        </is>
      </c>
      <c r="I8" s="15" t="inlineStr">
        <is>
          <t>nan</t>
        </is>
      </c>
      <c r="J8" s="15" t="inlineStr">
        <is>
          <t>ACTIVO</t>
        </is>
      </c>
      <c r="K8" s="15" t="inlineStr">
        <is>
          <t>nan</t>
        </is>
      </c>
      <c r="L8" s="17" t="n">
        <v>1238541.75</v>
      </c>
      <c r="M8" s="18">
        <f>IF(E8&gt;0,ROUND(L8/E8*100,1),0)</f>
        <v/>
      </c>
      <c r="N8" s="19" t="inlineStr">
        <is>
          <t>PENDIENTE</t>
        </is>
      </c>
      <c r="O8" s="20">
        <f>IF(H8="SI",1,0)*0.6+IF(I8="SI",1,0)*0.4</f>
        <v/>
      </c>
      <c r="P8" s="19" t="inlineStr">
        <is>
          <t>PENDIENTE</t>
        </is>
      </c>
      <c r="Q8" s="14" t="n"/>
      <c r="R8" s="21" t="n"/>
      <c r="S8" s="22">
        <f>IFERROR(SCORECARDS!C6,"—")</f>
        <v/>
      </c>
      <c r="T8" s="23">
        <f>IF(ISTEXT(S8),S8,IF(S8&lt;34,"🔴 Crítico",IF(S8&lt;67,"🟡 Vulnerable","🟢 Preparado")))</f>
        <v/>
      </c>
      <c r="U8" s="57" t="n">
        <v>1</v>
      </c>
      <c r="V8" t="inlineStr">
        <is>
          <t>Sin hallazgos OSCE / OEFA</t>
        </is>
      </c>
      <c r="W8" s="68" t="n">
        <v>1</v>
      </c>
      <c r="X8" s="62" t="n">
        <v>0</v>
      </c>
      <c r="Y8" s="62" t="n">
        <v>0</v>
      </c>
      <c r="Z8" s="62" t="n">
        <v>0</v>
      </c>
      <c r="AA8" s="62" t="n">
        <v>0</v>
      </c>
      <c r="AB8" s="62" t="n">
        <v>0</v>
      </c>
      <c r="AC8" s="62" t="n">
        <v>0</v>
      </c>
      <c r="AD8" s="62" t="n">
        <v>0</v>
      </c>
      <c r="AE8" s="62" t="n">
        <v>0</v>
      </c>
      <c r="AF8" s="62" t="n">
        <v>0</v>
      </c>
      <c r="AG8" s="62" t="n">
        <v>0</v>
      </c>
      <c r="AH8" s="62" t="n">
        <v>0</v>
      </c>
      <c r="AI8" s="62" t="n">
        <v>0</v>
      </c>
      <c r="AJ8" s="62" t="n">
        <v>0</v>
      </c>
      <c r="AK8" s="62" t="n">
        <v>0</v>
      </c>
      <c r="AL8" s="62" t="n">
        <v>0</v>
      </c>
      <c r="AM8" s="62" t="n">
        <v>0</v>
      </c>
      <c r="AN8" s="62" t="n">
        <v>0</v>
      </c>
      <c r="AO8" s="63">
        <f>IFERROR(AVERAGE(AA8,AB8,AC8,AD8,AE8,AF8,AG8,AH8,AI8,AJ8,AK8,AL8,AM8,AN8),"N/A")</f>
        <v/>
      </c>
      <c r="AP8" s="64">
        <f>IFERROR(AVERAGE(W8,X8,Y8,Z8)/2,"N/A")</f>
        <v/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9" t="inlineStr">
        <is>
          <t>CUSCO</t>
        </is>
      </c>
      <c r="D9" s="9" t="inlineStr">
        <is>
          <t>CAFÉ</t>
        </is>
      </c>
      <c r="E9" s="14" t="n">
        <v>1689820.33</v>
      </c>
      <c r="F9" s="15" t="n">
        <v>5</v>
      </c>
      <c r="G9" s="16" t="inlineStr">
        <is>
          <t>SI</t>
        </is>
      </c>
      <c r="H9" s="15" t="inlineStr">
        <is>
          <t>nan</t>
        </is>
      </c>
      <c r="I9" s="15" t="inlineStr">
        <is>
          <t>nan</t>
        </is>
      </c>
      <c r="J9" s="15" t="inlineStr">
        <is>
          <t>ACTIVO</t>
        </is>
      </c>
      <c r="K9" s="15" t="inlineStr">
        <is>
          <t>nan</t>
        </is>
      </c>
      <c r="L9" s="17" t="n">
        <v>0</v>
      </c>
      <c r="M9" s="18">
        <f>IF(E9&gt;0,ROUND(L9/E9*100,1),0)</f>
        <v/>
      </c>
      <c r="N9" s="19" t="inlineStr">
        <is>
          <t>PENDIENTE</t>
        </is>
      </c>
      <c r="O9" s="20">
        <f>IF(H9="SI",1,0)*0.6+IF(I9="SI",1,0)*0.4</f>
        <v/>
      </c>
      <c r="P9" s="19" t="inlineStr">
        <is>
          <t>PENDIENTE</t>
        </is>
      </c>
      <c r="Q9" s="14" t="n"/>
      <c r="R9" s="21" t="n"/>
      <c r="S9" s="22">
        <f>IFERROR(SCORECARDS!C7,"—")</f>
        <v/>
      </c>
      <c r="T9" s="23">
        <f>IF(ISTEXT(S9),S9,IF(S9&lt;34,"🔴 Crítico",IF(S9&lt;67,"🟡 Vulnerable","🟢 Preparado")))</f>
        <v/>
      </c>
      <c r="W9" s="62" t="n">
        <v>0</v>
      </c>
      <c r="X9" s="62" t="n">
        <v>0</v>
      </c>
      <c r="Y9" s="62" t="n">
        <v>0</v>
      </c>
      <c r="Z9" s="62" t="n">
        <v>0</v>
      </c>
      <c r="AA9" s="62" t="n">
        <v>0</v>
      </c>
      <c r="AB9" s="62" t="n">
        <v>0</v>
      </c>
      <c r="AC9" s="62" t="n">
        <v>0</v>
      </c>
      <c r="AD9" s="62" t="n">
        <v>0</v>
      </c>
      <c r="AE9" s="62" t="n">
        <v>0</v>
      </c>
      <c r="AF9" s="62" t="n">
        <v>0</v>
      </c>
      <c r="AG9" s="62" t="n">
        <v>0</v>
      </c>
      <c r="AH9" s="62" t="n">
        <v>0</v>
      </c>
      <c r="AI9" s="62" t="n">
        <v>0</v>
      </c>
      <c r="AJ9" s="62" t="n">
        <v>0</v>
      </c>
      <c r="AK9" s="62" t="n">
        <v>0</v>
      </c>
      <c r="AL9" s="62" t="n">
        <v>0</v>
      </c>
      <c r="AM9" s="62" t="n">
        <v>0</v>
      </c>
      <c r="AN9" s="62" t="n">
        <v>0</v>
      </c>
      <c r="AO9" s="63">
        <f>IFERROR(AVERAGE(AA9,AB9,AC9,AD9,AE9,AF9,AG9,AH9,AI9,AJ9,AK9,AL9,AM9,AN9),"N/A")</f>
        <v/>
      </c>
      <c r="AP9" s="64">
        <f>IFERROR(AVERAGE(W9,X9,Y9,Z9)/2,"N/A")</f>
        <v/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9" t="inlineStr">
        <is>
          <t>CUSCO</t>
        </is>
      </c>
      <c r="D10" s="9" t="inlineStr">
        <is>
          <t>CAFÉ</t>
        </is>
      </c>
      <c r="E10" s="14" t="n">
        <v>0</v>
      </c>
      <c r="F10" s="15" t="n"/>
      <c r="G10" s="24" t="inlineStr">
        <is>
          <t>NO</t>
        </is>
      </c>
      <c r="H10" s="15" t="inlineStr">
        <is>
          <t>Cer</t>
        </is>
      </c>
      <c r="I10" s="15" t="inlineStr">
        <is>
          <t>Fai</t>
        </is>
      </c>
      <c r="J10" s="15" t="inlineStr">
        <is>
          <t>ACTIVO</t>
        </is>
      </c>
      <c r="K10" s="15" t="inlineStr">
        <is>
          <t>0.75</t>
        </is>
      </c>
      <c r="L10" s="17" t="n">
        <v>0</v>
      </c>
      <c r="M10" s="18">
        <f>IF(E10&gt;0,ROUND(L10/E10*100,1),0)</f>
        <v/>
      </c>
      <c r="N10" s="19" t="inlineStr">
        <is>
          <t>PENDIENTE</t>
        </is>
      </c>
      <c r="O10" s="20">
        <f>IF(H10="SI",1,0)*0.6+IF(I10="SI",1,0)*0.4</f>
        <v/>
      </c>
      <c r="P10" s="19" t="inlineStr">
        <is>
          <t>PENDIENTE</t>
        </is>
      </c>
      <c r="Q10" s="14" t="n">
        <v>177</v>
      </c>
      <c r="R10" s="21" t="n">
        <v>469</v>
      </c>
      <c r="S10" s="22">
        <f>IFERROR(SCORECARDS!C8,"—")</f>
        <v/>
      </c>
      <c r="T10" s="23">
        <f>IF(ISTEXT(S10),S10,IF(S10&lt;34,"🔴 Crítico",IF(S10&lt;67,"🟡 Vulnerable","🟢 Preparado")))</f>
        <v/>
      </c>
      <c r="W10" s="68" t="n">
        <v>1</v>
      </c>
      <c r="X10" s="62" t="n">
        <v>0</v>
      </c>
      <c r="Y10" s="62" t="n">
        <v>0</v>
      </c>
      <c r="Z10" s="62" t="n">
        <v>0</v>
      </c>
      <c r="AA10" s="62" t="n">
        <v>0</v>
      </c>
      <c r="AB10" s="62" t="n">
        <v>0</v>
      </c>
      <c r="AC10" s="62" t="n">
        <v>0</v>
      </c>
      <c r="AD10" s="62" t="n">
        <v>0</v>
      </c>
      <c r="AE10" s="62" t="n">
        <v>0</v>
      </c>
      <c r="AF10" s="62" t="n">
        <v>0</v>
      </c>
      <c r="AG10" s="62" t="n">
        <v>0</v>
      </c>
      <c r="AH10" s="62" t="n">
        <v>0</v>
      </c>
      <c r="AI10" s="62" t="n">
        <v>0</v>
      </c>
      <c r="AJ10" s="62" t="n">
        <v>0</v>
      </c>
      <c r="AK10" s="62" t="n">
        <v>0</v>
      </c>
      <c r="AL10" s="62" t="n">
        <v>0</v>
      </c>
      <c r="AM10" s="62" t="n">
        <v>0</v>
      </c>
      <c r="AN10" s="62" t="n">
        <v>0</v>
      </c>
      <c r="AO10" s="63">
        <f>IFERROR(AVERAGE(AA10,AB10,AC10,AD10,AE10,AF10,AG10,AH10,AI10,AJ10,AK10,AL10,AM10,AN10),"N/A")</f>
        <v/>
      </c>
      <c r="AP10" s="64">
        <f>IFERROR(AVERAGE(W10,X10,Y10,Z10)/2,"N/A")</f>
        <v/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9" t="inlineStr">
        <is>
          <t>CUSCO</t>
        </is>
      </c>
      <c r="D11" s="9" t="inlineStr">
        <is>
          <t>CAFÉ</t>
        </is>
      </c>
      <c r="E11" s="14" t="n">
        <v>681394.36</v>
      </c>
      <c r="F11" s="15" t="n">
        <v>6</v>
      </c>
      <c r="G11" s="16" t="inlineStr">
        <is>
          <t>SI</t>
        </is>
      </c>
      <c r="H11" s="15" t="inlineStr">
        <is>
          <t>nan</t>
        </is>
      </c>
      <c r="I11" s="15" t="inlineStr">
        <is>
          <t>nan</t>
        </is>
      </c>
      <c r="J11" s="15" t="inlineStr">
        <is>
          <t>ACTIVO</t>
        </is>
      </c>
      <c r="K11" s="15" t="inlineStr">
        <is>
          <t>nan</t>
        </is>
      </c>
      <c r="L11" s="17" t="n">
        <v>0</v>
      </c>
      <c r="M11" s="18">
        <f>IF(E11&gt;0,ROUND(L11/E11*100,1),0)</f>
        <v/>
      </c>
      <c r="N11" s="19" t="inlineStr">
        <is>
          <t>PENDIENTE</t>
        </is>
      </c>
      <c r="O11" s="20">
        <f>IF(H11="SI",1,0)*0.6+IF(I11="SI",1,0)*0.4</f>
        <v/>
      </c>
      <c r="P11" s="19" t="inlineStr">
        <is>
          <t>PENDIENTE</t>
        </is>
      </c>
      <c r="Q11" s="14" t="n"/>
      <c r="R11" s="21" t="n"/>
      <c r="S11" s="22">
        <f>IFERROR(SCORECARDS!C9,"—")</f>
        <v/>
      </c>
      <c r="T11" s="23">
        <f>IF(ISTEXT(S11),S11,IF(S11&lt;34,"🔴 Crítico",IF(S11&lt;67,"🟡 Vulnerable","🟢 Preparado")))</f>
        <v/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</v>
      </c>
      <c r="AB11" s="62" t="n">
        <v>0</v>
      </c>
      <c r="AC11" s="62" t="n">
        <v>0</v>
      </c>
      <c r="AD11" s="62" t="n">
        <v>0</v>
      </c>
      <c r="AE11" s="62" t="n">
        <v>0</v>
      </c>
      <c r="AF11" s="62" t="n">
        <v>0</v>
      </c>
      <c r="AG11" s="62" t="n">
        <v>0</v>
      </c>
      <c r="AH11" s="62" t="n">
        <v>0</v>
      </c>
      <c r="AI11" s="62" t="n">
        <v>0</v>
      </c>
      <c r="AJ11" s="62" t="n">
        <v>0</v>
      </c>
      <c r="AK11" s="62" t="n">
        <v>0</v>
      </c>
      <c r="AL11" s="62" t="n">
        <v>0</v>
      </c>
      <c r="AM11" s="62" t="n">
        <v>0</v>
      </c>
      <c r="AN11" s="62" t="n">
        <v>0</v>
      </c>
      <c r="AO11" s="63">
        <f>IFERROR(AVERAGE(AA11,AB11,AC11,AD11,AE11,AF11,AG11,AH11,AI11,AJ11,AK11,AL11,AM11,AN11),"N/A")</f>
        <v/>
      </c>
      <c r="AP11" s="64">
        <f>IFERROR(AVERAGE(W11,X11,Y11,Z11)/2,"N/A")</f>
        <v/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9" t="inlineStr">
        <is>
          <t>CUSCO</t>
        </is>
      </c>
      <c r="D12" s="9" t="inlineStr">
        <is>
          <t>CAFÉ</t>
        </is>
      </c>
      <c r="E12" s="14" t="n">
        <v>4445611.599999998</v>
      </c>
      <c r="F12" s="15" t="n">
        <v>33</v>
      </c>
      <c r="G12" s="16" t="inlineStr">
        <is>
          <t>SI</t>
        </is>
      </c>
      <c r="H12" s="15" t="inlineStr">
        <is>
          <t>Cer</t>
        </is>
      </c>
      <c r="I12" s="15" t="inlineStr">
        <is>
          <t>Fai</t>
        </is>
      </c>
      <c r="J12" s="15" t="inlineStr">
        <is>
          <t>ACTIVO</t>
        </is>
      </c>
      <c r="K12" s="15" t="inlineStr">
        <is>
          <t>0.75</t>
        </is>
      </c>
      <c r="L12" s="17" t="n">
        <v>894391.27</v>
      </c>
      <c r="M12" s="18">
        <f>IF(E12&gt;0,ROUND(L12/E12*100,1),0)</f>
        <v/>
      </c>
      <c r="N12" s="19" t="inlineStr">
        <is>
          <t>PENDIENTE</t>
        </is>
      </c>
      <c r="O12" s="20">
        <f>IF(H12="SI",1,0)*0.6+IF(I12="SI",1,0)*0.4</f>
        <v/>
      </c>
      <c r="P12" s="19" t="inlineStr">
        <is>
          <t>PENDIENTE</t>
        </is>
      </c>
      <c r="Q12" s="14" t="n">
        <v>660</v>
      </c>
      <c r="R12" s="21" t="n">
        <v>1670</v>
      </c>
      <c r="S12" s="22">
        <f>IFERROR(SCORECARDS!C10,"—")</f>
        <v/>
      </c>
      <c r="T12" s="23">
        <f>IF(ISTEXT(S12),S12,IF(S12&lt;34,"🔴 Crítico",IF(S12&lt;67,"🟡 Vulnerable","🟢 Preparado")))</f>
        <v/>
      </c>
      <c r="U12" s="58" t="n">
        <v>0.75</v>
      </c>
      <c r="V12" t="inlineStr">
        <is>
          <t>⚠ 1 infracc. ambiental (OEFA)</t>
        </is>
      </c>
      <c r="W12" s="68" t="n">
        <v>1</v>
      </c>
      <c r="X12" s="62" t="n">
        <v>0</v>
      </c>
      <c r="Y12" s="62" t="n">
        <v>0</v>
      </c>
      <c r="Z12" s="62" t="n">
        <v>0</v>
      </c>
      <c r="AA12" s="62" t="n">
        <v>0</v>
      </c>
      <c r="AB12" s="62" t="n">
        <v>0</v>
      </c>
      <c r="AC12" s="62" t="n">
        <v>0</v>
      </c>
      <c r="AD12" s="62" t="n">
        <v>0</v>
      </c>
      <c r="AE12" s="62" t="n">
        <v>0</v>
      </c>
      <c r="AF12" s="62" t="n">
        <v>0</v>
      </c>
      <c r="AG12" s="62" t="n">
        <v>0</v>
      </c>
      <c r="AH12" s="62" t="n">
        <v>0</v>
      </c>
      <c r="AI12" s="62" t="n">
        <v>0</v>
      </c>
      <c r="AJ12" s="62" t="n">
        <v>0</v>
      </c>
      <c r="AK12" s="62" t="n">
        <v>0</v>
      </c>
      <c r="AL12" s="62" t="n">
        <v>0</v>
      </c>
      <c r="AM12" s="62" t="n">
        <v>0</v>
      </c>
      <c r="AN12" s="62" t="n">
        <v>0</v>
      </c>
      <c r="AO12" s="63">
        <f>IFERROR(AVERAGE(AA12,AB12,AC12,AD12,AE12,AF12,AG12,AH12,AI12,AJ12,AK12,AL12,AM12,AN12),"N/A")</f>
        <v/>
      </c>
      <c r="AP12" s="64">
        <f>IFERROR(AVERAGE(W12,X12,Y12,Z12)/2,"N/A")</f>
        <v/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9" t="inlineStr">
        <is>
          <t>CUSCO</t>
        </is>
      </c>
      <c r="D13" s="9" t="inlineStr">
        <is>
          <t>CAFÉ</t>
        </is>
      </c>
      <c r="E13" s="14" t="n">
        <v>0</v>
      </c>
      <c r="F13" s="15" t="n"/>
      <c r="G13" s="24" t="inlineStr">
        <is>
          <t>NO</t>
        </is>
      </c>
      <c r="H13" s="15" t="inlineStr">
        <is>
          <t>Cer</t>
        </is>
      </c>
      <c r="I13" s="15" t="inlineStr">
        <is>
          <t xml:space="preserve">
Fa</t>
        </is>
      </c>
      <c r="J13" s="15" t="inlineStr">
        <is>
          <t>ACTIVO</t>
        </is>
      </c>
      <c r="K13" s="15" t="inlineStr">
        <is>
          <t>0.75</t>
        </is>
      </c>
      <c r="L13" s="17" t="n">
        <v>0</v>
      </c>
      <c r="M13" s="18">
        <f>IF(E13&gt;0,ROUND(L13/E13*100,1),0)</f>
        <v/>
      </c>
      <c r="N13" s="19" t="inlineStr">
        <is>
          <t>PENDIENTE</t>
        </is>
      </c>
      <c r="O13" s="20">
        <f>IF(H13="SI",1,0)*0.6+IF(I13="SI",1,0)*0.4</f>
        <v/>
      </c>
      <c r="P13" s="19" t="inlineStr">
        <is>
          <t>PENDIENTE</t>
        </is>
      </c>
      <c r="Q13" s="14" t="n">
        <v>49</v>
      </c>
      <c r="R13" s="21" t="n">
        <v>136.9</v>
      </c>
      <c r="S13" s="22">
        <f>IFERROR(SCORECARDS!C11,"—")</f>
        <v/>
      </c>
      <c r="T13" s="23">
        <f>IF(ISTEXT(S13),S13,IF(S13&lt;34,"🔴 Crítico",IF(S13&lt;67,"🟡 Vulnerable","🟢 Preparado")))</f>
        <v/>
      </c>
      <c r="W13" s="68" t="n">
        <v>1</v>
      </c>
      <c r="X13" s="62" t="n">
        <v>0</v>
      </c>
      <c r="Y13" s="62" t="n">
        <v>0</v>
      </c>
      <c r="Z13" s="62" t="n">
        <v>0</v>
      </c>
      <c r="AA13" s="62" t="n">
        <v>0</v>
      </c>
      <c r="AB13" s="62" t="n">
        <v>0</v>
      </c>
      <c r="AC13" s="62" t="n">
        <v>0</v>
      </c>
      <c r="AD13" s="62" t="n">
        <v>0</v>
      </c>
      <c r="AE13" s="62" t="n">
        <v>0</v>
      </c>
      <c r="AF13" s="62" t="n">
        <v>0</v>
      </c>
      <c r="AG13" s="62" t="n">
        <v>0</v>
      </c>
      <c r="AH13" s="62" t="n">
        <v>0</v>
      </c>
      <c r="AI13" s="62" t="n">
        <v>0</v>
      </c>
      <c r="AJ13" s="62" t="n">
        <v>0</v>
      </c>
      <c r="AK13" s="62" t="n">
        <v>0</v>
      </c>
      <c r="AL13" s="62" t="n">
        <v>0</v>
      </c>
      <c r="AM13" s="62" t="n">
        <v>0</v>
      </c>
      <c r="AN13" s="62" t="n">
        <v>0</v>
      </c>
      <c r="AO13" s="63">
        <f>IFERROR(AVERAGE(AA13,AB13,AC13,AD13,AE13,AF13,AG13,AH13,AI13,AJ13,AK13,AL13,AM13,AN13),"N/A")</f>
        <v/>
      </c>
      <c r="AP13" s="64">
        <f>IFERROR(AVERAGE(W13,X13,Y13,Z13)/2,"N/A")</f>
        <v/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9" t="inlineStr">
        <is>
          <t>AYACUCHO</t>
        </is>
      </c>
      <c r="D14" s="9" t="inlineStr">
        <is>
          <t>CACAO</t>
        </is>
      </c>
      <c r="E14" s="14" t="n">
        <v>4030694.66</v>
      </c>
      <c r="F14" s="15" t="n">
        <v>14</v>
      </c>
      <c r="G14" s="16" t="inlineStr">
        <is>
          <t>SI</t>
        </is>
      </c>
      <c r="H14" s="15" t="inlineStr">
        <is>
          <t>nan</t>
        </is>
      </c>
      <c r="I14" s="15" t="inlineStr">
        <is>
          <t>nan</t>
        </is>
      </c>
      <c r="J14" s="15" t="inlineStr">
        <is>
          <t>ACTIVO</t>
        </is>
      </c>
      <c r="K14" s="15" t="inlineStr">
        <is>
          <t>nan</t>
        </is>
      </c>
      <c r="L14" s="17" t="n">
        <v>2015347.33</v>
      </c>
      <c r="M14" s="18">
        <f>IF(E14&gt;0,ROUND(L14/E14*100,1),0)</f>
        <v/>
      </c>
      <c r="N14" s="19" t="inlineStr">
        <is>
          <t>PENDIENTE</t>
        </is>
      </c>
      <c r="O14" s="20">
        <f>IF(H14="SI",1,0)*0.6+IF(I14="SI",1,0)*0.4</f>
        <v/>
      </c>
      <c r="P14" s="19" t="inlineStr">
        <is>
          <t>PENDIENTE</t>
        </is>
      </c>
      <c r="Q14" s="14" t="n"/>
      <c r="R14" s="21" t="n"/>
      <c r="S14" s="22">
        <f>IFERROR(SCORECARDS!C12,"—")</f>
        <v/>
      </c>
      <c r="T14" s="23">
        <f>IF(ISTEXT(S14),S14,IF(S14&lt;34,"🔴 Crítico",IF(S14&lt;67,"🟡 Vulnerable","🟢 Preparado")))</f>
        <v/>
      </c>
      <c r="U14" s="57" t="n">
        <v>1</v>
      </c>
      <c r="V14" t="inlineStr">
        <is>
          <t>Sin hallazgos OSCE / OEFA</t>
        </is>
      </c>
      <c r="W14" s="68" t="n">
        <v>1</v>
      </c>
      <c r="X14" s="62" t="n">
        <v>0</v>
      </c>
      <c r="Y14" s="62" t="n">
        <v>0</v>
      </c>
      <c r="Z14" s="62" t="n">
        <v>0</v>
      </c>
      <c r="AA14" s="62" t="n">
        <v>0</v>
      </c>
      <c r="AB14" s="62" t="n">
        <v>0</v>
      </c>
      <c r="AC14" s="62" t="n">
        <v>0</v>
      </c>
      <c r="AD14" s="62" t="n">
        <v>0</v>
      </c>
      <c r="AE14" s="62" t="n">
        <v>0</v>
      </c>
      <c r="AF14" s="62" t="n">
        <v>0</v>
      </c>
      <c r="AG14" s="62" t="n">
        <v>0</v>
      </c>
      <c r="AH14" s="62" t="n">
        <v>0</v>
      </c>
      <c r="AI14" s="62" t="n">
        <v>0</v>
      </c>
      <c r="AJ14" s="62" t="n">
        <v>0</v>
      </c>
      <c r="AK14" s="62" t="n">
        <v>0</v>
      </c>
      <c r="AL14" s="62" t="n">
        <v>0</v>
      </c>
      <c r="AM14" s="62" t="n">
        <v>0</v>
      </c>
      <c r="AN14" s="62" t="n">
        <v>0</v>
      </c>
      <c r="AO14" s="63">
        <f>IFERROR(AVERAGE(AA14,AB14,AC14,AD14,AE14,AF14,AG14,AH14,AI14,AJ14,AK14,AL14,AM14,AN14),"N/A")</f>
        <v/>
      </c>
      <c r="AP14" s="64">
        <f>IFERROR(AVERAGE(W14,X14,Y14,Z14)/2,"N/A")</f>
        <v/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9" t="inlineStr">
        <is>
          <t>PUNO</t>
        </is>
      </c>
      <c r="D15" s="9" t="inlineStr">
        <is>
          <t>CAFÉ</t>
        </is>
      </c>
      <c r="E15" s="14" t="n"/>
      <c r="F15" s="15" t="n"/>
      <c r="G15" s="24" t="inlineStr">
        <is>
          <t>NO</t>
        </is>
      </c>
      <c r="H15" s="15" t="inlineStr">
        <is>
          <t>nan</t>
        </is>
      </c>
      <c r="I15" s="15" t="inlineStr">
        <is>
          <t>nan</t>
        </is>
      </c>
      <c r="J15" s="15" t="inlineStr">
        <is>
          <t>ACTIVO</t>
        </is>
      </c>
      <c r="K15" s="15" t="inlineStr">
        <is>
          <t>nan</t>
        </is>
      </c>
      <c r="L15" s="17" t="n">
        <v>0</v>
      </c>
      <c r="M15" s="18">
        <f>IF(E15&gt;0,ROUND(L15/E15*100,1),0)</f>
        <v/>
      </c>
      <c r="N15" s="19" t="inlineStr">
        <is>
          <t>PENDIENTE</t>
        </is>
      </c>
      <c r="O15" s="20">
        <f>IF(H15="SI",1,0)*0.6+IF(I15="SI",1,0)*0.4</f>
        <v/>
      </c>
      <c r="P15" s="19" t="inlineStr">
        <is>
          <t>PENDIENTE</t>
        </is>
      </c>
      <c r="Q15" s="14" t="n"/>
      <c r="R15" s="21" t="n"/>
      <c r="S15" s="22">
        <f>IFERROR(SCORECARDS!C13,"—")</f>
        <v/>
      </c>
      <c r="T15" s="23">
        <f>IF(ISTEXT(S15),S15,IF(S15&lt;34,"🔴 Crítico",IF(S15&lt;67,"🟡 Vulnerable","🟢 Preparado")))</f>
        <v/>
      </c>
      <c r="W15" s="62" t="n">
        <v>0</v>
      </c>
      <c r="X15" s="62" t="n">
        <v>0</v>
      </c>
      <c r="Y15" s="62" t="n">
        <v>0</v>
      </c>
      <c r="Z15" s="62" t="n">
        <v>0</v>
      </c>
      <c r="AA15" s="62" t="n">
        <v>0</v>
      </c>
      <c r="AB15" s="62" t="n">
        <v>0</v>
      </c>
      <c r="AC15" s="62" t="n">
        <v>0</v>
      </c>
      <c r="AD15" s="62" t="n">
        <v>0</v>
      </c>
      <c r="AE15" s="62" t="n">
        <v>0</v>
      </c>
      <c r="AF15" s="62" t="n">
        <v>0</v>
      </c>
      <c r="AG15" s="62" t="n">
        <v>0</v>
      </c>
      <c r="AH15" s="62" t="n">
        <v>0</v>
      </c>
      <c r="AI15" s="62" t="n">
        <v>0</v>
      </c>
      <c r="AJ15" s="62" t="n">
        <v>0</v>
      </c>
      <c r="AK15" s="62" t="n">
        <v>0</v>
      </c>
      <c r="AL15" s="62" t="n">
        <v>0</v>
      </c>
      <c r="AM15" s="62" t="n">
        <v>0</v>
      </c>
      <c r="AN15" s="62" t="n">
        <v>0</v>
      </c>
      <c r="AO15" s="63">
        <f>IFERROR(AVERAGE(AA15,AB15,AC15,AD15,AE15,AF15,AG15,AH15,AI15,AJ15,AK15,AL15,AM15,AN15),"N/A")</f>
        <v/>
      </c>
      <c r="AP15" s="64">
        <f>IFERROR(AVERAGE(W15,X15,Y15,Z15)/2,"N/A")</f>
        <v/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9" t="inlineStr">
        <is>
          <t>PIURA</t>
        </is>
      </c>
      <c r="D16" s="9" t="inlineStr">
        <is>
          <t>CAFÉ</t>
        </is>
      </c>
      <c r="E16" s="14" t="n"/>
      <c r="F16" s="15" t="n"/>
      <c r="G16" s="24" t="inlineStr">
        <is>
          <t>NO</t>
        </is>
      </c>
      <c r="H16" s="15" t="inlineStr">
        <is>
          <t>nan</t>
        </is>
      </c>
      <c r="I16" s="15" t="inlineStr">
        <is>
          <t>nan</t>
        </is>
      </c>
      <c r="J16" s="15" t="inlineStr">
        <is>
          <t>ACTIVO</t>
        </is>
      </c>
      <c r="K16" s="15" t="inlineStr">
        <is>
          <t>nan</t>
        </is>
      </c>
      <c r="L16" s="17" t="n">
        <v>0</v>
      </c>
      <c r="M16" s="18">
        <f>IF(E16&gt;0,ROUND(L16/E16*100,1),0)</f>
        <v/>
      </c>
      <c r="N16" s="19" t="inlineStr">
        <is>
          <t>PENDIENTE</t>
        </is>
      </c>
      <c r="O16" s="20">
        <f>IF(H16="SI",1,0)*0.6+IF(I16="SI",1,0)*0.4</f>
        <v/>
      </c>
      <c r="P16" s="19" t="inlineStr">
        <is>
          <t>PENDIENTE</t>
        </is>
      </c>
      <c r="Q16" s="14" t="n"/>
      <c r="R16" s="21" t="n"/>
      <c r="S16" s="22">
        <f>IFERROR(SCORECARDS!C14,"—")</f>
        <v/>
      </c>
      <c r="T16" s="23">
        <f>IF(ISTEXT(S16),S16,IF(S16&lt;34,"🔴 Crítico",IF(S16&lt;67,"🟡 Vulnerable","🟢 Preparado")))</f>
        <v/>
      </c>
      <c r="W16" s="62" t="n">
        <v>0</v>
      </c>
      <c r="X16" s="62" t="n">
        <v>0</v>
      </c>
      <c r="Y16" s="62" t="n">
        <v>0</v>
      </c>
      <c r="Z16" s="62" t="n">
        <v>0</v>
      </c>
      <c r="AA16" s="62" t="n">
        <v>0</v>
      </c>
      <c r="AB16" s="62" t="n">
        <v>0</v>
      </c>
      <c r="AC16" s="62" t="n">
        <v>0</v>
      </c>
      <c r="AD16" s="62" t="n">
        <v>0</v>
      </c>
      <c r="AE16" s="62" t="n">
        <v>0</v>
      </c>
      <c r="AF16" s="62" t="n">
        <v>0</v>
      </c>
      <c r="AG16" s="62" t="n">
        <v>0</v>
      </c>
      <c r="AH16" s="62" t="n">
        <v>0</v>
      </c>
      <c r="AI16" s="62" t="n">
        <v>0</v>
      </c>
      <c r="AJ16" s="62" t="n">
        <v>0</v>
      </c>
      <c r="AK16" s="62" t="n">
        <v>0</v>
      </c>
      <c r="AL16" s="62" t="n">
        <v>0</v>
      </c>
      <c r="AM16" s="62" t="n">
        <v>0</v>
      </c>
      <c r="AN16" s="62" t="n">
        <v>0</v>
      </c>
      <c r="AO16" s="63">
        <f>IFERROR(AVERAGE(AA16,AB16,AC16,AD16,AE16,AF16,AG16,AH16,AI16,AJ16,AK16,AL16,AM16,AN16),"N/A")</f>
        <v/>
      </c>
      <c r="AP16" s="64">
        <f>IFERROR(AVERAGE(W16,X16,Y16,Z16)/2,"N/A")</f>
        <v/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9" t="inlineStr">
        <is>
          <t>CUSCO</t>
        </is>
      </c>
      <c r="D17" s="9" t="inlineStr">
        <is>
          <t>nan</t>
        </is>
      </c>
      <c r="E17" s="14" t="n"/>
      <c r="F17" s="15" t="n"/>
      <c r="G17" s="24" t="inlineStr">
        <is>
          <t>NO</t>
        </is>
      </c>
      <c r="H17" s="15" t="inlineStr">
        <is>
          <t>Cer</t>
        </is>
      </c>
      <c r="I17" s="15" t="inlineStr">
        <is>
          <t>Vig</t>
        </is>
      </c>
      <c r="J17" s="15" t="inlineStr">
        <is>
          <t>SUSPENSION TEMPORAL</t>
        </is>
      </c>
      <c r="K17" s="15" t="inlineStr">
        <is>
          <t>nan</t>
        </is>
      </c>
      <c r="L17" s="17" t="n">
        <v>0</v>
      </c>
      <c r="M17" s="18">
        <f>IF(E17&gt;0,ROUND(L17/E17*100,1),0)</f>
        <v/>
      </c>
      <c r="N17" s="19" t="inlineStr">
        <is>
          <t>PENDIENTE</t>
        </is>
      </c>
      <c r="O17" s="20">
        <f>IF(H17="SI",1,0)*0.6+IF(I17="SI",1,0)*0.4</f>
        <v/>
      </c>
      <c r="P17" s="19" t="inlineStr">
        <is>
          <t>PENDIENTE</t>
        </is>
      </c>
      <c r="Q17" s="14" t="n">
        <v>74</v>
      </c>
      <c r="R17" s="21" t="n">
        <v>150</v>
      </c>
      <c r="S17" s="22">
        <f>IFERROR(SCORECARDS!C15,"—")</f>
        <v/>
      </c>
      <c r="T17" s="23">
        <f>IF(ISTEXT(S17),S17,IF(S17&lt;34,"🔴 Crítico",IF(S17&lt;67,"🟡 Vulnerable","🟢 Preparado")))</f>
        <v/>
      </c>
      <c r="W17" s="68" t="n">
        <v>1</v>
      </c>
      <c r="X17" s="62" t="n">
        <v>0</v>
      </c>
      <c r="Y17" s="62" t="n">
        <v>0</v>
      </c>
      <c r="Z17" s="62" t="n">
        <v>0</v>
      </c>
      <c r="AA17" s="62" t="n">
        <v>0</v>
      </c>
      <c r="AB17" s="62" t="n">
        <v>0</v>
      </c>
      <c r="AC17" s="62" t="n">
        <v>0</v>
      </c>
      <c r="AD17" s="62" t="n">
        <v>0</v>
      </c>
      <c r="AE17" s="62" t="n">
        <v>0</v>
      </c>
      <c r="AF17" s="62" t="n">
        <v>0</v>
      </c>
      <c r="AG17" s="62" t="n">
        <v>0</v>
      </c>
      <c r="AH17" s="62" t="n">
        <v>0</v>
      </c>
      <c r="AI17" s="62" t="n">
        <v>0</v>
      </c>
      <c r="AJ17" s="62" t="n">
        <v>0</v>
      </c>
      <c r="AK17" s="62" t="n">
        <v>0</v>
      </c>
      <c r="AL17" s="62" t="n">
        <v>0</v>
      </c>
      <c r="AM17" s="62" t="n">
        <v>0</v>
      </c>
      <c r="AN17" s="62" t="n">
        <v>0</v>
      </c>
      <c r="AO17" s="63">
        <f>IFERROR(AVERAGE(AA17,AB17,AC17,AD17,AE17,AF17,AG17,AH17,AI17,AJ17,AK17,AL17,AM17,AN17),"N/A")</f>
        <v/>
      </c>
      <c r="AP17" s="64">
        <f>IFERROR(AVERAGE(W17,X17,Y17,Z17)/2,"N/A")</f>
        <v/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9" t="inlineStr">
        <is>
          <t>UCAYALI</t>
        </is>
      </c>
      <c r="D18" s="9" t="inlineStr">
        <is>
          <t>CACAO</t>
        </is>
      </c>
      <c r="E18" s="14" t="n"/>
      <c r="F18" s="15" t="n"/>
      <c r="G18" s="24" t="inlineStr">
        <is>
          <t>NO</t>
        </is>
      </c>
      <c r="H18" s="15" t="inlineStr">
        <is>
          <t>nan</t>
        </is>
      </c>
      <c r="I18" s="15" t="inlineStr">
        <is>
          <t>nan</t>
        </is>
      </c>
      <c r="J18" s="15" t="inlineStr">
        <is>
          <t>ACTIVO</t>
        </is>
      </c>
      <c r="K18" s="15" t="inlineStr">
        <is>
          <t>nan</t>
        </is>
      </c>
      <c r="L18" s="17" t="n">
        <v>0</v>
      </c>
      <c r="M18" s="18">
        <f>IF(E18&gt;0,ROUND(L18/E18*100,1),0)</f>
        <v/>
      </c>
      <c r="N18" s="19" t="inlineStr">
        <is>
          <t>PENDIENTE</t>
        </is>
      </c>
      <c r="O18" s="20">
        <f>IF(H18="SI",1,0)*0.6+IF(I18="SI",1,0)*0.4</f>
        <v/>
      </c>
      <c r="P18" s="19" t="inlineStr">
        <is>
          <t>PENDIENTE</t>
        </is>
      </c>
      <c r="Q18" s="14" t="n"/>
      <c r="R18" s="21" t="n"/>
      <c r="S18" s="22">
        <f>IFERROR(SCORECARDS!C16,"—")</f>
        <v/>
      </c>
      <c r="T18" s="23">
        <f>IF(ISTEXT(S18),S18,IF(S18&lt;34,"🔴 Crítico",IF(S18&lt;67,"🟡 Vulnerable","🟢 Preparado")))</f>
        <v/>
      </c>
      <c r="W18" s="62" t="n">
        <v>0</v>
      </c>
      <c r="X18" s="62" t="n">
        <v>0</v>
      </c>
      <c r="Y18" s="62" t="n">
        <v>0</v>
      </c>
      <c r="Z18" s="62" t="n">
        <v>0</v>
      </c>
      <c r="AA18" s="62" t="n">
        <v>0</v>
      </c>
      <c r="AB18" s="62" t="n">
        <v>0</v>
      </c>
      <c r="AC18" s="62" t="n">
        <v>0</v>
      </c>
      <c r="AD18" s="62" t="n">
        <v>0</v>
      </c>
      <c r="AE18" s="62" t="n">
        <v>0</v>
      </c>
      <c r="AF18" s="62" t="n">
        <v>0</v>
      </c>
      <c r="AG18" s="62" t="n">
        <v>0</v>
      </c>
      <c r="AH18" s="62" t="n">
        <v>0</v>
      </c>
      <c r="AI18" s="62" t="n">
        <v>0</v>
      </c>
      <c r="AJ18" s="62" t="n">
        <v>0</v>
      </c>
      <c r="AK18" s="62" t="n">
        <v>0</v>
      </c>
      <c r="AL18" s="62" t="n">
        <v>0</v>
      </c>
      <c r="AM18" s="62" t="n">
        <v>0</v>
      </c>
      <c r="AN18" s="62" t="n">
        <v>0</v>
      </c>
      <c r="AO18" s="63">
        <f>IFERROR(AVERAGE(AA18,AB18,AC18,AD18,AE18,AF18,AG18,AH18,AI18,AJ18,AK18,AL18,AM18,AN18),"N/A")</f>
        <v/>
      </c>
      <c r="AP18" s="64">
        <f>IFERROR(AVERAGE(W18,X18,Y18,Z18)/2,"N/A")</f>
        <v/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9" t="inlineStr">
        <is>
          <t>AMAZONAS</t>
        </is>
      </c>
      <c r="D19" s="9" t="inlineStr">
        <is>
          <t>CAFÉ</t>
        </is>
      </c>
      <c r="E19" s="14" t="n">
        <v>9070756.880000001</v>
      </c>
      <c r="F19" s="15" t="n">
        <v>41</v>
      </c>
      <c r="G19" s="16" t="inlineStr">
        <is>
          <t>SI</t>
        </is>
      </c>
      <c r="H19" s="15" t="inlineStr">
        <is>
          <t>nan</t>
        </is>
      </c>
      <c r="I19" s="15" t="inlineStr">
        <is>
          <t>nan</t>
        </is>
      </c>
      <c r="J19" s="15" t="inlineStr">
        <is>
          <t>ACTIVO</t>
        </is>
      </c>
      <c r="K19" s="15" t="inlineStr">
        <is>
          <t>nan</t>
        </is>
      </c>
      <c r="L19" s="17" t="n">
        <v>4535378.44</v>
      </c>
      <c r="M19" s="18">
        <f>IF(E19&gt;0,ROUND(L19/E19*100,1),0)</f>
        <v/>
      </c>
      <c r="N19" s="19" t="inlineStr">
        <is>
          <t>PENDIENTE</t>
        </is>
      </c>
      <c r="O19" s="20">
        <f>IF(H19="SI",1,0)*0.6+IF(I19="SI",1,0)*0.4</f>
        <v/>
      </c>
      <c r="P19" s="19" t="inlineStr">
        <is>
          <t>PENDIENTE</t>
        </is>
      </c>
      <c r="Q19" s="14" t="n"/>
      <c r="R19" s="21" t="n"/>
      <c r="S19" s="22">
        <f>IFERROR(SCORECARDS!C17,"—")</f>
        <v/>
      </c>
      <c r="T19" s="23">
        <f>IF(ISTEXT(S19),S19,IF(S19&lt;34,"🔴 Crítico",IF(S19&lt;67,"🟡 Vulnerable","🟢 Preparado")))</f>
        <v/>
      </c>
      <c r="U19" s="57" t="n">
        <v>1</v>
      </c>
      <c r="V19" t="inlineStr">
        <is>
          <t>Sin hallazgos OSCE / OEFA</t>
        </is>
      </c>
      <c r="W19" s="68" t="n">
        <v>1</v>
      </c>
      <c r="X19" s="62" t="n">
        <v>0</v>
      </c>
      <c r="Y19" s="62" t="n">
        <v>0</v>
      </c>
      <c r="Z19" s="62" t="n">
        <v>0</v>
      </c>
      <c r="AA19" s="62" t="n">
        <v>0</v>
      </c>
      <c r="AB19" s="62" t="n">
        <v>0</v>
      </c>
      <c r="AC19" s="62" t="n">
        <v>0</v>
      </c>
      <c r="AD19" s="62" t="n">
        <v>0</v>
      </c>
      <c r="AE19" s="62" t="n">
        <v>0</v>
      </c>
      <c r="AF19" s="62" t="n">
        <v>0</v>
      </c>
      <c r="AG19" s="62" t="n">
        <v>0</v>
      </c>
      <c r="AH19" s="62" t="n">
        <v>0</v>
      </c>
      <c r="AI19" s="62" t="n">
        <v>0</v>
      </c>
      <c r="AJ19" s="62" t="n">
        <v>0</v>
      </c>
      <c r="AK19" s="62" t="n">
        <v>0</v>
      </c>
      <c r="AL19" s="62" t="n">
        <v>0</v>
      </c>
      <c r="AM19" s="62" t="n">
        <v>0</v>
      </c>
      <c r="AN19" s="62" t="n">
        <v>0</v>
      </c>
      <c r="AO19" s="63">
        <f>IFERROR(AVERAGE(AA19,AB19,AC19,AD19,AE19,AF19,AG19,AH19,AI19,AJ19,AK19,AL19,AM19,AN19),"N/A")</f>
        <v/>
      </c>
      <c r="AP19" s="64">
        <f>IFERROR(AVERAGE(W19,X19,Y19,Z19)/2,"N/A")</f>
        <v/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9" t="inlineStr">
        <is>
          <t>CUSCO</t>
        </is>
      </c>
      <c r="D20" s="9" t="inlineStr">
        <is>
          <t>nan</t>
        </is>
      </c>
      <c r="E20" s="14" t="n"/>
      <c r="F20" s="15" t="n"/>
      <c r="G20" s="24" t="inlineStr">
        <is>
          <t>NO</t>
        </is>
      </c>
      <c r="H20" s="15" t="inlineStr">
        <is>
          <t>Cer</t>
        </is>
      </c>
      <c r="I20" s="15" t="inlineStr">
        <is>
          <t>Vig</t>
        </is>
      </c>
      <c r="J20" s="15" t="inlineStr">
        <is>
          <t>ACTIVO</t>
        </is>
      </c>
      <c r="K20" s="15" t="inlineStr">
        <is>
          <t>nan</t>
        </is>
      </c>
      <c r="L20" s="17" t="n">
        <v>0</v>
      </c>
      <c r="M20" s="18">
        <f>IF(E20&gt;0,ROUND(L20/E20*100,1),0)</f>
        <v/>
      </c>
      <c r="N20" s="19" t="inlineStr">
        <is>
          <t>PENDIENTE</t>
        </is>
      </c>
      <c r="O20" s="20">
        <f>IF(H20="SI",1,0)*0.6+IF(I20="SI",1,0)*0.4</f>
        <v/>
      </c>
      <c r="P20" s="19" t="inlineStr">
        <is>
          <t>PENDIENTE</t>
        </is>
      </c>
      <c r="Q20" s="14" t="n">
        <v>36</v>
      </c>
      <c r="R20" s="21" t="n">
        <v>38</v>
      </c>
      <c r="S20" s="22">
        <f>IFERROR(SCORECARDS!C18,"—")</f>
        <v/>
      </c>
      <c r="T20" s="23">
        <f>IF(ISTEXT(S20),S20,IF(S20&lt;34,"🔴 Crítico",IF(S20&lt;67,"🟡 Vulnerable","🟢 Preparado")))</f>
        <v/>
      </c>
      <c r="W20" s="68" t="n">
        <v>1</v>
      </c>
      <c r="X20" s="62" t="n">
        <v>0</v>
      </c>
      <c r="Y20" s="62" t="n">
        <v>0</v>
      </c>
      <c r="Z20" s="62" t="n">
        <v>0</v>
      </c>
      <c r="AA20" s="62" t="n">
        <v>0</v>
      </c>
      <c r="AB20" s="62" t="n">
        <v>0</v>
      </c>
      <c r="AC20" s="62" t="n">
        <v>0</v>
      </c>
      <c r="AD20" s="62" t="n">
        <v>0</v>
      </c>
      <c r="AE20" s="62" t="n">
        <v>0</v>
      </c>
      <c r="AF20" s="62" t="n">
        <v>0</v>
      </c>
      <c r="AG20" s="62" t="n">
        <v>0</v>
      </c>
      <c r="AH20" s="62" t="n">
        <v>0</v>
      </c>
      <c r="AI20" s="62" t="n">
        <v>0</v>
      </c>
      <c r="AJ20" s="62" t="n">
        <v>0</v>
      </c>
      <c r="AK20" s="62" t="n">
        <v>0</v>
      </c>
      <c r="AL20" s="62" t="n">
        <v>0</v>
      </c>
      <c r="AM20" s="62" t="n">
        <v>0</v>
      </c>
      <c r="AN20" s="62" t="n">
        <v>0</v>
      </c>
      <c r="AO20" s="63">
        <f>IFERROR(AVERAGE(AA20,AB20,AC20,AD20,AE20,AF20,AG20,AH20,AI20,AJ20,AK20,AL20,AM20,AN20),"N/A")</f>
        <v/>
      </c>
      <c r="AP20" s="64">
        <f>IFERROR(AVERAGE(W20,X20,Y20,Z20)/2,"N/A")</f>
        <v/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9" t="inlineStr">
        <is>
          <t>UCAYALI</t>
        </is>
      </c>
      <c r="D21" s="9" t="inlineStr">
        <is>
          <t>CACAO</t>
        </is>
      </c>
      <c r="E21" s="14" t="n">
        <v>0</v>
      </c>
      <c r="F21" s="15" t="n"/>
      <c r="G21" s="24" t="inlineStr">
        <is>
          <t>NO</t>
        </is>
      </c>
      <c r="H21" s="15" t="inlineStr">
        <is>
          <t>nan</t>
        </is>
      </c>
      <c r="I21" s="15" t="inlineStr">
        <is>
          <t>nan</t>
        </is>
      </c>
      <c r="J21" s="15" t="inlineStr">
        <is>
          <t>SUSPENSION TEMPORAL</t>
        </is>
      </c>
      <c r="K21" s="15" t="inlineStr">
        <is>
          <t>nan</t>
        </is>
      </c>
      <c r="L21" s="17" t="n">
        <v>0</v>
      </c>
      <c r="M21" s="18">
        <f>IF(E21&gt;0,ROUND(L21/E21*100,1),0)</f>
        <v/>
      </c>
      <c r="N21" s="19" t="inlineStr">
        <is>
          <t>PENDIENTE</t>
        </is>
      </c>
      <c r="O21" s="20">
        <f>IF(H21="SI",1,0)*0.6+IF(I21="SI",1,0)*0.4</f>
        <v/>
      </c>
      <c r="P21" s="19" t="inlineStr">
        <is>
          <t>PENDIENTE</t>
        </is>
      </c>
      <c r="Q21" s="14" t="n"/>
      <c r="R21" s="21" t="n"/>
      <c r="S21" s="22">
        <f>IFERROR(SCORECARDS!C19,"—")</f>
        <v/>
      </c>
      <c r="T21" s="23">
        <f>IF(ISTEXT(S21),S21,IF(S21&lt;34,"🔴 Crítico",IF(S21&lt;67,"🟡 Vulnerable","🟢 Preparado")))</f>
        <v/>
      </c>
      <c r="W21" s="62" t="n">
        <v>0</v>
      </c>
      <c r="X21" s="62" t="n">
        <v>0</v>
      </c>
      <c r="Y21" s="62" t="n">
        <v>0</v>
      </c>
      <c r="Z21" s="62" t="n">
        <v>0</v>
      </c>
      <c r="AA21" s="62" t="n">
        <v>0</v>
      </c>
      <c r="AB21" s="62" t="n">
        <v>0</v>
      </c>
      <c r="AC21" s="62" t="n">
        <v>0</v>
      </c>
      <c r="AD21" s="62" t="n">
        <v>0</v>
      </c>
      <c r="AE21" s="62" t="n">
        <v>0</v>
      </c>
      <c r="AF21" s="62" t="n">
        <v>0</v>
      </c>
      <c r="AG21" s="62" t="n">
        <v>0</v>
      </c>
      <c r="AH21" s="62" t="n">
        <v>0</v>
      </c>
      <c r="AI21" s="62" t="n">
        <v>0</v>
      </c>
      <c r="AJ21" s="62" t="n">
        <v>0</v>
      </c>
      <c r="AK21" s="62" t="n">
        <v>0</v>
      </c>
      <c r="AL21" s="62" t="n">
        <v>0</v>
      </c>
      <c r="AM21" s="62" t="n">
        <v>0</v>
      </c>
      <c r="AN21" s="62" t="n">
        <v>0</v>
      </c>
      <c r="AO21" s="63">
        <f>IFERROR(AVERAGE(AA21,AB21,AC21,AD21,AE21,AF21,AG21,AH21,AI21,AJ21,AK21,AL21,AM21,AN21),"N/A")</f>
        <v/>
      </c>
      <c r="AP21" s="64">
        <f>IFERROR(AVERAGE(W21,X21,Y21,Z21)/2,"N/A")</f>
        <v/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9" t="inlineStr">
        <is>
          <t>HUANUCO</t>
        </is>
      </c>
      <c r="D22" s="9" t="inlineStr">
        <is>
          <t>CAFÉ</t>
        </is>
      </c>
      <c r="E22" s="14" t="n">
        <v>0</v>
      </c>
      <c r="F22" s="15" t="n"/>
      <c r="G22" s="24" t="inlineStr">
        <is>
          <t>NO</t>
        </is>
      </c>
      <c r="H22" s="15" t="inlineStr">
        <is>
          <t>nan</t>
        </is>
      </c>
      <c r="I22" s="15" t="inlineStr">
        <is>
          <t>nan</t>
        </is>
      </c>
      <c r="J22" s="15" t="inlineStr">
        <is>
          <t>ACTIVO</t>
        </is>
      </c>
      <c r="K22" s="15" t="inlineStr">
        <is>
          <t>nan</t>
        </is>
      </c>
      <c r="L22" s="17" t="n">
        <v>0</v>
      </c>
      <c r="M22" s="18">
        <f>IF(E22&gt;0,ROUND(L22/E22*100,1),0)</f>
        <v/>
      </c>
      <c r="N22" s="19" t="inlineStr">
        <is>
          <t>PENDIENTE</t>
        </is>
      </c>
      <c r="O22" s="20">
        <f>IF(H22="SI",1,0)*0.6+IF(I22="SI",1,0)*0.4</f>
        <v/>
      </c>
      <c r="P22" s="19" t="inlineStr">
        <is>
          <t>PENDIENTE</t>
        </is>
      </c>
      <c r="Q22" s="14" t="n"/>
      <c r="R22" s="21" t="n"/>
      <c r="S22" s="22">
        <f>IFERROR(SCORECARDS!C20,"—")</f>
        <v/>
      </c>
      <c r="T22" s="23">
        <f>IF(ISTEXT(S22),S22,IF(S22&lt;34,"🔴 Crítico",IF(S22&lt;67,"🟡 Vulnerable","🟢 Preparado")))</f>
        <v/>
      </c>
      <c r="W22" s="62" t="n">
        <v>0</v>
      </c>
      <c r="X22" s="62" t="n">
        <v>0</v>
      </c>
      <c r="Y22" s="62" t="n">
        <v>0</v>
      </c>
      <c r="Z22" s="62" t="n">
        <v>0</v>
      </c>
      <c r="AA22" s="62" t="n">
        <v>0</v>
      </c>
      <c r="AB22" s="62" t="n">
        <v>0</v>
      </c>
      <c r="AC22" s="62" t="n">
        <v>0</v>
      </c>
      <c r="AD22" s="62" t="n">
        <v>0</v>
      </c>
      <c r="AE22" s="62" t="n">
        <v>0</v>
      </c>
      <c r="AF22" s="62" t="n">
        <v>0</v>
      </c>
      <c r="AG22" s="62" t="n">
        <v>0</v>
      </c>
      <c r="AH22" s="62" t="n">
        <v>0</v>
      </c>
      <c r="AI22" s="62" t="n">
        <v>0</v>
      </c>
      <c r="AJ22" s="62" t="n">
        <v>0</v>
      </c>
      <c r="AK22" s="62" t="n">
        <v>0</v>
      </c>
      <c r="AL22" s="62" t="n">
        <v>0</v>
      </c>
      <c r="AM22" s="62" t="n">
        <v>0</v>
      </c>
      <c r="AN22" s="62" t="n">
        <v>0</v>
      </c>
      <c r="AO22" s="63">
        <f>IFERROR(AVERAGE(AA22,AB22,AC22,AD22,AE22,AF22,AG22,AH22,AI22,AJ22,AK22,AL22,AM22,AN22),"N/A")</f>
        <v/>
      </c>
      <c r="AP22" s="64">
        <f>IFERROR(AVERAGE(W22,X22,Y22,Z22)/2,"N/A")</f>
        <v/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9" t="inlineStr">
        <is>
          <t>UCAYALI</t>
        </is>
      </c>
      <c r="D23" s="9" t="inlineStr">
        <is>
          <t>CACAO</t>
        </is>
      </c>
      <c r="E23" s="14" t="n"/>
      <c r="F23" s="15" t="n"/>
      <c r="G23" s="24" t="inlineStr">
        <is>
          <t>NO</t>
        </is>
      </c>
      <c r="H23" s="15" t="inlineStr">
        <is>
          <t>nan</t>
        </is>
      </c>
      <c r="I23" s="15" t="inlineStr">
        <is>
          <t>nan</t>
        </is>
      </c>
      <c r="J23" s="15" t="inlineStr">
        <is>
          <t>ACTIVO</t>
        </is>
      </c>
      <c r="K23" s="15" t="inlineStr">
        <is>
          <t>nan</t>
        </is>
      </c>
      <c r="L23" s="17" t="n">
        <v>0</v>
      </c>
      <c r="M23" s="18">
        <f>IF(E23&gt;0,ROUND(L23/E23*100,1),0)</f>
        <v/>
      </c>
      <c r="N23" s="19" t="inlineStr">
        <is>
          <t>PENDIENTE</t>
        </is>
      </c>
      <c r="O23" s="20">
        <f>IF(H23="SI",1,0)*0.6+IF(I23="SI",1,0)*0.4</f>
        <v/>
      </c>
      <c r="P23" s="19" t="inlineStr">
        <is>
          <t>PENDIENTE</t>
        </is>
      </c>
      <c r="Q23" s="14" t="n"/>
      <c r="R23" s="21" t="n"/>
      <c r="S23" s="22">
        <f>IFERROR(SCORECARDS!C21,"—")</f>
        <v/>
      </c>
      <c r="T23" s="23">
        <f>IF(ISTEXT(S23),S23,IF(S23&lt;34,"🔴 Crítico",IF(S23&lt;67,"🟡 Vulnerable","🟢 Preparado")))</f>
        <v/>
      </c>
      <c r="W23" s="62" t="n">
        <v>0</v>
      </c>
      <c r="X23" s="62" t="n">
        <v>0</v>
      </c>
      <c r="Y23" s="62" t="n">
        <v>0</v>
      </c>
      <c r="Z23" s="62" t="n">
        <v>0</v>
      </c>
      <c r="AA23" s="62" t="n">
        <v>0</v>
      </c>
      <c r="AB23" s="62" t="n">
        <v>0</v>
      </c>
      <c r="AC23" s="62" t="n">
        <v>0</v>
      </c>
      <c r="AD23" s="62" t="n">
        <v>0</v>
      </c>
      <c r="AE23" s="62" t="n">
        <v>0</v>
      </c>
      <c r="AF23" s="62" t="n">
        <v>0</v>
      </c>
      <c r="AG23" s="62" t="n">
        <v>0</v>
      </c>
      <c r="AH23" s="62" t="n">
        <v>0</v>
      </c>
      <c r="AI23" s="62" t="n">
        <v>0</v>
      </c>
      <c r="AJ23" s="62" t="n">
        <v>0</v>
      </c>
      <c r="AK23" s="62" t="n">
        <v>0</v>
      </c>
      <c r="AL23" s="62" t="n">
        <v>0</v>
      </c>
      <c r="AM23" s="62" t="n">
        <v>0</v>
      </c>
      <c r="AN23" s="62" t="n">
        <v>0</v>
      </c>
      <c r="AO23" s="63">
        <f>IFERROR(AVERAGE(AA23,AB23,AC23,AD23,AE23,AF23,AG23,AH23,AI23,AJ23,AK23,AL23,AM23,AN23),"N/A")</f>
        <v/>
      </c>
      <c r="AP23" s="64">
        <f>IFERROR(AVERAGE(W23,X23,Y23,Z23)/2,"N/A")</f>
        <v/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9" t="inlineStr">
        <is>
          <t>UCAYALI</t>
        </is>
      </c>
      <c r="D24" s="9" t="inlineStr">
        <is>
          <t>CACAO</t>
        </is>
      </c>
      <c r="E24" s="14" t="n">
        <v>0</v>
      </c>
      <c r="F24" s="15" t="n"/>
      <c r="G24" s="24" t="inlineStr">
        <is>
          <t>NO</t>
        </is>
      </c>
      <c r="H24" s="15" t="inlineStr">
        <is>
          <t>nan</t>
        </is>
      </c>
      <c r="I24" s="15" t="inlineStr">
        <is>
          <t>nan</t>
        </is>
      </c>
      <c r="J24" s="15" t="inlineStr">
        <is>
          <t>BAJA DE OFICIO</t>
        </is>
      </c>
      <c r="K24" s="15" t="inlineStr">
        <is>
          <t>nan</t>
        </is>
      </c>
      <c r="L24" s="17" t="n">
        <v>0</v>
      </c>
      <c r="M24" s="18">
        <f>IF(E24&gt;0,ROUND(L24/E24*100,1),0)</f>
        <v/>
      </c>
      <c r="N24" s="19" t="inlineStr">
        <is>
          <t>PENDIENTE</t>
        </is>
      </c>
      <c r="O24" s="20">
        <f>IF(H24="SI",1,0)*0.6+IF(I24="SI",1,0)*0.4</f>
        <v/>
      </c>
      <c r="P24" s="19" t="inlineStr">
        <is>
          <t>PENDIENTE</t>
        </is>
      </c>
      <c r="Q24" s="14" t="n"/>
      <c r="R24" s="21" t="n"/>
      <c r="S24" s="22">
        <f>IFERROR(SCORECARDS!C22,"—")</f>
        <v/>
      </c>
      <c r="T24" s="23">
        <f>IF(ISTEXT(S24),S24,IF(S24&lt;34,"🔴 Crítico",IF(S24&lt;67,"🟡 Vulnerable","🟢 Preparado")))</f>
        <v/>
      </c>
      <c r="W24" s="62" t="n">
        <v>0</v>
      </c>
      <c r="X24" s="62" t="n">
        <v>0</v>
      </c>
      <c r="Y24" s="62" t="n">
        <v>0</v>
      </c>
      <c r="Z24" s="62" t="n">
        <v>0</v>
      </c>
      <c r="AA24" s="62" t="n">
        <v>0</v>
      </c>
      <c r="AB24" s="62" t="n">
        <v>0</v>
      </c>
      <c r="AC24" s="62" t="n">
        <v>0</v>
      </c>
      <c r="AD24" s="62" t="n">
        <v>0</v>
      </c>
      <c r="AE24" s="62" t="n">
        <v>0</v>
      </c>
      <c r="AF24" s="62" t="n">
        <v>0</v>
      </c>
      <c r="AG24" s="62" t="n">
        <v>0</v>
      </c>
      <c r="AH24" s="62" t="n">
        <v>0</v>
      </c>
      <c r="AI24" s="62" t="n">
        <v>0</v>
      </c>
      <c r="AJ24" s="62" t="n">
        <v>0</v>
      </c>
      <c r="AK24" s="62" t="n">
        <v>0</v>
      </c>
      <c r="AL24" s="62" t="n">
        <v>0</v>
      </c>
      <c r="AM24" s="62" t="n">
        <v>0</v>
      </c>
      <c r="AN24" s="62" t="n">
        <v>0</v>
      </c>
      <c r="AO24" s="63">
        <f>IFERROR(AVERAGE(AA24,AB24,AC24,AD24,AE24,AF24,AG24,AH24,AI24,AJ24,AK24,AL24,AM24,AN24),"N/A")</f>
        <v/>
      </c>
      <c r="AP24" s="64">
        <f>IFERROR(AVERAGE(W24,X24,Y24,Z24)/2,"N/A")</f>
        <v/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9" t="inlineStr">
        <is>
          <t>UCAYALI</t>
        </is>
      </c>
      <c r="D25" s="9" t="inlineStr">
        <is>
          <t>CACAO</t>
        </is>
      </c>
      <c r="E25" s="14" t="n">
        <v>0</v>
      </c>
      <c r="F25" s="15" t="n"/>
      <c r="G25" s="24" t="inlineStr">
        <is>
          <t>NO</t>
        </is>
      </c>
      <c r="H25" s="15" t="inlineStr">
        <is>
          <t>nan</t>
        </is>
      </c>
      <c r="I25" s="15" t="inlineStr">
        <is>
          <t>nan</t>
        </is>
      </c>
      <c r="J25" s="15" t="inlineStr">
        <is>
          <t>ACTIVO</t>
        </is>
      </c>
      <c r="K25" s="15" t="inlineStr">
        <is>
          <t>nan</t>
        </is>
      </c>
      <c r="L25" s="17" t="n">
        <v>0</v>
      </c>
      <c r="M25" s="18">
        <f>IF(E25&gt;0,ROUND(L25/E25*100,1),0)</f>
        <v/>
      </c>
      <c r="N25" s="19" t="inlineStr">
        <is>
          <t>PENDIENTE</t>
        </is>
      </c>
      <c r="O25" s="20">
        <f>IF(H25="SI",1,0)*0.6+IF(I25="SI",1,0)*0.4</f>
        <v/>
      </c>
      <c r="P25" s="19" t="inlineStr">
        <is>
          <t>PENDIENTE</t>
        </is>
      </c>
      <c r="Q25" s="14" t="n"/>
      <c r="R25" s="21" t="n"/>
      <c r="S25" s="22">
        <f>IFERROR(SCORECARDS!C23,"—")</f>
        <v/>
      </c>
      <c r="T25" s="23">
        <f>IF(ISTEXT(S25),S25,IF(S25&lt;34,"🔴 Crítico",IF(S25&lt;67,"🟡 Vulnerable","🟢 Preparado")))</f>
        <v/>
      </c>
      <c r="W25" s="62" t="n">
        <v>0</v>
      </c>
      <c r="X25" s="62" t="n">
        <v>0</v>
      </c>
      <c r="Y25" s="62" t="n">
        <v>0</v>
      </c>
      <c r="Z25" s="62" t="n">
        <v>0</v>
      </c>
      <c r="AA25" s="62" t="n">
        <v>0</v>
      </c>
      <c r="AB25" s="62" t="n">
        <v>0</v>
      </c>
      <c r="AC25" s="62" t="n">
        <v>0</v>
      </c>
      <c r="AD25" s="62" t="n">
        <v>0</v>
      </c>
      <c r="AE25" s="62" t="n">
        <v>0</v>
      </c>
      <c r="AF25" s="62" t="n">
        <v>0</v>
      </c>
      <c r="AG25" s="62" t="n">
        <v>0</v>
      </c>
      <c r="AH25" s="62" t="n">
        <v>0</v>
      </c>
      <c r="AI25" s="62" t="n">
        <v>0</v>
      </c>
      <c r="AJ25" s="62" t="n">
        <v>0</v>
      </c>
      <c r="AK25" s="62" t="n">
        <v>0</v>
      </c>
      <c r="AL25" s="62" t="n">
        <v>0</v>
      </c>
      <c r="AM25" s="62" t="n">
        <v>0</v>
      </c>
      <c r="AN25" s="62" t="n">
        <v>0</v>
      </c>
      <c r="AO25" s="63">
        <f>IFERROR(AVERAGE(AA25,AB25,AC25,AD25,AE25,AF25,AG25,AH25,AI25,AJ25,AK25,AL25,AM25,AN25),"N/A")</f>
        <v/>
      </c>
      <c r="AP25" s="64">
        <f>IFERROR(AVERAGE(W25,X25,Y25,Z25)/2,"N/A")</f>
        <v/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9" t="inlineStr">
        <is>
          <t>UCAYALI</t>
        </is>
      </c>
      <c r="D26" s="9" t="inlineStr">
        <is>
          <t>CAFÉ</t>
        </is>
      </c>
      <c r="E26" s="14" t="n"/>
      <c r="F26" s="15" t="n"/>
      <c r="G26" s="24" t="inlineStr">
        <is>
          <t>NO</t>
        </is>
      </c>
      <c r="H26" s="15" t="inlineStr">
        <is>
          <t>nan</t>
        </is>
      </c>
      <c r="I26" s="15" t="inlineStr">
        <is>
          <t>nan</t>
        </is>
      </c>
      <c r="J26" s="15" t="inlineStr">
        <is>
          <t>ACTIVO</t>
        </is>
      </c>
      <c r="K26" s="15" t="inlineStr">
        <is>
          <t>nan</t>
        </is>
      </c>
      <c r="L26" s="17" t="n">
        <v>0</v>
      </c>
      <c r="M26" s="18">
        <f>IF(E26&gt;0,ROUND(L26/E26*100,1),0)</f>
        <v/>
      </c>
      <c r="N26" s="19" t="inlineStr">
        <is>
          <t>PENDIENTE</t>
        </is>
      </c>
      <c r="O26" s="20">
        <f>IF(H26="SI",1,0)*0.6+IF(I26="SI",1,0)*0.4</f>
        <v/>
      </c>
      <c r="P26" s="19" t="inlineStr">
        <is>
          <t>PENDIENTE</t>
        </is>
      </c>
      <c r="Q26" s="14" t="n"/>
      <c r="R26" s="21" t="n"/>
      <c r="S26" s="22">
        <f>IFERROR(SCORECARDS!C24,"—")</f>
        <v/>
      </c>
      <c r="T26" s="23">
        <f>IF(ISTEXT(S26),S26,IF(S26&lt;34,"🔴 Crítico",IF(S26&lt;67,"🟡 Vulnerable","🟢 Preparado")))</f>
        <v/>
      </c>
      <c r="W26" s="62" t="n">
        <v>0</v>
      </c>
      <c r="X26" s="62" t="n">
        <v>0</v>
      </c>
      <c r="Y26" s="62" t="n">
        <v>0</v>
      </c>
      <c r="Z26" s="62" t="n">
        <v>0</v>
      </c>
      <c r="AA26" s="62" t="n">
        <v>0</v>
      </c>
      <c r="AB26" s="62" t="n">
        <v>0</v>
      </c>
      <c r="AC26" s="62" t="n">
        <v>0</v>
      </c>
      <c r="AD26" s="62" t="n">
        <v>0</v>
      </c>
      <c r="AE26" s="62" t="n">
        <v>0</v>
      </c>
      <c r="AF26" s="62" t="n">
        <v>0</v>
      </c>
      <c r="AG26" s="62" t="n">
        <v>0</v>
      </c>
      <c r="AH26" s="62" t="n">
        <v>0</v>
      </c>
      <c r="AI26" s="62" t="n">
        <v>0</v>
      </c>
      <c r="AJ26" s="62" t="n">
        <v>0</v>
      </c>
      <c r="AK26" s="62" t="n">
        <v>0</v>
      </c>
      <c r="AL26" s="62" t="n">
        <v>0</v>
      </c>
      <c r="AM26" s="62" t="n">
        <v>0</v>
      </c>
      <c r="AN26" s="62" t="n">
        <v>0</v>
      </c>
      <c r="AO26" s="63">
        <f>IFERROR(AVERAGE(AA26,AB26,AC26,AD26,AE26,AF26,AG26,AH26,AI26,AJ26,AK26,AL26,AM26,AN26),"N/A")</f>
        <v/>
      </c>
      <c r="AP26" s="64">
        <f>IFERROR(AVERAGE(W26,X26,Y26,Z26)/2,"N/A")</f>
        <v/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9" t="inlineStr">
        <is>
          <t>UCAYALI</t>
        </is>
      </c>
      <c r="D27" s="9" t="inlineStr">
        <is>
          <t>CACAO</t>
        </is>
      </c>
      <c r="E27" s="14" t="n">
        <v>0</v>
      </c>
      <c r="F27" s="15" t="n"/>
      <c r="G27" s="24" t="inlineStr">
        <is>
          <t>NO</t>
        </is>
      </c>
      <c r="H27" s="15" t="inlineStr">
        <is>
          <t>nan</t>
        </is>
      </c>
      <c r="I27" s="15" t="inlineStr">
        <is>
          <t>nan</t>
        </is>
      </c>
      <c r="J27" s="15" t="inlineStr">
        <is>
          <t>ACTIVO</t>
        </is>
      </c>
      <c r="K27" s="15" t="inlineStr">
        <is>
          <t>nan</t>
        </is>
      </c>
      <c r="L27" s="17" t="n">
        <v>0</v>
      </c>
      <c r="M27" s="18">
        <f>IF(E27&gt;0,ROUND(L27/E27*100,1),0)</f>
        <v/>
      </c>
      <c r="N27" s="19" t="inlineStr">
        <is>
          <t>PENDIENTE</t>
        </is>
      </c>
      <c r="O27" s="20">
        <f>IF(H27="SI",1,0)*0.6+IF(I27="SI",1,0)*0.4</f>
        <v/>
      </c>
      <c r="P27" s="19" t="inlineStr">
        <is>
          <t>PENDIENTE</t>
        </is>
      </c>
      <c r="Q27" s="14" t="n"/>
      <c r="R27" s="21" t="n"/>
      <c r="S27" s="22">
        <f>IFERROR(SCORECARDS!C25,"—")</f>
        <v/>
      </c>
      <c r="T27" s="23">
        <f>IF(ISTEXT(S27),S27,IF(S27&lt;34,"🔴 Crítico",IF(S27&lt;67,"🟡 Vulnerable","🟢 Preparado")))</f>
        <v/>
      </c>
      <c r="W27" s="62" t="n">
        <v>0</v>
      </c>
      <c r="X27" s="62" t="n">
        <v>0</v>
      </c>
      <c r="Y27" s="62" t="n">
        <v>0</v>
      </c>
      <c r="Z27" s="62" t="n">
        <v>0</v>
      </c>
      <c r="AA27" s="62" t="n">
        <v>0</v>
      </c>
      <c r="AB27" s="62" t="n">
        <v>0</v>
      </c>
      <c r="AC27" s="62" t="n">
        <v>0</v>
      </c>
      <c r="AD27" s="62" t="n">
        <v>0</v>
      </c>
      <c r="AE27" s="62" t="n">
        <v>0</v>
      </c>
      <c r="AF27" s="62" t="n">
        <v>0</v>
      </c>
      <c r="AG27" s="62" t="n">
        <v>0</v>
      </c>
      <c r="AH27" s="62" t="n">
        <v>0</v>
      </c>
      <c r="AI27" s="62" t="n">
        <v>0</v>
      </c>
      <c r="AJ27" s="62" t="n">
        <v>0</v>
      </c>
      <c r="AK27" s="62" t="n">
        <v>0</v>
      </c>
      <c r="AL27" s="62" t="n">
        <v>0</v>
      </c>
      <c r="AM27" s="62" t="n">
        <v>0</v>
      </c>
      <c r="AN27" s="62" t="n">
        <v>0</v>
      </c>
      <c r="AO27" s="63">
        <f>IFERROR(AVERAGE(AA27,AB27,AC27,AD27,AE27,AF27,AG27,AH27,AI27,AJ27,AK27,AL27,AM27,AN27),"N/A")</f>
        <v/>
      </c>
      <c r="AP27" s="64">
        <f>IFERROR(AVERAGE(W27,X27,Y27,Z27)/2,"N/A")</f>
        <v/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9" t="inlineStr">
        <is>
          <t>UCAYALI</t>
        </is>
      </c>
      <c r="D28" s="9" t="inlineStr">
        <is>
          <t>CACAO</t>
        </is>
      </c>
      <c r="E28" s="14" t="n"/>
      <c r="F28" s="15" t="n"/>
      <c r="G28" s="24" t="inlineStr">
        <is>
          <t>NO</t>
        </is>
      </c>
      <c r="H28" s="15" t="inlineStr">
        <is>
          <t>nan</t>
        </is>
      </c>
      <c r="I28" s="15" t="inlineStr">
        <is>
          <t>nan</t>
        </is>
      </c>
      <c r="J28" s="15" t="inlineStr">
        <is>
          <t>ACTIVO</t>
        </is>
      </c>
      <c r="K28" s="15" t="inlineStr">
        <is>
          <t>nan</t>
        </is>
      </c>
      <c r="L28" s="17" t="n">
        <v>0</v>
      </c>
      <c r="M28" s="18">
        <f>IF(E28&gt;0,ROUND(L28/E28*100,1),0)</f>
        <v/>
      </c>
      <c r="N28" s="19" t="inlineStr">
        <is>
          <t>PENDIENTE</t>
        </is>
      </c>
      <c r="O28" s="20">
        <f>IF(H28="SI",1,0)*0.6+IF(I28="SI",1,0)*0.4</f>
        <v/>
      </c>
      <c r="P28" s="19" t="inlineStr">
        <is>
          <t>PENDIENTE</t>
        </is>
      </c>
      <c r="Q28" s="14" t="n"/>
      <c r="R28" s="21" t="n"/>
      <c r="S28" s="22">
        <f>IFERROR(SCORECARDS!C26,"—")</f>
        <v/>
      </c>
      <c r="T28" s="23">
        <f>IF(ISTEXT(S28),S28,IF(S28&lt;34,"🔴 Crítico",IF(S28&lt;67,"🟡 Vulnerable","🟢 Preparado")))</f>
        <v/>
      </c>
      <c r="W28" s="62" t="n">
        <v>0</v>
      </c>
      <c r="X28" s="62" t="n">
        <v>0</v>
      </c>
      <c r="Y28" s="62" t="n">
        <v>0</v>
      </c>
      <c r="Z28" s="62" t="n">
        <v>0</v>
      </c>
      <c r="AA28" s="62" t="n">
        <v>0</v>
      </c>
      <c r="AB28" s="62" t="n">
        <v>0</v>
      </c>
      <c r="AC28" s="62" t="n">
        <v>0</v>
      </c>
      <c r="AD28" s="62" t="n">
        <v>0</v>
      </c>
      <c r="AE28" s="62" t="n">
        <v>0</v>
      </c>
      <c r="AF28" s="62" t="n">
        <v>0</v>
      </c>
      <c r="AG28" s="62" t="n">
        <v>0</v>
      </c>
      <c r="AH28" s="62" t="n">
        <v>0</v>
      </c>
      <c r="AI28" s="62" t="n">
        <v>0</v>
      </c>
      <c r="AJ28" s="62" t="n">
        <v>0</v>
      </c>
      <c r="AK28" s="62" t="n">
        <v>0</v>
      </c>
      <c r="AL28" s="62" t="n">
        <v>0</v>
      </c>
      <c r="AM28" s="62" t="n">
        <v>0</v>
      </c>
      <c r="AN28" s="62" t="n">
        <v>0</v>
      </c>
      <c r="AO28" s="63">
        <f>IFERROR(AVERAGE(AA28,AB28,AC28,AD28,AE28,AF28,AG28,AH28,AI28,AJ28,AK28,AL28,AM28,AN28),"N/A")</f>
        <v/>
      </c>
      <c r="AP28" s="64">
        <f>IFERROR(AVERAGE(W28,X28,Y28,Z28)/2,"N/A")</f>
        <v/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9" t="inlineStr">
        <is>
          <t>UCAYALI</t>
        </is>
      </c>
      <c r="D29" s="9" t="inlineStr">
        <is>
          <t>CACAO</t>
        </is>
      </c>
      <c r="E29" s="14" t="n"/>
      <c r="F29" s="15" t="n"/>
      <c r="G29" s="24" t="inlineStr">
        <is>
          <t>NO</t>
        </is>
      </c>
      <c r="H29" s="15" t="inlineStr">
        <is>
          <t>nan</t>
        </is>
      </c>
      <c r="I29" s="15" t="inlineStr">
        <is>
          <t>nan</t>
        </is>
      </c>
      <c r="J29" s="15" t="inlineStr">
        <is>
          <t>ACTIVO</t>
        </is>
      </c>
      <c r="K29" s="15" t="inlineStr">
        <is>
          <t>nan</t>
        </is>
      </c>
      <c r="L29" s="17" t="n">
        <v>0</v>
      </c>
      <c r="M29" s="18">
        <f>IF(E29&gt;0,ROUND(L29/E29*100,1),0)</f>
        <v/>
      </c>
      <c r="N29" s="19" t="inlineStr">
        <is>
          <t>PENDIENTE</t>
        </is>
      </c>
      <c r="O29" s="20">
        <f>IF(H29="SI",1,0)*0.6+IF(I29="SI",1,0)*0.4</f>
        <v/>
      </c>
      <c r="P29" s="19" t="inlineStr">
        <is>
          <t>PENDIENTE</t>
        </is>
      </c>
      <c r="Q29" s="14" t="n"/>
      <c r="R29" s="21" t="n"/>
      <c r="S29" s="22">
        <f>IFERROR(SCORECARDS!C27,"—")</f>
        <v/>
      </c>
      <c r="T29" s="23">
        <f>IF(ISTEXT(S29),S29,IF(S29&lt;34,"🔴 Crítico",IF(S29&lt;67,"🟡 Vulnerable","🟢 Preparado")))</f>
        <v/>
      </c>
      <c r="W29" s="62" t="n">
        <v>0</v>
      </c>
      <c r="X29" s="62" t="n">
        <v>0</v>
      </c>
      <c r="Y29" s="62" t="n">
        <v>0</v>
      </c>
      <c r="Z29" s="62" t="n">
        <v>0</v>
      </c>
      <c r="AA29" s="62" t="n">
        <v>0</v>
      </c>
      <c r="AB29" s="62" t="n">
        <v>0</v>
      </c>
      <c r="AC29" s="62" t="n">
        <v>0</v>
      </c>
      <c r="AD29" s="62" t="n">
        <v>0</v>
      </c>
      <c r="AE29" s="62" t="n">
        <v>0</v>
      </c>
      <c r="AF29" s="62" t="n">
        <v>0</v>
      </c>
      <c r="AG29" s="62" t="n">
        <v>0</v>
      </c>
      <c r="AH29" s="62" t="n">
        <v>0</v>
      </c>
      <c r="AI29" s="62" t="n">
        <v>0</v>
      </c>
      <c r="AJ29" s="62" t="n">
        <v>0</v>
      </c>
      <c r="AK29" s="62" t="n">
        <v>0</v>
      </c>
      <c r="AL29" s="62" t="n">
        <v>0</v>
      </c>
      <c r="AM29" s="62" t="n">
        <v>0</v>
      </c>
      <c r="AN29" s="62" t="n">
        <v>0</v>
      </c>
      <c r="AO29" s="63">
        <f>IFERROR(AVERAGE(AA29,AB29,AC29,AD29,AE29,AF29,AG29,AH29,AI29,AJ29,AK29,AL29,AM29,AN29),"N/A")</f>
        <v/>
      </c>
      <c r="AP29" s="64">
        <f>IFERROR(AVERAGE(W29,X29,Y29,Z29)/2,"N/A")</f>
        <v/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9" t="inlineStr">
        <is>
          <t>PUNO</t>
        </is>
      </c>
      <c r="D30" s="9" t="inlineStr">
        <is>
          <t>CACAO</t>
        </is>
      </c>
      <c r="E30" s="14" t="n"/>
      <c r="F30" s="15" t="n"/>
      <c r="G30" s="24" t="inlineStr">
        <is>
          <t>NO</t>
        </is>
      </c>
      <c r="H30" s="15" t="inlineStr">
        <is>
          <t>nan</t>
        </is>
      </c>
      <c r="I30" s="15" t="inlineStr">
        <is>
          <t>nan</t>
        </is>
      </c>
      <c r="J30" s="15" t="inlineStr">
        <is>
          <t>ACTIVO</t>
        </is>
      </c>
      <c r="K30" s="15" t="inlineStr">
        <is>
          <t>nan</t>
        </is>
      </c>
      <c r="L30" s="17" t="n">
        <v>0</v>
      </c>
      <c r="M30" s="18">
        <f>IF(E30&gt;0,ROUND(L30/E30*100,1),0)</f>
        <v/>
      </c>
      <c r="N30" s="19" t="inlineStr">
        <is>
          <t>PENDIENTE</t>
        </is>
      </c>
      <c r="O30" s="20">
        <f>IF(H30="SI",1,0)*0.6+IF(I30="SI",1,0)*0.4</f>
        <v/>
      </c>
      <c r="P30" s="19" t="inlineStr">
        <is>
          <t>PENDIENTE</t>
        </is>
      </c>
      <c r="Q30" s="14" t="n"/>
      <c r="R30" s="21" t="n"/>
      <c r="S30" s="22">
        <f>IFERROR(SCORECARDS!C28,"—")</f>
        <v/>
      </c>
      <c r="T30" s="23">
        <f>IF(ISTEXT(S30),S30,IF(S30&lt;34,"🔴 Crítico",IF(S30&lt;67,"🟡 Vulnerable","🟢 Preparado")))</f>
        <v/>
      </c>
      <c r="W30" s="62" t="n">
        <v>0</v>
      </c>
      <c r="X30" s="62" t="n">
        <v>0</v>
      </c>
      <c r="Y30" s="62" t="n">
        <v>0</v>
      </c>
      <c r="Z30" s="62" t="n">
        <v>0</v>
      </c>
      <c r="AA30" s="62" t="n">
        <v>0</v>
      </c>
      <c r="AB30" s="62" t="n">
        <v>0</v>
      </c>
      <c r="AC30" s="62" t="n">
        <v>0</v>
      </c>
      <c r="AD30" s="62" t="n">
        <v>0</v>
      </c>
      <c r="AE30" s="62" t="n">
        <v>0</v>
      </c>
      <c r="AF30" s="62" t="n">
        <v>0</v>
      </c>
      <c r="AG30" s="62" t="n">
        <v>0</v>
      </c>
      <c r="AH30" s="62" t="n">
        <v>0</v>
      </c>
      <c r="AI30" s="62" t="n">
        <v>0</v>
      </c>
      <c r="AJ30" s="62" t="n">
        <v>0</v>
      </c>
      <c r="AK30" s="62" t="n">
        <v>0</v>
      </c>
      <c r="AL30" s="62" t="n">
        <v>0</v>
      </c>
      <c r="AM30" s="62" t="n">
        <v>0</v>
      </c>
      <c r="AN30" s="62" t="n">
        <v>0</v>
      </c>
      <c r="AO30" s="63">
        <f>IFERROR(AVERAGE(AA30,AB30,AC30,AD30,AE30,AF30,AG30,AH30,AI30,AJ30,AK30,AL30,AM30,AN30),"N/A")</f>
        <v/>
      </c>
      <c r="AP30" s="64">
        <f>IFERROR(AVERAGE(W30,X30,Y30,Z30)/2,"N/A")</f>
        <v/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9" t="inlineStr">
        <is>
          <t>SAN MARTIN</t>
        </is>
      </c>
      <c r="D31" s="9" t="inlineStr">
        <is>
          <t>CAFÉ</t>
        </is>
      </c>
      <c r="E31" s="14" t="n">
        <v>0</v>
      </c>
      <c r="F31" s="15" t="n"/>
      <c r="G31" s="24" t="inlineStr">
        <is>
          <t>NO</t>
        </is>
      </c>
      <c r="H31" s="15" t="inlineStr">
        <is>
          <t>nan</t>
        </is>
      </c>
      <c r="I31" s="15" t="inlineStr">
        <is>
          <t>nan</t>
        </is>
      </c>
      <c r="J31" s="15" t="inlineStr">
        <is>
          <t>ACTIVO</t>
        </is>
      </c>
      <c r="K31" s="15" t="inlineStr">
        <is>
          <t>nan</t>
        </is>
      </c>
      <c r="L31" s="17" t="n">
        <v>0</v>
      </c>
      <c r="M31" s="18">
        <f>IF(E31&gt;0,ROUND(L31/E31*100,1),0)</f>
        <v/>
      </c>
      <c r="N31" s="19" t="inlineStr">
        <is>
          <t>PENDIENTE</t>
        </is>
      </c>
      <c r="O31" s="20">
        <f>IF(H31="SI",1,0)*0.6+IF(I31="SI",1,0)*0.4</f>
        <v/>
      </c>
      <c r="P31" s="19" t="inlineStr">
        <is>
          <t>PENDIENTE</t>
        </is>
      </c>
      <c r="Q31" s="14" t="n"/>
      <c r="R31" s="21" t="n"/>
      <c r="S31" s="22">
        <f>IFERROR(SCORECARDS!C29,"—")</f>
        <v/>
      </c>
      <c r="T31" s="23">
        <f>IF(ISTEXT(S31),S31,IF(S31&lt;34,"🔴 Crítico",IF(S31&lt;67,"🟡 Vulnerable","🟢 Preparado")))</f>
        <v/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</v>
      </c>
      <c r="AB31" s="62" t="n">
        <v>0</v>
      </c>
      <c r="AC31" s="62" t="n">
        <v>0</v>
      </c>
      <c r="AD31" s="62" t="n">
        <v>0</v>
      </c>
      <c r="AE31" s="62" t="n">
        <v>0</v>
      </c>
      <c r="AF31" s="62" t="n">
        <v>0</v>
      </c>
      <c r="AG31" s="62" t="n">
        <v>0</v>
      </c>
      <c r="AH31" s="62" t="n">
        <v>0</v>
      </c>
      <c r="AI31" s="62" t="n">
        <v>0</v>
      </c>
      <c r="AJ31" s="62" t="n">
        <v>0</v>
      </c>
      <c r="AK31" s="62" t="n">
        <v>0</v>
      </c>
      <c r="AL31" s="62" t="n">
        <v>0</v>
      </c>
      <c r="AM31" s="62" t="n">
        <v>0</v>
      </c>
      <c r="AN31" s="62" t="n">
        <v>0</v>
      </c>
      <c r="AO31" s="63">
        <f>IFERROR(AVERAGE(AA31,AB31,AC31,AD31,AE31,AF31,AG31,AH31,AI31,AJ31,AK31,AL31,AM31,AN31),"N/A")</f>
        <v/>
      </c>
      <c r="AP31" s="64">
        <f>IFERROR(AVERAGE(W31,X31,Y31,Z31)/2,"N/A")</f>
        <v/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9" t="inlineStr">
        <is>
          <t>SAN MARTIN</t>
        </is>
      </c>
      <c r="D32" s="9" t="inlineStr">
        <is>
          <t>CACAO</t>
        </is>
      </c>
      <c r="E32" s="14" t="n">
        <v>0</v>
      </c>
      <c r="F32" s="15" t="n"/>
      <c r="G32" s="24" t="inlineStr">
        <is>
          <t>NO</t>
        </is>
      </c>
      <c r="H32" s="15" t="inlineStr">
        <is>
          <t>nan</t>
        </is>
      </c>
      <c r="I32" s="15" t="inlineStr">
        <is>
          <t>nan</t>
        </is>
      </c>
      <c r="J32" s="15" t="inlineStr">
        <is>
          <t>ACTIVO</t>
        </is>
      </c>
      <c r="K32" s="15" t="inlineStr">
        <is>
          <t>nan</t>
        </is>
      </c>
      <c r="L32" s="17" t="n">
        <v>0</v>
      </c>
      <c r="M32" s="18">
        <f>IF(E32&gt;0,ROUND(L32/E32*100,1),0)</f>
        <v/>
      </c>
      <c r="N32" s="19" t="inlineStr">
        <is>
          <t>PENDIENTE</t>
        </is>
      </c>
      <c r="O32" s="20">
        <f>IF(H32="SI",1,0)*0.6+IF(I32="SI",1,0)*0.4</f>
        <v/>
      </c>
      <c r="P32" s="19" t="inlineStr">
        <is>
          <t>PENDIENTE</t>
        </is>
      </c>
      <c r="Q32" s="14" t="n"/>
      <c r="R32" s="21" t="n"/>
      <c r="S32" s="22">
        <f>IFERROR(SCORECARDS!C30,"—")</f>
        <v/>
      </c>
      <c r="T32" s="23">
        <f>IF(ISTEXT(S32),S32,IF(S32&lt;34,"🔴 Crítico",IF(S32&lt;67,"🟡 Vulnerable","🟢 Preparado")))</f>
        <v/>
      </c>
      <c r="W32" s="62" t="n">
        <v>0</v>
      </c>
      <c r="X32" s="62" t="n">
        <v>0</v>
      </c>
      <c r="Y32" s="62" t="n">
        <v>0</v>
      </c>
      <c r="Z32" s="62" t="n">
        <v>0</v>
      </c>
      <c r="AA32" s="62" t="n">
        <v>0</v>
      </c>
      <c r="AB32" s="62" t="n">
        <v>0</v>
      </c>
      <c r="AC32" s="62" t="n">
        <v>0</v>
      </c>
      <c r="AD32" s="62" t="n">
        <v>0</v>
      </c>
      <c r="AE32" s="62" t="n">
        <v>0</v>
      </c>
      <c r="AF32" s="62" t="n">
        <v>0</v>
      </c>
      <c r="AG32" s="62" t="n">
        <v>0</v>
      </c>
      <c r="AH32" s="62" t="n">
        <v>0</v>
      </c>
      <c r="AI32" s="62" t="n">
        <v>0</v>
      </c>
      <c r="AJ32" s="62" t="n">
        <v>0</v>
      </c>
      <c r="AK32" s="62" t="n">
        <v>0</v>
      </c>
      <c r="AL32" s="62" t="n">
        <v>0</v>
      </c>
      <c r="AM32" s="62" t="n">
        <v>0</v>
      </c>
      <c r="AN32" s="62" t="n">
        <v>0</v>
      </c>
      <c r="AO32" s="63">
        <f>IFERROR(AVERAGE(AA32,AB32,AC32,AD32,AE32,AF32,AG32,AH32,AI32,AJ32,AK32,AL32,AM32,AN32),"N/A")</f>
        <v/>
      </c>
      <c r="AP32" s="64">
        <f>IFERROR(AVERAGE(W32,X32,Y32,Z32)/2,"N/A")</f>
        <v/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9" t="inlineStr">
        <is>
          <t>SAN MARTIN</t>
        </is>
      </c>
      <c r="D33" s="9" t="inlineStr">
        <is>
          <t>CAFÉ</t>
        </is>
      </c>
      <c r="E33" s="14" t="n">
        <v>0</v>
      </c>
      <c r="F33" s="15" t="n"/>
      <c r="G33" s="24" t="inlineStr">
        <is>
          <t>NO</t>
        </is>
      </c>
      <c r="H33" s="15" t="inlineStr">
        <is>
          <t>nan</t>
        </is>
      </c>
      <c r="I33" s="15" t="inlineStr">
        <is>
          <t>nan</t>
        </is>
      </c>
      <c r="J33" s="15" t="inlineStr">
        <is>
          <t>ACTIVO</t>
        </is>
      </c>
      <c r="K33" s="15" t="inlineStr">
        <is>
          <t>nan</t>
        </is>
      </c>
      <c r="L33" s="17" t="n">
        <v>0</v>
      </c>
      <c r="M33" s="18">
        <f>IF(E33&gt;0,ROUND(L33/E33*100,1),0)</f>
        <v/>
      </c>
      <c r="N33" s="19" t="inlineStr">
        <is>
          <t>PENDIENTE</t>
        </is>
      </c>
      <c r="O33" s="20">
        <f>IF(H33="SI",1,0)*0.6+IF(I33="SI",1,0)*0.4</f>
        <v/>
      </c>
      <c r="P33" s="19" t="inlineStr">
        <is>
          <t>PENDIENTE</t>
        </is>
      </c>
      <c r="Q33" s="14" t="n"/>
      <c r="R33" s="21" t="n"/>
      <c r="S33" s="22">
        <f>IFERROR(SCORECARDS!C31,"—")</f>
        <v/>
      </c>
      <c r="T33" s="23">
        <f>IF(ISTEXT(S33),S33,IF(S33&lt;34,"🔴 Crítico",IF(S33&lt;67,"🟡 Vulnerable","🟢 Preparado")))</f>
        <v/>
      </c>
      <c r="W33" s="62" t="n">
        <v>0</v>
      </c>
      <c r="X33" s="62" t="n">
        <v>0</v>
      </c>
      <c r="Y33" s="62" t="n">
        <v>0</v>
      </c>
      <c r="Z33" s="62" t="n">
        <v>0</v>
      </c>
      <c r="AA33" s="62" t="n">
        <v>0</v>
      </c>
      <c r="AB33" s="62" t="n">
        <v>0</v>
      </c>
      <c r="AC33" s="62" t="n">
        <v>0</v>
      </c>
      <c r="AD33" s="62" t="n">
        <v>0</v>
      </c>
      <c r="AE33" s="62" t="n">
        <v>0</v>
      </c>
      <c r="AF33" s="62" t="n">
        <v>0</v>
      </c>
      <c r="AG33" s="62" t="n">
        <v>0</v>
      </c>
      <c r="AH33" s="62" t="n">
        <v>0</v>
      </c>
      <c r="AI33" s="62" t="n">
        <v>0</v>
      </c>
      <c r="AJ33" s="62" t="n">
        <v>0</v>
      </c>
      <c r="AK33" s="62" t="n">
        <v>0</v>
      </c>
      <c r="AL33" s="62" t="n">
        <v>0</v>
      </c>
      <c r="AM33" s="62" t="n">
        <v>0</v>
      </c>
      <c r="AN33" s="62" t="n">
        <v>0</v>
      </c>
      <c r="AO33" s="63">
        <f>IFERROR(AVERAGE(AA33,AB33,AC33,AD33,AE33,AF33,AG33,AH33,AI33,AJ33,AK33,AL33,AM33,AN33),"N/A")</f>
        <v/>
      </c>
      <c r="AP33" s="64">
        <f>IFERROR(AVERAGE(W33,X33,Y33,Z33)/2,"N/A")</f>
        <v/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9" t="inlineStr">
        <is>
          <t>SAN MARTIN</t>
        </is>
      </c>
      <c r="D34" s="9" t="inlineStr">
        <is>
          <t>CAFÉ</t>
        </is>
      </c>
      <c r="E34" s="14" t="n"/>
      <c r="F34" s="15" t="n"/>
      <c r="G34" s="24" t="inlineStr">
        <is>
          <t>NO</t>
        </is>
      </c>
      <c r="H34" s="15" t="inlineStr">
        <is>
          <t>nan</t>
        </is>
      </c>
      <c r="I34" s="15" t="inlineStr">
        <is>
          <t>nan</t>
        </is>
      </c>
      <c r="J34" s="15" t="inlineStr">
        <is>
          <t>ACTIVO</t>
        </is>
      </c>
      <c r="K34" s="15" t="inlineStr">
        <is>
          <t>nan</t>
        </is>
      </c>
      <c r="L34" s="17" t="n">
        <v>0</v>
      </c>
      <c r="M34" s="18">
        <f>IF(E34&gt;0,ROUND(L34/E34*100,1),0)</f>
        <v/>
      </c>
      <c r="N34" s="19" t="inlineStr">
        <is>
          <t>PENDIENTE</t>
        </is>
      </c>
      <c r="O34" s="20">
        <f>IF(H34="SI",1,0)*0.6+IF(I34="SI",1,0)*0.4</f>
        <v/>
      </c>
      <c r="P34" s="19" t="inlineStr">
        <is>
          <t>PENDIENTE</t>
        </is>
      </c>
      <c r="Q34" s="14" t="n"/>
      <c r="R34" s="21" t="n"/>
      <c r="S34" s="22">
        <f>IFERROR(SCORECARDS!C32,"—")</f>
        <v/>
      </c>
      <c r="T34" s="23">
        <f>IF(ISTEXT(S34),S34,IF(S34&lt;34,"🔴 Crítico",IF(S34&lt;67,"🟡 Vulnerable","🟢 Preparado")))</f>
        <v/>
      </c>
      <c r="W34" s="62" t="n">
        <v>0</v>
      </c>
      <c r="X34" s="62" t="n">
        <v>0</v>
      </c>
      <c r="Y34" s="62" t="n">
        <v>0</v>
      </c>
      <c r="Z34" s="62" t="n">
        <v>0</v>
      </c>
      <c r="AA34" s="62" t="n">
        <v>0</v>
      </c>
      <c r="AB34" s="62" t="n">
        <v>0</v>
      </c>
      <c r="AC34" s="62" t="n">
        <v>0</v>
      </c>
      <c r="AD34" s="62" t="n">
        <v>0</v>
      </c>
      <c r="AE34" s="62" t="n">
        <v>0</v>
      </c>
      <c r="AF34" s="62" t="n">
        <v>0</v>
      </c>
      <c r="AG34" s="62" t="n">
        <v>0</v>
      </c>
      <c r="AH34" s="62" t="n">
        <v>0</v>
      </c>
      <c r="AI34" s="62" t="n">
        <v>0</v>
      </c>
      <c r="AJ34" s="62" t="n">
        <v>0</v>
      </c>
      <c r="AK34" s="62" t="n">
        <v>0</v>
      </c>
      <c r="AL34" s="62" t="n">
        <v>0</v>
      </c>
      <c r="AM34" s="62" t="n">
        <v>0</v>
      </c>
      <c r="AN34" s="62" t="n">
        <v>0</v>
      </c>
      <c r="AO34" s="63">
        <f>IFERROR(AVERAGE(AA34,AB34,AC34,AD34,AE34,AF34,AG34,AH34,AI34,AJ34,AK34,AL34,AM34,AN34),"N/A")</f>
        <v/>
      </c>
      <c r="AP34" s="64">
        <f>IFERROR(AVERAGE(W34,X34,Y34,Z34)/2,"N/A")</f>
        <v/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9" t="inlineStr">
        <is>
          <t>CUSCO</t>
        </is>
      </c>
      <c r="D35" s="9" t="inlineStr">
        <is>
          <t>CACAO</t>
        </is>
      </c>
      <c r="E35" s="14" t="n">
        <v>1931452.7</v>
      </c>
      <c r="F35" s="15" t="n">
        <v>7</v>
      </c>
      <c r="G35" s="16" t="inlineStr">
        <is>
          <t>SI</t>
        </is>
      </c>
      <c r="H35" s="15" t="inlineStr">
        <is>
          <t>nan</t>
        </is>
      </c>
      <c r="I35" s="15" t="inlineStr">
        <is>
          <t>nan</t>
        </is>
      </c>
      <c r="J35" s="15" t="inlineStr">
        <is>
          <t>ACTIVO</t>
        </is>
      </c>
      <c r="K35" s="15" t="inlineStr">
        <is>
          <t>nan</t>
        </is>
      </c>
      <c r="L35" s="17" t="n">
        <v>965726.35</v>
      </c>
      <c r="M35" s="18">
        <f>IF(E35&gt;0,ROUND(L35/E35*100,1),0)</f>
        <v/>
      </c>
      <c r="N35" s="19" t="inlineStr">
        <is>
          <t>PENDIENTE</t>
        </is>
      </c>
      <c r="O35" s="20">
        <f>IF(H35="SI",1,0)*0.6+IF(I35="SI",1,0)*0.4</f>
        <v/>
      </c>
      <c r="P35" s="19" t="inlineStr">
        <is>
          <t>PENDIENTE</t>
        </is>
      </c>
      <c r="Q35" s="14" t="n"/>
      <c r="R35" s="21" t="n"/>
      <c r="S35" s="22">
        <f>IFERROR(SCORECARDS!C33,"—")</f>
        <v/>
      </c>
      <c r="T35" s="23">
        <f>IF(ISTEXT(S35),S35,IF(S35&lt;34,"🔴 Crítico",IF(S35&lt;67,"🟡 Vulnerable","🟢 Preparado")))</f>
        <v/>
      </c>
      <c r="U35" s="57" t="n">
        <v>1</v>
      </c>
      <c r="V35" t="inlineStr">
        <is>
          <t>Sin hallazgos OSCE / OEFA</t>
        </is>
      </c>
      <c r="W35" s="68" t="n">
        <v>1</v>
      </c>
      <c r="X35" s="62" t="n">
        <v>0</v>
      </c>
      <c r="Y35" s="62" t="n">
        <v>0</v>
      </c>
      <c r="Z35" s="62" t="n">
        <v>0</v>
      </c>
      <c r="AA35" s="62" t="n">
        <v>0</v>
      </c>
      <c r="AB35" s="62" t="n">
        <v>0</v>
      </c>
      <c r="AC35" s="62" t="n">
        <v>0</v>
      </c>
      <c r="AD35" s="62" t="n">
        <v>0</v>
      </c>
      <c r="AE35" s="62" t="n">
        <v>0</v>
      </c>
      <c r="AF35" s="62" t="n">
        <v>0</v>
      </c>
      <c r="AG35" s="62" t="n">
        <v>0</v>
      </c>
      <c r="AH35" s="62" t="n">
        <v>0</v>
      </c>
      <c r="AI35" s="62" t="n">
        <v>0</v>
      </c>
      <c r="AJ35" s="62" t="n">
        <v>0</v>
      </c>
      <c r="AK35" s="62" t="n">
        <v>0</v>
      </c>
      <c r="AL35" s="62" t="n">
        <v>0</v>
      </c>
      <c r="AM35" s="62" t="n">
        <v>0</v>
      </c>
      <c r="AN35" s="62" t="n">
        <v>0</v>
      </c>
      <c r="AO35" s="63">
        <f>IFERROR(AVERAGE(AA35,AB35,AC35,AD35,AE35,AF35,AG35,AH35,AI35,AJ35,AK35,AL35,AM35,AN35),"N/A")</f>
        <v/>
      </c>
      <c r="AP35" s="64">
        <f>IFERROR(AVERAGE(W35,X35,Y35,Z35)/2,"N/A")</f>
        <v/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9" t="inlineStr">
        <is>
          <t>CAJAMARCA</t>
        </is>
      </c>
      <c r="D36" s="9" t="inlineStr">
        <is>
          <t>CAFÉ</t>
        </is>
      </c>
      <c r="E36" s="14" t="n">
        <v>4538578.93</v>
      </c>
      <c r="F36" s="15" t="n">
        <v>24</v>
      </c>
      <c r="G36" s="16" t="inlineStr">
        <is>
          <t>SI</t>
        </is>
      </c>
      <c r="H36" s="16" t="inlineStr">
        <is>
          <t>SI</t>
        </is>
      </c>
      <c r="I36" s="16" t="inlineStr">
        <is>
          <t>SI</t>
        </is>
      </c>
      <c r="J36" s="15" t="inlineStr">
        <is>
          <t>ACTIVO</t>
        </is>
      </c>
      <c r="K36" s="15" t="inlineStr">
        <is>
          <t>nan</t>
        </is>
      </c>
      <c r="L36" s="17" t="n">
        <v>965167.45</v>
      </c>
      <c r="M36" s="18">
        <f>IF(E36&gt;0,ROUND(L36/E36*100,1),0)</f>
        <v/>
      </c>
      <c r="N36" s="19" t="inlineStr">
        <is>
          <t>PENDIENTE</t>
        </is>
      </c>
      <c r="O36" s="20">
        <f>IF(H36="SI",1,0)*0.6+IF(I36="SI",1,0)*0.4</f>
        <v/>
      </c>
      <c r="P36" s="19" t="inlineStr">
        <is>
          <t>PENDIENTE</t>
        </is>
      </c>
      <c r="Q36" s="14" t="n">
        <v>178</v>
      </c>
      <c r="R36" s="21" t="n">
        <v>437</v>
      </c>
      <c r="S36" s="22">
        <f>IFERROR(SCORECARDS!C34,"—")</f>
        <v/>
      </c>
      <c r="T36" s="23">
        <f>IF(ISTEXT(S36),S36,IF(S36&lt;34,"🔴 Crítico",IF(S36&lt;67,"🟡 Vulnerable","🟢 Preparado")))</f>
        <v/>
      </c>
      <c r="U36" s="57" t="n">
        <v>1</v>
      </c>
      <c r="V36" t="inlineStr">
        <is>
          <t>Sin hallazgos OSCE / OEFA</t>
        </is>
      </c>
      <c r="W36" s="68" t="n">
        <v>1</v>
      </c>
      <c r="X36" s="62" t="n">
        <v>0</v>
      </c>
      <c r="Y36" s="62" t="n">
        <v>0</v>
      </c>
      <c r="Z36" s="62" t="n">
        <v>0</v>
      </c>
      <c r="AA36" s="62" t="n">
        <v>0</v>
      </c>
      <c r="AB36" s="62" t="n">
        <v>0</v>
      </c>
      <c r="AC36" s="62" t="n">
        <v>0</v>
      </c>
      <c r="AD36" s="62" t="n">
        <v>0</v>
      </c>
      <c r="AE36" s="62" t="n">
        <v>0</v>
      </c>
      <c r="AF36" s="62" t="n">
        <v>0</v>
      </c>
      <c r="AG36" s="62" t="n">
        <v>0</v>
      </c>
      <c r="AH36" s="62" t="n">
        <v>0</v>
      </c>
      <c r="AI36" s="62" t="n">
        <v>0</v>
      </c>
      <c r="AJ36" s="62" t="n">
        <v>0</v>
      </c>
      <c r="AK36" s="62" t="n">
        <v>0</v>
      </c>
      <c r="AL36" s="62" t="n">
        <v>0</v>
      </c>
      <c r="AM36" s="62" t="n">
        <v>0</v>
      </c>
      <c r="AN36" s="62" t="n">
        <v>0</v>
      </c>
      <c r="AO36" s="63">
        <f>IFERROR(AVERAGE(AA36,AB36,AC36,AD36,AE36,AF36,AG36,AH36,AI36,AJ36,AK36,AL36,AM36,AN36),"N/A")</f>
        <v/>
      </c>
      <c r="AP36" s="64">
        <f>IFERROR(AVERAGE(W36,X36,Y36,Z36)/2,"N/A")</f>
        <v/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9" t="inlineStr">
        <is>
          <t>AMAZONAS</t>
        </is>
      </c>
      <c r="D37" s="9" t="inlineStr">
        <is>
          <t>CAFÉ</t>
        </is>
      </c>
      <c r="E37" s="14" t="n">
        <v>0</v>
      </c>
      <c r="F37" s="15" t="n"/>
      <c r="G37" s="24" t="inlineStr">
        <is>
          <t>NO</t>
        </is>
      </c>
      <c r="H37" s="15" t="inlineStr">
        <is>
          <t>nan</t>
        </is>
      </c>
      <c r="I37" s="15" t="inlineStr">
        <is>
          <t>nan</t>
        </is>
      </c>
      <c r="J37" s="15" t="inlineStr">
        <is>
          <t>ACTIVO</t>
        </is>
      </c>
      <c r="K37" s="15" t="inlineStr">
        <is>
          <t>nan</t>
        </is>
      </c>
      <c r="L37" s="17" t="n">
        <v>0</v>
      </c>
      <c r="M37" s="18">
        <f>IF(E37&gt;0,ROUND(L37/E37*100,1),0)</f>
        <v/>
      </c>
      <c r="N37" s="19" t="inlineStr">
        <is>
          <t>PENDIENTE</t>
        </is>
      </c>
      <c r="O37" s="20">
        <f>IF(H37="SI",1,0)*0.6+IF(I37="SI",1,0)*0.4</f>
        <v/>
      </c>
      <c r="P37" s="19" t="inlineStr">
        <is>
          <t>PENDIENTE</t>
        </is>
      </c>
      <c r="Q37" s="14" t="n"/>
      <c r="R37" s="21" t="n"/>
      <c r="S37" s="22">
        <f>IFERROR(SCORECARDS!C35,"—")</f>
        <v/>
      </c>
      <c r="T37" s="23">
        <f>IF(ISTEXT(S37),S37,IF(S37&lt;34,"🔴 Crítico",IF(S37&lt;67,"🟡 Vulnerable","🟢 Preparado")))</f>
        <v/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>
        <f>IFERROR(AVERAGE(AA37,AB37,AC37,AD37,AE37,AF37,AG37,AH37,AI37,AJ37,AK37,AL37,AM37,AN37),"N/A")</f>
        <v/>
      </c>
      <c r="AP37" s="64">
        <f>IFERROR(AVERAGE(W37,X37,Y37,Z37)/2,"N/A")</f>
        <v/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9" t="inlineStr">
        <is>
          <t>AMAZONAS</t>
        </is>
      </c>
      <c r="D38" s="9" t="inlineStr">
        <is>
          <t>nan</t>
        </is>
      </c>
      <c r="E38" s="14" t="n"/>
      <c r="F38" s="15" t="n"/>
      <c r="G38" s="24" t="inlineStr">
        <is>
          <t>NO</t>
        </is>
      </c>
      <c r="H38" s="15" t="inlineStr">
        <is>
          <t>nan</t>
        </is>
      </c>
      <c r="I38" s="15" t="inlineStr">
        <is>
          <t>nan</t>
        </is>
      </c>
      <c r="J38" s="15" t="inlineStr">
        <is>
          <t>BAJA DE OFICIO</t>
        </is>
      </c>
      <c r="K38" s="15" t="inlineStr">
        <is>
          <t>nan</t>
        </is>
      </c>
      <c r="L38" s="17" t="n">
        <v>0</v>
      </c>
      <c r="M38" s="18">
        <f>IF(E38&gt;0,ROUND(L38/E38*100,1),0)</f>
        <v/>
      </c>
      <c r="N38" s="19" t="inlineStr">
        <is>
          <t>PENDIENTE</t>
        </is>
      </c>
      <c r="O38" s="20">
        <f>IF(H38="SI",1,0)*0.6+IF(I38="SI",1,0)*0.4</f>
        <v/>
      </c>
      <c r="P38" s="19" t="inlineStr">
        <is>
          <t>PENDIENTE</t>
        </is>
      </c>
      <c r="Q38" s="14" t="n"/>
      <c r="R38" s="21" t="n"/>
      <c r="S38" s="22">
        <f>IFERROR(SCORECARDS!C36,"—")</f>
        <v/>
      </c>
      <c r="T38" s="23">
        <f>IF(ISTEXT(S38),S38,IF(S38&lt;34,"🔴 Crítico",IF(S38&lt;67,"🟡 Vulnerable","🟢 Preparado")))</f>
        <v/>
      </c>
      <c r="W38" s="62" t="n">
        <v>0</v>
      </c>
      <c r="X38" s="62" t="n">
        <v>0</v>
      </c>
      <c r="Y38" s="62" t="n">
        <v>0</v>
      </c>
      <c r="Z38" s="62" t="n">
        <v>0</v>
      </c>
      <c r="AA38" s="62" t="n">
        <v>0</v>
      </c>
      <c r="AB38" s="62" t="n">
        <v>0</v>
      </c>
      <c r="AC38" s="62" t="n">
        <v>0</v>
      </c>
      <c r="AD38" s="62" t="n">
        <v>0</v>
      </c>
      <c r="AE38" s="62" t="n">
        <v>0</v>
      </c>
      <c r="AF38" s="62" t="n">
        <v>0</v>
      </c>
      <c r="AG38" s="62" t="n">
        <v>0</v>
      </c>
      <c r="AH38" s="62" t="n">
        <v>0</v>
      </c>
      <c r="AI38" s="62" t="n">
        <v>0</v>
      </c>
      <c r="AJ38" s="62" t="n">
        <v>0</v>
      </c>
      <c r="AK38" s="62" t="n">
        <v>0</v>
      </c>
      <c r="AL38" s="62" t="n">
        <v>0</v>
      </c>
      <c r="AM38" s="62" t="n">
        <v>0</v>
      </c>
      <c r="AN38" s="62" t="n">
        <v>0</v>
      </c>
      <c r="AO38" s="63">
        <f>IFERROR(AVERAGE(AA38,AB38,AC38,AD38,AE38,AF38,AG38,AH38,AI38,AJ38,AK38,AL38,AM38,AN38),"N/A")</f>
        <v/>
      </c>
      <c r="AP38" s="64">
        <f>IFERROR(AVERAGE(W38,X38,Y38,Z38)/2,"N/A")</f>
        <v/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9" t="inlineStr">
        <is>
          <t>AMAZONAS</t>
        </is>
      </c>
      <c r="D39" s="9" t="inlineStr">
        <is>
          <t>CACAO</t>
        </is>
      </c>
      <c r="E39" s="14" t="n">
        <v>1175215.28</v>
      </c>
      <c r="F39" s="15" t="n">
        <v>7</v>
      </c>
      <c r="G39" s="16" t="inlineStr">
        <is>
          <t>SI</t>
        </is>
      </c>
      <c r="H39" s="15" t="inlineStr">
        <is>
          <t>nan</t>
        </is>
      </c>
      <c r="I39" s="15" t="inlineStr">
        <is>
          <t>nan</t>
        </is>
      </c>
      <c r="J39" s="15" t="inlineStr">
        <is>
          <t>ACTIVO</t>
        </is>
      </c>
      <c r="K39" s="15" t="inlineStr">
        <is>
          <t>nan</t>
        </is>
      </c>
      <c r="L39" s="17" t="n">
        <v>587607.64</v>
      </c>
      <c r="M39" s="18">
        <f>IF(E39&gt;0,ROUND(L39/E39*100,1),0)</f>
        <v/>
      </c>
      <c r="N39" s="19" t="inlineStr">
        <is>
          <t>PENDIENTE</t>
        </is>
      </c>
      <c r="O39" s="20">
        <f>IF(H39="SI",1,0)*0.6+IF(I39="SI",1,0)*0.4</f>
        <v/>
      </c>
      <c r="P39" s="19" t="inlineStr">
        <is>
          <t>PENDIENTE</t>
        </is>
      </c>
      <c r="Q39" s="14" t="n"/>
      <c r="R39" s="21" t="n"/>
      <c r="S39" s="22">
        <f>IFERROR(SCORECARDS!C37,"—")</f>
        <v/>
      </c>
      <c r="T39" s="23">
        <f>IF(ISTEXT(S39),S39,IF(S39&lt;34,"🔴 Crítico",IF(S39&lt;67,"🟡 Vulnerable","🟢 Preparado")))</f>
        <v/>
      </c>
      <c r="U39" s="57" t="n">
        <v>1</v>
      </c>
      <c r="V39" t="inlineStr">
        <is>
          <t>Sin hallazgos OSCE / OEFA</t>
        </is>
      </c>
      <c r="W39" s="68" t="n">
        <v>1</v>
      </c>
      <c r="X39" s="62" t="n">
        <v>0</v>
      </c>
      <c r="Y39" s="62" t="n">
        <v>0</v>
      </c>
      <c r="Z39" s="62" t="n">
        <v>0</v>
      </c>
      <c r="AA39" s="62" t="n">
        <v>0</v>
      </c>
      <c r="AB39" s="62" t="n">
        <v>0</v>
      </c>
      <c r="AC39" s="62" t="n">
        <v>0</v>
      </c>
      <c r="AD39" s="62" t="n">
        <v>0</v>
      </c>
      <c r="AE39" s="62" t="n">
        <v>0</v>
      </c>
      <c r="AF39" s="62" t="n">
        <v>0</v>
      </c>
      <c r="AG39" s="62" t="n">
        <v>0</v>
      </c>
      <c r="AH39" s="62" t="n">
        <v>0</v>
      </c>
      <c r="AI39" s="62" t="n">
        <v>0</v>
      </c>
      <c r="AJ39" s="62" t="n">
        <v>0</v>
      </c>
      <c r="AK39" s="62" t="n">
        <v>0</v>
      </c>
      <c r="AL39" s="62" t="n">
        <v>0</v>
      </c>
      <c r="AM39" s="62" t="n">
        <v>0</v>
      </c>
      <c r="AN39" s="62" t="n">
        <v>0</v>
      </c>
      <c r="AO39" s="63">
        <f>IFERROR(AVERAGE(AA39,AB39,AC39,AD39,AE39,AF39,AG39,AH39,AI39,AJ39,AK39,AL39,AM39,AN39),"N/A")</f>
        <v/>
      </c>
      <c r="AP39" s="64">
        <f>IFERROR(AVERAGE(W39,X39,Y39,Z39)/2,"N/A")</f>
        <v/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9" t="inlineStr">
        <is>
          <t>AMAZONAS</t>
        </is>
      </c>
      <c r="D40" s="9" t="inlineStr">
        <is>
          <t>CACAO</t>
        </is>
      </c>
      <c r="E40" s="14" t="n">
        <v>1684429.98</v>
      </c>
      <c r="F40" s="15" t="n">
        <v>14</v>
      </c>
      <c r="G40" s="16" t="inlineStr">
        <is>
          <t>SI</t>
        </is>
      </c>
      <c r="H40" s="15" t="inlineStr">
        <is>
          <t>nan</t>
        </is>
      </c>
      <c r="I40" s="15" t="inlineStr">
        <is>
          <t>nan</t>
        </is>
      </c>
      <c r="J40" s="15" t="inlineStr">
        <is>
          <t>ACTIVO</t>
        </is>
      </c>
      <c r="K40" s="15" t="inlineStr">
        <is>
          <t>nan</t>
        </is>
      </c>
      <c r="L40" s="17" t="n">
        <v>842214.99</v>
      </c>
      <c r="M40" s="18">
        <f>IF(E40&gt;0,ROUND(L40/E40*100,1),0)</f>
        <v/>
      </c>
      <c r="N40" s="19" t="inlineStr">
        <is>
          <t>PENDIENTE</t>
        </is>
      </c>
      <c r="O40" s="20">
        <f>IF(H40="SI",1,0)*0.6+IF(I40="SI",1,0)*0.4</f>
        <v/>
      </c>
      <c r="P40" s="19" t="inlineStr">
        <is>
          <t>PENDIENTE</t>
        </is>
      </c>
      <c r="Q40" s="14" t="n"/>
      <c r="R40" s="21" t="n"/>
      <c r="S40" s="22">
        <f>IFERROR(SCORECARDS!C38,"—")</f>
        <v/>
      </c>
      <c r="T40" s="23">
        <f>IF(ISTEXT(S40),S40,IF(S40&lt;34,"🔴 Crítico",IF(S40&lt;67,"🟡 Vulnerable","🟢 Preparado")))</f>
        <v/>
      </c>
      <c r="U40" s="57" t="n">
        <v>1</v>
      </c>
      <c r="V40" t="inlineStr">
        <is>
          <t>Sin hallazgos OSCE / OEFA</t>
        </is>
      </c>
      <c r="W40" s="68" t="n">
        <v>1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>
        <f>IFERROR(AVERAGE(AA40,AB40,AC40,AD40,AE40,AF40,AG40,AH40,AI40,AJ40,AK40,AL40,AM40,AN40),"N/A")</f>
        <v/>
      </c>
      <c r="AP40" s="64">
        <f>IFERROR(AVERAGE(W40,X40,Y40,Z40)/2,"N/A")</f>
        <v/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9" t="inlineStr">
        <is>
          <t>AMAZONAS</t>
        </is>
      </c>
      <c r="D41" s="9" t="inlineStr">
        <is>
          <t>CAFÉ</t>
        </is>
      </c>
      <c r="E41" s="14" t="n">
        <v>0</v>
      </c>
      <c r="F41" s="15" t="n"/>
      <c r="G41" s="24" t="inlineStr">
        <is>
          <t>NO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BAJA DE OFICIO</t>
        </is>
      </c>
      <c r="K41" s="15" t="inlineStr">
        <is>
          <t>nan</t>
        </is>
      </c>
      <c r="L41" s="17" t="n">
        <v>0</v>
      </c>
      <c r="M41" s="18">
        <f>IF(E41&gt;0,ROUND(L41/E41*100,1),0)</f>
        <v/>
      </c>
      <c r="N41" s="19" t="inlineStr">
        <is>
          <t>PENDIENTE</t>
        </is>
      </c>
      <c r="O41" s="20">
        <f>IF(H41="SI",1,0)*0.6+IF(I41="SI",1,0)*0.4</f>
        <v/>
      </c>
      <c r="P41" s="19" t="inlineStr">
        <is>
          <t>PENDIENTE</t>
        </is>
      </c>
      <c r="Q41" s="14" t="n"/>
      <c r="R41" s="21" t="n"/>
      <c r="S41" s="22">
        <f>IFERROR(SCORECARDS!C39,"—")</f>
        <v/>
      </c>
      <c r="T41" s="23">
        <f>IF(ISTEXT(S41),S41,IF(S41&lt;34,"🔴 Crítico",IF(S41&lt;67,"🟡 Vulnerable","🟢 Preparado")))</f>
        <v/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>
        <f>IFERROR(AVERAGE(AA41,AB41,AC41,AD41,AE41,AF41,AG41,AH41,AI41,AJ41,AK41,AL41,AM41,AN41),"N/A")</f>
        <v/>
      </c>
      <c r="AP41" s="64">
        <f>IFERROR(AVERAGE(W41,X41,Y41,Z41)/2,"N/A")</f>
        <v/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9" t="inlineStr">
        <is>
          <t>PIURA</t>
        </is>
      </c>
      <c r="D42" s="9" t="inlineStr">
        <is>
          <t>CACAO</t>
        </is>
      </c>
      <c r="E42" s="14" t="n">
        <v>817000</v>
      </c>
      <c r="F42" s="15" t="n">
        <v>6</v>
      </c>
      <c r="G42" s="16" t="inlineStr">
        <is>
          <t>SI</t>
        </is>
      </c>
      <c r="H42" s="15" t="inlineStr">
        <is>
          <t>nan</t>
        </is>
      </c>
      <c r="I42" s="15" t="inlineStr">
        <is>
          <t>nan</t>
        </is>
      </c>
      <c r="J42" s="15" t="inlineStr">
        <is>
          <t>ACTIVO</t>
        </is>
      </c>
      <c r="K42" s="15" t="inlineStr">
        <is>
          <t>nan</t>
        </is>
      </c>
      <c r="L42" s="17" t="n">
        <v>408500</v>
      </c>
      <c r="M42" s="18">
        <f>IF(E42&gt;0,ROUND(L42/E42*100,1),0)</f>
        <v/>
      </c>
      <c r="N42" s="19" t="inlineStr">
        <is>
          <t>PENDIENTE</t>
        </is>
      </c>
      <c r="O42" s="20">
        <f>IF(H42="SI",1,0)*0.6+IF(I42="SI",1,0)*0.4</f>
        <v/>
      </c>
      <c r="P42" s="19" t="inlineStr">
        <is>
          <t>PENDIENTE</t>
        </is>
      </c>
      <c r="Q42" s="14" t="n"/>
      <c r="R42" s="21" t="n"/>
      <c r="S42" s="22">
        <f>IFERROR(SCORECARDS!C40,"—")</f>
        <v/>
      </c>
      <c r="T42" s="23">
        <f>IF(ISTEXT(S42),S42,IF(S42&lt;34,"🔴 Crítico",IF(S42&lt;67,"🟡 Vulnerable","🟢 Preparado")))</f>
        <v/>
      </c>
      <c r="U42" s="57" t="n">
        <v>1</v>
      </c>
      <c r="V42" t="inlineStr">
        <is>
          <t>Sin hallazgos OSCE / OEFA</t>
        </is>
      </c>
      <c r="W42" s="62" t="n">
        <v>0</v>
      </c>
      <c r="X42" s="62" t="n">
        <v>0</v>
      </c>
      <c r="Y42" s="62" t="n">
        <v>0</v>
      </c>
      <c r="Z42" s="62" t="n">
        <v>0</v>
      </c>
      <c r="AA42" s="62" t="n">
        <v>0</v>
      </c>
      <c r="AB42" s="62" t="n">
        <v>0</v>
      </c>
      <c r="AC42" s="62" t="n">
        <v>0</v>
      </c>
      <c r="AD42" s="62" t="n">
        <v>0</v>
      </c>
      <c r="AE42" s="62" t="n">
        <v>0</v>
      </c>
      <c r="AF42" s="62" t="n">
        <v>0</v>
      </c>
      <c r="AG42" s="62" t="n">
        <v>0</v>
      </c>
      <c r="AH42" s="62" t="n">
        <v>0</v>
      </c>
      <c r="AI42" s="62" t="n">
        <v>0</v>
      </c>
      <c r="AJ42" s="62" t="n">
        <v>0</v>
      </c>
      <c r="AK42" s="62" t="n">
        <v>0</v>
      </c>
      <c r="AL42" s="62" t="n">
        <v>0</v>
      </c>
      <c r="AM42" s="62" t="n">
        <v>0</v>
      </c>
      <c r="AN42" s="62" t="n">
        <v>0</v>
      </c>
      <c r="AO42" s="63">
        <f>IFERROR(AVERAGE(AA42,AB42,AC42,AD42,AE42,AF42,AG42,AH42,AI42,AJ42,AK42,AL42,AM42,AN42),"N/A")</f>
        <v/>
      </c>
      <c r="AP42" s="64">
        <f>IFERROR(AVERAGE(W42,X42,Y42,Z42)/2,"N/A")</f>
        <v/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9" t="inlineStr">
        <is>
          <t>JUNIN</t>
        </is>
      </c>
      <c r="D43" s="9" t="inlineStr">
        <is>
          <t>CAFÉ</t>
        </is>
      </c>
      <c r="E43" s="14" t="n">
        <v>0</v>
      </c>
      <c r="F43" s="15" t="n"/>
      <c r="G43" s="24" t="inlineStr">
        <is>
          <t>NO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SUSPENSION TEMPORAL</t>
        </is>
      </c>
      <c r="K43" s="15" t="inlineStr">
        <is>
          <t>nan</t>
        </is>
      </c>
      <c r="L43" s="17" t="n">
        <v>0</v>
      </c>
      <c r="M43" s="18">
        <f>IF(E43&gt;0,ROUND(L43/E43*100,1),0)</f>
        <v/>
      </c>
      <c r="N43" s="19" t="inlineStr">
        <is>
          <t>PENDIENTE</t>
        </is>
      </c>
      <c r="O43" s="20">
        <f>IF(H43="SI",1,0)*0.6+IF(I43="SI",1,0)*0.4</f>
        <v/>
      </c>
      <c r="P43" s="19" t="inlineStr">
        <is>
          <t>PENDIENTE</t>
        </is>
      </c>
      <c r="Q43" s="14" t="n"/>
      <c r="R43" s="21" t="n"/>
      <c r="S43" s="22">
        <f>IFERROR(SCORECARDS!C41,"—")</f>
        <v/>
      </c>
      <c r="T43" s="23">
        <f>IF(ISTEXT(S43),S43,IF(S43&lt;34,"🔴 Crítico",IF(S43&lt;67,"🟡 Vulnerable","🟢 Preparado")))</f>
        <v/>
      </c>
      <c r="W43" s="62" t="n">
        <v>0</v>
      </c>
      <c r="X43" s="62" t="n">
        <v>0</v>
      </c>
      <c r="Y43" s="62" t="n">
        <v>0</v>
      </c>
      <c r="Z43" s="62" t="n">
        <v>0</v>
      </c>
      <c r="AA43" s="62" t="n">
        <v>0</v>
      </c>
      <c r="AB43" s="62" t="n">
        <v>0</v>
      </c>
      <c r="AC43" s="62" t="n">
        <v>0</v>
      </c>
      <c r="AD43" s="62" t="n">
        <v>0</v>
      </c>
      <c r="AE43" s="62" t="n">
        <v>0</v>
      </c>
      <c r="AF43" s="62" t="n">
        <v>0</v>
      </c>
      <c r="AG43" s="62" t="n">
        <v>0</v>
      </c>
      <c r="AH43" s="62" t="n">
        <v>0</v>
      </c>
      <c r="AI43" s="62" t="n">
        <v>0</v>
      </c>
      <c r="AJ43" s="62" t="n">
        <v>0</v>
      </c>
      <c r="AK43" s="62" t="n">
        <v>0</v>
      </c>
      <c r="AL43" s="62" t="n">
        <v>0</v>
      </c>
      <c r="AM43" s="62" t="n">
        <v>0</v>
      </c>
      <c r="AN43" s="62" t="n">
        <v>0</v>
      </c>
      <c r="AO43" s="63">
        <f>IFERROR(AVERAGE(AA43,AB43,AC43,AD43,AE43,AF43,AG43,AH43,AI43,AJ43,AK43,AL43,AM43,AN43),"N/A")</f>
        <v/>
      </c>
      <c r="AP43" s="64">
        <f>IFERROR(AVERAGE(W43,X43,Y43,Z43)/2,"N/A")</f>
        <v/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9" t="inlineStr">
        <is>
          <t>JUNIN</t>
        </is>
      </c>
      <c r="D44" s="9" t="inlineStr">
        <is>
          <t>CAFÉ</t>
        </is>
      </c>
      <c r="E44" s="14" t="n">
        <v>0</v>
      </c>
      <c r="F44" s="15" t="n"/>
      <c r="G44" s="24" t="inlineStr">
        <is>
          <t>NO</t>
        </is>
      </c>
      <c r="H44" s="15" t="inlineStr">
        <is>
          <t>nan</t>
        </is>
      </c>
      <c r="I44" s="15" t="inlineStr">
        <is>
          <t>nan</t>
        </is>
      </c>
      <c r="J44" s="15" t="inlineStr">
        <is>
          <t>ACTIVO</t>
        </is>
      </c>
      <c r="K44" s="15" t="inlineStr">
        <is>
          <t>nan</t>
        </is>
      </c>
      <c r="L44" s="17" t="n">
        <v>0</v>
      </c>
      <c r="M44" s="18">
        <f>IF(E44&gt;0,ROUND(L44/E44*100,1),0)</f>
        <v/>
      </c>
      <c r="N44" s="19" t="inlineStr">
        <is>
          <t>PENDIENTE</t>
        </is>
      </c>
      <c r="O44" s="20">
        <f>IF(H44="SI",1,0)*0.6+IF(I44="SI",1,0)*0.4</f>
        <v/>
      </c>
      <c r="P44" s="19" t="inlineStr">
        <is>
          <t>PENDIENTE</t>
        </is>
      </c>
      <c r="Q44" s="14" t="n"/>
      <c r="R44" s="21" t="n"/>
      <c r="S44" s="22">
        <f>IFERROR(SCORECARDS!C42,"—")</f>
        <v/>
      </c>
      <c r="T44" s="23">
        <f>IF(ISTEXT(S44),S44,IF(S44&lt;34,"🔴 Crítico",IF(S44&lt;67,"🟡 Vulnerable","🟢 Preparado")))</f>
        <v/>
      </c>
      <c r="W44" s="62" t="n">
        <v>0</v>
      </c>
      <c r="X44" s="62" t="n">
        <v>0</v>
      </c>
      <c r="Y44" s="62" t="n">
        <v>0</v>
      </c>
      <c r="Z44" s="62" t="n">
        <v>0</v>
      </c>
      <c r="AA44" s="62" t="n">
        <v>0</v>
      </c>
      <c r="AB44" s="62" t="n">
        <v>0</v>
      </c>
      <c r="AC44" s="62" t="n">
        <v>0</v>
      </c>
      <c r="AD44" s="62" t="n">
        <v>0</v>
      </c>
      <c r="AE44" s="62" t="n">
        <v>0</v>
      </c>
      <c r="AF44" s="62" t="n">
        <v>0</v>
      </c>
      <c r="AG44" s="62" t="n">
        <v>0</v>
      </c>
      <c r="AH44" s="62" t="n">
        <v>0</v>
      </c>
      <c r="AI44" s="62" t="n">
        <v>0</v>
      </c>
      <c r="AJ44" s="62" t="n">
        <v>0</v>
      </c>
      <c r="AK44" s="62" t="n">
        <v>0</v>
      </c>
      <c r="AL44" s="62" t="n">
        <v>0</v>
      </c>
      <c r="AM44" s="62" t="n">
        <v>0</v>
      </c>
      <c r="AN44" s="62" t="n">
        <v>0</v>
      </c>
      <c r="AO44" s="63">
        <f>IFERROR(AVERAGE(AA44,AB44,AC44,AD44,AE44,AF44,AG44,AH44,AI44,AJ44,AK44,AL44,AM44,AN44),"N/A")</f>
        <v/>
      </c>
      <c r="AP44" s="64">
        <f>IFERROR(AVERAGE(W44,X44,Y44,Z44)/2,"N/A")</f>
        <v/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9" t="inlineStr">
        <is>
          <t>JUNIN</t>
        </is>
      </c>
      <c r="D45" s="9" t="inlineStr">
        <is>
          <t>CAFÉ</t>
        </is>
      </c>
      <c r="E45" s="14" t="n">
        <v>13207692.05</v>
      </c>
      <c r="F45" s="15" t="n">
        <v>41</v>
      </c>
      <c r="G45" s="16" t="inlineStr">
        <is>
          <t>SI</t>
        </is>
      </c>
      <c r="H45" s="15" t="inlineStr">
        <is>
          <t>nan</t>
        </is>
      </c>
      <c r="I45" s="15" t="inlineStr">
        <is>
          <t>nan</t>
        </is>
      </c>
      <c r="J45" s="15" t="inlineStr">
        <is>
          <t>ACTIVO</t>
        </is>
      </c>
      <c r="K45" s="15" t="inlineStr">
        <is>
          <t>nan</t>
        </is>
      </c>
      <c r="L45" s="17" t="n">
        <v>6603846.03</v>
      </c>
      <c r="M45" s="18">
        <f>IF(E45&gt;0,ROUND(L45/E45*100,1),0)</f>
        <v/>
      </c>
      <c r="N45" s="19" t="inlineStr">
        <is>
          <t>PENDIENTE</t>
        </is>
      </c>
      <c r="O45" s="20">
        <f>IF(H45="SI",1,0)*0.6+IF(I45="SI",1,0)*0.4</f>
        <v/>
      </c>
      <c r="P45" s="19" t="inlineStr">
        <is>
          <t>PENDIENTE</t>
        </is>
      </c>
      <c r="Q45" s="14" t="n"/>
      <c r="R45" s="21" t="n"/>
      <c r="S45" s="22">
        <f>IFERROR(SCORECARDS!C43,"—")</f>
        <v/>
      </c>
      <c r="T45" s="23">
        <f>IF(ISTEXT(S45),S45,IF(S45&lt;34,"🔴 Crítico",IF(S45&lt;67,"🟡 Vulnerable","🟢 Preparado")))</f>
        <v/>
      </c>
      <c r="U45" s="57" t="n">
        <v>1</v>
      </c>
      <c r="V45" t="inlineStr">
        <is>
          <t>Sin hallazgos OSCE / OEFA</t>
        </is>
      </c>
      <c r="W45" s="68" t="n">
        <v>1</v>
      </c>
      <c r="X45" s="62" t="n">
        <v>0</v>
      </c>
      <c r="Y45" s="62" t="n">
        <v>0</v>
      </c>
      <c r="Z45" s="62" t="n">
        <v>0</v>
      </c>
      <c r="AA45" s="62" t="n">
        <v>0</v>
      </c>
      <c r="AB45" s="62" t="n">
        <v>0</v>
      </c>
      <c r="AC45" s="62" t="n">
        <v>0</v>
      </c>
      <c r="AD45" s="62" t="n">
        <v>0</v>
      </c>
      <c r="AE45" s="62" t="n">
        <v>0</v>
      </c>
      <c r="AF45" s="62" t="n">
        <v>0</v>
      </c>
      <c r="AG45" s="62" t="n">
        <v>0</v>
      </c>
      <c r="AH45" s="62" t="n">
        <v>0</v>
      </c>
      <c r="AI45" s="62" t="n">
        <v>0</v>
      </c>
      <c r="AJ45" s="62" t="n">
        <v>0</v>
      </c>
      <c r="AK45" s="62" t="n">
        <v>0</v>
      </c>
      <c r="AL45" s="62" t="n">
        <v>0</v>
      </c>
      <c r="AM45" s="62" t="n">
        <v>0</v>
      </c>
      <c r="AN45" s="62" t="n">
        <v>0</v>
      </c>
      <c r="AO45" s="63">
        <f>IFERROR(AVERAGE(AA45,AB45,AC45,AD45,AE45,AF45,AG45,AH45,AI45,AJ45,AK45,AL45,AM45,AN45),"N/A")</f>
        <v/>
      </c>
      <c r="AP45" s="64">
        <f>IFERROR(AVERAGE(W45,X45,Y45,Z45)/2,"N/A")</f>
        <v/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9" t="inlineStr">
        <is>
          <t>JUNIN</t>
        </is>
      </c>
      <c r="D46" s="9" t="inlineStr">
        <is>
          <t>nan</t>
        </is>
      </c>
      <c r="E46" s="14" t="n">
        <v>0</v>
      </c>
      <c r="F46" s="15" t="n"/>
      <c r="G46" s="24" t="inlineStr">
        <is>
          <t>NO</t>
        </is>
      </c>
      <c r="H46" s="15" t="inlineStr">
        <is>
          <t>nan</t>
        </is>
      </c>
      <c r="I46" s="15" t="inlineStr">
        <is>
          <t>nan</t>
        </is>
      </c>
      <c r="J46" s="15" t="inlineStr">
        <is>
          <t>SUSPENSION TEMPORAL</t>
        </is>
      </c>
      <c r="K46" s="15" t="inlineStr">
        <is>
          <t>nan</t>
        </is>
      </c>
      <c r="L46" s="17" t="n">
        <v>0</v>
      </c>
      <c r="M46" s="18">
        <f>IF(E46&gt;0,ROUND(L46/E46*100,1),0)</f>
        <v/>
      </c>
      <c r="N46" s="19" t="inlineStr">
        <is>
          <t>PENDIENTE</t>
        </is>
      </c>
      <c r="O46" s="20">
        <f>IF(H46="SI",1,0)*0.6+IF(I46="SI",1,0)*0.4</f>
        <v/>
      </c>
      <c r="P46" s="19" t="inlineStr">
        <is>
          <t>PENDIENTE</t>
        </is>
      </c>
      <c r="Q46" s="14" t="n"/>
      <c r="R46" s="21" t="n"/>
      <c r="S46" s="22">
        <f>IFERROR(SCORECARDS!C44,"—")</f>
        <v/>
      </c>
      <c r="T46" s="23">
        <f>IF(ISTEXT(S46),S46,IF(S46&lt;34,"🔴 Crítico",IF(S46&lt;67,"🟡 Vulnerable","🟢 Preparado")))</f>
        <v/>
      </c>
      <c r="W46" s="62" t="n">
        <v>0</v>
      </c>
      <c r="X46" s="62" t="n">
        <v>0</v>
      </c>
      <c r="Y46" s="62" t="n">
        <v>0</v>
      </c>
      <c r="Z46" s="62" t="n">
        <v>0</v>
      </c>
      <c r="AA46" s="62" t="n">
        <v>0</v>
      </c>
      <c r="AB46" s="62" t="n">
        <v>0</v>
      </c>
      <c r="AC46" s="62" t="n">
        <v>0</v>
      </c>
      <c r="AD46" s="62" t="n">
        <v>0</v>
      </c>
      <c r="AE46" s="62" t="n">
        <v>0</v>
      </c>
      <c r="AF46" s="62" t="n">
        <v>0</v>
      </c>
      <c r="AG46" s="62" t="n">
        <v>0</v>
      </c>
      <c r="AH46" s="62" t="n">
        <v>0</v>
      </c>
      <c r="AI46" s="62" t="n">
        <v>0</v>
      </c>
      <c r="AJ46" s="62" t="n">
        <v>0</v>
      </c>
      <c r="AK46" s="62" t="n">
        <v>0</v>
      </c>
      <c r="AL46" s="62" t="n">
        <v>0</v>
      </c>
      <c r="AM46" s="62" t="n">
        <v>0</v>
      </c>
      <c r="AN46" s="62" t="n">
        <v>0</v>
      </c>
      <c r="AO46" s="63">
        <f>IFERROR(AVERAGE(AA46,AB46,AC46,AD46,AE46,AF46,AG46,AH46,AI46,AJ46,AK46,AL46,AM46,AN46),"N/A")</f>
        <v/>
      </c>
      <c r="AP46" s="64">
        <f>IFERROR(AVERAGE(W46,X46,Y46,Z46)/2,"N/A")</f>
        <v/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9" t="inlineStr">
        <is>
          <t>JUNIN</t>
        </is>
      </c>
      <c r="D47" s="9" t="inlineStr">
        <is>
          <t>CACAO</t>
        </is>
      </c>
      <c r="E47" s="14" t="n"/>
      <c r="F47" s="15" t="n"/>
      <c r="G47" s="24" t="inlineStr">
        <is>
          <t>NO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ACTIVO</t>
        </is>
      </c>
      <c r="K47" s="15" t="inlineStr">
        <is>
          <t>nan</t>
        </is>
      </c>
      <c r="L47" s="17" t="n">
        <v>0</v>
      </c>
      <c r="M47" s="18">
        <f>IF(E47&gt;0,ROUND(L47/E47*100,1),0)</f>
        <v/>
      </c>
      <c r="N47" s="19" t="inlineStr">
        <is>
          <t>PENDIENTE</t>
        </is>
      </c>
      <c r="O47" s="20">
        <f>IF(H47="SI",1,0)*0.6+IF(I47="SI",1,0)*0.4</f>
        <v/>
      </c>
      <c r="P47" s="19" t="inlineStr">
        <is>
          <t>PENDIENTE</t>
        </is>
      </c>
      <c r="Q47" s="14" t="n"/>
      <c r="R47" s="21" t="n"/>
      <c r="S47" s="22">
        <f>IFERROR(SCORECARDS!C45,"—")</f>
        <v/>
      </c>
      <c r="T47" s="23">
        <f>IF(ISTEXT(S47),S47,IF(S47&lt;34,"🔴 Crítico",IF(S47&lt;67,"🟡 Vulnerable","🟢 Preparado")))</f>
        <v/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2" t="n">
        <v>0</v>
      </c>
      <c r="AD47" s="62" t="n">
        <v>0</v>
      </c>
      <c r="AE47" s="62" t="n">
        <v>0</v>
      </c>
      <c r="AF47" s="62" t="n">
        <v>0</v>
      </c>
      <c r="AG47" s="62" t="n">
        <v>0</v>
      </c>
      <c r="AH47" s="62" t="n">
        <v>0</v>
      </c>
      <c r="AI47" s="62" t="n">
        <v>0</v>
      </c>
      <c r="AJ47" s="62" t="n">
        <v>0</v>
      </c>
      <c r="AK47" s="62" t="n">
        <v>0</v>
      </c>
      <c r="AL47" s="62" t="n">
        <v>0</v>
      </c>
      <c r="AM47" s="62" t="n">
        <v>0</v>
      </c>
      <c r="AN47" s="62" t="n">
        <v>0</v>
      </c>
      <c r="AO47" s="63">
        <f>IFERROR(AVERAGE(AA47,AB47,AC47,AD47,AE47,AF47,AG47,AH47,AI47,AJ47,AK47,AL47,AM47,AN47),"N/A")</f>
        <v/>
      </c>
      <c r="AP47" s="64">
        <f>IFERROR(AVERAGE(W47,X47,Y47,Z47)/2,"N/A")</f>
        <v/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9" t="inlineStr">
        <is>
          <t>JUNIN</t>
        </is>
      </c>
      <c r="D48" s="9" t="inlineStr">
        <is>
          <t>CACAO</t>
        </is>
      </c>
      <c r="E48" s="14" t="n">
        <v>30342293.08</v>
      </c>
      <c r="F48" s="15" t="n">
        <v>108</v>
      </c>
      <c r="G48" s="16" t="inlineStr">
        <is>
          <t>SI</t>
        </is>
      </c>
      <c r="H48" s="15" t="inlineStr">
        <is>
          <t>nan</t>
        </is>
      </c>
      <c r="I48" s="15" t="inlineStr">
        <is>
          <t>nan</t>
        </is>
      </c>
      <c r="J48" s="15" t="inlineStr">
        <is>
          <t>ACTIVO</t>
        </is>
      </c>
      <c r="K48" s="15" t="inlineStr">
        <is>
          <t>nan</t>
        </is>
      </c>
      <c r="L48" s="17" t="n">
        <v>15171146.54</v>
      </c>
      <c r="M48" s="18">
        <f>IF(E48&gt;0,ROUND(L48/E48*100,1),0)</f>
        <v/>
      </c>
      <c r="N48" s="19" t="inlineStr">
        <is>
          <t>PENDIENTE</t>
        </is>
      </c>
      <c r="O48" s="20">
        <f>IF(H48="SI",1,0)*0.6+IF(I48="SI",1,0)*0.4</f>
        <v/>
      </c>
      <c r="P48" s="19" t="inlineStr">
        <is>
          <t>PENDIENTE</t>
        </is>
      </c>
      <c r="Q48" s="14" t="n"/>
      <c r="R48" s="21" t="n"/>
      <c r="S48" s="22">
        <f>IFERROR(SCORECARDS!C46,"—")</f>
        <v/>
      </c>
      <c r="T48" s="23">
        <f>IF(ISTEXT(S48),S48,IF(S48&lt;34,"🔴 Crítico",IF(S48&lt;67,"🟡 Vulnerable","🟢 Preparado")))</f>
        <v/>
      </c>
      <c r="U48" s="57" t="n">
        <v>1</v>
      </c>
      <c r="V48" t="inlineStr">
        <is>
          <t>Sin hallazgos OSCE / OEFA</t>
        </is>
      </c>
      <c r="W48" s="68" t="n">
        <v>1</v>
      </c>
      <c r="X48" s="62" t="n">
        <v>0</v>
      </c>
      <c r="Y48" s="62" t="n">
        <v>0</v>
      </c>
      <c r="Z48" s="62" t="n">
        <v>0</v>
      </c>
      <c r="AA48" s="62" t="n">
        <v>0</v>
      </c>
      <c r="AB48" s="62" t="n">
        <v>0</v>
      </c>
      <c r="AC48" s="62" t="n">
        <v>0</v>
      </c>
      <c r="AD48" s="62" t="n">
        <v>0</v>
      </c>
      <c r="AE48" s="62" t="n">
        <v>0</v>
      </c>
      <c r="AF48" s="62" t="n">
        <v>0</v>
      </c>
      <c r="AG48" s="62" t="n">
        <v>0</v>
      </c>
      <c r="AH48" s="62" t="n">
        <v>0</v>
      </c>
      <c r="AI48" s="62" t="n">
        <v>0</v>
      </c>
      <c r="AJ48" s="62" t="n">
        <v>0</v>
      </c>
      <c r="AK48" s="62" t="n">
        <v>0</v>
      </c>
      <c r="AL48" s="62" t="n">
        <v>0</v>
      </c>
      <c r="AM48" s="62" t="n">
        <v>0</v>
      </c>
      <c r="AN48" s="62" t="n">
        <v>0</v>
      </c>
      <c r="AO48" s="63">
        <f>IFERROR(AVERAGE(AA48,AB48,AC48,AD48,AE48,AF48,AG48,AH48,AI48,AJ48,AK48,AL48,AM48,AN48),"N/A")</f>
        <v/>
      </c>
      <c r="AP48" s="64">
        <f>IFERROR(AVERAGE(W48,X48,Y48,Z48)/2,"N/A")</f>
        <v/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9" t="inlineStr">
        <is>
          <t>JUNIN</t>
        </is>
      </c>
      <c r="D49" s="9" t="inlineStr">
        <is>
          <t>CACAO</t>
        </is>
      </c>
      <c r="E49" s="14" t="n">
        <v>2290978.7</v>
      </c>
      <c r="F49" s="15" t="n">
        <v>10</v>
      </c>
      <c r="G49" s="16" t="inlineStr">
        <is>
          <t>SI</t>
        </is>
      </c>
      <c r="H49" s="15" t="inlineStr">
        <is>
          <t>nan</t>
        </is>
      </c>
      <c r="I49" s="15" t="inlineStr">
        <is>
          <t>nan</t>
        </is>
      </c>
      <c r="J49" s="15" t="inlineStr">
        <is>
          <t>ACTIVO</t>
        </is>
      </c>
      <c r="K49" s="15" t="inlineStr">
        <is>
          <t>nan</t>
        </is>
      </c>
      <c r="L49" s="17" t="n">
        <v>1145489.35</v>
      </c>
      <c r="M49" s="18">
        <f>IF(E49&gt;0,ROUND(L49/E49*100,1),0)</f>
        <v/>
      </c>
      <c r="N49" s="19" t="inlineStr">
        <is>
          <t>PENDIENTE</t>
        </is>
      </c>
      <c r="O49" s="20">
        <f>IF(H49="SI",1,0)*0.6+IF(I49="SI",1,0)*0.4</f>
        <v/>
      </c>
      <c r="P49" s="19" t="inlineStr">
        <is>
          <t>PENDIENTE</t>
        </is>
      </c>
      <c r="Q49" s="14" t="n"/>
      <c r="R49" s="21" t="n"/>
      <c r="S49" s="22">
        <f>IFERROR(SCORECARDS!C47,"—")</f>
        <v/>
      </c>
      <c r="T49" s="23">
        <f>IF(ISTEXT(S49),S49,IF(S49&lt;34,"🔴 Crítico",IF(S49&lt;67,"🟡 Vulnerable","🟢 Preparado")))</f>
        <v/>
      </c>
      <c r="U49" s="57" t="n">
        <v>1</v>
      </c>
      <c r="V49" t="inlineStr">
        <is>
          <t>Sin hallazgos OSCE / OEFA</t>
        </is>
      </c>
      <c r="W49" s="68" t="n">
        <v>1</v>
      </c>
      <c r="X49" s="62" t="n">
        <v>0</v>
      </c>
      <c r="Y49" s="62" t="n">
        <v>0</v>
      </c>
      <c r="Z49" s="62" t="n">
        <v>0</v>
      </c>
      <c r="AA49" s="62" t="n">
        <v>0</v>
      </c>
      <c r="AB49" s="62" t="n">
        <v>0</v>
      </c>
      <c r="AC49" s="62" t="n">
        <v>0</v>
      </c>
      <c r="AD49" s="62" t="n">
        <v>0</v>
      </c>
      <c r="AE49" s="62" t="n">
        <v>0</v>
      </c>
      <c r="AF49" s="62" t="n">
        <v>0</v>
      </c>
      <c r="AG49" s="62" t="n">
        <v>0</v>
      </c>
      <c r="AH49" s="62" t="n">
        <v>0</v>
      </c>
      <c r="AI49" s="62" t="n">
        <v>0</v>
      </c>
      <c r="AJ49" s="62" t="n">
        <v>0</v>
      </c>
      <c r="AK49" s="62" t="n">
        <v>0</v>
      </c>
      <c r="AL49" s="62" t="n">
        <v>0</v>
      </c>
      <c r="AM49" s="62" t="n">
        <v>0</v>
      </c>
      <c r="AN49" s="62" t="n">
        <v>0</v>
      </c>
      <c r="AO49" s="63">
        <f>IFERROR(AVERAGE(AA49,AB49,AC49,AD49,AE49,AF49,AG49,AH49,AI49,AJ49,AK49,AL49,AM49,AN49),"N/A")</f>
        <v/>
      </c>
      <c r="AP49" s="64">
        <f>IFERROR(AVERAGE(W49,X49,Y49,Z49)/2,"N/A")</f>
        <v/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9" t="inlineStr">
        <is>
          <t>LAMBAYEQUE</t>
        </is>
      </c>
      <c r="D50" s="9" t="inlineStr">
        <is>
          <t>CAFÉ</t>
        </is>
      </c>
      <c r="E50" s="14" t="n"/>
      <c r="F50" s="15" t="n"/>
      <c r="G50" s="24" t="inlineStr">
        <is>
          <t>NO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BAJA DE OFICIO</t>
        </is>
      </c>
      <c r="K50" s="15" t="inlineStr">
        <is>
          <t>nan</t>
        </is>
      </c>
      <c r="L50" s="17" t="n">
        <v>0</v>
      </c>
      <c r="M50" s="18">
        <f>IF(E50&gt;0,ROUND(L50/E50*100,1),0)</f>
        <v/>
      </c>
      <c r="N50" s="19" t="inlineStr">
        <is>
          <t>PENDIENTE</t>
        </is>
      </c>
      <c r="O50" s="20">
        <f>IF(H50="SI",1,0)*0.6+IF(I50="SI",1,0)*0.4</f>
        <v/>
      </c>
      <c r="P50" s="19" t="inlineStr">
        <is>
          <t>PENDIENTE</t>
        </is>
      </c>
      <c r="Q50" s="14" t="n"/>
      <c r="R50" s="21" t="n"/>
      <c r="S50" s="22">
        <f>IFERROR(SCORECARDS!C48,"—")</f>
        <v/>
      </c>
      <c r="T50" s="23">
        <f>IF(ISTEXT(S50),S50,IF(S50&lt;34,"🔴 Crítico",IF(S50&lt;67,"🟡 Vulnerable","🟢 Preparado")))</f>
        <v/>
      </c>
      <c r="W50" s="62" t="n">
        <v>0</v>
      </c>
      <c r="X50" s="62" t="n">
        <v>0</v>
      </c>
      <c r="Y50" s="62" t="n">
        <v>0</v>
      </c>
      <c r="Z50" s="62" t="n">
        <v>0</v>
      </c>
      <c r="AA50" s="62" t="n">
        <v>0</v>
      </c>
      <c r="AB50" s="62" t="n">
        <v>0</v>
      </c>
      <c r="AC50" s="62" t="n">
        <v>0</v>
      </c>
      <c r="AD50" s="62" t="n">
        <v>0</v>
      </c>
      <c r="AE50" s="62" t="n">
        <v>0</v>
      </c>
      <c r="AF50" s="62" t="n">
        <v>0</v>
      </c>
      <c r="AG50" s="62" t="n">
        <v>0</v>
      </c>
      <c r="AH50" s="62" t="n">
        <v>0</v>
      </c>
      <c r="AI50" s="62" t="n">
        <v>0</v>
      </c>
      <c r="AJ50" s="62" t="n">
        <v>0</v>
      </c>
      <c r="AK50" s="62" t="n">
        <v>0</v>
      </c>
      <c r="AL50" s="62" t="n">
        <v>0</v>
      </c>
      <c r="AM50" s="62" t="n">
        <v>0</v>
      </c>
      <c r="AN50" s="62" t="n">
        <v>0</v>
      </c>
      <c r="AO50" s="63">
        <f>IFERROR(AVERAGE(AA50,AB50,AC50,AD50,AE50,AF50,AG50,AH50,AI50,AJ50,AK50,AL50,AM50,AN50),"N/A")</f>
        <v/>
      </c>
      <c r="AP50" s="64">
        <f>IFERROR(AVERAGE(W50,X50,Y50,Z50)/2,"N/A")</f>
        <v/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9" t="inlineStr">
        <is>
          <t>CAJAMARCA</t>
        </is>
      </c>
      <c r="D51" s="9" t="inlineStr">
        <is>
          <t>CACAO</t>
        </is>
      </c>
      <c r="E51" s="14" t="n"/>
      <c r="F51" s="15" t="n"/>
      <c r="G51" s="24" t="inlineStr">
        <is>
          <t>NO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ACTIVO</t>
        </is>
      </c>
      <c r="K51" s="15" t="inlineStr">
        <is>
          <t>nan</t>
        </is>
      </c>
      <c r="L51" s="17" t="n">
        <v>0</v>
      </c>
      <c r="M51" s="18">
        <f>IF(E51&gt;0,ROUND(L51/E51*100,1),0)</f>
        <v/>
      </c>
      <c r="N51" s="19" t="inlineStr">
        <is>
          <t>PENDIENTE</t>
        </is>
      </c>
      <c r="O51" s="20">
        <f>IF(H51="SI",1,0)*0.6+IF(I51="SI",1,0)*0.4</f>
        <v/>
      </c>
      <c r="P51" s="19" t="inlineStr">
        <is>
          <t>PENDIENTE</t>
        </is>
      </c>
      <c r="Q51" s="14" t="n"/>
      <c r="R51" s="21" t="n"/>
      <c r="S51" s="22">
        <f>IFERROR(SCORECARDS!C49,"—")</f>
        <v/>
      </c>
      <c r="T51" s="23">
        <f>IF(ISTEXT(S51),S51,IF(S51&lt;34,"🔴 Crítico",IF(S51&lt;67,"🟡 Vulnerable","🟢 Preparado")))</f>
        <v/>
      </c>
      <c r="W51" s="62" t="n">
        <v>0</v>
      </c>
      <c r="X51" s="62" t="n">
        <v>0</v>
      </c>
      <c r="Y51" s="62" t="n">
        <v>0</v>
      </c>
      <c r="Z51" s="62" t="n">
        <v>0</v>
      </c>
      <c r="AA51" s="62" t="n">
        <v>0</v>
      </c>
      <c r="AB51" s="62" t="n">
        <v>0</v>
      </c>
      <c r="AC51" s="62" t="n">
        <v>0</v>
      </c>
      <c r="AD51" s="62" t="n">
        <v>0</v>
      </c>
      <c r="AE51" s="62" t="n">
        <v>0</v>
      </c>
      <c r="AF51" s="62" t="n">
        <v>0</v>
      </c>
      <c r="AG51" s="62" t="n">
        <v>0</v>
      </c>
      <c r="AH51" s="62" t="n">
        <v>0</v>
      </c>
      <c r="AI51" s="62" t="n">
        <v>0</v>
      </c>
      <c r="AJ51" s="62" t="n">
        <v>0</v>
      </c>
      <c r="AK51" s="62" t="n">
        <v>0</v>
      </c>
      <c r="AL51" s="62" t="n">
        <v>0</v>
      </c>
      <c r="AM51" s="62" t="n">
        <v>0</v>
      </c>
      <c r="AN51" s="62" t="n">
        <v>0</v>
      </c>
      <c r="AO51" s="63">
        <f>IFERROR(AVERAGE(AA51,AB51,AC51,AD51,AE51,AF51,AG51,AH51,AI51,AJ51,AK51,AL51,AM51,AN51),"N/A")</f>
        <v/>
      </c>
      <c r="AP51" s="64">
        <f>IFERROR(AVERAGE(W51,X51,Y51,Z51)/2,"N/A")</f>
        <v/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9" t="inlineStr">
        <is>
          <t>CUSCO</t>
        </is>
      </c>
      <c r="D52" s="9" t="inlineStr">
        <is>
          <t>CACAO</t>
        </is>
      </c>
      <c r="E52" s="14" t="n"/>
      <c r="F52" s="15" t="n"/>
      <c r="G52" s="24" t="inlineStr">
        <is>
          <t>NO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ACTIVO</t>
        </is>
      </c>
      <c r="K52" s="15" t="inlineStr">
        <is>
          <t>nan</t>
        </is>
      </c>
      <c r="L52" s="17" t="n">
        <v>0</v>
      </c>
      <c r="M52" s="18">
        <f>IF(E52&gt;0,ROUND(L52/E52*100,1),0)</f>
        <v/>
      </c>
      <c r="N52" s="19" t="inlineStr">
        <is>
          <t>PENDIENTE</t>
        </is>
      </c>
      <c r="O52" s="20">
        <f>IF(H52="SI",1,0)*0.6+IF(I52="SI",1,0)*0.4</f>
        <v/>
      </c>
      <c r="P52" s="19" t="inlineStr">
        <is>
          <t>PENDIENTE</t>
        </is>
      </c>
      <c r="Q52" s="14" t="n"/>
      <c r="R52" s="21" t="n"/>
      <c r="S52" s="22">
        <f>IFERROR(SCORECARDS!C50,"—")</f>
        <v/>
      </c>
      <c r="T52" s="23">
        <f>IF(ISTEXT(S52),S52,IF(S52&lt;34,"🔴 Crítico",IF(S52&lt;67,"🟡 Vulnerable","🟢 Preparado")))</f>
        <v/>
      </c>
      <c r="W52" s="62" t="n">
        <v>0</v>
      </c>
      <c r="X52" s="62" t="n">
        <v>0</v>
      </c>
      <c r="Y52" s="62" t="n">
        <v>0</v>
      </c>
      <c r="Z52" s="62" t="n">
        <v>0</v>
      </c>
      <c r="AA52" s="62" t="n">
        <v>0</v>
      </c>
      <c r="AB52" s="62" t="n">
        <v>0</v>
      </c>
      <c r="AC52" s="62" t="n">
        <v>0</v>
      </c>
      <c r="AD52" s="62" t="n">
        <v>0</v>
      </c>
      <c r="AE52" s="62" t="n">
        <v>0</v>
      </c>
      <c r="AF52" s="62" t="n">
        <v>0</v>
      </c>
      <c r="AG52" s="62" t="n">
        <v>0</v>
      </c>
      <c r="AH52" s="62" t="n">
        <v>0</v>
      </c>
      <c r="AI52" s="62" t="n">
        <v>0</v>
      </c>
      <c r="AJ52" s="62" t="n">
        <v>0</v>
      </c>
      <c r="AK52" s="62" t="n">
        <v>0</v>
      </c>
      <c r="AL52" s="62" t="n">
        <v>0</v>
      </c>
      <c r="AM52" s="62" t="n">
        <v>0</v>
      </c>
      <c r="AN52" s="62" t="n">
        <v>0</v>
      </c>
      <c r="AO52" s="63">
        <f>IFERROR(AVERAGE(AA52,AB52,AC52,AD52,AE52,AF52,AG52,AH52,AI52,AJ52,AK52,AL52,AM52,AN52),"N/A")</f>
        <v/>
      </c>
      <c r="AP52" s="64">
        <f>IFERROR(AVERAGE(W52,X52,Y52,Z52)/2,"N/A")</f>
        <v/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9" t="inlineStr">
        <is>
          <t>SAN MARTIN</t>
        </is>
      </c>
      <c r="D53" s="9" t="inlineStr">
        <is>
          <t>CACAO</t>
        </is>
      </c>
      <c r="E53" s="14" t="n">
        <v>0</v>
      </c>
      <c r="F53" s="15" t="n"/>
      <c r="G53" s="24" t="inlineStr">
        <is>
          <t>NO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ACTIVO</t>
        </is>
      </c>
      <c r="K53" s="15" t="inlineStr">
        <is>
          <t>nan</t>
        </is>
      </c>
      <c r="L53" s="17" t="n">
        <v>0</v>
      </c>
      <c r="M53" s="18">
        <f>IF(E53&gt;0,ROUND(L53/E53*100,1),0)</f>
        <v/>
      </c>
      <c r="N53" s="19" t="inlineStr">
        <is>
          <t>PENDIENTE</t>
        </is>
      </c>
      <c r="O53" s="20">
        <f>IF(H53="SI",1,0)*0.6+IF(I53="SI",1,0)*0.4</f>
        <v/>
      </c>
      <c r="P53" s="19" t="inlineStr">
        <is>
          <t>PENDIENTE</t>
        </is>
      </c>
      <c r="Q53" s="14" t="n"/>
      <c r="R53" s="21" t="n"/>
      <c r="S53" s="22">
        <f>IFERROR(SCORECARDS!C51,"—")</f>
        <v/>
      </c>
      <c r="T53" s="23">
        <f>IF(ISTEXT(S53),S53,IF(S53&lt;34,"🔴 Crítico",IF(S53&lt;67,"🟡 Vulnerable","🟢 Preparado")))</f>
        <v/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2" t="n">
        <v>0</v>
      </c>
      <c r="AD53" s="62" t="n">
        <v>0</v>
      </c>
      <c r="AE53" s="62" t="n">
        <v>0</v>
      </c>
      <c r="AF53" s="62" t="n">
        <v>0</v>
      </c>
      <c r="AG53" s="62" t="n">
        <v>0</v>
      </c>
      <c r="AH53" s="62" t="n">
        <v>0</v>
      </c>
      <c r="AI53" s="62" t="n">
        <v>0</v>
      </c>
      <c r="AJ53" s="62" t="n">
        <v>0</v>
      </c>
      <c r="AK53" s="62" t="n">
        <v>0</v>
      </c>
      <c r="AL53" s="62" t="n">
        <v>0</v>
      </c>
      <c r="AM53" s="62" t="n">
        <v>0</v>
      </c>
      <c r="AN53" s="62" t="n">
        <v>0</v>
      </c>
      <c r="AO53" s="63">
        <f>IFERROR(AVERAGE(AA53,AB53,AC53,AD53,AE53,AF53,AG53,AH53,AI53,AJ53,AK53,AL53,AM53,AN53),"N/A")</f>
        <v/>
      </c>
      <c r="AP53" s="64">
        <f>IFERROR(AVERAGE(W53,X53,Y53,Z53)/2,"N/A")</f>
        <v/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9" t="inlineStr">
        <is>
          <t>SAN MARTIN</t>
        </is>
      </c>
      <c r="D54" s="9" t="inlineStr">
        <is>
          <t>CACAO</t>
        </is>
      </c>
      <c r="E54" s="14" t="n"/>
      <c r="F54" s="15" t="n"/>
      <c r="G54" s="24" t="inlineStr">
        <is>
          <t>NO</t>
        </is>
      </c>
      <c r="H54" s="15" t="inlineStr">
        <is>
          <t>nan</t>
        </is>
      </c>
      <c r="I54" s="15" t="inlineStr">
        <is>
          <t>nan</t>
        </is>
      </c>
      <c r="J54" s="15" t="inlineStr">
        <is>
          <t>SUSPENSION TEMPORAL</t>
        </is>
      </c>
      <c r="K54" s="15" t="inlineStr">
        <is>
          <t>nan</t>
        </is>
      </c>
      <c r="L54" s="17" t="n">
        <v>0</v>
      </c>
      <c r="M54" s="18">
        <f>IF(E54&gt;0,ROUND(L54/E54*100,1),0)</f>
        <v/>
      </c>
      <c r="N54" s="19" t="inlineStr">
        <is>
          <t>PENDIENTE</t>
        </is>
      </c>
      <c r="O54" s="20">
        <f>IF(H54="SI",1,0)*0.6+IF(I54="SI",1,0)*0.4</f>
        <v/>
      </c>
      <c r="P54" s="19" t="inlineStr">
        <is>
          <t>PENDIENTE</t>
        </is>
      </c>
      <c r="Q54" s="14" t="n"/>
      <c r="R54" s="21" t="n"/>
      <c r="S54" s="22">
        <f>IFERROR(SCORECARDS!C52,"—")</f>
        <v/>
      </c>
      <c r="T54" s="23">
        <f>IF(ISTEXT(S54),S54,IF(S54&lt;34,"🔴 Crítico",IF(S54&lt;67,"🟡 Vulnerable","🟢 Preparado")))</f>
        <v/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2" t="n">
        <v>0</v>
      </c>
      <c r="AD54" s="62" t="n">
        <v>0</v>
      </c>
      <c r="AE54" s="62" t="n">
        <v>0</v>
      </c>
      <c r="AF54" s="62" t="n">
        <v>0</v>
      </c>
      <c r="AG54" s="62" t="n">
        <v>0</v>
      </c>
      <c r="AH54" s="62" t="n">
        <v>0</v>
      </c>
      <c r="AI54" s="62" t="n">
        <v>0</v>
      </c>
      <c r="AJ54" s="62" t="n">
        <v>0</v>
      </c>
      <c r="AK54" s="62" t="n">
        <v>0</v>
      </c>
      <c r="AL54" s="62" t="n">
        <v>0</v>
      </c>
      <c r="AM54" s="62" t="n">
        <v>0</v>
      </c>
      <c r="AN54" s="62" t="n">
        <v>0</v>
      </c>
      <c r="AO54" s="63">
        <f>IFERROR(AVERAGE(AA54,AB54,AC54,AD54,AE54,AF54,AG54,AH54,AI54,AJ54,AK54,AL54,AM54,AN54),"N/A")</f>
        <v/>
      </c>
      <c r="AP54" s="64">
        <f>IFERROR(AVERAGE(W54,X54,Y54,Z54)/2,"N/A")</f>
        <v/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9" t="inlineStr">
        <is>
          <t>SAN MARTIN</t>
        </is>
      </c>
      <c r="D55" s="9" t="inlineStr">
        <is>
          <t>CACAO</t>
        </is>
      </c>
      <c r="E55" s="14" t="n"/>
      <c r="F55" s="15" t="n"/>
      <c r="G55" s="24" t="inlineStr">
        <is>
          <t>NO</t>
        </is>
      </c>
      <c r="H55" s="15" t="inlineStr">
        <is>
          <t>nan</t>
        </is>
      </c>
      <c r="I55" s="15" t="inlineStr">
        <is>
          <t>nan</t>
        </is>
      </c>
      <c r="J55" s="15" t="inlineStr">
        <is>
          <t>ACTIVO</t>
        </is>
      </c>
      <c r="K55" s="15" t="inlineStr">
        <is>
          <t>nan</t>
        </is>
      </c>
      <c r="L55" s="17" t="n">
        <v>0</v>
      </c>
      <c r="M55" s="18">
        <f>IF(E55&gt;0,ROUND(L55/E55*100,1),0)</f>
        <v/>
      </c>
      <c r="N55" s="19" t="inlineStr">
        <is>
          <t>PENDIENTE</t>
        </is>
      </c>
      <c r="O55" s="20">
        <f>IF(H55="SI",1,0)*0.6+IF(I55="SI",1,0)*0.4</f>
        <v/>
      </c>
      <c r="P55" s="19" t="inlineStr">
        <is>
          <t>PENDIENTE</t>
        </is>
      </c>
      <c r="Q55" s="14" t="n"/>
      <c r="R55" s="21" t="n"/>
      <c r="S55" s="22">
        <f>IFERROR(SCORECARDS!C53,"—")</f>
        <v/>
      </c>
      <c r="T55" s="23">
        <f>IF(ISTEXT(S55),S55,IF(S55&lt;34,"🔴 Crítico",IF(S55&lt;67,"🟡 Vulnerable","🟢 Preparado")))</f>
        <v/>
      </c>
      <c r="W55" s="62" t="n">
        <v>0</v>
      </c>
      <c r="X55" s="62" t="n">
        <v>0</v>
      </c>
      <c r="Y55" s="62" t="n">
        <v>0</v>
      </c>
      <c r="Z55" s="62" t="n">
        <v>0</v>
      </c>
      <c r="AA55" s="62" t="n">
        <v>0</v>
      </c>
      <c r="AB55" s="62" t="n">
        <v>0</v>
      </c>
      <c r="AC55" s="62" t="n">
        <v>0</v>
      </c>
      <c r="AD55" s="62" t="n">
        <v>0</v>
      </c>
      <c r="AE55" s="62" t="n">
        <v>0</v>
      </c>
      <c r="AF55" s="62" t="n">
        <v>0</v>
      </c>
      <c r="AG55" s="62" t="n">
        <v>0</v>
      </c>
      <c r="AH55" s="62" t="n">
        <v>0</v>
      </c>
      <c r="AI55" s="62" t="n">
        <v>0</v>
      </c>
      <c r="AJ55" s="62" t="n">
        <v>0</v>
      </c>
      <c r="AK55" s="62" t="n">
        <v>0</v>
      </c>
      <c r="AL55" s="62" t="n">
        <v>0</v>
      </c>
      <c r="AM55" s="62" t="n">
        <v>0</v>
      </c>
      <c r="AN55" s="62" t="n">
        <v>0</v>
      </c>
      <c r="AO55" s="63">
        <f>IFERROR(AVERAGE(AA55,AB55,AC55,AD55,AE55,AF55,AG55,AH55,AI55,AJ55,AK55,AL55,AM55,AN55),"N/A")</f>
        <v/>
      </c>
      <c r="AP55" s="64">
        <f>IFERROR(AVERAGE(W55,X55,Y55,Z55)/2,"N/A")</f>
        <v/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9" t="inlineStr">
        <is>
          <t>LORETO</t>
        </is>
      </c>
      <c r="D56" s="9" t="inlineStr">
        <is>
          <t>CACAO</t>
        </is>
      </c>
      <c r="E56" s="14" t="n"/>
      <c r="F56" s="15" t="n"/>
      <c r="G56" s="24" t="inlineStr">
        <is>
          <t>NO</t>
        </is>
      </c>
      <c r="H56" s="15" t="inlineStr">
        <is>
          <t>nan</t>
        </is>
      </c>
      <c r="I56" s="15" t="inlineStr">
        <is>
          <t>nan</t>
        </is>
      </c>
      <c r="J56" s="15" t="inlineStr">
        <is>
          <t>ACTIVO</t>
        </is>
      </c>
      <c r="K56" s="15" t="inlineStr">
        <is>
          <t>nan</t>
        </is>
      </c>
      <c r="L56" s="17" t="n">
        <v>0</v>
      </c>
      <c r="M56" s="18">
        <f>IF(E56&gt;0,ROUND(L56/E56*100,1),0)</f>
        <v/>
      </c>
      <c r="N56" s="19" t="inlineStr">
        <is>
          <t>PENDIENTE</t>
        </is>
      </c>
      <c r="O56" s="20">
        <f>IF(H56="SI",1,0)*0.6+IF(I56="SI",1,0)*0.4</f>
        <v/>
      </c>
      <c r="P56" s="19" t="inlineStr">
        <is>
          <t>PENDIENTE</t>
        </is>
      </c>
      <c r="Q56" s="14" t="n"/>
      <c r="R56" s="21" t="n"/>
      <c r="S56" s="22">
        <f>IFERROR(SCORECARDS!C54,"—")</f>
        <v/>
      </c>
      <c r="T56" s="23">
        <f>IF(ISTEXT(S56),S56,IF(S56&lt;34,"🔴 Crítico",IF(S56&lt;67,"🟡 Vulnerable","🟢 Preparado")))</f>
        <v/>
      </c>
      <c r="W56" s="62" t="n">
        <v>0</v>
      </c>
      <c r="X56" s="62" t="n">
        <v>0</v>
      </c>
      <c r="Y56" s="62" t="n">
        <v>0</v>
      </c>
      <c r="Z56" s="62" t="n">
        <v>0</v>
      </c>
      <c r="AA56" s="62" t="n">
        <v>0</v>
      </c>
      <c r="AB56" s="62" t="n">
        <v>0</v>
      </c>
      <c r="AC56" s="62" t="n">
        <v>0</v>
      </c>
      <c r="AD56" s="62" t="n">
        <v>0</v>
      </c>
      <c r="AE56" s="62" t="n">
        <v>0</v>
      </c>
      <c r="AF56" s="62" t="n">
        <v>0</v>
      </c>
      <c r="AG56" s="62" t="n">
        <v>0</v>
      </c>
      <c r="AH56" s="62" t="n">
        <v>0</v>
      </c>
      <c r="AI56" s="62" t="n">
        <v>0</v>
      </c>
      <c r="AJ56" s="62" t="n">
        <v>0</v>
      </c>
      <c r="AK56" s="62" t="n">
        <v>0</v>
      </c>
      <c r="AL56" s="62" t="n">
        <v>0</v>
      </c>
      <c r="AM56" s="62" t="n">
        <v>0</v>
      </c>
      <c r="AN56" s="62" t="n">
        <v>0</v>
      </c>
      <c r="AO56" s="63">
        <f>IFERROR(AVERAGE(AA56,AB56,AC56,AD56,AE56,AF56,AG56,AH56,AI56,AJ56,AK56,AL56,AM56,AN56),"N/A")</f>
        <v/>
      </c>
      <c r="AP56" s="64">
        <f>IFERROR(AVERAGE(W56,X56,Y56,Z56)/2,"N/A")</f>
        <v/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9" t="inlineStr">
        <is>
          <t>CUSCO</t>
        </is>
      </c>
      <c r="D57" s="9" t="inlineStr">
        <is>
          <t>CACAO</t>
        </is>
      </c>
      <c r="E57" s="14" t="n"/>
      <c r="F57" s="15" t="n"/>
      <c r="G57" s="24" t="inlineStr">
        <is>
          <t>NO</t>
        </is>
      </c>
      <c r="H57" s="15" t="inlineStr">
        <is>
          <t>nan</t>
        </is>
      </c>
      <c r="I57" s="15" t="inlineStr">
        <is>
          <t>nan</t>
        </is>
      </c>
      <c r="J57" s="15" t="inlineStr">
        <is>
          <t>ACTIVO</t>
        </is>
      </c>
      <c r="K57" s="15" t="inlineStr">
        <is>
          <t>nan</t>
        </is>
      </c>
      <c r="L57" s="17" t="n">
        <v>0</v>
      </c>
      <c r="M57" s="18">
        <f>IF(E57&gt;0,ROUND(L57/E57*100,1),0)</f>
        <v/>
      </c>
      <c r="N57" s="19" t="inlineStr">
        <is>
          <t>PENDIENTE</t>
        </is>
      </c>
      <c r="O57" s="20">
        <f>IF(H57="SI",1,0)*0.6+IF(I57="SI",1,0)*0.4</f>
        <v/>
      </c>
      <c r="P57" s="19" t="inlineStr">
        <is>
          <t>PENDIENTE</t>
        </is>
      </c>
      <c r="Q57" s="14" t="n"/>
      <c r="R57" s="21" t="n"/>
      <c r="S57" s="22">
        <f>IFERROR(SCORECARDS!C55,"—")</f>
        <v/>
      </c>
      <c r="T57" s="23">
        <f>IF(ISTEXT(S57),S57,IF(S57&lt;34,"🔴 Crítico",IF(S57&lt;67,"🟡 Vulnerable","🟢 Preparado")))</f>
        <v/>
      </c>
      <c r="W57" s="62" t="n">
        <v>0</v>
      </c>
      <c r="X57" s="62" t="n">
        <v>0</v>
      </c>
      <c r="Y57" s="62" t="n">
        <v>0</v>
      </c>
      <c r="Z57" s="62" t="n">
        <v>0</v>
      </c>
      <c r="AA57" s="62" t="n">
        <v>0</v>
      </c>
      <c r="AB57" s="62" t="n">
        <v>0</v>
      </c>
      <c r="AC57" s="62" t="n">
        <v>0</v>
      </c>
      <c r="AD57" s="62" t="n">
        <v>0</v>
      </c>
      <c r="AE57" s="62" t="n">
        <v>0</v>
      </c>
      <c r="AF57" s="62" t="n">
        <v>0</v>
      </c>
      <c r="AG57" s="62" t="n">
        <v>0</v>
      </c>
      <c r="AH57" s="62" t="n">
        <v>0</v>
      </c>
      <c r="AI57" s="62" t="n">
        <v>0</v>
      </c>
      <c r="AJ57" s="62" t="n">
        <v>0</v>
      </c>
      <c r="AK57" s="62" t="n">
        <v>0</v>
      </c>
      <c r="AL57" s="62" t="n">
        <v>0</v>
      </c>
      <c r="AM57" s="62" t="n">
        <v>0</v>
      </c>
      <c r="AN57" s="62" t="n">
        <v>0</v>
      </c>
      <c r="AO57" s="63">
        <f>IFERROR(AVERAGE(AA57,AB57,AC57,AD57,AE57,AF57,AG57,AH57,AI57,AJ57,AK57,AL57,AM57,AN57),"N/A")</f>
        <v/>
      </c>
      <c r="AP57" s="64">
        <f>IFERROR(AVERAGE(W57,X57,Y57,Z57)/2,"N/A")</f>
        <v/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9" t="inlineStr">
        <is>
          <t>PIURA</t>
        </is>
      </c>
      <c r="D58" s="9" t="inlineStr">
        <is>
          <t>CACAO</t>
        </is>
      </c>
      <c r="E58" s="14" t="n">
        <v>105840</v>
      </c>
      <c r="F58" s="15" t="n">
        <v>7</v>
      </c>
      <c r="G58" s="16" t="inlineStr">
        <is>
          <t>SI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ACTIVO</t>
        </is>
      </c>
      <c r="K58" s="15" t="inlineStr">
        <is>
          <t>nan</t>
        </is>
      </c>
      <c r="L58" s="17" t="n">
        <v>52920</v>
      </c>
      <c r="M58" s="18">
        <f>IF(E58&gt;0,ROUND(L58/E58*100,1),0)</f>
        <v/>
      </c>
      <c r="N58" s="19" t="inlineStr">
        <is>
          <t>PENDIENTE</t>
        </is>
      </c>
      <c r="O58" s="20">
        <f>IF(H58="SI",1,0)*0.6+IF(I58="SI",1,0)*0.4</f>
        <v/>
      </c>
      <c r="P58" s="19" t="inlineStr">
        <is>
          <t>PENDIENTE</t>
        </is>
      </c>
      <c r="Q58" s="14" t="n"/>
      <c r="R58" s="21" t="n"/>
      <c r="S58" s="22">
        <f>IFERROR(SCORECARDS!C56,"—")</f>
        <v/>
      </c>
      <c r="T58" s="23">
        <f>IF(ISTEXT(S58),S58,IF(S58&lt;34,"🔴 Crítico",IF(S58&lt;67,"🟡 Vulnerable","🟢 Preparado")))</f>
        <v/>
      </c>
      <c r="U58" s="57" t="n">
        <v>1</v>
      </c>
      <c r="V58" t="inlineStr">
        <is>
          <t>Sin hallazgos OSCE / OEFA</t>
        </is>
      </c>
      <c r="W58" s="62" t="n">
        <v>0</v>
      </c>
      <c r="X58" s="62" t="n">
        <v>0</v>
      </c>
      <c r="Y58" s="62" t="n">
        <v>0</v>
      </c>
      <c r="Z58" s="62" t="n">
        <v>0</v>
      </c>
      <c r="AA58" s="62" t="n">
        <v>0</v>
      </c>
      <c r="AB58" s="62" t="n">
        <v>0</v>
      </c>
      <c r="AC58" s="62" t="n">
        <v>0</v>
      </c>
      <c r="AD58" s="62" t="n">
        <v>0</v>
      </c>
      <c r="AE58" s="62" t="n">
        <v>0</v>
      </c>
      <c r="AF58" s="62" t="n">
        <v>0</v>
      </c>
      <c r="AG58" s="62" t="n">
        <v>0</v>
      </c>
      <c r="AH58" s="62" t="n">
        <v>0</v>
      </c>
      <c r="AI58" s="62" t="n">
        <v>0</v>
      </c>
      <c r="AJ58" s="62" t="n">
        <v>0</v>
      </c>
      <c r="AK58" s="62" t="n">
        <v>0</v>
      </c>
      <c r="AL58" s="62" t="n">
        <v>0</v>
      </c>
      <c r="AM58" s="62" t="n">
        <v>0</v>
      </c>
      <c r="AN58" s="62" t="n">
        <v>0</v>
      </c>
      <c r="AO58" s="63">
        <f>IFERROR(AVERAGE(AA58,AB58,AC58,AD58,AE58,AF58,AG58,AH58,AI58,AJ58,AK58,AL58,AM58,AN58),"N/A")</f>
        <v/>
      </c>
      <c r="AP58" s="64">
        <f>IFERROR(AVERAGE(W58,X58,Y58,Z58)/2,"N/A")</f>
        <v/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9" t="inlineStr">
        <is>
          <t>PIURA</t>
        </is>
      </c>
      <c r="D59" s="9" t="inlineStr">
        <is>
          <t>CACAO</t>
        </is>
      </c>
      <c r="E59" s="14" t="n"/>
      <c r="F59" s="15" t="n"/>
      <c r="G59" s="24" t="inlineStr">
        <is>
          <t>NO</t>
        </is>
      </c>
      <c r="H59" s="15" t="inlineStr">
        <is>
          <t>nan</t>
        </is>
      </c>
      <c r="I59" s="15" t="inlineStr">
        <is>
          <t>nan</t>
        </is>
      </c>
      <c r="J59" s="15" t="inlineStr">
        <is>
          <t>BAJA DE OFICIO</t>
        </is>
      </c>
      <c r="K59" s="15" t="inlineStr">
        <is>
          <t>nan</t>
        </is>
      </c>
      <c r="L59" s="17" t="n">
        <v>0</v>
      </c>
      <c r="M59" s="18">
        <f>IF(E59&gt;0,ROUND(L59/E59*100,1),0)</f>
        <v/>
      </c>
      <c r="N59" s="19" t="inlineStr">
        <is>
          <t>PENDIENTE</t>
        </is>
      </c>
      <c r="O59" s="20">
        <f>IF(H59="SI",1,0)*0.6+IF(I59="SI",1,0)*0.4</f>
        <v/>
      </c>
      <c r="P59" s="19" t="inlineStr">
        <is>
          <t>PENDIENTE</t>
        </is>
      </c>
      <c r="Q59" s="14" t="n"/>
      <c r="R59" s="21" t="n"/>
      <c r="S59" s="22">
        <f>IFERROR(SCORECARDS!C57,"—")</f>
        <v/>
      </c>
      <c r="T59" s="23">
        <f>IF(ISTEXT(S59),S59,IF(S59&lt;34,"🔴 Crítico",IF(S59&lt;67,"🟡 Vulnerable","🟢 Preparado")))</f>
        <v/>
      </c>
      <c r="W59" s="62" t="n">
        <v>0</v>
      </c>
      <c r="X59" s="62" t="n">
        <v>0</v>
      </c>
      <c r="Y59" s="62" t="n">
        <v>0</v>
      </c>
      <c r="Z59" s="62" t="n">
        <v>0</v>
      </c>
      <c r="AA59" s="62" t="n">
        <v>0</v>
      </c>
      <c r="AB59" s="62" t="n">
        <v>0</v>
      </c>
      <c r="AC59" s="62" t="n">
        <v>0</v>
      </c>
      <c r="AD59" s="62" t="n">
        <v>0</v>
      </c>
      <c r="AE59" s="62" t="n">
        <v>0</v>
      </c>
      <c r="AF59" s="62" t="n">
        <v>0</v>
      </c>
      <c r="AG59" s="62" t="n">
        <v>0</v>
      </c>
      <c r="AH59" s="62" t="n">
        <v>0</v>
      </c>
      <c r="AI59" s="62" t="n">
        <v>0</v>
      </c>
      <c r="AJ59" s="62" t="n">
        <v>0</v>
      </c>
      <c r="AK59" s="62" t="n">
        <v>0</v>
      </c>
      <c r="AL59" s="62" t="n">
        <v>0</v>
      </c>
      <c r="AM59" s="62" t="n">
        <v>0</v>
      </c>
      <c r="AN59" s="62" t="n">
        <v>0</v>
      </c>
      <c r="AO59" s="63">
        <f>IFERROR(AVERAGE(AA59,AB59,AC59,AD59,AE59,AF59,AG59,AH59,AI59,AJ59,AK59,AL59,AM59,AN59),"N/A")</f>
        <v/>
      </c>
      <c r="AP59" s="64">
        <f>IFERROR(AVERAGE(W59,X59,Y59,Z59)/2,"N/A")</f>
        <v/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9" t="inlineStr">
        <is>
          <t>APURIMAC</t>
        </is>
      </c>
      <c r="D60" s="9" t="inlineStr">
        <is>
          <t>CAFÉ</t>
        </is>
      </c>
      <c r="E60" s="14" t="n">
        <v>10746930.95</v>
      </c>
      <c r="F60" s="15" t="n">
        <v>59</v>
      </c>
      <c r="G60" s="16" t="inlineStr">
        <is>
          <t>SI</t>
        </is>
      </c>
      <c r="H60" s="15" t="inlineStr">
        <is>
          <t>nan</t>
        </is>
      </c>
      <c r="I60" s="15" t="inlineStr">
        <is>
          <t>nan</t>
        </is>
      </c>
      <c r="J60" s="15" t="inlineStr">
        <is>
          <t>ACTIVO</t>
        </is>
      </c>
      <c r="K60" s="15" t="inlineStr">
        <is>
          <t>nan</t>
        </is>
      </c>
      <c r="L60" s="17" t="n">
        <v>5373465.47</v>
      </c>
      <c r="M60" s="18">
        <f>IF(E60&gt;0,ROUND(L60/E60*100,1),0)</f>
        <v/>
      </c>
      <c r="N60" s="19" t="inlineStr">
        <is>
          <t>PENDIENTE</t>
        </is>
      </c>
      <c r="O60" s="20">
        <f>IF(H60="SI",1,0)*0.6+IF(I60="SI",1,0)*0.4</f>
        <v/>
      </c>
      <c r="P60" s="19" t="inlineStr">
        <is>
          <t>PENDIENTE</t>
        </is>
      </c>
      <c r="Q60" s="14" t="n"/>
      <c r="R60" s="21" t="n"/>
      <c r="S60" s="22">
        <f>IFERROR(SCORECARDS!C58,"—")</f>
        <v/>
      </c>
      <c r="T60" s="23">
        <f>IF(ISTEXT(S60),S60,IF(S60&lt;34,"🔴 Crítico",IF(S60&lt;67,"🟡 Vulnerable","🟢 Preparado")))</f>
        <v/>
      </c>
      <c r="U60" s="57" t="n">
        <v>1</v>
      </c>
      <c r="V60" t="inlineStr">
        <is>
          <t>Sin hallazgos OSCE / OEFA</t>
        </is>
      </c>
      <c r="W60" s="68" t="n">
        <v>1</v>
      </c>
      <c r="X60" s="62" t="n">
        <v>0</v>
      </c>
      <c r="Y60" s="62" t="n">
        <v>0</v>
      </c>
      <c r="Z60" s="62" t="n">
        <v>0</v>
      </c>
      <c r="AA60" s="62" t="n">
        <v>0</v>
      </c>
      <c r="AB60" s="62" t="n">
        <v>0</v>
      </c>
      <c r="AC60" s="62" t="n">
        <v>0</v>
      </c>
      <c r="AD60" s="62" t="n">
        <v>0</v>
      </c>
      <c r="AE60" s="62" t="n">
        <v>0</v>
      </c>
      <c r="AF60" s="62" t="n">
        <v>0</v>
      </c>
      <c r="AG60" s="62" t="n">
        <v>0</v>
      </c>
      <c r="AH60" s="62" t="n">
        <v>0</v>
      </c>
      <c r="AI60" s="62" t="n">
        <v>0</v>
      </c>
      <c r="AJ60" s="62" t="n">
        <v>0</v>
      </c>
      <c r="AK60" s="62" t="n">
        <v>0</v>
      </c>
      <c r="AL60" s="62" t="n">
        <v>0</v>
      </c>
      <c r="AM60" s="62" t="n">
        <v>0</v>
      </c>
      <c r="AN60" s="62" t="n">
        <v>0</v>
      </c>
      <c r="AO60" s="63">
        <f>IFERROR(AVERAGE(AA60,AB60,AC60,AD60,AE60,AF60,AG60,AH60,AI60,AJ60,AK60,AL60,AM60,AN60),"N/A")</f>
        <v/>
      </c>
      <c r="AP60" s="64">
        <f>IFERROR(AVERAGE(W60,X60,Y60,Z60)/2,"N/A")</f>
        <v/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9" t="inlineStr">
        <is>
          <t>HUANUCO</t>
        </is>
      </c>
      <c r="D61" s="9" t="inlineStr">
        <is>
          <t>CAFÉ</t>
        </is>
      </c>
      <c r="E61" s="14" t="n"/>
      <c r="F61" s="15" t="n"/>
      <c r="G61" s="24" t="inlineStr">
        <is>
          <t>NO</t>
        </is>
      </c>
      <c r="H61" s="15" t="inlineStr">
        <is>
          <t>nan</t>
        </is>
      </c>
      <c r="I61" s="15" t="inlineStr">
        <is>
          <t>nan</t>
        </is>
      </c>
      <c r="J61" s="15" t="inlineStr">
        <is>
          <t>ACTIVO</t>
        </is>
      </c>
      <c r="K61" s="15" t="inlineStr">
        <is>
          <t>nan</t>
        </is>
      </c>
      <c r="L61" s="17" t="n">
        <v>0</v>
      </c>
      <c r="M61" s="18">
        <f>IF(E61&gt;0,ROUND(L61/E61*100,1),0)</f>
        <v/>
      </c>
      <c r="N61" s="19" t="inlineStr">
        <is>
          <t>PENDIENTE</t>
        </is>
      </c>
      <c r="O61" s="20">
        <f>IF(H61="SI",1,0)*0.6+IF(I61="SI",1,0)*0.4</f>
        <v/>
      </c>
      <c r="P61" s="19" t="inlineStr">
        <is>
          <t>PENDIENTE</t>
        </is>
      </c>
      <c r="Q61" s="14" t="n"/>
      <c r="R61" s="21" t="n"/>
      <c r="S61" s="22">
        <f>IFERROR(SCORECARDS!C59,"—")</f>
        <v/>
      </c>
      <c r="T61" s="23">
        <f>IF(ISTEXT(S61),S61,IF(S61&lt;34,"🔴 Crítico",IF(S61&lt;67,"🟡 Vulnerable","🟢 Preparado")))</f>
        <v/>
      </c>
      <c r="W61" s="62" t="n">
        <v>0</v>
      </c>
      <c r="X61" s="62" t="n">
        <v>0</v>
      </c>
      <c r="Y61" s="62" t="n">
        <v>0</v>
      </c>
      <c r="Z61" s="62" t="n">
        <v>0</v>
      </c>
      <c r="AA61" s="62" t="n">
        <v>0</v>
      </c>
      <c r="AB61" s="62" t="n">
        <v>0</v>
      </c>
      <c r="AC61" s="62" t="n">
        <v>0</v>
      </c>
      <c r="AD61" s="62" t="n">
        <v>0</v>
      </c>
      <c r="AE61" s="62" t="n">
        <v>0</v>
      </c>
      <c r="AF61" s="62" t="n">
        <v>0</v>
      </c>
      <c r="AG61" s="62" t="n">
        <v>0</v>
      </c>
      <c r="AH61" s="62" t="n">
        <v>0</v>
      </c>
      <c r="AI61" s="62" t="n">
        <v>0</v>
      </c>
      <c r="AJ61" s="62" t="n">
        <v>0</v>
      </c>
      <c r="AK61" s="62" t="n">
        <v>0</v>
      </c>
      <c r="AL61" s="62" t="n">
        <v>0</v>
      </c>
      <c r="AM61" s="62" t="n">
        <v>0</v>
      </c>
      <c r="AN61" s="62" t="n">
        <v>0</v>
      </c>
      <c r="AO61" s="63">
        <f>IFERROR(AVERAGE(AA61,AB61,AC61,AD61,AE61,AF61,AG61,AH61,AI61,AJ61,AK61,AL61,AM61,AN61),"N/A")</f>
        <v/>
      </c>
      <c r="AP61" s="64">
        <f>IFERROR(AVERAGE(W61,X61,Y61,Z61)/2,"N/A")</f>
        <v/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9" t="inlineStr">
        <is>
          <t>PIURA</t>
        </is>
      </c>
      <c r="D62" s="9" t="inlineStr">
        <is>
          <t>CAFÉ</t>
        </is>
      </c>
      <c r="E62" s="14" t="n"/>
      <c r="F62" s="15" t="n"/>
      <c r="G62" s="24" t="inlineStr">
        <is>
          <t>NO</t>
        </is>
      </c>
      <c r="H62" s="15" t="inlineStr">
        <is>
          <t>nan</t>
        </is>
      </c>
      <c r="I62" s="15" t="inlineStr">
        <is>
          <t>nan</t>
        </is>
      </c>
      <c r="J62" s="15" t="inlineStr">
        <is>
          <t>BAJA DE OFICIO</t>
        </is>
      </c>
      <c r="K62" s="15" t="inlineStr">
        <is>
          <t>nan</t>
        </is>
      </c>
      <c r="L62" s="17" t="n">
        <v>0</v>
      </c>
      <c r="M62" s="18">
        <f>IF(E62&gt;0,ROUND(L62/E62*100,1),0)</f>
        <v/>
      </c>
      <c r="N62" s="19" t="inlineStr">
        <is>
          <t>PENDIENTE</t>
        </is>
      </c>
      <c r="O62" s="20">
        <f>IF(H62="SI",1,0)*0.6+IF(I62="SI",1,0)*0.4</f>
        <v/>
      </c>
      <c r="P62" s="19" t="inlineStr">
        <is>
          <t>PENDIENTE</t>
        </is>
      </c>
      <c r="Q62" s="14" t="n"/>
      <c r="R62" s="21" t="n"/>
      <c r="S62" s="22">
        <f>IFERROR(SCORECARDS!C60,"—")</f>
        <v/>
      </c>
      <c r="T62" s="23">
        <f>IF(ISTEXT(S62),S62,IF(S62&lt;34,"🔴 Crítico",IF(S62&lt;67,"🟡 Vulnerable","🟢 Preparado")))</f>
        <v/>
      </c>
      <c r="W62" s="62" t="n">
        <v>0</v>
      </c>
      <c r="X62" s="62" t="n">
        <v>0</v>
      </c>
      <c r="Y62" s="62" t="n">
        <v>0</v>
      </c>
      <c r="Z62" s="62" t="n">
        <v>0</v>
      </c>
      <c r="AA62" s="62" t="n">
        <v>0</v>
      </c>
      <c r="AB62" s="62" t="n">
        <v>0</v>
      </c>
      <c r="AC62" s="62" t="n">
        <v>0</v>
      </c>
      <c r="AD62" s="62" t="n">
        <v>0</v>
      </c>
      <c r="AE62" s="62" t="n">
        <v>0</v>
      </c>
      <c r="AF62" s="62" t="n">
        <v>0</v>
      </c>
      <c r="AG62" s="62" t="n">
        <v>0</v>
      </c>
      <c r="AH62" s="62" t="n">
        <v>0</v>
      </c>
      <c r="AI62" s="62" t="n">
        <v>0</v>
      </c>
      <c r="AJ62" s="62" t="n">
        <v>0</v>
      </c>
      <c r="AK62" s="62" t="n">
        <v>0</v>
      </c>
      <c r="AL62" s="62" t="n">
        <v>0</v>
      </c>
      <c r="AM62" s="62" t="n">
        <v>0</v>
      </c>
      <c r="AN62" s="62" t="n">
        <v>0</v>
      </c>
      <c r="AO62" s="63">
        <f>IFERROR(AVERAGE(AA62,AB62,AC62,AD62,AE62,AF62,AG62,AH62,AI62,AJ62,AK62,AL62,AM62,AN62),"N/A")</f>
        <v/>
      </c>
      <c r="AP62" s="64">
        <f>IFERROR(AVERAGE(W62,X62,Y62,Z62)/2,"N/A")</f>
        <v/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9" t="inlineStr">
        <is>
          <t>PIURA</t>
        </is>
      </c>
      <c r="D63" s="9" t="inlineStr">
        <is>
          <t>CAFÉ</t>
        </is>
      </c>
      <c r="E63" s="14" t="n"/>
      <c r="F63" s="15" t="n"/>
      <c r="G63" s="24" t="inlineStr">
        <is>
          <t>NO</t>
        </is>
      </c>
      <c r="H63" s="15" t="inlineStr">
        <is>
          <t>nan</t>
        </is>
      </c>
      <c r="I63" s="15" t="inlineStr">
        <is>
          <t>nan</t>
        </is>
      </c>
      <c r="J63" s="15" t="inlineStr">
        <is>
          <t>BAJA DE OFICIO</t>
        </is>
      </c>
      <c r="K63" s="15" t="inlineStr">
        <is>
          <t>nan</t>
        </is>
      </c>
      <c r="L63" s="17" t="n">
        <v>0</v>
      </c>
      <c r="M63" s="18">
        <f>IF(E63&gt;0,ROUND(L63/E63*100,1),0)</f>
        <v/>
      </c>
      <c r="N63" s="19" t="inlineStr">
        <is>
          <t>PENDIENTE</t>
        </is>
      </c>
      <c r="O63" s="20">
        <f>IF(H63="SI",1,0)*0.6+IF(I63="SI",1,0)*0.4</f>
        <v/>
      </c>
      <c r="P63" s="19" t="inlineStr">
        <is>
          <t>PENDIENTE</t>
        </is>
      </c>
      <c r="Q63" s="14" t="n"/>
      <c r="R63" s="21" t="n"/>
      <c r="S63" s="22">
        <f>IFERROR(SCORECARDS!C61,"—")</f>
        <v/>
      </c>
      <c r="T63" s="23">
        <f>IF(ISTEXT(S63),S63,IF(S63&lt;34,"🔴 Crítico",IF(S63&lt;67,"🟡 Vulnerable","🟢 Preparado")))</f>
        <v/>
      </c>
      <c r="W63" s="62" t="n">
        <v>0</v>
      </c>
      <c r="X63" s="62" t="n">
        <v>0</v>
      </c>
      <c r="Y63" s="62" t="n">
        <v>0</v>
      </c>
      <c r="Z63" s="62" t="n">
        <v>0</v>
      </c>
      <c r="AA63" s="62" t="n">
        <v>0</v>
      </c>
      <c r="AB63" s="62" t="n">
        <v>0</v>
      </c>
      <c r="AC63" s="62" t="n">
        <v>0</v>
      </c>
      <c r="AD63" s="62" t="n">
        <v>0</v>
      </c>
      <c r="AE63" s="62" t="n">
        <v>0</v>
      </c>
      <c r="AF63" s="62" t="n">
        <v>0</v>
      </c>
      <c r="AG63" s="62" t="n">
        <v>0</v>
      </c>
      <c r="AH63" s="62" t="n">
        <v>0</v>
      </c>
      <c r="AI63" s="62" t="n">
        <v>0</v>
      </c>
      <c r="AJ63" s="62" t="n">
        <v>0</v>
      </c>
      <c r="AK63" s="62" t="n">
        <v>0</v>
      </c>
      <c r="AL63" s="62" t="n">
        <v>0</v>
      </c>
      <c r="AM63" s="62" t="n">
        <v>0</v>
      </c>
      <c r="AN63" s="62" t="n">
        <v>0</v>
      </c>
      <c r="AO63" s="63">
        <f>IFERROR(AVERAGE(AA63,AB63,AC63,AD63,AE63,AF63,AG63,AH63,AI63,AJ63,AK63,AL63,AM63,AN63),"N/A")</f>
        <v/>
      </c>
      <c r="AP63" s="64">
        <f>IFERROR(AVERAGE(W63,X63,Y63,Z63)/2,"N/A")</f>
        <v/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9" t="inlineStr">
        <is>
          <t>SAN MARTIN</t>
        </is>
      </c>
      <c r="D64" s="9" t="inlineStr">
        <is>
          <t>CAFÉ</t>
        </is>
      </c>
      <c r="E64" s="14" t="n">
        <v>0</v>
      </c>
      <c r="F64" s="15" t="n"/>
      <c r="G64" s="24" t="inlineStr">
        <is>
          <t>NO</t>
        </is>
      </c>
      <c r="H64" s="15" t="inlineStr">
        <is>
          <t>nan</t>
        </is>
      </c>
      <c r="I64" s="15" t="inlineStr">
        <is>
          <t>nan</t>
        </is>
      </c>
      <c r="J64" s="15" t="inlineStr">
        <is>
          <t>ACTIVO</t>
        </is>
      </c>
      <c r="K64" s="15" t="inlineStr">
        <is>
          <t>nan</t>
        </is>
      </c>
      <c r="L64" s="17" t="n">
        <v>0</v>
      </c>
      <c r="M64" s="18">
        <f>IF(E64&gt;0,ROUND(L64/E64*100,1),0)</f>
        <v/>
      </c>
      <c r="N64" s="19" t="inlineStr">
        <is>
          <t>PENDIENTE</t>
        </is>
      </c>
      <c r="O64" s="20">
        <f>IF(H64="SI",1,0)*0.6+IF(I64="SI",1,0)*0.4</f>
        <v/>
      </c>
      <c r="P64" s="19" t="inlineStr">
        <is>
          <t>PENDIENTE</t>
        </is>
      </c>
      <c r="Q64" s="14" t="n"/>
      <c r="R64" s="21" t="n"/>
      <c r="S64" s="22">
        <f>IFERROR(SCORECARDS!C62,"—")</f>
        <v/>
      </c>
      <c r="T64" s="23">
        <f>IF(ISTEXT(S64),S64,IF(S64&lt;34,"🔴 Crítico",IF(S64&lt;67,"🟡 Vulnerable","🟢 Preparado")))</f>
        <v/>
      </c>
      <c r="W64" s="62" t="n">
        <v>0</v>
      </c>
      <c r="X64" s="62" t="n">
        <v>0</v>
      </c>
      <c r="Y64" s="62" t="n">
        <v>0</v>
      </c>
      <c r="Z64" s="62" t="n">
        <v>0</v>
      </c>
      <c r="AA64" s="62" t="n">
        <v>0</v>
      </c>
      <c r="AB64" s="62" t="n">
        <v>0</v>
      </c>
      <c r="AC64" s="62" t="n">
        <v>0</v>
      </c>
      <c r="AD64" s="62" t="n">
        <v>0</v>
      </c>
      <c r="AE64" s="62" t="n">
        <v>0</v>
      </c>
      <c r="AF64" s="62" t="n">
        <v>0</v>
      </c>
      <c r="AG64" s="62" t="n">
        <v>0</v>
      </c>
      <c r="AH64" s="62" t="n">
        <v>0</v>
      </c>
      <c r="AI64" s="62" t="n">
        <v>0</v>
      </c>
      <c r="AJ64" s="62" t="n">
        <v>0</v>
      </c>
      <c r="AK64" s="62" t="n">
        <v>0</v>
      </c>
      <c r="AL64" s="62" t="n">
        <v>0</v>
      </c>
      <c r="AM64" s="62" t="n">
        <v>0</v>
      </c>
      <c r="AN64" s="62" t="n">
        <v>0</v>
      </c>
      <c r="AO64" s="63">
        <f>IFERROR(AVERAGE(AA64,AB64,AC64,AD64,AE64,AF64,AG64,AH64,AI64,AJ64,AK64,AL64,AM64,AN64),"N/A")</f>
        <v/>
      </c>
      <c r="AP64" s="64">
        <f>IFERROR(AVERAGE(W64,X64,Y64,Z64)/2,"N/A")</f>
        <v/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9" t="inlineStr">
        <is>
          <t>SAN MARTIN</t>
        </is>
      </c>
      <c r="D65" s="9" t="inlineStr">
        <is>
          <t>CACAO</t>
        </is>
      </c>
      <c r="E65" s="14" t="n">
        <v>1984.05</v>
      </c>
      <c r="F65" s="15" t="n">
        <v>1</v>
      </c>
      <c r="G65" s="16" t="inlineStr">
        <is>
          <t>SI</t>
        </is>
      </c>
      <c r="H65" s="15" t="inlineStr">
        <is>
          <t>nan</t>
        </is>
      </c>
      <c r="I65" s="15" t="inlineStr">
        <is>
          <t>nan</t>
        </is>
      </c>
      <c r="J65" s="15" t="inlineStr">
        <is>
          <t>ACTIVO</t>
        </is>
      </c>
      <c r="K65" s="15" t="inlineStr">
        <is>
          <t>nan</t>
        </is>
      </c>
      <c r="L65" s="17" t="n">
        <v>0</v>
      </c>
      <c r="M65" s="18">
        <f>IF(E65&gt;0,ROUND(L65/E65*100,1),0)</f>
        <v/>
      </c>
      <c r="N65" s="19" t="inlineStr">
        <is>
          <t>PENDIENTE</t>
        </is>
      </c>
      <c r="O65" s="20">
        <f>IF(H65="SI",1,0)*0.6+IF(I65="SI",1,0)*0.4</f>
        <v/>
      </c>
      <c r="P65" s="19" t="inlineStr">
        <is>
          <t>PENDIENTE</t>
        </is>
      </c>
      <c r="Q65" s="14" t="n"/>
      <c r="R65" s="21" t="n"/>
      <c r="S65" s="22">
        <f>IFERROR(SCORECARDS!C63,"—")</f>
        <v/>
      </c>
      <c r="T65" s="23">
        <f>IF(ISTEXT(S65),S65,IF(S65&lt;34,"🔴 Crítico",IF(S65&lt;67,"🟡 Vulnerable","🟢 Preparado")))</f>
        <v/>
      </c>
      <c r="W65" s="62" t="n">
        <v>0</v>
      </c>
      <c r="X65" s="62" t="n">
        <v>0</v>
      </c>
      <c r="Y65" s="62" t="n">
        <v>0</v>
      </c>
      <c r="Z65" s="62" t="n">
        <v>0</v>
      </c>
      <c r="AA65" s="62" t="n">
        <v>0</v>
      </c>
      <c r="AB65" s="62" t="n">
        <v>0</v>
      </c>
      <c r="AC65" s="62" t="n">
        <v>0</v>
      </c>
      <c r="AD65" s="62" t="n">
        <v>0</v>
      </c>
      <c r="AE65" s="62" t="n">
        <v>0</v>
      </c>
      <c r="AF65" s="62" t="n">
        <v>0</v>
      </c>
      <c r="AG65" s="62" t="n">
        <v>0</v>
      </c>
      <c r="AH65" s="62" t="n">
        <v>0</v>
      </c>
      <c r="AI65" s="62" t="n">
        <v>0</v>
      </c>
      <c r="AJ65" s="62" t="n">
        <v>0</v>
      </c>
      <c r="AK65" s="62" t="n">
        <v>0</v>
      </c>
      <c r="AL65" s="62" t="n">
        <v>0</v>
      </c>
      <c r="AM65" s="62" t="n">
        <v>0</v>
      </c>
      <c r="AN65" s="62" t="n">
        <v>0</v>
      </c>
      <c r="AO65" s="63">
        <f>IFERROR(AVERAGE(AA65,AB65,AC65,AD65,AE65,AF65,AG65,AH65,AI65,AJ65,AK65,AL65,AM65,AN65),"N/A")</f>
        <v/>
      </c>
      <c r="AP65" s="64">
        <f>IFERROR(AVERAGE(W65,X65,Y65,Z65)/2,"N/A")</f>
        <v/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9" t="inlineStr">
        <is>
          <t>CUSCO</t>
        </is>
      </c>
      <c r="D66" s="9" t="inlineStr">
        <is>
          <t>CAFÉ</t>
        </is>
      </c>
      <c r="E66" s="14" t="n"/>
      <c r="F66" s="15" t="n"/>
      <c r="G66" s="24" t="inlineStr">
        <is>
          <t>NO</t>
        </is>
      </c>
      <c r="H66" s="15" t="inlineStr">
        <is>
          <t>nan</t>
        </is>
      </c>
      <c r="I66" s="15" t="inlineStr">
        <is>
          <t>nan</t>
        </is>
      </c>
      <c r="J66" s="15" t="inlineStr">
        <is>
          <t>ACTIVO</t>
        </is>
      </c>
      <c r="K66" s="15" t="inlineStr">
        <is>
          <t>nan</t>
        </is>
      </c>
      <c r="L66" s="17" t="n">
        <v>0</v>
      </c>
      <c r="M66" s="18">
        <f>IF(E66&gt;0,ROUND(L66/E66*100,1),0)</f>
        <v/>
      </c>
      <c r="N66" s="19" t="inlineStr">
        <is>
          <t>PENDIENTE</t>
        </is>
      </c>
      <c r="O66" s="20">
        <f>IF(H66="SI",1,0)*0.6+IF(I66="SI",1,0)*0.4</f>
        <v/>
      </c>
      <c r="P66" s="19" t="inlineStr">
        <is>
          <t>PENDIENTE</t>
        </is>
      </c>
      <c r="Q66" s="14" t="n"/>
      <c r="R66" s="21" t="n"/>
      <c r="S66" s="22">
        <f>IFERROR(SCORECARDS!C64,"—")</f>
        <v/>
      </c>
      <c r="T66" s="23">
        <f>IF(ISTEXT(S66),S66,IF(S66&lt;34,"🔴 Crítico",IF(S66&lt;67,"🟡 Vulnerable","🟢 Preparado")))</f>
        <v/>
      </c>
      <c r="W66" s="62" t="n">
        <v>0</v>
      </c>
      <c r="X66" s="62" t="n">
        <v>0</v>
      </c>
      <c r="Y66" s="62" t="n">
        <v>0</v>
      </c>
      <c r="Z66" s="62" t="n">
        <v>0</v>
      </c>
      <c r="AA66" s="62" t="n">
        <v>0</v>
      </c>
      <c r="AB66" s="62" t="n">
        <v>0</v>
      </c>
      <c r="AC66" s="62" t="n">
        <v>0</v>
      </c>
      <c r="AD66" s="62" t="n">
        <v>0</v>
      </c>
      <c r="AE66" s="62" t="n">
        <v>0</v>
      </c>
      <c r="AF66" s="62" t="n">
        <v>0</v>
      </c>
      <c r="AG66" s="62" t="n">
        <v>0</v>
      </c>
      <c r="AH66" s="62" t="n">
        <v>0</v>
      </c>
      <c r="AI66" s="62" t="n">
        <v>0</v>
      </c>
      <c r="AJ66" s="62" t="n">
        <v>0</v>
      </c>
      <c r="AK66" s="62" t="n">
        <v>0</v>
      </c>
      <c r="AL66" s="62" t="n">
        <v>0</v>
      </c>
      <c r="AM66" s="62" t="n">
        <v>0</v>
      </c>
      <c r="AN66" s="62" t="n">
        <v>0</v>
      </c>
      <c r="AO66" s="63">
        <f>IFERROR(AVERAGE(AA66,AB66,AC66,AD66,AE66,AF66,AG66,AH66,AI66,AJ66,AK66,AL66,AM66,AN66),"N/A")</f>
        <v/>
      </c>
      <c r="AP66" s="64">
        <f>IFERROR(AVERAGE(W66,X66,Y66,Z66)/2,"N/A")</f>
        <v/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9" t="inlineStr">
        <is>
          <t>AMAZONAS</t>
        </is>
      </c>
      <c r="D67" s="9" t="inlineStr">
        <is>
          <t>CAFÉ</t>
        </is>
      </c>
      <c r="E67" s="14" t="n"/>
      <c r="F67" s="15" t="n"/>
      <c r="G67" s="24" t="inlineStr">
        <is>
          <t>NO</t>
        </is>
      </c>
      <c r="H67" s="15" t="inlineStr">
        <is>
          <t>nan</t>
        </is>
      </c>
      <c r="I67" s="15" t="inlineStr">
        <is>
          <t>nan</t>
        </is>
      </c>
      <c r="J67" s="15" t="inlineStr">
        <is>
          <t>ACTIVO</t>
        </is>
      </c>
      <c r="K67" s="15" t="inlineStr">
        <is>
          <t>nan</t>
        </is>
      </c>
      <c r="L67" s="17" t="n">
        <v>0</v>
      </c>
      <c r="M67" s="18">
        <f>IF(E67&gt;0,ROUND(L67/E67*100,1),0)</f>
        <v/>
      </c>
      <c r="N67" s="19" t="inlineStr">
        <is>
          <t>PENDIENTE</t>
        </is>
      </c>
      <c r="O67" s="20">
        <f>IF(H67="SI",1,0)*0.6+IF(I67="SI",1,0)*0.4</f>
        <v/>
      </c>
      <c r="P67" s="19" t="inlineStr">
        <is>
          <t>PENDIENTE</t>
        </is>
      </c>
      <c r="Q67" s="14" t="n"/>
      <c r="R67" s="21" t="n"/>
      <c r="S67" s="22">
        <f>IFERROR(SCORECARDS!C65,"—")</f>
        <v/>
      </c>
      <c r="T67" s="23">
        <f>IF(ISTEXT(S67),S67,IF(S67&lt;34,"🔴 Crítico",IF(S67&lt;67,"🟡 Vulnerable","🟢 Preparado")))</f>
        <v/>
      </c>
      <c r="W67" s="62" t="n">
        <v>0</v>
      </c>
      <c r="X67" s="62" t="n">
        <v>0</v>
      </c>
      <c r="Y67" s="62" t="n">
        <v>0</v>
      </c>
      <c r="Z67" s="62" t="n">
        <v>0</v>
      </c>
      <c r="AA67" s="62" t="n">
        <v>0</v>
      </c>
      <c r="AB67" s="62" t="n">
        <v>0</v>
      </c>
      <c r="AC67" s="62" t="n">
        <v>0</v>
      </c>
      <c r="AD67" s="62" t="n">
        <v>0</v>
      </c>
      <c r="AE67" s="62" t="n">
        <v>0</v>
      </c>
      <c r="AF67" s="62" t="n">
        <v>0</v>
      </c>
      <c r="AG67" s="62" t="n">
        <v>0</v>
      </c>
      <c r="AH67" s="62" t="n">
        <v>0</v>
      </c>
      <c r="AI67" s="62" t="n">
        <v>0</v>
      </c>
      <c r="AJ67" s="62" t="n">
        <v>0</v>
      </c>
      <c r="AK67" s="62" t="n">
        <v>0</v>
      </c>
      <c r="AL67" s="62" t="n">
        <v>0</v>
      </c>
      <c r="AM67" s="62" t="n">
        <v>0</v>
      </c>
      <c r="AN67" s="62" t="n">
        <v>0</v>
      </c>
      <c r="AO67" s="63">
        <f>IFERROR(AVERAGE(AA67,AB67,AC67,AD67,AE67,AF67,AG67,AH67,AI67,AJ67,AK67,AL67,AM67,AN67),"N/A")</f>
        <v/>
      </c>
      <c r="AP67" s="64">
        <f>IFERROR(AVERAGE(W67,X67,Y67,Z67)/2,"N/A")</f>
        <v/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9" t="inlineStr">
        <is>
          <t>AMAZONAS</t>
        </is>
      </c>
      <c r="D68" s="9" t="inlineStr">
        <is>
          <t>CAFÉ</t>
        </is>
      </c>
      <c r="E68" s="14" t="n"/>
      <c r="F68" s="15" t="n"/>
      <c r="G68" s="24" t="inlineStr">
        <is>
          <t>NO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ACTIVO</t>
        </is>
      </c>
      <c r="K68" s="15" t="inlineStr">
        <is>
          <t>nan</t>
        </is>
      </c>
      <c r="L68" s="17" t="n">
        <v>0</v>
      </c>
      <c r="M68" s="18">
        <f>IF(E68&gt;0,ROUND(L68/E68*100,1),0)</f>
        <v/>
      </c>
      <c r="N68" s="19" t="inlineStr">
        <is>
          <t>PENDIENTE</t>
        </is>
      </c>
      <c r="O68" s="20">
        <f>IF(H68="SI",1,0)*0.6+IF(I68="SI",1,0)*0.4</f>
        <v/>
      </c>
      <c r="P68" s="19" t="inlineStr">
        <is>
          <t>PENDIENTE</t>
        </is>
      </c>
      <c r="Q68" s="14" t="n"/>
      <c r="R68" s="21" t="n"/>
      <c r="S68" s="22">
        <f>IFERROR(SCORECARDS!C66,"—")</f>
        <v/>
      </c>
      <c r="T68" s="23">
        <f>IF(ISTEXT(S68),S68,IF(S68&lt;34,"🔴 Crítico",IF(S68&lt;67,"🟡 Vulnerable","🟢 Preparado")))</f>
        <v/>
      </c>
      <c r="W68" s="62" t="n">
        <v>0</v>
      </c>
      <c r="X68" s="62" t="n">
        <v>0</v>
      </c>
      <c r="Y68" s="62" t="n">
        <v>0</v>
      </c>
      <c r="Z68" s="62" t="n">
        <v>0</v>
      </c>
      <c r="AA68" s="62" t="n">
        <v>0</v>
      </c>
      <c r="AB68" s="62" t="n">
        <v>0</v>
      </c>
      <c r="AC68" s="62" t="n">
        <v>0</v>
      </c>
      <c r="AD68" s="62" t="n">
        <v>0</v>
      </c>
      <c r="AE68" s="62" t="n">
        <v>0</v>
      </c>
      <c r="AF68" s="62" t="n">
        <v>0</v>
      </c>
      <c r="AG68" s="62" t="n">
        <v>0</v>
      </c>
      <c r="AH68" s="62" t="n">
        <v>0</v>
      </c>
      <c r="AI68" s="62" t="n">
        <v>0</v>
      </c>
      <c r="AJ68" s="62" t="n">
        <v>0</v>
      </c>
      <c r="AK68" s="62" t="n">
        <v>0</v>
      </c>
      <c r="AL68" s="62" t="n">
        <v>0</v>
      </c>
      <c r="AM68" s="62" t="n">
        <v>0</v>
      </c>
      <c r="AN68" s="62" t="n">
        <v>0</v>
      </c>
      <c r="AO68" s="63">
        <f>IFERROR(AVERAGE(AA68,AB68,AC68,AD68,AE68,AF68,AG68,AH68,AI68,AJ68,AK68,AL68,AM68,AN68),"N/A")</f>
        <v/>
      </c>
      <c r="AP68" s="64">
        <f>IFERROR(AVERAGE(W68,X68,Y68,Z68)/2,"N/A")</f>
        <v/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9" t="inlineStr">
        <is>
          <t>LAMBAYEQUE</t>
        </is>
      </c>
      <c r="D69" s="9" t="inlineStr">
        <is>
          <t>CAFÉ</t>
        </is>
      </c>
      <c r="E69" s="14" t="n"/>
      <c r="F69" s="15" t="n"/>
      <c r="G69" s="24" t="inlineStr">
        <is>
          <t>NO</t>
        </is>
      </c>
      <c r="H69" s="15" t="inlineStr">
        <is>
          <t>nan</t>
        </is>
      </c>
      <c r="I69" s="15" t="inlineStr">
        <is>
          <t>nan</t>
        </is>
      </c>
      <c r="J69" s="15" t="inlineStr">
        <is>
          <t>BAJA DE OFICIO</t>
        </is>
      </c>
      <c r="K69" s="15" t="inlineStr">
        <is>
          <t>nan</t>
        </is>
      </c>
      <c r="L69" s="17" t="n">
        <v>0</v>
      </c>
      <c r="M69" s="18">
        <f>IF(E69&gt;0,ROUND(L69/E69*100,1),0)</f>
        <v/>
      </c>
      <c r="N69" s="19" t="inlineStr">
        <is>
          <t>PENDIENTE</t>
        </is>
      </c>
      <c r="O69" s="20">
        <f>IF(H69="SI",1,0)*0.6+IF(I69="SI",1,0)*0.4</f>
        <v/>
      </c>
      <c r="P69" s="19" t="inlineStr">
        <is>
          <t>PENDIENTE</t>
        </is>
      </c>
      <c r="Q69" s="14" t="n"/>
      <c r="R69" s="21" t="n"/>
      <c r="S69" s="22">
        <f>IFERROR(SCORECARDS!C67,"—")</f>
        <v/>
      </c>
      <c r="T69" s="23">
        <f>IF(ISTEXT(S69),S69,IF(S69&lt;34,"🔴 Crítico",IF(S69&lt;67,"🟡 Vulnerable","🟢 Preparado")))</f>
        <v/>
      </c>
      <c r="W69" s="62" t="n">
        <v>0</v>
      </c>
      <c r="X69" s="62" t="n">
        <v>0</v>
      </c>
      <c r="Y69" s="62" t="n">
        <v>0</v>
      </c>
      <c r="Z69" s="62" t="n">
        <v>0</v>
      </c>
      <c r="AA69" s="62" t="n">
        <v>0</v>
      </c>
      <c r="AB69" s="62" t="n">
        <v>0</v>
      </c>
      <c r="AC69" s="62" t="n">
        <v>0</v>
      </c>
      <c r="AD69" s="62" t="n">
        <v>0</v>
      </c>
      <c r="AE69" s="62" t="n">
        <v>0</v>
      </c>
      <c r="AF69" s="62" t="n">
        <v>0</v>
      </c>
      <c r="AG69" s="62" t="n">
        <v>0</v>
      </c>
      <c r="AH69" s="62" t="n">
        <v>0</v>
      </c>
      <c r="AI69" s="62" t="n">
        <v>0</v>
      </c>
      <c r="AJ69" s="62" t="n">
        <v>0</v>
      </c>
      <c r="AK69" s="62" t="n">
        <v>0</v>
      </c>
      <c r="AL69" s="62" t="n">
        <v>0</v>
      </c>
      <c r="AM69" s="62" t="n">
        <v>0</v>
      </c>
      <c r="AN69" s="62" t="n">
        <v>0</v>
      </c>
      <c r="AO69" s="63">
        <f>IFERROR(AVERAGE(AA69,AB69,AC69,AD69,AE69,AF69,AG69,AH69,AI69,AJ69,AK69,AL69,AM69,AN69),"N/A")</f>
        <v/>
      </c>
      <c r="AP69" s="64">
        <f>IFERROR(AVERAGE(W69,X69,Y69,Z69)/2,"N/A")</f>
        <v/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9" t="inlineStr">
        <is>
          <t>SAN MARTIN</t>
        </is>
      </c>
      <c r="D70" s="9" t="inlineStr">
        <is>
          <t>CAFÉ</t>
        </is>
      </c>
      <c r="E70" s="14" t="n">
        <v>13246408.59</v>
      </c>
      <c r="F70" s="15" t="n">
        <v>46</v>
      </c>
      <c r="G70" s="16" t="inlineStr">
        <is>
          <t>SI</t>
        </is>
      </c>
      <c r="H70" s="15" t="inlineStr">
        <is>
          <t xml:space="preserve">Si </t>
        </is>
      </c>
      <c r="I70" s="15" t="inlineStr">
        <is>
          <t xml:space="preserve">Si </t>
        </is>
      </c>
      <c r="J70" s="15" t="inlineStr">
        <is>
          <t>ACTIVO</t>
        </is>
      </c>
      <c r="K70" s="15" t="inlineStr">
        <is>
          <t>1</t>
        </is>
      </c>
      <c r="L70" s="17" t="n">
        <v>7878141.73</v>
      </c>
      <c r="M70" s="18">
        <f>IF(E70&gt;0,ROUND(L70/E70*100,1),0)</f>
        <v/>
      </c>
      <c r="N70" s="19" t="inlineStr">
        <is>
          <t>PENDIENTE</t>
        </is>
      </c>
      <c r="O70" s="20">
        <f>IF(H70="SI",1,0)*0.6+IF(I70="SI",1,0)*0.4</f>
        <v/>
      </c>
      <c r="P70" s="19" t="inlineStr">
        <is>
          <t>PENDIENTE</t>
        </is>
      </c>
      <c r="Q70" s="14" t="n">
        <v>622</v>
      </c>
      <c r="R70" s="21" t="n">
        <v>4031</v>
      </c>
      <c r="S70" s="22">
        <f>IFERROR(SCORECARDS!C68,"—")</f>
        <v/>
      </c>
      <c r="T70" s="23">
        <f>IF(ISTEXT(S70),S70,IF(S70&lt;34,"🔴 Crítico",IF(S70&lt;67,"🟡 Vulnerable","🟢 Preparado")))</f>
        <v/>
      </c>
      <c r="U70" s="57" t="n">
        <v>1</v>
      </c>
      <c r="V70" t="inlineStr">
        <is>
          <t>Sin hallazgos OSCE / OEFA</t>
        </is>
      </c>
      <c r="W70" s="68" t="n">
        <v>1</v>
      </c>
      <c r="X70" s="62" t="n">
        <v>0</v>
      </c>
      <c r="Y70" s="62" t="n">
        <v>0</v>
      </c>
      <c r="Z70" s="62" t="n">
        <v>0</v>
      </c>
      <c r="AA70" s="62" t="n">
        <v>0</v>
      </c>
      <c r="AB70" s="62" t="n">
        <v>0</v>
      </c>
      <c r="AC70" s="62" t="n">
        <v>0</v>
      </c>
      <c r="AD70" s="62" t="n">
        <v>0</v>
      </c>
      <c r="AE70" s="62" t="n">
        <v>0</v>
      </c>
      <c r="AF70" s="62" t="n">
        <v>0</v>
      </c>
      <c r="AG70" s="62" t="n">
        <v>0</v>
      </c>
      <c r="AH70" s="62" t="n">
        <v>0</v>
      </c>
      <c r="AI70" s="62" t="n">
        <v>0</v>
      </c>
      <c r="AJ70" s="62" t="n">
        <v>0</v>
      </c>
      <c r="AK70" s="62" t="n">
        <v>0</v>
      </c>
      <c r="AL70" s="62" t="n">
        <v>0</v>
      </c>
      <c r="AM70" s="62" t="n">
        <v>0</v>
      </c>
      <c r="AN70" s="62" t="n">
        <v>0</v>
      </c>
      <c r="AO70" s="63">
        <f>IFERROR(AVERAGE(AA70,AB70,AC70,AD70,AE70,AF70,AG70,AH70,AI70,AJ70,AK70,AL70,AM70,AN70),"N/A")</f>
        <v/>
      </c>
      <c r="AP70" s="64">
        <f>IFERROR(AVERAGE(W70,X70,Y70,Z70)/2,"N/A")</f>
        <v/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9" t="inlineStr">
        <is>
          <t>SAN MARTIN</t>
        </is>
      </c>
      <c r="D71" s="9" t="inlineStr">
        <is>
          <t>CACAO</t>
        </is>
      </c>
      <c r="E71" s="14" t="n"/>
      <c r="F71" s="15" t="n"/>
      <c r="G71" s="24" t="inlineStr">
        <is>
          <t>NO</t>
        </is>
      </c>
      <c r="H71" s="15" t="inlineStr">
        <is>
          <t>nan</t>
        </is>
      </c>
      <c r="I71" s="15" t="inlineStr">
        <is>
          <t>nan</t>
        </is>
      </c>
      <c r="J71" s="15" t="inlineStr">
        <is>
          <t>ACTIVO</t>
        </is>
      </c>
      <c r="K71" s="15" t="inlineStr">
        <is>
          <t>nan</t>
        </is>
      </c>
      <c r="L71" s="17" t="n">
        <v>0</v>
      </c>
      <c r="M71" s="18">
        <f>IF(E71&gt;0,ROUND(L71/E71*100,1),0)</f>
        <v/>
      </c>
      <c r="N71" s="19" t="inlineStr">
        <is>
          <t>PENDIENTE</t>
        </is>
      </c>
      <c r="O71" s="20">
        <f>IF(H71="SI",1,0)*0.6+IF(I71="SI",1,0)*0.4</f>
        <v/>
      </c>
      <c r="P71" s="19" t="inlineStr">
        <is>
          <t>PENDIENTE</t>
        </is>
      </c>
      <c r="Q71" s="14" t="n"/>
      <c r="R71" s="21" t="n"/>
      <c r="S71" s="22">
        <f>IFERROR(SCORECARDS!C69,"—")</f>
        <v/>
      </c>
      <c r="T71" s="23">
        <f>IF(ISTEXT(S71),S71,IF(S71&lt;34,"🔴 Crítico",IF(S71&lt;67,"🟡 Vulnerable","🟢 Preparado")))</f>
        <v/>
      </c>
      <c r="W71" s="62" t="n">
        <v>0</v>
      </c>
      <c r="X71" s="62" t="n">
        <v>0</v>
      </c>
      <c r="Y71" s="62" t="n">
        <v>0</v>
      </c>
      <c r="Z71" s="62" t="n">
        <v>0</v>
      </c>
      <c r="AA71" s="62" t="n">
        <v>0</v>
      </c>
      <c r="AB71" s="62" t="n">
        <v>0</v>
      </c>
      <c r="AC71" s="62" t="n">
        <v>0</v>
      </c>
      <c r="AD71" s="62" t="n">
        <v>0</v>
      </c>
      <c r="AE71" s="62" t="n">
        <v>0</v>
      </c>
      <c r="AF71" s="62" t="n">
        <v>0</v>
      </c>
      <c r="AG71" s="62" t="n">
        <v>0</v>
      </c>
      <c r="AH71" s="62" t="n">
        <v>0</v>
      </c>
      <c r="AI71" s="62" t="n">
        <v>0</v>
      </c>
      <c r="AJ71" s="62" t="n">
        <v>0</v>
      </c>
      <c r="AK71" s="62" t="n">
        <v>0</v>
      </c>
      <c r="AL71" s="62" t="n">
        <v>0</v>
      </c>
      <c r="AM71" s="62" t="n">
        <v>0</v>
      </c>
      <c r="AN71" s="62" t="n">
        <v>0</v>
      </c>
      <c r="AO71" s="63">
        <f>IFERROR(AVERAGE(AA71,AB71,AC71,AD71,AE71,AF71,AG71,AH71,AI71,AJ71,AK71,AL71,AM71,AN71),"N/A")</f>
        <v/>
      </c>
      <c r="AP71" s="64">
        <f>IFERROR(AVERAGE(W71,X71,Y71,Z71)/2,"N/A")</f>
        <v/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9" t="inlineStr">
        <is>
          <t>SAN MARTIN</t>
        </is>
      </c>
      <c r="D72" s="9" t="inlineStr">
        <is>
          <t>CACAO</t>
        </is>
      </c>
      <c r="E72" s="14" t="n">
        <v>2826075</v>
      </c>
      <c r="F72" s="15" t="n">
        <v>12</v>
      </c>
      <c r="G72" s="16" t="inlineStr">
        <is>
          <t>SI</t>
        </is>
      </c>
      <c r="H72" s="15" t="inlineStr">
        <is>
          <t>nan</t>
        </is>
      </c>
      <c r="I72" s="15" t="inlineStr">
        <is>
          <t>nan</t>
        </is>
      </c>
      <c r="J72" s="15" t="inlineStr">
        <is>
          <t>ACTIVO</t>
        </is>
      </c>
      <c r="K72" s="15" t="inlineStr">
        <is>
          <t>nan</t>
        </is>
      </c>
      <c r="L72" s="17" t="n">
        <v>1413037.5</v>
      </c>
      <c r="M72" s="18">
        <f>IF(E72&gt;0,ROUND(L72/E72*100,1),0)</f>
        <v/>
      </c>
      <c r="N72" s="19" t="inlineStr">
        <is>
          <t>PENDIENTE</t>
        </is>
      </c>
      <c r="O72" s="20">
        <f>IF(H72="SI",1,0)*0.6+IF(I72="SI",1,0)*0.4</f>
        <v/>
      </c>
      <c r="P72" s="19" t="inlineStr">
        <is>
          <t>PENDIENTE</t>
        </is>
      </c>
      <c r="Q72" s="14" t="n"/>
      <c r="R72" s="21" t="n"/>
      <c r="S72" s="22">
        <f>IFERROR(SCORECARDS!C70,"—")</f>
        <v/>
      </c>
      <c r="T72" s="23">
        <f>IF(ISTEXT(S72),S72,IF(S72&lt;34,"🔴 Crítico",IF(S72&lt;67,"🟡 Vulnerable","🟢 Preparado")))</f>
        <v/>
      </c>
      <c r="U72" s="57" t="n">
        <v>1</v>
      </c>
      <c r="V72" t="inlineStr">
        <is>
          <t>Sin hallazgos OSCE / OEFA</t>
        </is>
      </c>
      <c r="W72" s="68" t="n">
        <v>1</v>
      </c>
      <c r="X72" s="62" t="n">
        <v>0</v>
      </c>
      <c r="Y72" s="62" t="n">
        <v>0</v>
      </c>
      <c r="Z72" s="62" t="n">
        <v>0</v>
      </c>
      <c r="AA72" s="62" t="n">
        <v>0</v>
      </c>
      <c r="AB72" s="62" t="n">
        <v>0</v>
      </c>
      <c r="AC72" s="62" t="n">
        <v>0</v>
      </c>
      <c r="AD72" s="62" t="n">
        <v>0</v>
      </c>
      <c r="AE72" s="62" t="n">
        <v>0</v>
      </c>
      <c r="AF72" s="62" t="n">
        <v>0</v>
      </c>
      <c r="AG72" s="62" t="n">
        <v>0</v>
      </c>
      <c r="AH72" s="62" t="n">
        <v>0</v>
      </c>
      <c r="AI72" s="62" t="n">
        <v>0</v>
      </c>
      <c r="AJ72" s="62" t="n">
        <v>0</v>
      </c>
      <c r="AK72" s="62" t="n">
        <v>0</v>
      </c>
      <c r="AL72" s="62" t="n">
        <v>0</v>
      </c>
      <c r="AM72" s="62" t="n">
        <v>0</v>
      </c>
      <c r="AN72" s="62" t="n">
        <v>0</v>
      </c>
      <c r="AO72" s="63">
        <f>IFERROR(AVERAGE(AA72,AB72,AC72,AD72,AE72,AF72,AG72,AH72,AI72,AJ72,AK72,AL72,AM72,AN72),"N/A")</f>
        <v/>
      </c>
      <c r="AP72" s="64">
        <f>IFERROR(AVERAGE(W72,X72,Y72,Z72)/2,"N/A")</f>
        <v/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9" t="inlineStr">
        <is>
          <t>SAN MARTIN</t>
        </is>
      </c>
      <c r="D73" s="9" t="inlineStr">
        <is>
          <t>CAFÉ</t>
        </is>
      </c>
      <c r="E73" s="14" t="n">
        <v>1187600.46</v>
      </c>
      <c r="F73" s="15" t="n">
        <v>6</v>
      </c>
      <c r="G73" s="16" t="inlineStr">
        <is>
          <t>SI</t>
        </is>
      </c>
      <c r="H73" s="15" t="inlineStr">
        <is>
          <t>PE-</t>
        </is>
      </c>
      <c r="I73" s="15" t="inlineStr">
        <is>
          <t>FLO</t>
        </is>
      </c>
      <c r="J73" s="15" t="inlineStr">
        <is>
          <t>ACTIVO</t>
        </is>
      </c>
      <c r="K73" s="15" t="inlineStr">
        <is>
          <t>1</t>
        </is>
      </c>
      <c r="L73" s="17" t="n">
        <v>1187600.48</v>
      </c>
      <c r="M73" s="18">
        <f>IF(E73&gt;0,ROUND(L73/E73*100,1),0)</f>
        <v/>
      </c>
      <c r="N73" s="19" t="inlineStr">
        <is>
          <t>PENDIENTE</t>
        </is>
      </c>
      <c r="O73" s="20">
        <f>IF(H73="SI",1,0)*0.6+IF(I73="SI",1,0)*0.4</f>
        <v/>
      </c>
      <c r="P73" s="19" t="inlineStr">
        <is>
          <t>PENDIENTE</t>
        </is>
      </c>
      <c r="Q73" s="14" t="n">
        <v>416</v>
      </c>
      <c r="R73" s="21" t="n">
        <v>1248</v>
      </c>
      <c r="S73" s="22">
        <f>IFERROR(SCORECARDS!C71,"—")</f>
        <v/>
      </c>
      <c r="T73" s="23">
        <f>IF(ISTEXT(S73),S73,IF(S73&lt;34,"🔴 Crítico",IF(S73&lt;67,"🟡 Vulnerable","🟢 Preparado")))</f>
        <v/>
      </c>
      <c r="U73" s="57" t="n">
        <v>1</v>
      </c>
      <c r="V73" t="inlineStr">
        <is>
          <t>Sin hallazgos OSCE / OEFA</t>
        </is>
      </c>
      <c r="W73" s="68" t="n">
        <v>1</v>
      </c>
      <c r="X73" s="62" t="n">
        <v>0</v>
      </c>
      <c r="Y73" s="62" t="n">
        <v>0</v>
      </c>
      <c r="Z73" s="62" t="n">
        <v>0</v>
      </c>
      <c r="AA73" s="62" t="n">
        <v>0</v>
      </c>
      <c r="AB73" s="62" t="n">
        <v>0</v>
      </c>
      <c r="AC73" s="62" t="n">
        <v>0</v>
      </c>
      <c r="AD73" s="62" t="n">
        <v>0</v>
      </c>
      <c r="AE73" s="62" t="n">
        <v>0</v>
      </c>
      <c r="AF73" s="62" t="n">
        <v>0</v>
      </c>
      <c r="AG73" s="62" t="n">
        <v>0</v>
      </c>
      <c r="AH73" s="62" t="n">
        <v>0</v>
      </c>
      <c r="AI73" s="62" t="n">
        <v>0</v>
      </c>
      <c r="AJ73" s="62" t="n">
        <v>0</v>
      </c>
      <c r="AK73" s="62" t="n">
        <v>0</v>
      </c>
      <c r="AL73" s="62" t="n">
        <v>0</v>
      </c>
      <c r="AM73" s="62" t="n">
        <v>0</v>
      </c>
      <c r="AN73" s="62" t="n">
        <v>0</v>
      </c>
      <c r="AO73" s="63">
        <f>IFERROR(AVERAGE(AA73,AB73,AC73,AD73,AE73,AF73,AG73,AH73,AI73,AJ73,AK73,AL73,AM73,AN73),"N/A")</f>
        <v/>
      </c>
      <c r="AP73" s="64">
        <f>IFERROR(AVERAGE(W73,X73,Y73,Z73)/2,"N/A")</f>
        <v/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9" t="inlineStr">
        <is>
          <t>SAN MARTIN</t>
        </is>
      </c>
      <c r="D74" s="9" t="inlineStr">
        <is>
          <t>CACAO</t>
        </is>
      </c>
      <c r="E74" s="14" t="n">
        <v>24285431.82</v>
      </c>
      <c r="F74" s="15" t="n">
        <v>111</v>
      </c>
      <c r="G74" s="16" t="inlineStr">
        <is>
          <t>SI</t>
        </is>
      </c>
      <c r="H74" s="15" t="inlineStr">
        <is>
          <t>nan</t>
        </is>
      </c>
      <c r="I74" s="15" t="inlineStr">
        <is>
          <t>nan</t>
        </is>
      </c>
      <c r="J74" s="15" t="inlineStr">
        <is>
          <t>ACTIVO</t>
        </is>
      </c>
      <c r="K74" s="15" t="inlineStr">
        <is>
          <t>nan</t>
        </is>
      </c>
      <c r="L74" s="17" t="n">
        <v>12142715.91</v>
      </c>
      <c r="M74" s="18">
        <f>IF(E74&gt;0,ROUND(L74/E74*100,1),0)</f>
        <v/>
      </c>
      <c r="N74" s="19" t="inlineStr">
        <is>
          <t>PENDIENTE</t>
        </is>
      </c>
      <c r="O74" s="20">
        <f>IF(H74="SI",1,0)*0.6+IF(I74="SI",1,0)*0.4</f>
        <v/>
      </c>
      <c r="P74" s="19" t="inlineStr">
        <is>
          <t>PENDIENTE</t>
        </is>
      </c>
      <c r="Q74" s="14" t="n"/>
      <c r="R74" s="21" t="n"/>
      <c r="S74" s="22">
        <f>IFERROR(SCORECARDS!C72,"—")</f>
        <v/>
      </c>
      <c r="T74" s="23">
        <f>IF(ISTEXT(S74),S74,IF(S74&lt;34,"🔴 Crítico",IF(S74&lt;67,"🟡 Vulnerable","🟢 Preparado")))</f>
        <v/>
      </c>
      <c r="U74" s="57" t="n">
        <v>1</v>
      </c>
      <c r="V74" t="inlineStr">
        <is>
          <t>Sin hallazgos OSCE / OEFA</t>
        </is>
      </c>
      <c r="W74" s="68" t="n">
        <v>1</v>
      </c>
      <c r="X74" s="62" t="n">
        <v>0</v>
      </c>
      <c r="Y74" s="62" t="n">
        <v>0</v>
      </c>
      <c r="Z74" s="62" t="n">
        <v>0</v>
      </c>
      <c r="AA74" s="62" t="n">
        <v>0</v>
      </c>
      <c r="AB74" s="62" t="n">
        <v>0</v>
      </c>
      <c r="AC74" s="62" t="n">
        <v>0</v>
      </c>
      <c r="AD74" s="62" t="n">
        <v>0</v>
      </c>
      <c r="AE74" s="62" t="n">
        <v>0</v>
      </c>
      <c r="AF74" s="62" t="n">
        <v>0</v>
      </c>
      <c r="AG74" s="62" t="n">
        <v>0</v>
      </c>
      <c r="AH74" s="62" t="n">
        <v>0</v>
      </c>
      <c r="AI74" s="62" t="n">
        <v>0</v>
      </c>
      <c r="AJ74" s="62" t="n">
        <v>0</v>
      </c>
      <c r="AK74" s="62" t="n">
        <v>0</v>
      </c>
      <c r="AL74" s="62" t="n">
        <v>0</v>
      </c>
      <c r="AM74" s="62" t="n">
        <v>0</v>
      </c>
      <c r="AN74" s="62" t="n">
        <v>0</v>
      </c>
      <c r="AO74" s="63">
        <f>IFERROR(AVERAGE(AA74,AB74,AC74,AD74,AE74,AF74,AG74,AH74,AI74,AJ74,AK74,AL74,AM74,AN74),"N/A")</f>
        <v/>
      </c>
      <c r="AP74" s="64">
        <f>IFERROR(AVERAGE(W74,X74,Y74,Z74)/2,"N/A")</f>
        <v/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9" t="inlineStr">
        <is>
          <t>LORETO</t>
        </is>
      </c>
      <c r="D75" s="9" t="inlineStr">
        <is>
          <t>CACAO</t>
        </is>
      </c>
      <c r="E75" s="14" t="n"/>
      <c r="F75" s="15" t="n"/>
      <c r="G75" s="24" t="inlineStr">
        <is>
          <t>NO</t>
        </is>
      </c>
      <c r="H75" s="15" t="inlineStr">
        <is>
          <t>nan</t>
        </is>
      </c>
      <c r="I75" s="15" t="inlineStr">
        <is>
          <t>nan</t>
        </is>
      </c>
      <c r="J75" s="15" t="inlineStr">
        <is>
          <t>ACTIVO</t>
        </is>
      </c>
      <c r="K75" s="15" t="inlineStr">
        <is>
          <t>nan</t>
        </is>
      </c>
      <c r="L75" s="17" t="n">
        <v>0</v>
      </c>
      <c r="M75" s="18">
        <f>IF(E75&gt;0,ROUND(L75/E75*100,1),0)</f>
        <v/>
      </c>
      <c r="N75" s="19" t="inlineStr">
        <is>
          <t>PENDIENTE</t>
        </is>
      </c>
      <c r="O75" s="20">
        <f>IF(H75="SI",1,0)*0.6+IF(I75="SI",1,0)*0.4</f>
        <v/>
      </c>
      <c r="P75" s="19" t="inlineStr">
        <is>
          <t>PENDIENTE</t>
        </is>
      </c>
      <c r="Q75" s="14" t="n"/>
      <c r="R75" s="21" t="n"/>
      <c r="S75" s="22">
        <f>IFERROR(SCORECARDS!C73,"—")</f>
        <v/>
      </c>
      <c r="T75" s="23">
        <f>IF(ISTEXT(S75),S75,IF(S75&lt;34,"🔴 Crítico",IF(S75&lt;67,"🟡 Vulnerable","🟢 Preparado")))</f>
        <v/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0</v>
      </c>
      <c r="AB75" s="62" t="n">
        <v>0</v>
      </c>
      <c r="AC75" s="62" t="n">
        <v>0</v>
      </c>
      <c r="AD75" s="62" t="n">
        <v>0</v>
      </c>
      <c r="AE75" s="62" t="n">
        <v>0</v>
      </c>
      <c r="AF75" s="62" t="n">
        <v>0</v>
      </c>
      <c r="AG75" s="62" t="n">
        <v>0</v>
      </c>
      <c r="AH75" s="62" t="n">
        <v>0</v>
      </c>
      <c r="AI75" s="62" t="n">
        <v>0</v>
      </c>
      <c r="AJ75" s="62" t="n">
        <v>0</v>
      </c>
      <c r="AK75" s="62" t="n">
        <v>0</v>
      </c>
      <c r="AL75" s="62" t="n">
        <v>0</v>
      </c>
      <c r="AM75" s="62" t="n">
        <v>0</v>
      </c>
      <c r="AN75" s="62" t="n">
        <v>0</v>
      </c>
      <c r="AO75" s="63">
        <f>IFERROR(AVERAGE(AA75,AB75,AC75,AD75,AE75,AF75,AG75,AH75,AI75,AJ75,AK75,AL75,AM75,AN75),"N/A")</f>
        <v/>
      </c>
      <c r="AP75" s="64">
        <f>IFERROR(AVERAGE(W75,X75,Y75,Z75)/2,"N/A")</f>
        <v/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9" t="inlineStr">
        <is>
          <t>LORETO</t>
        </is>
      </c>
      <c r="D76" s="9" t="inlineStr">
        <is>
          <t>CACAO</t>
        </is>
      </c>
      <c r="E76" s="14" t="n"/>
      <c r="F76" s="15" t="n"/>
      <c r="G76" s="24" t="inlineStr">
        <is>
          <t>NO</t>
        </is>
      </c>
      <c r="H76" s="15" t="inlineStr">
        <is>
          <t>nan</t>
        </is>
      </c>
      <c r="I76" s="15" t="inlineStr">
        <is>
          <t>nan</t>
        </is>
      </c>
      <c r="J76" s="15" t="inlineStr">
        <is>
          <t>ACTIVO</t>
        </is>
      </c>
      <c r="K76" s="15" t="inlineStr">
        <is>
          <t>nan</t>
        </is>
      </c>
      <c r="L76" s="17" t="n">
        <v>0</v>
      </c>
      <c r="M76" s="18">
        <f>IF(E76&gt;0,ROUND(L76/E76*100,1),0)</f>
        <v/>
      </c>
      <c r="N76" s="19" t="inlineStr">
        <is>
          <t>PENDIENTE</t>
        </is>
      </c>
      <c r="O76" s="20">
        <f>IF(H76="SI",1,0)*0.6+IF(I76="SI",1,0)*0.4</f>
        <v/>
      </c>
      <c r="P76" s="19" t="inlineStr">
        <is>
          <t>PENDIENTE</t>
        </is>
      </c>
      <c r="Q76" s="14" t="n"/>
      <c r="R76" s="21" t="n"/>
      <c r="S76" s="22">
        <f>IFERROR(SCORECARDS!C74,"—")</f>
        <v/>
      </c>
      <c r="T76" s="23">
        <f>IF(ISTEXT(S76),S76,IF(S76&lt;34,"🔴 Crítico",IF(S76&lt;67,"🟡 Vulnerable","🟢 Preparado")))</f>
        <v/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0</v>
      </c>
      <c r="AB76" s="62" t="n">
        <v>0</v>
      </c>
      <c r="AC76" s="62" t="n">
        <v>0</v>
      </c>
      <c r="AD76" s="62" t="n">
        <v>0</v>
      </c>
      <c r="AE76" s="62" t="n">
        <v>0</v>
      </c>
      <c r="AF76" s="62" t="n">
        <v>0</v>
      </c>
      <c r="AG76" s="62" t="n">
        <v>0</v>
      </c>
      <c r="AH76" s="62" t="n">
        <v>0</v>
      </c>
      <c r="AI76" s="62" t="n">
        <v>0</v>
      </c>
      <c r="AJ76" s="62" t="n">
        <v>0</v>
      </c>
      <c r="AK76" s="62" t="n">
        <v>0</v>
      </c>
      <c r="AL76" s="62" t="n">
        <v>0</v>
      </c>
      <c r="AM76" s="62" t="n">
        <v>0</v>
      </c>
      <c r="AN76" s="62" t="n">
        <v>0</v>
      </c>
      <c r="AO76" s="63">
        <f>IFERROR(AVERAGE(AA76,AB76,AC76,AD76,AE76,AF76,AG76,AH76,AI76,AJ76,AK76,AL76,AM76,AN76),"N/A")</f>
        <v/>
      </c>
      <c r="AP76" s="64">
        <f>IFERROR(AVERAGE(W76,X76,Y76,Z76)/2,"N/A")</f>
        <v/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9" t="inlineStr">
        <is>
          <t>CAJAMARCA</t>
        </is>
      </c>
      <c r="D77" s="9" t="inlineStr">
        <is>
          <t>CAFÉ</t>
        </is>
      </c>
      <c r="E77" s="14" t="n">
        <v>16891006.49</v>
      </c>
      <c r="F77" s="15" t="n">
        <v>81</v>
      </c>
      <c r="G77" s="16" t="inlineStr">
        <is>
          <t>SI</t>
        </is>
      </c>
      <c r="H77" s="15" t="inlineStr">
        <is>
          <t>nan</t>
        </is>
      </c>
      <c r="I77" s="15" t="inlineStr">
        <is>
          <t>nan</t>
        </is>
      </c>
      <c r="J77" s="15" t="inlineStr">
        <is>
          <t>ACTIVO</t>
        </is>
      </c>
      <c r="K77" s="15" t="inlineStr">
        <is>
          <t>nan</t>
        </is>
      </c>
      <c r="L77" s="17" t="n">
        <v>8445503.24</v>
      </c>
      <c r="M77" s="18">
        <f>IF(E77&gt;0,ROUND(L77/E77*100,1),0)</f>
        <v/>
      </c>
      <c r="N77" s="19" t="inlineStr">
        <is>
          <t>PENDIENTE</t>
        </is>
      </c>
      <c r="O77" s="20">
        <f>IF(H77="SI",1,0)*0.6+IF(I77="SI",1,0)*0.4</f>
        <v/>
      </c>
      <c r="P77" s="19" t="inlineStr">
        <is>
          <t>PENDIENTE</t>
        </is>
      </c>
      <c r="Q77" s="14" t="n"/>
      <c r="R77" s="21" t="n"/>
      <c r="S77" s="22">
        <f>IFERROR(SCORECARDS!C75,"—")</f>
        <v/>
      </c>
      <c r="T77" s="23">
        <f>IF(ISTEXT(S77),S77,IF(S77&lt;34,"🔴 Crítico",IF(S77&lt;67,"🟡 Vulnerable","🟢 Preparado")))</f>
        <v/>
      </c>
      <c r="U77" s="57" t="n">
        <v>1</v>
      </c>
      <c r="V77" t="inlineStr">
        <is>
          <t>Sin hallazgos OSCE / OEFA</t>
        </is>
      </c>
      <c r="W77" s="68" t="n">
        <v>1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62" t="n">
        <v>0</v>
      </c>
      <c r="AG77" s="62" t="n">
        <v>0</v>
      </c>
      <c r="AH77" s="62" t="n">
        <v>0</v>
      </c>
      <c r="AI77" s="62" t="n">
        <v>0</v>
      </c>
      <c r="AJ77" s="62" t="n">
        <v>0</v>
      </c>
      <c r="AK77" s="62" t="n">
        <v>0</v>
      </c>
      <c r="AL77" s="62" t="n">
        <v>0</v>
      </c>
      <c r="AM77" s="62" t="n">
        <v>0</v>
      </c>
      <c r="AN77" s="62" t="n">
        <v>0</v>
      </c>
      <c r="AO77" s="63">
        <f>IFERROR(AVERAGE(AA77,AB77,AC77,AD77,AE77,AF77,AG77,AH77,AI77,AJ77,AK77,AL77,AM77,AN77),"N/A")</f>
        <v/>
      </c>
      <c r="AP77" s="64">
        <f>IFERROR(AVERAGE(W77,X77,Y77,Z77)/2,"N/A")</f>
        <v/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9" t="inlineStr">
        <is>
          <t>HUANUCO</t>
        </is>
      </c>
      <c r="D78" s="9" t="inlineStr">
        <is>
          <t>CACAO</t>
        </is>
      </c>
      <c r="E78" s="14" t="n"/>
      <c r="F78" s="15" t="n"/>
      <c r="G78" s="24" t="inlineStr">
        <is>
          <t>NO</t>
        </is>
      </c>
      <c r="H78" s="15" t="inlineStr">
        <is>
          <t>nan</t>
        </is>
      </c>
      <c r="I78" s="15" t="inlineStr">
        <is>
          <t>nan</t>
        </is>
      </c>
      <c r="J78" s="15" t="inlineStr">
        <is>
          <t>SUSPENSION TEMPORAL</t>
        </is>
      </c>
      <c r="K78" s="15" t="inlineStr">
        <is>
          <t>nan</t>
        </is>
      </c>
      <c r="L78" s="17" t="n">
        <v>0</v>
      </c>
      <c r="M78" s="18">
        <f>IF(E78&gt;0,ROUND(L78/E78*100,1),0)</f>
        <v/>
      </c>
      <c r="N78" s="19" t="inlineStr">
        <is>
          <t>PENDIENTE</t>
        </is>
      </c>
      <c r="O78" s="20">
        <f>IF(H78="SI",1,0)*0.6+IF(I78="SI",1,0)*0.4</f>
        <v/>
      </c>
      <c r="P78" s="19" t="inlineStr">
        <is>
          <t>PENDIENTE</t>
        </is>
      </c>
      <c r="Q78" s="14" t="n"/>
      <c r="R78" s="21" t="n"/>
      <c r="S78" s="22">
        <f>IFERROR(SCORECARDS!C76,"—")</f>
        <v/>
      </c>
      <c r="T78" s="23">
        <f>IF(ISTEXT(S78),S78,IF(S78&lt;34,"🔴 Crítico",IF(S78&lt;67,"🟡 Vulnerable","🟢 Preparado")))</f>
        <v/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62" t="n">
        <v>0</v>
      </c>
      <c r="AG78" s="62" t="n">
        <v>0</v>
      </c>
      <c r="AH78" s="62" t="n">
        <v>0</v>
      </c>
      <c r="AI78" s="62" t="n">
        <v>0</v>
      </c>
      <c r="AJ78" s="62" t="n">
        <v>0</v>
      </c>
      <c r="AK78" s="62" t="n">
        <v>0</v>
      </c>
      <c r="AL78" s="62" t="n">
        <v>0</v>
      </c>
      <c r="AM78" s="62" t="n">
        <v>0</v>
      </c>
      <c r="AN78" s="62" t="n">
        <v>0</v>
      </c>
      <c r="AO78" s="63">
        <f>IFERROR(AVERAGE(AA78,AB78,AC78,AD78,AE78,AF78,AG78,AH78,AI78,AJ78,AK78,AL78,AM78,AN78),"N/A")</f>
        <v/>
      </c>
      <c r="AP78" s="64">
        <f>IFERROR(AVERAGE(W78,X78,Y78,Z78)/2,"N/A")</f>
        <v/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9" t="inlineStr">
        <is>
          <t>MADRE DE DIOS</t>
        </is>
      </c>
      <c r="D79" s="9" t="inlineStr">
        <is>
          <t>CACAO</t>
        </is>
      </c>
      <c r="E79" s="14" t="n">
        <v>0</v>
      </c>
      <c r="F79" s="15" t="n"/>
      <c r="G79" s="24" t="inlineStr">
        <is>
          <t>NO</t>
        </is>
      </c>
      <c r="H79" s="15" t="inlineStr">
        <is>
          <t>nan</t>
        </is>
      </c>
      <c r="I79" s="15" t="inlineStr">
        <is>
          <t>nan</t>
        </is>
      </c>
      <c r="J79" s="15" t="inlineStr">
        <is>
          <t>ACTIVO</t>
        </is>
      </c>
      <c r="K79" s="15" t="inlineStr">
        <is>
          <t>nan</t>
        </is>
      </c>
      <c r="L79" s="17" t="n">
        <v>0</v>
      </c>
      <c r="M79" s="18">
        <f>IF(E79&gt;0,ROUND(L79/E79*100,1),0)</f>
        <v/>
      </c>
      <c r="N79" s="19" t="inlineStr">
        <is>
          <t>PENDIENTE</t>
        </is>
      </c>
      <c r="O79" s="20">
        <f>IF(H79="SI",1,0)*0.6+IF(I79="SI",1,0)*0.4</f>
        <v/>
      </c>
      <c r="P79" s="19" t="inlineStr">
        <is>
          <t>PENDIENTE</t>
        </is>
      </c>
      <c r="Q79" s="14" t="n"/>
      <c r="R79" s="21" t="n"/>
      <c r="S79" s="22">
        <f>IFERROR(SCORECARDS!C77,"—")</f>
        <v/>
      </c>
      <c r="T79" s="23">
        <f>IF(ISTEXT(S79),S79,IF(S79&lt;34,"🔴 Crítico",IF(S79&lt;67,"🟡 Vulnerable","🟢 Preparado")))</f>
        <v/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62" t="n">
        <v>0</v>
      </c>
      <c r="AG79" s="62" t="n">
        <v>0</v>
      </c>
      <c r="AH79" s="62" t="n">
        <v>0</v>
      </c>
      <c r="AI79" s="62" t="n">
        <v>0</v>
      </c>
      <c r="AJ79" s="62" t="n">
        <v>0</v>
      </c>
      <c r="AK79" s="62" t="n">
        <v>0</v>
      </c>
      <c r="AL79" s="62" t="n">
        <v>0</v>
      </c>
      <c r="AM79" s="62" t="n">
        <v>0</v>
      </c>
      <c r="AN79" s="62" t="n">
        <v>0</v>
      </c>
      <c r="AO79" s="63">
        <f>IFERROR(AVERAGE(AA79,AB79,AC79,AD79,AE79,AF79,AG79,AH79,AI79,AJ79,AK79,AL79,AM79,AN79),"N/A")</f>
        <v/>
      </c>
      <c r="AP79" s="64">
        <f>IFERROR(AVERAGE(W79,X79,Y79,Z79)/2,"N/A")</f>
        <v/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9" t="inlineStr">
        <is>
          <t>AMAZONAS</t>
        </is>
      </c>
      <c r="D80" s="9" t="inlineStr">
        <is>
          <t>CAFÉ</t>
        </is>
      </c>
      <c r="E80" s="14" t="n">
        <v>0</v>
      </c>
      <c r="F80" s="15" t="n"/>
      <c r="G80" s="24" t="inlineStr">
        <is>
          <t>NO</t>
        </is>
      </c>
      <c r="H80" s="15" t="inlineStr">
        <is>
          <t>SI(</t>
        </is>
      </c>
      <c r="I80" s="15" t="inlineStr">
        <is>
          <t>NO</t>
        </is>
      </c>
      <c r="J80" s="15" t="inlineStr">
        <is>
          <t>SUSPENSION TEMPORAL</t>
        </is>
      </c>
      <c r="K80" s="15" t="inlineStr">
        <is>
          <t>0.5</t>
        </is>
      </c>
      <c r="L80" s="17" t="n">
        <v>0</v>
      </c>
      <c r="M80" s="18">
        <f>IF(E80&gt;0,ROUND(L80/E80*100,1),0)</f>
        <v/>
      </c>
      <c r="N80" s="19" t="inlineStr">
        <is>
          <t>PENDIENTE</t>
        </is>
      </c>
      <c r="O80" s="20">
        <f>IF(H80="SI",1,0)*0.6+IF(I80="SI",1,0)*0.4</f>
        <v/>
      </c>
      <c r="P80" s="19" t="inlineStr">
        <is>
          <t>PENDIENTE</t>
        </is>
      </c>
      <c r="Q80" s="14" t="n">
        <v>351</v>
      </c>
      <c r="R80" s="21" t="n">
        <v>1045.6</v>
      </c>
      <c r="S80" s="22">
        <f>IFERROR(SCORECARDS!C78,"—")</f>
        <v/>
      </c>
      <c r="T80" s="23">
        <f>IF(ISTEXT(S80),S80,IF(S80&lt;34,"🔴 Crítico",IF(S80&lt;67,"🟡 Vulnerable","🟢 Preparado")))</f>
        <v/>
      </c>
      <c r="W80" s="68" t="n">
        <v>1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62" t="n">
        <v>0</v>
      </c>
      <c r="AG80" s="62" t="n">
        <v>0</v>
      </c>
      <c r="AH80" s="62" t="n">
        <v>0</v>
      </c>
      <c r="AI80" s="62" t="n">
        <v>0</v>
      </c>
      <c r="AJ80" s="62" t="n">
        <v>0</v>
      </c>
      <c r="AK80" s="62" t="n">
        <v>0</v>
      </c>
      <c r="AL80" s="62" t="n">
        <v>0</v>
      </c>
      <c r="AM80" s="62" t="n">
        <v>0</v>
      </c>
      <c r="AN80" s="62" t="n">
        <v>0</v>
      </c>
      <c r="AO80" s="63">
        <f>IFERROR(AVERAGE(AA80,AB80,AC80,AD80,AE80,AF80,AG80,AH80,AI80,AJ80,AK80,AL80,AM80,AN80),"N/A")</f>
        <v/>
      </c>
      <c r="AP80" s="64">
        <f>IFERROR(AVERAGE(W80,X80,Y80,Z80)/2,"N/A")</f>
        <v/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9" t="inlineStr">
        <is>
          <t>CUSCO</t>
        </is>
      </c>
      <c r="D81" s="9" t="inlineStr">
        <is>
          <t>CACAO</t>
        </is>
      </c>
      <c r="E81" s="14" t="n">
        <v>0</v>
      </c>
      <c r="F81" s="15" t="n"/>
      <c r="G81" s="24" t="inlineStr">
        <is>
          <t>NO</t>
        </is>
      </c>
      <c r="H81" s="15" t="inlineStr">
        <is>
          <t>nan</t>
        </is>
      </c>
      <c r="I81" s="15" t="inlineStr">
        <is>
          <t>nan</t>
        </is>
      </c>
      <c r="J81" s="15" t="inlineStr">
        <is>
          <t>ACTIVO</t>
        </is>
      </c>
      <c r="K81" s="15" t="inlineStr">
        <is>
          <t>nan</t>
        </is>
      </c>
      <c r="L81" s="17" t="n">
        <v>0</v>
      </c>
      <c r="M81" s="18">
        <f>IF(E81&gt;0,ROUND(L81/E81*100,1),0)</f>
        <v/>
      </c>
      <c r="N81" s="19" t="inlineStr">
        <is>
          <t>PENDIENTE</t>
        </is>
      </c>
      <c r="O81" s="20">
        <f>IF(H81="SI",1,0)*0.6+IF(I81="SI",1,0)*0.4</f>
        <v/>
      </c>
      <c r="P81" s="19" t="inlineStr">
        <is>
          <t>PENDIENTE</t>
        </is>
      </c>
      <c r="Q81" s="14" t="n"/>
      <c r="R81" s="21" t="n"/>
      <c r="S81" s="22">
        <f>IFERROR(SCORECARDS!C79,"—")</f>
        <v/>
      </c>
      <c r="T81" s="23">
        <f>IF(ISTEXT(S81),S81,IF(S81&lt;34,"🔴 Crítico",IF(S81&lt;67,"🟡 Vulnerable","🟢 Preparado")))</f>
        <v/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62" t="n">
        <v>0</v>
      </c>
      <c r="AG81" s="62" t="n">
        <v>0</v>
      </c>
      <c r="AH81" s="62" t="n">
        <v>0</v>
      </c>
      <c r="AI81" s="62" t="n">
        <v>0</v>
      </c>
      <c r="AJ81" s="62" t="n">
        <v>0</v>
      </c>
      <c r="AK81" s="62" t="n">
        <v>0</v>
      </c>
      <c r="AL81" s="62" t="n">
        <v>0</v>
      </c>
      <c r="AM81" s="62" t="n">
        <v>0</v>
      </c>
      <c r="AN81" s="62" t="n">
        <v>0</v>
      </c>
      <c r="AO81" s="63">
        <f>IFERROR(AVERAGE(AA81,AB81,AC81,AD81,AE81,AF81,AG81,AH81,AI81,AJ81,AK81,AL81,AM81,AN81),"N/A")</f>
        <v/>
      </c>
      <c r="AP81" s="64">
        <f>IFERROR(AVERAGE(W81,X81,Y81,Z81)/2,"N/A")</f>
        <v/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9" t="inlineStr">
        <is>
          <t>PASCO</t>
        </is>
      </c>
      <c r="D82" s="9" t="inlineStr">
        <is>
          <t>CAFÉ</t>
        </is>
      </c>
      <c r="E82" s="14" t="n">
        <v>1435723.71</v>
      </c>
      <c r="F82" s="15" t="n">
        <v>10</v>
      </c>
      <c r="G82" s="16" t="inlineStr">
        <is>
          <t>SI</t>
        </is>
      </c>
      <c r="H82" s="15" t="inlineStr">
        <is>
          <t>nan</t>
        </is>
      </c>
      <c r="I82" s="15" t="inlineStr">
        <is>
          <t>nan</t>
        </is>
      </c>
      <c r="J82" s="15" t="inlineStr">
        <is>
          <t>ACTIVO</t>
        </is>
      </c>
      <c r="K82" s="15" t="inlineStr">
        <is>
          <t>nan</t>
        </is>
      </c>
      <c r="L82" s="17" t="n">
        <v>717861.85</v>
      </c>
      <c r="M82" s="18">
        <f>IF(E82&gt;0,ROUND(L82/E82*100,1),0)</f>
        <v/>
      </c>
      <c r="N82" s="19" t="inlineStr">
        <is>
          <t>PENDIENTE</t>
        </is>
      </c>
      <c r="O82" s="20">
        <f>IF(H82="SI",1,0)*0.6+IF(I82="SI",1,0)*0.4</f>
        <v/>
      </c>
      <c r="P82" s="19" t="inlineStr">
        <is>
          <t>PENDIENTE</t>
        </is>
      </c>
      <c r="Q82" s="14" t="n"/>
      <c r="R82" s="21" t="n"/>
      <c r="S82" s="22">
        <f>IFERROR(SCORECARDS!C80,"—")</f>
        <v/>
      </c>
      <c r="T82" s="23">
        <f>IF(ISTEXT(S82),S82,IF(S82&lt;34,"🔴 Crítico",IF(S82&lt;67,"🟡 Vulnerable","🟢 Preparado")))</f>
        <v/>
      </c>
      <c r="U82" s="57" t="n">
        <v>1</v>
      </c>
      <c r="V82" t="inlineStr">
        <is>
          <t>Sin hallazgos OSCE / OEFA</t>
        </is>
      </c>
      <c r="W82" s="68" t="n">
        <v>1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62" t="n">
        <v>0</v>
      </c>
      <c r="AG82" s="62" t="n">
        <v>0</v>
      </c>
      <c r="AH82" s="62" t="n">
        <v>0</v>
      </c>
      <c r="AI82" s="62" t="n">
        <v>0</v>
      </c>
      <c r="AJ82" s="62" t="n">
        <v>0</v>
      </c>
      <c r="AK82" s="62" t="n">
        <v>0</v>
      </c>
      <c r="AL82" s="62" t="n">
        <v>0</v>
      </c>
      <c r="AM82" s="62" t="n">
        <v>0</v>
      </c>
      <c r="AN82" s="62" t="n">
        <v>0</v>
      </c>
      <c r="AO82" s="63">
        <f>IFERROR(AVERAGE(AA82,AB82,AC82,AD82,AE82,AF82,AG82,AH82,AI82,AJ82,AK82,AL82,AM82,AN82),"N/A")</f>
        <v/>
      </c>
      <c r="AP82" s="64">
        <f>IFERROR(AVERAGE(W82,X82,Y82,Z82)/2,"N/A")</f>
        <v/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9" t="inlineStr">
        <is>
          <t>PASCO</t>
        </is>
      </c>
      <c r="D83" s="9" t="inlineStr">
        <is>
          <t>CAFÉ</t>
        </is>
      </c>
      <c r="E83" s="14" t="n"/>
      <c r="F83" s="15" t="n"/>
      <c r="G83" s="24" t="inlineStr">
        <is>
          <t>NO</t>
        </is>
      </c>
      <c r="H83" s="15" t="inlineStr">
        <is>
          <t>nan</t>
        </is>
      </c>
      <c r="I83" s="15" t="inlineStr">
        <is>
          <t>nan</t>
        </is>
      </c>
      <c r="J83" s="15" t="inlineStr">
        <is>
          <t>ACTIVO</t>
        </is>
      </c>
      <c r="K83" s="15" t="inlineStr">
        <is>
          <t>nan</t>
        </is>
      </c>
      <c r="L83" s="17" t="n">
        <v>0</v>
      </c>
      <c r="M83" s="18">
        <f>IF(E83&gt;0,ROUND(L83/E83*100,1),0)</f>
        <v/>
      </c>
      <c r="N83" s="19" t="inlineStr">
        <is>
          <t>PENDIENTE</t>
        </is>
      </c>
      <c r="O83" s="20">
        <f>IF(H83="SI",1,0)*0.6+IF(I83="SI",1,0)*0.4</f>
        <v/>
      </c>
      <c r="P83" s="19" t="inlineStr">
        <is>
          <t>PENDIENTE</t>
        </is>
      </c>
      <c r="Q83" s="14" t="n"/>
      <c r="R83" s="21" t="n"/>
      <c r="S83" s="22">
        <f>IFERROR(SCORECARDS!C81,"—")</f>
        <v/>
      </c>
      <c r="T83" s="23">
        <f>IF(ISTEXT(S83),S83,IF(S83&lt;34,"🔴 Crítico",IF(S83&lt;67,"🟡 Vulnerable","🟢 Preparado")))</f>
        <v/>
      </c>
      <c r="W83" s="62" t="n">
        <v>0</v>
      </c>
      <c r="X83" s="62" t="n">
        <v>0</v>
      </c>
      <c r="Y83" s="62" t="n">
        <v>0</v>
      </c>
      <c r="Z83" s="62" t="n">
        <v>0</v>
      </c>
      <c r="AA83" s="62" t="n">
        <v>0</v>
      </c>
      <c r="AB83" s="62" t="n">
        <v>0</v>
      </c>
      <c r="AC83" s="62" t="n">
        <v>0</v>
      </c>
      <c r="AD83" s="62" t="n">
        <v>0</v>
      </c>
      <c r="AE83" s="62" t="n">
        <v>0</v>
      </c>
      <c r="AF83" s="62" t="n">
        <v>0</v>
      </c>
      <c r="AG83" s="62" t="n">
        <v>0</v>
      </c>
      <c r="AH83" s="62" t="n">
        <v>0</v>
      </c>
      <c r="AI83" s="62" t="n">
        <v>0</v>
      </c>
      <c r="AJ83" s="62" t="n">
        <v>0</v>
      </c>
      <c r="AK83" s="62" t="n">
        <v>0</v>
      </c>
      <c r="AL83" s="62" t="n">
        <v>0</v>
      </c>
      <c r="AM83" s="62" t="n">
        <v>0</v>
      </c>
      <c r="AN83" s="62" t="n">
        <v>0</v>
      </c>
      <c r="AO83" s="63">
        <f>IFERROR(AVERAGE(AA83,AB83,AC83,AD83,AE83,AF83,AG83,AH83,AI83,AJ83,AK83,AL83,AM83,AN83),"N/A")</f>
        <v/>
      </c>
      <c r="AP83" s="64">
        <f>IFERROR(AVERAGE(W83,X83,Y83,Z83)/2,"N/A")</f>
        <v/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9" t="inlineStr">
        <is>
          <t>JUNIN</t>
        </is>
      </c>
      <c r="D84" s="9" t="inlineStr">
        <is>
          <t>CACAO</t>
        </is>
      </c>
      <c r="E84" s="14" t="n">
        <v>113466.98</v>
      </c>
      <c r="F84" s="15" t="n">
        <v>10</v>
      </c>
      <c r="G84" s="16" t="inlineStr">
        <is>
          <t>SI</t>
        </is>
      </c>
      <c r="H84" s="15" t="inlineStr">
        <is>
          <t>nan</t>
        </is>
      </c>
      <c r="I84" s="15" t="inlineStr">
        <is>
          <t>nan</t>
        </is>
      </c>
      <c r="J84" s="15" t="inlineStr">
        <is>
          <t>ACTIVO</t>
        </is>
      </c>
      <c r="K84" s="15" t="inlineStr">
        <is>
          <t>nan</t>
        </is>
      </c>
      <c r="L84" s="17" t="n">
        <v>0</v>
      </c>
      <c r="M84" s="18">
        <f>IF(E84&gt;0,ROUND(L84/E84*100,1),0)</f>
        <v/>
      </c>
      <c r="N84" s="19" t="inlineStr">
        <is>
          <t>PENDIENTE</t>
        </is>
      </c>
      <c r="O84" s="20">
        <f>IF(H84="SI",1,0)*0.6+IF(I84="SI",1,0)*0.4</f>
        <v/>
      </c>
      <c r="P84" s="19" t="inlineStr">
        <is>
          <t>PENDIENTE</t>
        </is>
      </c>
      <c r="Q84" s="14" t="n"/>
      <c r="R84" s="21" t="n"/>
      <c r="S84" s="22">
        <f>IFERROR(SCORECARDS!C82,"—")</f>
        <v/>
      </c>
      <c r="T84" s="23">
        <f>IF(ISTEXT(S84),S84,IF(S84&lt;34,"🔴 Crítico",IF(S84&lt;67,"🟡 Vulnerable","🟢 Preparado")))</f>
        <v/>
      </c>
      <c r="W84" s="62" t="n">
        <v>0</v>
      </c>
      <c r="X84" s="62" t="n">
        <v>0</v>
      </c>
      <c r="Y84" s="62" t="n">
        <v>0</v>
      </c>
      <c r="Z84" s="62" t="n">
        <v>0</v>
      </c>
      <c r="AA84" s="62" t="n">
        <v>0</v>
      </c>
      <c r="AB84" s="62" t="n">
        <v>0</v>
      </c>
      <c r="AC84" s="62" t="n">
        <v>0</v>
      </c>
      <c r="AD84" s="62" t="n">
        <v>0</v>
      </c>
      <c r="AE84" s="62" t="n">
        <v>0</v>
      </c>
      <c r="AF84" s="62" t="n">
        <v>0</v>
      </c>
      <c r="AG84" s="62" t="n">
        <v>0</v>
      </c>
      <c r="AH84" s="62" t="n">
        <v>0</v>
      </c>
      <c r="AI84" s="62" t="n">
        <v>0</v>
      </c>
      <c r="AJ84" s="62" t="n">
        <v>0</v>
      </c>
      <c r="AK84" s="62" t="n">
        <v>0</v>
      </c>
      <c r="AL84" s="62" t="n">
        <v>0</v>
      </c>
      <c r="AM84" s="62" t="n">
        <v>0</v>
      </c>
      <c r="AN84" s="62" t="n">
        <v>0</v>
      </c>
      <c r="AO84" s="63">
        <f>IFERROR(AVERAGE(AA84,AB84,AC84,AD84,AE84,AF84,AG84,AH84,AI84,AJ84,AK84,AL84,AM84,AN84),"N/A")</f>
        <v/>
      </c>
      <c r="AP84" s="64">
        <f>IFERROR(AVERAGE(W84,X84,Y84,Z84)/2,"N/A")</f>
        <v/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9" t="inlineStr">
        <is>
          <t>JUNIN</t>
        </is>
      </c>
      <c r="D85" s="9" t="inlineStr">
        <is>
          <t>CAFÉ</t>
        </is>
      </c>
      <c r="E85" s="14" t="n">
        <v>5355025.229999999</v>
      </c>
      <c r="F85" s="15" t="n">
        <v>27</v>
      </c>
      <c r="G85" s="16" t="inlineStr">
        <is>
          <t>SI</t>
        </is>
      </c>
      <c r="H85" s="15" t="inlineStr">
        <is>
          <t>nan</t>
        </is>
      </c>
      <c r="I85" s="15" t="inlineStr">
        <is>
          <t>nan</t>
        </is>
      </c>
      <c r="J85" s="15" t="inlineStr">
        <is>
          <t>ACTIVO</t>
        </is>
      </c>
      <c r="K85" s="15" t="inlineStr">
        <is>
          <t>nan</t>
        </is>
      </c>
      <c r="L85" s="17" t="n">
        <v>2677512.61</v>
      </c>
      <c r="M85" s="18">
        <f>IF(E85&gt;0,ROUND(L85/E85*100,1),0)</f>
        <v/>
      </c>
      <c r="N85" s="19" t="inlineStr">
        <is>
          <t>PENDIENTE</t>
        </is>
      </c>
      <c r="O85" s="20">
        <f>IF(H85="SI",1,0)*0.6+IF(I85="SI",1,0)*0.4</f>
        <v/>
      </c>
      <c r="P85" s="19" t="inlineStr">
        <is>
          <t>PENDIENTE</t>
        </is>
      </c>
      <c r="Q85" s="14" t="n"/>
      <c r="R85" s="21" t="n"/>
      <c r="S85" s="22">
        <f>IFERROR(SCORECARDS!C83,"—")</f>
        <v/>
      </c>
      <c r="T85" s="23">
        <f>IF(ISTEXT(S85),S85,IF(S85&lt;34,"🔴 Crítico",IF(S85&lt;67,"🟡 Vulnerable","🟢 Preparado")))</f>
        <v/>
      </c>
      <c r="U85" s="57" t="n">
        <v>1</v>
      </c>
      <c r="V85" t="inlineStr">
        <is>
          <t>Sin hallazgos OSCE / OEFA</t>
        </is>
      </c>
      <c r="W85" s="68" t="n">
        <v>1</v>
      </c>
      <c r="X85" s="62" t="n">
        <v>0</v>
      </c>
      <c r="Y85" s="62" t="n">
        <v>0</v>
      </c>
      <c r="Z85" s="62" t="n">
        <v>0</v>
      </c>
      <c r="AA85" s="62" t="n">
        <v>0</v>
      </c>
      <c r="AB85" s="62" t="n">
        <v>0</v>
      </c>
      <c r="AC85" s="62" t="n">
        <v>0</v>
      </c>
      <c r="AD85" s="62" t="n">
        <v>0</v>
      </c>
      <c r="AE85" s="62" t="n">
        <v>0</v>
      </c>
      <c r="AF85" s="62" t="n">
        <v>0</v>
      </c>
      <c r="AG85" s="62" t="n">
        <v>0</v>
      </c>
      <c r="AH85" s="62" t="n">
        <v>0</v>
      </c>
      <c r="AI85" s="62" t="n">
        <v>0</v>
      </c>
      <c r="AJ85" s="62" t="n">
        <v>0</v>
      </c>
      <c r="AK85" s="62" t="n">
        <v>0</v>
      </c>
      <c r="AL85" s="62" t="n">
        <v>0</v>
      </c>
      <c r="AM85" s="62" t="n">
        <v>0</v>
      </c>
      <c r="AN85" s="62" t="n">
        <v>0</v>
      </c>
      <c r="AO85" s="63">
        <f>IFERROR(AVERAGE(AA85,AB85,AC85,AD85,AE85,AF85,AG85,AH85,AI85,AJ85,AK85,AL85,AM85,AN85),"N/A")</f>
        <v/>
      </c>
      <c r="AP85" s="64">
        <f>IFERROR(AVERAGE(W85,X85,Y85,Z85)/2,"N/A")</f>
        <v/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9" t="inlineStr">
        <is>
          <t>PASCO</t>
        </is>
      </c>
      <c r="D86" s="9" t="inlineStr">
        <is>
          <t>CACAO</t>
        </is>
      </c>
      <c r="E86" s="14" t="n"/>
      <c r="F86" s="15" t="n"/>
      <c r="G86" s="24" t="inlineStr">
        <is>
          <t>NO</t>
        </is>
      </c>
      <c r="H86" s="15" t="inlineStr">
        <is>
          <t>nan</t>
        </is>
      </c>
      <c r="I86" s="15" t="inlineStr">
        <is>
          <t>nan</t>
        </is>
      </c>
      <c r="J86" s="15" t="inlineStr">
        <is>
          <t>ACTIVO</t>
        </is>
      </c>
      <c r="K86" s="15" t="inlineStr">
        <is>
          <t>nan</t>
        </is>
      </c>
      <c r="L86" s="17" t="n">
        <v>0</v>
      </c>
      <c r="M86" s="18">
        <f>IF(E86&gt;0,ROUND(L86/E86*100,1),0)</f>
        <v/>
      </c>
      <c r="N86" s="19" t="inlineStr">
        <is>
          <t>PENDIENTE</t>
        </is>
      </c>
      <c r="O86" s="20">
        <f>IF(H86="SI",1,0)*0.6+IF(I86="SI",1,0)*0.4</f>
        <v/>
      </c>
      <c r="P86" s="19" t="inlineStr">
        <is>
          <t>PENDIENTE</t>
        </is>
      </c>
      <c r="Q86" s="14" t="n"/>
      <c r="R86" s="21" t="n"/>
      <c r="S86" s="22">
        <f>IFERROR(SCORECARDS!C84,"—")</f>
        <v/>
      </c>
      <c r="T86" s="23">
        <f>IF(ISTEXT(S86),S86,IF(S86&lt;34,"🔴 Crítico",IF(S86&lt;67,"🟡 Vulnerable","🟢 Preparado")))</f>
        <v/>
      </c>
      <c r="W86" s="62" t="n">
        <v>0</v>
      </c>
      <c r="X86" s="62" t="n">
        <v>0</v>
      </c>
      <c r="Y86" s="62" t="n">
        <v>0</v>
      </c>
      <c r="Z86" s="62" t="n">
        <v>0</v>
      </c>
      <c r="AA86" s="62" t="n">
        <v>0</v>
      </c>
      <c r="AB86" s="62" t="n">
        <v>0</v>
      </c>
      <c r="AC86" s="62" t="n">
        <v>0</v>
      </c>
      <c r="AD86" s="62" t="n">
        <v>0</v>
      </c>
      <c r="AE86" s="62" t="n">
        <v>0</v>
      </c>
      <c r="AF86" s="62" t="n">
        <v>0</v>
      </c>
      <c r="AG86" s="62" t="n">
        <v>0</v>
      </c>
      <c r="AH86" s="62" t="n">
        <v>0</v>
      </c>
      <c r="AI86" s="62" t="n">
        <v>0</v>
      </c>
      <c r="AJ86" s="62" t="n">
        <v>0</v>
      </c>
      <c r="AK86" s="62" t="n">
        <v>0</v>
      </c>
      <c r="AL86" s="62" t="n">
        <v>0</v>
      </c>
      <c r="AM86" s="62" t="n">
        <v>0</v>
      </c>
      <c r="AN86" s="62" t="n">
        <v>0</v>
      </c>
      <c r="AO86" s="63">
        <f>IFERROR(AVERAGE(AA86,AB86,AC86,AD86,AE86,AF86,AG86,AH86,AI86,AJ86,AK86,AL86,AM86,AN86),"N/A")</f>
        <v/>
      </c>
      <c r="AP86" s="64">
        <f>IFERROR(AVERAGE(W86,X86,Y86,Z86)/2,"N/A")</f>
        <v/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9" t="inlineStr">
        <is>
          <t>PASCO</t>
        </is>
      </c>
      <c r="D87" s="9" t="inlineStr">
        <is>
          <t>CACAO</t>
        </is>
      </c>
      <c r="E87" s="14" t="n"/>
      <c r="F87" s="15" t="n"/>
      <c r="G87" s="24" t="inlineStr">
        <is>
          <t>NO</t>
        </is>
      </c>
      <c r="H87" s="15" t="inlineStr">
        <is>
          <t>nan</t>
        </is>
      </c>
      <c r="I87" s="15" t="inlineStr">
        <is>
          <t>nan</t>
        </is>
      </c>
      <c r="J87" s="15" t="inlineStr">
        <is>
          <t>ACTIVO</t>
        </is>
      </c>
      <c r="K87" s="15" t="inlineStr">
        <is>
          <t>nan</t>
        </is>
      </c>
      <c r="L87" s="17" t="n">
        <v>0</v>
      </c>
      <c r="M87" s="18">
        <f>IF(E87&gt;0,ROUND(L87/E87*100,1),0)</f>
        <v/>
      </c>
      <c r="N87" s="19" t="inlineStr">
        <is>
          <t>PENDIENTE</t>
        </is>
      </c>
      <c r="O87" s="20">
        <f>IF(H87="SI",1,0)*0.6+IF(I87="SI",1,0)*0.4</f>
        <v/>
      </c>
      <c r="P87" s="19" t="inlineStr">
        <is>
          <t>PENDIENTE</t>
        </is>
      </c>
      <c r="Q87" s="14" t="n"/>
      <c r="R87" s="21" t="n"/>
      <c r="S87" s="22">
        <f>IFERROR(SCORECARDS!C85,"—")</f>
        <v/>
      </c>
      <c r="T87" s="23">
        <f>IF(ISTEXT(S87),S87,IF(S87&lt;34,"🔴 Crítico",IF(S87&lt;67,"🟡 Vulnerable","🟢 Preparado")))</f>
        <v/>
      </c>
      <c r="W87" s="62" t="n">
        <v>0</v>
      </c>
      <c r="X87" s="62" t="n">
        <v>0</v>
      </c>
      <c r="Y87" s="62" t="n">
        <v>0</v>
      </c>
      <c r="Z87" s="62" t="n">
        <v>0</v>
      </c>
      <c r="AA87" s="62" t="n">
        <v>0</v>
      </c>
      <c r="AB87" s="62" t="n">
        <v>0</v>
      </c>
      <c r="AC87" s="62" t="n">
        <v>0</v>
      </c>
      <c r="AD87" s="62" t="n">
        <v>0</v>
      </c>
      <c r="AE87" s="62" t="n">
        <v>0</v>
      </c>
      <c r="AF87" s="62" t="n">
        <v>0</v>
      </c>
      <c r="AG87" s="62" t="n">
        <v>0</v>
      </c>
      <c r="AH87" s="62" t="n">
        <v>0</v>
      </c>
      <c r="AI87" s="62" t="n">
        <v>0</v>
      </c>
      <c r="AJ87" s="62" t="n">
        <v>0</v>
      </c>
      <c r="AK87" s="62" t="n">
        <v>0</v>
      </c>
      <c r="AL87" s="62" t="n">
        <v>0</v>
      </c>
      <c r="AM87" s="62" t="n">
        <v>0</v>
      </c>
      <c r="AN87" s="62" t="n">
        <v>0</v>
      </c>
      <c r="AO87" s="63">
        <f>IFERROR(AVERAGE(AA87,AB87,AC87,AD87,AE87,AF87,AG87,AH87,AI87,AJ87,AK87,AL87,AM87,AN87),"N/A")</f>
        <v/>
      </c>
      <c r="AP87" s="64">
        <f>IFERROR(AVERAGE(W87,X87,Y87,Z87)/2,"N/A")</f>
        <v/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9" t="inlineStr">
        <is>
          <t>PASCO</t>
        </is>
      </c>
      <c r="D88" s="9" t="inlineStr">
        <is>
          <t>CACAO</t>
        </is>
      </c>
      <c r="E88" s="14" t="n"/>
      <c r="F88" s="15" t="n"/>
      <c r="G88" s="24" t="inlineStr">
        <is>
          <t>NO</t>
        </is>
      </c>
      <c r="H88" s="15" t="inlineStr">
        <is>
          <t>nan</t>
        </is>
      </c>
      <c r="I88" s="15" t="inlineStr">
        <is>
          <t>nan</t>
        </is>
      </c>
      <c r="J88" s="15" t="inlineStr">
        <is>
          <t>ACTIVO</t>
        </is>
      </c>
      <c r="K88" s="15" t="inlineStr">
        <is>
          <t>nan</t>
        </is>
      </c>
      <c r="L88" s="17" t="n">
        <v>0</v>
      </c>
      <c r="M88" s="18">
        <f>IF(E88&gt;0,ROUND(L88/E88*100,1),0)</f>
        <v/>
      </c>
      <c r="N88" s="19" t="inlineStr">
        <is>
          <t>PENDIENTE</t>
        </is>
      </c>
      <c r="O88" s="20">
        <f>IF(H88="SI",1,0)*0.6+IF(I88="SI",1,0)*0.4</f>
        <v/>
      </c>
      <c r="P88" s="19" t="inlineStr">
        <is>
          <t>PENDIENTE</t>
        </is>
      </c>
      <c r="Q88" s="14" t="n"/>
      <c r="R88" s="21" t="n"/>
      <c r="S88" s="22">
        <f>IFERROR(SCORECARDS!C86,"—")</f>
        <v/>
      </c>
      <c r="T88" s="23">
        <f>IF(ISTEXT(S88),S88,IF(S88&lt;34,"🔴 Crítico",IF(S88&lt;67,"🟡 Vulnerable","🟢 Preparado")))</f>
        <v/>
      </c>
      <c r="W88" s="62" t="n">
        <v>0</v>
      </c>
      <c r="X88" s="62" t="n">
        <v>0</v>
      </c>
      <c r="Y88" s="62" t="n">
        <v>0</v>
      </c>
      <c r="Z88" s="62" t="n">
        <v>0</v>
      </c>
      <c r="AA88" s="62" t="n">
        <v>0</v>
      </c>
      <c r="AB88" s="62" t="n">
        <v>0</v>
      </c>
      <c r="AC88" s="62" t="n">
        <v>0</v>
      </c>
      <c r="AD88" s="62" t="n">
        <v>0</v>
      </c>
      <c r="AE88" s="62" t="n">
        <v>0</v>
      </c>
      <c r="AF88" s="62" t="n">
        <v>0</v>
      </c>
      <c r="AG88" s="62" t="n">
        <v>0</v>
      </c>
      <c r="AH88" s="62" t="n">
        <v>0</v>
      </c>
      <c r="AI88" s="62" t="n">
        <v>0</v>
      </c>
      <c r="AJ88" s="62" t="n">
        <v>0</v>
      </c>
      <c r="AK88" s="62" t="n">
        <v>0</v>
      </c>
      <c r="AL88" s="62" t="n">
        <v>0</v>
      </c>
      <c r="AM88" s="62" t="n">
        <v>0</v>
      </c>
      <c r="AN88" s="62" t="n">
        <v>0</v>
      </c>
      <c r="AO88" s="63">
        <f>IFERROR(AVERAGE(AA88,AB88,AC88,AD88,AE88,AF88,AG88,AH88,AI88,AJ88,AK88,AL88,AM88,AN88),"N/A")</f>
        <v/>
      </c>
      <c r="AP88" s="64">
        <f>IFERROR(AVERAGE(W88,X88,Y88,Z88)/2,"N/A")</f>
        <v/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9" t="inlineStr">
        <is>
          <t>PASCO</t>
        </is>
      </c>
      <c r="D89" s="9" t="inlineStr">
        <is>
          <t>CAFÉ</t>
        </is>
      </c>
      <c r="E89" s="14" t="n">
        <v>0</v>
      </c>
      <c r="F89" s="15" t="n"/>
      <c r="G89" s="24" t="inlineStr">
        <is>
          <t>NO</t>
        </is>
      </c>
      <c r="H89" s="15" t="inlineStr">
        <is>
          <t>nan</t>
        </is>
      </c>
      <c r="I89" s="15" t="inlineStr">
        <is>
          <t>nan</t>
        </is>
      </c>
      <c r="J89" s="15" t="inlineStr">
        <is>
          <t>ACTIVO</t>
        </is>
      </c>
      <c r="K89" s="15" t="inlineStr">
        <is>
          <t>nan</t>
        </is>
      </c>
      <c r="L89" s="17" t="n">
        <v>0</v>
      </c>
      <c r="M89" s="18">
        <f>IF(E89&gt;0,ROUND(L89/E89*100,1),0)</f>
        <v/>
      </c>
      <c r="N89" s="19" t="inlineStr">
        <is>
          <t>PENDIENTE</t>
        </is>
      </c>
      <c r="O89" s="20">
        <f>IF(H89="SI",1,0)*0.6+IF(I89="SI",1,0)*0.4</f>
        <v/>
      </c>
      <c r="P89" s="19" t="inlineStr">
        <is>
          <t>PENDIENTE</t>
        </is>
      </c>
      <c r="Q89" s="14" t="n"/>
      <c r="R89" s="21" t="n"/>
      <c r="S89" s="22">
        <f>IFERROR(SCORECARDS!C87,"—")</f>
        <v/>
      </c>
      <c r="T89" s="23">
        <f>IF(ISTEXT(S89),S89,IF(S89&lt;34,"🔴 Crítico",IF(S89&lt;67,"🟡 Vulnerable","🟢 Preparado")))</f>
        <v/>
      </c>
      <c r="W89" s="62" t="n">
        <v>0</v>
      </c>
      <c r="X89" s="62" t="n">
        <v>0</v>
      </c>
      <c r="Y89" s="62" t="n">
        <v>0</v>
      </c>
      <c r="Z89" s="62" t="n">
        <v>0</v>
      </c>
      <c r="AA89" s="62" t="n">
        <v>0</v>
      </c>
      <c r="AB89" s="62" t="n">
        <v>0</v>
      </c>
      <c r="AC89" s="62" t="n">
        <v>0</v>
      </c>
      <c r="AD89" s="62" t="n">
        <v>0</v>
      </c>
      <c r="AE89" s="62" t="n">
        <v>0</v>
      </c>
      <c r="AF89" s="62" t="n">
        <v>0</v>
      </c>
      <c r="AG89" s="62" t="n">
        <v>0</v>
      </c>
      <c r="AH89" s="62" t="n">
        <v>0</v>
      </c>
      <c r="AI89" s="62" t="n">
        <v>0</v>
      </c>
      <c r="AJ89" s="62" t="n">
        <v>0</v>
      </c>
      <c r="AK89" s="62" t="n">
        <v>0</v>
      </c>
      <c r="AL89" s="62" t="n">
        <v>0</v>
      </c>
      <c r="AM89" s="62" t="n">
        <v>0</v>
      </c>
      <c r="AN89" s="62" t="n">
        <v>0</v>
      </c>
      <c r="AO89" s="63">
        <f>IFERROR(AVERAGE(AA89,AB89,AC89,AD89,AE89,AF89,AG89,AH89,AI89,AJ89,AK89,AL89,AM89,AN89),"N/A")</f>
        <v/>
      </c>
      <c r="AP89" s="64">
        <f>IFERROR(AVERAGE(W89,X89,Y89,Z89)/2,"N/A")</f>
        <v/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9" t="inlineStr">
        <is>
          <t>JUNIN</t>
        </is>
      </c>
      <c r="D90" s="9" t="inlineStr">
        <is>
          <t>CACAO</t>
        </is>
      </c>
      <c r="E90" s="14" t="n"/>
      <c r="F90" s="15" t="n"/>
      <c r="G90" s="24" t="inlineStr">
        <is>
          <t>NO</t>
        </is>
      </c>
      <c r="H90" s="15" t="inlineStr">
        <is>
          <t>nan</t>
        </is>
      </c>
      <c r="I90" s="15" t="inlineStr">
        <is>
          <t>nan</t>
        </is>
      </c>
      <c r="J90" s="15" t="inlineStr">
        <is>
          <t>BAJA DE OFICIO</t>
        </is>
      </c>
      <c r="K90" s="15" t="inlineStr">
        <is>
          <t>nan</t>
        </is>
      </c>
      <c r="L90" s="17" t="n">
        <v>0</v>
      </c>
      <c r="M90" s="18">
        <f>IF(E90&gt;0,ROUND(L90/E90*100,1),0)</f>
        <v/>
      </c>
      <c r="N90" s="19" t="inlineStr">
        <is>
          <t>PENDIENTE</t>
        </is>
      </c>
      <c r="O90" s="20">
        <f>IF(H90="SI",1,0)*0.6+IF(I90="SI",1,0)*0.4</f>
        <v/>
      </c>
      <c r="P90" s="19" t="inlineStr">
        <is>
          <t>PENDIENTE</t>
        </is>
      </c>
      <c r="Q90" s="14" t="n"/>
      <c r="R90" s="21" t="n"/>
      <c r="S90" s="22">
        <f>IFERROR(SCORECARDS!C88,"—")</f>
        <v/>
      </c>
      <c r="T90" s="23">
        <f>IF(ISTEXT(S90),S90,IF(S90&lt;34,"🔴 Crítico",IF(S90&lt;67,"🟡 Vulnerable","🟢 Preparado")))</f>
        <v/>
      </c>
      <c r="W90" s="62" t="n">
        <v>0</v>
      </c>
      <c r="X90" s="62" t="n">
        <v>0</v>
      </c>
      <c r="Y90" s="62" t="n">
        <v>0</v>
      </c>
      <c r="Z90" s="62" t="n">
        <v>0</v>
      </c>
      <c r="AA90" s="62" t="n">
        <v>0</v>
      </c>
      <c r="AB90" s="62" t="n">
        <v>0</v>
      </c>
      <c r="AC90" s="62" t="n">
        <v>0</v>
      </c>
      <c r="AD90" s="62" t="n">
        <v>0</v>
      </c>
      <c r="AE90" s="62" t="n">
        <v>0</v>
      </c>
      <c r="AF90" s="62" t="n">
        <v>0</v>
      </c>
      <c r="AG90" s="62" t="n">
        <v>0</v>
      </c>
      <c r="AH90" s="62" t="n">
        <v>0</v>
      </c>
      <c r="AI90" s="62" t="n">
        <v>0</v>
      </c>
      <c r="AJ90" s="62" t="n">
        <v>0</v>
      </c>
      <c r="AK90" s="62" t="n">
        <v>0</v>
      </c>
      <c r="AL90" s="62" t="n">
        <v>0</v>
      </c>
      <c r="AM90" s="62" t="n">
        <v>0</v>
      </c>
      <c r="AN90" s="62" t="n">
        <v>0</v>
      </c>
      <c r="AO90" s="63">
        <f>IFERROR(AVERAGE(AA90,AB90,AC90,AD90,AE90,AF90,AG90,AH90,AI90,AJ90,AK90,AL90,AM90,AN90),"N/A")</f>
        <v/>
      </c>
      <c r="AP90" s="64">
        <f>IFERROR(AVERAGE(W90,X90,Y90,Z90)/2,"N/A")</f>
        <v/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9" t="inlineStr">
        <is>
          <t>JUNIN</t>
        </is>
      </c>
      <c r="D91" s="9" t="inlineStr">
        <is>
          <t>CAFÉ</t>
        </is>
      </c>
      <c r="E91" s="14" t="n">
        <v>0</v>
      </c>
      <c r="F91" s="15" t="n"/>
      <c r="G91" s="24" t="inlineStr">
        <is>
          <t>NO</t>
        </is>
      </c>
      <c r="H91" s="15" t="inlineStr">
        <is>
          <t>nan</t>
        </is>
      </c>
      <c r="I91" s="15" t="inlineStr">
        <is>
          <t>nan</t>
        </is>
      </c>
      <c r="J91" s="15" t="inlineStr">
        <is>
          <t>SUSPENSION TEMPORAL</t>
        </is>
      </c>
      <c r="K91" s="15" t="inlineStr">
        <is>
          <t>nan</t>
        </is>
      </c>
      <c r="L91" s="17" t="n">
        <v>0</v>
      </c>
      <c r="M91" s="18">
        <f>IF(E91&gt;0,ROUND(L91/E91*100,1),0)</f>
        <v/>
      </c>
      <c r="N91" s="19" t="inlineStr">
        <is>
          <t>PENDIENTE</t>
        </is>
      </c>
      <c r="O91" s="20">
        <f>IF(H91="SI",1,0)*0.6+IF(I91="SI",1,0)*0.4</f>
        <v/>
      </c>
      <c r="P91" s="19" t="inlineStr">
        <is>
          <t>PENDIENTE</t>
        </is>
      </c>
      <c r="Q91" s="14" t="n"/>
      <c r="R91" s="21" t="n"/>
      <c r="S91" s="22">
        <f>IFERROR(SCORECARDS!C89,"—")</f>
        <v/>
      </c>
      <c r="T91" s="23">
        <f>IF(ISTEXT(S91),S91,IF(S91&lt;34,"🔴 Crítico",IF(S91&lt;67,"🟡 Vulnerable","🟢 Preparado")))</f>
        <v/>
      </c>
      <c r="W91" s="62" t="n">
        <v>0</v>
      </c>
      <c r="X91" s="62" t="n">
        <v>0</v>
      </c>
      <c r="Y91" s="62" t="n">
        <v>0</v>
      </c>
      <c r="Z91" s="62" t="n">
        <v>0</v>
      </c>
      <c r="AA91" s="62" t="n">
        <v>0</v>
      </c>
      <c r="AB91" s="62" t="n">
        <v>0</v>
      </c>
      <c r="AC91" s="62" t="n">
        <v>0</v>
      </c>
      <c r="AD91" s="62" t="n">
        <v>0</v>
      </c>
      <c r="AE91" s="62" t="n">
        <v>0</v>
      </c>
      <c r="AF91" s="62" t="n">
        <v>0</v>
      </c>
      <c r="AG91" s="62" t="n">
        <v>0</v>
      </c>
      <c r="AH91" s="62" t="n">
        <v>0</v>
      </c>
      <c r="AI91" s="62" t="n">
        <v>0</v>
      </c>
      <c r="AJ91" s="62" t="n">
        <v>0</v>
      </c>
      <c r="AK91" s="62" t="n">
        <v>0</v>
      </c>
      <c r="AL91" s="62" t="n">
        <v>0</v>
      </c>
      <c r="AM91" s="62" t="n">
        <v>0</v>
      </c>
      <c r="AN91" s="62" t="n">
        <v>0</v>
      </c>
      <c r="AO91" s="63">
        <f>IFERROR(AVERAGE(AA91,AB91,AC91,AD91,AE91,AF91,AG91,AH91,AI91,AJ91,AK91,AL91,AM91,AN91),"N/A")</f>
        <v/>
      </c>
      <c r="AP91" s="64">
        <f>IFERROR(AVERAGE(W91,X91,Y91,Z91)/2,"N/A")</f>
        <v/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9" t="inlineStr">
        <is>
          <t>CAJAMARCA</t>
        </is>
      </c>
      <c r="D92" s="9" t="inlineStr">
        <is>
          <t>CAFÉ</t>
        </is>
      </c>
      <c r="E92" s="14" t="n">
        <v>9585341.800000001</v>
      </c>
      <c r="F92" s="15" t="n">
        <v>58</v>
      </c>
      <c r="G92" s="16" t="inlineStr">
        <is>
          <t>SI</t>
        </is>
      </c>
      <c r="H92" s="15" t="inlineStr">
        <is>
          <t>nan</t>
        </is>
      </c>
      <c r="I92" s="15" t="inlineStr">
        <is>
          <t>nan</t>
        </is>
      </c>
      <c r="J92" s="15" t="inlineStr">
        <is>
          <t>ACTIVO</t>
        </is>
      </c>
      <c r="K92" s="15" t="inlineStr">
        <is>
          <t>nan</t>
        </is>
      </c>
      <c r="L92" s="17" t="n">
        <v>4792670.9</v>
      </c>
      <c r="M92" s="18">
        <f>IF(E92&gt;0,ROUND(L92/E92*100,1),0)</f>
        <v/>
      </c>
      <c r="N92" s="19" t="inlineStr">
        <is>
          <t>PENDIENTE</t>
        </is>
      </c>
      <c r="O92" s="20">
        <f>IF(H92="SI",1,0)*0.6+IF(I92="SI",1,0)*0.4</f>
        <v/>
      </c>
      <c r="P92" s="19" t="inlineStr">
        <is>
          <t>PENDIENTE</t>
        </is>
      </c>
      <c r="Q92" s="14" t="n"/>
      <c r="R92" s="21" t="n"/>
      <c r="S92" s="22">
        <f>IFERROR(SCORECARDS!C90,"—")</f>
        <v/>
      </c>
      <c r="T92" s="23">
        <f>IF(ISTEXT(S92),S92,IF(S92&lt;34,"🔴 Crítico",IF(S92&lt;67,"🟡 Vulnerable","🟢 Preparado")))</f>
        <v/>
      </c>
      <c r="U92" s="57" t="n">
        <v>1</v>
      </c>
      <c r="V92" t="inlineStr">
        <is>
          <t>Sin hallazgos OSCE / OEFA</t>
        </is>
      </c>
      <c r="W92" s="68" t="n">
        <v>1</v>
      </c>
      <c r="X92" s="62" t="n">
        <v>0</v>
      </c>
      <c r="Y92" s="62" t="n">
        <v>0</v>
      </c>
      <c r="Z92" s="62" t="n">
        <v>0</v>
      </c>
      <c r="AA92" s="62" t="n">
        <v>0</v>
      </c>
      <c r="AB92" s="62" t="n">
        <v>0</v>
      </c>
      <c r="AC92" s="62" t="n">
        <v>0</v>
      </c>
      <c r="AD92" s="62" t="n">
        <v>0</v>
      </c>
      <c r="AE92" s="62" t="n">
        <v>0</v>
      </c>
      <c r="AF92" s="62" t="n">
        <v>0</v>
      </c>
      <c r="AG92" s="62" t="n">
        <v>0</v>
      </c>
      <c r="AH92" s="62" t="n">
        <v>0</v>
      </c>
      <c r="AI92" s="62" t="n">
        <v>0</v>
      </c>
      <c r="AJ92" s="62" t="n">
        <v>0</v>
      </c>
      <c r="AK92" s="62" t="n">
        <v>0</v>
      </c>
      <c r="AL92" s="62" t="n">
        <v>0</v>
      </c>
      <c r="AM92" s="62" t="n">
        <v>0</v>
      </c>
      <c r="AN92" s="62" t="n">
        <v>0</v>
      </c>
      <c r="AO92" s="63">
        <f>IFERROR(AVERAGE(AA92,AB92,AC92,AD92,AE92,AF92,AG92,AH92,AI92,AJ92,AK92,AL92,AM92,AN92),"N/A")</f>
        <v/>
      </c>
      <c r="AP92" s="64">
        <f>IFERROR(AVERAGE(W92,X92,Y92,Z92)/2,"N/A")</f>
        <v/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9" t="inlineStr">
        <is>
          <t>SAN MARTIN</t>
        </is>
      </c>
      <c r="D93" s="9" t="inlineStr">
        <is>
          <t>nan</t>
        </is>
      </c>
      <c r="E93" s="14" t="n"/>
      <c r="F93" s="15" t="n"/>
      <c r="G93" s="24" t="inlineStr">
        <is>
          <t>NO</t>
        </is>
      </c>
      <c r="H93" s="15" t="inlineStr">
        <is>
          <t>nan</t>
        </is>
      </c>
      <c r="I93" s="15" t="inlineStr">
        <is>
          <t>nan</t>
        </is>
      </c>
      <c r="J93" s="15" t="inlineStr">
        <is>
          <t>ACTIVO</t>
        </is>
      </c>
      <c r="K93" s="15" t="inlineStr">
        <is>
          <t>nan</t>
        </is>
      </c>
      <c r="L93" s="17" t="n">
        <v>0</v>
      </c>
      <c r="M93" s="18">
        <f>IF(E93&gt;0,ROUND(L93/E93*100,1),0)</f>
        <v/>
      </c>
      <c r="N93" s="19" t="inlineStr">
        <is>
          <t>PENDIENTE</t>
        </is>
      </c>
      <c r="O93" s="20">
        <f>IF(H93="SI",1,0)*0.6+IF(I93="SI",1,0)*0.4</f>
        <v/>
      </c>
      <c r="P93" s="19" t="inlineStr">
        <is>
          <t>PENDIENTE</t>
        </is>
      </c>
      <c r="Q93" s="14" t="n"/>
      <c r="R93" s="21" t="n"/>
      <c r="S93" s="22">
        <f>IFERROR(SCORECARDS!C91,"—")</f>
        <v/>
      </c>
      <c r="T93" s="23">
        <f>IF(ISTEXT(S93),S93,IF(S93&lt;34,"🔴 Crítico",IF(S93&lt;67,"🟡 Vulnerable","🟢 Preparado")))</f>
        <v/>
      </c>
      <c r="W93" s="62" t="n">
        <v>0</v>
      </c>
      <c r="X93" s="62" t="n">
        <v>0</v>
      </c>
      <c r="Y93" s="62" t="n">
        <v>0</v>
      </c>
      <c r="Z93" s="62" t="n">
        <v>0</v>
      </c>
      <c r="AA93" s="62" t="n">
        <v>0</v>
      </c>
      <c r="AB93" s="62" t="n">
        <v>0</v>
      </c>
      <c r="AC93" s="62" t="n">
        <v>0</v>
      </c>
      <c r="AD93" s="62" t="n">
        <v>0</v>
      </c>
      <c r="AE93" s="62" t="n">
        <v>0</v>
      </c>
      <c r="AF93" s="62" t="n">
        <v>0</v>
      </c>
      <c r="AG93" s="62" t="n">
        <v>0</v>
      </c>
      <c r="AH93" s="62" t="n">
        <v>0</v>
      </c>
      <c r="AI93" s="62" t="n">
        <v>0</v>
      </c>
      <c r="AJ93" s="62" t="n">
        <v>0</v>
      </c>
      <c r="AK93" s="62" t="n">
        <v>0</v>
      </c>
      <c r="AL93" s="62" t="n">
        <v>0</v>
      </c>
      <c r="AM93" s="62" t="n">
        <v>0</v>
      </c>
      <c r="AN93" s="62" t="n">
        <v>0</v>
      </c>
      <c r="AO93" s="63">
        <f>IFERROR(AVERAGE(AA93,AB93,AC93,AD93,AE93,AF93,AG93,AH93,AI93,AJ93,AK93,AL93,AM93,AN93),"N/A")</f>
        <v/>
      </c>
      <c r="AP93" s="64">
        <f>IFERROR(AVERAGE(W93,X93,Y93,Z93)/2,"N/A")</f>
        <v/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9" t="inlineStr">
        <is>
          <t>SAN MARTIN</t>
        </is>
      </c>
      <c r="D94" s="9" t="inlineStr">
        <is>
          <t>nan</t>
        </is>
      </c>
      <c r="E94" s="14" t="n">
        <v>3777944.83</v>
      </c>
      <c r="F94" s="15" t="n">
        <v>14</v>
      </c>
      <c r="G94" s="16" t="inlineStr">
        <is>
          <t>SI</t>
        </is>
      </c>
      <c r="H94" s="15" t="inlineStr">
        <is>
          <t>nan</t>
        </is>
      </c>
      <c r="I94" s="15" t="inlineStr">
        <is>
          <t>nan</t>
        </is>
      </c>
      <c r="J94" s="15" t="inlineStr">
        <is>
          <t>ACTIVO</t>
        </is>
      </c>
      <c r="K94" s="15" t="inlineStr">
        <is>
          <t>nan</t>
        </is>
      </c>
      <c r="L94" s="17" t="n">
        <v>1888972.42</v>
      </c>
      <c r="M94" s="18">
        <f>IF(E94&gt;0,ROUND(L94/E94*100,1),0)</f>
        <v/>
      </c>
      <c r="N94" s="19" t="inlineStr">
        <is>
          <t>PENDIENTE</t>
        </is>
      </c>
      <c r="O94" s="20">
        <f>IF(H94="SI",1,0)*0.6+IF(I94="SI",1,0)*0.4</f>
        <v/>
      </c>
      <c r="P94" s="19" t="inlineStr">
        <is>
          <t>PENDIENTE</t>
        </is>
      </c>
      <c r="Q94" s="14" t="n"/>
      <c r="R94" s="21" t="n"/>
      <c r="S94" s="22">
        <f>IFERROR(SCORECARDS!C92,"—")</f>
        <v/>
      </c>
      <c r="T94" s="23">
        <f>IF(ISTEXT(S94),S94,IF(S94&lt;34,"🔴 Crítico",IF(S94&lt;67,"🟡 Vulnerable","🟢 Preparado")))</f>
        <v/>
      </c>
      <c r="U94" s="57" t="n">
        <v>1</v>
      </c>
      <c r="V94" t="inlineStr">
        <is>
          <t>Sin hallazgos OSCE / OEFA</t>
        </is>
      </c>
      <c r="W94" s="68" t="n">
        <v>1</v>
      </c>
      <c r="X94" s="62" t="n">
        <v>0</v>
      </c>
      <c r="Y94" s="62" t="n">
        <v>0</v>
      </c>
      <c r="Z94" s="62" t="n">
        <v>0</v>
      </c>
      <c r="AA94" s="62" t="n">
        <v>0</v>
      </c>
      <c r="AB94" s="62" t="n">
        <v>0</v>
      </c>
      <c r="AC94" s="62" t="n">
        <v>0</v>
      </c>
      <c r="AD94" s="62" t="n">
        <v>0</v>
      </c>
      <c r="AE94" s="62" t="n">
        <v>0</v>
      </c>
      <c r="AF94" s="62" t="n">
        <v>0</v>
      </c>
      <c r="AG94" s="62" t="n">
        <v>0</v>
      </c>
      <c r="AH94" s="62" t="n">
        <v>0</v>
      </c>
      <c r="AI94" s="62" t="n">
        <v>0</v>
      </c>
      <c r="AJ94" s="62" t="n">
        <v>0</v>
      </c>
      <c r="AK94" s="62" t="n">
        <v>0</v>
      </c>
      <c r="AL94" s="62" t="n">
        <v>0</v>
      </c>
      <c r="AM94" s="62" t="n">
        <v>0</v>
      </c>
      <c r="AN94" s="62" t="n">
        <v>0</v>
      </c>
      <c r="AO94" s="63">
        <f>IFERROR(AVERAGE(AA94,AB94,AC94,AD94,AE94,AF94,AG94,AH94,AI94,AJ94,AK94,AL94,AM94,AN94),"N/A")</f>
        <v/>
      </c>
      <c r="AP94" s="64">
        <f>IFERROR(AVERAGE(W94,X94,Y94,Z94)/2,"N/A")</f>
        <v/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9" t="inlineStr">
        <is>
          <t>HUANUCO</t>
        </is>
      </c>
      <c r="D95" s="9" t="inlineStr">
        <is>
          <t>CACAO</t>
        </is>
      </c>
      <c r="E95" s="14" t="n"/>
      <c r="F95" s="15" t="n"/>
      <c r="G95" s="24" t="inlineStr">
        <is>
          <t>NO</t>
        </is>
      </c>
      <c r="H95" s="15" t="inlineStr">
        <is>
          <t>nan</t>
        </is>
      </c>
      <c r="I95" s="15" t="inlineStr">
        <is>
          <t>nan</t>
        </is>
      </c>
      <c r="J95" s="15" t="inlineStr">
        <is>
          <t>ACTIVO</t>
        </is>
      </c>
      <c r="K95" s="15" t="inlineStr">
        <is>
          <t>nan</t>
        </is>
      </c>
      <c r="L95" s="17" t="n">
        <v>0</v>
      </c>
      <c r="M95" s="18">
        <f>IF(E95&gt;0,ROUND(L95/E95*100,1),0)</f>
        <v/>
      </c>
      <c r="N95" s="19" t="inlineStr">
        <is>
          <t>PENDIENTE</t>
        </is>
      </c>
      <c r="O95" s="20">
        <f>IF(H95="SI",1,0)*0.6+IF(I95="SI",1,0)*0.4</f>
        <v/>
      </c>
      <c r="P95" s="19" t="inlineStr">
        <is>
          <t>PENDIENTE</t>
        </is>
      </c>
      <c r="Q95" s="14" t="n"/>
      <c r="R95" s="21" t="n"/>
      <c r="S95" s="22">
        <f>IFERROR(SCORECARDS!C93,"—")</f>
        <v/>
      </c>
      <c r="T95" s="23">
        <f>IF(ISTEXT(S95),S95,IF(S95&lt;34,"🔴 Crítico",IF(S95&lt;67,"🟡 Vulnerable","🟢 Preparado")))</f>
        <v/>
      </c>
      <c r="W95" s="62" t="n">
        <v>0</v>
      </c>
      <c r="X95" s="62" t="n">
        <v>0</v>
      </c>
      <c r="Y95" s="62" t="n">
        <v>0</v>
      </c>
      <c r="Z95" s="62" t="n">
        <v>0</v>
      </c>
      <c r="AA95" s="62" t="n">
        <v>0</v>
      </c>
      <c r="AB95" s="62" t="n">
        <v>0</v>
      </c>
      <c r="AC95" s="62" t="n">
        <v>0</v>
      </c>
      <c r="AD95" s="62" t="n">
        <v>0</v>
      </c>
      <c r="AE95" s="62" t="n">
        <v>0</v>
      </c>
      <c r="AF95" s="62" t="n">
        <v>0</v>
      </c>
      <c r="AG95" s="62" t="n">
        <v>0</v>
      </c>
      <c r="AH95" s="62" t="n">
        <v>0</v>
      </c>
      <c r="AI95" s="62" t="n">
        <v>0</v>
      </c>
      <c r="AJ95" s="62" t="n">
        <v>0</v>
      </c>
      <c r="AK95" s="62" t="n">
        <v>0</v>
      </c>
      <c r="AL95" s="62" t="n">
        <v>0</v>
      </c>
      <c r="AM95" s="62" t="n">
        <v>0</v>
      </c>
      <c r="AN95" s="62" t="n">
        <v>0</v>
      </c>
      <c r="AO95" s="63">
        <f>IFERROR(AVERAGE(AA95,AB95,AC95,AD95,AE95,AF95,AG95,AH95,AI95,AJ95,AK95,AL95,AM95,AN95),"N/A")</f>
        <v/>
      </c>
      <c r="AP95" s="64">
        <f>IFERROR(AVERAGE(W95,X95,Y95,Z95)/2,"N/A")</f>
        <v/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9" t="inlineStr">
        <is>
          <t>HUANUCO</t>
        </is>
      </c>
      <c r="D96" s="9" t="inlineStr">
        <is>
          <t>CACAO</t>
        </is>
      </c>
      <c r="E96" s="14" t="n">
        <v>0</v>
      </c>
      <c r="F96" s="15" t="n"/>
      <c r="G96" s="24" t="inlineStr">
        <is>
          <t>NO</t>
        </is>
      </c>
      <c r="H96" s="15" t="inlineStr">
        <is>
          <t>nan</t>
        </is>
      </c>
      <c r="I96" s="15" t="inlineStr">
        <is>
          <t>nan</t>
        </is>
      </c>
      <c r="J96" s="15" t="inlineStr">
        <is>
          <t>ACTIVO</t>
        </is>
      </c>
      <c r="K96" s="15" t="inlineStr">
        <is>
          <t>nan</t>
        </is>
      </c>
      <c r="L96" s="17" t="n">
        <v>0</v>
      </c>
      <c r="M96" s="18">
        <f>IF(E96&gt;0,ROUND(L96/E96*100,1),0)</f>
        <v/>
      </c>
      <c r="N96" s="19" t="inlineStr">
        <is>
          <t>PENDIENTE</t>
        </is>
      </c>
      <c r="O96" s="20">
        <f>IF(H96="SI",1,0)*0.6+IF(I96="SI",1,0)*0.4</f>
        <v/>
      </c>
      <c r="P96" s="19" t="inlineStr">
        <is>
          <t>PENDIENTE</t>
        </is>
      </c>
      <c r="Q96" s="14" t="n"/>
      <c r="R96" s="21" t="n"/>
      <c r="S96" s="22">
        <f>IFERROR(SCORECARDS!C94,"—")</f>
        <v/>
      </c>
      <c r="T96" s="23">
        <f>IF(ISTEXT(S96),S96,IF(S96&lt;34,"🔴 Crítico",IF(S96&lt;67,"🟡 Vulnerable","🟢 Preparado")))</f>
        <v/>
      </c>
      <c r="W96" s="62" t="n">
        <v>0</v>
      </c>
      <c r="X96" s="62" t="n">
        <v>0</v>
      </c>
      <c r="Y96" s="62" t="n">
        <v>0</v>
      </c>
      <c r="Z96" s="62" t="n">
        <v>0</v>
      </c>
      <c r="AA96" s="62" t="n">
        <v>0</v>
      </c>
      <c r="AB96" s="62" t="n">
        <v>0</v>
      </c>
      <c r="AC96" s="62" t="n">
        <v>0</v>
      </c>
      <c r="AD96" s="62" t="n">
        <v>0</v>
      </c>
      <c r="AE96" s="62" t="n">
        <v>0</v>
      </c>
      <c r="AF96" s="62" t="n">
        <v>0</v>
      </c>
      <c r="AG96" s="62" t="n">
        <v>0</v>
      </c>
      <c r="AH96" s="62" t="n">
        <v>0</v>
      </c>
      <c r="AI96" s="62" t="n">
        <v>0</v>
      </c>
      <c r="AJ96" s="62" t="n">
        <v>0</v>
      </c>
      <c r="AK96" s="62" t="n">
        <v>0</v>
      </c>
      <c r="AL96" s="62" t="n">
        <v>0</v>
      </c>
      <c r="AM96" s="62" t="n">
        <v>0</v>
      </c>
      <c r="AN96" s="62" t="n">
        <v>0</v>
      </c>
      <c r="AO96" s="63">
        <f>IFERROR(AVERAGE(AA96,AB96,AC96,AD96,AE96,AF96,AG96,AH96,AI96,AJ96,AK96,AL96,AM96,AN96),"N/A")</f>
        <v/>
      </c>
      <c r="AP96" s="64">
        <f>IFERROR(AVERAGE(W96,X96,Y96,Z96)/2,"N/A")</f>
        <v/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9" t="inlineStr">
        <is>
          <t>HUANUCO</t>
        </is>
      </c>
      <c r="D97" s="9" t="inlineStr">
        <is>
          <t>CACAO</t>
        </is>
      </c>
      <c r="E97" s="14" t="n"/>
      <c r="F97" s="15" t="n"/>
      <c r="G97" s="24" t="inlineStr">
        <is>
          <t>NO</t>
        </is>
      </c>
      <c r="H97" s="15" t="inlineStr">
        <is>
          <t>nan</t>
        </is>
      </c>
      <c r="I97" s="15" t="inlineStr">
        <is>
          <t>nan</t>
        </is>
      </c>
      <c r="J97" s="15" t="inlineStr">
        <is>
          <t>BAJA DE OFICIO</t>
        </is>
      </c>
      <c r="K97" s="15" t="inlineStr">
        <is>
          <t>nan</t>
        </is>
      </c>
      <c r="L97" s="17" t="n">
        <v>0</v>
      </c>
      <c r="M97" s="18">
        <f>IF(E97&gt;0,ROUND(L97/E97*100,1),0)</f>
        <v/>
      </c>
      <c r="N97" s="19" t="inlineStr">
        <is>
          <t>PENDIENTE</t>
        </is>
      </c>
      <c r="O97" s="20">
        <f>IF(H97="SI",1,0)*0.6+IF(I97="SI",1,0)*0.4</f>
        <v/>
      </c>
      <c r="P97" s="19" t="inlineStr">
        <is>
          <t>PENDIENTE</t>
        </is>
      </c>
      <c r="Q97" s="14" t="n"/>
      <c r="R97" s="21" t="n"/>
      <c r="S97" s="22">
        <f>IFERROR(SCORECARDS!C95,"—")</f>
        <v/>
      </c>
      <c r="T97" s="23">
        <f>IF(ISTEXT(S97),S97,IF(S97&lt;34,"🔴 Crítico",IF(S97&lt;67,"🟡 Vulnerable","🟢 Preparado")))</f>
        <v/>
      </c>
      <c r="W97" s="62" t="n">
        <v>0</v>
      </c>
      <c r="X97" s="62" t="n">
        <v>0</v>
      </c>
      <c r="Y97" s="62" t="n">
        <v>0</v>
      </c>
      <c r="Z97" s="62" t="n">
        <v>0</v>
      </c>
      <c r="AA97" s="62" t="n">
        <v>0</v>
      </c>
      <c r="AB97" s="62" t="n">
        <v>0</v>
      </c>
      <c r="AC97" s="62" t="n">
        <v>0</v>
      </c>
      <c r="AD97" s="62" t="n">
        <v>0</v>
      </c>
      <c r="AE97" s="62" t="n">
        <v>0</v>
      </c>
      <c r="AF97" s="62" t="n">
        <v>0</v>
      </c>
      <c r="AG97" s="62" t="n">
        <v>0</v>
      </c>
      <c r="AH97" s="62" t="n">
        <v>0</v>
      </c>
      <c r="AI97" s="62" t="n">
        <v>0</v>
      </c>
      <c r="AJ97" s="62" t="n">
        <v>0</v>
      </c>
      <c r="AK97" s="62" t="n">
        <v>0</v>
      </c>
      <c r="AL97" s="62" t="n">
        <v>0</v>
      </c>
      <c r="AM97" s="62" t="n">
        <v>0</v>
      </c>
      <c r="AN97" s="62" t="n">
        <v>0</v>
      </c>
      <c r="AO97" s="63">
        <f>IFERROR(AVERAGE(AA97,AB97,AC97,AD97,AE97,AF97,AG97,AH97,AI97,AJ97,AK97,AL97,AM97,AN97),"N/A")</f>
        <v/>
      </c>
      <c r="AP97" s="64">
        <f>IFERROR(AVERAGE(W97,X97,Y97,Z97)/2,"N/A")</f>
        <v/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9" t="inlineStr">
        <is>
          <t>HUANUCO</t>
        </is>
      </c>
      <c r="D98" s="9" t="inlineStr">
        <is>
          <t>CACAO</t>
        </is>
      </c>
      <c r="E98" s="14" t="n"/>
      <c r="F98" s="15" t="n"/>
      <c r="G98" s="24" t="inlineStr">
        <is>
          <t>NO</t>
        </is>
      </c>
      <c r="H98" s="15" t="inlineStr">
        <is>
          <t>nan</t>
        </is>
      </c>
      <c r="I98" s="15" t="inlineStr">
        <is>
          <t>nan</t>
        </is>
      </c>
      <c r="J98" s="15" t="inlineStr">
        <is>
          <t>ACTIVO</t>
        </is>
      </c>
      <c r="K98" s="15" t="inlineStr">
        <is>
          <t>nan</t>
        </is>
      </c>
      <c r="L98" s="17" t="n">
        <v>0</v>
      </c>
      <c r="M98" s="18">
        <f>IF(E98&gt;0,ROUND(L98/E98*100,1),0)</f>
        <v/>
      </c>
      <c r="N98" s="19" t="inlineStr">
        <is>
          <t>PENDIENTE</t>
        </is>
      </c>
      <c r="O98" s="20">
        <f>IF(H98="SI",1,0)*0.6+IF(I98="SI",1,0)*0.4</f>
        <v/>
      </c>
      <c r="P98" s="19" t="inlineStr">
        <is>
          <t>PENDIENTE</t>
        </is>
      </c>
      <c r="Q98" s="14" t="n"/>
      <c r="R98" s="21" t="n"/>
      <c r="S98" s="22">
        <f>IFERROR(SCORECARDS!C96,"—")</f>
        <v/>
      </c>
      <c r="T98" s="23">
        <f>IF(ISTEXT(S98),S98,IF(S98&lt;34,"🔴 Crítico",IF(S98&lt;67,"🟡 Vulnerable","🟢 Preparado")))</f>
        <v/>
      </c>
      <c r="W98" s="62" t="n">
        <v>0</v>
      </c>
      <c r="X98" s="62" t="n">
        <v>0</v>
      </c>
      <c r="Y98" s="62" t="n">
        <v>0</v>
      </c>
      <c r="Z98" s="62" t="n">
        <v>0</v>
      </c>
      <c r="AA98" s="62" t="n">
        <v>0</v>
      </c>
      <c r="AB98" s="62" t="n">
        <v>0</v>
      </c>
      <c r="AC98" s="62" t="n">
        <v>0</v>
      </c>
      <c r="AD98" s="62" t="n">
        <v>0</v>
      </c>
      <c r="AE98" s="62" t="n">
        <v>0</v>
      </c>
      <c r="AF98" s="62" t="n">
        <v>0</v>
      </c>
      <c r="AG98" s="62" t="n">
        <v>0</v>
      </c>
      <c r="AH98" s="62" t="n">
        <v>0</v>
      </c>
      <c r="AI98" s="62" t="n">
        <v>0</v>
      </c>
      <c r="AJ98" s="62" t="n">
        <v>0</v>
      </c>
      <c r="AK98" s="62" t="n">
        <v>0</v>
      </c>
      <c r="AL98" s="62" t="n">
        <v>0</v>
      </c>
      <c r="AM98" s="62" t="n">
        <v>0</v>
      </c>
      <c r="AN98" s="62" t="n">
        <v>0</v>
      </c>
      <c r="AO98" s="63">
        <f>IFERROR(AVERAGE(AA98,AB98,AC98,AD98,AE98,AF98,AG98,AH98,AI98,AJ98,AK98,AL98,AM98,AN98),"N/A")</f>
        <v/>
      </c>
      <c r="AP98" s="64">
        <f>IFERROR(AVERAGE(W98,X98,Y98,Z98)/2,"N/A")</f>
        <v/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9" t="inlineStr">
        <is>
          <t>HUANUCO</t>
        </is>
      </c>
      <c r="D99" s="9" t="inlineStr">
        <is>
          <t>PLÁTANO</t>
        </is>
      </c>
      <c r="E99" s="14" t="n"/>
      <c r="F99" s="15" t="n"/>
      <c r="G99" s="24" t="inlineStr">
        <is>
          <t>NO</t>
        </is>
      </c>
      <c r="H99" s="15" t="inlineStr">
        <is>
          <t>nan</t>
        </is>
      </c>
      <c r="I99" s="15" t="inlineStr">
        <is>
          <t>nan</t>
        </is>
      </c>
      <c r="J99" s="15" t="inlineStr">
        <is>
          <t>BAJA DE OFICIO</t>
        </is>
      </c>
      <c r="K99" s="15" t="inlineStr">
        <is>
          <t>nan</t>
        </is>
      </c>
      <c r="L99" s="17" t="n">
        <v>0</v>
      </c>
      <c r="M99" s="18">
        <f>IF(E99&gt;0,ROUND(L99/E99*100,1),0)</f>
        <v/>
      </c>
      <c r="N99" s="19" t="inlineStr">
        <is>
          <t>PENDIENTE</t>
        </is>
      </c>
      <c r="O99" s="20">
        <f>IF(H99="SI",1,0)*0.6+IF(I99="SI",1,0)*0.4</f>
        <v/>
      </c>
      <c r="P99" s="19" t="inlineStr">
        <is>
          <t>PENDIENTE</t>
        </is>
      </c>
      <c r="Q99" s="14" t="n"/>
      <c r="R99" s="21" t="n"/>
      <c r="S99" s="22">
        <f>IFERROR(SCORECARDS!C97,"—")</f>
        <v/>
      </c>
      <c r="T99" s="23">
        <f>IF(ISTEXT(S99),S99,IF(S99&lt;34,"🔴 Crítico",IF(S99&lt;67,"🟡 Vulnerable","🟢 Preparado")))</f>
        <v/>
      </c>
      <c r="W99" s="62" t="n">
        <v>0</v>
      </c>
      <c r="X99" s="62" t="n">
        <v>0</v>
      </c>
      <c r="Y99" s="62" t="n">
        <v>0</v>
      </c>
      <c r="Z99" s="62" t="n">
        <v>0</v>
      </c>
      <c r="AA99" s="62" t="n">
        <v>0</v>
      </c>
      <c r="AB99" s="62" t="n">
        <v>0</v>
      </c>
      <c r="AC99" s="62" t="n">
        <v>0</v>
      </c>
      <c r="AD99" s="62" t="n">
        <v>0</v>
      </c>
      <c r="AE99" s="62" t="n">
        <v>0</v>
      </c>
      <c r="AF99" s="62" t="n">
        <v>0</v>
      </c>
      <c r="AG99" s="62" t="n">
        <v>0</v>
      </c>
      <c r="AH99" s="62" t="n">
        <v>0</v>
      </c>
      <c r="AI99" s="62" t="n">
        <v>0</v>
      </c>
      <c r="AJ99" s="62" t="n">
        <v>0</v>
      </c>
      <c r="AK99" s="62" t="n">
        <v>0</v>
      </c>
      <c r="AL99" s="62" t="n">
        <v>0</v>
      </c>
      <c r="AM99" s="62" t="n">
        <v>0</v>
      </c>
      <c r="AN99" s="62" t="n">
        <v>0</v>
      </c>
      <c r="AO99" s="63">
        <f>IFERROR(AVERAGE(AA99,AB99,AC99,AD99,AE99,AF99,AG99,AH99,AI99,AJ99,AK99,AL99,AM99,AN99),"N/A")</f>
        <v/>
      </c>
      <c r="AP99" s="64">
        <f>IFERROR(AVERAGE(W99,X99,Y99,Z99)/2,"N/A")</f>
        <v/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9" t="inlineStr">
        <is>
          <t>CUSCO</t>
        </is>
      </c>
      <c r="D100" s="9" t="inlineStr">
        <is>
          <t>CACAO</t>
        </is>
      </c>
      <c r="E100" s="14" t="n"/>
      <c r="F100" s="15" t="n"/>
      <c r="G100" s="24" t="inlineStr">
        <is>
          <t>NO</t>
        </is>
      </c>
      <c r="H100" s="15" t="inlineStr">
        <is>
          <t>nan</t>
        </is>
      </c>
      <c r="I100" s="15" t="inlineStr">
        <is>
          <t>nan</t>
        </is>
      </c>
      <c r="J100" s="15" t="inlineStr">
        <is>
          <t>ACTIVO</t>
        </is>
      </c>
      <c r="K100" s="15" t="inlineStr">
        <is>
          <t>nan</t>
        </is>
      </c>
      <c r="L100" s="17" t="n">
        <v>0</v>
      </c>
      <c r="M100" s="18">
        <f>IF(E100&gt;0,ROUND(L100/E100*100,1),0)</f>
        <v/>
      </c>
      <c r="N100" s="19" t="inlineStr">
        <is>
          <t>PENDIENTE</t>
        </is>
      </c>
      <c r="O100" s="20">
        <f>IF(H100="SI",1,0)*0.6+IF(I100="SI",1,0)*0.4</f>
        <v/>
      </c>
      <c r="P100" s="19" t="inlineStr">
        <is>
          <t>PENDIENTE</t>
        </is>
      </c>
      <c r="Q100" s="14" t="n"/>
      <c r="R100" s="21" t="n"/>
      <c r="S100" s="22">
        <f>IFERROR(SCORECARDS!C98,"—")</f>
        <v/>
      </c>
      <c r="T100" s="23">
        <f>IF(ISTEXT(S100),S100,IF(S100&lt;34,"🔴 Crítico",IF(S100&lt;67,"🟡 Vulnerable","🟢 Preparado")))</f>
        <v/>
      </c>
      <c r="W100" s="62" t="n">
        <v>0</v>
      </c>
      <c r="X100" s="62" t="n">
        <v>0</v>
      </c>
      <c r="Y100" s="62" t="n">
        <v>0</v>
      </c>
      <c r="Z100" s="62" t="n">
        <v>0</v>
      </c>
      <c r="AA100" s="62" t="n">
        <v>0</v>
      </c>
      <c r="AB100" s="62" t="n">
        <v>0</v>
      </c>
      <c r="AC100" s="62" t="n">
        <v>0</v>
      </c>
      <c r="AD100" s="62" t="n">
        <v>0</v>
      </c>
      <c r="AE100" s="62" t="n">
        <v>0</v>
      </c>
      <c r="AF100" s="62" t="n">
        <v>0</v>
      </c>
      <c r="AG100" s="62" t="n">
        <v>0</v>
      </c>
      <c r="AH100" s="62" t="n">
        <v>0</v>
      </c>
      <c r="AI100" s="62" t="n">
        <v>0</v>
      </c>
      <c r="AJ100" s="62" t="n">
        <v>0</v>
      </c>
      <c r="AK100" s="62" t="n">
        <v>0</v>
      </c>
      <c r="AL100" s="62" t="n">
        <v>0</v>
      </c>
      <c r="AM100" s="62" t="n">
        <v>0</v>
      </c>
      <c r="AN100" s="62" t="n">
        <v>0</v>
      </c>
      <c r="AO100" s="63">
        <f>IFERROR(AVERAGE(AA100,AB100,AC100,AD100,AE100,AF100,AG100,AH100,AI100,AJ100,AK100,AL100,AM100,AN100),"N/A")</f>
        <v/>
      </c>
      <c r="AP100" s="64">
        <f>IFERROR(AVERAGE(W100,X100,Y100,Z100)/2,"N/A")</f>
        <v/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9" t="inlineStr">
        <is>
          <t>AMAZONAS</t>
        </is>
      </c>
      <c r="D101" s="9" t="inlineStr">
        <is>
          <t>CAFÉ</t>
        </is>
      </c>
      <c r="E101" s="14" t="n"/>
      <c r="F101" s="15" t="n"/>
      <c r="G101" s="24" t="inlineStr">
        <is>
          <t>NO</t>
        </is>
      </c>
      <c r="H101" s="15" t="inlineStr">
        <is>
          <t>nan</t>
        </is>
      </c>
      <c r="I101" s="15" t="inlineStr">
        <is>
          <t>nan</t>
        </is>
      </c>
      <c r="J101" s="15" t="inlineStr">
        <is>
          <t>ACTIVO</t>
        </is>
      </c>
      <c r="K101" s="15" t="inlineStr">
        <is>
          <t>nan</t>
        </is>
      </c>
      <c r="L101" s="17" t="n">
        <v>0</v>
      </c>
      <c r="M101" s="18">
        <f>IF(E101&gt;0,ROUND(L101/E101*100,1),0)</f>
        <v/>
      </c>
      <c r="N101" s="19" t="inlineStr">
        <is>
          <t>PENDIENTE</t>
        </is>
      </c>
      <c r="O101" s="20">
        <f>IF(H101="SI",1,0)*0.6+IF(I101="SI",1,0)*0.4</f>
        <v/>
      </c>
      <c r="P101" s="19" t="inlineStr">
        <is>
          <t>PENDIENTE</t>
        </is>
      </c>
      <c r="Q101" s="14" t="n"/>
      <c r="R101" s="21" t="n"/>
      <c r="S101" s="22">
        <f>IFERROR(SCORECARDS!C99,"—")</f>
        <v/>
      </c>
      <c r="T101" s="23">
        <f>IF(ISTEXT(S101),S101,IF(S101&lt;34,"🔴 Crítico",IF(S101&lt;67,"🟡 Vulnerable","🟢 Preparado")))</f>
        <v/>
      </c>
      <c r="W101" s="62" t="n">
        <v>0</v>
      </c>
      <c r="X101" s="62" t="n">
        <v>0</v>
      </c>
      <c r="Y101" s="62" t="n">
        <v>0</v>
      </c>
      <c r="Z101" s="62" t="n">
        <v>0</v>
      </c>
      <c r="AA101" s="62" t="n">
        <v>0</v>
      </c>
      <c r="AB101" s="62" t="n">
        <v>0</v>
      </c>
      <c r="AC101" s="62" t="n">
        <v>0</v>
      </c>
      <c r="AD101" s="62" t="n">
        <v>0</v>
      </c>
      <c r="AE101" s="62" t="n">
        <v>0</v>
      </c>
      <c r="AF101" s="62" t="n">
        <v>0</v>
      </c>
      <c r="AG101" s="62" t="n">
        <v>0</v>
      </c>
      <c r="AH101" s="62" t="n">
        <v>0</v>
      </c>
      <c r="AI101" s="62" t="n">
        <v>0</v>
      </c>
      <c r="AJ101" s="62" t="n">
        <v>0</v>
      </c>
      <c r="AK101" s="62" t="n">
        <v>0</v>
      </c>
      <c r="AL101" s="62" t="n">
        <v>0</v>
      </c>
      <c r="AM101" s="62" t="n">
        <v>0</v>
      </c>
      <c r="AN101" s="62" t="n">
        <v>0</v>
      </c>
      <c r="AO101" s="63">
        <f>IFERROR(AVERAGE(AA101,AB101,AC101,AD101,AE101,AF101,AG101,AH101,AI101,AJ101,AK101,AL101,AM101,AN101),"N/A")</f>
        <v/>
      </c>
      <c r="AP101" s="64">
        <f>IFERROR(AVERAGE(W101,X101,Y101,Z101)/2,"N/A")</f>
        <v/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9" t="inlineStr">
        <is>
          <t>HUANUCO</t>
        </is>
      </c>
      <c r="D102" s="9" t="inlineStr">
        <is>
          <t>CACAO</t>
        </is>
      </c>
      <c r="E102" s="14" t="n"/>
      <c r="F102" s="15" t="n"/>
      <c r="G102" s="24" t="inlineStr">
        <is>
          <t>NO</t>
        </is>
      </c>
      <c r="H102" s="15" t="inlineStr">
        <is>
          <t>nan</t>
        </is>
      </c>
      <c r="I102" s="15" t="inlineStr">
        <is>
          <t>nan</t>
        </is>
      </c>
      <c r="J102" s="15" t="inlineStr">
        <is>
          <t>ACTIVO</t>
        </is>
      </c>
      <c r="K102" s="15" t="inlineStr">
        <is>
          <t>nan</t>
        </is>
      </c>
      <c r="L102" s="17" t="n">
        <v>0</v>
      </c>
      <c r="M102" s="18">
        <f>IF(E102&gt;0,ROUND(L102/E102*100,1),0)</f>
        <v/>
      </c>
      <c r="N102" s="19" t="inlineStr">
        <is>
          <t>PENDIENTE</t>
        </is>
      </c>
      <c r="O102" s="20">
        <f>IF(H102="SI",1,0)*0.6+IF(I102="SI",1,0)*0.4</f>
        <v/>
      </c>
      <c r="P102" s="19" t="inlineStr">
        <is>
          <t>PENDIENTE</t>
        </is>
      </c>
      <c r="Q102" s="14" t="n"/>
      <c r="R102" s="21" t="n"/>
      <c r="S102" s="22">
        <f>IFERROR(SCORECARDS!C100,"—")</f>
        <v/>
      </c>
      <c r="T102" s="23">
        <f>IF(ISTEXT(S102),S102,IF(S102&lt;34,"🔴 Crítico",IF(S102&lt;67,"🟡 Vulnerable","🟢 Preparado")))</f>
        <v/>
      </c>
      <c r="W102" s="62" t="n">
        <v>0</v>
      </c>
      <c r="X102" s="62" t="n">
        <v>0</v>
      </c>
      <c r="Y102" s="62" t="n">
        <v>0</v>
      </c>
      <c r="Z102" s="62" t="n">
        <v>0</v>
      </c>
      <c r="AA102" s="62" t="n">
        <v>0</v>
      </c>
      <c r="AB102" s="62" t="n">
        <v>0</v>
      </c>
      <c r="AC102" s="62" t="n">
        <v>0</v>
      </c>
      <c r="AD102" s="62" t="n">
        <v>0</v>
      </c>
      <c r="AE102" s="62" t="n">
        <v>0</v>
      </c>
      <c r="AF102" s="62" t="n">
        <v>0</v>
      </c>
      <c r="AG102" s="62" t="n">
        <v>0</v>
      </c>
      <c r="AH102" s="62" t="n">
        <v>0</v>
      </c>
      <c r="AI102" s="62" t="n">
        <v>0</v>
      </c>
      <c r="AJ102" s="62" t="n">
        <v>0</v>
      </c>
      <c r="AK102" s="62" t="n">
        <v>0</v>
      </c>
      <c r="AL102" s="62" t="n">
        <v>0</v>
      </c>
      <c r="AM102" s="62" t="n">
        <v>0</v>
      </c>
      <c r="AN102" s="62" t="n">
        <v>0</v>
      </c>
      <c r="AO102" s="63">
        <f>IFERROR(AVERAGE(AA102,AB102,AC102,AD102,AE102,AF102,AG102,AH102,AI102,AJ102,AK102,AL102,AM102,AN102),"N/A")</f>
        <v/>
      </c>
      <c r="AP102" s="64">
        <f>IFERROR(AVERAGE(W102,X102,Y102,Z102)/2,"N/A")</f>
        <v/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9" t="inlineStr">
        <is>
          <t>LORETO</t>
        </is>
      </c>
      <c r="D103" s="9" t="inlineStr">
        <is>
          <t>CACAO</t>
        </is>
      </c>
      <c r="E103" s="14" t="n"/>
      <c r="F103" s="15" t="n"/>
      <c r="G103" s="24" t="inlineStr">
        <is>
          <t>NO</t>
        </is>
      </c>
      <c r="H103" s="15" t="inlineStr">
        <is>
          <t>nan</t>
        </is>
      </c>
      <c r="I103" s="15" t="inlineStr">
        <is>
          <t>nan</t>
        </is>
      </c>
      <c r="J103" s="15" t="inlineStr">
        <is>
          <t>ACTIVO</t>
        </is>
      </c>
      <c r="K103" s="15" t="inlineStr">
        <is>
          <t>nan</t>
        </is>
      </c>
      <c r="L103" s="17" t="n">
        <v>0</v>
      </c>
      <c r="M103" s="18">
        <f>IF(E103&gt;0,ROUND(L103/E103*100,1),0)</f>
        <v/>
      </c>
      <c r="N103" s="19" t="inlineStr">
        <is>
          <t>PENDIENTE</t>
        </is>
      </c>
      <c r="O103" s="20">
        <f>IF(H103="SI",1,0)*0.6+IF(I103="SI",1,0)*0.4</f>
        <v/>
      </c>
      <c r="P103" s="19" t="inlineStr">
        <is>
          <t>PENDIENTE</t>
        </is>
      </c>
      <c r="Q103" s="14" t="n"/>
      <c r="R103" s="21" t="n"/>
      <c r="S103" s="22">
        <f>IFERROR(SCORECARDS!C101,"—")</f>
        <v/>
      </c>
      <c r="T103" s="23">
        <f>IF(ISTEXT(S103),S103,IF(S103&lt;34,"🔴 Crítico",IF(S103&lt;67,"🟡 Vulnerable","🟢 Preparado")))</f>
        <v/>
      </c>
      <c r="W103" s="62" t="n">
        <v>0</v>
      </c>
      <c r="X103" s="62" t="n">
        <v>0</v>
      </c>
      <c r="Y103" s="62" t="n">
        <v>0</v>
      </c>
      <c r="Z103" s="62" t="n">
        <v>0</v>
      </c>
      <c r="AA103" s="62" t="n">
        <v>0</v>
      </c>
      <c r="AB103" s="62" t="n">
        <v>0</v>
      </c>
      <c r="AC103" s="62" t="n">
        <v>0</v>
      </c>
      <c r="AD103" s="62" t="n">
        <v>0</v>
      </c>
      <c r="AE103" s="62" t="n">
        <v>0</v>
      </c>
      <c r="AF103" s="62" t="n">
        <v>0</v>
      </c>
      <c r="AG103" s="62" t="n">
        <v>0</v>
      </c>
      <c r="AH103" s="62" t="n">
        <v>0</v>
      </c>
      <c r="AI103" s="62" t="n">
        <v>0</v>
      </c>
      <c r="AJ103" s="62" t="n">
        <v>0</v>
      </c>
      <c r="AK103" s="62" t="n">
        <v>0</v>
      </c>
      <c r="AL103" s="62" t="n">
        <v>0</v>
      </c>
      <c r="AM103" s="62" t="n">
        <v>0</v>
      </c>
      <c r="AN103" s="62" t="n">
        <v>0</v>
      </c>
      <c r="AO103" s="63">
        <f>IFERROR(AVERAGE(AA103,AB103,AC103,AD103,AE103,AF103,AG103,AH103,AI103,AJ103,AK103,AL103,AM103,AN103),"N/A")</f>
        <v/>
      </c>
      <c r="AP103" s="64">
        <f>IFERROR(AVERAGE(W103,X103,Y103,Z103)/2,"N/A")</f>
        <v/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9" t="inlineStr">
        <is>
          <t>MADRE DE DIOS</t>
        </is>
      </c>
      <c r="D104" s="9" t="inlineStr">
        <is>
          <t>CACAO</t>
        </is>
      </c>
      <c r="E104" s="14" t="n">
        <v>0</v>
      </c>
      <c r="F104" s="15" t="n"/>
      <c r="G104" s="24" t="inlineStr">
        <is>
          <t>NO</t>
        </is>
      </c>
      <c r="H104" s="15" t="inlineStr">
        <is>
          <t>nan</t>
        </is>
      </c>
      <c r="I104" s="15" t="inlineStr">
        <is>
          <t>nan</t>
        </is>
      </c>
      <c r="J104" s="15" t="inlineStr">
        <is>
          <t>ACTIVO</t>
        </is>
      </c>
      <c r="K104" s="15" t="inlineStr">
        <is>
          <t>nan</t>
        </is>
      </c>
      <c r="L104" s="17" t="n">
        <v>0</v>
      </c>
      <c r="M104" s="18">
        <f>IF(E104&gt;0,ROUND(L104/E104*100,1),0)</f>
        <v/>
      </c>
      <c r="N104" s="19" t="inlineStr">
        <is>
          <t>PENDIENTE</t>
        </is>
      </c>
      <c r="O104" s="20">
        <f>IF(H104="SI",1,0)*0.6+IF(I104="SI",1,0)*0.4</f>
        <v/>
      </c>
      <c r="P104" s="19" t="inlineStr">
        <is>
          <t>PENDIENTE</t>
        </is>
      </c>
      <c r="Q104" s="14" t="n"/>
      <c r="R104" s="21" t="n"/>
      <c r="S104" s="22">
        <f>IFERROR(SCORECARDS!C102,"—")</f>
        <v/>
      </c>
      <c r="T104" s="23">
        <f>IF(ISTEXT(S104),S104,IF(S104&lt;34,"🔴 Crítico",IF(S104&lt;67,"🟡 Vulnerable","🟢 Preparado")))</f>
        <v/>
      </c>
      <c r="W104" s="62" t="n">
        <v>0</v>
      </c>
      <c r="X104" s="62" t="n">
        <v>0</v>
      </c>
      <c r="Y104" s="62" t="n">
        <v>0</v>
      </c>
      <c r="Z104" s="62" t="n">
        <v>0</v>
      </c>
      <c r="AA104" s="62" t="n">
        <v>0</v>
      </c>
      <c r="AB104" s="62" t="n">
        <v>0</v>
      </c>
      <c r="AC104" s="62" t="n">
        <v>0</v>
      </c>
      <c r="AD104" s="62" t="n">
        <v>0</v>
      </c>
      <c r="AE104" s="62" t="n">
        <v>0</v>
      </c>
      <c r="AF104" s="62" t="n">
        <v>0</v>
      </c>
      <c r="AG104" s="62" t="n">
        <v>0</v>
      </c>
      <c r="AH104" s="62" t="n">
        <v>0</v>
      </c>
      <c r="AI104" s="62" t="n">
        <v>0</v>
      </c>
      <c r="AJ104" s="62" t="n">
        <v>0</v>
      </c>
      <c r="AK104" s="62" t="n">
        <v>0</v>
      </c>
      <c r="AL104" s="62" t="n">
        <v>0</v>
      </c>
      <c r="AM104" s="62" t="n">
        <v>0</v>
      </c>
      <c r="AN104" s="62" t="n">
        <v>0</v>
      </c>
      <c r="AO104" s="63">
        <f>IFERROR(AVERAGE(AA104,AB104,AC104,AD104,AE104,AF104,AG104,AH104,AI104,AJ104,AK104,AL104,AM104,AN104),"N/A")</f>
        <v/>
      </c>
      <c r="AP104" s="64">
        <f>IFERROR(AVERAGE(W104,X104,Y104,Z104)/2,"N/A")</f>
        <v/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9" t="inlineStr">
        <is>
          <t>AMAZONAS</t>
        </is>
      </c>
      <c r="D105" s="9" t="inlineStr">
        <is>
          <t>CAFÉ</t>
        </is>
      </c>
      <c r="E105" s="14" t="n">
        <v>0</v>
      </c>
      <c r="F105" s="15" t="n"/>
      <c r="G105" s="24" t="inlineStr">
        <is>
          <t>NO</t>
        </is>
      </c>
      <c r="H105" s="15" t="inlineStr">
        <is>
          <t>nan</t>
        </is>
      </c>
      <c r="I105" s="15" t="inlineStr">
        <is>
          <t>nan</t>
        </is>
      </c>
      <c r="J105" s="15" t="inlineStr">
        <is>
          <t>ACTIVO</t>
        </is>
      </c>
      <c r="K105" s="15" t="inlineStr">
        <is>
          <t>nan</t>
        </is>
      </c>
      <c r="L105" s="17" t="n">
        <v>0</v>
      </c>
      <c r="M105" s="18">
        <f>IF(E105&gt;0,ROUND(L105/E105*100,1),0)</f>
        <v/>
      </c>
      <c r="N105" s="19" t="inlineStr">
        <is>
          <t>PENDIENTE</t>
        </is>
      </c>
      <c r="O105" s="20">
        <f>IF(H105="SI",1,0)*0.6+IF(I105="SI",1,0)*0.4</f>
        <v/>
      </c>
      <c r="P105" s="19" t="inlineStr">
        <is>
          <t>PENDIENTE</t>
        </is>
      </c>
      <c r="Q105" s="14" t="n"/>
      <c r="R105" s="21" t="n"/>
      <c r="S105" s="22">
        <f>IFERROR(SCORECARDS!C103,"—")</f>
        <v/>
      </c>
      <c r="T105" s="23">
        <f>IF(ISTEXT(S105),S105,IF(S105&lt;34,"🔴 Crítico",IF(S105&lt;67,"🟡 Vulnerable","🟢 Preparado")))</f>
        <v/>
      </c>
      <c r="W105" s="62" t="n">
        <v>0</v>
      </c>
      <c r="X105" s="62" t="n">
        <v>0</v>
      </c>
      <c r="Y105" s="62" t="n">
        <v>0</v>
      </c>
      <c r="Z105" s="62" t="n">
        <v>0</v>
      </c>
      <c r="AA105" s="62" t="n">
        <v>0</v>
      </c>
      <c r="AB105" s="62" t="n">
        <v>0</v>
      </c>
      <c r="AC105" s="62" t="n">
        <v>0</v>
      </c>
      <c r="AD105" s="62" t="n">
        <v>0</v>
      </c>
      <c r="AE105" s="62" t="n">
        <v>0</v>
      </c>
      <c r="AF105" s="62" t="n">
        <v>0</v>
      </c>
      <c r="AG105" s="62" t="n">
        <v>0</v>
      </c>
      <c r="AH105" s="62" t="n">
        <v>0</v>
      </c>
      <c r="AI105" s="62" t="n">
        <v>0</v>
      </c>
      <c r="AJ105" s="62" t="n">
        <v>0</v>
      </c>
      <c r="AK105" s="62" t="n">
        <v>0</v>
      </c>
      <c r="AL105" s="62" t="n">
        <v>0</v>
      </c>
      <c r="AM105" s="62" t="n">
        <v>0</v>
      </c>
      <c r="AN105" s="62" t="n">
        <v>0</v>
      </c>
      <c r="AO105" s="63">
        <f>IFERROR(AVERAGE(AA105,AB105,AC105,AD105,AE105,AF105,AG105,AH105,AI105,AJ105,AK105,AL105,AM105,AN105),"N/A")</f>
        <v/>
      </c>
      <c r="AP105" s="64">
        <f>IFERROR(AVERAGE(W105,X105,Y105,Z105)/2,"N/A")</f>
        <v/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9" t="inlineStr">
        <is>
          <t>SAN MARTIN</t>
        </is>
      </c>
      <c r="D106" s="9" t="inlineStr">
        <is>
          <t>CAFÉ</t>
        </is>
      </c>
      <c r="E106" s="14" t="n">
        <v>4154567.790000001</v>
      </c>
      <c r="F106" s="15" t="n">
        <v>25</v>
      </c>
      <c r="G106" s="16" t="inlineStr">
        <is>
          <t>SI</t>
        </is>
      </c>
      <c r="H106" s="15" t="inlineStr">
        <is>
          <t xml:space="preserve">Si </t>
        </is>
      </c>
      <c r="I106" s="15" t="inlineStr">
        <is>
          <t xml:space="preserve">Si </t>
        </is>
      </c>
      <c r="J106" s="15" t="inlineStr">
        <is>
          <t>ACTIVO</t>
        </is>
      </c>
      <c r="K106" s="15" t="inlineStr">
        <is>
          <t>1</t>
        </is>
      </c>
      <c r="L106" s="17" t="n">
        <v>2059443.82</v>
      </c>
      <c r="M106" s="18">
        <f>IF(E106&gt;0,ROUND(L106/E106*100,1),0)</f>
        <v/>
      </c>
      <c r="N106" s="19" t="inlineStr">
        <is>
          <t>PENDIENTE</t>
        </is>
      </c>
      <c r="O106" s="20">
        <f>IF(H106="SI",1,0)*0.6+IF(I106="SI",1,0)*0.4</f>
        <v/>
      </c>
      <c r="P106" s="19" t="inlineStr">
        <is>
          <t>PENDIENTE</t>
        </is>
      </c>
      <c r="Q106" s="14" t="n">
        <v>797</v>
      </c>
      <c r="R106" s="21" t="n">
        <v>2110</v>
      </c>
      <c r="S106" s="22">
        <f>IFERROR(SCORECARDS!C104,"—")</f>
        <v/>
      </c>
      <c r="T106" s="23">
        <f>IF(ISTEXT(S106),S106,IF(S106&lt;34,"🔴 Crítico",IF(S106&lt;67,"🟡 Vulnerable","🟢 Preparado")))</f>
        <v/>
      </c>
      <c r="U106" s="57" t="n">
        <v>1</v>
      </c>
      <c r="V106" t="inlineStr">
        <is>
          <t>Sin hallazgos OSCE / OEFA</t>
        </is>
      </c>
      <c r="W106" s="68" t="n">
        <v>1</v>
      </c>
      <c r="X106" s="62" t="n">
        <v>0</v>
      </c>
      <c r="Y106" s="62" t="n">
        <v>0</v>
      </c>
      <c r="Z106" s="62" t="n">
        <v>0</v>
      </c>
      <c r="AA106" s="62" t="n">
        <v>0</v>
      </c>
      <c r="AB106" s="62" t="n">
        <v>0</v>
      </c>
      <c r="AC106" s="62" t="n">
        <v>0</v>
      </c>
      <c r="AD106" s="62" t="n">
        <v>0</v>
      </c>
      <c r="AE106" s="62" t="n">
        <v>0</v>
      </c>
      <c r="AF106" s="62" t="n">
        <v>0</v>
      </c>
      <c r="AG106" s="62" t="n">
        <v>0</v>
      </c>
      <c r="AH106" s="62" t="n">
        <v>0</v>
      </c>
      <c r="AI106" s="62" t="n">
        <v>0</v>
      </c>
      <c r="AJ106" s="62" t="n">
        <v>0</v>
      </c>
      <c r="AK106" s="62" t="n">
        <v>0</v>
      </c>
      <c r="AL106" s="62" t="n">
        <v>0</v>
      </c>
      <c r="AM106" s="62" t="n">
        <v>0</v>
      </c>
      <c r="AN106" s="62" t="n">
        <v>0</v>
      </c>
      <c r="AO106" s="63">
        <f>IFERROR(AVERAGE(AA106,AB106,AC106,AD106,AE106,AF106,AG106,AH106,AI106,AJ106,AK106,AL106,AM106,AN106),"N/A")</f>
        <v/>
      </c>
      <c r="AP106" s="64">
        <f>IFERROR(AVERAGE(W106,X106,Y106,Z106)/2,"N/A")</f>
        <v/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9" t="inlineStr">
        <is>
          <t>UCAYALI</t>
        </is>
      </c>
      <c r="D107" s="9" t="inlineStr">
        <is>
          <t>CACAO</t>
        </is>
      </c>
      <c r="E107" s="14" t="n"/>
      <c r="F107" s="15" t="n"/>
      <c r="G107" s="24" t="inlineStr">
        <is>
          <t>NO</t>
        </is>
      </c>
      <c r="H107" s="15" t="inlineStr">
        <is>
          <t>nan</t>
        </is>
      </c>
      <c r="I107" s="15" t="inlineStr">
        <is>
          <t>nan</t>
        </is>
      </c>
      <c r="J107" s="15" t="inlineStr">
        <is>
          <t>ACTIVO</t>
        </is>
      </c>
      <c r="K107" s="15" t="inlineStr">
        <is>
          <t>nan</t>
        </is>
      </c>
      <c r="L107" s="17" t="n">
        <v>0</v>
      </c>
      <c r="M107" s="18">
        <f>IF(E107&gt;0,ROUND(L107/E107*100,1),0)</f>
        <v/>
      </c>
      <c r="N107" s="19" t="inlineStr">
        <is>
          <t>PENDIENTE</t>
        </is>
      </c>
      <c r="O107" s="20">
        <f>IF(H107="SI",1,0)*0.6+IF(I107="SI",1,0)*0.4</f>
        <v/>
      </c>
      <c r="P107" s="19" t="inlineStr">
        <is>
          <t>PENDIENTE</t>
        </is>
      </c>
      <c r="Q107" s="14" t="n"/>
      <c r="R107" s="21" t="n"/>
      <c r="S107" s="22">
        <f>IFERROR(SCORECARDS!C105,"—")</f>
        <v/>
      </c>
      <c r="T107" s="23">
        <f>IF(ISTEXT(S107),S107,IF(S107&lt;34,"🔴 Crítico",IF(S107&lt;67,"🟡 Vulnerable","🟢 Preparado")))</f>
        <v/>
      </c>
      <c r="W107" s="62" t="n">
        <v>0</v>
      </c>
      <c r="X107" s="62" t="n">
        <v>0</v>
      </c>
      <c r="Y107" s="62" t="n">
        <v>0</v>
      </c>
      <c r="Z107" s="62" t="n">
        <v>0</v>
      </c>
      <c r="AA107" s="62" t="n">
        <v>0</v>
      </c>
      <c r="AB107" s="62" t="n">
        <v>0</v>
      </c>
      <c r="AC107" s="62" t="n">
        <v>0</v>
      </c>
      <c r="AD107" s="62" t="n">
        <v>0</v>
      </c>
      <c r="AE107" s="62" t="n">
        <v>0</v>
      </c>
      <c r="AF107" s="62" t="n">
        <v>0</v>
      </c>
      <c r="AG107" s="62" t="n">
        <v>0</v>
      </c>
      <c r="AH107" s="62" t="n">
        <v>0</v>
      </c>
      <c r="AI107" s="62" t="n">
        <v>0</v>
      </c>
      <c r="AJ107" s="62" t="n">
        <v>0</v>
      </c>
      <c r="AK107" s="62" t="n">
        <v>0</v>
      </c>
      <c r="AL107" s="62" t="n">
        <v>0</v>
      </c>
      <c r="AM107" s="62" t="n">
        <v>0</v>
      </c>
      <c r="AN107" s="62" t="n">
        <v>0</v>
      </c>
      <c r="AO107" s="63">
        <f>IFERROR(AVERAGE(AA107,AB107,AC107,AD107,AE107,AF107,AG107,AH107,AI107,AJ107,AK107,AL107,AM107,AN107),"N/A")</f>
        <v/>
      </c>
      <c r="AP107" s="64">
        <f>IFERROR(AVERAGE(W107,X107,Y107,Z107)/2,"N/A")</f>
        <v/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9" t="inlineStr">
        <is>
          <t>UCAYALI</t>
        </is>
      </c>
      <c r="D108" s="9" t="inlineStr">
        <is>
          <t>CACAO</t>
        </is>
      </c>
      <c r="E108" s="14" t="n">
        <v>21233720.82000001</v>
      </c>
      <c r="F108" s="15" t="n">
        <v>93</v>
      </c>
      <c r="G108" s="16" t="inlineStr">
        <is>
          <t>SI</t>
        </is>
      </c>
      <c r="H108" s="15" t="inlineStr">
        <is>
          <t>nan</t>
        </is>
      </c>
      <c r="I108" s="15" t="inlineStr">
        <is>
          <t>nan</t>
        </is>
      </c>
      <c r="J108" s="15" t="inlineStr">
        <is>
          <t>ACTIVO</t>
        </is>
      </c>
      <c r="K108" s="15" t="inlineStr">
        <is>
          <t>nan</t>
        </is>
      </c>
      <c r="L108" s="17" t="n">
        <v>10616860.41</v>
      </c>
      <c r="M108" s="18">
        <f>IF(E108&gt;0,ROUND(L108/E108*100,1),0)</f>
        <v/>
      </c>
      <c r="N108" s="19" t="inlineStr">
        <is>
          <t>PENDIENTE</t>
        </is>
      </c>
      <c r="O108" s="20">
        <f>IF(H108="SI",1,0)*0.6+IF(I108="SI",1,0)*0.4</f>
        <v/>
      </c>
      <c r="P108" s="19" t="inlineStr">
        <is>
          <t>PENDIENTE</t>
        </is>
      </c>
      <c r="Q108" s="14" t="n"/>
      <c r="R108" s="21" t="n"/>
      <c r="S108" s="22">
        <f>IFERROR(SCORECARDS!C106,"—")</f>
        <v/>
      </c>
      <c r="T108" s="23">
        <f>IF(ISTEXT(S108),S108,IF(S108&lt;34,"🔴 Crítico",IF(S108&lt;67,"🟡 Vulnerable","🟢 Preparado")))</f>
        <v/>
      </c>
      <c r="U108" s="57" t="n">
        <v>1</v>
      </c>
      <c r="V108" t="inlineStr">
        <is>
          <t>Sin hallazgos OSCE / OEFA</t>
        </is>
      </c>
      <c r="W108" s="68" t="n">
        <v>1</v>
      </c>
      <c r="X108" s="62" t="n">
        <v>0</v>
      </c>
      <c r="Y108" s="62" t="n">
        <v>0</v>
      </c>
      <c r="Z108" s="62" t="n">
        <v>0</v>
      </c>
      <c r="AA108" s="62" t="n">
        <v>0</v>
      </c>
      <c r="AB108" s="62" t="n">
        <v>0</v>
      </c>
      <c r="AC108" s="62" t="n">
        <v>0</v>
      </c>
      <c r="AD108" s="62" t="n">
        <v>0</v>
      </c>
      <c r="AE108" s="62" t="n">
        <v>0</v>
      </c>
      <c r="AF108" s="62" t="n">
        <v>0</v>
      </c>
      <c r="AG108" s="62" t="n">
        <v>0</v>
      </c>
      <c r="AH108" s="62" t="n">
        <v>0</v>
      </c>
      <c r="AI108" s="62" t="n">
        <v>0</v>
      </c>
      <c r="AJ108" s="62" t="n">
        <v>0</v>
      </c>
      <c r="AK108" s="62" t="n">
        <v>0</v>
      </c>
      <c r="AL108" s="62" t="n">
        <v>0</v>
      </c>
      <c r="AM108" s="62" t="n">
        <v>0</v>
      </c>
      <c r="AN108" s="62" t="n">
        <v>0</v>
      </c>
      <c r="AO108" s="63">
        <f>IFERROR(AVERAGE(AA108,AB108,AC108,AD108,AE108,AF108,AG108,AH108,AI108,AJ108,AK108,AL108,AM108,AN108),"N/A")</f>
        <v/>
      </c>
      <c r="AP108" s="64">
        <f>IFERROR(AVERAGE(W108,X108,Y108,Z108)/2,"N/A")</f>
        <v/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9" t="inlineStr">
        <is>
          <t>AYACUCHO</t>
        </is>
      </c>
      <c r="D109" s="9" t="inlineStr">
        <is>
          <t>CACAO</t>
        </is>
      </c>
      <c r="E109" s="14" t="n"/>
      <c r="F109" s="15" t="n"/>
      <c r="G109" s="24" t="inlineStr">
        <is>
          <t>NO</t>
        </is>
      </c>
      <c r="H109" s="15" t="inlineStr">
        <is>
          <t>nan</t>
        </is>
      </c>
      <c r="I109" s="15" t="inlineStr">
        <is>
          <t>nan</t>
        </is>
      </c>
      <c r="J109" s="15" t="inlineStr">
        <is>
          <t>BAJA DE OFICIO</t>
        </is>
      </c>
      <c r="K109" s="15" t="inlineStr">
        <is>
          <t>nan</t>
        </is>
      </c>
      <c r="L109" s="17" t="n">
        <v>0</v>
      </c>
      <c r="M109" s="18">
        <f>IF(E109&gt;0,ROUND(L109/E109*100,1),0)</f>
        <v/>
      </c>
      <c r="N109" s="19" t="inlineStr">
        <is>
          <t>PENDIENTE</t>
        </is>
      </c>
      <c r="O109" s="20">
        <f>IF(H109="SI",1,0)*0.6+IF(I109="SI",1,0)*0.4</f>
        <v/>
      </c>
      <c r="P109" s="19" t="inlineStr">
        <is>
          <t>PENDIENTE</t>
        </is>
      </c>
      <c r="Q109" s="14" t="n"/>
      <c r="R109" s="21" t="n"/>
      <c r="S109" s="22">
        <f>IFERROR(SCORECARDS!C107,"—")</f>
        <v/>
      </c>
      <c r="T109" s="23">
        <f>IF(ISTEXT(S109),S109,IF(S109&lt;34,"🔴 Crítico",IF(S109&lt;67,"🟡 Vulnerable","🟢 Preparado")))</f>
        <v/>
      </c>
      <c r="W109" s="62" t="n">
        <v>0</v>
      </c>
      <c r="X109" s="62" t="n">
        <v>0</v>
      </c>
      <c r="Y109" s="62" t="n">
        <v>0</v>
      </c>
      <c r="Z109" s="62" t="n">
        <v>0</v>
      </c>
      <c r="AA109" s="62" t="n">
        <v>0</v>
      </c>
      <c r="AB109" s="62" t="n">
        <v>0</v>
      </c>
      <c r="AC109" s="62" t="n">
        <v>0</v>
      </c>
      <c r="AD109" s="62" t="n">
        <v>0</v>
      </c>
      <c r="AE109" s="62" t="n">
        <v>0</v>
      </c>
      <c r="AF109" s="62" t="n">
        <v>0</v>
      </c>
      <c r="AG109" s="62" t="n">
        <v>0</v>
      </c>
      <c r="AH109" s="62" t="n">
        <v>0</v>
      </c>
      <c r="AI109" s="62" t="n">
        <v>0</v>
      </c>
      <c r="AJ109" s="62" t="n">
        <v>0</v>
      </c>
      <c r="AK109" s="62" t="n">
        <v>0</v>
      </c>
      <c r="AL109" s="62" t="n">
        <v>0</v>
      </c>
      <c r="AM109" s="62" t="n">
        <v>0</v>
      </c>
      <c r="AN109" s="62" t="n">
        <v>0</v>
      </c>
      <c r="AO109" s="63">
        <f>IFERROR(AVERAGE(AA109,AB109,AC109,AD109,AE109,AF109,AG109,AH109,AI109,AJ109,AK109,AL109,AM109,AN109),"N/A")</f>
        <v/>
      </c>
      <c r="AP109" s="64">
        <f>IFERROR(AVERAGE(W109,X109,Y109,Z109)/2,"N/A")</f>
        <v/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9" t="inlineStr">
        <is>
          <t>HUANUCO</t>
        </is>
      </c>
      <c r="D110" s="9" t="inlineStr">
        <is>
          <t>CACAO</t>
        </is>
      </c>
      <c r="E110" s="14" t="n"/>
      <c r="F110" s="15" t="n"/>
      <c r="G110" s="24" t="inlineStr">
        <is>
          <t>NO</t>
        </is>
      </c>
      <c r="H110" s="15" t="inlineStr">
        <is>
          <t>nan</t>
        </is>
      </c>
      <c r="I110" s="15" t="inlineStr">
        <is>
          <t>nan</t>
        </is>
      </c>
      <c r="J110" s="15" t="inlineStr">
        <is>
          <t>ACTIVO</t>
        </is>
      </c>
      <c r="K110" s="15" t="inlineStr">
        <is>
          <t>nan</t>
        </is>
      </c>
      <c r="L110" s="17" t="n">
        <v>0</v>
      </c>
      <c r="M110" s="18">
        <f>IF(E110&gt;0,ROUND(L110/E110*100,1),0)</f>
        <v/>
      </c>
      <c r="N110" s="19" t="inlineStr">
        <is>
          <t>PENDIENTE</t>
        </is>
      </c>
      <c r="O110" s="20">
        <f>IF(H110="SI",1,0)*0.6+IF(I110="SI",1,0)*0.4</f>
        <v/>
      </c>
      <c r="P110" s="19" t="inlineStr">
        <is>
          <t>PENDIENTE</t>
        </is>
      </c>
      <c r="Q110" s="14" t="n"/>
      <c r="R110" s="21" t="n"/>
      <c r="S110" s="22">
        <f>IFERROR(SCORECARDS!C108,"—")</f>
        <v/>
      </c>
      <c r="T110" s="23">
        <f>IF(ISTEXT(S110),S110,IF(S110&lt;34,"🔴 Crítico",IF(S110&lt;67,"🟡 Vulnerable","🟢 Preparado")))</f>
        <v/>
      </c>
      <c r="W110" s="62" t="n">
        <v>0</v>
      </c>
      <c r="X110" s="62" t="n">
        <v>0</v>
      </c>
      <c r="Y110" s="62" t="n">
        <v>0</v>
      </c>
      <c r="Z110" s="62" t="n">
        <v>0</v>
      </c>
      <c r="AA110" s="62" t="n">
        <v>0</v>
      </c>
      <c r="AB110" s="62" t="n">
        <v>0</v>
      </c>
      <c r="AC110" s="62" t="n">
        <v>0</v>
      </c>
      <c r="AD110" s="62" t="n">
        <v>0</v>
      </c>
      <c r="AE110" s="62" t="n">
        <v>0</v>
      </c>
      <c r="AF110" s="62" t="n">
        <v>0</v>
      </c>
      <c r="AG110" s="62" t="n">
        <v>0</v>
      </c>
      <c r="AH110" s="62" t="n">
        <v>0</v>
      </c>
      <c r="AI110" s="62" t="n">
        <v>0</v>
      </c>
      <c r="AJ110" s="62" t="n">
        <v>0</v>
      </c>
      <c r="AK110" s="62" t="n">
        <v>0</v>
      </c>
      <c r="AL110" s="62" t="n">
        <v>0</v>
      </c>
      <c r="AM110" s="62" t="n">
        <v>0</v>
      </c>
      <c r="AN110" s="62" t="n">
        <v>0</v>
      </c>
      <c r="AO110" s="63">
        <f>IFERROR(AVERAGE(AA110,AB110,AC110,AD110,AE110,AF110,AG110,AH110,AI110,AJ110,AK110,AL110,AM110,AN110),"N/A")</f>
        <v/>
      </c>
      <c r="AP110" s="64">
        <f>IFERROR(AVERAGE(W110,X110,Y110,Z110)/2,"N/A")</f>
        <v/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9" t="inlineStr">
        <is>
          <t>AMAZONAS</t>
        </is>
      </c>
      <c r="D111" s="9" t="inlineStr">
        <is>
          <t>CAFÉ</t>
        </is>
      </c>
      <c r="E111" s="14" t="n">
        <v>3887946.29</v>
      </c>
      <c r="F111" s="15" t="n">
        <v>16</v>
      </c>
      <c r="G111" s="16" t="inlineStr">
        <is>
          <t>SI</t>
        </is>
      </c>
      <c r="H111" s="15" t="inlineStr">
        <is>
          <t>nan</t>
        </is>
      </c>
      <c r="I111" s="15" t="inlineStr">
        <is>
          <t>nan</t>
        </is>
      </c>
      <c r="J111" s="15" t="inlineStr">
        <is>
          <t>ACTIVO</t>
        </is>
      </c>
      <c r="K111" s="15" t="inlineStr">
        <is>
          <t>nan</t>
        </is>
      </c>
      <c r="L111" s="17" t="n">
        <v>0</v>
      </c>
      <c r="M111" s="18">
        <f>IF(E111&gt;0,ROUND(L111/E111*100,1),0)</f>
        <v/>
      </c>
      <c r="N111" s="19" t="inlineStr">
        <is>
          <t>PENDIENTE</t>
        </is>
      </c>
      <c r="O111" s="20">
        <f>IF(H111="SI",1,0)*0.6+IF(I111="SI",1,0)*0.4</f>
        <v/>
      </c>
      <c r="P111" s="19" t="inlineStr">
        <is>
          <t>PENDIENTE</t>
        </is>
      </c>
      <c r="Q111" s="14" t="n"/>
      <c r="R111" s="21" t="n"/>
      <c r="S111" s="22">
        <f>IFERROR(SCORECARDS!C109,"—")</f>
        <v/>
      </c>
      <c r="T111" s="23">
        <f>IF(ISTEXT(S111),S111,IF(S111&lt;34,"🔴 Crítico",IF(S111&lt;67,"🟡 Vulnerable","🟢 Preparado")))</f>
        <v/>
      </c>
      <c r="W111" s="62" t="n">
        <v>0</v>
      </c>
      <c r="X111" s="62" t="n">
        <v>0</v>
      </c>
      <c r="Y111" s="62" t="n">
        <v>0</v>
      </c>
      <c r="Z111" s="62" t="n">
        <v>0</v>
      </c>
      <c r="AA111" s="62" t="n">
        <v>0</v>
      </c>
      <c r="AB111" s="62" t="n">
        <v>0</v>
      </c>
      <c r="AC111" s="62" t="n">
        <v>0</v>
      </c>
      <c r="AD111" s="62" t="n">
        <v>0</v>
      </c>
      <c r="AE111" s="62" t="n">
        <v>0</v>
      </c>
      <c r="AF111" s="62" t="n">
        <v>0</v>
      </c>
      <c r="AG111" s="62" t="n">
        <v>0</v>
      </c>
      <c r="AH111" s="62" t="n">
        <v>0</v>
      </c>
      <c r="AI111" s="62" t="n">
        <v>0</v>
      </c>
      <c r="AJ111" s="62" t="n">
        <v>0</v>
      </c>
      <c r="AK111" s="62" t="n">
        <v>0</v>
      </c>
      <c r="AL111" s="62" t="n">
        <v>0</v>
      </c>
      <c r="AM111" s="62" t="n">
        <v>0</v>
      </c>
      <c r="AN111" s="62" t="n">
        <v>0</v>
      </c>
      <c r="AO111" s="63">
        <f>IFERROR(AVERAGE(AA111,AB111,AC111,AD111,AE111,AF111,AG111,AH111,AI111,AJ111,AK111,AL111,AM111,AN111),"N/A")</f>
        <v/>
      </c>
      <c r="AP111" s="64">
        <f>IFERROR(AVERAGE(W111,X111,Y111,Z111)/2,"N/A")</f>
        <v/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9" t="inlineStr">
        <is>
          <t>HUANUCO</t>
        </is>
      </c>
      <c r="D112" s="9" t="inlineStr">
        <is>
          <t>CACAO</t>
        </is>
      </c>
      <c r="E112" s="14" t="n"/>
      <c r="F112" s="15" t="n"/>
      <c r="G112" s="24" t="inlineStr">
        <is>
          <t>NO</t>
        </is>
      </c>
      <c r="H112" s="15" t="inlineStr">
        <is>
          <t>nan</t>
        </is>
      </c>
      <c r="I112" s="15" t="inlineStr">
        <is>
          <t>nan</t>
        </is>
      </c>
      <c r="J112" s="15" t="inlineStr">
        <is>
          <t>ACTIVO</t>
        </is>
      </c>
      <c r="K112" s="15" t="inlineStr">
        <is>
          <t>nan</t>
        </is>
      </c>
      <c r="L112" s="17" t="n">
        <v>0</v>
      </c>
      <c r="M112" s="18">
        <f>IF(E112&gt;0,ROUND(L112/E112*100,1),0)</f>
        <v/>
      </c>
      <c r="N112" s="19" t="inlineStr">
        <is>
          <t>PENDIENTE</t>
        </is>
      </c>
      <c r="O112" s="20">
        <f>IF(H112="SI",1,0)*0.6+IF(I112="SI",1,0)*0.4</f>
        <v/>
      </c>
      <c r="P112" s="19" t="inlineStr">
        <is>
          <t>PENDIENTE</t>
        </is>
      </c>
      <c r="Q112" s="14" t="n"/>
      <c r="R112" s="21" t="n"/>
      <c r="S112" s="22">
        <f>IFERROR(SCORECARDS!C110,"—")</f>
        <v/>
      </c>
      <c r="T112" s="23">
        <f>IF(ISTEXT(S112),S112,IF(S112&lt;34,"🔴 Crítico",IF(S112&lt;67,"🟡 Vulnerable","🟢 Preparado")))</f>
        <v/>
      </c>
      <c r="W112" s="62" t="n">
        <v>0</v>
      </c>
      <c r="X112" s="62" t="n">
        <v>0</v>
      </c>
      <c r="Y112" s="62" t="n">
        <v>0</v>
      </c>
      <c r="Z112" s="62" t="n">
        <v>0</v>
      </c>
      <c r="AA112" s="62" t="n">
        <v>0</v>
      </c>
      <c r="AB112" s="62" t="n">
        <v>0</v>
      </c>
      <c r="AC112" s="62" t="n">
        <v>0</v>
      </c>
      <c r="AD112" s="62" t="n">
        <v>0</v>
      </c>
      <c r="AE112" s="62" t="n">
        <v>0</v>
      </c>
      <c r="AF112" s="62" t="n">
        <v>0</v>
      </c>
      <c r="AG112" s="62" t="n">
        <v>0</v>
      </c>
      <c r="AH112" s="62" t="n">
        <v>0</v>
      </c>
      <c r="AI112" s="62" t="n">
        <v>0</v>
      </c>
      <c r="AJ112" s="62" t="n">
        <v>0</v>
      </c>
      <c r="AK112" s="62" t="n">
        <v>0</v>
      </c>
      <c r="AL112" s="62" t="n">
        <v>0</v>
      </c>
      <c r="AM112" s="62" t="n">
        <v>0</v>
      </c>
      <c r="AN112" s="62" t="n">
        <v>0</v>
      </c>
      <c r="AO112" s="63">
        <f>IFERROR(AVERAGE(AA112,AB112,AC112,AD112,AE112,AF112,AG112,AH112,AI112,AJ112,AK112,AL112,AM112,AN112),"N/A")</f>
        <v/>
      </c>
      <c r="AP112" s="64">
        <f>IFERROR(AVERAGE(W112,X112,Y112,Z112)/2,"N/A")</f>
        <v/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9" t="inlineStr">
        <is>
          <t>CAJAMARCA</t>
        </is>
      </c>
      <c r="D113" s="9" t="inlineStr">
        <is>
          <t>CAFÉ</t>
        </is>
      </c>
      <c r="E113" s="14" t="n">
        <v>464428.88</v>
      </c>
      <c r="F113" s="15" t="n">
        <v>3</v>
      </c>
      <c r="G113" s="16" t="inlineStr">
        <is>
          <t>SI</t>
        </is>
      </c>
      <c r="H113" s="15" t="inlineStr">
        <is>
          <t>nan</t>
        </is>
      </c>
      <c r="I113" s="15" t="inlineStr">
        <is>
          <t>nan</t>
        </is>
      </c>
      <c r="J113" s="15" t="inlineStr">
        <is>
          <t>ACTIVO</t>
        </is>
      </c>
      <c r="K113" s="15" t="inlineStr">
        <is>
          <t>nan</t>
        </is>
      </c>
      <c r="L113" s="17" t="n">
        <v>0</v>
      </c>
      <c r="M113" s="18">
        <f>IF(E113&gt;0,ROUND(L113/E113*100,1),0)</f>
        <v/>
      </c>
      <c r="N113" s="19" t="inlineStr">
        <is>
          <t>PENDIENTE</t>
        </is>
      </c>
      <c r="O113" s="20">
        <f>IF(H113="SI",1,0)*0.6+IF(I113="SI",1,0)*0.4</f>
        <v/>
      </c>
      <c r="P113" s="19" t="inlineStr">
        <is>
          <t>PENDIENTE</t>
        </is>
      </c>
      <c r="Q113" s="14" t="n"/>
      <c r="R113" s="21" t="n"/>
      <c r="S113" s="22">
        <f>IFERROR(SCORECARDS!C111,"—")</f>
        <v/>
      </c>
      <c r="T113" s="23">
        <f>IF(ISTEXT(S113),S113,IF(S113&lt;34,"🔴 Crítico",IF(S113&lt;67,"🟡 Vulnerable","🟢 Preparado")))</f>
        <v/>
      </c>
      <c r="W113" s="62" t="n">
        <v>0</v>
      </c>
      <c r="X113" s="62" t="n">
        <v>0</v>
      </c>
      <c r="Y113" s="62" t="n">
        <v>0</v>
      </c>
      <c r="Z113" s="62" t="n">
        <v>0</v>
      </c>
      <c r="AA113" s="62" t="n">
        <v>0</v>
      </c>
      <c r="AB113" s="62" t="n">
        <v>0</v>
      </c>
      <c r="AC113" s="62" t="n">
        <v>0</v>
      </c>
      <c r="AD113" s="62" t="n">
        <v>0</v>
      </c>
      <c r="AE113" s="62" t="n">
        <v>0</v>
      </c>
      <c r="AF113" s="62" t="n">
        <v>0</v>
      </c>
      <c r="AG113" s="62" t="n">
        <v>0</v>
      </c>
      <c r="AH113" s="62" t="n">
        <v>0</v>
      </c>
      <c r="AI113" s="62" t="n">
        <v>0</v>
      </c>
      <c r="AJ113" s="62" t="n">
        <v>0</v>
      </c>
      <c r="AK113" s="62" t="n">
        <v>0</v>
      </c>
      <c r="AL113" s="62" t="n">
        <v>0</v>
      </c>
      <c r="AM113" s="62" t="n">
        <v>0</v>
      </c>
      <c r="AN113" s="62" t="n">
        <v>0</v>
      </c>
      <c r="AO113" s="63">
        <f>IFERROR(AVERAGE(AA113,AB113,AC113,AD113,AE113,AF113,AG113,AH113,AI113,AJ113,AK113,AL113,AM113,AN113),"N/A")</f>
        <v/>
      </c>
      <c r="AP113" s="64">
        <f>IFERROR(AVERAGE(W113,X113,Y113,Z113)/2,"N/A")</f>
        <v/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9" t="inlineStr">
        <is>
          <t>MADRE DE DIOS</t>
        </is>
      </c>
      <c r="D114" s="9" t="inlineStr">
        <is>
          <t>CACAO</t>
        </is>
      </c>
      <c r="E114" s="14" t="n"/>
      <c r="F114" s="15" t="n"/>
      <c r="G114" s="24" t="inlineStr">
        <is>
          <t>NO</t>
        </is>
      </c>
      <c r="H114" s="15" t="inlineStr">
        <is>
          <t>nan</t>
        </is>
      </c>
      <c r="I114" s="15" t="inlineStr">
        <is>
          <t>nan</t>
        </is>
      </c>
      <c r="J114" s="15" t="inlineStr">
        <is>
          <t>ACTIVO</t>
        </is>
      </c>
      <c r="K114" s="15" t="inlineStr">
        <is>
          <t>nan</t>
        </is>
      </c>
      <c r="L114" s="17" t="n">
        <v>0</v>
      </c>
      <c r="M114" s="18">
        <f>IF(E114&gt;0,ROUND(L114/E114*100,1),0)</f>
        <v/>
      </c>
      <c r="N114" s="19" t="inlineStr">
        <is>
          <t>PENDIENTE</t>
        </is>
      </c>
      <c r="O114" s="20">
        <f>IF(H114="SI",1,0)*0.6+IF(I114="SI",1,0)*0.4</f>
        <v/>
      </c>
      <c r="P114" s="19" t="inlineStr">
        <is>
          <t>PENDIENTE</t>
        </is>
      </c>
      <c r="Q114" s="14" t="n"/>
      <c r="R114" s="21" t="n"/>
      <c r="S114" s="22">
        <f>IFERROR(SCORECARDS!C112,"—")</f>
        <v/>
      </c>
      <c r="T114" s="23">
        <f>IF(ISTEXT(S114),S114,IF(S114&lt;34,"🔴 Crítico",IF(S114&lt;67,"🟡 Vulnerable","🟢 Preparado")))</f>
        <v/>
      </c>
      <c r="W114" s="62" t="n">
        <v>0</v>
      </c>
      <c r="X114" s="62" t="n">
        <v>0</v>
      </c>
      <c r="Y114" s="62" t="n">
        <v>0</v>
      </c>
      <c r="Z114" s="62" t="n">
        <v>0</v>
      </c>
      <c r="AA114" s="62" t="n">
        <v>0</v>
      </c>
      <c r="AB114" s="62" t="n">
        <v>0</v>
      </c>
      <c r="AC114" s="62" t="n">
        <v>0</v>
      </c>
      <c r="AD114" s="62" t="n">
        <v>0</v>
      </c>
      <c r="AE114" s="62" t="n">
        <v>0</v>
      </c>
      <c r="AF114" s="62" t="n">
        <v>0</v>
      </c>
      <c r="AG114" s="62" t="n">
        <v>0</v>
      </c>
      <c r="AH114" s="62" t="n">
        <v>0</v>
      </c>
      <c r="AI114" s="62" t="n">
        <v>0</v>
      </c>
      <c r="AJ114" s="62" t="n">
        <v>0</v>
      </c>
      <c r="AK114" s="62" t="n">
        <v>0</v>
      </c>
      <c r="AL114" s="62" t="n">
        <v>0</v>
      </c>
      <c r="AM114" s="62" t="n">
        <v>0</v>
      </c>
      <c r="AN114" s="62" t="n">
        <v>0</v>
      </c>
      <c r="AO114" s="63">
        <f>IFERROR(AVERAGE(AA114,AB114,AC114,AD114,AE114,AF114,AG114,AH114,AI114,AJ114,AK114,AL114,AM114,AN114),"N/A")</f>
        <v/>
      </c>
      <c r="AP114" s="64">
        <f>IFERROR(AVERAGE(W114,X114,Y114,Z114)/2,"N/A")</f>
        <v/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9" t="inlineStr">
        <is>
          <t>SAN MARTIN</t>
        </is>
      </c>
      <c r="D115" s="9" t="inlineStr">
        <is>
          <t>CAFÉ</t>
        </is>
      </c>
      <c r="E115" s="14" t="n">
        <v>1789601.59</v>
      </c>
      <c r="F115" s="15" t="n">
        <v>11</v>
      </c>
      <c r="G115" s="16" t="inlineStr">
        <is>
          <t>SI</t>
        </is>
      </c>
      <c r="H115" s="15" t="inlineStr">
        <is>
          <t>nan</t>
        </is>
      </c>
      <c r="I115" s="15" t="inlineStr">
        <is>
          <t>nan</t>
        </is>
      </c>
      <c r="J115" s="15" t="inlineStr">
        <is>
          <t>ACTIVO</t>
        </is>
      </c>
      <c r="K115" s="15" t="inlineStr">
        <is>
          <t>nan</t>
        </is>
      </c>
      <c r="L115" s="17" t="n">
        <v>0</v>
      </c>
      <c r="M115" s="18">
        <f>IF(E115&gt;0,ROUND(L115/E115*100,1),0)</f>
        <v/>
      </c>
      <c r="N115" s="19" t="inlineStr">
        <is>
          <t>PENDIENTE</t>
        </is>
      </c>
      <c r="O115" s="20">
        <f>IF(H115="SI",1,0)*0.6+IF(I115="SI",1,0)*0.4</f>
        <v/>
      </c>
      <c r="P115" s="19" t="inlineStr">
        <is>
          <t>PENDIENTE</t>
        </is>
      </c>
      <c r="Q115" s="14" t="n"/>
      <c r="R115" s="21" t="n"/>
      <c r="S115" s="22">
        <f>IFERROR(SCORECARDS!C113,"—")</f>
        <v/>
      </c>
      <c r="T115" s="23">
        <f>IF(ISTEXT(S115),S115,IF(S115&lt;34,"🔴 Crítico",IF(S115&lt;67,"🟡 Vulnerable","🟢 Preparado")))</f>
        <v/>
      </c>
      <c r="W115" s="62" t="n">
        <v>0</v>
      </c>
      <c r="X115" s="62" t="n">
        <v>0</v>
      </c>
      <c r="Y115" s="62" t="n">
        <v>0</v>
      </c>
      <c r="Z115" s="62" t="n">
        <v>0</v>
      </c>
      <c r="AA115" s="62" t="n">
        <v>0</v>
      </c>
      <c r="AB115" s="62" t="n">
        <v>0</v>
      </c>
      <c r="AC115" s="62" t="n">
        <v>0</v>
      </c>
      <c r="AD115" s="62" t="n">
        <v>0</v>
      </c>
      <c r="AE115" s="62" t="n">
        <v>0</v>
      </c>
      <c r="AF115" s="62" t="n">
        <v>0</v>
      </c>
      <c r="AG115" s="62" t="n">
        <v>0</v>
      </c>
      <c r="AH115" s="62" t="n">
        <v>0</v>
      </c>
      <c r="AI115" s="62" t="n">
        <v>0</v>
      </c>
      <c r="AJ115" s="62" t="n">
        <v>0</v>
      </c>
      <c r="AK115" s="62" t="n">
        <v>0</v>
      </c>
      <c r="AL115" s="62" t="n">
        <v>0</v>
      </c>
      <c r="AM115" s="62" t="n">
        <v>0</v>
      </c>
      <c r="AN115" s="62" t="n">
        <v>0</v>
      </c>
      <c r="AO115" s="63">
        <f>IFERROR(AVERAGE(AA115,AB115,AC115,AD115,AE115,AF115,AG115,AH115,AI115,AJ115,AK115,AL115,AM115,AN115),"N/A")</f>
        <v/>
      </c>
      <c r="AP115" s="64">
        <f>IFERROR(AVERAGE(W115,X115,Y115,Z115)/2,"N/A")</f>
        <v/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9" t="inlineStr">
        <is>
          <t>MADRE DE DIOS</t>
        </is>
      </c>
      <c r="D116" s="9" t="inlineStr">
        <is>
          <t>CACAO</t>
        </is>
      </c>
      <c r="E116" s="14" t="n"/>
      <c r="F116" s="15" t="n"/>
      <c r="G116" s="24" t="inlineStr">
        <is>
          <t>NO</t>
        </is>
      </c>
      <c r="H116" s="15" t="inlineStr">
        <is>
          <t>nan</t>
        </is>
      </c>
      <c r="I116" s="15" t="inlineStr">
        <is>
          <t>nan</t>
        </is>
      </c>
      <c r="J116" s="15" t="inlineStr">
        <is>
          <t>ACTIVO</t>
        </is>
      </c>
      <c r="K116" s="15" t="inlineStr">
        <is>
          <t>nan</t>
        </is>
      </c>
      <c r="L116" s="17" t="n">
        <v>0</v>
      </c>
      <c r="M116" s="18">
        <f>IF(E116&gt;0,ROUND(L116/E116*100,1),0)</f>
        <v/>
      </c>
      <c r="N116" s="19" t="inlineStr">
        <is>
          <t>PENDIENTE</t>
        </is>
      </c>
      <c r="O116" s="20">
        <f>IF(H116="SI",1,0)*0.6+IF(I116="SI",1,0)*0.4</f>
        <v/>
      </c>
      <c r="P116" s="19" t="inlineStr">
        <is>
          <t>PENDIENTE</t>
        </is>
      </c>
      <c r="Q116" s="14" t="n"/>
      <c r="R116" s="21" t="n"/>
      <c r="S116" s="22">
        <f>IFERROR(SCORECARDS!C114,"—")</f>
        <v/>
      </c>
      <c r="T116" s="23">
        <f>IF(ISTEXT(S116),S116,IF(S116&lt;34,"🔴 Crítico",IF(S116&lt;67,"🟡 Vulnerable","🟢 Preparado")))</f>
        <v/>
      </c>
      <c r="W116" s="62" t="n">
        <v>0</v>
      </c>
      <c r="X116" s="62" t="n">
        <v>0</v>
      </c>
      <c r="Y116" s="62" t="n">
        <v>0</v>
      </c>
      <c r="Z116" s="62" t="n">
        <v>0</v>
      </c>
      <c r="AA116" s="62" t="n">
        <v>0</v>
      </c>
      <c r="AB116" s="62" t="n">
        <v>0</v>
      </c>
      <c r="AC116" s="62" t="n">
        <v>0</v>
      </c>
      <c r="AD116" s="62" t="n">
        <v>0</v>
      </c>
      <c r="AE116" s="62" t="n">
        <v>0</v>
      </c>
      <c r="AF116" s="62" t="n">
        <v>0</v>
      </c>
      <c r="AG116" s="62" t="n">
        <v>0</v>
      </c>
      <c r="AH116" s="62" t="n">
        <v>0</v>
      </c>
      <c r="AI116" s="62" t="n">
        <v>0</v>
      </c>
      <c r="AJ116" s="62" t="n">
        <v>0</v>
      </c>
      <c r="AK116" s="62" t="n">
        <v>0</v>
      </c>
      <c r="AL116" s="62" t="n">
        <v>0</v>
      </c>
      <c r="AM116" s="62" t="n">
        <v>0</v>
      </c>
      <c r="AN116" s="62" t="n">
        <v>0</v>
      </c>
      <c r="AO116" s="63">
        <f>IFERROR(AVERAGE(AA116,AB116,AC116,AD116,AE116,AF116,AG116,AH116,AI116,AJ116,AK116,AL116,AM116,AN116),"N/A")</f>
        <v/>
      </c>
      <c r="AP116" s="64">
        <f>IFERROR(AVERAGE(W116,X116,Y116,Z116)/2,"N/A")</f>
        <v/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9" t="inlineStr">
        <is>
          <t>LAMBAYEQUE</t>
        </is>
      </c>
      <c r="D117" s="9" t="inlineStr">
        <is>
          <t>CAFÉ</t>
        </is>
      </c>
      <c r="E117" s="14" t="n"/>
      <c r="F117" s="15" t="n"/>
      <c r="G117" s="24" t="inlineStr">
        <is>
          <t>NO</t>
        </is>
      </c>
      <c r="H117" s="15" t="inlineStr">
        <is>
          <t>nan</t>
        </is>
      </c>
      <c r="I117" s="15" t="inlineStr">
        <is>
          <t>nan</t>
        </is>
      </c>
      <c r="J117" s="15" t="inlineStr">
        <is>
          <t>ACTIVO</t>
        </is>
      </c>
      <c r="K117" s="15" t="inlineStr">
        <is>
          <t>nan</t>
        </is>
      </c>
      <c r="L117" s="17" t="n">
        <v>0</v>
      </c>
      <c r="M117" s="18">
        <f>IF(E117&gt;0,ROUND(L117/E117*100,1),0)</f>
        <v/>
      </c>
      <c r="N117" s="19" t="inlineStr">
        <is>
          <t>PENDIENTE</t>
        </is>
      </c>
      <c r="O117" s="20">
        <f>IF(H117="SI",1,0)*0.6+IF(I117="SI",1,0)*0.4</f>
        <v/>
      </c>
      <c r="P117" s="19" t="inlineStr">
        <is>
          <t>PENDIENTE</t>
        </is>
      </c>
      <c r="Q117" s="14" t="n"/>
      <c r="R117" s="21" t="n"/>
      <c r="S117" s="22">
        <f>IFERROR(SCORECARDS!C115,"—")</f>
        <v/>
      </c>
      <c r="T117" s="23">
        <f>IF(ISTEXT(S117),S117,IF(S117&lt;34,"🔴 Crítico",IF(S117&lt;67,"🟡 Vulnerable","🟢 Preparado")))</f>
        <v/>
      </c>
      <c r="W117" s="62" t="n">
        <v>0</v>
      </c>
      <c r="X117" s="62" t="n">
        <v>0</v>
      </c>
      <c r="Y117" s="62" t="n">
        <v>0</v>
      </c>
      <c r="Z117" s="62" t="n">
        <v>0</v>
      </c>
      <c r="AA117" s="62" t="n">
        <v>0</v>
      </c>
      <c r="AB117" s="62" t="n">
        <v>0</v>
      </c>
      <c r="AC117" s="62" t="n">
        <v>0</v>
      </c>
      <c r="AD117" s="62" t="n">
        <v>0</v>
      </c>
      <c r="AE117" s="62" t="n">
        <v>0</v>
      </c>
      <c r="AF117" s="62" t="n">
        <v>0</v>
      </c>
      <c r="AG117" s="62" t="n">
        <v>0</v>
      </c>
      <c r="AH117" s="62" t="n">
        <v>0</v>
      </c>
      <c r="AI117" s="62" t="n">
        <v>0</v>
      </c>
      <c r="AJ117" s="62" t="n">
        <v>0</v>
      </c>
      <c r="AK117" s="62" t="n">
        <v>0</v>
      </c>
      <c r="AL117" s="62" t="n">
        <v>0</v>
      </c>
      <c r="AM117" s="62" t="n">
        <v>0</v>
      </c>
      <c r="AN117" s="62" t="n">
        <v>0</v>
      </c>
      <c r="AO117" s="63">
        <f>IFERROR(AVERAGE(AA117,AB117,AC117,AD117,AE117,AF117,AG117,AH117,AI117,AJ117,AK117,AL117,AM117,AN117),"N/A")</f>
        <v/>
      </c>
      <c r="AP117" s="64">
        <f>IFERROR(AVERAGE(W117,X117,Y117,Z117)/2,"N/A")</f>
        <v/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9" t="inlineStr">
        <is>
          <t>UCAYALI</t>
        </is>
      </c>
      <c r="D118" s="9" t="inlineStr">
        <is>
          <t>CACAO</t>
        </is>
      </c>
      <c r="E118" s="14" t="n"/>
      <c r="F118" s="15" t="n"/>
      <c r="G118" s="24" t="inlineStr">
        <is>
          <t>NO</t>
        </is>
      </c>
      <c r="H118" s="15" t="inlineStr">
        <is>
          <t>nan</t>
        </is>
      </c>
      <c r="I118" s="15" t="inlineStr">
        <is>
          <t>nan</t>
        </is>
      </c>
      <c r="J118" s="15" t="inlineStr">
        <is>
          <t>SUSPENSION TEMPORAL</t>
        </is>
      </c>
      <c r="K118" s="15" t="inlineStr">
        <is>
          <t>nan</t>
        </is>
      </c>
      <c r="L118" s="17" t="n">
        <v>0</v>
      </c>
      <c r="M118" s="18">
        <f>IF(E118&gt;0,ROUND(L118/E118*100,1),0)</f>
        <v/>
      </c>
      <c r="N118" s="19" t="inlineStr">
        <is>
          <t>PENDIENTE</t>
        </is>
      </c>
      <c r="O118" s="20">
        <f>IF(H118="SI",1,0)*0.6+IF(I118="SI",1,0)*0.4</f>
        <v/>
      </c>
      <c r="P118" s="19" t="inlineStr">
        <is>
          <t>PENDIENTE</t>
        </is>
      </c>
      <c r="Q118" s="14" t="n"/>
      <c r="R118" s="21" t="n"/>
      <c r="S118" s="22">
        <f>IFERROR(SCORECARDS!C116,"—")</f>
        <v/>
      </c>
      <c r="T118" s="23">
        <f>IF(ISTEXT(S118),S118,IF(S118&lt;34,"🔴 Crítico",IF(S118&lt;67,"🟡 Vulnerable","🟢 Preparado")))</f>
        <v/>
      </c>
      <c r="W118" s="62" t="n">
        <v>0</v>
      </c>
      <c r="X118" s="62" t="n">
        <v>0</v>
      </c>
      <c r="Y118" s="62" t="n">
        <v>0</v>
      </c>
      <c r="Z118" s="62" t="n">
        <v>0</v>
      </c>
      <c r="AA118" s="62" t="n">
        <v>0</v>
      </c>
      <c r="AB118" s="62" t="n">
        <v>0</v>
      </c>
      <c r="AC118" s="62" t="n">
        <v>0</v>
      </c>
      <c r="AD118" s="62" t="n">
        <v>0</v>
      </c>
      <c r="AE118" s="62" t="n">
        <v>0</v>
      </c>
      <c r="AF118" s="62" t="n">
        <v>0</v>
      </c>
      <c r="AG118" s="62" t="n">
        <v>0</v>
      </c>
      <c r="AH118" s="62" t="n">
        <v>0</v>
      </c>
      <c r="AI118" s="62" t="n">
        <v>0</v>
      </c>
      <c r="AJ118" s="62" t="n">
        <v>0</v>
      </c>
      <c r="AK118" s="62" t="n">
        <v>0</v>
      </c>
      <c r="AL118" s="62" t="n">
        <v>0</v>
      </c>
      <c r="AM118" s="62" t="n">
        <v>0</v>
      </c>
      <c r="AN118" s="62" t="n">
        <v>0</v>
      </c>
      <c r="AO118" s="63">
        <f>IFERROR(AVERAGE(AA118,AB118,AC118,AD118,AE118,AF118,AG118,AH118,AI118,AJ118,AK118,AL118,AM118,AN118),"N/A")</f>
        <v/>
      </c>
      <c r="AP118" s="64">
        <f>IFERROR(AVERAGE(W118,X118,Y118,Z118)/2,"N/A")</f>
        <v/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9" t="inlineStr">
        <is>
          <t>UCAYALI</t>
        </is>
      </c>
      <c r="D119" s="9" t="inlineStr">
        <is>
          <t>CACAO</t>
        </is>
      </c>
      <c r="E119" s="14" t="n"/>
      <c r="F119" s="15" t="n"/>
      <c r="G119" s="24" t="inlineStr">
        <is>
          <t>NO</t>
        </is>
      </c>
      <c r="H119" s="15" t="inlineStr">
        <is>
          <t>nan</t>
        </is>
      </c>
      <c r="I119" s="15" t="inlineStr">
        <is>
          <t>nan</t>
        </is>
      </c>
      <c r="J119" s="15" t="inlineStr">
        <is>
          <t>ACTIVO</t>
        </is>
      </c>
      <c r="K119" s="15" t="inlineStr">
        <is>
          <t>nan</t>
        </is>
      </c>
      <c r="L119" s="17" t="n">
        <v>0</v>
      </c>
      <c r="M119" s="18">
        <f>IF(E119&gt;0,ROUND(L119/E119*100,1),0)</f>
        <v/>
      </c>
      <c r="N119" s="19" t="inlineStr">
        <is>
          <t>PENDIENTE</t>
        </is>
      </c>
      <c r="O119" s="20">
        <f>IF(H119="SI",1,0)*0.6+IF(I119="SI",1,0)*0.4</f>
        <v/>
      </c>
      <c r="P119" s="19" t="inlineStr">
        <is>
          <t>PENDIENTE</t>
        </is>
      </c>
      <c r="Q119" s="14" t="n"/>
      <c r="R119" s="21" t="n"/>
      <c r="S119" s="22">
        <f>IFERROR(SCORECARDS!C117,"—")</f>
        <v/>
      </c>
      <c r="T119" s="23">
        <f>IF(ISTEXT(S119),S119,IF(S119&lt;34,"🔴 Crítico",IF(S119&lt;67,"🟡 Vulnerable","🟢 Preparado")))</f>
        <v/>
      </c>
      <c r="W119" s="62" t="n">
        <v>0</v>
      </c>
      <c r="X119" s="62" t="n">
        <v>0</v>
      </c>
      <c r="Y119" s="62" t="n">
        <v>0</v>
      </c>
      <c r="Z119" s="62" t="n">
        <v>0</v>
      </c>
      <c r="AA119" s="62" t="n">
        <v>0</v>
      </c>
      <c r="AB119" s="62" t="n">
        <v>0</v>
      </c>
      <c r="AC119" s="62" t="n">
        <v>0</v>
      </c>
      <c r="AD119" s="62" t="n">
        <v>0</v>
      </c>
      <c r="AE119" s="62" t="n">
        <v>0</v>
      </c>
      <c r="AF119" s="62" t="n">
        <v>0</v>
      </c>
      <c r="AG119" s="62" t="n">
        <v>0</v>
      </c>
      <c r="AH119" s="62" t="n">
        <v>0</v>
      </c>
      <c r="AI119" s="62" t="n">
        <v>0</v>
      </c>
      <c r="AJ119" s="62" t="n">
        <v>0</v>
      </c>
      <c r="AK119" s="62" t="n">
        <v>0</v>
      </c>
      <c r="AL119" s="62" t="n">
        <v>0</v>
      </c>
      <c r="AM119" s="62" t="n">
        <v>0</v>
      </c>
      <c r="AN119" s="62" t="n">
        <v>0</v>
      </c>
      <c r="AO119" s="63">
        <f>IFERROR(AVERAGE(AA119,AB119,AC119,AD119,AE119,AF119,AG119,AH119,AI119,AJ119,AK119,AL119,AM119,AN119),"N/A")</f>
        <v/>
      </c>
      <c r="AP119" s="64">
        <f>IFERROR(AVERAGE(W119,X119,Y119,Z119)/2,"N/A")</f>
        <v/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9" t="inlineStr">
        <is>
          <t>CAJAMARCA</t>
        </is>
      </c>
      <c r="D120" s="9" t="inlineStr">
        <is>
          <t>CAFÉ</t>
        </is>
      </c>
      <c r="E120" s="14" t="n"/>
      <c r="F120" s="15" t="n"/>
      <c r="G120" s="24" t="inlineStr">
        <is>
          <t>NO</t>
        </is>
      </c>
      <c r="H120" s="15" t="inlineStr">
        <is>
          <t>nan</t>
        </is>
      </c>
      <c r="I120" s="15" t="inlineStr">
        <is>
          <t>nan</t>
        </is>
      </c>
      <c r="J120" s="15" t="inlineStr">
        <is>
          <t>ACTIVO</t>
        </is>
      </c>
      <c r="K120" s="15" t="inlineStr">
        <is>
          <t>nan</t>
        </is>
      </c>
      <c r="L120" s="17" t="n">
        <v>0</v>
      </c>
      <c r="M120" s="18">
        <f>IF(E120&gt;0,ROUND(L120/E120*100,1),0)</f>
        <v/>
      </c>
      <c r="N120" s="19" t="inlineStr">
        <is>
          <t>PENDIENTE</t>
        </is>
      </c>
      <c r="O120" s="20">
        <f>IF(H120="SI",1,0)*0.6+IF(I120="SI",1,0)*0.4</f>
        <v/>
      </c>
      <c r="P120" s="19" t="inlineStr">
        <is>
          <t>PENDIENTE</t>
        </is>
      </c>
      <c r="Q120" s="14" t="n"/>
      <c r="R120" s="21" t="n"/>
      <c r="S120" s="22">
        <f>IFERROR(SCORECARDS!C118,"—")</f>
        <v/>
      </c>
      <c r="T120" s="23">
        <f>IF(ISTEXT(S120),S120,IF(S120&lt;34,"🔴 Crítico",IF(S120&lt;67,"🟡 Vulnerable","🟢 Preparado")))</f>
        <v/>
      </c>
      <c r="W120" s="62" t="n">
        <v>0</v>
      </c>
      <c r="X120" s="62" t="n">
        <v>0</v>
      </c>
      <c r="Y120" s="62" t="n">
        <v>0</v>
      </c>
      <c r="Z120" s="62" t="n">
        <v>0</v>
      </c>
      <c r="AA120" s="62" t="n">
        <v>0</v>
      </c>
      <c r="AB120" s="62" t="n">
        <v>0</v>
      </c>
      <c r="AC120" s="62" t="n">
        <v>0</v>
      </c>
      <c r="AD120" s="62" t="n">
        <v>0</v>
      </c>
      <c r="AE120" s="62" t="n">
        <v>0</v>
      </c>
      <c r="AF120" s="62" t="n">
        <v>0</v>
      </c>
      <c r="AG120" s="62" t="n">
        <v>0</v>
      </c>
      <c r="AH120" s="62" t="n">
        <v>0</v>
      </c>
      <c r="AI120" s="62" t="n">
        <v>0</v>
      </c>
      <c r="AJ120" s="62" t="n">
        <v>0</v>
      </c>
      <c r="AK120" s="62" t="n">
        <v>0</v>
      </c>
      <c r="AL120" s="62" t="n">
        <v>0</v>
      </c>
      <c r="AM120" s="62" t="n">
        <v>0</v>
      </c>
      <c r="AN120" s="62" t="n">
        <v>0</v>
      </c>
      <c r="AO120" s="63">
        <f>IFERROR(AVERAGE(AA120,AB120,AC120,AD120,AE120,AF120,AG120,AH120,AI120,AJ120,AK120,AL120,AM120,AN120),"N/A")</f>
        <v/>
      </c>
      <c r="AP120" s="64">
        <f>IFERROR(AVERAGE(W120,X120,Y120,Z120)/2,"N/A")</f>
        <v/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9" t="inlineStr">
        <is>
          <t>PASCO</t>
        </is>
      </c>
      <c r="D121" s="9" t="inlineStr">
        <is>
          <t>CAFÉ</t>
        </is>
      </c>
      <c r="E121" s="14" t="n"/>
      <c r="F121" s="15" t="n"/>
      <c r="G121" s="24" t="inlineStr">
        <is>
          <t>NO</t>
        </is>
      </c>
      <c r="H121" s="15" t="inlineStr">
        <is>
          <t>nan</t>
        </is>
      </c>
      <c r="I121" s="15" t="inlineStr">
        <is>
          <t>nan</t>
        </is>
      </c>
      <c r="J121" s="15" t="inlineStr">
        <is>
          <t>ACTIVO</t>
        </is>
      </c>
      <c r="K121" s="15" t="inlineStr">
        <is>
          <t>nan</t>
        </is>
      </c>
      <c r="L121" s="17" t="n">
        <v>0</v>
      </c>
      <c r="M121" s="18">
        <f>IF(E121&gt;0,ROUND(L121/E121*100,1),0)</f>
        <v/>
      </c>
      <c r="N121" s="19" t="inlineStr">
        <is>
          <t>PENDIENTE</t>
        </is>
      </c>
      <c r="O121" s="20">
        <f>IF(H121="SI",1,0)*0.6+IF(I121="SI",1,0)*0.4</f>
        <v/>
      </c>
      <c r="P121" s="19" t="inlineStr">
        <is>
          <t>PENDIENTE</t>
        </is>
      </c>
      <c r="Q121" s="14" t="n"/>
      <c r="R121" s="21" t="n"/>
      <c r="S121" s="22">
        <f>IFERROR(SCORECARDS!C119,"—")</f>
        <v/>
      </c>
      <c r="T121" s="23">
        <f>IF(ISTEXT(S121),S121,IF(S121&lt;34,"🔴 Crítico",IF(S121&lt;67,"🟡 Vulnerable","🟢 Preparado")))</f>
        <v/>
      </c>
      <c r="W121" s="62" t="n">
        <v>0</v>
      </c>
      <c r="X121" s="62" t="n">
        <v>0</v>
      </c>
      <c r="Y121" s="62" t="n">
        <v>0</v>
      </c>
      <c r="Z121" s="62" t="n">
        <v>0</v>
      </c>
      <c r="AA121" s="62" t="n">
        <v>0</v>
      </c>
      <c r="AB121" s="62" t="n">
        <v>0</v>
      </c>
      <c r="AC121" s="62" t="n">
        <v>0</v>
      </c>
      <c r="AD121" s="62" t="n">
        <v>0</v>
      </c>
      <c r="AE121" s="62" t="n">
        <v>0</v>
      </c>
      <c r="AF121" s="62" t="n">
        <v>0</v>
      </c>
      <c r="AG121" s="62" t="n">
        <v>0</v>
      </c>
      <c r="AH121" s="62" t="n">
        <v>0</v>
      </c>
      <c r="AI121" s="62" t="n">
        <v>0</v>
      </c>
      <c r="AJ121" s="62" t="n">
        <v>0</v>
      </c>
      <c r="AK121" s="62" t="n">
        <v>0</v>
      </c>
      <c r="AL121" s="62" t="n">
        <v>0</v>
      </c>
      <c r="AM121" s="62" t="n">
        <v>0</v>
      </c>
      <c r="AN121" s="62" t="n">
        <v>0</v>
      </c>
      <c r="AO121" s="63">
        <f>IFERROR(AVERAGE(AA121,AB121,AC121,AD121,AE121,AF121,AG121,AH121,AI121,AJ121,AK121,AL121,AM121,AN121),"N/A")</f>
        <v/>
      </c>
      <c r="AP121" s="64">
        <f>IFERROR(AVERAGE(W121,X121,Y121,Z121)/2,"N/A")</f>
        <v/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9" t="inlineStr">
        <is>
          <t>HUANUCO</t>
        </is>
      </c>
      <c r="D122" s="9" t="inlineStr">
        <is>
          <t>CAFÉ</t>
        </is>
      </c>
      <c r="E122" s="14" t="n"/>
      <c r="F122" s="15" t="n"/>
      <c r="G122" s="24" t="inlineStr">
        <is>
          <t>NO</t>
        </is>
      </c>
      <c r="H122" s="15" t="inlineStr">
        <is>
          <t>nan</t>
        </is>
      </c>
      <c r="I122" s="15" t="inlineStr">
        <is>
          <t>nan</t>
        </is>
      </c>
      <c r="J122" s="15" t="inlineStr">
        <is>
          <t>ACTIVO</t>
        </is>
      </c>
      <c r="K122" s="15" t="inlineStr">
        <is>
          <t>nan</t>
        </is>
      </c>
      <c r="L122" s="17" t="n">
        <v>0</v>
      </c>
      <c r="M122" s="18">
        <f>IF(E122&gt;0,ROUND(L122/E122*100,1),0)</f>
        <v/>
      </c>
      <c r="N122" s="19" t="inlineStr">
        <is>
          <t>PENDIENTE</t>
        </is>
      </c>
      <c r="O122" s="20">
        <f>IF(H122="SI",1,0)*0.6+IF(I122="SI",1,0)*0.4</f>
        <v/>
      </c>
      <c r="P122" s="19" t="inlineStr">
        <is>
          <t>PENDIENTE</t>
        </is>
      </c>
      <c r="Q122" s="14" t="n"/>
      <c r="R122" s="21" t="n"/>
      <c r="S122" s="22">
        <f>IFERROR(SCORECARDS!C120,"—")</f>
        <v/>
      </c>
      <c r="T122" s="23">
        <f>IF(ISTEXT(S122),S122,IF(S122&lt;34,"🔴 Crítico",IF(S122&lt;67,"🟡 Vulnerable","🟢 Preparado")))</f>
        <v/>
      </c>
      <c r="W122" s="62" t="n">
        <v>0</v>
      </c>
      <c r="X122" s="62" t="n">
        <v>0</v>
      </c>
      <c r="Y122" s="62" t="n">
        <v>0</v>
      </c>
      <c r="Z122" s="62" t="n">
        <v>0</v>
      </c>
      <c r="AA122" s="62" t="n">
        <v>0</v>
      </c>
      <c r="AB122" s="62" t="n">
        <v>0</v>
      </c>
      <c r="AC122" s="62" t="n">
        <v>0</v>
      </c>
      <c r="AD122" s="62" t="n">
        <v>0</v>
      </c>
      <c r="AE122" s="62" t="n">
        <v>0</v>
      </c>
      <c r="AF122" s="62" t="n">
        <v>0</v>
      </c>
      <c r="AG122" s="62" t="n">
        <v>0</v>
      </c>
      <c r="AH122" s="62" t="n">
        <v>0</v>
      </c>
      <c r="AI122" s="62" t="n">
        <v>0</v>
      </c>
      <c r="AJ122" s="62" t="n">
        <v>0</v>
      </c>
      <c r="AK122" s="62" t="n">
        <v>0</v>
      </c>
      <c r="AL122" s="62" t="n">
        <v>0</v>
      </c>
      <c r="AM122" s="62" t="n">
        <v>0</v>
      </c>
      <c r="AN122" s="62" t="n">
        <v>0</v>
      </c>
      <c r="AO122" s="63">
        <f>IFERROR(AVERAGE(AA122,AB122,AC122,AD122,AE122,AF122,AG122,AH122,AI122,AJ122,AK122,AL122,AM122,AN122),"N/A")</f>
        <v/>
      </c>
      <c r="AP122" s="64">
        <f>IFERROR(AVERAGE(W122,X122,Y122,Z122)/2,"N/A")</f>
        <v/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9" t="inlineStr">
        <is>
          <t>JUNIN</t>
        </is>
      </c>
      <c r="D123" s="9" t="inlineStr">
        <is>
          <t>CAFÉ</t>
        </is>
      </c>
      <c r="E123" s="14" t="n">
        <v>0</v>
      </c>
      <c r="F123" s="15" t="n"/>
      <c r="G123" s="24" t="inlineStr">
        <is>
          <t>NO</t>
        </is>
      </c>
      <c r="H123" s="15" t="inlineStr">
        <is>
          <t>nan</t>
        </is>
      </c>
      <c r="I123" s="15" t="inlineStr">
        <is>
          <t>nan</t>
        </is>
      </c>
      <c r="J123" s="15" t="inlineStr">
        <is>
          <t>BAJA DE OFICIO</t>
        </is>
      </c>
      <c r="K123" s="15" t="inlineStr">
        <is>
          <t>nan</t>
        </is>
      </c>
      <c r="L123" s="17" t="n">
        <v>0</v>
      </c>
      <c r="M123" s="18">
        <f>IF(E123&gt;0,ROUND(L123/E123*100,1),0)</f>
        <v/>
      </c>
      <c r="N123" s="19" t="inlineStr">
        <is>
          <t>PENDIENTE</t>
        </is>
      </c>
      <c r="O123" s="20">
        <f>IF(H123="SI",1,0)*0.6+IF(I123="SI",1,0)*0.4</f>
        <v/>
      </c>
      <c r="P123" s="19" t="inlineStr">
        <is>
          <t>PENDIENTE</t>
        </is>
      </c>
      <c r="Q123" s="14" t="n"/>
      <c r="R123" s="21" t="n"/>
      <c r="S123" s="22">
        <f>IFERROR(SCORECARDS!C121,"—")</f>
        <v/>
      </c>
      <c r="T123" s="23">
        <f>IF(ISTEXT(S123),S123,IF(S123&lt;34,"🔴 Crítico",IF(S123&lt;67,"🟡 Vulnerable","🟢 Preparado")))</f>
        <v/>
      </c>
      <c r="W123" s="62" t="n">
        <v>0</v>
      </c>
      <c r="X123" s="62" t="n">
        <v>0</v>
      </c>
      <c r="Y123" s="62" t="n">
        <v>0</v>
      </c>
      <c r="Z123" s="62" t="n">
        <v>0</v>
      </c>
      <c r="AA123" s="62" t="n">
        <v>0</v>
      </c>
      <c r="AB123" s="62" t="n">
        <v>0</v>
      </c>
      <c r="AC123" s="62" t="n">
        <v>0</v>
      </c>
      <c r="AD123" s="62" t="n">
        <v>0</v>
      </c>
      <c r="AE123" s="62" t="n">
        <v>0</v>
      </c>
      <c r="AF123" s="62" t="n">
        <v>0</v>
      </c>
      <c r="AG123" s="62" t="n">
        <v>0</v>
      </c>
      <c r="AH123" s="62" t="n">
        <v>0</v>
      </c>
      <c r="AI123" s="62" t="n">
        <v>0</v>
      </c>
      <c r="AJ123" s="62" t="n">
        <v>0</v>
      </c>
      <c r="AK123" s="62" t="n">
        <v>0</v>
      </c>
      <c r="AL123" s="62" t="n">
        <v>0</v>
      </c>
      <c r="AM123" s="62" t="n">
        <v>0</v>
      </c>
      <c r="AN123" s="62" t="n">
        <v>0</v>
      </c>
      <c r="AO123" s="63">
        <f>IFERROR(AVERAGE(AA123,AB123,AC123,AD123,AE123,AF123,AG123,AH123,AI123,AJ123,AK123,AL123,AM123,AN123),"N/A")</f>
        <v/>
      </c>
      <c r="AP123" s="64">
        <f>IFERROR(AVERAGE(W123,X123,Y123,Z123)/2,"N/A")</f>
        <v/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9" t="inlineStr">
        <is>
          <t>AMAZONAS</t>
        </is>
      </c>
      <c r="D124" s="9" t="inlineStr">
        <is>
          <t>CAFÉ</t>
        </is>
      </c>
      <c r="E124" s="14" t="n">
        <v>442439.35</v>
      </c>
      <c r="F124" s="15" t="n">
        <v>4</v>
      </c>
      <c r="G124" s="16" t="inlineStr">
        <is>
          <t>SI</t>
        </is>
      </c>
      <c r="H124" s="15" t="inlineStr">
        <is>
          <t>SI(</t>
        </is>
      </c>
      <c r="I124" s="15" t="inlineStr">
        <is>
          <t xml:space="preserve">SI </t>
        </is>
      </c>
      <c r="J124" s="15" t="inlineStr">
        <is>
          <t>ACTIVO</t>
        </is>
      </c>
      <c r="K124" s="15" t="inlineStr">
        <is>
          <t>50 %</t>
        </is>
      </c>
      <c r="L124" s="17" t="n">
        <v>0</v>
      </c>
      <c r="M124" s="18">
        <f>IF(E124&gt;0,ROUND(L124/E124*100,1),0)</f>
        <v/>
      </c>
      <c r="N124" s="19" t="inlineStr">
        <is>
          <t>PENDIENTE</t>
        </is>
      </c>
      <c r="O124" s="20">
        <f>IF(H124="SI",1,0)*0.6+IF(I124="SI",1,0)*0.4</f>
        <v/>
      </c>
      <c r="P124" s="19" t="inlineStr">
        <is>
          <t>PENDIENTE</t>
        </is>
      </c>
      <c r="Q124" s="14" t="n">
        <v>256</v>
      </c>
      <c r="R124" s="21" t="n">
        <v>685</v>
      </c>
      <c r="S124" s="22">
        <f>IFERROR(SCORECARDS!C122,"—")</f>
        <v/>
      </c>
      <c r="T124" s="23">
        <f>IF(ISTEXT(S124),S124,IF(S124&lt;34,"🔴 Crítico",IF(S124&lt;67,"🟡 Vulnerable","🟢 Preparado")))</f>
        <v/>
      </c>
      <c r="W124" s="68" t="n">
        <v>1</v>
      </c>
      <c r="X124" s="62" t="n">
        <v>0</v>
      </c>
      <c r="Y124" s="62" t="n">
        <v>0</v>
      </c>
      <c r="Z124" s="62" t="n">
        <v>0</v>
      </c>
      <c r="AA124" s="62" t="n">
        <v>0</v>
      </c>
      <c r="AB124" s="62" t="n">
        <v>0</v>
      </c>
      <c r="AC124" s="62" t="n">
        <v>0</v>
      </c>
      <c r="AD124" s="62" t="n">
        <v>0</v>
      </c>
      <c r="AE124" s="62" t="n">
        <v>0</v>
      </c>
      <c r="AF124" s="62" t="n">
        <v>0</v>
      </c>
      <c r="AG124" s="62" t="n">
        <v>0</v>
      </c>
      <c r="AH124" s="62" t="n">
        <v>0</v>
      </c>
      <c r="AI124" s="62" t="n">
        <v>0</v>
      </c>
      <c r="AJ124" s="62" t="n">
        <v>0</v>
      </c>
      <c r="AK124" s="62" t="n">
        <v>0</v>
      </c>
      <c r="AL124" s="62" t="n">
        <v>0</v>
      </c>
      <c r="AM124" s="62" t="n">
        <v>0</v>
      </c>
      <c r="AN124" s="62" t="n">
        <v>0</v>
      </c>
      <c r="AO124" s="63">
        <f>IFERROR(AVERAGE(AA124,AB124,AC124,AD124,AE124,AF124,AG124,AH124,AI124,AJ124,AK124,AL124,AM124,AN124),"N/A")</f>
        <v/>
      </c>
      <c r="AP124" s="64">
        <f>IFERROR(AVERAGE(W124,X124,Y124,Z124)/2,"N/A")</f>
        <v/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9" t="inlineStr">
        <is>
          <t>JUNIN</t>
        </is>
      </c>
      <c r="D125" s="9" t="inlineStr">
        <is>
          <t>CACAO</t>
        </is>
      </c>
      <c r="E125" s="14" t="n"/>
      <c r="F125" s="15" t="n"/>
      <c r="G125" s="24" t="inlineStr">
        <is>
          <t>NO</t>
        </is>
      </c>
      <c r="H125" s="15" t="inlineStr">
        <is>
          <t>nan</t>
        </is>
      </c>
      <c r="I125" s="15" t="inlineStr">
        <is>
          <t>nan</t>
        </is>
      </c>
      <c r="J125" s="15" t="inlineStr">
        <is>
          <t>ACTIVO</t>
        </is>
      </c>
      <c r="K125" s="15" t="inlineStr">
        <is>
          <t>nan</t>
        </is>
      </c>
      <c r="L125" s="17" t="n">
        <v>0</v>
      </c>
      <c r="M125" s="18">
        <f>IF(E125&gt;0,ROUND(L125/E125*100,1),0)</f>
        <v/>
      </c>
      <c r="N125" s="19" t="inlineStr">
        <is>
          <t>PENDIENTE</t>
        </is>
      </c>
      <c r="O125" s="20">
        <f>IF(H125="SI",1,0)*0.6+IF(I125="SI",1,0)*0.4</f>
        <v/>
      </c>
      <c r="P125" s="19" t="inlineStr">
        <is>
          <t>PENDIENTE</t>
        </is>
      </c>
      <c r="Q125" s="14" t="n"/>
      <c r="R125" s="21" t="n"/>
      <c r="S125" s="22">
        <f>IFERROR(SCORECARDS!C123,"—")</f>
        <v/>
      </c>
      <c r="T125" s="23">
        <f>IF(ISTEXT(S125),S125,IF(S125&lt;34,"🔴 Crítico",IF(S125&lt;67,"🟡 Vulnerable","🟢 Preparado")))</f>
        <v/>
      </c>
      <c r="W125" s="62" t="n">
        <v>0</v>
      </c>
      <c r="X125" s="62" t="n">
        <v>0</v>
      </c>
      <c r="Y125" s="62" t="n">
        <v>0</v>
      </c>
      <c r="Z125" s="62" t="n">
        <v>0</v>
      </c>
      <c r="AA125" s="62" t="n">
        <v>0</v>
      </c>
      <c r="AB125" s="62" t="n">
        <v>0</v>
      </c>
      <c r="AC125" s="62" t="n">
        <v>0</v>
      </c>
      <c r="AD125" s="62" t="n">
        <v>0</v>
      </c>
      <c r="AE125" s="62" t="n">
        <v>0</v>
      </c>
      <c r="AF125" s="62" t="n">
        <v>0</v>
      </c>
      <c r="AG125" s="62" t="n">
        <v>0</v>
      </c>
      <c r="AH125" s="62" t="n">
        <v>0</v>
      </c>
      <c r="AI125" s="62" t="n">
        <v>0</v>
      </c>
      <c r="AJ125" s="62" t="n">
        <v>0</v>
      </c>
      <c r="AK125" s="62" t="n">
        <v>0</v>
      </c>
      <c r="AL125" s="62" t="n">
        <v>0</v>
      </c>
      <c r="AM125" s="62" t="n">
        <v>0</v>
      </c>
      <c r="AN125" s="62" t="n">
        <v>0</v>
      </c>
      <c r="AO125" s="63">
        <f>IFERROR(AVERAGE(AA125,AB125,AC125,AD125,AE125,AF125,AG125,AH125,AI125,AJ125,AK125,AL125,AM125,AN125),"N/A")</f>
        <v/>
      </c>
      <c r="AP125" s="64">
        <f>IFERROR(AVERAGE(W125,X125,Y125,Z125)/2,"N/A")</f>
        <v/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9" t="inlineStr">
        <is>
          <t>JUNIN</t>
        </is>
      </c>
      <c r="D126" s="9" t="inlineStr">
        <is>
          <t>CACAO</t>
        </is>
      </c>
      <c r="E126" s="14" t="n">
        <v>0</v>
      </c>
      <c r="F126" s="15" t="n"/>
      <c r="G126" s="24" t="inlineStr">
        <is>
          <t>NO</t>
        </is>
      </c>
      <c r="H126" s="15" t="inlineStr">
        <is>
          <t>nan</t>
        </is>
      </c>
      <c r="I126" s="15" t="inlineStr">
        <is>
          <t>nan</t>
        </is>
      </c>
      <c r="J126" s="15" t="inlineStr">
        <is>
          <t>ACTIVO</t>
        </is>
      </c>
      <c r="K126" s="15" t="inlineStr">
        <is>
          <t>nan</t>
        </is>
      </c>
      <c r="L126" s="17" t="n">
        <v>0</v>
      </c>
      <c r="M126" s="18">
        <f>IF(E126&gt;0,ROUND(L126/E126*100,1),0)</f>
        <v/>
      </c>
      <c r="N126" s="19" t="inlineStr">
        <is>
          <t>PENDIENTE</t>
        </is>
      </c>
      <c r="O126" s="20">
        <f>IF(H126="SI",1,0)*0.6+IF(I126="SI",1,0)*0.4</f>
        <v/>
      </c>
      <c r="P126" s="19" t="inlineStr">
        <is>
          <t>PENDIENTE</t>
        </is>
      </c>
      <c r="Q126" s="14" t="n"/>
      <c r="R126" s="21" t="n"/>
      <c r="S126" s="22">
        <f>IFERROR(SCORECARDS!C124,"—")</f>
        <v/>
      </c>
      <c r="T126" s="23">
        <f>IF(ISTEXT(S126),S126,IF(S126&lt;34,"🔴 Crítico",IF(S126&lt;67,"🟡 Vulnerable","🟢 Preparado")))</f>
        <v/>
      </c>
      <c r="W126" s="62" t="n">
        <v>0</v>
      </c>
      <c r="X126" s="62" t="n">
        <v>0</v>
      </c>
      <c r="Y126" s="62" t="n">
        <v>0</v>
      </c>
      <c r="Z126" s="62" t="n">
        <v>0</v>
      </c>
      <c r="AA126" s="62" t="n">
        <v>0</v>
      </c>
      <c r="AB126" s="62" t="n">
        <v>0</v>
      </c>
      <c r="AC126" s="62" t="n">
        <v>0</v>
      </c>
      <c r="AD126" s="62" t="n">
        <v>0</v>
      </c>
      <c r="AE126" s="62" t="n">
        <v>0</v>
      </c>
      <c r="AF126" s="62" t="n">
        <v>0</v>
      </c>
      <c r="AG126" s="62" t="n">
        <v>0</v>
      </c>
      <c r="AH126" s="62" t="n">
        <v>0</v>
      </c>
      <c r="AI126" s="62" t="n">
        <v>0</v>
      </c>
      <c r="AJ126" s="62" t="n">
        <v>0</v>
      </c>
      <c r="AK126" s="62" t="n">
        <v>0</v>
      </c>
      <c r="AL126" s="62" t="n">
        <v>0</v>
      </c>
      <c r="AM126" s="62" t="n">
        <v>0</v>
      </c>
      <c r="AN126" s="62" t="n">
        <v>0</v>
      </c>
      <c r="AO126" s="63">
        <f>IFERROR(AVERAGE(AA126,AB126,AC126,AD126,AE126,AF126,AG126,AH126,AI126,AJ126,AK126,AL126,AM126,AN126),"N/A")</f>
        <v/>
      </c>
      <c r="AP126" s="64">
        <f>IFERROR(AVERAGE(W126,X126,Y126,Z126)/2,"N/A")</f>
        <v/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9" t="inlineStr">
        <is>
          <t>JUNIN</t>
        </is>
      </c>
      <c r="D127" s="9" t="inlineStr">
        <is>
          <t>CACAO</t>
        </is>
      </c>
      <c r="E127" s="14" t="n">
        <v>0</v>
      </c>
      <c r="F127" s="15" t="n"/>
      <c r="G127" s="24" t="inlineStr">
        <is>
          <t>NO</t>
        </is>
      </c>
      <c r="H127" s="15" t="inlineStr">
        <is>
          <t>nan</t>
        </is>
      </c>
      <c r="I127" s="15" t="inlineStr">
        <is>
          <t>nan</t>
        </is>
      </c>
      <c r="J127" s="15" t="inlineStr">
        <is>
          <t>ACTIVO</t>
        </is>
      </c>
      <c r="K127" s="15" t="inlineStr">
        <is>
          <t>nan</t>
        </is>
      </c>
      <c r="L127" s="17" t="n">
        <v>0</v>
      </c>
      <c r="M127" s="18">
        <f>IF(E127&gt;0,ROUND(L127/E127*100,1),0)</f>
        <v/>
      </c>
      <c r="N127" s="19" t="inlineStr">
        <is>
          <t>PENDIENTE</t>
        </is>
      </c>
      <c r="O127" s="20">
        <f>IF(H127="SI",1,0)*0.6+IF(I127="SI",1,0)*0.4</f>
        <v/>
      </c>
      <c r="P127" s="19" t="inlineStr">
        <is>
          <t>PENDIENTE</t>
        </is>
      </c>
      <c r="Q127" s="14" t="n"/>
      <c r="R127" s="21" t="n"/>
      <c r="S127" s="22">
        <f>IFERROR(SCORECARDS!C125,"—")</f>
        <v/>
      </c>
      <c r="T127" s="23">
        <f>IF(ISTEXT(S127),S127,IF(S127&lt;34,"🔴 Crítico",IF(S127&lt;67,"🟡 Vulnerable","🟢 Preparado")))</f>
        <v/>
      </c>
      <c r="W127" s="62" t="n">
        <v>0</v>
      </c>
      <c r="X127" s="62" t="n">
        <v>0</v>
      </c>
      <c r="Y127" s="62" t="n">
        <v>0</v>
      </c>
      <c r="Z127" s="62" t="n">
        <v>0</v>
      </c>
      <c r="AA127" s="62" t="n">
        <v>0</v>
      </c>
      <c r="AB127" s="62" t="n">
        <v>0</v>
      </c>
      <c r="AC127" s="62" t="n">
        <v>0</v>
      </c>
      <c r="AD127" s="62" t="n">
        <v>0</v>
      </c>
      <c r="AE127" s="62" t="n">
        <v>0</v>
      </c>
      <c r="AF127" s="62" t="n">
        <v>0</v>
      </c>
      <c r="AG127" s="62" t="n">
        <v>0</v>
      </c>
      <c r="AH127" s="62" t="n">
        <v>0</v>
      </c>
      <c r="AI127" s="62" t="n">
        <v>0</v>
      </c>
      <c r="AJ127" s="62" t="n">
        <v>0</v>
      </c>
      <c r="AK127" s="62" t="n">
        <v>0</v>
      </c>
      <c r="AL127" s="62" t="n">
        <v>0</v>
      </c>
      <c r="AM127" s="62" t="n">
        <v>0</v>
      </c>
      <c r="AN127" s="62" t="n">
        <v>0</v>
      </c>
      <c r="AO127" s="63">
        <f>IFERROR(AVERAGE(AA127,AB127,AC127,AD127,AE127,AF127,AG127,AH127,AI127,AJ127,AK127,AL127,AM127,AN127),"N/A")</f>
        <v/>
      </c>
      <c r="AP127" s="64">
        <f>IFERROR(AVERAGE(W127,X127,Y127,Z127)/2,"N/A")</f>
        <v/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9" t="inlineStr">
        <is>
          <t>AMAZONAS</t>
        </is>
      </c>
      <c r="D128" s="9" t="inlineStr">
        <is>
          <t>CAFÉ</t>
        </is>
      </c>
      <c r="E128" s="14" t="n">
        <v>13966273.33</v>
      </c>
      <c r="F128" s="15" t="n">
        <v>80</v>
      </c>
      <c r="G128" s="16" t="inlineStr">
        <is>
          <t>SI</t>
        </is>
      </c>
      <c r="H128" s="15" t="inlineStr">
        <is>
          <t>nan</t>
        </is>
      </c>
      <c r="I128" s="15" t="inlineStr">
        <is>
          <t>nan</t>
        </is>
      </c>
      <c r="J128" s="15" t="inlineStr">
        <is>
          <t>ACTIVO</t>
        </is>
      </c>
      <c r="K128" s="15" t="inlineStr">
        <is>
          <t>nan</t>
        </is>
      </c>
      <c r="L128" s="17" t="n">
        <v>6983136.67</v>
      </c>
      <c r="M128" s="18">
        <f>IF(E128&gt;0,ROUND(L128/E128*100,1),0)</f>
        <v/>
      </c>
      <c r="N128" s="19" t="inlineStr">
        <is>
          <t>PENDIENTE</t>
        </is>
      </c>
      <c r="O128" s="20">
        <f>IF(H128="SI",1,0)*0.6+IF(I128="SI",1,0)*0.4</f>
        <v/>
      </c>
      <c r="P128" s="19" t="inlineStr">
        <is>
          <t>PENDIENTE</t>
        </is>
      </c>
      <c r="Q128" s="14" t="n"/>
      <c r="R128" s="21" t="n"/>
      <c r="S128" s="22">
        <f>IFERROR(SCORECARDS!C126,"—")</f>
        <v/>
      </c>
      <c r="T128" s="23">
        <f>IF(ISTEXT(S128),S128,IF(S128&lt;34,"🔴 Crítico",IF(S128&lt;67,"🟡 Vulnerable","🟢 Preparado")))</f>
        <v/>
      </c>
      <c r="U128" s="57" t="n">
        <v>1</v>
      </c>
      <c r="V128" t="inlineStr">
        <is>
          <t>Sin hallazgos OSCE / OEFA</t>
        </is>
      </c>
      <c r="W128" s="68" t="n">
        <v>1</v>
      </c>
      <c r="X128" s="62" t="n">
        <v>0</v>
      </c>
      <c r="Y128" s="62" t="n">
        <v>0</v>
      </c>
      <c r="Z128" s="62" t="n">
        <v>0</v>
      </c>
      <c r="AA128" s="62" t="n">
        <v>0</v>
      </c>
      <c r="AB128" s="62" t="n">
        <v>0</v>
      </c>
      <c r="AC128" s="62" t="n">
        <v>0</v>
      </c>
      <c r="AD128" s="62" t="n">
        <v>0</v>
      </c>
      <c r="AE128" s="62" t="n">
        <v>0</v>
      </c>
      <c r="AF128" s="62" t="n">
        <v>0</v>
      </c>
      <c r="AG128" s="62" t="n">
        <v>0</v>
      </c>
      <c r="AH128" s="62" t="n">
        <v>0</v>
      </c>
      <c r="AI128" s="62" t="n">
        <v>0</v>
      </c>
      <c r="AJ128" s="62" t="n">
        <v>0</v>
      </c>
      <c r="AK128" s="62" t="n">
        <v>0</v>
      </c>
      <c r="AL128" s="62" t="n">
        <v>0</v>
      </c>
      <c r="AM128" s="62" t="n">
        <v>0</v>
      </c>
      <c r="AN128" s="62" t="n">
        <v>0</v>
      </c>
      <c r="AO128" s="63">
        <f>IFERROR(AVERAGE(AA128,AB128,AC128,AD128,AE128,AF128,AG128,AH128,AI128,AJ128,AK128,AL128,AM128,AN128),"N/A")</f>
        <v/>
      </c>
      <c r="AP128" s="64">
        <f>IFERROR(AVERAGE(W128,X128,Y128,Z128)/2,"N/A")</f>
        <v/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9" t="inlineStr">
        <is>
          <t>UCAYALI</t>
        </is>
      </c>
      <c r="D129" s="9" t="inlineStr">
        <is>
          <t>CACAO</t>
        </is>
      </c>
      <c r="E129" s="14" t="n"/>
      <c r="F129" s="15" t="n"/>
      <c r="G129" s="24" t="inlineStr">
        <is>
          <t>NO</t>
        </is>
      </c>
      <c r="H129" s="15" t="inlineStr">
        <is>
          <t>nan</t>
        </is>
      </c>
      <c r="I129" s="15" t="inlineStr">
        <is>
          <t>nan</t>
        </is>
      </c>
      <c r="J129" s="15" t="inlineStr">
        <is>
          <t>ACTIVO</t>
        </is>
      </c>
      <c r="K129" s="15" t="inlineStr">
        <is>
          <t>nan</t>
        </is>
      </c>
      <c r="L129" s="17" t="n">
        <v>0</v>
      </c>
      <c r="M129" s="18">
        <f>IF(E129&gt;0,ROUND(L129/E129*100,1),0)</f>
        <v/>
      </c>
      <c r="N129" s="19" t="inlineStr">
        <is>
          <t>PENDIENTE</t>
        </is>
      </c>
      <c r="O129" s="20">
        <f>IF(H129="SI",1,0)*0.6+IF(I129="SI",1,0)*0.4</f>
        <v/>
      </c>
      <c r="P129" s="19" t="inlineStr">
        <is>
          <t>PENDIENTE</t>
        </is>
      </c>
      <c r="Q129" s="14" t="n"/>
      <c r="R129" s="21" t="n"/>
      <c r="S129" s="22">
        <f>IFERROR(SCORECARDS!C127,"—")</f>
        <v/>
      </c>
      <c r="T129" s="23">
        <f>IF(ISTEXT(S129),S129,IF(S129&lt;34,"🔴 Crítico",IF(S129&lt;67,"🟡 Vulnerable","🟢 Preparado")))</f>
        <v/>
      </c>
      <c r="W129" s="62" t="n">
        <v>0</v>
      </c>
      <c r="X129" s="62" t="n">
        <v>0</v>
      </c>
      <c r="Y129" s="62" t="n">
        <v>0</v>
      </c>
      <c r="Z129" s="62" t="n">
        <v>0</v>
      </c>
      <c r="AA129" s="62" t="n">
        <v>0</v>
      </c>
      <c r="AB129" s="62" t="n">
        <v>0</v>
      </c>
      <c r="AC129" s="62" t="n">
        <v>0</v>
      </c>
      <c r="AD129" s="62" t="n">
        <v>0</v>
      </c>
      <c r="AE129" s="62" t="n">
        <v>0</v>
      </c>
      <c r="AF129" s="62" t="n">
        <v>0</v>
      </c>
      <c r="AG129" s="62" t="n">
        <v>0</v>
      </c>
      <c r="AH129" s="62" t="n">
        <v>0</v>
      </c>
      <c r="AI129" s="62" t="n">
        <v>0</v>
      </c>
      <c r="AJ129" s="62" t="n">
        <v>0</v>
      </c>
      <c r="AK129" s="62" t="n">
        <v>0</v>
      </c>
      <c r="AL129" s="62" t="n">
        <v>0</v>
      </c>
      <c r="AM129" s="62" t="n">
        <v>0</v>
      </c>
      <c r="AN129" s="62" t="n">
        <v>0</v>
      </c>
      <c r="AO129" s="63">
        <f>IFERROR(AVERAGE(AA129,AB129,AC129,AD129,AE129,AF129,AG129,AH129,AI129,AJ129,AK129,AL129,AM129,AN129),"N/A")</f>
        <v/>
      </c>
      <c r="AP129" s="64">
        <f>IFERROR(AVERAGE(W129,X129,Y129,Z129)/2,"N/A")</f>
        <v/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9" t="inlineStr">
        <is>
          <t>PASCO</t>
        </is>
      </c>
      <c r="D130" s="9" t="inlineStr">
        <is>
          <t>CAFÉ</t>
        </is>
      </c>
      <c r="E130" s="14" t="n">
        <v>826100.75</v>
      </c>
      <c r="F130" s="15" t="n">
        <v>5</v>
      </c>
      <c r="G130" s="16" t="inlineStr">
        <is>
          <t>SI</t>
        </is>
      </c>
      <c r="H130" s="15" t="inlineStr">
        <is>
          <t xml:space="preserve">SI </t>
        </is>
      </c>
      <c r="I130" s="15" t="inlineStr">
        <is>
          <t xml:space="preserve">SI </t>
        </is>
      </c>
      <c r="J130" s="15" t="inlineStr">
        <is>
          <t>ACTIVO</t>
        </is>
      </c>
      <c r="K130" s="15" t="inlineStr">
        <is>
          <t>Empadronados PPA 64.8%</t>
        </is>
      </c>
      <c r="L130" s="17" t="n">
        <v>0</v>
      </c>
      <c r="M130" s="18">
        <f>IF(E130&gt;0,ROUND(L130/E130*100,1),0)</f>
        <v/>
      </c>
      <c r="N130" s="19" t="inlineStr">
        <is>
          <t>PENDIENTE</t>
        </is>
      </c>
      <c r="O130" s="20">
        <f>IF(H130="SI",1,0)*0.6+IF(I130="SI",1,0)*0.4</f>
        <v/>
      </c>
      <c r="P130" s="19" t="inlineStr">
        <is>
          <t>PENDIENTE</t>
        </is>
      </c>
      <c r="Q130" s="14" t="n">
        <v>177</v>
      </c>
      <c r="R130" s="21" t="n">
        <v>213</v>
      </c>
      <c r="S130" s="22">
        <f>IFERROR(SCORECARDS!C128,"—")</f>
        <v/>
      </c>
      <c r="T130" s="23">
        <f>IF(ISTEXT(S130),S130,IF(S130&lt;34,"🔴 Crítico",IF(S130&lt;67,"🟡 Vulnerable","🟢 Preparado")))</f>
        <v/>
      </c>
      <c r="W130" s="68" t="n">
        <v>1</v>
      </c>
      <c r="X130" s="62" t="n">
        <v>0</v>
      </c>
      <c r="Y130" s="62" t="n">
        <v>0</v>
      </c>
      <c r="Z130" s="62" t="n">
        <v>0</v>
      </c>
      <c r="AA130" s="62" t="n">
        <v>0</v>
      </c>
      <c r="AB130" s="62" t="n">
        <v>0</v>
      </c>
      <c r="AC130" s="62" t="n">
        <v>0</v>
      </c>
      <c r="AD130" s="62" t="n">
        <v>0</v>
      </c>
      <c r="AE130" s="62" t="n">
        <v>0</v>
      </c>
      <c r="AF130" s="62" t="n">
        <v>0</v>
      </c>
      <c r="AG130" s="62" t="n">
        <v>0</v>
      </c>
      <c r="AH130" s="62" t="n">
        <v>0</v>
      </c>
      <c r="AI130" s="62" t="n">
        <v>0</v>
      </c>
      <c r="AJ130" s="62" t="n">
        <v>0</v>
      </c>
      <c r="AK130" s="62" t="n">
        <v>0</v>
      </c>
      <c r="AL130" s="62" t="n">
        <v>0</v>
      </c>
      <c r="AM130" s="62" t="n">
        <v>0</v>
      </c>
      <c r="AN130" s="62" t="n">
        <v>0</v>
      </c>
      <c r="AO130" s="63">
        <f>IFERROR(AVERAGE(AA130,AB130,AC130,AD130,AE130,AF130,AG130,AH130,AI130,AJ130,AK130,AL130,AM130,AN130),"N/A")</f>
        <v/>
      </c>
      <c r="AP130" s="64">
        <f>IFERROR(AVERAGE(W130,X130,Y130,Z130)/2,"N/A")</f>
        <v/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9" t="inlineStr">
        <is>
          <t>JUNIN</t>
        </is>
      </c>
      <c r="D131" s="9" t="inlineStr">
        <is>
          <t>CAFÉ</t>
        </is>
      </c>
      <c r="E131" s="14" t="n">
        <v>0</v>
      </c>
      <c r="F131" s="15" t="n"/>
      <c r="G131" s="24" t="inlineStr">
        <is>
          <t>NO</t>
        </is>
      </c>
      <c r="H131" s="15" t="inlineStr">
        <is>
          <t>nan</t>
        </is>
      </c>
      <c r="I131" s="15" t="inlineStr">
        <is>
          <t>nan</t>
        </is>
      </c>
      <c r="J131" s="15" t="inlineStr">
        <is>
          <t>BAJA DE OFICIO</t>
        </is>
      </c>
      <c r="K131" s="15" t="inlineStr">
        <is>
          <t>nan</t>
        </is>
      </c>
      <c r="L131" s="17" t="n">
        <v>0</v>
      </c>
      <c r="M131" s="18">
        <f>IF(E131&gt;0,ROUND(L131/E131*100,1),0)</f>
        <v/>
      </c>
      <c r="N131" s="19" t="inlineStr">
        <is>
          <t>PENDIENTE</t>
        </is>
      </c>
      <c r="O131" s="20">
        <f>IF(H131="SI",1,0)*0.6+IF(I131="SI",1,0)*0.4</f>
        <v/>
      </c>
      <c r="P131" s="19" t="inlineStr">
        <is>
          <t>PENDIENTE</t>
        </is>
      </c>
      <c r="Q131" s="14" t="n"/>
      <c r="R131" s="21" t="n"/>
      <c r="S131" s="22">
        <f>IFERROR(SCORECARDS!C129,"—")</f>
        <v/>
      </c>
      <c r="T131" s="23">
        <f>IF(ISTEXT(S131),S131,IF(S131&lt;34,"🔴 Crítico",IF(S131&lt;67,"🟡 Vulnerable","🟢 Preparado")))</f>
        <v/>
      </c>
      <c r="W131" s="62" t="n">
        <v>0</v>
      </c>
      <c r="X131" s="62" t="n">
        <v>0</v>
      </c>
      <c r="Y131" s="62" t="n">
        <v>0</v>
      </c>
      <c r="Z131" s="62" t="n">
        <v>0</v>
      </c>
      <c r="AA131" s="62" t="n">
        <v>0</v>
      </c>
      <c r="AB131" s="62" t="n">
        <v>0</v>
      </c>
      <c r="AC131" s="62" t="n">
        <v>0</v>
      </c>
      <c r="AD131" s="62" t="n">
        <v>0</v>
      </c>
      <c r="AE131" s="62" t="n">
        <v>0</v>
      </c>
      <c r="AF131" s="62" t="n">
        <v>0</v>
      </c>
      <c r="AG131" s="62" t="n">
        <v>0</v>
      </c>
      <c r="AH131" s="62" t="n">
        <v>0</v>
      </c>
      <c r="AI131" s="62" t="n">
        <v>0</v>
      </c>
      <c r="AJ131" s="62" t="n">
        <v>0</v>
      </c>
      <c r="AK131" s="62" t="n">
        <v>0</v>
      </c>
      <c r="AL131" s="62" t="n">
        <v>0</v>
      </c>
      <c r="AM131" s="62" t="n">
        <v>0</v>
      </c>
      <c r="AN131" s="62" t="n">
        <v>0</v>
      </c>
      <c r="AO131" s="63">
        <f>IFERROR(AVERAGE(AA131,AB131,AC131,AD131,AE131,AF131,AG131,AH131,AI131,AJ131,AK131,AL131,AM131,AN131),"N/A")</f>
        <v/>
      </c>
      <c r="AP131" s="64">
        <f>IFERROR(AVERAGE(W131,X131,Y131,Z131)/2,"N/A")</f>
        <v/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9" t="inlineStr">
        <is>
          <t>UCAYALI</t>
        </is>
      </c>
      <c r="D132" s="9" t="inlineStr">
        <is>
          <t>CACAO</t>
        </is>
      </c>
      <c r="E132" s="14" t="n"/>
      <c r="F132" s="15" t="n"/>
      <c r="G132" s="24" t="inlineStr">
        <is>
          <t>NO</t>
        </is>
      </c>
      <c r="H132" s="15" t="inlineStr">
        <is>
          <t>nan</t>
        </is>
      </c>
      <c r="I132" s="15" t="inlineStr">
        <is>
          <t>nan</t>
        </is>
      </c>
      <c r="J132" s="15" t="inlineStr">
        <is>
          <t>BAJA DE OFICIO</t>
        </is>
      </c>
      <c r="K132" s="15" t="inlineStr">
        <is>
          <t>nan</t>
        </is>
      </c>
      <c r="L132" s="17" t="n">
        <v>0</v>
      </c>
      <c r="M132" s="18">
        <f>IF(E132&gt;0,ROUND(L132/E132*100,1),0)</f>
        <v/>
      </c>
      <c r="N132" s="19" t="inlineStr">
        <is>
          <t>PENDIENTE</t>
        </is>
      </c>
      <c r="O132" s="20">
        <f>IF(H132="SI",1,0)*0.6+IF(I132="SI",1,0)*0.4</f>
        <v/>
      </c>
      <c r="P132" s="19" t="inlineStr">
        <is>
          <t>PENDIENTE</t>
        </is>
      </c>
      <c r="Q132" s="14" t="n"/>
      <c r="R132" s="21" t="n"/>
      <c r="S132" s="22">
        <f>IFERROR(SCORECARDS!C130,"—")</f>
        <v/>
      </c>
      <c r="T132" s="23">
        <f>IF(ISTEXT(S132),S132,IF(S132&lt;34,"🔴 Crítico",IF(S132&lt;67,"🟡 Vulnerable","🟢 Preparado")))</f>
        <v/>
      </c>
      <c r="W132" s="62" t="n">
        <v>0</v>
      </c>
      <c r="X132" s="62" t="n">
        <v>0</v>
      </c>
      <c r="Y132" s="62" t="n">
        <v>0</v>
      </c>
      <c r="Z132" s="62" t="n">
        <v>0</v>
      </c>
      <c r="AA132" s="62" t="n">
        <v>0</v>
      </c>
      <c r="AB132" s="62" t="n">
        <v>0</v>
      </c>
      <c r="AC132" s="62" t="n">
        <v>0</v>
      </c>
      <c r="AD132" s="62" t="n">
        <v>0</v>
      </c>
      <c r="AE132" s="62" t="n">
        <v>0</v>
      </c>
      <c r="AF132" s="62" t="n">
        <v>0</v>
      </c>
      <c r="AG132" s="62" t="n">
        <v>0</v>
      </c>
      <c r="AH132" s="62" t="n">
        <v>0</v>
      </c>
      <c r="AI132" s="62" t="n">
        <v>0</v>
      </c>
      <c r="AJ132" s="62" t="n">
        <v>0</v>
      </c>
      <c r="AK132" s="62" t="n">
        <v>0</v>
      </c>
      <c r="AL132" s="62" t="n">
        <v>0</v>
      </c>
      <c r="AM132" s="62" t="n">
        <v>0</v>
      </c>
      <c r="AN132" s="62" t="n">
        <v>0</v>
      </c>
      <c r="AO132" s="63">
        <f>IFERROR(AVERAGE(AA132,AB132,AC132,AD132,AE132,AF132,AG132,AH132,AI132,AJ132,AK132,AL132,AM132,AN132),"N/A")</f>
        <v/>
      </c>
      <c r="AP132" s="64">
        <f>IFERROR(AVERAGE(W132,X132,Y132,Z132)/2,"N/A")</f>
        <v/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9" t="inlineStr">
        <is>
          <t>PIURA</t>
        </is>
      </c>
      <c r="D133" s="9" t="inlineStr">
        <is>
          <t>CACAO</t>
        </is>
      </c>
      <c r="E133" s="14" t="n"/>
      <c r="F133" s="15" t="n"/>
      <c r="G133" s="24" t="inlineStr">
        <is>
          <t>NO</t>
        </is>
      </c>
      <c r="H133" s="15" t="inlineStr">
        <is>
          <t>nan</t>
        </is>
      </c>
      <c r="I133" s="15" t="inlineStr">
        <is>
          <t>nan</t>
        </is>
      </c>
      <c r="J133" s="15" t="inlineStr">
        <is>
          <t>ACTIVO</t>
        </is>
      </c>
      <c r="K133" s="15" t="inlineStr">
        <is>
          <t>nan</t>
        </is>
      </c>
      <c r="L133" s="17" t="n">
        <v>0</v>
      </c>
      <c r="M133" s="18">
        <f>IF(E133&gt;0,ROUND(L133/E133*100,1),0)</f>
        <v/>
      </c>
      <c r="N133" s="19" t="inlineStr">
        <is>
          <t>PENDIENTE</t>
        </is>
      </c>
      <c r="O133" s="20">
        <f>IF(H133="SI",1,0)*0.6+IF(I133="SI",1,0)*0.4</f>
        <v/>
      </c>
      <c r="P133" s="19" t="inlineStr">
        <is>
          <t>PENDIENTE</t>
        </is>
      </c>
      <c r="Q133" s="14" t="n"/>
      <c r="R133" s="21" t="n"/>
      <c r="S133" s="22">
        <f>IFERROR(SCORECARDS!C131,"—")</f>
        <v/>
      </c>
      <c r="T133" s="23">
        <f>IF(ISTEXT(S133),S133,IF(S133&lt;34,"🔴 Crítico",IF(S133&lt;67,"🟡 Vulnerable","🟢 Preparado")))</f>
        <v/>
      </c>
      <c r="W133" s="62" t="n">
        <v>0</v>
      </c>
      <c r="X133" s="62" t="n">
        <v>0</v>
      </c>
      <c r="Y133" s="62" t="n">
        <v>0</v>
      </c>
      <c r="Z133" s="62" t="n">
        <v>0</v>
      </c>
      <c r="AA133" s="62" t="n">
        <v>0</v>
      </c>
      <c r="AB133" s="62" t="n">
        <v>0</v>
      </c>
      <c r="AC133" s="62" t="n">
        <v>0</v>
      </c>
      <c r="AD133" s="62" t="n">
        <v>0</v>
      </c>
      <c r="AE133" s="62" t="n">
        <v>0</v>
      </c>
      <c r="AF133" s="62" t="n">
        <v>0</v>
      </c>
      <c r="AG133" s="62" t="n">
        <v>0</v>
      </c>
      <c r="AH133" s="62" t="n">
        <v>0</v>
      </c>
      <c r="AI133" s="62" t="n">
        <v>0</v>
      </c>
      <c r="AJ133" s="62" t="n">
        <v>0</v>
      </c>
      <c r="AK133" s="62" t="n">
        <v>0</v>
      </c>
      <c r="AL133" s="62" t="n">
        <v>0</v>
      </c>
      <c r="AM133" s="62" t="n">
        <v>0</v>
      </c>
      <c r="AN133" s="62" t="n">
        <v>0</v>
      </c>
      <c r="AO133" s="63">
        <f>IFERROR(AVERAGE(AA133,AB133,AC133,AD133,AE133,AF133,AG133,AH133,AI133,AJ133,AK133,AL133,AM133,AN133),"N/A")</f>
        <v/>
      </c>
      <c r="AP133" s="64">
        <f>IFERROR(AVERAGE(W133,X133,Y133,Z133)/2,"N/A")</f>
        <v/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9" t="inlineStr">
        <is>
          <t>JUNIN</t>
        </is>
      </c>
      <c r="D134" s="9" t="inlineStr">
        <is>
          <t>CAFÉ</t>
        </is>
      </c>
      <c r="E134" s="14" t="n">
        <v>0</v>
      </c>
      <c r="F134" s="15" t="n"/>
      <c r="G134" s="24" t="inlineStr">
        <is>
          <t>NO</t>
        </is>
      </c>
      <c r="H134" s="15" t="inlineStr">
        <is>
          <t xml:space="preserve">SI </t>
        </is>
      </c>
      <c r="I134" s="15" t="inlineStr">
        <is>
          <t>SI.</t>
        </is>
      </c>
      <c r="J134" s="15" t="inlineStr">
        <is>
          <t>ACTIVO</t>
        </is>
      </c>
      <c r="K134" s="15" t="inlineStr">
        <is>
          <t>0.93</t>
        </is>
      </c>
      <c r="L134" s="17" t="n">
        <v>0</v>
      </c>
      <c r="M134" s="18">
        <f>IF(E134&gt;0,ROUND(L134/E134*100,1),0)</f>
        <v/>
      </c>
      <c r="N134" s="19" t="inlineStr">
        <is>
          <t>PENDIENTE</t>
        </is>
      </c>
      <c r="O134" s="20">
        <f>IF(H134="SI",1,0)*0.6+IF(I134="SI",1,0)*0.4</f>
        <v/>
      </c>
      <c r="P134" s="19" t="inlineStr">
        <is>
          <t>PENDIENTE</t>
        </is>
      </c>
      <c r="Q134" s="14" t="n">
        <v>162</v>
      </c>
      <c r="R134" s="21" t="n">
        <v>454.5</v>
      </c>
      <c r="S134" s="22">
        <f>IFERROR(SCORECARDS!C132,"—")</f>
        <v/>
      </c>
      <c r="T134" s="23">
        <f>IF(ISTEXT(S134),S134,IF(S134&lt;34,"🔴 Crítico",IF(S134&lt;67,"🟡 Vulnerable","🟢 Preparado")))</f>
        <v/>
      </c>
      <c r="W134" s="68" t="n">
        <v>1</v>
      </c>
      <c r="X134" s="62" t="n">
        <v>0</v>
      </c>
      <c r="Y134" s="62" t="n">
        <v>0</v>
      </c>
      <c r="Z134" s="62" t="n">
        <v>0</v>
      </c>
      <c r="AA134" s="62" t="n">
        <v>0</v>
      </c>
      <c r="AB134" s="62" t="n">
        <v>0</v>
      </c>
      <c r="AC134" s="62" t="n">
        <v>0</v>
      </c>
      <c r="AD134" s="62" t="n">
        <v>0</v>
      </c>
      <c r="AE134" s="62" t="n">
        <v>0</v>
      </c>
      <c r="AF134" s="62" t="n">
        <v>0</v>
      </c>
      <c r="AG134" s="62" t="n">
        <v>0</v>
      </c>
      <c r="AH134" s="62" t="n">
        <v>0</v>
      </c>
      <c r="AI134" s="62" t="n">
        <v>0</v>
      </c>
      <c r="AJ134" s="62" t="n">
        <v>0</v>
      </c>
      <c r="AK134" s="62" t="n">
        <v>0</v>
      </c>
      <c r="AL134" s="62" t="n">
        <v>0</v>
      </c>
      <c r="AM134" s="62" t="n">
        <v>0</v>
      </c>
      <c r="AN134" s="62" t="n">
        <v>0</v>
      </c>
      <c r="AO134" s="63">
        <f>IFERROR(AVERAGE(AA134,AB134,AC134,AD134,AE134,AF134,AG134,AH134,AI134,AJ134,AK134,AL134,AM134,AN134),"N/A")</f>
        <v/>
      </c>
      <c r="AP134" s="64">
        <f>IFERROR(AVERAGE(W134,X134,Y134,Z134)/2,"N/A")</f>
        <v/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9" t="inlineStr">
        <is>
          <t>SAN MARTIN</t>
        </is>
      </c>
      <c r="D135" s="9" t="inlineStr">
        <is>
          <t>CAFÉ</t>
        </is>
      </c>
      <c r="E135" s="14" t="n">
        <v>6836861.45</v>
      </c>
      <c r="F135" s="15" t="n">
        <v>36</v>
      </c>
      <c r="G135" s="16" t="inlineStr">
        <is>
          <t>SI</t>
        </is>
      </c>
      <c r="H135" s="15" t="inlineStr">
        <is>
          <t xml:space="preserve">Si </t>
        </is>
      </c>
      <c r="I135" s="15" t="inlineStr">
        <is>
          <t xml:space="preserve">Si </t>
        </is>
      </c>
      <c r="J135" s="15" t="inlineStr">
        <is>
          <t>ACTIVO</t>
        </is>
      </c>
      <c r="K135" s="15" t="inlineStr">
        <is>
          <t>0.8</t>
        </is>
      </c>
      <c r="L135" s="17" t="n">
        <v>4575551.37</v>
      </c>
      <c r="M135" s="18">
        <f>IF(E135&gt;0,ROUND(L135/E135*100,1),0)</f>
        <v/>
      </c>
      <c r="N135" s="19" t="inlineStr">
        <is>
          <t>PENDIENTE</t>
        </is>
      </c>
      <c r="O135" s="20">
        <f>IF(H135="SI",1,0)*0.6+IF(I135="SI",1,0)*0.4</f>
        <v/>
      </c>
      <c r="P135" s="19" t="inlineStr">
        <is>
          <t>PENDIENTE</t>
        </is>
      </c>
      <c r="Q135" s="14" t="n">
        <v>762</v>
      </c>
      <c r="R135" s="21" t="n">
        <v>1500</v>
      </c>
      <c r="S135" s="22">
        <f>IFERROR(SCORECARDS!C133,"—")</f>
        <v/>
      </c>
      <c r="T135" s="23">
        <f>IF(ISTEXT(S135),S135,IF(S135&lt;34,"🔴 Crítico",IF(S135&lt;67,"🟡 Vulnerable","🟢 Preparado")))</f>
        <v/>
      </c>
      <c r="U135" s="57" t="n">
        <v>1</v>
      </c>
      <c r="V135" t="inlineStr">
        <is>
          <t>Sin hallazgos OSCE / OEFA</t>
        </is>
      </c>
      <c r="W135" s="68" t="n">
        <v>1</v>
      </c>
      <c r="X135" s="62" t="n">
        <v>0</v>
      </c>
      <c r="Y135" s="62" t="n">
        <v>0</v>
      </c>
      <c r="Z135" s="62" t="n">
        <v>0</v>
      </c>
      <c r="AA135" s="62" t="n">
        <v>0</v>
      </c>
      <c r="AB135" s="62" t="n">
        <v>0</v>
      </c>
      <c r="AC135" s="62" t="n">
        <v>0</v>
      </c>
      <c r="AD135" s="62" t="n">
        <v>0</v>
      </c>
      <c r="AE135" s="62" t="n">
        <v>0</v>
      </c>
      <c r="AF135" s="62" t="n">
        <v>0</v>
      </c>
      <c r="AG135" s="62" t="n">
        <v>0</v>
      </c>
      <c r="AH135" s="62" t="n">
        <v>0</v>
      </c>
      <c r="AI135" s="62" t="n">
        <v>0</v>
      </c>
      <c r="AJ135" s="62" t="n">
        <v>0</v>
      </c>
      <c r="AK135" s="62" t="n">
        <v>0</v>
      </c>
      <c r="AL135" s="62" t="n">
        <v>0</v>
      </c>
      <c r="AM135" s="62" t="n">
        <v>0</v>
      </c>
      <c r="AN135" s="62" t="n">
        <v>0</v>
      </c>
      <c r="AO135" s="63">
        <f>IFERROR(AVERAGE(AA135,AB135,AC135,AD135,AE135,AF135,AG135,AH135,AI135,AJ135,AK135,AL135,AM135,AN135),"N/A")</f>
        <v/>
      </c>
      <c r="AP135" s="64">
        <f>IFERROR(AVERAGE(W135,X135,Y135,Z135)/2,"N/A")</f>
        <v/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9" t="inlineStr">
        <is>
          <t>JUNIN</t>
        </is>
      </c>
      <c r="D136" s="9" t="inlineStr">
        <is>
          <t>CAFÉ</t>
        </is>
      </c>
      <c r="E136" s="14" t="n"/>
      <c r="F136" s="15" t="n"/>
      <c r="G136" s="24" t="inlineStr">
        <is>
          <t>NO</t>
        </is>
      </c>
      <c r="H136" s="15" t="inlineStr">
        <is>
          <t>nan</t>
        </is>
      </c>
      <c r="I136" s="15" t="inlineStr">
        <is>
          <t>nan</t>
        </is>
      </c>
      <c r="J136" s="15" t="inlineStr">
        <is>
          <t>ACTIVO</t>
        </is>
      </c>
      <c r="K136" s="15" t="inlineStr">
        <is>
          <t>nan</t>
        </is>
      </c>
      <c r="L136" s="17" t="n">
        <v>0</v>
      </c>
      <c r="M136" s="18">
        <f>IF(E136&gt;0,ROUND(L136/E136*100,1),0)</f>
        <v/>
      </c>
      <c r="N136" s="19" t="inlineStr">
        <is>
          <t>PENDIENTE</t>
        </is>
      </c>
      <c r="O136" s="20">
        <f>IF(H136="SI",1,0)*0.6+IF(I136="SI",1,0)*0.4</f>
        <v/>
      </c>
      <c r="P136" s="19" t="inlineStr">
        <is>
          <t>PENDIENTE</t>
        </is>
      </c>
      <c r="Q136" s="14" t="n"/>
      <c r="R136" s="21" t="n"/>
      <c r="S136" s="22">
        <f>IFERROR(SCORECARDS!C134,"—")</f>
        <v/>
      </c>
      <c r="T136" s="23">
        <f>IF(ISTEXT(S136),S136,IF(S136&lt;34,"🔴 Crítico",IF(S136&lt;67,"🟡 Vulnerable","🟢 Preparado")))</f>
        <v/>
      </c>
      <c r="W136" s="62" t="n">
        <v>0</v>
      </c>
      <c r="X136" s="62" t="n">
        <v>0</v>
      </c>
      <c r="Y136" s="62" t="n">
        <v>0</v>
      </c>
      <c r="Z136" s="62" t="n">
        <v>0</v>
      </c>
      <c r="AA136" s="62" t="n">
        <v>0</v>
      </c>
      <c r="AB136" s="62" t="n">
        <v>0</v>
      </c>
      <c r="AC136" s="62" t="n">
        <v>0</v>
      </c>
      <c r="AD136" s="62" t="n">
        <v>0</v>
      </c>
      <c r="AE136" s="62" t="n">
        <v>0</v>
      </c>
      <c r="AF136" s="62" t="n">
        <v>0</v>
      </c>
      <c r="AG136" s="62" t="n">
        <v>0</v>
      </c>
      <c r="AH136" s="62" t="n">
        <v>0</v>
      </c>
      <c r="AI136" s="62" t="n">
        <v>0</v>
      </c>
      <c r="AJ136" s="62" t="n">
        <v>0</v>
      </c>
      <c r="AK136" s="62" t="n">
        <v>0</v>
      </c>
      <c r="AL136" s="62" t="n">
        <v>0</v>
      </c>
      <c r="AM136" s="62" t="n">
        <v>0</v>
      </c>
      <c r="AN136" s="62" t="n">
        <v>0</v>
      </c>
      <c r="AO136" s="63">
        <f>IFERROR(AVERAGE(AA136,AB136,AC136,AD136,AE136,AF136,AG136,AH136,AI136,AJ136,AK136,AL136,AM136,AN136),"N/A")</f>
        <v/>
      </c>
      <c r="AP136" s="64">
        <f>IFERROR(AVERAGE(W136,X136,Y136,Z136)/2,"N/A")</f>
        <v/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9" t="inlineStr">
        <is>
          <t>CUSCO</t>
        </is>
      </c>
      <c r="D137" s="9" t="inlineStr">
        <is>
          <t>CACAO</t>
        </is>
      </c>
      <c r="E137" s="14" t="n"/>
      <c r="F137" s="15" t="n"/>
      <c r="G137" s="24" t="inlineStr">
        <is>
          <t>NO</t>
        </is>
      </c>
      <c r="H137" s="15" t="inlineStr">
        <is>
          <t>nan</t>
        </is>
      </c>
      <c r="I137" s="15" t="inlineStr">
        <is>
          <t>nan</t>
        </is>
      </c>
      <c r="J137" s="15" t="inlineStr">
        <is>
          <t>ACTIVO</t>
        </is>
      </c>
      <c r="K137" s="15" t="inlineStr">
        <is>
          <t>nan</t>
        </is>
      </c>
      <c r="L137" s="17" t="n">
        <v>0</v>
      </c>
      <c r="M137" s="18">
        <f>IF(E137&gt;0,ROUND(L137/E137*100,1),0)</f>
        <v/>
      </c>
      <c r="N137" s="19" t="inlineStr">
        <is>
          <t>PENDIENTE</t>
        </is>
      </c>
      <c r="O137" s="20">
        <f>IF(H137="SI",1,0)*0.6+IF(I137="SI",1,0)*0.4</f>
        <v/>
      </c>
      <c r="P137" s="19" t="inlineStr">
        <is>
          <t>PENDIENTE</t>
        </is>
      </c>
      <c r="Q137" s="14" t="n"/>
      <c r="R137" s="21" t="n"/>
      <c r="S137" s="22">
        <f>IFERROR(SCORECARDS!C135,"—")</f>
        <v/>
      </c>
      <c r="T137" s="23">
        <f>IF(ISTEXT(S137),S137,IF(S137&lt;34,"🔴 Crítico",IF(S137&lt;67,"🟡 Vulnerable","🟢 Preparado")))</f>
        <v/>
      </c>
      <c r="W137" s="62" t="n">
        <v>0</v>
      </c>
      <c r="X137" s="62" t="n">
        <v>0</v>
      </c>
      <c r="Y137" s="62" t="n">
        <v>0</v>
      </c>
      <c r="Z137" s="62" t="n">
        <v>0</v>
      </c>
      <c r="AA137" s="62" t="n">
        <v>0</v>
      </c>
      <c r="AB137" s="62" t="n">
        <v>0</v>
      </c>
      <c r="AC137" s="62" t="n">
        <v>0</v>
      </c>
      <c r="AD137" s="62" t="n">
        <v>0</v>
      </c>
      <c r="AE137" s="62" t="n">
        <v>0</v>
      </c>
      <c r="AF137" s="62" t="n">
        <v>0</v>
      </c>
      <c r="AG137" s="62" t="n">
        <v>0</v>
      </c>
      <c r="AH137" s="62" t="n">
        <v>0</v>
      </c>
      <c r="AI137" s="62" t="n">
        <v>0</v>
      </c>
      <c r="AJ137" s="62" t="n">
        <v>0</v>
      </c>
      <c r="AK137" s="62" t="n">
        <v>0</v>
      </c>
      <c r="AL137" s="62" t="n">
        <v>0</v>
      </c>
      <c r="AM137" s="62" t="n">
        <v>0</v>
      </c>
      <c r="AN137" s="62" t="n">
        <v>0</v>
      </c>
      <c r="AO137" s="63">
        <f>IFERROR(AVERAGE(AA137,AB137,AC137,AD137,AE137,AF137,AG137,AH137,AI137,AJ137,AK137,AL137,AM137,AN137),"N/A")</f>
        <v/>
      </c>
      <c r="AP137" s="64">
        <f>IFERROR(AVERAGE(W137,X137,Y137,Z137)/2,"N/A")</f>
        <v/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9" t="inlineStr">
        <is>
          <t>AMAZONAS</t>
        </is>
      </c>
      <c r="D138" s="9" t="inlineStr">
        <is>
          <t>CAFÉ</t>
        </is>
      </c>
      <c r="E138" s="14" t="n">
        <v>161000</v>
      </c>
      <c r="F138" s="15" t="n">
        <v>1</v>
      </c>
      <c r="G138" s="16" t="inlineStr">
        <is>
          <t>SI</t>
        </is>
      </c>
      <c r="H138" s="15" t="inlineStr">
        <is>
          <t>nan</t>
        </is>
      </c>
      <c r="I138" s="15" t="inlineStr">
        <is>
          <t>nan</t>
        </is>
      </c>
      <c r="J138" s="15" t="inlineStr">
        <is>
          <t>ACTIVO</t>
        </is>
      </c>
      <c r="K138" s="15" t="inlineStr">
        <is>
          <t>nan</t>
        </is>
      </c>
      <c r="L138" s="17" t="n">
        <v>80500</v>
      </c>
      <c r="M138" s="18">
        <f>IF(E138&gt;0,ROUND(L138/E138*100,1),0)</f>
        <v/>
      </c>
      <c r="N138" s="19" t="inlineStr">
        <is>
          <t>PENDIENTE</t>
        </is>
      </c>
      <c r="O138" s="20">
        <f>IF(H138="SI",1,0)*0.6+IF(I138="SI",1,0)*0.4</f>
        <v/>
      </c>
      <c r="P138" s="19" t="inlineStr">
        <is>
          <t>PENDIENTE</t>
        </is>
      </c>
      <c r="Q138" s="14" t="n"/>
      <c r="R138" s="21" t="n"/>
      <c r="S138" s="22">
        <f>IFERROR(SCORECARDS!C136,"—")</f>
        <v/>
      </c>
      <c r="T138" s="23">
        <f>IF(ISTEXT(S138),S138,IF(S138&lt;34,"🔴 Crítico",IF(S138&lt;67,"🟡 Vulnerable","🟢 Preparado")))</f>
        <v/>
      </c>
      <c r="U138" s="57" t="n">
        <v>1</v>
      </c>
      <c r="V138" t="inlineStr">
        <is>
          <t>Sin hallazgos OSCE / OEFA</t>
        </is>
      </c>
      <c r="W138" s="62" t="n">
        <v>0</v>
      </c>
      <c r="X138" s="62" t="n">
        <v>0</v>
      </c>
      <c r="Y138" s="62" t="n">
        <v>0</v>
      </c>
      <c r="Z138" s="62" t="n">
        <v>0</v>
      </c>
      <c r="AA138" s="62" t="n">
        <v>0</v>
      </c>
      <c r="AB138" s="62" t="n">
        <v>0</v>
      </c>
      <c r="AC138" s="62" t="n">
        <v>0</v>
      </c>
      <c r="AD138" s="62" t="n">
        <v>0</v>
      </c>
      <c r="AE138" s="62" t="n">
        <v>0</v>
      </c>
      <c r="AF138" s="62" t="n">
        <v>0</v>
      </c>
      <c r="AG138" s="62" t="n">
        <v>0</v>
      </c>
      <c r="AH138" s="62" t="n">
        <v>0</v>
      </c>
      <c r="AI138" s="62" t="n">
        <v>0</v>
      </c>
      <c r="AJ138" s="62" t="n">
        <v>0</v>
      </c>
      <c r="AK138" s="62" t="n">
        <v>0</v>
      </c>
      <c r="AL138" s="62" t="n">
        <v>0</v>
      </c>
      <c r="AM138" s="62" t="n">
        <v>0</v>
      </c>
      <c r="AN138" s="62" t="n">
        <v>0</v>
      </c>
      <c r="AO138" s="63">
        <f>IFERROR(AVERAGE(AA138,AB138,AC138,AD138,AE138,AF138,AG138,AH138,AI138,AJ138,AK138,AL138,AM138,AN138),"N/A")</f>
        <v/>
      </c>
      <c r="AP138" s="64">
        <f>IFERROR(AVERAGE(W138,X138,Y138,Z138)/2,"N/A")</f>
        <v/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9" t="inlineStr">
        <is>
          <t>LORETO</t>
        </is>
      </c>
      <c r="D139" s="9" t="inlineStr">
        <is>
          <t>CACAO</t>
        </is>
      </c>
      <c r="E139" s="14" t="n"/>
      <c r="F139" s="15" t="n"/>
      <c r="G139" s="24" t="inlineStr">
        <is>
          <t>NO</t>
        </is>
      </c>
      <c r="H139" s="15" t="inlineStr">
        <is>
          <t>nan</t>
        </is>
      </c>
      <c r="I139" s="15" t="inlineStr">
        <is>
          <t>nan</t>
        </is>
      </c>
      <c r="J139" s="15" t="inlineStr">
        <is>
          <t>ACTIVO</t>
        </is>
      </c>
      <c r="K139" s="15" t="inlineStr">
        <is>
          <t>nan</t>
        </is>
      </c>
      <c r="L139" s="17" t="n">
        <v>0</v>
      </c>
      <c r="M139" s="18">
        <f>IF(E139&gt;0,ROUND(L139/E139*100,1),0)</f>
        <v/>
      </c>
      <c r="N139" s="19" t="inlineStr">
        <is>
          <t>PENDIENTE</t>
        </is>
      </c>
      <c r="O139" s="20">
        <f>IF(H139="SI",1,0)*0.6+IF(I139="SI",1,0)*0.4</f>
        <v/>
      </c>
      <c r="P139" s="19" t="inlineStr">
        <is>
          <t>PENDIENTE</t>
        </is>
      </c>
      <c r="Q139" s="14" t="n"/>
      <c r="R139" s="21" t="n"/>
      <c r="S139" s="22">
        <f>IFERROR(SCORECARDS!C137,"—")</f>
        <v/>
      </c>
      <c r="T139" s="23">
        <f>IF(ISTEXT(S139),S139,IF(S139&lt;34,"🔴 Crítico",IF(S139&lt;67,"🟡 Vulnerable","🟢 Preparado")))</f>
        <v/>
      </c>
      <c r="W139" s="62" t="n">
        <v>0</v>
      </c>
      <c r="X139" s="62" t="n">
        <v>0</v>
      </c>
      <c r="Y139" s="62" t="n">
        <v>0</v>
      </c>
      <c r="Z139" s="62" t="n">
        <v>0</v>
      </c>
      <c r="AA139" s="62" t="n">
        <v>0</v>
      </c>
      <c r="AB139" s="62" t="n">
        <v>0</v>
      </c>
      <c r="AC139" s="62" t="n">
        <v>0</v>
      </c>
      <c r="AD139" s="62" t="n">
        <v>0</v>
      </c>
      <c r="AE139" s="62" t="n">
        <v>0</v>
      </c>
      <c r="AF139" s="62" t="n">
        <v>0</v>
      </c>
      <c r="AG139" s="62" t="n">
        <v>0</v>
      </c>
      <c r="AH139" s="62" t="n">
        <v>0</v>
      </c>
      <c r="AI139" s="62" t="n">
        <v>0</v>
      </c>
      <c r="AJ139" s="62" t="n">
        <v>0</v>
      </c>
      <c r="AK139" s="62" t="n">
        <v>0</v>
      </c>
      <c r="AL139" s="62" t="n">
        <v>0</v>
      </c>
      <c r="AM139" s="62" t="n">
        <v>0</v>
      </c>
      <c r="AN139" s="62" t="n">
        <v>0</v>
      </c>
      <c r="AO139" s="63">
        <f>IFERROR(AVERAGE(AA139,AB139,AC139,AD139,AE139,AF139,AG139,AH139,AI139,AJ139,AK139,AL139,AM139,AN139),"N/A")</f>
        <v/>
      </c>
      <c r="AP139" s="64">
        <f>IFERROR(AVERAGE(W139,X139,Y139,Z139)/2,"N/A")</f>
        <v/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9" t="inlineStr">
        <is>
          <t>JUNIN</t>
        </is>
      </c>
      <c r="D140" s="9" t="inlineStr">
        <is>
          <t>CAFÉ</t>
        </is>
      </c>
      <c r="E140" s="14" t="n">
        <v>378122</v>
      </c>
      <c r="F140" s="15" t="n">
        <v>3</v>
      </c>
      <c r="G140" s="16" t="inlineStr">
        <is>
          <t>SI</t>
        </is>
      </c>
      <c r="H140" s="15" t="inlineStr">
        <is>
          <t>nan</t>
        </is>
      </c>
      <c r="I140" s="15" t="inlineStr">
        <is>
          <t>nan</t>
        </is>
      </c>
      <c r="J140" s="15" t="inlineStr">
        <is>
          <t>ACTIVO</t>
        </is>
      </c>
      <c r="K140" s="15" t="inlineStr">
        <is>
          <t>nan</t>
        </is>
      </c>
      <c r="L140" s="17" t="n">
        <v>0</v>
      </c>
      <c r="M140" s="18">
        <f>IF(E140&gt;0,ROUND(L140/E140*100,1),0)</f>
        <v/>
      </c>
      <c r="N140" s="19" t="inlineStr">
        <is>
          <t>PENDIENTE</t>
        </is>
      </c>
      <c r="O140" s="20">
        <f>IF(H140="SI",1,0)*0.6+IF(I140="SI",1,0)*0.4</f>
        <v/>
      </c>
      <c r="P140" s="19" t="inlineStr">
        <is>
          <t>PENDIENTE</t>
        </is>
      </c>
      <c r="Q140" s="14" t="n"/>
      <c r="R140" s="21" t="n"/>
      <c r="S140" s="22">
        <f>IFERROR(SCORECARDS!C138,"—")</f>
        <v/>
      </c>
      <c r="T140" s="23">
        <f>IF(ISTEXT(S140),S140,IF(S140&lt;34,"🔴 Crítico",IF(S140&lt;67,"🟡 Vulnerable","🟢 Preparado")))</f>
        <v/>
      </c>
      <c r="W140" s="62" t="n">
        <v>0</v>
      </c>
      <c r="X140" s="62" t="n">
        <v>0</v>
      </c>
      <c r="Y140" s="62" t="n">
        <v>0</v>
      </c>
      <c r="Z140" s="62" t="n">
        <v>0</v>
      </c>
      <c r="AA140" s="62" t="n">
        <v>0</v>
      </c>
      <c r="AB140" s="62" t="n">
        <v>0</v>
      </c>
      <c r="AC140" s="62" t="n">
        <v>0</v>
      </c>
      <c r="AD140" s="62" t="n">
        <v>0</v>
      </c>
      <c r="AE140" s="62" t="n">
        <v>0</v>
      </c>
      <c r="AF140" s="62" t="n">
        <v>0</v>
      </c>
      <c r="AG140" s="62" t="n">
        <v>0</v>
      </c>
      <c r="AH140" s="62" t="n">
        <v>0</v>
      </c>
      <c r="AI140" s="62" t="n">
        <v>0</v>
      </c>
      <c r="AJ140" s="62" t="n">
        <v>0</v>
      </c>
      <c r="AK140" s="62" t="n">
        <v>0</v>
      </c>
      <c r="AL140" s="62" t="n">
        <v>0</v>
      </c>
      <c r="AM140" s="62" t="n">
        <v>0</v>
      </c>
      <c r="AN140" s="62" t="n">
        <v>0</v>
      </c>
      <c r="AO140" s="63">
        <f>IFERROR(AVERAGE(AA140,AB140,AC140,AD140,AE140,AF140,AG140,AH140,AI140,AJ140,AK140,AL140,AM140,AN140),"N/A")</f>
        <v/>
      </c>
      <c r="AP140" s="64">
        <f>IFERROR(AVERAGE(W140,X140,Y140,Z140)/2,"N/A")</f>
        <v/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9" t="inlineStr">
        <is>
          <t>CUSCO</t>
        </is>
      </c>
      <c r="D141" s="9" t="inlineStr">
        <is>
          <t>CACAO</t>
        </is>
      </c>
      <c r="E141" s="14" t="n"/>
      <c r="F141" s="15" t="n"/>
      <c r="G141" s="24" t="inlineStr">
        <is>
          <t>NO</t>
        </is>
      </c>
      <c r="H141" s="15" t="inlineStr">
        <is>
          <t>nan</t>
        </is>
      </c>
      <c r="I141" s="15" t="inlineStr">
        <is>
          <t>nan</t>
        </is>
      </c>
      <c r="J141" s="15" t="inlineStr">
        <is>
          <t>ACTIVO</t>
        </is>
      </c>
      <c r="K141" s="15" t="inlineStr">
        <is>
          <t>nan</t>
        </is>
      </c>
      <c r="L141" s="17" t="n">
        <v>0</v>
      </c>
      <c r="M141" s="18">
        <f>IF(E141&gt;0,ROUND(L141/E141*100,1),0)</f>
        <v/>
      </c>
      <c r="N141" s="19" t="inlineStr">
        <is>
          <t>PENDIENTE</t>
        </is>
      </c>
      <c r="O141" s="20">
        <f>IF(H141="SI",1,0)*0.6+IF(I141="SI",1,0)*0.4</f>
        <v/>
      </c>
      <c r="P141" s="19" t="inlineStr">
        <is>
          <t>PENDIENTE</t>
        </is>
      </c>
      <c r="Q141" s="14" t="n"/>
      <c r="R141" s="21" t="n"/>
      <c r="S141" s="22">
        <f>IFERROR(SCORECARDS!C139,"—")</f>
        <v/>
      </c>
      <c r="T141" s="23">
        <f>IF(ISTEXT(S141),S141,IF(S141&lt;34,"🔴 Crítico",IF(S141&lt;67,"🟡 Vulnerable","🟢 Preparado")))</f>
        <v/>
      </c>
      <c r="W141" s="62" t="n">
        <v>0</v>
      </c>
      <c r="X141" s="62" t="n">
        <v>0</v>
      </c>
      <c r="Y141" s="62" t="n">
        <v>0</v>
      </c>
      <c r="Z141" s="62" t="n">
        <v>0</v>
      </c>
      <c r="AA141" s="62" t="n">
        <v>0</v>
      </c>
      <c r="AB141" s="62" t="n">
        <v>0</v>
      </c>
      <c r="AC141" s="62" t="n">
        <v>0</v>
      </c>
      <c r="AD141" s="62" t="n">
        <v>0</v>
      </c>
      <c r="AE141" s="62" t="n">
        <v>0</v>
      </c>
      <c r="AF141" s="62" t="n">
        <v>0</v>
      </c>
      <c r="AG141" s="62" t="n">
        <v>0</v>
      </c>
      <c r="AH141" s="62" t="n">
        <v>0</v>
      </c>
      <c r="AI141" s="62" t="n">
        <v>0</v>
      </c>
      <c r="AJ141" s="62" t="n">
        <v>0</v>
      </c>
      <c r="AK141" s="62" t="n">
        <v>0</v>
      </c>
      <c r="AL141" s="62" t="n">
        <v>0</v>
      </c>
      <c r="AM141" s="62" t="n">
        <v>0</v>
      </c>
      <c r="AN141" s="62" t="n">
        <v>0</v>
      </c>
      <c r="AO141" s="63">
        <f>IFERROR(AVERAGE(AA141,AB141,AC141,AD141,AE141,AF141,AG141,AH141,AI141,AJ141,AK141,AL141,AM141,AN141),"N/A")</f>
        <v/>
      </c>
      <c r="AP141" s="64">
        <f>IFERROR(AVERAGE(W141,X141,Y141,Z141)/2,"N/A")</f>
        <v/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9" t="inlineStr">
        <is>
          <t>CUSCO</t>
        </is>
      </c>
      <c r="D142" s="9" t="inlineStr">
        <is>
          <t>CACAO</t>
        </is>
      </c>
      <c r="E142" s="14" t="n"/>
      <c r="F142" s="15" t="n"/>
      <c r="G142" s="24" t="inlineStr">
        <is>
          <t>NO</t>
        </is>
      </c>
      <c r="H142" s="15" t="inlineStr">
        <is>
          <t>nan</t>
        </is>
      </c>
      <c r="I142" s="15" t="inlineStr">
        <is>
          <t>nan</t>
        </is>
      </c>
      <c r="J142" s="15" t="inlineStr">
        <is>
          <t>ACTIVO</t>
        </is>
      </c>
      <c r="K142" s="15" t="inlineStr">
        <is>
          <t>nan</t>
        </is>
      </c>
      <c r="L142" s="17" t="n">
        <v>0</v>
      </c>
      <c r="M142" s="18">
        <f>IF(E142&gt;0,ROUND(L142/E142*100,1),0)</f>
        <v/>
      </c>
      <c r="N142" s="19" t="inlineStr">
        <is>
          <t>PENDIENTE</t>
        </is>
      </c>
      <c r="O142" s="20">
        <f>IF(H142="SI",1,0)*0.6+IF(I142="SI",1,0)*0.4</f>
        <v/>
      </c>
      <c r="P142" s="19" t="inlineStr">
        <is>
          <t>PENDIENTE</t>
        </is>
      </c>
      <c r="Q142" s="14" t="n"/>
      <c r="R142" s="21" t="n"/>
      <c r="S142" s="22">
        <f>IFERROR(SCORECARDS!C140,"—")</f>
        <v/>
      </c>
      <c r="T142" s="23">
        <f>IF(ISTEXT(S142),S142,IF(S142&lt;34,"🔴 Crítico",IF(S142&lt;67,"🟡 Vulnerable","🟢 Preparado")))</f>
        <v/>
      </c>
      <c r="W142" s="62" t="n">
        <v>0</v>
      </c>
      <c r="X142" s="62" t="n">
        <v>0</v>
      </c>
      <c r="Y142" s="62" t="n">
        <v>0</v>
      </c>
      <c r="Z142" s="62" t="n">
        <v>0</v>
      </c>
      <c r="AA142" s="62" t="n">
        <v>0</v>
      </c>
      <c r="AB142" s="62" t="n">
        <v>0</v>
      </c>
      <c r="AC142" s="62" t="n">
        <v>0</v>
      </c>
      <c r="AD142" s="62" t="n">
        <v>0</v>
      </c>
      <c r="AE142" s="62" t="n">
        <v>0</v>
      </c>
      <c r="AF142" s="62" t="n">
        <v>0</v>
      </c>
      <c r="AG142" s="62" t="n">
        <v>0</v>
      </c>
      <c r="AH142" s="62" t="n">
        <v>0</v>
      </c>
      <c r="AI142" s="62" t="n">
        <v>0</v>
      </c>
      <c r="AJ142" s="62" t="n">
        <v>0</v>
      </c>
      <c r="AK142" s="62" t="n">
        <v>0</v>
      </c>
      <c r="AL142" s="62" t="n">
        <v>0</v>
      </c>
      <c r="AM142" s="62" t="n">
        <v>0</v>
      </c>
      <c r="AN142" s="62" t="n">
        <v>0</v>
      </c>
      <c r="AO142" s="63">
        <f>IFERROR(AVERAGE(AA142,AB142,AC142,AD142,AE142,AF142,AG142,AH142,AI142,AJ142,AK142,AL142,AM142,AN142),"N/A")</f>
        <v/>
      </c>
      <c r="AP142" s="64">
        <f>IFERROR(AVERAGE(W142,X142,Y142,Z142)/2,"N/A")</f>
        <v/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9" t="inlineStr">
        <is>
          <t>SAN MARTIN</t>
        </is>
      </c>
      <c r="D143" s="9" t="inlineStr">
        <is>
          <t>CAFÉ</t>
        </is>
      </c>
      <c r="E143" s="14" t="n">
        <v>1201126.56</v>
      </c>
      <c r="F143" s="15" t="n">
        <v>8</v>
      </c>
      <c r="G143" s="16" t="inlineStr">
        <is>
          <t>SI</t>
        </is>
      </c>
      <c r="H143" s="15" t="inlineStr">
        <is>
          <t xml:space="preserve">UE </t>
        </is>
      </c>
      <c r="I143" s="15" t="inlineStr">
        <is>
          <t>FLO</t>
        </is>
      </c>
      <c r="J143" s="15" t="inlineStr">
        <is>
          <t>ACTIVO</t>
        </is>
      </c>
      <c r="K143" s="15" t="inlineStr">
        <is>
          <t>1</t>
        </is>
      </c>
      <c r="L143" s="17" t="n">
        <v>852880.4399999999</v>
      </c>
      <c r="M143" s="18">
        <f>IF(E143&gt;0,ROUND(L143/E143*100,1),0)</f>
        <v/>
      </c>
      <c r="N143" s="19" t="inlineStr">
        <is>
          <t>PENDIENTE</t>
        </is>
      </c>
      <c r="O143" s="20">
        <f>IF(H143="SI",1,0)*0.6+IF(I143="SI",1,0)*0.4</f>
        <v/>
      </c>
      <c r="P143" s="19" t="inlineStr">
        <is>
          <t>PENDIENTE</t>
        </is>
      </c>
      <c r="Q143" s="14" t="n">
        <v>381</v>
      </c>
      <c r="R143" s="21" t="n">
        <v>1143</v>
      </c>
      <c r="S143" s="22">
        <f>IFERROR(SCORECARDS!C141,"—")</f>
        <v/>
      </c>
      <c r="T143" s="23">
        <f>IF(ISTEXT(S143),S143,IF(S143&lt;34,"🔴 Crítico",IF(S143&lt;67,"🟡 Vulnerable","🟢 Preparado")))</f>
        <v/>
      </c>
      <c r="U143" s="57" t="n">
        <v>1</v>
      </c>
      <c r="V143" t="inlineStr">
        <is>
          <t>Sin hallazgos OSCE / OEFA</t>
        </is>
      </c>
      <c r="W143" s="68" t="n">
        <v>1</v>
      </c>
      <c r="X143" s="62" t="n">
        <v>0</v>
      </c>
      <c r="Y143" s="62" t="n">
        <v>0</v>
      </c>
      <c r="Z143" s="62" t="n">
        <v>0</v>
      </c>
      <c r="AA143" s="62" t="n">
        <v>0</v>
      </c>
      <c r="AB143" s="62" t="n">
        <v>0</v>
      </c>
      <c r="AC143" s="62" t="n">
        <v>0</v>
      </c>
      <c r="AD143" s="62" t="n">
        <v>0</v>
      </c>
      <c r="AE143" s="62" t="n">
        <v>0</v>
      </c>
      <c r="AF143" s="62" t="n">
        <v>0</v>
      </c>
      <c r="AG143" s="62" t="n">
        <v>0</v>
      </c>
      <c r="AH143" s="62" t="n">
        <v>0</v>
      </c>
      <c r="AI143" s="62" t="n">
        <v>0</v>
      </c>
      <c r="AJ143" s="62" t="n">
        <v>0</v>
      </c>
      <c r="AK143" s="62" t="n">
        <v>0</v>
      </c>
      <c r="AL143" s="62" t="n">
        <v>0</v>
      </c>
      <c r="AM143" s="62" t="n">
        <v>0</v>
      </c>
      <c r="AN143" s="62" t="n">
        <v>0</v>
      </c>
      <c r="AO143" s="63">
        <f>IFERROR(AVERAGE(AA143,AB143,AC143,AD143,AE143,AF143,AG143,AH143,AI143,AJ143,AK143,AL143,AM143,AN143),"N/A")</f>
        <v/>
      </c>
      <c r="AP143" s="64">
        <f>IFERROR(AVERAGE(W143,X143,Y143,Z143)/2,"N/A")</f>
        <v/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9" t="inlineStr">
        <is>
          <t>CUSCO</t>
        </is>
      </c>
      <c r="D144" s="9" t="inlineStr">
        <is>
          <t>CACAO</t>
        </is>
      </c>
      <c r="E144" s="14" t="n"/>
      <c r="F144" s="15" t="n"/>
      <c r="G144" s="24" t="inlineStr">
        <is>
          <t>NO</t>
        </is>
      </c>
      <c r="H144" s="15" t="inlineStr">
        <is>
          <t>nan</t>
        </is>
      </c>
      <c r="I144" s="15" t="inlineStr">
        <is>
          <t>nan</t>
        </is>
      </c>
      <c r="J144" s="15" t="inlineStr">
        <is>
          <t>ACTIVO</t>
        </is>
      </c>
      <c r="K144" s="15" t="inlineStr">
        <is>
          <t>nan</t>
        </is>
      </c>
      <c r="L144" s="17" t="n">
        <v>0</v>
      </c>
      <c r="M144" s="18">
        <f>IF(E144&gt;0,ROUND(L144/E144*100,1),0)</f>
        <v/>
      </c>
      <c r="N144" s="19" t="inlineStr">
        <is>
          <t>PENDIENTE</t>
        </is>
      </c>
      <c r="O144" s="20">
        <f>IF(H144="SI",1,0)*0.6+IF(I144="SI",1,0)*0.4</f>
        <v/>
      </c>
      <c r="P144" s="19" t="inlineStr">
        <is>
          <t>PENDIENTE</t>
        </is>
      </c>
      <c r="Q144" s="14" t="n"/>
      <c r="R144" s="21" t="n"/>
      <c r="S144" s="22">
        <f>IFERROR(SCORECARDS!C142,"—")</f>
        <v/>
      </c>
      <c r="T144" s="23">
        <f>IF(ISTEXT(S144),S144,IF(S144&lt;34,"🔴 Crítico",IF(S144&lt;67,"🟡 Vulnerable","🟢 Preparado")))</f>
        <v/>
      </c>
      <c r="W144" s="62" t="n">
        <v>0</v>
      </c>
      <c r="X144" s="62" t="n">
        <v>0</v>
      </c>
      <c r="Y144" s="62" t="n">
        <v>0</v>
      </c>
      <c r="Z144" s="62" t="n">
        <v>0</v>
      </c>
      <c r="AA144" s="62" t="n">
        <v>0</v>
      </c>
      <c r="AB144" s="62" t="n">
        <v>0</v>
      </c>
      <c r="AC144" s="62" t="n">
        <v>0</v>
      </c>
      <c r="AD144" s="62" t="n">
        <v>0</v>
      </c>
      <c r="AE144" s="62" t="n">
        <v>0</v>
      </c>
      <c r="AF144" s="62" t="n">
        <v>0</v>
      </c>
      <c r="AG144" s="62" t="n">
        <v>0</v>
      </c>
      <c r="AH144" s="62" t="n">
        <v>0</v>
      </c>
      <c r="AI144" s="62" t="n">
        <v>0</v>
      </c>
      <c r="AJ144" s="62" t="n">
        <v>0</v>
      </c>
      <c r="AK144" s="62" t="n">
        <v>0</v>
      </c>
      <c r="AL144" s="62" t="n">
        <v>0</v>
      </c>
      <c r="AM144" s="62" t="n">
        <v>0</v>
      </c>
      <c r="AN144" s="62" t="n">
        <v>0</v>
      </c>
      <c r="AO144" s="63">
        <f>IFERROR(AVERAGE(AA144,AB144,AC144,AD144,AE144,AF144,AG144,AH144,AI144,AJ144,AK144,AL144,AM144,AN144),"N/A")</f>
        <v/>
      </c>
      <c r="AP144" s="64">
        <f>IFERROR(AVERAGE(W144,X144,Y144,Z144)/2,"N/A")</f>
        <v/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9" t="inlineStr">
        <is>
          <t>CUSCO</t>
        </is>
      </c>
      <c r="D145" s="9" t="inlineStr">
        <is>
          <t>CACAO</t>
        </is>
      </c>
      <c r="E145" s="14" t="n"/>
      <c r="F145" s="15" t="n"/>
      <c r="G145" s="24" t="inlineStr">
        <is>
          <t>NO</t>
        </is>
      </c>
      <c r="H145" s="15" t="inlineStr">
        <is>
          <t>nan</t>
        </is>
      </c>
      <c r="I145" s="15" t="inlineStr">
        <is>
          <t>nan</t>
        </is>
      </c>
      <c r="J145" s="15" t="inlineStr">
        <is>
          <t>ACTIVO</t>
        </is>
      </c>
      <c r="K145" s="15" t="inlineStr">
        <is>
          <t>nan</t>
        </is>
      </c>
      <c r="L145" s="17" t="n">
        <v>0</v>
      </c>
      <c r="M145" s="18">
        <f>IF(E145&gt;0,ROUND(L145/E145*100,1),0)</f>
        <v/>
      </c>
      <c r="N145" s="19" t="inlineStr">
        <is>
          <t>PENDIENTE</t>
        </is>
      </c>
      <c r="O145" s="20">
        <f>IF(H145="SI",1,0)*0.6+IF(I145="SI",1,0)*0.4</f>
        <v/>
      </c>
      <c r="P145" s="19" t="inlineStr">
        <is>
          <t>PENDIENTE</t>
        </is>
      </c>
      <c r="Q145" s="14" t="n"/>
      <c r="R145" s="21" t="n"/>
      <c r="S145" s="22">
        <f>IFERROR(SCORECARDS!C143,"—")</f>
        <v/>
      </c>
      <c r="T145" s="23">
        <f>IF(ISTEXT(S145),S145,IF(S145&lt;34,"🔴 Crítico",IF(S145&lt;67,"🟡 Vulnerable","🟢 Preparado")))</f>
        <v/>
      </c>
      <c r="W145" s="62" t="n">
        <v>0</v>
      </c>
      <c r="X145" s="62" t="n">
        <v>0</v>
      </c>
      <c r="Y145" s="62" t="n">
        <v>0</v>
      </c>
      <c r="Z145" s="62" t="n">
        <v>0</v>
      </c>
      <c r="AA145" s="62" t="n">
        <v>0</v>
      </c>
      <c r="AB145" s="62" t="n">
        <v>0</v>
      </c>
      <c r="AC145" s="62" t="n">
        <v>0</v>
      </c>
      <c r="AD145" s="62" t="n">
        <v>0</v>
      </c>
      <c r="AE145" s="62" t="n">
        <v>0</v>
      </c>
      <c r="AF145" s="62" t="n">
        <v>0</v>
      </c>
      <c r="AG145" s="62" t="n">
        <v>0</v>
      </c>
      <c r="AH145" s="62" t="n">
        <v>0</v>
      </c>
      <c r="AI145" s="62" t="n">
        <v>0</v>
      </c>
      <c r="AJ145" s="62" t="n">
        <v>0</v>
      </c>
      <c r="AK145" s="62" t="n">
        <v>0</v>
      </c>
      <c r="AL145" s="62" t="n">
        <v>0</v>
      </c>
      <c r="AM145" s="62" t="n">
        <v>0</v>
      </c>
      <c r="AN145" s="62" t="n">
        <v>0</v>
      </c>
      <c r="AO145" s="63">
        <f>IFERROR(AVERAGE(AA145,AB145,AC145,AD145,AE145,AF145,AG145,AH145,AI145,AJ145,AK145,AL145,AM145,AN145),"N/A")</f>
        <v/>
      </c>
      <c r="AP145" s="64">
        <f>IFERROR(AVERAGE(W145,X145,Y145,Z145)/2,"N/A")</f>
        <v/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9" t="inlineStr">
        <is>
          <t>JUNIN</t>
        </is>
      </c>
      <c r="D146" s="9" t="inlineStr">
        <is>
          <t>CAFÉ</t>
        </is>
      </c>
      <c r="E146" s="14" t="n">
        <v>332555.16</v>
      </c>
      <c r="F146" s="15" t="n">
        <v>2</v>
      </c>
      <c r="G146" s="16" t="inlineStr">
        <is>
          <t>SI</t>
        </is>
      </c>
      <c r="H146" s="15" t="inlineStr">
        <is>
          <t>251</t>
        </is>
      </c>
      <c r="I146" s="15" t="inlineStr">
        <is>
          <t>FLO</t>
        </is>
      </c>
      <c r="J146" s="15" t="inlineStr">
        <is>
          <t>ACTIVO</t>
        </is>
      </c>
      <c r="K146" s="15" t="inlineStr">
        <is>
          <t>0.75</t>
        </is>
      </c>
      <c r="L146" s="17" t="n">
        <v>332555.16</v>
      </c>
      <c r="M146" s="18">
        <f>IF(E146&gt;0,ROUND(L146/E146*100,1),0)</f>
        <v/>
      </c>
      <c r="N146" s="19" t="inlineStr">
        <is>
          <t>PENDIENTE</t>
        </is>
      </c>
      <c r="O146" s="20">
        <f>IF(H146="SI",1,0)*0.6+IF(I146="SI",1,0)*0.4</f>
        <v/>
      </c>
      <c r="P146" s="19" t="inlineStr">
        <is>
          <t>PENDIENTE</t>
        </is>
      </c>
      <c r="Q146" s="14" t="n">
        <v>203</v>
      </c>
      <c r="R146" s="21" t="n">
        <v>609</v>
      </c>
      <c r="S146" s="22">
        <f>IFERROR(SCORECARDS!C144,"—")</f>
        <v/>
      </c>
      <c r="T146" s="23">
        <f>IF(ISTEXT(S146),S146,IF(S146&lt;34,"🔴 Crítico",IF(S146&lt;67,"🟡 Vulnerable","🟢 Preparado")))</f>
        <v/>
      </c>
      <c r="U146" s="57" t="n">
        <v>1</v>
      </c>
      <c r="V146" t="inlineStr">
        <is>
          <t>Sin hallazgos OSCE / OEFA</t>
        </is>
      </c>
      <c r="W146" s="68" t="n">
        <v>1</v>
      </c>
      <c r="X146" s="62" t="n">
        <v>0</v>
      </c>
      <c r="Y146" s="62" t="n">
        <v>0</v>
      </c>
      <c r="Z146" s="62" t="n">
        <v>0</v>
      </c>
      <c r="AA146" s="62" t="n">
        <v>0</v>
      </c>
      <c r="AB146" s="62" t="n">
        <v>0</v>
      </c>
      <c r="AC146" s="62" t="n">
        <v>0</v>
      </c>
      <c r="AD146" s="62" t="n">
        <v>0</v>
      </c>
      <c r="AE146" s="62" t="n">
        <v>0</v>
      </c>
      <c r="AF146" s="62" t="n">
        <v>0</v>
      </c>
      <c r="AG146" s="62" t="n">
        <v>0</v>
      </c>
      <c r="AH146" s="62" t="n">
        <v>0</v>
      </c>
      <c r="AI146" s="62" t="n">
        <v>0</v>
      </c>
      <c r="AJ146" s="62" t="n">
        <v>0</v>
      </c>
      <c r="AK146" s="62" t="n">
        <v>0</v>
      </c>
      <c r="AL146" s="62" t="n">
        <v>0</v>
      </c>
      <c r="AM146" s="62" t="n">
        <v>0</v>
      </c>
      <c r="AN146" s="62" t="n">
        <v>0</v>
      </c>
      <c r="AO146" s="63">
        <f>IFERROR(AVERAGE(AA146,AB146,AC146,AD146,AE146,AF146,AG146,AH146,AI146,AJ146,AK146,AL146,AM146,AN146),"N/A")</f>
        <v/>
      </c>
      <c r="AP146" s="64">
        <f>IFERROR(AVERAGE(W146,X146,Y146,Z146)/2,"N/A")</f>
        <v/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9" t="inlineStr">
        <is>
          <t>MADRE DE DIOS</t>
        </is>
      </c>
      <c r="D147" s="9" t="inlineStr">
        <is>
          <t>CACAO</t>
        </is>
      </c>
      <c r="E147" s="14" t="n">
        <v>543961.38</v>
      </c>
      <c r="F147" s="15" t="n">
        <v>5</v>
      </c>
      <c r="G147" s="16" t="inlineStr">
        <is>
          <t>SI</t>
        </is>
      </c>
      <c r="H147" s="15" t="inlineStr">
        <is>
          <t>nan</t>
        </is>
      </c>
      <c r="I147" s="15" t="inlineStr">
        <is>
          <t>nan</t>
        </is>
      </c>
      <c r="J147" s="15" t="inlineStr">
        <is>
          <t>ACTIVO</t>
        </is>
      </c>
      <c r="K147" s="15" t="inlineStr">
        <is>
          <t>nan</t>
        </is>
      </c>
      <c r="L147" s="17" t="n">
        <v>271980.69</v>
      </c>
      <c r="M147" s="18">
        <f>IF(E147&gt;0,ROUND(L147/E147*100,1),0)</f>
        <v/>
      </c>
      <c r="N147" s="19" t="inlineStr">
        <is>
          <t>PENDIENTE</t>
        </is>
      </c>
      <c r="O147" s="20">
        <f>IF(H147="SI",1,0)*0.6+IF(I147="SI",1,0)*0.4</f>
        <v/>
      </c>
      <c r="P147" s="19" t="inlineStr">
        <is>
          <t>PENDIENTE</t>
        </is>
      </c>
      <c r="Q147" s="14" t="n"/>
      <c r="R147" s="21" t="n"/>
      <c r="S147" s="22">
        <f>IFERROR(SCORECARDS!C145,"—")</f>
        <v/>
      </c>
      <c r="T147" s="23">
        <f>IF(ISTEXT(S147),S147,IF(S147&lt;34,"🔴 Crítico",IF(S147&lt;67,"🟡 Vulnerable","🟢 Preparado")))</f>
        <v/>
      </c>
      <c r="U147" s="57" t="n">
        <v>1</v>
      </c>
      <c r="V147" t="inlineStr">
        <is>
          <t>Sin hallazgos OSCE / OEFA</t>
        </is>
      </c>
      <c r="W147" s="62" t="n">
        <v>0</v>
      </c>
      <c r="X147" s="62" t="n">
        <v>0</v>
      </c>
      <c r="Y147" s="62" t="n">
        <v>0</v>
      </c>
      <c r="Z147" s="62" t="n">
        <v>0</v>
      </c>
      <c r="AA147" s="62" t="n">
        <v>0</v>
      </c>
      <c r="AB147" s="62" t="n">
        <v>0</v>
      </c>
      <c r="AC147" s="62" t="n">
        <v>0</v>
      </c>
      <c r="AD147" s="62" t="n">
        <v>0</v>
      </c>
      <c r="AE147" s="62" t="n">
        <v>0</v>
      </c>
      <c r="AF147" s="62" t="n">
        <v>0</v>
      </c>
      <c r="AG147" s="62" t="n">
        <v>0</v>
      </c>
      <c r="AH147" s="62" t="n">
        <v>0</v>
      </c>
      <c r="AI147" s="62" t="n">
        <v>0</v>
      </c>
      <c r="AJ147" s="62" t="n">
        <v>0</v>
      </c>
      <c r="AK147" s="62" t="n">
        <v>0</v>
      </c>
      <c r="AL147" s="62" t="n">
        <v>0</v>
      </c>
      <c r="AM147" s="62" t="n">
        <v>0</v>
      </c>
      <c r="AN147" s="62" t="n">
        <v>0</v>
      </c>
      <c r="AO147" s="63">
        <f>IFERROR(AVERAGE(AA147,AB147,AC147,AD147,AE147,AF147,AG147,AH147,AI147,AJ147,AK147,AL147,AM147,AN147),"N/A")</f>
        <v/>
      </c>
      <c r="AP147" s="64">
        <f>IFERROR(AVERAGE(W147,X147,Y147,Z147)/2,"N/A")</f>
        <v/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9" t="inlineStr">
        <is>
          <t>CUSCO</t>
        </is>
      </c>
      <c r="D148" s="9" t="inlineStr">
        <is>
          <t>CACAO</t>
        </is>
      </c>
      <c r="E148" s="14" t="n"/>
      <c r="F148" s="15" t="n"/>
      <c r="G148" s="24" t="inlineStr">
        <is>
          <t>NO</t>
        </is>
      </c>
      <c r="H148" s="15" t="inlineStr">
        <is>
          <t>nan</t>
        </is>
      </c>
      <c r="I148" s="15" t="inlineStr">
        <is>
          <t>nan</t>
        </is>
      </c>
      <c r="J148" s="15" t="inlineStr">
        <is>
          <t>ACTIVO</t>
        </is>
      </c>
      <c r="K148" s="15" t="inlineStr">
        <is>
          <t>nan</t>
        </is>
      </c>
      <c r="L148" s="17" t="n">
        <v>0</v>
      </c>
      <c r="M148" s="18">
        <f>IF(E148&gt;0,ROUND(L148/E148*100,1),0)</f>
        <v/>
      </c>
      <c r="N148" s="19" t="inlineStr">
        <is>
          <t>PENDIENTE</t>
        </is>
      </c>
      <c r="O148" s="20">
        <f>IF(H148="SI",1,0)*0.6+IF(I148="SI",1,0)*0.4</f>
        <v/>
      </c>
      <c r="P148" s="19" t="inlineStr">
        <is>
          <t>PENDIENTE</t>
        </is>
      </c>
      <c r="Q148" s="14" t="n"/>
      <c r="R148" s="21" t="n"/>
      <c r="S148" s="22">
        <f>IFERROR(SCORECARDS!C146,"—")</f>
        <v/>
      </c>
      <c r="T148" s="23">
        <f>IF(ISTEXT(S148),S148,IF(S148&lt;34,"🔴 Crítico",IF(S148&lt;67,"🟡 Vulnerable","🟢 Preparado")))</f>
        <v/>
      </c>
      <c r="W148" s="62" t="n">
        <v>0</v>
      </c>
      <c r="X148" s="62" t="n">
        <v>0</v>
      </c>
      <c r="Y148" s="62" t="n">
        <v>0</v>
      </c>
      <c r="Z148" s="62" t="n">
        <v>0</v>
      </c>
      <c r="AA148" s="62" t="n">
        <v>0</v>
      </c>
      <c r="AB148" s="62" t="n">
        <v>0</v>
      </c>
      <c r="AC148" s="62" t="n">
        <v>0</v>
      </c>
      <c r="AD148" s="62" t="n">
        <v>0</v>
      </c>
      <c r="AE148" s="62" t="n">
        <v>0</v>
      </c>
      <c r="AF148" s="62" t="n">
        <v>0</v>
      </c>
      <c r="AG148" s="62" t="n">
        <v>0</v>
      </c>
      <c r="AH148" s="62" t="n">
        <v>0</v>
      </c>
      <c r="AI148" s="62" t="n">
        <v>0</v>
      </c>
      <c r="AJ148" s="62" t="n">
        <v>0</v>
      </c>
      <c r="AK148" s="62" t="n">
        <v>0</v>
      </c>
      <c r="AL148" s="62" t="n">
        <v>0</v>
      </c>
      <c r="AM148" s="62" t="n">
        <v>0</v>
      </c>
      <c r="AN148" s="62" t="n">
        <v>0</v>
      </c>
      <c r="AO148" s="63">
        <f>IFERROR(AVERAGE(AA148,AB148,AC148,AD148,AE148,AF148,AG148,AH148,AI148,AJ148,AK148,AL148,AM148,AN148),"N/A")</f>
        <v/>
      </c>
      <c r="AP148" s="64">
        <f>IFERROR(AVERAGE(W148,X148,Y148,Z148)/2,"N/A")</f>
        <v/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9" t="inlineStr">
        <is>
          <t>CAJAMARCA</t>
        </is>
      </c>
      <c r="D149" s="9" t="inlineStr">
        <is>
          <t>CAFÉ</t>
        </is>
      </c>
      <c r="E149" s="14" t="n">
        <v>7275.18</v>
      </c>
      <c r="F149" s="15" t="n">
        <v>1</v>
      </c>
      <c r="G149" s="16" t="inlineStr">
        <is>
          <t>SI</t>
        </is>
      </c>
      <c r="H149" s="16" t="inlineStr">
        <is>
          <t>SI</t>
        </is>
      </c>
      <c r="I149" s="16" t="inlineStr">
        <is>
          <t>SI</t>
        </is>
      </c>
      <c r="J149" s="15" t="inlineStr">
        <is>
          <t>ACTIVO</t>
        </is>
      </c>
      <c r="K149" s="15" t="inlineStr">
        <is>
          <t>nan</t>
        </is>
      </c>
      <c r="L149" s="17" t="n">
        <v>0</v>
      </c>
      <c r="M149" s="18">
        <f>IF(E149&gt;0,ROUND(L149/E149*100,1),0)</f>
        <v/>
      </c>
      <c r="N149" s="19" t="inlineStr">
        <is>
          <t>PENDIENTE</t>
        </is>
      </c>
      <c r="O149" s="20">
        <f>IF(H149="SI",1,0)*0.6+IF(I149="SI",1,0)*0.4</f>
        <v/>
      </c>
      <c r="P149" s="19" t="inlineStr">
        <is>
          <t>PENDIENTE</t>
        </is>
      </c>
      <c r="Q149" s="14" t="n">
        <v>305</v>
      </c>
      <c r="R149" s="21" t="n">
        <v>699</v>
      </c>
      <c r="S149" s="22">
        <f>IFERROR(SCORECARDS!C147,"—")</f>
        <v/>
      </c>
      <c r="T149" s="23">
        <f>IF(ISTEXT(S149),S149,IF(S149&lt;34,"🔴 Crítico",IF(S149&lt;67,"🟡 Vulnerable","🟢 Preparado")))</f>
        <v/>
      </c>
      <c r="W149" s="68" t="n">
        <v>1</v>
      </c>
      <c r="X149" s="62" t="n">
        <v>0</v>
      </c>
      <c r="Y149" s="62" t="n">
        <v>0</v>
      </c>
      <c r="Z149" s="62" t="n">
        <v>0</v>
      </c>
      <c r="AA149" s="62" t="n">
        <v>0</v>
      </c>
      <c r="AB149" s="62" t="n">
        <v>0</v>
      </c>
      <c r="AC149" s="62" t="n">
        <v>0</v>
      </c>
      <c r="AD149" s="62" t="n">
        <v>0</v>
      </c>
      <c r="AE149" s="62" t="n">
        <v>0</v>
      </c>
      <c r="AF149" s="62" t="n">
        <v>0</v>
      </c>
      <c r="AG149" s="62" t="n">
        <v>0</v>
      </c>
      <c r="AH149" s="62" t="n">
        <v>0</v>
      </c>
      <c r="AI149" s="62" t="n">
        <v>0</v>
      </c>
      <c r="AJ149" s="62" t="n">
        <v>0</v>
      </c>
      <c r="AK149" s="62" t="n">
        <v>0</v>
      </c>
      <c r="AL149" s="62" t="n">
        <v>0</v>
      </c>
      <c r="AM149" s="62" t="n">
        <v>0</v>
      </c>
      <c r="AN149" s="62" t="n">
        <v>0</v>
      </c>
      <c r="AO149" s="63">
        <f>IFERROR(AVERAGE(AA149,AB149,AC149,AD149,AE149,AF149,AG149,AH149,AI149,AJ149,AK149,AL149,AM149,AN149),"N/A")</f>
        <v/>
      </c>
      <c r="AP149" s="64">
        <f>IFERROR(AVERAGE(W149,X149,Y149,Z149)/2,"N/A")</f>
        <v/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9" t="inlineStr">
        <is>
          <t>PIURA</t>
        </is>
      </c>
      <c r="D150" s="9" t="inlineStr">
        <is>
          <t>CAFÉ</t>
        </is>
      </c>
      <c r="E150" s="14" t="n"/>
      <c r="F150" s="15" t="n"/>
      <c r="G150" s="24" t="inlineStr">
        <is>
          <t>NO</t>
        </is>
      </c>
      <c r="H150" s="15" t="inlineStr">
        <is>
          <t>nan</t>
        </is>
      </c>
      <c r="I150" s="15" t="inlineStr">
        <is>
          <t>nan</t>
        </is>
      </c>
      <c r="J150" s="15" t="inlineStr">
        <is>
          <t>BAJA DE OFICIO</t>
        </is>
      </c>
      <c r="K150" s="15" t="inlineStr">
        <is>
          <t>nan</t>
        </is>
      </c>
      <c r="L150" s="17" t="n">
        <v>0</v>
      </c>
      <c r="M150" s="18">
        <f>IF(E150&gt;0,ROUND(L150/E150*100,1),0)</f>
        <v/>
      </c>
      <c r="N150" s="19" t="inlineStr">
        <is>
          <t>PENDIENTE</t>
        </is>
      </c>
      <c r="O150" s="20">
        <f>IF(H150="SI",1,0)*0.6+IF(I150="SI",1,0)*0.4</f>
        <v/>
      </c>
      <c r="P150" s="19" t="inlineStr">
        <is>
          <t>PENDIENTE</t>
        </is>
      </c>
      <c r="Q150" s="14" t="n"/>
      <c r="R150" s="21" t="n"/>
      <c r="S150" s="22">
        <f>IFERROR(SCORECARDS!C148,"—")</f>
        <v/>
      </c>
      <c r="T150" s="23">
        <f>IF(ISTEXT(S150),S150,IF(S150&lt;34,"🔴 Crítico",IF(S150&lt;67,"🟡 Vulnerable","🟢 Preparado")))</f>
        <v/>
      </c>
      <c r="W150" s="62" t="n">
        <v>0</v>
      </c>
      <c r="X150" s="62" t="n">
        <v>0</v>
      </c>
      <c r="Y150" s="62" t="n">
        <v>0</v>
      </c>
      <c r="Z150" s="62" t="n">
        <v>0</v>
      </c>
      <c r="AA150" s="62" t="n">
        <v>0</v>
      </c>
      <c r="AB150" s="62" t="n">
        <v>0</v>
      </c>
      <c r="AC150" s="62" t="n">
        <v>0</v>
      </c>
      <c r="AD150" s="62" t="n">
        <v>0</v>
      </c>
      <c r="AE150" s="62" t="n">
        <v>0</v>
      </c>
      <c r="AF150" s="62" t="n">
        <v>0</v>
      </c>
      <c r="AG150" s="62" t="n">
        <v>0</v>
      </c>
      <c r="AH150" s="62" t="n">
        <v>0</v>
      </c>
      <c r="AI150" s="62" t="n">
        <v>0</v>
      </c>
      <c r="AJ150" s="62" t="n">
        <v>0</v>
      </c>
      <c r="AK150" s="62" t="n">
        <v>0</v>
      </c>
      <c r="AL150" s="62" t="n">
        <v>0</v>
      </c>
      <c r="AM150" s="62" t="n">
        <v>0</v>
      </c>
      <c r="AN150" s="62" t="n">
        <v>0</v>
      </c>
      <c r="AO150" s="63">
        <f>IFERROR(AVERAGE(AA150,AB150,AC150,AD150,AE150,AF150,AG150,AH150,AI150,AJ150,AK150,AL150,AM150,AN150),"N/A")</f>
        <v/>
      </c>
      <c r="AP150" s="64">
        <f>IFERROR(AVERAGE(W150,X150,Y150,Z150)/2,"N/A")</f>
        <v/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9" t="inlineStr">
        <is>
          <t>LAMBAYEQUE</t>
        </is>
      </c>
      <c r="D151" s="9" t="inlineStr">
        <is>
          <t>CAFÉ</t>
        </is>
      </c>
      <c r="E151" s="14" t="n"/>
      <c r="F151" s="15" t="n"/>
      <c r="G151" s="24" t="inlineStr">
        <is>
          <t>NO</t>
        </is>
      </c>
      <c r="H151" s="15" t="inlineStr">
        <is>
          <t>nan</t>
        </is>
      </c>
      <c r="I151" s="15" t="inlineStr">
        <is>
          <t>nan</t>
        </is>
      </c>
      <c r="J151" s="15" t="inlineStr">
        <is>
          <t>ACTIVO</t>
        </is>
      </c>
      <c r="K151" s="15" t="inlineStr">
        <is>
          <t>nan</t>
        </is>
      </c>
      <c r="L151" s="17" t="n">
        <v>0</v>
      </c>
      <c r="M151" s="18">
        <f>IF(E151&gt;0,ROUND(L151/E151*100,1),0)</f>
        <v/>
      </c>
      <c r="N151" s="19" t="inlineStr">
        <is>
          <t>PENDIENTE</t>
        </is>
      </c>
      <c r="O151" s="20">
        <f>IF(H151="SI",1,0)*0.6+IF(I151="SI",1,0)*0.4</f>
        <v/>
      </c>
      <c r="P151" s="19" t="inlineStr">
        <is>
          <t>PENDIENTE</t>
        </is>
      </c>
      <c r="Q151" s="14" t="n"/>
      <c r="R151" s="21" t="n"/>
      <c r="S151" s="22">
        <f>IFERROR(SCORECARDS!C149,"—")</f>
        <v/>
      </c>
      <c r="T151" s="23">
        <f>IF(ISTEXT(S151),S151,IF(S151&lt;34,"🔴 Crítico",IF(S151&lt;67,"🟡 Vulnerable","🟢 Preparado")))</f>
        <v/>
      </c>
      <c r="W151" s="62" t="n">
        <v>0</v>
      </c>
      <c r="X151" s="62" t="n">
        <v>0</v>
      </c>
      <c r="Y151" s="62" t="n">
        <v>0</v>
      </c>
      <c r="Z151" s="62" t="n">
        <v>0</v>
      </c>
      <c r="AA151" s="62" t="n">
        <v>0</v>
      </c>
      <c r="AB151" s="62" t="n">
        <v>0</v>
      </c>
      <c r="AC151" s="62" t="n">
        <v>0</v>
      </c>
      <c r="AD151" s="62" t="n">
        <v>0</v>
      </c>
      <c r="AE151" s="62" t="n">
        <v>0</v>
      </c>
      <c r="AF151" s="62" t="n">
        <v>0</v>
      </c>
      <c r="AG151" s="62" t="n">
        <v>0</v>
      </c>
      <c r="AH151" s="62" t="n">
        <v>0</v>
      </c>
      <c r="AI151" s="62" t="n">
        <v>0</v>
      </c>
      <c r="AJ151" s="62" t="n">
        <v>0</v>
      </c>
      <c r="AK151" s="62" t="n">
        <v>0</v>
      </c>
      <c r="AL151" s="62" t="n">
        <v>0</v>
      </c>
      <c r="AM151" s="62" t="n">
        <v>0</v>
      </c>
      <c r="AN151" s="62" t="n">
        <v>0</v>
      </c>
      <c r="AO151" s="63">
        <f>IFERROR(AVERAGE(AA151,AB151,AC151,AD151,AE151,AF151,AG151,AH151,AI151,AJ151,AK151,AL151,AM151,AN151),"N/A")</f>
        <v/>
      </c>
      <c r="AP151" s="64">
        <f>IFERROR(AVERAGE(W151,X151,Y151,Z151)/2,"N/A")</f>
        <v/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9" t="inlineStr">
        <is>
          <t>CUSCO</t>
        </is>
      </c>
      <c r="D152" s="9" t="inlineStr">
        <is>
          <t>CACAO</t>
        </is>
      </c>
      <c r="E152" s="14" t="n"/>
      <c r="F152" s="15" t="n"/>
      <c r="G152" s="24" t="inlineStr">
        <is>
          <t>NO</t>
        </is>
      </c>
      <c r="H152" s="15" t="inlineStr">
        <is>
          <t>nan</t>
        </is>
      </c>
      <c r="I152" s="15" t="inlineStr">
        <is>
          <t>nan</t>
        </is>
      </c>
      <c r="J152" s="15" t="inlineStr">
        <is>
          <t>ACTIVO</t>
        </is>
      </c>
      <c r="K152" s="15" t="inlineStr">
        <is>
          <t>nan</t>
        </is>
      </c>
      <c r="L152" s="17" t="n">
        <v>0</v>
      </c>
      <c r="M152" s="18">
        <f>IF(E152&gt;0,ROUND(L152/E152*100,1),0)</f>
        <v/>
      </c>
      <c r="N152" s="19" t="inlineStr">
        <is>
          <t>PENDIENTE</t>
        </is>
      </c>
      <c r="O152" s="20">
        <f>IF(H152="SI",1,0)*0.6+IF(I152="SI",1,0)*0.4</f>
        <v/>
      </c>
      <c r="P152" s="19" t="inlineStr">
        <is>
          <t>PENDIENTE</t>
        </is>
      </c>
      <c r="Q152" s="14" t="n"/>
      <c r="R152" s="21" t="n"/>
      <c r="S152" s="22">
        <f>IFERROR(SCORECARDS!C150,"—")</f>
        <v/>
      </c>
      <c r="T152" s="23">
        <f>IF(ISTEXT(S152),S152,IF(S152&lt;34,"🔴 Crítico",IF(S152&lt;67,"🟡 Vulnerable","🟢 Preparado")))</f>
        <v/>
      </c>
      <c r="W152" s="62" t="n">
        <v>0</v>
      </c>
      <c r="X152" s="62" t="n">
        <v>0</v>
      </c>
      <c r="Y152" s="62" t="n">
        <v>0</v>
      </c>
      <c r="Z152" s="62" t="n">
        <v>0</v>
      </c>
      <c r="AA152" s="62" t="n">
        <v>0</v>
      </c>
      <c r="AB152" s="62" t="n">
        <v>0</v>
      </c>
      <c r="AC152" s="62" t="n">
        <v>0</v>
      </c>
      <c r="AD152" s="62" t="n">
        <v>0</v>
      </c>
      <c r="AE152" s="62" t="n">
        <v>0</v>
      </c>
      <c r="AF152" s="62" t="n">
        <v>0</v>
      </c>
      <c r="AG152" s="62" t="n">
        <v>0</v>
      </c>
      <c r="AH152" s="62" t="n">
        <v>0</v>
      </c>
      <c r="AI152" s="62" t="n">
        <v>0</v>
      </c>
      <c r="AJ152" s="62" t="n">
        <v>0</v>
      </c>
      <c r="AK152" s="62" t="n">
        <v>0</v>
      </c>
      <c r="AL152" s="62" t="n">
        <v>0</v>
      </c>
      <c r="AM152" s="62" t="n">
        <v>0</v>
      </c>
      <c r="AN152" s="62" t="n">
        <v>0</v>
      </c>
      <c r="AO152" s="63">
        <f>IFERROR(AVERAGE(AA152,AB152,AC152,AD152,AE152,AF152,AG152,AH152,AI152,AJ152,AK152,AL152,AM152,AN152),"N/A")</f>
        <v/>
      </c>
      <c r="AP152" s="64">
        <f>IFERROR(AVERAGE(W152,X152,Y152,Z152)/2,"N/A")</f>
        <v/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9" t="inlineStr">
        <is>
          <t>CUSCO</t>
        </is>
      </c>
      <c r="D153" s="9" t="inlineStr">
        <is>
          <t>CACAO</t>
        </is>
      </c>
      <c r="E153" s="14" t="n"/>
      <c r="F153" s="15" t="n"/>
      <c r="G153" s="24" t="inlineStr">
        <is>
          <t>NO</t>
        </is>
      </c>
      <c r="H153" s="15" t="inlineStr">
        <is>
          <t>nan</t>
        </is>
      </c>
      <c r="I153" s="15" t="inlineStr">
        <is>
          <t>nan</t>
        </is>
      </c>
      <c r="J153" s="15" t="inlineStr">
        <is>
          <t>ACTIVO</t>
        </is>
      </c>
      <c r="K153" s="15" t="inlineStr">
        <is>
          <t>nan</t>
        </is>
      </c>
      <c r="L153" s="17" t="n">
        <v>0</v>
      </c>
      <c r="M153" s="18">
        <f>IF(E153&gt;0,ROUND(L153/E153*100,1),0)</f>
        <v/>
      </c>
      <c r="N153" s="19" t="inlineStr">
        <is>
          <t>PENDIENTE</t>
        </is>
      </c>
      <c r="O153" s="20">
        <f>IF(H153="SI",1,0)*0.6+IF(I153="SI",1,0)*0.4</f>
        <v/>
      </c>
      <c r="P153" s="19" t="inlineStr">
        <is>
          <t>PENDIENTE</t>
        </is>
      </c>
      <c r="Q153" s="14" t="n"/>
      <c r="R153" s="21" t="n"/>
      <c r="S153" s="22">
        <f>IFERROR(SCORECARDS!C151,"—")</f>
        <v/>
      </c>
      <c r="T153" s="23">
        <f>IF(ISTEXT(S153),S153,IF(S153&lt;34,"🔴 Crítico",IF(S153&lt;67,"🟡 Vulnerable","🟢 Preparado")))</f>
        <v/>
      </c>
      <c r="W153" s="62" t="n">
        <v>0</v>
      </c>
      <c r="X153" s="62" t="n">
        <v>0</v>
      </c>
      <c r="Y153" s="62" t="n">
        <v>0</v>
      </c>
      <c r="Z153" s="62" t="n">
        <v>0</v>
      </c>
      <c r="AA153" s="62" t="n">
        <v>0</v>
      </c>
      <c r="AB153" s="62" t="n">
        <v>0</v>
      </c>
      <c r="AC153" s="62" t="n">
        <v>0</v>
      </c>
      <c r="AD153" s="62" t="n">
        <v>0</v>
      </c>
      <c r="AE153" s="62" t="n">
        <v>0</v>
      </c>
      <c r="AF153" s="62" t="n">
        <v>0</v>
      </c>
      <c r="AG153" s="62" t="n">
        <v>0</v>
      </c>
      <c r="AH153" s="62" t="n">
        <v>0</v>
      </c>
      <c r="AI153" s="62" t="n">
        <v>0</v>
      </c>
      <c r="AJ153" s="62" t="n">
        <v>0</v>
      </c>
      <c r="AK153" s="62" t="n">
        <v>0</v>
      </c>
      <c r="AL153" s="62" t="n">
        <v>0</v>
      </c>
      <c r="AM153" s="62" t="n">
        <v>0</v>
      </c>
      <c r="AN153" s="62" t="n">
        <v>0</v>
      </c>
      <c r="AO153" s="63">
        <f>IFERROR(AVERAGE(AA153,AB153,AC153,AD153,AE153,AF153,AG153,AH153,AI153,AJ153,AK153,AL153,AM153,AN153),"N/A")</f>
        <v/>
      </c>
      <c r="AP153" s="64">
        <f>IFERROR(AVERAGE(W153,X153,Y153,Z153)/2,"N/A")</f>
        <v/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9" t="inlineStr">
        <is>
          <t>JUNIN</t>
        </is>
      </c>
      <c r="D154" s="9" t="inlineStr">
        <is>
          <t>CAFÉ</t>
        </is>
      </c>
      <c r="E154" s="14" t="n">
        <v>147669.48</v>
      </c>
      <c r="F154" s="15" t="n">
        <v>1</v>
      </c>
      <c r="G154" s="16" t="inlineStr">
        <is>
          <t>SI</t>
        </is>
      </c>
      <c r="H154" s="15" t="inlineStr">
        <is>
          <t>nan</t>
        </is>
      </c>
      <c r="I154" s="15" t="inlineStr">
        <is>
          <t>FLO</t>
        </is>
      </c>
      <c r="J154" s="15" t="inlineStr">
        <is>
          <t>ACTIVO</t>
        </is>
      </c>
      <c r="K154" s="15" t="inlineStr">
        <is>
          <t>0.75</t>
        </is>
      </c>
      <c r="L154" s="17" t="n">
        <v>0</v>
      </c>
      <c r="M154" s="18">
        <f>IF(E154&gt;0,ROUND(L154/E154*100,1),0)</f>
        <v/>
      </c>
      <c r="N154" s="19" t="inlineStr">
        <is>
          <t>PENDIENTE</t>
        </is>
      </c>
      <c r="O154" s="20">
        <f>IF(H154="SI",1,0)*0.6+IF(I154="SI",1,0)*0.4</f>
        <v/>
      </c>
      <c r="P154" s="19" t="inlineStr">
        <is>
          <t>PENDIENTE</t>
        </is>
      </c>
      <c r="Q154" s="14" t="n">
        <v>257</v>
      </c>
      <c r="R154" s="21" t="n">
        <v>771</v>
      </c>
      <c r="S154" s="22">
        <f>IFERROR(SCORECARDS!C152,"—")</f>
        <v/>
      </c>
      <c r="T154" s="23">
        <f>IF(ISTEXT(S154),S154,IF(S154&lt;34,"🔴 Crítico",IF(S154&lt;67,"🟡 Vulnerable","🟢 Preparado")))</f>
        <v/>
      </c>
      <c r="W154" s="68" t="n">
        <v>1</v>
      </c>
      <c r="X154" s="62" t="n">
        <v>0</v>
      </c>
      <c r="Y154" s="62" t="n">
        <v>0</v>
      </c>
      <c r="Z154" s="62" t="n">
        <v>0</v>
      </c>
      <c r="AA154" s="62" t="n">
        <v>0</v>
      </c>
      <c r="AB154" s="62" t="n">
        <v>0</v>
      </c>
      <c r="AC154" s="62" t="n">
        <v>0</v>
      </c>
      <c r="AD154" s="62" t="n">
        <v>0</v>
      </c>
      <c r="AE154" s="62" t="n">
        <v>0</v>
      </c>
      <c r="AF154" s="62" t="n">
        <v>0</v>
      </c>
      <c r="AG154" s="62" t="n">
        <v>0</v>
      </c>
      <c r="AH154" s="62" t="n">
        <v>0</v>
      </c>
      <c r="AI154" s="62" t="n">
        <v>0</v>
      </c>
      <c r="AJ154" s="62" t="n">
        <v>0</v>
      </c>
      <c r="AK154" s="62" t="n">
        <v>0</v>
      </c>
      <c r="AL154" s="62" t="n">
        <v>0</v>
      </c>
      <c r="AM154" s="62" t="n">
        <v>0</v>
      </c>
      <c r="AN154" s="62" t="n">
        <v>0</v>
      </c>
      <c r="AO154" s="63">
        <f>IFERROR(AVERAGE(AA154,AB154,AC154,AD154,AE154,AF154,AG154,AH154,AI154,AJ154,AK154,AL154,AM154,AN154),"N/A")</f>
        <v/>
      </c>
      <c r="AP154" s="64">
        <f>IFERROR(AVERAGE(W154,X154,Y154,Z154)/2,"N/A")</f>
        <v/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9" t="inlineStr">
        <is>
          <t>UCAYALI</t>
        </is>
      </c>
      <c r="D155" s="9" t="inlineStr">
        <is>
          <t>CACAO</t>
        </is>
      </c>
      <c r="E155" s="14" t="n"/>
      <c r="F155" s="15" t="n"/>
      <c r="G155" s="24" t="inlineStr">
        <is>
          <t>NO</t>
        </is>
      </c>
      <c r="H155" s="15" t="inlineStr">
        <is>
          <t>nan</t>
        </is>
      </c>
      <c r="I155" s="15" t="inlineStr">
        <is>
          <t>nan</t>
        </is>
      </c>
      <c r="J155" s="15" t="inlineStr">
        <is>
          <t>ACTIVO</t>
        </is>
      </c>
      <c r="K155" s="15" t="inlineStr">
        <is>
          <t>nan</t>
        </is>
      </c>
      <c r="L155" s="17" t="n">
        <v>0</v>
      </c>
      <c r="M155" s="18">
        <f>IF(E155&gt;0,ROUND(L155/E155*100,1),0)</f>
        <v/>
      </c>
      <c r="N155" s="19" t="inlineStr">
        <is>
          <t>PENDIENTE</t>
        </is>
      </c>
      <c r="O155" s="20">
        <f>IF(H155="SI",1,0)*0.6+IF(I155="SI",1,0)*0.4</f>
        <v/>
      </c>
      <c r="P155" s="19" t="inlineStr">
        <is>
          <t>PENDIENTE</t>
        </is>
      </c>
      <c r="Q155" s="14" t="n"/>
      <c r="R155" s="21" t="n"/>
      <c r="S155" s="22">
        <f>IFERROR(SCORECARDS!C153,"—")</f>
        <v/>
      </c>
      <c r="T155" s="23">
        <f>IF(ISTEXT(S155),S155,IF(S155&lt;34,"🔴 Crítico",IF(S155&lt;67,"🟡 Vulnerable","🟢 Preparado")))</f>
        <v/>
      </c>
      <c r="W155" s="62" t="n">
        <v>0</v>
      </c>
      <c r="X155" s="62" t="n">
        <v>0</v>
      </c>
      <c r="Y155" s="62" t="n">
        <v>0</v>
      </c>
      <c r="Z155" s="62" t="n">
        <v>0</v>
      </c>
      <c r="AA155" s="62" t="n">
        <v>0</v>
      </c>
      <c r="AB155" s="62" t="n">
        <v>0</v>
      </c>
      <c r="AC155" s="62" t="n">
        <v>0</v>
      </c>
      <c r="AD155" s="62" t="n">
        <v>0</v>
      </c>
      <c r="AE155" s="62" t="n">
        <v>0</v>
      </c>
      <c r="AF155" s="62" t="n">
        <v>0</v>
      </c>
      <c r="AG155" s="62" t="n">
        <v>0</v>
      </c>
      <c r="AH155" s="62" t="n">
        <v>0</v>
      </c>
      <c r="AI155" s="62" t="n">
        <v>0</v>
      </c>
      <c r="AJ155" s="62" t="n">
        <v>0</v>
      </c>
      <c r="AK155" s="62" t="n">
        <v>0</v>
      </c>
      <c r="AL155" s="62" t="n">
        <v>0</v>
      </c>
      <c r="AM155" s="62" t="n">
        <v>0</v>
      </c>
      <c r="AN155" s="62" t="n">
        <v>0</v>
      </c>
      <c r="AO155" s="63">
        <f>IFERROR(AVERAGE(AA155,AB155,AC155,AD155,AE155,AF155,AG155,AH155,AI155,AJ155,AK155,AL155,AM155,AN155),"N/A")</f>
        <v/>
      </c>
      <c r="AP155" s="64">
        <f>IFERROR(AVERAGE(W155,X155,Y155,Z155)/2,"N/A")</f>
        <v/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9" t="inlineStr">
        <is>
          <t>LAMBAYEQUE</t>
        </is>
      </c>
      <c r="D156" s="9" t="inlineStr">
        <is>
          <t>CAFÉ</t>
        </is>
      </c>
      <c r="E156" s="14" t="n"/>
      <c r="F156" s="15" t="n"/>
      <c r="G156" s="24" t="inlineStr">
        <is>
          <t>NO</t>
        </is>
      </c>
      <c r="H156" s="15" t="inlineStr">
        <is>
          <t>nan</t>
        </is>
      </c>
      <c r="I156" s="15" t="inlineStr">
        <is>
          <t>nan</t>
        </is>
      </c>
      <c r="J156" s="15" t="inlineStr">
        <is>
          <t>BAJA DE OFICIO</t>
        </is>
      </c>
      <c r="K156" s="15" t="inlineStr">
        <is>
          <t>nan</t>
        </is>
      </c>
      <c r="L156" s="17" t="n">
        <v>0</v>
      </c>
      <c r="M156" s="18">
        <f>IF(E156&gt;0,ROUND(L156/E156*100,1),0)</f>
        <v/>
      </c>
      <c r="N156" s="19" t="inlineStr">
        <is>
          <t>PENDIENTE</t>
        </is>
      </c>
      <c r="O156" s="20">
        <f>IF(H156="SI",1,0)*0.6+IF(I156="SI",1,0)*0.4</f>
        <v/>
      </c>
      <c r="P156" s="19" t="inlineStr">
        <is>
          <t>PENDIENTE</t>
        </is>
      </c>
      <c r="Q156" s="14" t="n"/>
      <c r="R156" s="21" t="n"/>
      <c r="S156" s="22">
        <f>IFERROR(SCORECARDS!C154,"—")</f>
        <v/>
      </c>
      <c r="T156" s="23">
        <f>IF(ISTEXT(S156),S156,IF(S156&lt;34,"🔴 Crítico",IF(S156&lt;67,"🟡 Vulnerable","🟢 Preparado")))</f>
        <v/>
      </c>
      <c r="W156" s="62" t="n">
        <v>0</v>
      </c>
      <c r="X156" s="62" t="n">
        <v>0</v>
      </c>
      <c r="Y156" s="62" t="n">
        <v>0</v>
      </c>
      <c r="Z156" s="62" t="n">
        <v>0</v>
      </c>
      <c r="AA156" s="62" t="n">
        <v>0</v>
      </c>
      <c r="AB156" s="62" t="n">
        <v>0</v>
      </c>
      <c r="AC156" s="62" t="n">
        <v>0</v>
      </c>
      <c r="AD156" s="62" t="n">
        <v>0</v>
      </c>
      <c r="AE156" s="62" t="n">
        <v>0</v>
      </c>
      <c r="AF156" s="62" t="n">
        <v>0</v>
      </c>
      <c r="AG156" s="62" t="n">
        <v>0</v>
      </c>
      <c r="AH156" s="62" t="n">
        <v>0</v>
      </c>
      <c r="AI156" s="62" t="n">
        <v>0</v>
      </c>
      <c r="AJ156" s="62" t="n">
        <v>0</v>
      </c>
      <c r="AK156" s="62" t="n">
        <v>0</v>
      </c>
      <c r="AL156" s="62" t="n">
        <v>0</v>
      </c>
      <c r="AM156" s="62" t="n">
        <v>0</v>
      </c>
      <c r="AN156" s="62" t="n">
        <v>0</v>
      </c>
      <c r="AO156" s="63">
        <f>IFERROR(AVERAGE(AA156,AB156,AC156,AD156,AE156,AF156,AG156,AH156,AI156,AJ156,AK156,AL156,AM156,AN156),"N/A")</f>
        <v/>
      </c>
      <c r="AP156" s="64">
        <f>IFERROR(AVERAGE(W156,X156,Y156,Z156)/2,"N/A")</f>
        <v/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9" t="inlineStr">
        <is>
          <t>SAN MARTIN</t>
        </is>
      </c>
      <c r="D157" s="9" t="inlineStr">
        <is>
          <t>CAFÉ</t>
        </is>
      </c>
      <c r="E157" s="14" t="n">
        <v>940783.3199999999</v>
      </c>
      <c r="F157" s="15" t="n">
        <v>7</v>
      </c>
      <c r="G157" s="16" t="inlineStr">
        <is>
          <t>SI</t>
        </is>
      </c>
      <c r="H157" s="15" t="inlineStr">
        <is>
          <t xml:space="preserve">Si </t>
        </is>
      </c>
      <c r="I157" s="15" t="inlineStr">
        <is>
          <t xml:space="preserve">Si </t>
        </is>
      </c>
      <c r="J157" s="15" t="inlineStr">
        <is>
          <t>ACTIVO</t>
        </is>
      </c>
      <c r="K157" s="15" t="inlineStr">
        <is>
          <t>0.7</t>
        </is>
      </c>
      <c r="L157" s="17" t="n">
        <v>76135.47</v>
      </c>
      <c r="M157" s="18">
        <f>IF(E157&gt;0,ROUND(L157/E157*100,1),0)</f>
        <v/>
      </c>
      <c r="N157" s="19" t="inlineStr">
        <is>
          <t>PENDIENTE</t>
        </is>
      </c>
      <c r="O157" s="20">
        <f>IF(H157="SI",1,0)*0.6+IF(I157="SI",1,0)*0.4</f>
        <v/>
      </c>
      <c r="P157" s="19" t="inlineStr">
        <is>
          <t>PENDIENTE</t>
        </is>
      </c>
      <c r="Q157" s="14" t="n">
        <v>187</v>
      </c>
      <c r="R157" s="21" t="n">
        <v>600</v>
      </c>
      <c r="S157" s="22">
        <f>IFERROR(SCORECARDS!C155,"—")</f>
        <v/>
      </c>
      <c r="T157" s="23">
        <f>IF(ISTEXT(S157),S157,IF(S157&lt;34,"🔴 Crítico",IF(S157&lt;67,"🟡 Vulnerable","🟢 Preparado")))</f>
        <v/>
      </c>
      <c r="U157" s="57" t="n">
        <v>1</v>
      </c>
      <c r="V157" t="inlineStr">
        <is>
          <t>Sin hallazgos OSCE / OEFA</t>
        </is>
      </c>
      <c r="W157" s="68" t="n">
        <v>1</v>
      </c>
      <c r="X157" s="62" t="n">
        <v>0</v>
      </c>
      <c r="Y157" s="62" t="n">
        <v>0</v>
      </c>
      <c r="Z157" s="62" t="n">
        <v>0</v>
      </c>
      <c r="AA157" s="62" t="n">
        <v>0</v>
      </c>
      <c r="AB157" s="62" t="n">
        <v>0</v>
      </c>
      <c r="AC157" s="62" t="n">
        <v>0</v>
      </c>
      <c r="AD157" s="62" t="n">
        <v>0</v>
      </c>
      <c r="AE157" s="62" t="n">
        <v>0</v>
      </c>
      <c r="AF157" s="62" t="n">
        <v>0</v>
      </c>
      <c r="AG157" s="62" t="n">
        <v>0</v>
      </c>
      <c r="AH157" s="62" t="n">
        <v>0</v>
      </c>
      <c r="AI157" s="62" t="n">
        <v>0</v>
      </c>
      <c r="AJ157" s="62" t="n">
        <v>0</v>
      </c>
      <c r="AK157" s="62" t="n">
        <v>0</v>
      </c>
      <c r="AL157" s="62" t="n">
        <v>0</v>
      </c>
      <c r="AM157" s="62" t="n">
        <v>0</v>
      </c>
      <c r="AN157" s="62" t="n">
        <v>0</v>
      </c>
      <c r="AO157" s="63">
        <f>IFERROR(AVERAGE(AA157,AB157,AC157,AD157,AE157,AF157,AG157,AH157,AI157,AJ157,AK157,AL157,AM157,AN157),"N/A")</f>
        <v/>
      </c>
      <c r="AP157" s="64">
        <f>IFERROR(AVERAGE(W157,X157,Y157,Z157)/2,"N/A")</f>
        <v/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9" t="inlineStr">
        <is>
          <t>JUNIN</t>
        </is>
      </c>
      <c r="D158" s="9" t="inlineStr">
        <is>
          <t>nan</t>
        </is>
      </c>
      <c r="E158" s="14" t="n"/>
      <c r="F158" s="15" t="n"/>
      <c r="G158" s="24" t="inlineStr">
        <is>
          <t>NO</t>
        </is>
      </c>
      <c r="H158" s="15" t="inlineStr">
        <is>
          <t>nan</t>
        </is>
      </c>
      <c r="I158" s="15" t="inlineStr">
        <is>
          <t>nan</t>
        </is>
      </c>
      <c r="J158" s="15" t="inlineStr">
        <is>
          <t>ACTIVO</t>
        </is>
      </c>
      <c r="K158" s="15" t="inlineStr">
        <is>
          <t>nan</t>
        </is>
      </c>
      <c r="L158" s="17" t="n">
        <v>0</v>
      </c>
      <c r="M158" s="18">
        <f>IF(E158&gt;0,ROUND(L158/E158*100,1),0)</f>
        <v/>
      </c>
      <c r="N158" s="19" t="inlineStr">
        <is>
          <t>PENDIENTE</t>
        </is>
      </c>
      <c r="O158" s="20">
        <f>IF(H158="SI",1,0)*0.6+IF(I158="SI",1,0)*0.4</f>
        <v/>
      </c>
      <c r="P158" s="19" t="inlineStr">
        <is>
          <t>PENDIENTE</t>
        </is>
      </c>
      <c r="Q158" s="14" t="n"/>
      <c r="R158" s="21" t="n"/>
      <c r="S158" s="22">
        <f>IFERROR(SCORECARDS!C156,"—")</f>
        <v/>
      </c>
      <c r="T158" s="23">
        <f>IF(ISTEXT(S158),S158,IF(S158&lt;34,"🔴 Crítico",IF(S158&lt;67,"🟡 Vulnerable","🟢 Preparado")))</f>
        <v/>
      </c>
      <c r="W158" s="62" t="n">
        <v>0</v>
      </c>
      <c r="X158" s="62" t="n">
        <v>0</v>
      </c>
      <c r="Y158" s="62" t="n">
        <v>0</v>
      </c>
      <c r="Z158" s="62" t="n">
        <v>0</v>
      </c>
      <c r="AA158" s="62" t="n">
        <v>0</v>
      </c>
      <c r="AB158" s="62" t="n">
        <v>0</v>
      </c>
      <c r="AC158" s="62" t="n">
        <v>0</v>
      </c>
      <c r="AD158" s="62" t="n">
        <v>0</v>
      </c>
      <c r="AE158" s="62" t="n">
        <v>0</v>
      </c>
      <c r="AF158" s="62" t="n">
        <v>0</v>
      </c>
      <c r="AG158" s="62" t="n">
        <v>0</v>
      </c>
      <c r="AH158" s="62" t="n">
        <v>0</v>
      </c>
      <c r="AI158" s="62" t="n">
        <v>0</v>
      </c>
      <c r="AJ158" s="62" t="n">
        <v>0</v>
      </c>
      <c r="AK158" s="62" t="n">
        <v>0</v>
      </c>
      <c r="AL158" s="62" t="n">
        <v>0</v>
      </c>
      <c r="AM158" s="62" t="n">
        <v>0</v>
      </c>
      <c r="AN158" s="62" t="n">
        <v>0</v>
      </c>
      <c r="AO158" s="63">
        <f>IFERROR(AVERAGE(AA158,AB158,AC158,AD158,AE158,AF158,AG158,AH158,AI158,AJ158,AK158,AL158,AM158,AN158),"N/A")</f>
        <v/>
      </c>
      <c r="AP158" s="64">
        <f>IFERROR(AVERAGE(W158,X158,Y158,Z158)/2,"N/A")</f>
        <v/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9" t="inlineStr">
        <is>
          <t>SAN MARTIN</t>
        </is>
      </c>
      <c r="D159" s="9" t="inlineStr">
        <is>
          <t>CACAO</t>
        </is>
      </c>
      <c r="E159" s="14" t="n"/>
      <c r="F159" s="15" t="n"/>
      <c r="G159" s="24" t="inlineStr">
        <is>
          <t>NO</t>
        </is>
      </c>
      <c r="H159" s="15" t="inlineStr">
        <is>
          <t>nan</t>
        </is>
      </c>
      <c r="I159" s="15" t="inlineStr">
        <is>
          <t>nan</t>
        </is>
      </c>
      <c r="J159" s="15" t="inlineStr">
        <is>
          <t>ACTIVO</t>
        </is>
      </c>
      <c r="K159" s="15" t="inlineStr">
        <is>
          <t>nan</t>
        </is>
      </c>
      <c r="L159" s="17" t="n">
        <v>0</v>
      </c>
      <c r="M159" s="18">
        <f>IF(E159&gt;0,ROUND(L159/E159*100,1),0)</f>
        <v/>
      </c>
      <c r="N159" s="19" t="inlineStr">
        <is>
          <t>PENDIENTE</t>
        </is>
      </c>
      <c r="O159" s="20">
        <f>IF(H159="SI",1,0)*0.6+IF(I159="SI",1,0)*0.4</f>
        <v/>
      </c>
      <c r="P159" s="19" t="inlineStr">
        <is>
          <t>PENDIENTE</t>
        </is>
      </c>
      <c r="Q159" s="14" t="n"/>
      <c r="R159" s="21" t="n"/>
      <c r="S159" s="22">
        <f>IFERROR(SCORECARDS!C157,"—")</f>
        <v/>
      </c>
      <c r="T159" s="23">
        <f>IF(ISTEXT(S159),S159,IF(S159&lt;34,"🔴 Crítico",IF(S159&lt;67,"🟡 Vulnerable","🟢 Preparado")))</f>
        <v/>
      </c>
      <c r="W159" s="62" t="n">
        <v>0</v>
      </c>
      <c r="X159" s="62" t="n">
        <v>0</v>
      </c>
      <c r="Y159" s="62" t="n">
        <v>0</v>
      </c>
      <c r="Z159" s="62" t="n">
        <v>0</v>
      </c>
      <c r="AA159" s="62" t="n">
        <v>0</v>
      </c>
      <c r="AB159" s="62" t="n">
        <v>0</v>
      </c>
      <c r="AC159" s="62" t="n">
        <v>0</v>
      </c>
      <c r="AD159" s="62" t="n">
        <v>0</v>
      </c>
      <c r="AE159" s="62" t="n">
        <v>0</v>
      </c>
      <c r="AF159" s="62" t="n">
        <v>0</v>
      </c>
      <c r="AG159" s="62" t="n">
        <v>0</v>
      </c>
      <c r="AH159" s="62" t="n">
        <v>0</v>
      </c>
      <c r="AI159" s="62" t="n">
        <v>0</v>
      </c>
      <c r="AJ159" s="62" t="n">
        <v>0</v>
      </c>
      <c r="AK159" s="62" t="n">
        <v>0</v>
      </c>
      <c r="AL159" s="62" t="n">
        <v>0</v>
      </c>
      <c r="AM159" s="62" t="n">
        <v>0</v>
      </c>
      <c r="AN159" s="62" t="n">
        <v>0</v>
      </c>
      <c r="AO159" s="63">
        <f>IFERROR(AVERAGE(AA159,AB159,AC159,AD159,AE159,AF159,AG159,AH159,AI159,AJ159,AK159,AL159,AM159,AN159),"N/A")</f>
        <v/>
      </c>
      <c r="AP159" s="64">
        <f>IFERROR(AVERAGE(W159,X159,Y159,Z159)/2,"N/A")</f>
        <v/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9" t="inlineStr">
        <is>
          <t>PIURA</t>
        </is>
      </c>
      <c r="D160" s="9" t="inlineStr">
        <is>
          <t>CAFÉ</t>
        </is>
      </c>
      <c r="E160" s="14" t="n"/>
      <c r="F160" s="15" t="n"/>
      <c r="G160" s="24" t="inlineStr">
        <is>
          <t>NO</t>
        </is>
      </c>
      <c r="H160" s="15" t="inlineStr">
        <is>
          <t>nan</t>
        </is>
      </c>
      <c r="I160" s="15" t="inlineStr">
        <is>
          <t>nan</t>
        </is>
      </c>
      <c r="J160" s="15" t="inlineStr">
        <is>
          <t>BAJA PROV. POR OFICIO</t>
        </is>
      </c>
      <c r="K160" s="15" t="inlineStr">
        <is>
          <t>nan</t>
        </is>
      </c>
      <c r="L160" s="17" t="n">
        <v>0</v>
      </c>
      <c r="M160" s="18">
        <f>IF(E160&gt;0,ROUND(L160/E160*100,1),0)</f>
        <v/>
      </c>
      <c r="N160" s="19" t="inlineStr">
        <is>
          <t>PENDIENTE</t>
        </is>
      </c>
      <c r="O160" s="20">
        <f>IF(H160="SI",1,0)*0.6+IF(I160="SI",1,0)*0.4</f>
        <v/>
      </c>
      <c r="P160" s="19" t="inlineStr">
        <is>
          <t>PENDIENTE</t>
        </is>
      </c>
      <c r="Q160" s="14" t="n"/>
      <c r="R160" s="21" t="n"/>
      <c r="S160" s="22">
        <f>IFERROR(SCORECARDS!C158,"—")</f>
        <v/>
      </c>
      <c r="T160" s="23">
        <f>IF(ISTEXT(S160),S160,IF(S160&lt;34,"🔴 Crítico",IF(S160&lt;67,"🟡 Vulnerable","🟢 Preparado")))</f>
        <v/>
      </c>
      <c r="W160" s="62" t="n">
        <v>0</v>
      </c>
      <c r="X160" s="62" t="n">
        <v>0</v>
      </c>
      <c r="Y160" s="62" t="n">
        <v>0</v>
      </c>
      <c r="Z160" s="62" t="n">
        <v>0</v>
      </c>
      <c r="AA160" s="62" t="n">
        <v>0</v>
      </c>
      <c r="AB160" s="62" t="n">
        <v>0</v>
      </c>
      <c r="AC160" s="62" t="n">
        <v>0</v>
      </c>
      <c r="AD160" s="62" t="n">
        <v>0</v>
      </c>
      <c r="AE160" s="62" t="n">
        <v>0</v>
      </c>
      <c r="AF160" s="62" t="n">
        <v>0</v>
      </c>
      <c r="AG160" s="62" t="n">
        <v>0</v>
      </c>
      <c r="AH160" s="62" t="n">
        <v>0</v>
      </c>
      <c r="AI160" s="62" t="n">
        <v>0</v>
      </c>
      <c r="AJ160" s="62" t="n">
        <v>0</v>
      </c>
      <c r="AK160" s="62" t="n">
        <v>0</v>
      </c>
      <c r="AL160" s="62" t="n">
        <v>0</v>
      </c>
      <c r="AM160" s="62" t="n">
        <v>0</v>
      </c>
      <c r="AN160" s="62" t="n">
        <v>0</v>
      </c>
      <c r="AO160" s="63">
        <f>IFERROR(AVERAGE(AA160,AB160,AC160,AD160,AE160,AF160,AG160,AH160,AI160,AJ160,AK160,AL160,AM160,AN160),"N/A")</f>
        <v/>
      </c>
      <c r="AP160" s="64">
        <f>IFERROR(AVERAGE(W160,X160,Y160,Z160)/2,"N/A")</f>
        <v/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9" t="inlineStr">
        <is>
          <t>LAMBAYEQUE</t>
        </is>
      </c>
      <c r="D161" s="9" t="inlineStr">
        <is>
          <t>CAFÉ</t>
        </is>
      </c>
      <c r="E161" s="14" t="n"/>
      <c r="F161" s="15" t="n"/>
      <c r="G161" s="24" t="inlineStr">
        <is>
          <t>NO</t>
        </is>
      </c>
      <c r="H161" s="15" t="inlineStr">
        <is>
          <t>nan</t>
        </is>
      </c>
      <c r="I161" s="15" t="inlineStr">
        <is>
          <t>nan</t>
        </is>
      </c>
      <c r="J161" s="15" t="inlineStr">
        <is>
          <t>ACTIVO</t>
        </is>
      </c>
      <c r="K161" s="15" t="inlineStr">
        <is>
          <t>nan</t>
        </is>
      </c>
      <c r="L161" s="17" t="n">
        <v>0</v>
      </c>
      <c r="M161" s="18">
        <f>IF(E161&gt;0,ROUND(L161/E161*100,1),0)</f>
        <v/>
      </c>
      <c r="N161" s="19" t="inlineStr">
        <is>
          <t>PENDIENTE</t>
        </is>
      </c>
      <c r="O161" s="20">
        <f>IF(H161="SI",1,0)*0.6+IF(I161="SI",1,0)*0.4</f>
        <v/>
      </c>
      <c r="P161" s="19" t="inlineStr">
        <is>
          <t>PENDIENTE</t>
        </is>
      </c>
      <c r="Q161" s="14" t="n"/>
      <c r="R161" s="21" t="n"/>
      <c r="S161" s="22">
        <f>IFERROR(SCORECARDS!C159,"—")</f>
        <v/>
      </c>
      <c r="T161" s="23">
        <f>IF(ISTEXT(S161),S161,IF(S161&lt;34,"🔴 Crítico",IF(S161&lt;67,"🟡 Vulnerable","🟢 Preparado")))</f>
        <v/>
      </c>
      <c r="W161" s="62" t="n">
        <v>0</v>
      </c>
      <c r="X161" s="62" t="n">
        <v>0</v>
      </c>
      <c r="Y161" s="62" t="n">
        <v>0</v>
      </c>
      <c r="Z161" s="62" t="n">
        <v>0</v>
      </c>
      <c r="AA161" s="62" t="n">
        <v>0</v>
      </c>
      <c r="AB161" s="62" t="n">
        <v>0</v>
      </c>
      <c r="AC161" s="62" t="n">
        <v>0</v>
      </c>
      <c r="AD161" s="62" t="n">
        <v>0</v>
      </c>
      <c r="AE161" s="62" t="n">
        <v>0</v>
      </c>
      <c r="AF161" s="62" t="n">
        <v>0</v>
      </c>
      <c r="AG161" s="62" t="n">
        <v>0</v>
      </c>
      <c r="AH161" s="62" t="n">
        <v>0</v>
      </c>
      <c r="AI161" s="62" t="n">
        <v>0</v>
      </c>
      <c r="AJ161" s="62" t="n">
        <v>0</v>
      </c>
      <c r="AK161" s="62" t="n">
        <v>0</v>
      </c>
      <c r="AL161" s="62" t="n">
        <v>0</v>
      </c>
      <c r="AM161" s="62" t="n">
        <v>0</v>
      </c>
      <c r="AN161" s="62" t="n">
        <v>0</v>
      </c>
      <c r="AO161" s="63">
        <f>IFERROR(AVERAGE(AA161,AB161,AC161,AD161,AE161,AF161,AG161,AH161,AI161,AJ161,AK161,AL161,AM161,AN161),"N/A")</f>
        <v/>
      </c>
      <c r="AP161" s="64">
        <f>IFERROR(AVERAGE(W161,X161,Y161,Z161)/2,"N/A")</f>
        <v/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9" t="inlineStr">
        <is>
          <t>PIURA</t>
        </is>
      </c>
      <c r="D162" s="9" t="inlineStr">
        <is>
          <t>CAFÉ</t>
        </is>
      </c>
      <c r="E162" s="14" t="n"/>
      <c r="F162" s="15" t="n"/>
      <c r="G162" s="24" t="inlineStr">
        <is>
          <t>NO</t>
        </is>
      </c>
      <c r="H162" s="15" t="inlineStr">
        <is>
          <t>nan</t>
        </is>
      </c>
      <c r="I162" s="15" t="inlineStr">
        <is>
          <t>nan</t>
        </is>
      </c>
      <c r="J162" s="15" t="inlineStr">
        <is>
          <t>ACTIVO</t>
        </is>
      </c>
      <c r="K162" s="15" t="inlineStr">
        <is>
          <t>nan</t>
        </is>
      </c>
      <c r="L162" s="17" t="n">
        <v>0</v>
      </c>
      <c r="M162" s="18">
        <f>IF(E162&gt;0,ROUND(L162/E162*100,1),0)</f>
        <v/>
      </c>
      <c r="N162" s="19" t="inlineStr">
        <is>
          <t>PENDIENTE</t>
        </is>
      </c>
      <c r="O162" s="20">
        <f>IF(H162="SI",1,0)*0.6+IF(I162="SI",1,0)*0.4</f>
        <v/>
      </c>
      <c r="P162" s="19" t="inlineStr">
        <is>
          <t>PENDIENTE</t>
        </is>
      </c>
      <c r="Q162" s="14" t="n"/>
      <c r="R162" s="21" t="n"/>
      <c r="S162" s="22">
        <f>IFERROR(SCORECARDS!C160,"—")</f>
        <v/>
      </c>
      <c r="T162" s="23">
        <f>IF(ISTEXT(S162),S162,IF(S162&lt;34,"🔴 Crítico",IF(S162&lt;67,"🟡 Vulnerable","🟢 Preparado")))</f>
        <v/>
      </c>
      <c r="W162" s="62" t="n">
        <v>0</v>
      </c>
      <c r="X162" s="62" t="n">
        <v>0</v>
      </c>
      <c r="Y162" s="62" t="n">
        <v>0</v>
      </c>
      <c r="Z162" s="62" t="n">
        <v>0</v>
      </c>
      <c r="AA162" s="62" t="n">
        <v>0</v>
      </c>
      <c r="AB162" s="62" t="n">
        <v>0</v>
      </c>
      <c r="AC162" s="62" t="n">
        <v>0</v>
      </c>
      <c r="AD162" s="62" t="n">
        <v>0</v>
      </c>
      <c r="AE162" s="62" t="n">
        <v>0</v>
      </c>
      <c r="AF162" s="62" t="n">
        <v>0</v>
      </c>
      <c r="AG162" s="62" t="n">
        <v>0</v>
      </c>
      <c r="AH162" s="62" t="n">
        <v>0</v>
      </c>
      <c r="AI162" s="62" t="n">
        <v>0</v>
      </c>
      <c r="AJ162" s="62" t="n">
        <v>0</v>
      </c>
      <c r="AK162" s="62" t="n">
        <v>0</v>
      </c>
      <c r="AL162" s="62" t="n">
        <v>0</v>
      </c>
      <c r="AM162" s="62" t="n">
        <v>0</v>
      </c>
      <c r="AN162" s="62" t="n">
        <v>0</v>
      </c>
      <c r="AO162" s="63">
        <f>IFERROR(AVERAGE(AA162,AB162,AC162,AD162,AE162,AF162,AG162,AH162,AI162,AJ162,AK162,AL162,AM162,AN162),"N/A")</f>
        <v/>
      </c>
      <c r="AP162" s="64">
        <f>IFERROR(AVERAGE(W162,X162,Y162,Z162)/2,"N/A")</f>
        <v/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9" t="inlineStr">
        <is>
          <t>CAJAMARCA</t>
        </is>
      </c>
      <c r="D163" s="9" t="inlineStr">
        <is>
          <t>CAFÉ</t>
        </is>
      </c>
      <c r="E163" s="14" t="n">
        <v>3002219.02</v>
      </c>
      <c r="F163" s="15" t="n">
        <v>19</v>
      </c>
      <c r="G163" s="16" t="inlineStr">
        <is>
          <t>SI</t>
        </is>
      </c>
      <c r="H163" s="15" t="inlineStr">
        <is>
          <t>nan</t>
        </is>
      </c>
      <c r="I163" s="15" t="inlineStr">
        <is>
          <t>nan</t>
        </is>
      </c>
      <c r="J163" s="15" t="inlineStr">
        <is>
          <t>ACTIVO</t>
        </is>
      </c>
      <c r="K163" s="15" t="inlineStr">
        <is>
          <t>nan</t>
        </is>
      </c>
      <c r="L163" s="17" t="n">
        <v>1501109.51</v>
      </c>
      <c r="M163" s="18">
        <f>IF(E163&gt;0,ROUND(L163/E163*100,1),0)</f>
        <v/>
      </c>
      <c r="N163" s="19" t="inlineStr">
        <is>
          <t>PENDIENTE</t>
        </is>
      </c>
      <c r="O163" s="20">
        <f>IF(H163="SI",1,0)*0.6+IF(I163="SI",1,0)*0.4</f>
        <v/>
      </c>
      <c r="P163" s="19" t="inlineStr">
        <is>
          <t>PENDIENTE</t>
        </is>
      </c>
      <c r="Q163" s="14" t="n"/>
      <c r="R163" s="21" t="n"/>
      <c r="S163" s="22">
        <f>IFERROR(SCORECARDS!C161,"—")</f>
        <v/>
      </c>
      <c r="T163" s="23">
        <f>IF(ISTEXT(S163),S163,IF(S163&lt;34,"🔴 Crítico",IF(S163&lt;67,"🟡 Vulnerable","🟢 Preparado")))</f>
        <v/>
      </c>
      <c r="U163" s="57" t="n">
        <v>1</v>
      </c>
      <c r="V163" t="inlineStr">
        <is>
          <t>Sin hallazgos OSCE / OEFA</t>
        </is>
      </c>
      <c r="W163" s="68" t="n">
        <v>1</v>
      </c>
      <c r="X163" s="62" t="n">
        <v>0</v>
      </c>
      <c r="Y163" s="62" t="n">
        <v>0</v>
      </c>
      <c r="Z163" s="62" t="n">
        <v>0</v>
      </c>
      <c r="AA163" s="62" t="n">
        <v>0</v>
      </c>
      <c r="AB163" s="62" t="n">
        <v>0</v>
      </c>
      <c r="AC163" s="62" t="n">
        <v>0</v>
      </c>
      <c r="AD163" s="62" t="n">
        <v>0</v>
      </c>
      <c r="AE163" s="62" t="n">
        <v>0</v>
      </c>
      <c r="AF163" s="62" t="n">
        <v>0</v>
      </c>
      <c r="AG163" s="62" t="n">
        <v>0</v>
      </c>
      <c r="AH163" s="62" t="n">
        <v>0</v>
      </c>
      <c r="AI163" s="62" t="n">
        <v>0</v>
      </c>
      <c r="AJ163" s="62" t="n">
        <v>0</v>
      </c>
      <c r="AK163" s="62" t="n">
        <v>0</v>
      </c>
      <c r="AL163" s="62" t="n">
        <v>0</v>
      </c>
      <c r="AM163" s="62" t="n">
        <v>0</v>
      </c>
      <c r="AN163" s="62" t="n">
        <v>0</v>
      </c>
      <c r="AO163" s="63">
        <f>IFERROR(AVERAGE(AA163,AB163,AC163,AD163,AE163,AF163,AG163,AH163,AI163,AJ163,AK163,AL163,AM163,AN163),"N/A")</f>
        <v/>
      </c>
      <c r="AP163" s="64">
        <f>IFERROR(AVERAGE(W163,X163,Y163,Z163)/2,"N/A")</f>
        <v/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9" t="inlineStr">
        <is>
          <t>AMAZONAS</t>
        </is>
      </c>
      <c r="D164" s="9" t="inlineStr">
        <is>
          <t>CACAO</t>
        </is>
      </c>
      <c r="E164" s="14" t="n"/>
      <c r="F164" s="15" t="n"/>
      <c r="G164" s="24" t="inlineStr">
        <is>
          <t>NO</t>
        </is>
      </c>
      <c r="H164" s="15" t="inlineStr">
        <is>
          <t>nan</t>
        </is>
      </c>
      <c r="I164" s="15" t="inlineStr">
        <is>
          <t>nan</t>
        </is>
      </c>
      <c r="J164" s="15" t="inlineStr">
        <is>
          <t>ACTIVO</t>
        </is>
      </c>
      <c r="K164" s="15" t="inlineStr">
        <is>
          <t>nan</t>
        </is>
      </c>
      <c r="L164" s="17" t="n">
        <v>0</v>
      </c>
      <c r="M164" s="18">
        <f>IF(E164&gt;0,ROUND(L164/E164*100,1),0)</f>
        <v/>
      </c>
      <c r="N164" s="19" t="inlineStr">
        <is>
          <t>PENDIENTE</t>
        </is>
      </c>
      <c r="O164" s="20">
        <f>IF(H164="SI",1,0)*0.6+IF(I164="SI",1,0)*0.4</f>
        <v/>
      </c>
      <c r="P164" s="19" t="inlineStr">
        <is>
          <t>PENDIENTE</t>
        </is>
      </c>
      <c r="Q164" s="14" t="n"/>
      <c r="R164" s="21" t="n"/>
      <c r="S164" s="22">
        <f>IFERROR(SCORECARDS!C162,"—")</f>
        <v/>
      </c>
      <c r="T164" s="23">
        <f>IF(ISTEXT(S164),S164,IF(S164&lt;34,"🔴 Crítico",IF(S164&lt;67,"🟡 Vulnerable","🟢 Preparado")))</f>
        <v/>
      </c>
      <c r="W164" s="62" t="n">
        <v>0</v>
      </c>
      <c r="X164" s="62" t="n">
        <v>0</v>
      </c>
      <c r="Y164" s="62" t="n">
        <v>0</v>
      </c>
      <c r="Z164" s="62" t="n">
        <v>0</v>
      </c>
      <c r="AA164" s="62" t="n">
        <v>0</v>
      </c>
      <c r="AB164" s="62" t="n">
        <v>0</v>
      </c>
      <c r="AC164" s="62" t="n">
        <v>0</v>
      </c>
      <c r="AD164" s="62" t="n">
        <v>0</v>
      </c>
      <c r="AE164" s="62" t="n">
        <v>0</v>
      </c>
      <c r="AF164" s="62" t="n">
        <v>0</v>
      </c>
      <c r="AG164" s="62" t="n">
        <v>0</v>
      </c>
      <c r="AH164" s="62" t="n">
        <v>0</v>
      </c>
      <c r="AI164" s="62" t="n">
        <v>0</v>
      </c>
      <c r="AJ164" s="62" t="n">
        <v>0</v>
      </c>
      <c r="AK164" s="62" t="n">
        <v>0</v>
      </c>
      <c r="AL164" s="62" t="n">
        <v>0</v>
      </c>
      <c r="AM164" s="62" t="n">
        <v>0</v>
      </c>
      <c r="AN164" s="62" t="n">
        <v>0</v>
      </c>
      <c r="AO164" s="63">
        <f>IFERROR(AVERAGE(AA164,AB164,AC164,AD164,AE164,AF164,AG164,AH164,AI164,AJ164,AK164,AL164,AM164,AN164),"N/A")</f>
        <v/>
      </c>
      <c r="AP164" s="64">
        <f>IFERROR(AVERAGE(W164,X164,Y164,Z164)/2,"N/A")</f>
        <v/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9" t="inlineStr">
        <is>
          <t>LAMBAYEQUE</t>
        </is>
      </c>
      <c r="D165" s="9" t="inlineStr">
        <is>
          <t>CAFÉ</t>
        </is>
      </c>
      <c r="E165" s="14" t="n"/>
      <c r="F165" s="15" t="n"/>
      <c r="G165" s="24" t="inlineStr">
        <is>
          <t>NO</t>
        </is>
      </c>
      <c r="H165" s="15" t="inlineStr">
        <is>
          <t>nan</t>
        </is>
      </c>
      <c r="I165" s="15" t="inlineStr">
        <is>
          <t>nan</t>
        </is>
      </c>
      <c r="J165" s="15" t="inlineStr">
        <is>
          <t>BAJA DE OFICIO</t>
        </is>
      </c>
      <c r="K165" s="15" t="inlineStr">
        <is>
          <t>nan</t>
        </is>
      </c>
      <c r="L165" s="17" t="n">
        <v>0</v>
      </c>
      <c r="M165" s="18">
        <f>IF(E165&gt;0,ROUND(L165/E165*100,1),0)</f>
        <v/>
      </c>
      <c r="N165" s="19" t="inlineStr">
        <is>
          <t>PENDIENTE</t>
        </is>
      </c>
      <c r="O165" s="20">
        <f>IF(H165="SI",1,0)*0.6+IF(I165="SI",1,0)*0.4</f>
        <v/>
      </c>
      <c r="P165" s="19" t="inlineStr">
        <is>
          <t>PENDIENTE</t>
        </is>
      </c>
      <c r="Q165" s="14" t="n"/>
      <c r="R165" s="21" t="n"/>
      <c r="S165" s="22">
        <f>IFERROR(SCORECARDS!C163,"—")</f>
        <v/>
      </c>
      <c r="T165" s="23">
        <f>IF(ISTEXT(S165),S165,IF(S165&lt;34,"🔴 Crítico",IF(S165&lt;67,"🟡 Vulnerable","🟢 Preparado")))</f>
        <v/>
      </c>
      <c r="W165" s="62" t="n">
        <v>0</v>
      </c>
      <c r="X165" s="62" t="n">
        <v>0</v>
      </c>
      <c r="Y165" s="62" t="n">
        <v>0</v>
      </c>
      <c r="Z165" s="62" t="n">
        <v>0</v>
      </c>
      <c r="AA165" s="62" t="n">
        <v>0</v>
      </c>
      <c r="AB165" s="62" t="n">
        <v>0</v>
      </c>
      <c r="AC165" s="62" t="n">
        <v>0</v>
      </c>
      <c r="AD165" s="62" t="n">
        <v>0</v>
      </c>
      <c r="AE165" s="62" t="n">
        <v>0</v>
      </c>
      <c r="AF165" s="62" t="n">
        <v>0</v>
      </c>
      <c r="AG165" s="62" t="n">
        <v>0</v>
      </c>
      <c r="AH165" s="62" t="n">
        <v>0</v>
      </c>
      <c r="AI165" s="62" t="n">
        <v>0</v>
      </c>
      <c r="AJ165" s="62" t="n">
        <v>0</v>
      </c>
      <c r="AK165" s="62" t="n">
        <v>0</v>
      </c>
      <c r="AL165" s="62" t="n">
        <v>0</v>
      </c>
      <c r="AM165" s="62" t="n">
        <v>0</v>
      </c>
      <c r="AN165" s="62" t="n">
        <v>0</v>
      </c>
      <c r="AO165" s="63">
        <f>IFERROR(AVERAGE(AA165,AB165,AC165,AD165,AE165,AF165,AG165,AH165,AI165,AJ165,AK165,AL165,AM165,AN165),"N/A")</f>
        <v/>
      </c>
      <c r="AP165" s="64">
        <f>IFERROR(AVERAGE(W165,X165,Y165,Z165)/2,"N/A")</f>
        <v/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9" t="inlineStr">
        <is>
          <t>MADRE DE DIOS</t>
        </is>
      </c>
      <c r="D166" s="9" t="inlineStr">
        <is>
          <t>CACAO</t>
        </is>
      </c>
      <c r="E166" s="14" t="n"/>
      <c r="F166" s="15" t="n"/>
      <c r="G166" s="24" t="inlineStr">
        <is>
          <t>NO</t>
        </is>
      </c>
      <c r="H166" s="15" t="inlineStr">
        <is>
          <t>nan</t>
        </is>
      </c>
      <c r="I166" s="15" t="inlineStr">
        <is>
          <t>nan</t>
        </is>
      </c>
      <c r="J166" s="15" t="inlineStr">
        <is>
          <t>ACTIVO</t>
        </is>
      </c>
      <c r="K166" s="15" t="inlineStr">
        <is>
          <t>nan</t>
        </is>
      </c>
      <c r="L166" s="17" t="n">
        <v>0</v>
      </c>
      <c r="M166" s="18">
        <f>IF(E166&gt;0,ROUND(L166/E166*100,1),0)</f>
        <v/>
      </c>
      <c r="N166" s="19" t="inlineStr">
        <is>
          <t>PENDIENTE</t>
        </is>
      </c>
      <c r="O166" s="20">
        <f>IF(H166="SI",1,0)*0.6+IF(I166="SI",1,0)*0.4</f>
        <v/>
      </c>
      <c r="P166" s="19" t="inlineStr">
        <is>
          <t>PENDIENTE</t>
        </is>
      </c>
      <c r="Q166" s="14" t="n"/>
      <c r="R166" s="21" t="n"/>
      <c r="S166" s="22">
        <f>IFERROR(SCORECARDS!C164,"—")</f>
        <v/>
      </c>
      <c r="T166" s="23">
        <f>IF(ISTEXT(S166),S166,IF(S166&lt;34,"🔴 Crítico",IF(S166&lt;67,"🟡 Vulnerable","🟢 Preparado")))</f>
        <v/>
      </c>
      <c r="W166" s="62" t="n">
        <v>0</v>
      </c>
      <c r="X166" s="62" t="n">
        <v>0</v>
      </c>
      <c r="Y166" s="62" t="n">
        <v>0</v>
      </c>
      <c r="Z166" s="62" t="n">
        <v>0</v>
      </c>
      <c r="AA166" s="62" t="n">
        <v>0</v>
      </c>
      <c r="AB166" s="62" t="n">
        <v>0</v>
      </c>
      <c r="AC166" s="62" t="n">
        <v>0</v>
      </c>
      <c r="AD166" s="62" t="n">
        <v>0</v>
      </c>
      <c r="AE166" s="62" t="n">
        <v>0</v>
      </c>
      <c r="AF166" s="62" t="n">
        <v>0</v>
      </c>
      <c r="AG166" s="62" t="n">
        <v>0</v>
      </c>
      <c r="AH166" s="62" t="n">
        <v>0</v>
      </c>
      <c r="AI166" s="62" t="n">
        <v>0</v>
      </c>
      <c r="AJ166" s="62" t="n">
        <v>0</v>
      </c>
      <c r="AK166" s="62" t="n">
        <v>0</v>
      </c>
      <c r="AL166" s="62" t="n">
        <v>0</v>
      </c>
      <c r="AM166" s="62" t="n">
        <v>0</v>
      </c>
      <c r="AN166" s="62" t="n">
        <v>0</v>
      </c>
      <c r="AO166" s="63">
        <f>IFERROR(AVERAGE(AA166,AB166,AC166,AD166,AE166,AF166,AG166,AH166,AI166,AJ166,AK166,AL166,AM166,AN166),"N/A")</f>
        <v/>
      </c>
      <c r="AP166" s="64">
        <f>IFERROR(AVERAGE(W166,X166,Y166,Z166)/2,"N/A")</f>
        <v/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9" t="inlineStr">
        <is>
          <t>SAN MARTIN</t>
        </is>
      </c>
      <c r="D167" s="9" t="inlineStr">
        <is>
          <t>CACAO</t>
        </is>
      </c>
      <c r="E167" s="14" t="n">
        <v>4097</v>
      </c>
      <c r="F167" s="15" t="n">
        <v>2</v>
      </c>
      <c r="G167" s="16" t="inlineStr">
        <is>
          <t>SI</t>
        </is>
      </c>
      <c r="H167" s="15" t="inlineStr">
        <is>
          <t>nan</t>
        </is>
      </c>
      <c r="I167" s="15" t="inlineStr">
        <is>
          <t>nan</t>
        </is>
      </c>
      <c r="J167" s="15" t="inlineStr">
        <is>
          <t>ACTIVO</t>
        </is>
      </c>
      <c r="K167" s="15" t="inlineStr">
        <is>
          <t>nan</t>
        </is>
      </c>
      <c r="L167" s="17" t="n">
        <v>0</v>
      </c>
      <c r="M167" s="18">
        <f>IF(E167&gt;0,ROUND(L167/E167*100,1),0)</f>
        <v/>
      </c>
      <c r="N167" s="19" t="inlineStr">
        <is>
          <t>PENDIENTE</t>
        </is>
      </c>
      <c r="O167" s="20">
        <f>IF(H167="SI",1,0)*0.6+IF(I167="SI",1,0)*0.4</f>
        <v/>
      </c>
      <c r="P167" s="19" t="inlineStr">
        <is>
          <t>PENDIENTE</t>
        </is>
      </c>
      <c r="Q167" s="14" t="n"/>
      <c r="R167" s="21" t="n"/>
      <c r="S167" s="22">
        <f>IFERROR(SCORECARDS!C165,"—")</f>
        <v/>
      </c>
      <c r="T167" s="23">
        <f>IF(ISTEXT(S167),S167,IF(S167&lt;34,"🔴 Crítico",IF(S167&lt;67,"🟡 Vulnerable","🟢 Preparado")))</f>
        <v/>
      </c>
      <c r="W167" s="62" t="n">
        <v>0</v>
      </c>
      <c r="X167" s="62" t="n">
        <v>0</v>
      </c>
      <c r="Y167" s="62" t="n">
        <v>0</v>
      </c>
      <c r="Z167" s="62" t="n">
        <v>0</v>
      </c>
      <c r="AA167" s="62" t="n">
        <v>0</v>
      </c>
      <c r="AB167" s="62" t="n">
        <v>0</v>
      </c>
      <c r="AC167" s="62" t="n">
        <v>0</v>
      </c>
      <c r="AD167" s="62" t="n">
        <v>0</v>
      </c>
      <c r="AE167" s="62" t="n">
        <v>0</v>
      </c>
      <c r="AF167" s="62" t="n">
        <v>0</v>
      </c>
      <c r="AG167" s="62" t="n">
        <v>0</v>
      </c>
      <c r="AH167" s="62" t="n">
        <v>0</v>
      </c>
      <c r="AI167" s="62" t="n">
        <v>0</v>
      </c>
      <c r="AJ167" s="62" t="n">
        <v>0</v>
      </c>
      <c r="AK167" s="62" t="n">
        <v>0</v>
      </c>
      <c r="AL167" s="62" t="n">
        <v>0</v>
      </c>
      <c r="AM167" s="62" t="n">
        <v>0</v>
      </c>
      <c r="AN167" s="62" t="n">
        <v>0</v>
      </c>
      <c r="AO167" s="63">
        <f>IFERROR(AVERAGE(AA167,AB167,AC167,AD167,AE167,AF167,AG167,AH167,AI167,AJ167,AK167,AL167,AM167,AN167),"N/A")</f>
        <v/>
      </c>
      <c r="AP167" s="64">
        <f>IFERROR(AVERAGE(W167,X167,Y167,Z167)/2,"N/A")</f>
        <v/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9" t="inlineStr">
        <is>
          <t>AMAZONAS</t>
        </is>
      </c>
      <c r="D168" s="9" t="inlineStr">
        <is>
          <t>CACAO</t>
        </is>
      </c>
      <c r="E168" s="14" t="n">
        <v>19111.5</v>
      </c>
      <c r="F168" s="15" t="n">
        <v>1</v>
      </c>
      <c r="G168" s="16" t="inlineStr">
        <is>
          <t>SI</t>
        </is>
      </c>
      <c r="H168" s="15" t="inlineStr">
        <is>
          <t>nan</t>
        </is>
      </c>
      <c r="I168" s="15" t="inlineStr">
        <is>
          <t>nan</t>
        </is>
      </c>
      <c r="J168" s="15" t="inlineStr">
        <is>
          <t>ACTIVO</t>
        </is>
      </c>
      <c r="K168" s="15" t="inlineStr">
        <is>
          <t>nan</t>
        </is>
      </c>
      <c r="L168" s="17" t="n">
        <v>0</v>
      </c>
      <c r="M168" s="18">
        <f>IF(E168&gt;0,ROUND(L168/E168*100,1),0)</f>
        <v/>
      </c>
      <c r="N168" s="19" t="inlineStr">
        <is>
          <t>PENDIENTE</t>
        </is>
      </c>
      <c r="O168" s="20">
        <f>IF(H168="SI",1,0)*0.6+IF(I168="SI",1,0)*0.4</f>
        <v/>
      </c>
      <c r="P168" s="19" t="inlineStr">
        <is>
          <t>PENDIENTE</t>
        </is>
      </c>
      <c r="Q168" s="14" t="n"/>
      <c r="R168" s="21" t="n"/>
      <c r="S168" s="22">
        <f>IFERROR(SCORECARDS!C166,"—")</f>
        <v/>
      </c>
      <c r="T168" s="23">
        <f>IF(ISTEXT(S168),S168,IF(S168&lt;34,"🔴 Crítico",IF(S168&lt;67,"🟡 Vulnerable","🟢 Preparado")))</f>
        <v/>
      </c>
      <c r="W168" s="62" t="n">
        <v>0</v>
      </c>
      <c r="X168" s="62" t="n">
        <v>0</v>
      </c>
      <c r="Y168" s="62" t="n">
        <v>0</v>
      </c>
      <c r="Z168" s="62" t="n">
        <v>0</v>
      </c>
      <c r="AA168" s="62" t="n">
        <v>0</v>
      </c>
      <c r="AB168" s="62" t="n">
        <v>0</v>
      </c>
      <c r="AC168" s="62" t="n">
        <v>0</v>
      </c>
      <c r="AD168" s="62" t="n">
        <v>0</v>
      </c>
      <c r="AE168" s="62" t="n">
        <v>0</v>
      </c>
      <c r="AF168" s="62" t="n">
        <v>0</v>
      </c>
      <c r="AG168" s="62" t="n">
        <v>0</v>
      </c>
      <c r="AH168" s="62" t="n">
        <v>0</v>
      </c>
      <c r="AI168" s="62" t="n">
        <v>0</v>
      </c>
      <c r="AJ168" s="62" t="n">
        <v>0</v>
      </c>
      <c r="AK168" s="62" t="n">
        <v>0</v>
      </c>
      <c r="AL168" s="62" t="n">
        <v>0</v>
      </c>
      <c r="AM168" s="62" t="n">
        <v>0</v>
      </c>
      <c r="AN168" s="62" t="n">
        <v>0</v>
      </c>
      <c r="AO168" s="63">
        <f>IFERROR(AVERAGE(AA168,AB168,AC168,AD168,AE168,AF168,AG168,AH168,AI168,AJ168,AK168,AL168,AM168,AN168),"N/A")</f>
        <v/>
      </c>
      <c r="AP168" s="64">
        <f>IFERROR(AVERAGE(W168,X168,Y168,Z168)/2,"N/A")</f>
        <v/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9" t="inlineStr">
        <is>
          <t>CAJAMARCA</t>
        </is>
      </c>
      <c r="D169" s="9" t="inlineStr">
        <is>
          <t>CAFÉ</t>
        </is>
      </c>
      <c r="E169" s="14" t="n"/>
      <c r="F169" s="15" t="n"/>
      <c r="G169" s="24" t="inlineStr">
        <is>
          <t>NO</t>
        </is>
      </c>
      <c r="H169" s="15" t="inlineStr">
        <is>
          <t>nan</t>
        </is>
      </c>
      <c r="I169" s="15" t="inlineStr">
        <is>
          <t>nan</t>
        </is>
      </c>
      <c r="J169" s="15" t="inlineStr">
        <is>
          <t>ACTIVO</t>
        </is>
      </c>
      <c r="K169" s="15" t="inlineStr">
        <is>
          <t>nan</t>
        </is>
      </c>
      <c r="L169" s="17" t="n">
        <v>0</v>
      </c>
      <c r="M169" s="18">
        <f>IF(E169&gt;0,ROUND(L169/E169*100,1),0)</f>
        <v/>
      </c>
      <c r="N169" s="19" t="inlineStr">
        <is>
          <t>PENDIENTE</t>
        </is>
      </c>
      <c r="O169" s="20">
        <f>IF(H169="SI",1,0)*0.6+IF(I169="SI",1,0)*0.4</f>
        <v/>
      </c>
      <c r="P169" s="19" t="inlineStr">
        <is>
          <t>PENDIENTE</t>
        </is>
      </c>
      <c r="Q169" s="14" t="n"/>
      <c r="R169" s="21" t="n"/>
      <c r="S169" s="22">
        <f>IFERROR(SCORECARDS!C167,"—")</f>
        <v/>
      </c>
      <c r="T169" s="23">
        <f>IF(ISTEXT(S169),S169,IF(S169&lt;34,"🔴 Crítico",IF(S169&lt;67,"🟡 Vulnerable","🟢 Preparado")))</f>
        <v/>
      </c>
      <c r="W169" s="62" t="n">
        <v>0</v>
      </c>
      <c r="X169" s="62" t="n">
        <v>0</v>
      </c>
      <c r="Y169" s="62" t="n">
        <v>0</v>
      </c>
      <c r="Z169" s="62" t="n">
        <v>0</v>
      </c>
      <c r="AA169" s="62" t="n">
        <v>0</v>
      </c>
      <c r="AB169" s="62" t="n">
        <v>0</v>
      </c>
      <c r="AC169" s="62" t="n">
        <v>0</v>
      </c>
      <c r="AD169" s="62" t="n">
        <v>0</v>
      </c>
      <c r="AE169" s="62" t="n">
        <v>0</v>
      </c>
      <c r="AF169" s="62" t="n">
        <v>0</v>
      </c>
      <c r="AG169" s="62" t="n">
        <v>0</v>
      </c>
      <c r="AH169" s="62" t="n">
        <v>0</v>
      </c>
      <c r="AI169" s="62" t="n">
        <v>0</v>
      </c>
      <c r="AJ169" s="62" t="n">
        <v>0</v>
      </c>
      <c r="AK169" s="62" t="n">
        <v>0</v>
      </c>
      <c r="AL169" s="62" t="n">
        <v>0</v>
      </c>
      <c r="AM169" s="62" t="n">
        <v>0</v>
      </c>
      <c r="AN169" s="62" t="n">
        <v>0</v>
      </c>
      <c r="AO169" s="63">
        <f>IFERROR(AVERAGE(AA169,AB169,AC169,AD169,AE169,AF169,AG169,AH169,AI169,AJ169,AK169,AL169,AM169,AN169),"N/A")</f>
        <v/>
      </c>
      <c r="AP169" s="64">
        <f>IFERROR(AVERAGE(W169,X169,Y169,Z169)/2,"N/A")</f>
        <v/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9" t="inlineStr">
        <is>
          <t>UCAYALI</t>
        </is>
      </c>
      <c r="D170" s="9" t="inlineStr">
        <is>
          <t>CACAO</t>
        </is>
      </c>
      <c r="E170" s="14" t="n">
        <v>1265261.9</v>
      </c>
      <c r="F170" s="15" t="n">
        <v>6</v>
      </c>
      <c r="G170" s="16" t="inlineStr">
        <is>
          <t>SI</t>
        </is>
      </c>
      <c r="H170" s="15" t="inlineStr">
        <is>
          <t>nan</t>
        </is>
      </c>
      <c r="I170" s="15" t="inlineStr">
        <is>
          <t>nan</t>
        </is>
      </c>
      <c r="J170" s="15" t="inlineStr">
        <is>
          <t>ACTIVO</t>
        </is>
      </c>
      <c r="K170" s="15" t="inlineStr">
        <is>
          <t>nan</t>
        </is>
      </c>
      <c r="L170" s="17" t="n">
        <v>0</v>
      </c>
      <c r="M170" s="18">
        <f>IF(E170&gt;0,ROUND(L170/E170*100,1),0)</f>
        <v/>
      </c>
      <c r="N170" s="19" t="inlineStr">
        <is>
          <t>PENDIENTE</t>
        </is>
      </c>
      <c r="O170" s="20">
        <f>IF(H170="SI",1,0)*0.6+IF(I170="SI",1,0)*0.4</f>
        <v/>
      </c>
      <c r="P170" s="19" t="inlineStr">
        <is>
          <t>PENDIENTE</t>
        </is>
      </c>
      <c r="Q170" s="14" t="n"/>
      <c r="R170" s="21" t="n"/>
      <c r="S170" s="22">
        <f>IFERROR(SCORECARDS!C168,"—")</f>
        <v/>
      </c>
      <c r="T170" s="23">
        <f>IF(ISTEXT(S170),S170,IF(S170&lt;34,"🔴 Crítico",IF(S170&lt;67,"🟡 Vulnerable","🟢 Preparado")))</f>
        <v/>
      </c>
      <c r="W170" s="62" t="n">
        <v>0</v>
      </c>
      <c r="X170" s="62" t="n">
        <v>0</v>
      </c>
      <c r="Y170" s="62" t="n">
        <v>0</v>
      </c>
      <c r="Z170" s="62" t="n">
        <v>0</v>
      </c>
      <c r="AA170" s="62" t="n">
        <v>0</v>
      </c>
      <c r="AB170" s="62" t="n">
        <v>0</v>
      </c>
      <c r="AC170" s="62" t="n">
        <v>0</v>
      </c>
      <c r="AD170" s="62" t="n">
        <v>0</v>
      </c>
      <c r="AE170" s="62" t="n">
        <v>0</v>
      </c>
      <c r="AF170" s="62" t="n">
        <v>0</v>
      </c>
      <c r="AG170" s="62" t="n">
        <v>0</v>
      </c>
      <c r="AH170" s="62" t="n">
        <v>0</v>
      </c>
      <c r="AI170" s="62" t="n">
        <v>0</v>
      </c>
      <c r="AJ170" s="62" t="n">
        <v>0</v>
      </c>
      <c r="AK170" s="62" t="n">
        <v>0</v>
      </c>
      <c r="AL170" s="62" t="n">
        <v>0</v>
      </c>
      <c r="AM170" s="62" t="n">
        <v>0</v>
      </c>
      <c r="AN170" s="62" t="n">
        <v>0</v>
      </c>
      <c r="AO170" s="63">
        <f>IFERROR(AVERAGE(AA170,AB170,AC170,AD170,AE170,AF170,AG170,AH170,AI170,AJ170,AK170,AL170,AM170,AN170),"N/A")</f>
        <v/>
      </c>
      <c r="AP170" s="64">
        <f>IFERROR(AVERAGE(W170,X170,Y170,Z170)/2,"N/A")</f>
        <v/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9" t="inlineStr">
        <is>
          <t>SAN MARTIN</t>
        </is>
      </c>
      <c r="D171" s="9" t="inlineStr">
        <is>
          <t>CAFÉ</t>
        </is>
      </c>
      <c r="E171" s="14" t="n"/>
      <c r="F171" s="15" t="n"/>
      <c r="G171" s="24" t="inlineStr">
        <is>
          <t>NO</t>
        </is>
      </c>
      <c r="H171" s="15" t="inlineStr">
        <is>
          <t xml:space="preserve">Si </t>
        </is>
      </c>
      <c r="I171" s="15" t="inlineStr">
        <is>
          <t xml:space="preserve">En </t>
        </is>
      </c>
      <c r="J171" s="15" t="inlineStr">
        <is>
          <t>ACTIVO</t>
        </is>
      </c>
      <c r="K171" s="15" t="inlineStr">
        <is>
          <t>0.7</t>
        </is>
      </c>
      <c r="L171" s="17" t="n">
        <v>0</v>
      </c>
      <c r="M171" s="18">
        <f>IF(E171&gt;0,ROUND(L171/E171*100,1),0)</f>
        <v/>
      </c>
      <c r="N171" s="19" t="inlineStr">
        <is>
          <t>PENDIENTE</t>
        </is>
      </c>
      <c r="O171" s="20">
        <f>IF(H171="SI",1,0)*0.6+IF(I171="SI",1,0)*0.4</f>
        <v/>
      </c>
      <c r="P171" s="19" t="inlineStr">
        <is>
          <t>PENDIENTE</t>
        </is>
      </c>
      <c r="Q171" s="14" t="n">
        <v>698</v>
      </c>
      <c r="R171" s="21" t="n">
        <v>921.1</v>
      </c>
      <c r="S171" s="22">
        <f>IFERROR(SCORECARDS!C169,"—")</f>
        <v/>
      </c>
      <c r="T171" s="23">
        <f>IF(ISTEXT(S171),S171,IF(S171&lt;34,"🔴 Crítico",IF(S171&lt;67,"🟡 Vulnerable","🟢 Preparado")))</f>
        <v/>
      </c>
      <c r="W171" s="68" t="n">
        <v>1</v>
      </c>
      <c r="X171" s="62" t="n">
        <v>0</v>
      </c>
      <c r="Y171" s="62" t="n">
        <v>0</v>
      </c>
      <c r="Z171" s="62" t="n">
        <v>0</v>
      </c>
      <c r="AA171" s="62" t="n">
        <v>0</v>
      </c>
      <c r="AB171" s="62" t="n">
        <v>0</v>
      </c>
      <c r="AC171" s="62" t="n">
        <v>0</v>
      </c>
      <c r="AD171" s="62" t="n">
        <v>0</v>
      </c>
      <c r="AE171" s="62" t="n">
        <v>0</v>
      </c>
      <c r="AF171" s="62" t="n">
        <v>0</v>
      </c>
      <c r="AG171" s="62" t="n">
        <v>0</v>
      </c>
      <c r="AH171" s="62" t="n">
        <v>0</v>
      </c>
      <c r="AI171" s="62" t="n">
        <v>0</v>
      </c>
      <c r="AJ171" s="62" t="n">
        <v>0</v>
      </c>
      <c r="AK171" s="62" t="n">
        <v>0</v>
      </c>
      <c r="AL171" s="62" t="n">
        <v>0</v>
      </c>
      <c r="AM171" s="62" t="n">
        <v>0</v>
      </c>
      <c r="AN171" s="62" t="n">
        <v>0</v>
      </c>
      <c r="AO171" s="63">
        <f>IFERROR(AVERAGE(AA171,AB171,AC171,AD171,AE171,AF171,AG171,AH171,AI171,AJ171,AK171,AL171,AM171,AN171),"N/A")</f>
        <v/>
      </c>
      <c r="AP171" s="64">
        <f>IFERROR(AVERAGE(W171,X171,Y171,Z171)/2,"N/A")</f>
        <v/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9" t="inlineStr">
        <is>
          <t>AMAZONAS</t>
        </is>
      </c>
      <c r="D172" s="9" t="inlineStr">
        <is>
          <t>CAFÉ</t>
        </is>
      </c>
      <c r="E172" s="14" t="n">
        <v>0</v>
      </c>
      <c r="F172" s="15" t="n"/>
      <c r="G172" s="24" t="inlineStr">
        <is>
          <t>NO</t>
        </is>
      </c>
      <c r="H172" s="15" t="inlineStr">
        <is>
          <t>nan</t>
        </is>
      </c>
      <c r="I172" s="15" t="inlineStr">
        <is>
          <t>nan</t>
        </is>
      </c>
      <c r="J172" s="15" t="inlineStr">
        <is>
          <t>ACTIVO</t>
        </is>
      </c>
      <c r="K172" s="15" t="inlineStr">
        <is>
          <t>nan</t>
        </is>
      </c>
      <c r="L172" s="17" t="n">
        <v>0</v>
      </c>
      <c r="M172" s="18">
        <f>IF(E172&gt;0,ROUND(L172/E172*100,1),0)</f>
        <v/>
      </c>
      <c r="N172" s="19" t="inlineStr">
        <is>
          <t>PENDIENTE</t>
        </is>
      </c>
      <c r="O172" s="20">
        <f>IF(H172="SI",1,0)*0.6+IF(I172="SI",1,0)*0.4</f>
        <v/>
      </c>
      <c r="P172" s="19" t="inlineStr">
        <is>
          <t>PENDIENTE</t>
        </is>
      </c>
      <c r="Q172" s="14" t="n"/>
      <c r="R172" s="21" t="n"/>
      <c r="S172" s="22">
        <f>IFERROR(SCORECARDS!C170,"—")</f>
        <v/>
      </c>
      <c r="T172" s="23">
        <f>IF(ISTEXT(S172),S172,IF(S172&lt;34,"🔴 Crítico",IF(S172&lt;67,"🟡 Vulnerable","🟢 Preparado")))</f>
        <v/>
      </c>
      <c r="W172" s="62" t="n">
        <v>0</v>
      </c>
      <c r="X172" s="62" t="n">
        <v>0</v>
      </c>
      <c r="Y172" s="62" t="n">
        <v>0</v>
      </c>
      <c r="Z172" s="62" t="n">
        <v>0</v>
      </c>
      <c r="AA172" s="62" t="n">
        <v>0</v>
      </c>
      <c r="AB172" s="62" t="n">
        <v>0</v>
      </c>
      <c r="AC172" s="62" t="n">
        <v>0</v>
      </c>
      <c r="AD172" s="62" t="n">
        <v>0</v>
      </c>
      <c r="AE172" s="62" t="n">
        <v>0</v>
      </c>
      <c r="AF172" s="62" t="n">
        <v>0</v>
      </c>
      <c r="AG172" s="62" t="n">
        <v>0</v>
      </c>
      <c r="AH172" s="62" t="n">
        <v>0</v>
      </c>
      <c r="AI172" s="62" t="n">
        <v>0</v>
      </c>
      <c r="AJ172" s="62" t="n">
        <v>0</v>
      </c>
      <c r="AK172" s="62" t="n">
        <v>0</v>
      </c>
      <c r="AL172" s="62" t="n">
        <v>0</v>
      </c>
      <c r="AM172" s="62" t="n">
        <v>0</v>
      </c>
      <c r="AN172" s="62" t="n">
        <v>0</v>
      </c>
      <c r="AO172" s="63">
        <f>IFERROR(AVERAGE(AA172,AB172,AC172,AD172,AE172,AF172,AG172,AH172,AI172,AJ172,AK172,AL172,AM172,AN172),"N/A")</f>
        <v/>
      </c>
      <c r="AP172" s="64">
        <f>IFERROR(AVERAGE(W172,X172,Y172,Z172)/2,"N/A")</f>
        <v/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9" t="inlineStr">
        <is>
          <t>LAMBAYEQUE</t>
        </is>
      </c>
      <c r="D173" s="9" t="inlineStr">
        <is>
          <t>CAFÉ</t>
        </is>
      </c>
      <c r="E173" s="14" t="n"/>
      <c r="F173" s="15" t="n"/>
      <c r="G173" s="24" t="inlineStr">
        <is>
          <t>NO</t>
        </is>
      </c>
      <c r="H173" s="15" t="inlineStr">
        <is>
          <t>nan</t>
        </is>
      </c>
      <c r="I173" s="15" t="inlineStr">
        <is>
          <t>nan</t>
        </is>
      </c>
      <c r="J173" s="15" t="inlineStr">
        <is>
          <t>BAJA DE OFICIO</t>
        </is>
      </c>
      <c r="K173" s="15" t="inlineStr">
        <is>
          <t>nan</t>
        </is>
      </c>
      <c r="L173" s="17" t="n">
        <v>0</v>
      </c>
      <c r="M173" s="18">
        <f>IF(E173&gt;0,ROUND(L173/E173*100,1),0)</f>
        <v/>
      </c>
      <c r="N173" s="19" t="inlineStr">
        <is>
          <t>PENDIENTE</t>
        </is>
      </c>
      <c r="O173" s="20">
        <f>IF(H173="SI",1,0)*0.6+IF(I173="SI",1,0)*0.4</f>
        <v/>
      </c>
      <c r="P173" s="19" t="inlineStr">
        <is>
          <t>PENDIENTE</t>
        </is>
      </c>
      <c r="Q173" s="14" t="n"/>
      <c r="R173" s="21" t="n"/>
      <c r="S173" s="22">
        <f>IFERROR(SCORECARDS!C171,"—")</f>
        <v/>
      </c>
      <c r="T173" s="23">
        <f>IF(ISTEXT(S173),S173,IF(S173&lt;34,"🔴 Crítico",IF(S173&lt;67,"🟡 Vulnerable","🟢 Preparado")))</f>
        <v/>
      </c>
      <c r="W173" s="62" t="n">
        <v>0</v>
      </c>
      <c r="X173" s="62" t="n">
        <v>0</v>
      </c>
      <c r="Y173" s="62" t="n">
        <v>0</v>
      </c>
      <c r="Z173" s="62" t="n">
        <v>0</v>
      </c>
      <c r="AA173" s="62" t="n">
        <v>0</v>
      </c>
      <c r="AB173" s="62" t="n">
        <v>0</v>
      </c>
      <c r="AC173" s="62" t="n">
        <v>0</v>
      </c>
      <c r="AD173" s="62" t="n">
        <v>0</v>
      </c>
      <c r="AE173" s="62" t="n">
        <v>0</v>
      </c>
      <c r="AF173" s="62" t="n">
        <v>0</v>
      </c>
      <c r="AG173" s="62" t="n">
        <v>0</v>
      </c>
      <c r="AH173" s="62" t="n">
        <v>0</v>
      </c>
      <c r="AI173" s="62" t="n">
        <v>0</v>
      </c>
      <c r="AJ173" s="62" t="n">
        <v>0</v>
      </c>
      <c r="AK173" s="62" t="n">
        <v>0</v>
      </c>
      <c r="AL173" s="62" t="n">
        <v>0</v>
      </c>
      <c r="AM173" s="62" t="n">
        <v>0</v>
      </c>
      <c r="AN173" s="62" t="n">
        <v>0</v>
      </c>
      <c r="AO173" s="63">
        <f>IFERROR(AVERAGE(AA173,AB173,AC173,AD173,AE173,AF173,AG173,AH173,AI173,AJ173,AK173,AL173,AM173,AN173),"N/A")</f>
        <v/>
      </c>
      <c r="AP173" s="64">
        <f>IFERROR(AVERAGE(W173,X173,Y173,Z173)/2,"N/A")</f>
        <v/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9" t="inlineStr">
        <is>
          <t>nan</t>
        </is>
      </c>
      <c r="D174" s="9" t="inlineStr">
        <is>
          <t>nan</t>
        </is>
      </c>
      <c r="E174" s="14" t="n"/>
      <c r="F174" s="15" t="n"/>
      <c r="G174" s="24" t="inlineStr">
        <is>
          <t>nan</t>
        </is>
      </c>
      <c r="H174" s="15" t="inlineStr">
        <is>
          <t>nan</t>
        </is>
      </c>
      <c r="I174" s="15" t="inlineStr">
        <is>
          <t>nan</t>
        </is>
      </c>
      <c r="J174" s="15" t="inlineStr">
        <is>
          <t>nan</t>
        </is>
      </c>
      <c r="K174" s="15" t="inlineStr">
        <is>
          <t>nan</t>
        </is>
      </c>
      <c r="L174" s="17" t="n">
        <v>0</v>
      </c>
      <c r="M174" s="18">
        <f>IF(E174&gt;0,ROUND(L174/E174*100,1),0)</f>
        <v/>
      </c>
      <c r="N174" s="19" t="inlineStr">
        <is>
          <t>PENDIENTE</t>
        </is>
      </c>
      <c r="O174" s="20">
        <f>IF(H174="SI",1,0)*0.6+IF(I174="SI",1,0)*0.4</f>
        <v/>
      </c>
      <c r="P174" s="19" t="inlineStr">
        <is>
          <t>PENDIENTE</t>
        </is>
      </c>
      <c r="Q174" s="14" t="n"/>
      <c r="R174" s="21" t="n"/>
      <c r="S174" s="22">
        <f>IFERROR(SCORECARDS!C172,"—")</f>
        <v/>
      </c>
      <c r="T174" s="23">
        <f>IF(ISTEXT(S174),S174,IF(S174&lt;34,"🔴 Crítico",IF(S174&lt;67,"🟡 Vulnerable","🟢 Preparado")))</f>
        <v/>
      </c>
      <c r="W174" s="62" t="n">
        <v>0</v>
      </c>
      <c r="X174" s="62" t="n">
        <v>0</v>
      </c>
      <c r="Y174" s="62" t="n">
        <v>0</v>
      </c>
      <c r="Z174" s="62" t="n">
        <v>0</v>
      </c>
      <c r="AA174" s="62" t="n">
        <v>0</v>
      </c>
      <c r="AB174" s="62" t="n">
        <v>0</v>
      </c>
      <c r="AC174" s="62" t="n">
        <v>0</v>
      </c>
      <c r="AD174" s="62" t="n">
        <v>0</v>
      </c>
      <c r="AE174" s="62" t="n">
        <v>0</v>
      </c>
      <c r="AF174" s="62" t="n">
        <v>0</v>
      </c>
      <c r="AG174" s="62" t="n">
        <v>0</v>
      </c>
      <c r="AH174" s="62" t="n">
        <v>0</v>
      </c>
      <c r="AI174" s="62" t="n">
        <v>0</v>
      </c>
      <c r="AJ174" s="62" t="n">
        <v>0</v>
      </c>
      <c r="AK174" s="62" t="n">
        <v>0</v>
      </c>
      <c r="AL174" s="62" t="n">
        <v>0</v>
      </c>
      <c r="AM174" s="62" t="n">
        <v>0</v>
      </c>
      <c r="AN174" s="62" t="n">
        <v>0</v>
      </c>
      <c r="AO174" s="63">
        <f>IFERROR(AVERAGE(AA174,AB174,AC174,AD174,AE174,AF174,AG174,AH174,AI174,AJ174,AK174,AL174,AM174,AN174),"N/A")</f>
        <v/>
      </c>
      <c r="AP174" s="64">
        <f>IFERROR(AVERAGE(W174,X174,Y174,Z174)/2,"N/A")</f>
        <v/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9" t="inlineStr">
        <is>
          <t>UCAYALI</t>
        </is>
      </c>
      <c r="D175" s="9" t="inlineStr">
        <is>
          <t>CACAO</t>
        </is>
      </c>
      <c r="E175" s="14" t="n">
        <v>7723335.029999999</v>
      </c>
      <c r="F175" s="15" t="n">
        <v>17</v>
      </c>
      <c r="G175" s="16" t="inlineStr">
        <is>
          <t>SI</t>
        </is>
      </c>
      <c r="H175" s="15" t="inlineStr">
        <is>
          <t>nan</t>
        </is>
      </c>
      <c r="I175" s="15" t="inlineStr">
        <is>
          <t>nan</t>
        </is>
      </c>
      <c r="J175" s="15" t="inlineStr">
        <is>
          <t>ACTIVO</t>
        </is>
      </c>
      <c r="K175" s="15" t="inlineStr">
        <is>
          <t>nan</t>
        </is>
      </c>
      <c r="L175" s="17" t="n">
        <v>3861667.52</v>
      </c>
      <c r="M175" s="18">
        <f>IF(E175&gt;0,ROUND(L175/E175*100,1),0)</f>
        <v/>
      </c>
      <c r="N175" s="19" t="inlineStr">
        <is>
          <t>PENDIENTE</t>
        </is>
      </c>
      <c r="O175" s="20">
        <f>IF(H175="SI",1,0)*0.6+IF(I175="SI",1,0)*0.4</f>
        <v/>
      </c>
      <c r="P175" s="19" t="inlineStr">
        <is>
          <t>PENDIENTE</t>
        </is>
      </c>
      <c r="Q175" s="14" t="n"/>
      <c r="R175" s="21" t="n"/>
      <c r="S175" s="22">
        <f>IFERROR(SCORECARDS!C173,"—")</f>
        <v/>
      </c>
      <c r="T175" s="23">
        <f>IF(ISTEXT(S175),S175,IF(S175&lt;34,"🔴 Crítico",IF(S175&lt;67,"🟡 Vulnerable","🟢 Preparado")))</f>
        <v/>
      </c>
      <c r="U175" s="57" t="n">
        <v>1</v>
      </c>
      <c r="V175" t="inlineStr">
        <is>
          <t>Sin hallazgos OSCE / OEFA</t>
        </is>
      </c>
      <c r="W175" s="68" t="n">
        <v>1</v>
      </c>
      <c r="X175" s="62" t="n">
        <v>0</v>
      </c>
      <c r="Y175" s="62" t="n">
        <v>0</v>
      </c>
      <c r="Z175" s="62" t="n">
        <v>0</v>
      </c>
      <c r="AA175" s="62" t="n">
        <v>0</v>
      </c>
      <c r="AB175" s="62" t="n">
        <v>0</v>
      </c>
      <c r="AC175" s="62" t="n">
        <v>0</v>
      </c>
      <c r="AD175" s="62" t="n">
        <v>0</v>
      </c>
      <c r="AE175" s="62" t="n">
        <v>0</v>
      </c>
      <c r="AF175" s="62" t="n">
        <v>0</v>
      </c>
      <c r="AG175" s="62" t="n">
        <v>0</v>
      </c>
      <c r="AH175" s="62" t="n">
        <v>0</v>
      </c>
      <c r="AI175" s="62" t="n">
        <v>0</v>
      </c>
      <c r="AJ175" s="62" t="n">
        <v>0</v>
      </c>
      <c r="AK175" s="62" t="n">
        <v>0</v>
      </c>
      <c r="AL175" s="62" t="n">
        <v>0</v>
      </c>
      <c r="AM175" s="62" t="n">
        <v>0</v>
      </c>
      <c r="AN175" s="62" t="n">
        <v>0</v>
      </c>
      <c r="AO175" s="63">
        <f>IFERROR(AVERAGE(AA175,AB175,AC175,AD175,AE175,AF175,AG175,AH175,AI175,AJ175,AK175,AL175,AM175,AN175),"N/A")</f>
        <v/>
      </c>
      <c r="AP175" s="64">
        <f>IFERROR(AVERAGE(W175,X175,Y175,Z175)/2,"N/A")</f>
        <v/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9" t="inlineStr">
        <is>
          <t>AMAZONAS</t>
        </is>
      </c>
      <c r="D176" s="9" t="inlineStr">
        <is>
          <t>CAFÉ</t>
        </is>
      </c>
      <c r="E176" s="14" t="n">
        <v>300233.07</v>
      </c>
      <c r="F176" s="15" t="n">
        <v>2</v>
      </c>
      <c r="G176" s="16" t="inlineStr">
        <is>
          <t>SI</t>
        </is>
      </c>
      <c r="H176" s="15" t="inlineStr">
        <is>
          <t>nan</t>
        </is>
      </c>
      <c r="I176" s="15" t="inlineStr">
        <is>
          <t>nan</t>
        </is>
      </c>
      <c r="J176" s="15" t="inlineStr">
        <is>
          <t>ACTIVO</t>
        </is>
      </c>
      <c r="K176" s="15" t="inlineStr">
        <is>
          <t>nan</t>
        </is>
      </c>
      <c r="L176" s="17" t="n">
        <v>0</v>
      </c>
      <c r="M176" s="18">
        <f>IF(E176&gt;0,ROUND(L176/E176*100,1),0)</f>
        <v/>
      </c>
      <c r="N176" s="19" t="inlineStr">
        <is>
          <t>PENDIENTE</t>
        </is>
      </c>
      <c r="O176" s="20">
        <f>IF(H176="SI",1,0)*0.6+IF(I176="SI",1,0)*0.4</f>
        <v/>
      </c>
      <c r="P176" s="19" t="inlineStr">
        <is>
          <t>PENDIENTE</t>
        </is>
      </c>
      <c r="Q176" s="14" t="n"/>
      <c r="R176" s="21" t="n"/>
      <c r="S176" s="22">
        <f>IFERROR(SCORECARDS!C174,"—")</f>
        <v/>
      </c>
      <c r="T176" s="23">
        <f>IF(ISTEXT(S176),S176,IF(S176&lt;34,"🔴 Crítico",IF(S176&lt;67,"🟡 Vulnerable","🟢 Preparado")))</f>
        <v/>
      </c>
      <c r="W176" s="62" t="n">
        <v>0</v>
      </c>
      <c r="X176" s="62" t="n">
        <v>0</v>
      </c>
      <c r="Y176" s="62" t="n">
        <v>0</v>
      </c>
      <c r="Z176" s="62" t="n">
        <v>0</v>
      </c>
      <c r="AA176" s="62" t="n">
        <v>0</v>
      </c>
      <c r="AB176" s="62" t="n">
        <v>0</v>
      </c>
      <c r="AC176" s="62" t="n">
        <v>0</v>
      </c>
      <c r="AD176" s="62" t="n">
        <v>0</v>
      </c>
      <c r="AE176" s="62" t="n">
        <v>0</v>
      </c>
      <c r="AF176" s="62" t="n">
        <v>0</v>
      </c>
      <c r="AG176" s="62" t="n">
        <v>0</v>
      </c>
      <c r="AH176" s="62" t="n">
        <v>0</v>
      </c>
      <c r="AI176" s="62" t="n">
        <v>0</v>
      </c>
      <c r="AJ176" s="62" t="n">
        <v>0</v>
      </c>
      <c r="AK176" s="62" t="n">
        <v>0</v>
      </c>
      <c r="AL176" s="62" t="n">
        <v>0</v>
      </c>
      <c r="AM176" s="62" t="n">
        <v>0</v>
      </c>
      <c r="AN176" s="62" t="n">
        <v>0</v>
      </c>
      <c r="AO176" s="63">
        <f>IFERROR(AVERAGE(AA176,AB176,AC176,AD176,AE176,AF176,AG176,AH176,AI176,AJ176,AK176,AL176,AM176,AN176),"N/A")</f>
        <v/>
      </c>
      <c r="AP176" s="64">
        <f>IFERROR(AVERAGE(W176,X176,Y176,Z176)/2,"N/A")</f>
        <v/>
      </c>
    </row>
  </sheetData>
  <mergeCells count="1">
    <mergeCell ref="A1:S1"/>
  </mergeCells>
  <conditionalFormatting sqref="M3:M1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2" customWidth="1" min="3" max="3"/>
    <col width="16" customWidth="1" min="4" max="4"/>
    <col width="11" customWidth="1" min="5" max="5"/>
    <col width="14" customWidth="1" min="6" max="6"/>
    <col width="16" customWidth="1" min="7" max="7"/>
    <col width="22" customWidth="1" min="8" max="8"/>
  </cols>
  <sheetData>
    <row r="1" ht="28" customHeight="1">
      <c r="A1" s="1" t="inlineStr">
        <is>
          <t>PREGUNTAS PROXY — Verificación rápida por dimensión EUDR</t>
        </is>
      </c>
    </row>
    <row r="2" ht="22" customHeight="1">
      <c r="A2" s="8" t="inlineStr">
        <is>
          <t>Dim.</t>
        </is>
      </c>
      <c r="B2" s="8" t="inlineStr">
        <is>
          <t>#</t>
        </is>
      </c>
      <c r="C2" s="8" t="inlineStr">
        <is>
          <t>Pregunta</t>
        </is>
      </c>
      <c r="D2" s="8" t="inlineStr">
        <is>
          <t>Respuesta</t>
        </is>
      </c>
      <c r="E2" s="8" t="inlineStr">
        <is>
          <t>Score (0-1)</t>
        </is>
      </c>
      <c r="F2" s="8" t="inlineStr">
        <is>
          <t>Variable</t>
        </is>
      </c>
      <c r="G2" s="8" t="inlineStr">
        <is>
          <t>Fuente</t>
        </is>
      </c>
      <c r="H2" s="8" t="inlineStr">
        <is>
          <t>Obs.</t>
        </is>
      </c>
    </row>
    <row r="3" ht="20" customHeight="1">
      <c r="A3" s="25" t="inlineStr">
        <is>
          <t>DIMENSIÓN D1  —  Clasificación regulatoria</t>
        </is>
      </c>
    </row>
    <row r="4" ht="22" customHeight="1">
      <c r="A4" s="15" t="inlineStr">
        <is>
          <t>D1</t>
        </is>
      </c>
      <c r="B4" s="15" t="inlineStr">
        <is>
          <t>1</t>
        </is>
      </c>
      <c r="C4" s="9" t="inlineStr">
        <is>
          <t>¿Cuál es el rol principal de la organización?</t>
        </is>
      </c>
      <c r="D4" s="26" t="inlineStr"/>
      <c r="E4" s="20">
        <f>IF(D4="Sí",1,IF(D4="Sí, todas",1,IF(D4="Sí, FT",1,IF(D4="Sí, PT",0.6,IF(D4="Sí, formalmente",1,IF(D4="Sí, informalmente",0.5,IF(D4="Sí, con indicadores",1,IF(D4="Sí, básico",0.5,IF(D4="Sí, los usa",1,IF(D4="Sí, los conoce",0.5,IF(D4="Parcialmente",0.5,IF(D4="Sí, algunas",0.5,IF(D4="Europa",1,IF(D4="EE.UU.",0.3,IF(D4="Asia",0.1,IF(D4="Mercado interno",0,IF(D4="No exporta",0,IF(D4="App propia",1,IF(D4="App de comprador o proyecto",0.7,IF(D4="Excel",0.4,IF(D4="Ninguno",0,IF(D4="Yute reutilizable",1,IF(D4="Big bags reciclables",0.8,IF(D4="Yute nuevo",0.3,IF(D4="Bolsas papel",0.2,IF(D4="Otro",0.1,IF(D4="En proceso",0.5,IF(D4="En gestión",0.5,IF(D4="No sabe",0.3,IF(D4="No aplica",0.5,IF(D4="No",0,IF(D4="",0,IF(ISTEXT(D4),0.5,0))))))))))))))))))))))))))</f>
        <v/>
      </c>
      <c r="F4" s="15" t="inlineStr">
        <is>
          <t>tipo_rol</t>
        </is>
      </c>
      <c r="G4" s="15" t="inlineStr">
        <is>
          <t>Entrevista directiva / SUNAT</t>
        </is>
      </c>
      <c r="H4" s="27" t="n"/>
    </row>
    <row r="5" ht="22" customHeight="1">
      <c r="A5" s="15" t="inlineStr">
        <is>
          <t>D1</t>
        </is>
      </c>
      <c r="B5" s="15" t="inlineStr">
        <is>
          <t>2</t>
        </is>
      </c>
      <c r="C5" s="9" t="inlineStr">
        <is>
          <t>¿La organización está inscrita en el RNCA (Registro Nacional de Cooperativas Agrarias)?</t>
        </is>
      </c>
      <c r="D5" s="26" t="inlineStr"/>
      <c r="E5" s="20">
        <f>IF(D5="Sí",1,IF(D5="Sí, todas",1,IF(D5="Sí, FT",1,IF(D5="Sí, PT",0.6,IF(D5="Sí, formalmente",1,IF(D5="Sí, informalmente",0.5,IF(D5="Sí, con indicadores",1,IF(D5="Sí, básico",0.5,IF(D5="Sí, los usa",1,IF(D5="Sí, los conoce",0.5,IF(D5="Parcialmente",0.5,IF(D5="Sí, algunas",0.5,IF(D5="Europa",1,IF(D5="EE.UU.",0.3,IF(D5="Asia",0.1,IF(D5="Mercado interno",0,IF(D5="No exporta",0,IF(D5="App propia",1,IF(D5="App de comprador o proyecto",0.7,IF(D5="Excel",0.4,IF(D5="Ninguno",0,IF(D5="Yute reutilizable",1,IF(D5="Big bags reciclables",0.8,IF(D5="Yute nuevo",0.3,IF(D5="Bolsas papel",0.2,IF(D5="Otro",0.1,IF(D5="En proceso",0.5,IF(D5="En gestión",0.5,IF(D5="No sabe",0.3,IF(D5="No aplica",0.5,IF(D5="No",0,IF(D5="",0,IF(ISTEXT(D5),0.5,0))))))))))))))))))))))))))</f>
        <v/>
      </c>
      <c r="F5" s="15" t="inlineStr">
        <is>
          <t>rnca</t>
        </is>
      </c>
      <c r="G5" s="15" t="inlineStr">
        <is>
          <t>SUNAT / MIDAGRI RNCA</t>
        </is>
      </c>
      <c r="H5" s="27" t="n"/>
    </row>
    <row r="6" ht="22" customHeight="1">
      <c r="A6" s="15" t="inlineStr">
        <is>
          <t>D1</t>
        </is>
      </c>
      <c r="B6" s="15" t="inlineStr">
        <is>
          <t>3</t>
        </is>
      </c>
      <c r="C6" s="9" t="inlineStr">
        <is>
          <t>¿Exporta directamente bajo su propio RUC (no a través de un agente)?</t>
        </is>
      </c>
      <c r="D6" s="26" t="inlineStr"/>
      <c r="E6" s="20">
        <f>IF(D6="Sí",1,IF(D6="Sí, todas",1,IF(D6="Sí, FT",1,IF(D6="Sí, PT",0.6,IF(D6="Sí, formalmente",1,IF(D6="Sí, informalmente",0.5,IF(D6="Sí, con indicadores",1,IF(D6="Sí, básico",0.5,IF(D6="Sí, los usa",1,IF(D6="Sí, los conoce",0.5,IF(D6="Parcialmente",0.5,IF(D6="Sí, algunas",0.5,IF(D6="Europa",1,IF(D6="EE.UU.",0.3,IF(D6="Asia",0.1,IF(D6="Mercado interno",0,IF(D6="No exporta",0,IF(D6="App propia",1,IF(D6="App de comprador o proyecto",0.7,IF(D6="Excel",0.4,IF(D6="Ninguno",0,IF(D6="Yute reutilizable",1,IF(D6="Big bags reciclables",0.8,IF(D6="Yute nuevo",0.3,IF(D6="Bolsas papel",0.2,IF(D6="Otro",0.1,IF(D6="En proceso",0.5,IF(D6="En gestión",0.5,IF(D6="No sabe",0.3,IF(D6="No aplica",0.5,IF(D6="No",0,IF(D6="",0,IF(ISTEXT(D6),0.5,0))))))))))))))))))))))))))</f>
        <v/>
      </c>
      <c r="F6" s="15" t="inlineStr">
        <is>
          <t>exporta_directo</t>
        </is>
      </c>
      <c r="G6" s="15" t="inlineStr">
        <is>
          <t>ADUANET / DUAs</t>
        </is>
      </c>
      <c r="H6" s="27" t="n"/>
    </row>
    <row r="7" ht="20" customHeight="1">
      <c r="A7" s="28" t="inlineStr">
        <is>
          <t>DIMENSIÓN D2  —  Trazabilidad y geolocalización</t>
        </is>
      </c>
    </row>
    <row r="8" ht="22" customHeight="1">
      <c r="A8" s="15" t="inlineStr">
        <is>
          <t>D2</t>
        </is>
      </c>
      <c r="B8" s="15" t="inlineStr">
        <is>
          <t>1</t>
        </is>
      </c>
      <c r="C8" s="9" t="inlineStr">
        <is>
          <t>¿Existe al menos un registro donde cada lote exportado esté vinculado a la parcela de origen?</t>
        </is>
      </c>
      <c r="D8" s="26" t="inlineStr"/>
      <c r="E8" s="20">
        <f>IF(D8="Sí",1,IF(D8="Sí, todas",1,IF(D8="Sí, FT",1,IF(D8="Sí, PT",0.6,IF(D8="Sí, formalmente",1,IF(D8="Sí, informalmente",0.5,IF(D8="Sí, con indicadores",1,IF(D8="Sí, básico",0.5,IF(D8="Sí, los usa",1,IF(D8="Sí, los conoce",0.5,IF(D8="Parcialmente",0.5,IF(D8="Sí, algunas",0.5,IF(D8="Europa",1,IF(D8="EE.UU.",0.3,IF(D8="Asia",0.1,IF(D8="Mercado interno",0,IF(D8="No exporta",0,IF(D8="App propia",1,IF(D8="App de comprador o proyecto",0.7,IF(D8="Excel",0.4,IF(D8="Ninguno",0,IF(D8="Yute reutilizable",1,IF(D8="Big bags reciclables",0.8,IF(D8="Yute nuevo",0.3,IF(D8="Bolsas papel",0.2,IF(D8="Otro",0.1,IF(D8="En proceso",0.5,IF(D8="En gestión",0.5,IF(D8="No sabe",0.3,IF(D8="No aplica",0.5,IF(D8="No",0,IF(D8="",0,IF(ISTEXT(D8),0.5,0))))))))))))))))))))))))))</f>
        <v/>
      </c>
      <c r="F8" s="15" t="inlineStr">
        <is>
          <t>lote_parcela</t>
        </is>
      </c>
      <c r="G8" s="15" t="inlineStr">
        <is>
          <t>Entrevista + revisión documentos</t>
        </is>
      </c>
      <c r="H8" s="27" t="n"/>
    </row>
    <row r="9" ht="22" customHeight="1">
      <c r="A9" s="15" t="inlineStr">
        <is>
          <t>D2</t>
        </is>
      </c>
      <c r="B9" s="15" t="inlineStr">
        <is>
          <t>2</t>
        </is>
      </c>
      <c r="C9" s="9" t="inlineStr">
        <is>
          <t>¿Se registran las coordenadas geográficas de las parcelas de los socios?</t>
        </is>
      </c>
      <c r="D9" s="26" t="inlineStr"/>
      <c r="E9" s="20">
        <f>IF(D9="Sí",1,IF(D9="Sí, todas",1,IF(D9="Sí, FT",1,IF(D9="Sí, PT",0.6,IF(D9="Sí, formalmente",1,IF(D9="Sí, informalmente",0.5,IF(D9="Sí, con indicadores",1,IF(D9="Sí, básico",0.5,IF(D9="Sí, los usa",1,IF(D9="Sí, los conoce",0.5,IF(D9="Parcialmente",0.5,IF(D9="Sí, algunas",0.5,IF(D9="Europa",1,IF(D9="EE.UU.",0.3,IF(D9="Asia",0.1,IF(D9="Mercado interno",0,IF(D9="No exporta",0,IF(D9="App propia",1,IF(D9="App de comprador o proyecto",0.7,IF(D9="Excel",0.4,IF(D9="Ninguno",0,IF(D9="Yute reutilizable",1,IF(D9="Big bags reciclables",0.8,IF(D9="Yute nuevo",0.3,IF(D9="Bolsas papel",0.2,IF(D9="Otro",0.1,IF(D9="En proceso",0.5,IF(D9="En gestión",0.5,IF(D9="No sabe",0.3,IF(D9="No aplica",0.5,IF(D9="No",0,IF(D9="",0,IF(ISTEXT(D9),0.5,0))))))))))))))))))))))))))</f>
        <v/>
      </c>
      <c r="F9" s="15" t="inlineStr">
        <is>
          <t>coords</t>
        </is>
      </c>
      <c r="G9" s="15" t="inlineStr">
        <is>
          <t>Entrevista + evidencia</t>
        </is>
      </c>
      <c r="H9" s="27" t="n"/>
    </row>
    <row r="10" ht="22" customHeight="1">
      <c r="A10" s="15" t="inlineStr">
        <is>
          <t>D2</t>
        </is>
      </c>
      <c r="B10" s="15" t="inlineStr">
        <is>
          <t>3</t>
        </is>
      </c>
      <c r="C10" s="9" t="inlineStr">
        <is>
          <t>¿Con qué frecuencia se actualizan las coordenadas de parcelas?</t>
        </is>
      </c>
      <c r="D10" s="26" t="inlineStr"/>
      <c r="E10" s="20">
        <f>IF(D10="Sí",1,IF(D10="Sí, todas",1,IF(D10="Sí, FT",1,IF(D10="Sí, PT",0.6,IF(D10="Sí, formalmente",1,IF(D10="Sí, informalmente",0.5,IF(D10="Sí, con indicadores",1,IF(D10="Sí, básico",0.5,IF(D10="Sí, los usa",1,IF(D10="Sí, los conoce",0.5,IF(D10="Parcialmente",0.5,IF(D10="Sí, algunas",0.5,IF(D10="Europa",1,IF(D10="EE.UU.",0.3,IF(D10="Asia",0.1,IF(D10="Mercado interno",0,IF(D10="No exporta",0,IF(D10="App propia",1,IF(D10="App de comprador o proyecto",0.7,IF(D10="Excel",0.4,IF(D10="Ninguno",0,IF(D10="Yute reutilizable",1,IF(D10="Big bags reciclables",0.8,IF(D10="Yute nuevo",0.3,IF(D10="Bolsas papel",0.2,IF(D10="Otro",0.1,IF(D10="En proceso",0.5,IF(D10="En gestión",0.5,IF(D10="No sabe",0.3,IF(D10="No aplica",0.5,IF(D10="No",0,IF(D10="",0,IF(ISTEXT(D10),0.5,0))))))))))))))))))))))))))</f>
        <v/>
      </c>
      <c r="F10" s="15" t="inlineStr">
        <is>
          <t>frec_coords</t>
        </is>
      </c>
      <c r="G10" s="15" t="inlineStr">
        <is>
          <t>Entrevista</t>
        </is>
      </c>
      <c r="H10" s="27" t="n"/>
    </row>
    <row r="11" ht="22" customHeight="1">
      <c r="A11" s="15" t="inlineStr">
        <is>
          <t>D2</t>
        </is>
      </c>
      <c r="B11" s="15" t="inlineStr">
        <is>
          <t>4</t>
        </is>
      </c>
      <c r="C11" s="9" t="inlineStr">
        <is>
          <t>¿Se usa balance de masas (mezcla de lotes sin segregación física)?</t>
        </is>
      </c>
      <c r="D11" s="26" t="inlineStr"/>
      <c r="E11" s="20">
        <f>IF(D11="Sí",1,IF(D11="Sí, todas",1,IF(D11="Sí, FT",1,IF(D11="Sí, PT",0.6,IF(D11="Sí, formalmente",1,IF(D11="Sí, informalmente",0.5,IF(D11="Sí, con indicadores",1,IF(D11="Sí, básico",0.5,IF(D11="Sí, los usa",1,IF(D11="Sí, los conoce",0.5,IF(D11="Parcialmente",0.5,IF(D11="Sí, algunas",0.5,IF(D11="Europa",1,IF(D11="EE.UU.",0.3,IF(D11="Asia",0.1,IF(D11="Mercado interno",0,IF(D11="No exporta",0,IF(D11="App propia",1,IF(D11="App de comprador o proyecto",0.7,IF(D11="Excel",0.4,IF(D11="Ninguno",0,IF(D11="Yute reutilizable",1,IF(D11="Big bags reciclables",0.8,IF(D11="Yute nuevo",0.3,IF(D11="Bolsas papel",0.2,IF(D11="Otro",0.1,IF(D11="En proceso",0.5,IF(D11="En gestión",0.5,IF(D11="No sabe",0.3,IF(D11="No aplica",0.5,IF(D11="No",0,IF(D11="",0,IF(ISTEXT(D11),0.5,0))))))))))))))))))))))))))</f>
        <v/>
      </c>
      <c r="F11" s="15" t="inlineStr">
        <is>
          <t>bal_masas</t>
        </is>
      </c>
      <c r="G11" s="15" t="inlineStr">
        <is>
          <t>Entrevista — ROJO si dice Sí</t>
        </is>
      </c>
      <c r="H11" s="29" t="inlineStr">
        <is>
          <t>⚠ Bal. de masas prohibido bajo EUDR</t>
        </is>
      </c>
    </row>
    <row r="12" ht="22" customHeight="1">
      <c r="A12" s="15" t="inlineStr">
        <is>
          <t>D2</t>
        </is>
      </c>
      <c r="B12" s="15" t="inlineStr">
        <is>
          <t>5</t>
        </is>
      </c>
      <c r="C12" s="9" t="inlineStr">
        <is>
          <t>¿Los proveedores externos (no socios) representan volumen significativo?</t>
        </is>
      </c>
      <c r="D12" s="26" t="inlineStr"/>
      <c r="E12" s="20">
        <f>IF(D12="Sí",1,IF(D12="Sí, todas",1,IF(D12="Sí, FT",1,IF(D12="Sí, PT",0.6,IF(D12="Sí, formalmente",1,IF(D12="Sí, informalmente",0.5,IF(D12="Sí, con indicadores",1,IF(D12="Sí, básico",0.5,IF(D12="Sí, los usa",1,IF(D12="Sí, los conoce",0.5,IF(D12="Parcialmente",0.5,IF(D12="Sí, algunas",0.5,IF(D12="Europa",1,IF(D12="EE.UU.",0.3,IF(D12="Asia",0.1,IF(D12="Mercado interno",0,IF(D12="No exporta",0,IF(D12="App propia",1,IF(D12="App de comprador o proyecto",0.7,IF(D12="Excel",0.4,IF(D12="Ninguno",0,IF(D12="Yute reutilizable",1,IF(D12="Big bags reciclables",0.8,IF(D12="Yute nuevo",0.3,IF(D12="Bolsas papel",0.2,IF(D12="Otro",0.1,IF(D12="En proceso",0.5,IF(D12="En gestión",0.5,IF(D12="No sabe",0.3,IF(D12="No aplica",0.5,IF(D12="No",0,IF(D12="",0,IF(ISTEXT(D12),0.5,0))))))))))))))))))))))))))</f>
        <v/>
      </c>
      <c r="F12" s="15" t="inlineStr">
        <is>
          <t>pct_ext</t>
        </is>
      </c>
      <c r="G12" s="15" t="inlineStr">
        <is>
          <t>Entrevista</t>
        </is>
      </c>
      <c r="H12" s="27" t="n"/>
    </row>
    <row r="13" ht="22" customHeight="1">
      <c r="A13" s="15" t="inlineStr">
        <is>
          <t>D2</t>
        </is>
      </c>
      <c r="B13" s="15" t="inlineStr">
        <is>
          <t>6</t>
        </is>
      </c>
      <c r="C13" s="9" t="inlineStr">
        <is>
          <t>¿Se registra la trazabilidad de proveedores externos (nombre, cantidad, origen)?</t>
        </is>
      </c>
      <c r="D13" s="26" t="inlineStr"/>
      <c r="E13" s="20">
        <f>IF(D13="Sí",1,IF(D13="Sí, todas",1,IF(D13="Sí, FT",1,IF(D13="Sí, PT",0.6,IF(D13="Sí, formalmente",1,IF(D13="Sí, informalmente",0.5,IF(D13="Sí, con indicadores",1,IF(D13="Sí, básico",0.5,IF(D13="Sí, los usa",1,IF(D13="Sí, los conoce",0.5,IF(D13="Parcialmente",0.5,IF(D13="Sí, algunas",0.5,IF(D13="Europa",1,IF(D13="EE.UU.",0.3,IF(D13="Asia",0.1,IF(D13="Mercado interno",0,IF(D13="No exporta",0,IF(D13="App propia",1,IF(D13="App de comprador o proyecto",0.7,IF(D13="Excel",0.4,IF(D13="Ninguno",0,IF(D13="Yute reutilizable",1,IF(D13="Big bags reciclables",0.8,IF(D13="Yute nuevo",0.3,IF(D13="Bolsas papel",0.2,IF(D13="Otro",0.1,IF(D13="En proceso",0.5,IF(D13="En gestión",0.5,IF(D13="No sabe",0.3,IF(D13="No aplica",0.5,IF(D13="No",0,IF(D13="",0,IF(ISTEXT(D13),0.5,0))))))))))))))))))))))))))</f>
        <v/>
      </c>
      <c r="F13" s="15" t="inlineStr">
        <is>
          <t>traza_ext</t>
        </is>
      </c>
      <c r="G13" s="15" t="inlineStr">
        <is>
          <t>Entrevista</t>
        </is>
      </c>
      <c r="H13" s="27" t="n"/>
    </row>
    <row r="14" ht="20" customHeight="1">
      <c r="A14" s="30" t="inlineStr">
        <is>
          <t>DIMENSIÓN D3  —  Legalidad de la producción</t>
        </is>
      </c>
    </row>
    <row r="15" ht="22" customHeight="1">
      <c r="A15" s="15" t="inlineStr">
        <is>
          <t>D3</t>
        </is>
      </c>
      <c r="B15" s="15" t="inlineStr">
        <is>
          <t>1</t>
        </is>
      </c>
      <c r="C15" s="9" t="inlineStr">
        <is>
          <t>¿Qué porcentaje aproximado de los socios tiene título de propiedad o constancia de posesión inscrita en SUNARP?</t>
        </is>
      </c>
      <c r="D15" s="26" t="inlineStr"/>
      <c r="E15" s="20">
        <f>IF(D15="Sí",1,IF(D15="Sí, todas",1,IF(D15="Sí, FT",1,IF(D15="Sí, PT",0.6,IF(D15="Sí, formalmente",1,IF(D15="Sí, informalmente",0.5,IF(D15="Sí, con indicadores",1,IF(D15="Sí, básico",0.5,IF(D15="Sí, los usa",1,IF(D15="Sí, los conoce",0.5,IF(D15="Parcialmente",0.5,IF(D15="Sí, algunas",0.5,IF(D15="Europa",1,IF(D15="EE.UU.",0.3,IF(D15="Asia",0.1,IF(D15="Mercado interno",0,IF(D15="No exporta",0,IF(D15="App propia",1,IF(D15="App de comprador o proyecto",0.7,IF(D15="Excel",0.4,IF(D15="Ninguno",0,IF(D15="Yute reutilizable",1,IF(D15="Big bags reciclables",0.8,IF(D15="Yute nuevo",0.3,IF(D15="Bolsas papel",0.2,IF(D15="Otro",0.1,IF(D15="En proceso",0.5,IF(D15="En gestión",0.5,IF(D15="No sabe",0.3,IF(D15="No aplica",0.5,IF(D15="No",0,IF(D15="",0,IF(ISTEXT(D15),0.5,0))))))))))))))))))))))))))</f>
        <v/>
      </c>
      <c r="F15" s="15" t="inlineStr">
        <is>
          <t>pct_titulo</t>
        </is>
      </c>
      <c r="G15" s="15" t="inlineStr">
        <is>
          <t>Entrevista / MIDAGRI</t>
        </is>
      </c>
      <c r="H15" s="27" t="n"/>
    </row>
    <row r="16" ht="22" customHeight="1">
      <c r="A16" s="15" t="inlineStr">
        <is>
          <t>D3</t>
        </is>
      </c>
      <c r="B16" s="15" t="inlineStr">
        <is>
          <t>2</t>
        </is>
      </c>
      <c r="C16" s="9" t="inlineStr">
        <is>
          <t>¿La zona de producción está en un área natural protegida o zona de amortiguamiento?</t>
        </is>
      </c>
      <c r="D16" s="26" t="inlineStr"/>
      <c r="E16" s="20">
        <f>IF(D16="Sí",1,IF(D16="Sí, todas",1,IF(D16="Sí, FT",1,IF(D16="Sí, PT",0.6,IF(D16="Sí, formalmente",1,IF(D16="Sí, informalmente",0.5,IF(D16="Sí, con indicadores",1,IF(D16="Sí, básico",0.5,IF(D16="Sí, los usa",1,IF(D16="Sí, los conoce",0.5,IF(D16="Parcialmente",0.5,IF(D16="Sí, algunas",0.5,IF(D16="Europa",1,IF(D16="EE.UU.",0.3,IF(D16="Asia",0.1,IF(D16="Mercado interno",0,IF(D16="No exporta",0,IF(D16="App propia",1,IF(D16="App de comprador o proyecto",0.7,IF(D16="Excel",0.4,IF(D16="Ninguno",0,IF(D16="Yute reutilizable",1,IF(D16="Big bags reciclables",0.8,IF(D16="Yute nuevo",0.3,IF(D16="Bolsas papel",0.2,IF(D16="Otro",0.1,IF(D16="En proceso",0.5,IF(D16="En gestión",0.5,IF(D16="No sabe",0.3,IF(D16="No aplica",0.5,IF(D16="No",0,IF(D16="",0,IF(ISTEXT(D16),0.5,0))))))))))))))))))))))))))</f>
        <v/>
      </c>
      <c r="F16" s="15" t="inlineStr">
        <is>
          <t>anp</t>
        </is>
      </c>
      <c r="G16" s="15" t="inlineStr">
        <is>
          <t>GEOSERFOR / SINIA</t>
        </is>
      </c>
      <c r="H16" s="27" t="n"/>
    </row>
    <row r="17" ht="22" customHeight="1">
      <c r="A17" s="15" t="inlineStr">
        <is>
          <t>D3</t>
        </is>
      </c>
      <c r="B17" s="15" t="inlineStr">
        <is>
          <t>3</t>
        </is>
      </c>
      <c r="C17" s="9" t="inlineStr">
        <is>
          <t>¿La organización cuenta con autorizaciones ambientales vigentes (EIA, DIA, certificación forestal)?</t>
        </is>
      </c>
      <c r="D17" s="26" t="inlineStr"/>
      <c r="E17" s="20">
        <f>IF(D17="Sí",1,IF(D17="Sí, todas",1,IF(D17="Sí, FT",1,IF(D17="Sí, PT",0.6,IF(D17="Sí, formalmente",1,IF(D17="Sí, informalmente",0.5,IF(D17="Sí, con indicadores",1,IF(D17="Sí, básico",0.5,IF(D17="Sí, los usa",1,IF(D17="Sí, los conoce",0.5,IF(D17="Parcialmente",0.5,IF(D17="Sí, algunas",0.5,IF(D17="Europa",1,IF(D17="EE.UU.",0.3,IF(D17="Asia",0.1,IF(D17="Mercado interno",0,IF(D17="No exporta",0,IF(D17="App propia",1,IF(D17="App de comprador o proyecto",0.7,IF(D17="Excel",0.4,IF(D17="Ninguno",0,IF(D17="Yute reutilizable",1,IF(D17="Big bags reciclables",0.8,IF(D17="Yute nuevo",0.3,IF(D17="Bolsas papel",0.2,IF(D17="Otro",0.1,IF(D17="En proceso",0.5,IF(D17="En gestión",0.5,IF(D17="No sabe",0.3,IF(D17="No aplica",0.5,IF(D17="No",0,IF(D17="",0,IF(ISTEXT(D17),0.5,0))))))))))))))))))))))))))</f>
        <v/>
      </c>
      <c r="F17" s="15" t="inlineStr">
        <is>
          <t>aut_ambiental</t>
        </is>
      </c>
      <c r="G17" s="15" t="inlineStr">
        <is>
          <t>Entrevista / OEFA</t>
        </is>
      </c>
      <c r="H17" s="27" t="n"/>
    </row>
    <row r="18" ht="22" customHeight="1">
      <c r="A18" s="15" t="inlineStr">
        <is>
          <t>D3</t>
        </is>
      </c>
      <c r="B18" s="15" t="inlineStr">
        <is>
          <t>4</t>
        </is>
      </c>
      <c r="C18" s="9" t="inlineStr">
        <is>
          <t>¿Hay algún proceso sancionador vigente de OEFA o SINEFA contra la organización?</t>
        </is>
      </c>
      <c r="D18" s="26" t="inlineStr"/>
      <c r="E18" s="20">
        <f>IF(D18="Sí",1,IF(D18="Sí, todas",1,IF(D18="Sí, FT",1,IF(D18="Sí, PT",0.6,IF(D18="Sí, formalmente",1,IF(D18="Sí, informalmente",0.5,IF(D18="Sí, con indicadores",1,IF(D18="Sí, básico",0.5,IF(D18="Sí, los usa",1,IF(D18="Sí, los conoce",0.5,IF(D18="Parcialmente",0.5,IF(D18="Sí, algunas",0.5,IF(D18="Europa",1,IF(D18="EE.UU.",0.3,IF(D18="Asia",0.1,IF(D18="Mercado interno",0,IF(D18="No exporta",0,IF(D18="App propia",1,IF(D18="App de comprador o proyecto",0.7,IF(D18="Excel",0.4,IF(D18="Ninguno",0,IF(D18="Yute reutilizable",1,IF(D18="Big bags reciclables",0.8,IF(D18="Yute nuevo",0.3,IF(D18="Bolsas papel",0.2,IF(D18="Otro",0.1,IF(D18="En proceso",0.5,IF(D18="En gestión",0.5,IF(D18="No sabe",0.3,IF(D18="No aplica",0.5,IF(D18="No",0,IF(D18="",0,IF(ISTEXT(D18),0.5,0))))))))))))))))))))))))))</f>
        <v/>
      </c>
      <c r="F18" s="15" t="inlineStr">
        <is>
          <t>sancion_oea</t>
        </is>
      </c>
      <c r="G18" s="15" t="inlineStr">
        <is>
          <t>OEFA / SINEFA</t>
        </is>
      </c>
      <c r="H18" s="27" t="n"/>
    </row>
    <row r="19" ht="20" customHeight="1">
      <c r="A19" s="31" t="inlineStr">
        <is>
          <t>DIMENSIÓN D4  —  Riesgo de deforestación</t>
        </is>
      </c>
    </row>
    <row r="20" ht="22" customHeight="1">
      <c r="A20" s="15" t="inlineStr">
        <is>
          <t>D4</t>
        </is>
      </c>
      <c r="B20" s="15" t="inlineStr">
        <is>
          <t>1</t>
        </is>
      </c>
      <c r="C20" s="9" t="inlineStr">
        <is>
          <t>¿La organización ha realizado cruces de sus parcelas contra mapas de deforestación (GEOSERFOR / PNCB)?</t>
        </is>
      </c>
      <c r="D20" s="26" t="inlineStr"/>
      <c r="E20" s="20">
        <f>IF(D20="Sí",1,IF(D20="Sí, todas",1,IF(D20="Sí, FT",1,IF(D20="Sí, PT",0.6,IF(D20="Sí, formalmente",1,IF(D20="Sí, informalmente",0.5,IF(D20="Sí, con indicadores",1,IF(D20="Sí, básico",0.5,IF(D20="Sí, los usa",1,IF(D20="Sí, los conoce",0.5,IF(D20="Parcialmente",0.5,IF(D20="Sí, algunas",0.5,IF(D20="Europa",1,IF(D20="EE.UU.",0.3,IF(D20="Asia",0.1,IF(D20="Mercado interno",0,IF(D20="No exporta",0,IF(D20="App propia",1,IF(D20="App de comprador o proyecto",0.7,IF(D20="Excel",0.4,IF(D20="Ninguno",0,IF(D20="Yute reutilizable",1,IF(D20="Big bags reciclables",0.8,IF(D20="Yute nuevo",0.3,IF(D20="Bolsas papel",0.2,IF(D20="Otro",0.1,IF(D20="En proceso",0.5,IF(D20="En gestión",0.5,IF(D20="No sabe",0.3,IF(D20="No aplica",0.5,IF(D20="No",0,IF(D20="",0,IF(ISTEXT(D20),0.5,0))))))))))))))))))))))))))</f>
        <v/>
      </c>
      <c r="F20" s="15" t="inlineStr">
        <is>
          <t>cruce_deforest</t>
        </is>
      </c>
      <c r="G20" s="15" t="inlineStr">
        <is>
          <t>Entrevista / verificación web</t>
        </is>
      </c>
      <c r="H20" s="27" t="n"/>
    </row>
    <row r="21" ht="22" customHeight="1">
      <c r="A21" s="15" t="inlineStr">
        <is>
          <t>D4</t>
        </is>
      </c>
      <c r="B21" s="15" t="inlineStr">
        <is>
          <t>2</t>
        </is>
      </c>
      <c r="C21" s="9" t="inlineStr">
        <is>
          <t>¿Se han detectado alertas de deforestación en parcelas de la organización?</t>
        </is>
      </c>
      <c r="D21" s="26" t="inlineStr"/>
      <c r="E21" s="20">
        <f>IF(D21="Sí",1,IF(D21="Sí, todas",1,IF(D21="Sí, FT",1,IF(D21="Sí, PT",0.6,IF(D21="Sí, formalmente",1,IF(D21="Sí, informalmente",0.5,IF(D21="Sí, con indicadores",1,IF(D21="Sí, básico",0.5,IF(D21="Sí, los usa",1,IF(D21="Sí, los conoce",0.5,IF(D21="Parcialmente",0.5,IF(D21="Sí, algunas",0.5,IF(D21="Europa",1,IF(D21="EE.UU.",0.3,IF(D21="Asia",0.1,IF(D21="Mercado interno",0,IF(D21="No exporta",0,IF(D21="App propia",1,IF(D21="App de comprador o proyecto",0.7,IF(D21="Excel",0.4,IF(D21="Ninguno",0,IF(D21="Yute reutilizable",1,IF(D21="Big bags reciclables",0.8,IF(D21="Yute nuevo",0.3,IF(D21="Bolsas papel",0.2,IF(D21="Otro",0.1,IF(D21="En proceso",0.5,IF(D21="En gestión",0.5,IF(D21="No sabe",0.3,IF(D21="No aplica",0.5,IF(D21="No",0,IF(D21="",0,IF(ISTEXT(D21),0.5,0))))))))))))))))))))))))))</f>
        <v/>
      </c>
      <c r="F21" s="15" t="inlineStr">
        <is>
          <t>alerta_deforest</t>
        </is>
      </c>
      <c r="G21" s="15" t="inlineStr">
        <is>
          <t>GEOSERFOR / GFW</t>
        </is>
      </c>
      <c r="H21" s="27" t="n"/>
    </row>
    <row r="22" ht="20" customHeight="1">
      <c r="A22" s="32" t="inlineStr">
        <is>
          <t>DIMENSIÓN D5  —  Sistema de debida diligencia</t>
        </is>
      </c>
    </row>
    <row r="23" ht="22" customHeight="1">
      <c r="A23" s="15" t="inlineStr">
        <is>
          <t>D5</t>
        </is>
      </c>
      <c r="B23" s="15" t="inlineStr">
        <is>
          <t>1</t>
        </is>
      </c>
      <c r="C23" s="9" t="inlineStr">
        <is>
          <t>¿Existe un proceso documentado para evaluar riesgo de deforestación antes de exportar?</t>
        </is>
      </c>
      <c r="D23" s="26" t="inlineStr"/>
      <c r="E23" s="20">
        <f>IF(D23="Sí",1,IF(D23="Sí, todas",1,IF(D23="Sí, FT",1,IF(D23="Sí, PT",0.6,IF(D23="Sí, formalmente",1,IF(D23="Sí, informalmente",0.5,IF(D23="Sí, con indicadores",1,IF(D23="Sí, básico",0.5,IF(D23="Sí, los usa",1,IF(D23="Sí, los conoce",0.5,IF(D23="Parcialmente",0.5,IF(D23="Sí, algunas",0.5,IF(D23="Europa",1,IF(D23="EE.UU.",0.3,IF(D23="Asia",0.1,IF(D23="Mercado interno",0,IF(D23="No exporta",0,IF(D23="App propia",1,IF(D23="App de comprador o proyecto",0.7,IF(D23="Excel",0.4,IF(D23="Ninguno",0,IF(D23="Yute reutilizable",1,IF(D23="Big bags reciclables",0.8,IF(D23="Yute nuevo",0.3,IF(D23="Bolsas papel",0.2,IF(D23="Otro",0.1,IF(D23="En proceso",0.5,IF(D23="En gestión",0.5,IF(D23="No sabe",0.3,IF(D23="No aplica",0.5,IF(D23="No",0,IF(D23="",0,IF(ISTEXT(D23),0.5,0))))))))))))))))))))))))))</f>
        <v/>
      </c>
      <c r="F23" s="15" t="inlineStr">
        <is>
          <t>proc_dd</t>
        </is>
      </c>
      <c r="G23" s="15" t="inlineStr">
        <is>
          <t>Entrevista + revisión docs</t>
        </is>
      </c>
      <c r="H23" s="27" t="n"/>
    </row>
    <row r="24" ht="22" customHeight="1">
      <c r="A24" s="15" t="inlineStr">
        <is>
          <t>D5</t>
        </is>
      </c>
      <c r="B24" s="15" t="inlineStr">
        <is>
          <t>2</t>
        </is>
      </c>
      <c r="C24" s="9" t="inlineStr">
        <is>
          <t>¿Se registran las alertas o rechazos de compradores europeos en los últimos 2 años?</t>
        </is>
      </c>
      <c r="D24" s="26" t="inlineStr"/>
      <c r="E24" s="20">
        <f>IF(D24="Sí",1,IF(D24="Sí, todas",1,IF(D24="Sí, FT",1,IF(D24="Sí, PT",0.6,IF(D24="Sí, formalmente",1,IF(D24="Sí, informalmente",0.5,IF(D24="Sí, con indicadores",1,IF(D24="Sí, básico",0.5,IF(D24="Sí, los usa",1,IF(D24="Sí, los conoce",0.5,IF(D24="Parcialmente",0.5,IF(D24="Sí, algunas",0.5,IF(D24="Europa",1,IF(D24="EE.UU.",0.3,IF(D24="Asia",0.1,IF(D24="Mercado interno",0,IF(D24="No exporta",0,IF(D24="App propia",1,IF(D24="App de comprador o proyecto",0.7,IF(D24="Excel",0.4,IF(D24="Ninguno",0,IF(D24="Yute reutilizable",1,IF(D24="Big bags reciclables",0.8,IF(D24="Yute nuevo",0.3,IF(D24="Bolsas papel",0.2,IF(D24="Otro",0.1,IF(D24="En proceso",0.5,IF(D24="En gestión",0.5,IF(D24="No sabe",0.3,IF(D24="No aplica",0.5,IF(D24="No",0,IF(D24="",0,IF(ISTEXT(D24),0.5,0))))))))))))))))))))))))))</f>
        <v/>
      </c>
      <c r="F24" s="15" t="inlineStr">
        <is>
          <t>reg_rechazos</t>
        </is>
      </c>
      <c r="G24" s="15" t="inlineStr">
        <is>
          <t>Entrevista</t>
        </is>
      </c>
      <c r="H24" s="27" t="n"/>
    </row>
    <row r="25" ht="22" customHeight="1">
      <c r="A25" s="15" t="inlineStr">
        <is>
          <t>D5</t>
        </is>
      </c>
      <c r="B25" s="15" t="inlineStr">
        <is>
          <t>3</t>
        </is>
      </c>
      <c r="C25" s="9" t="inlineStr">
        <is>
          <t>¿La organización elabora un reporte periódico de debida diligencia?</t>
        </is>
      </c>
      <c r="D25" s="26" t="inlineStr"/>
      <c r="E25" s="20">
        <f>IF(D25="Sí",1,IF(D25="Sí, todas",1,IF(D25="Sí, FT",1,IF(D25="Sí, PT",0.6,IF(D25="Sí, formalmente",1,IF(D25="Sí, informalmente",0.5,IF(D25="Sí, con indicadores",1,IF(D25="Sí, básico",0.5,IF(D25="Sí, los usa",1,IF(D25="Sí, los conoce",0.5,IF(D25="Parcialmente",0.5,IF(D25="Sí, algunas",0.5,IF(D25="Europa",1,IF(D25="EE.UU.",0.3,IF(D25="Asia",0.1,IF(D25="Mercado interno",0,IF(D25="No exporta",0,IF(D25="App propia",1,IF(D25="App de comprador o proyecto",0.7,IF(D25="Excel",0.4,IF(D25="Ninguno",0,IF(D25="Yute reutilizable",1,IF(D25="Big bags reciclables",0.8,IF(D25="Yute nuevo",0.3,IF(D25="Bolsas papel",0.2,IF(D25="Otro",0.1,IF(D25="En proceso",0.5,IF(D25="En gestión",0.5,IF(D25="No sabe",0.3,IF(D25="No aplica",0.5,IF(D25="No",0,IF(D25="",0,IF(ISTEXT(D25),0.5,0))))))))))))))))))))))))))</f>
        <v/>
      </c>
      <c r="F25" s="15" t="inlineStr">
        <is>
          <t>reporte_dd</t>
        </is>
      </c>
      <c r="G25" s="15" t="inlineStr">
        <is>
          <t>Entrevista</t>
        </is>
      </c>
      <c r="H25" s="27" t="n"/>
    </row>
    <row r="26" ht="20" customHeight="1">
      <c r="A26" s="33" t="inlineStr">
        <is>
          <t>DIMENSIÓN D6  —  Capacidad organizacional y digital</t>
        </is>
      </c>
    </row>
    <row r="27" ht="22" customHeight="1">
      <c r="A27" s="15" t="inlineStr">
        <is>
          <t>D6</t>
        </is>
      </c>
      <c r="B27" s="15" t="inlineStr">
        <is>
          <t>1</t>
        </is>
      </c>
      <c r="C27" s="9" t="inlineStr">
        <is>
          <t>¿Hay personal dedicado (tiempo completo o parcial) a tareas de gestión de datos o sistemas?</t>
        </is>
      </c>
      <c r="D27" s="26" t="inlineStr"/>
      <c r="E27" s="20">
        <f>IF(D27="Sí",1,IF(D27="Sí, todas",1,IF(D27="Sí, FT",1,IF(D27="Sí, PT",0.6,IF(D27="Sí, formalmente",1,IF(D27="Sí, informalmente",0.5,IF(D27="Sí, con indicadores",1,IF(D27="Sí, básico",0.5,IF(D27="Sí, los usa",1,IF(D27="Sí, los conoce",0.5,IF(D27="Parcialmente",0.5,IF(D27="Sí, algunas",0.5,IF(D27="Europa",1,IF(D27="EE.UU.",0.3,IF(D27="Asia",0.1,IF(D27="Mercado interno",0,IF(D27="No exporta",0,IF(D27="App propia",1,IF(D27="App de comprador o proyecto",0.7,IF(D27="Excel",0.4,IF(D27="Ninguno",0,IF(D27="Yute reutilizable",1,IF(D27="Big bags reciclables",0.8,IF(D27="Yute nuevo",0.3,IF(D27="Bolsas papel",0.2,IF(D27="Otro",0.1,IF(D27="En proceso",0.5,IF(D27="En gestión",0.5,IF(D27="No sabe",0.3,IF(D27="No aplica",0.5,IF(D27="No",0,IF(D27="",0,IF(ISTEXT(D27),0.5,0))))))))))))))))))))))))))</f>
        <v/>
      </c>
      <c r="F27" s="15" t="inlineStr">
        <is>
          <t>personal_datos</t>
        </is>
      </c>
      <c r="G27" s="15" t="inlineStr">
        <is>
          <t>Entrevista</t>
        </is>
      </c>
      <c r="H27" s="27" t="n"/>
    </row>
    <row r="28" ht="22" customHeight="1">
      <c r="A28" s="15" t="inlineStr">
        <is>
          <t>D6</t>
        </is>
      </c>
      <c r="B28" s="15" t="inlineStr">
        <is>
          <t>2</t>
        </is>
      </c>
      <c r="C28" s="9" t="inlineStr">
        <is>
          <t>¿La organización tiene acceso a internet estable en su sede?</t>
        </is>
      </c>
      <c r="D28" s="26" t="inlineStr"/>
      <c r="E28" s="20">
        <f>IF(D28="Sí",1,IF(D28="Sí, todas",1,IF(D28="Sí, FT",1,IF(D28="Sí, PT",0.6,IF(D28="Sí, formalmente",1,IF(D28="Sí, informalmente",0.5,IF(D28="Sí, con indicadores",1,IF(D28="Sí, básico",0.5,IF(D28="Sí, los usa",1,IF(D28="Sí, los conoce",0.5,IF(D28="Parcialmente",0.5,IF(D28="Sí, algunas",0.5,IF(D28="Europa",1,IF(D28="EE.UU.",0.3,IF(D28="Asia",0.1,IF(D28="Mercado interno",0,IF(D28="No exporta",0,IF(D28="App propia",1,IF(D28="App de comprador o proyecto",0.7,IF(D28="Excel",0.4,IF(D28="Ninguno",0,IF(D28="Yute reutilizable",1,IF(D28="Big bags reciclables",0.8,IF(D28="Yute nuevo",0.3,IF(D28="Bolsas papel",0.2,IF(D28="Otro",0.1,IF(D28="En proceso",0.5,IF(D28="En gestión",0.5,IF(D28="No sabe",0.3,IF(D28="No aplica",0.5,IF(D28="No",0,IF(D28="",0,IF(ISTEXT(D28),0.5,0))))))))))))))))))))))))))</f>
        <v/>
      </c>
      <c r="F28" s="15" t="inlineStr">
        <is>
          <t>internet</t>
        </is>
      </c>
      <c r="G28" s="15" t="inlineStr">
        <is>
          <t>Entrevista</t>
        </is>
      </c>
      <c r="H28" s="27" t="n"/>
    </row>
    <row r="29" ht="22" customHeight="1">
      <c r="A29" s="15" t="inlineStr">
        <is>
          <t>D6</t>
        </is>
      </c>
      <c r="B29" s="15" t="inlineStr">
        <is>
          <t>3</t>
        </is>
      </c>
      <c r="C29" s="9" t="inlineStr">
        <is>
          <t>¿Usa algún software o herramienta digital para gestionar trazabilidad?</t>
        </is>
      </c>
      <c r="D29" s="26" t="inlineStr"/>
      <c r="E29" s="20">
        <f>IF(D29="Sí",1,IF(D29="Sí, todas",1,IF(D29="Sí, FT",1,IF(D29="Sí, PT",0.6,IF(D29="Sí, formalmente",1,IF(D29="Sí, informalmente",0.5,IF(D29="Sí, con indicadores",1,IF(D29="Sí, básico",0.5,IF(D29="Sí, los usa",1,IF(D29="Sí, los conoce",0.5,IF(D29="Parcialmente",0.5,IF(D29="Sí, algunas",0.5,IF(D29="Europa",1,IF(D29="EE.UU.",0.3,IF(D29="Asia",0.1,IF(D29="Mercado interno",0,IF(D29="No exporta",0,IF(D29="App propia",1,IF(D29="App de comprador o proyecto",0.7,IF(D29="Excel",0.4,IF(D29="Ninguno",0,IF(D29="Yute reutilizable",1,IF(D29="Big bags reciclables",0.8,IF(D29="Yute nuevo",0.3,IF(D29="Bolsas papel",0.2,IF(D29="Otro",0.1,IF(D29="En proceso",0.5,IF(D29="En gestión",0.5,IF(D29="No sabe",0.3,IF(D29="No aplica",0.5,IF(D29="No",0,IF(D29="",0,IF(ISTEXT(D29),0.5,0))))))))))))))))))))))))))</f>
        <v/>
      </c>
      <c r="F29" s="15" t="inlineStr">
        <is>
          <t>sw_trazabilidad</t>
        </is>
      </c>
      <c r="G29" s="15" t="inlineStr">
        <is>
          <t>Entrevista</t>
        </is>
      </c>
      <c r="H29" s="27" t="n"/>
    </row>
    <row r="30" ht="22" customHeight="1">
      <c r="A30" s="15" t="inlineStr">
        <is>
          <t>D6</t>
        </is>
      </c>
      <c r="B30" s="15" t="inlineStr">
        <is>
          <t>4</t>
        </is>
      </c>
      <c r="C30" s="9" t="inlineStr">
        <is>
          <t>¿El presupuesto anual incluye una partida para tecnología o datos?</t>
        </is>
      </c>
      <c r="D30" s="26" t="inlineStr"/>
      <c r="E30" s="20">
        <f>IF(D30="Sí",1,IF(D30="Sí, todas",1,IF(D30="Sí, FT",1,IF(D30="Sí, PT",0.6,IF(D30="Sí, formalmente",1,IF(D30="Sí, informalmente",0.5,IF(D30="Sí, con indicadores",1,IF(D30="Sí, básico",0.5,IF(D30="Sí, los usa",1,IF(D30="Sí, los conoce",0.5,IF(D30="Parcialmente",0.5,IF(D30="Sí, algunas",0.5,IF(D30="Europa",1,IF(D30="EE.UU.",0.3,IF(D30="Asia",0.1,IF(D30="Mercado interno",0,IF(D30="No exporta",0,IF(D30="App propia",1,IF(D30="App de comprador o proyecto",0.7,IF(D30="Excel",0.4,IF(D30="Ninguno",0,IF(D30="Yute reutilizable",1,IF(D30="Big bags reciclables",0.8,IF(D30="Yute nuevo",0.3,IF(D30="Bolsas papel",0.2,IF(D30="Otro",0.1,IF(D30="En proceso",0.5,IF(D30="En gestión",0.5,IF(D30="No sabe",0.3,IF(D30="No aplica",0.5,IF(D30="No",0,IF(D30="",0,IF(ISTEXT(D30),0.5,0))))))))))))))))))))))))))</f>
        <v/>
      </c>
      <c r="F30" s="15" t="inlineStr">
        <is>
          <t>presupuesto_tech</t>
        </is>
      </c>
      <c r="G30" s="15" t="inlineStr">
        <is>
          <t>Entrevista directiva</t>
        </is>
      </c>
      <c r="H30" s="27" t="n"/>
    </row>
    <row r="31" ht="20" customHeight="1">
      <c r="A31" s="34" t="inlineStr">
        <is>
          <t>DIMENSIÓN D7  —  Posición en la cadena de valor</t>
        </is>
      </c>
    </row>
    <row r="32" ht="22" customHeight="1">
      <c r="A32" s="15" t="inlineStr">
        <is>
          <t>D7</t>
        </is>
      </c>
      <c r="B32" s="15" t="inlineStr">
        <is>
          <t>1</t>
        </is>
      </c>
      <c r="C32" s="9" t="inlineStr">
        <is>
          <t>¿Cuál es el destino principal de las exportaciones?</t>
        </is>
      </c>
      <c r="D32" s="26" t="inlineStr"/>
      <c r="E32" s="20">
        <f>IF(D32="Sí",1,IF(D32="Sí, todas",1,IF(D32="Sí, FT",1,IF(D32="Sí, PT",0.6,IF(D32="Sí, formalmente",1,IF(D32="Sí, informalmente",0.5,IF(D32="Sí, con indicadores",1,IF(D32="Sí, básico",0.5,IF(D32="Sí, los usa",1,IF(D32="Sí, los conoce",0.5,IF(D32="Parcialmente",0.5,IF(D32="Sí, algunas",0.5,IF(D32="Europa",1,IF(D32="EE.UU.",0.3,IF(D32="Asia",0.1,IF(D32="Mercado interno",0,IF(D32="No exporta",0,IF(D32="App propia",1,IF(D32="App de comprador o proyecto",0.7,IF(D32="Excel",0.4,IF(D32="Ninguno",0,IF(D32="Yute reutilizable",1,IF(D32="Big bags reciclables",0.8,IF(D32="Yute nuevo",0.3,IF(D32="Bolsas papel",0.2,IF(D32="Otro",0.1,IF(D32="En proceso",0.5,IF(D32="En gestión",0.5,IF(D32="No sabe",0.3,IF(D32="No aplica",0.5,IF(D32="No",0,IF(D32="",0,IF(ISTEXT(D32),0.5,0))))))))))))))))))))))))))</f>
        <v/>
      </c>
      <c r="F32" s="15" t="inlineStr">
        <is>
          <t>destino_principal</t>
        </is>
      </c>
      <c r="G32" s="15" t="inlineStr">
        <is>
          <t>DUAs / Entrevista</t>
        </is>
      </c>
      <c r="H32" s="27" t="n"/>
    </row>
    <row r="33" ht="22" customHeight="1">
      <c r="A33" s="15" t="inlineStr">
        <is>
          <t>D7</t>
        </is>
      </c>
      <c r="B33" s="15" t="inlineStr">
        <is>
          <t>2</t>
        </is>
      </c>
      <c r="C33" s="9" t="inlineStr">
        <is>
          <t>¿El comprador principal (primera mano) es una empresa europea o está sujeta a CS3D?</t>
        </is>
      </c>
      <c r="D33" s="26" t="inlineStr"/>
      <c r="E33" s="20">
        <f>IF(D33="Sí",1,IF(D33="Sí, todas",1,IF(D33="Sí, FT",1,IF(D33="Sí, PT",0.6,IF(D33="Sí, formalmente",1,IF(D33="Sí, informalmente",0.5,IF(D33="Sí, con indicadores",1,IF(D33="Sí, básico",0.5,IF(D33="Sí, los usa",1,IF(D33="Sí, los conoce",0.5,IF(D33="Parcialmente",0.5,IF(D33="Sí, algunas",0.5,IF(D33="Europa",1,IF(D33="EE.UU.",0.3,IF(D33="Asia",0.1,IF(D33="Mercado interno",0,IF(D33="No exporta",0,IF(D33="App propia",1,IF(D33="App de comprador o proyecto",0.7,IF(D33="Excel",0.4,IF(D33="Ninguno",0,IF(D33="Yute reutilizable",1,IF(D33="Big bags reciclables",0.8,IF(D33="Yute nuevo",0.3,IF(D33="Bolsas papel",0.2,IF(D33="Otro",0.1,IF(D33="En proceso",0.5,IF(D33="En gestión",0.5,IF(D33="No sabe",0.3,IF(D33="No aplica",0.5,IF(D33="No",0,IF(D33="",0,IF(ISTEXT(D33),0.5,0))))))))))))))))))))))))))</f>
        <v/>
      </c>
      <c r="F33" s="15" t="inlineStr">
        <is>
          <t>comprador_ue</t>
        </is>
      </c>
      <c r="G33" s="15" t="inlineStr">
        <is>
          <t>Entrevista / web</t>
        </is>
      </c>
      <c r="H33" s="27" t="n"/>
    </row>
    <row r="34" ht="22" customHeight="1">
      <c r="A34" s="15" t="inlineStr">
        <is>
          <t>D7</t>
        </is>
      </c>
      <c r="B34" s="15" t="inlineStr">
        <is>
          <t>3</t>
        </is>
      </c>
      <c r="C34" s="9" t="inlineStr">
        <is>
          <t>¿El comprador ha solicitado evidencia de trazabilidad o geolocalización?</t>
        </is>
      </c>
      <c r="D34" s="26" t="inlineStr"/>
      <c r="E34" s="20">
        <f>IF(D34="Sí",1,IF(D34="Sí, todas",1,IF(D34="Sí, FT",1,IF(D34="Sí, PT",0.6,IF(D34="Sí, formalmente",1,IF(D34="Sí, informalmente",0.5,IF(D34="Sí, con indicadores",1,IF(D34="Sí, básico",0.5,IF(D34="Sí, los usa",1,IF(D34="Sí, los conoce",0.5,IF(D34="Parcialmente",0.5,IF(D34="Sí, algunas",0.5,IF(D34="Europa",1,IF(D34="EE.UU.",0.3,IF(D34="Asia",0.1,IF(D34="Mercado interno",0,IF(D34="No exporta",0,IF(D34="App propia",1,IF(D34="App de comprador o proyecto",0.7,IF(D34="Excel",0.4,IF(D34="Ninguno",0,IF(D34="Yute reutilizable",1,IF(D34="Big bags reciclables",0.8,IF(D34="Yute nuevo",0.3,IF(D34="Bolsas papel",0.2,IF(D34="Otro",0.1,IF(D34="En proceso",0.5,IF(D34="En gestión",0.5,IF(D34="No sabe",0.3,IF(D34="No aplica",0.5,IF(D34="No",0,IF(D34="",0,IF(ISTEXT(D34),0.5,0))))))))))))))))))))))))))</f>
        <v/>
      </c>
      <c r="F34" s="15" t="inlineStr">
        <is>
          <t>exige_evidencia</t>
        </is>
      </c>
      <c r="G34" s="15" t="inlineStr">
        <is>
          <t>Entrevista</t>
        </is>
      </c>
      <c r="H34" s="27" t="n"/>
    </row>
    <row r="35" ht="22" customHeight="1">
      <c r="A35" s="15" t="inlineStr">
        <is>
          <t>D7</t>
        </is>
      </c>
      <c r="B35" s="15" t="inlineStr">
        <is>
          <t>4</t>
        </is>
      </c>
      <c r="C35" s="9" t="inlineStr">
        <is>
          <t>¿Hay contrato escrito con cláusula EUDR o debida diligencia?</t>
        </is>
      </c>
      <c r="D35" s="26" t="inlineStr"/>
      <c r="E35" s="20">
        <f>IF(D35="Sí",1,IF(D35="Sí, todas",1,IF(D35="Sí, FT",1,IF(D35="Sí, PT",0.6,IF(D35="Sí, formalmente",1,IF(D35="Sí, informalmente",0.5,IF(D35="Sí, con indicadores",1,IF(D35="Sí, básico",0.5,IF(D35="Sí, los usa",1,IF(D35="Sí, los conoce",0.5,IF(D35="Parcialmente",0.5,IF(D35="Sí, algunas",0.5,IF(D35="Europa",1,IF(D35="EE.UU.",0.3,IF(D35="Asia",0.1,IF(D35="Mercado interno",0,IF(D35="No exporta",0,IF(D35="App propia",1,IF(D35="App de comprador o proyecto",0.7,IF(D35="Excel",0.4,IF(D35="Ninguno",0,IF(D35="Yute reutilizable",1,IF(D35="Big bags reciclables",0.8,IF(D35="Yute nuevo",0.3,IF(D35="Bolsas papel",0.2,IF(D35="Otro",0.1,IF(D35="En proceso",0.5,IF(D35="En gestión",0.5,IF(D35="No sabe",0.3,IF(D35="No aplica",0.5,IF(D35="No",0,IF(D35="",0,IF(ISTEXT(D35),0.5,0))))))))))))))))))))))))))</f>
        <v/>
      </c>
      <c r="F35" s="15" t="inlineStr">
        <is>
          <t>contrato_eudr</t>
        </is>
      </c>
      <c r="G35" s="15" t="inlineStr">
        <is>
          <t>Entrevista / docs legales</t>
        </is>
      </c>
      <c r="H35" s="27" t="n"/>
    </row>
    <row r="36" ht="20" customHeight="1">
      <c r="A36" s="35" t="inlineStr">
        <is>
          <t>DIMENSIÓN D8  —  Gobernanza y participación de socios</t>
        </is>
      </c>
    </row>
    <row r="37" ht="22" customHeight="1">
      <c r="A37" s="15" t="inlineStr">
        <is>
          <t>D8</t>
        </is>
      </c>
      <c r="B37" s="15" t="inlineStr">
        <is>
          <t>1</t>
        </is>
      </c>
      <c r="C37" s="9" t="inlineStr">
        <is>
          <t>¿Los socios conocen los requisitos EUDR y sus implicancias?</t>
        </is>
      </c>
      <c r="D37" s="26" t="inlineStr"/>
      <c r="E37" s="20">
        <f>IF(D37="Sí",1,IF(D37="Sí, todas",1,IF(D37="Sí, FT",1,IF(D37="Sí, PT",0.6,IF(D37="Sí, formalmente",1,IF(D37="Sí, informalmente",0.5,IF(D37="Sí, con indicadores",1,IF(D37="Sí, básico",0.5,IF(D37="Sí, los usa",1,IF(D37="Sí, los conoce",0.5,IF(D37="Parcialmente",0.5,IF(D37="Sí, algunas",0.5,IF(D37="Europa",1,IF(D37="EE.UU.",0.3,IF(D37="Asia",0.1,IF(D37="Mercado interno",0,IF(D37="No exporta",0,IF(D37="App propia",1,IF(D37="App de comprador o proyecto",0.7,IF(D37="Excel",0.4,IF(D37="Ninguno",0,IF(D37="Yute reutilizable",1,IF(D37="Big bags reciclables",0.8,IF(D37="Yute nuevo",0.3,IF(D37="Bolsas papel",0.2,IF(D37="Otro",0.1,IF(D37="En proceso",0.5,IF(D37="En gestión",0.5,IF(D37="No sabe",0.3,IF(D37="No aplica",0.5,IF(D37="No",0,IF(D37="",0,IF(ISTEXT(D37),0.5,0))))))))))))))))))))))))))</f>
        <v/>
      </c>
      <c r="F37" s="15" t="inlineStr">
        <is>
          <t>socios_conocen</t>
        </is>
      </c>
      <c r="G37" s="15" t="inlineStr">
        <is>
          <t>Entrevista + observación</t>
        </is>
      </c>
      <c r="H37" s="27" t="n"/>
    </row>
    <row r="38" ht="22" customHeight="1">
      <c r="A38" s="15" t="inlineStr">
        <is>
          <t>D8</t>
        </is>
      </c>
      <c r="B38" s="15" t="inlineStr">
        <is>
          <t>2</t>
        </is>
      </c>
      <c r="C38" s="9" t="inlineStr">
        <is>
          <t>¿Existe un mecanismo formal para que los socios entreguen datos de parcelas?</t>
        </is>
      </c>
      <c r="D38" s="26" t="inlineStr"/>
      <c r="E38" s="20">
        <f>IF(D38="Sí",1,IF(D38="Sí, todas",1,IF(D38="Sí, FT",1,IF(D38="Sí, PT",0.6,IF(D38="Sí, formalmente",1,IF(D38="Sí, informalmente",0.5,IF(D38="Sí, con indicadores",1,IF(D38="Sí, básico",0.5,IF(D38="Sí, los usa",1,IF(D38="Sí, los conoce",0.5,IF(D38="Parcialmente",0.5,IF(D38="Sí, algunas",0.5,IF(D38="Europa",1,IF(D38="EE.UU.",0.3,IF(D38="Asia",0.1,IF(D38="Mercado interno",0,IF(D38="No exporta",0,IF(D38="App propia",1,IF(D38="App de comprador o proyecto",0.7,IF(D38="Excel",0.4,IF(D38="Ninguno",0,IF(D38="Yute reutilizable",1,IF(D38="Big bags reciclables",0.8,IF(D38="Yute nuevo",0.3,IF(D38="Bolsas papel",0.2,IF(D38="Otro",0.1,IF(D38="En proceso",0.5,IF(D38="En gestión",0.5,IF(D38="No sabe",0.3,IF(D38="No aplica",0.5,IF(D38="No",0,IF(D38="",0,IF(ISTEXT(D38),0.5,0))))))))))))))))))))))))))</f>
        <v/>
      </c>
      <c r="F38" s="15" t="inlineStr">
        <is>
          <t>mec_entrega</t>
        </is>
      </c>
      <c r="G38" s="15" t="inlineStr">
        <is>
          <t>Entrevista</t>
        </is>
      </c>
      <c r="H38" s="27" t="n"/>
    </row>
    <row r="39" ht="20" customHeight="1">
      <c r="A39" s="36" t="inlineStr">
        <is>
          <t>DIMENSIÓN D9  —  Sostenibilidad económica del cumplimiento</t>
        </is>
      </c>
    </row>
    <row r="40" ht="22" customHeight="1">
      <c r="A40" s="15" t="inlineStr">
        <is>
          <t>D9</t>
        </is>
      </c>
      <c r="B40" s="15" t="inlineStr">
        <is>
          <t>1</t>
        </is>
      </c>
      <c r="C40" s="9" t="inlineStr">
        <is>
          <t>¿La organización ha estimado el costo de adecuación al EUDR?</t>
        </is>
      </c>
      <c r="D40" s="26" t="inlineStr"/>
      <c r="E40" s="20">
        <f>IF(D40="Sí",1,IF(D40="Sí, todas",1,IF(D40="Sí, FT",1,IF(D40="Sí, PT",0.6,IF(D40="Sí, formalmente",1,IF(D40="Sí, informalmente",0.5,IF(D40="Sí, con indicadores",1,IF(D40="Sí, básico",0.5,IF(D40="Sí, los usa",1,IF(D40="Sí, los conoce",0.5,IF(D40="Parcialmente",0.5,IF(D40="Sí, algunas",0.5,IF(D40="Europa",1,IF(D40="EE.UU.",0.3,IF(D40="Asia",0.1,IF(D40="Mercado interno",0,IF(D40="No exporta",0,IF(D40="App propia",1,IF(D40="App de comprador o proyecto",0.7,IF(D40="Excel",0.4,IF(D40="Ninguno",0,IF(D40="Yute reutilizable",1,IF(D40="Big bags reciclables",0.8,IF(D40="Yute nuevo",0.3,IF(D40="Bolsas papel",0.2,IF(D40="Otro",0.1,IF(D40="En proceso",0.5,IF(D40="En gestión",0.5,IF(D40="No sabe",0.3,IF(D40="No aplica",0.5,IF(D40="No",0,IF(D40="",0,IF(ISTEXT(D40),0.5,0))))))))))))))))))))))))))</f>
        <v/>
      </c>
      <c r="F40" s="15" t="inlineStr">
        <is>
          <t>costo_estimado</t>
        </is>
      </c>
      <c r="G40" s="15" t="inlineStr">
        <is>
          <t>Entrevista directiva</t>
        </is>
      </c>
      <c r="H40" s="27" t="n"/>
    </row>
    <row r="41" ht="22" customHeight="1">
      <c r="A41" s="15" t="inlineStr">
        <is>
          <t>D9</t>
        </is>
      </c>
      <c r="B41" s="15" t="inlineStr">
        <is>
          <t>2</t>
        </is>
      </c>
      <c r="C41" s="9" t="inlineStr">
        <is>
          <t>¿Existe una fuente de financiamiento identificada para la adecuación?</t>
        </is>
      </c>
      <c r="D41" s="26" t="inlineStr"/>
      <c r="E41" s="20">
        <f>IF(D41="Sí",1,IF(D41="Sí, todas",1,IF(D41="Sí, FT",1,IF(D41="Sí, PT",0.6,IF(D41="Sí, formalmente",1,IF(D41="Sí, informalmente",0.5,IF(D41="Sí, con indicadores",1,IF(D41="Sí, básico",0.5,IF(D41="Sí, los usa",1,IF(D41="Sí, los conoce",0.5,IF(D41="Parcialmente",0.5,IF(D41="Sí, algunas",0.5,IF(D41="Europa",1,IF(D41="EE.UU.",0.3,IF(D41="Asia",0.1,IF(D41="Mercado interno",0,IF(D41="No exporta",0,IF(D41="App propia",1,IF(D41="App de comprador o proyecto",0.7,IF(D41="Excel",0.4,IF(D41="Ninguno",0,IF(D41="Yute reutilizable",1,IF(D41="Big bags reciclables",0.8,IF(D41="Yute nuevo",0.3,IF(D41="Bolsas papel",0.2,IF(D41="Otro",0.1,IF(D41="En proceso",0.5,IF(D41="En gestión",0.5,IF(D41="No sabe",0.3,IF(D41="No aplica",0.5,IF(D41="No",0,IF(D41="",0,IF(ISTEXT(D41),0.5,0))))))))))))))))))))))))))</f>
        <v/>
      </c>
      <c r="F41" s="15" t="inlineStr">
        <is>
          <t>financiamiento</t>
        </is>
      </c>
      <c r="G41" s="15" t="inlineStr">
        <is>
          <t>Entrevista</t>
        </is>
      </c>
      <c r="H41" s="27" t="n"/>
    </row>
    <row r="42" ht="20" customHeight="1">
      <c r="A42" s="37" t="inlineStr">
        <is>
          <t>DIMENSIÓN D10  —  Confusión certificación / EUDR</t>
        </is>
      </c>
    </row>
    <row r="43" ht="22" customHeight="1">
      <c r="A43" s="15" t="inlineStr">
        <is>
          <t>D10</t>
        </is>
      </c>
      <c r="B43" s="15" t="inlineStr">
        <is>
          <t>1</t>
        </is>
      </c>
      <c r="C43" s="9" t="inlineStr">
        <is>
          <t>¿La organización cree que sus certificaciones (Orgánica, Fairtrade, Rainforest) cubren los requisitos EUDR?</t>
        </is>
      </c>
      <c r="D43" s="26" t="inlineStr"/>
      <c r="E43" s="20">
        <f>IF(D43="Sí",1,IF(D43="Sí, todas",1,IF(D43="Sí, FT",1,IF(D43="Sí, PT",0.6,IF(D43="Sí, formalmente",1,IF(D43="Sí, informalmente",0.5,IF(D43="Sí, con indicadores",1,IF(D43="Sí, básico",0.5,IF(D43="Sí, los usa",1,IF(D43="Sí, los conoce",0.5,IF(D43="Parcialmente",0.5,IF(D43="Sí, algunas",0.5,IF(D43="Europa",1,IF(D43="EE.UU.",0.3,IF(D43="Asia",0.1,IF(D43="Mercado interno",0,IF(D43="No exporta",0,IF(D43="App propia",1,IF(D43="App de comprador o proyecto",0.7,IF(D43="Excel",0.4,IF(D43="Ninguno",0,IF(D43="Yute reutilizable",1,IF(D43="Big bags reciclables",0.8,IF(D43="Yute nuevo",0.3,IF(D43="Bolsas papel",0.2,IF(D43="Otro",0.1,IF(D43="En proceso",0.5,IF(D43="En gestión",0.5,IF(D43="No sabe",0.3,IF(D43="No aplica",0.5,IF(D43="No",0,IF(D43="",0,IF(ISTEXT(D43),0.5,0))))))))))))))))))))))))))</f>
        <v/>
      </c>
      <c r="F43" s="15" t="inlineStr">
        <is>
          <t>cree_cubierta</t>
        </is>
      </c>
      <c r="G43" s="15" t="inlineStr">
        <is>
          <t>Entrevista — ROJO si dice Sí sin entender EUDR</t>
        </is>
      </c>
      <c r="H43" s="27" t="n"/>
    </row>
    <row r="44" ht="22" customHeight="1">
      <c r="A44" s="15" t="inlineStr">
        <is>
          <t>D10</t>
        </is>
      </c>
      <c r="B44" s="15" t="inlineStr">
        <is>
          <t>2</t>
        </is>
      </c>
      <c r="C44" s="9" t="inlineStr">
        <is>
          <t>¿Ha recibido asesoría específica sobre EUDR (no solo genérica de sostenibilidad)?</t>
        </is>
      </c>
      <c r="D44" s="26" t="inlineStr"/>
      <c r="E44" s="20">
        <f>IF(D44="Sí",1,IF(D44="Sí, todas",1,IF(D44="Sí, FT",1,IF(D44="Sí, PT",0.6,IF(D44="Sí, formalmente",1,IF(D44="Sí, informalmente",0.5,IF(D44="Sí, con indicadores",1,IF(D44="Sí, básico",0.5,IF(D44="Sí, los usa",1,IF(D44="Sí, los conoce",0.5,IF(D44="Parcialmente",0.5,IF(D44="Sí, algunas",0.5,IF(D44="Europa",1,IF(D44="EE.UU.",0.3,IF(D44="Asia",0.1,IF(D44="Mercado interno",0,IF(D44="No exporta",0,IF(D44="App propia",1,IF(D44="App de comprador o proyecto",0.7,IF(D44="Excel",0.4,IF(D44="Ninguno",0,IF(D44="Yute reutilizable",1,IF(D44="Big bags reciclables",0.8,IF(D44="Yute nuevo",0.3,IF(D44="Bolsas papel",0.2,IF(D44="Otro",0.1,IF(D44="En proceso",0.5,IF(D44="En gestión",0.5,IF(D44="No sabe",0.3,IF(D44="No aplica",0.5,IF(D44="No",0,IF(D44="",0,IF(ISTEXT(D44),0.5,0))))))))))))))))))))))))))</f>
        <v/>
      </c>
      <c r="F44" s="15" t="inlineStr">
        <is>
          <t>asesoria_eudr</t>
        </is>
      </c>
      <c r="G44" s="15" t="inlineStr">
        <is>
          <t>Entrevista</t>
        </is>
      </c>
      <c r="H44" s="27" t="n"/>
    </row>
    <row r="45" ht="20" customHeight="1">
      <c r="A45" s="38" t="inlineStr">
        <is>
          <t>DIMENSIÓN D11  —  Ecosistema de apoyo externo</t>
        </is>
      </c>
    </row>
    <row r="46" ht="22" customHeight="1">
      <c r="A46" s="15" t="inlineStr">
        <is>
          <t>D11</t>
        </is>
      </c>
      <c r="B46" s="15" t="inlineStr">
        <is>
          <t>1</t>
        </is>
      </c>
      <c r="C46" s="9" t="inlineStr">
        <is>
          <t>¿Conoce programas de MIDAGRI, GIZ, EFI, PROMPERÚ o cooperación para apoyo EUDR?</t>
        </is>
      </c>
      <c r="D46" s="26" t="inlineStr"/>
      <c r="E46" s="20">
        <f>IF(D46="Sí",1,IF(D46="Sí, todas",1,IF(D46="Sí, FT",1,IF(D46="Sí, PT",0.6,IF(D46="Sí, formalmente",1,IF(D46="Sí, informalmente",0.5,IF(D46="Sí, con indicadores",1,IF(D46="Sí, básico",0.5,IF(D46="Sí, los usa",1,IF(D46="Sí, los conoce",0.5,IF(D46="Parcialmente",0.5,IF(D46="Sí, algunas",0.5,IF(D46="Europa",1,IF(D46="EE.UU.",0.3,IF(D46="Asia",0.1,IF(D46="Mercado interno",0,IF(D46="No exporta",0,IF(D46="App propia",1,IF(D46="App de comprador o proyecto",0.7,IF(D46="Excel",0.4,IF(D46="Ninguno",0,IF(D46="Yute reutilizable",1,IF(D46="Big bags reciclables",0.8,IF(D46="Yute nuevo",0.3,IF(D46="Bolsas papel",0.2,IF(D46="Otro",0.1,IF(D46="En proceso",0.5,IF(D46="En gestión",0.5,IF(D46="No sabe",0.3,IF(D46="No aplica",0.5,IF(D46="No",0,IF(D46="",0,IF(ISTEXT(D46),0.5,0))))))))))))))))))))))))))</f>
        <v/>
      </c>
      <c r="F46" s="15" t="inlineStr">
        <is>
          <t>prog_apoyo</t>
        </is>
      </c>
      <c r="G46" s="15" t="inlineStr">
        <is>
          <t>Entrevista</t>
        </is>
      </c>
      <c r="H46" s="27" t="n"/>
    </row>
    <row r="47" ht="22" customHeight="1">
      <c r="A47" s="15" t="inlineStr">
        <is>
          <t>D11</t>
        </is>
      </c>
      <c r="B47" s="15" t="inlineStr">
        <is>
          <t>2</t>
        </is>
      </c>
      <c r="C47" s="9" t="inlineStr">
        <is>
          <t>¿Está inscrita en la plataforma de trazabilidad de APPCACAO o JNC?</t>
        </is>
      </c>
      <c r="D47" s="26" t="inlineStr"/>
      <c r="E47" s="20">
        <f>IF(D47="Sí",1,IF(D47="Sí, todas",1,IF(D47="Sí, FT",1,IF(D47="Sí, PT",0.6,IF(D47="Sí, formalmente",1,IF(D47="Sí, informalmente",0.5,IF(D47="Sí, con indicadores",1,IF(D47="Sí, básico",0.5,IF(D47="Sí, los usa",1,IF(D47="Sí, los conoce",0.5,IF(D47="Parcialmente",0.5,IF(D47="Sí, algunas",0.5,IF(D47="Europa",1,IF(D47="EE.UU.",0.3,IF(D47="Asia",0.1,IF(D47="Mercado interno",0,IF(D47="No exporta",0,IF(D47="App propia",1,IF(D47="App de comprador o proyecto",0.7,IF(D47="Excel",0.4,IF(D47="Ninguno",0,IF(D47="Yute reutilizable",1,IF(D47="Big bags reciclables",0.8,IF(D47="Yute nuevo",0.3,IF(D47="Bolsas papel",0.2,IF(D47="Otro",0.1,IF(D47="En proceso",0.5,IF(D47="En gestión",0.5,IF(D47="No sabe",0.3,IF(D47="No aplica",0.5,IF(D47="No",0,IF(D47="",0,IF(ISTEXT(D47),0.5,0))))))))))))))))))))))))))</f>
        <v/>
      </c>
      <c r="F47" s="15" t="inlineStr">
        <is>
          <t>plataforma_traz</t>
        </is>
      </c>
      <c r="G47" s="15" t="inlineStr">
        <is>
          <t>Verificación web + entrevista</t>
        </is>
      </c>
      <c r="H47" s="27" t="n"/>
    </row>
    <row r="48" ht="20" customHeight="1">
      <c r="A48" s="39" t="inlineStr">
        <is>
          <t>DIMENSIÓN PPWR  —  Envases y Packaging (PPWR)</t>
        </is>
      </c>
    </row>
    <row r="49" ht="22" customHeight="1">
      <c r="A49" s="15" t="inlineStr">
        <is>
          <t>PPWR</t>
        </is>
      </c>
      <c r="B49" s="15" t="inlineStr">
        <is>
          <t>P1</t>
        </is>
      </c>
      <c r="C49" s="9" t="inlineStr">
        <is>
          <t>¿Qué tipo de sacos de exportación usa principalmente?</t>
        </is>
      </c>
      <c r="D49" s="26" t="inlineStr"/>
      <c r="E49" s="20">
        <f>IF(D49="Sí",1,IF(D49="Sí, todas",1,IF(D49="Sí, FT",1,IF(D49="Sí, PT",0.6,IF(D49="Sí, formalmente",1,IF(D49="Sí, informalmente",0.5,IF(D49="Sí, con indicadores",1,IF(D49="Sí, básico",0.5,IF(D49="Sí, los usa",1,IF(D49="Sí, los conoce",0.5,IF(D49="Parcialmente",0.5,IF(D49="Sí, algunas",0.5,IF(D49="Europa",1,IF(D49="EE.UU.",0.3,IF(D49="Asia",0.1,IF(D49="Mercado interno",0,IF(D49="No exporta",0,IF(D49="App propia",1,IF(D49="App de comprador o proyecto",0.7,IF(D49="Excel",0.4,IF(D49="Ninguno",0,IF(D49="Yute reutilizable",1,IF(D49="Big bags reciclables",0.8,IF(D49="Yute nuevo",0.3,IF(D49="Bolsas papel",0.2,IF(D49="Otro",0.1,IF(D49="En proceso",0.5,IF(D49="En gestión",0.5,IF(D49="No sabe",0.3,IF(D49="No aplica",0.5,IF(D49="No",0,IF(D49="",0,IF(ISTEXT(D49),0.5,0))))))))))))))))))))))))))</f>
        <v/>
      </c>
      <c r="F49" s="15" t="inlineStr">
        <is>
          <t>tipo_saco</t>
        </is>
      </c>
      <c r="G49" s="15" t="inlineStr">
        <is>
          <t>Entrevista</t>
        </is>
      </c>
      <c r="H49" s="27" t="n"/>
    </row>
    <row r="50" ht="22" customHeight="1">
      <c r="A50" s="15" t="inlineStr">
        <is>
          <t>PPWR</t>
        </is>
      </c>
      <c r="B50" s="15" t="inlineStr">
        <is>
          <t>P2</t>
        </is>
      </c>
      <c r="C50" s="9" t="inlineStr">
        <is>
          <t>¿Los sacos tienen certificación FSC o equivalente?</t>
        </is>
      </c>
      <c r="D50" s="26" t="inlineStr"/>
      <c r="E50" s="20">
        <f>IF(D50="Sí",1,IF(D50="Sí, todas",1,IF(D50="Sí, FT",1,IF(D50="Sí, PT",0.6,IF(D50="Sí, formalmente",1,IF(D50="Sí, informalmente",0.5,IF(D50="Sí, con indicadores",1,IF(D50="Sí, básico",0.5,IF(D50="Sí, los usa",1,IF(D50="Sí, los conoce",0.5,IF(D50="Parcialmente",0.5,IF(D50="Sí, algunas",0.5,IF(D50="Europa",1,IF(D50="EE.UU.",0.3,IF(D50="Asia",0.1,IF(D50="Mercado interno",0,IF(D50="No exporta",0,IF(D50="App propia",1,IF(D50="App de comprador o proyecto",0.7,IF(D50="Excel",0.4,IF(D50="Ninguno",0,IF(D50="Yute reutilizable",1,IF(D50="Big bags reciclables",0.8,IF(D50="Yute nuevo",0.3,IF(D50="Bolsas papel",0.2,IF(D50="Otro",0.1,IF(D50="En proceso",0.5,IF(D50="En gestión",0.5,IF(D50="No sabe",0.3,IF(D50="No aplica",0.5,IF(D50="No",0,IF(D50="",0,IF(ISTEXT(D50),0.5,0))))))))))))))))))))))))))</f>
        <v/>
      </c>
      <c r="F50" s="15" t="inlineStr">
        <is>
          <t>fsc</t>
        </is>
      </c>
      <c r="G50" s="15" t="inlineStr">
        <is>
          <t>Entrevista / proveedor</t>
        </is>
      </c>
      <c r="H50" s="27" t="n"/>
    </row>
    <row r="52" ht="22" customHeight="1">
      <c r="A52" s="1" t="inlineStr">
        <is>
          <t>RESUMEN DE SCORES POR DIMENSIÓN</t>
        </is>
      </c>
    </row>
    <row r="53">
      <c r="A53" s="8" t="inlineStr">
        <is>
          <t>Dimensión</t>
        </is>
      </c>
      <c r="B53" s="8" t="inlineStr">
        <is>
          <t>Score promedio</t>
        </is>
      </c>
      <c r="C53" s="8" t="inlineStr">
        <is>
          <t>N° preguntas</t>
        </is>
      </c>
      <c r="D53" s="8" t="inlineStr">
        <is>
          <t>Nivel</t>
        </is>
      </c>
    </row>
    <row r="54">
      <c r="A54" s="9" t="inlineStr">
        <is>
          <t>D1 — Clasificación regulatoria</t>
        </is>
      </c>
      <c r="B54" s="40">
        <f>IFERROR(AVERAGEIF(E3:E6,"&gt;0"),0)</f>
        <v/>
      </c>
      <c r="C54" s="41">
        <f>COUNTIF(E3:E6,"&gt;0")</f>
        <v/>
      </c>
      <c r="D54" s="41">
        <f>IF(B54&gt;=0.67,"🟢 Verde",IF(B54&gt;=0.34,"🟡 Amarillo","🔴 Rojo"))</f>
        <v/>
      </c>
    </row>
    <row r="55">
      <c r="A55" s="9" t="inlineStr">
        <is>
          <t>D2 — Trazabilidad y geolocalización</t>
        </is>
      </c>
      <c r="B55" s="40">
        <f>IFERROR(AVERAGEIF(E7:E13,"&gt;0"),0)</f>
        <v/>
      </c>
      <c r="C55" s="41">
        <f>COUNTIF(E7:E13,"&gt;0")</f>
        <v/>
      </c>
      <c r="D55" s="41">
        <f>IF(B55&gt;=0.67,"🟢 Verde",IF(B55&gt;=0.34,"🟡 Amarillo","🔴 Rojo"))</f>
        <v/>
      </c>
    </row>
    <row r="56">
      <c r="A56" s="9" t="inlineStr">
        <is>
          <t>D3 — Legalidad de la producción</t>
        </is>
      </c>
      <c r="B56" s="40">
        <f>IFERROR(AVERAGEIF(E14:E18,"&gt;0"),0)</f>
        <v/>
      </c>
      <c r="C56" s="41">
        <f>COUNTIF(E14:E18,"&gt;0")</f>
        <v/>
      </c>
      <c r="D56" s="41">
        <f>IF(B56&gt;=0.67,"🟢 Verde",IF(B56&gt;=0.34,"🟡 Amarillo","🔴 Rojo"))</f>
        <v/>
      </c>
    </row>
    <row r="57">
      <c r="A57" s="9" t="inlineStr">
        <is>
          <t>D4 — Riesgo de deforestación</t>
        </is>
      </c>
      <c r="B57" s="40">
        <f>IFERROR(AVERAGEIF(E19:E21,"&gt;0"),0)</f>
        <v/>
      </c>
      <c r="C57" s="41">
        <f>COUNTIF(E19:E21,"&gt;0")</f>
        <v/>
      </c>
      <c r="D57" s="41">
        <f>IF(B57&gt;=0.67,"🟢 Verde",IF(B57&gt;=0.34,"🟡 Amarillo","🔴 Rojo"))</f>
        <v/>
      </c>
    </row>
    <row r="58">
      <c r="A58" s="9" t="inlineStr">
        <is>
          <t>D5 — Sistema de debida diligencia</t>
        </is>
      </c>
      <c r="B58" s="40">
        <f>IFERROR(AVERAGEIF(E22:E25,"&gt;0"),0)</f>
        <v/>
      </c>
      <c r="C58" s="41">
        <f>COUNTIF(E22:E25,"&gt;0")</f>
        <v/>
      </c>
      <c r="D58" s="41">
        <f>IF(B58&gt;=0.67,"🟢 Verde",IF(B58&gt;=0.34,"🟡 Amarillo","🔴 Rojo"))</f>
        <v/>
      </c>
    </row>
    <row r="59">
      <c r="A59" s="9" t="inlineStr">
        <is>
          <t>D6 — Capacidad organizacional y digital</t>
        </is>
      </c>
      <c r="B59" s="40">
        <f>IFERROR(AVERAGEIF(E26:E30,"&gt;0"),0)</f>
        <v/>
      </c>
      <c r="C59" s="41">
        <f>COUNTIF(E26:E30,"&gt;0")</f>
        <v/>
      </c>
      <c r="D59" s="41">
        <f>IF(B59&gt;=0.67,"🟢 Verde",IF(B59&gt;=0.34,"🟡 Amarillo","🔴 Rojo"))</f>
        <v/>
      </c>
    </row>
    <row r="60">
      <c r="A60" s="9" t="inlineStr">
        <is>
          <t>D7 — Posición en la cadena de valor</t>
        </is>
      </c>
      <c r="B60" s="40">
        <f>IFERROR(AVERAGEIF(E31:E35,"&gt;0"),0)</f>
        <v/>
      </c>
      <c r="C60" s="41">
        <f>COUNTIF(E31:E35,"&gt;0")</f>
        <v/>
      </c>
      <c r="D60" s="41">
        <f>IF(B60&gt;=0.67,"🟢 Verde",IF(B60&gt;=0.34,"🟡 Amarillo","🔴 Rojo"))</f>
        <v/>
      </c>
    </row>
    <row r="61">
      <c r="A61" s="9" t="inlineStr">
        <is>
          <t>D8 — Gobernanza y participación de socios</t>
        </is>
      </c>
      <c r="B61" s="40">
        <f>IFERROR(AVERAGEIF(E36:E38,"&gt;0"),0)</f>
        <v/>
      </c>
      <c r="C61" s="41">
        <f>COUNTIF(E36:E38,"&gt;0")</f>
        <v/>
      </c>
      <c r="D61" s="41">
        <f>IF(B61&gt;=0.67,"🟢 Verde",IF(B61&gt;=0.34,"🟡 Amarillo","🔴 Rojo"))</f>
        <v/>
      </c>
    </row>
    <row r="62">
      <c r="A62" s="9" t="inlineStr">
        <is>
          <t>D9 — Sostenibilidad económica del cumplimiento</t>
        </is>
      </c>
      <c r="B62" s="40">
        <f>IFERROR(AVERAGEIF(E39:E41,"&gt;0"),0)</f>
        <v/>
      </c>
      <c r="C62" s="41">
        <f>COUNTIF(E39:E41,"&gt;0")</f>
        <v/>
      </c>
      <c r="D62" s="41">
        <f>IF(B62&gt;=0.67,"🟢 Verde",IF(B62&gt;=0.34,"🟡 Amarillo","🔴 Rojo"))</f>
        <v/>
      </c>
    </row>
    <row r="63">
      <c r="A63" s="9" t="inlineStr">
        <is>
          <t>D10 — Confusión certificación / EUDR</t>
        </is>
      </c>
      <c r="B63" s="40">
        <f>IFERROR(AVERAGEIF(E42:E44,"&gt;0"),0)</f>
        <v/>
      </c>
      <c r="C63" s="41">
        <f>COUNTIF(E42:E44,"&gt;0")</f>
        <v/>
      </c>
      <c r="D63" s="41">
        <f>IF(B63&gt;=0.67,"🟢 Verde",IF(B63&gt;=0.34,"🟡 Amarillo","🔴 Rojo"))</f>
        <v/>
      </c>
    </row>
    <row r="64">
      <c r="A64" s="9" t="inlineStr">
        <is>
          <t>D11 — Ecosistema de apoyo externo</t>
        </is>
      </c>
      <c r="B64" s="40">
        <f>IFERROR(AVERAGEIF(E45:E47,"&gt;0"),0)</f>
        <v/>
      </c>
      <c r="C64" s="41">
        <f>COUNTIF(E45:E47,"&gt;0")</f>
        <v/>
      </c>
      <c r="D64" s="41">
        <f>IF(B64&gt;=0.67,"🟢 Verde",IF(B64&gt;=0.34,"🟡 Amarillo","🔴 Rojo"))</f>
        <v/>
      </c>
    </row>
    <row r="65">
      <c r="A65" s="9" t="inlineStr">
        <is>
          <t>PPWR — Envases y Packaging (PPWR)</t>
        </is>
      </c>
      <c r="B65" s="40">
        <f>IFERROR(AVERAGEIF(E48:E50,"&gt;0"),0)</f>
        <v/>
      </c>
      <c r="C65" s="41">
        <f>COUNTIF(E48:E50,"&gt;0")</f>
        <v/>
      </c>
      <c r="D65" s="41">
        <f>IF(B65&gt;=0.67,"🟢 Verde",IF(B65&gt;=0.34,"🟡 Amarillo","🔴 Rojo"))</f>
        <v/>
      </c>
    </row>
  </sheetData>
  <mergeCells count="14">
    <mergeCell ref="A48:H48"/>
    <mergeCell ref="A3:H3"/>
    <mergeCell ref="A26:H26"/>
    <mergeCell ref="A39:H39"/>
    <mergeCell ref="A7:H7"/>
    <mergeCell ref="A52:H52"/>
    <mergeCell ref="A1:I1"/>
    <mergeCell ref="A42:H42"/>
    <mergeCell ref="A19:H19"/>
    <mergeCell ref="A14:H14"/>
    <mergeCell ref="A36:H36"/>
    <mergeCell ref="A45:H45"/>
    <mergeCell ref="A31:H31"/>
    <mergeCell ref="A22:H22"/>
  </mergeCells>
  <dataValidations count="36">
    <dataValidation sqref="D4" showDropDown="0" showInputMessage="0" showErrorMessage="0" allowBlank="1" type="list">
      <formula1>"Operador directo (exporta bajo su RUC);Comerciante (compra a socios);Micro-operador (vende a exportador)"</formula1>
    </dataValidation>
    <dataValidation sqref="D5" showDropDown="0" showInputMessage="0" showErrorMessage="0" allowBlank="1" type="list">
      <formula1>"Sí;No;No sabe"</formula1>
    </dataValidation>
    <dataValidation sqref="D6" showDropDown="0" showInputMessage="0" showErrorMessage="0" allowBlank="1" type="list">
      <formula1>"Sí;No;Parcialmente"</formula1>
    </dataValidation>
    <dataValidation sqref="D8" showDropDown="0" showInputMessage="0" showErrorMessage="0" allowBlank="1" type="list">
      <formula1>"Sí;Parcialmente;No"</formula1>
    </dataValidation>
    <dataValidation sqref="D9" showDropDown="0" showInputMessage="0" showErrorMessage="0" allowBlank="1" type="list">
      <formula1>"Sí, todas;Sí, algunas;No"</formula1>
    </dataValidation>
    <dataValidation sqref="D10" showDropDown="0" showInputMessage="0" showErrorMessage="0" allowBlank="1" type="list">
      <formula1>"Cada campaña;Cada año;Cuando hay reclamo;Nunca"</formula1>
    </dataValidation>
    <dataValidation sqref="D11" showDropDown="0" showInputMessage="0" showErrorMessage="0" allowBlank="1" type="list">
      <formula1>"Sí;No"</formula1>
    </dataValidation>
    <dataValidation sqref="D12" showDropDown="0" showInputMessage="0" showErrorMessage="0" allowBlank="1" type="list">
      <formula1>"0-100%"</formula1>
    </dataValidation>
    <dataValidation sqref="D13" showDropDown="0" showInputMessage="0" showErrorMessage="0" allowBlank="1" type="list">
      <formula1>"Sí;Parcialmente;No"</formula1>
    </dataValidation>
    <dataValidation sqref="D15" showDropDown="0" showInputMessage="0" showErrorMessage="0" allowBlank="1" type="list">
      <formula1>"0-100%"</formula1>
    </dataValidation>
    <dataValidation sqref="D16" showDropDown="0" showInputMessage="0" showErrorMessage="0" allowBlank="1" type="list">
      <formula1>"Sí;No;No sabe"</formula1>
    </dataValidation>
    <dataValidation sqref="D17" showDropDown="0" showInputMessage="0" showErrorMessage="0" allowBlank="1" type="list">
      <formula1>"Sí;No;En proceso"</formula1>
    </dataValidation>
    <dataValidation sqref="D18" showDropDown="0" showInputMessage="0" showErrorMessage="0" allowBlank="1" type="list">
      <formula1>"Sí;No;No sabe"</formula1>
    </dataValidation>
    <dataValidation sqref="D20" showDropDown="0" showInputMessage="0" showErrorMessage="0" allowBlank="1" type="list">
      <formula1>"Sí;No;No sabe"</formula1>
    </dataValidation>
    <dataValidation sqref="D21" showDropDown="0" showInputMessage="0" showErrorMessage="0" allowBlank="1" type="list">
      <formula1>"Sí;No;No sabe"</formula1>
    </dataValidation>
    <dataValidation sqref="D23" showDropDown="0" showInputMessage="0" showErrorMessage="0" allowBlank="1" type="list">
      <formula1>"Sí;Parcialmente;No"</formula1>
    </dataValidation>
    <dataValidation sqref="D24" showDropDown="0" showInputMessage="0" showErrorMessage="0" allowBlank="1" type="list">
      <formula1>"Sí;No;No aplica"</formula1>
    </dataValidation>
    <dataValidation sqref="D25" showDropDown="0" showInputMessage="0" showErrorMessage="0" allowBlank="1" type="list">
      <formula1>"Sí, con indicadores;Sí, básico;No"</formula1>
    </dataValidation>
    <dataValidation sqref="D27" showDropDown="0" showInputMessage="0" showErrorMessage="0" allowBlank="1" type="list">
      <formula1>"Sí, FT;Sí, PT;No"</formula1>
    </dataValidation>
    <dataValidation sqref="D28" showDropDown="0" showInputMessage="0" showErrorMessage="0" allowBlank="1" type="list">
      <formula1>"Sí;Parcial;No"</formula1>
    </dataValidation>
    <dataValidation sqref="D29" showDropDown="0" showInputMessage="0" showErrorMessage="0" allowBlank="1" type="list">
      <formula1>"App propia;App de comprador o proyecto;Excel;Ninguno"</formula1>
    </dataValidation>
    <dataValidation sqref="D30" showDropDown="0" showInputMessage="0" showErrorMessage="0" allowBlank="1" type="list">
      <formula1>"Sí;No;No sabe"</formula1>
    </dataValidation>
    <dataValidation sqref="D32" showDropDown="0" showInputMessage="0" showErrorMessage="0" allowBlank="1" type="list">
      <formula1>"Europa;EE.UU.;Asia;Mercado interno;No exporta"</formula1>
    </dataValidation>
    <dataValidation sqref="D33" showDropDown="0" showInputMessage="0" showErrorMessage="0" allowBlank="1" type="list">
      <formula1>"Sí;No;No sabe"</formula1>
    </dataValidation>
    <dataValidation sqref="D34" showDropDown="0" showInputMessage="0" showErrorMessage="0" allowBlank="1" type="list">
      <formula1>"Sí, formalmente;Sí, informalmente;No"</formula1>
    </dataValidation>
    <dataValidation sqref="D35" showDropDown="0" showInputMessage="0" showErrorMessage="0" allowBlank="1" type="list">
      <formula1>"Sí;No;No sabe"</formula1>
    </dataValidation>
    <dataValidation sqref="D37" showDropDown="0" showInputMessage="0" showErrorMessage="0" allowBlank="1" type="list">
      <formula1>"Sí;Parcialmente;No"</formula1>
    </dataValidation>
    <dataValidation sqref="D38" showDropDown="0" showInputMessage="0" showErrorMessage="0" allowBlank="1" type="list">
      <formula1>"Sí;Parcialmente;No"</formula1>
    </dataValidation>
    <dataValidation sqref="D40" showDropDown="0" showInputMessage="0" showErrorMessage="0" allowBlank="1" type="list">
      <formula1>"Sí;No;No sabe"</formula1>
    </dataValidation>
    <dataValidation sqref="D41" showDropDown="0" showInputMessage="0" showErrorMessage="0" allowBlank="1" type="list">
      <formula1>"Sí;No;En gestión"</formula1>
    </dataValidation>
    <dataValidation sqref="D43" showDropDown="0" showInputMessage="0" showErrorMessage="0" allowBlank="1" type="list">
      <formula1>"Sí;No;No sabe"</formula1>
    </dataValidation>
    <dataValidation sqref="D44" showDropDown="0" showInputMessage="0" showErrorMessage="0" allowBlank="1" type="list">
      <formula1>"Sí;No"</formula1>
    </dataValidation>
    <dataValidation sqref="D46" showDropDown="0" showInputMessage="0" showErrorMessage="0" allowBlank="1" type="list">
      <formula1>"Sí, los usa;Sí, los conoce;No"</formula1>
    </dataValidation>
    <dataValidation sqref="D47" showDropDown="0" showInputMessage="0" showErrorMessage="0" allowBlank="1" type="list">
      <formula1>"Sí;En proceso;No"</formula1>
    </dataValidation>
    <dataValidation sqref="D49" showDropDown="0" showInputMessage="0" showErrorMessage="0" allowBlank="1" type="list">
      <formula1>"Yute reutilizable;Yute nuevo;Big bags reciclables;Bolsas papel;Otro"</formula1>
    </dataValidation>
    <dataValidation sqref="D50" showDropDown="0" showInputMessage="0" showErrorMessage="0" allowBlank="1" type="list">
      <formula1>"Sí;No;No sabe"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4" customWidth="1" min="4" max="4"/>
    <col width="8" customWidth="1" min="5" max="5"/>
    <col width="14" customWidth="1" min="6" max="6"/>
    <col width="10" customWidth="1" min="7" max="7"/>
    <col width="11" customWidth="1" min="8" max="8"/>
    <col width="12" customWidth="1" min="9" max="9"/>
    <col width="13" customWidth="1" min="10" max="10"/>
    <col width="14" customWidth="1" min="11" max="11"/>
    <col width="10" customWidth="1" min="12" max="12"/>
    <col width="8" customWidth="1" min="13" max="13"/>
    <col width="14" customWidth="1" min="14" max="14"/>
    <col width="16" customWidth="1" min="15" max="15"/>
  </cols>
  <sheetData>
    <row r="1" ht="28" customHeight="1">
      <c r="A1" s="1" t="inlineStr">
        <is>
          <t>SCORECARDS — Índice PVE por organización (0-100)</t>
        </is>
      </c>
    </row>
    <row r="2" ht="22" customHeight="1">
      <c r="A2" s="8" t="inlineStr">
        <is>
          <t>RUC</t>
        </is>
      </c>
      <c r="B2" s="8" t="inlineStr">
        <is>
          <t>Razón Social</t>
        </is>
      </c>
      <c r="C2" s="8" t="inlineStr">
        <is>
          <t>PVE Score</t>
        </is>
      </c>
      <c r="D2" s="8" t="inlineStr">
        <is>
          <t>Semáforo</t>
        </is>
      </c>
      <c r="E2" s="8" t="inlineStr">
        <is>
          <t>Ranking</t>
        </is>
      </c>
      <c r="F2" s="8" t="inlineStr">
        <is>
          <t>FOB UE USD</t>
        </is>
      </c>
      <c r="G2" s="8" t="inlineStr">
        <is>
          <t>% UE/FOB</t>
        </is>
      </c>
      <c r="H2" s="8" t="inlineStr">
        <is>
          <t>Trazab. (D2)</t>
        </is>
      </c>
      <c r="I2" s="8" t="inlineStr">
        <is>
          <t>Dilig. (D5)</t>
        </is>
      </c>
      <c r="J2" s="8" t="inlineStr">
        <is>
          <t>Capacidad (D6)</t>
        </is>
      </c>
      <c r="K2" s="65" t="inlineStr">
        <is>
          <t>Legalidad
D3 (OSCE)</t>
        </is>
      </c>
      <c r="L2" s="8" t="inlineStr">
        <is>
          <t>Cert (0-1)</t>
        </is>
      </c>
      <c r="M2" s="8" t="inlineStr">
        <is>
          <t>PPWR</t>
        </is>
      </c>
      <c r="N2" s="8" t="inlineStr">
        <is>
          <t>Depto</t>
        </is>
      </c>
      <c r="O2" s="8" t="inlineStr">
        <is>
          <t>Segmento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42">
        <f>ROUND(PONDERADORES!$D$12*G3+PONDERADORES!$D$13*H3+PONDERADORES!$D$14*I3+PONDERADORES!$D$15*J3+PONDERADORES!$D$16*K3+PONDERADORES!$D$17*L3+PONDERADORES!$D$18*M3,1)</f>
        <v/>
      </c>
      <c r="D3" s="23">
        <f>IF(C3&lt;34,"🔴 Critico",IF(C3&lt;67,"🟡 Vulnerable","🟢 Preparado"))</f>
        <v/>
      </c>
      <c r="E3" s="23">
        <f>IFERROR(RANK(C3,C:C,-1),"")</f>
        <v/>
      </c>
      <c r="F3" s="43" t="n">
        <v>2553623.31</v>
      </c>
      <c r="G3" s="44">
        <f>IFERROR(MATRIZ_174!M3,0)</f>
        <v/>
      </c>
      <c r="H3" s="45" t="n">
        <v>0</v>
      </c>
      <c r="I3" s="45" t="n">
        <v>0</v>
      </c>
      <c r="J3" s="45" t="n">
        <v>0</v>
      </c>
      <c r="K3" s="66">
        <f>IFERROR(INDEX(MATRIZ_174!$U:$U,MATCH(A3,MATRIZ_174!$A:$A,0)),"")</f>
        <v/>
      </c>
      <c r="L3" s="46">
        <f>IFERROR(MATRIZ_174!O3,0)</f>
        <v/>
      </c>
      <c r="M3" s="45" t="n">
        <v>0</v>
      </c>
      <c r="N3" s="23">
        <f>IF(AND(F3&gt;0,C3&lt;34),"🔴 UE + Critico",IF(AND(F3&gt;0,C3&lt;67),"🟡 UE + Vulnerable",IF(AND(F3&gt;0,C3&gt;=67),"🟢 UE + Preparado",IF(C3=0,"— Sin dato","Sin exposición UE"))))</f>
        <v/>
      </c>
      <c r="O3" s="15" t="inlineStr">
        <is>
          <t>PUNO</t>
        </is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42">
        <f>ROUND(PONDERADORES!$D$12*G4+PONDERADORES!$D$13*H4+PONDERADORES!$D$14*I4+PONDERADORES!$D$15*J4+PONDERADORES!$D$16*K4+PONDERADORES!$D$17*L4+PONDERADORES!$D$18*M4,1)</f>
        <v/>
      </c>
      <c r="D4" s="23">
        <f>IF(C4&lt;34,"🔴 Critico",IF(C4&lt;67,"🟡 Vulnerable","🟢 Preparado"))</f>
        <v/>
      </c>
      <c r="E4" s="23">
        <f>IFERROR(RANK(C4,C:C,-1),"")</f>
        <v/>
      </c>
      <c r="F4" s="43" t="n">
        <v>0</v>
      </c>
      <c r="G4" s="44">
        <f>IFERROR(MATRIZ_174!M4,0)</f>
        <v/>
      </c>
      <c r="H4" s="45" t="n">
        <v>0</v>
      </c>
      <c r="I4" s="45" t="n">
        <v>0</v>
      </c>
      <c r="J4" s="45" t="n">
        <v>0</v>
      </c>
      <c r="K4" s="66">
        <f>IFERROR(INDEX(MATRIZ_174!$U:$U,MATCH(A4,MATRIZ_174!$A:$A,0)),"")</f>
        <v/>
      </c>
      <c r="L4" s="46">
        <f>IFERROR(MATRIZ_174!O4,0)</f>
        <v/>
      </c>
      <c r="M4" s="45" t="n">
        <v>0</v>
      </c>
      <c r="N4" s="23">
        <f>IF(AND(F4&gt;0,C4&lt;34),"🔴 UE + Critico",IF(AND(F4&gt;0,C4&lt;67),"🟡 UE + Vulnerable",IF(AND(F4&gt;0,C4&gt;=67),"🟢 UE + Preparado",IF(C4=0,"— Sin dato","Sin exposición UE"))))</f>
        <v/>
      </c>
      <c r="O4" s="15" t="inlineStr">
        <is>
          <t>AYACUCHO</t>
        </is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42">
        <f>ROUND(PONDERADORES!$D$12*G5+PONDERADORES!$D$13*H5+PONDERADORES!$D$14*I5+PONDERADORES!$D$15*J5+PONDERADORES!$D$16*K5+PONDERADORES!$D$17*L5+PONDERADORES!$D$18*M5,1)</f>
        <v/>
      </c>
      <c r="D5" s="23">
        <f>IF(C5&lt;34,"🔴 Critico",IF(C5&lt;67,"🟡 Vulnerable","🟢 Preparado"))</f>
        <v/>
      </c>
      <c r="E5" s="23">
        <f>IFERROR(RANK(C5,C:C,-1),"")</f>
        <v/>
      </c>
      <c r="F5" s="43" t="n">
        <v>4801984.06</v>
      </c>
      <c r="G5" s="44">
        <f>IFERROR(MATRIZ_174!M5,0)</f>
        <v/>
      </c>
      <c r="H5" s="45" t="n">
        <v>0</v>
      </c>
      <c r="I5" s="45" t="n">
        <v>0</v>
      </c>
      <c r="J5" s="45" t="n">
        <v>0</v>
      </c>
      <c r="K5" s="66">
        <f>IFERROR(INDEX(MATRIZ_174!$U:$U,MATCH(A5,MATRIZ_174!$A:$A,0)),"")</f>
        <v/>
      </c>
      <c r="L5" s="46">
        <f>IFERROR(MATRIZ_174!O5,0)</f>
        <v/>
      </c>
      <c r="M5" s="45" t="n">
        <v>0</v>
      </c>
      <c r="N5" s="23">
        <f>IF(AND(F5&gt;0,C5&lt;34),"🔴 UE + Critico",IF(AND(F5&gt;0,C5&lt;67),"🟡 UE + Vulnerable",IF(AND(F5&gt;0,C5&gt;=67),"🟢 UE + Preparado",IF(C5=0,"— Sin dato","Sin exposición UE"))))</f>
        <v/>
      </c>
      <c r="O5" s="15" t="inlineStr">
        <is>
          <t>JUNIN</t>
        </is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42">
        <f>ROUND(PONDERADORES!$D$12*G6+PONDERADORES!$D$13*H6+PONDERADORES!$D$14*I6+PONDERADORES!$D$15*J6+PONDERADORES!$D$16*K6+PONDERADORES!$D$17*L6+PONDERADORES!$D$18*M6,1)</f>
        <v/>
      </c>
      <c r="D6" s="23">
        <f>IF(C6&lt;34,"🔴 Critico",IF(C6&lt;67,"🟡 Vulnerable","🟢 Preparado"))</f>
        <v/>
      </c>
      <c r="E6" s="23">
        <f>IFERROR(RANK(C6,C:C,-1),"")</f>
        <v/>
      </c>
      <c r="F6" s="43">
        <f>IFERROR(MATRIZ_174!L6,0)</f>
        <v/>
      </c>
      <c r="G6" s="44">
        <f>IFERROR(MATRIZ_174!M6,0)</f>
        <v/>
      </c>
      <c r="H6" s="45" t="n">
        <v>0</v>
      </c>
      <c r="I6" s="45" t="n">
        <v>0</v>
      </c>
      <c r="J6" s="45" t="n">
        <v>0</v>
      </c>
      <c r="K6" s="66">
        <f>IFERROR(INDEX(MATRIZ_174!$U:$U,MATCH(A6,MATRIZ_174!$A:$A,0)),"")</f>
        <v/>
      </c>
      <c r="L6" s="46">
        <f>IFERROR(MATRIZ_174!O6,0)</f>
        <v/>
      </c>
      <c r="M6" s="45" t="n">
        <v>0</v>
      </c>
      <c r="N6" s="23">
        <f>IF(AND(F6&gt;0,C6&lt;34),"🔴 UE + Critico",IF(AND(F6&gt;0,C6&lt;67),"🟡 UE + Vulnerable",IF(AND(F6&gt;0,C6&gt;=67),"🟢 UE + Preparado",IF(C6=0,"— Sin dato","Sin exposición UE"))))</f>
        <v/>
      </c>
      <c r="O6" s="15" t="inlineStr">
        <is>
          <t>CUSCO</t>
        </is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42">
        <f>ROUND(PONDERADORES!$D$12*G7+PONDERADORES!$D$13*H7+PONDERADORES!$D$14*I7+PONDERADORES!$D$15*J7+PONDERADORES!$D$16*K7+PONDERADORES!$D$17*L7+PONDERADORES!$D$18*M7,1)</f>
        <v/>
      </c>
      <c r="D7" s="23">
        <f>IF(C7&lt;34,"🔴 Critico",IF(C7&lt;67,"🟡 Vulnerable","🟢 Preparado"))</f>
        <v/>
      </c>
      <c r="E7" s="23">
        <f>IFERROR(RANK(C7,C:C,-1),"")</f>
        <v/>
      </c>
      <c r="F7" s="43">
        <f>IFERROR(MATRIZ_174!L7,0)</f>
        <v/>
      </c>
      <c r="G7" s="44">
        <f>IFERROR(MATRIZ_174!M7,0)</f>
        <v/>
      </c>
      <c r="H7" s="45" t="n">
        <v>0</v>
      </c>
      <c r="I7" s="45" t="n">
        <v>0</v>
      </c>
      <c r="J7" s="45" t="n">
        <v>0</v>
      </c>
      <c r="K7" s="66">
        <f>IFERROR(INDEX(MATRIZ_174!$U:$U,MATCH(A7,MATRIZ_174!$A:$A,0)),"")</f>
        <v/>
      </c>
      <c r="L7" s="46">
        <f>IFERROR(MATRIZ_174!O7,0)</f>
        <v/>
      </c>
      <c r="M7" s="45" t="n">
        <v>0</v>
      </c>
      <c r="N7" s="23">
        <f>IF(AND(F7&gt;0,C7&lt;34),"🔴 UE + Critico",IF(AND(F7&gt;0,C7&lt;67),"🟡 UE + Vulnerable",IF(AND(F7&gt;0,C7&gt;=67),"🟢 UE + Preparado",IF(C7=0,"— Sin dato","Sin exposición UE"))))</f>
        <v/>
      </c>
      <c r="O7" s="15" t="inlineStr">
        <is>
          <t>CUSCO</t>
        </is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42">
        <f>ROUND(PONDERADORES!$D$12*G8+PONDERADORES!$D$13*H8+PONDERADORES!$D$14*I8+PONDERADORES!$D$15*J8+PONDERADORES!$D$16*K8+PONDERADORES!$D$17*L8+PONDERADORES!$D$18*M8,1)</f>
        <v/>
      </c>
      <c r="D8" s="23">
        <f>IF(C8&lt;34,"🔴 Critico",IF(C8&lt;67,"🟡 Vulnerable","🟢 Preparado"))</f>
        <v/>
      </c>
      <c r="E8" s="23">
        <f>IFERROR(RANK(C8,C:C,-1),"")</f>
        <v/>
      </c>
      <c r="F8" s="43" t="n">
        <v>1238541.75</v>
      </c>
      <c r="G8" s="44">
        <f>IFERROR(MATRIZ_174!M8,0)</f>
        <v/>
      </c>
      <c r="H8" s="45" t="n">
        <v>0</v>
      </c>
      <c r="I8" s="45" t="n">
        <v>0</v>
      </c>
      <c r="J8" s="45" t="n">
        <v>0</v>
      </c>
      <c r="K8" s="66">
        <f>IFERROR(INDEX(MATRIZ_174!$U:$U,MATCH(A8,MATRIZ_174!$A:$A,0)),"")</f>
        <v/>
      </c>
      <c r="L8" s="46">
        <f>IFERROR(MATRIZ_174!O8,0)</f>
        <v/>
      </c>
      <c r="M8" s="45" t="n">
        <v>0</v>
      </c>
      <c r="N8" s="23">
        <f>IF(AND(F8&gt;0,C8&lt;34),"🔴 UE + Critico",IF(AND(F8&gt;0,C8&lt;67),"🟡 UE + Vulnerable",IF(AND(F8&gt;0,C8&gt;=67),"🟢 UE + Preparado",IF(C8=0,"— Sin dato","Sin exposición UE"))))</f>
        <v/>
      </c>
      <c r="O8" s="15" t="inlineStr">
        <is>
          <t>CUSCO</t>
        </is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42">
        <f>ROUND(PONDERADORES!$D$12*G9+PONDERADORES!$D$13*H9+PONDERADORES!$D$14*I9+PONDERADORES!$D$15*J9+PONDERADORES!$D$16*K9+PONDERADORES!$D$17*L9+PONDERADORES!$D$18*M9,1)</f>
        <v/>
      </c>
      <c r="D9" s="23">
        <f>IF(C9&lt;34,"🔴 Critico",IF(C9&lt;67,"🟡 Vulnerable","🟢 Preparado"))</f>
        <v/>
      </c>
      <c r="E9" s="23">
        <f>IFERROR(RANK(C9,C:C,-1),"")</f>
        <v/>
      </c>
      <c r="F9" s="43" t="n">
        <v>0</v>
      </c>
      <c r="G9" s="44">
        <f>IFERROR(MATRIZ_174!M9,0)</f>
        <v/>
      </c>
      <c r="H9" s="45" t="n">
        <v>0</v>
      </c>
      <c r="I9" s="45" t="n">
        <v>0</v>
      </c>
      <c r="J9" s="45" t="n">
        <v>0</v>
      </c>
      <c r="K9" s="66">
        <f>IFERROR(INDEX(MATRIZ_174!$U:$U,MATCH(A9,MATRIZ_174!$A:$A,0)),"")</f>
        <v/>
      </c>
      <c r="L9" s="46">
        <f>IFERROR(MATRIZ_174!O9,0)</f>
        <v/>
      </c>
      <c r="M9" s="45" t="n">
        <v>0</v>
      </c>
      <c r="N9" s="23">
        <f>IF(AND(F9&gt;0,C9&lt;34),"🔴 UE + Critico",IF(AND(F9&gt;0,C9&lt;67),"🟡 UE + Vulnerable",IF(AND(F9&gt;0,C9&gt;=67),"🟢 UE + Preparado",IF(C9=0,"— Sin dato","Sin exposición UE"))))</f>
        <v/>
      </c>
      <c r="O9" s="15" t="inlineStr">
        <is>
          <t>CUSCO</t>
        </is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42">
        <f>ROUND(PONDERADORES!$D$12*G10+PONDERADORES!$D$13*H10+PONDERADORES!$D$14*I10+PONDERADORES!$D$15*J10+PONDERADORES!$D$16*K10+PONDERADORES!$D$17*L10+PONDERADORES!$D$18*M10,1)</f>
        <v/>
      </c>
      <c r="D10" s="23">
        <f>IF(C10&lt;34,"🔴 Critico",IF(C10&lt;67,"🟡 Vulnerable","🟢 Preparado"))</f>
        <v/>
      </c>
      <c r="E10" s="23">
        <f>IFERROR(RANK(C10,C:C,-1),"")</f>
        <v/>
      </c>
      <c r="F10" s="43" t="n">
        <v>0</v>
      </c>
      <c r="G10" s="44">
        <f>IFERROR(MATRIZ_174!M10,0)</f>
        <v/>
      </c>
      <c r="H10" s="45" t="n">
        <v>0</v>
      </c>
      <c r="I10" s="45" t="n">
        <v>0</v>
      </c>
      <c r="J10" s="45" t="n">
        <v>0</v>
      </c>
      <c r="K10" s="66">
        <f>IFERROR(INDEX(MATRIZ_174!$U:$U,MATCH(A10,MATRIZ_174!$A:$A,0)),"")</f>
        <v/>
      </c>
      <c r="L10" s="46">
        <f>IFERROR(MATRIZ_174!O10,0)</f>
        <v/>
      </c>
      <c r="M10" s="45" t="n">
        <v>0</v>
      </c>
      <c r="N10" s="23">
        <f>IF(AND(F10&gt;0,C10&lt;34),"🔴 UE + Critico",IF(AND(F10&gt;0,C10&lt;67),"🟡 UE + Vulnerable",IF(AND(F10&gt;0,C10&gt;=67),"🟢 UE + Preparado",IF(C10=0,"— Sin dato","Sin exposición UE"))))</f>
        <v/>
      </c>
      <c r="O10" s="15" t="inlineStr">
        <is>
          <t>CUSCO</t>
        </is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42">
        <f>ROUND(PONDERADORES!$D$12*G11+PONDERADORES!$D$13*H11+PONDERADORES!$D$14*I11+PONDERADORES!$D$15*J11+PONDERADORES!$D$16*K11+PONDERADORES!$D$17*L11+PONDERADORES!$D$18*M11,1)</f>
        <v/>
      </c>
      <c r="D11" s="23">
        <f>IF(C11&lt;34,"🔴 Critico",IF(C11&lt;67,"🟡 Vulnerable","🟢 Preparado"))</f>
        <v/>
      </c>
      <c r="E11" s="23">
        <f>IFERROR(RANK(C11,C:C,-1),"")</f>
        <v/>
      </c>
      <c r="F11" s="43">
        <f>IFERROR(MATRIZ_174!L11,0)</f>
        <v/>
      </c>
      <c r="G11" s="44">
        <f>IFERROR(MATRIZ_174!M11,0)</f>
        <v/>
      </c>
      <c r="H11" s="45" t="n">
        <v>0</v>
      </c>
      <c r="I11" s="45" t="n">
        <v>0</v>
      </c>
      <c r="J11" s="45" t="n">
        <v>0</v>
      </c>
      <c r="K11" s="66">
        <f>IFERROR(INDEX(MATRIZ_174!$U:$U,MATCH(A11,MATRIZ_174!$A:$A,0)),"")</f>
        <v/>
      </c>
      <c r="L11" s="46">
        <f>IFERROR(MATRIZ_174!O11,0)</f>
        <v/>
      </c>
      <c r="M11" s="45" t="n">
        <v>0</v>
      </c>
      <c r="N11" s="23">
        <f>IF(AND(F11&gt;0,C11&lt;34),"🔴 UE + Critico",IF(AND(F11&gt;0,C11&lt;67),"🟡 UE + Vulnerable",IF(AND(F11&gt;0,C11&gt;=67),"🟢 UE + Preparado",IF(C11=0,"— Sin dato","Sin exposición UE"))))</f>
        <v/>
      </c>
      <c r="O11" s="15" t="inlineStr">
        <is>
          <t>CUSCO</t>
        </is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42">
        <f>ROUND(PONDERADORES!$D$12*G12+PONDERADORES!$D$13*H12+PONDERADORES!$D$14*I12+PONDERADORES!$D$15*J12+PONDERADORES!$D$16*K12+PONDERADORES!$D$17*L12+PONDERADORES!$D$18*M12,1)</f>
        <v/>
      </c>
      <c r="D12" s="23">
        <f>IF(C12&lt;34,"🔴 Critico",IF(C12&lt;67,"🟡 Vulnerable","🟢 Preparado"))</f>
        <v/>
      </c>
      <c r="E12" s="23">
        <f>IFERROR(RANK(C12,C:C,-1),"")</f>
        <v/>
      </c>
      <c r="F12" s="43" t="n">
        <v>894391.27</v>
      </c>
      <c r="G12" s="44">
        <f>IFERROR(MATRIZ_174!M12,0)</f>
        <v/>
      </c>
      <c r="H12" s="45" t="n">
        <v>0</v>
      </c>
      <c r="I12" s="45" t="n">
        <v>0</v>
      </c>
      <c r="J12" s="45" t="n">
        <v>0</v>
      </c>
      <c r="K12" s="66">
        <f>IFERROR(INDEX(MATRIZ_174!$U:$U,MATCH(A12,MATRIZ_174!$A:$A,0)),"")</f>
        <v/>
      </c>
      <c r="L12" s="46">
        <f>IFERROR(MATRIZ_174!O12,0)</f>
        <v/>
      </c>
      <c r="M12" s="45" t="n">
        <v>0</v>
      </c>
      <c r="N12" s="23">
        <f>IF(AND(F12&gt;0,C12&lt;34),"🔴 UE + Critico",IF(AND(F12&gt;0,C12&lt;67),"🟡 UE + Vulnerable",IF(AND(F12&gt;0,C12&gt;=67),"🟢 UE + Preparado",IF(C12=0,"— Sin dato","Sin exposición UE"))))</f>
        <v/>
      </c>
      <c r="O12" s="15" t="inlineStr">
        <is>
          <t>CUSCO</t>
        </is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42">
        <f>ROUND(PONDERADORES!$D$12*G13+PONDERADORES!$D$13*H13+PONDERADORES!$D$14*I13+PONDERADORES!$D$15*J13+PONDERADORES!$D$16*K13+PONDERADORES!$D$17*L13+PONDERADORES!$D$18*M13,1)</f>
        <v/>
      </c>
      <c r="D13" s="23">
        <f>IF(C13&lt;34,"🔴 Critico",IF(C13&lt;67,"🟡 Vulnerable","🟢 Preparado"))</f>
        <v/>
      </c>
      <c r="E13" s="23">
        <f>IFERROR(RANK(C13,C:C,-1),"")</f>
        <v/>
      </c>
      <c r="F13" s="43" t="n">
        <v>0</v>
      </c>
      <c r="G13" s="44">
        <f>IFERROR(MATRIZ_174!M13,0)</f>
        <v/>
      </c>
      <c r="H13" s="45" t="n">
        <v>0</v>
      </c>
      <c r="I13" s="45" t="n">
        <v>0</v>
      </c>
      <c r="J13" s="45" t="n">
        <v>0</v>
      </c>
      <c r="K13" s="66">
        <f>IFERROR(INDEX(MATRIZ_174!$U:$U,MATCH(A13,MATRIZ_174!$A:$A,0)),"")</f>
        <v/>
      </c>
      <c r="L13" s="46">
        <f>IFERROR(MATRIZ_174!O13,0)</f>
        <v/>
      </c>
      <c r="M13" s="45" t="n">
        <v>0</v>
      </c>
      <c r="N13" s="23">
        <f>IF(AND(F13&gt;0,C13&lt;34),"🔴 UE + Critico",IF(AND(F13&gt;0,C13&lt;67),"🟡 UE + Vulnerable",IF(AND(F13&gt;0,C13&gt;=67),"🟢 UE + Preparado",IF(C13=0,"— Sin dato","Sin exposición UE"))))</f>
        <v/>
      </c>
      <c r="O13" s="15" t="inlineStr">
        <is>
          <t>CUSCO</t>
        </is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42">
        <f>ROUND(PONDERADORES!$D$12*G14+PONDERADORES!$D$13*H14+PONDERADORES!$D$14*I14+PONDERADORES!$D$15*J14+PONDERADORES!$D$16*K14+PONDERADORES!$D$17*L14+PONDERADORES!$D$18*M14,1)</f>
        <v/>
      </c>
      <c r="D14" s="23">
        <f>IF(C14&lt;34,"🔴 Critico",IF(C14&lt;67,"🟡 Vulnerable","🟢 Preparado"))</f>
        <v/>
      </c>
      <c r="E14" s="23">
        <f>IFERROR(RANK(C14,C:C,-1),"")</f>
        <v/>
      </c>
      <c r="F14" s="43" t="n">
        <v>2015347.33</v>
      </c>
      <c r="G14" s="44">
        <f>IFERROR(MATRIZ_174!M14,0)</f>
        <v/>
      </c>
      <c r="H14" s="45" t="n">
        <v>0</v>
      </c>
      <c r="I14" s="45" t="n">
        <v>0</v>
      </c>
      <c r="J14" s="45" t="n">
        <v>0</v>
      </c>
      <c r="K14" s="66">
        <f>IFERROR(INDEX(MATRIZ_174!$U:$U,MATCH(A14,MATRIZ_174!$A:$A,0)),"")</f>
        <v/>
      </c>
      <c r="L14" s="46">
        <f>IFERROR(MATRIZ_174!O14,0)</f>
        <v/>
      </c>
      <c r="M14" s="45" t="n">
        <v>0</v>
      </c>
      <c r="N14" s="23">
        <f>IF(AND(F14&gt;0,C14&lt;34),"🔴 UE + Critico",IF(AND(F14&gt;0,C14&lt;67),"🟡 UE + Vulnerable",IF(AND(F14&gt;0,C14&gt;=67),"🟢 UE + Preparado",IF(C14=0,"— Sin dato","Sin exposición UE"))))</f>
        <v/>
      </c>
      <c r="O14" s="15" t="inlineStr">
        <is>
          <t>AYACUCHO</t>
        </is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42">
        <f>ROUND(PONDERADORES!$D$12*G15+PONDERADORES!$D$13*H15+PONDERADORES!$D$14*I15+PONDERADORES!$D$15*J15+PONDERADORES!$D$16*K15+PONDERADORES!$D$17*L15+PONDERADORES!$D$18*M15,1)</f>
        <v/>
      </c>
      <c r="D15" s="23">
        <f>IF(C15&lt;34,"🔴 Critico",IF(C15&lt;67,"🟡 Vulnerable","🟢 Preparado"))</f>
        <v/>
      </c>
      <c r="E15" s="23">
        <f>IFERROR(RANK(C15,C:C,-1),"")</f>
        <v/>
      </c>
      <c r="F15" s="43">
        <f>IFERROR(MATRIZ_174!L15,0)</f>
        <v/>
      </c>
      <c r="G15" s="44">
        <f>IFERROR(MATRIZ_174!M15,0)</f>
        <v/>
      </c>
      <c r="H15" s="45" t="n">
        <v>0</v>
      </c>
      <c r="I15" s="45" t="n">
        <v>0</v>
      </c>
      <c r="J15" s="45" t="n">
        <v>0</v>
      </c>
      <c r="K15" s="66">
        <f>IFERROR(INDEX(MATRIZ_174!$U:$U,MATCH(A15,MATRIZ_174!$A:$A,0)),"")</f>
        <v/>
      </c>
      <c r="L15" s="46">
        <f>IFERROR(MATRIZ_174!O15,0)</f>
        <v/>
      </c>
      <c r="M15" s="45" t="n">
        <v>0</v>
      </c>
      <c r="N15" s="23">
        <f>IF(AND(F15&gt;0,C15&lt;34),"🔴 UE + Critico",IF(AND(F15&gt;0,C15&lt;67),"🟡 UE + Vulnerable",IF(AND(F15&gt;0,C15&gt;=67),"🟢 UE + Preparado",IF(C15=0,"— Sin dato","Sin exposición UE"))))</f>
        <v/>
      </c>
      <c r="O15" s="15" t="inlineStr">
        <is>
          <t>PUNO</t>
        </is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42">
        <f>ROUND(PONDERADORES!$D$12*G16+PONDERADORES!$D$13*H16+PONDERADORES!$D$14*I16+PONDERADORES!$D$15*J16+PONDERADORES!$D$16*K16+PONDERADORES!$D$17*L16+PONDERADORES!$D$18*M16,1)</f>
        <v/>
      </c>
      <c r="D16" s="23">
        <f>IF(C16&lt;34,"🔴 Critico",IF(C16&lt;67,"🟡 Vulnerable","🟢 Preparado"))</f>
        <v/>
      </c>
      <c r="E16" s="23">
        <f>IFERROR(RANK(C16,C:C,-1),"")</f>
        <v/>
      </c>
      <c r="F16" s="43">
        <f>IFERROR(MATRIZ_174!L16,0)</f>
        <v/>
      </c>
      <c r="G16" s="44">
        <f>IFERROR(MATRIZ_174!M16,0)</f>
        <v/>
      </c>
      <c r="H16" s="45" t="n">
        <v>0</v>
      </c>
      <c r="I16" s="45" t="n">
        <v>0</v>
      </c>
      <c r="J16" s="45" t="n">
        <v>0</v>
      </c>
      <c r="K16" s="66">
        <f>IFERROR(INDEX(MATRIZ_174!$U:$U,MATCH(A16,MATRIZ_174!$A:$A,0)),"")</f>
        <v/>
      </c>
      <c r="L16" s="46">
        <f>IFERROR(MATRIZ_174!O16,0)</f>
        <v/>
      </c>
      <c r="M16" s="45" t="n">
        <v>0</v>
      </c>
      <c r="N16" s="23">
        <f>IF(AND(F16&gt;0,C16&lt;34),"🔴 UE + Critico",IF(AND(F16&gt;0,C16&lt;67),"🟡 UE + Vulnerable",IF(AND(F16&gt;0,C16&gt;=67),"🟢 UE + Preparado",IF(C16=0,"— Sin dato","Sin exposición UE"))))</f>
        <v/>
      </c>
      <c r="O16" s="15" t="inlineStr">
        <is>
          <t>PIURA</t>
        </is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42">
        <f>ROUND(PONDERADORES!$D$12*G17+PONDERADORES!$D$13*H17+PONDERADORES!$D$14*I17+PONDERADORES!$D$15*J17+PONDERADORES!$D$16*K17+PONDERADORES!$D$17*L17+PONDERADORES!$D$18*M17,1)</f>
        <v/>
      </c>
      <c r="D17" s="23">
        <f>IF(C17&lt;34,"🔴 Critico",IF(C17&lt;67,"🟡 Vulnerable","🟢 Preparado"))</f>
        <v/>
      </c>
      <c r="E17" s="23">
        <f>IFERROR(RANK(C17,C:C,-1),"")</f>
        <v/>
      </c>
      <c r="F17" s="43">
        <f>IFERROR(MATRIZ_174!L17,0)</f>
        <v/>
      </c>
      <c r="G17" s="44">
        <f>IFERROR(MATRIZ_174!M17,0)</f>
        <v/>
      </c>
      <c r="H17" s="45" t="n">
        <v>0</v>
      </c>
      <c r="I17" s="45" t="n">
        <v>0</v>
      </c>
      <c r="J17" s="45" t="n">
        <v>0</v>
      </c>
      <c r="K17" s="66">
        <f>IFERROR(INDEX(MATRIZ_174!$U:$U,MATCH(A17,MATRIZ_174!$A:$A,0)),"")</f>
        <v/>
      </c>
      <c r="L17" s="46">
        <f>IFERROR(MATRIZ_174!O17,0)</f>
        <v/>
      </c>
      <c r="M17" s="45" t="n">
        <v>0</v>
      </c>
      <c r="N17" s="23">
        <f>IF(AND(F17&gt;0,C17&lt;34),"🔴 UE + Critico",IF(AND(F17&gt;0,C17&lt;67),"🟡 UE + Vulnerable",IF(AND(F17&gt;0,C17&gt;=67),"🟢 UE + Preparado",IF(C17=0,"— Sin dato","Sin exposición UE"))))</f>
        <v/>
      </c>
      <c r="O17" s="15" t="inlineStr">
        <is>
          <t>CUSCO</t>
        </is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42">
        <f>ROUND(PONDERADORES!$D$12*G18+PONDERADORES!$D$13*H18+PONDERADORES!$D$14*I18+PONDERADORES!$D$15*J18+PONDERADORES!$D$16*K18+PONDERADORES!$D$17*L18+PONDERADORES!$D$18*M18,1)</f>
        <v/>
      </c>
      <c r="D18" s="23">
        <f>IF(C18&lt;34,"🔴 Critico",IF(C18&lt;67,"🟡 Vulnerable","🟢 Preparado"))</f>
        <v/>
      </c>
      <c r="E18" s="23">
        <f>IFERROR(RANK(C18,C:C,-1),"")</f>
        <v/>
      </c>
      <c r="F18" s="43">
        <f>IFERROR(MATRIZ_174!L18,0)</f>
        <v/>
      </c>
      <c r="G18" s="44">
        <f>IFERROR(MATRIZ_174!M18,0)</f>
        <v/>
      </c>
      <c r="H18" s="45" t="n">
        <v>0</v>
      </c>
      <c r="I18" s="45" t="n">
        <v>0</v>
      </c>
      <c r="J18" s="45" t="n">
        <v>0</v>
      </c>
      <c r="K18" s="66">
        <f>IFERROR(INDEX(MATRIZ_174!$U:$U,MATCH(A18,MATRIZ_174!$A:$A,0)),"")</f>
        <v/>
      </c>
      <c r="L18" s="46">
        <f>IFERROR(MATRIZ_174!O18,0)</f>
        <v/>
      </c>
      <c r="M18" s="45" t="n">
        <v>0</v>
      </c>
      <c r="N18" s="23">
        <f>IF(AND(F18&gt;0,C18&lt;34),"🔴 UE + Critico",IF(AND(F18&gt;0,C18&lt;67),"🟡 UE + Vulnerable",IF(AND(F18&gt;0,C18&gt;=67),"🟢 UE + Preparado",IF(C18=0,"— Sin dato","Sin exposición UE"))))</f>
        <v/>
      </c>
      <c r="O18" s="15" t="inlineStr">
        <is>
          <t>UCAYALI</t>
        </is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42">
        <f>ROUND(PONDERADORES!$D$12*G19+PONDERADORES!$D$13*H19+PONDERADORES!$D$14*I19+PONDERADORES!$D$15*J19+PONDERADORES!$D$16*K19+PONDERADORES!$D$17*L19+PONDERADORES!$D$18*M19,1)</f>
        <v/>
      </c>
      <c r="D19" s="23">
        <f>IF(C19&lt;34,"🔴 Critico",IF(C19&lt;67,"🟡 Vulnerable","🟢 Preparado"))</f>
        <v/>
      </c>
      <c r="E19" s="23">
        <f>IFERROR(RANK(C19,C:C,-1),"")</f>
        <v/>
      </c>
      <c r="F19" s="43" t="n">
        <v>4535378.44</v>
      </c>
      <c r="G19" s="44">
        <f>IFERROR(MATRIZ_174!M19,0)</f>
        <v/>
      </c>
      <c r="H19" s="45" t="n">
        <v>0</v>
      </c>
      <c r="I19" s="45" t="n">
        <v>0</v>
      </c>
      <c r="J19" s="45" t="n">
        <v>0</v>
      </c>
      <c r="K19" s="66">
        <f>IFERROR(INDEX(MATRIZ_174!$U:$U,MATCH(A19,MATRIZ_174!$A:$A,0)),"")</f>
        <v/>
      </c>
      <c r="L19" s="46">
        <f>IFERROR(MATRIZ_174!O19,0)</f>
        <v/>
      </c>
      <c r="M19" s="45" t="n">
        <v>0</v>
      </c>
      <c r="N19" s="23">
        <f>IF(AND(F19&gt;0,C19&lt;34),"🔴 UE + Critico",IF(AND(F19&gt;0,C19&lt;67),"🟡 UE + Vulnerable",IF(AND(F19&gt;0,C19&gt;=67),"🟢 UE + Preparado",IF(C19=0,"— Sin dato","Sin exposición UE"))))</f>
        <v/>
      </c>
      <c r="O19" s="15" t="inlineStr">
        <is>
          <t>AMAZONAS</t>
        </is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42">
        <f>ROUND(PONDERADORES!$D$12*G20+PONDERADORES!$D$13*H20+PONDERADORES!$D$14*I20+PONDERADORES!$D$15*J20+PONDERADORES!$D$16*K20+PONDERADORES!$D$17*L20+PONDERADORES!$D$18*M20,1)</f>
        <v/>
      </c>
      <c r="D20" s="23">
        <f>IF(C20&lt;34,"🔴 Critico",IF(C20&lt;67,"🟡 Vulnerable","🟢 Preparado"))</f>
        <v/>
      </c>
      <c r="E20" s="23">
        <f>IFERROR(RANK(C20,C:C,-1),"")</f>
        <v/>
      </c>
      <c r="F20" s="43">
        <f>IFERROR(MATRIZ_174!L20,0)</f>
        <v/>
      </c>
      <c r="G20" s="44">
        <f>IFERROR(MATRIZ_174!M20,0)</f>
        <v/>
      </c>
      <c r="H20" s="45" t="n">
        <v>0</v>
      </c>
      <c r="I20" s="45" t="n">
        <v>0</v>
      </c>
      <c r="J20" s="45" t="n">
        <v>0</v>
      </c>
      <c r="K20" s="66">
        <f>IFERROR(INDEX(MATRIZ_174!$U:$U,MATCH(A20,MATRIZ_174!$A:$A,0)),"")</f>
        <v/>
      </c>
      <c r="L20" s="46">
        <f>IFERROR(MATRIZ_174!O20,0)</f>
        <v/>
      </c>
      <c r="M20" s="45" t="n">
        <v>0</v>
      </c>
      <c r="N20" s="23">
        <f>IF(AND(F20&gt;0,C20&lt;34),"🔴 UE + Critico",IF(AND(F20&gt;0,C20&lt;67),"🟡 UE + Vulnerable",IF(AND(F20&gt;0,C20&gt;=67),"🟢 UE + Preparado",IF(C20=0,"— Sin dato","Sin exposición UE"))))</f>
        <v/>
      </c>
      <c r="O20" s="15" t="inlineStr">
        <is>
          <t>CUSCO</t>
        </is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42">
        <f>ROUND(PONDERADORES!$D$12*G21+PONDERADORES!$D$13*H21+PONDERADORES!$D$14*I21+PONDERADORES!$D$15*J21+PONDERADORES!$D$16*K21+PONDERADORES!$D$17*L21+PONDERADORES!$D$18*M21,1)</f>
        <v/>
      </c>
      <c r="D21" s="23">
        <f>IF(C21&lt;34,"🔴 Critico",IF(C21&lt;67,"🟡 Vulnerable","🟢 Preparado"))</f>
        <v/>
      </c>
      <c r="E21" s="23">
        <f>IFERROR(RANK(C21,C:C,-1),"")</f>
        <v/>
      </c>
      <c r="F21" s="43" t="n">
        <v>0</v>
      </c>
      <c r="G21" s="44">
        <f>IFERROR(MATRIZ_174!M21,0)</f>
        <v/>
      </c>
      <c r="H21" s="45" t="n">
        <v>0</v>
      </c>
      <c r="I21" s="45" t="n">
        <v>0</v>
      </c>
      <c r="J21" s="45" t="n">
        <v>0</v>
      </c>
      <c r="K21" s="66">
        <f>IFERROR(INDEX(MATRIZ_174!$U:$U,MATCH(A21,MATRIZ_174!$A:$A,0)),"")</f>
        <v/>
      </c>
      <c r="L21" s="46">
        <f>IFERROR(MATRIZ_174!O21,0)</f>
        <v/>
      </c>
      <c r="M21" s="45" t="n">
        <v>0</v>
      </c>
      <c r="N21" s="23">
        <f>IF(AND(F21&gt;0,C21&lt;34),"🔴 UE + Critico",IF(AND(F21&gt;0,C21&lt;67),"🟡 UE + Vulnerable",IF(AND(F21&gt;0,C21&gt;=67),"🟢 UE + Preparado",IF(C21=0,"— Sin dato","Sin exposición UE"))))</f>
        <v/>
      </c>
      <c r="O21" s="15" t="inlineStr">
        <is>
          <t>UCAYALI</t>
        </is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42">
        <f>ROUND(PONDERADORES!$D$12*G22+PONDERADORES!$D$13*H22+PONDERADORES!$D$14*I22+PONDERADORES!$D$15*J22+PONDERADORES!$D$16*K22+PONDERADORES!$D$17*L22+PONDERADORES!$D$18*M22,1)</f>
        <v/>
      </c>
      <c r="D22" s="23">
        <f>IF(C22&lt;34,"🔴 Critico",IF(C22&lt;67,"🟡 Vulnerable","🟢 Preparado"))</f>
        <v/>
      </c>
      <c r="E22" s="23">
        <f>IFERROR(RANK(C22,C:C,-1),"")</f>
        <v/>
      </c>
      <c r="F22" s="43" t="n">
        <v>0</v>
      </c>
      <c r="G22" s="44">
        <f>IFERROR(MATRIZ_174!M22,0)</f>
        <v/>
      </c>
      <c r="H22" s="45" t="n">
        <v>0</v>
      </c>
      <c r="I22" s="45" t="n">
        <v>0</v>
      </c>
      <c r="J22" s="45" t="n">
        <v>0</v>
      </c>
      <c r="K22" s="66">
        <f>IFERROR(INDEX(MATRIZ_174!$U:$U,MATCH(A22,MATRIZ_174!$A:$A,0)),"")</f>
        <v/>
      </c>
      <c r="L22" s="46">
        <f>IFERROR(MATRIZ_174!O22,0)</f>
        <v/>
      </c>
      <c r="M22" s="45" t="n">
        <v>0</v>
      </c>
      <c r="N22" s="23">
        <f>IF(AND(F22&gt;0,C22&lt;34),"🔴 UE + Critico",IF(AND(F22&gt;0,C22&lt;67),"🟡 UE + Vulnerable",IF(AND(F22&gt;0,C22&gt;=67),"🟢 UE + Preparado",IF(C22=0,"— Sin dato","Sin exposición UE"))))</f>
        <v/>
      </c>
      <c r="O22" s="15" t="inlineStr">
        <is>
          <t>HUANUCO</t>
        </is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42">
        <f>ROUND(PONDERADORES!$D$12*G23+PONDERADORES!$D$13*H23+PONDERADORES!$D$14*I23+PONDERADORES!$D$15*J23+PONDERADORES!$D$16*K23+PONDERADORES!$D$17*L23+PONDERADORES!$D$18*M23,1)</f>
        <v/>
      </c>
      <c r="D23" s="23">
        <f>IF(C23&lt;34,"🔴 Critico",IF(C23&lt;67,"🟡 Vulnerable","🟢 Preparado"))</f>
        <v/>
      </c>
      <c r="E23" s="23">
        <f>IFERROR(RANK(C23,C:C,-1),"")</f>
        <v/>
      </c>
      <c r="F23" s="43">
        <f>IFERROR(MATRIZ_174!L23,0)</f>
        <v/>
      </c>
      <c r="G23" s="44">
        <f>IFERROR(MATRIZ_174!M23,0)</f>
        <v/>
      </c>
      <c r="H23" s="45" t="n">
        <v>0</v>
      </c>
      <c r="I23" s="45" t="n">
        <v>0</v>
      </c>
      <c r="J23" s="45" t="n">
        <v>0</v>
      </c>
      <c r="K23" s="66">
        <f>IFERROR(INDEX(MATRIZ_174!$U:$U,MATCH(A23,MATRIZ_174!$A:$A,0)),"")</f>
        <v/>
      </c>
      <c r="L23" s="46">
        <f>IFERROR(MATRIZ_174!O23,0)</f>
        <v/>
      </c>
      <c r="M23" s="45" t="n">
        <v>0</v>
      </c>
      <c r="N23" s="23">
        <f>IF(AND(F23&gt;0,C23&lt;34),"🔴 UE + Critico",IF(AND(F23&gt;0,C23&lt;67),"🟡 UE + Vulnerable",IF(AND(F23&gt;0,C23&gt;=67),"🟢 UE + Preparado",IF(C23=0,"— Sin dato","Sin exposición UE"))))</f>
        <v/>
      </c>
      <c r="O23" s="15" t="inlineStr">
        <is>
          <t>UCAYALI</t>
        </is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42">
        <f>ROUND(PONDERADORES!$D$12*G24+PONDERADORES!$D$13*H24+PONDERADORES!$D$14*I24+PONDERADORES!$D$15*J24+PONDERADORES!$D$16*K24+PONDERADORES!$D$17*L24+PONDERADORES!$D$18*M24,1)</f>
        <v/>
      </c>
      <c r="D24" s="23">
        <f>IF(C24&lt;34,"🔴 Critico",IF(C24&lt;67,"🟡 Vulnerable","🟢 Preparado"))</f>
        <v/>
      </c>
      <c r="E24" s="23">
        <f>IFERROR(RANK(C24,C:C,-1),"")</f>
        <v/>
      </c>
      <c r="F24" s="43" t="n">
        <v>0</v>
      </c>
      <c r="G24" s="44">
        <f>IFERROR(MATRIZ_174!M24,0)</f>
        <v/>
      </c>
      <c r="H24" s="45" t="n">
        <v>0</v>
      </c>
      <c r="I24" s="45" t="n">
        <v>0</v>
      </c>
      <c r="J24" s="45" t="n">
        <v>0</v>
      </c>
      <c r="K24" s="66">
        <f>IFERROR(INDEX(MATRIZ_174!$U:$U,MATCH(A24,MATRIZ_174!$A:$A,0)),"")</f>
        <v/>
      </c>
      <c r="L24" s="46">
        <f>IFERROR(MATRIZ_174!O24,0)</f>
        <v/>
      </c>
      <c r="M24" s="45" t="n">
        <v>0</v>
      </c>
      <c r="N24" s="23">
        <f>IF(AND(F24&gt;0,C24&lt;34),"🔴 UE + Critico",IF(AND(F24&gt;0,C24&lt;67),"🟡 UE + Vulnerable",IF(AND(F24&gt;0,C24&gt;=67),"🟢 UE + Preparado",IF(C24=0,"— Sin dato","Sin exposición UE"))))</f>
        <v/>
      </c>
      <c r="O24" s="15" t="inlineStr">
        <is>
          <t>UCAYALI</t>
        </is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42">
        <f>ROUND(PONDERADORES!$D$12*G25+PONDERADORES!$D$13*H25+PONDERADORES!$D$14*I25+PONDERADORES!$D$15*J25+PONDERADORES!$D$16*K25+PONDERADORES!$D$17*L25+PONDERADORES!$D$18*M25,1)</f>
        <v/>
      </c>
      <c r="D25" s="23">
        <f>IF(C25&lt;34,"🔴 Critico",IF(C25&lt;67,"🟡 Vulnerable","🟢 Preparado"))</f>
        <v/>
      </c>
      <c r="E25" s="23">
        <f>IFERROR(RANK(C25,C:C,-1),"")</f>
        <v/>
      </c>
      <c r="F25" s="43" t="n">
        <v>0</v>
      </c>
      <c r="G25" s="44">
        <f>IFERROR(MATRIZ_174!M25,0)</f>
        <v/>
      </c>
      <c r="H25" s="45" t="n">
        <v>0</v>
      </c>
      <c r="I25" s="45" t="n">
        <v>0</v>
      </c>
      <c r="J25" s="45" t="n">
        <v>0</v>
      </c>
      <c r="K25" s="66">
        <f>IFERROR(INDEX(MATRIZ_174!$U:$U,MATCH(A25,MATRIZ_174!$A:$A,0)),"")</f>
        <v/>
      </c>
      <c r="L25" s="46">
        <f>IFERROR(MATRIZ_174!O25,0)</f>
        <v/>
      </c>
      <c r="M25" s="45" t="n">
        <v>0</v>
      </c>
      <c r="N25" s="23">
        <f>IF(AND(F25&gt;0,C25&lt;34),"🔴 UE + Critico",IF(AND(F25&gt;0,C25&lt;67),"🟡 UE + Vulnerable",IF(AND(F25&gt;0,C25&gt;=67),"🟢 UE + Preparado",IF(C25=0,"— Sin dato","Sin exposición UE"))))</f>
        <v/>
      </c>
      <c r="O25" s="15" t="inlineStr">
        <is>
          <t>UCAYALI</t>
        </is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42">
        <f>ROUND(PONDERADORES!$D$12*G26+PONDERADORES!$D$13*H26+PONDERADORES!$D$14*I26+PONDERADORES!$D$15*J26+PONDERADORES!$D$16*K26+PONDERADORES!$D$17*L26+PONDERADORES!$D$18*M26,1)</f>
        <v/>
      </c>
      <c r="D26" s="23">
        <f>IF(C26&lt;34,"🔴 Critico",IF(C26&lt;67,"🟡 Vulnerable","🟢 Preparado"))</f>
        <v/>
      </c>
      <c r="E26" s="23">
        <f>IFERROR(RANK(C26,C:C,-1),"")</f>
        <v/>
      </c>
      <c r="F26" s="43">
        <f>IFERROR(MATRIZ_174!L26,0)</f>
        <v/>
      </c>
      <c r="G26" s="44">
        <f>IFERROR(MATRIZ_174!M26,0)</f>
        <v/>
      </c>
      <c r="H26" s="45" t="n">
        <v>0</v>
      </c>
      <c r="I26" s="45" t="n">
        <v>0</v>
      </c>
      <c r="J26" s="45" t="n">
        <v>0</v>
      </c>
      <c r="K26" s="66">
        <f>IFERROR(INDEX(MATRIZ_174!$U:$U,MATCH(A26,MATRIZ_174!$A:$A,0)),"")</f>
        <v/>
      </c>
      <c r="L26" s="46">
        <f>IFERROR(MATRIZ_174!O26,0)</f>
        <v/>
      </c>
      <c r="M26" s="45" t="n">
        <v>0</v>
      </c>
      <c r="N26" s="23">
        <f>IF(AND(F26&gt;0,C26&lt;34),"🔴 UE + Critico",IF(AND(F26&gt;0,C26&lt;67),"🟡 UE + Vulnerable",IF(AND(F26&gt;0,C26&gt;=67),"🟢 UE + Preparado",IF(C26=0,"— Sin dato","Sin exposición UE"))))</f>
        <v/>
      </c>
      <c r="O26" s="15" t="inlineStr">
        <is>
          <t>UCAYALI</t>
        </is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42">
        <f>ROUND(PONDERADORES!$D$12*G27+PONDERADORES!$D$13*H27+PONDERADORES!$D$14*I27+PONDERADORES!$D$15*J27+PONDERADORES!$D$16*K27+PONDERADORES!$D$17*L27+PONDERADORES!$D$18*M27,1)</f>
        <v/>
      </c>
      <c r="D27" s="23">
        <f>IF(C27&lt;34,"🔴 Critico",IF(C27&lt;67,"🟡 Vulnerable","🟢 Preparado"))</f>
        <v/>
      </c>
      <c r="E27" s="23">
        <f>IFERROR(RANK(C27,C:C,-1),"")</f>
        <v/>
      </c>
      <c r="F27" s="43" t="n">
        <v>0</v>
      </c>
      <c r="G27" s="44">
        <f>IFERROR(MATRIZ_174!M27,0)</f>
        <v/>
      </c>
      <c r="H27" s="45" t="n">
        <v>0</v>
      </c>
      <c r="I27" s="45" t="n">
        <v>0</v>
      </c>
      <c r="J27" s="45" t="n">
        <v>0</v>
      </c>
      <c r="K27" s="66">
        <f>IFERROR(INDEX(MATRIZ_174!$U:$U,MATCH(A27,MATRIZ_174!$A:$A,0)),"")</f>
        <v/>
      </c>
      <c r="L27" s="46">
        <f>IFERROR(MATRIZ_174!O27,0)</f>
        <v/>
      </c>
      <c r="M27" s="45" t="n">
        <v>0</v>
      </c>
      <c r="N27" s="23">
        <f>IF(AND(F27&gt;0,C27&lt;34),"🔴 UE + Critico",IF(AND(F27&gt;0,C27&lt;67),"🟡 UE + Vulnerable",IF(AND(F27&gt;0,C27&gt;=67),"🟢 UE + Preparado",IF(C27=0,"— Sin dato","Sin exposición UE"))))</f>
        <v/>
      </c>
      <c r="O27" s="15" t="inlineStr">
        <is>
          <t>UCAYALI</t>
        </is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42">
        <f>ROUND(PONDERADORES!$D$12*G28+PONDERADORES!$D$13*H28+PONDERADORES!$D$14*I28+PONDERADORES!$D$15*J28+PONDERADORES!$D$16*K28+PONDERADORES!$D$17*L28+PONDERADORES!$D$18*M28,1)</f>
        <v/>
      </c>
      <c r="D28" s="23">
        <f>IF(C28&lt;34,"🔴 Critico",IF(C28&lt;67,"🟡 Vulnerable","🟢 Preparado"))</f>
        <v/>
      </c>
      <c r="E28" s="23">
        <f>IFERROR(RANK(C28,C:C,-1),"")</f>
        <v/>
      </c>
      <c r="F28" s="43">
        <f>IFERROR(MATRIZ_174!L28,0)</f>
        <v/>
      </c>
      <c r="G28" s="44">
        <f>IFERROR(MATRIZ_174!M28,0)</f>
        <v/>
      </c>
      <c r="H28" s="45" t="n">
        <v>0</v>
      </c>
      <c r="I28" s="45" t="n">
        <v>0</v>
      </c>
      <c r="J28" s="45" t="n">
        <v>0</v>
      </c>
      <c r="K28" s="66">
        <f>IFERROR(INDEX(MATRIZ_174!$U:$U,MATCH(A28,MATRIZ_174!$A:$A,0)),"")</f>
        <v/>
      </c>
      <c r="L28" s="46">
        <f>IFERROR(MATRIZ_174!O28,0)</f>
        <v/>
      </c>
      <c r="M28" s="45" t="n">
        <v>0</v>
      </c>
      <c r="N28" s="23">
        <f>IF(AND(F28&gt;0,C28&lt;34),"🔴 UE + Critico",IF(AND(F28&gt;0,C28&lt;67),"🟡 UE + Vulnerable",IF(AND(F28&gt;0,C28&gt;=67),"🟢 UE + Preparado",IF(C28=0,"— Sin dato","Sin exposición UE"))))</f>
        <v/>
      </c>
      <c r="O28" s="15" t="inlineStr">
        <is>
          <t>UCAYALI</t>
        </is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42">
        <f>ROUND(PONDERADORES!$D$12*G29+PONDERADORES!$D$13*H29+PONDERADORES!$D$14*I29+PONDERADORES!$D$15*J29+PONDERADORES!$D$16*K29+PONDERADORES!$D$17*L29+PONDERADORES!$D$18*M29,1)</f>
        <v/>
      </c>
      <c r="D29" s="23">
        <f>IF(C29&lt;34,"🔴 Critico",IF(C29&lt;67,"🟡 Vulnerable","🟢 Preparado"))</f>
        <v/>
      </c>
      <c r="E29" s="23">
        <f>IFERROR(RANK(C29,C:C,-1),"")</f>
        <v/>
      </c>
      <c r="F29" s="43">
        <f>IFERROR(MATRIZ_174!L29,0)</f>
        <v/>
      </c>
      <c r="G29" s="44">
        <f>IFERROR(MATRIZ_174!M29,0)</f>
        <v/>
      </c>
      <c r="H29" s="45" t="n">
        <v>0</v>
      </c>
      <c r="I29" s="45" t="n">
        <v>0</v>
      </c>
      <c r="J29" s="45" t="n">
        <v>0</v>
      </c>
      <c r="K29" s="66">
        <f>IFERROR(INDEX(MATRIZ_174!$U:$U,MATCH(A29,MATRIZ_174!$A:$A,0)),"")</f>
        <v/>
      </c>
      <c r="L29" s="46">
        <f>IFERROR(MATRIZ_174!O29,0)</f>
        <v/>
      </c>
      <c r="M29" s="45" t="n">
        <v>0</v>
      </c>
      <c r="N29" s="23">
        <f>IF(AND(F29&gt;0,C29&lt;34),"🔴 UE + Critico",IF(AND(F29&gt;0,C29&lt;67),"🟡 UE + Vulnerable",IF(AND(F29&gt;0,C29&gt;=67),"🟢 UE + Preparado",IF(C29=0,"— Sin dato","Sin exposición UE"))))</f>
        <v/>
      </c>
      <c r="O29" s="15" t="inlineStr">
        <is>
          <t>UCAYALI</t>
        </is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42">
        <f>ROUND(PONDERADORES!$D$12*G30+PONDERADORES!$D$13*H30+PONDERADORES!$D$14*I30+PONDERADORES!$D$15*J30+PONDERADORES!$D$16*K30+PONDERADORES!$D$17*L30+PONDERADORES!$D$18*M30,1)</f>
        <v/>
      </c>
      <c r="D30" s="23">
        <f>IF(C30&lt;34,"🔴 Critico",IF(C30&lt;67,"🟡 Vulnerable","🟢 Preparado"))</f>
        <v/>
      </c>
      <c r="E30" s="23">
        <f>IFERROR(RANK(C30,C:C,-1),"")</f>
        <v/>
      </c>
      <c r="F30" s="43">
        <f>IFERROR(MATRIZ_174!L30,0)</f>
        <v/>
      </c>
      <c r="G30" s="44">
        <f>IFERROR(MATRIZ_174!M30,0)</f>
        <v/>
      </c>
      <c r="H30" s="45" t="n">
        <v>0</v>
      </c>
      <c r="I30" s="45" t="n">
        <v>0</v>
      </c>
      <c r="J30" s="45" t="n">
        <v>0</v>
      </c>
      <c r="K30" s="66">
        <f>IFERROR(INDEX(MATRIZ_174!$U:$U,MATCH(A30,MATRIZ_174!$A:$A,0)),"")</f>
        <v/>
      </c>
      <c r="L30" s="46">
        <f>IFERROR(MATRIZ_174!O30,0)</f>
        <v/>
      </c>
      <c r="M30" s="45" t="n">
        <v>0</v>
      </c>
      <c r="N30" s="23">
        <f>IF(AND(F30&gt;0,C30&lt;34),"🔴 UE + Critico",IF(AND(F30&gt;0,C30&lt;67),"🟡 UE + Vulnerable",IF(AND(F30&gt;0,C30&gt;=67),"🟢 UE + Preparado",IF(C30=0,"— Sin dato","Sin exposición UE"))))</f>
        <v/>
      </c>
      <c r="O30" s="15" t="inlineStr">
        <is>
          <t>PUNO</t>
        </is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42">
        <f>ROUND(PONDERADORES!$D$12*G31+PONDERADORES!$D$13*H31+PONDERADORES!$D$14*I31+PONDERADORES!$D$15*J31+PONDERADORES!$D$16*K31+PONDERADORES!$D$17*L31+PONDERADORES!$D$18*M31,1)</f>
        <v/>
      </c>
      <c r="D31" s="23">
        <f>IF(C31&lt;34,"🔴 Critico",IF(C31&lt;67,"🟡 Vulnerable","🟢 Preparado"))</f>
        <v/>
      </c>
      <c r="E31" s="23">
        <f>IFERROR(RANK(C31,C:C,-1),"")</f>
        <v/>
      </c>
      <c r="F31" s="43" t="n">
        <v>0</v>
      </c>
      <c r="G31" s="44">
        <f>IFERROR(MATRIZ_174!M31,0)</f>
        <v/>
      </c>
      <c r="H31" s="45" t="n">
        <v>0</v>
      </c>
      <c r="I31" s="45" t="n">
        <v>0</v>
      </c>
      <c r="J31" s="45" t="n">
        <v>0</v>
      </c>
      <c r="K31" s="66">
        <f>IFERROR(INDEX(MATRIZ_174!$U:$U,MATCH(A31,MATRIZ_174!$A:$A,0)),"")</f>
        <v/>
      </c>
      <c r="L31" s="46">
        <f>IFERROR(MATRIZ_174!O31,0)</f>
        <v/>
      </c>
      <c r="M31" s="45" t="n">
        <v>0</v>
      </c>
      <c r="N31" s="23">
        <f>IF(AND(F31&gt;0,C31&lt;34),"🔴 UE + Critico",IF(AND(F31&gt;0,C31&lt;67),"🟡 UE + Vulnerable",IF(AND(F31&gt;0,C31&gt;=67),"🟢 UE + Preparado",IF(C31=0,"— Sin dato","Sin exposición UE"))))</f>
        <v/>
      </c>
      <c r="O31" s="15" t="inlineStr">
        <is>
          <t>SAN MARTIN</t>
        </is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42">
        <f>ROUND(PONDERADORES!$D$12*G32+PONDERADORES!$D$13*H32+PONDERADORES!$D$14*I32+PONDERADORES!$D$15*J32+PONDERADORES!$D$16*K32+PONDERADORES!$D$17*L32+PONDERADORES!$D$18*M32,1)</f>
        <v/>
      </c>
      <c r="D32" s="23">
        <f>IF(C32&lt;34,"🔴 Critico",IF(C32&lt;67,"🟡 Vulnerable","🟢 Preparado"))</f>
        <v/>
      </c>
      <c r="E32" s="23">
        <f>IFERROR(RANK(C32,C:C,-1),"")</f>
        <v/>
      </c>
      <c r="F32" s="43" t="n">
        <v>0</v>
      </c>
      <c r="G32" s="44">
        <f>IFERROR(MATRIZ_174!M32,0)</f>
        <v/>
      </c>
      <c r="H32" s="45" t="n">
        <v>0</v>
      </c>
      <c r="I32" s="45" t="n">
        <v>0</v>
      </c>
      <c r="J32" s="45" t="n">
        <v>0</v>
      </c>
      <c r="K32" s="66">
        <f>IFERROR(INDEX(MATRIZ_174!$U:$U,MATCH(A32,MATRIZ_174!$A:$A,0)),"")</f>
        <v/>
      </c>
      <c r="L32" s="46">
        <f>IFERROR(MATRIZ_174!O32,0)</f>
        <v/>
      </c>
      <c r="M32" s="45" t="n">
        <v>0</v>
      </c>
      <c r="N32" s="23">
        <f>IF(AND(F32&gt;0,C32&lt;34),"🔴 UE + Critico",IF(AND(F32&gt;0,C32&lt;67),"🟡 UE + Vulnerable",IF(AND(F32&gt;0,C32&gt;=67),"🟢 UE + Preparado",IF(C32=0,"— Sin dato","Sin exposición UE"))))</f>
        <v/>
      </c>
      <c r="O32" s="15" t="inlineStr">
        <is>
          <t>SAN MARTIN</t>
        </is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42">
        <f>ROUND(PONDERADORES!$D$12*G33+PONDERADORES!$D$13*H33+PONDERADORES!$D$14*I33+PONDERADORES!$D$15*J33+PONDERADORES!$D$16*K33+PONDERADORES!$D$17*L33+PONDERADORES!$D$18*M33,1)</f>
        <v/>
      </c>
      <c r="D33" s="23">
        <f>IF(C33&lt;34,"🔴 Critico",IF(C33&lt;67,"🟡 Vulnerable","🟢 Preparado"))</f>
        <v/>
      </c>
      <c r="E33" s="23">
        <f>IFERROR(RANK(C33,C:C,-1),"")</f>
        <v/>
      </c>
      <c r="F33" s="43" t="n">
        <v>0</v>
      </c>
      <c r="G33" s="44">
        <f>IFERROR(MATRIZ_174!M33,0)</f>
        <v/>
      </c>
      <c r="H33" s="45" t="n">
        <v>0</v>
      </c>
      <c r="I33" s="45" t="n">
        <v>0</v>
      </c>
      <c r="J33" s="45" t="n">
        <v>0</v>
      </c>
      <c r="K33" s="66">
        <f>IFERROR(INDEX(MATRIZ_174!$U:$U,MATCH(A33,MATRIZ_174!$A:$A,0)),"")</f>
        <v/>
      </c>
      <c r="L33" s="46">
        <f>IFERROR(MATRIZ_174!O33,0)</f>
        <v/>
      </c>
      <c r="M33" s="45" t="n">
        <v>0</v>
      </c>
      <c r="N33" s="23">
        <f>IF(AND(F33&gt;0,C33&lt;34),"🔴 UE + Critico",IF(AND(F33&gt;0,C33&lt;67),"🟡 UE + Vulnerable",IF(AND(F33&gt;0,C33&gt;=67),"🟢 UE + Preparado",IF(C33=0,"— Sin dato","Sin exposición UE"))))</f>
        <v/>
      </c>
      <c r="O33" s="15" t="inlineStr">
        <is>
          <t>SAN MARTIN</t>
        </is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42">
        <f>ROUND(PONDERADORES!$D$12*G34+PONDERADORES!$D$13*H34+PONDERADORES!$D$14*I34+PONDERADORES!$D$15*J34+PONDERADORES!$D$16*K34+PONDERADORES!$D$17*L34+PONDERADORES!$D$18*M34,1)</f>
        <v/>
      </c>
      <c r="D34" s="23">
        <f>IF(C34&lt;34,"🔴 Critico",IF(C34&lt;67,"🟡 Vulnerable","🟢 Preparado"))</f>
        <v/>
      </c>
      <c r="E34" s="23">
        <f>IFERROR(RANK(C34,C:C,-1),"")</f>
        <v/>
      </c>
      <c r="F34" s="43">
        <f>IFERROR(MATRIZ_174!L34,0)</f>
        <v/>
      </c>
      <c r="G34" s="44">
        <f>IFERROR(MATRIZ_174!M34,0)</f>
        <v/>
      </c>
      <c r="H34" s="45" t="n">
        <v>0</v>
      </c>
      <c r="I34" s="45" t="n">
        <v>0</v>
      </c>
      <c r="J34" s="45" t="n">
        <v>0</v>
      </c>
      <c r="K34" s="66">
        <f>IFERROR(INDEX(MATRIZ_174!$U:$U,MATCH(A34,MATRIZ_174!$A:$A,0)),"")</f>
        <v/>
      </c>
      <c r="L34" s="46">
        <f>IFERROR(MATRIZ_174!O34,0)</f>
        <v/>
      </c>
      <c r="M34" s="45" t="n">
        <v>0</v>
      </c>
      <c r="N34" s="23">
        <f>IF(AND(F34&gt;0,C34&lt;34),"🔴 UE + Critico",IF(AND(F34&gt;0,C34&lt;67),"🟡 UE + Vulnerable",IF(AND(F34&gt;0,C34&gt;=67),"🟢 UE + Preparado",IF(C34=0,"— Sin dato","Sin exposición UE"))))</f>
        <v/>
      </c>
      <c r="O34" s="15" t="inlineStr">
        <is>
          <t>SAN MARTIN</t>
        </is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42">
        <f>ROUND(PONDERADORES!$D$12*G35+PONDERADORES!$D$13*H35+PONDERADORES!$D$14*I35+PONDERADORES!$D$15*J35+PONDERADORES!$D$16*K35+PONDERADORES!$D$17*L35+PONDERADORES!$D$18*M35,1)</f>
        <v/>
      </c>
      <c r="D35" s="23">
        <f>IF(C35&lt;34,"🔴 Critico",IF(C35&lt;67,"🟡 Vulnerable","🟢 Preparado"))</f>
        <v/>
      </c>
      <c r="E35" s="23">
        <f>IFERROR(RANK(C35,C:C,-1),"")</f>
        <v/>
      </c>
      <c r="F35" s="43" t="n">
        <v>965726.35</v>
      </c>
      <c r="G35" s="44">
        <f>IFERROR(MATRIZ_174!M35,0)</f>
        <v/>
      </c>
      <c r="H35" s="45" t="n">
        <v>0</v>
      </c>
      <c r="I35" s="45" t="n">
        <v>0</v>
      </c>
      <c r="J35" s="45" t="n">
        <v>0</v>
      </c>
      <c r="K35" s="66">
        <f>IFERROR(INDEX(MATRIZ_174!$U:$U,MATCH(A35,MATRIZ_174!$A:$A,0)),"")</f>
        <v/>
      </c>
      <c r="L35" s="46">
        <f>IFERROR(MATRIZ_174!O35,0)</f>
        <v/>
      </c>
      <c r="M35" s="45" t="n">
        <v>0</v>
      </c>
      <c r="N35" s="23">
        <f>IF(AND(F35&gt;0,C35&lt;34),"🔴 UE + Critico",IF(AND(F35&gt;0,C35&lt;67),"🟡 UE + Vulnerable",IF(AND(F35&gt;0,C35&gt;=67),"🟢 UE + Preparado",IF(C35=0,"— Sin dato","Sin exposición UE"))))</f>
        <v/>
      </c>
      <c r="O35" s="15" t="inlineStr">
        <is>
          <t>CUSCO</t>
        </is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42">
        <f>ROUND(PONDERADORES!$D$12*G36+PONDERADORES!$D$13*H36+PONDERADORES!$D$14*I36+PONDERADORES!$D$15*J36+PONDERADORES!$D$16*K36+PONDERADORES!$D$17*L36+PONDERADORES!$D$18*M36,1)</f>
        <v/>
      </c>
      <c r="D36" s="23">
        <f>IF(C36&lt;34,"🔴 Critico",IF(C36&lt;67,"🟡 Vulnerable","🟢 Preparado"))</f>
        <v/>
      </c>
      <c r="E36" s="23">
        <f>IFERROR(RANK(C36,C:C,-1),"")</f>
        <v/>
      </c>
      <c r="F36" s="43" t="n">
        <v>965167.45</v>
      </c>
      <c r="G36" s="44">
        <f>IFERROR(MATRIZ_174!M36,0)</f>
        <v/>
      </c>
      <c r="H36" s="45" t="n">
        <v>0</v>
      </c>
      <c r="I36" s="45" t="n">
        <v>0</v>
      </c>
      <c r="J36" s="45" t="n">
        <v>0</v>
      </c>
      <c r="K36" s="66">
        <f>IFERROR(INDEX(MATRIZ_174!$U:$U,MATCH(A36,MATRIZ_174!$A:$A,0)),"")</f>
        <v/>
      </c>
      <c r="L36" s="46">
        <f>IFERROR(MATRIZ_174!O36,0)</f>
        <v/>
      </c>
      <c r="M36" s="45" t="n">
        <v>0</v>
      </c>
      <c r="N36" s="23">
        <f>IF(AND(F36&gt;0,C36&lt;34),"🔴 UE + Critico",IF(AND(F36&gt;0,C36&lt;67),"🟡 UE + Vulnerable",IF(AND(F36&gt;0,C36&gt;=67),"🟢 UE + Preparado",IF(C36=0,"— Sin dato","Sin exposición UE"))))</f>
        <v/>
      </c>
      <c r="O36" s="15" t="inlineStr">
        <is>
          <t>CAJAMARCA</t>
        </is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42">
        <f>ROUND(PONDERADORES!$D$12*G37+PONDERADORES!$D$13*H37+PONDERADORES!$D$14*I37+PONDERADORES!$D$15*J37+PONDERADORES!$D$16*K37+PONDERADORES!$D$17*L37+PONDERADORES!$D$18*M37,1)</f>
        <v/>
      </c>
      <c r="D37" s="23">
        <f>IF(C37&lt;34,"🔴 Critico",IF(C37&lt;67,"🟡 Vulnerable","🟢 Preparado"))</f>
        <v/>
      </c>
      <c r="E37" s="23">
        <f>IFERROR(RANK(C37,C:C,-1),"")</f>
        <v/>
      </c>
      <c r="F37" s="43" t="n">
        <v>0</v>
      </c>
      <c r="G37" s="44">
        <f>IFERROR(MATRIZ_174!M37,0)</f>
        <v/>
      </c>
      <c r="H37" s="45" t="n">
        <v>0</v>
      </c>
      <c r="I37" s="45" t="n">
        <v>0</v>
      </c>
      <c r="J37" s="45" t="n">
        <v>0</v>
      </c>
      <c r="K37" s="66">
        <f>IFERROR(INDEX(MATRIZ_174!$U:$U,MATCH(A37,MATRIZ_174!$A:$A,0)),"")</f>
        <v/>
      </c>
      <c r="L37" s="46">
        <f>IFERROR(MATRIZ_174!O37,0)</f>
        <v/>
      </c>
      <c r="M37" s="45" t="n">
        <v>0</v>
      </c>
      <c r="N37" s="23">
        <f>IF(AND(F37&gt;0,C37&lt;34),"🔴 UE + Critico",IF(AND(F37&gt;0,C37&lt;67),"🟡 UE + Vulnerable",IF(AND(F37&gt;0,C37&gt;=67),"🟢 UE + Preparado",IF(C37=0,"— Sin dato","Sin exposición UE"))))</f>
        <v/>
      </c>
      <c r="O37" s="15" t="inlineStr">
        <is>
          <t>AMAZONAS</t>
        </is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42">
        <f>ROUND(PONDERADORES!$D$12*G38+PONDERADORES!$D$13*H38+PONDERADORES!$D$14*I38+PONDERADORES!$D$15*J38+PONDERADORES!$D$16*K38+PONDERADORES!$D$17*L38+PONDERADORES!$D$18*M38,1)</f>
        <v/>
      </c>
      <c r="D38" s="23">
        <f>IF(C38&lt;34,"🔴 Critico",IF(C38&lt;67,"🟡 Vulnerable","🟢 Preparado"))</f>
        <v/>
      </c>
      <c r="E38" s="23">
        <f>IFERROR(RANK(C38,C:C,-1),"")</f>
        <v/>
      </c>
      <c r="F38" s="43">
        <f>IFERROR(MATRIZ_174!L38,0)</f>
        <v/>
      </c>
      <c r="G38" s="44">
        <f>IFERROR(MATRIZ_174!M38,0)</f>
        <v/>
      </c>
      <c r="H38" s="45" t="n">
        <v>0</v>
      </c>
      <c r="I38" s="45" t="n">
        <v>0</v>
      </c>
      <c r="J38" s="45" t="n">
        <v>0</v>
      </c>
      <c r="K38" s="66">
        <f>IFERROR(INDEX(MATRIZ_174!$U:$U,MATCH(A38,MATRIZ_174!$A:$A,0)),"")</f>
        <v/>
      </c>
      <c r="L38" s="46">
        <f>IFERROR(MATRIZ_174!O38,0)</f>
        <v/>
      </c>
      <c r="M38" s="45" t="n">
        <v>0</v>
      </c>
      <c r="N38" s="23">
        <f>IF(AND(F38&gt;0,C38&lt;34),"🔴 UE + Critico",IF(AND(F38&gt;0,C38&lt;67),"🟡 UE + Vulnerable",IF(AND(F38&gt;0,C38&gt;=67),"🟢 UE + Preparado",IF(C38=0,"— Sin dato","Sin exposición UE"))))</f>
        <v/>
      </c>
      <c r="O38" s="15" t="inlineStr">
        <is>
          <t>AMAZONAS</t>
        </is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42">
        <f>ROUND(PONDERADORES!$D$12*G39+PONDERADORES!$D$13*H39+PONDERADORES!$D$14*I39+PONDERADORES!$D$15*J39+PONDERADORES!$D$16*K39+PONDERADORES!$D$17*L39+PONDERADORES!$D$18*M39,1)</f>
        <v/>
      </c>
      <c r="D39" s="23">
        <f>IF(C39&lt;34,"🔴 Critico",IF(C39&lt;67,"🟡 Vulnerable","🟢 Preparado"))</f>
        <v/>
      </c>
      <c r="E39" s="23">
        <f>IFERROR(RANK(C39,C:C,-1),"")</f>
        <v/>
      </c>
      <c r="F39" s="43" t="n">
        <v>587607.64</v>
      </c>
      <c r="G39" s="44">
        <f>IFERROR(MATRIZ_174!M39,0)</f>
        <v/>
      </c>
      <c r="H39" s="45" t="n">
        <v>0</v>
      </c>
      <c r="I39" s="45" t="n">
        <v>0</v>
      </c>
      <c r="J39" s="45" t="n">
        <v>0</v>
      </c>
      <c r="K39" s="66">
        <f>IFERROR(INDEX(MATRIZ_174!$U:$U,MATCH(A39,MATRIZ_174!$A:$A,0)),"")</f>
        <v/>
      </c>
      <c r="L39" s="46">
        <f>IFERROR(MATRIZ_174!O39,0)</f>
        <v/>
      </c>
      <c r="M39" s="45" t="n">
        <v>0</v>
      </c>
      <c r="N39" s="23">
        <f>IF(AND(F39&gt;0,C39&lt;34),"🔴 UE + Critico",IF(AND(F39&gt;0,C39&lt;67),"🟡 UE + Vulnerable",IF(AND(F39&gt;0,C39&gt;=67),"🟢 UE + Preparado",IF(C39=0,"— Sin dato","Sin exposición UE"))))</f>
        <v/>
      </c>
      <c r="O39" s="15" t="inlineStr">
        <is>
          <t>AMAZONAS</t>
        </is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42">
        <f>ROUND(PONDERADORES!$D$12*G40+PONDERADORES!$D$13*H40+PONDERADORES!$D$14*I40+PONDERADORES!$D$15*J40+PONDERADORES!$D$16*K40+PONDERADORES!$D$17*L40+PONDERADORES!$D$18*M40,1)</f>
        <v/>
      </c>
      <c r="D40" s="23">
        <f>IF(C40&lt;34,"🔴 Critico",IF(C40&lt;67,"🟡 Vulnerable","🟢 Preparado"))</f>
        <v/>
      </c>
      <c r="E40" s="23">
        <f>IFERROR(RANK(C40,C:C,-1),"")</f>
        <v/>
      </c>
      <c r="F40" s="43" t="n">
        <v>842214.99</v>
      </c>
      <c r="G40" s="44">
        <f>IFERROR(MATRIZ_174!M40,0)</f>
        <v/>
      </c>
      <c r="H40" s="45" t="n">
        <v>0</v>
      </c>
      <c r="I40" s="45" t="n">
        <v>0</v>
      </c>
      <c r="J40" s="45" t="n">
        <v>0</v>
      </c>
      <c r="K40" s="66">
        <f>IFERROR(INDEX(MATRIZ_174!$U:$U,MATCH(A40,MATRIZ_174!$A:$A,0)),"")</f>
        <v/>
      </c>
      <c r="L40" s="46">
        <f>IFERROR(MATRIZ_174!O40,0)</f>
        <v/>
      </c>
      <c r="M40" s="45" t="n">
        <v>0</v>
      </c>
      <c r="N40" s="23">
        <f>IF(AND(F40&gt;0,C40&lt;34),"🔴 UE + Critico",IF(AND(F40&gt;0,C40&lt;67),"🟡 UE + Vulnerable",IF(AND(F40&gt;0,C40&gt;=67),"🟢 UE + Preparado",IF(C40=0,"— Sin dato","Sin exposición UE"))))</f>
        <v/>
      </c>
      <c r="O40" s="15" t="inlineStr">
        <is>
          <t>AMAZONAS</t>
        </is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42">
        <f>ROUND(PONDERADORES!$D$12*G41+PONDERADORES!$D$13*H41+PONDERADORES!$D$14*I41+PONDERADORES!$D$15*J41+PONDERADORES!$D$16*K41+PONDERADORES!$D$17*L41+PONDERADORES!$D$18*M41,1)</f>
        <v/>
      </c>
      <c r="D41" s="23">
        <f>IF(C41&lt;34,"🔴 Critico",IF(C41&lt;67,"🟡 Vulnerable","🟢 Preparado"))</f>
        <v/>
      </c>
      <c r="E41" s="23">
        <f>IFERROR(RANK(C41,C:C,-1),"")</f>
        <v/>
      </c>
      <c r="F41" s="43" t="n">
        <v>0</v>
      </c>
      <c r="G41" s="44">
        <f>IFERROR(MATRIZ_174!M41,0)</f>
        <v/>
      </c>
      <c r="H41" s="45" t="n">
        <v>0</v>
      </c>
      <c r="I41" s="45" t="n">
        <v>0</v>
      </c>
      <c r="J41" s="45" t="n">
        <v>0</v>
      </c>
      <c r="K41" s="66">
        <f>IFERROR(INDEX(MATRIZ_174!$U:$U,MATCH(A41,MATRIZ_174!$A:$A,0)),"")</f>
        <v/>
      </c>
      <c r="L41" s="46">
        <f>IFERROR(MATRIZ_174!O41,0)</f>
        <v/>
      </c>
      <c r="M41" s="45" t="n">
        <v>0</v>
      </c>
      <c r="N41" s="23">
        <f>IF(AND(F41&gt;0,C41&lt;34),"🔴 UE + Critico",IF(AND(F41&gt;0,C41&lt;67),"🟡 UE + Vulnerable",IF(AND(F41&gt;0,C41&gt;=67),"🟢 UE + Preparado",IF(C41=0,"— Sin dato","Sin exposición UE"))))</f>
        <v/>
      </c>
      <c r="O41" s="15" t="inlineStr">
        <is>
          <t>AMAZONAS</t>
        </is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42">
        <f>ROUND(PONDERADORES!$D$12*G42+PONDERADORES!$D$13*H42+PONDERADORES!$D$14*I42+PONDERADORES!$D$15*J42+PONDERADORES!$D$16*K42+PONDERADORES!$D$17*L42+PONDERADORES!$D$18*M42,1)</f>
        <v/>
      </c>
      <c r="D42" s="23">
        <f>IF(C42&lt;34,"🔴 Critico",IF(C42&lt;67,"🟡 Vulnerable","🟢 Preparado"))</f>
        <v/>
      </c>
      <c r="E42" s="23">
        <f>IFERROR(RANK(C42,C:C,-1),"")</f>
        <v/>
      </c>
      <c r="F42" s="43" t="n">
        <v>408500</v>
      </c>
      <c r="G42" s="44">
        <f>IFERROR(MATRIZ_174!M42,0)</f>
        <v/>
      </c>
      <c r="H42" s="45" t="n">
        <v>0</v>
      </c>
      <c r="I42" s="45" t="n">
        <v>0</v>
      </c>
      <c r="J42" s="45" t="n">
        <v>0</v>
      </c>
      <c r="K42" s="66">
        <f>IFERROR(INDEX(MATRIZ_174!$U:$U,MATCH(A42,MATRIZ_174!$A:$A,0)),"")</f>
        <v/>
      </c>
      <c r="L42" s="46">
        <f>IFERROR(MATRIZ_174!O42,0)</f>
        <v/>
      </c>
      <c r="M42" s="45" t="n">
        <v>0</v>
      </c>
      <c r="N42" s="23">
        <f>IF(AND(F42&gt;0,C42&lt;34),"🔴 UE + Critico",IF(AND(F42&gt;0,C42&lt;67),"🟡 UE + Vulnerable",IF(AND(F42&gt;0,C42&gt;=67),"🟢 UE + Preparado",IF(C42=0,"— Sin dato","Sin exposición UE"))))</f>
        <v/>
      </c>
      <c r="O42" s="15" t="inlineStr">
        <is>
          <t>PIURA</t>
        </is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42">
        <f>ROUND(PONDERADORES!$D$12*G43+PONDERADORES!$D$13*H43+PONDERADORES!$D$14*I43+PONDERADORES!$D$15*J43+PONDERADORES!$D$16*K43+PONDERADORES!$D$17*L43+PONDERADORES!$D$18*M43,1)</f>
        <v/>
      </c>
      <c r="D43" s="23">
        <f>IF(C43&lt;34,"🔴 Critico",IF(C43&lt;67,"🟡 Vulnerable","🟢 Preparado"))</f>
        <v/>
      </c>
      <c r="E43" s="23">
        <f>IFERROR(RANK(C43,C:C,-1),"")</f>
        <v/>
      </c>
      <c r="F43" s="43" t="n">
        <v>0</v>
      </c>
      <c r="G43" s="44">
        <f>IFERROR(MATRIZ_174!M43,0)</f>
        <v/>
      </c>
      <c r="H43" s="45" t="n">
        <v>0</v>
      </c>
      <c r="I43" s="45" t="n">
        <v>0</v>
      </c>
      <c r="J43" s="45" t="n">
        <v>0</v>
      </c>
      <c r="K43" s="66">
        <f>IFERROR(INDEX(MATRIZ_174!$U:$U,MATCH(A43,MATRIZ_174!$A:$A,0)),"")</f>
        <v/>
      </c>
      <c r="L43" s="46">
        <f>IFERROR(MATRIZ_174!O43,0)</f>
        <v/>
      </c>
      <c r="M43" s="45" t="n">
        <v>0</v>
      </c>
      <c r="N43" s="23">
        <f>IF(AND(F43&gt;0,C43&lt;34),"🔴 UE + Critico",IF(AND(F43&gt;0,C43&lt;67),"🟡 UE + Vulnerable",IF(AND(F43&gt;0,C43&gt;=67),"🟢 UE + Preparado",IF(C43=0,"— Sin dato","Sin exposición UE"))))</f>
        <v/>
      </c>
      <c r="O43" s="15" t="inlineStr">
        <is>
          <t>JUNIN</t>
        </is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42">
        <f>ROUND(PONDERADORES!$D$12*G44+PONDERADORES!$D$13*H44+PONDERADORES!$D$14*I44+PONDERADORES!$D$15*J44+PONDERADORES!$D$16*K44+PONDERADORES!$D$17*L44+PONDERADORES!$D$18*M44,1)</f>
        <v/>
      </c>
      <c r="D44" s="23">
        <f>IF(C44&lt;34,"🔴 Critico",IF(C44&lt;67,"🟡 Vulnerable","🟢 Preparado"))</f>
        <v/>
      </c>
      <c r="E44" s="23">
        <f>IFERROR(RANK(C44,C:C,-1),"")</f>
        <v/>
      </c>
      <c r="F44" s="43" t="n">
        <v>0</v>
      </c>
      <c r="G44" s="44">
        <f>IFERROR(MATRIZ_174!M44,0)</f>
        <v/>
      </c>
      <c r="H44" s="45" t="n">
        <v>0</v>
      </c>
      <c r="I44" s="45" t="n">
        <v>0</v>
      </c>
      <c r="J44" s="45" t="n">
        <v>0</v>
      </c>
      <c r="K44" s="66">
        <f>IFERROR(INDEX(MATRIZ_174!$U:$U,MATCH(A44,MATRIZ_174!$A:$A,0)),"")</f>
        <v/>
      </c>
      <c r="L44" s="46">
        <f>IFERROR(MATRIZ_174!O44,0)</f>
        <v/>
      </c>
      <c r="M44" s="45" t="n">
        <v>0</v>
      </c>
      <c r="N44" s="23">
        <f>IF(AND(F44&gt;0,C44&lt;34),"🔴 UE + Critico",IF(AND(F44&gt;0,C44&lt;67),"🟡 UE + Vulnerable",IF(AND(F44&gt;0,C44&gt;=67),"🟢 UE + Preparado",IF(C44=0,"— Sin dato","Sin exposición UE"))))</f>
        <v/>
      </c>
      <c r="O44" s="15" t="inlineStr">
        <is>
          <t>JUNIN</t>
        </is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42">
        <f>ROUND(PONDERADORES!$D$12*G45+PONDERADORES!$D$13*H45+PONDERADORES!$D$14*I45+PONDERADORES!$D$15*J45+PONDERADORES!$D$16*K45+PONDERADORES!$D$17*L45+PONDERADORES!$D$18*M45,1)</f>
        <v/>
      </c>
      <c r="D45" s="23">
        <f>IF(C45&lt;34,"🔴 Critico",IF(C45&lt;67,"🟡 Vulnerable","🟢 Preparado"))</f>
        <v/>
      </c>
      <c r="E45" s="23">
        <f>IFERROR(RANK(C45,C:C,-1),"")</f>
        <v/>
      </c>
      <c r="F45" s="43" t="n">
        <v>6603846.03</v>
      </c>
      <c r="G45" s="44">
        <f>IFERROR(MATRIZ_174!M45,0)</f>
        <v/>
      </c>
      <c r="H45" s="45" t="n">
        <v>0</v>
      </c>
      <c r="I45" s="45" t="n">
        <v>0</v>
      </c>
      <c r="J45" s="45" t="n">
        <v>0</v>
      </c>
      <c r="K45" s="66">
        <f>IFERROR(INDEX(MATRIZ_174!$U:$U,MATCH(A45,MATRIZ_174!$A:$A,0)),"")</f>
        <v/>
      </c>
      <c r="L45" s="46">
        <f>IFERROR(MATRIZ_174!O45,0)</f>
        <v/>
      </c>
      <c r="M45" s="45" t="n">
        <v>0</v>
      </c>
      <c r="N45" s="23">
        <f>IF(AND(F45&gt;0,C45&lt;34),"🔴 UE + Critico",IF(AND(F45&gt;0,C45&lt;67),"🟡 UE + Vulnerable",IF(AND(F45&gt;0,C45&gt;=67),"🟢 UE + Preparado",IF(C45=0,"— Sin dato","Sin exposición UE"))))</f>
        <v/>
      </c>
      <c r="O45" s="15" t="inlineStr">
        <is>
          <t>JUNIN</t>
        </is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42">
        <f>ROUND(PONDERADORES!$D$12*G46+PONDERADORES!$D$13*H46+PONDERADORES!$D$14*I46+PONDERADORES!$D$15*J46+PONDERADORES!$D$16*K46+PONDERADORES!$D$17*L46+PONDERADORES!$D$18*M46,1)</f>
        <v/>
      </c>
      <c r="D46" s="23">
        <f>IF(C46&lt;34,"🔴 Critico",IF(C46&lt;67,"🟡 Vulnerable","🟢 Preparado"))</f>
        <v/>
      </c>
      <c r="E46" s="23">
        <f>IFERROR(RANK(C46,C:C,-1),"")</f>
        <v/>
      </c>
      <c r="F46" s="43" t="n">
        <v>0</v>
      </c>
      <c r="G46" s="44">
        <f>IFERROR(MATRIZ_174!M46,0)</f>
        <v/>
      </c>
      <c r="H46" s="45" t="n">
        <v>0</v>
      </c>
      <c r="I46" s="45" t="n">
        <v>0</v>
      </c>
      <c r="J46" s="45" t="n">
        <v>0</v>
      </c>
      <c r="K46" s="66">
        <f>IFERROR(INDEX(MATRIZ_174!$U:$U,MATCH(A46,MATRIZ_174!$A:$A,0)),"")</f>
        <v/>
      </c>
      <c r="L46" s="46">
        <f>IFERROR(MATRIZ_174!O46,0)</f>
        <v/>
      </c>
      <c r="M46" s="45" t="n">
        <v>0</v>
      </c>
      <c r="N46" s="23">
        <f>IF(AND(F46&gt;0,C46&lt;34),"🔴 UE + Critico",IF(AND(F46&gt;0,C46&lt;67),"🟡 UE + Vulnerable",IF(AND(F46&gt;0,C46&gt;=67),"🟢 UE + Preparado",IF(C46=0,"— Sin dato","Sin exposición UE"))))</f>
        <v/>
      </c>
      <c r="O46" s="15" t="inlineStr">
        <is>
          <t>JUNIN</t>
        </is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42">
        <f>ROUND(PONDERADORES!$D$12*G47+PONDERADORES!$D$13*H47+PONDERADORES!$D$14*I47+PONDERADORES!$D$15*J47+PONDERADORES!$D$16*K47+PONDERADORES!$D$17*L47+PONDERADORES!$D$18*M47,1)</f>
        <v/>
      </c>
      <c r="D47" s="23">
        <f>IF(C47&lt;34,"🔴 Critico",IF(C47&lt;67,"🟡 Vulnerable","🟢 Preparado"))</f>
        <v/>
      </c>
      <c r="E47" s="23">
        <f>IFERROR(RANK(C47,C:C,-1),"")</f>
        <v/>
      </c>
      <c r="F47" s="43">
        <f>IFERROR(MATRIZ_174!L47,0)</f>
        <v/>
      </c>
      <c r="G47" s="44">
        <f>IFERROR(MATRIZ_174!M47,0)</f>
        <v/>
      </c>
      <c r="H47" s="45" t="n">
        <v>0</v>
      </c>
      <c r="I47" s="45" t="n">
        <v>0</v>
      </c>
      <c r="J47" s="45" t="n">
        <v>0</v>
      </c>
      <c r="K47" s="66">
        <f>IFERROR(INDEX(MATRIZ_174!$U:$U,MATCH(A47,MATRIZ_174!$A:$A,0)),"")</f>
        <v/>
      </c>
      <c r="L47" s="46">
        <f>IFERROR(MATRIZ_174!O47,0)</f>
        <v/>
      </c>
      <c r="M47" s="45" t="n">
        <v>0</v>
      </c>
      <c r="N47" s="23">
        <f>IF(AND(F47&gt;0,C47&lt;34),"🔴 UE + Critico",IF(AND(F47&gt;0,C47&lt;67),"🟡 UE + Vulnerable",IF(AND(F47&gt;0,C47&gt;=67),"🟢 UE + Preparado",IF(C47=0,"— Sin dato","Sin exposición UE"))))</f>
        <v/>
      </c>
      <c r="O47" s="15" t="inlineStr">
        <is>
          <t>JUNIN</t>
        </is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42">
        <f>ROUND(PONDERADORES!$D$12*G48+PONDERADORES!$D$13*H48+PONDERADORES!$D$14*I48+PONDERADORES!$D$15*J48+PONDERADORES!$D$16*K48+PONDERADORES!$D$17*L48+PONDERADORES!$D$18*M48,1)</f>
        <v/>
      </c>
      <c r="D48" s="23">
        <f>IF(C48&lt;34,"🔴 Critico",IF(C48&lt;67,"🟡 Vulnerable","🟢 Preparado"))</f>
        <v/>
      </c>
      <c r="E48" s="23">
        <f>IFERROR(RANK(C48,C:C,-1),"")</f>
        <v/>
      </c>
      <c r="F48" s="43" t="n">
        <v>15171146.54</v>
      </c>
      <c r="G48" s="44">
        <f>IFERROR(MATRIZ_174!M48,0)</f>
        <v/>
      </c>
      <c r="H48" s="45" t="n">
        <v>0</v>
      </c>
      <c r="I48" s="45" t="n">
        <v>0</v>
      </c>
      <c r="J48" s="45" t="n">
        <v>0</v>
      </c>
      <c r="K48" s="66">
        <f>IFERROR(INDEX(MATRIZ_174!$U:$U,MATCH(A48,MATRIZ_174!$A:$A,0)),"")</f>
        <v/>
      </c>
      <c r="L48" s="46">
        <f>IFERROR(MATRIZ_174!O48,0)</f>
        <v/>
      </c>
      <c r="M48" s="45" t="n">
        <v>0</v>
      </c>
      <c r="N48" s="23">
        <f>IF(AND(F48&gt;0,C48&lt;34),"🔴 UE + Critico",IF(AND(F48&gt;0,C48&lt;67),"🟡 UE + Vulnerable",IF(AND(F48&gt;0,C48&gt;=67),"🟢 UE + Preparado",IF(C48=0,"— Sin dato","Sin exposición UE"))))</f>
        <v/>
      </c>
      <c r="O48" s="15" t="inlineStr">
        <is>
          <t>JUNIN</t>
        </is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42">
        <f>ROUND(PONDERADORES!$D$12*G49+PONDERADORES!$D$13*H49+PONDERADORES!$D$14*I49+PONDERADORES!$D$15*J49+PONDERADORES!$D$16*K49+PONDERADORES!$D$17*L49+PONDERADORES!$D$18*M49,1)</f>
        <v/>
      </c>
      <c r="D49" s="23">
        <f>IF(C49&lt;34,"🔴 Critico",IF(C49&lt;67,"🟡 Vulnerable","🟢 Preparado"))</f>
        <v/>
      </c>
      <c r="E49" s="23">
        <f>IFERROR(RANK(C49,C:C,-1),"")</f>
        <v/>
      </c>
      <c r="F49" s="43" t="n">
        <v>1145489.35</v>
      </c>
      <c r="G49" s="44">
        <f>IFERROR(MATRIZ_174!M49,0)</f>
        <v/>
      </c>
      <c r="H49" s="45" t="n">
        <v>0</v>
      </c>
      <c r="I49" s="45" t="n">
        <v>0</v>
      </c>
      <c r="J49" s="45" t="n">
        <v>0</v>
      </c>
      <c r="K49" s="66">
        <f>IFERROR(INDEX(MATRIZ_174!$U:$U,MATCH(A49,MATRIZ_174!$A:$A,0)),"")</f>
        <v/>
      </c>
      <c r="L49" s="46">
        <f>IFERROR(MATRIZ_174!O49,0)</f>
        <v/>
      </c>
      <c r="M49" s="45" t="n">
        <v>0</v>
      </c>
      <c r="N49" s="23">
        <f>IF(AND(F49&gt;0,C49&lt;34),"🔴 UE + Critico",IF(AND(F49&gt;0,C49&lt;67),"🟡 UE + Vulnerable",IF(AND(F49&gt;0,C49&gt;=67),"🟢 UE + Preparado",IF(C49=0,"— Sin dato","Sin exposición UE"))))</f>
        <v/>
      </c>
      <c r="O49" s="15" t="inlineStr">
        <is>
          <t>JUNIN</t>
        </is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42">
        <f>ROUND(PONDERADORES!$D$12*G50+PONDERADORES!$D$13*H50+PONDERADORES!$D$14*I50+PONDERADORES!$D$15*J50+PONDERADORES!$D$16*K50+PONDERADORES!$D$17*L50+PONDERADORES!$D$18*M50,1)</f>
        <v/>
      </c>
      <c r="D50" s="23">
        <f>IF(C50&lt;34,"🔴 Critico",IF(C50&lt;67,"🟡 Vulnerable","🟢 Preparado"))</f>
        <v/>
      </c>
      <c r="E50" s="23">
        <f>IFERROR(RANK(C50,C:C,-1),"")</f>
        <v/>
      </c>
      <c r="F50" s="43">
        <f>IFERROR(MATRIZ_174!L50,0)</f>
        <v/>
      </c>
      <c r="G50" s="44">
        <f>IFERROR(MATRIZ_174!M50,0)</f>
        <v/>
      </c>
      <c r="H50" s="45" t="n">
        <v>0</v>
      </c>
      <c r="I50" s="45" t="n">
        <v>0</v>
      </c>
      <c r="J50" s="45" t="n">
        <v>0</v>
      </c>
      <c r="K50" s="66">
        <f>IFERROR(INDEX(MATRIZ_174!$U:$U,MATCH(A50,MATRIZ_174!$A:$A,0)),"")</f>
        <v/>
      </c>
      <c r="L50" s="46">
        <f>IFERROR(MATRIZ_174!O50,0)</f>
        <v/>
      </c>
      <c r="M50" s="45" t="n">
        <v>0</v>
      </c>
      <c r="N50" s="23">
        <f>IF(AND(F50&gt;0,C50&lt;34),"🔴 UE + Critico",IF(AND(F50&gt;0,C50&lt;67),"🟡 UE + Vulnerable",IF(AND(F50&gt;0,C50&gt;=67),"🟢 UE + Preparado",IF(C50=0,"— Sin dato","Sin exposición UE"))))</f>
        <v/>
      </c>
      <c r="O50" s="15" t="inlineStr">
        <is>
          <t>LAMBAYEQUE</t>
        </is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42">
        <f>ROUND(PONDERADORES!$D$12*G51+PONDERADORES!$D$13*H51+PONDERADORES!$D$14*I51+PONDERADORES!$D$15*J51+PONDERADORES!$D$16*K51+PONDERADORES!$D$17*L51+PONDERADORES!$D$18*M51,1)</f>
        <v/>
      </c>
      <c r="D51" s="23">
        <f>IF(C51&lt;34,"🔴 Critico",IF(C51&lt;67,"🟡 Vulnerable","🟢 Preparado"))</f>
        <v/>
      </c>
      <c r="E51" s="23">
        <f>IFERROR(RANK(C51,C:C,-1),"")</f>
        <v/>
      </c>
      <c r="F51" s="43">
        <f>IFERROR(MATRIZ_174!L51,0)</f>
        <v/>
      </c>
      <c r="G51" s="44">
        <f>IFERROR(MATRIZ_174!M51,0)</f>
        <v/>
      </c>
      <c r="H51" s="45" t="n">
        <v>0</v>
      </c>
      <c r="I51" s="45" t="n">
        <v>0</v>
      </c>
      <c r="J51" s="45" t="n">
        <v>0</v>
      </c>
      <c r="K51" s="66">
        <f>IFERROR(INDEX(MATRIZ_174!$U:$U,MATCH(A51,MATRIZ_174!$A:$A,0)),"")</f>
        <v/>
      </c>
      <c r="L51" s="46">
        <f>IFERROR(MATRIZ_174!O51,0)</f>
        <v/>
      </c>
      <c r="M51" s="45" t="n">
        <v>0</v>
      </c>
      <c r="N51" s="23">
        <f>IF(AND(F51&gt;0,C51&lt;34),"🔴 UE + Critico",IF(AND(F51&gt;0,C51&lt;67),"🟡 UE + Vulnerable",IF(AND(F51&gt;0,C51&gt;=67),"🟢 UE + Preparado",IF(C51=0,"— Sin dato","Sin exposición UE"))))</f>
        <v/>
      </c>
      <c r="O51" s="15" t="inlineStr">
        <is>
          <t>CAJAMARCA</t>
        </is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42">
        <f>ROUND(PONDERADORES!$D$12*G52+PONDERADORES!$D$13*H52+PONDERADORES!$D$14*I52+PONDERADORES!$D$15*J52+PONDERADORES!$D$16*K52+PONDERADORES!$D$17*L52+PONDERADORES!$D$18*M52,1)</f>
        <v/>
      </c>
      <c r="D52" s="23">
        <f>IF(C52&lt;34,"🔴 Critico",IF(C52&lt;67,"🟡 Vulnerable","🟢 Preparado"))</f>
        <v/>
      </c>
      <c r="E52" s="23">
        <f>IFERROR(RANK(C52,C:C,-1),"")</f>
        <v/>
      </c>
      <c r="F52" s="43">
        <f>IFERROR(MATRIZ_174!L52,0)</f>
        <v/>
      </c>
      <c r="G52" s="44">
        <f>IFERROR(MATRIZ_174!M52,0)</f>
        <v/>
      </c>
      <c r="H52" s="45" t="n">
        <v>0</v>
      </c>
      <c r="I52" s="45" t="n">
        <v>0</v>
      </c>
      <c r="J52" s="45" t="n">
        <v>0</v>
      </c>
      <c r="K52" s="66">
        <f>IFERROR(INDEX(MATRIZ_174!$U:$U,MATCH(A52,MATRIZ_174!$A:$A,0)),"")</f>
        <v/>
      </c>
      <c r="L52" s="46">
        <f>IFERROR(MATRIZ_174!O52,0)</f>
        <v/>
      </c>
      <c r="M52" s="45" t="n">
        <v>0</v>
      </c>
      <c r="N52" s="23">
        <f>IF(AND(F52&gt;0,C52&lt;34),"🔴 UE + Critico",IF(AND(F52&gt;0,C52&lt;67),"🟡 UE + Vulnerable",IF(AND(F52&gt;0,C52&gt;=67),"🟢 UE + Preparado",IF(C52=0,"— Sin dato","Sin exposición UE"))))</f>
        <v/>
      </c>
      <c r="O52" s="15" t="inlineStr">
        <is>
          <t>CUSCO</t>
        </is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42">
        <f>ROUND(PONDERADORES!$D$12*G53+PONDERADORES!$D$13*H53+PONDERADORES!$D$14*I53+PONDERADORES!$D$15*J53+PONDERADORES!$D$16*K53+PONDERADORES!$D$17*L53+PONDERADORES!$D$18*M53,1)</f>
        <v/>
      </c>
      <c r="D53" s="23">
        <f>IF(C53&lt;34,"🔴 Critico",IF(C53&lt;67,"🟡 Vulnerable","🟢 Preparado"))</f>
        <v/>
      </c>
      <c r="E53" s="23">
        <f>IFERROR(RANK(C53,C:C,-1),"")</f>
        <v/>
      </c>
      <c r="F53" s="43" t="n">
        <v>0</v>
      </c>
      <c r="G53" s="44">
        <f>IFERROR(MATRIZ_174!M53,0)</f>
        <v/>
      </c>
      <c r="H53" s="45" t="n">
        <v>0</v>
      </c>
      <c r="I53" s="45" t="n">
        <v>0</v>
      </c>
      <c r="J53" s="45" t="n">
        <v>0</v>
      </c>
      <c r="K53" s="66">
        <f>IFERROR(INDEX(MATRIZ_174!$U:$U,MATCH(A53,MATRIZ_174!$A:$A,0)),"")</f>
        <v/>
      </c>
      <c r="L53" s="46">
        <f>IFERROR(MATRIZ_174!O53,0)</f>
        <v/>
      </c>
      <c r="M53" s="45" t="n">
        <v>0</v>
      </c>
      <c r="N53" s="23">
        <f>IF(AND(F53&gt;0,C53&lt;34),"🔴 UE + Critico",IF(AND(F53&gt;0,C53&lt;67),"🟡 UE + Vulnerable",IF(AND(F53&gt;0,C53&gt;=67),"🟢 UE + Preparado",IF(C53=0,"— Sin dato","Sin exposición UE"))))</f>
        <v/>
      </c>
      <c r="O53" s="15" t="inlineStr">
        <is>
          <t>SAN MARTIN</t>
        </is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42">
        <f>ROUND(PONDERADORES!$D$12*G54+PONDERADORES!$D$13*H54+PONDERADORES!$D$14*I54+PONDERADORES!$D$15*J54+PONDERADORES!$D$16*K54+PONDERADORES!$D$17*L54+PONDERADORES!$D$18*M54,1)</f>
        <v/>
      </c>
      <c r="D54" s="23">
        <f>IF(C54&lt;34,"🔴 Critico",IF(C54&lt;67,"🟡 Vulnerable","🟢 Preparado"))</f>
        <v/>
      </c>
      <c r="E54" s="23">
        <f>IFERROR(RANK(C54,C:C,-1),"")</f>
        <v/>
      </c>
      <c r="F54" s="43">
        <f>IFERROR(MATRIZ_174!L54,0)</f>
        <v/>
      </c>
      <c r="G54" s="44">
        <f>IFERROR(MATRIZ_174!M54,0)</f>
        <v/>
      </c>
      <c r="H54" s="45" t="n">
        <v>0</v>
      </c>
      <c r="I54" s="45" t="n">
        <v>0</v>
      </c>
      <c r="J54" s="45" t="n">
        <v>0</v>
      </c>
      <c r="K54" s="66">
        <f>IFERROR(INDEX(MATRIZ_174!$U:$U,MATCH(A54,MATRIZ_174!$A:$A,0)),"")</f>
        <v/>
      </c>
      <c r="L54" s="46">
        <f>IFERROR(MATRIZ_174!O54,0)</f>
        <v/>
      </c>
      <c r="M54" s="45" t="n">
        <v>0</v>
      </c>
      <c r="N54" s="23">
        <f>IF(AND(F54&gt;0,C54&lt;34),"🔴 UE + Critico",IF(AND(F54&gt;0,C54&lt;67),"🟡 UE + Vulnerable",IF(AND(F54&gt;0,C54&gt;=67),"🟢 UE + Preparado",IF(C54=0,"— Sin dato","Sin exposición UE"))))</f>
        <v/>
      </c>
      <c r="O54" s="15" t="inlineStr">
        <is>
          <t>SAN MARTIN</t>
        </is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42">
        <f>ROUND(PONDERADORES!$D$12*G55+PONDERADORES!$D$13*H55+PONDERADORES!$D$14*I55+PONDERADORES!$D$15*J55+PONDERADORES!$D$16*K55+PONDERADORES!$D$17*L55+PONDERADORES!$D$18*M55,1)</f>
        <v/>
      </c>
      <c r="D55" s="23">
        <f>IF(C55&lt;34,"🔴 Critico",IF(C55&lt;67,"🟡 Vulnerable","🟢 Preparado"))</f>
        <v/>
      </c>
      <c r="E55" s="23">
        <f>IFERROR(RANK(C55,C:C,-1),"")</f>
        <v/>
      </c>
      <c r="F55" s="43">
        <f>IFERROR(MATRIZ_174!L55,0)</f>
        <v/>
      </c>
      <c r="G55" s="44">
        <f>IFERROR(MATRIZ_174!M55,0)</f>
        <v/>
      </c>
      <c r="H55" s="45" t="n">
        <v>0</v>
      </c>
      <c r="I55" s="45" t="n">
        <v>0</v>
      </c>
      <c r="J55" s="45" t="n">
        <v>0</v>
      </c>
      <c r="K55" s="66">
        <f>IFERROR(INDEX(MATRIZ_174!$U:$U,MATCH(A55,MATRIZ_174!$A:$A,0)),"")</f>
        <v/>
      </c>
      <c r="L55" s="46">
        <f>IFERROR(MATRIZ_174!O55,0)</f>
        <v/>
      </c>
      <c r="M55" s="45" t="n">
        <v>0</v>
      </c>
      <c r="N55" s="23">
        <f>IF(AND(F55&gt;0,C55&lt;34),"🔴 UE + Critico",IF(AND(F55&gt;0,C55&lt;67),"🟡 UE + Vulnerable",IF(AND(F55&gt;0,C55&gt;=67),"🟢 UE + Preparado",IF(C55=0,"— Sin dato","Sin exposición UE"))))</f>
        <v/>
      </c>
      <c r="O55" s="15" t="inlineStr">
        <is>
          <t>SAN MARTIN</t>
        </is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42">
        <f>ROUND(PONDERADORES!$D$12*G56+PONDERADORES!$D$13*H56+PONDERADORES!$D$14*I56+PONDERADORES!$D$15*J56+PONDERADORES!$D$16*K56+PONDERADORES!$D$17*L56+PONDERADORES!$D$18*M56,1)</f>
        <v/>
      </c>
      <c r="D56" s="23">
        <f>IF(C56&lt;34,"🔴 Critico",IF(C56&lt;67,"🟡 Vulnerable","🟢 Preparado"))</f>
        <v/>
      </c>
      <c r="E56" s="23">
        <f>IFERROR(RANK(C56,C:C,-1),"")</f>
        <v/>
      </c>
      <c r="F56" s="43">
        <f>IFERROR(MATRIZ_174!L56,0)</f>
        <v/>
      </c>
      <c r="G56" s="44">
        <f>IFERROR(MATRIZ_174!M56,0)</f>
        <v/>
      </c>
      <c r="H56" s="45" t="n">
        <v>0</v>
      </c>
      <c r="I56" s="45" t="n">
        <v>0</v>
      </c>
      <c r="J56" s="45" t="n">
        <v>0</v>
      </c>
      <c r="K56" s="66">
        <f>IFERROR(INDEX(MATRIZ_174!$U:$U,MATCH(A56,MATRIZ_174!$A:$A,0)),"")</f>
        <v/>
      </c>
      <c r="L56" s="46">
        <f>IFERROR(MATRIZ_174!O56,0)</f>
        <v/>
      </c>
      <c r="M56" s="45" t="n">
        <v>0</v>
      </c>
      <c r="N56" s="23">
        <f>IF(AND(F56&gt;0,C56&lt;34),"🔴 UE + Critico",IF(AND(F56&gt;0,C56&lt;67),"🟡 UE + Vulnerable",IF(AND(F56&gt;0,C56&gt;=67),"🟢 UE + Preparado",IF(C56=0,"— Sin dato","Sin exposición UE"))))</f>
        <v/>
      </c>
      <c r="O56" s="15" t="inlineStr">
        <is>
          <t>LORETO</t>
        </is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42">
        <f>ROUND(PONDERADORES!$D$12*G57+PONDERADORES!$D$13*H57+PONDERADORES!$D$14*I57+PONDERADORES!$D$15*J57+PONDERADORES!$D$16*K57+PONDERADORES!$D$17*L57+PONDERADORES!$D$18*M57,1)</f>
        <v/>
      </c>
      <c r="D57" s="23">
        <f>IF(C57&lt;34,"🔴 Critico",IF(C57&lt;67,"🟡 Vulnerable","🟢 Preparado"))</f>
        <v/>
      </c>
      <c r="E57" s="23">
        <f>IFERROR(RANK(C57,C:C,-1),"")</f>
        <v/>
      </c>
      <c r="F57" s="43">
        <f>IFERROR(MATRIZ_174!L57,0)</f>
        <v/>
      </c>
      <c r="G57" s="44">
        <f>IFERROR(MATRIZ_174!M57,0)</f>
        <v/>
      </c>
      <c r="H57" s="45" t="n">
        <v>0</v>
      </c>
      <c r="I57" s="45" t="n">
        <v>0</v>
      </c>
      <c r="J57" s="45" t="n">
        <v>0</v>
      </c>
      <c r="K57" s="66">
        <f>IFERROR(INDEX(MATRIZ_174!$U:$U,MATCH(A57,MATRIZ_174!$A:$A,0)),"")</f>
        <v/>
      </c>
      <c r="L57" s="46">
        <f>IFERROR(MATRIZ_174!O57,0)</f>
        <v/>
      </c>
      <c r="M57" s="45" t="n">
        <v>0</v>
      </c>
      <c r="N57" s="23">
        <f>IF(AND(F57&gt;0,C57&lt;34),"🔴 UE + Critico",IF(AND(F57&gt;0,C57&lt;67),"🟡 UE + Vulnerable",IF(AND(F57&gt;0,C57&gt;=67),"🟢 UE + Preparado",IF(C57=0,"— Sin dato","Sin exposición UE"))))</f>
        <v/>
      </c>
      <c r="O57" s="15" t="inlineStr">
        <is>
          <t>CUSCO</t>
        </is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42">
        <f>ROUND(PONDERADORES!$D$12*G58+PONDERADORES!$D$13*H58+PONDERADORES!$D$14*I58+PONDERADORES!$D$15*J58+PONDERADORES!$D$16*K58+PONDERADORES!$D$17*L58+PONDERADORES!$D$18*M58,1)</f>
        <v/>
      </c>
      <c r="D58" s="23">
        <f>IF(C58&lt;34,"🔴 Critico",IF(C58&lt;67,"🟡 Vulnerable","🟢 Preparado"))</f>
        <v/>
      </c>
      <c r="E58" s="23">
        <f>IFERROR(RANK(C58,C:C,-1),"")</f>
        <v/>
      </c>
      <c r="F58" s="43" t="n">
        <v>52920</v>
      </c>
      <c r="G58" s="44">
        <f>IFERROR(MATRIZ_174!M58,0)</f>
        <v/>
      </c>
      <c r="H58" s="45" t="n">
        <v>0</v>
      </c>
      <c r="I58" s="45" t="n">
        <v>0</v>
      </c>
      <c r="J58" s="45" t="n">
        <v>0</v>
      </c>
      <c r="K58" s="66">
        <f>IFERROR(INDEX(MATRIZ_174!$U:$U,MATCH(A58,MATRIZ_174!$A:$A,0)),"")</f>
        <v/>
      </c>
      <c r="L58" s="46">
        <f>IFERROR(MATRIZ_174!O58,0)</f>
        <v/>
      </c>
      <c r="M58" s="45" t="n">
        <v>0</v>
      </c>
      <c r="N58" s="23">
        <f>IF(AND(F58&gt;0,C58&lt;34),"🔴 UE + Critico",IF(AND(F58&gt;0,C58&lt;67),"🟡 UE + Vulnerable",IF(AND(F58&gt;0,C58&gt;=67),"🟢 UE + Preparado",IF(C58=0,"— Sin dato","Sin exposición UE"))))</f>
        <v/>
      </c>
      <c r="O58" s="15" t="inlineStr">
        <is>
          <t>PIURA</t>
        </is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42">
        <f>ROUND(PONDERADORES!$D$12*G59+PONDERADORES!$D$13*H59+PONDERADORES!$D$14*I59+PONDERADORES!$D$15*J59+PONDERADORES!$D$16*K59+PONDERADORES!$D$17*L59+PONDERADORES!$D$18*M59,1)</f>
        <v/>
      </c>
      <c r="D59" s="23">
        <f>IF(C59&lt;34,"🔴 Critico",IF(C59&lt;67,"🟡 Vulnerable","🟢 Preparado"))</f>
        <v/>
      </c>
      <c r="E59" s="23">
        <f>IFERROR(RANK(C59,C:C,-1),"")</f>
        <v/>
      </c>
      <c r="F59" s="43">
        <f>IFERROR(MATRIZ_174!L59,0)</f>
        <v/>
      </c>
      <c r="G59" s="44">
        <f>IFERROR(MATRIZ_174!M59,0)</f>
        <v/>
      </c>
      <c r="H59" s="45" t="n">
        <v>0</v>
      </c>
      <c r="I59" s="45" t="n">
        <v>0</v>
      </c>
      <c r="J59" s="45" t="n">
        <v>0</v>
      </c>
      <c r="K59" s="66">
        <f>IFERROR(INDEX(MATRIZ_174!$U:$U,MATCH(A59,MATRIZ_174!$A:$A,0)),"")</f>
        <v/>
      </c>
      <c r="L59" s="46">
        <f>IFERROR(MATRIZ_174!O59,0)</f>
        <v/>
      </c>
      <c r="M59" s="45" t="n">
        <v>0</v>
      </c>
      <c r="N59" s="23">
        <f>IF(AND(F59&gt;0,C59&lt;34),"🔴 UE + Critico",IF(AND(F59&gt;0,C59&lt;67),"🟡 UE + Vulnerable",IF(AND(F59&gt;0,C59&gt;=67),"🟢 UE + Preparado",IF(C59=0,"— Sin dato","Sin exposición UE"))))</f>
        <v/>
      </c>
      <c r="O59" s="15" t="inlineStr">
        <is>
          <t>PIURA</t>
        </is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42">
        <f>ROUND(PONDERADORES!$D$12*G60+PONDERADORES!$D$13*H60+PONDERADORES!$D$14*I60+PONDERADORES!$D$15*J60+PONDERADORES!$D$16*K60+PONDERADORES!$D$17*L60+PONDERADORES!$D$18*M60,1)</f>
        <v/>
      </c>
      <c r="D60" s="23">
        <f>IF(C60&lt;34,"🔴 Critico",IF(C60&lt;67,"🟡 Vulnerable","🟢 Preparado"))</f>
        <v/>
      </c>
      <c r="E60" s="23">
        <f>IFERROR(RANK(C60,C:C,-1),"")</f>
        <v/>
      </c>
      <c r="F60" s="43" t="n">
        <v>5373465.47</v>
      </c>
      <c r="G60" s="44">
        <f>IFERROR(MATRIZ_174!M60,0)</f>
        <v/>
      </c>
      <c r="H60" s="45" t="n">
        <v>0</v>
      </c>
      <c r="I60" s="45" t="n">
        <v>0</v>
      </c>
      <c r="J60" s="45" t="n">
        <v>0</v>
      </c>
      <c r="K60" s="66">
        <f>IFERROR(INDEX(MATRIZ_174!$U:$U,MATCH(A60,MATRIZ_174!$A:$A,0)),"")</f>
        <v/>
      </c>
      <c r="L60" s="46">
        <f>IFERROR(MATRIZ_174!O60,0)</f>
        <v/>
      </c>
      <c r="M60" s="45" t="n">
        <v>0</v>
      </c>
      <c r="N60" s="23">
        <f>IF(AND(F60&gt;0,C60&lt;34),"🔴 UE + Critico",IF(AND(F60&gt;0,C60&lt;67),"🟡 UE + Vulnerable",IF(AND(F60&gt;0,C60&gt;=67),"🟢 UE + Preparado",IF(C60=0,"— Sin dato","Sin exposición UE"))))</f>
        <v/>
      </c>
      <c r="O60" s="15" t="inlineStr">
        <is>
          <t>APURIMAC</t>
        </is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42">
        <f>ROUND(PONDERADORES!$D$12*G61+PONDERADORES!$D$13*H61+PONDERADORES!$D$14*I61+PONDERADORES!$D$15*J61+PONDERADORES!$D$16*K61+PONDERADORES!$D$17*L61+PONDERADORES!$D$18*M61,1)</f>
        <v/>
      </c>
      <c r="D61" s="23">
        <f>IF(C61&lt;34,"🔴 Critico",IF(C61&lt;67,"🟡 Vulnerable","🟢 Preparado"))</f>
        <v/>
      </c>
      <c r="E61" s="23">
        <f>IFERROR(RANK(C61,C:C,-1),"")</f>
        <v/>
      </c>
      <c r="F61" s="43">
        <f>IFERROR(MATRIZ_174!L61,0)</f>
        <v/>
      </c>
      <c r="G61" s="44">
        <f>IFERROR(MATRIZ_174!M61,0)</f>
        <v/>
      </c>
      <c r="H61" s="45" t="n">
        <v>0</v>
      </c>
      <c r="I61" s="45" t="n">
        <v>0</v>
      </c>
      <c r="J61" s="45" t="n">
        <v>0</v>
      </c>
      <c r="K61" s="66">
        <f>IFERROR(INDEX(MATRIZ_174!$U:$U,MATCH(A61,MATRIZ_174!$A:$A,0)),"")</f>
        <v/>
      </c>
      <c r="L61" s="46">
        <f>IFERROR(MATRIZ_174!O61,0)</f>
        <v/>
      </c>
      <c r="M61" s="45" t="n">
        <v>0</v>
      </c>
      <c r="N61" s="23">
        <f>IF(AND(F61&gt;0,C61&lt;34),"🔴 UE + Critico",IF(AND(F61&gt;0,C61&lt;67),"🟡 UE + Vulnerable",IF(AND(F61&gt;0,C61&gt;=67),"🟢 UE + Preparado",IF(C61=0,"— Sin dato","Sin exposición UE"))))</f>
        <v/>
      </c>
      <c r="O61" s="15" t="inlineStr">
        <is>
          <t>HUANUCO</t>
        </is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42">
        <f>ROUND(PONDERADORES!$D$12*G62+PONDERADORES!$D$13*H62+PONDERADORES!$D$14*I62+PONDERADORES!$D$15*J62+PONDERADORES!$D$16*K62+PONDERADORES!$D$17*L62+PONDERADORES!$D$18*M62,1)</f>
        <v/>
      </c>
      <c r="D62" s="23">
        <f>IF(C62&lt;34,"🔴 Critico",IF(C62&lt;67,"🟡 Vulnerable","🟢 Preparado"))</f>
        <v/>
      </c>
      <c r="E62" s="23">
        <f>IFERROR(RANK(C62,C:C,-1),"")</f>
        <v/>
      </c>
      <c r="F62" s="43">
        <f>IFERROR(MATRIZ_174!L62,0)</f>
        <v/>
      </c>
      <c r="G62" s="44">
        <f>IFERROR(MATRIZ_174!M62,0)</f>
        <v/>
      </c>
      <c r="H62" s="45" t="n">
        <v>0</v>
      </c>
      <c r="I62" s="45" t="n">
        <v>0</v>
      </c>
      <c r="J62" s="45" t="n">
        <v>0</v>
      </c>
      <c r="K62" s="66">
        <f>IFERROR(INDEX(MATRIZ_174!$U:$U,MATCH(A62,MATRIZ_174!$A:$A,0)),"")</f>
        <v/>
      </c>
      <c r="L62" s="46">
        <f>IFERROR(MATRIZ_174!O62,0)</f>
        <v/>
      </c>
      <c r="M62" s="45" t="n">
        <v>0</v>
      </c>
      <c r="N62" s="23">
        <f>IF(AND(F62&gt;0,C62&lt;34),"🔴 UE + Critico",IF(AND(F62&gt;0,C62&lt;67),"🟡 UE + Vulnerable",IF(AND(F62&gt;0,C62&gt;=67),"🟢 UE + Preparado",IF(C62=0,"— Sin dato","Sin exposición UE"))))</f>
        <v/>
      </c>
      <c r="O62" s="15" t="inlineStr">
        <is>
          <t>PIURA</t>
        </is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42">
        <f>ROUND(PONDERADORES!$D$12*G63+PONDERADORES!$D$13*H63+PONDERADORES!$D$14*I63+PONDERADORES!$D$15*J63+PONDERADORES!$D$16*K63+PONDERADORES!$D$17*L63+PONDERADORES!$D$18*M63,1)</f>
        <v/>
      </c>
      <c r="D63" s="23">
        <f>IF(C63&lt;34,"🔴 Critico",IF(C63&lt;67,"🟡 Vulnerable","🟢 Preparado"))</f>
        <v/>
      </c>
      <c r="E63" s="23">
        <f>IFERROR(RANK(C63,C:C,-1),"")</f>
        <v/>
      </c>
      <c r="F63" s="43">
        <f>IFERROR(MATRIZ_174!L63,0)</f>
        <v/>
      </c>
      <c r="G63" s="44">
        <f>IFERROR(MATRIZ_174!M63,0)</f>
        <v/>
      </c>
      <c r="H63" s="45" t="n">
        <v>0</v>
      </c>
      <c r="I63" s="45" t="n">
        <v>0</v>
      </c>
      <c r="J63" s="45" t="n">
        <v>0</v>
      </c>
      <c r="K63" s="66">
        <f>IFERROR(INDEX(MATRIZ_174!$U:$U,MATCH(A63,MATRIZ_174!$A:$A,0)),"")</f>
        <v/>
      </c>
      <c r="L63" s="46">
        <f>IFERROR(MATRIZ_174!O63,0)</f>
        <v/>
      </c>
      <c r="M63" s="45" t="n">
        <v>0</v>
      </c>
      <c r="N63" s="23">
        <f>IF(AND(F63&gt;0,C63&lt;34),"🔴 UE + Critico",IF(AND(F63&gt;0,C63&lt;67),"🟡 UE + Vulnerable",IF(AND(F63&gt;0,C63&gt;=67),"🟢 UE + Preparado",IF(C63=0,"— Sin dato","Sin exposición UE"))))</f>
        <v/>
      </c>
      <c r="O63" s="15" t="inlineStr">
        <is>
          <t>PIURA</t>
        </is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42">
        <f>ROUND(PONDERADORES!$D$12*G64+PONDERADORES!$D$13*H64+PONDERADORES!$D$14*I64+PONDERADORES!$D$15*J64+PONDERADORES!$D$16*K64+PONDERADORES!$D$17*L64+PONDERADORES!$D$18*M64,1)</f>
        <v/>
      </c>
      <c r="D64" s="23">
        <f>IF(C64&lt;34,"🔴 Critico",IF(C64&lt;67,"🟡 Vulnerable","🟢 Preparado"))</f>
        <v/>
      </c>
      <c r="E64" s="23">
        <f>IFERROR(RANK(C64,C:C,-1),"")</f>
        <v/>
      </c>
      <c r="F64" s="43" t="n">
        <v>0</v>
      </c>
      <c r="G64" s="44">
        <f>IFERROR(MATRIZ_174!M64,0)</f>
        <v/>
      </c>
      <c r="H64" s="45" t="n">
        <v>0</v>
      </c>
      <c r="I64" s="45" t="n">
        <v>0</v>
      </c>
      <c r="J64" s="45" t="n">
        <v>0</v>
      </c>
      <c r="K64" s="66">
        <f>IFERROR(INDEX(MATRIZ_174!$U:$U,MATCH(A64,MATRIZ_174!$A:$A,0)),"")</f>
        <v/>
      </c>
      <c r="L64" s="46">
        <f>IFERROR(MATRIZ_174!O64,0)</f>
        <v/>
      </c>
      <c r="M64" s="45" t="n">
        <v>0</v>
      </c>
      <c r="N64" s="23">
        <f>IF(AND(F64&gt;0,C64&lt;34),"🔴 UE + Critico",IF(AND(F64&gt;0,C64&lt;67),"🟡 UE + Vulnerable",IF(AND(F64&gt;0,C64&gt;=67),"🟢 UE + Preparado",IF(C64=0,"— Sin dato","Sin exposición UE"))))</f>
        <v/>
      </c>
      <c r="O64" s="15" t="inlineStr">
        <is>
          <t>SAN MARTIN</t>
        </is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42">
        <f>ROUND(PONDERADORES!$D$12*G65+PONDERADORES!$D$13*H65+PONDERADORES!$D$14*I65+PONDERADORES!$D$15*J65+PONDERADORES!$D$16*K65+PONDERADORES!$D$17*L65+PONDERADORES!$D$18*M65,1)</f>
        <v/>
      </c>
      <c r="D65" s="23">
        <f>IF(C65&lt;34,"🔴 Critico",IF(C65&lt;67,"🟡 Vulnerable","🟢 Preparado"))</f>
        <v/>
      </c>
      <c r="E65" s="23">
        <f>IFERROR(RANK(C65,C:C,-1),"")</f>
        <v/>
      </c>
      <c r="F65" s="43" t="n">
        <v>0</v>
      </c>
      <c r="G65" s="44">
        <f>IFERROR(MATRIZ_174!M65,0)</f>
        <v/>
      </c>
      <c r="H65" s="45" t="n">
        <v>0</v>
      </c>
      <c r="I65" s="45" t="n">
        <v>0</v>
      </c>
      <c r="J65" s="45" t="n">
        <v>0</v>
      </c>
      <c r="K65" s="66">
        <f>IFERROR(INDEX(MATRIZ_174!$U:$U,MATCH(A65,MATRIZ_174!$A:$A,0)),"")</f>
        <v/>
      </c>
      <c r="L65" s="46">
        <f>IFERROR(MATRIZ_174!O65,0)</f>
        <v/>
      </c>
      <c r="M65" s="45" t="n">
        <v>0</v>
      </c>
      <c r="N65" s="23">
        <f>IF(AND(F65&gt;0,C65&lt;34),"🔴 UE + Critico",IF(AND(F65&gt;0,C65&lt;67),"🟡 UE + Vulnerable",IF(AND(F65&gt;0,C65&gt;=67),"🟢 UE + Preparado",IF(C65=0,"— Sin dato","Sin exposición UE"))))</f>
        <v/>
      </c>
      <c r="O65" s="15" t="inlineStr">
        <is>
          <t>SAN MARTIN</t>
        </is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42">
        <f>ROUND(PONDERADORES!$D$12*G66+PONDERADORES!$D$13*H66+PONDERADORES!$D$14*I66+PONDERADORES!$D$15*J66+PONDERADORES!$D$16*K66+PONDERADORES!$D$17*L66+PONDERADORES!$D$18*M66,1)</f>
        <v/>
      </c>
      <c r="D66" s="23">
        <f>IF(C66&lt;34,"🔴 Critico",IF(C66&lt;67,"🟡 Vulnerable","🟢 Preparado"))</f>
        <v/>
      </c>
      <c r="E66" s="23">
        <f>IFERROR(RANK(C66,C:C,-1),"")</f>
        <v/>
      </c>
      <c r="F66" s="43">
        <f>IFERROR(MATRIZ_174!L66,0)</f>
        <v/>
      </c>
      <c r="G66" s="44">
        <f>IFERROR(MATRIZ_174!M66,0)</f>
        <v/>
      </c>
      <c r="H66" s="45" t="n">
        <v>0</v>
      </c>
      <c r="I66" s="45" t="n">
        <v>0</v>
      </c>
      <c r="J66" s="45" t="n">
        <v>0</v>
      </c>
      <c r="K66" s="66">
        <f>IFERROR(INDEX(MATRIZ_174!$U:$U,MATCH(A66,MATRIZ_174!$A:$A,0)),"")</f>
        <v/>
      </c>
      <c r="L66" s="46">
        <f>IFERROR(MATRIZ_174!O66,0)</f>
        <v/>
      </c>
      <c r="M66" s="45" t="n">
        <v>0</v>
      </c>
      <c r="N66" s="23">
        <f>IF(AND(F66&gt;0,C66&lt;34),"🔴 UE + Critico",IF(AND(F66&gt;0,C66&lt;67),"🟡 UE + Vulnerable",IF(AND(F66&gt;0,C66&gt;=67),"🟢 UE + Preparado",IF(C66=0,"— Sin dato","Sin exposición UE"))))</f>
        <v/>
      </c>
      <c r="O66" s="15" t="inlineStr">
        <is>
          <t>CUSCO</t>
        </is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42">
        <f>ROUND(PONDERADORES!$D$12*G67+PONDERADORES!$D$13*H67+PONDERADORES!$D$14*I67+PONDERADORES!$D$15*J67+PONDERADORES!$D$16*K67+PONDERADORES!$D$17*L67+PONDERADORES!$D$18*M67,1)</f>
        <v/>
      </c>
      <c r="D67" s="23">
        <f>IF(C67&lt;34,"🔴 Critico",IF(C67&lt;67,"🟡 Vulnerable","🟢 Preparado"))</f>
        <v/>
      </c>
      <c r="E67" s="23">
        <f>IFERROR(RANK(C67,C:C,-1),"")</f>
        <v/>
      </c>
      <c r="F67" s="43">
        <f>IFERROR(MATRIZ_174!L67,0)</f>
        <v/>
      </c>
      <c r="G67" s="44">
        <f>IFERROR(MATRIZ_174!M67,0)</f>
        <v/>
      </c>
      <c r="H67" s="45" t="n">
        <v>0</v>
      </c>
      <c r="I67" s="45" t="n">
        <v>0</v>
      </c>
      <c r="J67" s="45" t="n">
        <v>0</v>
      </c>
      <c r="K67" s="66">
        <f>IFERROR(INDEX(MATRIZ_174!$U:$U,MATCH(A67,MATRIZ_174!$A:$A,0)),"")</f>
        <v/>
      </c>
      <c r="L67" s="46">
        <f>IFERROR(MATRIZ_174!O67,0)</f>
        <v/>
      </c>
      <c r="M67" s="45" t="n">
        <v>0</v>
      </c>
      <c r="N67" s="23">
        <f>IF(AND(F67&gt;0,C67&lt;34),"🔴 UE + Critico",IF(AND(F67&gt;0,C67&lt;67),"🟡 UE + Vulnerable",IF(AND(F67&gt;0,C67&gt;=67),"🟢 UE + Preparado",IF(C67=0,"— Sin dato","Sin exposición UE"))))</f>
        <v/>
      </c>
      <c r="O67" s="15" t="inlineStr">
        <is>
          <t>AMAZONAS</t>
        </is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42">
        <f>ROUND(PONDERADORES!$D$12*G68+PONDERADORES!$D$13*H68+PONDERADORES!$D$14*I68+PONDERADORES!$D$15*J68+PONDERADORES!$D$16*K68+PONDERADORES!$D$17*L68+PONDERADORES!$D$18*M68,1)</f>
        <v/>
      </c>
      <c r="D68" s="23">
        <f>IF(C68&lt;34,"🔴 Critico",IF(C68&lt;67,"🟡 Vulnerable","🟢 Preparado"))</f>
        <v/>
      </c>
      <c r="E68" s="23">
        <f>IFERROR(RANK(C68,C:C,-1),"")</f>
        <v/>
      </c>
      <c r="F68" s="43">
        <f>IFERROR(MATRIZ_174!L68,0)</f>
        <v/>
      </c>
      <c r="G68" s="44">
        <f>IFERROR(MATRIZ_174!M68,0)</f>
        <v/>
      </c>
      <c r="H68" s="45" t="n">
        <v>0</v>
      </c>
      <c r="I68" s="45" t="n">
        <v>0</v>
      </c>
      <c r="J68" s="45" t="n">
        <v>0</v>
      </c>
      <c r="K68" s="66">
        <f>IFERROR(INDEX(MATRIZ_174!$U:$U,MATCH(A68,MATRIZ_174!$A:$A,0)),"")</f>
        <v/>
      </c>
      <c r="L68" s="46">
        <f>IFERROR(MATRIZ_174!O68,0)</f>
        <v/>
      </c>
      <c r="M68" s="45" t="n">
        <v>0</v>
      </c>
      <c r="N68" s="23">
        <f>IF(AND(F68&gt;0,C68&lt;34),"🔴 UE + Critico",IF(AND(F68&gt;0,C68&lt;67),"🟡 UE + Vulnerable",IF(AND(F68&gt;0,C68&gt;=67),"🟢 UE + Preparado",IF(C68=0,"— Sin dato","Sin exposición UE"))))</f>
        <v/>
      </c>
      <c r="O68" s="15" t="inlineStr">
        <is>
          <t>AMAZONAS</t>
        </is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42">
        <f>ROUND(PONDERADORES!$D$12*G69+PONDERADORES!$D$13*H69+PONDERADORES!$D$14*I69+PONDERADORES!$D$15*J69+PONDERADORES!$D$16*K69+PONDERADORES!$D$17*L69+PONDERADORES!$D$18*M69,1)</f>
        <v/>
      </c>
      <c r="D69" s="23">
        <f>IF(C69&lt;34,"🔴 Critico",IF(C69&lt;67,"🟡 Vulnerable","🟢 Preparado"))</f>
        <v/>
      </c>
      <c r="E69" s="23">
        <f>IFERROR(RANK(C69,C:C,-1),"")</f>
        <v/>
      </c>
      <c r="F69" s="43">
        <f>IFERROR(MATRIZ_174!L69,0)</f>
        <v/>
      </c>
      <c r="G69" s="44">
        <f>IFERROR(MATRIZ_174!M69,0)</f>
        <v/>
      </c>
      <c r="H69" s="45" t="n">
        <v>0</v>
      </c>
      <c r="I69" s="45" t="n">
        <v>0</v>
      </c>
      <c r="J69" s="45" t="n">
        <v>0</v>
      </c>
      <c r="K69" s="66">
        <f>IFERROR(INDEX(MATRIZ_174!$U:$U,MATCH(A69,MATRIZ_174!$A:$A,0)),"")</f>
        <v/>
      </c>
      <c r="L69" s="46">
        <f>IFERROR(MATRIZ_174!O69,0)</f>
        <v/>
      </c>
      <c r="M69" s="45" t="n">
        <v>0</v>
      </c>
      <c r="N69" s="23">
        <f>IF(AND(F69&gt;0,C69&lt;34),"🔴 UE + Critico",IF(AND(F69&gt;0,C69&lt;67),"🟡 UE + Vulnerable",IF(AND(F69&gt;0,C69&gt;=67),"🟢 UE + Preparado",IF(C69=0,"— Sin dato","Sin exposición UE"))))</f>
        <v/>
      </c>
      <c r="O69" s="15" t="inlineStr">
        <is>
          <t>LAMBAYEQUE</t>
        </is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42">
        <f>ROUND(PONDERADORES!$D$12*G70+PONDERADORES!$D$13*H70+PONDERADORES!$D$14*I70+PONDERADORES!$D$15*J70+PONDERADORES!$D$16*K70+PONDERADORES!$D$17*L70+PONDERADORES!$D$18*M70,1)</f>
        <v/>
      </c>
      <c r="D70" s="23">
        <f>IF(C70&lt;34,"🔴 Critico",IF(C70&lt;67,"🟡 Vulnerable","🟢 Preparado"))</f>
        <v/>
      </c>
      <c r="E70" s="23">
        <f>IFERROR(RANK(C70,C:C,-1),"")</f>
        <v/>
      </c>
      <c r="F70" s="43" t="n">
        <v>7878141.73</v>
      </c>
      <c r="G70" s="44">
        <f>IFERROR(MATRIZ_174!M70,0)</f>
        <v/>
      </c>
      <c r="H70" s="45" t="n">
        <v>0</v>
      </c>
      <c r="I70" s="45" t="n">
        <v>0</v>
      </c>
      <c r="J70" s="45" t="n">
        <v>0</v>
      </c>
      <c r="K70" s="66">
        <f>IFERROR(INDEX(MATRIZ_174!$U:$U,MATCH(A70,MATRIZ_174!$A:$A,0)),"")</f>
        <v/>
      </c>
      <c r="L70" s="46">
        <f>IFERROR(MATRIZ_174!O70,0)</f>
        <v/>
      </c>
      <c r="M70" s="45" t="n">
        <v>0</v>
      </c>
      <c r="N70" s="23">
        <f>IF(AND(F70&gt;0,C70&lt;34),"🔴 UE + Critico",IF(AND(F70&gt;0,C70&lt;67),"🟡 UE + Vulnerable",IF(AND(F70&gt;0,C70&gt;=67),"🟢 UE + Preparado",IF(C70=0,"— Sin dato","Sin exposición UE"))))</f>
        <v/>
      </c>
      <c r="O70" s="15" t="inlineStr">
        <is>
          <t>SAN MARTIN</t>
        </is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42">
        <f>ROUND(PONDERADORES!$D$12*G71+PONDERADORES!$D$13*H71+PONDERADORES!$D$14*I71+PONDERADORES!$D$15*J71+PONDERADORES!$D$16*K71+PONDERADORES!$D$17*L71+PONDERADORES!$D$18*M71,1)</f>
        <v/>
      </c>
      <c r="D71" s="23">
        <f>IF(C71&lt;34,"🔴 Critico",IF(C71&lt;67,"🟡 Vulnerable","🟢 Preparado"))</f>
        <v/>
      </c>
      <c r="E71" s="23">
        <f>IFERROR(RANK(C71,C:C,-1),"")</f>
        <v/>
      </c>
      <c r="F71" s="43">
        <f>IFERROR(MATRIZ_174!L71,0)</f>
        <v/>
      </c>
      <c r="G71" s="44">
        <f>IFERROR(MATRIZ_174!M71,0)</f>
        <v/>
      </c>
      <c r="H71" s="45" t="n">
        <v>0</v>
      </c>
      <c r="I71" s="45" t="n">
        <v>0</v>
      </c>
      <c r="J71" s="45" t="n">
        <v>0</v>
      </c>
      <c r="K71" s="66">
        <f>IFERROR(INDEX(MATRIZ_174!$U:$U,MATCH(A71,MATRIZ_174!$A:$A,0)),"")</f>
        <v/>
      </c>
      <c r="L71" s="46">
        <f>IFERROR(MATRIZ_174!O71,0)</f>
        <v/>
      </c>
      <c r="M71" s="45" t="n">
        <v>0</v>
      </c>
      <c r="N71" s="23">
        <f>IF(AND(F71&gt;0,C71&lt;34),"🔴 UE + Critico",IF(AND(F71&gt;0,C71&lt;67),"🟡 UE + Vulnerable",IF(AND(F71&gt;0,C71&gt;=67),"🟢 UE + Preparado",IF(C71=0,"— Sin dato","Sin exposición UE"))))</f>
        <v/>
      </c>
      <c r="O71" s="15" t="inlineStr">
        <is>
          <t>SAN MARTIN</t>
        </is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42">
        <f>ROUND(PONDERADORES!$D$12*G72+PONDERADORES!$D$13*H72+PONDERADORES!$D$14*I72+PONDERADORES!$D$15*J72+PONDERADORES!$D$16*K72+PONDERADORES!$D$17*L72+PONDERADORES!$D$18*M72,1)</f>
        <v/>
      </c>
      <c r="D72" s="23">
        <f>IF(C72&lt;34,"🔴 Critico",IF(C72&lt;67,"🟡 Vulnerable","🟢 Preparado"))</f>
        <v/>
      </c>
      <c r="E72" s="23">
        <f>IFERROR(RANK(C72,C:C,-1),"")</f>
        <v/>
      </c>
      <c r="F72" s="43" t="n">
        <v>1413037.5</v>
      </c>
      <c r="G72" s="44">
        <f>IFERROR(MATRIZ_174!M72,0)</f>
        <v/>
      </c>
      <c r="H72" s="45" t="n">
        <v>0</v>
      </c>
      <c r="I72" s="45" t="n">
        <v>0</v>
      </c>
      <c r="J72" s="45" t="n">
        <v>0</v>
      </c>
      <c r="K72" s="66">
        <f>IFERROR(INDEX(MATRIZ_174!$U:$U,MATCH(A72,MATRIZ_174!$A:$A,0)),"")</f>
        <v/>
      </c>
      <c r="L72" s="46">
        <f>IFERROR(MATRIZ_174!O72,0)</f>
        <v/>
      </c>
      <c r="M72" s="45" t="n">
        <v>0</v>
      </c>
      <c r="N72" s="23">
        <f>IF(AND(F72&gt;0,C72&lt;34),"🔴 UE + Critico",IF(AND(F72&gt;0,C72&lt;67),"🟡 UE + Vulnerable",IF(AND(F72&gt;0,C72&gt;=67),"🟢 UE + Preparado",IF(C72=0,"— Sin dato","Sin exposición UE"))))</f>
        <v/>
      </c>
      <c r="O72" s="15" t="inlineStr">
        <is>
          <t>SAN MARTIN</t>
        </is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42">
        <f>ROUND(PONDERADORES!$D$12*G73+PONDERADORES!$D$13*H73+PONDERADORES!$D$14*I73+PONDERADORES!$D$15*J73+PONDERADORES!$D$16*K73+PONDERADORES!$D$17*L73+PONDERADORES!$D$18*M73,1)</f>
        <v/>
      </c>
      <c r="D73" s="23">
        <f>IF(C73&lt;34,"🔴 Critico",IF(C73&lt;67,"🟡 Vulnerable","🟢 Preparado"))</f>
        <v/>
      </c>
      <c r="E73" s="23">
        <f>IFERROR(RANK(C73,C:C,-1),"")</f>
        <v/>
      </c>
      <c r="F73" s="43" t="n">
        <v>1187600.48</v>
      </c>
      <c r="G73" s="44">
        <f>IFERROR(MATRIZ_174!M73,0)</f>
        <v/>
      </c>
      <c r="H73" s="45" t="n">
        <v>0</v>
      </c>
      <c r="I73" s="45" t="n">
        <v>0</v>
      </c>
      <c r="J73" s="45" t="n">
        <v>0</v>
      </c>
      <c r="K73" s="66">
        <f>IFERROR(INDEX(MATRIZ_174!$U:$U,MATCH(A73,MATRIZ_174!$A:$A,0)),"")</f>
        <v/>
      </c>
      <c r="L73" s="46">
        <f>IFERROR(MATRIZ_174!O73,0)</f>
        <v/>
      </c>
      <c r="M73" s="45" t="n">
        <v>0</v>
      </c>
      <c r="N73" s="23">
        <f>IF(AND(F73&gt;0,C73&lt;34),"🔴 UE + Critico",IF(AND(F73&gt;0,C73&lt;67),"🟡 UE + Vulnerable",IF(AND(F73&gt;0,C73&gt;=67),"🟢 UE + Preparado",IF(C73=0,"— Sin dato","Sin exposición UE"))))</f>
        <v/>
      </c>
      <c r="O73" s="15" t="inlineStr">
        <is>
          <t>SAN MARTIN</t>
        </is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42">
        <f>ROUND(PONDERADORES!$D$12*G74+PONDERADORES!$D$13*H74+PONDERADORES!$D$14*I74+PONDERADORES!$D$15*J74+PONDERADORES!$D$16*K74+PONDERADORES!$D$17*L74+PONDERADORES!$D$18*M74,1)</f>
        <v/>
      </c>
      <c r="D74" s="23">
        <f>IF(C74&lt;34,"🔴 Critico",IF(C74&lt;67,"🟡 Vulnerable","🟢 Preparado"))</f>
        <v/>
      </c>
      <c r="E74" s="23">
        <f>IFERROR(RANK(C74,C:C,-1),"")</f>
        <v/>
      </c>
      <c r="F74" s="43" t="n">
        <v>12142715.91</v>
      </c>
      <c r="G74" s="44">
        <f>IFERROR(MATRIZ_174!M74,0)</f>
        <v/>
      </c>
      <c r="H74" s="45" t="n">
        <v>0</v>
      </c>
      <c r="I74" s="45" t="n">
        <v>0</v>
      </c>
      <c r="J74" s="45" t="n">
        <v>0</v>
      </c>
      <c r="K74" s="66">
        <f>IFERROR(INDEX(MATRIZ_174!$U:$U,MATCH(A74,MATRIZ_174!$A:$A,0)),"")</f>
        <v/>
      </c>
      <c r="L74" s="46">
        <f>IFERROR(MATRIZ_174!O74,0)</f>
        <v/>
      </c>
      <c r="M74" s="45" t="n">
        <v>0</v>
      </c>
      <c r="N74" s="23">
        <f>IF(AND(F74&gt;0,C74&lt;34),"🔴 UE + Critico",IF(AND(F74&gt;0,C74&lt;67),"🟡 UE + Vulnerable",IF(AND(F74&gt;0,C74&gt;=67),"🟢 UE + Preparado",IF(C74=0,"— Sin dato","Sin exposición UE"))))</f>
        <v/>
      </c>
      <c r="O74" s="15" t="inlineStr">
        <is>
          <t>SAN MARTIN</t>
        </is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42">
        <f>ROUND(PONDERADORES!$D$12*G75+PONDERADORES!$D$13*H75+PONDERADORES!$D$14*I75+PONDERADORES!$D$15*J75+PONDERADORES!$D$16*K75+PONDERADORES!$D$17*L75+PONDERADORES!$D$18*M75,1)</f>
        <v/>
      </c>
      <c r="D75" s="23">
        <f>IF(C75&lt;34,"🔴 Critico",IF(C75&lt;67,"🟡 Vulnerable","🟢 Preparado"))</f>
        <v/>
      </c>
      <c r="E75" s="23">
        <f>IFERROR(RANK(C75,C:C,-1),"")</f>
        <v/>
      </c>
      <c r="F75" s="43">
        <f>IFERROR(MATRIZ_174!L75,0)</f>
        <v/>
      </c>
      <c r="G75" s="44">
        <f>IFERROR(MATRIZ_174!M75,0)</f>
        <v/>
      </c>
      <c r="H75" s="45" t="n">
        <v>0</v>
      </c>
      <c r="I75" s="45" t="n">
        <v>0</v>
      </c>
      <c r="J75" s="45" t="n">
        <v>0</v>
      </c>
      <c r="K75" s="66">
        <f>IFERROR(INDEX(MATRIZ_174!$U:$U,MATCH(A75,MATRIZ_174!$A:$A,0)),"")</f>
        <v/>
      </c>
      <c r="L75" s="46">
        <f>IFERROR(MATRIZ_174!O75,0)</f>
        <v/>
      </c>
      <c r="M75" s="45" t="n">
        <v>0</v>
      </c>
      <c r="N75" s="23">
        <f>IF(AND(F75&gt;0,C75&lt;34),"🔴 UE + Critico",IF(AND(F75&gt;0,C75&lt;67),"🟡 UE + Vulnerable",IF(AND(F75&gt;0,C75&gt;=67),"🟢 UE + Preparado",IF(C75=0,"— Sin dato","Sin exposición UE"))))</f>
        <v/>
      </c>
      <c r="O75" s="15" t="inlineStr">
        <is>
          <t>LORETO</t>
        </is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42">
        <f>ROUND(PONDERADORES!$D$12*G76+PONDERADORES!$D$13*H76+PONDERADORES!$D$14*I76+PONDERADORES!$D$15*J76+PONDERADORES!$D$16*K76+PONDERADORES!$D$17*L76+PONDERADORES!$D$18*M76,1)</f>
        <v/>
      </c>
      <c r="D76" s="23">
        <f>IF(C76&lt;34,"🔴 Critico",IF(C76&lt;67,"🟡 Vulnerable","🟢 Preparado"))</f>
        <v/>
      </c>
      <c r="E76" s="23">
        <f>IFERROR(RANK(C76,C:C,-1),"")</f>
        <v/>
      </c>
      <c r="F76" s="43">
        <f>IFERROR(MATRIZ_174!L76,0)</f>
        <v/>
      </c>
      <c r="G76" s="44">
        <f>IFERROR(MATRIZ_174!M76,0)</f>
        <v/>
      </c>
      <c r="H76" s="45" t="n">
        <v>0</v>
      </c>
      <c r="I76" s="45" t="n">
        <v>0</v>
      </c>
      <c r="J76" s="45" t="n">
        <v>0</v>
      </c>
      <c r="K76" s="66">
        <f>IFERROR(INDEX(MATRIZ_174!$U:$U,MATCH(A76,MATRIZ_174!$A:$A,0)),"")</f>
        <v/>
      </c>
      <c r="L76" s="46">
        <f>IFERROR(MATRIZ_174!O76,0)</f>
        <v/>
      </c>
      <c r="M76" s="45" t="n">
        <v>0</v>
      </c>
      <c r="N76" s="23">
        <f>IF(AND(F76&gt;0,C76&lt;34),"🔴 UE + Critico",IF(AND(F76&gt;0,C76&lt;67),"🟡 UE + Vulnerable",IF(AND(F76&gt;0,C76&gt;=67),"🟢 UE + Preparado",IF(C76=0,"— Sin dato","Sin exposición UE"))))</f>
        <v/>
      </c>
      <c r="O76" s="15" t="inlineStr">
        <is>
          <t>LORETO</t>
        </is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42">
        <f>ROUND(PONDERADORES!$D$12*G77+PONDERADORES!$D$13*H77+PONDERADORES!$D$14*I77+PONDERADORES!$D$15*J77+PONDERADORES!$D$16*K77+PONDERADORES!$D$17*L77+PONDERADORES!$D$18*M77,1)</f>
        <v/>
      </c>
      <c r="D77" s="23">
        <f>IF(C77&lt;34,"🔴 Critico",IF(C77&lt;67,"🟡 Vulnerable","🟢 Preparado"))</f>
        <v/>
      </c>
      <c r="E77" s="23">
        <f>IFERROR(RANK(C77,C:C,-1),"")</f>
        <v/>
      </c>
      <c r="F77" s="43" t="n">
        <v>8445503.24</v>
      </c>
      <c r="G77" s="44">
        <f>IFERROR(MATRIZ_174!M77,0)</f>
        <v/>
      </c>
      <c r="H77" s="45" t="n">
        <v>0</v>
      </c>
      <c r="I77" s="45" t="n">
        <v>0</v>
      </c>
      <c r="J77" s="45" t="n">
        <v>0</v>
      </c>
      <c r="K77" s="66">
        <f>IFERROR(INDEX(MATRIZ_174!$U:$U,MATCH(A77,MATRIZ_174!$A:$A,0)),"")</f>
        <v/>
      </c>
      <c r="L77" s="46">
        <f>IFERROR(MATRIZ_174!O77,0)</f>
        <v/>
      </c>
      <c r="M77" s="45" t="n">
        <v>0</v>
      </c>
      <c r="N77" s="23">
        <f>IF(AND(F77&gt;0,C77&lt;34),"🔴 UE + Critico",IF(AND(F77&gt;0,C77&lt;67),"🟡 UE + Vulnerable",IF(AND(F77&gt;0,C77&gt;=67),"🟢 UE + Preparado",IF(C77=0,"— Sin dato","Sin exposición UE"))))</f>
        <v/>
      </c>
      <c r="O77" s="15" t="inlineStr">
        <is>
          <t>CAJAMARCA</t>
        </is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42">
        <f>ROUND(PONDERADORES!$D$12*G78+PONDERADORES!$D$13*H78+PONDERADORES!$D$14*I78+PONDERADORES!$D$15*J78+PONDERADORES!$D$16*K78+PONDERADORES!$D$17*L78+PONDERADORES!$D$18*M78,1)</f>
        <v/>
      </c>
      <c r="D78" s="23">
        <f>IF(C78&lt;34,"🔴 Critico",IF(C78&lt;67,"🟡 Vulnerable","🟢 Preparado"))</f>
        <v/>
      </c>
      <c r="E78" s="23">
        <f>IFERROR(RANK(C78,C:C,-1),"")</f>
        <v/>
      </c>
      <c r="F78" s="43">
        <f>IFERROR(MATRIZ_174!L78,0)</f>
        <v/>
      </c>
      <c r="G78" s="44">
        <f>IFERROR(MATRIZ_174!M78,0)</f>
        <v/>
      </c>
      <c r="H78" s="45" t="n">
        <v>0</v>
      </c>
      <c r="I78" s="45" t="n">
        <v>0</v>
      </c>
      <c r="J78" s="45" t="n">
        <v>0</v>
      </c>
      <c r="K78" s="66">
        <f>IFERROR(INDEX(MATRIZ_174!$U:$U,MATCH(A78,MATRIZ_174!$A:$A,0)),"")</f>
        <v/>
      </c>
      <c r="L78" s="46">
        <f>IFERROR(MATRIZ_174!O78,0)</f>
        <v/>
      </c>
      <c r="M78" s="45" t="n">
        <v>0</v>
      </c>
      <c r="N78" s="23">
        <f>IF(AND(F78&gt;0,C78&lt;34),"🔴 UE + Critico",IF(AND(F78&gt;0,C78&lt;67),"🟡 UE + Vulnerable",IF(AND(F78&gt;0,C78&gt;=67),"🟢 UE + Preparado",IF(C78=0,"— Sin dato","Sin exposición UE"))))</f>
        <v/>
      </c>
      <c r="O78" s="15" t="inlineStr">
        <is>
          <t>HUANUCO</t>
        </is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42">
        <f>ROUND(PONDERADORES!$D$12*G79+PONDERADORES!$D$13*H79+PONDERADORES!$D$14*I79+PONDERADORES!$D$15*J79+PONDERADORES!$D$16*K79+PONDERADORES!$D$17*L79+PONDERADORES!$D$18*M79,1)</f>
        <v/>
      </c>
      <c r="D79" s="23">
        <f>IF(C79&lt;34,"🔴 Critico",IF(C79&lt;67,"🟡 Vulnerable","🟢 Preparado"))</f>
        <v/>
      </c>
      <c r="E79" s="23">
        <f>IFERROR(RANK(C79,C:C,-1),"")</f>
        <v/>
      </c>
      <c r="F79" s="43" t="n">
        <v>0</v>
      </c>
      <c r="G79" s="44">
        <f>IFERROR(MATRIZ_174!M79,0)</f>
        <v/>
      </c>
      <c r="H79" s="45" t="n">
        <v>0</v>
      </c>
      <c r="I79" s="45" t="n">
        <v>0</v>
      </c>
      <c r="J79" s="45" t="n">
        <v>0</v>
      </c>
      <c r="K79" s="66">
        <f>IFERROR(INDEX(MATRIZ_174!$U:$U,MATCH(A79,MATRIZ_174!$A:$A,0)),"")</f>
        <v/>
      </c>
      <c r="L79" s="46">
        <f>IFERROR(MATRIZ_174!O79,0)</f>
        <v/>
      </c>
      <c r="M79" s="45" t="n">
        <v>0</v>
      </c>
      <c r="N79" s="23">
        <f>IF(AND(F79&gt;0,C79&lt;34),"🔴 UE + Critico",IF(AND(F79&gt;0,C79&lt;67),"🟡 UE + Vulnerable",IF(AND(F79&gt;0,C79&gt;=67),"🟢 UE + Preparado",IF(C79=0,"— Sin dato","Sin exposición UE"))))</f>
        <v/>
      </c>
      <c r="O79" s="15" t="inlineStr">
        <is>
          <t>MADRE DE DIOS</t>
        </is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42">
        <f>ROUND(PONDERADORES!$D$12*G80+PONDERADORES!$D$13*H80+PONDERADORES!$D$14*I80+PONDERADORES!$D$15*J80+PONDERADORES!$D$16*K80+PONDERADORES!$D$17*L80+PONDERADORES!$D$18*M80,1)</f>
        <v/>
      </c>
      <c r="D80" s="23">
        <f>IF(C80&lt;34,"🔴 Critico",IF(C80&lt;67,"🟡 Vulnerable","🟢 Preparado"))</f>
        <v/>
      </c>
      <c r="E80" s="23">
        <f>IFERROR(RANK(C80,C:C,-1),"")</f>
        <v/>
      </c>
      <c r="F80" s="43" t="n">
        <v>0</v>
      </c>
      <c r="G80" s="44">
        <f>IFERROR(MATRIZ_174!M80,0)</f>
        <v/>
      </c>
      <c r="H80" s="45" t="n">
        <v>0</v>
      </c>
      <c r="I80" s="45" t="n">
        <v>0</v>
      </c>
      <c r="J80" s="45" t="n">
        <v>0</v>
      </c>
      <c r="K80" s="66">
        <f>IFERROR(INDEX(MATRIZ_174!$U:$U,MATCH(A80,MATRIZ_174!$A:$A,0)),"")</f>
        <v/>
      </c>
      <c r="L80" s="46">
        <f>IFERROR(MATRIZ_174!O80,0)</f>
        <v/>
      </c>
      <c r="M80" s="45" t="n">
        <v>0</v>
      </c>
      <c r="N80" s="23">
        <f>IF(AND(F80&gt;0,C80&lt;34),"🔴 UE + Critico",IF(AND(F80&gt;0,C80&lt;67),"🟡 UE + Vulnerable",IF(AND(F80&gt;0,C80&gt;=67),"🟢 UE + Preparado",IF(C80=0,"— Sin dato","Sin exposición UE"))))</f>
        <v/>
      </c>
      <c r="O80" s="15" t="inlineStr">
        <is>
          <t>AMAZONAS</t>
        </is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42">
        <f>ROUND(PONDERADORES!$D$12*G81+PONDERADORES!$D$13*H81+PONDERADORES!$D$14*I81+PONDERADORES!$D$15*J81+PONDERADORES!$D$16*K81+PONDERADORES!$D$17*L81+PONDERADORES!$D$18*M81,1)</f>
        <v/>
      </c>
      <c r="D81" s="23">
        <f>IF(C81&lt;34,"🔴 Critico",IF(C81&lt;67,"🟡 Vulnerable","🟢 Preparado"))</f>
        <v/>
      </c>
      <c r="E81" s="23">
        <f>IFERROR(RANK(C81,C:C,-1),"")</f>
        <v/>
      </c>
      <c r="F81" s="43" t="n">
        <v>0</v>
      </c>
      <c r="G81" s="44">
        <f>IFERROR(MATRIZ_174!M81,0)</f>
        <v/>
      </c>
      <c r="H81" s="45" t="n">
        <v>0</v>
      </c>
      <c r="I81" s="45" t="n">
        <v>0</v>
      </c>
      <c r="J81" s="45" t="n">
        <v>0</v>
      </c>
      <c r="K81" s="66">
        <f>IFERROR(INDEX(MATRIZ_174!$U:$U,MATCH(A81,MATRIZ_174!$A:$A,0)),"")</f>
        <v/>
      </c>
      <c r="L81" s="46">
        <f>IFERROR(MATRIZ_174!O81,0)</f>
        <v/>
      </c>
      <c r="M81" s="45" t="n">
        <v>0</v>
      </c>
      <c r="N81" s="23">
        <f>IF(AND(F81&gt;0,C81&lt;34),"🔴 UE + Critico",IF(AND(F81&gt;0,C81&lt;67),"🟡 UE + Vulnerable",IF(AND(F81&gt;0,C81&gt;=67),"🟢 UE + Preparado",IF(C81=0,"— Sin dato","Sin exposición UE"))))</f>
        <v/>
      </c>
      <c r="O81" s="15" t="inlineStr">
        <is>
          <t>CUSCO</t>
        </is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42">
        <f>ROUND(PONDERADORES!$D$12*G82+PONDERADORES!$D$13*H82+PONDERADORES!$D$14*I82+PONDERADORES!$D$15*J82+PONDERADORES!$D$16*K82+PONDERADORES!$D$17*L82+PONDERADORES!$D$18*M82,1)</f>
        <v/>
      </c>
      <c r="D82" s="23">
        <f>IF(C82&lt;34,"🔴 Critico",IF(C82&lt;67,"🟡 Vulnerable","🟢 Preparado"))</f>
        <v/>
      </c>
      <c r="E82" s="23">
        <f>IFERROR(RANK(C82,C:C,-1),"")</f>
        <v/>
      </c>
      <c r="F82" s="43" t="n">
        <v>717861.85</v>
      </c>
      <c r="G82" s="44">
        <f>IFERROR(MATRIZ_174!M82,0)</f>
        <v/>
      </c>
      <c r="H82" s="45" t="n">
        <v>0</v>
      </c>
      <c r="I82" s="45" t="n">
        <v>0</v>
      </c>
      <c r="J82" s="45" t="n">
        <v>0</v>
      </c>
      <c r="K82" s="66">
        <f>IFERROR(INDEX(MATRIZ_174!$U:$U,MATCH(A82,MATRIZ_174!$A:$A,0)),"")</f>
        <v/>
      </c>
      <c r="L82" s="46">
        <f>IFERROR(MATRIZ_174!O82,0)</f>
        <v/>
      </c>
      <c r="M82" s="45" t="n">
        <v>0</v>
      </c>
      <c r="N82" s="23">
        <f>IF(AND(F82&gt;0,C82&lt;34),"🔴 UE + Critico",IF(AND(F82&gt;0,C82&lt;67),"🟡 UE + Vulnerable",IF(AND(F82&gt;0,C82&gt;=67),"🟢 UE + Preparado",IF(C82=0,"— Sin dato","Sin exposición UE"))))</f>
        <v/>
      </c>
      <c r="O82" s="15" t="inlineStr">
        <is>
          <t>PASCO</t>
        </is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42">
        <f>ROUND(PONDERADORES!$D$12*G83+PONDERADORES!$D$13*H83+PONDERADORES!$D$14*I83+PONDERADORES!$D$15*J83+PONDERADORES!$D$16*K83+PONDERADORES!$D$17*L83+PONDERADORES!$D$18*M83,1)</f>
        <v/>
      </c>
      <c r="D83" s="23">
        <f>IF(C83&lt;34,"🔴 Critico",IF(C83&lt;67,"🟡 Vulnerable","🟢 Preparado"))</f>
        <v/>
      </c>
      <c r="E83" s="23">
        <f>IFERROR(RANK(C83,C:C,-1),"")</f>
        <v/>
      </c>
      <c r="F83" s="43">
        <f>IFERROR(MATRIZ_174!L83,0)</f>
        <v/>
      </c>
      <c r="G83" s="44">
        <f>IFERROR(MATRIZ_174!M83,0)</f>
        <v/>
      </c>
      <c r="H83" s="45" t="n">
        <v>0</v>
      </c>
      <c r="I83" s="45" t="n">
        <v>0</v>
      </c>
      <c r="J83" s="45" t="n">
        <v>0</v>
      </c>
      <c r="K83" s="66">
        <f>IFERROR(INDEX(MATRIZ_174!$U:$U,MATCH(A83,MATRIZ_174!$A:$A,0)),"")</f>
        <v/>
      </c>
      <c r="L83" s="46">
        <f>IFERROR(MATRIZ_174!O83,0)</f>
        <v/>
      </c>
      <c r="M83" s="45" t="n">
        <v>0</v>
      </c>
      <c r="N83" s="23">
        <f>IF(AND(F83&gt;0,C83&lt;34),"🔴 UE + Critico",IF(AND(F83&gt;0,C83&lt;67),"🟡 UE + Vulnerable",IF(AND(F83&gt;0,C83&gt;=67),"🟢 UE + Preparado",IF(C83=0,"— Sin dato","Sin exposición UE"))))</f>
        <v/>
      </c>
      <c r="O83" s="15" t="inlineStr">
        <is>
          <t>PASCO</t>
        </is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42">
        <f>ROUND(PONDERADORES!$D$12*G84+PONDERADORES!$D$13*H84+PONDERADORES!$D$14*I84+PONDERADORES!$D$15*J84+PONDERADORES!$D$16*K84+PONDERADORES!$D$17*L84+PONDERADORES!$D$18*M84,1)</f>
        <v/>
      </c>
      <c r="D84" s="23">
        <f>IF(C84&lt;34,"🔴 Critico",IF(C84&lt;67,"🟡 Vulnerable","🟢 Preparado"))</f>
        <v/>
      </c>
      <c r="E84" s="23">
        <f>IFERROR(RANK(C84,C:C,-1),"")</f>
        <v/>
      </c>
      <c r="F84" s="43">
        <f>IFERROR(MATRIZ_174!L84,0)</f>
        <v/>
      </c>
      <c r="G84" s="44">
        <f>IFERROR(MATRIZ_174!M84,0)</f>
        <v/>
      </c>
      <c r="H84" s="45" t="n">
        <v>0</v>
      </c>
      <c r="I84" s="45" t="n">
        <v>0</v>
      </c>
      <c r="J84" s="45" t="n">
        <v>0</v>
      </c>
      <c r="K84" s="66">
        <f>IFERROR(INDEX(MATRIZ_174!$U:$U,MATCH(A84,MATRIZ_174!$A:$A,0)),"")</f>
        <v/>
      </c>
      <c r="L84" s="46">
        <f>IFERROR(MATRIZ_174!O84,0)</f>
        <v/>
      </c>
      <c r="M84" s="45" t="n">
        <v>0</v>
      </c>
      <c r="N84" s="23">
        <f>IF(AND(F84&gt;0,C84&lt;34),"🔴 UE + Critico",IF(AND(F84&gt;0,C84&lt;67),"🟡 UE + Vulnerable",IF(AND(F84&gt;0,C84&gt;=67),"🟢 UE + Preparado",IF(C84=0,"— Sin dato","Sin exposición UE"))))</f>
        <v/>
      </c>
      <c r="O84" s="15" t="inlineStr">
        <is>
          <t>JUNIN</t>
        </is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42">
        <f>ROUND(PONDERADORES!$D$12*G85+PONDERADORES!$D$13*H85+PONDERADORES!$D$14*I85+PONDERADORES!$D$15*J85+PONDERADORES!$D$16*K85+PONDERADORES!$D$17*L85+PONDERADORES!$D$18*M85,1)</f>
        <v/>
      </c>
      <c r="D85" s="23">
        <f>IF(C85&lt;34,"🔴 Critico",IF(C85&lt;67,"🟡 Vulnerable","🟢 Preparado"))</f>
        <v/>
      </c>
      <c r="E85" s="23">
        <f>IFERROR(RANK(C85,C:C,-1),"")</f>
        <v/>
      </c>
      <c r="F85" s="43" t="n">
        <v>2677512.61</v>
      </c>
      <c r="G85" s="44">
        <f>IFERROR(MATRIZ_174!M85,0)</f>
        <v/>
      </c>
      <c r="H85" s="45" t="n">
        <v>0</v>
      </c>
      <c r="I85" s="45" t="n">
        <v>0</v>
      </c>
      <c r="J85" s="45" t="n">
        <v>0</v>
      </c>
      <c r="K85" s="66">
        <f>IFERROR(INDEX(MATRIZ_174!$U:$U,MATCH(A85,MATRIZ_174!$A:$A,0)),"")</f>
        <v/>
      </c>
      <c r="L85" s="46">
        <f>IFERROR(MATRIZ_174!O85,0)</f>
        <v/>
      </c>
      <c r="M85" s="45" t="n">
        <v>0</v>
      </c>
      <c r="N85" s="23">
        <f>IF(AND(F85&gt;0,C85&lt;34),"🔴 UE + Critico",IF(AND(F85&gt;0,C85&lt;67),"🟡 UE + Vulnerable",IF(AND(F85&gt;0,C85&gt;=67),"🟢 UE + Preparado",IF(C85=0,"— Sin dato","Sin exposición UE"))))</f>
        <v/>
      </c>
      <c r="O85" s="15" t="inlineStr">
        <is>
          <t>JUNIN</t>
        </is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42">
        <f>ROUND(PONDERADORES!$D$12*G86+PONDERADORES!$D$13*H86+PONDERADORES!$D$14*I86+PONDERADORES!$D$15*J86+PONDERADORES!$D$16*K86+PONDERADORES!$D$17*L86+PONDERADORES!$D$18*M86,1)</f>
        <v/>
      </c>
      <c r="D86" s="23">
        <f>IF(C86&lt;34,"🔴 Critico",IF(C86&lt;67,"🟡 Vulnerable","🟢 Preparado"))</f>
        <v/>
      </c>
      <c r="E86" s="23">
        <f>IFERROR(RANK(C86,C:C,-1),"")</f>
        <v/>
      </c>
      <c r="F86" s="43">
        <f>IFERROR(MATRIZ_174!L86,0)</f>
        <v/>
      </c>
      <c r="G86" s="44">
        <f>IFERROR(MATRIZ_174!M86,0)</f>
        <v/>
      </c>
      <c r="H86" s="45" t="n">
        <v>0</v>
      </c>
      <c r="I86" s="45" t="n">
        <v>0</v>
      </c>
      <c r="J86" s="45" t="n">
        <v>0</v>
      </c>
      <c r="K86" s="66">
        <f>IFERROR(INDEX(MATRIZ_174!$U:$U,MATCH(A86,MATRIZ_174!$A:$A,0)),"")</f>
        <v/>
      </c>
      <c r="L86" s="46">
        <f>IFERROR(MATRIZ_174!O86,0)</f>
        <v/>
      </c>
      <c r="M86" s="45" t="n">
        <v>0</v>
      </c>
      <c r="N86" s="23">
        <f>IF(AND(F86&gt;0,C86&lt;34),"🔴 UE + Critico",IF(AND(F86&gt;0,C86&lt;67),"🟡 UE + Vulnerable",IF(AND(F86&gt;0,C86&gt;=67),"🟢 UE + Preparado",IF(C86=0,"— Sin dato","Sin exposición UE"))))</f>
        <v/>
      </c>
      <c r="O86" s="15" t="inlineStr">
        <is>
          <t>PASCO</t>
        </is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42">
        <f>ROUND(PONDERADORES!$D$12*G87+PONDERADORES!$D$13*H87+PONDERADORES!$D$14*I87+PONDERADORES!$D$15*J87+PONDERADORES!$D$16*K87+PONDERADORES!$D$17*L87+PONDERADORES!$D$18*M87,1)</f>
        <v/>
      </c>
      <c r="D87" s="23">
        <f>IF(C87&lt;34,"🔴 Critico",IF(C87&lt;67,"🟡 Vulnerable","🟢 Preparado"))</f>
        <v/>
      </c>
      <c r="E87" s="23">
        <f>IFERROR(RANK(C87,C:C,-1),"")</f>
        <v/>
      </c>
      <c r="F87" s="43">
        <f>IFERROR(MATRIZ_174!L87,0)</f>
        <v/>
      </c>
      <c r="G87" s="44">
        <f>IFERROR(MATRIZ_174!M87,0)</f>
        <v/>
      </c>
      <c r="H87" s="45" t="n">
        <v>0</v>
      </c>
      <c r="I87" s="45" t="n">
        <v>0</v>
      </c>
      <c r="J87" s="45" t="n">
        <v>0</v>
      </c>
      <c r="K87" s="66">
        <f>IFERROR(INDEX(MATRIZ_174!$U:$U,MATCH(A87,MATRIZ_174!$A:$A,0)),"")</f>
        <v/>
      </c>
      <c r="L87" s="46">
        <f>IFERROR(MATRIZ_174!O87,0)</f>
        <v/>
      </c>
      <c r="M87" s="45" t="n">
        <v>0</v>
      </c>
      <c r="N87" s="23">
        <f>IF(AND(F87&gt;0,C87&lt;34),"🔴 UE + Critico",IF(AND(F87&gt;0,C87&lt;67),"🟡 UE + Vulnerable",IF(AND(F87&gt;0,C87&gt;=67),"🟢 UE + Preparado",IF(C87=0,"— Sin dato","Sin exposición UE"))))</f>
        <v/>
      </c>
      <c r="O87" s="15" t="inlineStr">
        <is>
          <t>PASCO</t>
        </is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42">
        <f>ROUND(PONDERADORES!$D$12*G88+PONDERADORES!$D$13*H88+PONDERADORES!$D$14*I88+PONDERADORES!$D$15*J88+PONDERADORES!$D$16*K88+PONDERADORES!$D$17*L88+PONDERADORES!$D$18*M88,1)</f>
        <v/>
      </c>
      <c r="D88" s="23">
        <f>IF(C88&lt;34,"🔴 Critico",IF(C88&lt;67,"🟡 Vulnerable","🟢 Preparado"))</f>
        <v/>
      </c>
      <c r="E88" s="23">
        <f>IFERROR(RANK(C88,C:C,-1),"")</f>
        <v/>
      </c>
      <c r="F88" s="43">
        <f>IFERROR(MATRIZ_174!L88,0)</f>
        <v/>
      </c>
      <c r="G88" s="44">
        <f>IFERROR(MATRIZ_174!M88,0)</f>
        <v/>
      </c>
      <c r="H88" s="45" t="n">
        <v>0</v>
      </c>
      <c r="I88" s="45" t="n">
        <v>0</v>
      </c>
      <c r="J88" s="45" t="n">
        <v>0</v>
      </c>
      <c r="K88" s="66">
        <f>IFERROR(INDEX(MATRIZ_174!$U:$U,MATCH(A88,MATRIZ_174!$A:$A,0)),"")</f>
        <v/>
      </c>
      <c r="L88" s="46">
        <f>IFERROR(MATRIZ_174!O88,0)</f>
        <v/>
      </c>
      <c r="M88" s="45" t="n">
        <v>0</v>
      </c>
      <c r="N88" s="23">
        <f>IF(AND(F88&gt;0,C88&lt;34),"🔴 UE + Critico",IF(AND(F88&gt;0,C88&lt;67),"🟡 UE + Vulnerable",IF(AND(F88&gt;0,C88&gt;=67),"🟢 UE + Preparado",IF(C88=0,"— Sin dato","Sin exposición UE"))))</f>
        <v/>
      </c>
      <c r="O88" s="15" t="inlineStr">
        <is>
          <t>PASCO</t>
        </is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42">
        <f>ROUND(PONDERADORES!$D$12*G89+PONDERADORES!$D$13*H89+PONDERADORES!$D$14*I89+PONDERADORES!$D$15*J89+PONDERADORES!$D$16*K89+PONDERADORES!$D$17*L89+PONDERADORES!$D$18*M89,1)</f>
        <v/>
      </c>
      <c r="D89" s="23">
        <f>IF(C89&lt;34,"🔴 Critico",IF(C89&lt;67,"🟡 Vulnerable","🟢 Preparado"))</f>
        <v/>
      </c>
      <c r="E89" s="23">
        <f>IFERROR(RANK(C89,C:C,-1),"")</f>
        <v/>
      </c>
      <c r="F89" s="43" t="n">
        <v>0</v>
      </c>
      <c r="G89" s="44">
        <f>IFERROR(MATRIZ_174!M89,0)</f>
        <v/>
      </c>
      <c r="H89" s="45" t="n">
        <v>0</v>
      </c>
      <c r="I89" s="45" t="n">
        <v>0</v>
      </c>
      <c r="J89" s="45" t="n">
        <v>0</v>
      </c>
      <c r="K89" s="66">
        <f>IFERROR(INDEX(MATRIZ_174!$U:$U,MATCH(A89,MATRIZ_174!$A:$A,0)),"")</f>
        <v/>
      </c>
      <c r="L89" s="46">
        <f>IFERROR(MATRIZ_174!O89,0)</f>
        <v/>
      </c>
      <c r="M89" s="45" t="n">
        <v>0</v>
      </c>
      <c r="N89" s="23">
        <f>IF(AND(F89&gt;0,C89&lt;34),"🔴 UE + Critico",IF(AND(F89&gt;0,C89&lt;67),"🟡 UE + Vulnerable",IF(AND(F89&gt;0,C89&gt;=67),"🟢 UE + Preparado",IF(C89=0,"— Sin dato","Sin exposición UE"))))</f>
        <v/>
      </c>
      <c r="O89" s="15" t="inlineStr">
        <is>
          <t>PASCO</t>
        </is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42">
        <f>ROUND(PONDERADORES!$D$12*G90+PONDERADORES!$D$13*H90+PONDERADORES!$D$14*I90+PONDERADORES!$D$15*J90+PONDERADORES!$D$16*K90+PONDERADORES!$D$17*L90+PONDERADORES!$D$18*M90,1)</f>
        <v/>
      </c>
      <c r="D90" s="23">
        <f>IF(C90&lt;34,"🔴 Critico",IF(C90&lt;67,"🟡 Vulnerable","🟢 Preparado"))</f>
        <v/>
      </c>
      <c r="E90" s="23">
        <f>IFERROR(RANK(C90,C:C,-1),"")</f>
        <v/>
      </c>
      <c r="F90" s="43">
        <f>IFERROR(MATRIZ_174!L90,0)</f>
        <v/>
      </c>
      <c r="G90" s="44">
        <f>IFERROR(MATRIZ_174!M90,0)</f>
        <v/>
      </c>
      <c r="H90" s="45" t="n">
        <v>0</v>
      </c>
      <c r="I90" s="45" t="n">
        <v>0</v>
      </c>
      <c r="J90" s="45" t="n">
        <v>0</v>
      </c>
      <c r="K90" s="66">
        <f>IFERROR(INDEX(MATRIZ_174!$U:$U,MATCH(A90,MATRIZ_174!$A:$A,0)),"")</f>
        <v/>
      </c>
      <c r="L90" s="46">
        <f>IFERROR(MATRIZ_174!O90,0)</f>
        <v/>
      </c>
      <c r="M90" s="45" t="n">
        <v>0</v>
      </c>
      <c r="N90" s="23">
        <f>IF(AND(F90&gt;0,C90&lt;34),"🔴 UE + Critico",IF(AND(F90&gt;0,C90&lt;67),"🟡 UE + Vulnerable",IF(AND(F90&gt;0,C90&gt;=67),"🟢 UE + Preparado",IF(C90=0,"— Sin dato","Sin exposición UE"))))</f>
        <v/>
      </c>
      <c r="O90" s="15" t="inlineStr">
        <is>
          <t>JUNIN</t>
        </is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42">
        <f>ROUND(PONDERADORES!$D$12*G91+PONDERADORES!$D$13*H91+PONDERADORES!$D$14*I91+PONDERADORES!$D$15*J91+PONDERADORES!$D$16*K91+PONDERADORES!$D$17*L91+PONDERADORES!$D$18*M91,1)</f>
        <v/>
      </c>
      <c r="D91" s="23">
        <f>IF(C91&lt;34,"🔴 Critico",IF(C91&lt;67,"🟡 Vulnerable","🟢 Preparado"))</f>
        <v/>
      </c>
      <c r="E91" s="23">
        <f>IFERROR(RANK(C91,C:C,-1),"")</f>
        <v/>
      </c>
      <c r="F91" s="43" t="n">
        <v>0</v>
      </c>
      <c r="G91" s="44">
        <f>IFERROR(MATRIZ_174!M91,0)</f>
        <v/>
      </c>
      <c r="H91" s="45" t="n">
        <v>0</v>
      </c>
      <c r="I91" s="45" t="n">
        <v>0</v>
      </c>
      <c r="J91" s="45" t="n">
        <v>0</v>
      </c>
      <c r="K91" s="66">
        <f>IFERROR(INDEX(MATRIZ_174!$U:$U,MATCH(A91,MATRIZ_174!$A:$A,0)),"")</f>
        <v/>
      </c>
      <c r="L91" s="46">
        <f>IFERROR(MATRIZ_174!O91,0)</f>
        <v/>
      </c>
      <c r="M91" s="45" t="n">
        <v>0</v>
      </c>
      <c r="N91" s="23">
        <f>IF(AND(F91&gt;0,C91&lt;34),"🔴 UE + Critico",IF(AND(F91&gt;0,C91&lt;67),"🟡 UE + Vulnerable",IF(AND(F91&gt;0,C91&gt;=67),"🟢 UE + Preparado",IF(C91=0,"— Sin dato","Sin exposición UE"))))</f>
        <v/>
      </c>
      <c r="O91" s="15" t="inlineStr">
        <is>
          <t>JUNIN</t>
        </is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42">
        <f>ROUND(PONDERADORES!$D$12*G92+PONDERADORES!$D$13*H92+PONDERADORES!$D$14*I92+PONDERADORES!$D$15*J92+PONDERADORES!$D$16*K92+PONDERADORES!$D$17*L92+PONDERADORES!$D$18*M92,1)</f>
        <v/>
      </c>
      <c r="D92" s="23">
        <f>IF(C92&lt;34,"🔴 Critico",IF(C92&lt;67,"🟡 Vulnerable","🟢 Preparado"))</f>
        <v/>
      </c>
      <c r="E92" s="23">
        <f>IFERROR(RANK(C92,C:C,-1),"")</f>
        <v/>
      </c>
      <c r="F92" s="43" t="n">
        <v>4792670.9</v>
      </c>
      <c r="G92" s="44">
        <f>IFERROR(MATRIZ_174!M92,0)</f>
        <v/>
      </c>
      <c r="H92" s="45" t="n">
        <v>0</v>
      </c>
      <c r="I92" s="45" t="n">
        <v>0</v>
      </c>
      <c r="J92" s="45" t="n">
        <v>0</v>
      </c>
      <c r="K92" s="66">
        <f>IFERROR(INDEX(MATRIZ_174!$U:$U,MATCH(A92,MATRIZ_174!$A:$A,0)),"")</f>
        <v/>
      </c>
      <c r="L92" s="46">
        <f>IFERROR(MATRIZ_174!O92,0)</f>
        <v/>
      </c>
      <c r="M92" s="45" t="n">
        <v>0</v>
      </c>
      <c r="N92" s="23">
        <f>IF(AND(F92&gt;0,C92&lt;34),"🔴 UE + Critico",IF(AND(F92&gt;0,C92&lt;67),"🟡 UE + Vulnerable",IF(AND(F92&gt;0,C92&gt;=67),"🟢 UE + Preparado",IF(C92=0,"— Sin dato","Sin exposición UE"))))</f>
        <v/>
      </c>
      <c r="O92" s="15" t="inlineStr">
        <is>
          <t>CAJAMARCA</t>
        </is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42">
        <f>ROUND(PONDERADORES!$D$12*G93+PONDERADORES!$D$13*H93+PONDERADORES!$D$14*I93+PONDERADORES!$D$15*J93+PONDERADORES!$D$16*K93+PONDERADORES!$D$17*L93+PONDERADORES!$D$18*M93,1)</f>
        <v/>
      </c>
      <c r="D93" s="23">
        <f>IF(C93&lt;34,"🔴 Critico",IF(C93&lt;67,"🟡 Vulnerable","🟢 Preparado"))</f>
        <v/>
      </c>
      <c r="E93" s="23">
        <f>IFERROR(RANK(C93,C:C,-1),"")</f>
        <v/>
      </c>
      <c r="F93" s="43">
        <f>IFERROR(MATRIZ_174!L93,0)</f>
        <v/>
      </c>
      <c r="G93" s="44">
        <f>IFERROR(MATRIZ_174!M93,0)</f>
        <v/>
      </c>
      <c r="H93" s="45" t="n">
        <v>0</v>
      </c>
      <c r="I93" s="45" t="n">
        <v>0</v>
      </c>
      <c r="J93" s="45" t="n">
        <v>0</v>
      </c>
      <c r="K93" s="66">
        <f>IFERROR(INDEX(MATRIZ_174!$U:$U,MATCH(A93,MATRIZ_174!$A:$A,0)),"")</f>
        <v/>
      </c>
      <c r="L93" s="46">
        <f>IFERROR(MATRIZ_174!O93,0)</f>
        <v/>
      </c>
      <c r="M93" s="45" t="n">
        <v>0</v>
      </c>
      <c r="N93" s="23">
        <f>IF(AND(F93&gt;0,C93&lt;34),"🔴 UE + Critico",IF(AND(F93&gt;0,C93&lt;67),"🟡 UE + Vulnerable",IF(AND(F93&gt;0,C93&gt;=67),"🟢 UE + Preparado",IF(C93=0,"— Sin dato","Sin exposición UE"))))</f>
        <v/>
      </c>
      <c r="O93" s="15" t="inlineStr">
        <is>
          <t>SAN MARTIN</t>
        </is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42">
        <f>ROUND(PONDERADORES!$D$12*G94+PONDERADORES!$D$13*H94+PONDERADORES!$D$14*I94+PONDERADORES!$D$15*J94+PONDERADORES!$D$16*K94+PONDERADORES!$D$17*L94+PONDERADORES!$D$18*M94,1)</f>
        <v/>
      </c>
      <c r="D94" s="23">
        <f>IF(C94&lt;34,"🔴 Critico",IF(C94&lt;67,"🟡 Vulnerable","🟢 Preparado"))</f>
        <v/>
      </c>
      <c r="E94" s="23">
        <f>IFERROR(RANK(C94,C:C,-1),"")</f>
        <v/>
      </c>
      <c r="F94" s="43" t="n">
        <v>1888972.42</v>
      </c>
      <c r="G94" s="44">
        <f>IFERROR(MATRIZ_174!M94,0)</f>
        <v/>
      </c>
      <c r="H94" s="45" t="n">
        <v>0</v>
      </c>
      <c r="I94" s="45" t="n">
        <v>0</v>
      </c>
      <c r="J94" s="45" t="n">
        <v>0</v>
      </c>
      <c r="K94" s="66">
        <f>IFERROR(INDEX(MATRIZ_174!$U:$U,MATCH(A94,MATRIZ_174!$A:$A,0)),"")</f>
        <v/>
      </c>
      <c r="L94" s="46">
        <f>IFERROR(MATRIZ_174!O94,0)</f>
        <v/>
      </c>
      <c r="M94" s="45" t="n">
        <v>0</v>
      </c>
      <c r="N94" s="23">
        <f>IF(AND(F94&gt;0,C94&lt;34),"🔴 UE + Critico",IF(AND(F94&gt;0,C94&lt;67),"🟡 UE + Vulnerable",IF(AND(F94&gt;0,C94&gt;=67),"🟢 UE + Preparado",IF(C94=0,"— Sin dato","Sin exposición UE"))))</f>
        <v/>
      </c>
      <c r="O94" s="15" t="inlineStr">
        <is>
          <t>SAN MARTIN</t>
        </is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42">
        <f>ROUND(PONDERADORES!$D$12*G95+PONDERADORES!$D$13*H95+PONDERADORES!$D$14*I95+PONDERADORES!$D$15*J95+PONDERADORES!$D$16*K95+PONDERADORES!$D$17*L95+PONDERADORES!$D$18*M95,1)</f>
        <v/>
      </c>
      <c r="D95" s="23">
        <f>IF(C95&lt;34,"🔴 Critico",IF(C95&lt;67,"🟡 Vulnerable","🟢 Preparado"))</f>
        <v/>
      </c>
      <c r="E95" s="23">
        <f>IFERROR(RANK(C95,C:C,-1),"")</f>
        <v/>
      </c>
      <c r="F95" s="43">
        <f>IFERROR(MATRIZ_174!L95,0)</f>
        <v/>
      </c>
      <c r="G95" s="44">
        <f>IFERROR(MATRIZ_174!M95,0)</f>
        <v/>
      </c>
      <c r="H95" s="45" t="n">
        <v>0</v>
      </c>
      <c r="I95" s="45" t="n">
        <v>0</v>
      </c>
      <c r="J95" s="45" t="n">
        <v>0</v>
      </c>
      <c r="K95" s="66">
        <f>IFERROR(INDEX(MATRIZ_174!$U:$U,MATCH(A95,MATRIZ_174!$A:$A,0)),"")</f>
        <v/>
      </c>
      <c r="L95" s="46">
        <f>IFERROR(MATRIZ_174!O95,0)</f>
        <v/>
      </c>
      <c r="M95" s="45" t="n">
        <v>0</v>
      </c>
      <c r="N95" s="23">
        <f>IF(AND(F95&gt;0,C95&lt;34),"🔴 UE + Critico",IF(AND(F95&gt;0,C95&lt;67),"🟡 UE + Vulnerable",IF(AND(F95&gt;0,C95&gt;=67),"🟢 UE + Preparado",IF(C95=0,"— Sin dato","Sin exposición UE"))))</f>
        <v/>
      </c>
      <c r="O95" s="15" t="inlineStr">
        <is>
          <t>HUANUCO</t>
        </is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42">
        <f>ROUND(PONDERADORES!$D$12*G96+PONDERADORES!$D$13*H96+PONDERADORES!$D$14*I96+PONDERADORES!$D$15*J96+PONDERADORES!$D$16*K96+PONDERADORES!$D$17*L96+PONDERADORES!$D$18*M96,1)</f>
        <v/>
      </c>
      <c r="D96" s="23">
        <f>IF(C96&lt;34,"🔴 Critico",IF(C96&lt;67,"🟡 Vulnerable","🟢 Preparado"))</f>
        <v/>
      </c>
      <c r="E96" s="23">
        <f>IFERROR(RANK(C96,C:C,-1),"")</f>
        <v/>
      </c>
      <c r="F96" s="43" t="n">
        <v>0</v>
      </c>
      <c r="G96" s="44">
        <f>IFERROR(MATRIZ_174!M96,0)</f>
        <v/>
      </c>
      <c r="H96" s="45" t="n">
        <v>0</v>
      </c>
      <c r="I96" s="45" t="n">
        <v>0</v>
      </c>
      <c r="J96" s="45" t="n">
        <v>0</v>
      </c>
      <c r="K96" s="66">
        <f>IFERROR(INDEX(MATRIZ_174!$U:$U,MATCH(A96,MATRIZ_174!$A:$A,0)),"")</f>
        <v/>
      </c>
      <c r="L96" s="46">
        <f>IFERROR(MATRIZ_174!O96,0)</f>
        <v/>
      </c>
      <c r="M96" s="45" t="n">
        <v>0</v>
      </c>
      <c r="N96" s="23">
        <f>IF(AND(F96&gt;0,C96&lt;34),"🔴 UE + Critico",IF(AND(F96&gt;0,C96&lt;67),"🟡 UE + Vulnerable",IF(AND(F96&gt;0,C96&gt;=67),"🟢 UE + Preparado",IF(C96=0,"— Sin dato","Sin exposición UE"))))</f>
        <v/>
      </c>
      <c r="O96" s="15" t="inlineStr">
        <is>
          <t>HUANUCO</t>
        </is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42">
        <f>ROUND(PONDERADORES!$D$12*G97+PONDERADORES!$D$13*H97+PONDERADORES!$D$14*I97+PONDERADORES!$D$15*J97+PONDERADORES!$D$16*K97+PONDERADORES!$D$17*L97+PONDERADORES!$D$18*M97,1)</f>
        <v/>
      </c>
      <c r="D97" s="23">
        <f>IF(C97&lt;34,"🔴 Critico",IF(C97&lt;67,"🟡 Vulnerable","🟢 Preparado"))</f>
        <v/>
      </c>
      <c r="E97" s="23">
        <f>IFERROR(RANK(C97,C:C,-1),"")</f>
        <v/>
      </c>
      <c r="F97" s="43">
        <f>IFERROR(MATRIZ_174!L97,0)</f>
        <v/>
      </c>
      <c r="G97" s="44">
        <f>IFERROR(MATRIZ_174!M97,0)</f>
        <v/>
      </c>
      <c r="H97" s="45" t="n">
        <v>0</v>
      </c>
      <c r="I97" s="45" t="n">
        <v>0</v>
      </c>
      <c r="J97" s="45" t="n">
        <v>0</v>
      </c>
      <c r="K97" s="66">
        <f>IFERROR(INDEX(MATRIZ_174!$U:$U,MATCH(A97,MATRIZ_174!$A:$A,0)),"")</f>
        <v/>
      </c>
      <c r="L97" s="46">
        <f>IFERROR(MATRIZ_174!O97,0)</f>
        <v/>
      </c>
      <c r="M97" s="45" t="n">
        <v>0</v>
      </c>
      <c r="N97" s="23">
        <f>IF(AND(F97&gt;0,C97&lt;34),"🔴 UE + Critico",IF(AND(F97&gt;0,C97&lt;67),"🟡 UE + Vulnerable",IF(AND(F97&gt;0,C97&gt;=67),"🟢 UE + Preparado",IF(C97=0,"— Sin dato","Sin exposición UE"))))</f>
        <v/>
      </c>
      <c r="O97" s="15" t="inlineStr">
        <is>
          <t>HUANUCO</t>
        </is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42">
        <f>ROUND(PONDERADORES!$D$12*G98+PONDERADORES!$D$13*H98+PONDERADORES!$D$14*I98+PONDERADORES!$D$15*J98+PONDERADORES!$D$16*K98+PONDERADORES!$D$17*L98+PONDERADORES!$D$18*M98,1)</f>
        <v/>
      </c>
      <c r="D98" s="23">
        <f>IF(C98&lt;34,"🔴 Critico",IF(C98&lt;67,"🟡 Vulnerable","🟢 Preparado"))</f>
        <v/>
      </c>
      <c r="E98" s="23">
        <f>IFERROR(RANK(C98,C:C,-1),"")</f>
        <v/>
      </c>
      <c r="F98" s="43">
        <f>IFERROR(MATRIZ_174!L98,0)</f>
        <v/>
      </c>
      <c r="G98" s="44">
        <f>IFERROR(MATRIZ_174!M98,0)</f>
        <v/>
      </c>
      <c r="H98" s="45" t="n">
        <v>0</v>
      </c>
      <c r="I98" s="45" t="n">
        <v>0</v>
      </c>
      <c r="J98" s="45" t="n">
        <v>0</v>
      </c>
      <c r="K98" s="66">
        <f>IFERROR(INDEX(MATRIZ_174!$U:$U,MATCH(A98,MATRIZ_174!$A:$A,0)),"")</f>
        <v/>
      </c>
      <c r="L98" s="46">
        <f>IFERROR(MATRIZ_174!O98,0)</f>
        <v/>
      </c>
      <c r="M98" s="45" t="n">
        <v>0</v>
      </c>
      <c r="N98" s="23">
        <f>IF(AND(F98&gt;0,C98&lt;34),"🔴 UE + Critico",IF(AND(F98&gt;0,C98&lt;67),"🟡 UE + Vulnerable",IF(AND(F98&gt;0,C98&gt;=67),"🟢 UE + Preparado",IF(C98=0,"— Sin dato","Sin exposición UE"))))</f>
        <v/>
      </c>
      <c r="O98" s="15" t="inlineStr">
        <is>
          <t>HUANUCO</t>
        </is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42">
        <f>ROUND(PONDERADORES!$D$12*G99+PONDERADORES!$D$13*H99+PONDERADORES!$D$14*I99+PONDERADORES!$D$15*J99+PONDERADORES!$D$16*K99+PONDERADORES!$D$17*L99+PONDERADORES!$D$18*M99,1)</f>
        <v/>
      </c>
      <c r="D99" s="23">
        <f>IF(C99&lt;34,"🔴 Critico",IF(C99&lt;67,"🟡 Vulnerable","🟢 Preparado"))</f>
        <v/>
      </c>
      <c r="E99" s="23">
        <f>IFERROR(RANK(C99,C:C,-1),"")</f>
        <v/>
      </c>
      <c r="F99" s="43">
        <f>IFERROR(MATRIZ_174!L99,0)</f>
        <v/>
      </c>
      <c r="G99" s="44">
        <f>IFERROR(MATRIZ_174!M99,0)</f>
        <v/>
      </c>
      <c r="H99" s="45" t="n">
        <v>0</v>
      </c>
      <c r="I99" s="45" t="n">
        <v>0</v>
      </c>
      <c r="J99" s="45" t="n">
        <v>0</v>
      </c>
      <c r="K99" s="66">
        <f>IFERROR(INDEX(MATRIZ_174!$U:$U,MATCH(A99,MATRIZ_174!$A:$A,0)),"")</f>
        <v/>
      </c>
      <c r="L99" s="46">
        <f>IFERROR(MATRIZ_174!O99,0)</f>
        <v/>
      </c>
      <c r="M99" s="45" t="n">
        <v>0</v>
      </c>
      <c r="N99" s="23">
        <f>IF(AND(F99&gt;0,C99&lt;34),"🔴 UE + Critico",IF(AND(F99&gt;0,C99&lt;67),"🟡 UE + Vulnerable",IF(AND(F99&gt;0,C99&gt;=67),"🟢 UE + Preparado",IF(C99=0,"— Sin dato","Sin exposición UE"))))</f>
        <v/>
      </c>
      <c r="O99" s="15" t="inlineStr">
        <is>
          <t>HUANUCO</t>
        </is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42">
        <f>ROUND(PONDERADORES!$D$12*G100+PONDERADORES!$D$13*H100+PONDERADORES!$D$14*I100+PONDERADORES!$D$15*J100+PONDERADORES!$D$16*K100+PONDERADORES!$D$17*L100+PONDERADORES!$D$18*M100,1)</f>
        <v/>
      </c>
      <c r="D100" s="23">
        <f>IF(C100&lt;34,"🔴 Critico",IF(C100&lt;67,"🟡 Vulnerable","🟢 Preparado"))</f>
        <v/>
      </c>
      <c r="E100" s="23">
        <f>IFERROR(RANK(C100,C:C,-1),"")</f>
        <v/>
      </c>
      <c r="F100" s="43">
        <f>IFERROR(MATRIZ_174!L100,0)</f>
        <v/>
      </c>
      <c r="G100" s="44">
        <f>IFERROR(MATRIZ_174!M100,0)</f>
        <v/>
      </c>
      <c r="H100" s="45" t="n">
        <v>0</v>
      </c>
      <c r="I100" s="45" t="n">
        <v>0</v>
      </c>
      <c r="J100" s="45" t="n">
        <v>0</v>
      </c>
      <c r="K100" s="66">
        <f>IFERROR(INDEX(MATRIZ_174!$U:$U,MATCH(A100,MATRIZ_174!$A:$A,0)),"")</f>
        <v/>
      </c>
      <c r="L100" s="46">
        <f>IFERROR(MATRIZ_174!O100,0)</f>
        <v/>
      </c>
      <c r="M100" s="45" t="n">
        <v>0</v>
      </c>
      <c r="N100" s="23">
        <f>IF(AND(F100&gt;0,C100&lt;34),"🔴 UE + Critico",IF(AND(F100&gt;0,C100&lt;67),"🟡 UE + Vulnerable",IF(AND(F100&gt;0,C100&gt;=67),"🟢 UE + Preparado",IF(C100=0,"— Sin dato","Sin exposición UE"))))</f>
        <v/>
      </c>
      <c r="O100" s="15" t="inlineStr">
        <is>
          <t>CUSCO</t>
        </is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42">
        <f>ROUND(PONDERADORES!$D$12*G101+PONDERADORES!$D$13*H101+PONDERADORES!$D$14*I101+PONDERADORES!$D$15*J101+PONDERADORES!$D$16*K101+PONDERADORES!$D$17*L101+PONDERADORES!$D$18*M101,1)</f>
        <v/>
      </c>
      <c r="D101" s="23">
        <f>IF(C101&lt;34,"🔴 Critico",IF(C101&lt;67,"🟡 Vulnerable","🟢 Preparado"))</f>
        <v/>
      </c>
      <c r="E101" s="23">
        <f>IFERROR(RANK(C101,C:C,-1),"")</f>
        <v/>
      </c>
      <c r="F101" s="43">
        <f>IFERROR(MATRIZ_174!L101,0)</f>
        <v/>
      </c>
      <c r="G101" s="44">
        <f>IFERROR(MATRIZ_174!M101,0)</f>
        <v/>
      </c>
      <c r="H101" s="45" t="n">
        <v>0</v>
      </c>
      <c r="I101" s="45" t="n">
        <v>0</v>
      </c>
      <c r="J101" s="45" t="n">
        <v>0</v>
      </c>
      <c r="K101" s="66">
        <f>IFERROR(INDEX(MATRIZ_174!$U:$U,MATCH(A101,MATRIZ_174!$A:$A,0)),"")</f>
        <v/>
      </c>
      <c r="L101" s="46">
        <f>IFERROR(MATRIZ_174!O101,0)</f>
        <v/>
      </c>
      <c r="M101" s="45" t="n">
        <v>0</v>
      </c>
      <c r="N101" s="23">
        <f>IF(AND(F101&gt;0,C101&lt;34),"🔴 UE + Critico",IF(AND(F101&gt;0,C101&lt;67),"🟡 UE + Vulnerable",IF(AND(F101&gt;0,C101&gt;=67),"🟢 UE + Preparado",IF(C101=0,"— Sin dato","Sin exposición UE"))))</f>
        <v/>
      </c>
      <c r="O101" s="15" t="inlineStr">
        <is>
          <t>AMAZONAS</t>
        </is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42">
        <f>ROUND(PONDERADORES!$D$12*G102+PONDERADORES!$D$13*H102+PONDERADORES!$D$14*I102+PONDERADORES!$D$15*J102+PONDERADORES!$D$16*K102+PONDERADORES!$D$17*L102+PONDERADORES!$D$18*M102,1)</f>
        <v/>
      </c>
      <c r="D102" s="23">
        <f>IF(C102&lt;34,"🔴 Critico",IF(C102&lt;67,"🟡 Vulnerable","🟢 Preparado"))</f>
        <v/>
      </c>
      <c r="E102" s="23">
        <f>IFERROR(RANK(C102,C:C,-1),"")</f>
        <v/>
      </c>
      <c r="F102" s="43">
        <f>IFERROR(MATRIZ_174!L102,0)</f>
        <v/>
      </c>
      <c r="G102" s="44">
        <f>IFERROR(MATRIZ_174!M102,0)</f>
        <v/>
      </c>
      <c r="H102" s="45" t="n">
        <v>0</v>
      </c>
      <c r="I102" s="45" t="n">
        <v>0</v>
      </c>
      <c r="J102" s="45" t="n">
        <v>0</v>
      </c>
      <c r="K102" s="66">
        <f>IFERROR(INDEX(MATRIZ_174!$U:$U,MATCH(A102,MATRIZ_174!$A:$A,0)),"")</f>
        <v/>
      </c>
      <c r="L102" s="46">
        <f>IFERROR(MATRIZ_174!O102,0)</f>
        <v/>
      </c>
      <c r="M102" s="45" t="n">
        <v>0</v>
      </c>
      <c r="N102" s="23">
        <f>IF(AND(F102&gt;0,C102&lt;34),"🔴 UE + Critico",IF(AND(F102&gt;0,C102&lt;67),"🟡 UE + Vulnerable",IF(AND(F102&gt;0,C102&gt;=67),"🟢 UE + Preparado",IF(C102=0,"— Sin dato","Sin exposición UE"))))</f>
        <v/>
      </c>
      <c r="O102" s="15" t="inlineStr">
        <is>
          <t>HUANUCO</t>
        </is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42">
        <f>ROUND(PONDERADORES!$D$12*G103+PONDERADORES!$D$13*H103+PONDERADORES!$D$14*I103+PONDERADORES!$D$15*J103+PONDERADORES!$D$16*K103+PONDERADORES!$D$17*L103+PONDERADORES!$D$18*M103,1)</f>
        <v/>
      </c>
      <c r="D103" s="23">
        <f>IF(C103&lt;34,"🔴 Critico",IF(C103&lt;67,"🟡 Vulnerable","🟢 Preparado"))</f>
        <v/>
      </c>
      <c r="E103" s="23">
        <f>IFERROR(RANK(C103,C:C,-1),"")</f>
        <v/>
      </c>
      <c r="F103" s="43">
        <f>IFERROR(MATRIZ_174!L103,0)</f>
        <v/>
      </c>
      <c r="G103" s="44">
        <f>IFERROR(MATRIZ_174!M103,0)</f>
        <v/>
      </c>
      <c r="H103" s="45" t="n">
        <v>0</v>
      </c>
      <c r="I103" s="45" t="n">
        <v>0</v>
      </c>
      <c r="J103" s="45" t="n">
        <v>0</v>
      </c>
      <c r="K103" s="66">
        <f>IFERROR(INDEX(MATRIZ_174!$U:$U,MATCH(A103,MATRIZ_174!$A:$A,0)),"")</f>
        <v/>
      </c>
      <c r="L103" s="46">
        <f>IFERROR(MATRIZ_174!O103,0)</f>
        <v/>
      </c>
      <c r="M103" s="45" t="n">
        <v>0</v>
      </c>
      <c r="N103" s="23">
        <f>IF(AND(F103&gt;0,C103&lt;34),"🔴 UE + Critico",IF(AND(F103&gt;0,C103&lt;67),"🟡 UE + Vulnerable",IF(AND(F103&gt;0,C103&gt;=67),"🟢 UE + Preparado",IF(C103=0,"— Sin dato","Sin exposición UE"))))</f>
        <v/>
      </c>
      <c r="O103" s="15" t="inlineStr">
        <is>
          <t>LORETO</t>
        </is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42">
        <f>ROUND(PONDERADORES!$D$12*G104+PONDERADORES!$D$13*H104+PONDERADORES!$D$14*I104+PONDERADORES!$D$15*J104+PONDERADORES!$D$16*K104+PONDERADORES!$D$17*L104+PONDERADORES!$D$18*M104,1)</f>
        <v/>
      </c>
      <c r="D104" s="23">
        <f>IF(C104&lt;34,"🔴 Critico",IF(C104&lt;67,"🟡 Vulnerable","🟢 Preparado"))</f>
        <v/>
      </c>
      <c r="E104" s="23">
        <f>IFERROR(RANK(C104,C:C,-1),"")</f>
        <v/>
      </c>
      <c r="F104" s="43" t="n">
        <v>0</v>
      </c>
      <c r="G104" s="44">
        <f>IFERROR(MATRIZ_174!M104,0)</f>
        <v/>
      </c>
      <c r="H104" s="45" t="n">
        <v>0</v>
      </c>
      <c r="I104" s="45" t="n">
        <v>0</v>
      </c>
      <c r="J104" s="45" t="n">
        <v>0</v>
      </c>
      <c r="K104" s="66">
        <f>IFERROR(INDEX(MATRIZ_174!$U:$U,MATCH(A104,MATRIZ_174!$A:$A,0)),"")</f>
        <v/>
      </c>
      <c r="L104" s="46">
        <f>IFERROR(MATRIZ_174!O104,0)</f>
        <v/>
      </c>
      <c r="M104" s="45" t="n">
        <v>0</v>
      </c>
      <c r="N104" s="23">
        <f>IF(AND(F104&gt;0,C104&lt;34),"🔴 UE + Critico",IF(AND(F104&gt;0,C104&lt;67),"🟡 UE + Vulnerable",IF(AND(F104&gt;0,C104&gt;=67),"🟢 UE + Preparado",IF(C104=0,"— Sin dato","Sin exposición UE"))))</f>
        <v/>
      </c>
      <c r="O104" s="15" t="inlineStr">
        <is>
          <t>MADRE DE DIOS</t>
        </is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42">
        <f>ROUND(PONDERADORES!$D$12*G105+PONDERADORES!$D$13*H105+PONDERADORES!$D$14*I105+PONDERADORES!$D$15*J105+PONDERADORES!$D$16*K105+PONDERADORES!$D$17*L105+PONDERADORES!$D$18*M105,1)</f>
        <v/>
      </c>
      <c r="D105" s="23">
        <f>IF(C105&lt;34,"🔴 Critico",IF(C105&lt;67,"🟡 Vulnerable","🟢 Preparado"))</f>
        <v/>
      </c>
      <c r="E105" s="23">
        <f>IFERROR(RANK(C105,C:C,-1),"")</f>
        <v/>
      </c>
      <c r="F105" s="43" t="n">
        <v>0</v>
      </c>
      <c r="G105" s="44">
        <f>IFERROR(MATRIZ_174!M105,0)</f>
        <v/>
      </c>
      <c r="H105" s="45" t="n">
        <v>0</v>
      </c>
      <c r="I105" s="45" t="n">
        <v>0</v>
      </c>
      <c r="J105" s="45" t="n">
        <v>0</v>
      </c>
      <c r="K105" s="66">
        <f>IFERROR(INDEX(MATRIZ_174!$U:$U,MATCH(A105,MATRIZ_174!$A:$A,0)),"")</f>
        <v/>
      </c>
      <c r="L105" s="46">
        <f>IFERROR(MATRIZ_174!O105,0)</f>
        <v/>
      </c>
      <c r="M105" s="45" t="n">
        <v>0</v>
      </c>
      <c r="N105" s="23">
        <f>IF(AND(F105&gt;0,C105&lt;34),"🔴 UE + Critico",IF(AND(F105&gt;0,C105&lt;67),"🟡 UE + Vulnerable",IF(AND(F105&gt;0,C105&gt;=67),"🟢 UE + Preparado",IF(C105=0,"— Sin dato","Sin exposición UE"))))</f>
        <v/>
      </c>
      <c r="O105" s="15" t="inlineStr">
        <is>
          <t>AMAZONAS</t>
        </is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42">
        <f>ROUND(PONDERADORES!$D$12*G106+PONDERADORES!$D$13*H106+PONDERADORES!$D$14*I106+PONDERADORES!$D$15*J106+PONDERADORES!$D$16*K106+PONDERADORES!$D$17*L106+PONDERADORES!$D$18*M106,1)</f>
        <v/>
      </c>
      <c r="D106" s="23">
        <f>IF(C106&lt;34,"🔴 Critico",IF(C106&lt;67,"🟡 Vulnerable","🟢 Preparado"))</f>
        <v/>
      </c>
      <c r="E106" s="23">
        <f>IFERROR(RANK(C106,C:C,-1),"")</f>
        <v/>
      </c>
      <c r="F106" s="43" t="n">
        <v>2059443.82</v>
      </c>
      <c r="G106" s="44">
        <f>IFERROR(MATRIZ_174!M106,0)</f>
        <v/>
      </c>
      <c r="H106" s="45" t="n">
        <v>0</v>
      </c>
      <c r="I106" s="45" t="n">
        <v>0</v>
      </c>
      <c r="J106" s="45" t="n">
        <v>0</v>
      </c>
      <c r="K106" s="66">
        <f>IFERROR(INDEX(MATRIZ_174!$U:$U,MATCH(A106,MATRIZ_174!$A:$A,0)),"")</f>
        <v/>
      </c>
      <c r="L106" s="46">
        <f>IFERROR(MATRIZ_174!O106,0)</f>
        <v/>
      </c>
      <c r="M106" s="45" t="n">
        <v>0</v>
      </c>
      <c r="N106" s="23">
        <f>IF(AND(F106&gt;0,C106&lt;34),"🔴 UE + Critico",IF(AND(F106&gt;0,C106&lt;67),"🟡 UE + Vulnerable",IF(AND(F106&gt;0,C106&gt;=67),"🟢 UE + Preparado",IF(C106=0,"— Sin dato","Sin exposición UE"))))</f>
        <v/>
      </c>
      <c r="O106" s="15" t="inlineStr">
        <is>
          <t>SAN MARTIN</t>
        </is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42">
        <f>ROUND(PONDERADORES!$D$12*G107+PONDERADORES!$D$13*H107+PONDERADORES!$D$14*I107+PONDERADORES!$D$15*J107+PONDERADORES!$D$16*K107+PONDERADORES!$D$17*L107+PONDERADORES!$D$18*M107,1)</f>
        <v/>
      </c>
      <c r="D107" s="23">
        <f>IF(C107&lt;34,"🔴 Critico",IF(C107&lt;67,"🟡 Vulnerable","🟢 Preparado"))</f>
        <v/>
      </c>
      <c r="E107" s="23">
        <f>IFERROR(RANK(C107,C:C,-1),"")</f>
        <v/>
      </c>
      <c r="F107" s="43">
        <f>IFERROR(MATRIZ_174!L107,0)</f>
        <v/>
      </c>
      <c r="G107" s="44">
        <f>IFERROR(MATRIZ_174!M107,0)</f>
        <v/>
      </c>
      <c r="H107" s="45" t="n">
        <v>0</v>
      </c>
      <c r="I107" s="45" t="n">
        <v>0</v>
      </c>
      <c r="J107" s="45" t="n">
        <v>0</v>
      </c>
      <c r="K107" s="66">
        <f>IFERROR(INDEX(MATRIZ_174!$U:$U,MATCH(A107,MATRIZ_174!$A:$A,0)),"")</f>
        <v/>
      </c>
      <c r="L107" s="46">
        <f>IFERROR(MATRIZ_174!O107,0)</f>
        <v/>
      </c>
      <c r="M107" s="45" t="n">
        <v>0</v>
      </c>
      <c r="N107" s="23">
        <f>IF(AND(F107&gt;0,C107&lt;34),"🔴 UE + Critico",IF(AND(F107&gt;0,C107&lt;67),"🟡 UE + Vulnerable",IF(AND(F107&gt;0,C107&gt;=67),"🟢 UE + Preparado",IF(C107=0,"— Sin dato","Sin exposición UE"))))</f>
        <v/>
      </c>
      <c r="O107" s="15" t="inlineStr">
        <is>
          <t>UCAYALI</t>
        </is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42">
        <f>ROUND(PONDERADORES!$D$12*G108+PONDERADORES!$D$13*H108+PONDERADORES!$D$14*I108+PONDERADORES!$D$15*J108+PONDERADORES!$D$16*K108+PONDERADORES!$D$17*L108+PONDERADORES!$D$18*M108,1)</f>
        <v/>
      </c>
      <c r="D108" s="23">
        <f>IF(C108&lt;34,"🔴 Critico",IF(C108&lt;67,"🟡 Vulnerable","🟢 Preparado"))</f>
        <v/>
      </c>
      <c r="E108" s="23">
        <f>IFERROR(RANK(C108,C:C,-1),"")</f>
        <v/>
      </c>
      <c r="F108" s="43" t="n">
        <v>10616860.41</v>
      </c>
      <c r="G108" s="44">
        <f>IFERROR(MATRIZ_174!M108,0)</f>
        <v/>
      </c>
      <c r="H108" s="45" t="n">
        <v>0</v>
      </c>
      <c r="I108" s="45" t="n">
        <v>0</v>
      </c>
      <c r="J108" s="45" t="n">
        <v>0</v>
      </c>
      <c r="K108" s="66">
        <f>IFERROR(INDEX(MATRIZ_174!$U:$U,MATCH(A108,MATRIZ_174!$A:$A,0)),"")</f>
        <v/>
      </c>
      <c r="L108" s="46">
        <f>IFERROR(MATRIZ_174!O108,0)</f>
        <v/>
      </c>
      <c r="M108" s="45" t="n">
        <v>0</v>
      </c>
      <c r="N108" s="23">
        <f>IF(AND(F108&gt;0,C108&lt;34),"🔴 UE + Critico",IF(AND(F108&gt;0,C108&lt;67),"🟡 UE + Vulnerable",IF(AND(F108&gt;0,C108&gt;=67),"🟢 UE + Preparado",IF(C108=0,"— Sin dato","Sin exposición UE"))))</f>
        <v/>
      </c>
      <c r="O108" s="15" t="inlineStr">
        <is>
          <t>UCAYALI</t>
        </is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42">
        <f>ROUND(PONDERADORES!$D$12*G109+PONDERADORES!$D$13*H109+PONDERADORES!$D$14*I109+PONDERADORES!$D$15*J109+PONDERADORES!$D$16*K109+PONDERADORES!$D$17*L109+PONDERADORES!$D$18*M109,1)</f>
        <v/>
      </c>
      <c r="D109" s="23">
        <f>IF(C109&lt;34,"🔴 Critico",IF(C109&lt;67,"🟡 Vulnerable","🟢 Preparado"))</f>
        <v/>
      </c>
      <c r="E109" s="23">
        <f>IFERROR(RANK(C109,C:C,-1),"")</f>
        <v/>
      </c>
      <c r="F109" s="43">
        <f>IFERROR(MATRIZ_174!L109,0)</f>
        <v/>
      </c>
      <c r="G109" s="44">
        <f>IFERROR(MATRIZ_174!M109,0)</f>
        <v/>
      </c>
      <c r="H109" s="45" t="n">
        <v>0</v>
      </c>
      <c r="I109" s="45" t="n">
        <v>0</v>
      </c>
      <c r="J109" s="45" t="n">
        <v>0</v>
      </c>
      <c r="K109" s="66">
        <f>IFERROR(INDEX(MATRIZ_174!$U:$U,MATCH(A109,MATRIZ_174!$A:$A,0)),"")</f>
        <v/>
      </c>
      <c r="L109" s="46">
        <f>IFERROR(MATRIZ_174!O109,0)</f>
        <v/>
      </c>
      <c r="M109" s="45" t="n">
        <v>0</v>
      </c>
      <c r="N109" s="23">
        <f>IF(AND(F109&gt;0,C109&lt;34),"🔴 UE + Critico",IF(AND(F109&gt;0,C109&lt;67),"🟡 UE + Vulnerable",IF(AND(F109&gt;0,C109&gt;=67),"🟢 UE + Preparado",IF(C109=0,"— Sin dato","Sin exposición UE"))))</f>
        <v/>
      </c>
      <c r="O109" s="15" t="inlineStr">
        <is>
          <t>AYACUCHO</t>
        </is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42">
        <f>ROUND(PONDERADORES!$D$12*G110+PONDERADORES!$D$13*H110+PONDERADORES!$D$14*I110+PONDERADORES!$D$15*J110+PONDERADORES!$D$16*K110+PONDERADORES!$D$17*L110+PONDERADORES!$D$18*M110,1)</f>
        <v/>
      </c>
      <c r="D110" s="23">
        <f>IF(C110&lt;34,"🔴 Critico",IF(C110&lt;67,"🟡 Vulnerable","🟢 Preparado"))</f>
        <v/>
      </c>
      <c r="E110" s="23">
        <f>IFERROR(RANK(C110,C:C,-1),"")</f>
        <v/>
      </c>
      <c r="F110" s="43">
        <f>IFERROR(MATRIZ_174!L110,0)</f>
        <v/>
      </c>
      <c r="G110" s="44">
        <f>IFERROR(MATRIZ_174!M110,0)</f>
        <v/>
      </c>
      <c r="H110" s="45" t="n">
        <v>0</v>
      </c>
      <c r="I110" s="45" t="n">
        <v>0</v>
      </c>
      <c r="J110" s="45" t="n">
        <v>0</v>
      </c>
      <c r="K110" s="66">
        <f>IFERROR(INDEX(MATRIZ_174!$U:$U,MATCH(A110,MATRIZ_174!$A:$A,0)),"")</f>
        <v/>
      </c>
      <c r="L110" s="46">
        <f>IFERROR(MATRIZ_174!O110,0)</f>
        <v/>
      </c>
      <c r="M110" s="45" t="n">
        <v>0</v>
      </c>
      <c r="N110" s="23">
        <f>IF(AND(F110&gt;0,C110&lt;34),"🔴 UE + Critico",IF(AND(F110&gt;0,C110&lt;67),"🟡 UE + Vulnerable",IF(AND(F110&gt;0,C110&gt;=67),"🟢 UE + Preparado",IF(C110=0,"— Sin dato","Sin exposición UE"))))</f>
        <v/>
      </c>
      <c r="O110" s="15" t="inlineStr">
        <is>
          <t>HUANUCO</t>
        </is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42">
        <f>ROUND(PONDERADORES!$D$12*G111+PONDERADORES!$D$13*H111+PONDERADORES!$D$14*I111+PONDERADORES!$D$15*J111+PONDERADORES!$D$16*K111+PONDERADORES!$D$17*L111+PONDERADORES!$D$18*M111,1)</f>
        <v/>
      </c>
      <c r="D111" s="23">
        <f>IF(C111&lt;34,"🔴 Critico",IF(C111&lt;67,"🟡 Vulnerable","🟢 Preparado"))</f>
        <v/>
      </c>
      <c r="E111" s="23">
        <f>IFERROR(RANK(C111,C:C,-1),"")</f>
        <v/>
      </c>
      <c r="F111" s="43">
        <f>IFERROR(MATRIZ_174!L111,0)</f>
        <v/>
      </c>
      <c r="G111" s="44">
        <f>IFERROR(MATRIZ_174!M111,0)</f>
        <v/>
      </c>
      <c r="H111" s="45" t="n">
        <v>0</v>
      </c>
      <c r="I111" s="45" t="n">
        <v>0</v>
      </c>
      <c r="J111" s="45" t="n">
        <v>0</v>
      </c>
      <c r="K111" s="66">
        <f>IFERROR(INDEX(MATRIZ_174!$U:$U,MATCH(A111,MATRIZ_174!$A:$A,0)),"")</f>
        <v/>
      </c>
      <c r="L111" s="46">
        <f>IFERROR(MATRIZ_174!O111,0)</f>
        <v/>
      </c>
      <c r="M111" s="45" t="n">
        <v>0</v>
      </c>
      <c r="N111" s="23">
        <f>IF(AND(F111&gt;0,C111&lt;34),"🔴 UE + Critico",IF(AND(F111&gt;0,C111&lt;67),"🟡 UE + Vulnerable",IF(AND(F111&gt;0,C111&gt;=67),"🟢 UE + Preparado",IF(C111=0,"— Sin dato","Sin exposición UE"))))</f>
        <v/>
      </c>
      <c r="O111" s="15" t="inlineStr">
        <is>
          <t>AMAZONAS</t>
        </is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42">
        <f>ROUND(PONDERADORES!$D$12*G112+PONDERADORES!$D$13*H112+PONDERADORES!$D$14*I112+PONDERADORES!$D$15*J112+PONDERADORES!$D$16*K112+PONDERADORES!$D$17*L112+PONDERADORES!$D$18*M112,1)</f>
        <v/>
      </c>
      <c r="D112" s="23">
        <f>IF(C112&lt;34,"🔴 Critico",IF(C112&lt;67,"🟡 Vulnerable","🟢 Preparado"))</f>
        <v/>
      </c>
      <c r="E112" s="23">
        <f>IFERROR(RANK(C112,C:C,-1),"")</f>
        <v/>
      </c>
      <c r="F112" s="43">
        <f>IFERROR(MATRIZ_174!L112,0)</f>
        <v/>
      </c>
      <c r="G112" s="44">
        <f>IFERROR(MATRIZ_174!M112,0)</f>
        <v/>
      </c>
      <c r="H112" s="45" t="n">
        <v>0</v>
      </c>
      <c r="I112" s="45" t="n">
        <v>0</v>
      </c>
      <c r="J112" s="45" t="n">
        <v>0</v>
      </c>
      <c r="K112" s="66">
        <f>IFERROR(INDEX(MATRIZ_174!$U:$U,MATCH(A112,MATRIZ_174!$A:$A,0)),"")</f>
        <v/>
      </c>
      <c r="L112" s="46">
        <f>IFERROR(MATRIZ_174!O112,0)</f>
        <v/>
      </c>
      <c r="M112" s="45" t="n">
        <v>0</v>
      </c>
      <c r="N112" s="23">
        <f>IF(AND(F112&gt;0,C112&lt;34),"🔴 UE + Critico",IF(AND(F112&gt;0,C112&lt;67),"🟡 UE + Vulnerable",IF(AND(F112&gt;0,C112&gt;=67),"🟢 UE + Preparado",IF(C112=0,"— Sin dato","Sin exposición UE"))))</f>
        <v/>
      </c>
      <c r="O112" s="15" t="inlineStr">
        <is>
          <t>HUANUCO</t>
        </is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42">
        <f>ROUND(PONDERADORES!$D$12*G113+PONDERADORES!$D$13*H113+PONDERADORES!$D$14*I113+PONDERADORES!$D$15*J113+PONDERADORES!$D$16*K113+PONDERADORES!$D$17*L113+PONDERADORES!$D$18*M113,1)</f>
        <v/>
      </c>
      <c r="D113" s="23">
        <f>IF(C113&lt;34,"🔴 Critico",IF(C113&lt;67,"🟡 Vulnerable","🟢 Preparado"))</f>
        <v/>
      </c>
      <c r="E113" s="23">
        <f>IFERROR(RANK(C113,C:C,-1),"")</f>
        <v/>
      </c>
      <c r="F113" s="43" t="n">
        <v>0</v>
      </c>
      <c r="G113" s="44">
        <f>IFERROR(MATRIZ_174!M113,0)</f>
        <v/>
      </c>
      <c r="H113" s="45" t="n">
        <v>0</v>
      </c>
      <c r="I113" s="45" t="n">
        <v>0</v>
      </c>
      <c r="J113" s="45" t="n">
        <v>0</v>
      </c>
      <c r="K113" s="66">
        <f>IFERROR(INDEX(MATRIZ_174!$U:$U,MATCH(A113,MATRIZ_174!$A:$A,0)),"")</f>
        <v/>
      </c>
      <c r="L113" s="46">
        <f>IFERROR(MATRIZ_174!O113,0)</f>
        <v/>
      </c>
      <c r="M113" s="45" t="n">
        <v>0</v>
      </c>
      <c r="N113" s="23">
        <f>IF(AND(F113&gt;0,C113&lt;34),"🔴 UE + Critico",IF(AND(F113&gt;0,C113&lt;67),"🟡 UE + Vulnerable",IF(AND(F113&gt;0,C113&gt;=67),"🟢 UE + Preparado",IF(C113=0,"— Sin dato","Sin exposición UE"))))</f>
        <v/>
      </c>
      <c r="O113" s="15" t="inlineStr">
        <is>
          <t>CAJAMARCA</t>
        </is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42">
        <f>ROUND(PONDERADORES!$D$12*G114+PONDERADORES!$D$13*H114+PONDERADORES!$D$14*I114+PONDERADORES!$D$15*J114+PONDERADORES!$D$16*K114+PONDERADORES!$D$17*L114+PONDERADORES!$D$18*M114,1)</f>
        <v/>
      </c>
      <c r="D114" s="23">
        <f>IF(C114&lt;34,"🔴 Critico",IF(C114&lt;67,"🟡 Vulnerable","🟢 Preparado"))</f>
        <v/>
      </c>
      <c r="E114" s="23">
        <f>IFERROR(RANK(C114,C:C,-1),"")</f>
        <v/>
      </c>
      <c r="F114" s="43">
        <f>IFERROR(MATRIZ_174!L114,0)</f>
        <v/>
      </c>
      <c r="G114" s="44">
        <f>IFERROR(MATRIZ_174!M114,0)</f>
        <v/>
      </c>
      <c r="H114" s="45" t="n">
        <v>0</v>
      </c>
      <c r="I114" s="45" t="n">
        <v>0</v>
      </c>
      <c r="J114" s="45" t="n">
        <v>0</v>
      </c>
      <c r="K114" s="66">
        <f>IFERROR(INDEX(MATRIZ_174!$U:$U,MATCH(A114,MATRIZ_174!$A:$A,0)),"")</f>
        <v/>
      </c>
      <c r="L114" s="46">
        <f>IFERROR(MATRIZ_174!O114,0)</f>
        <v/>
      </c>
      <c r="M114" s="45" t="n">
        <v>0</v>
      </c>
      <c r="N114" s="23">
        <f>IF(AND(F114&gt;0,C114&lt;34),"🔴 UE + Critico",IF(AND(F114&gt;0,C114&lt;67),"🟡 UE + Vulnerable",IF(AND(F114&gt;0,C114&gt;=67),"🟢 UE + Preparado",IF(C114=0,"— Sin dato","Sin exposición UE"))))</f>
        <v/>
      </c>
      <c r="O114" s="15" t="inlineStr">
        <is>
          <t>MADRE DE DIOS</t>
        </is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42">
        <f>ROUND(PONDERADORES!$D$12*G115+PONDERADORES!$D$13*H115+PONDERADORES!$D$14*I115+PONDERADORES!$D$15*J115+PONDERADORES!$D$16*K115+PONDERADORES!$D$17*L115+PONDERADORES!$D$18*M115,1)</f>
        <v/>
      </c>
      <c r="D115" s="23">
        <f>IF(C115&lt;34,"🔴 Critico",IF(C115&lt;67,"🟡 Vulnerable","🟢 Preparado"))</f>
        <v/>
      </c>
      <c r="E115" s="23">
        <f>IFERROR(RANK(C115,C:C,-1),"")</f>
        <v/>
      </c>
      <c r="F115" s="43">
        <f>IFERROR(MATRIZ_174!L115,0)</f>
        <v/>
      </c>
      <c r="G115" s="44">
        <f>IFERROR(MATRIZ_174!M115,0)</f>
        <v/>
      </c>
      <c r="H115" s="45" t="n">
        <v>0</v>
      </c>
      <c r="I115" s="45" t="n">
        <v>0</v>
      </c>
      <c r="J115" s="45" t="n">
        <v>0</v>
      </c>
      <c r="K115" s="66">
        <f>IFERROR(INDEX(MATRIZ_174!$U:$U,MATCH(A115,MATRIZ_174!$A:$A,0)),"")</f>
        <v/>
      </c>
      <c r="L115" s="46">
        <f>IFERROR(MATRIZ_174!O115,0)</f>
        <v/>
      </c>
      <c r="M115" s="45" t="n">
        <v>0</v>
      </c>
      <c r="N115" s="23">
        <f>IF(AND(F115&gt;0,C115&lt;34),"🔴 UE + Critico",IF(AND(F115&gt;0,C115&lt;67),"🟡 UE + Vulnerable",IF(AND(F115&gt;0,C115&gt;=67),"🟢 UE + Preparado",IF(C115=0,"— Sin dato","Sin exposición UE"))))</f>
        <v/>
      </c>
      <c r="O115" s="15" t="inlineStr">
        <is>
          <t>SAN MARTIN</t>
        </is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42">
        <f>ROUND(PONDERADORES!$D$12*G116+PONDERADORES!$D$13*H116+PONDERADORES!$D$14*I116+PONDERADORES!$D$15*J116+PONDERADORES!$D$16*K116+PONDERADORES!$D$17*L116+PONDERADORES!$D$18*M116,1)</f>
        <v/>
      </c>
      <c r="D116" s="23">
        <f>IF(C116&lt;34,"🔴 Critico",IF(C116&lt;67,"🟡 Vulnerable","🟢 Preparado"))</f>
        <v/>
      </c>
      <c r="E116" s="23">
        <f>IFERROR(RANK(C116,C:C,-1),"")</f>
        <v/>
      </c>
      <c r="F116" s="43">
        <f>IFERROR(MATRIZ_174!L116,0)</f>
        <v/>
      </c>
      <c r="G116" s="44">
        <f>IFERROR(MATRIZ_174!M116,0)</f>
        <v/>
      </c>
      <c r="H116" s="45" t="n">
        <v>0</v>
      </c>
      <c r="I116" s="45" t="n">
        <v>0</v>
      </c>
      <c r="J116" s="45" t="n">
        <v>0</v>
      </c>
      <c r="K116" s="66">
        <f>IFERROR(INDEX(MATRIZ_174!$U:$U,MATCH(A116,MATRIZ_174!$A:$A,0)),"")</f>
        <v/>
      </c>
      <c r="L116" s="46">
        <f>IFERROR(MATRIZ_174!O116,0)</f>
        <v/>
      </c>
      <c r="M116" s="45" t="n">
        <v>0</v>
      </c>
      <c r="N116" s="23">
        <f>IF(AND(F116&gt;0,C116&lt;34),"🔴 UE + Critico",IF(AND(F116&gt;0,C116&lt;67),"🟡 UE + Vulnerable",IF(AND(F116&gt;0,C116&gt;=67),"🟢 UE + Preparado",IF(C116=0,"— Sin dato","Sin exposición UE"))))</f>
        <v/>
      </c>
      <c r="O116" s="15" t="inlineStr">
        <is>
          <t>MADRE DE DIOS</t>
        </is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42">
        <f>ROUND(PONDERADORES!$D$12*G117+PONDERADORES!$D$13*H117+PONDERADORES!$D$14*I117+PONDERADORES!$D$15*J117+PONDERADORES!$D$16*K117+PONDERADORES!$D$17*L117+PONDERADORES!$D$18*M117,1)</f>
        <v/>
      </c>
      <c r="D117" s="23">
        <f>IF(C117&lt;34,"🔴 Critico",IF(C117&lt;67,"🟡 Vulnerable","🟢 Preparado"))</f>
        <v/>
      </c>
      <c r="E117" s="23">
        <f>IFERROR(RANK(C117,C:C,-1),"")</f>
        <v/>
      </c>
      <c r="F117" s="43">
        <f>IFERROR(MATRIZ_174!L117,0)</f>
        <v/>
      </c>
      <c r="G117" s="44">
        <f>IFERROR(MATRIZ_174!M117,0)</f>
        <v/>
      </c>
      <c r="H117" s="45" t="n">
        <v>0</v>
      </c>
      <c r="I117" s="45" t="n">
        <v>0</v>
      </c>
      <c r="J117" s="45" t="n">
        <v>0</v>
      </c>
      <c r="K117" s="66">
        <f>IFERROR(INDEX(MATRIZ_174!$U:$U,MATCH(A117,MATRIZ_174!$A:$A,0)),"")</f>
        <v/>
      </c>
      <c r="L117" s="46">
        <f>IFERROR(MATRIZ_174!O117,0)</f>
        <v/>
      </c>
      <c r="M117" s="45" t="n">
        <v>0</v>
      </c>
      <c r="N117" s="23">
        <f>IF(AND(F117&gt;0,C117&lt;34),"🔴 UE + Critico",IF(AND(F117&gt;0,C117&lt;67),"🟡 UE + Vulnerable",IF(AND(F117&gt;0,C117&gt;=67),"🟢 UE + Preparado",IF(C117=0,"— Sin dato","Sin exposición UE"))))</f>
        <v/>
      </c>
      <c r="O117" s="15" t="inlineStr">
        <is>
          <t>LAMBAYEQUE</t>
        </is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42">
        <f>ROUND(PONDERADORES!$D$12*G118+PONDERADORES!$D$13*H118+PONDERADORES!$D$14*I118+PONDERADORES!$D$15*J118+PONDERADORES!$D$16*K118+PONDERADORES!$D$17*L118+PONDERADORES!$D$18*M118,1)</f>
        <v/>
      </c>
      <c r="D118" s="23">
        <f>IF(C118&lt;34,"🔴 Critico",IF(C118&lt;67,"🟡 Vulnerable","🟢 Preparado"))</f>
        <v/>
      </c>
      <c r="E118" s="23">
        <f>IFERROR(RANK(C118,C:C,-1),"")</f>
        <v/>
      </c>
      <c r="F118" s="43">
        <f>IFERROR(MATRIZ_174!L118,0)</f>
        <v/>
      </c>
      <c r="G118" s="44">
        <f>IFERROR(MATRIZ_174!M118,0)</f>
        <v/>
      </c>
      <c r="H118" s="45" t="n">
        <v>0</v>
      </c>
      <c r="I118" s="45" t="n">
        <v>0</v>
      </c>
      <c r="J118" s="45" t="n">
        <v>0</v>
      </c>
      <c r="K118" s="66">
        <f>IFERROR(INDEX(MATRIZ_174!$U:$U,MATCH(A118,MATRIZ_174!$A:$A,0)),"")</f>
        <v/>
      </c>
      <c r="L118" s="46">
        <f>IFERROR(MATRIZ_174!O118,0)</f>
        <v/>
      </c>
      <c r="M118" s="45" t="n">
        <v>0</v>
      </c>
      <c r="N118" s="23">
        <f>IF(AND(F118&gt;0,C118&lt;34),"🔴 UE + Critico",IF(AND(F118&gt;0,C118&lt;67),"🟡 UE + Vulnerable",IF(AND(F118&gt;0,C118&gt;=67),"🟢 UE + Preparado",IF(C118=0,"— Sin dato","Sin exposición UE"))))</f>
        <v/>
      </c>
      <c r="O118" s="15" t="inlineStr">
        <is>
          <t>UCAYALI</t>
        </is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42">
        <f>ROUND(PONDERADORES!$D$12*G119+PONDERADORES!$D$13*H119+PONDERADORES!$D$14*I119+PONDERADORES!$D$15*J119+PONDERADORES!$D$16*K119+PONDERADORES!$D$17*L119+PONDERADORES!$D$18*M119,1)</f>
        <v/>
      </c>
      <c r="D119" s="23">
        <f>IF(C119&lt;34,"🔴 Critico",IF(C119&lt;67,"🟡 Vulnerable","🟢 Preparado"))</f>
        <v/>
      </c>
      <c r="E119" s="23">
        <f>IFERROR(RANK(C119,C:C,-1),"")</f>
        <v/>
      </c>
      <c r="F119" s="43">
        <f>IFERROR(MATRIZ_174!L119,0)</f>
        <v/>
      </c>
      <c r="G119" s="44">
        <f>IFERROR(MATRIZ_174!M119,0)</f>
        <v/>
      </c>
      <c r="H119" s="45" t="n">
        <v>0</v>
      </c>
      <c r="I119" s="45" t="n">
        <v>0</v>
      </c>
      <c r="J119" s="45" t="n">
        <v>0</v>
      </c>
      <c r="K119" s="66">
        <f>IFERROR(INDEX(MATRIZ_174!$U:$U,MATCH(A119,MATRIZ_174!$A:$A,0)),"")</f>
        <v/>
      </c>
      <c r="L119" s="46">
        <f>IFERROR(MATRIZ_174!O119,0)</f>
        <v/>
      </c>
      <c r="M119" s="45" t="n">
        <v>0</v>
      </c>
      <c r="N119" s="23">
        <f>IF(AND(F119&gt;0,C119&lt;34),"🔴 UE + Critico",IF(AND(F119&gt;0,C119&lt;67),"🟡 UE + Vulnerable",IF(AND(F119&gt;0,C119&gt;=67),"🟢 UE + Preparado",IF(C119=0,"— Sin dato","Sin exposición UE"))))</f>
        <v/>
      </c>
      <c r="O119" s="15" t="inlineStr">
        <is>
          <t>UCAYALI</t>
        </is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42">
        <f>ROUND(PONDERADORES!$D$12*G120+PONDERADORES!$D$13*H120+PONDERADORES!$D$14*I120+PONDERADORES!$D$15*J120+PONDERADORES!$D$16*K120+PONDERADORES!$D$17*L120+PONDERADORES!$D$18*M120,1)</f>
        <v/>
      </c>
      <c r="D120" s="23">
        <f>IF(C120&lt;34,"🔴 Critico",IF(C120&lt;67,"🟡 Vulnerable","🟢 Preparado"))</f>
        <v/>
      </c>
      <c r="E120" s="23">
        <f>IFERROR(RANK(C120,C:C,-1),"")</f>
        <v/>
      </c>
      <c r="F120" s="43">
        <f>IFERROR(MATRIZ_174!L120,0)</f>
        <v/>
      </c>
      <c r="G120" s="44">
        <f>IFERROR(MATRIZ_174!M120,0)</f>
        <v/>
      </c>
      <c r="H120" s="45" t="n">
        <v>0</v>
      </c>
      <c r="I120" s="45" t="n">
        <v>0</v>
      </c>
      <c r="J120" s="45" t="n">
        <v>0</v>
      </c>
      <c r="K120" s="66">
        <f>IFERROR(INDEX(MATRIZ_174!$U:$U,MATCH(A120,MATRIZ_174!$A:$A,0)),"")</f>
        <v/>
      </c>
      <c r="L120" s="46">
        <f>IFERROR(MATRIZ_174!O120,0)</f>
        <v/>
      </c>
      <c r="M120" s="45" t="n">
        <v>0</v>
      </c>
      <c r="N120" s="23">
        <f>IF(AND(F120&gt;0,C120&lt;34),"🔴 UE + Critico",IF(AND(F120&gt;0,C120&lt;67),"🟡 UE + Vulnerable",IF(AND(F120&gt;0,C120&gt;=67),"🟢 UE + Preparado",IF(C120=0,"— Sin dato","Sin exposición UE"))))</f>
        <v/>
      </c>
      <c r="O120" s="15" t="inlineStr">
        <is>
          <t>CAJAMARCA</t>
        </is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42">
        <f>ROUND(PONDERADORES!$D$12*G121+PONDERADORES!$D$13*H121+PONDERADORES!$D$14*I121+PONDERADORES!$D$15*J121+PONDERADORES!$D$16*K121+PONDERADORES!$D$17*L121+PONDERADORES!$D$18*M121,1)</f>
        <v/>
      </c>
      <c r="D121" s="23">
        <f>IF(C121&lt;34,"🔴 Critico",IF(C121&lt;67,"🟡 Vulnerable","🟢 Preparado"))</f>
        <v/>
      </c>
      <c r="E121" s="23">
        <f>IFERROR(RANK(C121,C:C,-1),"")</f>
        <v/>
      </c>
      <c r="F121" s="43">
        <f>IFERROR(MATRIZ_174!L121,0)</f>
        <v/>
      </c>
      <c r="G121" s="44">
        <f>IFERROR(MATRIZ_174!M121,0)</f>
        <v/>
      </c>
      <c r="H121" s="45" t="n">
        <v>0</v>
      </c>
      <c r="I121" s="45" t="n">
        <v>0</v>
      </c>
      <c r="J121" s="45" t="n">
        <v>0</v>
      </c>
      <c r="K121" s="66">
        <f>IFERROR(INDEX(MATRIZ_174!$U:$U,MATCH(A121,MATRIZ_174!$A:$A,0)),"")</f>
        <v/>
      </c>
      <c r="L121" s="46">
        <f>IFERROR(MATRIZ_174!O121,0)</f>
        <v/>
      </c>
      <c r="M121" s="45" t="n">
        <v>0</v>
      </c>
      <c r="N121" s="23">
        <f>IF(AND(F121&gt;0,C121&lt;34),"🔴 UE + Critico",IF(AND(F121&gt;0,C121&lt;67),"🟡 UE + Vulnerable",IF(AND(F121&gt;0,C121&gt;=67),"🟢 UE + Preparado",IF(C121=0,"— Sin dato","Sin exposición UE"))))</f>
        <v/>
      </c>
      <c r="O121" s="15" t="inlineStr">
        <is>
          <t>PASCO</t>
        </is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42">
        <f>ROUND(PONDERADORES!$D$12*G122+PONDERADORES!$D$13*H122+PONDERADORES!$D$14*I122+PONDERADORES!$D$15*J122+PONDERADORES!$D$16*K122+PONDERADORES!$D$17*L122+PONDERADORES!$D$18*M122,1)</f>
        <v/>
      </c>
      <c r="D122" s="23">
        <f>IF(C122&lt;34,"🔴 Critico",IF(C122&lt;67,"🟡 Vulnerable","🟢 Preparado"))</f>
        <v/>
      </c>
      <c r="E122" s="23">
        <f>IFERROR(RANK(C122,C:C,-1),"")</f>
        <v/>
      </c>
      <c r="F122" s="43">
        <f>IFERROR(MATRIZ_174!L122,0)</f>
        <v/>
      </c>
      <c r="G122" s="44">
        <f>IFERROR(MATRIZ_174!M122,0)</f>
        <v/>
      </c>
      <c r="H122" s="45" t="n">
        <v>0</v>
      </c>
      <c r="I122" s="45" t="n">
        <v>0</v>
      </c>
      <c r="J122" s="45" t="n">
        <v>0</v>
      </c>
      <c r="K122" s="66">
        <f>IFERROR(INDEX(MATRIZ_174!$U:$U,MATCH(A122,MATRIZ_174!$A:$A,0)),"")</f>
        <v/>
      </c>
      <c r="L122" s="46">
        <f>IFERROR(MATRIZ_174!O122,0)</f>
        <v/>
      </c>
      <c r="M122" s="45" t="n">
        <v>0</v>
      </c>
      <c r="N122" s="23">
        <f>IF(AND(F122&gt;0,C122&lt;34),"🔴 UE + Critico",IF(AND(F122&gt;0,C122&lt;67),"🟡 UE + Vulnerable",IF(AND(F122&gt;0,C122&gt;=67),"🟢 UE + Preparado",IF(C122=0,"— Sin dato","Sin exposición UE"))))</f>
        <v/>
      </c>
      <c r="O122" s="15" t="inlineStr">
        <is>
          <t>HUANUCO</t>
        </is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42">
        <f>ROUND(PONDERADORES!$D$12*G123+PONDERADORES!$D$13*H123+PONDERADORES!$D$14*I123+PONDERADORES!$D$15*J123+PONDERADORES!$D$16*K123+PONDERADORES!$D$17*L123+PONDERADORES!$D$18*M123,1)</f>
        <v/>
      </c>
      <c r="D123" s="23">
        <f>IF(C123&lt;34,"🔴 Critico",IF(C123&lt;67,"🟡 Vulnerable","🟢 Preparado"))</f>
        <v/>
      </c>
      <c r="E123" s="23">
        <f>IFERROR(RANK(C123,C:C,-1),"")</f>
        <v/>
      </c>
      <c r="F123" s="43" t="n">
        <v>0</v>
      </c>
      <c r="G123" s="44">
        <f>IFERROR(MATRIZ_174!M123,0)</f>
        <v/>
      </c>
      <c r="H123" s="45" t="n">
        <v>0</v>
      </c>
      <c r="I123" s="45" t="n">
        <v>0</v>
      </c>
      <c r="J123" s="45" t="n">
        <v>0</v>
      </c>
      <c r="K123" s="66">
        <f>IFERROR(INDEX(MATRIZ_174!$U:$U,MATCH(A123,MATRIZ_174!$A:$A,0)),"")</f>
        <v/>
      </c>
      <c r="L123" s="46">
        <f>IFERROR(MATRIZ_174!O123,0)</f>
        <v/>
      </c>
      <c r="M123" s="45" t="n">
        <v>0</v>
      </c>
      <c r="N123" s="23">
        <f>IF(AND(F123&gt;0,C123&lt;34),"🔴 UE + Critico",IF(AND(F123&gt;0,C123&lt;67),"🟡 UE + Vulnerable",IF(AND(F123&gt;0,C123&gt;=67),"🟢 UE + Preparado",IF(C123=0,"— Sin dato","Sin exposición UE"))))</f>
        <v/>
      </c>
      <c r="O123" s="15" t="inlineStr">
        <is>
          <t>JUNIN</t>
        </is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42">
        <f>ROUND(PONDERADORES!$D$12*G124+PONDERADORES!$D$13*H124+PONDERADORES!$D$14*I124+PONDERADORES!$D$15*J124+PONDERADORES!$D$16*K124+PONDERADORES!$D$17*L124+PONDERADORES!$D$18*M124,1)</f>
        <v/>
      </c>
      <c r="D124" s="23">
        <f>IF(C124&lt;34,"🔴 Critico",IF(C124&lt;67,"🟡 Vulnerable","🟢 Preparado"))</f>
        <v/>
      </c>
      <c r="E124" s="23">
        <f>IFERROR(RANK(C124,C:C,-1),"")</f>
        <v/>
      </c>
      <c r="F124" s="43" t="n">
        <v>0</v>
      </c>
      <c r="G124" s="44">
        <f>IFERROR(MATRIZ_174!M124,0)</f>
        <v/>
      </c>
      <c r="H124" s="45" t="n">
        <v>0</v>
      </c>
      <c r="I124" s="45" t="n">
        <v>0</v>
      </c>
      <c r="J124" s="45" t="n">
        <v>0</v>
      </c>
      <c r="K124" s="66">
        <f>IFERROR(INDEX(MATRIZ_174!$U:$U,MATCH(A124,MATRIZ_174!$A:$A,0)),"")</f>
        <v/>
      </c>
      <c r="L124" s="46">
        <f>IFERROR(MATRIZ_174!O124,0)</f>
        <v/>
      </c>
      <c r="M124" s="45" t="n">
        <v>0</v>
      </c>
      <c r="N124" s="23">
        <f>IF(AND(F124&gt;0,C124&lt;34),"🔴 UE + Critico",IF(AND(F124&gt;0,C124&lt;67),"🟡 UE + Vulnerable",IF(AND(F124&gt;0,C124&gt;=67),"🟢 UE + Preparado",IF(C124=0,"— Sin dato","Sin exposición UE"))))</f>
        <v/>
      </c>
      <c r="O124" s="15" t="inlineStr">
        <is>
          <t>AMAZONAS</t>
        </is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42">
        <f>ROUND(PONDERADORES!$D$12*G125+PONDERADORES!$D$13*H125+PONDERADORES!$D$14*I125+PONDERADORES!$D$15*J125+PONDERADORES!$D$16*K125+PONDERADORES!$D$17*L125+PONDERADORES!$D$18*M125,1)</f>
        <v/>
      </c>
      <c r="D125" s="23">
        <f>IF(C125&lt;34,"🔴 Critico",IF(C125&lt;67,"🟡 Vulnerable","🟢 Preparado"))</f>
        <v/>
      </c>
      <c r="E125" s="23">
        <f>IFERROR(RANK(C125,C:C,-1),"")</f>
        <v/>
      </c>
      <c r="F125" s="43">
        <f>IFERROR(MATRIZ_174!L125,0)</f>
        <v/>
      </c>
      <c r="G125" s="44">
        <f>IFERROR(MATRIZ_174!M125,0)</f>
        <v/>
      </c>
      <c r="H125" s="45" t="n">
        <v>0</v>
      </c>
      <c r="I125" s="45" t="n">
        <v>0</v>
      </c>
      <c r="J125" s="45" t="n">
        <v>0</v>
      </c>
      <c r="K125" s="66">
        <f>IFERROR(INDEX(MATRIZ_174!$U:$U,MATCH(A125,MATRIZ_174!$A:$A,0)),"")</f>
        <v/>
      </c>
      <c r="L125" s="46">
        <f>IFERROR(MATRIZ_174!O125,0)</f>
        <v/>
      </c>
      <c r="M125" s="45" t="n">
        <v>0</v>
      </c>
      <c r="N125" s="23">
        <f>IF(AND(F125&gt;0,C125&lt;34),"🔴 UE + Critico",IF(AND(F125&gt;0,C125&lt;67),"🟡 UE + Vulnerable",IF(AND(F125&gt;0,C125&gt;=67),"🟢 UE + Preparado",IF(C125=0,"— Sin dato","Sin exposición UE"))))</f>
        <v/>
      </c>
      <c r="O125" s="15" t="inlineStr">
        <is>
          <t>JUNIN</t>
        </is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42">
        <f>ROUND(PONDERADORES!$D$12*G126+PONDERADORES!$D$13*H126+PONDERADORES!$D$14*I126+PONDERADORES!$D$15*J126+PONDERADORES!$D$16*K126+PONDERADORES!$D$17*L126+PONDERADORES!$D$18*M126,1)</f>
        <v/>
      </c>
      <c r="D126" s="23">
        <f>IF(C126&lt;34,"🔴 Critico",IF(C126&lt;67,"🟡 Vulnerable","🟢 Preparado"))</f>
        <v/>
      </c>
      <c r="E126" s="23">
        <f>IFERROR(RANK(C126,C:C,-1),"")</f>
        <v/>
      </c>
      <c r="F126" s="43" t="n">
        <v>0</v>
      </c>
      <c r="G126" s="44">
        <f>IFERROR(MATRIZ_174!M126,0)</f>
        <v/>
      </c>
      <c r="H126" s="45" t="n">
        <v>0</v>
      </c>
      <c r="I126" s="45" t="n">
        <v>0</v>
      </c>
      <c r="J126" s="45" t="n">
        <v>0</v>
      </c>
      <c r="K126" s="66">
        <f>IFERROR(INDEX(MATRIZ_174!$U:$U,MATCH(A126,MATRIZ_174!$A:$A,0)),"")</f>
        <v/>
      </c>
      <c r="L126" s="46">
        <f>IFERROR(MATRIZ_174!O126,0)</f>
        <v/>
      </c>
      <c r="M126" s="45" t="n">
        <v>0</v>
      </c>
      <c r="N126" s="23">
        <f>IF(AND(F126&gt;0,C126&lt;34),"🔴 UE + Critico",IF(AND(F126&gt;0,C126&lt;67),"🟡 UE + Vulnerable",IF(AND(F126&gt;0,C126&gt;=67),"🟢 UE + Preparado",IF(C126=0,"— Sin dato","Sin exposición UE"))))</f>
        <v/>
      </c>
      <c r="O126" s="15" t="inlineStr">
        <is>
          <t>JUNIN</t>
        </is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42">
        <f>ROUND(PONDERADORES!$D$12*G127+PONDERADORES!$D$13*H127+PONDERADORES!$D$14*I127+PONDERADORES!$D$15*J127+PONDERADORES!$D$16*K127+PONDERADORES!$D$17*L127+PONDERADORES!$D$18*M127,1)</f>
        <v/>
      </c>
      <c r="D127" s="23">
        <f>IF(C127&lt;34,"🔴 Critico",IF(C127&lt;67,"🟡 Vulnerable","🟢 Preparado"))</f>
        <v/>
      </c>
      <c r="E127" s="23">
        <f>IFERROR(RANK(C127,C:C,-1),"")</f>
        <v/>
      </c>
      <c r="F127" s="43" t="n">
        <v>0</v>
      </c>
      <c r="G127" s="44">
        <f>IFERROR(MATRIZ_174!M127,0)</f>
        <v/>
      </c>
      <c r="H127" s="45" t="n">
        <v>0</v>
      </c>
      <c r="I127" s="45" t="n">
        <v>0</v>
      </c>
      <c r="J127" s="45" t="n">
        <v>0</v>
      </c>
      <c r="K127" s="66">
        <f>IFERROR(INDEX(MATRIZ_174!$U:$U,MATCH(A127,MATRIZ_174!$A:$A,0)),"")</f>
        <v/>
      </c>
      <c r="L127" s="46">
        <f>IFERROR(MATRIZ_174!O127,0)</f>
        <v/>
      </c>
      <c r="M127" s="45" t="n">
        <v>0</v>
      </c>
      <c r="N127" s="23">
        <f>IF(AND(F127&gt;0,C127&lt;34),"🔴 UE + Critico",IF(AND(F127&gt;0,C127&lt;67),"🟡 UE + Vulnerable",IF(AND(F127&gt;0,C127&gt;=67),"🟢 UE + Preparado",IF(C127=0,"— Sin dato","Sin exposición UE"))))</f>
        <v/>
      </c>
      <c r="O127" s="15" t="inlineStr">
        <is>
          <t>JUNIN</t>
        </is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42">
        <f>ROUND(PONDERADORES!$D$12*G128+PONDERADORES!$D$13*H128+PONDERADORES!$D$14*I128+PONDERADORES!$D$15*J128+PONDERADORES!$D$16*K128+PONDERADORES!$D$17*L128+PONDERADORES!$D$18*M128,1)</f>
        <v/>
      </c>
      <c r="D128" s="23">
        <f>IF(C128&lt;34,"🔴 Critico",IF(C128&lt;67,"🟡 Vulnerable","🟢 Preparado"))</f>
        <v/>
      </c>
      <c r="E128" s="23">
        <f>IFERROR(RANK(C128,C:C,-1),"")</f>
        <v/>
      </c>
      <c r="F128" s="43" t="n">
        <v>6983136.67</v>
      </c>
      <c r="G128" s="44">
        <f>IFERROR(MATRIZ_174!M128,0)</f>
        <v/>
      </c>
      <c r="H128" s="45" t="n">
        <v>0</v>
      </c>
      <c r="I128" s="45" t="n">
        <v>0</v>
      </c>
      <c r="J128" s="45" t="n">
        <v>0</v>
      </c>
      <c r="K128" s="66">
        <f>IFERROR(INDEX(MATRIZ_174!$U:$U,MATCH(A128,MATRIZ_174!$A:$A,0)),"")</f>
        <v/>
      </c>
      <c r="L128" s="46">
        <f>IFERROR(MATRIZ_174!O128,0)</f>
        <v/>
      </c>
      <c r="M128" s="45" t="n">
        <v>0</v>
      </c>
      <c r="N128" s="23">
        <f>IF(AND(F128&gt;0,C128&lt;34),"🔴 UE + Critico",IF(AND(F128&gt;0,C128&lt;67),"🟡 UE + Vulnerable",IF(AND(F128&gt;0,C128&gt;=67),"🟢 UE + Preparado",IF(C128=0,"— Sin dato","Sin exposición UE"))))</f>
        <v/>
      </c>
      <c r="O128" s="15" t="inlineStr">
        <is>
          <t>AMAZONAS</t>
        </is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42">
        <f>ROUND(PONDERADORES!$D$12*G129+PONDERADORES!$D$13*H129+PONDERADORES!$D$14*I129+PONDERADORES!$D$15*J129+PONDERADORES!$D$16*K129+PONDERADORES!$D$17*L129+PONDERADORES!$D$18*M129,1)</f>
        <v/>
      </c>
      <c r="D129" s="23">
        <f>IF(C129&lt;34,"🔴 Critico",IF(C129&lt;67,"🟡 Vulnerable","🟢 Preparado"))</f>
        <v/>
      </c>
      <c r="E129" s="23">
        <f>IFERROR(RANK(C129,C:C,-1),"")</f>
        <v/>
      </c>
      <c r="F129" s="43">
        <f>IFERROR(MATRIZ_174!L129,0)</f>
        <v/>
      </c>
      <c r="G129" s="44">
        <f>IFERROR(MATRIZ_174!M129,0)</f>
        <v/>
      </c>
      <c r="H129" s="45" t="n">
        <v>0</v>
      </c>
      <c r="I129" s="45" t="n">
        <v>0</v>
      </c>
      <c r="J129" s="45" t="n">
        <v>0</v>
      </c>
      <c r="K129" s="66">
        <f>IFERROR(INDEX(MATRIZ_174!$U:$U,MATCH(A129,MATRIZ_174!$A:$A,0)),"")</f>
        <v/>
      </c>
      <c r="L129" s="46">
        <f>IFERROR(MATRIZ_174!O129,0)</f>
        <v/>
      </c>
      <c r="M129" s="45" t="n">
        <v>0</v>
      </c>
      <c r="N129" s="23">
        <f>IF(AND(F129&gt;0,C129&lt;34),"🔴 UE + Critico",IF(AND(F129&gt;0,C129&lt;67),"🟡 UE + Vulnerable",IF(AND(F129&gt;0,C129&gt;=67),"🟢 UE + Preparado",IF(C129=0,"— Sin dato","Sin exposición UE"))))</f>
        <v/>
      </c>
      <c r="O129" s="15" t="inlineStr">
        <is>
          <t>UCAYALI</t>
        </is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42">
        <f>ROUND(PONDERADORES!$D$12*G130+PONDERADORES!$D$13*H130+PONDERADORES!$D$14*I130+PONDERADORES!$D$15*J130+PONDERADORES!$D$16*K130+PONDERADORES!$D$17*L130+PONDERADORES!$D$18*M130,1)</f>
        <v/>
      </c>
      <c r="D130" s="23">
        <f>IF(C130&lt;34,"🔴 Critico",IF(C130&lt;67,"🟡 Vulnerable","🟢 Preparado"))</f>
        <v/>
      </c>
      <c r="E130" s="23">
        <f>IFERROR(RANK(C130,C:C,-1),"")</f>
        <v/>
      </c>
      <c r="F130" s="43">
        <f>IFERROR(MATRIZ_174!L130,0)</f>
        <v/>
      </c>
      <c r="G130" s="44">
        <f>IFERROR(MATRIZ_174!M130,0)</f>
        <v/>
      </c>
      <c r="H130" s="45" t="n">
        <v>0</v>
      </c>
      <c r="I130" s="45" t="n">
        <v>0</v>
      </c>
      <c r="J130" s="45" t="n">
        <v>0</v>
      </c>
      <c r="K130" s="66">
        <f>IFERROR(INDEX(MATRIZ_174!$U:$U,MATCH(A130,MATRIZ_174!$A:$A,0)),"")</f>
        <v/>
      </c>
      <c r="L130" s="46">
        <f>IFERROR(MATRIZ_174!O130,0)</f>
        <v/>
      </c>
      <c r="M130" s="45" t="n">
        <v>0</v>
      </c>
      <c r="N130" s="23">
        <f>IF(AND(F130&gt;0,C130&lt;34),"🔴 UE + Critico",IF(AND(F130&gt;0,C130&lt;67),"🟡 UE + Vulnerable",IF(AND(F130&gt;0,C130&gt;=67),"🟢 UE + Preparado",IF(C130=0,"— Sin dato","Sin exposición UE"))))</f>
        <v/>
      </c>
      <c r="O130" s="15" t="inlineStr">
        <is>
          <t>PASCO</t>
        </is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42">
        <f>ROUND(PONDERADORES!$D$12*G131+PONDERADORES!$D$13*H131+PONDERADORES!$D$14*I131+PONDERADORES!$D$15*J131+PONDERADORES!$D$16*K131+PONDERADORES!$D$17*L131+PONDERADORES!$D$18*M131,1)</f>
        <v/>
      </c>
      <c r="D131" s="23">
        <f>IF(C131&lt;34,"🔴 Critico",IF(C131&lt;67,"🟡 Vulnerable","🟢 Preparado"))</f>
        <v/>
      </c>
      <c r="E131" s="23">
        <f>IFERROR(RANK(C131,C:C,-1),"")</f>
        <v/>
      </c>
      <c r="F131" s="43" t="n">
        <v>0</v>
      </c>
      <c r="G131" s="44">
        <f>IFERROR(MATRIZ_174!M131,0)</f>
        <v/>
      </c>
      <c r="H131" s="45" t="n">
        <v>0</v>
      </c>
      <c r="I131" s="45" t="n">
        <v>0</v>
      </c>
      <c r="J131" s="45" t="n">
        <v>0</v>
      </c>
      <c r="K131" s="66">
        <f>IFERROR(INDEX(MATRIZ_174!$U:$U,MATCH(A131,MATRIZ_174!$A:$A,0)),"")</f>
        <v/>
      </c>
      <c r="L131" s="46">
        <f>IFERROR(MATRIZ_174!O131,0)</f>
        <v/>
      </c>
      <c r="M131" s="45" t="n">
        <v>0</v>
      </c>
      <c r="N131" s="23">
        <f>IF(AND(F131&gt;0,C131&lt;34),"🔴 UE + Critico",IF(AND(F131&gt;0,C131&lt;67),"🟡 UE + Vulnerable",IF(AND(F131&gt;0,C131&gt;=67),"🟢 UE + Preparado",IF(C131=0,"— Sin dato","Sin exposición UE"))))</f>
        <v/>
      </c>
      <c r="O131" s="15" t="inlineStr">
        <is>
          <t>JUNIN</t>
        </is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42">
        <f>ROUND(PONDERADORES!$D$12*G132+PONDERADORES!$D$13*H132+PONDERADORES!$D$14*I132+PONDERADORES!$D$15*J132+PONDERADORES!$D$16*K132+PONDERADORES!$D$17*L132+PONDERADORES!$D$18*M132,1)</f>
        <v/>
      </c>
      <c r="D132" s="23">
        <f>IF(C132&lt;34,"🔴 Critico",IF(C132&lt;67,"🟡 Vulnerable","🟢 Preparado"))</f>
        <v/>
      </c>
      <c r="E132" s="23">
        <f>IFERROR(RANK(C132,C:C,-1),"")</f>
        <v/>
      </c>
      <c r="F132" s="43">
        <f>IFERROR(MATRIZ_174!L132,0)</f>
        <v/>
      </c>
      <c r="G132" s="44">
        <f>IFERROR(MATRIZ_174!M132,0)</f>
        <v/>
      </c>
      <c r="H132" s="45" t="n">
        <v>0</v>
      </c>
      <c r="I132" s="45" t="n">
        <v>0</v>
      </c>
      <c r="J132" s="45" t="n">
        <v>0</v>
      </c>
      <c r="K132" s="66">
        <f>IFERROR(INDEX(MATRIZ_174!$U:$U,MATCH(A132,MATRIZ_174!$A:$A,0)),"")</f>
        <v/>
      </c>
      <c r="L132" s="46">
        <f>IFERROR(MATRIZ_174!O132,0)</f>
        <v/>
      </c>
      <c r="M132" s="45" t="n">
        <v>0</v>
      </c>
      <c r="N132" s="23">
        <f>IF(AND(F132&gt;0,C132&lt;34),"🔴 UE + Critico",IF(AND(F132&gt;0,C132&lt;67),"🟡 UE + Vulnerable",IF(AND(F132&gt;0,C132&gt;=67),"🟢 UE + Preparado",IF(C132=0,"— Sin dato","Sin exposición UE"))))</f>
        <v/>
      </c>
      <c r="O132" s="15" t="inlineStr">
        <is>
          <t>UCAYALI</t>
        </is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42">
        <f>ROUND(PONDERADORES!$D$12*G133+PONDERADORES!$D$13*H133+PONDERADORES!$D$14*I133+PONDERADORES!$D$15*J133+PONDERADORES!$D$16*K133+PONDERADORES!$D$17*L133+PONDERADORES!$D$18*M133,1)</f>
        <v/>
      </c>
      <c r="D133" s="23">
        <f>IF(C133&lt;34,"🔴 Critico",IF(C133&lt;67,"🟡 Vulnerable","🟢 Preparado"))</f>
        <v/>
      </c>
      <c r="E133" s="23">
        <f>IFERROR(RANK(C133,C:C,-1),"")</f>
        <v/>
      </c>
      <c r="F133" s="43">
        <f>IFERROR(MATRIZ_174!L133,0)</f>
        <v/>
      </c>
      <c r="G133" s="44">
        <f>IFERROR(MATRIZ_174!M133,0)</f>
        <v/>
      </c>
      <c r="H133" s="45" t="n">
        <v>0</v>
      </c>
      <c r="I133" s="45" t="n">
        <v>0</v>
      </c>
      <c r="J133" s="45" t="n">
        <v>0</v>
      </c>
      <c r="K133" s="66">
        <f>IFERROR(INDEX(MATRIZ_174!$U:$U,MATCH(A133,MATRIZ_174!$A:$A,0)),"")</f>
        <v/>
      </c>
      <c r="L133" s="46">
        <f>IFERROR(MATRIZ_174!O133,0)</f>
        <v/>
      </c>
      <c r="M133" s="45" t="n">
        <v>0</v>
      </c>
      <c r="N133" s="23">
        <f>IF(AND(F133&gt;0,C133&lt;34),"🔴 UE + Critico",IF(AND(F133&gt;0,C133&lt;67),"🟡 UE + Vulnerable",IF(AND(F133&gt;0,C133&gt;=67),"🟢 UE + Preparado",IF(C133=0,"— Sin dato","Sin exposición UE"))))</f>
        <v/>
      </c>
      <c r="O133" s="15" t="inlineStr">
        <is>
          <t>PIURA</t>
        </is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42">
        <f>ROUND(PONDERADORES!$D$12*G134+PONDERADORES!$D$13*H134+PONDERADORES!$D$14*I134+PONDERADORES!$D$15*J134+PONDERADORES!$D$16*K134+PONDERADORES!$D$17*L134+PONDERADORES!$D$18*M134,1)</f>
        <v/>
      </c>
      <c r="D134" s="23">
        <f>IF(C134&lt;34,"🔴 Critico",IF(C134&lt;67,"🟡 Vulnerable","🟢 Preparado"))</f>
        <v/>
      </c>
      <c r="E134" s="23">
        <f>IFERROR(RANK(C134,C:C,-1),"")</f>
        <v/>
      </c>
      <c r="F134" s="43" t="n">
        <v>0</v>
      </c>
      <c r="G134" s="44">
        <f>IFERROR(MATRIZ_174!M134,0)</f>
        <v/>
      </c>
      <c r="H134" s="45" t="n">
        <v>0</v>
      </c>
      <c r="I134" s="45" t="n">
        <v>0</v>
      </c>
      <c r="J134" s="45" t="n">
        <v>0</v>
      </c>
      <c r="K134" s="66">
        <f>IFERROR(INDEX(MATRIZ_174!$U:$U,MATCH(A134,MATRIZ_174!$A:$A,0)),"")</f>
        <v/>
      </c>
      <c r="L134" s="46">
        <f>IFERROR(MATRIZ_174!O134,0)</f>
        <v/>
      </c>
      <c r="M134" s="45" t="n">
        <v>0</v>
      </c>
      <c r="N134" s="23">
        <f>IF(AND(F134&gt;0,C134&lt;34),"🔴 UE + Critico",IF(AND(F134&gt;0,C134&lt;67),"🟡 UE + Vulnerable",IF(AND(F134&gt;0,C134&gt;=67),"🟢 UE + Preparado",IF(C134=0,"— Sin dato","Sin exposición UE"))))</f>
        <v/>
      </c>
      <c r="O134" s="15" t="inlineStr">
        <is>
          <t>JUNIN</t>
        </is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42">
        <f>ROUND(PONDERADORES!$D$12*G135+PONDERADORES!$D$13*H135+PONDERADORES!$D$14*I135+PONDERADORES!$D$15*J135+PONDERADORES!$D$16*K135+PONDERADORES!$D$17*L135+PONDERADORES!$D$18*M135,1)</f>
        <v/>
      </c>
      <c r="D135" s="23">
        <f>IF(C135&lt;34,"🔴 Critico",IF(C135&lt;67,"🟡 Vulnerable","🟢 Preparado"))</f>
        <v/>
      </c>
      <c r="E135" s="23">
        <f>IFERROR(RANK(C135,C:C,-1),"")</f>
        <v/>
      </c>
      <c r="F135" s="43" t="n">
        <v>4575551.37</v>
      </c>
      <c r="G135" s="44">
        <f>IFERROR(MATRIZ_174!M135,0)</f>
        <v/>
      </c>
      <c r="H135" s="45" t="n">
        <v>0</v>
      </c>
      <c r="I135" s="45" t="n">
        <v>0</v>
      </c>
      <c r="J135" s="45" t="n">
        <v>0</v>
      </c>
      <c r="K135" s="66">
        <f>IFERROR(INDEX(MATRIZ_174!$U:$U,MATCH(A135,MATRIZ_174!$A:$A,0)),"")</f>
        <v/>
      </c>
      <c r="L135" s="46">
        <f>IFERROR(MATRIZ_174!O135,0)</f>
        <v/>
      </c>
      <c r="M135" s="45" t="n">
        <v>0</v>
      </c>
      <c r="N135" s="23">
        <f>IF(AND(F135&gt;0,C135&lt;34),"🔴 UE + Critico",IF(AND(F135&gt;0,C135&lt;67),"🟡 UE + Vulnerable",IF(AND(F135&gt;0,C135&gt;=67),"🟢 UE + Preparado",IF(C135=0,"— Sin dato","Sin exposición UE"))))</f>
        <v/>
      </c>
      <c r="O135" s="15" t="inlineStr">
        <is>
          <t>SAN MARTIN</t>
        </is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42">
        <f>ROUND(PONDERADORES!$D$12*G136+PONDERADORES!$D$13*H136+PONDERADORES!$D$14*I136+PONDERADORES!$D$15*J136+PONDERADORES!$D$16*K136+PONDERADORES!$D$17*L136+PONDERADORES!$D$18*M136,1)</f>
        <v/>
      </c>
      <c r="D136" s="23">
        <f>IF(C136&lt;34,"🔴 Critico",IF(C136&lt;67,"🟡 Vulnerable","🟢 Preparado"))</f>
        <v/>
      </c>
      <c r="E136" s="23">
        <f>IFERROR(RANK(C136,C:C,-1),"")</f>
        <v/>
      </c>
      <c r="F136" s="43">
        <f>IFERROR(MATRIZ_174!L136,0)</f>
        <v/>
      </c>
      <c r="G136" s="44">
        <f>IFERROR(MATRIZ_174!M136,0)</f>
        <v/>
      </c>
      <c r="H136" s="45" t="n">
        <v>0</v>
      </c>
      <c r="I136" s="45" t="n">
        <v>0</v>
      </c>
      <c r="J136" s="45" t="n">
        <v>0</v>
      </c>
      <c r="K136" s="66">
        <f>IFERROR(INDEX(MATRIZ_174!$U:$U,MATCH(A136,MATRIZ_174!$A:$A,0)),"")</f>
        <v/>
      </c>
      <c r="L136" s="46">
        <f>IFERROR(MATRIZ_174!O136,0)</f>
        <v/>
      </c>
      <c r="M136" s="45" t="n">
        <v>0</v>
      </c>
      <c r="N136" s="23">
        <f>IF(AND(F136&gt;0,C136&lt;34),"🔴 UE + Critico",IF(AND(F136&gt;0,C136&lt;67),"🟡 UE + Vulnerable",IF(AND(F136&gt;0,C136&gt;=67),"🟢 UE + Preparado",IF(C136=0,"— Sin dato","Sin exposición UE"))))</f>
        <v/>
      </c>
      <c r="O136" s="15" t="inlineStr">
        <is>
          <t>JUNIN</t>
        </is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42">
        <f>ROUND(PONDERADORES!$D$12*G137+PONDERADORES!$D$13*H137+PONDERADORES!$D$14*I137+PONDERADORES!$D$15*J137+PONDERADORES!$D$16*K137+PONDERADORES!$D$17*L137+PONDERADORES!$D$18*M137,1)</f>
        <v/>
      </c>
      <c r="D137" s="23">
        <f>IF(C137&lt;34,"🔴 Critico",IF(C137&lt;67,"🟡 Vulnerable","🟢 Preparado"))</f>
        <v/>
      </c>
      <c r="E137" s="23">
        <f>IFERROR(RANK(C137,C:C,-1),"")</f>
        <v/>
      </c>
      <c r="F137" s="43">
        <f>IFERROR(MATRIZ_174!L137,0)</f>
        <v/>
      </c>
      <c r="G137" s="44">
        <f>IFERROR(MATRIZ_174!M137,0)</f>
        <v/>
      </c>
      <c r="H137" s="45" t="n">
        <v>0</v>
      </c>
      <c r="I137" s="45" t="n">
        <v>0</v>
      </c>
      <c r="J137" s="45" t="n">
        <v>0</v>
      </c>
      <c r="K137" s="66">
        <f>IFERROR(INDEX(MATRIZ_174!$U:$U,MATCH(A137,MATRIZ_174!$A:$A,0)),"")</f>
        <v/>
      </c>
      <c r="L137" s="46">
        <f>IFERROR(MATRIZ_174!O137,0)</f>
        <v/>
      </c>
      <c r="M137" s="45" t="n">
        <v>0</v>
      </c>
      <c r="N137" s="23">
        <f>IF(AND(F137&gt;0,C137&lt;34),"🔴 UE + Critico",IF(AND(F137&gt;0,C137&lt;67),"🟡 UE + Vulnerable",IF(AND(F137&gt;0,C137&gt;=67),"🟢 UE + Preparado",IF(C137=0,"— Sin dato","Sin exposición UE"))))</f>
        <v/>
      </c>
      <c r="O137" s="15" t="inlineStr">
        <is>
          <t>CUSCO</t>
        </is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42">
        <f>ROUND(PONDERADORES!$D$12*G138+PONDERADORES!$D$13*H138+PONDERADORES!$D$14*I138+PONDERADORES!$D$15*J138+PONDERADORES!$D$16*K138+PONDERADORES!$D$17*L138+PONDERADORES!$D$18*M138,1)</f>
        <v/>
      </c>
      <c r="D138" s="23">
        <f>IF(C138&lt;34,"🔴 Critico",IF(C138&lt;67,"🟡 Vulnerable","🟢 Preparado"))</f>
        <v/>
      </c>
      <c r="E138" s="23">
        <f>IFERROR(RANK(C138,C:C,-1),"")</f>
        <v/>
      </c>
      <c r="F138" s="43" t="n">
        <v>80500</v>
      </c>
      <c r="G138" s="44">
        <f>IFERROR(MATRIZ_174!M138,0)</f>
        <v/>
      </c>
      <c r="H138" s="45" t="n">
        <v>0</v>
      </c>
      <c r="I138" s="45" t="n">
        <v>0</v>
      </c>
      <c r="J138" s="45" t="n">
        <v>0</v>
      </c>
      <c r="K138" s="66">
        <f>IFERROR(INDEX(MATRIZ_174!$U:$U,MATCH(A138,MATRIZ_174!$A:$A,0)),"")</f>
        <v/>
      </c>
      <c r="L138" s="46">
        <f>IFERROR(MATRIZ_174!O138,0)</f>
        <v/>
      </c>
      <c r="M138" s="45" t="n">
        <v>0</v>
      </c>
      <c r="N138" s="23">
        <f>IF(AND(F138&gt;0,C138&lt;34),"🔴 UE + Critico",IF(AND(F138&gt;0,C138&lt;67),"🟡 UE + Vulnerable",IF(AND(F138&gt;0,C138&gt;=67),"🟢 UE + Preparado",IF(C138=0,"— Sin dato","Sin exposición UE"))))</f>
        <v/>
      </c>
      <c r="O138" s="15" t="inlineStr">
        <is>
          <t>AMAZONAS</t>
        </is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42">
        <f>ROUND(PONDERADORES!$D$12*G139+PONDERADORES!$D$13*H139+PONDERADORES!$D$14*I139+PONDERADORES!$D$15*J139+PONDERADORES!$D$16*K139+PONDERADORES!$D$17*L139+PONDERADORES!$D$18*M139,1)</f>
        <v/>
      </c>
      <c r="D139" s="23">
        <f>IF(C139&lt;34,"🔴 Critico",IF(C139&lt;67,"🟡 Vulnerable","🟢 Preparado"))</f>
        <v/>
      </c>
      <c r="E139" s="23">
        <f>IFERROR(RANK(C139,C:C,-1),"")</f>
        <v/>
      </c>
      <c r="F139" s="43">
        <f>IFERROR(MATRIZ_174!L139,0)</f>
        <v/>
      </c>
      <c r="G139" s="44">
        <f>IFERROR(MATRIZ_174!M139,0)</f>
        <v/>
      </c>
      <c r="H139" s="45" t="n">
        <v>0</v>
      </c>
      <c r="I139" s="45" t="n">
        <v>0</v>
      </c>
      <c r="J139" s="45" t="n">
        <v>0</v>
      </c>
      <c r="K139" s="66">
        <f>IFERROR(INDEX(MATRIZ_174!$U:$U,MATCH(A139,MATRIZ_174!$A:$A,0)),"")</f>
        <v/>
      </c>
      <c r="L139" s="46">
        <f>IFERROR(MATRIZ_174!O139,0)</f>
        <v/>
      </c>
      <c r="M139" s="45" t="n">
        <v>0</v>
      </c>
      <c r="N139" s="23">
        <f>IF(AND(F139&gt;0,C139&lt;34),"🔴 UE + Critico",IF(AND(F139&gt;0,C139&lt;67),"🟡 UE + Vulnerable",IF(AND(F139&gt;0,C139&gt;=67),"🟢 UE + Preparado",IF(C139=0,"— Sin dato","Sin exposición UE"))))</f>
        <v/>
      </c>
      <c r="O139" s="15" t="inlineStr">
        <is>
          <t>LORETO</t>
        </is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42">
        <f>ROUND(PONDERADORES!$D$12*G140+PONDERADORES!$D$13*H140+PONDERADORES!$D$14*I140+PONDERADORES!$D$15*J140+PONDERADORES!$D$16*K140+PONDERADORES!$D$17*L140+PONDERADORES!$D$18*M140,1)</f>
        <v/>
      </c>
      <c r="D140" s="23">
        <f>IF(C140&lt;34,"🔴 Critico",IF(C140&lt;67,"🟡 Vulnerable","🟢 Preparado"))</f>
        <v/>
      </c>
      <c r="E140" s="23">
        <f>IFERROR(RANK(C140,C:C,-1),"")</f>
        <v/>
      </c>
      <c r="F140" s="43">
        <f>IFERROR(MATRIZ_174!L140,0)</f>
        <v/>
      </c>
      <c r="G140" s="44">
        <f>IFERROR(MATRIZ_174!M140,0)</f>
        <v/>
      </c>
      <c r="H140" s="45" t="n">
        <v>0</v>
      </c>
      <c r="I140" s="45" t="n">
        <v>0</v>
      </c>
      <c r="J140" s="45" t="n">
        <v>0</v>
      </c>
      <c r="K140" s="66">
        <f>IFERROR(INDEX(MATRIZ_174!$U:$U,MATCH(A140,MATRIZ_174!$A:$A,0)),"")</f>
        <v/>
      </c>
      <c r="L140" s="46">
        <f>IFERROR(MATRIZ_174!O140,0)</f>
        <v/>
      </c>
      <c r="M140" s="45" t="n">
        <v>0</v>
      </c>
      <c r="N140" s="23">
        <f>IF(AND(F140&gt;0,C140&lt;34),"🔴 UE + Critico",IF(AND(F140&gt;0,C140&lt;67),"🟡 UE + Vulnerable",IF(AND(F140&gt;0,C140&gt;=67),"🟢 UE + Preparado",IF(C140=0,"— Sin dato","Sin exposición UE"))))</f>
        <v/>
      </c>
      <c r="O140" s="15" t="inlineStr">
        <is>
          <t>JUNIN</t>
        </is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42">
        <f>ROUND(PONDERADORES!$D$12*G141+PONDERADORES!$D$13*H141+PONDERADORES!$D$14*I141+PONDERADORES!$D$15*J141+PONDERADORES!$D$16*K141+PONDERADORES!$D$17*L141+PONDERADORES!$D$18*M141,1)</f>
        <v/>
      </c>
      <c r="D141" s="23">
        <f>IF(C141&lt;34,"🔴 Critico",IF(C141&lt;67,"🟡 Vulnerable","🟢 Preparado"))</f>
        <v/>
      </c>
      <c r="E141" s="23">
        <f>IFERROR(RANK(C141,C:C,-1),"")</f>
        <v/>
      </c>
      <c r="F141" s="43">
        <f>IFERROR(MATRIZ_174!L141,0)</f>
        <v/>
      </c>
      <c r="G141" s="44">
        <f>IFERROR(MATRIZ_174!M141,0)</f>
        <v/>
      </c>
      <c r="H141" s="45" t="n">
        <v>0</v>
      </c>
      <c r="I141" s="45" t="n">
        <v>0</v>
      </c>
      <c r="J141" s="45" t="n">
        <v>0</v>
      </c>
      <c r="K141" s="66">
        <f>IFERROR(INDEX(MATRIZ_174!$U:$U,MATCH(A141,MATRIZ_174!$A:$A,0)),"")</f>
        <v/>
      </c>
      <c r="L141" s="46">
        <f>IFERROR(MATRIZ_174!O141,0)</f>
        <v/>
      </c>
      <c r="M141" s="45" t="n">
        <v>0</v>
      </c>
      <c r="N141" s="23">
        <f>IF(AND(F141&gt;0,C141&lt;34),"🔴 UE + Critico",IF(AND(F141&gt;0,C141&lt;67),"🟡 UE + Vulnerable",IF(AND(F141&gt;0,C141&gt;=67),"🟢 UE + Preparado",IF(C141=0,"— Sin dato","Sin exposición UE"))))</f>
        <v/>
      </c>
      <c r="O141" s="15" t="inlineStr">
        <is>
          <t>CUSCO</t>
        </is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42">
        <f>ROUND(PONDERADORES!$D$12*G142+PONDERADORES!$D$13*H142+PONDERADORES!$D$14*I142+PONDERADORES!$D$15*J142+PONDERADORES!$D$16*K142+PONDERADORES!$D$17*L142+PONDERADORES!$D$18*M142,1)</f>
        <v/>
      </c>
      <c r="D142" s="23">
        <f>IF(C142&lt;34,"🔴 Critico",IF(C142&lt;67,"🟡 Vulnerable","🟢 Preparado"))</f>
        <v/>
      </c>
      <c r="E142" s="23">
        <f>IFERROR(RANK(C142,C:C,-1),"")</f>
        <v/>
      </c>
      <c r="F142" s="43">
        <f>IFERROR(MATRIZ_174!L142,0)</f>
        <v/>
      </c>
      <c r="G142" s="44">
        <f>IFERROR(MATRIZ_174!M142,0)</f>
        <v/>
      </c>
      <c r="H142" s="45" t="n">
        <v>0</v>
      </c>
      <c r="I142" s="45" t="n">
        <v>0</v>
      </c>
      <c r="J142" s="45" t="n">
        <v>0</v>
      </c>
      <c r="K142" s="66">
        <f>IFERROR(INDEX(MATRIZ_174!$U:$U,MATCH(A142,MATRIZ_174!$A:$A,0)),"")</f>
        <v/>
      </c>
      <c r="L142" s="46">
        <f>IFERROR(MATRIZ_174!O142,0)</f>
        <v/>
      </c>
      <c r="M142" s="45" t="n">
        <v>0</v>
      </c>
      <c r="N142" s="23">
        <f>IF(AND(F142&gt;0,C142&lt;34),"🔴 UE + Critico",IF(AND(F142&gt;0,C142&lt;67),"🟡 UE + Vulnerable",IF(AND(F142&gt;0,C142&gt;=67),"🟢 UE + Preparado",IF(C142=0,"— Sin dato","Sin exposición UE"))))</f>
        <v/>
      </c>
      <c r="O142" s="15" t="inlineStr">
        <is>
          <t>CUSCO</t>
        </is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42">
        <f>ROUND(PONDERADORES!$D$12*G143+PONDERADORES!$D$13*H143+PONDERADORES!$D$14*I143+PONDERADORES!$D$15*J143+PONDERADORES!$D$16*K143+PONDERADORES!$D$17*L143+PONDERADORES!$D$18*M143,1)</f>
        <v/>
      </c>
      <c r="D143" s="23">
        <f>IF(C143&lt;34,"🔴 Critico",IF(C143&lt;67,"🟡 Vulnerable","🟢 Preparado"))</f>
        <v/>
      </c>
      <c r="E143" s="23">
        <f>IFERROR(RANK(C143,C:C,-1),"")</f>
        <v/>
      </c>
      <c r="F143" s="43" t="n">
        <v>852880.4399999999</v>
      </c>
      <c r="G143" s="44">
        <f>IFERROR(MATRIZ_174!M143,0)</f>
        <v/>
      </c>
      <c r="H143" s="45" t="n">
        <v>0</v>
      </c>
      <c r="I143" s="45" t="n">
        <v>0</v>
      </c>
      <c r="J143" s="45" t="n">
        <v>0</v>
      </c>
      <c r="K143" s="66">
        <f>IFERROR(INDEX(MATRIZ_174!$U:$U,MATCH(A143,MATRIZ_174!$A:$A,0)),"")</f>
        <v/>
      </c>
      <c r="L143" s="46">
        <f>IFERROR(MATRIZ_174!O143,0)</f>
        <v/>
      </c>
      <c r="M143" s="45" t="n">
        <v>0</v>
      </c>
      <c r="N143" s="23">
        <f>IF(AND(F143&gt;0,C143&lt;34),"🔴 UE + Critico",IF(AND(F143&gt;0,C143&lt;67),"🟡 UE + Vulnerable",IF(AND(F143&gt;0,C143&gt;=67),"🟢 UE + Preparado",IF(C143=0,"— Sin dato","Sin exposición UE"))))</f>
        <v/>
      </c>
      <c r="O143" s="15" t="inlineStr">
        <is>
          <t>SAN MARTIN</t>
        </is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42">
        <f>ROUND(PONDERADORES!$D$12*G144+PONDERADORES!$D$13*H144+PONDERADORES!$D$14*I144+PONDERADORES!$D$15*J144+PONDERADORES!$D$16*K144+PONDERADORES!$D$17*L144+PONDERADORES!$D$18*M144,1)</f>
        <v/>
      </c>
      <c r="D144" s="23">
        <f>IF(C144&lt;34,"🔴 Critico",IF(C144&lt;67,"🟡 Vulnerable","🟢 Preparado"))</f>
        <v/>
      </c>
      <c r="E144" s="23">
        <f>IFERROR(RANK(C144,C:C,-1),"")</f>
        <v/>
      </c>
      <c r="F144" s="43">
        <f>IFERROR(MATRIZ_174!L144,0)</f>
        <v/>
      </c>
      <c r="G144" s="44">
        <f>IFERROR(MATRIZ_174!M144,0)</f>
        <v/>
      </c>
      <c r="H144" s="45" t="n">
        <v>0</v>
      </c>
      <c r="I144" s="45" t="n">
        <v>0</v>
      </c>
      <c r="J144" s="45" t="n">
        <v>0</v>
      </c>
      <c r="K144" s="66">
        <f>IFERROR(INDEX(MATRIZ_174!$U:$U,MATCH(A144,MATRIZ_174!$A:$A,0)),"")</f>
        <v/>
      </c>
      <c r="L144" s="46">
        <f>IFERROR(MATRIZ_174!O144,0)</f>
        <v/>
      </c>
      <c r="M144" s="45" t="n">
        <v>0</v>
      </c>
      <c r="N144" s="23">
        <f>IF(AND(F144&gt;0,C144&lt;34),"🔴 UE + Critico",IF(AND(F144&gt;0,C144&lt;67),"🟡 UE + Vulnerable",IF(AND(F144&gt;0,C144&gt;=67),"🟢 UE + Preparado",IF(C144=0,"— Sin dato","Sin exposición UE"))))</f>
        <v/>
      </c>
      <c r="O144" s="15" t="inlineStr">
        <is>
          <t>CUSCO</t>
        </is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42">
        <f>ROUND(PONDERADORES!$D$12*G145+PONDERADORES!$D$13*H145+PONDERADORES!$D$14*I145+PONDERADORES!$D$15*J145+PONDERADORES!$D$16*K145+PONDERADORES!$D$17*L145+PONDERADORES!$D$18*M145,1)</f>
        <v/>
      </c>
      <c r="D145" s="23">
        <f>IF(C145&lt;34,"🔴 Critico",IF(C145&lt;67,"🟡 Vulnerable","🟢 Preparado"))</f>
        <v/>
      </c>
      <c r="E145" s="23">
        <f>IFERROR(RANK(C145,C:C,-1),"")</f>
        <v/>
      </c>
      <c r="F145" s="43">
        <f>IFERROR(MATRIZ_174!L145,0)</f>
        <v/>
      </c>
      <c r="G145" s="44">
        <f>IFERROR(MATRIZ_174!M145,0)</f>
        <v/>
      </c>
      <c r="H145" s="45" t="n">
        <v>0</v>
      </c>
      <c r="I145" s="45" t="n">
        <v>0</v>
      </c>
      <c r="J145" s="45" t="n">
        <v>0</v>
      </c>
      <c r="K145" s="66">
        <f>IFERROR(INDEX(MATRIZ_174!$U:$U,MATCH(A145,MATRIZ_174!$A:$A,0)),"")</f>
        <v/>
      </c>
      <c r="L145" s="46">
        <f>IFERROR(MATRIZ_174!O145,0)</f>
        <v/>
      </c>
      <c r="M145" s="45" t="n">
        <v>0</v>
      </c>
      <c r="N145" s="23">
        <f>IF(AND(F145&gt;0,C145&lt;34),"🔴 UE + Critico",IF(AND(F145&gt;0,C145&lt;67),"🟡 UE + Vulnerable",IF(AND(F145&gt;0,C145&gt;=67),"🟢 UE + Preparado",IF(C145=0,"— Sin dato","Sin exposición UE"))))</f>
        <v/>
      </c>
      <c r="O145" s="15" t="inlineStr">
        <is>
          <t>CUSCO</t>
        </is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42">
        <f>ROUND(PONDERADORES!$D$12*G146+PONDERADORES!$D$13*H146+PONDERADORES!$D$14*I146+PONDERADORES!$D$15*J146+PONDERADORES!$D$16*K146+PONDERADORES!$D$17*L146+PONDERADORES!$D$18*M146,1)</f>
        <v/>
      </c>
      <c r="D146" s="23">
        <f>IF(C146&lt;34,"🔴 Critico",IF(C146&lt;67,"🟡 Vulnerable","🟢 Preparado"))</f>
        <v/>
      </c>
      <c r="E146" s="23">
        <f>IFERROR(RANK(C146,C:C,-1),"")</f>
        <v/>
      </c>
      <c r="F146" s="43" t="n">
        <v>332555.16</v>
      </c>
      <c r="G146" s="44">
        <f>IFERROR(MATRIZ_174!M146,0)</f>
        <v/>
      </c>
      <c r="H146" s="45" t="n">
        <v>0</v>
      </c>
      <c r="I146" s="45" t="n">
        <v>0</v>
      </c>
      <c r="J146" s="45" t="n">
        <v>0</v>
      </c>
      <c r="K146" s="66">
        <f>IFERROR(INDEX(MATRIZ_174!$U:$U,MATCH(A146,MATRIZ_174!$A:$A,0)),"")</f>
        <v/>
      </c>
      <c r="L146" s="46">
        <f>IFERROR(MATRIZ_174!O146,0)</f>
        <v/>
      </c>
      <c r="M146" s="45" t="n">
        <v>0</v>
      </c>
      <c r="N146" s="23">
        <f>IF(AND(F146&gt;0,C146&lt;34),"🔴 UE + Critico",IF(AND(F146&gt;0,C146&lt;67),"🟡 UE + Vulnerable",IF(AND(F146&gt;0,C146&gt;=67),"🟢 UE + Preparado",IF(C146=0,"— Sin dato","Sin exposición UE"))))</f>
        <v/>
      </c>
      <c r="O146" s="15" t="inlineStr">
        <is>
          <t>JUNIN</t>
        </is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42">
        <f>ROUND(PONDERADORES!$D$12*G147+PONDERADORES!$D$13*H147+PONDERADORES!$D$14*I147+PONDERADORES!$D$15*J147+PONDERADORES!$D$16*K147+PONDERADORES!$D$17*L147+PONDERADORES!$D$18*M147,1)</f>
        <v/>
      </c>
      <c r="D147" s="23">
        <f>IF(C147&lt;34,"🔴 Critico",IF(C147&lt;67,"🟡 Vulnerable","🟢 Preparado"))</f>
        <v/>
      </c>
      <c r="E147" s="23">
        <f>IFERROR(RANK(C147,C:C,-1),"")</f>
        <v/>
      </c>
      <c r="F147" s="43" t="n">
        <v>271980.69</v>
      </c>
      <c r="G147" s="44">
        <f>IFERROR(MATRIZ_174!M147,0)</f>
        <v/>
      </c>
      <c r="H147" s="45" t="n">
        <v>0</v>
      </c>
      <c r="I147" s="45" t="n">
        <v>0</v>
      </c>
      <c r="J147" s="45" t="n">
        <v>0</v>
      </c>
      <c r="K147" s="66">
        <f>IFERROR(INDEX(MATRIZ_174!$U:$U,MATCH(A147,MATRIZ_174!$A:$A,0)),"")</f>
        <v/>
      </c>
      <c r="L147" s="46">
        <f>IFERROR(MATRIZ_174!O147,0)</f>
        <v/>
      </c>
      <c r="M147" s="45" t="n">
        <v>0</v>
      </c>
      <c r="N147" s="23">
        <f>IF(AND(F147&gt;0,C147&lt;34),"🔴 UE + Critico",IF(AND(F147&gt;0,C147&lt;67),"🟡 UE + Vulnerable",IF(AND(F147&gt;0,C147&gt;=67),"🟢 UE + Preparado",IF(C147=0,"— Sin dato","Sin exposición UE"))))</f>
        <v/>
      </c>
      <c r="O147" s="15" t="inlineStr">
        <is>
          <t>MADRE DE DIOS</t>
        </is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42">
        <f>ROUND(PONDERADORES!$D$12*G148+PONDERADORES!$D$13*H148+PONDERADORES!$D$14*I148+PONDERADORES!$D$15*J148+PONDERADORES!$D$16*K148+PONDERADORES!$D$17*L148+PONDERADORES!$D$18*M148,1)</f>
        <v/>
      </c>
      <c r="D148" s="23">
        <f>IF(C148&lt;34,"🔴 Critico",IF(C148&lt;67,"🟡 Vulnerable","🟢 Preparado"))</f>
        <v/>
      </c>
      <c r="E148" s="23">
        <f>IFERROR(RANK(C148,C:C,-1),"")</f>
        <v/>
      </c>
      <c r="F148" s="43">
        <f>IFERROR(MATRIZ_174!L148,0)</f>
        <v/>
      </c>
      <c r="G148" s="44">
        <f>IFERROR(MATRIZ_174!M148,0)</f>
        <v/>
      </c>
      <c r="H148" s="45" t="n">
        <v>0</v>
      </c>
      <c r="I148" s="45" t="n">
        <v>0</v>
      </c>
      <c r="J148" s="45" t="n">
        <v>0</v>
      </c>
      <c r="K148" s="66">
        <f>IFERROR(INDEX(MATRIZ_174!$U:$U,MATCH(A148,MATRIZ_174!$A:$A,0)),"")</f>
        <v/>
      </c>
      <c r="L148" s="46">
        <f>IFERROR(MATRIZ_174!O148,0)</f>
        <v/>
      </c>
      <c r="M148" s="45" t="n">
        <v>0</v>
      </c>
      <c r="N148" s="23">
        <f>IF(AND(F148&gt;0,C148&lt;34),"🔴 UE + Critico",IF(AND(F148&gt;0,C148&lt;67),"🟡 UE + Vulnerable",IF(AND(F148&gt;0,C148&gt;=67),"🟢 UE + Preparado",IF(C148=0,"— Sin dato","Sin exposición UE"))))</f>
        <v/>
      </c>
      <c r="O148" s="15" t="inlineStr">
        <is>
          <t>CUSCO</t>
        </is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42">
        <f>ROUND(PONDERADORES!$D$12*G149+PONDERADORES!$D$13*H149+PONDERADORES!$D$14*I149+PONDERADORES!$D$15*J149+PONDERADORES!$D$16*K149+PONDERADORES!$D$17*L149+PONDERADORES!$D$18*M149,1)</f>
        <v/>
      </c>
      <c r="D149" s="23">
        <f>IF(C149&lt;34,"🔴 Critico",IF(C149&lt;67,"🟡 Vulnerable","🟢 Preparado"))</f>
        <v/>
      </c>
      <c r="E149" s="23">
        <f>IFERROR(RANK(C149,C:C,-1),"")</f>
        <v/>
      </c>
      <c r="F149" s="43" t="n">
        <v>0</v>
      </c>
      <c r="G149" s="44">
        <f>IFERROR(MATRIZ_174!M149,0)</f>
        <v/>
      </c>
      <c r="H149" s="45" t="n">
        <v>0</v>
      </c>
      <c r="I149" s="45" t="n">
        <v>0</v>
      </c>
      <c r="J149" s="45" t="n">
        <v>0</v>
      </c>
      <c r="K149" s="66">
        <f>IFERROR(INDEX(MATRIZ_174!$U:$U,MATCH(A149,MATRIZ_174!$A:$A,0)),"")</f>
        <v/>
      </c>
      <c r="L149" s="46">
        <f>IFERROR(MATRIZ_174!O149,0)</f>
        <v/>
      </c>
      <c r="M149" s="45" t="n">
        <v>0</v>
      </c>
      <c r="N149" s="23">
        <f>IF(AND(F149&gt;0,C149&lt;34),"🔴 UE + Critico",IF(AND(F149&gt;0,C149&lt;67),"🟡 UE + Vulnerable",IF(AND(F149&gt;0,C149&gt;=67),"🟢 UE + Preparado",IF(C149=0,"— Sin dato","Sin exposición UE"))))</f>
        <v/>
      </c>
      <c r="O149" s="15" t="inlineStr">
        <is>
          <t>CAJAMARCA</t>
        </is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42">
        <f>ROUND(PONDERADORES!$D$12*G150+PONDERADORES!$D$13*H150+PONDERADORES!$D$14*I150+PONDERADORES!$D$15*J150+PONDERADORES!$D$16*K150+PONDERADORES!$D$17*L150+PONDERADORES!$D$18*M150,1)</f>
        <v/>
      </c>
      <c r="D150" s="23">
        <f>IF(C150&lt;34,"🔴 Critico",IF(C150&lt;67,"🟡 Vulnerable","🟢 Preparado"))</f>
        <v/>
      </c>
      <c r="E150" s="23">
        <f>IFERROR(RANK(C150,C:C,-1),"")</f>
        <v/>
      </c>
      <c r="F150" s="43">
        <f>IFERROR(MATRIZ_174!L150,0)</f>
        <v/>
      </c>
      <c r="G150" s="44">
        <f>IFERROR(MATRIZ_174!M150,0)</f>
        <v/>
      </c>
      <c r="H150" s="45" t="n">
        <v>0</v>
      </c>
      <c r="I150" s="45" t="n">
        <v>0</v>
      </c>
      <c r="J150" s="45" t="n">
        <v>0</v>
      </c>
      <c r="K150" s="66">
        <f>IFERROR(INDEX(MATRIZ_174!$U:$U,MATCH(A150,MATRIZ_174!$A:$A,0)),"")</f>
        <v/>
      </c>
      <c r="L150" s="46">
        <f>IFERROR(MATRIZ_174!O150,0)</f>
        <v/>
      </c>
      <c r="M150" s="45" t="n">
        <v>0</v>
      </c>
      <c r="N150" s="23">
        <f>IF(AND(F150&gt;0,C150&lt;34),"🔴 UE + Critico",IF(AND(F150&gt;0,C150&lt;67),"🟡 UE + Vulnerable",IF(AND(F150&gt;0,C150&gt;=67),"🟢 UE + Preparado",IF(C150=0,"— Sin dato","Sin exposición UE"))))</f>
        <v/>
      </c>
      <c r="O150" s="15" t="inlineStr">
        <is>
          <t>PIURA</t>
        </is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42">
        <f>ROUND(PONDERADORES!$D$12*G151+PONDERADORES!$D$13*H151+PONDERADORES!$D$14*I151+PONDERADORES!$D$15*J151+PONDERADORES!$D$16*K151+PONDERADORES!$D$17*L151+PONDERADORES!$D$18*M151,1)</f>
        <v/>
      </c>
      <c r="D151" s="23">
        <f>IF(C151&lt;34,"🔴 Critico",IF(C151&lt;67,"🟡 Vulnerable","🟢 Preparado"))</f>
        <v/>
      </c>
      <c r="E151" s="23">
        <f>IFERROR(RANK(C151,C:C,-1),"")</f>
        <v/>
      </c>
      <c r="F151" s="43">
        <f>IFERROR(MATRIZ_174!L151,0)</f>
        <v/>
      </c>
      <c r="G151" s="44">
        <f>IFERROR(MATRIZ_174!M151,0)</f>
        <v/>
      </c>
      <c r="H151" s="45" t="n">
        <v>0</v>
      </c>
      <c r="I151" s="45" t="n">
        <v>0</v>
      </c>
      <c r="J151" s="45" t="n">
        <v>0</v>
      </c>
      <c r="K151" s="66">
        <f>IFERROR(INDEX(MATRIZ_174!$U:$U,MATCH(A151,MATRIZ_174!$A:$A,0)),"")</f>
        <v/>
      </c>
      <c r="L151" s="46">
        <f>IFERROR(MATRIZ_174!O151,0)</f>
        <v/>
      </c>
      <c r="M151" s="45" t="n">
        <v>0</v>
      </c>
      <c r="N151" s="23">
        <f>IF(AND(F151&gt;0,C151&lt;34),"🔴 UE + Critico",IF(AND(F151&gt;0,C151&lt;67),"🟡 UE + Vulnerable",IF(AND(F151&gt;0,C151&gt;=67),"🟢 UE + Preparado",IF(C151=0,"— Sin dato","Sin exposición UE"))))</f>
        <v/>
      </c>
      <c r="O151" s="15" t="inlineStr">
        <is>
          <t>LAMBAYEQUE</t>
        </is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42">
        <f>ROUND(PONDERADORES!$D$12*G152+PONDERADORES!$D$13*H152+PONDERADORES!$D$14*I152+PONDERADORES!$D$15*J152+PONDERADORES!$D$16*K152+PONDERADORES!$D$17*L152+PONDERADORES!$D$18*M152,1)</f>
        <v/>
      </c>
      <c r="D152" s="23">
        <f>IF(C152&lt;34,"🔴 Critico",IF(C152&lt;67,"🟡 Vulnerable","🟢 Preparado"))</f>
        <v/>
      </c>
      <c r="E152" s="23">
        <f>IFERROR(RANK(C152,C:C,-1),"")</f>
        <v/>
      </c>
      <c r="F152" s="43">
        <f>IFERROR(MATRIZ_174!L152,0)</f>
        <v/>
      </c>
      <c r="G152" s="44">
        <f>IFERROR(MATRIZ_174!M152,0)</f>
        <v/>
      </c>
      <c r="H152" s="45" t="n">
        <v>0</v>
      </c>
      <c r="I152" s="45" t="n">
        <v>0</v>
      </c>
      <c r="J152" s="45" t="n">
        <v>0</v>
      </c>
      <c r="K152" s="66">
        <f>IFERROR(INDEX(MATRIZ_174!$U:$U,MATCH(A152,MATRIZ_174!$A:$A,0)),"")</f>
        <v/>
      </c>
      <c r="L152" s="46">
        <f>IFERROR(MATRIZ_174!O152,0)</f>
        <v/>
      </c>
      <c r="M152" s="45" t="n">
        <v>0</v>
      </c>
      <c r="N152" s="23">
        <f>IF(AND(F152&gt;0,C152&lt;34),"🔴 UE + Critico",IF(AND(F152&gt;0,C152&lt;67),"🟡 UE + Vulnerable",IF(AND(F152&gt;0,C152&gt;=67),"🟢 UE + Preparado",IF(C152=0,"— Sin dato","Sin exposición UE"))))</f>
        <v/>
      </c>
      <c r="O152" s="15" t="inlineStr">
        <is>
          <t>CUSCO</t>
        </is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42">
        <f>ROUND(PONDERADORES!$D$12*G153+PONDERADORES!$D$13*H153+PONDERADORES!$D$14*I153+PONDERADORES!$D$15*J153+PONDERADORES!$D$16*K153+PONDERADORES!$D$17*L153+PONDERADORES!$D$18*M153,1)</f>
        <v/>
      </c>
      <c r="D153" s="23">
        <f>IF(C153&lt;34,"🔴 Critico",IF(C153&lt;67,"🟡 Vulnerable","🟢 Preparado"))</f>
        <v/>
      </c>
      <c r="E153" s="23">
        <f>IFERROR(RANK(C153,C:C,-1),"")</f>
        <v/>
      </c>
      <c r="F153" s="43">
        <f>IFERROR(MATRIZ_174!L153,0)</f>
        <v/>
      </c>
      <c r="G153" s="44">
        <f>IFERROR(MATRIZ_174!M153,0)</f>
        <v/>
      </c>
      <c r="H153" s="45" t="n">
        <v>0</v>
      </c>
      <c r="I153" s="45" t="n">
        <v>0</v>
      </c>
      <c r="J153" s="45" t="n">
        <v>0</v>
      </c>
      <c r="K153" s="66">
        <f>IFERROR(INDEX(MATRIZ_174!$U:$U,MATCH(A153,MATRIZ_174!$A:$A,0)),"")</f>
        <v/>
      </c>
      <c r="L153" s="46">
        <f>IFERROR(MATRIZ_174!O153,0)</f>
        <v/>
      </c>
      <c r="M153" s="45" t="n">
        <v>0</v>
      </c>
      <c r="N153" s="23">
        <f>IF(AND(F153&gt;0,C153&lt;34),"🔴 UE + Critico",IF(AND(F153&gt;0,C153&lt;67),"🟡 UE + Vulnerable",IF(AND(F153&gt;0,C153&gt;=67),"🟢 UE + Preparado",IF(C153=0,"— Sin dato","Sin exposición UE"))))</f>
        <v/>
      </c>
      <c r="O153" s="15" t="inlineStr">
        <is>
          <t>CUSCO</t>
        </is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42">
        <f>ROUND(PONDERADORES!$D$12*G154+PONDERADORES!$D$13*H154+PONDERADORES!$D$14*I154+PONDERADORES!$D$15*J154+PONDERADORES!$D$16*K154+PONDERADORES!$D$17*L154+PONDERADORES!$D$18*M154,1)</f>
        <v/>
      </c>
      <c r="D154" s="23">
        <f>IF(C154&lt;34,"🔴 Critico",IF(C154&lt;67,"🟡 Vulnerable","🟢 Preparado"))</f>
        <v/>
      </c>
      <c r="E154" s="23">
        <f>IFERROR(RANK(C154,C:C,-1),"")</f>
        <v/>
      </c>
      <c r="F154" s="43">
        <f>IFERROR(MATRIZ_174!L154,0)</f>
        <v/>
      </c>
      <c r="G154" s="44">
        <f>IFERROR(MATRIZ_174!M154,0)</f>
        <v/>
      </c>
      <c r="H154" s="45" t="n">
        <v>0</v>
      </c>
      <c r="I154" s="45" t="n">
        <v>0</v>
      </c>
      <c r="J154" s="45" t="n">
        <v>0</v>
      </c>
      <c r="K154" s="66">
        <f>IFERROR(INDEX(MATRIZ_174!$U:$U,MATCH(A154,MATRIZ_174!$A:$A,0)),"")</f>
        <v/>
      </c>
      <c r="L154" s="46">
        <f>IFERROR(MATRIZ_174!O154,0)</f>
        <v/>
      </c>
      <c r="M154" s="45" t="n">
        <v>0</v>
      </c>
      <c r="N154" s="23">
        <f>IF(AND(F154&gt;0,C154&lt;34),"🔴 UE + Critico",IF(AND(F154&gt;0,C154&lt;67),"🟡 UE + Vulnerable",IF(AND(F154&gt;0,C154&gt;=67),"🟢 UE + Preparado",IF(C154=0,"— Sin dato","Sin exposición UE"))))</f>
        <v/>
      </c>
      <c r="O154" s="15" t="inlineStr">
        <is>
          <t>JUNIN</t>
        </is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42">
        <f>ROUND(PONDERADORES!$D$12*G155+PONDERADORES!$D$13*H155+PONDERADORES!$D$14*I155+PONDERADORES!$D$15*J155+PONDERADORES!$D$16*K155+PONDERADORES!$D$17*L155+PONDERADORES!$D$18*M155,1)</f>
        <v/>
      </c>
      <c r="D155" s="23">
        <f>IF(C155&lt;34,"🔴 Critico",IF(C155&lt;67,"🟡 Vulnerable","🟢 Preparado"))</f>
        <v/>
      </c>
      <c r="E155" s="23">
        <f>IFERROR(RANK(C155,C:C,-1),"")</f>
        <v/>
      </c>
      <c r="F155" s="43">
        <f>IFERROR(MATRIZ_174!L155,0)</f>
        <v/>
      </c>
      <c r="G155" s="44">
        <f>IFERROR(MATRIZ_174!M155,0)</f>
        <v/>
      </c>
      <c r="H155" s="45" t="n">
        <v>0</v>
      </c>
      <c r="I155" s="45" t="n">
        <v>0</v>
      </c>
      <c r="J155" s="45" t="n">
        <v>0</v>
      </c>
      <c r="K155" s="66">
        <f>IFERROR(INDEX(MATRIZ_174!$U:$U,MATCH(A155,MATRIZ_174!$A:$A,0)),"")</f>
        <v/>
      </c>
      <c r="L155" s="46">
        <f>IFERROR(MATRIZ_174!O155,0)</f>
        <v/>
      </c>
      <c r="M155" s="45" t="n">
        <v>0</v>
      </c>
      <c r="N155" s="23">
        <f>IF(AND(F155&gt;0,C155&lt;34),"🔴 UE + Critico",IF(AND(F155&gt;0,C155&lt;67),"🟡 UE + Vulnerable",IF(AND(F155&gt;0,C155&gt;=67),"🟢 UE + Preparado",IF(C155=0,"— Sin dato","Sin exposición UE"))))</f>
        <v/>
      </c>
      <c r="O155" s="15" t="inlineStr">
        <is>
          <t>UCAYALI</t>
        </is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42">
        <f>ROUND(PONDERADORES!$D$12*G156+PONDERADORES!$D$13*H156+PONDERADORES!$D$14*I156+PONDERADORES!$D$15*J156+PONDERADORES!$D$16*K156+PONDERADORES!$D$17*L156+PONDERADORES!$D$18*M156,1)</f>
        <v/>
      </c>
      <c r="D156" s="23">
        <f>IF(C156&lt;34,"🔴 Critico",IF(C156&lt;67,"🟡 Vulnerable","🟢 Preparado"))</f>
        <v/>
      </c>
      <c r="E156" s="23">
        <f>IFERROR(RANK(C156,C:C,-1),"")</f>
        <v/>
      </c>
      <c r="F156" s="43">
        <f>IFERROR(MATRIZ_174!L156,0)</f>
        <v/>
      </c>
      <c r="G156" s="44">
        <f>IFERROR(MATRIZ_174!M156,0)</f>
        <v/>
      </c>
      <c r="H156" s="45" t="n">
        <v>0</v>
      </c>
      <c r="I156" s="45" t="n">
        <v>0</v>
      </c>
      <c r="J156" s="45" t="n">
        <v>0</v>
      </c>
      <c r="K156" s="66">
        <f>IFERROR(INDEX(MATRIZ_174!$U:$U,MATCH(A156,MATRIZ_174!$A:$A,0)),"")</f>
        <v/>
      </c>
      <c r="L156" s="46">
        <f>IFERROR(MATRIZ_174!O156,0)</f>
        <v/>
      </c>
      <c r="M156" s="45" t="n">
        <v>0</v>
      </c>
      <c r="N156" s="23">
        <f>IF(AND(F156&gt;0,C156&lt;34),"🔴 UE + Critico",IF(AND(F156&gt;0,C156&lt;67),"🟡 UE + Vulnerable",IF(AND(F156&gt;0,C156&gt;=67),"🟢 UE + Preparado",IF(C156=0,"— Sin dato","Sin exposición UE"))))</f>
        <v/>
      </c>
      <c r="O156" s="15" t="inlineStr">
        <is>
          <t>LAMBAYEQUE</t>
        </is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42">
        <f>ROUND(PONDERADORES!$D$12*G157+PONDERADORES!$D$13*H157+PONDERADORES!$D$14*I157+PONDERADORES!$D$15*J157+PONDERADORES!$D$16*K157+PONDERADORES!$D$17*L157+PONDERADORES!$D$18*M157,1)</f>
        <v/>
      </c>
      <c r="D157" s="23">
        <f>IF(C157&lt;34,"🔴 Critico",IF(C157&lt;67,"🟡 Vulnerable","🟢 Preparado"))</f>
        <v/>
      </c>
      <c r="E157" s="23">
        <f>IFERROR(RANK(C157,C:C,-1),"")</f>
        <v/>
      </c>
      <c r="F157" s="43" t="n">
        <v>76135.47</v>
      </c>
      <c r="G157" s="44">
        <f>IFERROR(MATRIZ_174!M157,0)</f>
        <v/>
      </c>
      <c r="H157" s="45" t="n">
        <v>0</v>
      </c>
      <c r="I157" s="45" t="n">
        <v>0</v>
      </c>
      <c r="J157" s="45" t="n">
        <v>0</v>
      </c>
      <c r="K157" s="66">
        <f>IFERROR(INDEX(MATRIZ_174!$U:$U,MATCH(A157,MATRIZ_174!$A:$A,0)),"")</f>
        <v/>
      </c>
      <c r="L157" s="46">
        <f>IFERROR(MATRIZ_174!O157,0)</f>
        <v/>
      </c>
      <c r="M157" s="45" t="n">
        <v>0</v>
      </c>
      <c r="N157" s="23">
        <f>IF(AND(F157&gt;0,C157&lt;34),"🔴 UE + Critico",IF(AND(F157&gt;0,C157&lt;67),"🟡 UE + Vulnerable",IF(AND(F157&gt;0,C157&gt;=67),"🟢 UE + Preparado",IF(C157=0,"— Sin dato","Sin exposición UE"))))</f>
        <v/>
      </c>
      <c r="O157" s="15" t="inlineStr">
        <is>
          <t>SAN MARTIN</t>
        </is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42">
        <f>ROUND(PONDERADORES!$D$12*G158+PONDERADORES!$D$13*H158+PONDERADORES!$D$14*I158+PONDERADORES!$D$15*J158+PONDERADORES!$D$16*K158+PONDERADORES!$D$17*L158+PONDERADORES!$D$18*M158,1)</f>
        <v/>
      </c>
      <c r="D158" s="23">
        <f>IF(C158&lt;34,"🔴 Critico",IF(C158&lt;67,"🟡 Vulnerable","🟢 Preparado"))</f>
        <v/>
      </c>
      <c r="E158" s="23">
        <f>IFERROR(RANK(C158,C:C,-1),"")</f>
        <v/>
      </c>
      <c r="F158" s="43">
        <f>IFERROR(MATRIZ_174!L158,0)</f>
        <v/>
      </c>
      <c r="G158" s="44">
        <f>IFERROR(MATRIZ_174!M158,0)</f>
        <v/>
      </c>
      <c r="H158" s="45" t="n">
        <v>0</v>
      </c>
      <c r="I158" s="45" t="n">
        <v>0</v>
      </c>
      <c r="J158" s="45" t="n">
        <v>0</v>
      </c>
      <c r="K158" s="66">
        <f>IFERROR(INDEX(MATRIZ_174!$U:$U,MATCH(A158,MATRIZ_174!$A:$A,0)),"")</f>
        <v/>
      </c>
      <c r="L158" s="46">
        <f>IFERROR(MATRIZ_174!O158,0)</f>
        <v/>
      </c>
      <c r="M158" s="45" t="n">
        <v>0</v>
      </c>
      <c r="N158" s="23">
        <f>IF(AND(F158&gt;0,C158&lt;34),"🔴 UE + Critico",IF(AND(F158&gt;0,C158&lt;67),"🟡 UE + Vulnerable",IF(AND(F158&gt;0,C158&gt;=67),"🟢 UE + Preparado",IF(C158=0,"— Sin dato","Sin exposición UE"))))</f>
        <v/>
      </c>
      <c r="O158" s="15" t="inlineStr">
        <is>
          <t>JUNIN</t>
        </is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42">
        <f>ROUND(PONDERADORES!$D$12*G159+PONDERADORES!$D$13*H159+PONDERADORES!$D$14*I159+PONDERADORES!$D$15*J159+PONDERADORES!$D$16*K159+PONDERADORES!$D$17*L159+PONDERADORES!$D$18*M159,1)</f>
        <v/>
      </c>
      <c r="D159" s="23">
        <f>IF(C159&lt;34,"🔴 Critico",IF(C159&lt;67,"🟡 Vulnerable","🟢 Preparado"))</f>
        <v/>
      </c>
      <c r="E159" s="23">
        <f>IFERROR(RANK(C159,C:C,-1),"")</f>
        <v/>
      </c>
      <c r="F159" s="43">
        <f>IFERROR(MATRIZ_174!L159,0)</f>
        <v/>
      </c>
      <c r="G159" s="44">
        <f>IFERROR(MATRIZ_174!M159,0)</f>
        <v/>
      </c>
      <c r="H159" s="45" t="n">
        <v>0</v>
      </c>
      <c r="I159" s="45" t="n">
        <v>0</v>
      </c>
      <c r="J159" s="45" t="n">
        <v>0</v>
      </c>
      <c r="K159" s="66">
        <f>IFERROR(INDEX(MATRIZ_174!$U:$U,MATCH(A159,MATRIZ_174!$A:$A,0)),"")</f>
        <v/>
      </c>
      <c r="L159" s="46">
        <f>IFERROR(MATRIZ_174!O159,0)</f>
        <v/>
      </c>
      <c r="M159" s="45" t="n">
        <v>0</v>
      </c>
      <c r="N159" s="23">
        <f>IF(AND(F159&gt;0,C159&lt;34),"🔴 UE + Critico",IF(AND(F159&gt;0,C159&lt;67),"🟡 UE + Vulnerable",IF(AND(F159&gt;0,C159&gt;=67),"🟢 UE + Preparado",IF(C159=0,"— Sin dato","Sin exposición UE"))))</f>
        <v/>
      </c>
      <c r="O159" s="15" t="inlineStr">
        <is>
          <t>SAN MARTIN</t>
        </is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42">
        <f>ROUND(PONDERADORES!$D$12*G160+PONDERADORES!$D$13*H160+PONDERADORES!$D$14*I160+PONDERADORES!$D$15*J160+PONDERADORES!$D$16*K160+PONDERADORES!$D$17*L160+PONDERADORES!$D$18*M160,1)</f>
        <v/>
      </c>
      <c r="D160" s="23">
        <f>IF(C160&lt;34,"🔴 Critico",IF(C160&lt;67,"🟡 Vulnerable","🟢 Preparado"))</f>
        <v/>
      </c>
      <c r="E160" s="23">
        <f>IFERROR(RANK(C160,C:C,-1),"")</f>
        <v/>
      </c>
      <c r="F160" s="43">
        <f>IFERROR(MATRIZ_174!L160,0)</f>
        <v/>
      </c>
      <c r="G160" s="44">
        <f>IFERROR(MATRIZ_174!M160,0)</f>
        <v/>
      </c>
      <c r="H160" s="45" t="n">
        <v>0</v>
      </c>
      <c r="I160" s="45" t="n">
        <v>0</v>
      </c>
      <c r="J160" s="45" t="n">
        <v>0</v>
      </c>
      <c r="K160" s="66">
        <f>IFERROR(INDEX(MATRIZ_174!$U:$U,MATCH(A160,MATRIZ_174!$A:$A,0)),"")</f>
        <v/>
      </c>
      <c r="L160" s="46">
        <f>IFERROR(MATRIZ_174!O160,0)</f>
        <v/>
      </c>
      <c r="M160" s="45" t="n">
        <v>0</v>
      </c>
      <c r="N160" s="23">
        <f>IF(AND(F160&gt;0,C160&lt;34),"🔴 UE + Critico",IF(AND(F160&gt;0,C160&lt;67),"🟡 UE + Vulnerable",IF(AND(F160&gt;0,C160&gt;=67),"🟢 UE + Preparado",IF(C160=0,"— Sin dato","Sin exposición UE"))))</f>
        <v/>
      </c>
      <c r="O160" s="15" t="inlineStr">
        <is>
          <t>PIURA</t>
        </is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42">
        <f>ROUND(PONDERADORES!$D$12*G161+PONDERADORES!$D$13*H161+PONDERADORES!$D$14*I161+PONDERADORES!$D$15*J161+PONDERADORES!$D$16*K161+PONDERADORES!$D$17*L161+PONDERADORES!$D$18*M161,1)</f>
        <v/>
      </c>
      <c r="D161" s="23">
        <f>IF(C161&lt;34,"🔴 Critico",IF(C161&lt;67,"🟡 Vulnerable","🟢 Preparado"))</f>
        <v/>
      </c>
      <c r="E161" s="23">
        <f>IFERROR(RANK(C161,C:C,-1),"")</f>
        <v/>
      </c>
      <c r="F161" s="43">
        <f>IFERROR(MATRIZ_174!L161,0)</f>
        <v/>
      </c>
      <c r="G161" s="44">
        <f>IFERROR(MATRIZ_174!M161,0)</f>
        <v/>
      </c>
      <c r="H161" s="45" t="n">
        <v>0</v>
      </c>
      <c r="I161" s="45" t="n">
        <v>0</v>
      </c>
      <c r="J161" s="45" t="n">
        <v>0</v>
      </c>
      <c r="K161" s="66">
        <f>IFERROR(INDEX(MATRIZ_174!$U:$U,MATCH(A161,MATRIZ_174!$A:$A,0)),"")</f>
        <v/>
      </c>
      <c r="L161" s="46">
        <f>IFERROR(MATRIZ_174!O161,0)</f>
        <v/>
      </c>
      <c r="M161" s="45" t="n">
        <v>0</v>
      </c>
      <c r="N161" s="23">
        <f>IF(AND(F161&gt;0,C161&lt;34),"🔴 UE + Critico",IF(AND(F161&gt;0,C161&lt;67),"🟡 UE + Vulnerable",IF(AND(F161&gt;0,C161&gt;=67),"🟢 UE + Preparado",IF(C161=0,"— Sin dato","Sin exposición UE"))))</f>
        <v/>
      </c>
      <c r="O161" s="15" t="inlineStr">
        <is>
          <t>LAMBAYEQUE</t>
        </is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42">
        <f>ROUND(PONDERADORES!$D$12*G162+PONDERADORES!$D$13*H162+PONDERADORES!$D$14*I162+PONDERADORES!$D$15*J162+PONDERADORES!$D$16*K162+PONDERADORES!$D$17*L162+PONDERADORES!$D$18*M162,1)</f>
        <v/>
      </c>
      <c r="D162" s="23">
        <f>IF(C162&lt;34,"🔴 Critico",IF(C162&lt;67,"🟡 Vulnerable","🟢 Preparado"))</f>
        <v/>
      </c>
      <c r="E162" s="23">
        <f>IFERROR(RANK(C162,C:C,-1),"")</f>
        <v/>
      </c>
      <c r="F162" s="43">
        <f>IFERROR(MATRIZ_174!L162,0)</f>
        <v/>
      </c>
      <c r="G162" s="44">
        <f>IFERROR(MATRIZ_174!M162,0)</f>
        <v/>
      </c>
      <c r="H162" s="45" t="n">
        <v>0</v>
      </c>
      <c r="I162" s="45" t="n">
        <v>0</v>
      </c>
      <c r="J162" s="45" t="n">
        <v>0</v>
      </c>
      <c r="K162" s="66">
        <f>IFERROR(INDEX(MATRIZ_174!$U:$U,MATCH(A162,MATRIZ_174!$A:$A,0)),"")</f>
        <v/>
      </c>
      <c r="L162" s="46">
        <f>IFERROR(MATRIZ_174!O162,0)</f>
        <v/>
      </c>
      <c r="M162" s="45" t="n">
        <v>0</v>
      </c>
      <c r="N162" s="23">
        <f>IF(AND(F162&gt;0,C162&lt;34),"🔴 UE + Critico",IF(AND(F162&gt;0,C162&lt;67),"🟡 UE + Vulnerable",IF(AND(F162&gt;0,C162&gt;=67),"🟢 UE + Preparado",IF(C162=0,"— Sin dato","Sin exposición UE"))))</f>
        <v/>
      </c>
      <c r="O162" s="15" t="inlineStr">
        <is>
          <t>PIURA</t>
        </is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42">
        <f>ROUND(PONDERADORES!$D$12*G163+PONDERADORES!$D$13*H163+PONDERADORES!$D$14*I163+PONDERADORES!$D$15*J163+PONDERADORES!$D$16*K163+PONDERADORES!$D$17*L163+PONDERADORES!$D$18*M163,1)</f>
        <v/>
      </c>
      <c r="D163" s="23">
        <f>IF(C163&lt;34,"🔴 Critico",IF(C163&lt;67,"🟡 Vulnerable","🟢 Preparado"))</f>
        <v/>
      </c>
      <c r="E163" s="23">
        <f>IFERROR(RANK(C163,C:C,-1),"")</f>
        <v/>
      </c>
      <c r="F163" s="43" t="n">
        <v>1501109.51</v>
      </c>
      <c r="G163" s="44">
        <f>IFERROR(MATRIZ_174!M163,0)</f>
        <v/>
      </c>
      <c r="H163" s="45" t="n">
        <v>0</v>
      </c>
      <c r="I163" s="45" t="n">
        <v>0</v>
      </c>
      <c r="J163" s="45" t="n">
        <v>0</v>
      </c>
      <c r="K163" s="66">
        <f>IFERROR(INDEX(MATRIZ_174!$U:$U,MATCH(A163,MATRIZ_174!$A:$A,0)),"")</f>
        <v/>
      </c>
      <c r="L163" s="46">
        <f>IFERROR(MATRIZ_174!O163,0)</f>
        <v/>
      </c>
      <c r="M163" s="45" t="n">
        <v>0</v>
      </c>
      <c r="N163" s="23">
        <f>IF(AND(F163&gt;0,C163&lt;34),"🔴 UE + Critico",IF(AND(F163&gt;0,C163&lt;67),"🟡 UE + Vulnerable",IF(AND(F163&gt;0,C163&gt;=67),"🟢 UE + Preparado",IF(C163=0,"— Sin dato","Sin exposición UE"))))</f>
        <v/>
      </c>
      <c r="O163" s="15" t="inlineStr">
        <is>
          <t>CAJAMARCA</t>
        </is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42">
        <f>ROUND(PONDERADORES!$D$12*G164+PONDERADORES!$D$13*H164+PONDERADORES!$D$14*I164+PONDERADORES!$D$15*J164+PONDERADORES!$D$16*K164+PONDERADORES!$D$17*L164+PONDERADORES!$D$18*M164,1)</f>
        <v/>
      </c>
      <c r="D164" s="23">
        <f>IF(C164&lt;34,"🔴 Critico",IF(C164&lt;67,"🟡 Vulnerable","🟢 Preparado"))</f>
        <v/>
      </c>
      <c r="E164" s="23">
        <f>IFERROR(RANK(C164,C:C,-1),"")</f>
        <v/>
      </c>
      <c r="F164" s="43">
        <f>IFERROR(MATRIZ_174!L164,0)</f>
        <v/>
      </c>
      <c r="G164" s="44">
        <f>IFERROR(MATRIZ_174!M164,0)</f>
        <v/>
      </c>
      <c r="H164" s="45" t="n">
        <v>0</v>
      </c>
      <c r="I164" s="45" t="n">
        <v>0</v>
      </c>
      <c r="J164" s="45" t="n">
        <v>0</v>
      </c>
      <c r="K164" s="66">
        <f>IFERROR(INDEX(MATRIZ_174!$U:$U,MATCH(A164,MATRIZ_174!$A:$A,0)),"")</f>
        <v/>
      </c>
      <c r="L164" s="46">
        <f>IFERROR(MATRIZ_174!O164,0)</f>
        <v/>
      </c>
      <c r="M164" s="45" t="n">
        <v>0</v>
      </c>
      <c r="N164" s="23">
        <f>IF(AND(F164&gt;0,C164&lt;34),"🔴 UE + Critico",IF(AND(F164&gt;0,C164&lt;67),"🟡 UE + Vulnerable",IF(AND(F164&gt;0,C164&gt;=67),"🟢 UE + Preparado",IF(C164=0,"— Sin dato","Sin exposición UE"))))</f>
        <v/>
      </c>
      <c r="O164" s="15" t="inlineStr">
        <is>
          <t>AMAZONAS</t>
        </is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42">
        <f>ROUND(PONDERADORES!$D$12*G165+PONDERADORES!$D$13*H165+PONDERADORES!$D$14*I165+PONDERADORES!$D$15*J165+PONDERADORES!$D$16*K165+PONDERADORES!$D$17*L165+PONDERADORES!$D$18*M165,1)</f>
        <v/>
      </c>
      <c r="D165" s="23">
        <f>IF(C165&lt;34,"🔴 Critico",IF(C165&lt;67,"🟡 Vulnerable","🟢 Preparado"))</f>
        <v/>
      </c>
      <c r="E165" s="23">
        <f>IFERROR(RANK(C165,C:C,-1),"")</f>
        <v/>
      </c>
      <c r="F165" s="43">
        <f>IFERROR(MATRIZ_174!L165,0)</f>
        <v/>
      </c>
      <c r="G165" s="44">
        <f>IFERROR(MATRIZ_174!M165,0)</f>
        <v/>
      </c>
      <c r="H165" s="45" t="n">
        <v>0</v>
      </c>
      <c r="I165" s="45" t="n">
        <v>0</v>
      </c>
      <c r="J165" s="45" t="n">
        <v>0</v>
      </c>
      <c r="K165" s="66">
        <f>IFERROR(INDEX(MATRIZ_174!$U:$U,MATCH(A165,MATRIZ_174!$A:$A,0)),"")</f>
        <v/>
      </c>
      <c r="L165" s="46">
        <f>IFERROR(MATRIZ_174!O165,0)</f>
        <v/>
      </c>
      <c r="M165" s="45" t="n">
        <v>0</v>
      </c>
      <c r="N165" s="23">
        <f>IF(AND(F165&gt;0,C165&lt;34),"🔴 UE + Critico",IF(AND(F165&gt;0,C165&lt;67),"🟡 UE + Vulnerable",IF(AND(F165&gt;0,C165&gt;=67),"🟢 UE + Preparado",IF(C165=0,"— Sin dato","Sin exposición UE"))))</f>
        <v/>
      </c>
      <c r="O165" s="15" t="inlineStr">
        <is>
          <t>LAMBAYEQUE</t>
        </is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42">
        <f>ROUND(PONDERADORES!$D$12*G166+PONDERADORES!$D$13*H166+PONDERADORES!$D$14*I166+PONDERADORES!$D$15*J166+PONDERADORES!$D$16*K166+PONDERADORES!$D$17*L166+PONDERADORES!$D$18*M166,1)</f>
        <v/>
      </c>
      <c r="D166" s="23">
        <f>IF(C166&lt;34,"🔴 Critico",IF(C166&lt;67,"🟡 Vulnerable","🟢 Preparado"))</f>
        <v/>
      </c>
      <c r="E166" s="23">
        <f>IFERROR(RANK(C166,C:C,-1),"")</f>
        <v/>
      </c>
      <c r="F166" s="43">
        <f>IFERROR(MATRIZ_174!L166,0)</f>
        <v/>
      </c>
      <c r="G166" s="44">
        <f>IFERROR(MATRIZ_174!M166,0)</f>
        <v/>
      </c>
      <c r="H166" s="45" t="n">
        <v>0</v>
      </c>
      <c r="I166" s="45" t="n">
        <v>0</v>
      </c>
      <c r="J166" s="45" t="n">
        <v>0</v>
      </c>
      <c r="K166" s="66">
        <f>IFERROR(INDEX(MATRIZ_174!$U:$U,MATCH(A166,MATRIZ_174!$A:$A,0)),"")</f>
        <v/>
      </c>
      <c r="L166" s="46">
        <f>IFERROR(MATRIZ_174!O166,0)</f>
        <v/>
      </c>
      <c r="M166" s="45" t="n">
        <v>0</v>
      </c>
      <c r="N166" s="23">
        <f>IF(AND(F166&gt;0,C166&lt;34),"🔴 UE + Critico",IF(AND(F166&gt;0,C166&lt;67),"🟡 UE + Vulnerable",IF(AND(F166&gt;0,C166&gt;=67),"🟢 UE + Preparado",IF(C166=0,"— Sin dato","Sin exposición UE"))))</f>
        <v/>
      </c>
      <c r="O166" s="15" t="inlineStr">
        <is>
          <t>MADRE DE DIOS</t>
        </is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42">
        <f>ROUND(PONDERADORES!$D$12*G167+PONDERADORES!$D$13*H167+PONDERADORES!$D$14*I167+PONDERADORES!$D$15*J167+PONDERADORES!$D$16*K167+PONDERADORES!$D$17*L167+PONDERADORES!$D$18*M167,1)</f>
        <v/>
      </c>
      <c r="D167" s="23">
        <f>IF(C167&lt;34,"🔴 Critico",IF(C167&lt;67,"🟡 Vulnerable","🟢 Preparado"))</f>
        <v/>
      </c>
      <c r="E167" s="23">
        <f>IFERROR(RANK(C167,C:C,-1),"")</f>
        <v/>
      </c>
      <c r="F167" s="43" t="n">
        <v>0</v>
      </c>
      <c r="G167" s="44">
        <f>IFERROR(MATRIZ_174!M167,0)</f>
        <v/>
      </c>
      <c r="H167" s="45" t="n">
        <v>0</v>
      </c>
      <c r="I167" s="45" t="n">
        <v>0</v>
      </c>
      <c r="J167" s="45" t="n">
        <v>0</v>
      </c>
      <c r="K167" s="66">
        <f>IFERROR(INDEX(MATRIZ_174!$U:$U,MATCH(A167,MATRIZ_174!$A:$A,0)),"")</f>
        <v/>
      </c>
      <c r="L167" s="46">
        <f>IFERROR(MATRIZ_174!O167,0)</f>
        <v/>
      </c>
      <c r="M167" s="45" t="n">
        <v>0</v>
      </c>
      <c r="N167" s="23">
        <f>IF(AND(F167&gt;0,C167&lt;34),"🔴 UE + Critico",IF(AND(F167&gt;0,C167&lt;67),"🟡 UE + Vulnerable",IF(AND(F167&gt;0,C167&gt;=67),"🟢 UE + Preparado",IF(C167=0,"— Sin dato","Sin exposición UE"))))</f>
        <v/>
      </c>
      <c r="O167" s="15" t="inlineStr">
        <is>
          <t>SAN MARTIN</t>
        </is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42">
        <f>ROUND(PONDERADORES!$D$12*G168+PONDERADORES!$D$13*H168+PONDERADORES!$D$14*I168+PONDERADORES!$D$15*J168+PONDERADORES!$D$16*K168+PONDERADORES!$D$17*L168+PONDERADORES!$D$18*M168,1)</f>
        <v/>
      </c>
      <c r="D168" s="23">
        <f>IF(C168&lt;34,"🔴 Critico",IF(C168&lt;67,"🟡 Vulnerable","🟢 Preparado"))</f>
        <v/>
      </c>
      <c r="E168" s="23">
        <f>IFERROR(RANK(C168,C:C,-1),"")</f>
        <v/>
      </c>
      <c r="F168" s="43" t="n">
        <v>0</v>
      </c>
      <c r="G168" s="44">
        <f>IFERROR(MATRIZ_174!M168,0)</f>
        <v/>
      </c>
      <c r="H168" s="45" t="n">
        <v>0</v>
      </c>
      <c r="I168" s="45" t="n">
        <v>0</v>
      </c>
      <c r="J168" s="45" t="n">
        <v>0</v>
      </c>
      <c r="K168" s="66">
        <f>IFERROR(INDEX(MATRIZ_174!$U:$U,MATCH(A168,MATRIZ_174!$A:$A,0)),"")</f>
        <v/>
      </c>
      <c r="L168" s="46">
        <f>IFERROR(MATRIZ_174!O168,0)</f>
        <v/>
      </c>
      <c r="M168" s="45" t="n">
        <v>0</v>
      </c>
      <c r="N168" s="23">
        <f>IF(AND(F168&gt;0,C168&lt;34),"🔴 UE + Critico",IF(AND(F168&gt;0,C168&lt;67),"🟡 UE + Vulnerable",IF(AND(F168&gt;0,C168&gt;=67),"🟢 UE + Preparado",IF(C168=0,"— Sin dato","Sin exposición UE"))))</f>
        <v/>
      </c>
      <c r="O168" s="15" t="inlineStr">
        <is>
          <t>AMAZONAS</t>
        </is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42">
        <f>ROUND(PONDERADORES!$D$12*G169+PONDERADORES!$D$13*H169+PONDERADORES!$D$14*I169+PONDERADORES!$D$15*J169+PONDERADORES!$D$16*K169+PONDERADORES!$D$17*L169+PONDERADORES!$D$18*M169,1)</f>
        <v/>
      </c>
      <c r="D169" s="23">
        <f>IF(C169&lt;34,"🔴 Critico",IF(C169&lt;67,"🟡 Vulnerable","🟢 Preparado"))</f>
        <v/>
      </c>
      <c r="E169" s="23">
        <f>IFERROR(RANK(C169,C:C,-1),"")</f>
        <v/>
      </c>
      <c r="F169" s="43">
        <f>IFERROR(MATRIZ_174!L169,0)</f>
        <v/>
      </c>
      <c r="G169" s="44">
        <f>IFERROR(MATRIZ_174!M169,0)</f>
        <v/>
      </c>
      <c r="H169" s="45" t="n">
        <v>0</v>
      </c>
      <c r="I169" s="45" t="n">
        <v>0</v>
      </c>
      <c r="J169" s="45" t="n">
        <v>0</v>
      </c>
      <c r="K169" s="66">
        <f>IFERROR(INDEX(MATRIZ_174!$U:$U,MATCH(A169,MATRIZ_174!$A:$A,0)),"")</f>
        <v/>
      </c>
      <c r="L169" s="46">
        <f>IFERROR(MATRIZ_174!O169,0)</f>
        <v/>
      </c>
      <c r="M169" s="45" t="n">
        <v>0</v>
      </c>
      <c r="N169" s="23">
        <f>IF(AND(F169&gt;0,C169&lt;34),"🔴 UE + Critico",IF(AND(F169&gt;0,C169&lt;67),"🟡 UE + Vulnerable",IF(AND(F169&gt;0,C169&gt;=67),"🟢 UE + Preparado",IF(C169=0,"— Sin dato","Sin exposición UE"))))</f>
        <v/>
      </c>
      <c r="O169" s="15" t="inlineStr">
        <is>
          <t>CAJAMARCA</t>
        </is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42">
        <f>ROUND(PONDERADORES!$D$12*G170+PONDERADORES!$D$13*H170+PONDERADORES!$D$14*I170+PONDERADORES!$D$15*J170+PONDERADORES!$D$16*K170+PONDERADORES!$D$17*L170+PONDERADORES!$D$18*M170,1)</f>
        <v/>
      </c>
      <c r="D170" s="23">
        <f>IF(C170&lt;34,"🔴 Critico",IF(C170&lt;67,"🟡 Vulnerable","🟢 Preparado"))</f>
        <v/>
      </c>
      <c r="E170" s="23">
        <f>IFERROR(RANK(C170,C:C,-1),"")</f>
        <v/>
      </c>
      <c r="F170" s="43">
        <f>IFERROR(MATRIZ_174!L170,0)</f>
        <v/>
      </c>
      <c r="G170" s="44">
        <f>IFERROR(MATRIZ_174!M170,0)</f>
        <v/>
      </c>
      <c r="H170" s="45" t="n">
        <v>0</v>
      </c>
      <c r="I170" s="45" t="n">
        <v>0</v>
      </c>
      <c r="J170" s="45" t="n">
        <v>0</v>
      </c>
      <c r="K170" s="66">
        <f>IFERROR(INDEX(MATRIZ_174!$U:$U,MATCH(A170,MATRIZ_174!$A:$A,0)),"")</f>
        <v/>
      </c>
      <c r="L170" s="46">
        <f>IFERROR(MATRIZ_174!O170,0)</f>
        <v/>
      </c>
      <c r="M170" s="45" t="n">
        <v>0</v>
      </c>
      <c r="N170" s="23">
        <f>IF(AND(F170&gt;0,C170&lt;34),"🔴 UE + Critico",IF(AND(F170&gt;0,C170&lt;67),"🟡 UE + Vulnerable",IF(AND(F170&gt;0,C170&gt;=67),"🟢 UE + Preparado",IF(C170=0,"— Sin dato","Sin exposición UE"))))</f>
        <v/>
      </c>
      <c r="O170" s="15" t="inlineStr">
        <is>
          <t>UCAYALI</t>
        </is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42">
        <f>ROUND(PONDERADORES!$D$12*G171+PONDERADORES!$D$13*H171+PONDERADORES!$D$14*I171+PONDERADORES!$D$15*J171+PONDERADORES!$D$16*K171+PONDERADORES!$D$17*L171+PONDERADORES!$D$18*M171,1)</f>
        <v/>
      </c>
      <c r="D171" s="23">
        <f>IF(C171&lt;34,"🔴 Critico",IF(C171&lt;67,"🟡 Vulnerable","🟢 Preparado"))</f>
        <v/>
      </c>
      <c r="E171" s="23">
        <f>IFERROR(RANK(C171,C:C,-1),"")</f>
        <v/>
      </c>
      <c r="F171" s="43">
        <f>IFERROR(MATRIZ_174!L171,0)</f>
        <v/>
      </c>
      <c r="G171" s="44">
        <f>IFERROR(MATRIZ_174!M171,0)</f>
        <v/>
      </c>
      <c r="H171" s="45" t="n">
        <v>0</v>
      </c>
      <c r="I171" s="45" t="n">
        <v>0</v>
      </c>
      <c r="J171" s="45" t="n">
        <v>0</v>
      </c>
      <c r="K171" s="66">
        <f>IFERROR(INDEX(MATRIZ_174!$U:$U,MATCH(A171,MATRIZ_174!$A:$A,0)),"")</f>
        <v/>
      </c>
      <c r="L171" s="46">
        <f>IFERROR(MATRIZ_174!O171,0)</f>
        <v/>
      </c>
      <c r="M171" s="45" t="n">
        <v>0</v>
      </c>
      <c r="N171" s="23">
        <f>IF(AND(F171&gt;0,C171&lt;34),"🔴 UE + Critico",IF(AND(F171&gt;0,C171&lt;67),"🟡 UE + Vulnerable",IF(AND(F171&gt;0,C171&gt;=67),"🟢 UE + Preparado",IF(C171=0,"— Sin dato","Sin exposición UE"))))</f>
        <v/>
      </c>
      <c r="O171" s="15" t="inlineStr">
        <is>
          <t>SAN MARTIN</t>
        </is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42">
        <f>ROUND(PONDERADORES!$D$12*G172+PONDERADORES!$D$13*H172+PONDERADORES!$D$14*I172+PONDERADORES!$D$15*J172+PONDERADORES!$D$16*K172+PONDERADORES!$D$17*L172+PONDERADORES!$D$18*M172,1)</f>
        <v/>
      </c>
      <c r="D172" s="23">
        <f>IF(C172&lt;34,"🔴 Critico",IF(C172&lt;67,"🟡 Vulnerable","🟢 Preparado"))</f>
        <v/>
      </c>
      <c r="E172" s="23">
        <f>IFERROR(RANK(C172,C:C,-1),"")</f>
        <v/>
      </c>
      <c r="F172" s="43" t="n">
        <v>0</v>
      </c>
      <c r="G172" s="44">
        <f>IFERROR(MATRIZ_174!M172,0)</f>
        <v/>
      </c>
      <c r="H172" s="45" t="n">
        <v>0</v>
      </c>
      <c r="I172" s="45" t="n">
        <v>0</v>
      </c>
      <c r="J172" s="45" t="n">
        <v>0</v>
      </c>
      <c r="K172" s="66">
        <f>IFERROR(INDEX(MATRIZ_174!$U:$U,MATCH(A172,MATRIZ_174!$A:$A,0)),"")</f>
        <v/>
      </c>
      <c r="L172" s="46">
        <f>IFERROR(MATRIZ_174!O172,0)</f>
        <v/>
      </c>
      <c r="M172" s="45" t="n">
        <v>0</v>
      </c>
      <c r="N172" s="23">
        <f>IF(AND(F172&gt;0,C172&lt;34),"🔴 UE + Critico",IF(AND(F172&gt;0,C172&lt;67),"🟡 UE + Vulnerable",IF(AND(F172&gt;0,C172&gt;=67),"🟢 UE + Preparado",IF(C172=0,"— Sin dato","Sin exposición UE"))))</f>
        <v/>
      </c>
      <c r="O172" s="15" t="inlineStr">
        <is>
          <t>AMAZONAS</t>
        </is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42">
        <f>ROUND(PONDERADORES!$D$12*G173+PONDERADORES!$D$13*H173+PONDERADORES!$D$14*I173+PONDERADORES!$D$15*J173+PONDERADORES!$D$16*K173+PONDERADORES!$D$17*L173+PONDERADORES!$D$18*M173,1)</f>
        <v/>
      </c>
      <c r="D173" s="23">
        <f>IF(C173&lt;34,"🔴 Critico",IF(C173&lt;67,"🟡 Vulnerable","🟢 Preparado"))</f>
        <v/>
      </c>
      <c r="E173" s="23">
        <f>IFERROR(RANK(C173,C:C,-1),"")</f>
        <v/>
      </c>
      <c r="F173" s="43">
        <f>IFERROR(MATRIZ_174!L173,0)</f>
        <v/>
      </c>
      <c r="G173" s="44">
        <f>IFERROR(MATRIZ_174!M173,0)</f>
        <v/>
      </c>
      <c r="H173" s="45" t="n">
        <v>0</v>
      </c>
      <c r="I173" s="45" t="n">
        <v>0</v>
      </c>
      <c r="J173" s="45" t="n">
        <v>0</v>
      </c>
      <c r="K173" s="66">
        <f>IFERROR(INDEX(MATRIZ_174!$U:$U,MATCH(A173,MATRIZ_174!$A:$A,0)),"")</f>
        <v/>
      </c>
      <c r="L173" s="46">
        <f>IFERROR(MATRIZ_174!O173,0)</f>
        <v/>
      </c>
      <c r="M173" s="45" t="n">
        <v>0</v>
      </c>
      <c r="N173" s="23">
        <f>IF(AND(F173&gt;0,C173&lt;34),"🔴 UE + Critico",IF(AND(F173&gt;0,C173&lt;67),"🟡 UE + Vulnerable",IF(AND(F173&gt;0,C173&gt;=67),"🟢 UE + Preparado",IF(C173=0,"— Sin dato","Sin exposición UE"))))</f>
        <v/>
      </c>
      <c r="O173" s="15" t="inlineStr">
        <is>
          <t>LAMBAYEQUE</t>
        </is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42">
        <f>ROUND(PONDERADORES!$D$12*G174+PONDERADORES!$D$13*H174+PONDERADORES!$D$14*I174+PONDERADORES!$D$15*J174+PONDERADORES!$D$16*K174+PONDERADORES!$D$17*L174+PONDERADORES!$D$18*M174,1)</f>
        <v/>
      </c>
      <c r="D174" s="23">
        <f>IF(C174&lt;34,"🔴 Critico",IF(C174&lt;67,"🟡 Vulnerable","🟢 Preparado"))</f>
        <v/>
      </c>
      <c r="E174" s="23">
        <f>IFERROR(RANK(C174,C:C,-1),"")</f>
        <v/>
      </c>
      <c r="F174" s="43">
        <f>IFERROR(MATRIZ_174!L174,0)</f>
        <v/>
      </c>
      <c r="G174" s="44">
        <f>IFERROR(MATRIZ_174!M174,0)</f>
        <v/>
      </c>
      <c r="H174" s="45" t="n">
        <v>0</v>
      </c>
      <c r="I174" s="45" t="n">
        <v>0</v>
      </c>
      <c r="J174" s="45" t="n">
        <v>0</v>
      </c>
      <c r="K174" s="66">
        <f>IFERROR(INDEX(MATRIZ_174!$U:$U,MATCH(A174,MATRIZ_174!$A:$A,0)),"")</f>
        <v/>
      </c>
      <c r="L174" s="46">
        <f>IFERROR(MATRIZ_174!O174,0)</f>
        <v/>
      </c>
      <c r="M174" s="45" t="n">
        <v>0</v>
      </c>
      <c r="N174" s="23">
        <f>IF(AND(F174&gt;0,C174&lt;34),"🔴 UE + Critico",IF(AND(F174&gt;0,C174&lt;67),"🟡 UE + Vulnerable",IF(AND(F174&gt;0,C174&gt;=67),"🟢 UE + Preparado",IF(C174=0,"— Sin dato","Sin exposición UE"))))</f>
        <v/>
      </c>
      <c r="O174" s="15" t="inlineStr">
        <is>
          <t>nan</t>
        </is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42">
        <f>ROUND(PONDERADORES!$D$12*G175+PONDERADORES!$D$13*H175+PONDERADORES!$D$14*I175+PONDERADORES!$D$15*J175+PONDERADORES!$D$16*K175+PONDERADORES!$D$17*L175+PONDERADORES!$D$18*M175,1)</f>
        <v/>
      </c>
      <c r="D175" s="23">
        <f>IF(C175&lt;34,"🔴 Critico",IF(C175&lt;67,"🟡 Vulnerable","🟢 Preparado"))</f>
        <v/>
      </c>
      <c r="E175" s="23">
        <f>IFERROR(RANK(C175,C:C,-1),"")</f>
        <v/>
      </c>
      <c r="F175" s="43" t="n">
        <v>3861667.52</v>
      </c>
      <c r="G175" s="44">
        <f>IFERROR(MATRIZ_174!M175,0)</f>
        <v/>
      </c>
      <c r="H175" s="45" t="n">
        <v>0</v>
      </c>
      <c r="I175" s="45" t="n">
        <v>0</v>
      </c>
      <c r="J175" s="45" t="n">
        <v>0</v>
      </c>
      <c r="K175" s="66">
        <f>IFERROR(INDEX(MATRIZ_174!$U:$U,MATCH(A175,MATRIZ_174!$A:$A,0)),"")</f>
        <v/>
      </c>
      <c r="L175" s="46">
        <f>IFERROR(MATRIZ_174!O175,0)</f>
        <v/>
      </c>
      <c r="M175" s="45" t="n">
        <v>0</v>
      </c>
      <c r="N175" s="23">
        <f>IF(AND(F175&gt;0,C175&lt;34),"🔴 UE + Critico",IF(AND(F175&gt;0,C175&lt;67),"🟡 UE + Vulnerable",IF(AND(F175&gt;0,C175&gt;=67),"🟢 UE + Preparado",IF(C175=0,"— Sin dato","Sin exposición UE"))))</f>
        <v/>
      </c>
      <c r="O175" s="15" t="inlineStr">
        <is>
          <t>UCAYALI</t>
        </is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42">
        <f>ROUND(PONDERADORES!$D$12*G176+PONDERADORES!$D$13*H176+PONDERADORES!$D$14*I176+PONDERADORES!$D$15*J176+PONDERADORES!$D$16*K176+PONDERADORES!$D$17*L176+PONDERADORES!$D$18*M176,1)</f>
        <v/>
      </c>
      <c r="D176" s="23">
        <f>IF(C176&lt;34,"🔴 Critico",IF(C176&lt;67,"🟡 Vulnerable","🟢 Preparado"))</f>
        <v/>
      </c>
      <c r="E176" s="23">
        <f>IFERROR(RANK(C176,C:C,-1),"")</f>
        <v/>
      </c>
      <c r="F176" s="43" t="n">
        <v>0</v>
      </c>
      <c r="G176" s="44">
        <f>IFERROR(MATRIZ_174!M176,0)</f>
        <v/>
      </c>
      <c r="H176" s="45" t="n">
        <v>0</v>
      </c>
      <c r="I176" s="45" t="n">
        <v>0</v>
      </c>
      <c r="J176" s="45" t="n">
        <v>0</v>
      </c>
      <c r="K176" s="66">
        <f>IFERROR(INDEX(MATRIZ_174!$U:$U,MATCH(A176,MATRIZ_174!$A:$A,0)),"")</f>
        <v/>
      </c>
      <c r="L176" s="46">
        <f>IFERROR(MATRIZ_174!O176,0)</f>
        <v/>
      </c>
      <c r="M176" s="45" t="n">
        <v>0</v>
      </c>
      <c r="N176" s="23">
        <f>IF(AND(F176&gt;0,C176&lt;34),"🔴 UE + Critico",IF(AND(F176&gt;0,C176&lt;67),"🟡 UE + Vulnerable",IF(AND(F176&gt;0,C176&gt;=67),"🟢 UE + Preparado",IF(C176=0,"— Sin dato","Sin exposición UE"))))</f>
        <v/>
      </c>
      <c r="O176" s="15" t="inlineStr">
        <is>
          <t>AMAZONAS</t>
        </is>
      </c>
    </row>
    <row r="177">
      <c r="K177" s="67">
        <f>IFERROR(INDEX(MATRIZ_174!$U:$U,MATCH(A177,MATRIZ_174!$A:$A,0)),"")</f>
        <v/>
      </c>
    </row>
    <row r="178">
      <c r="K178" s="67">
        <f>IFERROR(INDEX(MATRIZ_174!$U:$U,MATCH(A178,MATRIZ_174!$A:$A,0)),"")</f>
        <v/>
      </c>
    </row>
    <row r="179" ht="22" customHeight="1">
      <c r="A179" s="1" t="inlineStr">
        <is>
          <t>RESUMEN EJECUTIVO</t>
        </is>
      </c>
      <c r="K179" s="67">
        <f>IFERROR(INDEX(MATRIZ_174!$U:$U,MATCH(A179,MATRIZ_174!$A:$A,0)),"")</f>
        <v/>
      </c>
    </row>
    <row r="180" ht="18" customHeight="1">
      <c r="A180" s="47" t="inlineStr">
        <is>
          <t>Total organizaciones</t>
        </is>
      </c>
      <c r="B180" s="4">
        <f>COUNTA(A3:A176)</f>
        <v/>
      </c>
      <c r="C180" s="6" t="n"/>
      <c r="D180" s="7" t="n"/>
      <c r="K180" s="67">
        <f>IFERROR(INDEX(MATRIZ_174!$U:$U,MATCH(A180,MATRIZ_174!$A:$A,0)),"")</f>
        <v/>
      </c>
    </row>
    <row r="181" ht="18" customHeight="1">
      <c r="A181" s="47" t="inlineStr">
        <is>
          <t>Con exposición UE (FOB UE &gt; 0)</t>
        </is>
      </c>
      <c r="B181" s="4">
        <f>COUNTIF(F3:F176,"&gt;0")</f>
        <v/>
      </c>
      <c r="C181" s="6" t="n"/>
      <c r="D181" s="7" t="n"/>
      <c r="K181" s="67">
        <f>IFERROR(INDEX(MATRIZ_174!$U:$U,MATCH(A181,MATRIZ_174!$A:$A,0)),"")</f>
        <v/>
      </c>
    </row>
    <row r="182" ht="18" customHeight="1">
      <c r="A182" s="47" t="inlineStr">
        <is>
          <t>🔴 Críticos (0-33)</t>
        </is>
      </c>
      <c r="B182" s="4">
        <f>COUNTIF(C3:C176,"&lt;34")-COUNTIF(C3:C176,0)</f>
        <v/>
      </c>
      <c r="C182" s="6" t="n"/>
      <c r="D182" s="7" t="n"/>
      <c r="K182" s="67">
        <f>IFERROR(INDEX(MATRIZ_174!$U:$U,MATCH(A182,MATRIZ_174!$A:$A,0)),"")</f>
        <v/>
      </c>
    </row>
    <row r="183" ht="18" customHeight="1">
      <c r="A183" s="47" t="inlineStr">
        <is>
          <t>🟡 Vulnerables (34-66)</t>
        </is>
      </c>
      <c r="B183" s="4">
        <f>COUNTIFS(C3:C176,"&gt;=34",C3:C176,"&lt;67")</f>
        <v/>
      </c>
      <c r="C183" s="6" t="n"/>
      <c r="D183" s="7" t="n"/>
      <c r="K183" s="67">
        <f>IFERROR(INDEX(MATRIZ_174!$U:$U,MATCH(A183,MATRIZ_174!$A:$A,0)),"")</f>
        <v/>
      </c>
    </row>
    <row r="184" ht="18" customHeight="1">
      <c r="A184" s="47" t="inlineStr">
        <is>
          <t>🟢 Preparados (67-100)</t>
        </is>
      </c>
      <c r="B184" s="4">
        <f>COUNTIF(C3:C176,"&gt;=67")</f>
        <v/>
      </c>
      <c r="C184" s="6" t="n"/>
      <c r="D184" s="7" t="n"/>
      <c r="K184" s="67">
        <f>IFERROR(INDEX(MATRIZ_174!$U:$U,MATCH(A184,MATRIZ_174!$A:$A,0)),"")</f>
        <v/>
      </c>
    </row>
    <row r="185" ht="18" customHeight="1">
      <c r="A185" s="47" t="inlineStr">
        <is>
          <t>Sin dato (score = 0)</t>
        </is>
      </c>
      <c r="B185" s="4">
        <f>COUNTIF(C3:C176,0)</f>
        <v/>
      </c>
      <c r="C185" s="6" t="n"/>
      <c r="D185" s="7" t="n"/>
      <c r="K185" s="67">
        <f>IFERROR(INDEX(MATRIZ_174!$U:$U,MATCH(A185,MATRIZ_174!$A:$A,0)),"")</f>
        <v/>
      </c>
    </row>
    <row r="186" ht="18" customHeight="1">
      <c r="A186" s="47" t="inlineStr">
        <is>
          <t>PVE promedio (con dato)</t>
        </is>
      </c>
      <c r="B186" s="48">
        <f>IFERROR(AVERAGEIF(C3:C176,"&gt;0"),"N/A")</f>
        <v/>
      </c>
      <c r="C186" s="6" t="n"/>
      <c r="D186" s="7" t="n"/>
      <c r="K186" s="67">
        <f>IFERROR(INDEX(MATRIZ_174!$U:$U,MATCH(A186,MATRIZ_174!$A:$A,0)),"")</f>
        <v/>
      </c>
    </row>
    <row r="187" ht="18" customHeight="1">
      <c r="A187" s="47" t="inlineStr">
        <is>
          <t>FOB total expuesto a UE (USD)</t>
        </is>
      </c>
      <c r="B187" s="49">
        <f>SUMIF(F3:F176,"&gt;0",F3:F176)</f>
        <v/>
      </c>
      <c r="C187" s="6" t="n"/>
      <c r="D187" s="7" t="n"/>
      <c r="K187" s="67">
        <f>IFERROR(INDEX(MATRIZ_174!$U:$U,MATCH(A187,MATRIZ_174!$A:$A,0)),"")</f>
        <v/>
      </c>
    </row>
  </sheetData>
  <mergeCells count="10">
    <mergeCell ref="B185:D185"/>
    <mergeCell ref="B186:D186"/>
    <mergeCell ref="B184:D184"/>
    <mergeCell ref="B180:D180"/>
    <mergeCell ref="B181:D181"/>
    <mergeCell ref="A1:O1"/>
    <mergeCell ref="B187:D187"/>
    <mergeCell ref="B183:D183"/>
    <mergeCell ref="A179:G179"/>
    <mergeCell ref="B182:D182"/>
  </mergeCells>
  <conditionalFormatting sqref="C3:C176">
    <cfRule type="cellIs" priority="1" operator="lessThan" dxfId="0">
      <formula>34</formula>
    </cfRule>
    <cfRule type="cellIs" priority="2" operator="between" dxfId="1">
      <formula>34</formula>
      <formula>66</formula>
    </cfRule>
    <cfRule type="cellIs" priority="3" operator="greaterThanOrEqual" dxfId="2">
      <formula>67</formula>
    </cfRule>
  </conditionalFormatting>
  <dataValidations count="1">
    <dataValidation sqref="D3:D180" showDropDown="0" showInputMessage="0" showErrorMessage="0" allowBlank="1" type="list">
      <formula1>"🔴 Crítico,🟡 Vulnerable,🟢 Preparado"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8" customHeight="1">
      <c r="A1" s="1" t="inlineStr">
        <is>
          <t>RADAR DE BRECHAS — Score promedio por departamento y dimensión</t>
        </is>
      </c>
    </row>
    <row r="2">
      <c r="A2" s="8" t="inlineStr">
        <is>
          <t>Departamento / Dimensión</t>
        </is>
      </c>
      <c r="B2" s="8" t="inlineStr">
        <is>
          <t>D1</t>
        </is>
      </c>
      <c r="C2" s="8" t="inlineStr">
        <is>
          <t>D2</t>
        </is>
      </c>
      <c r="D2" s="8" t="inlineStr">
        <is>
          <t>D3</t>
        </is>
      </c>
      <c r="E2" s="8" t="inlineStr">
        <is>
          <t>D4</t>
        </is>
      </c>
      <c r="F2" s="8" t="inlineStr">
        <is>
          <t>D5</t>
        </is>
      </c>
      <c r="G2" s="8" t="inlineStr">
        <is>
          <t>D6</t>
        </is>
      </c>
      <c r="H2" s="8" t="inlineStr">
        <is>
          <t>D7</t>
        </is>
      </c>
      <c r="I2" s="8" t="inlineStr">
        <is>
          <t>D8</t>
        </is>
      </c>
      <c r="J2" s="8" t="inlineStr">
        <is>
          <t>D9</t>
        </is>
      </c>
      <c r="K2" s="8" t="inlineStr">
        <is>
          <t>D10</t>
        </is>
      </c>
      <c r="L2" s="8" t="inlineStr">
        <is>
          <t>D11</t>
        </is>
      </c>
      <c r="M2" s="8" t="inlineStr">
        <is>
          <t>PVE Promedio</t>
        </is>
      </c>
    </row>
    <row r="3" ht="18" customHeight="1">
      <c r="A3" s="47" t="inlineStr">
        <is>
          <t>SAN MARTIN</t>
        </is>
      </c>
      <c r="B3" s="46">
        <f>0</f>
        <v/>
      </c>
      <c r="C3" s="46">
        <f>IFERROR(AVERAGEIF(MATRIZ_174!C:C,A3,SCORECARDS!H:H),0)</f>
        <v/>
      </c>
      <c r="D3" s="46">
        <f>IFERROR(AVERAGEIF(MATRIZ_174!$C:$C,A3,SCORECARDS!$K:$K),0)</f>
        <v/>
      </c>
      <c r="E3" s="46">
        <f>0</f>
        <v/>
      </c>
      <c r="F3" s="46">
        <f>IFERROR(AVERAGEIF(MATRIZ_174!C:C,A3,SCORECARDS!I:I),0)</f>
        <v/>
      </c>
      <c r="G3" s="46">
        <f>IFERROR(AVERAGEIF(MATRIZ_174!C:C,A3,SCORECARDS!J:J),0)</f>
        <v/>
      </c>
      <c r="H3" s="46">
        <f>IFERROR(AVERAGEIF(MATRIZ_174!C:C,A3,SCORECARDS!K:K),0)</f>
        <v/>
      </c>
      <c r="I3" s="46">
        <f>0</f>
        <v/>
      </c>
      <c r="J3" s="46">
        <f>0</f>
        <v/>
      </c>
      <c r="K3" s="46">
        <f>0</f>
        <v/>
      </c>
      <c r="L3" s="46">
        <f>0</f>
        <v/>
      </c>
      <c r="M3" s="50">
        <f>IFERROR(AVERAGE(B3:L3),0)</f>
        <v/>
      </c>
    </row>
    <row r="4" ht="18" customHeight="1">
      <c r="A4" s="47" t="inlineStr">
        <is>
          <t>JUNIN</t>
        </is>
      </c>
      <c r="B4" s="46">
        <f>0</f>
        <v/>
      </c>
      <c r="C4" s="46">
        <f>IFERROR(AVERAGEIF(MATRIZ_174!C:C,A4,SCORECARDS!H:H),0)</f>
        <v/>
      </c>
      <c r="D4" s="46">
        <f>IFERROR(AVERAGEIF(MATRIZ_174!$C:$C,A4,SCORECARDS!$K:$K),0)</f>
        <v/>
      </c>
      <c r="E4" s="46">
        <f>0</f>
        <v/>
      </c>
      <c r="F4" s="46">
        <f>IFERROR(AVERAGEIF(MATRIZ_174!C:C,A4,SCORECARDS!I:I),0)</f>
        <v/>
      </c>
      <c r="G4" s="46">
        <f>IFERROR(AVERAGEIF(MATRIZ_174!C:C,A4,SCORECARDS!J:J),0)</f>
        <v/>
      </c>
      <c r="H4" s="46">
        <f>IFERROR(AVERAGEIF(MATRIZ_174!C:C,A4,SCORECARDS!K:K),0)</f>
        <v/>
      </c>
      <c r="I4" s="46">
        <f>0</f>
        <v/>
      </c>
      <c r="J4" s="46">
        <f>0</f>
        <v/>
      </c>
      <c r="K4" s="46">
        <f>0</f>
        <v/>
      </c>
      <c r="L4" s="46">
        <f>0</f>
        <v/>
      </c>
      <c r="M4" s="50">
        <f>IFERROR(AVERAGE(B4:L4),0)</f>
        <v/>
      </c>
    </row>
    <row r="5" ht="18" customHeight="1">
      <c r="A5" s="47" t="inlineStr">
        <is>
          <t>AMAZONAS</t>
        </is>
      </c>
      <c r="B5" s="46">
        <f>0</f>
        <v/>
      </c>
      <c r="C5" s="46">
        <f>IFERROR(AVERAGEIF(MATRIZ_174!C:C,A5,SCORECARDS!H:H),0)</f>
        <v/>
      </c>
      <c r="D5" s="46">
        <f>IFERROR(AVERAGEIF(MATRIZ_174!$C:$C,A5,SCORECARDS!$K:$K),0)</f>
        <v/>
      </c>
      <c r="E5" s="46">
        <f>0</f>
        <v/>
      </c>
      <c r="F5" s="46">
        <f>IFERROR(AVERAGEIF(MATRIZ_174!C:C,A5,SCORECARDS!I:I),0)</f>
        <v/>
      </c>
      <c r="G5" s="46">
        <f>IFERROR(AVERAGEIF(MATRIZ_174!C:C,A5,SCORECARDS!J:J),0)</f>
        <v/>
      </c>
      <c r="H5" s="46">
        <f>IFERROR(AVERAGEIF(MATRIZ_174!C:C,A5,SCORECARDS!K:K),0)</f>
        <v/>
      </c>
      <c r="I5" s="46">
        <f>0</f>
        <v/>
      </c>
      <c r="J5" s="46">
        <f>0</f>
        <v/>
      </c>
      <c r="K5" s="46">
        <f>0</f>
        <v/>
      </c>
      <c r="L5" s="46">
        <f>0</f>
        <v/>
      </c>
      <c r="M5" s="50">
        <f>IFERROR(AVERAGE(B5:L5),0)</f>
        <v/>
      </c>
    </row>
    <row r="6" ht="18" customHeight="1">
      <c r="A6" s="47" t="inlineStr">
        <is>
          <t>CAJAMARCA</t>
        </is>
      </c>
      <c r="B6" s="46">
        <f>0</f>
        <v/>
      </c>
      <c r="C6" s="46">
        <f>IFERROR(AVERAGEIF(MATRIZ_174!C:C,A6,SCORECARDS!H:H),0)</f>
        <v/>
      </c>
      <c r="D6" s="46">
        <f>IFERROR(AVERAGEIF(MATRIZ_174!$C:$C,A6,SCORECARDS!$K:$K),0)</f>
        <v/>
      </c>
      <c r="E6" s="46">
        <f>0</f>
        <v/>
      </c>
      <c r="F6" s="46">
        <f>IFERROR(AVERAGEIF(MATRIZ_174!C:C,A6,SCORECARDS!I:I),0)</f>
        <v/>
      </c>
      <c r="G6" s="46">
        <f>IFERROR(AVERAGEIF(MATRIZ_174!C:C,A6,SCORECARDS!J:J),0)</f>
        <v/>
      </c>
      <c r="H6" s="46">
        <f>IFERROR(AVERAGEIF(MATRIZ_174!C:C,A6,SCORECARDS!K:K),0)</f>
        <v/>
      </c>
      <c r="I6" s="46">
        <f>0</f>
        <v/>
      </c>
      <c r="J6" s="46">
        <f>0</f>
        <v/>
      </c>
      <c r="K6" s="46">
        <f>0</f>
        <v/>
      </c>
      <c r="L6" s="46">
        <f>0</f>
        <v/>
      </c>
      <c r="M6" s="50">
        <f>IFERROR(AVERAGE(B6:L6),0)</f>
        <v/>
      </c>
    </row>
    <row r="7" ht="18" customHeight="1">
      <c r="A7" s="47" t="inlineStr">
        <is>
          <t>CUSCO</t>
        </is>
      </c>
      <c r="B7" s="46">
        <f>0</f>
        <v/>
      </c>
      <c r="C7" s="46">
        <f>IFERROR(AVERAGEIF(MATRIZ_174!C:C,A7,SCORECARDS!H:H),0)</f>
        <v/>
      </c>
      <c r="D7" s="46">
        <f>IFERROR(AVERAGEIF(MATRIZ_174!$C:$C,A7,SCORECARDS!$K:$K),0)</f>
        <v/>
      </c>
      <c r="E7" s="46">
        <f>0</f>
        <v/>
      </c>
      <c r="F7" s="46">
        <f>IFERROR(AVERAGEIF(MATRIZ_174!C:C,A7,SCORECARDS!I:I),0)</f>
        <v/>
      </c>
      <c r="G7" s="46">
        <f>IFERROR(AVERAGEIF(MATRIZ_174!C:C,A7,SCORECARDS!J:J),0)</f>
        <v/>
      </c>
      <c r="H7" s="46">
        <f>IFERROR(AVERAGEIF(MATRIZ_174!C:C,A7,SCORECARDS!K:K),0)</f>
        <v/>
      </c>
      <c r="I7" s="46">
        <f>0</f>
        <v/>
      </c>
      <c r="J7" s="46">
        <f>0</f>
        <v/>
      </c>
      <c r="K7" s="46">
        <f>0</f>
        <v/>
      </c>
      <c r="L7" s="46">
        <f>0</f>
        <v/>
      </c>
      <c r="M7" s="50">
        <f>IFERROR(AVERAGE(B7:L7),0)</f>
        <v/>
      </c>
    </row>
    <row r="8" ht="18" customHeight="1">
      <c r="A8" s="47" t="inlineStr">
        <is>
          <t>UCAYALI</t>
        </is>
      </c>
      <c r="B8" s="46">
        <f>0</f>
        <v/>
      </c>
      <c r="C8" s="46">
        <f>IFERROR(AVERAGEIF(MATRIZ_174!C:C,A8,SCORECARDS!H:H),0)</f>
        <v/>
      </c>
      <c r="D8" s="46">
        <f>IFERROR(AVERAGEIF(MATRIZ_174!$C:$C,A8,SCORECARDS!$K:$K),0)</f>
        <v/>
      </c>
      <c r="E8" s="46">
        <f>0</f>
        <v/>
      </c>
      <c r="F8" s="46">
        <f>IFERROR(AVERAGEIF(MATRIZ_174!C:C,A8,SCORECARDS!I:I),0)</f>
        <v/>
      </c>
      <c r="G8" s="46">
        <f>IFERROR(AVERAGEIF(MATRIZ_174!C:C,A8,SCORECARDS!J:J),0)</f>
        <v/>
      </c>
      <c r="H8" s="46">
        <f>IFERROR(AVERAGEIF(MATRIZ_174!C:C,A8,SCORECARDS!K:K),0)</f>
        <v/>
      </c>
      <c r="I8" s="46">
        <f>0</f>
        <v/>
      </c>
      <c r="J8" s="46">
        <f>0</f>
        <v/>
      </c>
      <c r="K8" s="46">
        <f>0</f>
        <v/>
      </c>
      <c r="L8" s="46">
        <f>0</f>
        <v/>
      </c>
      <c r="M8" s="50">
        <f>IFERROR(AVERAGE(B8:L8),0)</f>
        <v/>
      </c>
    </row>
    <row r="9" ht="18" customHeight="1">
      <c r="A9" s="47" t="inlineStr">
        <is>
          <t>PASCO</t>
        </is>
      </c>
      <c r="B9" s="46">
        <f>0</f>
        <v/>
      </c>
      <c r="C9" s="46">
        <f>IFERROR(AVERAGEIF(MATRIZ_174!C:C,A9,SCORECARDS!H:H),0)</f>
        <v/>
      </c>
      <c r="D9" s="46">
        <f>IFERROR(AVERAGEIF(MATRIZ_174!$C:$C,A9,SCORECARDS!$K:$K),0)</f>
        <v/>
      </c>
      <c r="E9" s="46">
        <f>0</f>
        <v/>
      </c>
      <c r="F9" s="46">
        <f>IFERROR(AVERAGEIF(MATRIZ_174!C:C,A9,SCORECARDS!I:I),0)</f>
        <v/>
      </c>
      <c r="G9" s="46">
        <f>IFERROR(AVERAGEIF(MATRIZ_174!C:C,A9,SCORECARDS!J:J),0)</f>
        <v/>
      </c>
      <c r="H9" s="46">
        <f>IFERROR(AVERAGEIF(MATRIZ_174!C:C,A9,SCORECARDS!K:K),0)</f>
        <v/>
      </c>
      <c r="I9" s="46">
        <f>0</f>
        <v/>
      </c>
      <c r="J9" s="46">
        <f>0</f>
        <v/>
      </c>
      <c r="K9" s="46">
        <f>0</f>
        <v/>
      </c>
      <c r="L9" s="46">
        <f>0</f>
        <v/>
      </c>
      <c r="M9" s="50">
        <f>IFERROR(AVERAGE(B9:L9),0)</f>
        <v/>
      </c>
    </row>
    <row r="10" ht="18" customHeight="1">
      <c r="A10" s="47" t="inlineStr">
        <is>
          <t>PIURA</t>
        </is>
      </c>
      <c r="B10" s="46">
        <f>0</f>
        <v/>
      </c>
      <c r="C10" s="46">
        <f>IFERROR(AVERAGEIF(MATRIZ_174!C:C,A10,SCORECARDS!H:H),0)</f>
        <v/>
      </c>
      <c r="D10" s="46">
        <f>IFERROR(AVERAGEIF(MATRIZ_174!$C:$C,A10,SCORECARDS!$K:$K),0)</f>
        <v/>
      </c>
      <c r="E10" s="46">
        <f>0</f>
        <v/>
      </c>
      <c r="F10" s="46">
        <f>IFERROR(AVERAGEIF(MATRIZ_174!C:C,A10,SCORECARDS!I:I),0)</f>
        <v/>
      </c>
      <c r="G10" s="46">
        <f>IFERROR(AVERAGEIF(MATRIZ_174!C:C,A10,SCORECARDS!J:J),0)</f>
        <v/>
      </c>
      <c r="H10" s="46">
        <f>IFERROR(AVERAGEIF(MATRIZ_174!C:C,A10,SCORECARDS!K:K),0)</f>
        <v/>
      </c>
      <c r="I10" s="46">
        <f>0</f>
        <v/>
      </c>
      <c r="J10" s="46">
        <f>0</f>
        <v/>
      </c>
      <c r="K10" s="46">
        <f>0</f>
        <v/>
      </c>
      <c r="L10" s="46">
        <f>0</f>
        <v/>
      </c>
      <c r="M10" s="50">
        <f>IFERROR(AVERAGE(B10:L10),0)</f>
        <v/>
      </c>
    </row>
    <row r="11" ht="18" customHeight="1">
      <c r="A11" s="47" t="inlineStr">
        <is>
          <t>AYACUCHO</t>
        </is>
      </c>
      <c r="B11" s="46">
        <f>0</f>
        <v/>
      </c>
      <c r="C11" s="46">
        <f>IFERROR(AVERAGEIF(MATRIZ_174!C:C,A11,SCORECARDS!H:H),0)</f>
        <v/>
      </c>
      <c r="D11" s="46">
        <f>IFERROR(AVERAGEIF(MATRIZ_174!$C:$C,A11,SCORECARDS!$K:$K),0)</f>
        <v/>
      </c>
      <c r="E11" s="46">
        <f>0</f>
        <v/>
      </c>
      <c r="F11" s="46">
        <f>IFERROR(AVERAGEIF(MATRIZ_174!C:C,A11,SCORECARDS!I:I),0)</f>
        <v/>
      </c>
      <c r="G11" s="46">
        <f>IFERROR(AVERAGEIF(MATRIZ_174!C:C,A11,SCORECARDS!J:J),0)</f>
        <v/>
      </c>
      <c r="H11" s="46">
        <f>IFERROR(AVERAGEIF(MATRIZ_174!C:C,A11,SCORECARDS!K:K),0)</f>
        <v/>
      </c>
      <c r="I11" s="46">
        <f>0</f>
        <v/>
      </c>
      <c r="J11" s="46">
        <f>0</f>
        <v/>
      </c>
      <c r="K11" s="46">
        <f>0</f>
        <v/>
      </c>
      <c r="L11" s="46">
        <f>0</f>
        <v/>
      </c>
      <c r="M11" s="50">
        <f>IFERROR(AVERAGE(B11:L11),0)</f>
        <v/>
      </c>
    </row>
    <row r="12" ht="18" customHeight="1">
      <c r="A12" s="47" t="inlineStr">
        <is>
          <t>PUNO</t>
        </is>
      </c>
      <c r="B12" s="46">
        <f>0</f>
        <v/>
      </c>
      <c r="C12" s="46">
        <f>IFERROR(AVERAGEIF(MATRIZ_174!C:C,A12,SCORECARDS!H:H),0)</f>
        <v/>
      </c>
      <c r="D12" s="46">
        <f>IFERROR(AVERAGEIF(MATRIZ_174!$C:$C,A12,SCORECARDS!$K:$K),0)</f>
        <v/>
      </c>
      <c r="E12" s="46">
        <f>0</f>
        <v/>
      </c>
      <c r="F12" s="46">
        <f>IFERROR(AVERAGEIF(MATRIZ_174!C:C,A12,SCORECARDS!I:I),0)</f>
        <v/>
      </c>
      <c r="G12" s="46">
        <f>IFERROR(AVERAGEIF(MATRIZ_174!C:C,A12,SCORECARDS!J:J),0)</f>
        <v/>
      </c>
      <c r="H12" s="46">
        <f>IFERROR(AVERAGEIF(MATRIZ_174!C:C,A12,SCORECARDS!K:K),0)</f>
        <v/>
      </c>
      <c r="I12" s="46">
        <f>0</f>
        <v/>
      </c>
      <c r="J12" s="46">
        <f>0</f>
        <v/>
      </c>
      <c r="K12" s="46">
        <f>0</f>
        <v/>
      </c>
      <c r="L12" s="46">
        <f>0</f>
        <v/>
      </c>
      <c r="M12" s="50">
        <f>IFERROR(AVERAGE(B12:L12),0)</f>
        <v/>
      </c>
    </row>
    <row r="13" ht="18" customHeight="1">
      <c r="A13" s="47" t="inlineStr">
        <is>
          <t>APURIMAC</t>
        </is>
      </c>
      <c r="B13" s="46">
        <f>0</f>
        <v/>
      </c>
      <c r="C13" s="46">
        <f>IFERROR(AVERAGEIF(MATRIZ_174!C:C,A13,SCORECARDS!H:H),0)</f>
        <v/>
      </c>
      <c r="D13" s="46">
        <f>IFERROR(AVERAGEIF(MATRIZ_174!$C:$C,A13,SCORECARDS!$K:$K),0)</f>
        <v/>
      </c>
      <c r="E13" s="46">
        <f>0</f>
        <v/>
      </c>
      <c r="F13" s="46">
        <f>IFERROR(AVERAGEIF(MATRIZ_174!C:C,A13,SCORECARDS!I:I),0)</f>
        <v/>
      </c>
      <c r="G13" s="46">
        <f>IFERROR(AVERAGEIF(MATRIZ_174!C:C,A13,SCORECARDS!J:J),0)</f>
        <v/>
      </c>
      <c r="H13" s="46">
        <f>IFERROR(AVERAGEIF(MATRIZ_174!C:C,A13,SCORECARDS!K:K),0)</f>
        <v/>
      </c>
      <c r="I13" s="46">
        <f>0</f>
        <v/>
      </c>
      <c r="J13" s="46">
        <f>0</f>
        <v/>
      </c>
      <c r="K13" s="46">
        <f>0</f>
        <v/>
      </c>
      <c r="L13" s="46">
        <f>0</f>
        <v/>
      </c>
      <c r="M13" s="50">
        <f>IFERROR(AVERAGE(B13:L13),0)</f>
        <v/>
      </c>
    </row>
    <row r="14" ht="18" customHeight="1">
      <c r="A14" s="47" t="inlineStr">
        <is>
          <t>MADRE DE DIOS</t>
        </is>
      </c>
      <c r="B14" s="46">
        <f>0</f>
        <v/>
      </c>
      <c r="C14" s="46">
        <f>IFERROR(AVERAGEIF(MATRIZ_174!C:C,A14,SCORECARDS!H:H),0)</f>
        <v/>
      </c>
      <c r="D14" s="46">
        <f>IFERROR(AVERAGEIF(MATRIZ_174!$C:$C,A14,SCORECARDS!$K:$K),0)</f>
        <v/>
      </c>
      <c r="E14" s="46">
        <f>0</f>
        <v/>
      </c>
      <c r="F14" s="46">
        <f>IFERROR(AVERAGEIF(MATRIZ_174!C:C,A14,SCORECARDS!I:I),0)</f>
        <v/>
      </c>
      <c r="G14" s="46">
        <f>IFERROR(AVERAGEIF(MATRIZ_174!C:C,A14,SCORECARDS!J:J),0)</f>
        <v/>
      </c>
      <c r="H14" s="46">
        <f>IFERROR(AVERAGEIF(MATRIZ_174!C:C,A14,SCORECARDS!K:K),0)</f>
        <v/>
      </c>
      <c r="I14" s="46">
        <f>0</f>
        <v/>
      </c>
      <c r="J14" s="46">
        <f>0</f>
        <v/>
      </c>
      <c r="K14" s="46">
        <f>0</f>
        <v/>
      </c>
      <c r="L14" s="46">
        <f>0</f>
        <v/>
      </c>
      <c r="M14" s="50">
        <f>IFERROR(AVERAGE(B14:L14),0)</f>
        <v/>
      </c>
    </row>
    <row r="15" ht="18" customHeight="1">
      <c r="A15" s="47" t="inlineStr">
        <is>
          <t>LORETO</t>
        </is>
      </c>
      <c r="B15" s="46">
        <f>0</f>
        <v/>
      </c>
      <c r="C15" s="46">
        <f>IFERROR(AVERAGEIF(MATRIZ_174!C:C,A15,SCORECARDS!H:H),0)</f>
        <v/>
      </c>
      <c r="D15" s="46">
        <f>IFERROR(AVERAGEIF(MATRIZ_174!$C:$C,A15,SCORECARDS!$K:$K),0)</f>
        <v/>
      </c>
      <c r="E15" s="46">
        <f>0</f>
        <v/>
      </c>
      <c r="F15" s="46">
        <f>IFERROR(AVERAGEIF(MATRIZ_174!C:C,A15,SCORECARDS!I:I),0)</f>
        <v/>
      </c>
      <c r="G15" s="46">
        <f>IFERROR(AVERAGEIF(MATRIZ_174!C:C,A15,SCORECARDS!J:J),0)</f>
        <v/>
      </c>
      <c r="H15" s="46">
        <f>IFERROR(AVERAGEIF(MATRIZ_174!C:C,A15,SCORECARDS!K:K),0)</f>
        <v/>
      </c>
      <c r="I15" s="46">
        <f>0</f>
        <v/>
      </c>
      <c r="J15" s="46">
        <f>0</f>
        <v/>
      </c>
      <c r="K15" s="46">
        <f>0</f>
        <v/>
      </c>
      <c r="L15" s="46">
        <f>0</f>
        <v/>
      </c>
      <c r="M15" s="50">
        <f>IFERROR(AVERAGE(B15:L15),0)</f>
        <v/>
      </c>
    </row>
    <row r="16" ht="18" customHeight="1">
      <c r="A16" s="47" t="inlineStr">
        <is>
          <t>LAMBAYEQUE</t>
        </is>
      </c>
      <c r="B16" s="46">
        <f>0</f>
        <v/>
      </c>
      <c r="C16" s="46">
        <f>IFERROR(AVERAGEIF(MATRIZ_174!C:C,A16,SCORECARDS!H:H),0)</f>
        <v/>
      </c>
      <c r="D16" s="46">
        <f>IFERROR(AVERAGEIF(MATRIZ_174!$C:$C,A16,SCORECARDS!$K:$K),0)</f>
        <v/>
      </c>
      <c r="E16" s="46">
        <f>0</f>
        <v/>
      </c>
      <c r="F16" s="46">
        <f>IFERROR(AVERAGEIF(MATRIZ_174!C:C,A16,SCORECARDS!I:I),0)</f>
        <v/>
      </c>
      <c r="G16" s="46">
        <f>IFERROR(AVERAGEIF(MATRIZ_174!C:C,A16,SCORECARDS!J:J),0)</f>
        <v/>
      </c>
      <c r="H16" s="46">
        <f>IFERROR(AVERAGEIF(MATRIZ_174!C:C,A16,SCORECARDS!K:K),0)</f>
        <v/>
      </c>
      <c r="I16" s="46">
        <f>0</f>
        <v/>
      </c>
      <c r="J16" s="46">
        <f>0</f>
        <v/>
      </c>
      <c r="K16" s="46">
        <f>0</f>
        <v/>
      </c>
      <c r="L16" s="46">
        <f>0</f>
        <v/>
      </c>
      <c r="M16" s="50">
        <f>IFERROR(AVERAGE(B16:L16),0)</f>
        <v/>
      </c>
    </row>
    <row r="17" ht="18" customHeight="1">
      <c r="A17" s="47" t="inlineStr">
        <is>
          <t>OTROS</t>
        </is>
      </c>
      <c r="B17" s="46">
        <f>0</f>
        <v/>
      </c>
      <c r="C17" s="46">
        <f>IFERROR(AVERAGEIF(MATRIZ_174!C:C,A17,SCORECARDS!H:H),0)</f>
        <v/>
      </c>
      <c r="D17" s="46">
        <f>IFERROR(AVERAGEIF(MATRIZ_174!$C:$C,A17,SCORECARDS!$K:$K),0)</f>
        <v/>
      </c>
      <c r="E17" s="46">
        <f>0</f>
        <v/>
      </c>
      <c r="F17" s="46">
        <f>IFERROR(AVERAGEIF(MATRIZ_174!C:C,A17,SCORECARDS!I:I),0)</f>
        <v/>
      </c>
      <c r="G17" s="46">
        <f>IFERROR(AVERAGEIF(MATRIZ_174!C:C,A17,SCORECARDS!J:J),0)</f>
        <v/>
      </c>
      <c r="H17" s="46">
        <f>IFERROR(AVERAGEIF(MATRIZ_174!C:C,A17,SCORECARDS!K:K),0)</f>
        <v/>
      </c>
      <c r="I17" s="46">
        <f>0</f>
        <v/>
      </c>
      <c r="J17" s="46">
        <f>0</f>
        <v/>
      </c>
      <c r="K17" s="46">
        <f>0</f>
        <v/>
      </c>
      <c r="L17" s="46">
        <f>0</f>
        <v/>
      </c>
      <c r="M17" s="50">
        <f>IFERROR(AVERAGE(B17:L17),0)</f>
        <v/>
      </c>
    </row>
    <row r="18">
      <c r="D18">
        <f>IFERROR(AVERAGEIF(MATRIZ_174!$C:$C,A18,SCORECARDS!$K:$K),0)</f>
        <v/>
      </c>
    </row>
    <row r="19">
      <c r="D19">
        <f>IFERROR(AVERAGEIF(MATRIZ_174!$C:$C,A19,SCORECARDS!$K:$K),0)</f>
        <v/>
      </c>
    </row>
    <row r="20" ht="20" customHeight="1">
      <c r="A20" s="1" t="inlineStr">
        <is>
          <t>LEYENDA — NIVELES DE CUMPLIMIENTO</t>
        </is>
      </c>
    </row>
    <row r="21" ht="18" customHeight="1">
      <c r="A21" s="51" t="inlineStr">
        <is>
          <t>🟢 Verde (0.67–1.00) — Cumplimiento adecuado</t>
        </is>
      </c>
      <c r="B21" s="6" t="n"/>
      <c r="C21" s="6" t="n"/>
      <c r="D21" s="6" t="n"/>
      <c r="E21" s="6" t="n"/>
      <c r="F21" s="6" t="n"/>
      <c r="G21" s="7" t="n"/>
    </row>
    <row r="22" ht="18" customHeight="1">
      <c r="A22" s="52" t="inlineStr">
        <is>
          <t>🟡 Amarillo (0.34–0.66) — Brecha moderada</t>
        </is>
      </c>
      <c r="B22" s="6" t="n"/>
      <c r="C22" s="6" t="n"/>
      <c r="D22" s="6" t="n"/>
      <c r="E22" s="6" t="n"/>
      <c r="F22" s="6" t="n"/>
      <c r="G22" s="7" t="n"/>
    </row>
    <row r="23" ht="18" customHeight="1">
      <c r="A23" s="53" t="inlineStr">
        <is>
          <t>🔴 Rojo (0.00–0.33) — Brecha crítica</t>
        </is>
      </c>
      <c r="B23" s="6" t="n"/>
      <c r="C23" s="6" t="n"/>
      <c r="D23" s="6" t="n"/>
      <c r="E23" s="6" t="n"/>
      <c r="F23" s="6" t="n"/>
      <c r="G23" s="7" t="n"/>
    </row>
    <row r="24" ht="18" customHeight="1">
      <c r="A24" s="54" t="inlineStr">
        <is>
          <t>⬜ Gris (0.00) — Sin dato capturado</t>
        </is>
      </c>
      <c r="B24" s="6" t="n"/>
      <c r="C24" s="6" t="n"/>
      <c r="D24" s="6" t="n"/>
      <c r="E24" s="6" t="n"/>
      <c r="F24" s="6" t="n"/>
      <c r="G24" s="7" t="n"/>
    </row>
    <row r="25">
      <c r="D25">
        <f>IFERROR(AVERAGEIF(MATRIZ_174!$C:$C,A25,SCORECARDS!$K:$K),0)</f>
        <v/>
      </c>
    </row>
    <row r="26">
      <c r="A26" s="55" t="inlineStr">
        <is>
          <t>NOTA: Los scores en D2, D5, D6, D7 corresponden a los valores ingresados manualmente en SCORECARDS. Completar la hoja PREGUNTAS_PROXY y transferir los scores a SCORECARDS para actualizar este radar.</t>
        </is>
      </c>
    </row>
  </sheetData>
  <mergeCells count="7">
    <mergeCell ref="A1:J1"/>
    <mergeCell ref="A21:G21"/>
    <mergeCell ref="A22:G22"/>
    <mergeCell ref="A20:G20"/>
    <mergeCell ref="A24:G24"/>
    <mergeCell ref="A26:G2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2026-10-12T22:39:07Z</dcterms:created>
  <dcterms:modified xmlns:dcterms="http://purl.org/dc/terms/" xmlns:xsi="http://www.w3.org/2001/XMLSchema-instance" xsi:type="dcterms:W3CDTF">2026-10-13T00:35:50Z</dcterms:modified>
</cp:coreProperties>
</file>