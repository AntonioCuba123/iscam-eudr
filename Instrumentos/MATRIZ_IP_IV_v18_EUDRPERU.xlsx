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EN DE FUENTES" sheetId="2" state="visible" r:id="rId2"/>
    <sheet xmlns:r="http://schemas.openxmlformats.org/officeDocument/2006/relationships" name="COBERTURA IP IV" sheetId="3" state="visible" r:id="rId3"/>
    <sheet xmlns:r="http://schemas.openxmlformats.org/officeDocument/2006/relationships" name="DICCIONARIO" sheetId="4" state="visible" r:id="rId4"/>
    <sheet xmlns:r="http://schemas.openxmlformats.org/officeDocument/2006/relationships" name="SOPARSE NO EXPORTADORAS" sheetId="5" state="visible" r:id="rId5"/>
    <sheet xmlns:r="http://schemas.openxmlformats.org/officeDocument/2006/relationships" name="SCORECARD EUDR" sheetId="6" state="visible" r:id="rId6"/>
    <sheet xmlns:r="http://schemas.openxmlformats.org/officeDocument/2006/relationships" name="SISPAC VENTAS" sheetId="7" state="visible" r:id="rId7"/>
  </sheets>
  <definedNames>
    <definedName name="_xlnm._FilterDatabase" localSheetId="0" hidden="1">'MATRIZ'!$A$4:$AY$249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9CA3AF"/>
      <sz val="9"/>
    </font>
    <font>
      <name val="Calibri"/>
      <b val="1"/>
      <color rgb="00FFFFFF"/>
      <sz val="9"/>
    </font>
    <font>
      <name val="Calibri"/>
      <b val="1"/>
      <color rgb="001E3A5F"/>
      <sz val="8"/>
    </font>
    <font>
      <name val="Calibri"/>
      <color rgb="001F2937"/>
      <sz val="9"/>
    </font>
    <font>
      <name val="Calibri"/>
      <b val="1"/>
      <color rgb="00059669"/>
      <sz val="9"/>
    </font>
    <font>
      <name val="Calibri"/>
      <b val="1"/>
      <color rgb="007C3AED"/>
      <sz val="9"/>
    </font>
    <font>
      <name val="Calibri"/>
      <b val="1"/>
      <color rgb="00FFFFFF"/>
      <sz val="10"/>
    </font>
    <font>
      <name val="Calibri"/>
      <b val="1"/>
      <color rgb="00DC2626"/>
      <sz val="9"/>
    </font>
    <font>
      <name val="Calibri"/>
      <b val="1"/>
      <color rgb="00B45309"/>
      <sz val="9"/>
    </font>
    <font>
      <name val="Calibri"/>
      <b val="1"/>
      <color rgb="00D97706"/>
      <sz val="9"/>
    </font>
    <font>
      <name val="Calibri"/>
      <color rgb="009CA3AF"/>
      <sz val="8"/>
    </font>
    <font>
      <name val="Calibri"/>
      <b val="1"/>
      <color rgb="001F2937"/>
      <sz val="9"/>
    </font>
    <font>
      <name val="Calibri"/>
      <i val="1"/>
      <color rgb="00374151"/>
      <sz val="8"/>
    </font>
    <font>
      <name val="Calibri"/>
      <i val="1"/>
      <color rgb="006B7280"/>
      <sz val="8"/>
    </font>
    <font>
      <b val="1"/>
      <sz val="10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b val="1"/>
      <color rgb="00FFFFFF"/>
      <sz val="8"/>
    </font>
    <font>
      <color rgb="00333333"/>
      <sz val="8"/>
    </font>
    <font>
      <name val="Calibri"/>
      <i val="1"/>
      <color rgb="00444444"/>
      <sz val="8"/>
    </font>
    <font>
      <name val="Calibri"/>
      <i val="1"/>
      <color rgb="00333333"/>
      <sz val="8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4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0891B2"/>
      </patternFill>
    </fill>
    <fill>
      <patternFill patternType="solid">
        <fgColor rgb="007C3AED"/>
      </patternFill>
    </fill>
    <fill>
      <patternFill patternType="solid">
        <fgColor rgb="000D9488"/>
      </patternFill>
    </fill>
    <fill>
      <patternFill patternType="solid">
        <fgColor rgb="00B45309"/>
      </patternFill>
    </fill>
    <fill>
      <patternFill patternType="solid">
        <fgColor rgb="00475569"/>
      </patternFill>
    </fill>
    <fill>
      <patternFill patternType="solid">
        <fgColor rgb="00374151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9FAFB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1F5C2E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AD1457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37474F"/>
      </patternFill>
    </fill>
    <fill>
      <patternFill patternType="solid">
        <fgColor rgb="00F5F5F5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E0CC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F4B8C1"/>
      </patternFill>
    </fill>
    <fill>
      <patternFill patternType="solid">
        <fgColor rgb="001F497D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bottom style="thin">
        <color rgb="00999999"/>
      </bottom>
    </border>
    <border>
      <bottom style="medium">
        <color rgb="000D3473"/>
      </bottom>
    </border>
    <border>
      <right/>
      <bottom style="medium">
        <color rgb="000D3473"/>
      </bottom>
    </border>
    <border>
      <left/>
      <right/>
      <top/>
      <bottom style="medium">
        <color rgb="000D3473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13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11" fillId="20" borderId="1" applyAlignment="1" pivotButton="0" quotePrefix="0" xfId="0">
      <alignment horizontal="left" vertical="center" wrapText="1"/>
    </xf>
    <xf numFmtId="0" fontId="11" fillId="20" borderId="0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/>
    </xf>
    <xf numFmtId="0" fontId="13" fillId="21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 wrapText="1"/>
    </xf>
    <xf numFmtId="0" fontId="17" fillId="22" borderId="0" applyAlignment="1" pivotButton="0" quotePrefix="0" xfId="0">
      <alignment horizontal="center" vertical="center" wrapText="1"/>
    </xf>
    <xf numFmtId="0" fontId="18" fillId="23" borderId="0" applyAlignment="1" pivotButton="0" quotePrefix="0" xfId="0">
      <alignment horizontal="center" vertical="center" wrapText="1"/>
    </xf>
    <xf numFmtId="0" fontId="18" fillId="22" borderId="0" applyAlignment="1" pivotButton="0" quotePrefix="0" xfId="0">
      <alignment horizontal="center" vertical="center" wrapText="1"/>
    </xf>
    <xf numFmtId="0" fontId="18" fillId="24" borderId="0" applyAlignment="1" pivotButton="0" quotePrefix="0" xfId="0">
      <alignment horizontal="center" vertical="center" wrapText="1"/>
    </xf>
    <xf numFmtId="0" fontId="18" fillId="25" borderId="0" applyAlignment="1" pivotButton="0" quotePrefix="0" xfId="0">
      <alignment horizontal="center" vertical="center" wrapText="1"/>
    </xf>
    <xf numFmtId="0" fontId="18" fillId="26" borderId="0" applyAlignment="1" pivotButton="0" quotePrefix="0" xfId="0">
      <alignment horizontal="center" vertical="center" wrapText="1"/>
    </xf>
    <xf numFmtId="0" fontId="18" fillId="27" borderId="0" applyAlignment="1" pivotButton="0" quotePrefix="0" xfId="0">
      <alignment horizontal="center" vertical="center" wrapText="1"/>
    </xf>
    <xf numFmtId="0" fontId="18" fillId="28" borderId="0" applyAlignment="1" pivotButton="0" quotePrefix="0" xfId="0">
      <alignment horizontal="center" vertical="center" wrapText="1"/>
    </xf>
    <xf numFmtId="0" fontId="18" fillId="24" borderId="6" applyAlignment="1" pivotButton="0" quotePrefix="0" xfId="0">
      <alignment horizontal="center" vertical="center" wrapText="1"/>
    </xf>
    <xf numFmtId="0" fontId="19" fillId="29" borderId="6" applyAlignment="1" pivotButton="0" quotePrefix="0" xfId="0">
      <alignment horizontal="left" vertical="center" wrapText="1"/>
    </xf>
    <xf numFmtId="0" fontId="20" fillId="29" borderId="6" applyAlignment="1" pivotButton="0" quotePrefix="0" xfId="0">
      <alignment horizontal="left" vertical="center" wrapText="1"/>
    </xf>
    <xf numFmtId="0" fontId="19" fillId="29" borderId="6" applyAlignment="1" pivotButton="0" quotePrefix="0" xfId="0">
      <alignment horizontal="right" vertical="center"/>
    </xf>
    <xf numFmtId="0" fontId="19" fillId="14" borderId="6" applyAlignment="1" pivotButton="0" quotePrefix="0" xfId="0">
      <alignment horizontal="left" vertical="center" wrapText="1"/>
    </xf>
    <xf numFmtId="0" fontId="20" fillId="14" borderId="6" applyAlignment="1" pivotButton="0" quotePrefix="0" xfId="0">
      <alignment horizontal="left" vertical="center" wrapText="1"/>
    </xf>
    <xf numFmtId="0" fontId="19" fillId="14" borderId="6" applyAlignment="1" pivotButton="0" quotePrefix="0" xfId="0">
      <alignment horizontal="right" vertical="center"/>
    </xf>
    <xf numFmtId="3" fontId="19" fillId="29" borderId="6" applyAlignment="1" pivotButton="0" quotePrefix="0" xfId="0">
      <alignment horizontal="right" vertical="center"/>
    </xf>
    <xf numFmtId="3" fontId="19" fillId="14" borderId="6" applyAlignment="1" pivotButton="0" quotePrefix="0" xfId="0">
      <alignment horizontal="right" vertical="center"/>
    </xf>
    <xf numFmtId="0" fontId="20" fillId="30" borderId="6" applyAlignment="1" pivotButton="0" quotePrefix="0" xfId="0">
      <alignment horizontal="center" vertical="center" wrapText="1"/>
    </xf>
    <xf numFmtId="0" fontId="19" fillId="30" borderId="6" applyAlignment="1" pivotButton="0" quotePrefix="0" xfId="0">
      <alignment horizontal="left" vertical="center" wrapText="1"/>
    </xf>
    <xf numFmtId="0" fontId="19" fillId="30" borderId="6" applyAlignment="1" pivotButton="0" quotePrefix="0" xfId="0">
      <alignment horizontal="center" vertical="center" wrapText="1"/>
    </xf>
    <xf numFmtId="0" fontId="18" fillId="31" borderId="6" applyAlignment="1" pivotButton="0" quotePrefix="0" xfId="0">
      <alignment horizontal="center" vertical="center" wrapText="1"/>
    </xf>
    <xf numFmtId="0" fontId="21" fillId="32" borderId="6" applyAlignment="1" pivotButton="0" quotePrefix="0" xfId="0">
      <alignment horizontal="center" vertical="center" wrapText="1"/>
    </xf>
    <xf numFmtId="0" fontId="22" fillId="32" borderId="6" applyAlignment="1" pivotButton="0" quotePrefix="0" xfId="0">
      <alignment horizontal="center" vertical="center" wrapText="1"/>
    </xf>
    <xf numFmtId="0" fontId="23" fillId="33" borderId="7" applyAlignment="1" pivotButton="0" quotePrefix="0" xfId="0">
      <alignment horizontal="center" vertical="center" wrapText="1"/>
    </xf>
    <xf numFmtId="0" fontId="23" fillId="34" borderId="7" applyAlignment="1" pivotButton="0" quotePrefix="0" xfId="0">
      <alignment horizontal="center" vertical="center" wrapText="1"/>
    </xf>
    <xf numFmtId="0" fontId="23" fillId="35" borderId="7" applyAlignment="1" pivotButton="0" quotePrefix="0" xfId="0">
      <alignment horizontal="center" vertical="center" wrapText="1"/>
    </xf>
    <xf numFmtId="0" fontId="23" fillId="36" borderId="7" applyAlignment="1" pivotButton="0" quotePrefix="0" xfId="0">
      <alignment horizontal="center" vertical="center" wrapText="1"/>
    </xf>
    <xf numFmtId="0" fontId="23" fillId="37" borderId="7" applyAlignment="1" pivotButton="0" quotePrefix="0" xfId="0">
      <alignment horizontal="center" vertical="center" wrapText="1"/>
    </xf>
    <xf numFmtId="0" fontId="23" fillId="38" borderId="7" applyAlignment="1" pivotButton="0" quotePrefix="0" xfId="0">
      <alignment horizontal="center" vertical="center" wrapText="1"/>
    </xf>
    <xf numFmtId="0" fontId="23" fillId="39" borderId="7" applyAlignment="1" pivotButton="0" quotePrefix="0" xfId="0">
      <alignment horizontal="center" vertical="center" wrapText="1"/>
    </xf>
    <xf numFmtId="0" fontId="8" fillId="40" borderId="0" applyAlignment="1" pivotButton="0" quotePrefix="0" xfId="0">
      <alignment horizontal="center" vertical="center"/>
    </xf>
    <xf numFmtId="0" fontId="24" fillId="41" borderId="0" applyAlignment="1" pivotButton="0" quotePrefix="0" xfId="0">
      <alignment horizontal="center" vertical="center" wrapText="1"/>
    </xf>
    <xf numFmtId="164" fontId="25" fillId="36" borderId="0" applyAlignment="1" pivotButton="0" quotePrefix="0" xfId="0">
      <alignment horizontal="center" vertical="center"/>
    </xf>
    <xf numFmtId="0" fontId="26" fillId="4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7" fillId="0" borderId="0" pivotButton="0" quotePrefix="0" xfId="0"/>
    <xf numFmtId="0" fontId="23" fillId="39" borderId="1" applyAlignment="1" pivotButton="0" quotePrefix="0" xfId="0">
      <alignment horizontal="center" vertical="center" wrapText="1"/>
    </xf>
    <xf numFmtId="0" fontId="27" fillId="11" borderId="0" applyAlignment="1" pivotButton="0" quotePrefix="0" xfId="0">
      <alignment horizontal="center" vertical="center" wrapText="1"/>
    </xf>
    <xf numFmtId="0" fontId="23" fillId="33" borderId="6" applyAlignment="1" pivotButton="0" quotePrefix="0" xfId="0">
      <alignment horizontal="center" vertical="center" wrapText="1"/>
    </xf>
    <xf numFmtId="0" fontId="23" fillId="34" borderId="1" applyAlignment="1" pivotButton="0" quotePrefix="0" xfId="0">
      <alignment horizontal="center" vertical="center" wrapText="1"/>
    </xf>
    <xf numFmtId="0" fontId="23" fillId="35" borderId="1" applyAlignment="1" pivotButton="0" quotePrefix="0" xfId="0">
      <alignment horizontal="center" vertical="center" wrapText="1"/>
    </xf>
    <xf numFmtId="0" fontId="23" fillId="36" borderId="1" applyAlignment="1" pivotButton="0" quotePrefix="0" xfId="0">
      <alignment horizontal="center" vertical="center" wrapText="1"/>
    </xf>
    <xf numFmtId="0" fontId="23" fillId="37" borderId="1" applyAlignment="1" pivotButton="0" quotePrefix="0" xfId="0">
      <alignment horizontal="center" vertical="center" wrapText="1"/>
    </xf>
    <xf numFmtId="0" fontId="23" fillId="38" borderId="1" applyAlignment="1" pivotButton="0" quotePrefix="0" xfId="0">
      <alignment horizontal="center" vertical="center" wrapText="1"/>
    </xf>
    <xf numFmtId="0" fontId="23" fillId="33" borderId="1" applyAlignment="1" pivotButton="0" quotePrefix="0" xfId="0">
      <alignment horizontal="center" vertical="center" wrapText="1"/>
    </xf>
    <xf numFmtId="0" fontId="23" fillId="35" borderId="0" applyAlignment="1" pivotButton="0" quotePrefix="0" xfId="0">
      <alignment horizontal="center" vertical="center" wrapText="1"/>
    </xf>
    <xf numFmtId="0" fontId="23" fillId="4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30" customWidth="1" min="2" max="2"/>
    <col width="10" customWidth="1" min="3" max="3"/>
    <col width="28" customWidth="1" min="4" max="4"/>
    <col width="14" customWidth="1" min="5" max="5"/>
    <col width="16" customWidth="1" min="6" max="6"/>
    <col width="22" customWidth="1" min="7" max="7"/>
    <col width="10" customWidth="1" min="8" max="8"/>
    <col width="8" customWidth="1" min="9" max="9"/>
    <col width="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10" customWidth="1" min="18" max="18"/>
    <col width="10" customWidth="1" min="19" max="19"/>
    <col width="28" customWidth="1" min="20" max="20"/>
    <col width="10" customWidth="1" min="21" max="21"/>
    <col width="22" customWidth="1" min="22" max="22"/>
    <col width="30" customWidth="1" min="23" max="23"/>
    <col width="16" customWidth="1" min="24" max="24"/>
    <col width="30" customWidth="1" min="25" max="25"/>
    <col width="8" customWidth="1" min="26" max="26"/>
    <col width="8" customWidth="1" min="27" max="27"/>
    <col width="8" customWidth="1" min="28" max="28"/>
    <col width="8" customWidth="1" min="29" max="29"/>
    <col width="34" customWidth="1" min="30" max="30"/>
    <col width="16" customWidth="1" min="31" max="31"/>
    <col width="16" customWidth="1" min="32" max="32"/>
    <col width="16" customWidth="1" min="33" max="33"/>
    <col width="20" customWidth="1" min="34" max="34"/>
    <col width="28" customWidth="1" min="35" max="35"/>
    <col width="14" customWidth="1" min="36" max="36"/>
    <col width="10" customWidth="1" min="37" max="37"/>
    <col width="16" customWidth="1" min="38" max="38"/>
    <col width="8" customWidth="1" min="39" max="39"/>
    <col width="22" customWidth="1" min="40" max="40"/>
    <col width="22" customWidth="1" min="41" max="41"/>
    <col width="8" customWidth="1" min="42" max="42"/>
    <col width="30" customWidth="1" min="43" max="43"/>
    <col width="30" customWidth="1" min="44" max="44"/>
    <col width="14" customWidth="1" min="45" max="45"/>
    <col width="12" customWidth="1" min="46" max="46"/>
    <col width="12" customWidth="1" min="47" max="47"/>
    <col width="8" customWidth="1" min="48" max="48"/>
    <col width="8" customWidth="1" min="49" max="49"/>
  </cols>
  <sheetData>
    <row r="1" ht="30" customHeight="1">
      <c r="A1" s="82" t="inlineStr">
        <is>
          <t>EUDR PERU — Matriz Maestra de Cooperativas Cafetaleras y Cacaoteras  |  ISCAM: ISA · IP · IV · RE  |  258 organizaciones  |  Fuentes: SUNAT · MIDAGRI · PRODUCE · PAC · CENCOOP 2017  |  v18 (sep 2026)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  <c r="W1" s="83" t="n"/>
      <c r="X1" s="83" t="n"/>
      <c r="Y1" s="83" t="n"/>
      <c r="Z1" s="83" t="n"/>
      <c r="AA1" s="83" t="n"/>
      <c r="AB1" s="83" t="n"/>
      <c r="AC1" s="83" t="n"/>
      <c r="AD1" s="83" t="n"/>
      <c r="AE1" s="83" t="n"/>
      <c r="AF1" s="83" t="n"/>
      <c r="AG1" s="83" t="n"/>
      <c r="AH1" s="83" t="n"/>
      <c r="AI1" s="83" t="n"/>
      <c r="AJ1" s="83" t="n"/>
      <c r="AK1" s="83" t="n"/>
      <c r="AL1" s="83" t="n"/>
      <c r="AM1" s="83" t="n"/>
      <c r="AN1" s="83" t="n"/>
      <c r="AO1" s="83" t="n"/>
      <c r="AP1" s="83" t="n"/>
      <c r="AQ1" s="83" t="n"/>
      <c r="AR1" s="83" t="n"/>
      <c r="AS1" s="83" t="n"/>
      <c r="AT1" s="83" t="n"/>
      <c r="AU1" s="83" t="n"/>
      <c r="AV1" s="83" t="n"/>
      <c r="AW1" s="83" t="n"/>
      <c r="AX1" s="83" t="n"/>
      <c r="AY1" s="83" t="n"/>
      <c r="AZ1" s="83" t="n"/>
      <c r="BA1" s="83" t="n"/>
      <c r="BB1" s="83" t="n"/>
      <c r="BC1" s="83" t="n"/>
      <c r="BD1" s="83" t="n"/>
      <c r="BE1" s="83" t="n"/>
      <c r="BF1" s="83" t="n"/>
    </row>
    <row r="2" ht="6" customHeight="1"/>
    <row r="3" ht="6" customHeight="1"/>
    <row r="4" ht="28" customHeight="1">
      <c r="A4" s="84" t="inlineStr">
        <is>
          <t>FUENTE</t>
        </is>
      </c>
      <c r="B4" s="84" t="inlineStr">
        <is>
          <t>RUC</t>
        </is>
      </c>
      <c r="C4" s="84" t="inlineStr">
        <is>
          <t>Nombre</t>
        </is>
      </c>
      <c r="D4" s="84" t="inlineStr">
        <is>
          <t>Tipo PROD.</t>
        </is>
      </c>
      <c r="E4" s="84" t="inlineStr">
        <is>
          <t>Actividad CIIU</t>
        </is>
      </c>
      <c r="F4" s="84" t="inlineStr">
        <is>
          <t>Departamento</t>
        </is>
      </c>
      <c r="G4" s="84" t="inlineStr">
        <is>
          <t>Provincia</t>
        </is>
      </c>
      <c r="H4" s="84" t="inlineStr">
        <is>
          <t>Macro-zona Directorio PAC</t>
        </is>
      </c>
      <c r="I4" s="84" t="inlineStr">
        <is>
          <t>Producto Directorio PAC</t>
        </is>
      </c>
      <c r="J4" s="84" t="inlineStr">
        <is>
          <t>Exporta PROD.</t>
        </is>
      </c>
      <c r="K4" s="84" t="inlineStr">
        <is>
          <t>FOB&gt;0</t>
        </is>
      </c>
      <c r="L4" s="84" t="inlineStr">
        <is>
          <t>FOB 2024
(miles USD)</t>
        </is>
      </c>
      <c r="M4" s="84" t="inlineStr">
        <is>
          <t>FOB USD
(SUNAT)</t>
        </is>
      </c>
      <c r="N4" s="84" t="inlineStr">
        <is>
          <t>N ops exp.</t>
        </is>
      </c>
      <c r="O4" s="84" t="inlineStr">
        <is>
          <t>N paises</t>
        </is>
      </c>
      <c r="P4" s="84" t="inlineStr">
        <is>
          <t>N socios</t>
        </is>
      </c>
      <c r="Q4" s="84" t="inlineStr">
        <is>
          <t>N trabaj.</t>
        </is>
      </c>
      <c r="R4" s="84" t="inlineStr">
        <is>
          <t>CENACOOP_fusion_EUDR  |  2024</t>
        </is>
      </c>
      <c r="S4" s="84" t="inlineStr">
        <is>
          <t>Ano inscrip.</t>
        </is>
      </c>
      <c r="T4" s="84" t="inlineStr">
        <is>
          <t>Anios oper.</t>
        </is>
      </c>
      <c r="U4" s="84" t="inlineStr">
        <is>
          <t>Certificacion Directorio PAC</t>
        </is>
      </c>
      <c r="V4" s="84" t="inlineStr">
        <is>
          <t>Cert presente</t>
        </is>
      </c>
      <c r="W4" s="84" t="inlineStr">
        <is>
          <t>Representante</t>
        </is>
      </c>
      <c r="X4" s="84" t="inlineStr">
        <is>
          <t>Cargo / nota</t>
        </is>
      </c>
      <c r="Y4" s="84" t="inlineStr">
        <is>
          <t>Telefono</t>
        </is>
      </c>
      <c r="Z4" s="84" t="inlineStr">
        <is>
          <t>Correo</t>
        </is>
      </c>
      <c r="AA4" s="84" t="inlineStr">
        <is>
          <t>En Directorio PAC (Cepicafe)</t>
        </is>
      </c>
      <c r="AB4" s="84" t="inlineStr">
        <is>
          <t>En MIDAGRI</t>
        </is>
      </c>
      <c r="AC4" s="84" t="inlineStr">
        <is>
          <t>En CENACOOP</t>
        </is>
      </c>
      <c r="AD4" s="84" t="inlineStr">
        <is>
          <t>Flag CENCOOP
2017</t>
        </is>
      </c>
      <c r="AE4" s="84" t="inlineStr">
        <is>
          <t>Razon social
CENCOOP</t>
        </is>
      </c>
      <c r="AF4" s="84" t="inlineStr">
        <is>
          <t>Dpto CENCOOP</t>
        </is>
      </c>
      <c r="AG4" s="84" t="inlineStr">
        <is>
          <t>Prov CENCOOP</t>
        </is>
      </c>
      <c r="AH4" s="84" t="inlineStr">
        <is>
          <t>Dist CENCOOP</t>
        </is>
      </c>
      <c r="AI4" s="84" t="inlineStr">
        <is>
          <t>CCPP CENCOOP</t>
        </is>
      </c>
      <c r="AJ4" s="86" t="inlineStr">
        <is>
          <t>CIIU descripcion</t>
        </is>
      </c>
      <c r="AK4" s="84" t="inlineStr">
        <is>
          <t>Sector CENCOOP</t>
        </is>
      </c>
      <c r="AL4" s="84" t="inlineStr">
        <is>
          <t>Estado 2017</t>
        </is>
      </c>
      <c r="AM4" s="84" t="inlineStr">
        <is>
          <t>Rango ing.
2016</t>
        </is>
      </c>
      <c r="AN4" s="84" t="inlineStr">
        <is>
          <t>Anios oper.
CENCOOP</t>
        </is>
      </c>
      <c r="AO4" s="84" t="inlineStr">
        <is>
          <t>Presidente</t>
        </is>
      </c>
      <c r="AP4" s="84" t="inlineStr">
        <is>
          <t>Gerente profesion</t>
        </is>
      </c>
      <c r="AQ4" s="84" t="inlineStr">
        <is>
          <t>Gerente edad</t>
        </is>
      </c>
      <c r="AR4" s="84" t="inlineStr">
        <is>
          <t>Web</t>
        </is>
      </c>
      <c r="AS4" s="84" t="inlineStr">
        <is>
          <t>Correo CENCOOP</t>
        </is>
      </c>
      <c r="AT4" s="84" t="inlineStr">
        <is>
          <t>Telefono movil</t>
        </is>
      </c>
      <c r="AU4" s="84" t="inlineStr">
        <is>
          <t>Latitud</t>
        </is>
      </c>
      <c r="AV4" s="84" t="inlineStr">
        <is>
          <t>Longitud</t>
        </is>
      </c>
      <c r="AW4" s="84" t="inlineStr">
        <is>
          <t>Ano constit.</t>
        </is>
      </c>
      <c r="AX4" s="84" t="inlineStr">
        <is>
          <t>Ano inicio oper.</t>
        </is>
      </c>
      <c r="AY4" s="84" t="inlineStr">
        <is>
          <t>N fuentes</t>
        </is>
      </c>
      <c r="AZ4" s="84" t="inlineStr">
        <is>
          <t>Ano actualizacion</t>
        </is>
      </c>
      <c r="BA4" s="84" t="inlineStr">
        <is>
          <t>Paises destino</t>
        </is>
      </c>
      <c r="BB4" s="84" t="inlineStr">
        <is>
          <t>Ano inicio exp.</t>
        </is>
      </c>
      <c r="BC4" s="84" t="inlineStr">
        <is>
          <t>Ano fin exp.</t>
        </is>
      </c>
      <c r="BD4" s="84" t="inlineStr">
        <is>
          <t>ISA_proxy</t>
        </is>
      </c>
      <c r="BE4" s="84" t="inlineStr">
        <is>
          <t>IP_proxy</t>
        </is>
      </c>
      <c r="BF4" s="84" t="inlineStr">
        <is>
          <t>IV_proxy</t>
        </is>
      </c>
      <c r="BG4" t="inlineStr">
        <is>
          <t>DUA_items_total</t>
        </is>
      </c>
      <c r="BH4" t="inlineStr">
        <is>
          <t>DUA_organico_items</t>
        </is>
      </c>
      <c r="BI4" t="inlineStr">
        <is>
          <t>DUA_fairtrade_items</t>
        </is>
      </c>
      <c r="BJ4" t="inlineStr">
        <is>
          <t>DUA_rainforest_items</t>
        </is>
      </c>
      <c r="BK4" t="inlineStr">
        <is>
          <t>DUA_utz_items</t>
        </is>
      </c>
      <c r="BL4" t="inlineStr">
        <is>
          <t>DUA_bolsa_items</t>
        </is>
      </c>
      <c r="BM4" t="inlineStr">
        <is>
          <t>DUA_granel_items</t>
        </is>
      </c>
      <c r="BN4" t="inlineStr">
        <is>
          <t>DUA_en_grano_items</t>
        </is>
      </c>
      <c r="BO4" t="inlineStr">
        <is>
          <t>DUA_washed_items</t>
        </is>
      </c>
      <c r="BP4" t="inlineStr">
        <is>
          <t>DUA_natural_items</t>
        </is>
      </c>
      <c r="BQ4" t="inlineStr">
        <is>
          <t>DUA_honey_items</t>
        </is>
      </c>
      <c r="BR4" t="inlineStr">
        <is>
          <t>DUA_marca_items</t>
        </is>
      </c>
      <c r="BS4" t="inlineStr">
        <is>
          <t>DUA_lote_items</t>
        </is>
      </c>
      <c r="BT4" t="inlineStr">
        <is>
          <t>DUA_contrato_items</t>
        </is>
      </c>
      <c r="BU4" t="inlineStr">
        <is>
          <t>DUA_arabica_items</t>
        </is>
      </c>
      <c r="BV4" t="inlineStr">
        <is>
          <t>DUA_robusta_items</t>
        </is>
      </c>
      <c r="BW4" t="inlineStr">
        <is>
          <t>DUA_tiene_marca_origen</t>
        </is>
      </c>
      <c r="BX4" t="inlineStr">
        <is>
          <t>DUA_tiene_lote</t>
        </is>
      </c>
      <c r="BY4" t="inlineStr">
        <is>
          <t>DUA_tiene_contrato</t>
        </is>
      </c>
      <c r="BZ4" t="inlineStr">
        <is>
          <t>DUA_pct_organico</t>
        </is>
      </c>
      <c r="CA4" t="inlineStr">
        <is>
          <t>DUA_pct_bolsa</t>
        </is>
      </c>
      <c r="CB4" t="inlineStr">
        <is>
          <t>DUA_pct_granel</t>
        </is>
      </c>
      <c r="CC4" t="inlineStr">
        <is>
          <t>DUA_pct_washed</t>
        </is>
      </c>
      <c r="CD4" t="inlineStr">
        <is>
          <t>DUA_pct_certificados</t>
        </is>
      </c>
      <c r="CE4" t="inlineStr">
        <is>
          <t>DUA_trazabilidad_score</t>
        </is>
      </c>
      <c r="CF4" t="inlineStr">
        <is>
          <t>DUA_certificacion_score</t>
        </is>
      </c>
    </row>
    <row r="5" ht="40" customHeight="1">
      <c r="A5" s="87" t="inlineStr">
        <is>
          <t>—</t>
        </is>
      </c>
      <c r="B5" s="88" t="inlineStr">
        <is>
          <t>SUNAT_API_identidad-fiscal (validacion RUC)  |  2026</t>
        </is>
      </c>
      <c r="C5" s="88" t="inlineStr">
        <is>
          <t>SUNAT_API_identidad-fiscal  |  2026</t>
        </is>
      </c>
      <c r="D5" s="89" t="inlineStr">
        <is>
          <t>PRODUCE_2_Matriz_informacion_Estudios_economicos_29.05.2023  |  2023</t>
        </is>
      </c>
      <c r="E5" s="88" t="inlineStr">
        <is>
          <t>SUNAT_API_identidad-fiscal  |  2026</t>
        </is>
      </c>
      <c r="F5" s="88" t="inlineStr">
        <is>
          <t>SUNAT_API_identidad-fiscal  |  2026</t>
        </is>
      </c>
      <c r="G5" s="90" t="inlineStr">
        <is>
          <t>MIDAGRI_reg-nacional-cooperativas-agrarias-260226  |  2026</t>
        </is>
      </c>
      <c r="H5" s="91" t="inlineStr">
        <is>
          <t>Directorio_PAC_Cepicafe-Norandino  |  2024</t>
        </is>
      </c>
      <c r="I5" s="91" t="inlineStr">
        <is>
          <t>Directorio_PAC_Cepicafe-Norandino  |  2024</t>
        </is>
      </c>
      <c r="J5" s="89" t="inlineStr">
        <is>
          <t>PRODUCE_2_Matriz_informacion_Estudios_economicos_29.05.2023  |  2023</t>
        </is>
      </c>
      <c r="K5" s="89" t="inlineStr">
        <is>
          <t>PRODUCE_2_Matriz_informacion_Estudios_economicos_29.05.2023  |  2023</t>
        </is>
      </c>
      <c r="L5" s="89" t="inlineStr">
        <is>
          <t>PRODUCE_2_Matriz_informacion_Estudios_economicos_29.05.2023  |  2023</t>
        </is>
      </c>
      <c r="M5" s="88" t="inlineStr">
        <is>
          <t>SUNAT_exportaciones_2010_2025  |  2010-2025</t>
        </is>
      </c>
      <c r="N5" s="89" t="inlineStr">
        <is>
          <t>PRODUCE_2_Matriz_informacion_Estudios_economicos_29.05.2023  |  2023</t>
        </is>
      </c>
      <c r="O5" s="89" t="inlineStr">
        <is>
          <t>PRODUCE_2_Matriz_informacion_Estudios_economicos_29.05.2023  |  2023</t>
        </is>
      </c>
      <c r="P5" s="90" t="inlineStr">
        <is>
          <t>MIDAGRI_reg-nacional-cooperativas-agrarias-260226  |  2026</t>
        </is>
      </c>
      <c r="Q5" s="90" t="inlineStr">
        <is>
          <t>MIDAGRI_reg-nacional-cooperativas-agrarias-260226  |  2026</t>
        </is>
      </c>
      <c r="R5" s="85" t="inlineStr">
        <is>
          <t>CENACOOP_fusion_EUDR (data2024_ventas_prom_soles)  |  2024</t>
        </is>
      </c>
      <c r="S5" s="90" t="inlineStr">
        <is>
          <t>MIDAGRI_reg-nacional-cooperativas-agrarias-260226  |  2026</t>
        </is>
      </c>
      <c r="T5" s="92" t="inlineStr">
        <is>
          <t>MIDAGRI_reg-nacional-cooperativas-agrarias-260226 / CENCOOP_2017  |  2026</t>
        </is>
      </c>
      <c r="U5" s="91" t="inlineStr">
        <is>
          <t>Directorio_PAC_Cepicafe-Norandino  |  2024</t>
        </is>
      </c>
      <c r="V5" s="89" t="inlineStr">
        <is>
          <t>Validacion_propia (cruce PAC+PRODUCE)  |  2026</t>
        </is>
      </c>
      <c r="W5" s="90" t="inlineStr">
        <is>
          <t>MIDAGRI_reg-nacional-cooperativas-agrarias-260226  |  2026</t>
        </is>
      </c>
      <c r="X5" s="90" t="inlineStr">
        <is>
          <t>MIDAGRI_reg-nacional-cooperativas-agrarias-260226  |  2026</t>
        </is>
      </c>
      <c r="Y5" s="90" t="inlineStr">
        <is>
          <t>MIDAGRI_reg-nacional-cooperativas-agrarias-260226 / SUNAT_API  |  2026</t>
        </is>
      </c>
      <c r="Z5" s="90" t="inlineStr">
        <is>
          <t>MIDAGRI_reg-nacional-cooperativas-agrarias-260226 / SUNAT_API  |  2026</t>
        </is>
      </c>
      <c r="AA5" s="91" t="inlineStr">
        <is>
          <t>Directorio_PAC_Cepicafe-Norandino  |  2024</t>
        </is>
      </c>
      <c r="AB5" s="90" t="inlineStr">
        <is>
          <t>MIDAGRI_reg-nacional-cooperativas-agrarias-260226  |  2026</t>
        </is>
      </c>
      <c r="AC5" s="85" t="inlineStr">
        <is>
          <t>CENACOOP_fusion_EUDR  |  2026</t>
        </is>
      </c>
      <c r="AD5" s="92" t="inlineStr">
        <is>
          <t>CENCOOP_2017  |  2017</t>
        </is>
      </c>
      <c r="AE5" s="92" t="inlineStr">
        <is>
          <t>CENCOOP_2017  |  2017</t>
        </is>
      </c>
      <c r="AF5" s="92" t="inlineStr">
        <is>
          <t>CENCOOP_2017  |  2017</t>
        </is>
      </c>
      <c r="AG5" s="92" t="inlineStr">
        <is>
          <t>CENCOOP_2017  |  2017</t>
        </is>
      </c>
      <c r="AH5" s="92" t="inlineStr">
        <is>
          <t>CENCOOP_2017  |  2017</t>
        </is>
      </c>
      <c r="AI5" s="92" t="inlineStr">
        <is>
          <t>CENCOOP_2017  |  2017</t>
        </is>
      </c>
      <c r="AJ5" s="92" t="inlineStr">
        <is>
          <t>CENCOOP_2017  |  2017</t>
        </is>
      </c>
      <c r="AK5" s="92" t="inlineStr">
        <is>
          <t>CENCOOP_2017  |  2017</t>
        </is>
      </c>
      <c r="AL5" s="92" t="inlineStr">
        <is>
          <t>CENCOOP_2017  |  2017</t>
        </is>
      </c>
      <c r="AM5" s="92" t="inlineStr">
        <is>
          <t>CENCOOP_2017  |  2017</t>
        </is>
      </c>
      <c r="AN5" s="92" t="inlineStr">
        <is>
          <t>CENCOOP_2017  |  2017</t>
        </is>
      </c>
      <c r="AO5" s="92" t="inlineStr">
        <is>
          <t>CENCOOP_2017  |  2017</t>
        </is>
      </c>
      <c r="AP5" s="92" t="inlineStr">
        <is>
          <t>CENCOOP_2017  |  2017</t>
        </is>
      </c>
      <c r="AQ5" s="92" t="inlineStr">
        <is>
          <t>CENCOOP_2017  |  2017</t>
        </is>
      </c>
      <c r="AR5" s="92" t="inlineStr">
        <is>
          <t>CENCOOP_2017  |  2017</t>
        </is>
      </c>
      <c r="AS5" s="92" t="inlineStr">
        <is>
          <t>CENCOOP_2017  |  2017</t>
        </is>
      </c>
      <c r="AT5" s="92" t="inlineStr">
        <is>
          <t>CENCOOP_2017  |  2017</t>
        </is>
      </c>
      <c r="AU5" s="92" t="inlineStr">
        <is>
          <t>CENCOOP_2017  |  2017</t>
        </is>
      </c>
      <c r="AV5" s="92" t="inlineStr">
        <is>
          <t>CENCOOP_2017  |  2017</t>
        </is>
      </c>
      <c r="AW5" s="92" t="inlineStr">
        <is>
          <t>CENCOOP_2017  |  2017</t>
        </is>
      </c>
      <c r="AX5" s="92" t="inlineStr">
        <is>
          <t>CENCOOP_2017  |  2017</t>
        </is>
      </c>
      <c r="AY5" s="93" t="inlineStr">
        <is>
          <t>—concat_propio  |  —</t>
        </is>
      </c>
      <c r="AZ5" s="93" t="inlineStr">
        <is>
          <t>—concat_propio  |  —</t>
        </is>
      </c>
      <c r="BA5" s="94" t="inlineStr">
        <is>
          <t>PRODUCE_2_Matriz_informacion_Estudios_economicos_29.05.2023 / SUNAT_exportaciones  |  2023</t>
        </is>
      </c>
      <c r="BB5" s="94" t="inlineStr">
        <is>
          <t>PRODUCE_2_Matriz_informacion_Estudios_economicos_29.05.2023 / SUNAT_exportaciones  |  2023</t>
        </is>
      </c>
      <c r="BC5" s="94" t="inlineStr">
        <is>
          <t>PRODUCE_2_Matriz_informacion_Estudios_economicos_29.05.2023 / SUNAT_exportaciones  |  2023</t>
        </is>
      </c>
      <c r="BD5" s="95" t="inlineStr">
        <is>
          <t>ISA_proxy: D1-D7=0 sin fuente admin  |  PROXY  |  2026</t>
        </is>
      </c>
      <c r="BE5" s="95" t="inlineStr">
        <is>
          <t>IP_proxy: (T/30+P/500)/2  |  PROXY: aprox desde fuentes admin — NO es ISCAM real  |  2026</t>
        </is>
      </c>
      <c r="BF5" s="95" t="inlineStr">
        <is>
          <t>IV_proxy: cert*FOB normalizado  |  PROXY: aprox desde fuentes admin — NO es ISCAM real  |  2026</t>
        </is>
      </c>
      <c r="BG5" t="inlineStr">
        <is>
          <t>DUA_CONSOLIDADO_con_atributos  |  2026</t>
        </is>
      </c>
      <c r="BH5" t="inlineStr">
        <is>
          <t>DUA_CONSOLIDADO_con_atributos  |  2026</t>
        </is>
      </c>
      <c r="BI5" t="inlineStr">
        <is>
          <t>DUA_CONSOLIDADO_con_atributos  |  2026</t>
        </is>
      </c>
      <c r="BJ5" t="inlineStr">
        <is>
          <t>DUA_CONSOLIDADO_con_atributos  |  2026</t>
        </is>
      </c>
      <c r="BK5" t="inlineStr">
        <is>
          <t>DUA_CONSOLIDADO_con_atributos  |  2026</t>
        </is>
      </c>
      <c r="BL5" t="inlineStr">
        <is>
          <t>DUA_CONSOLIDADO_con_atributos  |  2026</t>
        </is>
      </c>
      <c r="BM5" t="inlineStr">
        <is>
          <t>DUA_CONSOLIDADO_con_atributos  |  2026</t>
        </is>
      </c>
      <c r="BN5" t="inlineStr">
        <is>
          <t>DUA_CONSOLIDADO_con_atributos  |  2026</t>
        </is>
      </c>
      <c r="BO5" t="inlineStr">
        <is>
          <t>DUA_CONSOLIDADO_con_atributos  |  2026</t>
        </is>
      </c>
      <c r="BP5" t="inlineStr">
        <is>
          <t>DUA_CONSOLIDADO_con_atributos  |  2026</t>
        </is>
      </c>
      <c r="BQ5" t="inlineStr">
        <is>
          <t>DUA_CONSOLIDADO_con_atributos  |  2026</t>
        </is>
      </c>
      <c r="BR5" t="inlineStr">
        <is>
          <t>DUA_CONSOLIDADO_con_atributos  |  2026</t>
        </is>
      </c>
      <c r="BS5" t="inlineStr">
        <is>
          <t>DUA_CONSOLIDADO_con_atributos  |  2026</t>
        </is>
      </c>
      <c r="BT5" t="inlineStr">
        <is>
          <t>DUA_CONSOLIDADO_con_atributos  |  2026</t>
        </is>
      </c>
      <c r="BU5" t="inlineStr">
        <is>
          <t>DUA_CONSOLIDADO_con_atributos  |  2026</t>
        </is>
      </c>
      <c r="BV5" t="inlineStr">
        <is>
          <t>DUA_CONSOLIDADO_con_atributos  |  2026</t>
        </is>
      </c>
      <c r="BW5" t="inlineStr">
        <is>
          <t>DUA_CONSOLIDADO_con_atributos  |  2026</t>
        </is>
      </c>
      <c r="BX5" t="inlineStr">
        <is>
          <t>DUA_CONSOLIDADO_con_atributos  |  2026</t>
        </is>
      </c>
      <c r="BY5" t="inlineStr">
        <is>
          <t>DUA_CONSOLIDADO_con_atributos  |  2026</t>
        </is>
      </c>
      <c r="BZ5" t="inlineStr">
        <is>
          <t>DUA_CONSOLIDADO_con_atributos  |  2026</t>
        </is>
      </c>
      <c r="CA5" t="inlineStr">
        <is>
          <t>DUA_CONSOLIDADO_con_atributos  |  2026</t>
        </is>
      </c>
      <c r="CB5" t="inlineStr">
        <is>
          <t>DUA_CONSOLIDADO_con_atributos  |  2026</t>
        </is>
      </c>
      <c r="CC5" t="inlineStr">
        <is>
          <t>DUA_CONSOLIDADO_con_atributos  |  2026</t>
        </is>
      </c>
      <c r="CD5" t="inlineStr">
        <is>
          <t>DUA_CONSOLIDADO_con_atributos  |  2026</t>
        </is>
      </c>
      <c r="CE5" t="inlineStr">
        <is>
          <t>DUA_CONSOLIDADO_con_atributos  |  2026</t>
        </is>
      </c>
      <c r="CF5" t="inlineStr">
        <is>
          <t>DUA_CONSOLIDADO_con_atributos  |  2026</t>
        </is>
      </c>
    </row>
    <row r="6">
      <c r="A6" s="72" t="n"/>
      <c r="B6" s="73" t="n"/>
      <c r="C6" s="73" t="n"/>
      <c r="D6" s="74" t="n"/>
      <c r="E6" s="73" t="n"/>
      <c r="F6" s="73" t="n"/>
      <c r="G6" s="75" t="n"/>
      <c r="H6" s="76" t="n"/>
      <c r="I6" s="76" t="n"/>
      <c r="J6" s="74" t="n"/>
      <c r="K6" s="74" t="n"/>
      <c r="L6" s="74" t="n"/>
      <c r="M6" s="73" t="n"/>
      <c r="N6" s="74" t="n"/>
      <c r="O6" s="74" t="n"/>
      <c r="P6" s="75" t="n"/>
      <c r="Q6" s="75" t="n"/>
      <c r="R6" s="73" t="n"/>
      <c r="S6" s="75" t="n"/>
      <c r="T6" s="77" t="n"/>
      <c r="U6" s="76" t="n"/>
      <c r="V6" s="74" t="n"/>
      <c r="W6" s="75" t="n"/>
      <c r="X6" s="75" t="n"/>
      <c r="Y6" s="75" t="n"/>
      <c r="Z6" s="75" t="n"/>
      <c r="AA6" s="76" t="n"/>
      <c r="AB6" s="75" t="n"/>
      <c r="AC6" s="78" t="n"/>
      <c r="AD6" s="77" t="n"/>
      <c r="AE6" s="77" t="n"/>
      <c r="AF6" s="77" t="n"/>
      <c r="AG6" s="77" t="n"/>
      <c r="AH6" s="77" t="n"/>
      <c r="AI6" s="77" t="n"/>
      <c r="AJ6" s="77" t="n"/>
      <c r="AK6" s="77" t="n"/>
      <c r="AL6" s="77" t="n"/>
      <c r="AM6" s="77" t="n"/>
      <c r="AN6" s="77" t="n"/>
      <c r="AO6" s="77" t="n"/>
      <c r="AP6" s="77" t="n"/>
      <c r="AQ6" s="77" t="n"/>
      <c r="AR6" s="77" t="n"/>
      <c r="AS6" s="77" t="n"/>
      <c r="AT6" s="77" t="n"/>
      <c r="AU6" s="77" t="n"/>
      <c r="AV6" s="77" t="n"/>
      <c r="AW6" s="77" t="n"/>
      <c r="AX6" s="77" t="n"/>
      <c r="AY6" s="72" t="n"/>
      <c r="AZ6" s="72" t="n"/>
      <c r="BA6" s="74" t="n"/>
      <c r="BB6" s="74" t="n"/>
      <c r="BC6" s="74" t="n"/>
      <c r="BD6" s="80" t="n"/>
      <c r="BE6" s="80" t="n"/>
      <c r="BF6" s="80" t="n"/>
    </row>
    <row r="7">
      <c r="B7" s="70" t="inlineStr">
        <is>
          <t>20568271379</t>
        </is>
      </c>
      <c r="C7" s="30" t="inlineStr">
        <is>
          <t>Aproselva</t>
        </is>
      </c>
      <c r="D7" s="30" t="inlineStr"/>
      <c r="E7" s="30" t="inlineStr">
        <is>
          <t>—</t>
        </is>
      </c>
      <c r="F7" s="30" t="inlineStr">
        <is>
          <t>—</t>
        </is>
      </c>
      <c r="G7" s="30" t="inlineStr">
        <is>
          <t>—</t>
        </is>
      </c>
      <c r="H7" s="30" t="inlineStr">
        <is>
          <t>Pichanaki, Chanchamayo, Junín</t>
        </is>
      </c>
      <c r="I7" s="30" t="inlineStr">
        <is>
          <t>Café</t>
        </is>
      </c>
      <c r="J7" s="30" t="n"/>
      <c r="K7" s="30" t="inlineStr">
        <is>
          <t>NO</t>
        </is>
      </c>
      <c r="L7" s="30" t="n"/>
      <c r="M7" s="30" t="n"/>
      <c r="N7" s="30" t="n"/>
      <c r="O7" s="30" t="n"/>
      <c r="P7" s="30" t="inlineStr"/>
      <c r="Q7" s="30" t="inlineStr"/>
      <c r="R7" s="14" t="inlineStr">
        <is>
          <t>—</t>
        </is>
      </c>
      <c r="S7" s="30" t="inlineStr"/>
      <c r="T7" s="30" t="inlineStr"/>
      <c r="U7" s="14" t="inlineStr"/>
      <c r="V7" s="15" t="inlineStr">
        <is>
          <t>SÍ</t>
        </is>
      </c>
      <c r="W7" s="14" t="inlineStr">
        <is>
          <t>Raquel Condori Vivanco</t>
        </is>
      </c>
      <c r="X7" s="14" t="inlineStr">
        <is>
          <t>Vicepresidenta JNC 2024-2027; 530 socios</t>
        </is>
      </c>
      <c r="Y7" s="14" t="inlineStr"/>
      <c r="Z7" s="30" t="inlineStr">
        <is>
          <t>No disponible — requiere consulta directa (SUNAT/RUC.PE) o solicitud a la organización</t>
        </is>
      </c>
      <c r="AA7" s="30" t="b">
        <v>1</v>
      </c>
      <c r="AB7" s="30" t="b">
        <v>0</v>
      </c>
      <c r="AC7" s="30" t="b">
        <v>0</v>
      </c>
      <c r="AD7" s="30" t="inlineStr">
        <is>
          <t>NO</t>
        </is>
      </c>
      <c r="AE7" s="30" t="inlineStr"/>
      <c r="AF7" s="30" t="inlineStr"/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n"/>
      <c r="AO7" s="30" t="inlineStr"/>
      <c r="AP7" s="30" t="inlineStr"/>
      <c r="AQ7" s="30" t="inlineStr"/>
      <c r="AR7" s="30" t="inlineStr"/>
      <c r="AS7" s="30" t="inlineStr"/>
      <c r="AT7" s="30" t="inlineStr"/>
      <c r="AU7" s="30" t="inlineStr"/>
      <c r="AV7" s="30" t="inlineStr"/>
      <c r="AW7" s="30" t="inlineStr"/>
      <c r="AX7" s="30" t="inlineStr"/>
      <c r="AY7" s="30" t="inlineStr">
        <is>
          <t>1</t>
        </is>
      </c>
      <c r="AZ7" s="30" t="inlineStr">
        <is>
          <t>sept-2026</t>
        </is>
      </c>
      <c r="BD7" s="81">
        <f>0</f>
        <v/>
      </c>
      <c r="BE7" s="81">
        <f>IFERROR((IF(ISNUMBER(T7),MIN(T7/30,1),0)+IF(ISNUMBER(P7),MIN(P7/500,1),0))/2,0)</f>
        <v/>
      </c>
      <c r="BF7" s="81">
        <f>IFERROR(IF(OR(U7&lt;&gt;"",V7="SÍ"),IF(ISNUMBER(L7),(1*MIN(L7/10000,1))^0.5,0),IF(ISNUMBER(L7),(0*MIN(L7/10000,1))^0.5,0)),0)</f>
        <v/>
      </c>
    </row>
    <row r="8">
      <c r="A8" t="inlineStr">
        <is>
          <t>PAC; CENACOOP; CENCOOP 2017</t>
        </is>
      </c>
      <c r="B8" s="70" t="inlineStr">
        <is>
          <t>20438297775</t>
        </is>
      </c>
      <c r="C8" s="29" t="inlineStr">
        <is>
          <t>CENFROCAFE</t>
        </is>
      </c>
      <c r="D8" s="29" t="inlineStr"/>
      <c r="E8" s="29" t="inlineStr">
        <is>
          <t>—</t>
        </is>
      </c>
      <c r="F8" s="29" t="inlineStr">
        <is>
          <t>—</t>
        </is>
      </c>
      <c r="G8" s="29" t="inlineStr">
        <is>
          <t>—</t>
        </is>
      </c>
      <c r="H8" s="29" t="inlineStr">
        <is>
          <t>Jaén, Cajamarca</t>
        </is>
      </c>
      <c r="I8" s="29" t="inlineStr">
        <is>
          <t>Café</t>
        </is>
      </c>
      <c r="J8" s="17" t="inlineStr">
        <is>
          <t>SI</t>
        </is>
      </c>
      <c r="K8" s="29" t="inlineStr">
        <is>
          <t>SÍ</t>
        </is>
      </c>
      <c r="L8" s="29" t="n">
        <v>7606660.72</v>
      </c>
      <c r="M8" s="29" t="n">
        <v>358402158.06</v>
      </c>
      <c r="N8" s="29" t="n">
        <v>1305</v>
      </c>
      <c r="O8" s="29" t="n">
        <v>29</v>
      </c>
      <c r="P8" s="29" t="inlineStr"/>
      <c r="Q8" s="29" t="inlineStr"/>
      <c r="R8" s="18" t="inlineStr">
        <is>
          <t>—</t>
        </is>
      </c>
      <c r="S8" s="29" t="inlineStr"/>
      <c r="T8" s="29" t="inlineStr"/>
      <c r="U8" s="18" t="inlineStr"/>
      <c r="V8" s="15" t="inlineStr">
        <is>
          <t>SÍ</t>
        </is>
      </c>
      <c r="W8" s="18" t="inlineStr">
        <is>
          <t>Delky Edmundo Gutiérrez Guerrero</t>
        </is>
      </c>
      <c r="X8" s="18" t="inlineStr">
        <is>
          <t>Presidente JNC 2024-2027; ~3,500 familias en 84 bases</t>
        </is>
      </c>
      <c r="Y8" s="18" t="inlineStr"/>
      <c r="Z8" s="29" t="inlineStr">
        <is>
          <t>No disponible — requiere consulta directa (SUNAT/RUC.PE) o solicitud a la organización</t>
        </is>
      </c>
      <c r="AA8" s="29" t="b">
        <v>1</v>
      </c>
      <c r="AB8" s="29" t="b">
        <v>0</v>
      </c>
      <c r="AC8" s="29" t="b">
        <v>1</v>
      </c>
      <c r="AD8" s="19" t="inlineStr">
        <is>
          <t>SI</t>
        </is>
      </c>
      <c r="AE8" s="29" t="inlineStr">
        <is>
          <t>COOPERATIVA DE SERVICIOS MULTIPLES CENFROCAFE PERU</t>
        </is>
      </c>
      <c r="AF8" s="29" t="inlineStr">
        <is>
          <t>CAJAMARCA</t>
        </is>
      </c>
      <c r="AG8" s="29" t="inlineStr">
        <is>
          <t>JAEN</t>
        </is>
      </c>
      <c r="AH8" s="29" t="inlineStr">
        <is>
          <t>JAEN</t>
        </is>
      </c>
      <c r="AI8" s="29" t="inlineStr">
        <is>
          <t>JAEN</t>
        </is>
      </c>
      <c r="AJ8" s="29" t="inlineStr">
        <is>
          <t>VENTA AL POR MAYOR DE ALIMENTOS, BEBIDAS Y TABACO.</t>
        </is>
      </c>
      <c r="AK8" s="29" t="inlineStr">
        <is>
          <t>9.0</t>
        </is>
      </c>
      <c r="AL8" s="29" t="inlineStr">
        <is>
          <t>1.0</t>
        </is>
      </c>
      <c r="AM8" s="29" t="inlineStr">
        <is>
          <t>3.0</t>
        </is>
      </c>
      <c r="AN8" s="29" t="n">
        <v>16</v>
      </c>
      <c r="AO8" s="29" t="inlineStr">
        <is>
          <t>OLIVERA BRAVO WILSON</t>
        </is>
      </c>
      <c r="AP8" s="29" t="inlineStr">
        <is>
          <t>CONTADOR</t>
        </is>
      </c>
      <c r="AQ8" s="29" t="inlineStr">
        <is>
          <t>11.0</t>
        </is>
      </c>
      <c r="AR8" s="29" t="inlineStr">
        <is>
          <t>WWW.CENFROCAFE.COM.PE</t>
        </is>
      </c>
      <c r="AS8" s="29" t="inlineStr">
        <is>
          <t>GERENCIAS@CENFROCAFE.COM.PE</t>
        </is>
      </c>
      <c r="AT8" s="29" t="inlineStr">
        <is>
          <t>947589930</t>
        </is>
      </c>
      <c r="AU8" s="29" t="inlineStr">
        <is>
          <t>-5.695145</t>
        </is>
      </c>
      <c r="AV8" s="29" t="inlineStr">
        <is>
          <t>-78.80395833333334</t>
        </is>
      </c>
      <c r="AW8" s="29" t="inlineStr">
        <is>
          <t>1999.0</t>
        </is>
      </c>
      <c r="AX8" s="29" t="inlineStr">
        <is>
          <t>2001.0</t>
        </is>
      </c>
      <c r="AY8" s="29" t="inlineStr">
        <is>
          <t>2</t>
        </is>
      </c>
      <c r="AZ8" s="29" t="inlineStr">
        <is>
          <t>sept-2026</t>
        </is>
      </c>
      <c r="BA8" t="inlineStr">
        <is>
          <t>AUSTRALIA; BELGIUM; CANADA; CHILE; CHINA; COLOMBIA; DENMARK; FRANCE; GERMANY; GREECE; HONG KONG; IRELAND; ITALY; JAPAN; KOREA, REPUBLIC OF; MEXICO; NETHERLANDS; NEW ZEALAND; NORWAY; PANAMA; POLAND; SPAIN; SWEDEN; SWITZERLAND; TAIWAN, PROVINCE OF CHINA; TURKEY; UNITED ARAB EMIRATES; UNITED KINGDOM; UNITED STATES</t>
        </is>
      </c>
      <c r="BB8" t="n">
        <v>2010</v>
      </c>
      <c r="BC8" t="n">
        <v>2025</v>
      </c>
      <c r="BD8" s="81">
        <f>0</f>
        <v/>
      </c>
      <c r="BE8" s="81">
        <f>IFERROR((IF(ISNUMBER(T8),MIN(T8/30,1),0)+IF(ISNUMBER(P8),MIN(P8/500,1),0))/2,0)</f>
        <v/>
      </c>
      <c r="BF8" s="81">
        <f>IFERROR(IF(OR(U8&lt;&gt;"",V8="SÍ"),IF(ISNUMBER(L8),(1*MIN(L8/10000,1))^0.5,0),IF(ISNUMBER(L8),(0*MIN(L8/10000,1))^0.5,0)),0)</f>
        <v/>
      </c>
    </row>
    <row r="9">
      <c r="A9" t="inlineStr">
        <is>
          <t>PAC; CENACOOP; CENCOOP 2017; SISPAC</t>
        </is>
      </c>
      <c r="B9" s="70" t="inlineStr">
        <is>
          <t>20572190251</t>
        </is>
      </c>
      <c r="C9" s="30" t="inlineStr">
        <is>
          <t>Cacao Aroma</t>
        </is>
      </c>
      <c r="D9" s="30" t="inlineStr"/>
      <c r="E9" s="30" t="inlineStr">
        <is>
          <t>ELABORACIÓN DE CACAO Y CHOCOLATE Y DE PRODUCTOS DE CONFITERÍA</t>
        </is>
      </c>
      <c r="F9" s="30" t="inlineStr">
        <is>
          <t>CUSCO</t>
        </is>
      </c>
      <c r="G9" s="30" t="inlineStr">
        <is>
          <t>—</t>
        </is>
      </c>
      <c r="H9" s="30" t="inlineStr">
        <is>
          <t>Tocache, San Martín</t>
        </is>
      </c>
      <c r="I9" s="30" t="inlineStr">
        <is>
          <t>Cacao</t>
        </is>
      </c>
      <c r="J9" s="17" t="inlineStr">
        <is>
          <t>SI</t>
        </is>
      </c>
      <c r="K9" s="30" t="inlineStr">
        <is>
          <t>SÍ</t>
        </is>
      </c>
      <c r="L9" s="30" t="n">
        <v>1525540.08</v>
      </c>
      <c r="M9" s="30" t="n">
        <v>11092416.86</v>
      </c>
      <c r="N9" s="30" t="n">
        <v>81</v>
      </c>
      <c r="O9" s="30" t="n">
        <v>13</v>
      </c>
      <c r="P9" s="30" t="inlineStr"/>
      <c r="Q9" s="30" t="inlineStr"/>
      <c r="R9" s="14" t="inlineStr">
        <is>
          <t>429166.66</t>
        </is>
      </c>
      <c r="S9" s="30" t="inlineStr"/>
      <c r="T9" s="30" t="inlineStr"/>
      <c r="U9" s="14" t="inlineStr"/>
      <c r="V9" s="15" t="inlineStr">
        <is>
          <t>SÍ</t>
        </is>
      </c>
      <c r="W9" s="14" t="inlineStr">
        <is>
          <t>—</t>
        </is>
      </c>
      <c r="X9" s="14" t="inlineStr">
        <is>
          <t>—</t>
        </is>
      </c>
      <c r="Y9" s="14" t="inlineStr"/>
      <c r="Z9" s="30" t="inlineStr">
        <is>
          <t>No disponible — requiere consulta directa (SUNAT/RUC.PE) o solicitud a la organización</t>
        </is>
      </c>
      <c r="AA9" s="30" t="b">
        <v>1</v>
      </c>
      <c r="AB9" s="30" t="b">
        <v>0</v>
      </c>
      <c r="AC9" s="30" t="b">
        <v>1</v>
      </c>
      <c r="AD9" s="19" t="inlineStr">
        <is>
          <t>SI</t>
        </is>
      </c>
      <c r="AE9" s="30" t="inlineStr">
        <is>
          <t>COOPERATIVA AGRARIA CENTRAL DE CACAO AROMA DE TOCA</t>
        </is>
      </c>
      <c r="AF9" s="30" t="inlineStr">
        <is>
          <t>SAN MARTIN</t>
        </is>
      </c>
      <c r="AG9" s="30" t="inlineStr">
        <is>
          <t>TOCACHE</t>
        </is>
      </c>
      <c r="AH9" s="30" t="inlineStr">
        <is>
          <t>TOCACHE</t>
        </is>
      </c>
      <c r="AI9" s="30" t="inlineStr">
        <is>
          <t>TOCACHE</t>
        </is>
      </c>
      <c r="AJ9" s="30" t="inlineStr">
        <is>
          <t>VENTA AL POR MAYOR DE MATERIAS PRIMAS AGROPECUARIAS Y ANIMALES VIVOS.</t>
        </is>
      </c>
      <c r="AK9" s="30" t="inlineStr">
        <is>
          <t>1.0</t>
        </is>
      </c>
      <c r="AL9" s="30" t="inlineStr">
        <is>
          <t>1.0</t>
        </is>
      </c>
      <c r="AM9" s="30" t="inlineStr">
        <is>
          <t>2.0</t>
        </is>
      </c>
      <c r="AN9" s="30" t="n">
        <v>3</v>
      </c>
      <c r="AO9" s="30" t="inlineStr">
        <is>
          <t>PEREZ VILLANUEVA RICHARD ROY</t>
        </is>
      </c>
      <c r="AP9" s="30" t="inlineStr">
        <is>
          <t>INGENIERO AGROINDUSTRIAL</t>
        </is>
      </c>
      <c r="AQ9" s="30" t="inlineStr">
        <is>
          <t>10.0</t>
        </is>
      </c>
      <c r="AR9" s="30" t="inlineStr">
        <is>
          <t>WWW.CACAODEAROMA.COM</t>
        </is>
      </c>
      <c r="AS9" s="30" t="inlineStr">
        <is>
          <t>ADM.CACAODEAROMA@GMAIL.COM</t>
        </is>
      </c>
      <c r="AT9" s="30" t="inlineStr">
        <is>
          <t>962991186</t>
        </is>
      </c>
      <c r="AU9" s="30" t="inlineStr">
        <is>
          <t>-8.188081666666667</t>
        </is>
      </c>
      <c r="AV9" s="30" t="inlineStr">
        <is>
          <t>-76.514775</t>
        </is>
      </c>
      <c r="AW9" s="30" t="inlineStr">
        <is>
          <t>2014.0</t>
        </is>
      </c>
      <c r="AX9" s="30" t="inlineStr">
        <is>
          <t>2014.0</t>
        </is>
      </c>
      <c r="AY9" s="30" t="inlineStr">
        <is>
          <t>2</t>
        </is>
      </c>
      <c r="AZ9" s="30" t="inlineStr">
        <is>
          <t>sept-2026</t>
        </is>
      </c>
      <c r="BA9" t="inlineStr">
        <is>
          <t>BELGIUM; ESTONIA; FRANCE; GERMANY; INDONESIA; ITALY; MALAYSIA; MEXICO; NETHERLANDS; PHILIPPINES; RUSSIAN FEDERATION; SPAIN; UNITED STATES</t>
        </is>
      </c>
      <c r="BB9" t="n">
        <v>2016</v>
      </c>
      <c r="BC9" t="n">
        <v>2025</v>
      </c>
      <c r="BD9" s="81">
        <f>0</f>
        <v/>
      </c>
      <c r="BE9" s="81">
        <f>IFERROR((IF(ISNUMBER(T9),MIN(T9/30,1),0)+IF(ISNUMBER(P9),MIN(P9/500,1),0))/2,0)</f>
        <v/>
      </c>
      <c r="BF9" s="81">
        <f>IFERROR(IF(OR(U9&lt;&gt;"",V9="SÍ"),IF(ISNUMBER(L9),(1*MIN(L9/10000,1))^0.5,0),IF(ISNUMBER(L9),(0*MIN(L9/10000,1))^0.5,0)),0)</f>
        <v/>
      </c>
    </row>
    <row r="10">
      <c r="A10" t="inlineStr">
        <is>
          <t>PAC; CENACOOP; CENCOOP 2017</t>
        </is>
      </c>
      <c r="B10" s="70" t="inlineStr">
        <is>
          <t>20600499719</t>
        </is>
      </c>
      <c r="C10" s="29" t="inlineStr">
        <is>
          <t>Coopbam Ltda.</t>
        </is>
      </c>
      <c r="D10" s="29" t="inlineStr"/>
      <c r="E10" s="29" t="inlineStr">
        <is>
          <t>—</t>
        </is>
      </c>
      <c r="F10" s="29" t="inlineStr">
        <is>
          <t>—</t>
        </is>
      </c>
      <c r="G10" s="29" t="inlineStr">
        <is>
          <t>—</t>
        </is>
      </c>
      <c r="H10" s="29" t="inlineStr">
        <is>
          <t>Rioja, San Martín</t>
        </is>
      </c>
      <c r="I10" s="29" t="inlineStr">
        <is>
          <t>Café</t>
        </is>
      </c>
      <c r="J10" s="17" t="n"/>
      <c r="K10" s="29" t="inlineStr">
        <is>
          <t>SÍ</t>
        </is>
      </c>
      <c r="L10" s="29" t="n"/>
      <c r="M10" s="29" t="n"/>
      <c r="N10" s="29" t="n"/>
      <c r="O10" s="29" t="n"/>
      <c r="P10" s="29" t="inlineStr"/>
      <c r="Q10" s="29" t="inlineStr"/>
      <c r="R10" s="18" t="inlineStr">
        <is>
          <t>—</t>
        </is>
      </c>
      <c r="S10" s="29" t="inlineStr"/>
      <c r="T10" s="29" t="inlineStr"/>
      <c r="U10" s="18" t="inlineStr"/>
      <c r="V10" s="15" t="inlineStr">
        <is>
          <t>SÍ</t>
        </is>
      </c>
      <c r="W10" s="18" t="inlineStr">
        <is>
          <t>Idelso Fernández Quevedo</t>
        </is>
      </c>
      <c r="X10" s="18" t="inlineStr">
        <is>
          <t>Director JNC 2024-2027; primera cooperativa dentro de área protegida (Bosque de Protección Alto Mayo)</t>
        </is>
      </c>
      <c r="Y10" s="18" t="inlineStr"/>
      <c r="Z10" s="29" t="inlineStr">
        <is>
          <t>No disponible — requiere consulta directa (SUNAT/RUC.PE) o solicitud a la organización</t>
        </is>
      </c>
      <c r="AA10" s="29" t="b">
        <v>1</v>
      </c>
      <c r="AB10" s="29" t="b">
        <v>0</v>
      </c>
      <c r="AC10" s="29" t="b">
        <v>1</v>
      </c>
      <c r="AD10" s="19" t="inlineStr">
        <is>
          <t>SI</t>
        </is>
      </c>
      <c r="AE10" s="29" t="inlineStr">
        <is>
          <t>COOPERATIVA DE SERVICIOS MULTIPLES BOSQUE DEL ALTO MAYO LTDA.</t>
        </is>
      </c>
      <c r="AF10" s="29" t="inlineStr">
        <is>
          <t>SAN MARTIN</t>
        </is>
      </c>
      <c r="AG10" s="29" t="inlineStr">
        <is>
          <t>RIOJA</t>
        </is>
      </c>
      <c r="AH10" s="29" t="inlineStr">
        <is>
          <t>PARDO MIGUEL</t>
        </is>
      </c>
      <c r="AI10" s="29" t="inlineStr">
        <is>
          <t>AGUAS VERDES</t>
        </is>
      </c>
      <c r="AJ10" s="29" t="inlineStr">
        <is>
          <t>CULTIVO DE PRODUCTOS AGRÌCOLAS EN COMBINACIÒN CON LA CRÌA DE ANIMALES</t>
        </is>
      </c>
      <c r="AK10" s="29" t="inlineStr">
        <is>
          <t>9.0</t>
        </is>
      </c>
      <c r="AL10" s="29" t="inlineStr">
        <is>
          <t>1.0</t>
        </is>
      </c>
      <c r="AM10" s="29" t="inlineStr">
        <is>
          <t>2.0</t>
        </is>
      </c>
      <c r="AN10" s="29" t="n">
        <v>2</v>
      </c>
      <c r="AO10" s="29" t="inlineStr">
        <is>
          <t>HERRERA RAFAEL FRANCISCO</t>
        </is>
      </c>
      <c r="AP10" s="29" t="inlineStr">
        <is>
          <t>AGRICULTOR</t>
        </is>
      </c>
      <c r="AQ10" s="29" t="inlineStr">
        <is>
          <t>3.0</t>
        </is>
      </c>
      <c r="AR10" s="29" t="inlineStr">
        <is>
          <t>NO TIENE</t>
        </is>
      </c>
      <c r="AS10" s="29" t="inlineStr">
        <is>
          <t>COPBAMALTOMAYO@GMAIL.COM</t>
        </is>
      </c>
      <c r="AT10" s="29" t="inlineStr">
        <is>
          <t>982688360</t>
        </is>
      </c>
      <c r="AU10" s="29" t="inlineStr">
        <is>
          <t>-5.687901666666666</t>
        </is>
      </c>
      <c r="AV10" s="29" t="inlineStr">
        <is>
          <t>-77.63262666666667</t>
        </is>
      </c>
      <c r="AW10" s="29" t="inlineStr">
        <is>
          <t>2014.0</t>
        </is>
      </c>
      <c r="AX10" s="29" t="inlineStr">
        <is>
          <t>2015.0</t>
        </is>
      </c>
      <c r="AY10" s="29" t="inlineStr">
        <is>
          <t>2</t>
        </is>
      </c>
      <c r="AZ10" s="29" t="inlineStr">
        <is>
          <t>sept-2026</t>
        </is>
      </c>
      <c r="BD10" s="81">
        <f>0</f>
        <v/>
      </c>
      <c r="BE10" s="81">
        <f>IFERROR((IF(ISNUMBER(T10),MIN(T10/30,1),0)+IF(ISNUMBER(P10),MIN(P10/500,1),0))/2,0)</f>
        <v/>
      </c>
      <c r="BF10" s="81">
        <f>IFERROR(IF(OR(U10&lt;&gt;"",V10="SÍ"),IF(ISNUMBER(L10),(1*MIN(L10/10000,1))^0.5,0),IF(ISNUMBER(L10),(0*MIN(L10/10000,1))^0.5,0)),0)</f>
        <v/>
      </c>
    </row>
    <row r="11">
      <c r="A11" t="inlineStr">
        <is>
          <t>CENACOOP; CENCOOP 2017</t>
        </is>
      </c>
      <c r="B11" s="70" t="inlineStr">
        <is>
          <t>20404175913</t>
        </is>
      </c>
      <c r="C11" s="30" t="inlineStr">
        <is>
          <t>Cooperativa Agraria Acepat</t>
        </is>
      </c>
      <c r="D11" s="30" t="inlineStr"/>
      <c r="E11" s="30" t="inlineStr">
        <is>
          <t>VENTA AL POR MENOR DE ALIMENTOS, BEBIDAS Y TABACO EN ALMACENES ESPECIALIZADOS</t>
        </is>
      </c>
      <c r="F11" s="30" t="inlineStr">
        <is>
          <t>San Martín</t>
        </is>
      </c>
      <c r="G11" s="30" t="inlineStr">
        <is>
          <t>Tocache</t>
        </is>
      </c>
      <c r="H11" s="30" t="inlineStr">
        <is>
          <t>—</t>
        </is>
      </c>
      <c r="I11" s="30" t="inlineStr">
        <is>
          <t>—</t>
        </is>
      </c>
      <c r="J11" s="30" t="n"/>
      <c r="K11" s="30" t="inlineStr">
        <is>
          <t>NO</t>
        </is>
      </c>
      <c r="L11" s="30" t="n"/>
      <c r="M11" s="30" t="n"/>
      <c r="N11" s="30" t="n"/>
      <c r="O11" s="30" t="n"/>
      <c r="P11" s="30" t="inlineStr"/>
      <c r="Q11" s="30" t="inlineStr"/>
      <c r="R11" s="14" t="inlineStr">
        <is>
          <t>2575.0</t>
        </is>
      </c>
      <c r="S11" s="30" t="inlineStr"/>
      <c r="T11" s="30" t="inlineStr"/>
      <c r="U11" s="14" t="inlineStr"/>
      <c r="V11" s="14" t="inlineStr">
        <is>
          <t>NO</t>
        </is>
      </c>
      <c r="W11" s="14" t="inlineStr">
        <is>
          <t>—</t>
        </is>
      </c>
      <c r="X11" s="14" t="inlineStr">
        <is>
          <t>—</t>
        </is>
      </c>
      <c r="Y11" s="14" t="inlineStr"/>
      <c r="Z11" s="30" t="inlineStr">
        <is>
          <t>—</t>
        </is>
      </c>
      <c r="AA11" s="30" t="b">
        <v>0</v>
      </c>
      <c r="AB11" s="30" t="b">
        <v>0</v>
      </c>
      <c r="AC11" s="30" t="b">
        <v>1</v>
      </c>
      <c r="AD11" s="19" t="inlineStr">
        <is>
          <t>SI</t>
        </is>
      </c>
      <c r="AE11" s="30" t="inlineStr">
        <is>
          <t>COOPERATIVA AGRARIA ACEPAT</t>
        </is>
      </c>
      <c r="AF11" s="30" t="inlineStr">
        <is>
          <t>SAN MARTIN</t>
        </is>
      </c>
      <c r="AG11" s="30" t="inlineStr">
        <is>
          <t>TOCACHE</t>
        </is>
      </c>
      <c r="AH11" s="30" t="inlineStr">
        <is>
          <t>TOCACHE</t>
        </is>
      </c>
      <c r="AI11" s="30" t="inlineStr">
        <is>
          <t>VILLA PALMA</t>
        </is>
      </c>
      <c r="AJ11" s="30" t="inlineStr">
        <is>
          <t>CULTIVO DE FRUTOS OLEAGINOSOS</t>
        </is>
      </c>
      <c r="AK11" s="30" t="inlineStr">
        <is>
          <t>1.0</t>
        </is>
      </c>
      <c r="AL11" s="30" t="inlineStr">
        <is>
          <t>1.0</t>
        </is>
      </c>
      <c r="AM11" s="30" t="inlineStr">
        <is>
          <t>3.0</t>
        </is>
      </c>
      <c r="AN11" s="30" t="n">
        <v>20</v>
      </c>
      <c r="AO11" s="30" t="inlineStr">
        <is>
          <t>VASQUEZ FLORES ANTONIO</t>
        </is>
      </c>
      <c r="AP11" s="30" t="inlineStr">
        <is>
          <t>ECONOMISTA</t>
        </is>
      </c>
      <c r="AQ11" s="30" t="inlineStr">
        <is>
          <t>10.0</t>
        </is>
      </c>
      <c r="AR11" s="30" t="inlineStr">
        <is>
          <t>NO TIENE</t>
        </is>
      </c>
      <c r="AS11" s="30" t="inlineStr">
        <is>
          <t>NO TIENE</t>
        </is>
      </c>
      <c r="AT11" s="30" t="inlineStr">
        <is>
          <t>935710575</t>
        </is>
      </c>
      <c r="AU11" s="30" t="inlineStr">
        <is>
          <t>-8.142256666666666</t>
        </is>
      </c>
      <c r="AV11" s="30" t="inlineStr">
        <is>
          <t>-76.588845</t>
        </is>
      </c>
      <c r="AW11" s="30" t="inlineStr">
        <is>
          <t>1997.0</t>
        </is>
      </c>
      <c r="AX11" s="30" t="inlineStr">
        <is>
          <t>1997.0</t>
        </is>
      </c>
      <c r="AY11" s="30" t="inlineStr">
        <is>
          <t>1</t>
        </is>
      </c>
      <c r="AZ11" s="30" t="inlineStr">
        <is>
          <t>sept-2026</t>
        </is>
      </c>
      <c r="BD11" s="81">
        <f>0</f>
        <v/>
      </c>
      <c r="BE11" s="81">
        <f>IFERROR((IF(ISNUMBER(T11),MIN(T11/30,1),0)+IF(ISNUMBER(P11),MIN(P11/500,1),0))/2,0)</f>
        <v/>
      </c>
      <c r="BF11" s="81">
        <f>IFERROR(IF(OR(U11&lt;&gt;"",V11="SÍ"),IF(ISNUMBER(L11),(1*MIN(L11/10000,1))^0.5,0),IF(ISNUMBER(L11),(0*MIN(L11/10000,1))^0.5,0)),0)</f>
        <v/>
      </c>
    </row>
    <row r="12">
      <c r="A12" t="inlineStr">
        <is>
          <t>CENACOOP; CENCOOP 2017</t>
        </is>
      </c>
      <c r="B12" s="70" t="inlineStr">
        <is>
          <t>20530336281</t>
        </is>
      </c>
      <c r="C12" s="29" t="inlineStr">
        <is>
          <t>Cooperativa Agraria Agroexportadora del Norte</t>
        </is>
      </c>
      <c r="D12" s="29" t="inlineStr"/>
      <c r="E12" s="29" t="inlineStr">
        <is>
          <t>VENTA AL POR MENOR DE ALIMENTOS, BEBIDAS Y TABACO EN ALMACENES ESPECIALIZADOS</t>
        </is>
      </c>
      <c r="F12" s="29" t="inlineStr">
        <is>
          <t>ICA</t>
        </is>
      </c>
      <c r="G12" s="29" t="inlineStr">
        <is>
          <t>—</t>
        </is>
      </c>
      <c r="H12" s="29" t="inlineStr">
        <is>
          <t>—</t>
        </is>
      </c>
      <c r="I12" s="29" t="inlineStr">
        <is>
          <t>—</t>
        </is>
      </c>
      <c r="J12" s="17" t="n"/>
      <c r="K12" s="29" t="inlineStr">
        <is>
          <t>SÍ</t>
        </is>
      </c>
      <c r="L12" s="29" t="n"/>
      <c r="M12" s="29" t="n"/>
      <c r="N12" s="29" t="n"/>
      <c r="O12" s="29" t="n"/>
      <c r="P12" s="29" t="inlineStr"/>
      <c r="Q12" s="29" t="inlineStr"/>
      <c r="R12" s="18" t="inlineStr">
        <is>
          <t>2575.0</t>
        </is>
      </c>
      <c r="S12" s="29" t="inlineStr"/>
      <c r="T12" s="29" t="inlineStr"/>
      <c r="U12" s="18" t="inlineStr"/>
      <c r="V12" s="18" t="inlineStr">
        <is>
          <t>NO</t>
        </is>
      </c>
      <c r="W12" s="18" t="inlineStr">
        <is>
          <t>—</t>
        </is>
      </c>
      <c r="X12" s="18" t="inlineStr">
        <is>
          <t>—</t>
        </is>
      </c>
      <c r="Y12" s="18" t="inlineStr"/>
      <c r="Z12" s="29" t="inlineStr">
        <is>
          <t>—</t>
        </is>
      </c>
      <c r="AA12" s="29" t="b">
        <v>0</v>
      </c>
      <c r="AB12" s="29" t="b">
        <v>0</v>
      </c>
      <c r="AC12" s="29" t="b">
        <v>1</v>
      </c>
      <c r="AD12" s="19" t="inlineStr">
        <is>
          <t>SI</t>
        </is>
      </c>
      <c r="AE12" s="29" t="inlineStr">
        <is>
          <t>COOPERATIVA AGRARIA AGROEXPORTADORA DEL NORTE</t>
        </is>
      </c>
      <c r="AF12" s="29" t="inlineStr">
        <is>
          <t>PIURA</t>
        </is>
      </c>
      <c r="AG12" s="29" t="inlineStr">
        <is>
          <t>SULLANA</t>
        </is>
      </c>
      <c r="AH12" s="29" t="inlineStr">
        <is>
          <t>SULLANA</t>
        </is>
      </c>
      <c r="AI12" s="29" t="inlineStr">
        <is>
          <t>URBANIZACION JARDIN</t>
        </is>
      </c>
      <c r="AJ12" s="29" t="inlineStr">
        <is>
          <t>ELABORACIÒN Y CONSERVACIÓN DE FRUTAS,LEGUMBRES Y HORTALIZAS</t>
        </is>
      </c>
      <c r="AK12" s="29" t="inlineStr">
        <is>
          <t>1.0</t>
        </is>
      </c>
      <c r="AL12" s="29" t="inlineStr">
        <is>
          <t>1.0</t>
        </is>
      </c>
      <c r="AM12" s="29" t="inlineStr">
        <is>
          <t>3.0</t>
        </is>
      </c>
      <c r="AN12" s="29" t="n">
        <v>2</v>
      </c>
      <c r="AO12" s="29" t="inlineStr">
        <is>
          <t>RAYMUNDO AREVALO ALEX DAVID</t>
        </is>
      </c>
      <c r="AP12" s="29" t="inlineStr">
        <is>
          <t>TECNICO EN CONTABILIDAD</t>
        </is>
      </c>
      <c r="AQ12" s="29" t="inlineStr">
        <is>
          <t>8.0</t>
        </is>
      </c>
      <c r="AR12" s="29" t="inlineStr">
        <is>
          <t>WWW.AGRONORTE.COM.PE</t>
        </is>
      </c>
      <c r="AS12" s="29" t="inlineStr">
        <is>
          <t>COOP.AGROEXPORTADORADELNORTE@GMAIL.COM</t>
        </is>
      </c>
      <c r="AT12" s="29" t="inlineStr">
        <is>
          <t>NO TIENE</t>
        </is>
      </c>
      <c r="AU12" s="29" t="inlineStr">
        <is>
          <t>-4.906456666666667</t>
        </is>
      </c>
      <c r="AV12" s="29" t="inlineStr">
        <is>
          <t>-80.70454833333334</t>
        </is>
      </c>
      <c r="AW12" s="29" t="inlineStr">
        <is>
          <t>2014.0</t>
        </is>
      </c>
      <c r="AX12" s="29" t="inlineStr">
        <is>
          <t>2015.0</t>
        </is>
      </c>
      <c r="AY12" s="29" t="inlineStr">
        <is>
          <t>1</t>
        </is>
      </c>
      <c r="AZ12" s="29" t="inlineStr">
        <is>
          <t>sept-2026</t>
        </is>
      </c>
      <c r="BD12" s="81">
        <f>0</f>
        <v/>
      </c>
      <c r="BE12" s="81">
        <f>IFERROR((IF(ISNUMBER(T12),MIN(T12/30,1),0)+IF(ISNUMBER(P12),MIN(P12/500,1),0))/2,0)</f>
        <v/>
      </c>
      <c r="BF12" s="81">
        <f>IFERROR(IF(OR(U12&lt;&gt;"",V12="SÍ"),IF(ISNUMBER(L12),(1*MIN(L12/10000,1))^0.5,0),IF(ISNUMBER(L12),(0*MIN(L12/10000,1))^0.5,0)),0)</f>
        <v/>
      </c>
    </row>
    <row r="13">
      <c r="A13" t="inlineStr">
        <is>
          <t>CENACOOP; CENCOOP 2017; SISPAC</t>
        </is>
      </c>
      <c r="B13" s="70" t="inlineStr">
        <is>
          <t>20600717902</t>
        </is>
      </c>
      <c r="C13" s="30" t="inlineStr">
        <is>
          <t>Cooperativa Agraria Agropia Ltda.</t>
        </is>
      </c>
      <c r="D13" s="30" t="inlineStr"/>
      <c r="E13" s="30" t="inlineStr">
        <is>
          <t>VENTA AL POR MENOR DE ALIMENTOS, BEBIDAS Y TABACO EN ALMACENES ESPECIALIZADOS</t>
        </is>
      </c>
      <c r="F13" s="30" t="inlineStr">
        <is>
          <t>Junín</t>
        </is>
      </c>
      <c r="G13" s="30" t="inlineStr">
        <is>
          <t>Huancayo</t>
        </is>
      </c>
      <c r="H13" s="30" t="inlineStr">
        <is>
          <t>—</t>
        </is>
      </c>
      <c r="I13" s="30" t="inlineStr">
        <is>
          <t>—</t>
        </is>
      </c>
      <c r="J13" s="17" t="inlineStr">
        <is>
          <t>SI</t>
        </is>
      </c>
      <c r="K13" s="30" t="inlineStr">
        <is>
          <t>SÍ</t>
        </is>
      </c>
      <c r="L13" s="30" t="n">
        <v>281011.66</v>
      </c>
      <c r="M13" s="30" t="n">
        <v>3455857.84</v>
      </c>
      <c r="N13" s="30" t="n">
        <v>112</v>
      </c>
      <c r="O13" s="30" t="n">
        <v>6</v>
      </c>
      <c r="P13" s="30" t="inlineStr"/>
      <c r="Q13" s="30" t="inlineStr"/>
      <c r="R13" s="14" t="inlineStr">
        <is>
          <t>2575.0</t>
        </is>
      </c>
      <c r="S13" s="30" t="inlineStr"/>
      <c r="T13" s="30" t="inlineStr"/>
      <c r="U13" s="14" t="inlineStr"/>
      <c r="V13" s="14" t="inlineStr">
        <is>
          <t>NO</t>
        </is>
      </c>
      <c r="W13" s="14" t="inlineStr">
        <is>
          <t>—</t>
        </is>
      </c>
      <c r="X13" s="14" t="inlineStr">
        <is>
          <t>—</t>
        </is>
      </c>
      <c r="Y13" s="14" t="inlineStr"/>
      <c r="Z13" s="30" t="inlineStr">
        <is>
          <t>—</t>
        </is>
      </c>
      <c r="AA13" s="30" t="b">
        <v>0</v>
      </c>
      <c r="AB13" s="30" t="b">
        <v>0</v>
      </c>
      <c r="AC13" s="30" t="b">
        <v>1</v>
      </c>
      <c r="AD13" s="19" t="inlineStr">
        <is>
          <t>SI</t>
        </is>
      </c>
      <c r="AE13" s="30" t="inlineStr">
        <is>
          <t>COOPERATIVA AGRARIA AGROPIA LTDA.</t>
        </is>
      </c>
      <c r="AF13" s="30" t="inlineStr">
        <is>
          <t>JUNIN</t>
        </is>
      </c>
      <c r="AG13" s="30" t="inlineStr">
        <is>
          <t>HUANCAYO</t>
        </is>
      </c>
      <c r="AH13" s="30" t="inlineStr">
        <is>
          <t>SAPALLANGA</t>
        </is>
      </c>
      <c r="AI13" s="30" t="inlineStr">
        <is>
          <t>SAPALLANGA</t>
        </is>
      </c>
      <c r="AJ13" s="30" t="inlineStr">
        <is>
          <t>ELABORACIÒN Y CONSERVACIÓN DE FRUTAS,LEGUMBRES Y HORTALIZAS</t>
        </is>
      </c>
      <c r="AK13" s="30" t="inlineStr">
        <is>
          <t>1.0</t>
        </is>
      </c>
      <c r="AL13" s="30" t="inlineStr">
        <is>
          <t>1.0</t>
        </is>
      </c>
      <c r="AM13" s="30" t="inlineStr">
        <is>
          <t>2.0</t>
        </is>
      </c>
      <c r="AN13" s="30" t="n">
        <v>1</v>
      </c>
      <c r="AO13" s="30" t="inlineStr">
        <is>
          <t>PEREZ CASTRO JAIME ELADIO</t>
        </is>
      </c>
      <c r="AP13" s="30" t="inlineStr">
        <is>
          <t>INGENIERO DE INDUSTRIAS ALIMENTARIAS</t>
        </is>
      </c>
      <c r="AQ13" s="30" t="inlineStr">
        <is>
          <t>11.0</t>
        </is>
      </c>
      <c r="AR13" s="30" t="inlineStr">
        <is>
          <t>WWW.AGROPIAPERU.COM</t>
        </is>
      </c>
      <c r="AS13" s="30" t="inlineStr">
        <is>
          <t>INFO@AGROPIAPERU.COM</t>
        </is>
      </c>
      <c r="AT13" s="30" t="inlineStr">
        <is>
          <t>NO TIENE</t>
        </is>
      </c>
      <c r="AU13" s="30" t="inlineStr">
        <is>
          <t>-12.152346666666665</t>
        </is>
      </c>
      <c r="AV13" s="30" t="inlineStr">
        <is>
          <t>-75.15536333333333</t>
        </is>
      </c>
      <c r="AW13" s="30" t="inlineStr">
        <is>
          <t>2015.0</t>
        </is>
      </c>
      <c r="AX13" s="30" t="inlineStr">
        <is>
          <t>2016.0</t>
        </is>
      </c>
      <c r="AY13" s="30" t="inlineStr">
        <is>
          <t>1</t>
        </is>
      </c>
      <c r="AZ13" s="30" t="inlineStr">
        <is>
          <t>sept-2026</t>
        </is>
      </c>
      <c r="BA13" t="inlineStr">
        <is>
          <t>BELGIUM; DENMARK; ECUADOR; FRANCE; GERMANY; ISRAEL</t>
        </is>
      </c>
      <c r="BB13" t="n">
        <v>2016</v>
      </c>
      <c r="BC13" t="n">
        <v>2025</v>
      </c>
      <c r="BD13" s="81">
        <f>0</f>
        <v/>
      </c>
      <c r="BE13" s="81">
        <f>IFERROR((IF(ISNUMBER(T13),MIN(T13/30,1),0)+IF(ISNUMBER(P13),MIN(P13/500,1),0))/2,0)</f>
        <v/>
      </c>
      <c r="BF13" s="81">
        <f>IFERROR(IF(OR(U13&lt;&gt;"",V13="SÍ"),IF(ISNUMBER(L13),(1*MIN(L13/10000,1))^0.5,0),IF(ISNUMBER(L13),(0*MIN(L13/10000,1))^0.5,0)),0)</f>
        <v/>
      </c>
    </row>
    <row r="14">
      <c r="A14" t="inlineStr">
        <is>
          <t>CENACOOP; CENCOOP 2017</t>
        </is>
      </c>
      <c r="B14" s="70" t="inlineStr">
        <is>
          <t>20600061691</t>
        </is>
      </c>
      <c r="C14" s="29" t="inlineStr">
        <is>
          <t>Cooperativa Agraria Alto Grande Santa Sofia</t>
        </is>
      </c>
      <c r="D14" s="29" t="inlineStr"/>
      <c r="E14" s="29" t="inlineStr">
        <is>
          <t>VENTA AL POR MENOR DE ALIMENTOS, BEBIDAS Y TABACO EN ALMACENES ESPECIALIZADOS</t>
        </is>
      </c>
      <c r="F14" s="29" t="inlineStr">
        <is>
          <t>Piura</t>
        </is>
      </c>
      <c r="G14" s="29" t="inlineStr">
        <is>
          <t>Sullana</t>
        </is>
      </c>
      <c r="H14" s="29" t="inlineStr">
        <is>
          <t>—</t>
        </is>
      </c>
      <c r="I14" s="29" t="inlineStr">
        <is>
          <t>—</t>
        </is>
      </c>
      <c r="J14" s="17" t="inlineStr">
        <is>
          <t>SI</t>
        </is>
      </c>
      <c r="K14" s="29" t="inlineStr">
        <is>
          <t>SÍ</t>
        </is>
      </c>
      <c r="L14" s="29" t="n">
        <v>1258632</v>
      </c>
      <c r="M14" s="29" t="n">
        <v>15731307.54</v>
      </c>
      <c r="N14" s="29" t="n">
        <v>184</v>
      </c>
      <c r="O14" s="29" t="n">
        <v>5</v>
      </c>
      <c r="P14" s="29" t="inlineStr"/>
      <c r="Q14" s="29" t="inlineStr"/>
      <c r="R14" s="18" t="inlineStr">
        <is>
          <t>2575.0</t>
        </is>
      </c>
      <c r="S14" s="29" t="inlineStr"/>
      <c r="T14" s="29" t="inlineStr"/>
      <c r="U14" s="18" t="inlineStr"/>
      <c r="V14" s="18" t="inlineStr">
        <is>
          <t>NO</t>
        </is>
      </c>
      <c r="W14" s="18" t="inlineStr">
        <is>
          <t>—</t>
        </is>
      </c>
      <c r="X14" s="18" t="inlineStr">
        <is>
          <t>—</t>
        </is>
      </c>
      <c r="Y14" s="18" t="inlineStr"/>
      <c r="Z14" s="29" t="inlineStr">
        <is>
          <t>—</t>
        </is>
      </c>
      <c r="AA14" s="29" t="b">
        <v>0</v>
      </c>
      <c r="AB14" s="29" t="b">
        <v>0</v>
      </c>
      <c r="AC14" s="29" t="b">
        <v>1</v>
      </c>
      <c r="AD14" s="19" t="inlineStr">
        <is>
          <t>SI</t>
        </is>
      </c>
      <c r="AE14" s="29" t="inlineStr">
        <is>
          <t>COOPERATIVA AGRARIA ALTO GRANDE SANTA SOFIA - COOPAG</t>
        </is>
      </c>
      <c r="AF14" s="29" t="inlineStr">
        <is>
          <t>PIURA</t>
        </is>
      </c>
      <c r="AG14" s="29" t="inlineStr">
        <is>
          <t>SULLANA</t>
        </is>
      </c>
      <c r="AH14" s="29" t="inlineStr">
        <is>
          <t>IGNACIO ESCUDERO</t>
        </is>
      </c>
      <c r="AI14" s="29" t="inlineStr">
        <is>
          <t>VILLA SANTA SOFIA</t>
        </is>
      </c>
      <c r="AJ14" s="29" t="inlineStr">
        <is>
          <t>ELABORACIÒN Y CONSERVACIÓN DE FRUTAS,LEGUMBRES Y HORTALIZAS</t>
        </is>
      </c>
      <c r="AK14" s="29" t="inlineStr">
        <is>
          <t>1.0</t>
        </is>
      </c>
      <c r="AL14" s="29" t="inlineStr">
        <is>
          <t>1.0</t>
        </is>
      </c>
      <c r="AM14" s="29" t="inlineStr">
        <is>
          <t>2.0</t>
        </is>
      </c>
      <c r="AN14" s="29" t="n">
        <v>2</v>
      </c>
      <c r="AO14" s="29" t="inlineStr">
        <is>
          <t>NOLE ALCAS FAUSTINO</t>
        </is>
      </c>
      <c r="AP14" s="29" t="inlineStr">
        <is>
          <t>DISEÑO GRAFICO</t>
        </is>
      </c>
      <c r="AQ14" s="29" t="inlineStr">
        <is>
          <t>7.0</t>
        </is>
      </c>
      <c r="AR14" s="29" t="inlineStr">
        <is>
          <t>NO TIENE</t>
        </is>
      </c>
      <c r="AS14" s="29" t="inlineStr">
        <is>
          <t>COOPAGGROUP@GMAIL.COM</t>
        </is>
      </c>
      <c r="AT14" s="29" t="inlineStr">
        <is>
          <t>NO TIENE</t>
        </is>
      </c>
      <c r="AU14" s="29" t="inlineStr">
        <is>
          <t>-4.88518</t>
        </is>
      </c>
      <c r="AV14" s="29" t="inlineStr">
        <is>
          <t>-80.83945666666666</t>
        </is>
      </c>
      <c r="AW14" s="29" t="inlineStr">
        <is>
          <t>2015.0</t>
        </is>
      </c>
      <c r="AX14" s="29" t="inlineStr">
        <is>
          <t>2015.0</t>
        </is>
      </c>
      <c r="AY14" s="29" t="inlineStr">
        <is>
          <t>1</t>
        </is>
      </c>
      <c r="AZ14" s="29" t="inlineStr">
        <is>
          <t>sept-2026</t>
        </is>
      </c>
      <c r="BA14" t="inlineStr">
        <is>
          <t>BELGIUM; FINLAND; GERMANY; NETHERLANDS; UNITED STATES</t>
        </is>
      </c>
      <c r="BB14" t="n">
        <v>2017</v>
      </c>
      <c r="BC14" t="n">
        <v>2025</v>
      </c>
      <c r="BD14" s="81">
        <f>0</f>
        <v/>
      </c>
      <c r="BE14" s="81">
        <f>IFERROR((IF(ISNUMBER(T14),MIN(T14/30,1),0)+IF(ISNUMBER(P14),MIN(P14/500,1),0))/2,0)</f>
        <v/>
      </c>
      <c r="BF14" s="81">
        <f>IFERROR(IF(OR(U14&lt;&gt;"",V14="SÍ"),IF(ISNUMBER(L14),(1*MIN(L14/10000,1))^0.5,0),IF(ISNUMBER(L14),(0*MIN(L14/10000,1))^0.5,0)),0)</f>
        <v/>
      </c>
    </row>
    <row r="15">
      <c r="A15" t="inlineStr">
        <is>
          <t>CENACOOP; CENCOOP 2017</t>
        </is>
      </c>
      <c r="B15" s="70" t="inlineStr">
        <is>
          <t>20531741596</t>
        </is>
      </c>
      <c r="C15" s="30" t="inlineStr">
        <is>
          <t>Cooperativa Agraria Apaes</t>
        </is>
      </c>
      <c r="D15" s="30" t="inlineStr"/>
      <c r="E15" s="30" t="inlineStr">
        <is>
          <t>VENTA AL POR MENOR DE ALIMENTOS, BEBIDAS Y TABACO EN ALMACENES ESPECIALIZADOS</t>
        </is>
      </c>
      <c r="F15" s="30" t="inlineStr">
        <is>
          <t>ICA</t>
        </is>
      </c>
      <c r="G15" s="30" t="inlineStr">
        <is>
          <t>—</t>
        </is>
      </c>
      <c r="H15" s="30" t="inlineStr">
        <is>
          <t>—</t>
        </is>
      </c>
      <c r="I15" s="30" t="inlineStr">
        <is>
          <t>—</t>
        </is>
      </c>
      <c r="J15" s="30" t="n"/>
      <c r="K15" s="30" t="inlineStr">
        <is>
          <t>NO</t>
        </is>
      </c>
      <c r="L15" s="30" t="n"/>
      <c r="M15" s="30" t="n"/>
      <c r="N15" s="30" t="n"/>
      <c r="O15" s="30" t="n"/>
      <c r="P15" s="30" t="inlineStr"/>
      <c r="Q15" s="30" t="inlineStr"/>
      <c r="R15" s="14" t="inlineStr">
        <is>
          <t>2575.0</t>
        </is>
      </c>
      <c r="S15" s="30" t="inlineStr"/>
      <c r="T15" s="30" t="inlineStr"/>
      <c r="U15" s="14" t="inlineStr"/>
      <c r="V15" s="14" t="inlineStr">
        <is>
          <t>NO</t>
        </is>
      </c>
      <c r="W15" s="14" t="inlineStr">
        <is>
          <t>—</t>
        </is>
      </c>
      <c r="X15" s="14" t="inlineStr">
        <is>
          <t>—</t>
        </is>
      </c>
      <c r="Y15" s="14" t="inlineStr"/>
      <c r="Z15" s="30" t="inlineStr">
        <is>
          <t>—</t>
        </is>
      </c>
      <c r="AA15" s="30" t="b">
        <v>0</v>
      </c>
      <c r="AB15" s="30" t="b">
        <v>0</v>
      </c>
      <c r="AC15" s="30" t="b">
        <v>1</v>
      </c>
      <c r="AD15" s="19" t="inlineStr">
        <is>
          <t>SI</t>
        </is>
      </c>
      <c r="AE15" s="30" t="inlineStr">
        <is>
          <t>COOPERATIVA DE SERVICIOS MULTIPLES APAES</t>
        </is>
      </c>
      <c r="AF15" s="30" t="inlineStr">
        <is>
          <t>ANCASH</t>
        </is>
      </c>
      <c r="AG15" s="30" t="inlineStr">
        <is>
          <t>SANTA</t>
        </is>
      </c>
      <c r="AH15" s="30" t="inlineStr">
        <is>
          <t>CHIMBOTE</t>
        </is>
      </c>
      <c r="AI15" s="30" t="inlineStr">
        <is>
          <t>CAHUIDE</t>
        </is>
      </c>
      <c r="AJ15" s="30" t="inlineStr">
        <is>
          <t>CULTIVO DE FRUTAS TROPICALES Y SUBTROPICALES</t>
        </is>
      </c>
      <c r="AK15" s="30" t="inlineStr">
        <is>
          <t>1.0</t>
        </is>
      </c>
      <c r="AL15" s="30" t="inlineStr">
        <is>
          <t>1.0</t>
        </is>
      </c>
      <c r="AM15" s="30" t="inlineStr">
        <is>
          <t>3.0</t>
        </is>
      </c>
      <c r="AN15" s="30" t="n">
        <v>8</v>
      </c>
      <c r="AO15" s="30" t="inlineStr">
        <is>
          <t>LAZARO AGUILAR LILI PETRONILA</t>
        </is>
      </c>
      <c r="AP15" s="30" t="inlineStr">
        <is>
          <t>INGENIERO AGRONOMO</t>
        </is>
      </c>
      <c r="AQ15" s="30" t="inlineStr">
        <is>
          <t>10.0</t>
        </is>
      </c>
      <c r="AR15" s="30" t="inlineStr">
        <is>
          <t>NO TIENE</t>
        </is>
      </c>
      <c r="AS15" s="30" t="inlineStr">
        <is>
          <t>ADMINISTRACION@COOP-APAES.COM</t>
        </is>
      </c>
      <c r="AT15" s="30" t="inlineStr">
        <is>
          <t>988393195</t>
        </is>
      </c>
      <c r="AU15" s="30" t="inlineStr">
        <is>
          <t>-9.07466</t>
        </is>
      </c>
      <c r="AV15" s="30" t="inlineStr">
        <is>
          <t>-78.591565</t>
        </is>
      </c>
      <c r="AW15" s="30" t="inlineStr">
        <is>
          <t>2009.0</t>
        </is>
      </c>
      <c r="AX15" s="30" t="inlineStr">
        <is>
          <t>2009.0</t>
        </is>
      </c>
      <c r="AY15" s="30" t="inlineStr">
        <is>
          <t>1</t>
        </is>
      </c>
      <c r="AZ15" s="30" t="inlineStr">
        <is>
          <t>sept-2026</t>
        </is>
      </c>
      <c r="BD15" s="81">
        <f>0</f>
        <v/>
      </c>
      <c r="BE15" s="81">
        <f>IFERROR((IF(ISNUMBER(T15),MIN(T15/30,1),0)+IF(ISNUMBER(P15),MIN(P15/500,1),0))/2,0)</f>
        <v/>
      </c>
      <c r="BF15" s="81">
        <f>IFERROR(IF(OR(U15&lt;&gt;"",V15="SÍ"),IF(ISNUMBER(L15),(1*MIN(L15/10000,1))^0.5,0),IF(ISNUMBER(L15),(0*MIN(L15/10000,1))^0.5,0)),0)</f>
        <v/>
      </c>
    </row>
    <row r="16">
      <c r="A16" t="inlineStr">
        <is>
          <t>CENACOOP; CENCOOP 2017</t>
        </is>
      </c>
      <c r="B16" s="70" t="inlineStr">
        <is>
          <t>20525545866</t>
        </is>
      </c>
      <c r="C16" s="29" t="inlineStr">
        <is>
          <t>Cooperativa Agraria Apbosmam</t>
        </is>
      </c>
      <c r="D16" s="29" t="inlineStr"/>
      <c r="E16" s="29" t="inlineStr">
        <is>
          <t>VENTA AL POR MENOR DE ALIMENTOS, BEBIDAS Y TABACO EN ALMACENES ESPECIALIZADOS</t>
        </is>
      </c>
      <c r="F16" s="29" t="inlineStr">
        <is>
          <t>Piura</t>
        </is>
      </c>
      <c r="G16" s="29" t="inlineStr">
        <is>
          <t>Sullana</t>
        </is>
      </c>
      <c r="H16" s="29" t="inlineStr">
        <is>
          <t>—</t>
        </is>
      </c>
      <c r="I16" s="29" t="inlineStr">
        <is>
          <t>—</t>
        </is>
      </c>
      <c r="J16" s="17" t="inlineStr">
        <is>
          <t>SI</t>
        </is>
      </c>
      <c r="K16" s="29" t="inlineStr">
        <is>
          <t>SÍ</t>
        </is>
      </c>
      <c r="L16" s="29" t="n">
        <v>6431801.05</v>
      </c>
      <c r="M16" s="29" t="n">
        <v>86022725.61</v>
      </c>
      <c r="N16" s="29" t="n">
        <v>712</v>
      </c>
      <c r="O16" s="29" t="n">
        <v>9</v>
      </c>
      <c r="P16" s="29" t="inlineStr"/>
      <c r="Q16" s="29" t="inlineStr"/>
      <c r="R16" s="18" t="inlineStr">
        <is>
          <t>2575.0</t>
        </is>
      </c>
      <c r="S16" s="29" t="inlineStr"/>
      <c r="T16" s="29" t="inlineStr"/>
      <c r="U16" s="18" t="inlineStr"/>
      <c r="V16" s="18" t="inlineStr">
        <is>
          <t>NO</t>
        </is>
      </c>
      <c r="W16" s="18" t="inlineStr">
        <is>
          <t>—</t>
        </is>
      </c>
      <c r="X16" s="18" t="inlineStr">
        <is>
          <t>—</t>
        </is>
      </c>
      <c r="Y16" s="18" t="inlineStr"/>
      <c r="Z16" s="29" t="inlineStr">
        <is>
          <t>—</t>
        </is>
      </c>
      <c r="AA16" s="29" t="b">
        <v>0</v>
      </c>
      <c r="AB16" s="29" t="b">
        <v>0</v>
      </c>
      <c r="AC16" s="29" t="b">
        <v>1</v>
      </c>
      <c r="AD16" s="19" t="inlineStr">
        <is>
          <t>SI</t>
        </is>
      </c>
      <c r="AE16" s="29" t="inlineStr">
        <is>
          <t>COOPERATIVA AGRARIA APBOSMAM</t>
        </is>
      </c>
      <c r="AF16" s="29" t="inlineStr">
        <is>
          <t>PIURA</t>
        </is>
      </c>
      <c r="AG16" s="29" t="inlineStr">
        <is>
          <t>SULLANA</t>
        </is>
      </c>
      <c r="AH16" s="29" t="inlineStr">
        <is>
          <t>MARCAVELICA</t>
        </is>
      </c>
      <c r="AI16" s="29" t="inlineStr">
        <is>
          <t>CASERIO MALLARITOS</t>
        </is>
      </c>
      <c r="AJ16" s="29" t="inlineStr">
        <is>
          <t>ELABORACIÒN Y CONSERVACIÓN DE FRUTAS,LEGUMBRES Y HORTALIZAS</t>
        </is>
      </c>
      <c r="AK16" s="29" t="inlineStr">
        <is>
          <t>1.0</t>
        </is>
      </c>
      <c r="AL16" s="29" t="inlineStr">
        <is>
          <t>1.0</t>
        </is>
      </c>
      <c r="AM16" s="29" t="inlineStr">
        <is>
          <t>3.0</t>
        </is>
      </c>
      <c r="AN16" s="29" t="n">
        <v>4</v>
      </c>
      <c r="AO16" s="29" t="inlineStr">
        <is>
          <t>LOLI CASTILLO JOSE FERNANDO</t>
        </is>
      </c>
      <c r="AP16" s="29" t="inlineStr">
        <is>
          <t>INGENIERO AGRONOMO</t>
        </is>
      </c>
      <c r="AQ16" s="29" t="inlineStr">
        <is>
          <t>10.0</t>
        </is>
      </c>
      <c r="AR16" s="29" t="inlineStr">
        <is>
          <t>WWW.APBOSMAN.COM</t>
        </is>
      </c>
      <c r="AS16" s="29" t="inlineStr">
        <is>
          <t>APBOSMAN_2007@YAHOO.ES</t>
        </is>
      </c>
      <c r="AT16" s="29" t="inlineStr">
        <is>
          <t>976398159</t>
        </is>
      </c>
      <c r="AU16" s="29" t="inlineStr">
        <is>
          <t>-4.862271666666667</t>
        </is>
      </c>
      <c r="AV16" s="29" t="inlineStr">
        <is>
          <t>-80.72171</t>
        </is>
      </c>
      <c r="AW16" s="29" t="inlineStr">
        <is>
          <t>2013.0</t>
        </is>
      </c>
      <c r="AX16" s="29" t="inlineStr">
        <is>
          <t>2013.0</t>
        </is>
      </c>
      <c r="AY16" s="29" t="inlineStr">
        <is>
          <t>1</t>
        </is>
      </c>
      <c r="AZ16" s="29" t="inlineStr">
        <is>
          <t>sept-2026</t>
        </is>
      </c>
      <c r="BA16" t="inlineStr">
        <is>
          <t>BELGIUM; FINLAND; FRANCE; GERMANY; ITALY; KOREA, REPUBLIC OF; NETHERLANDS; UNITED KINGDOM; UNITED STATES</t>
        </is>
      </c>
      <c r="BB16" t="n">
        <v>2011</v>
      </c>
      <c r="BC16" t="n">
        <v>2025</v>
      </c>
      <c r="BD16" s="81">
        <f>0</f>
        <v/>
      </c>
      <c r="BE16" s="81">
        <f>IFERROR((IF(ISNUMBER(T16),MIN(T16/30,1),0)+IF(ISNUMBER(P16),MIN(P16/500,1),0))/2,0)</f>
        <v/>
      </c>
      <c r="BF16" s="81">
        <f>IFERROR(IF(OR(U16&lt;&gt;"",V16="SÍ"),IF(ISNUMBER(L16),(1*MIN(L16/10000,1))^0.5,0),IF(ISNUMBER(L16),(0*MIN(L16/10000,1))^0.5,0)),0)</f>
        <v/>
      </c>
    </row>
    <row r="17">
      <c r="A17" t="inlineStr">
        <is>
          <t>CENACOOP; CENCOOP 2017</t>
        </is>
      </c>
      <c r="B17" s="70" t="inlineStr">
        <is>
          <t>20484062031</t>
        </is>
      </c>
      <c r="C17" s="30" t="inlineStr">
        <is>
          <t>Cooperativa Agraria Appbosa</t>
        </is>
      </c>
      <c r="D17" s="30" t="inlineStr"/>
      <c r="E17" s="30" t="inlineStr">
        <is>
          <t>VENTA AL POR MENOR DE ALIMENTOS, BEBIDAS Y TABACO EN ALMACENES ESPECIALIZADOS</t>
        </is>
      </c>
      <c r="F17" s="30" t="inlineStr">
        <is>
          <t>Piura</t>
        </is>
      </c>
      <c r="G17" s="30" t="inlineStr">
        <is>
          <t>Sullana</t>
        </is>
      </c>
      <c r="H17" s="30" t="inlineStr">
        <is>
          <t>—</t>
        </is>
      </c>
      <c r="I17" s="30" t="inlineStr">
        <is>
          <t>—</t>
        </is>
      </c>
      <c r="J17" s="17" t="inlineStr">
        <is>
          <t>SI</t>
        </is>
      </c>
      <c r="K17" s="30" t="inlineStr">
        <is>
          <t>SÍ</t>
        </is>
      </c>
      <c r="L17" s="30" t="n">
        <v>10654366.53</v>
      </c>
      <c r="M17" s="30" t="n">
        <v>186050859.93</v>
      </c>
      <c r="N17" s="30" t="n">
        <v>1203</v>
      </c>
      <c r="O17" s="30" t="n">
        <v>14</v>
      </c>
      <c r="P17" s="30" t="inlineStr"/>
      <c r="Q17" s="30" t="inlineStr"/>
      <c r="R17" s="14" t="inlineStr">
        <is>
          <t>2575.0</t>
        </is>
      </c>
      <c r="S17" s="30" t="inlineStr"/>
      <c r="T17" s="30" t="inlineStr"/>
      <c r="U17" s="14" t="inlineStr"/>
      <c r="V17" s="14" t="inlineStr">
        <is>
          <t>NO</t>
        </is>
      </c>
      <c r="W17" s="14" t="inlineStr">
        <is>
          <t>—</t>
        </is>
      </c>
      <c r="X17" s="14" t="inlineStr">
        <is>
          <t>—</t>
        </is>
      </c>
      <c r="Y17" s="14" t="inlineStr"/>
      <c r="Z17" s="30" t="inlineStr">
        <is>
          <t>—</t>
        </is>
      </c>
      <c r="AA17" s="30" t="b">
        <v>0</v>
      </c>
      <c r="AB17" s="30" t="b">
        <v>0</v>
      </c>
      <c r="AC17" s="30" t="b">
        <v>1</v>
      </c>
      <c r="AD17" s="19" t="inlineStr">
        <is>
          <t>SI</t>
        </is>
      </c>
      <c r="AE17" s="30" t="inlineStr">
        <is>
          <t>COOPERATIVA AGRARIA APPBOSA</t>
        </is>
      </c>
      <c r="AF17" s="30" t="inlineStr">
        <is>
          <t>PIURA</t>
        </is>
      </c>
      <c r="AG17" s="30" t="inlineStr">
        <is>
          <t>SULLANA</t>
        </is>
      </c>
      <c r="AH17" s="30" t="inlineStr">
        <is>
          <t>MARCAVELICA</t>
        </is>
      </c>
      <c r="AI17" s="30" t="inlineStr">
        <is>
          <t>SECTOR NUEVA ESPERANZA- C.P. SAMAN</t>
        </is>
      </c>
      <c r="AJ17" s="30" t="inlineStr">
        <is>
          <t>ELABORACIÒN Y CONSERVACIÓN DE FRUTAS,LEGUMBRES Y HORTALIZAS</t>
        </is>
      </c>
      <c r="AK17" s="30" t="inlineStr">
        <is>
          <t>1.0</t>
        </is>
      </c>
      <c r="AL17" s="30" t="inlineStr">
        <is>
          <t>1.0</t>
        </is>
      </c>
      <c r="AM17" s="30" t="inlineStr">
        <is>
          <t>3.0</t>
        </is>
      </c>
      <c r="AN17" s="30" t="n">
        <v>14</v>
      </c>
      <c r="AO17" s="30" t="inlineStr">
        <is>
          <t>PALOMINO ORDINOLA JOSE SANTOS</t>
        </is>
      </c>
      <c r="AP17" s="30" t="inlineStr">
        <is>
          <t>CONTADOR</t>
        </is>
      </c>
      <c r="AQ17" s="30" t="inlineStr">
        <is>
          <t>10.0</t>
        </is>
      </c>
      <c r="AR17" s="30" t="inlineStr">
        <is>
          <t>WWW.APPBOSA.COM</t>
        </is>
      </c>
      <c r="AS17" s="30" t="inlineStr">
        <is>
          <t>APPBOSA@YAHOO.COM</t>
        </is>
      </c>
      <c r="AT17" s="30" t="inlineStr">
        <is>
          <t>969412141</t>
        </is>
      </c>
      <c r="AU17" s="30" t="inlineStr">
        <is>
          <t>-4.831316666666667</t>
        </is>
      </c>
      <c r="AV17" s="30" t="inlineStr">
        <is>
          <t>-80.7585</t>
        </is>
      </c>
      <c r="AW17" s="30" t="inlineStr">
        <is>
          <t>2003.0</t>
        </is>
      </c>
      <c r="AX17" s="30" t="inlineStr">
        <is>
          <t>2003.0</t>
        </is>
      </c>
      <c r="AY17" s="30" t="inlineStr">
        <is>
          <t>1</t>
        </is>
      </c>
      <c r="AZ17" s="30" t="inlineStr">
        <is>
          <t>sept-2026</t>
        </is>
      </c>
      <c r="BA17" t="inlineStr">
        <is>
          <t>BELGIUM; CANADA; FINLAND; GERMANY; IRELAND; ITALY; JAPAN; KOREA, REPUBLIC OF; NETHERLANDS; PANAMA; SPAIN; SWEDEN; UNITED KINGDOM; UNITED STATES</t>
        </is>
      </c>
      <c r="BB17" t="n">
        <v>2010</v>
      </c>
      <c r="BC17" t="n">
        <v>2025</v>
      </c>
      <c r="BD17" s="81">
        <f>0</f>
        <v/>
      </c>
      <c r="BE17" s="81">
        <f>IFERROR((IF(ISNUMBER(T17),MIN(T17/30,1),0)+IF(ISNUMBER(P17),MIN(P17/500,1),0))/2,0)</f>
        <v/>
      </c>
      <c r="BF17" s="81">
        <f>IFERROR(IF(OR(U17&lt;&gt;"",V17="SÍ"),IF(ISNUMBER(L17),(1*MIN(L17/10000,1))^0.5,0),IF(ISNUMBER(L17),(0*MIN(L17/10000,1))^0.5,0)),0)</f>
        <v/>
      </c>
    </row>
    <row r="18">
      <c r="A18" t="inlineStr">
        <is>
          <t>CENACOOP; CENCOOP 2017; SISPAC</t>
        </is>
      </c>
      <c r="B18" s="70" t="inlineStr">
        <is>
          <t>20132505455</t>
        </is>
      </c>
      <c r="C18" s="29" t="inlineStr">
        <is>
          <t>Cooperativa Agraria Cafetalera Aguilayoc Ltda. 084</t>
        </is>
      </c>
      <c r="D18" s="29" t="inlineStr"/>
      <c r="E18" s="29" t="inlineStr">
        <is>
          <t>VENTA AL POR MENOR DE ALIMENTOS, BEBIDAS Y TABACO EN ALMACENES ESPECIALIZADOS</t>
        </is>
      </c>
      <c r="F18" s="29" t="inlineStr">
        <is>
          <t>ICA</t>
        </is>
      </c>
      <c r="G18" s="29" t="inlineStr">
        <is>
          <t>—</t>
        </is>
      </c>
      <c r="H18" s="29" t="inlineStr">
        <is>
          <t>—</t>
        </is>
      </c>
      <c r="I18" s="29" t="inlineStr">
        <is>
          <t>—</t>
        </is>
      </c>
      <c r="J18" s="29" t="inlineStr">
        <is>
          <t>SI</t>
        </is>
      </c>
      <c r="K18" s="29" t="inlineStr">
        <is>
          <t>NO</t>
        </is>
      </c>
      <c r="L18" s="29" t="n">
        <v>0</v>
      </c>
      <c r="M18" s="29" t="n">
        <v>259132.9</v>
      </c>
      <c r="N18" s="29" t="n">
        <v>2</v>
      </c>
      <c r="O18" s="29" t="n">
        <v>2</v>
      </c>
      <c r="P18" s="29" t="inlineStr"/>
      <c r="Q18" s="29" t="inlineStr"/>
      <c r="R18" s="18" t="inlineStr">
        <is>
          <t>2575.0</t>
        </is>
      </c>
      <c r="S18" s="29" t="inlineStr"/>
      <c r="T18" s="29" t="inlineStr"/>
      <c r="U18" s="18" t="inlineStr"/>
      <c r="V18" s="18" t="inlineStr">
        <is>
          <t>NO</t>
        </is>
      </c>
      <c r="W18" s="18" t="inlineStr">
        <is>
          <t>—</t>
        </is>
      </c>
      <c r="X18" s="18" t="inlineStr">
        <is>
          <t>—</t>
        </is>
      </c>
      <c r="Y18" s="18" t="inlineStr"/>
      <c r="Z18" s="29" t="inlineStr">
        <is>
          <t>—</t>
        </is>
      </c>
      <c r="AA18" s="29" t="b">
        <v>0</v>
      </c>
      <c r="AB18" s="29" t="b">
        <v>0</v>
      </c>
      <c r="AC18" s="29" t="b">
        <v>1</v>
      </c>
      <c r="AD18" s="19" t="inlineStr">
        <is>
          <t>SI</t>
        </is>
      </c>
      <c r="AE18" s="29" t="inlineStr">
        <is>
          <t>COOPERATIVA AGRARIA CAFETALERA AGUILAYOC  LTDA. Nº 084</t>
        </is>
      </c>
      <c r="AF18" s="29" t="inlineStr">
        <is>
          <t>CUSCO</t>
        </is>
      </c>
      <c r="AG18" s="29" t="inlineStr">
        <is>
          <t>LA CONVENCION</t>
        </is>
      </c>
      <c r="AH18" s="29" t="inlineStr">
        <is>
          <t>SANTA ANA</t>
        </is>
      </c>
      <c r="AI18" s="29" t="inlineStr">
        <is>
          <t>QUILLABAMBA</t>
        </is>
      </c>
      <c r="AJ18" s="29" t="inlineStr">
        <is>
          <t>VENTA AL POR MAYOR DE ALIMENTOS, BEBIDAS Y TABACO.</t>
        </is>
      </c>
      <c r="AK18" s="29" t="inlineStr">
        <is>
          <t>1.0</t>
        </is>
      </c>
      <c r="AL18" s="29" t="inlineStr">
        <is>
          <t>1.0</t>
        </is>
      </c>
      <c r="AM18" s="29" t="inlineStr">
        <is>
          <t>2.0</t>
        </is>
      </c>
      <c r="AN18" s="29" t="n">
        <v>37</v>
      </c>
      <c r="AO18" s="29" t="inlineStr">
        <is>
          <t>ENRIQUEZ ESPINOZA EDILBERTO</t>
        </is>
      </c>
      <c r="AP18" s="29" t="inlineStr">
        <is>
          <t>INGENIERO AGRONOMO</t>
        </is>
      </c>
      <c r="AQ18" s="29" t="inlineStr">
        <is>
          <t>10.0</t>
        </is>
      </c>
      <c r="AR18" s="29" t="inlineStr">
        <is>
          <t>NO TIENE</t>
        </is>
      </c>
      <c r="AS18" s="29" t="inlineStr">
        <is>
          <t>CACAGUILAYOC@GMAIL.COM</t>
        </is>
      </c>
      <c r="AT18" s="29" t="inlineStr">
        <is>
          <t>979514195</t>
        </is>
      </c>
      <c r="AU18" s="29" t="inlineStr">
        <is>
          <t>-12.867375000000001</t>
        </is>
      </c>
      <c r="AV18" s="29" t="inlineStr">
        <is>
          <t>-72.69471333333333</t>
        </is>
      </c>
      <c r="AW18" s="29" t="inlineStr">
        <is>
          <t>1980.0</t>
        </is>
      </c>
      <c r="AX18" s="29" t="inlineStr">
        <is>
          <t>1980.0</t>
        </is>
      </c>
      <c r="AY18" s="29" t="inlineStr">
        <is>
          <t>1</t>
        </is>
      </c>
      <c r="AZ18" s="29" t="inlineStr">
        <is>
          <t>sept-2026</t>
        </is>
      </c>
      <c r="BA18" t="inlineStr">
        <is>
          <t>GERMANY; UNITED STATES</t>
        </is>
      </c>
      <c r="BB18" t="n">
        <v>2016</v>
      </c>
      <c r="BC18" t="n">
        <v>2016</v>
      </c>
      <c r="BD18" s="81">
        <f>0</f>
        <v/>
      </c>
      <c r="BE18" s="81">
        <f>IFERROR((IF(ISNUMBER(T18),MIN(T18/30,1),0)+IF(ISNUMBER(P18),MIN(P18/500,1),0))/2,0)</f>
        <v/>
      </c>
      <c r="BF18" s="81">
        <f>IFERROR(IF(OR(U18&lt;&gt;"",V18="SÍ"),IF(ISNUMBER(L18),(1*MIN(L18/10000,1))^0.5,0),IF(ISNUMBER(L18),(0*MIN(L18/10000,1))^0.5,0)),0)</f>
        <v/>
      </c>
    </row>
    <row r="19">
      <c r="A19" t="inlineStr">
        <is>
          <t>CENACOOP; CENCOOP 2017</t>
        </is>
      </c>
      <c r="B19" s="70" t="inlineStr">
        <is>
          <t>20487272800</t>
        </is>
      </c>
      <c r="C19" s="30" t="inlineStr">
        <is>
          <t>Cooperativa Agraria Cafetalera Café y Cacao Rio Negro Ltda.</t>
        </is>
      </c>
      <c r="D19" s="30" t="inlineStr"/>
      <c r="E19" s="30" t="inlineStr">
        <is>
          <t>VENTA AL POR MENOR DE ALIMENTOS, BEBIDAS Y TABACO EN ALMACENES ESPECIALIZADOS</t>
        </is>
      </c>
      <c r="F19" s="30" t="inlineStr">
        <is>
          <t>SAN MARTIN</t>
        </is>
      </c>
      <c r="G19" s="30" t="inlineStr">
        <is>
          <t>—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SI</t>
        </is>
      </c>
      <c r="K19" s="30" t="inlineStr">
        <is>
          <t>NO</t>
        </is>
      </c>
      <c r="L19" s="30" t="n">
        <v>0</v>
      </c>
      <c r="M19" s="30" t="n">
        <v>2680663.73</v>
      </c>
      <c r="N19" s="30" t="n">
        <v>24</v>
      </c>
      <c r="O19" s="30" t="n">
        <v>6</v>
      </c>
      <c r="P19" s="30" t="inlineStr"/>
      <c r="Q19" s="30" t="inlineStr"/>
      <c r="R19" s="14" t="inlineStr">
        <is>
          <t>11845515.0</t>
        </is>
      </c>
      <c r="S19" s="30" t="inlineStr"/>
      <c r="T19" s="30" t="inlineStr"/>
      <c r="U19" s="14" t="inlineStr"/>
      <c r="V19" s="14" t="inlineStr">
        <is>
          <t>NO</t>
        </is>
      </c>
      <c r="W19" s="14" t="inlineStr">
        <is>
          <t>—</t>
        </is>
      </c>
      <c r="X19" s="14" t="inlineStr">
        <is>
          <t>—</t>
        </is>
      </c>
      <c r="Y19" s="14" t="inlineStr"/>
      <c r="Z19" s="30" t="inlineStr">
        <is>
          <t>—</t>
        </is>
      </c>
      <c r="AA19" s="30" t="b">
        <v>0</v>
      </c>
      <c r="AB19" s="30" t="b">
        <v>0</v>
      </c>
      <c r="AC19" s="30" t="b">
        <v>1</v>
      </c>
      <c r="AD19" s="19" t="inlineStr">
        <is>
          <t>SI</t>
        </is>
      </c>
      <c r="AE19" s="30" t="inlineStr">
        <is>
          <t>COOPERATIVA AGRARIA CAFETALERA CAFE Y CACAO RIO NEGRO LTDA.</t>
        </is>
      </c>
      <c r="AF19" s="30" t="inlineStr">
        <is>
          <t>JUNIN</t>
        </is>
      </c>
      <c r="AG19" s="30" t="inlineStr">
        <is>
          <t>SATIPO</t>
        </is>
      </c>
      <c r="AH19" s="30" t="inlineStr">
        <is>
          <t>RIO NEGRO</t>
        </is>
      </c>
      <c r="AI19" s="30" t="inlineStr">
        <is>
          <t>RIO NEGRO</t>
        </is>
      </c>
      <c r="AJ19" s="30" t="inlineStr">
        <is>
          <t>CULTIVO DE FRUTAS TROPICALES Y SUBTROPICALES</t>
        </is>
      </c>
      <c r="AK19" s="30" t="inlineStr">
        <is>
          <t>1.0</t>
        </is>
      </c>
      <c r="AL19" s="30" t="inlineStr">
        <is>
          <t>1.0</t>
        </is>
      </c>
      <c r="AM19" s="30" t="inlineStr">
        <is>
          <t>2.0</t>
        </is>
      </c>
      <c r="AN19" s="30" t="n">
        <v>7</v>
      </c>
      <c r="AO19" s="30" t="inlineStr">
        <is>
          <t>CAYSAHUANA CAMARGO FREDY</t>
        </is>
      </c>
      <c r="AP19" s="30" t="inlineStr">
        <is>
          <t>INGENIERO AGRONOMO</t>
        </is>
      </c>
      <c r="AQ19" s="30" t="inlineStr">
        <is>
          <t>11.0</t>
        </is>
      </c>
      <c r="AR19" s="30" t="inlineStr">
        <is>
          <t>NO TIENE</t>
        </is>
      </c>
      <c r="AS19" s="30" t="inlineStr">
        <is>
          <t>COOPALRIONEGRO@GMAIL.COM</t>
        </is>
      </c>
      <c r="AT19" s="30" t="inlineStr">
        <is>
          <t>988453023</t>
        </is>
      </c>
      <c r="AU19" s="30" t="inlineStr">
        <is>
          <t>-11.230693333333333</t>
        </is>
      </c>
      <c r="AV19" s="30" t="inlineStr">
        <is>
          <t>-74.64495833333334</t>
        </is>
      </c>
      <c r="AW19" s="30" t="inlineStr">
        <is>
          <t>2009.0</t>
        </is>
      </c>
      <c r="AX19" s="30" t="inlineStr">
        <is>
          <t>2010.0</t>
        </is>
      </c>
      <c r="AY19" s="30" t="inlineStr">
        <is>
          <t>1</t>
        </is>
      </c>
      <c r="AZ19" s="30" t="inlineStr">
        <is>
          <t>sept-2026</t>
        </is>
      </c>
      <c r="BA19" t="inlineStr">
        <is>
          <t>BELGIUM; CANADA; DENMARK; FRANCE; GERMANY; UNITED STATES</t>
        </is>
      </c>
      <c r="BB19" t="n">
        <v>2011</v>
      </c>
      <c r="BC19" t="n">
        <v>2018</v>
      </c>
      <c r="BD19" s="81">
        <f>0</f>
        <v/>
      </c>
      <c r="BE19" s="81">
        <f>IFERROR((IF(ISNUMBER(T19),MIN(T19/30,1),0)+IF(ISNUMBER(P19),MIN(P19/500,1),0))/2,0)</f>
        <v/>
      </c>
      <c r="BF19" s="81">
        <f>IFERROR(IF(OR(U19&lt;&gt;"",V19="SÍ"),IF(ISNUMBER(L19),(1*MIN(L19/10000,1))^0.5,0),IF(ISNUMBER(L19),(0*MIN(L19/10000,1))^0.5,0)),0)</f>
        <v/>
      </c>
    </row>
    <row r="20">
      <c r="A20" t="inlineStr">
        <is>
          <t>CENACOOP; CENCOOP 2017; SISPAC</t>
        </is>
      </c>
      <c r="B20" s="70" t="inlineStr">
        <is>
          <t>20568071281</t>
        </is>
      </c>
      <c r="C20" s="29" t="inlineStr">
        <is>
          <t>Cooperativa Agraria Cafetalera Cepro Yanesha</t>
        </is>
      </c>
      <c r="D20" s="29" t="inlineStr"/>
      <c r="E20" s="29" t="inlineStr">
        <is>
          <t>VENTA AL POR MENOR DE ALIMENTOS, BEBIDAS Y TABACO EN ALMACENES ESPECIALIZADOS</t>
        </is>
      </c>
      <c r="F20" s="29" t="inlineStr">
        <is>
          <t>ICA</t>
        </is>
      </c>
      <c r="G20" s="29" t="inlineStr">
        <is>
          <t>—</t>
        </is>
      </c>
      <c r="H20" s="29" t="inlineStr">
        <is>
          <t>—</t>
        </is>
      </c>
      <c r="I20" s="29" t="inlineStr">
        <is>
          <t>—</t>
        </is>
      </c>
      <c r="J20" s="17" t="inlineStr">
        <is>
          <t>SI</t>
        </is>
      </c>
      <c r="K20" s="29" t="inlineStr">
        <is>
          <t>SÍ</t>
        </is>
      </c>
      <c r="L20" s="29" t="n">
        <v>992408.96</v>
      </c>
      <c r="M20" s="29" t="n">
        <v>10019036.28</v>
      </c>
      <c r="N20" s="29" t="n">
        <v>92</v>
      </c>
      <c r="O20" s="29" t="n">
        <v>6</v>
      </c>
      <c r="P20" s="29" t="inlineStr"/>
      <c r="Q20" s="29" t="inlineStr"/>
      <c r="R20" s="18" t="inlineStr">
        <is>
          <t>2575.0</t>
        </is>
      </c>
      <c r="S20" s="29" t="inlineStr"/>
      <c r="T20" s="29" t="inlineStr"/>
      <c r="U20" s="18" t="inlineStr"/>
      <c r="V20" s="18" t="inlineStr">
        <is>
          <t>NO</t>
        </is>
      </c>
      <c r="W20" s="18" t="inlineStr">
        <is>
          <t>—</t>
        </is>
      </c>
      <c r="X20" s="18" t="inlineStr">
        <is>
          <t>—</t>
        </is>
      </c>
      <c r="Y20" s="18" t="inlineStr"/>
      <c r="Z20" s="29" t="inlineStr">
        <is>
          <t>—</t>
        </is>
      </c>
      <c r="AA20" s="29" t="b">
        <v>0</v>
      </c>
      <c r="AB20" s="29" t="b">
        <v>0</v>
      </c>
      <c r="AC20" s="29" t="b">
        <v>1</v>
      </c>
      <c r="AD20" s="19" t="inlineStr">
        <is>
          <t>SI</t>
        </is>
      </c>
      <c r="AE20" s="29" t="inlineStr">
        <is>
          <t>COOPERATIVA AGRARIA CAFETALERA CEPRO YANESHA</t>
        </is>
      </c>
      <c r="AF20" s="29" t="inlineStr">
        <is>
          <t>PASCO</t>
        </is>
      </c>
      <c r="AG20" s="29" t="inlineStr">
        <is>
          <t>OXAPAMPA</t>
        </is>
      </c>
      <c r="AH20" s="29" t="inlineStr">
        <is>
          <t>VILLA RICA</t>
        </is>
      </c>
      <c r="AI20" s="29" t="inlineStr">
        <is>
          <t>VILLA RICA</t>
        </is>
      </c>
      <c r="AJ20" s="29" t="inlineStr">
        <is>
          <t>CULTIVO DE OTROS FRUTOS Y NUECES DE ÁRBOLES Y ARBUSTOS</t>
        </is>
      </c>
      <c r="AK20" s="29" t="inlineStr">
        <is>
          <t>1.0</t>
        </is>
      </c>
      <c r="AL20" s="29" t="inlineStr">
        <is>
          <t>1.0</t>
        </is>
      </c>
      <c r="AM20" s="29" t="inlineStr">
        <is>
          <t>2.0</t>
        </is>
      </c>
      <c r="AN20" s="29" t="n">
        <v>6</v>
      </c>
      <c r="AO20" s="29" t="inlineStr">
        <is>
          <t>VALDEZ TORRES DANTE</t>
        </is>
      </c>
      <c r="AP20" s="29" t="inlineStr">
        <is>
          <t>INGENIERO AGRONOMO</t>
        </is>
      </c>
      <c r="AQ20" s="29" t="inlineStr">
        <is>
          <t>10.0</t>
        </is>
      </c>
      <c r="AR20" s="29" t="inlineStr">
        <is>
          <t>WWW.CEPROYANESHA.COM</t>
        </is>
      </c>
      <c r="AS20" s="29" t="inlineStr">
        <is>
          <t>CEPRO-YANESHA@HOTMAIL.COM</t>
        </is>
      </c>
      <c r="AT20" s="29" t="inlineStr">
        <is>
          <t>955989901</t>
        </is>
      </c>
      <c r="AU20" s="29" t="inlineStr">
        <is>
          <t>-10.727149999999998</t>
        </is>
      </c>
      <c r="AV20" s="29" t="inlineStr">
        <is>
          <t>-75.26424666666666</t>
        </is>
      </c>
      <c r="AW20" s="29" t="inlineStr">
        <is>
          <t>2011.0</t>
        </is>
      </c>
      <c r="AX20" s="29" t="inlineStr">
        <is>
          <t>2011.0</t>
        </is>
      </c>
      <c r="AY20" s="29" t="inlineStr">
        <is>
          <t>1</t>
        </is>
      </c>
      <c r="AZ20" s="29" t="inlineStr">
        <is>
          <t>sept-2026</t>
        </is>
      </c>
      <c r="BA20" t="inlineStr">
        <is>
          <t>AUSTRALIA; BELGIUM; CANADA; GERMANY; ITALY; TAIWAN, PROVINCE OF CHINA</t>
        </is>
      </c>
      <c r="BB20" t="n">
        <v>2012</v>
      </c>
      <c r="BC20" t="n">
        <v>2025</v>
      </c>
      <c r="BD20" s="81">
        <f>0</f>
        <v/>
      </c>
      <c r="BE20" s="81">
        <f>IFERROR((IF(ISNUMBER(T20),MIN(T20/30,1),0)+IF(ISNUMBER(P20),MIN(P20/500,1),0))/2,0)</f>
        <v/>
      </c>
      <c r="BF20" s="81">
        <f>IFERROR(IF(OR(U20&lt;&gt;"",V20="SÍ"),IF(ISNUMBER(L20),(1*MIN(L20/10000,1))^0.5,0),IF(ISNUMBER(L20),(0*MIN(L20/10000,1))^0.5,0)),0)</f>
        <v/>
      </c>
    </row>
    <row r="21">
      <c r="A21" t="inlineStr">
        <is>
          <t>CENACOOP; CENCOOP 2017</t>
        </is>
      </c>
      <c r="B21" s="70" t="inlineStr">
        <is>
          <t>20568333820</t>
        </is>
      </c>
      <c r="C21" s="30" t="inlineStr">
        <is>
          <t>Cooperativa Agraria Cafetalera Juan Santos Atahualpa</t>
        </is>
      </c>
      <c r="D21" s="30" t="inlineStr"/>
      <c r="E21" s="30" t="inlineStr">
        <is>
          <t>VENTA AL POR MENOR DE ALIMENTOS, BEBIDAS Y TABACO EN ALMACENES ESPECIALIZADOS</t>
        </is>
      </c>
      <c r="F21" s="30" t="inlineStr">
        <is>
          <t>ICA</t>
        </is>
      </c>
      <c r="G21" s="30" t="inlineStr">
        <is>
          <t>—</t>
        </is>
      </c>
      <c r="H21" s="30" t="inlineStr">
        <is>
          <t>—</t>
        </is>
      </c>
      <c r="I21" s="30" t="inlineStr">
        <is>
          <t>—</t>
        </is>
      </c>
      <c r="J21" s="17" t="n"/>
      <c r="K21" s="30" t="inlineStr">
        <is>
          <t>SÍ</t>
        </is>
      </c>
      <c r="L21" s="30" t="n"/>
      <c r="M21" s="30" t="n"/>
      <c r="N21" s="30" t="n"/>
      <c r="O21" s="30" t="n"/>
      <c r="P21" s="30" t="inlineStr"/>
      <c r="Q21" s="30" t="inlineStr"/>
      <c r="R21" s="14" t="inlineStr">
        <is>
          <t>2575.0</t>
        </is>
      </c>
      <c r="S21" s="30" t="inlineStr"/>
      <c r="T21" s="30" t="inlineStr"/>
      <c r="U21" s="14" t="inlineStr"/>
      <c r="V21" s="14" t="inlineStr">
        <is>
          <t>NO</t>
        </is>
      </c>
      <c r="W21" s="14" t="inlineStr">
        <is>
          <t>—</t>
        </is>
      </c>
      <c r="X21" s="14" t="inlineStr">
        <is>
          <t>—</t>
        </is>
      </c>
      <c r="Y21" s="14" t="inlineStr"/>
      <c r="Z21" s="30" t="inlineStr">
        <is>
          <t>—</t>
        </is>
      </c>
      <c r="AA21" s="30" t="b">
        <v>0</v>
      </c>
      <c r="AB21" s="30" t="b">
        <v>0</v>
      </c>
      <c r="AC21" s="30" t="b">
        <v>1</v>
      </c>
      <c r="AD21" s="19" t="inlineStr">
        <is>
          <t>SI</t>
        </is>
      </c>
      <c r="AE21" s="30" t="inlineStr">
        <is>
          <t>COOPERATIVA AGROECOLÓGICA INDUSTRIAL JUAN SANTOS ATAHUALPA</t>
        </is>
      </c>
      <c r="AF21" s="30" t="inlineStr">
        <is>
          <t>JUNIN</t>
        </is>
      </c>
      <c r="AG21" s="30" t="inlineStr">
        <is>
          <t>CHANCHAMAYO</t>
        </is>
      </c>
      <c r="AH21" s="30" t="inlineStr">
        <is>
          <t>PICHANAQUI</t>
        </is>
      </c>
      <c r="AI21" s="30" t="inlineStr">
        <is>
          <t>PICHANAQUI</t>
        </is>
      </c>
      <c r="AJ21" s="30" t="inlineStr">
        <is>
          <t>CULTIVO DE CEREALES (EXCEPTO ARROZ), LEGUMBRES Y SEMILLAS OLEAGINOSAS</t>
        </is>
      </c>
      <c r="AK21" s="30" t="inlineStr">
        <is>
          <t>1.0</t>
        </is>
      </c>
      <c r="AL21" s="30" t="inlineStr">
        <is>
          <t>1.0</t>
        </is>
      </c>
      <c r="AM21" s="30" t="inlineStr">
        <is>
          <t>3.0</t>
        </is>
      </c>
      <c r="AN21" s="30" t="n">
        <v>5</v>
      </c>
      <c r="AO21" s="30" t="inlineStr">
        <is>
          <t>GUTIERREZ HERBAS WILFREDO</t>
        </is>
      </c>
      <c r="AP21" s="30" t="inlineStr">
        <is>
          <t>INGENIERO AGRONOMO</t>
        </is>
      </c>
      <c r="AQ21" s="30" t="inlineStr">
        <is>
          <t>9.0</t>
        </is>
      </c>
      <c r="AR21" s="30" t="inlineStr">
        <is>
          <t>WWW.COOP-ATAHUALPA.COM</t>
        </is>
      </c>
      <c r="AS21" s="30" t="inlineStr">
        <is>
          <t>COOPERATIVA.ATAHUALPA.PERU@GMAIL.COM</t>
        </is>
      </c>
      <c r="AT21" s="30" t="inlineStr">
        <is>
          <t>NO TIENE</t>
        </is>
      </c>
      <c r="AU21" s="30" t="inlineStr">
        <is>
          <t>-10.931381666666669</t>
        </is>
      </c>
      <c r="AV21" s="30" t="inlineStr">
        <is>
          <t>-74.87322833333333</t>
        </is>
      </c>
      <c r="AW21" s="30" t="inlineStr">
        <is>
          <t>2011.0</t>
        </is>
      </c>
      <c r="AX21" s="30" t="inlineStr">
        <is>
          <t>2012.0</t>
        </is>
      </c>
      <c r="AY21" s="30" t="inlineStr">
        <is>
          <t>1</t>
        </is>
      </c>
      <c r="AZ21" s="30" t="inlineStr">
        <is>
          <t>sept-2026</t>
        </is>
      </c>
      <c r="BD21" s="81">
        <f>0</f>
        <v/>
      </c>
      <c r="BE21" s="81">
        <f>IFERROR((IF(ISNUMBER(T21),MIN(T21/30,1),0)+IF(ISNUMBER(P21),MIN(P21/500,1),0))/2,0)</f>
        <v/>
      </c>
      <c r="BF21" s="81">
        <f>IFERROR(IF(OR(U21&lt;&gt;"",V21="SÍ"),IF(ISNUMBER(L21),(1*MIN(L21/10000,1))^0.5,0),IF(ISNUMBER(L21),(0*MIN(L21/10000,1))^0.5,0)),0)</f>
        <v/>
      </c>
    </row>
    <row r="22">
      <c r="A22" t="inlineStr">
        <is>
          <t>CENACOOP; CENCOOP 2017</t>
        </is>
      </c>
      <c r="B22" s="70" t="inlineStr">
        <is>
          <t>20116854989</t>
        </is>
      </c>
      <c r="C22" s="29" t="inlineStr">
        <is>
          <t>Cooperativa Agraria Cafetalera San Jorge Ltda.</t>
        </is>
      </c>
      <c r="D22" s="29" t="inlineStr"/>
      <c r="E22" s="29" t="inlineStr">
        <is>
          <t>VENTA AL POR MENOR DE ALIMENTOS, BEBIDAS Y TABACO EN ALMACENES ESPECIALIZADOS</t>
        </is>
      </c>
      <c r="F22" s="29" t="inlineStr">
        <is>
          <t>ICA</t>
        </is>
      </c>
      <c r="G22" s="29" t="inlineStr">
        <is>
          <t>—</t>
        </is>
      </c>
      <c r="H22" s="29" t="inlineStr">
        <is>
          <t>—</t>
        </is>
      </c>
      <c r="I22" s="29" t="inlineStr">
        <is>
          <t>Café</t>
        </is>
      </c>
      <c r="J22" s="29" t="n"/>
      <c r="K22" s="29" t="inlineStr">
        <is>
          <t>NO</t>
        </is>
      </c>
      <c r="L22" s="29" t="n"/>
      <c r="M22" s="29" t="n"/>
      <c r="N22" s="29" t="n"/>
      <c r="O22" s="29" t="n"/>
      <c r="P22" s="29" t="inlineStr"/>
      <c r="Q22" s="29" t="inlineStr"/>
      <c r="R22" s="18" t="inlineStr">
        <is>
          <t>2575.0</t>
        </is>
      </c>
      <c r="S22" s="29" t="inlineStr"/>
      <c r="T22" s="29" t="inlineStr"/>
      <c r="U22" s="18" t="inlineStr"/>
      <c r="V22" s="15" t="inlineStr">
        <is>
          <t>SÍ</t>
        </is>
      </c>
      <c r="W22" s="18" t="inlineStr">
        <is>
          <t>—</t>
        </is>
      </c>
      <c r="X22" s="18" t="inlineStr">
        <is>
          <t>—</t>
        </is>
      </c>
      <c r="Y22" s="18" t="inlineStr"/>
      <c r="Z22" s="29" t="inlineStr">
        <is>
          <t>No disponible — requiere consulta directa (SUNAT/RUC.PE) o solicitud a la organización</t>
        </is>
      </c>
      <c r="AA22" s="29" t="b">
        <v>0</v>
      </c>
      <c r="AB22" s="29" t="b">
        <v>0</v>
      </c>
      <c r="AC22" s="29" t="b">
        <v>1</v>
      </c>
      <c r="AD22" s="19" t="inlineStr">
        <is>
          <t>SI</t>
        </is>
      </c>
      <c r="AE22" s="29" t="inlineStr">
        <is>
          <t>COOPERATIVA AGRARIA CAFETALERA SAN JORGE LTDA.</t>
        </is>
      </c>
      <c r="AF22" s="29" t="inlineStr">
        <is>
          <t>PUNO</t>
        </is>
      </c>
      <c r="AG22" s="29" t="inlineStr">
        <is>
          <t>SANDIA</t>
        </is>
      </c>
      <c r="AH22" s="29" t="inlineStr">
        <is>
          <t>SAN PEDRO DE PUTINA PUNCO</t>
        </is>
      </c>
      <c r="AI22" s="29" t="inlineStr">
        <is>
          <t>NO TIENE</t>
        </is>
      </c>
      <c r="AJ22" s="29" t="inlineStr">
        <is>
          <t>CULTIVO DE PRODUCTOS AGRÌCOLAS EN COMBINACIÒN CON LA CRÌA DE ANIMALES</t>
        </is>
      </c>
      <c r="AK22" s="29" t="inlineStr">
        <is>
          <t>1.0</t>
        </is>
      </c>
      <c r="AL22" s="29" t="inlineStr">
        <is>
          <t>1.0</t>
        </is>
      </c>
      <c r="AM22" s="29" t="inlineStr">
        <is>
          <t>1.0</t>
        </is>
      </c>
      <c r="AN22" s="29" t="n">
        <v>48</v>
      </c>
      <c r="AO22" s="29" t="inlineStr">
        <is>
          <t>MAMANI MAMANI RAUL</t>
        </is>
      </c>
      <c r="AP22" s="29" t="inlineStr">
        <is>
          <t>AGRICULTOR</t>
        </is>
      </c>
      <c r="AQ22" s="29" t="inlineStr">
        <is>
          <t>6.0</t>
        </is>
      </c>
      <c r="AR22" s="29" t="inlineStr">
        <is>
          <t>NO TIENE</t>
        </is>
      </c>
      <c r="AS22" s="29" t="inlineStr">
        <is>
          <t>SANJORGE.LTDA@YAHOO.COM.PE</t>
        </is>
      </c>
      <c r="AT22" s="29" t="inlineStr">
        <is>
          <t>NO TIENE</t>
        </is>
      </c>
      <c r="AU22" s="29" t="inlineStr">
        <is>
          <t>-14.11209</t>
        </is>
      </c>
      <c r="AV22" s="29" t="inlineStr">
        <is>
          <t>-69.05148166666666</t>
        </is>
      </c>
      <c r="AW22" s="29" t="inlineStr">
        <is>
          <t>1969.0</t>
        </is>
      </c>
      <c r="AX22" s="29" t="inlineStr">
        <is>
          <t>1969.0</t>
        </is>
      </c>
      <c r="AY22" s="29" t="inlineStr">
        <is>
          <t>1</t>
        </is>
      </c>
      <c r="AZ22" s="29" t="inlineStr">
        <is>
          <t>sept-2026</t>
        </is>
      </c>
      <c r="BD22" s="81">
        <f>0</f>
        <v/>
      </c>
      <c r="BE22" s="81">
        <f>IFERROR((IF(ISNUMBER(T22),MIN(T22/30,1),0)+IF(ISNUMBER(P22),MIN(P22/500,1),0))/2,0)</f>
        <v/>
      </c>
      <c r="BF22" s="81">
        <f>IFERROR(IF(OR(U22&lt;&gt;"",V22="SÍ"),IF(ISNUMBER(L22),(1*MIN(L22/10000,1))^0.5,0),IF(ISNUMBER(L22),(0*MIN(L22/10000,1))^0.5,0)),0)</f>
        <v/>
      </c>
    </row>
    <row r="23">
      <c r="A23" t="inlineStr">
        <is>
          <t>CENACOOP; CENCOOP 2017</t>
        </is>
      </c>
      <c r="B23" s="70" t="inlineStr">
        <is>
          <t>20486389371</t>
        </is>
      </c>
      <c r="C23" s="30" t="inlineStr">
        <is>
          <t>Cooperativa Agraria Cafetalera Selva Alta</t>
        </is>
      </c>
      <c r="D23" s="30" t="inlineStr"/>
      <c r="E23" s="30" t="inlineStr">
        <is>
          <t>VENTA AL POR MENOR DE ALIMENTOS, BEBIDAS Y TABACO EN ALMACENES ESPECIALIZADOS</t>
        </is>
      </c>
      <c r="F23" s="30" t="inlineStr">
        <is>
          <t>ICA</t>
        </is>
      </c>
      <c r="G23" s="30" t="inlineStr">
        <is>
          <t>—</t>
        </is>
      </c>
      <c r="H23" s="30" t="inlineStr">
        <is>
          <t>—</t>
        </is>
      </c>
      <c r="I23" s="30" t="inlineStr">
        <is>
          <t>—</t>
        </is>
      </c>
      <c r="J23" s="17" t="inlineStr">
        <is>
          <t>SI</t>
        </is>
      </c>
      <c r="K23" s="30" t="inlineStr">
        <is>
          <t>SÍ</t>
        </is>
      </c>
      <c r="L23" s="30" t="n">
        <v>367472.91</v>
      </c>
      <c r="M23" s="30" t="n">
        <v>14694888.86</v>
      </c>
      <c r="N23" s="30" t="n">
        <v>109</v>
      </c>
      <c r="O23" s="30" t="n">
        <v>6</v>
      </c>
      <c r="P23" s="30" t="inlineStr"/>
      <c r="Q23" s="30" t="inlineStr"/>
      <c r="R23" s="14" t="inlineStr">
        <is>
          <t>2575.0</t>
        </is>
      </c>
      <c r="S23" s="30" t="inlineStr"/>
      <c r="T23" s="30" t="inlineStr"/>
      <c r="U23" s="14" t="inlineStr"/>
      <c r="V23" s="14" t="inlineStr">
        <is>
          <t>NO</t>
        </is>
      </c>
      <c r="W23" s="14" t="inlineStr">
        <is>
          <t>—</t>
        </is>
      </c>
      <c r="X23" s="14" t="inlineStr">
        <is>
          <t>—</t>
        </is>
      </c>
      <c r="Y23" s="14" t="inlineStr"/>
      <c r="Z23" s="30" t="inlineStr">
        <is>
          <t>—</t>
        </is>
      </c>
      <c r="AA23" s="30" t="b">
        <v>0</v>
      </c>
      <c r="AB23" s="30" t="b">
        <v>0</v>
      </c>
      <c r="AC23" s="30" t="b">
        <v>1</v>
      </c>
      <c r="AD23" s="19" t="inlineStr">
        <is>
          <t>SI</t>
        </is>
      </c>
      <c r="AE23" s="30" t="inlineStr">
        <is>
          <t>COOPERATIVA AGRARIA CAFETALERA SELVA ALTA</t>
        </is>
      </c>
      <c r="AF23" s="30" t="inlineStr">
        <is>
          <t>JUNIN</t>
        </is>
      </c>
      <c r="AG23" s="30" t="inlineStr">
        <is>
          <t>CHANCHAMAYO</t>
        </is>
      </c>
      <c r="AH23" s="30" t="inlineStr">
        <is>
          <t>PICHANAQUI</t>
        </is>
      </c>
      <c r="AI23" s="30" t="inlineStr">
        <is>
          <t>PICHANAKI</t>
        </is>
      </c>
      <c r="AJ23" s="30" t="inlineStr">
        <is>
          <t>CULTIVO DE CEREALES (EXCEPTO ARROZ), LEGUMBRES Y SEMILLAS OLEAGINOSAS</t>
        </is>
      </c>
      <c r="AK23" s="30" t="inlineStr">
        <is>
          <t>1.0</t>
        </is>
      </c>
      <c r="AL23" s="30" t="inlineStr">
        <is>
          <t>1.0</t>
        </is>
      </c>
      <c r="AM23" s="30" t="inlineStr">
        <is>
          <t>2.0</t>
        </is>
      </c>
      <c r="AN23" s="30" t="n">
        <v>11</v>
      </c>
      <c r="AO23" s="30" t="inlineStr">
        <is>
          <t>VELASQUEZ SOTOMAYOR FRANCISCO</t>
        </is>
      </c>
      <c r="AP23" s="30" t="inlineStr">
        <is>
          <t>INGENIERO AGRONOMO</t>
        </is>
      </c>
      <c r="AQ23" s="30" t="inlineStr">
        <is>
          <t>10.0</t>
        </is>
      </c>
      <c r="AR23" s="30" t="inlineStr">
        <is>
          <t>NO TIENE</t>
        </is>
      </c>
      <c r="AS23" s="30" t="inlineStr">
        <is>
          <t>CACSELVALT@HOTMAIL.COM</t>
        </is>
      </c>
      <c r="AT23" s="30" t="inlineStr">
        <is>
          <t>971003334</t>
        </is>
      </c>
      <c r="AU23" s="30" t="inlineStr">
        <is>
          <t>-10.929245</t>
        </is>
      </c>
      <c r="AV23" s="30" t="inlineStr">
        <is>
          <t>-74.87071999999999</t>
        </is>
      </c>
      <c r="AW23" s="30" t="inlineStr">
        <is>
          <t>2005.0</t>
        </is>
      </c>
      <c r="AX23" s="30" t="inlineStr">
        <is>
          <t>2006.0</t>
        </is>
      </c>
      <c r="AY23" s="30" t="inlineStr">
        <is>
          <t>1</t>
        </is>
      </c>
      <c r="AZ23" s="30" t="inlineStr">
        <is>
          <t>sept-2026</t>
        </is>
      </c>
      <c r="BA23" t="inlineStr">
        <is>
          <t>BELGIUM; CHILE; DENMARK; GERMANY; NETHERLANDS; UNITED STATES</t>
        </is>
      </c>
      <c r="BB23" t="n">
        <v>2010</v>
      </c>
      <c r="BC23" t="n">
        <v>2025</v>
      </c>
      <c r="BD23" s="81">
        <f>0</f>
        <v/>
      </c>
      <c r="BE23" s="81">
        <f>IFERROR((IF(ISNUMBER(T23),MIN(T23/30,1),0)+IF(ISNUMBER(P23),MIN(P23/500,1),0))/2,0)</f>
        <v/>
      </c>
      <c r="BF23" s="81">
        <f>IFERROR(IF(OR(U23&lt;&gt;"",V23="SÍ"),IF(ISNUMBER(L23),(1*MIN(L23/10000,1))^0.5,0),IF(ISNUMBER(L23),(0*MIN(L23/10000,1))^0.5,0)),0)</f>
        <v/>
      </c>
    </row>
    <row r="24">
      <c r="A24" t="inlineStr">
        <is>
          <t>CENACOOP; CENCOOP 2017</t>
        </is>
      </c>
      <c r="B24" s="70" t="inlineStr">
        <is>
          <t>20156100855</t>
        </is>
      </c>
      <c r="C24" s="29" t="inlineStr">
        <is>
          <t>Cooperativa Agraria Cafetalera Unión Azata Ltda.</t>
        </is>
      </c>
      <c r="D24" s="29" t="inlineStr"/>
      <c r="E24" s="29" t="inlineStr">
        <is>
          <t>VENTA AL POR MENOR DE ALIMENTOS, BEBIDAS Y TABACO EN ALMACENES ESPECIALIZADOS</t>
        </is>
      </c>
      <c r="F24" s="29" t="inlineStr">
        <is>
          <t>ICA</t>
        </is>
      </c>
      <c r="G24" s="29" t="inlineStr">
        <is>
          <t>—</t>
        </is>
      </c>
      <c r="H24" s="29" t="inlineStr">
        <is>
          <t>—</t>
        </is>
      </c>
      <c r="I24" s="29" t="inlineStr">
        <is>
          <t>—</t>
        </is>
      </c>
      <c r="J24" s="29" t="n"/>
      <c r="K24" s="29" t="inlineStr">
        <is>
          <t>NO</t>
        </is>
      </c>
      <c r="L24" s="29" t="n"/>
      <c r="M24" s="29" t="n"/>
      <c r="N24" s="29" t="n"/>
      <c r="O24" s="29" t="n"/>
      <c r="P24" s="29" t="inlineStr"/>
      <c r="Q24" s="29" t="inlineStr"/>
      <c r="R24" s="18" t="inlineStr">
        <is>
          <t>2575.0</t>
        </is>
      </c>
      <c r="S24" s="29" t="inlineStr"/>
      <c r="T24" s="29" t="inlineStr"/>
      <c r="U24" s="18" t="inlineStr"/>
      <c r="V24" s="18" t="inlineStr">
        <is>
          <t>NO</t>
        </is>
      </c>
      <c r="W24" s="18" t="inlineStr">
        <is>
          <t>—</t>
        </is>
      </c>
      <c r="X24" s="18" t="inlineStr">
        <is>
          <t>—</t>
        </is>
      </c>
      <c r="Y24" s="18" t="inlineStr"/>
      <c r="Z24" s="29" t="inlineStr">
        <is>
          <t>—</t>
        </is>
      </c>
      <c r="AA24" s="29" t="b">
        <v>0</v>
      </c>
      <c r="AB24" s="29" t="b">
        <v>0</v>
      </c>
      <c r="AC24" s="29" t="b">
        <v>1</v>
      </c>
      <c r="AD24" s="19" t="inlineStr">
        <is>
          <t>SI</t>
        </is>
      </c>
      <c r="AE24" s="29" t="inlineStr">
        <is>
          <t>COOP AGRARIA CAFETALERA UNION AZATA LTDA</t>
        </is>
      </c>
      <c r="AF24" s="29" t="inlineStr">
        <is>
          <t>PUNO</t>
        </is>
      </c>
      <c r="AG24" s="29" t="inlineStr">
        <is>
          <t>SANDIA</t>
        </is>
      </c>
      <c r="AH24" s="29" t="inlineStr">
        <is>
          <t>SAN PEDRO DE PUTINA PUNCO</t>
        </is>
      </c>
      <c r="AI24" s="29" t="inlineStr">
        <is>
          <t>NO</t>
        </is>
      </c>
      <c r="AJ24" s="29" t="inlineStr">
        <is>
          <t>VENTA AL POR MAYOR DE MATERIAS PRIMAS AGROPECUARIAS Y ANIMALES VIVOS.</t>
        </is>
      </c>
      <c r="AK24" s="29" t="inlineStr">
        <is>
          <t>1.0</t>
        </is>
      </c>
      <c r="AL24" s="29" t="inlineStr">
        <is>
          <t>1.0</t>
        </is>
      </c>
      <c r="AM24" s="29" t="inlineStr">
        <is>
          <t>1.0</t>
        </is>
      </c>
      <c r="AN24" s="29" t="n">
        <v>1</v>
      </c>
      <c r="AO24" s="29" t="inlineStr">
        <is>
          <t>CAUNA GUTIERREZ RENE</t>
        </is>
      </c>
      <c r="AP24" s="29" t="inlineStr"/>
      <c r="AQ24" s="29" t="inlineStr"/>
      <c r="AR24" s="29" t="inlineStr">
        <is>
          <t>NO TIENE</t>
        </is>
      </c>
      <c r="AS24" s="29" t="inlineStr">
        <is>
          <t>NO TIENE</t>
        </is>
      </c>
      <c r="AT24" s="29" t="inlineStr">
        <is>
          <t>NO TIENE</t>
        </is>
      </c>
      <c r="AU24" s="29" t="inlineStr">
        <is>
          <t>-14.110320000000002</t>
        </is>
      </c>
      <c r="AV24" s="29" t="inlineStr">
        <is>
          <t>-69.05193</t>
        </is>
      </c>
      <c r="AW24" s="29" t="inlineStr">
        <is>
          <t>2010.0</t>
        </is>
      </c>
      <c r="AX24" s="29" t="inlineStr">
        <is>
          <t>2016.0</t>
        </is>
      </c>
      <c r="AY24" s="29" t="inlineStr">
        <is>
          <t>1</t>
        </is>
      </c>
      <c r="AZ24" s="29" t="inlineStr">
        <is>
          <t>sept-2026</t>
        </is>
      </c>
      <c r="BD24" s="81">
        <f>0</f>
        <v/>
      </c>
      <c r="BE24" s="81">
        <f>IFERROR((IF(ISNUMBER(T24),MIN(T24/30,1),0)+IF(ISNUMBER(P24),MIN(P24/500,1),0))/2,0)</f>
        <v/>
      </c>
      <c r="BF24" s="81">
        <f>IFERROR(IF(OR(U24&lt;&gt;"",V24="SÍ"),IF(ISNUMBER(L24),(1*MIN(L24/10000,1))^0.5,0),IF(ISNUMBER(L24),(0*MIN(L24/10000,1))^0.5,0)),0)</f>
        <v/>
      </c>
    </row>
    <row r="25">
      <c r="A25" t="inlineStr">
        <is>
          <t>CENACOOP; CENCOOP 2017</t>
        </is>
      </c>
      <c r="B25" s="70" t="inlineStr">
        <is>
          <t>20450437892</t>
        </is>
      </c>
      <c r="C25" s="30" t="inlineStr">
        <is>
          <t>Cooperativa Agraria Cpcacao Ltda.</t>
        </is>
      </c>
      <c r="D25" s="30" t="inlineStr"/>
      <c r="E25" s="30" t="inlineStr">
        <is>
          <t>VENTA AL POR MENOR DE ALIMENTOS, BEBIDAS Y TABACO EN ALMACENES ESPECIALIZADOS</t>
        </is>
      </c>
      <c r="F25" s="30" t="inlineStr">
        <is>
          <t>ICA</t>
        </is>
      </c>
      <c r="G25" s="30" t="inlineStr">
        <is>
          <t>—</t>
        </is>
      </c>
      <c r="H25" s="30" t="inlineStr">
        <is>
          <t>—</t>
        </is>
      </c>
      <c r="I25" s="30" t="inlineStr">
        <is>
          <t>—</t>
        </is>
      </c>
      <c r="J25" s="30" t="inlineStr">
        <is>
          <t>SI</t>
        </is>
      </c>
      <c r="K25" s="30" t="inlineStr">
        <is>
          <t>NO</t>
        </is>
      </c>
      <c r="L25" s="30" t="n">
        <v>0</v>
      </c>
      <c r="M25" s="30" t="n">
        <v>469042.58</v>
      </c>
      <c r="N25" s="30" t="n">
        <v>6</v>
      </c>
      <c r="O25" s="30" t="n">
        <v>2</v>
      </c>
      <c r="P25" s="30" t="inlineStr"/>
      <c r="Q25" s="30" t="inlineStr"/>
      <c r="R25" s="14" t="inlineStr">
        <is>
          <t>2575.0</t>
        </is>
      </c>
      <c r="S25" s="30" t="inlineStr"/>
      <c r="T25" s="30" t="inlineStr"/>
      <c r="U25" s="14" t="inlineStr"/>
      <c r="V25" s="14" t="inlineStr">
        <is>
          <t>NO</t>
        </is>
      </c>
      <c r="W25" s="14" t="inlineStr">
        <is>
          <t>—</t>
        </is>
      </c>
      <c r="X25" s="14" t="inlineStr">
        <is>
          <t>—</t>
        </is>
      </c>
      <c r="Y25" s="14" t="inlineStr"/>
      <c r="Z25" s="30" t="inlineStr">
        <is>
          <t>—</t>
        </is>
      </c>
      <c r="AA25" s="30" t="b">
        <v>0</v>
      </c>
      <c r="AB25" s="30" t="b">
        <v>0</v>
      </c>
      <c r="AC25" s="30" t="b">
        <v>1</v>
      </c>
      <c r="AD25" s="19" t="inlineStr">
        <is>
          <t>SI</t>
        </is>
      </c>
      <c r="AE25" s="30" t="inlineStr">
        <is>
          <t>COOPERATIVA AGROINDUSTRIAL CPCACAO TOCACHE LTDA</t>
        </is>
      </c>
      <c r="AF25" s="30" t="inlineStr">
        <is>
          <t>SAN MARTIN</t>
        </is>
      </c>
      <c r="AG25" s="30" t="inlineStr">
        <is>
          <t>TOCACHE</t>
        </is>
      </c>
      <c r="AH25" s="30" t="inlineStr">
        <is>
          <t>POLVORA</t>
        </is>
      </c>
      <c r="AI25" s="30" t="inlineStr">
        <is>
          <t>NUEVO HORIZONTE</t>
        </is>
      </c>
      <c r="AJ25" s="30" t="inlineStr">
        <is>
          <t>CULTIVO DE PRODUCTOS AGRÌCOLAS EN COMBINACIÒN CON LA CRÌA DE ANIMALES</t>
        </is>
      </c>
      <c r="AK25" s="30" t="inlineStr">
        <is>
          <t>3.0</t>
        </is>
      </c>
      <c r="AL25" s="30" t="inlineStr">
        <is>
          <t>1.0</t>
        </is>
      </c>
      <c r="AM25" s="30" t="inlineStr">
        <is>
          <t>2.0</t>
        </is>
      </c>
      <c r="AN25" s="30" t="n">
        <v>4</v>
      </c>
      <c r="AO25" s="30" t="inlineStr">
        <is>
          <t>RUIZ HERNANDO ANTONIO</t>
        </is>
      </c>
      <c r="AP25" s="30" t="inlineStr">
        <is>
          <t>INGENIERO ZOOTECNISTA</t>
        </is>
      </c>
      <c r="AQ25" s="30" t="inlineStr">
        <is>
          <t>10.0</t>
        </is>
      </c>
      <c r="AR25" s="30" t="inlineStr">
        <is>
          <t>NO TIENE</t>
        </is>
      </c>
      <c r="AS25" s="30" t="inlineStr">
        <is>
          <t>CPCACAOTOCACHE@HOTMAIL.COM</t>
        </is>
      </c>
      <c r="AT25" s="30" t="inlineStr">
        <is>
          <t>928909324</t>
        </is>
      </c>
      <c r="AU25" s="30" t="inlineStr">
        <is>
          <t>-8.111754999999999</t>
        </is>
      </c>
      <c r="AV25" s="30" t="inlineStr">
        <is>
          <t>-76.61175833333333</t>
        </is>
      </c>
      <c r="AW25" s="30" t="inlineStr">
        <is>
          <t>2013.0</t>
        </is>
      </c>
      <c r="AX25" s="30" t="inlineStr">
        <is>
          <t>2013.0</t>
        </is>
      </c>
      <c r="AY25" s="30" t="inlineStr">
        <is>
          <t>1</t>
        </is>
      </c>
      <c r="AZ25" s="30" t="inlineStr">
        <is>
          <t>sept-2026</t>
        </is>
      </c>
      <c r="BA25" t="inlineStr">
        <is>
          <t>BELGIUM; SWITZERLAND</t>
        </is>
      </c>
      <c r="BB25" t="n">
        <v>2013</v>
      </c>
      <c r="BC25" t="n">
        <v>2014</v>
      </c>
      <c r="BD25" s="81">
        <f>0</f>
        <v/>
      </c>
      <c r="BE25" s="81">
        <f>IFERROR((IF(ISNUMBER(T25),MIN(T25/30,1),0)+IF(ISNUMBER(P25),MIN(P25/500,1),0))/2,0)</f>
        <v/>
      </c>
      <c r="BF25" s="81">
        <f>IFERROR(IF(OR(U25&lt;&gt;"",V25="SÍ"),IF(ISNUMBER(L25),(1*MIN(L25/10000,1))^0.5,0),IF(ISNUMBER(L25),(0*MIN(L25/10000,1))^0.5,0)),0)</f>
        <v/>
      </c>
    </row>
    <row r="26">
      <c r="A26" t="inlineStr">
        <is>
          <t>CENACOOP; CENCOOP 2017</t>
        </is>
      </c>
      <c r="B26" s="70" t="inlineStr">
        <is>
          <t>20525692141</t>
        </is>
      </c>
      <c r="C26" s="29" t="inlineStr">
        <is>
          <t>Cooperativa Agraria De Bananeros Orgánicos Señor De Chocan De San Vicente De Piedra Rodada</t>
        </is>
      </c>
      <c r="D26" s="29" t="inlineStr"/>
      <c r="E26" s="29" t="inlineStr">
        <is>
          <t>VENTA AL POR MENOR DE ALIMENTOS, BEBIDAS Y TABACO EN ALMACENES ESPECIALIZADOS</t>
        </is>
      </c>
      <c r="F26" s="29" t="inlineStr">
        <is>
          <t>Piura</t>
        </is>
      </c>
      <c r="G26" s="29" t="inlineStr">
        <is>
          <t>Sullana</t>
        </is>
      </c>
      <c r="H26" s="29" t="inlineStr">
        <is>
          <t>—</t>
        </is>
      </c>
      <c r="I26" s="29" t="inlineStr">
        <is>
          <t>—</t>
        </is>
      </c>
      <c r="J26" s="17" t="inlineStr">
        <is>
          <t>SI</t>
        </is>
      </c>
      <c r="K26" s="29" t="inlineStr">
        <is>
          <t>SÍ</t>
        </is>
      </c>
      <c r="L26" s="29" t="n">
        <v>879072</v>
      </c>
      <c r="M26" s="29" t="n">
        <v>25231291.59</v>
      </c>
      <c r="N26" s="29" t="n">
        <v>420</v>
      </c>
      <c r="O26" s="29" t="n">
        <v>10</v>
      </c>
      <c r="P26" s="29" t="inlineStr"/>
      <c r="Q26" s="29" t="inlineStr"/>
      <c r="R26" s="18" t="inlineStr">
        <is>
          <t>2575.0</t>
        </is>
      </c>
      <c r="S26" s="29" t="inlineStr"/>
      <c r="T26" s="29" t="inlineStr"/>
      <c r="U26" s="18" t="inlineStr"/>
      <c r="V26" s="18" t="inlineStr">
        <is>
          <t>NO</t>
        </is>
      </c>
      <c r="W26" s="18" t="inlineStr">
        <is>
          <t>—</t>
        </is>
      </c>
      <c r="X26" s="18" t="inlineStr">
        <is>
          <t>—</t>
        </is>
      </c>
      <c r="Y26" s="18" t="inlineStr"/>
      <c r="Z26" s="29" t="inlineStr">
        <is>
          <t>—</t>
        </is>
      </c>
      <c r="AA26" s="29" t="b">
        <v>0</v>
      </c>
      <c r="AB26" s="29" t="b">
        <v>0</v>
      </c>
      <c r="AC26" s="29" t="b">
        <v>1</v>
      </c>
      <c r="AD26" s="19" t="inlineStr">
        <is>
          <t>SI</t>
        </is>
      </c>
      <c r="AE26" s="29" t="inlineStr">
        <is>
          <t>COOPERATIVA AGRARIA DE BANANEROS ORGANICOS SEÑOR DE CHOCAN DE SAN VICENTE DE PIEDRA RODADA</t>
        </is>
      </c>
      <c r="AF26" s="29" t="inlineStr">
        <is>
          <t>PIURA</t>
        </is>
      </c>
      <c r="AG26" s="29" t="inlineStr">
        <is>
          <t>SULLANA</t>
        </is>
      </c>
      <c r="AH26" s="29" t="inlineStr">
        <is>
          <t>SULLANA</t>
        </is>
      </c>
      <c r="AI26" s="29" t="inlineStr">
        <is>
          <t>CAS. SAN VICENTE</t>
        </is>
      </c>
      <c r="AJ26" s="29" t="inlineStr">
        <is>
          <t>ELABORACIÒN Y CONSERVACIÓN DE FRUTAS,LEGUMBRES Y HORTALIZAS</t>
        </is>
      </c>
      <c r="AK26" s="29" t="inlineStr">
        <is>
          <t>1.0</t>
        </is>
      </c>
      <c r="AL26" s="29" t="inlineStr">
        <is>
          <t>1.0</t>
        </is>
      </c>
      <c r="AM26" s="29" t="inlineStr">
        <is>
          <t>3.0</t>
        </is>
      </c>
      <c r="AN26" s="29" t="n">
        <v>2</v>
      </c>
      <c r="AO26" s="29" t="inlineStr">
        <is>
          <t>SEMINARIO NAVARRO SANTOS</t>
        </is>
      </c>
      <c r="AP26" s="29" t="inlineStr">
        <is>
          <t>AGRICULTOR</t>
        </is>
      </c>
      <c r="AQ26" s="29" t="inlineStr">
        <is>
          <t>4.0</t>
        </is>
      </c>
      <c r="AR26" s="29" t="inlineStr">
        <is>
          <t>NO TIENE</t>
        </is>
      </c>
      <c r="AS26" s="29" t="inlineStr">
        <is>
          <t>ASOCIACION_SV_PR@HOTMAIL.COM</t>
        </is>
      </c>
      <c r="AT26" s="29" t="inlineStr">
        <is>
          <t>948335606</t>
        </is>
      </c>
      <c r="AU26" s="29" t="inlineStr">
        <is>
          <t>-4.829811666666667</t>
        </is>
      </c>
      <c r="AV26" s="29" t="inlineStr">
        <is>
          <t>-80.58801</t>
        </is>
      </c>
      <c r="AW26" s="29" t="inlineStr">
        <is>
          <t>2015.0</t>
        </is>
      </c>
      <c r="AX26" s="29" t="inlineStr">
        <is>
          <t>2015.0</t>
        </is>
      </c>
      <c r="AY26" s="29" t="inlineStr">
        <is>
          <t>1</t>
        </is>
      </c>
      <c r="AZ26" s="29" t="inlineStr">
        <is>
          <t>sept-2026</t>
        </is>
      </c>
      <c r="BA26" t="inlineStr">
        <is>
          <t>BELGIUM; CHILE; FINLAND; GERMANY; ITALY; JAPAN; KOREA, REPUBLIC OF; NETHERLANDS; PANAMA; UNITED STATES</t>
        </is>
      </c>
      <c r="BB26" t="n">
        <v>2011</v>
      </c>
      <c r="BC26" t="n">
        <v>2025</v>
      </c>
      <c r="BD26" s="81">
        <f>0</f>
        <v/>
      </c>
      <c r="BE26" s="81">
        <f>IFERROR((IF(ISNUMBER(T26),MIN(T26/30,1),0)+IF(ISNUMBER(P26),MIN(P26/500,1),0))/2,0)</f>
        <v/>
      </c>
      <c r="BF26" s="81">
        <f>IFERROR(IF(OR(U26&lt;&gt;"",V26="SÍ"),IF(ISNUMBER(L26),(1*MIN(L26/10000,1))^0.5,0),IF(ISNUMBER(L26),(0*MIN(L26/10000,1))^0.5,0)),0)</f>
        <v/>
      </c>
    </row>
    <row r="27">
      <c r="A27" t="inlineStr">
        <is>
          <t>CENACOOP; CENCOOP 2017</t>
        </is>
      </c>
      <c r="B27" s="70" t="inlineStr">
        <is>
          <t>20486299895</t>
        </is>
      </c>
      <c r="C27" s="30" t="inlineStr">
        <is>
          <t>Cooperativa Agraria De Frutos Ecologicos Sanchirio Palomar</t>
        </is>
      </c>
      <c r="D27" s="30" t="inlineStr"/>
      <c r="E27" s="30" t="inlineStr">
        <is>
          <t>VENTA AL POR MENOR DE ALIMENTOS, BEBIDAS Y TABACO EN ALMACENES ESPECIALIZADOS</t>
        </is>
      </c>
      <c r="F27" s="30" t="inlineStr">
        <is>
          <t>ICA</t>
        </is>
      </c>
      <c r="G27" s="30" t="inlineStr">
        <is>
          <t>—</t>
        </is>
      </c>
      <c r="H27" s="30" t="inlineStr">
        <is>
          <t>—</t>
        </is>
      </c>
      <c r="I27" s="30" t="inlineStr">
        <is>
          <t>—</t>
        </is>
      </c>
      <c r="J27" s="17" t="n"/>
      <c r="K27" s="30" t="inlineStr">
        <is>
          <t>SÍ</t>
        </is>
      </c>
      <c r="L27" s="30" t="n"/>
      <c r="M27" s="30" t="n"/>
      <c r="N27" s="30" t="n"/>
      <c r="O27" s="30" t="n"/>
      <c r="P27" s="30" t="inlineStr"/>
      <c r="Q27" s="30" t="inlineStr"/>
      <c r="R27" s="14" t="inlineStr">
        <is>
          <t>2575.0</t>
        </is>
      </c>
      <c r="S27" s="30" t="inlineStr"/>
      <c r="T27" s="30" t="inlineStr"/>
      <c r="U27" s="14" t="inlineStr"/>
      <c r="V27" s="14" t="inlineStr">
        <is>
          <t>NO</t>
        </is>
      </c>
      <c r="W27" s="14" t="inlineStr">
        <is>
          <t>—</t>
        </is>
      </c>
      <c r="X27" s="14" t="inlineStr">
        <is>
          <t>—</t>
        </is>
      </c>
      <c r="Y27" s="14" t="inlineStr"/>
      <c r="Z27" s="30" t="inlineStr">
        <is>
          <t>—</t>
        </is>
      </c>
      <c r="AA27" s="30" t="b">
        <v>0</v>
      </c>
      <c r="AB27" s="30" t="b">
        <v>0</v>
      </c>
      <c r="AC27" s="30" t="b">
        <v>1</v>
      </c>
      <c r="AD27" s="19" t="inlineStr">
        <is>
          <t>SI</t>
        </is>
      </c>
      <c r="AE27" s="30" t="inlineStr">
        <is>
          <t>COOPERATIVA AGRARIA DE FRUTOS ECOLOGICOS SANCHIRIO PALOMAR</t>
        </is>
      </c>
      <c r="AF27" s="30" t="inlineStr">
        <is>
          <t>JUNIN</t>
        </is>
      </c>
      <c r="AG27" s="30" t="inlineStr">
        <is>
          <t>CHANCHAMAYO</t>
        </is>
      </c>
      <c r="AH27" s="30" t="inlineStr">
        <is>
          <t>SAN LUIS DE SHUARO</t>
        </is>
      </c>
      <c r="AI27" s="30" t="inlineStr">
        <is>
          <t>SANCHIRIO PALOMAR</t>
        </is>
      </c>
      <c r="AJ27" s="30" t="inlineStr">
        <is>
          <t>CULTIVO DE PLANTAS CON LAS QUE SE PREPARAN BEBIDAS</t>
        </is>
      </c>
      <c r="AK27" s="30" t="inlineStr">
        <is>
          <t>1.0</t>
        </is>
      </c>
      <c r="AL27" s="30" t="inlineStr">
        <is>
          <t>1.0</t>
        </is>
      </c>
      <c r="AM27" s="30" t="inlineStr">
        <is>
          <t>2.0</t>
        </is>
      </c>
      <c r="AN27" s="30" t="n">
        <v>12</v>
      </c>
      <c r="AO27" s="30" t="inlineStr">
        <is>
          <t>CAMARENA BENGOLEA GUSTAVO</t>
        </is>
      </c>
      <c r="AP27" s="30" t="inlineStr">
        <is>
          <t>ADMINISTRADOR</t>
        </is>
      </c>
      <c r="AQ27" s="30" t="inlineStr">
        <is>
          <t>8.0</t>
        </is>
      </c>
      <c r="AR27" s="30" t="inlineStr">
        <is>
          <t>NO TIENE</t>
        </is>
      </c>
      <c r="AS27" s="30" t="inlineStr">
        <is>
          <t>CAFESANCHIRIO@HOTMAIL.COM</t>
        </is>
      </c>
      <c r="AT27" s="30" t="inlineStr">
        <is>
          <t>955699004</t>
        </is>
      </c>
      <c r="AU27" s="30" t="inlineStr">
        <is>
          <t>-10.817148333333334</t>
        </is>
      </c>
      <c r="AV27" s="30" t="inlineStr">
        <is>
          <t>-75.21788166666667</t>
        </is>
      </c>
      <c r="AW27" s="30" t="inlineStr">
        <is>
          <t>2004.0</t>
        </is>
      </c>
      <c r="AX27" s="30" t="inlineStr">
        <is>
          <t>2005.0</t>
        </is>
      </c>
      <c r="AY27" s="30" t="inlineStr">
        <is>
          <t>1</t>
        </is>
      </c>
      <c r="AZ27" s="30" t="inlineStr">
        <is>
          <t>sept-2026</t>
        </is>
      </c>
      <c r="BD27" s="81">
        <f>0</f>
        <v/>
      </c>
      <c r="BE27" s="81">
        <f>IFERROR((IF(ISNUMBER(T27),MIN(T27/30,1),0)+IF(ISNUMBER(P27),MIN(P27/500,1),0))/2,0)</f>
        <v/>
      </c>
      <c r="BF27" s="81">
        <f>IFERROR(IF(OR(U27&lt;&gt;"",V27="SÍ"),IF(ISNUMBER(L27),(1*MIN(L27/10000,1))^0.5,0),IF(ISNUMBER(L27),(0*MIN(L27/10000,1))^0.5,0)),0)</f>
        <v/>
      </c>
    </row>
    <row r="28">
      <c r="A28" t="inlineStr">
        <is>
          <t>CENACOOP; CENCOOP 2017</t>
        </is>
      </c>
      <c r="B28" s="70" t="inlineStr">
        <is>
          <t>20600058186</t>
        </is>
      </c>
      <c r="C28" s="29" t="inlineStr">
        <is>
          <t>Cooperativa Agraria De Pequeños Productores De Banano Orgánico San Antonio De Padua – Jibito</t>
        </is>
      </c>
      <c r="D28" s="29" t="inlineStr"/>
      <c r="E28" s="29" t="inlineStr">
        <is>
          <t>VENTA AL POR MENOR DE ALIMENTOS, BEBIDAS Y TABACO EN ALMACENES ESPECIALIZADOS</t>
        </is>
      </c>
      <c r="F28" s="29" t="inlineStr">
        <is>
          <t>ICA</t>
        </is>
      </c>
      <c r="G28" s="29" t="inlineStr">
        <is>
          <t>—</t>
        </is>
      </c>
      <c r="H28" s="29" t="inlineStr">
        <is>
          <t>—</t>
        </is>
      </c>
      <c r="I28" s="29" t="inlineStr">
        <is>
          <t>—</t>
        </is>
      </c>
      <c r="J28" s="17" t="inlineStr">
        <is>
          <t>SI</t>
        </is>
      </c>
      <c r="K28" s="29" t="inlineStr">
        <is>
          <t>SÍ</t>
        </is>
      </c>
      <c r="L28" s="29" t="n">
        <v>737748</v>
      </c>
      <c r="M28" s="29" t="n">
        <v>49201057.75</v>
      </c>
      <c r="N28" s="29" t="n">
        <v>261</v>
      </c>
      <c r="O28" s="29" t="n">
        <v>6</v>
      </c>
      <c r="P28" s="29" t="inlineStr"/>
      <c r="Q28" s="29" t="inlineStr"/>
      <c r="R28" s="18" t="inlineStr">
        <is>
          <t>2575.0</t>
        </is>
      </c>
      <c r="S28" s="29" t="inlineStr"/>
      <c r="T28" s="29" t="inlineStr"/>
      <c r="U28" s="18" t="inlineStr"/>
      <c r="V28" s="18" t="inlineStr">
        <is>
          <t>NO</t>
        </is>
      </c>
      <c r="W28" s="18" t="inlineStr">
        <is>
          <t>—</t>
        </is>
      </c>
      <c r="X28" s="18" t="inlineStr">
        <is>
          <t>—</t>
        </is>
      </c>
      <c r="Y28" s="18" t="inlineStr"/>
      <c r="Z28" s="29" t="inlineStr">
        <is>
          <t>—</t>
        </is>
      </c>
      <c r="AA28" s="29" t="b">
        <v>0</v>
      </c>
      <c r="AB28" s="29" t="b">
        <v>0</v>
      </c>
      <c r="AC28" s="29" t="b">
        <v>1</v>
      </c>
      <c r="AD28" s="19" t="inlineStr">
        <is>
          <t>SI</t>
        </is>
      </c>
      <c r="AE28" s="29" t="inlineStr">
        <is>
          <t>CAPEBOSAN - JIBITO</t>
        </is>
      </c>
      <c r="AF28" s="29" t="inlineStr">
        <is>
          <t>PIURA</t>
        </is>
      </c>
      <c r="AG28" s="29" t="inlineStr">
        <is>
          <t>SULLANA</t>
        </is>
      </c>
      <c r="AH28" s="29" t="inlineStr">
        <is>
          <t>MIGUEL CHECA</t>
        </is>
      </c>
      <c r="AI28" s="29" t="inlineStr">
        <is>
          <t>CENTRO POBLADO JIBITO</t>
        </is>
      </c>
      <c r="AJ28" s="29" t="inlineStr">
        <is>
          <t>ELABORACIÒN Y CONSERVACIÓN DE FRUTAS,LEGUMBRES Y HORTALIZAS</t>
        </is>
      </c>
      <c r="AK28" s="29" t="inlineStr">
        <is>
          <t>1.0</t>
        </is>
      </c>
      <c r="AL28" s="29" t="inlineStr">
        <is>
          <t>1.0</t>
        </is>
      </c>
      <c r="AM28" s="29" t="inlineStr">
        <is>
          <t>3.0</t>
        </is>
      </c>
      <c r="AN28" s="29" t="n">
        <v>2</v>
      </c>
      <c r="AO28" s="29" t="inlineStr">
        <is>
          <t>VILLAREAL ATOCHE FRANCO</t>
        </is>
      </c>
      <c r="AP28" s="29" t="inlineStr">
        <is>
          <t>AGRICULTOR</t>
        </is>
      </c>
      <c r="AQ28" s="29" t="inlineStr">
        <is>
          <t>6.0</t>
        </is>
      </c>
      <c r="AR28" s="29" t="inlineStr">
        <is>
          <t>NO TIENE</t>
        </is>
      </c>
      <c r="AS28" s="29" t="inlineStr">
        <is>
          <t>CAPEBOSAN.PERU@GMAIL.COM</t>
        </is>
      </c>
      <c r="AT28" s="29" t="inlineStr">
        <is>
          <t>955777017</t>
        </is>
      </c>
      <c r="AU28" s="29" t="inlineStr">
        <is>
          <t>-4.906853333333333</t>
        </is>
      </c>
      <c r="AV28" s="29" t="inlineStr">
        <is>
          <t>-80.743095</t>
        </is>
      </c>
      <c r="AW28" s="29" t="inlineStr">
        <is>
          <t>2014.0</t>
        </is>
      </c>
      <c r="AX28" s="29" t="inlineStr">
        <is>
          <t>2015.0</t>
        </is>
      </c>
      <c r="AY28" s="29" t="inlineStr">
        <is>
          <t>1</t>
        </is>
      </c>
      <c r="AZ28" s="29" t="inlineStr">
        <is>
          <t>sept-2026</t>
        </is>
      </c>
      <c r="BA28" t="inlineStr">
        <is>
          <t>BELGIUM; COLOMBIA; FINLAND; GERMANY; NETHERLANDS; UNITED KINGDOM</t>
        </is>
      </c>
      <c r="BB28" t="n">
        <v>2015</v>
      </c>
      <c r="BC28" t="n">
        <v>2024</v>
      </c>
      <c r="BD28" s="81">
        <f>0</f>
        <v/>
      </c>
      <c r="BE28" s="81">
        <f>IFERROR((IF(ISNUMBER(T28),MIN(T28/30,1),0)+IF(ISNUMBER(P28),MIN(P28/500,1),0))/2,0)</f>
        <v/>
      </c>
      <c r="BF28" s="81">
        <f>IFERROR(IF(OR(U28&lt;&gt;"",V28="SÍ"),IF(ISNUMBER(L28),(1*MIN(L28/10000,1))^0.5,0),IF(ISNUMBER(L28),(0*MIN(L28/10000,1))^0.5,0)),0)</f>
        <v/>
      </c>
    </row>
    <row r="29">
      <c r="A29" t="inlineStr">
        <is>
          <t>CENACOOP; CENCOOP 2017; SISPAC</t>
        </is>
      </c>
      <c r="B29" s="70" t="inlineStr">
        <is>
          <t>20534847352</t>
        </is>
      </c>
      <c r="C29" s="30" t="inlineStr">
        <is>
          <t>Cooperativa Agraria De Productores Orgánicos De La Sierra</t>
        </is>
      </c>
      <c r="D29" s="30" t="inlineStr"/>
      <c r="E29" s="30" t="inlineStr">
        <is>
          <t>VENTA AL POR MENOR DE ALIMENTOS, BEBIDAS Y TABACO EN ALMACENES ESPECIALIZADOS</t>
        </is>
      </c>
      <c r="F29" s="30" t="inlineStr">
        <is>
          <t>ICA</t>
        </is>
      </c>
      <c r="G29" s="30" t="inlineStr">
        <is>
          <t>—</t>
        </is>
      </c>
      <c r="H29" s="30" t="inlineStr">
        <is>
          <t>—</t>
        </is>
      </c>
      <c r="I29" s="30" t="inlineStr">
        <is>
          <t>—</t>
        </is>
      </c>
      <c r="J29" s="30" t="n"/>
      <c r="K29" s="30" t="inlineStr">
        <is>
          <t>NO</t>
        </is>
      </c>
      <c r="L29" s="30" t="n"/>
      <c r="M29" s="30" t="n"/>
      <c r="N29" s="30" t="n"/>
      <c r="O29" s="30" t="n"/>
      <c r="P29" s="30" t="inlineStr"/>
      <c r="Q29" s="30" t="inlineStr"/>
      <c r="R29" s="14" t="inlineStr">
        <is>
          <t>2575.0</t>
        </is>
      </c>
      <c r="S29" s="30" t="inlineStr"/>
      <c r="T29" s="30" t="inlineStr"/>
      <c r="U29" s="14" t="inlineStr"/>
      <c r="V29" s="14" t="inlineStr">
        <is>
          <t>NO</t>
        </is>
      </c>
      <c r="W29" s="14" t="inlineStr">
        <is>
          <t>—</t>
        </is>
      </c>
      <c r="X29" s="14" t="inlineStr">
        <is>
          <t>—</t>
        </is>
      </c>
      <c r="Y29" s="14" t="inlineStr"/>
      <c r="Z29" s="30" t="inlineStr">
        <is>
          <t>—</t>
        </is>
      </c>
      <c r="AA29" s="30" t="b">
        <v>0</v>
      </c>
      <c r="AB29" s="30" t="b">
        <v>0</v>
      </c>
      <c r="AC29" s="30" t="b">
        <v>1</v>
      </c>
      <c r="AD29" s="19" t="inlineStr">
        <is>
          <t>SI</t>
        </is>
      </c>
      <c r="AE29" s="30" t="inlineStr">
        <is>
          <t>COOPERATIVA AGRARIA DE PRODUCTORES ORGANICOS DE LA SIERRA</t>
        </is>
      </c>
      <c r="AF29" s="30" t="inlineStr">
        <is>
          <t>AYACUCHO</t>
        </is>
      </c>
      <c r="AG29" s="30" t="inlineStr">
        <is>
          <t>HUAMANGA</t>
        </is>
      </c>
      <c r="AH29" s="30" t="inlineStr">
        <is>
          <t>AYACUCHO</t>
        </is>
      </c>
      <c r="AI29" s="30" t="inlineStr">
        <is>
          <t>NO TIENE</t>
        </is>
      </c>
      <c r="AJ29" s="30" t="inlineStr">
        <is>
          <t>ELABORACIÒN Y CONSERVACIÓN DE FRUTAS,LEGUMBRES Y HORTALIZAS</t>
        </is>
      </c>
      <c r="AK29" s="30" t="inlineStr">
        <is>
          <t>1.0</t>
        </is>
      </c>
      <c r="AL29" s="30" t="inlineStr">
        <is>
          <t>1.0</t>
        </is>
      </c>
      <c r="AM29" s="30" t="inlineStr">
        <is>
          <t>2.0</t>
        </is>
      </c>
      <c r="AN29" s="30" t="n">
        <v>4</v>
      </c>
      <c r="AO29" s="30" t="inlineStr">
        <is>
          <t>QUISPE LIMACO EDUARDO</t>
        </is>
      </c>
      <c r="AP29" s="30" t="inlineStr">
        <is>
          <t>INGENIERO AGRONOMO</t>
        </is>
      </c>
      <c r="AQ29" s="30" t="inlineStr">
        <is>
          <t>10.0</t>
        </is>
      </c>
      <c r="AR29" s="30" t="inlineStr">
        <is>
          <t>NO TIENE</t>
        </is>
      </c>
      <c r="AS29" s="30" t="inlineStr">
        <is>
          <t>COOPRAOS@HOTMAIL.COM</t>
        </is>
      </c>
      <c r="AT29" s="30" t="inlineStr">
        <is>
          <t>966636202</t>
        </is>
      </c>
      <c r="AU29" s="30" t="inlineStr">
        <is>
          <t>-13.150578333333332</t>
        </is>
      </c>
      <c r="AV29" s="30" t="inlineStr">
        <is>
          <t>-74.231865</t>
        </is>
      </c>
      <c r="AW29" s="30" t="inlineStr">
        <is>
          <t>2012.0</t>
        </is>
      </c>
      <c r="AX29" s="30" t="inlineStr">
        <is>
          <t>2013.0</t>
        </is>
      </c>
      <c r="AY29" s="30" t="inlineStr">
        <is>
          <t>1</t>
        </is>
      </c>
      <c r="AZ29" s="30" t="inlineStr">
        <is>
          <t>sept-2026</t>
        </is>
      </c>
      <c r="BD29" s="81">
        <f>0</f>
        <v/>
      </c>
      <c r="BE29" s="81">
        <f>IFERROR((IF(ISNUMBER(T29),MIN(T29/30,1),0)+IF(ISNUMBER(P29),MIN(P29/500,1),0))/2,0)</f>
        <v/>
      </c>
      <c r="BF29" s="81">
        <f>IFERROR(IF(OR(U29&lt;&gt;"",V29="SÍ"),IF(ISNUMBER(L29),(1*MIN(L29/10000,1))^0.5,0),IF(ISNUMBER(L29),(0*MIN(L29/10000,1))^0.5,0)),0)</f>
        <v/>
      </c>
    </row>
    <row r="30">
      <c r="A30" t="inlineStr">
        <is>
          <t>CENACOOP; CENCOOP 2017; SISPAC</t>
        </is>
      </c>
      <c r="B30" s="70" t="inlineStr">
        <is>
          <t>20601006368</t>
        </is>
      </c>
      <c r="C30" s="29" t="inlineStr">
        <is>
          <t>Cooperativa Agraria De Servicios Múltiples Sur Andino - COOPSUR</t>
        </is>
      </c>
      <c r="D30" s="29" t="inlineStr"/>
      <c r="E30" s="29" t="inlineStr">
        <is>
          <t>VENTA AL POR MENOR DE ALIMENTOS, BEBIDAS Y TABACO EN ALMACENES ESPECIALIZADOS</t>
        </is>
      </c>
      <c r="F30" s="29" t="inlineStr">
        <is>
          <t>ICA</t>
        </is>
      </c>
      <c r="G30" s="29" t="inlineStr">
        <is>
          <t>—</t>
        </is>
      </c>
      <c r="H30" s="29" t="inlineStr">
        <is>
          <t>—</t>
        </is>
      </c>
      <c r="I30" s="29" t="inlineStr">
        <is>
          <t>—</t>
        </is>
      </c>
      <c r="J30" s="29" t="n"/>
      <c r="K30" s="29" t="inlineStr">
        <is>
          <t>NO</t>
        </is>
      </c>
      <c r="L30" s="29" t="n"/>
      <c r="M30" s="29" t="n"/>
      <c r="N30" s="29" t="n"/>
      <c r="O30" s="29" t="n"/>
      <c r="P30" s="29" t="inlineStr"/>
      <c r="Q30" s="29" t="inlineStr"/>
      <c r="R30" s="18" t="inlineStr">
        <is>
          <t>2575.0</t>
        </is>
      </c>
      <c r="S30" s="29" t="inlineStr"/>
      <c r="T30" s="29" t="inlineStr"/>
      <c r="U30" s="18" t="inlineStr"/>
      <c r="V30" s="18" t="inlineStr">
        <is>
          <t>NO</t>
        </is>
      </c>
      <c r="W30" s="18" t="inlineStr">
        <is>
          <t>—</t>
        </is>
      </c>
      <c r="X30" s="18" t="inlineStr">
        <is>
          <t>—</t>
        </is>
      </c>
      <c r="Y30" s="18" t="inlineStr"/>
      <c r="Z30" s="29" t="inlineStr">
        <is>
          <t>—</t>
        </is>
      </c>
      <c r="AA30" s="29" t="b">
        <v>0</v>
      </c>
      <c r="AB30" s="29" t="b">
        <v>0</v>
      </c>
      <c r="AC30" s="29" t="b">
        <v>1</v>
      </c>
      <c r="AD30" s="19" t="inlineStr">
        <is>
          <t>SI</t>
        </is>
      </c>
      <c r="AE30" s="29" t="inlineStr">
        <is>
          <t>COOPERATIVA AGRARIA DE SERVICIOS MULTIPLES SUR ANDINO - COOPSUR</t>
        </is>
      </c>
      <c r="AF30" s="29" t="inlineStr">
        <is>
          <t>APURIMAC</t>
        </is>
      </c>
      <c r="AG30" s="29" t="inlineStr">
        <is>
          <t>ANDAHUAYLAS</t>
        </is>
      </c>
      <c r="AH30" s="29" t="inlineStr">
        <is>
          <t>SAN JERONIMO</t>
        </is>
      </c>
      <c r="AI30" s="29" t="inlineStr">
        <is>
          <t>SAN JERONIMO</t>
        </is>
      </c>
      <c r="AJ30" s="29" t="inlineStr">
        <is>
          <t>VENTA AL POR MAYOR DE MATERIAS PRIMAS AGROPECUARIAS Y ANIMALES VIVOS.</t>
        </is>
      </c>
      <c r="AK30" s="29" t="inlineStr">
        <is>
          <t>1.0</t>
        </is>
      </c>
      <c r="AL30" s="29" t="inlineStr">
        <is>
          <t>1.0</t>
        </is>
      </c>
      <c r="AM30" s="29" t="inlineStr">
        <is>
          <t>1.0</t>
        </is>
      </c>
      <c r="AN30" s="29" t="n">
        <v>1</v>
      </c>
      <c r="AO30" s="29" t="inlineStr">
        <is>
          <t>LEGUIA CCOICCA VICENTE</t>
        </is>
      </c>
      <c r="AP30" s="29" t="inlineStr">
        <is>
          <t>INGENIERO AGROPECUARIO</t>
        </is>
      </c>
      <c r="AQ30" s="29" t="inlineStr">
        <is>
          <t>10.0</t>
        </is>
      </c>
      <c r="AR30" s="29" t="inlineStr">
        <is>
          <t>NO TIENE</t>
        </is>
      </c>
      <c r="AS30" s="29" t="inlineStr">
        <is>
          <t>COOPSUR15@GMAIL.COM</t>
        </is>
      </c>
      <c r="AT30" s="29" t="inlineStr">
        <is>
          <t>978845838</t>
        </is>
      </c>
      <c r="AU30" s="29" t="inlineStr">
        <is>
          <t>-13.652028333333332</t>
        </is>
      </c>
      <c r="AV30" s="29" t="inlineStr">
        <is>
          <t>-73.36615</t>
        </is>
      </c>
      <c r="AW30" s="29" t="inlineStr">
        <is>
          <t>2015.0</t>
        </is>
      </c>
      <c r="AX30" s="29" t="inlineStr">
        <is>
          <t>2016.0</t>
        </is>
      </c>
      <c r="AY30" s="29" t="inlineStr">
        <is>
          <t>1</t>
        </is>
      </c>
      <c r="AZ30" s="29" t="inlineStr">
        <is>
          <t>sept-2026</t>
        </is>
      </c>
      <c r="BD30" s="81">
        <f>0</f>
        <v/>
      </c>
      <c r="BE30" s="81">
        <f>IFERROR((IF(ISNUMBER(T30),MIN(T30/30,1),0)+IF(ISNUMBER(P30),MIN(P30/500,1),0))/2,0)</f>
        <v/>
      </c>
      <c r="BF30" s="81">
        <f>IFERROR(IF(OR(U30&lt;&gt;"",V30="SÍ"),IF(ISNUMBER(L30),(1*MIN(L30/10000,1))^0.5,0),IF(ISNUMBER(L30),(0*MIN(L30/10000,1))^0.5,0)),0)</f>
        <v/>
      </c>
    </row>
    <row r="31">
      <c r="A31" t="inlineStr">
        <is>
          <t>CENACOOP; CENCOOP 2017</t>
        </is>
      </c>
      <c r="B31" s="70" t="inlineStr">
        <is>
          <t>20530744991</t>
        </is>
      </c>
      <c r="C31" s="30" t="inlineStr">
        <is>
          <t>Cooperativa Agraria De Usuarios Caldera Ltda. N° 221</t>
        </is>
      </c>
      <c r="D31" s="30" t="inlineStr"/>
      <c r="E31" s="30" t="inlineStr">
        <is>
          <t>VENTA AL POR MENOR DE ALIMENTOS, BEBIDAS Y TABACO EN ALMACENES ESPECIALIZADOS</t>
        </is>
      </c>
      <c r="F31" s="30" t="inlineStr">
        <is>
          <t>ICA</t>
        </is>
      </c>
      <c r="G31" s="30" t="inlineStr">
        <is>
          <t>—</t>
        </is>
      </c>
      <c r="H31" s="30" t="inlineStr">
        <is>
          <t>—</t>
        </is>
      </c>
      <c r="I31" s="30" t="inlineStr">
        <is>
          <t>—</t>
        </is>
      </c>
      <c r="J31" s="30" t="n"/>
      <c r="K31" s="30" t="inlineStr">
        <is>
          <t>NO</t>
        </is>
      </c>
      <c r="L31" s="30" t="n"/>
      <c r="M31" s="30" t="n"/>
      <c r="N31" s="30" t="n"/>
      <c r="O31" s="30" t="n"/>
      <c r="P31" s="30" t="inlineStr"/>
      <c r="Q31" s="30" t="inlineStr"/>
      <c r="R31" s="14" t="inlineStr">
        <is>
          <t>2575.0</t>
        </is>
      </c>
      <c r="S31" s="30" t="inlineStr"/>
      <c r="T31" s="30" t="inlineStr"/>
      <c r="U31" s="14" t="inlineStr"/>
      <c r="V31" s="14" t="inlineStr">
        <is>
          <t>NO</t>
        </is>
      </c>
      <c r="W31" s="14" t="inlineStr">
        <is>
          <t>—</t>
        </is>
      </c>
      <c r="X31" s="14" t="inlineStr">
        <is>
          <t>—</t>
        </is>
      </c>
      <c r="Y31" s="14" t="inlineStr"/>
      <c r="Z31" s="30" t="inlineStr">
        <is>
          <t>—</t>
        </is>
      </c>
      <c r="AA31" s="30" t="b">
        <v>0</v>
      </c>
      <c r="AB31" s="30" t="b">
        <v>0</v>
      </c>
      <c r="AC31" s="30" t="b">
        <v>1</v>
      </c>
      <c r="AD31" s="19" t="inlineStr">
        <is>
          <t>SI</t>
        </is>
      </c>
      <c r="AE31" s="30" t="inlineStr">
        <is>
          <t>COOPERATIVA AGRARIA DE USUARIOS CALDERA LTDA. N° 221</t>
        </is>
      </c>
      <c r="AF31" s="30" t="inlineStr">
        <is>
          <t>LIMA</t>
        </is>
      </c>
      <c r="AG31" s="30" t="inlineStr">
        <is>
          <t>HUAURA</t>
        </is>
      </c>
      <c r="AH31" s="30" t="inlineStr">
        <is>
          <t>HUAURA</t>
        </is>
      </c>
      <c r="AI31" s="30" t="inlineStr">
        <is>
          <t>CALDERA</t>
        </is>
      </c>
      <c r="AJ31" s="30" t="inlineStr">
        <is>
          <t>CULTIVO DE CEREALES (EXCEPTO ARROZ), LEGUMBRES Y SEMILLAS OLEAGINOSAS</t>
        </is>
      </c>
      <c r="AK31" s="30" t="inlineStr">
        <is>
          <t>1.0</t>
        </is>
      </c>
      <c r="AL31" s="30" t="inlineStr">
        <is>
          <t>1.0</t>
        </is>
      </c>
      <c r="AM31" s="30" t="inlineStr">
        <is>
          <t>1.0</t>
        </is>
      </c>
      <c r="AN31" s="30" t="n">
        <v>14</v>
      </c>
      <c r="AO31" s="30" t="inlineStr">
        <is>
          <t>JARA SALINAS BERNABE FELIX</t>
        </is>
      </c>
      <c r="AP31" s="30" t="inlineStr">
        <is>
          <t>TECNICO AGROPECUARIO</t>
        </is>
      </c>
      <c r="AQ31" s="30" t="inlineStr">
        <is>
          <t>8.0</t>
        </is>
      </c>
      <c r="AR31" s="30" t="inlineStr">
        <is>
          <t>NO TIENE</t>
        </is>
      </c>
      <c r="AS31" s="30" t="inlineStr">
        <is>
          <t>NO TIENE</t>
        </is>
      </c>
      <c r="AT31" s="30" t="inlineStr">
        <is>
          <t>NO TIENE</t>
        </is>
      </c>
      <c r="AU31" s="30" t="inlineStr">
        <is>
          <t>-11.087246666666665</t>
        </is>
      </c>
      <c r="AV31" s="30" t="inlineStr">
        <is>
          <t>-77.45846</t>
        </is>
      </c>
      <c r="AW31" s="30" t="inlineStr">
        <is>
          <t>2003.0</t>
        </is>
      </c>
      <c r="AX31" s="30" t="inlineStr">
        <is>
          <t>2003.0</t>
        </is>
      </c>
      <c r="AY31" s="30" t="inlineStr">
        <is>
          <t>1</t>
        </is>
      </c>
      <c r="AZ31" s="30" t="inlineStr">
        <is>
          <t>sept-2026</t>
        </is>
      </c>
      <c r="BD31" s="81">
        <f>0</f>
        <v/>
      </c>
      <c r="BE31" s="81">
        <f>IFERROR((IF(ISNUMBER(T31),MIN(T31/30,1),0)+IF(ISNUMBER(P31),MIN(P31/500,1),0))/2,0)</f>
        <v/>
      </c>
      <c r="BF31" s="81">
        <f>IFERROR(IF(OR(U31&lt;&gt;"",V31="SÍ"),IF(ISNUMBER(L31),(1*MIN(L31/10000,1))^0.5,0),IF(ISNUMBER(L31),(0*MIN(L31/10000,1))^0.5,0)),0)</f>
        <v/>
      </c>
    </row>
    <row r="32">
      <c r="A32" t="inlineStr">
        <is>
          <t>CENACOOP; CENCOOP 2017</t>
        </is>
      </c>
      <c r="B32" s="70" t="inlineStr">
        <is>
          <t>20533933816</t>
        </is>
      </c>
      <c r="C32" s="29" t="inlineStr">
        <is>
          <t>Cooperativa Agraria De Usuarios El Sol Ltda</t>
        </is>
      </c>
      <c r="D32" s="29" t="inlineStr"/>
      <c r="E32" s="29" t="inlineStr">
        <is>
          <t>VENTA AL POR MENOR DE ALIMENTOS, BEBIDAS Y TABACO EN ALMACENES ESPECIALIZADOS</t>
        </is>
      </c>
      <c r="F32" s="29" t="inlineStr">
        <is>
          <t>ICA</t>
        </is>
      </c>
      <c r="G32" s="29" t="inlineStr">
        <is>
          <t>—</t>
        </is>
      </c>
      <c r="H32" s="29" t="inlineStr">
        <is>
          <t>—</t>
        </is>
      </c>
      <c r="I32" s="29" t="inlineStr">
        <is>
          <t>—</t>
        </is>
      </c>
      <c r="J32" s="29" t="n"/>
      <c r="K32" s="29" t="inlineStr">
        <is>
          <t>NO</t>
        </is>
      </c>
      <c r="L32" s="29" t="n"/>
      <c r="M32" s="29" t="n"/>
      <c r="N32" s="29" t="n"/>
      <c r="O32" s="29" t="n"/>
      <c r="P32" s="29" t="inlineStr"/>
      <c r="Q32" s="29" t="inlineStr"/>
      <c r="R32" s="18" t="inlineStr">
        <is>
          <t>2575.0</t>
        </is>
      </c>
      <c r="S32" s="29" t="inlineStr"/>
      <c r="T32" s="29" t="inlineStr"/>
      <c r="U32" s="18" t="inlineStr"/>
      <c r="V32" s="18" t="inlineStr">
        <is>
          <t>NO</t>
        </is>
      </c>
      <c r="W32" s="18" t="inlineStr">
        <is>
          <t>—</t>
        </is>
      </c>
      <c r="X32" s="18" t="inlineStr">
        <is>
          <t>—</t>
        </is>
      </c>
      <c r="Y32" s="18" t="inlineStr"/>
      <c r="Z32" s="29" t="inlineStr">
        <is>
          <t>—</t>
        </is>
      </c>
      <c r="AA32" s="29" t="b">
        <v>0</v>
      </c>
      <c r="AB32" s="29" t="b">
        <v>0</v>
      </c>
      <c r="AC32" s="29" t="b">
        <v>1</v>
      </c>
      <c r="AD32" s="19" t="inlineStr">
        <is>
          <t>SI</t>
        </is>
      </c>
      <c r="AE32" s="29" t="inlineStr">
        <is>
          <t>COOPERATIVA AGRARIA DE USUARIOS EL SOL LTDA.</t>
        </is>
      </c>
      <c r="AF32" s="29" t="inlineStr">
        <is>
          <t>LIMA</t>
        </is>
      </c>
      <c r="AG32" s="29" t="inlineStr">
        <is>
          <t>HUAURA</t>
        </is>
      </c>
      <c r="AH32" s="29" t="inlineStr">
        <is>
          <t>HUAURA</t>
        </is>
      </c>
      <c r="AI32" s="29" t="inlineStr">
        <is>
          <t>EL SOL</t>
        </is>
      </c>
      <c r="AJ32" s="29" t="inlineStr">
        <is>
          <t>CULTIVO DE CEREALES (EXCEPTO ARROZ), LEGUMBRES Y SEMILLAS OLEAGINOSAS</t>
        </is>
      </c>
      <c r="AK32" s="29" t="inlineStr">
        <is>
          <t>1.0</t>
        </is>
      </c>
      <c r="AL32" s="29" t="inlineStr">
        <is>
          <t>1.0</t>
        </is>
      </c>
      <c r="AM32" s="29" t="inlineStr">
        <is>
          <t>1.0</t>
        </is>
      </c>
      <c r="AN32" s="29" t="n">
        <v>44</v>
      </c>
      <c r="AO32" s="29" t="inlineStr">
        <is>
          <t>ROJAS RONDON SANTOS</t>
        </is>
      </c>
      <c r="AP32" s="29" t="inlineStr">
        <is>
          <t>DOCENTE</t>
        </is>
      </c>
      <c r="AQ32" s="29" t="inlineStr">
        <is>
          <t>10.0</t>
        </is>
      </c>
      <c r="AR32" s="29" t="inlineStr">
        <is>
          <t>NO TIENE</t>
        </is>
      </c>
      <c r="AS32" s="29" t="inlineStr">
        <is>
          <t>NO TIENE</t>
        </is>
      </c>
      <c r="AT32" s="29" t="inlineStr">
        <is>
          <t>NO TIENE</t>
        </is>
      </c>
      <c r="AU32" s="29" t="inlineStr">
        <is>
          <t>-11.041099999999998</t>
        </is>
      </c>
      <c r="AV32" s="29" t="inlineStr">
        <is>
          <t>-77.60330166666667</t>
        </is>
      </c>
      <c r="AW32" s="29" t="inlineStr">
        <is>
          <t>1973.0</t>
        </is>
      </c>
      <c r="AX32" s="29" t="inlineStr">
        <is>
          <t>1973.0</t>
        </is>
      </c>
      <c r="AY32" s="29" t="inlineStr">
        <is>
          <t>1</t>
        </is>
      </c>
      <c r="AZ32" s="29" t="inlineStr">
        <is>
          <t>sept-2026</t>
        </is>
      </c>
      <c r="BD32" s="81">
        <f>0</f>
        <v/>
      </c>
      <c r="BE32" s="81">
        <f>IFERROR((IF(ISNUMBER(T32),MIN(T32/30,1),0)+IF(ISNUMBER(P32),MIN(P32/500,1),0))/2,0)</f>
        <v/>
      </c>
      <c r="BF32" s="81">
        <f>IFERROR(IF(OR(U32&lt;&gt;"",V32="SÍ"),IF(ISNUMBER(L32),(1*MIN(L32/10000,1))^0.5,0),IF(ISNUMBER(L32),(0*MIN(L32/10000,1))^0.5,0)),0)</f>
        <v/>
      </c>
    </row>
    <row r="33">
      <c r="A33" t="inlineStr">
        <is>
          <t>CENACOOP; CENCOOP 2017</t>
        </is>
      </c>
      <c r="B33" s="70" t="inlineStr">
        <is>
          <t>20142158168</t>
        </is>
      </c>
      <c r="C33" s="30" t="inlineStr">
        <is>
          <t>Cooperativa Agraria De Usuarios Laura Caller Iberico Ltda-Caulaci</t>
        </is>
      </c>
      <c r="D33" s="30" t="inlineStr"/>
      <c r="E33" s="30" t="inlineStr">
        <is>
          <t>VENTA AL POR MENOR DE ALIMENTOS, BEBIDAS Y TABACO EN ALMACENES ESPECIALIZADOS</t>
        </is>
      </c>
      <c r="F33" s="30" t="inlineStr">
        <is>
          <t>ICA</t>
        </is>
      </c>
      <c r="G33" s="30" t="inlineStr">
        <is>
          <t>—</t>
        </is>
      </c>
      <c r="H33" s="30" t="inlineStr">
        <is>
          <t>—</t>
        </is>
      </c>
      <c r="I33" s="30" t="inlineStr">
        <is>
          <t>—</t>
        </is>
      </c>
      <c r="J33" s="30" t="n"/>
      <c r="K33" s="30" t="inlineStr">
        <is>
          <t>NO</t>
        </is>
      </c>
      <c r="L33" s="30" t="n"/>
      <c r="M33" s="30" t="n"/>
      <c r="N33" s="30" t="n"/>
      <c r="O33" s="30" t="n"/>
      <c r="P33" s="30" t="inlineStr"/>
      <c r="Q33" s="30" t="inlineStr"/>
      <c r="R33" s="14" t="inlineStr">
        <is>
          <t>2575.0</t>
        </is>
      </c>
      <c r="S33" s="30" t="inlineStr"/>
      <c r="T33" s="30" t="inlineStr"/>
      <c r="U33" s="14" t="inlineStr"/>
      <c r="V33" s="14" t="inlineStr">
        <is>
          <t>NO</t>
        </is>
      </c>
      <c r="W33" s="14" t="inlineStr">
        <is>
          <t>—</t>
        </is>
      </c>
      <c r="X33" s="14" t="inlineStr">
        <is>
          <t>—</t>
        </is>
      </c>
      <c r="Y33" s="14" t="inlineStr"/>
      <c r="Z33" s="30" t="inlineStr">
        <is>
          <t>—</t>
        </is>
      </c>
      <c r="AA33" s="30" t="b">
        <v>0</v>
      </c>
      <c r="AB33" s="30" t="b">
        <v>0</v>
      </c>
      <c r="AC33" s="30" t="b">
        <v>1</v>
      </c>
      <c r="AD33" s="19" t="inlineStr">
        <is>
          <t>SI</t>
        </is>
      </c>
      <c r="AE33" s="30" t="inlineStr">
        <is>
          <t>CENTRAL COOPERATIVA AGRARIA  LAURA CALLER IBERICO LTDA.</t>
        </is>
      </c>
      <c r="AF33" s="30" t="inlineStr">
        <is>
          <t>ICA</t>
        </is>
      </c>
      <c r="AG33" s="30" t="inlineStr">
        <is>
          <t>CHINCHA</t>
        </is>
      </c>
      <c r="AH33" s="30" t="inlineStr">
        <is>
          <t>CHINCHA BAJA</t>
        </is>
      </c>
      <c r="AI33" s="30" t="inlineStr">
        <is>
          <t>CHINCHA BAJA</t>
        </is>
      </c>
      <c r="AJ33" s="30" t="inlineStr">
        <is>
          <t>CULTIVO DE PRODUCTOS AGRÌCOLAS EN COMBINACIÒN CON LA CRÌA DE ANIMALES</t>
        </is>
      </c>
      <c r="AK33" s="30" t="inlineStr">
        <is>
          <t>15.0</t>
        </is>
      </c>
      <c r="AL33" s="30" t="inlineStr">
        <is>
          <t>1.0</t>
        </is>
      </c>
      <c r="AM33" s="30" t="inlineStr">
        <is>
          <t>1.0</t>
        </is>
      </c>
      <c r="AN33" s="30" t="n">
        <v>25</v>
      </c>
      <c r="AO33" s="30" t="inlineStr">
        <is>
          <t>PABLO CONDORI GRACIONO MAXIMO</t>
        </is>
      </c>
      <c r="AP33" s="30" t="inlineStr">
        <is>
          <t>INGENIERO AGRONOMO</t>
        </is>
      </c>
      <c r="AQ33" s="30" t="inlineStr">
        <is>
          <t>10.0</t>
        </is>
      </c>
      <c r="AR33" s="30" t="inlineStr">
        <is>
          <t>NO TIENE</t>
        </is>
      </c>
      <c r="AS33" s="30" t="inlineStr">
        <is>
          <t>CECOALACI@HOTMAIL.COM</t>
        </is>
      </c>
      <c r="AT33" s="30" t="inlineStr">
        <is>
          <t>956621563</t>
        </is>
      </c>
      <c r="AU33" s="30" t="inlineStr">
        <is>
          <t>-13.476265000000001</t>
        </is>
      </c>
      <c r="AV33" s="30" t="inlineStr">
        <is>
          <t>-76.13789833333334</t>
        </is>
      </c>
      <c r="AW33" s="30" t="inlineStr">
        <is>
          <t>1988.0</t>
        </is>
      </c>
      <c r="AX33" s="30" t="inlineStr">
        <is>
          <t>1992.0</t>
        </is>
      </c>
      <c r="AY33" s="30" t="inlineStr">
        <is>
          <t>1</t>
        </is>
      </c>
      <c r="AZ33" s="30" t="inlineStr">
        <is>
          <t>sept-2026</t>
        </is>
      </c>
      <c r="BD33" s="81">
        <f>0</f>
        <v/>
      </c>
      <c r="BE33" s="81">
        <f>IFERROR((IF(ISNUMBER(T33),MIN(T33/30,1),0)+IF(ISNUMBER(P33),MIN(P33/500,1),0))/2,0)</f>
        <v/>
      </c>
      <c r="BF33" s="81">
        <f>IFERROR(IF(OR(U33&lt;&gt;"",V33="SÍ"),IF(ISNUMBER(L33),(1*MIN(L33/10000,1))^0.5,0),IF(ISNUMBER(L33),(0*MIN(L33/10000,1))^0.5,0)),0)</f>
        <v/>
      </c>
    </row>
    <row r="34">
      <c r="A34" t="inlineStr">
        <is>
          <t>CENACOOP; CENCOOP 2017</t>
        </is>
      </c>
      <c r="B34" s="70" t="inlineStr">
        <is>
          <t>20163253683</t>
        </is>
      </c>
      <c r="C34" s="29" t="inlineStr">
        <is>
          <t>Cooperativa Agraria De Usuarios Sinchi Roca Ltda</t>
        </is>
      </c>
      <c r="D34" s="29" t="inlineStr"/>
      <c r="E34" s="29" t="inlineStr">
        <is>
          <t>VENTA AL POR MENOR DE ALIMENTOS, BEBIDAS Y TABACO EN ALMACENES ESPECIALIZADOS</t>
        </is>
      </c>
      <c r="F34" s="29" t="inlineStr">
        <is>
          <t>Ica</t>
        </is>
      </c>
      <c r="G34" s="29" t="inlineStr">
        <is>
          <t>Chincha</t>
        </is>
      </c>
      <c r="H34" s="29" t="inlineStr">
        <is>
          <t>—</t>
        </is>
      </c>
      <c r="I34" s="29" t="inlineStr">
        <is>
          <t>—</t>
        </is>
      </c>
      <c r="J34" s="29" t="n"/>
      <c r="K34" s="29" t="inlineStr">
        <is>
          <t>NO</t>
        </is>
      </c>
      <c r="L34" s="29" t="n"/>
      <c r="M34" s="29" t="n"/>
      <c r="N34" s="29" t="n"/>
      <c r="O34" s="29" t="n"/>
      <c r="P34" s="29" t="inlineStr"/>
      <c r="Q34" s="29" t="inlineStr"/>
      <c r="R34" s="18" t="inlineStr">
        <is>
          <t>2575.0</t>
        </is>
      </c>
      <c r="S34" s="29" t="inlineStr"/>
      <c r="T34" s="29" t="inlineStr"/>
      <c r="U34" s="18" t="inlineStr"/>
      <c r="V34" s="18" t="inlineStr">
        <is>
          <t>NO</t>
        </is>
      </c>
      <c r="W34" s="18" t="inlineStr">
        <is>
          <t>—</t>
        </is>
      </c>
      <c r="X34" s="18" t="inlineStr">
        <is>
          <t>—</t>
        </is>
      </c>
      <c r="Y34" s="18" t="inlineStr"/>
      <c r="Z34" s="29" t="inlineStr">
        <is>
          <t>—</t>
        </is>
      </c>
      <c r="AA34" s="29" t="b">
        <v>0</v>
      </c>
      <c r="AB34" s="29" t="b">
        <v>0</v>
      </c>
      <c r="AC34" s="29" t="b">
        <v>1</v>
      </c>
      <c r="AD34" s="19" t="inlineStr">
        <is>
          <t>SI</t>
        </is>
      </c>
      <c r="AE34" s="29" t="inlineStr">
        <is>
          <t>COOPERATIVA AGRARIA DE USUARIOS SINCHI R</t>
        </is>
      </c>
      <c r="AF34" s="29" t="inlineStr">
        <is>
          <t>ICA</t>
        </is>
      </c>
      <c r="AG34" s="29" t="inlineStr">
        <is>
          <t>CHINCHA</t>
        </is>
      </c>
      <c r="AH34" s="29" t="inlineStr">
        <is>
          <t>EL CARMEN</t>
        </is>
      </c>
      <c r="AI34" s="29" t="inlineStr">
        <is>
          <t>SAN REGIS</t>
        </is>
      </c>
      <c r="AJ34" s="29" t="inlineStr">
        <is>
          <t>CULTIVO DE CEREALES (EXCEPTO ARROZ), LEGUMBRES Y SEMILLAS OLEAGINOSAS</t>
        </is>
      </c>
      <c r="AK34" s="29" t="inlineStr">
        <is>
          <t>1.0</t>
        </is>
      </c>
      <c r="AL34" s="29" t="inlineStr">
        <is>
          <t>1.0</t>
        </is>
      </c>
      <c r="AM34" s="29" t="inlineStr">
        <is>
          <t>1.0</t>
        </is>
      </c>
      <c r="AN34" s="29" t="n">
        <v>44</v>
      </c>
      <c r="AO34" s="29" t="inlineStr">
        <is>
          <t>FAJARDO GALLARDO SANTIAGO ALBINO</t>
        </is>
      </c>
      <c r="AP34" s="29" t="inlineStr">
        <is>
          <t>OFICIO</t>
        </is>
      </c>
      <c r="AQ34" s="29" t="inlineStr">
        <is>
          <t>3.0</t>
        </is>
      </c>
      <c r="AR34" s="29" t="inlineStr">
        <is>
          <t>NO TIENE</t>
        </is>
      </c>
      <c r="AS34" s="29" t="inlineStr">
        <is>
          <t>NO TIENE</t>
        </is>
      </c>
      <c r="AT34" s="29" t="inlineStr">
        <is>
          <t>956629816</t>
        </is>
      </c>
      <c r="AU34" s="29" t="inlineStr">
        <is>
          <t>-13.510011666666665</t>
        </is>
      </c>
      <c r="AV34" s="29" t="inlineStr">
        <is>
          <t>-76.08734666666666</t>
        </is>
      </c>
      <c r="AW34" s="29" t="inlineStr">
        <is>
          <t>1973.0</t>
        </is>
      </c>
      <c r="AX34" s="29" t="inlineStr">
        <is>
          <t>1973.0</t>
        </is>
      </c>
      <c r="AY34" s="29" t="inlineStr">
        <is>
          <t>1</t>
        </is>
      </c>
      <c r="AZ34" s="29" t="inlineStr">
        <is>
          <t>sept-2026</t>
        </is>
      </c>
      <c r="BD34" s="81">
        <f>0</f>
        <v/>
      </c>
      <c r="BE34" s="81">
        <f>IFERROR((IF(ISNUMBER(T34),MIN(T34/30,1),0)+IF(ISNUMBER(P34),MIN(P34/500,1),0))/2,0)</f>
        <v/>
      </c>
      <c r="BF34" s="81">
        <f>IFERROR(IF(OR(U34&lt;&gt;"",V34="SÍ"),IF(ISNUMBER(L34),(1*MIN(L34/10000,1))^0.5,0),IF(ISNUMBER(L34),(0*MIN(L34/10000,1))^0.5,0)),0)</f>
        <v/>
      </c>
    </row>
    <row r="35">
      <c r="A35" t="inlineStr">
        <is>
          <t>CENACOOP; CENCOOP 2017; SISPAC</t>
        </is>
      </c>
      <c r="B35" s="70" t="inlineStr">
        <is>
          <t>20600668430</t>
        </is>
      </c>
      <c r="C35" s="30" t="inlineStr">
        <is>
          <t>Cooperativa Agraria Del Centro Poblado De Bella - Bajo Monzón</t>
        </is>
      </c>
      <c r="D35" s="30" t="inlineStr"/>
      <c r="E35" s="30" t="inlineStr">
        <is>
          <t>VENTA AL POR MENOR DE ALIMENTOS, BEBIDAS Y TABACO EN ALMACENES ESPECIALIZADOS</t>
        </is>
      </c>
      <c r="F35" s="30" t="inlineStr">
        <is>
          <t>ICA</t>
        </is>
      </c>
      <c r="G35" s="30" t="inlineStr">
        <is>
          <t>—</t>
        </is>
      </c>
      <c r="H35" s="30" t="inlineStr">
        <is>
          <t>—</t>
        </is>
      </c>
      <c r="I35" s="30" t="inlineStr">
        <is>
          <t>—</t>
        </is>
      </c>
      <c r="J35" s="30" t="n"/>
      <c r="K35" s="30" t="inlineStr">
        <is>
          <t>NO</t>
        </is>
      </c>
      <c r="L35" s="30" t="n"/>
      <c r="M35" s="30" t="n"/>
      <c r="N35" s="30" t="n"/>
      <c r="O35" s="30" t="n"/>
      <c r="P35" s="30" t="inlineStr"/>
      <c r="Q35" s="30" t="inlineStr"/>
      <c r="R35" s="14" t="inlineStr">
        <is>
          <t>2575.0</t>
        </is>
      </c>
      <c r="S35" s="30" t="inlineStr"/>
      <c r="T35" s="30" t="inlineStr"/>
      <c r="U35" s="14" t="inlineStr"/>
      <c r="V35" s="14" t="inlineStr">
        <is>
          <t>NO</t>
        </is>
      </c>
      <c r="W35" s="14" t="inlineStr">
        <is>
          <t>—</t>
        </is>
      </c>
      <c r="X35" s="14" t="inlineStr">
        <is>
          <t>—</t>
        </is>
      </c>
      <c r="Y35" s="14" t="inlineStr"/>
      <c r="Z35" s="30" t="inlineStr">
        <is>
          <t>—</t>
        </is>
      </c>
      <c r="AA35" s="30" t="b">
        <v>0</v>
      </c>
      <c r="AB35" s="30" t="b">
        <v>0</v>
      </c>
      <c r="AC35" s="30" t="b">
        <v>1</v>
      </c>
      <c r="AD35" s="19" t="inlineStr">
        <is>
          <t>SI</t>
        </is>
      </c>
      <c r="AE35" s="30" t="inlineStr">
        <is>
          <t>COOPERATIVA AGROINDUSTRIAL Y DE SERVICIOS DEL CENTRO POBLADO DE BELLA BAJO MONZON</t>
        </is>
      </c>
      <c r="AF35" s="30" t="inlineStr">
        <is>
          <t>HUANUCO</t>
        </is>
      </c>
      <c r="AG35" s="30" t="inlineStr">
        <is>
          <t>LEONCIO PRADO</t>
        </is>
      </c>
      <c r="AH35" s="30" t="inlineStr">
        <is>
          <t>MARIANO DAMASO BERAUN</t>
        </is>
      </c>
      <c r="AI35" s="30" t="inlineStr">
        <is>
          <t>C.P. BELLA</t>
        </is>
      </c>
      <c r="AJ35" s="30" t="inlineStr">
        <is>
          <t>VENTA AL POR MAYOR DE MATERIAS PRIMAS AGROPECUARIAS Y ANIMALES VIVOS.</t>
        </is>
      </c>
      <c r="AK35" s="30" t="inlineStr">
        <is>
          <t>3.0</t>
        </is>
      </c>
      <c r="AL35" s="30" t="inlineStr">
        <is>
          <t>1.0</t>
        </is>
      </c>
      <c r="AM35" s="30" t="inlineStr">
        <is>
          <t>1.0</t>
        </is>
      </c>
      <c r="AN35" s="30" t="n">
        <v>2</v>
      </c>
      <c r="AO35" s="30" t="inlineStr">
        <is>
          <t>CAJAS ROSALES MARIA AIDE</t>
        </is>
      </c>
      <c r="AP35" s="30" t="inlineStr">
        <is>
          <t>INGENIERO DE RECURSOS NATURALES</t>
        </is>
      </c>
      <c r="AQ35" s="30" t="inlineStr">
        <is>
          <t>10.0</t>
        </is>
      </c>
      <c r="AR35" s="30" t="inlineStr">
        <is>
          <t>NO TIENE</t>
        </is>
      </c>
      <c r="AS35" s="30" t="inlineStr">
        <is>
          <t>NO TIENE</t>
        </is>
      </c>
      <c r="AT35" s="30" t="inlineStr">
        <is>
          <t>NO TIENE</t>
        </is>
      </c>
      <c r="AU35" s="30" t="inlineStr">
        <is>
          <t>-9.324966666666667</t>
        </is>
      </c>
      <c r="AV35" s="30" t="inlineStr">
        <is>
          <t>-76.03601</t>
        </is>
      </c>
      <c r="AW35" s="30" t="inlineStr">
        <is>
          <t>2015.0</t>
        </is>
      </c>
      <c r="AX35" s="30" t="inlineStr">
        <is>
          <t>2015.0</t>
        </is>
      </c>
      <c r="AY35" s="30" t="inlineStr">
        <is>
          <t>1</t>
        </is>
      </c>
      <c r="AZ35" s="30" t="inlineStr">
        <is>
          <t>sept-2026</t>
        </is>
      </c>
      <c r="BD35" s="81">
        <f>0</f>
        <v/>
      </c>
      <c r="BE35" s="81">
        <f>IFERROR((IF(ISNUMBER(T35),MIN(T35/30,1),0)+IF(ISNUMBER(P35),MIN(P35/500,1),0))/2,0)</f>
        <v/>
      </c>
      <c r="BF35" s="81">
        <f>IFERROR(IF(OR(U35&lt;&gt;"",V35="SÍ"),IF(ISNUMBER(L35),(1*MIN(L35/10000,1))^0.5,0),IF(ISNUMBER(L35),(0*MIN(L35/10000,1))^0.5,0)),0)</f>
        <v/>
      </c>
    </row>
    <row r="36">
      <c r="A36" t="inlineStr">
        <is>
          <t>CENACOOP; CENCOOP 2017; SISPAC</t>
        </is>
      </c>
      <c r="B36" s="70" t="inlineStr">
        <is>
          <t>20600382064</t>
        </is>
      </c>
      <c r="C36" s="29" t="inlineStr">
        <is>
          <t>Cooperativa Agraria Ecológica Agroindustrial de Curimana Ltda</t>
        </is>
      </c>
      <c r="D36" s="29" t="inlineStr"/>
      <c r="E36" s="29" t="inlineStr">
        <is>
          <t>VENTA AL POR MENOR DE ALIMENTOS, BEBIDAS Y TABACO EN ALMACENES ESPECIALIZADOS</t>
        </is>
      </c>
      <c r="F36" s="29" t="inlineStr">
        <is>
          <t>ICA</t>
        </is>
      </c>
      <c r="G36" s="29" t="inlineStr">
        <is>
          <t>—</t>
        </is>
      </c>
      <c r="H36" s="29" t="inlineStr">
        <is>
          <t>—</t>
        </is>
      </c>
      <c r="I36" s="29" t="inlineStr">
        <is>
          <t>—</t>
        </is>
      </c>
      <c r="J36" s="29" t="n"/>
      <c r="K36" s="29" t="inlineStr">
        <is>
          <t>NO</t>
        </is>
      </c>
      <c r="L36" s="29" t="n"/>
      <c r="M36" s="29" t="n"/>
      <c r="N36" s="29" t="n"/>
      <c r="O36" s="29" t="n"/>
      <c r="P36" s="29" t="inlineStr"/>
      <c r="Q36" s="29" t="inlineStr"/>
      <c r="R36" s="18" t="inlineStr">
        <is>
          <t>2575.0</t>
        </is>
      </c>
      <c r="S36" s="29" t="inlineStr"/>
      <c r="T36" s="29" t="inlineStr"/>
      <c r="U36" s="18" t="inlineStr"/>
      <c r="V36" s="18" t="inlineStr">
        <is>
          <t>NO</t>
        </is>
      </c>
      <c r="W36" s="18" t="inlineStr">
        <is>
          <t>—</t>
        </is>
      </c>
      <c r="X36" s="18" t="inlineStr">
        <is>
          <t>—</t>
        </is>
      </c>
      <c r="Y36" s="18" t="inlineStr"/>
      <c r="Z36" s="29" t="inlineStr">
        <is>
          <t>—</t>
        </is>
      </c>
      <c r="AA36" s="29" t="b">
        <v>0</v>
      </c>
      <c r="AB36" s="29" t="b">
        <v>0</v>
      </c>
      <c r="AC36" s="29" t="b">
        <v>1</v>
      </c>
      <c r="AD36" s="19" t="inlineStr">
        <is>
          <t>SI</t>
        </is>
      </c>
      <c r="AE36" s="29" t="inlineStr">
        <is>
          <t>COOPERATIVA ECOLOGICA AGROINDUSTRIAL DE CURIMANA LTDA.</t>
        </is>
      </c>
      <c r="AF36" s="29" t="inlineStr">
        <is>
          <t>UCAYALI</t>
        </is>
      </c>
      <c r="AG36" s="29" t="inlineStr">
        <is>
          <t>PADRE ABAD</t>
        </is>
      </c>
      <c r="AH36" s="29" t="inlineStr">
        <is>
          <t>CURIMANA</t>
        </is>
      </c>
      <c r="AI36" s="29" t="inlineStr">
        <is>
          <t>CURIMANA</t>
        </is>
      </c>
      <c r="AJ36" s="29" t="inlineStr">
        <is>
          <t>CULTIVO DE PLANTAS CON LAS QUE SE PREPARAN BEBIDAS</t>
        </is>
      </c>
      <c r="AK36" s="29" t="inlineStr">
        <is>
          <t>1.0</t>
        </is>
      </c>
      <c r="AL36" s="29" t="inlineStr">
        <is>
          <t>1.0</t>
        </is>
      </c>
      <c r="AM36" s="29" t="inlineStr">
        <is>
          <t>1.0</t>
        </is>
      </c>
      <c r="AN36" s="29" t="n">
        <v>5</v>
      </c>
      <c r="AO36" s="29" t="inlineStr">
        <is>
          <t>TAPIA CERQUERA DANIEL</t>
        </is>
      </c>
      <c r="AP36" s="29" t="inlineStr">
        <is>
          <t>INGENIERO AGRONOMO</t>
        </is>
      </c>
      <c r="AQ36" s="29" t="inlineStr">
        <is>
          <t>10.0</t>
        </is>
      </c>
      <c r="AR36" s="29" t="inlineStr">
        <is>
          <t>NO TIENE</t>
        </is>
      </c>
      <c r="AS36" s="29" t="inlineStr">
        <is>
          <t>NO TIENE</t>
        </is>
      </c>
      <c r="AT36" s="29" t="inlineStr">
        <is>
          <t>NO TIENE</t>
        </is>
      </c>
      <c r="AU36" s="29" t="inlineStr">
        <is>
          <t>-8.437638333333332</t>
        </is>
      </c>
      <c r="AV36" s="29" t="inlineStr">
        <is>
          <t>-75.15887</t>
        </is>
      </c>
      <c r="AW36" s="29" t="inlineStr">
        <is>
          <t>2012.0</t>
        </is>
      </c>
      <c r="AX36" s="29" t="inlineStr">
        <is>
          <t>2012.0</t>
        </is>
      </c>
      <c r="AY36" s="29" t="inlineStr">
        <is>
          <t>1</t>
        </is>
      </c>
      <c r="AZ36" s="29" t="inlineStr">
        <is>
          <t>sept-2026</t>
        </is>
      </c>
      <c r="BD36" s="81">
        <f>0</f>
        <v/>
      </c>
      <c r="BE36" s="81">
        <f>IFERROR((IF(ISNUMBER(T36),MIN(T36/30,1),0)+IF(ISNUMBER(P36),MIN(P36/500,1),0))/2,0)</f>
        <v/>
      </c>
      <c r="BF36" s="81">
        <f>IFERROR(IF(OR(U36&lt;&gt;"",V36="SÍ"),IF(ISNUMBER(L36),(1*MIN(L36/10000,1))^0.5,0),IF(ISNUMBER(L36),(0*MIN(L36/10000,1))^0.5,0)),0)</f>
        <v/>
      </c>
    </row>
    <row r="37">
      <c r="A37" t="inlineStr">
        <is>
          <t>CENACOOP; CENCOOP 2017</t>
        </is>
      </c>
      <c r="B37" s="70" t="inlineStr">
        <is>
          <t>20487224660</t>
        </is>
      </c>
      <c r="C37" s="30" t="inlineStr">
        <is>
          <t>Cooperativa Agraria Ecológica De Café De Origen Selva Central</t>
        </is>
      </c>
      <c r="D37" s="30" t="inlineStr"/>
      <c r="E37" s="30" t="inlineStr">
        <is>
          <t>VENTA AL POR MENOR DE ALIMENTOS, BEBIDAS Y TABACO EN ALMACENES ESPECIALIZADOS</t>
        </is>
      </c>
      <c r="F37" s="30" t="inlineStr">
        <is>
          <t>ICA</t>
        </is>
      </c>
      <c r="G37" s="30" t="inlineStr">
        <is>
          <t>—</t>
        </is>
      </c>
      <c r="H37" s="30" t="inlineStr">
        <is>
          <t>—</t>
        </is>
      </c>
      <c r="I37" s="30" t="inlineStr">
        <is>
          <t>—</t>
        </is>
      </c>
      <c r="J37" s="30" t="n"/>
      <c r="K37" s="30" t="inlineStr">
        <is>
          <t>NO</t>
        </is>
      </c>
      <c r="L37" s="30" t="n"/>
      <c r="M37" s="30" t="n"/>
      <c r="N37" s="30" t="n"/>
      <c r="O37" s="30" t="n"/>
      <c r="P37" s="30" t="inlineStr"/>
      <c r="Q37" s="30" t="inlineStr"/>
      <c r="R37" s="14" t="inlineStr">
        <is>
          <t>2575.0</t>
        </is>
      </c>
      <c r="S37" s="30" t="inlineStr"/>
      <c r="T37" s="30" t="inlineStr"/>
      <c r="U37" s="14" t="inlineStr"/>
      <c r="V37" s="14" t="inlineStr">
        <is>
          <t>NO</t>
        </is>
      </c>
      <c r="W37" s="14" t="inlineStr">
        <is>
          <t>—</t>
        </is>
      </c>
      <c r="X37" s="14" t="inlineStr">
        <is>
          <t>—</t>
        </is>
      </c>
      <c r="Y37" s="14" t="inlineStr"/>
      <c r="Z37" s="30" t="inlineStr">
        <is>
          <t>—</t>
        </is>
      </c>
      <c r="AA37" s="30" t="b">
        <v>0</v>
      </c>
      <c r="AB37" s="30" t="b">
        <v>0</v>
      </c>
      <c r="AC37" s="30" t="b">
        <v>1</v>
      </c>
      <c r="AD37" s="19" t="inlineStr">
        <is>
          <t>SI</t>
        </is>
      </c>
      <c r="AE37" s="30" t="inlineStr">
        <is>
          <t>COOPERATIVA AGROECOLOGICA DE CAFE DE ORIGEN SELVA CENTRAL</t>
        </is>
      </c>
      <c r="AF37" s="30" t="inlineStr">
        <is>
          <t>JUNIN</t>
        </is>
      </c>
      <c r="AG37" s="30" t="inlineStr">
        <is>
          <t>CHANCHAMAYO</t>
        </is>
      </c>
      <c r="AH37" s="30" t="inlineStr">
        <is>
          <t>PICHANAQUI</t>
        </is>
      </c>
      <c r="AI37" s="30" t="inlineStr">
        <is>
          <t>PICHANAQUI</t>
        </is>
      </c>
      <c r="AJ37" s="30" t="inlineStr">
        <is>
          <t>CULTIVO DE CEREALES (EXCEPTO ARROZ), LEGUMBRES Y SEMILLAS OLEAGINOSAS</t>
        </is>
      </c>
      <c r="AK37" s="30" t="inlineStr">
        <is>
          <t>1.0</t>
        </is>
      </c>
      <c r="AL37" s="30" t="inlineStr">
        <is>
          <t>1.0</t>
        </is>
      </c>
      <c r="AM37" s="30" t="inlineStr">
        <is>
          <t>2.0</t>
        </is>
      </c>
      <c r="AN37" s="30" t="n">
        <v>8</v>
      </c>
      <c r="AO37" s="30" t="inlineStr">
        <is>
          <t>HUAYLLAS MOLINA ZAIL ROGERS</t>
        </is>
      </c>
      <c r="AP37" s="30" t="inlineStr">
        <is>
          <t>INGENIERO AGRONOMO</t>
        </is>
      </c>
      <c r="AQ37" s="30" t="inlineStr">
        <is>
          <t>10.0</t>
        </is>
      </c>
      <c r="AR37" s="30" t="inlineStr">
        <is>
          <t>WWW.CAECOS.COM</t>
        </is>
      </c>
      <c r="AS37" s="30" t="inlineStr">
        <is>
          <t>CAECOS-SC@HOTMAIL.COM</t>
        </is>
      </c>
      <c r="AT37" s="30" t="inlineStr">
        <is>
          <t>998444456</t>
        </is>
      </c>
      <c r="AU37" s="30" t="inlineStr">
        <is>
          <t>-10.929008333333336</t>
        </is>
      </c>
      <c r="AV37" s="30" t="inlineStr">
        <is>
          <t>-74.8697</t>
        </is>
      </c>
      <c r="AW37" s="30" t="inlineStr">
        <is>
          <t>2009.0</t>
        </is>
      </c>
      <c r="AX37" s="30" t="inlineStr">
        <is>
          <t>2009.0</t>
        </is>
      </c>
      <c r="AY37" s="30" t="inlineStr">
        <is>
          <t>1</t>
        </is>
      </c>
      <c r="AZ37" s="30" t="inlineStr">
        <is>
          <t>sept-2026</t>
        </is>
      </c>
      <c r="BD37" s="81">
        <f>0</f>
        <v/>
      </c>
      <c r="BE37" s="81">
        <f>IFERROR((IF(ISNUMBER(T37),MIN(T37/30,1),0)+IF(ISNUMBER(P37),MIN(P37/500,1),0))/2,0)</f>
        <v/>
      </c>
      <c r="BF37" s="81">
        <f>IFERROR(IF(OR(U37&lt;&gt;"",V37="SÍ"),IF(ISNUMBER(L37),(1*MIN(L37/10000,1))^0.5,0),IF(ISNUMBER(L37),(0*MIN(L37/10000,1))^0.5,0)),0)</f>
        <v/>
      </c>
    </row>
    <row r="38">
      <c r="A38" t="inlineStr">
        <is>
          <t>CENACOOP; CENCOOP 2017</t>
        </is>
      </c>
      <c r="B38" s="70" t="inlineStr">
        <is>
          <t>20601063922</t>
        </is>
      </c>
      <c r="C38" s="29" t="inlineStr">
        <is>
          <t>Cooperativa Agraria Ecológica El Cafecito - Pichanaqui</t>
        </is>
      </c>
      <c r="D38" s="29" t="inlineStr"/>
      <c r="E38" s="29" t="inlineStr">
        <is>
          <t>VENTA AL POR MENOR DE ALIMENTOS, BEBIDAS Y TABACO EN ALMACENES ESPECIALIZADOS</t>
        </is>
      </c>
      <c r="F38" s="29" t="inlineStr">
        <is>
          <t>ICA</t>
        </is>
      </c>
      <c r="G38" s="29" t="inlineStr">
        <is>
          <t>—</t>
        </is>
      </c>
      <c r="H38" s="29" t="inlineStr">
        <is>
          <t>—</t>
        </is>
      </c>
      <c r="I38" s="29" t="inlineStr">
        <is>
          <t>—</t>
        </is>
      </c>
      <c r="J38" s="29" t="n"/>
      <c r="K38" s="29" t="inlineStr">
        <is>
          <t>NO</t>
        </is>
      </c>
      <c r="L38" s="29" t="n"/>
      <c r="M38" s="29" t="n"/>
      <c r="N38" s="29" t="n"/>
      <c r="O38" s="29" t="n"/>
      <c r="P38" s="29" t="inlineStr"/>
      <c r="Q38" s="29" t="inlineStr"/>
      <c r="R38" s="18" t="inlineStr">
        <is>
          <t>2575.0</t>
        </is>
      </c>
      <c r="S38" s="29" t="inlineStr"/>
      <c r="T38" s="29" t="inlineStr"/>
      <c r="U38" s="18" t="inlineStr"/>
      <c r="V38" s="18" t="inlineStr">
        <is>
          <t>NO</t>
        </is>
      </c>
      <c r="W38" s="18" t="inlineStr">
        <is>
          <t>—</t>
        </is>
      </c>
      <c r="X38" s="18" t="inlineStr">
        <is>
          <t>—</t>
        </is>
      </c>
      <c r="Y38" s="18" t="inlineStr"/>
      <c r="Z38" s="29" t="inlineStr">
        <is>
          <t>—</t>
        </is>
      </c>
      <c r="AA38" s="29" t="b">
        <v>0</v>
      </c>
      <c r="AB38" s="29" t="b">
        <v>0</v>
      </c>
      <c r="AC38" s="29" t="b">
        <v>1</v>
      </c>
      <c r="AD38" s="19" t="inlineStr">
        <is>
          <t>SI</t>
        </is>
      </c>
      <c r="AE38" s="29" t="inlineStr">
        <is>
          <t>COOPERATIVA AGROECOLOGICA EL CAFECITO - PICHANAQUI</t>
        </is>
      </c>
      <c r="AF38" s="29" t="inlineStr">
        <is>
          <t>JUNIN</t>
        </is>
      </c>
      <c r="AG38" s="29" t="inlineStr">
        <is>
          <t>CHANCHAMAYO</t>
        </is>
      </c>
      <c r="AH38" s="29" t="inlineStr">
        <is>
          <t>PICHANAQUI</t>
        </is>
      </c>
      <c r="AI38" s="29" t="inlineStr">
        <is>
          <t>PICHANAQUI</t>
        </is>
      </c>
      <c r="AJ38" s="29" t="inlineStr">
        <is>
          <t>CULTIVO DE FRUTAS TROPICALES Y SUBTROPICALES</t>
        </is>
      </c>
      <c r="AK38" s="29" t="inlineStr">
        <is>
          <t>1.0</t>
        </is>
      </c>
      <c r="AL38" s="29" t="inlineStr">
        <is>
          <t>1.0</t>
        </is>
      </c>
      <c r="AM38" s="29" t="inlineStr">
        <is>
          <t>1.0</t>
        </is>
      </c>
      <c r="AN38" s="29" t="n">
        <v>1</v>
      </c>
      <c r="AO38" s="29" t="inlineStr">
        <is>
          <t>TERREROS PASTRANA REYNALDO</t>
        </is>
      </c>
      <c r="AP38" s="29" t="inlineStr">
        <is>
          <t>ADMINISTRADOR</t>
        </is>
      </c>
      <c r="AQ38" s="29" t="inlineStr">
        <is>
          <t>9.0</t>
        </is>
      </c>
      <c r="AR38" s="29" t="inlineStr">
        <is>
          <t>NO TIENE</t>
        </is>
      </c>
      <c r="AS38" s="29" t="inlineStr">
        <is>
          <t>COOPERATIVAAGROECOLOGICA@GMAIL.COM</t>
        </is>
      </c>
      <c r="AT38" s="29" t="inlineStr">
        <is>
          <t>990822849</t>
        </is>
      </c>
      <c r="AU38" s="29" t="inlineStr">
        <is>
          <t>-10.930783333333332</t>
        </is>
      </c>
      <c r="AV38" s="29" t="inlineStr">
        <is>
          <t>-74.87377833333333</t>
        </is>
      </c>
      <c r="AW38" s="29" t="inlineStr">
        <is>
          <t>2016.0</t>
        </is>
      </c>
      <c r="AX38" s="29" t="inlineStr">
        <is>
          <t>2016.0</t>
        </is>
      </c>
      <c r="AY38" s="29" t="inlineStr">
        <is>
          <t>1</t>
        </is>
      </c>
      <c r="AZ38" s="29" t="inlineStr">
        <is>
          <t>sept-2026</t>
        </is>
      </c>
      <c r="BD38" s="81">
        <f>0</f>
        <v/>
      </c>
      <c r="BE38" s="81">
        <f>IFERROR((IF(ISNUMBER(T38),MIN(T38/30,1),0)+IF(ISNUMBER(P38),MIN(P38/500,1),0))/2,0)</f>
        <v/>
      </c>
      <c r="BF38" s="81">
        <f>IFERROR(IF(OR(U38&lt;&gt;"",V38="SÍ"),IF(ISNUMBER(L38),(1*MIN(L38/10000,1))^0.5,0),IF(ISNUMBER(L38),(0*MIN(L38/10000,1))^0.5,0)),0)</f>
        <v/>
      </c>
    </row>
    <row r="39">
      <c r="A39" t="inlineStr">
        <is>
          <t>CENACOOP; CENCOOP 2017; SISPAC</t>
        </is>
      </c>
      <c r="B39" s="70" t="inlineStr">
        <is>
          <t>20601125715</t>
        </is>
      </c>
      <c r="C39" s="30" t="inlineStr">
        <is>
          <t>Cooperativa Agraria Ecológica Markahuamachuco</t>
        </is>
      </c>
      <c r="D39" s="30" t="inlineStr"/>
      <c r="E39" s="30" t="inlineStr">
        <is>
          <t>VENTA AL POR MENOR DE ALIMENTOS, BEBIDAS Y TABACO EN ALMACENES ESPECIALIZADOS</t>
        </is>
      </c>
      <c r="F39" s="30" t="inlineStr">
        <is>
          <t>La Libertad</t>
        </is>
      </c>
      <c r="G39" s="30" t="inlineStr">
        <is>
          <t>Sanchez Carrión</t>
        </is>
      </c>
      <c r="H39" s="30" t="inlineStr">
        <is>
          <t>—</t>
        </is>
      </c>
      <c r="I39" s="30" t="inlineStr">
        <is>
          <t>—</t>
        </is>
      </c>
      <c r="J39" s="30" t="n"/>
      <c r="K39" s="30" t="inlineStr">
        <is>
          <t>NO</t>
        </is>
      </c>
      <c r="L39" s="30" t="n"/>
      <c r="M39" s="30" t="n"/>
      <c r="N39" s="30" t="n"/>
      <c r="O39" s="30" t="n"/>
      <c r="P39" s="30" t="inlineStr"/>
      <c r="Q39" s="30" t="inlineStr"/>
      <c r="R39" s="14" t="inlineStr">
        <is>
          <t>2575.0</t>
        </is>
      </c>
      <c r="S39" s="30" t="inlineStr"/>
      <c r="T39" s="30" t="inlineStr"/>
      <c r="U39" s="14" t="inlineStr"/>
      <c r="V39" s="14" t="inlineStr">
        <is>
          <t>NO</t>
        </is>
      </c>
      <c r="W39" s="14" t="inlineStr">
        <is>
          <t>—</t>
        </is>
      </c>
      <c r="X39" s="14" t="inlineStr">
        <is>
          <t>—</t>
        </is>
      </c>
      <c r="Y39" s="14" t="inlineStr"/>
      <c r="Z39" s="30" t="inlineStr">
        <is>
          <t>—</t>
        </is>
      </c>
      <c r="AA39" s="30" t="b">
        <v>0</v>
      </c>
      <c r="AB39" s="30" t="b">
        <v>0</v>
      </c>
      <c r="AC39" s="30" t="b">
        <v>1</v>
      </c>
      <c r="AD39" s="19" t="inlineStr">
        <is>
          <t>SI</t>
        </is>
      </c>
      <c r="AE39" s="30" t="inlineStr">
        <is>
          <t>COOPERATIVA AGRARIA ECOLOGICA MARKAHUAMACHUCO</t>
        </is>
      </c>
      <c r="AF39" s="30" t="inlineStr">
        <is>
          <t>LA LIBERTAD</t>
        </is>
      </c>
      <c r="AG39" s="30" t="inlineStr">
        <is>
          <t>SANCHEZ CARRION</t>
        </is>
      </c>
      <c r="AH39" s="30" t="inlineStr">
        <is>
          <t>HUAMACHUCO</t>
        </is>
      </c>
      <c r="AI39" s="30" t="inlineStr">
        <is>
          <t>HUAMACHUCO</t>
        </is>
      </c>
      <c r="AJ39" s="30" t="inlineStr">
        <is>
          <t>CULTIVO DE CEREALES (EXCEPTO ARROZ), LEGUMBRES Y SEMILLAS OLEAGINOSAS</t>
        </is>
      </c>
      <c r="AK39" s="30" t="inlineStr">
        <is>
          <t>1.0</t>
        </is>
      </c>
      <c r="AL39" s="30" t="inlineStr">
        <is>
          <t>1.0</t>
        </is>
      </c>
      <c r="AM39" s="30" t="inlineStr">
        <is>
          <t>1.0</t>
        </is>
      </c>
      <c r="AN39" s="30" t="n">
        <v>1</v>
      </c>
      <c r="AO39" s="30" t="inlineStr">
        <is>
          <t>ARTEAGA MIRANDA SANTOS ZACARIAS</t>
        </is>
      </c>
      <c r="AP39" s="30" t="inlineStr">
        <is>
          <t>LICENCIADO EN ANTROPOLOGIA</t>
        </is>
      </c>
      <c r="AQ39" s="30" t="inlineStr">
        <is>
          <t>10.0</t>
        </is>
      </c>
      <c r="AR39" s="30" t="inlineStr">
        <is>
          <t>NO TIENE</t>
        </is>
      </c>
      <c r="AS39" s="30" t="inlineStr">
        <is>
          <t>COOPECOMARKA@GMAIL.COM</t>
        </is>
      </c>
      <c r="AT39" s="30" t="inlineStr">
        <is>
          <t>959972351</t>
        </is>
      </c>
      <c r="AU39" s="30" t="inlineStr">
        <is>
          <t>-7.819045</t>
        </is>
      </c>
      <c r="AV39" s="30" t="inlineStr">
        <is>
          <t>-78.03970333333334</t>
        </is>
      </c>
      <c r="AW39" s="30" t="inlineStr">
        <is>
          <t>2016.0</t>
        </is>
      </c>
      <c r="AX39" s="30" t="inlineStr">
        <is>
          <t>2016.0</t>
        </is>
      </c>
      <c r="AY39" s="30" t="inlineStr">
        <is>
          <t>1</t>
        </is>
      </c>
      <c r="AZ39" s="30" t="inlineStr">
        <is>
          <t>sept-2026</t>
        </is>
      </c>
      <c r="BD39" s="81">
        <f>0</f>
        <v/>
      </c>
      <c r="BE39" s="81">
        <f>IFERROR((IF(ISNUMBER(T39),MIN(T39/30,1),0)+IF(ISNUMBER(P39),MIN(P39/500,1),0))/2,0)</f>
        <v/>
      </c>
      <c r="BF39" s="81">
        <f>IFERROR(IF(OR(U39&lt;&gt;"",V39="SÍ"),IF(ISNUMBER(L39),(1*MIN(L39/10000,1))^0.5,0),IF(ISNUMBER(L39),(0*MIN(L39/10000,1))^0.5,0)),0)</f>
        <v/>
      </c>
    </row>
    <row r="40">
      <c r="A40" t="inlineStr">
        <is>
          <t>CENACOOP; CENCOOP 2017</t>
        </is>
      </c>
      <c r="B40" s="70" t="inlineStr">
        <is>
          <t>20541443933</t>
        </is>
      </c>
      <c r="C40" s="29" t="inlineStr">
        <is>
          <t>Cooperativa Agraria Ecológico Café &amp; Cacao del Vraem Ltda</t>
        </is>
      </c>
      <c r="D40" s="29" t="inlineStr"/>
      <c r="E40" s="29" t="inlineStr">
        <is>
          <t>VENTA AL POR MENOR DE ALIMENTOS, BEBIDAS Y TABACO EN ALMACENES ESPECIALIZADOS</t>
        </is>
      </c>
      <c r="F40" s="29" t="inlineStr">
        <is>
          <t>CUSCO</t>
        </is>
      </c>
      <c r="G40" s="29" t="inlineStr">
        <is>
          <t>—</t>
        </is>
      </c>
      <c r="H40" s="29" t="inlineStr">
        <is>
          <t>—</t>
        </is>
      </c>
      <c r="I40" s="29" t="inlineStr">
        <is>
          <t>—</t>
        </is>
      </c>
      <c r="J40" s="29" t="n"/>
      <c r="K40" s="29" t="inlineStr">
        <is>
          <t>NO</t>
        </is>
      </c>
      <c r="L40" s="29" t="n"/>
      <c r="M40" s="29" t="n"/>
      <c r="N40" s="29" t="n"/>
      <c r="O40" s="29" t="n"/>
      <c r="P40" s="29" t="inlineStr"/>
      <c r="Q40" s="29" t="inlineStr"/>
      <c r="R40" s="18" t="inlineStr">
        <is>
          <t>6866.6665</t>
        </is>
      </c>
      <c r="S40" s="29" t="inlineStr"/>
      <c r="T40" s="29" t="inlineStr"/>
      <c r="U40" s="18" t="inlineStr"/>
      <c r="V40" s="18" t="inlineStr">
        <is>
          <t>NO</t>
        </is>
      </c>
      <c r="W40" s="18" t="inlineStr">
        <is>
          <t>—</t>
        </is>
      </c>
      <c r="X40" s="18" t="inlineStr">
        <is>
          <t>—</t>
        </is>
      </c>
      <c r="Y40" s="18" t="inlineStr"/>
      <c r="Z40" s="29" t="inlineStr">
        <is>
          <t>—</t>
        </is>
      </c>
      <c r="AA40" s="29" t="b">
        <v>0</v>
      </c>
      <c r="AB40" s="29" t="b">
        <v>0</v>
      </c>
      <c r="AC40" s="29" t="b">
        <v>1</v>
      </c>
      <c r="AD40" s="19" t="inlineStr">
        <is>
          <t>SI</t>
        </is>
      </c>
      <c r="AE40" s="29" t="inlineStr">
        <is>
          <t>COOPERATIVA AGROECOLOGICO CAFÉ  CACAO DE ORIGEN D</t>
        </is>
      </c>
      <c r="AF40" s="29" t="inlineStr">
        <is>
          <t>JUNIN</t>
        </is>
      </c>
      <c r="AG40" s="29" t="inlineStr">
        <is>
          <t>SATIPO</t>
        </is>
      </c>
      <c r="AH40" s="29" t="inlineStr">
        <is>
          <t>PANGOA</t>
        </is>
      </c>
      <c r="AI40" s="29" t="inlineStr">
        <is>
          <t>SAN MARTIN DE PANGOA</t>
        </is>
      </c>
      <c r="AJ40" s="29" t="inlineStr">
        <is>
          <t>CULTIVO DE CEREALES (EXCEPTO ARROZ), LEGUMBRES Y SEMILLAS OLEAGINOSAS</t>
        </is>
      </c>
      <c r="AK40" s="29" t="inlineStr">
        <is>
          <t>1.0</t>
        </is>
      </c>
      <c r="AL40" s="29" t="inlineStr">
        <is>
          <t>1.0</t>
        </is>
      </c>
      <c r="AM40" s="29" t="inlineStr">
        <is>
          <t>2.0</t>
        </is>
      </c>
      <c r="AN40" s="29" t="n">
        <v>6</v>
      </c>
      <c r="AO40" s="29" t="inlineStr">
        <is>
          <t>ALIAGA BRAVO JENRE VICTOR</t>
        </is>
      </c>
      <c r="AP40" s="29" t="inlineStr">
        <is>
          <t>INGENIERO AGRONOMO</t>
        </is>
      </c>
      <c r="AQ40" s="29" t="inlineStr">
        <is>
          <t>9.0</t>
        </is>
      </c>
      <c r="AR40" s="29" t="inlineStr">
        <is>
          <t>WWW.ECOVRAE.COM</t>
        </is>
      </c>
      <c r="AS40" s="29" t="inlineStr">
        <is>
          <t>COOP.ECOVRAE@GMAIL.COM</t>
        </is>
      </c>
      <c r="AT40" s="29" t="inlineStr">
        <is>
          <t>935980104</t>
        </is>
      </c>
      <c r="AU40" s="29" t="inlineStr">
        <is>
          <t>-11.43143833333333</t>
        </is>
      </c>
      <c r="AV40" s="29" t="inlineStr">
        <is>
          <t>-74.48835833333332</t>
        </is>
      </c>
      <c r="AW40" s="29" t="inlineStr">
        <is>
          <t>2010.0</t>
        </is>
      </c>
      <c r="AX40" s="29" t="inlineStr">
        <is>
          <t>2011.0</t>
        </is>
      </c>
      <c r="AY40" s="29" t="inlineStr">
        <is>
          <t>1</t>
        </is>
      </c>
      <c r="AZ40" s="29" t="inlineStr">
        <is>
          <t>sept-2026</t>
        </is>
      </c>
      <c r="BD40" s="81">
        <f>0</f>
        <v/>
      </c>
      <c r="BE40" s="81">
        <f>IFERROR((IF(ISNUMBER(T40),MIN(T40/30,1),0)+IF(ISNUMBER(P40),MIN(P40/500,1),0))/2,0)</f>
        <v/>
      </c>
      <c r="BF40" s="81">
        <f>IFERROR(IF(OR(U40&lt;&gt;"",V40="SÍ"),IF(ISNUMBER(L40),(1*MIN(L40/10000,1))^0.5,0),IF(ISNUMBER(L40),(0*MIN(L40/10000,1))^0.5,0)),0)</f>
        <v/>
      </c>
    </row>
    <row r="41">
      <c r="A41" t="inlineStr">
        <is>
          <t>CENACOOP; CENCOOP 2017; SISPAC</t>
        </is>
      </c>
      <c r="B41" s="70" t="inlineStr">
        <is>
          <t>20574602450</t>
        </is>
      </c>
      <c r="C41" s="30" t="inlineStr">
        <is>
          <t>Cooperativa Agraria Frutos del Ande</t>
        </is>
      </c>
      <c r="D41" s="30" t="inlineStr"/>
      <c r="E41" s="30" t="inlineStr">
        <is>
          <t>VENTA AL POR MENOR DE ALIMENTOS, BEBIDAS Y TABACO EN ALMACENES ESPECIALIZADOS</t>
        </is>
      </c>
      <c r="F41" s="30" t="inlineStr">
        <is>
          <t>Ayacucho</t>
        </is>
      </c>
      <c r="G41" s="30" t="inlineStr">
        <is>
          <t>Huamanga</t>
        </is>
      </c>
      <c r="H41" s="30" t="inlineStr">
        <is>
          <t>—</t>
        </is>
      </c>
      <c r="I41" s="30" t="inlineStr">
        <is>
          <t>—</t>
        </is>
      </c>
      <c r="J41" s="17" t="inlineStr">
        <is>
          <t>SI</t>
        </is>
      </c>
      <c r="K41" s="30" t="inlineStr">
        <is>
          <t>SÍ</t>
        </is>
      </c>
      <c r="L41" s="30" t="n">
        <v>218560</v>
      </c>
      <c r="M41" s="30" t="n">
        <v>678484.7</v>
      </c>
      <c r="N41" s="30" t="n">
        <v>11</v>
      </c>
      <c r="O41" s="30" t="n">
        <v>1</v>
      </c>
      <c r="P41" s="30" t="inlineStr"/>
      <c r="Q41" s="30" t="inlineStr"/>
      <c r="R41" s="14" t="inlineStr">
        <is>
          <t>2575.0</t>
        </is>
      </c>
      <c r="S41" s="30" t="inlineStr"/>
      <c r="T41" s="30" t="inlineStr"/>
      <c r="U41" s="14" t="inlineStr"/>
      <c r="V41" s="14" t="inlineStr">
        <is>
          <t>NO</t>
        </is>
      </c>
      <c r="W41" s="14" t="inlineStr">
        <is>
          <t>—</t>
        </is>
      </c>
      <c r="X41" s="14" t="inlineStr">
        <is>
          <t>—</t>
        </is>
      </c>
      <c r="Y41" s="14" t="inlineStr"/>
      <c r="Z41" s="30" t="inlineStr">
        <is>
          <t>—</t>
        </is>
      </c>
      <c r="AA41" s="30" t="b">
        <v>0</v>
      </c>
      <c r="AB41" s="30" t="b">
        <v>0</v>
      </c>
      <c r="AC41" s="30" t="b">
        <v>1</v>
      </c>
      <c r="AD41" s="19" t="inlineStr">
        <is>
          <t>SI</t>
        </is>
      </c>
      <c r="AE41" s="30" t="inlineStr">
        <is>
          <t>COOPERATIVA DE SERVICIOS MULTIPLES FRUTOS DEL ANDE</t>
        </is>
      </c>
      <c r="AF41" s="30" t="inlineStr">
        <is>
          <t>AYACUCHO</t>
        </is>
      </c>
      <c r="AG41" s="30" t="inlineStr">
        <is>
          <t>HUAMANGA</t>
        </is>
      </c>
      <c r="AH41" s="30" t="inlineStr">
        <is>
          <t>AYACUCHO</t>
        </is>
      </c>
      <c r="AI41" s="30" t="inlineStr">
        <is>
          <t>NO TIENE</t>
        </is>
      </c>
      <c r="AJ41" s="30" t="inlineStr">
        <is>
          <t>ELABORACIÓN DE OTROS PRODUCTOS ALIMENTICIOS N.C.P.</t>
        </is>
      </c>
      <c r="AK41" s="30" t="inlineStr">
        <is>
          <t>1.0</t>
        </is>
      </c>
      <c r="AL41" s="30" t="inlineStr">
        <is>
          <t>1.0</t>
        </is>
      </c>
      <c r="AM41" s="30" t="inlineStr">
        <is>
          <t>1.0</t>
        </is>
      </c>
      <c r="AN41" s="30" t="n">
        <v>4</v>
      </c>
      <c r="AO41" s="30" t="inlineStr">
        <is>
          <t>LANGA LANDEO EUTROPIO</t>
        </is>
      </c>
      <c r="AP41" s="30" t="inlineStr">
        <is>
          <t>INGENIERO AGRONOMO</t>
        </is>
      </c>
      <c r="AQ41" s="30" t="inlineStr">
        <is>
          <t>10.0</t>
        </is>
      </c>
      <c r="AR41" s="30" t="inlineStr">
        <is>
          <t>NO TIENE</t>
        </is>
      </c>
      <c r="AS41" s="30" t="inlineStr">
        <is>
          <t>EJALMEYDA@HOTMAIL.COM</t>
        </is>
      </c>
      <c r="AT41" s="30" t="inlineStr">
        <is>
          <t>966648317</t>
        </is>
      </c>
      <c r="AU41" s="30" t="inlineStr">
        <is>
          <t>-13.154225</t>
        </is>
      </c>
      <c r="AV41" s="30" t="inlineStr">
        <is>
          <t>-74.22781833333333</t>
        </is>
      </c>
      <c r="AW41" s="30" t="inlineStr">
        <is>
          <t>2013.0</t>
        </is>
      </c>
      <c r="AX41" s="30" t="inlineStr">
        <is>
          <t>2013.0</t>
        </is>
      </c>
      <c r="AY41" s="30" t="inlineStr">
        <is>
          <t>1</t>
        </is>
      </c>
      <c r="AZ41" s="30" t="inlineStr">
        <is>
          <t>sept-2026</t>
        </is>
      </c>
      <c r="BA41" t="inlineStr">
        <is>
          <t>FRANCE</t>
        </is>
      </c>
      <c r="BB41" t="n">
        <v>2022</v>
      </c>
      <c r="BC41" t="n">
        <v>2025</v>
      </c>
      <c r="BD41" s="81">
        <f>0</f>
        <v/>
      </c>
      <c r="BE41" s="81">
        <f>IFERROR((IF(ISNUMBER(T41),MIN(T41/30,1),0)+IF(ISNUMBER(P41),MIN(P41/500,1),0))/2,0)</f>
        <v/>
      </c>
      <c r="BF41" s="81">
        <f>IFERROR(IF(OR(U41&lt;&gt;"",V41="SÍ"),IF(ISNUMBER(L41),(1*MIN(L41/10000,1))^0.5,0),IF(ISNUMBER(L41),(0*MIN(L41/10000,1))^0.5,0)),0)</f>
        <v/>
      </c>
    </row>
    <row r="42">
      <c r="A42" t="inlineStr">
        <is>
          <t>CENACOOP; CENCOOP 2017</t>
        </is>
      </c>
      <c r="B42" s="70" t="inlineStr">
        <is>
          <t>20570586506</t>
        </is>
      </c>
      <c r="C42" s="29" t="inlineStr">
        <is>
          <t>Cooperativa Agraria Gallito de las Rocas</t>
        </is>
      </c>
      <c r="D42" s="29" t="inlineStr"/>
      <c r="E42" s="29" t="inlineStr">
        <is>
          <t>VENTA AL POR MENOR DE ALIMENTOS, BEBIDAS Y TABACO EN ALMACENES ESPECIALIZADOS</t>
        </is>
      </c>
      <c r="F42" s="29" t="inlineStr">
        <is>
          <t>ICA</t>
        </is>
      </c>
      <c r="G42" s="29" t="inlineStr">
        <is>
          <t>—</t>
        </is>
      </c>
      <c r="H42" s="29" t="inlineStr">
        <is>
          <t>—</t>
        </is>
      </c>
      <c r="I42" s="29" t="inlineStr">
        <is>
          <t>—</t>
        </is>
      </c>
      <c r="J42" s="17" t="n"/>
      <c r="K42" s="29" t="inlineStr">
        <is>
          <t>SÍ</t>
        </is>
      </c>
      <c r="L42" s="29" t="n"/>
      <c r="M42" s="29" t="n"/>
      <c r="N42" s="29" t="n"/>
      <c r="O42" s="29" t="n"/>
      <c r="P42" s="29" t="inlineStr"/>
      <c r="Q42" s="29" t="inlineStr"/>
      <c r="R42" s="18" t="inlineStr">
        <is>
          <t>2575.0</t>
        </is>
      </c>
      <c r="S42" s="29" t="inlineStr"/>
      <c r="T42" s="29" t="inlineStr"/>
      <c r="U42" s="18" t="inlineStr"/>
      <c r="V42" s="18" t="inlineStr">
        <is>
          <t>NO</t>
        </is>
      </c>
      <c r="W42" s="18" t="inlineStr">
        <is>
          <t>—</t>
        </is>
      </c>
      <c r="X42" s="18" t="inlineStr">
        <is>
          <t>—</t>
        </is>
      </c>
      <c r="Y42" s="18" t="inlineStr"/>
      <c r="Z42" s="29" t="inlineStr">
        <is>
          <t>—</t>
        </is>
      </c>
      <c r="AA42" s="29" t="b">
        <v>0</v>
      </c>
      <c r="AB42" s="29" t="b">
        <v>0</v>
      </c>
      <c r="AC42" s="29" t="b">
        <v>1</v>
      </c>
      <c r="AD42" s="19" t="inlineStr">
        <is>
          <t>SI</t>
        </is>
      </c>
      <c r="AE42" s="29" t="inlineStr">
        <is>
          <t>COOPERATIVA DE SERVICIOS MULTIPLES GALLITO DE LAS ROCAS LTDA.</t>
        </is>
      </c>
      <c r="AF42" s="29" t="inlineStr">
        <is>
          <t>CAJAMARCA</t>
        </is>
      </c>
      <c r="AG42" s="29" t="inlineStr">
        <is>
          <t>SAN IGNACIO</t>
        </is>
      </c>
      <c r="AH42" s="29" t="inlineStr">
        <is>
          <t>NAMBALLE</t>
        </is>
      </c>
      <c r="AI42" s="29" t="inlineStr">
        <is>
          <t>NAMBALLE</t>
        </is>
      </c>
      <c r="AJ42" s="29" t="inlineStr">
        <is>
          <t>OTRAS ACTIVIDADES DE SERVICIOS DE APOYO A LAS EMPRESAS N.C.P</t>
        </is>
      </c>
      <c r="AK42" s="29" t="inlineStr">
        <is>
          <t>9.0</t>
        </is>
      </c>
      <c r="AL42" s="29" t="inlineStr">
        <is>
          <t>1.0</t>
        </is>
      </c>
      <c r="AM42" s="29" t="inlineStr">
        <is>
          <t>2.0</t>
        </is>
      </c>
      <c r="AN42" s="29" t="n">
        <v>4</v>
      </c>
      <c r="AO42" s="29" t="inlineStr">
        <is>
          <t>PESANTES ABARCA RIMANEC</t>
        </is>
      </c>
      <c r="AP42" s="29" t="inlineStr">
        <is>
          <t>TECNICO AGROPECUARIO</t>
        </is>
      </c>
      <c r="AQ42" s="29" t="inlineStr">
        <is>
          <t>8.0</t>
        </is>
      </c>
      <c r="AR42" s="29" t="inlineStr">
        <is>
          <t>WWW.GALLITODELASROCAS.COM.PE</t>
        </is>
      </c>
      <c r="AS42" s="29" t="inlineStr">
        <is>
          <t>GALLITOLASROCAS@GMAIL.COM</t>
        </is>
      </c>
      <c r="AT42" s="29" t="inlineStr">
        <is>
          <t>NO TIENE</t>
        </is>
      </c>
      <c r="AU42" s="29" t="inlineStr">
        <is>
          <t>-5.003006666666667</t>
        </is>
      </c>
      <c r="AV42" s="29" t="inlineStr">
        <is>
          <t>-79.08896833333333</t>
        </is>
      </c>
      <c r="AW42" s="29" t="inlineStr">
        <is>
          <t>2013.0</t>
        </is>
      </c>
      <c r="AX42" s="29" t="inlineStr">
        <is>
          <t>2013.0</t>
        </is>
      </c>
      <c r="AY42" s="29" t="inlineStr">
        <is>
          <t>1</t>
        </is>
      </c>
      <c r="AZ42" s="29" t="inlineStr">
        <is>
          <t>sept-2026</t>
        </is>
      </c>
      <c r="BD42" s="81">
        <f>0</f>
        <v/>
      </c>
      <c r="BE42" s="81">
        <f>IFERROR((IF(ISNUMBER(T42),MIN(T42/30,1),0)+IF(ISNUMBER(P42),MIN(P42/500,1),0))/2,0)</f>
        <v/>
      </c>
      <c r="BF42" s="81">
        <f>IFERROR(IF(OR(U42&lt;&gt;"",V42="SÍ"),IF(ISNUMBER(L42),(1*MIN(L42/10000,1))^0.5,0),IF(ISNUMBER(L42),(0*MIN(L42/10000,1))^0.5,0)),0)</f>
        <v/>
      </c>
    </row>
    <row r="43">
      <c r="A43" t="inlineStr">
        <is>
          <t>CENACOOP; CENCOOP 2017</t>
        </is>
      </c>
      <c r="B43" s="70" t="inlineStr">
        <is>
          <t>20600284992</t>
        </is>
      </c>
      <c r="C43" s="30" t="inlineStr">
        <is>
          <t>Cooperativa Agraria Granos de Oro del Valle de Pangoa Limitada</t>
        </is>
      </c>
      <c r="D43" s="30" t="inlineStr"/>
      <c r="E43" s="30" t="inlineStr">
        <is>
          <t>VENTA AL POR MENOR DE ALIMENTOS, BEBIDAS Y TABACO EN ALMACENES ESPECIALIZADOS</t>
        </is>
      </c>
      <c r="F43" s="30" t="inlineStr">
        <is>
          <t>ICA</t>
        </is>
      </c>
      <c r="G43" s="30" t="inlineStr">
        <is>
          <t>—</t>
        </is>
      </c>
      <c r="H43" s="30" t="inlineStr">
        <is>
          <t>Junín (San Martín de Pangoa, Satipo)</t>
        </is>
      </c>
      <c r="I43" s="30" t="inlineStr">
        <is>
          <t>Café / Cacao</t>
        </is>
      </c>
      <c r="J43" s="17" t="n"/>
      <c r="K43" s="30" t="inlineStr">
        <is>
          <t>SÍ</t>
        </is>
      </c>
      <c r="L43" s="30" t="n"/>
      <c r="M43" s="30" t="n"/>
      <c r="N43" s="30" t="n"/>
      <c r="O43" s="30" t="n"/>
      <c r="P43" s="30" t="inlineStr"/>
      <c r="Q43" s="30" t="inlineStr"/>
      <c r="R43" s="14" t="inlineStr">
        <is>
          <t>2575.0</t>
        </is>
      </c>
      <c r="S43" s="30" t="inlineStr"/>
      <c r="T43" s="30" t="inlineStr"/>
      <c r="U43" s="14" t="inlineStr"/>
      <c r="V43" s="15" t="inlineStr">
        <is>
          <t>SÍ</t>
        </is>
      </c>
      <c r="W43" s="14" t="inlineStr">
        <is>
          <t>—</t>
        </is>
      </c>
      <c r="X43" s="14" t="inlineStr">
        <is>
          <t>Fundada en 1977; 698 socios (135 mujeres)</t>
        </is>
      </c>
      <c r="Y43" s="14" t="inlineStr"/>
      <c r="Z43" s="30" t="inlineStr">
        <is>
          <t>No disponible — requiere consulta directa (SUNAT/RUC.PE) o solicitud a la organización</t>
        </is>
      </c>
      <c r="AA43" s="30" t="b">
        <v>0</v>
      </c>
      <c r="AB43" s="30" t="b">
        <v>0</v>
      </c>
      <c r="AC43" s="30" t="b">
        <v>1</v>
      </c>
      <c r="AD43" s="19" t="inlineStr">
        <is>
          <t>SI</t>
        </is>
      </c>
      <c r="AE43" s="30" t="inlineStr">
        <is>
          <t>COOPERATIVA AGROECOLOGICA GRANOS DE ORO DEL VALLE DE PANGO</t>
        </is>
      </c>
      <c r="AF43" s="30" t="inlineStr">
        <is>
          <t>JUNIN</t>
        </is>
      </c>
      <c r="AG43" s="30" t="inlineStr">
        <is>
          <t>SATIPO</t>
        </is>
      </c>
      <c r="AH43" s="30" t="inlineStr">
        <is>
          <t>PANGOA</t>
        </is>
      </c>
      <c r="AI43" s="30" t="inlineStr">
        <is>
          <t>SAN MARTIN DE PANGOA</t>
        </is>
      </c>
      <c r="AJ43" s="30" t="inlineStr">
        <is>
          <t>CULTIVO DE PLANTAS CON LAS QUE SE PREPARAN BEBIDAS</t>
        </is>
      </c>
      <c r="AK43" s="30" t="inlineStr">
        <is>
          <t>1.0</t>
        </is>
      </c>
      <c r="AL43" s="30" t="inlineStr">
        <is>
          <t>1.0</t>
        </is>
      </c>
      <c r="AM43" s="30" t="inlineStr">
        <is>
          <t>2.0</t>
        </is>
      </c>
      <c r="AN43" s="30" t="n">
        <v>2</v>
      </c>
      <c r="AO43" s="30" t="inlineStr">
        <is>
          <t>EGOAVIL HUALLULLO SAUL</t>
        </is>
      </c>
      <c r="AP43" s="30" t="inlineStr">
        <is>
          <t>INGENIERO ELECTRONICO</t>
        </is>
      </c>
      <c r="AQ43" s="30" t="inlineStr">
        <is>
          <t>10.0</t>
        </is>
      </c>
      <c r="AR43" s="30" t="inlineStr">
        <is>
          <t>NO TIENE</t>
        </is>
      </c>
      <c r="AS43" s="30" t="inlineStr">
        <is>
          <t>COOAGROPANGOA@GMAIL.COM</t>
        </is>
      </c>
      <c r="AT43" s="30" t="inlineStr">
        <is>
          <t>949022286</t>
        </is>
      </c>
      <c r="AU43" s="30" t="inlineStr">
        <is>
          <t>-11.4304766666666</t>
        </is>
      </c>
      <c r="AV43" s="30" t="inlineStr">
        <is>
          <t>-74.4889533333333</t>
        </is>
      </c>
      <c r="AW43" s="30" t="inlineStr">
        <is>
          <t>2014.0</t>
        </is>
      </c>
      <c r="AX43" s="30" t="inlineStr">
        <is>
          <t>2015.0</t>
        </is>
      </c>
      <c r="AY43" s="30" t="inlineStr">
        <is>
          <t>1</t>
        </is>
      </c>
      <c r="AZ43" s="30" t="inlineStr">
        <is>
          <t>sept-2026</t>
        </is>
      </c>
      <c r="BD43" s="81">
        <f>0</f>
        <v/>
      </c>
      <c r="BE43" s="81">
        <f>IFERROR((IF(ISNUMBER(T43),MIN(T43/30,1),0)+IF(ISNUMBER(P43),MIN(P43/500,1),0))/2,0)</f>
        <v/>
      </c>
      <c r="BF43" s="81">
        <f>IFERROR(IF(OR(U43&lt;&gt;"",V43="SÍ"),IF(ISNUMBER(L43),(1*MIN(L43/10000,1))^0.5,0),IF(ISNUMBER(L43),(0*MIN(L43/10000,1))^0.5,0)),0)</f>
        <v/>
      </c>
    </row>
    <row r="44">
      <c r="A44" t="inlineStr">
        <is>
          <t>CENACOOP; CENCOOP 2017</t>
        </is>
      </c>
      <c r="B44" s="70" t="inlineStr">
        <is>
          <t>20450246442</t>
        </is>
      </c>
      <c r="C44" s="29" t="inlineStr">
        <is>
          <t>Cooperativa Agraria Industrial Asproc - Nbt Ltda.</t>
        </is>
      </c>
      <c r="D44" s="29" t="inlineStr"/>
      <c r="E44" s="29" t="inlineStr">
        <is>
          <t>VENTA AL POR MENOR DE ALIMENTOS, BEBIDAS Y TABACO EN ALMACENES ESPECIALIZADOS</t>
        </is>
      </c>
      <c r="F44" s="29" t="inlineStr">
        <is>
          <t>ICA</t>
        </is>
      </c>
      <c r="G44" s="29" t="inlineStr">
        <is>
          <t>—</t>
        </is>
      </c>
      <c r="H44" s="29" t="inlineStr">
        <is>
          <t>San Martín</t>
        </is>
      </c>
      <c r="I44" s="29" t="inlineStr">
        <is>
          <t>Cacao</t>
        </is>
      </c>
      <c r="J44" s="29" t="n"/>
      <c r="K44" s="29" t="inlineStr">
        <is>
          <t>NO</t>
        </is>
      </c>
      <c r="L44" s="29" t="n"/>
      <c r="M44" s="29" t="n"/>
      <c r="N44" s="29" t="n"/>
      <c r="O44" s="29" t="n"/>
      <c r="P44" s="29" t="inlineStr"/>
      <c r="Q44" s="29" t="inlineStr"/>
      <c r="R44" s="18" t="inlineStr">
        <is>
          <t>2575.0</t>
        </is>
      </c>
      <c r="S44" s="29" t="inlineStr"/>
      <c r="T44" s="29" t="inlineStr"/>
      <c r="U44" s="18" t="inlineStr"/>
      <c r="V44" s="15" t="inlineStr">
        <is>
          <t>SÍ</t>
        </is>
      </c>
      <c r="W44" s="18" t="inlineStr">
        <is>
          <t>—</t>
        </is>
      </c>
      <c r="X44" s="18" t="inlineStr">
        <is>
          <t>—</t>
        </is>
      </c>
      <c r="Y44" s="18" t="inlineStr"/>
      <c r="Z44" s="29" t="inlineStr">
        <is>
          <t>No disponible — requiere consulta directa (SUNAT/RUC.PE) o solicitud a la organización</t>
        </is>
      </c>
      <c r="AA44" s="29" t="b">
        <v>0</v>
      </c>
      <c r="AB44" s="29" t="b">
        <v>0</v>
      </c>
      <c r="AC44" s="29" t="b">
        <v>1</v>
      </c>
      <c r="AD44" s="19" t="inlineStr">
        <is>
          <t>SI</t>
        </is>
      </c>
      <c r="AE44" s="29" t="inlineStr">
        <is>
          <t>COOPERATIVA AGROINDUSTRIAL ASPROC - NBT LTDA</t>
        </is>
      </c>
      <c r="AF44" s="29" t="inlineStr">
        <is>
          <t>SAN MARTIN</t>
        </is>
      </c>
      <c r="AG44" s="29" t="inlineStr">
        <is>
          <t>TOCACHE</t>
        </is>
      </c>
      <c r="AH44" s="29" t="inlineStr">
        <is>
          <t>TOCACHE</t>
        </is>
      </c>
      <c r="AI44" s="29" t="inlineStr">
        <is>
          <t>BAMBA MARCA</t>
        </is>
      </c>
      <c r="AJ44" s="29" t="inlineStr">
        <is>
          <t>CULTIVO DE PRODUCTOS AGRÌCOLAS EN COMBINACIÒN CON LA CRÌA DE ANIMALES</t>
        </is>
      </c>
      <c r="AK44" s="29" t="inlineStr">
        <is>
          <t>1.0</t>
        </is>
      </c>
      <c r="AL44" s="29" t="inlineStr">
        <is>
          <t>1.0</t>
        </is>
      </c>
      <c r="AM44" s="29" t="inlineStr">
        <is>
          <t>2.0</t>
        </is>
      </c>
      <c r="AN44" s="29" t="n">
        <v>3</v>
      </c>
      <c r="AO44" s="29" t="inlineStr">
        <is>
          <t>MENDOZA RUIZ OSCAR SEGUNDO</t>
        </is>
      </c>
      <c r="AP44" s="29" t="inlineStr">
        <is>
          <t>TECNICO EN ADMINISTRACION</t>
        </is>
      </c>
      <c r="AQ44" s="29" t="inlineStr">
        <is>
          <t>8.0</t>
        </is>
      </c>
      <c r="AR44" s="29" t="inlineStr">
        <is>
          <t>NO TIENE</t>
        </is>
      </c>
      <c r="AS44" s="29" t="inlineStr">
        <is>
          <t>ASPROCNBT@YAHOO.ES</t>
        </is>
      </c>
      <c r="AT44" s="29" t="inlineStr">
        <is>
          <t>943935667</t>
        </is>
      </c>
      <c r="AU44" s="29" t="inlineStr">
        <is>
          <t>-8.146223333333333</t>
        </is>
      </c>
      <c r="AV44" s="29" t="inlineStr">
        <is>
          <t>-76.58305</t>
        </is>
      </c>
      <c r="AW44" s="29" t="inlineStr">
        <is>
          <t>2014.0</t>
        </is>
      </c>
      <c r="AX44" s="29" t="inlineStr">
        <is>
          <t>2014.0</t>
        </is>
      </c>
      <c r="AY44" s="29" t="inlineStr">
        <is>
          <t>1</t>
        </is>
      </c>
      <c r="AZ44" s="29" t="inlineStr">
        <is>
          <t>sept-2026</t>
        </is>
      </c>
      <c r="BD44" s="81">
        <f>0</f>
        <v/>
      </c>
      <c r="BE44" s="81">
        <f>IFERROR((IF(ISNUMBER(T44),MIN(T44/30,1),0)+IF(ISNUMBER(P44),MIN(P44/500,1),0))/2,0)</f>
        <v/>
      </c>
      <c r="BF44" s="81">
        <f>IFERROR(IF(OR(U44&lt;&gt;"",V44="SÍ"),IF(ISNUMBER(L44),(1*MIN(L44/10000,1))^0.5,0),IF(ISNUMBER(L44),(0*MIN(L44/10000,1))^0.5,0)),0)</f>
        <v/>
      </c>
    </row>
    <row r="45">
      <c r="A45" t="inlineStr">
        <is>
          <t>CENACOOP; CENCOOP 2017</t>
        </is>
      </c>
      <c r="B45" s="70" t="inlineStr">
        <is>
          <t>20393819317</t>
        </is>
      </c>
      <c r="C45" s="30" t="inlineStr">
        <is>
          <t>Cooperativa Agraria Industrial Atalaya Limitada</t>
        </is>
      </c>
      <c r="D45" s="30" t="inlineStr"/>
      <c r="E45" s="30" t="inlineStr">
        <is>
          <t>VENTA AL POR MENOR DE ALIMENTOS, BEBIDAS Y TABACO EN ALMACENES ESPECIALIZADOS</t>
        </is>
      </c>
      <c r="F45" s="30" t="inlineStr">
        <is>
          <t>ICA</t>
        </is>
      </c>
      <c r="G45" s="30" t="inlineStr">
        <is>
          <t>—</t>
        </is>
      </c>
      <c r="H45" s="30" t="inlineStr">
        <is>
          <t>—</t>
        </is>
      </c>
      <c r="I45" s="30" t="inlineStr">
        <is>
          <t>—</t>
        </is>
      </c>
      <c r="J45" s="17" t="inlineStr">
        <is>
          <t>SI</t>
        </is>
      </c>
      <c r="K45" s="30" t="inlineStr">
        <is>
          <t>SÍ</t>
        </is>
      </c>
      <c r="L45" s="30" t="n">
        <v>1644957.87</v>
      </c>
      <c r="M45" s="30" t="n">
        <v>3221176.37</v>
      </c>
      <c r="N45" s="30" t="n">
        <v>13</v>
      </c>
      <c r="O45" s="30" t="n">
        <v>2</v>
      </c>
      <c r="P45" s="30" t="inlineStr"/>
      <c r="Q45" s="30" t="inlineStr"/>
      <c r="R45" s="14" t="inlineStr">
        <is>
          <t>2575.0</t>
        </is>
      </c>
      <c r="S45" s="30" t="inlineStr"/>
      <c r="T45" s="30" t="inlineStr"/>
      <c r="U45" s="14" t="inlineStr"/>
      <c r="V45" s="14" t="inlineStr">
        <is>
          <t>NO</t>
        </is>
      </c>
      <c r="W45" s="14" t="inlineStr">
        <is>
          <t>—</t>
        </is>
      </c>
      <c r="X45" s="14" t="inlineStr">
        <is>
          <t>—</t>
        </is>
      </c>
      <c r="Y45" s="14" t="inlineStr"/>
      <c r="Z45" s="30" t="inlineStr">
        <is>
          <t>—</t>
        </is>
      </c>
      <c r="AA45" s="30" t="b">
        <v>0</v>
      </c>
      <c r="AB45" s="30" t="b">
        <v>0</v>
      </c>
      <c r="AC45" s="30" t="b">
        <v>1</v>
      </c>
      <c r="AD45" s="19" t="inlineStr">
        <is>
          <t>SI</t>
        </is>
      </c>
      <c r="AE45" s="30" t="inlineStr">
        <is>
          <t>COOPERATIVA AGRARIA INDUSTRIAL ATALAYA LTDA.</t>
        </is>
      </c>
      <c r="AF45" s="30" t="inlineStr">
        <is>
          <t>UCAYALI</t>
        </is>
      </c>
      <c r="AG45" s="30" t="inlineStr">
        <is>
          <t>ATALAYA</t>
        </is>
      </c>
      <c r="AH45" s="30" t="inlineStr">
        <is>
          <t>RAYMONDI</t>
        </is>
      </c>
      <c r="AI45" s="30" t="inlineStr">
        <is>
          <t>ATALAYA</t>
        </is>
      </c>
      <c r="AJ45" s="30" t="inlineStr">
        <is>
          <t>OTRAS ACTIVIDADES DE SERVICIOS PERSONALES N.C.P.</t>
        </is>
      </c>
      <c r="AK45" s="30" t="inlineStr">
        <is>
          <t>1.0</t>
        </is>
      </c>
      <c r="AL45" s="30" t="inlineStr">
        <is>
          <t>1.0</t>
        </is>
      </c>
      <c r="AM45" s="30" t="inlineStr">
        <is>
          <t>1.0</t>
        </is>
      </c>
      <c r="AN45" s="30" t="n">
        <v>5</v>
      </c>
      <c r="AO45" s="30" t="inlineStr">
        <is>
          <t>GAGO TORIBO LUIS GREGORIO</t>
        </is>
      </c>
      <c r="AP45" s="30" t="inlineStr">
        <is>
          <t>TECNICO AGROPECUARIO</t>
        </is>
      </c>
      <c r="AQ45" s="30" t="inlineStr">
        <is>
          <t>8.0</t>
        </is>
      </c>
      <c r="AR45" s="30" t="inlineStr">
        <is>
          <t>NO TIENE</t>
        </is>
      </c>
      <c r="AS45" s="30" t="inlineStr">
        <is>
          <t>NO TIENE</t>
        </is>
      </c>
      <c r="AT45" s="30" t="inlineStr">
        <is>
          <t>NO TIENE</t>
        </is>
      </c>
      <c r="AU45" s="30" t="inlineStr">
        <is>
          <t>-10.730633333333333</t>
        </is>
      </c>
      <c r="AV45" s="30" t="inlineStr">
        <is>
          <t>-73.75278499999999</t>
        </is>
      </c>
      <c r="AW45" s="30" t="inlineStr">
        <is>
          <t>2012.0</t>
        </is>
      </c>
      <c r="AX45" s="30" t="inlineStr">
        <is>
          <t>2012.0</t>
        </is>
      </c>
      <c r="AY45" s="30" t="inlineStr">
        <is>
          <t>1</t>
        </is>
      </c>
      <c r="AZ45" s="30" t="inlineStr">
        <is>
          <t>sept-2026</t>
        </is>
      </c>
      <c r="BA45" t="inlineStr">
        <is>
          <t>ITALY; UNITED STATES</t>
        </is>
      </c>
      <c r="BB45" t="n">
        <v>2023</v>
      </c>
      <c r="BC45" t="n">
        <v>2025</v>
      </c>
      <c r="BD45" s="81">
        <f>0</f>
        <v/>
      </c>
      <c r="BE45" s="81">
        <f>IFERROR((IF(ISNUMBER(T45),MIN(T45/30,1),0)+IF(ISNUMBER(P45),MIN(P45/500,1),0))/2,0)</f>
        <v/>
      </c>
      <c r="BF45" s="81">
        <f>IFERROR(IF(OR(U45&lt;&gt;"",V45="SÍ"),IF(ISNUMBER(L45),(1*MIN(L45/10000,1))^0.5,0),IF(ISNUMBER(L45),(0*MIN(L45/10000,1))^0.5,0)),0)</f>
        <v/>
      </c>
    </row>
    <row r="46">
      <c r="A46" t="inlineStr">
        <is>
          <t>CENACOOP; CENCOOP 2017</t>
        </is>
      </c>
      <c r="B46" s="70" t="inlineStr">
        <is>
          <t>20568660278</t>
        </is>
      </c>
      <c r="C46" s="29" t="inlineStr">
        <is>
          <t>Cooperativa Agraria Industrial de Productores Ecológicos Grano de Oro</t>
        </is>
      </c>
      <c r="D46" s="29" t="inlineStr"/>
      <c r="E46" s="29" t="inlineStr">
        <is>
          <t>VENTA AL POR MENOR DE ALIMENTOS, BEBIDAS Y TABACO EN ALMACENES ESPECIALIZADOS</t>
        </is>
      </c>
      <c r="F46" s="29" t="inlineStr">
        <is>
          <t>ICA</t>
        </is>
      </c>
      <c r="G46" s="29" t="inlineStr">
        <is>
          <t>—</t>
        </is>
      </c>
      <c r="H46" s="29" t="inlineStr">
        <is>
          <t>—</t>
        </is>
      </c>
      <c r="I46" s="29" t="inlineStr">
        <is>
          <t>—</t>
        </is>
      </c>
      <c r="J46" s="29" t="n"/>
      <c r="K46" s="29" t="inlineStr">
        <is>
          <t>NO</t>
        </is>
      </c>
      <c r="L46" s="29" t="n"/>
      <c r="M46" s="29" t="n"/>
      <c r="N46" s="29" t="n"/>
      <c r="O46" s="29" t="n"/>
      <c r="P46" s="29" t="inlineStr"/>
      <c r="Q46" s="29" t="inlineStr"/>
      <c r="R46" s="18" t="inlineStr">
        <is>
          <t>2575.0</t>
        </is>
      </c>
      <c r="S46" s="29" t="inlineStr"/>
      <c r="T46" s="29" t="inlineStr"/>
      <c r="U46" s="18" t="inlineStr"/>
      <c r="V46" s="18" t="inlineStr">
        <is>
          <t>NO</t>
        </is>
      </c>
      <c r="W46" s="18" t="inlineStr">
        <is>
          <t>—</t>
        </is>
      </c>
      <c r="X46" s="18" t="inlineStr">
        <is>
          <t>—</t>
        </is>
      </c>
      <c r="Y46" s="18" t="inlineStr"/>
      <c r="Z46" s="29" t="inlineStr">
        <is>
          <t>—</t>
        </is>
      </c>
      <c r="AA46" s="29" t="b">
        <v>0</v>
      </c>
      <c r="AB46" s="29" t="b">
        <v>0</v>
      </c>
      <c r="AC46" s="29" t="b">
        <v>1</v>
      </c>
      <c r="AD46" s="19" t="inlineStr">
        <is>
          <t>SI</t>
        </is>
      </c>
      <c r="AE46" s="29" t="inlineStr">
        <is>
          <t>COOPERATIVA AGROINDUSTRIAL DE PRODUCTORES ECOLOGICOS GRANO DE ORO</t>
        </is>
      </c>
      <c r="AF46" s="29" t="inlineStr">
        <is>
          <t>JUNIN</t>
        </is>
      </c>
      <c r="AG46" s="29" t="inlineStr">
        <is>
          <t>CHANCHAMAYO</t>
        </is>
      </c>
      <c r="AH46" s="29" t="inlineStr">
        <is>
          <t>PICHANAQUI</t>
        </is>
      </c>
      <c r="AI46" s="29" t="inlineStr">
        <is>
          <t>PICHANAQUI</t>
        </is>
      </c>
      <c r="AJ46" s="29" t="inlineStr">
        <is>
          <t>CULTIVO DE CEREALES (EXCEPTO ARROZ), LEGUMBRES Y SEMILLAS OLEAGINOSAS</t>
        </is>
      </c>
      <c r="AK46" s="29" t="inlineStr">
        <is>
          <t>3.0</t>
        </is>
      </c>
      <c r="AL46" s="29" t="inlineStr">
        <is>
          <t>1.0</t>
        </is>
      </c>
      <c r="AM46" s="29" t="inlineStr">
        <is>
          <t>2.0</t>
        </is>
      </c>
      <c r="AN46" s="29" t="n">
        <v>4</v>
      </c>
      <c r="AO46" s="29" t="inlineStr">
        <is>
          <t>QUISPE CAJACURI JULIO SIMON</t>
        </is>
      </c>
      <c r="AP46" s="29" t="inlineStr">
        <is>
          <t>TECNICO AGRONOMO</t>
        </is>
      </c>
      <c r="AQ46" s="29" t="inlineStr">
        <is>
          <t>8.0</t>
        </is>
      </c>
      <c r="AR46" s="29" t="inlineStr">
        <is>
          <t>NO TIENE</t>
        </is>
      </c>
      <c r="AS46" s="29" t="inlineStr">
        <is>
          <t>EXPORTCOFFEE_CAPEGO@HOTMAIL.COM</t>
        </is>
      </c>
      <c r="AT46" s="29" t="inlineStr">
        <is>
          <t>962545448</t>
        </is>
      </c>
      <c r="AU46" s="29" t="inlineStr">
        <is>
          <t>-10.930604999999998</t>
        </is>
      </c>
      <c r="AV46" s="29" t="inlineStr">
        <is>
          <t>-74.87098833333333</t>
        </is>
      </c>
      <c r="AW46" s="29" t="inlineStr">
        <is>
          <t>2013.0</t>
        </is>
      </c>
      <c r="AX46" s="29" t="inlineStr">
        <is>
          <t>2013.0</t>
        </is>
      </c>
      <c r="AY46" s="29" t="inlineStr">
        <is>
          <t>1</t>
        </is>
      </c>
      <c r="AZ46" s="29" t="inlineStr">
        <is>
          <t>sept-2026</t>
        </is>
      </c>
      <c r="BD46" s="81">
        <f>0</f>
        <v/>
      </c>
      <c r="BE46" s="81">
        <f>IFERROR((IF(ISNUMBER(T46),MIN(T46/30,1),0)+IF(ISNUMBER(P46),MIN(P46/500,1),0))/2,0)</f>
        <v/>
      </c>
      <c r="BF46" s="81">
        <f>IFERROR(IF(OR(U46&lt;&gt;"",V46="SÍ"),IF(ISNUMBER(L46),(1*MIN(L46/10000,1))^0.5,0),IF(ISNUMBER(L46),(0*MIN(L46/10000,1))^0.5,0)),0)</f>
        <v/>
      </c>
    </row>
    <row r="47">
      <c r="A47" t="inlineStr">
        <is>
          <t>CENACOOP; CENCOOP 2017; SISPAC</t>
        </is>
      </c>
      <c r="B47" s="70" t="inlineStr">
        <is>
          <t>20448277781</t>
        </is>
      </c>
      <c r="C47" s="30" t="inlineStr">
        <is>
          <t>Cooperativa Agraria Industrializada Cabana Ltda.</t>
        </is>
      </c>
      <c r="D47" s="30" t="inlineStr"/>
      <c r="E47" s="30" t="inlineStr">
        <is>
          <t>VENTA AL POR MENOR DE ALIMENTOS, BEBIDAS Y TABACO EN ALMACENES ESPECIALIZADOS</t>
        </is>
      </c>
      <c r="F47" s="30" t="inlineStr">
        <is>
          <t>ICA</t>
        </is>
      </c>
      <c r="G47" s="30" t="inlineStr">
        <is>
          <t>—</t>
        </is>
      </c>
      <c r="H47" s="30" t="inlineStr">
        <is>
          <t>—</t>
        </is>
      </c>
      <c r="I47" s="30" t="inlineStr">
        <is>
          <t>—</t>
        </is>
      </c>
      <c r="J47" s="17" t="n"/>
      <c r="K47" s="30" t="inlineStr">
        <is>
          <t>SÍ</t>
        </is>
      </c>
      <c r="L47" s="30" t="n"/>
      <c r="M47" s="30" t="n"/>
      <c r="N47" s="30" t="n"/>
      <c r="O47" s="30" t="n"/>
      <c r="P47" s="30" t="inlineStr"/>
      <c r="Q47" s="30" t="inlineStr"/>
      <c r="R47" s="14" t="inlineStr">
        <is>
          <t>2575.0</t>
        </is>
      </c>
      <c r="S47" s="30" t="inlineStr"/>
      <c r="T47" s="30" t="inlineStr"/>
      <c r="U47" s="14" t="inlineStr"/>
      <c r="V47" s="14" t="inlineStr">
        <is>
          <t>NO</t>
        </is>
      </c>
      <c r="W47" s="14" t="inlineStr">
        <is>
          <t>—</t>
        </is>
      </c>
      <c r="X47" s="14" t="inlineStr">
        <is>
          <t>—</t>
        </is>
      </c>
      <c r="Y47" s="14" t="inlineStr"/>
      <c r="Z47" s="30" t="inlineStr">
        <is>
          <t>—</t>
        </is>
      </c>
      <c r="AA47" s="30" t="b">
        <v>0</v>
      </c>
      <c r="AB47" s="30" t="b">
        <v>0</v>
      </c>
      <c r="AC47" s="30" t="b">
        <v>1</v>
      </c>
      <c r="AD47" s="19" t="inlineStr">
        <is>
          <t>SI</t>
        </is>
      </c>
      <c r="AE47" s="30" t="inlineStr">
        <is>
          <t>COOPERATIVA AGRO INDUSTRIAL CABANA LTDA</t>
        </is>
      </c>
      <c r="AF47" s="30" t="inlineStr">
        <is>
          <t>PUNO</t>
        </is>
      </c>
      <c r="AG47" s="30" t="inlineStr">
        <is>
          <t>SAN ROMAN</t>
        </is>
      </c>
      <c r="AH47" s="30" t="inlineStr">
        <is>
          <t>CABANA</t>
        </is>
      </c>
      <c r="AI47" s="30" t="inlineStr">
        <is>
          <t>CABANA</t>
        </is>
      </c>
      <c r="AJ47" s="30" t="inlineStr">
        <is>
          <t>ELABORACIÓN DE OTROS PRODUCTOS ALIMENTICIOS N.C.P.</t>
        </is>
      </c>
      <c r="AK47" s="30" t="inlineStr">
        <is>
          <t>1.0</t>
        </is>
      </c>
      <c r="AL47" s="30" t="inlineStr">
        <is>
          <t>1.0</t>
        </is>
      </c>
      <c r="AM47" s="30" t="inlineStr">
        <is>
          <t>2.0</t>
        </is>
      </c>
      <c r="AN47" s="30" t="n">
        <v>18</v>
      </c>
      <c r="AO47" s="30" t="inlineStr">
        <is>
          <t>ALEJO MIRANDA RUFO</t>
        </is>
      </c>
      <c r="AP47" s="30" t="inlineStr">
        <is>
          <t>INGENIERO AGRONOMO</t>
        </is>
      </c>
      <c r="AQ47" s="30" t="inlineStr">
        <is>
          <t>10.0</t>
        </is>
      </c>
      <c r="AR47" s="30" t="inlineStr">
        <is>
          <t>WWW.COPAINCABANA.COM</t>
        </is>
      </c>
      <c r="AS47" s="30" t="inlineStr">
        <is>
          <t>NO TIENE</t>
        </is>
      </c>
      <c r="AT47" s="30" t="inlineStr">
        <is>
          <t>980278888</t>
        </is>
      </c>
      <c r="AU47" s="30" t="inlineStr">
        <is>
          <t>-15.649768333333334</t>
        </is>
      </c>
      <c r="AV47" s="30" t="inlineStr">
        <is>
          <t>-70.31742666666668</t>
        </is>
      </c>
      <c r="AW47" s="30" t="inlineStr">
        <is>
          <t>1999.0</t>
        </is>
      </c>
      <c r="AX47" s="30" t="inlineStr">
        <is>
          <t>1999.0</t>
        </is>
      </c>
      <c r="AY47" s="30" t="inlineStr">
        <is>
          <t>1</t>
        </is>
      </c>
      <c r="AZ47" s="30" t="inlineStr">
        <is>
          <t>sept-2026</t>
        </is>
      </c>
      <c r="BD47" s="81">
        <f>0</f>
        <v/>
      </c>
      <c r="BE47" s="81">
        <f>IFERROR((IF(ISNUMBER(T47),MIN(T47/30,1),0)+IF(ISNUMBER(P47),MIN(P47/500,1),0))/2,0)</f>
        <v/>
      </c>
      <c r="BF47" s="81">
        <f>IFERROR(IF(OR(U47&lt;&gt;"",V47="SÍ"),IF(ISNUMBER(L47),(1*MIN(L47/10000,1))^0.5,0),IF(ISNUMBER(L47),(0*MIN(L47/10000,1))^0.5,0)),0)</f>
        <v/>
      </c>
    </row>
    <row r="48">
      <c r="A48" t="inlineStr">
        <is>
          <t>CENACOOP; CENCOOP 2017</t>
        </is>
      </c>
      <c r="B48" s="70" t="inlineStr">
        <is>
          <t>20573202814</t>
        </is>
      </c>
      <c r="C48" s="29" t="inlineStr">
        <is>
          <t>Cooperativa Agraria Inka Cuchara</t>
        </is>
      </c>
      <c r="D48" s="29" t="inlineStr"/>
      <c r="E48" s="29" t="inlineStr">
        <is>
          <t>VENTA AL POR MENOR DE ALIMENTOS, BEBIDAS Y TABACO EN ALMACENES ESPECIALIZADOS</t>
        </is>
      </c>
      <c r="F48" s="29" t="inlineStr">
        <is>
          <t>ICA</t>
        </is>
      </c>
      <c r="G48" s="29" t="inlineStr">
        <is>
          <t>—</t>
        </is>
      </c>
      <c r="H48" s="29" t="inlineStr">
        <is>
          <t>—</t>
        </is>
      </c>
      <c r="I48" s="29" t="inlineStr">
        <is>
          <t>—</t>
        </is>
      </c>
      <c r="J48" s="29" t="n"/>
      <c r="K48" s="29" t="inlineStr">
        <is>
          <t>NO</t>
        </is>
      </c>
      <c r="L48" s="29" t="n"/>
      <c r="M48" s="29" t="n"/>
      <c r="N48" s="29" t="n"/>
      <c r="O48" s="29" t="n"/>
      <c r="P48" s="29" t="inlineStr"/>
      <c r="Q48" s="29" t="inlineStr"/>
      <c r="R48" s="18" t="inlineStr">
        <is>
          <t>2575.0</t>
        </is>
      </c>
      <c r="S48" s="29" t="inlineStr"/>
      <c r="T48" s="29" t="inlineStr"/>
      <c r="U48" s="18" t="inlineStr"/>
      <c r="V48" s="18" t="inlineStr">
        <is>
          <t>NO</t>
        </is>
      </c>
      <c r="W48" s="18" t="inlineStr">
        <is>
          <t>—</t>
        </is>
      </c>
      <c r="X48" s="18" t="inlineStr">
        <is>
          <t>—</t>
        </is>
      </c>
      <c r="Y48" s="18" t="inlineStr"/>
      <c r="Z48" s="29" t="inlineStr">
        <is>
          <t>—</t>
        </is>
      </c>
      <c r="AA48" s="29" t="b">
        <v>0</v>
      </c>
      <c r="AB48" s="29" t="b">
        <v>0</v>
      </c>
      <c r="AC48" s="29" t="b">
        <v>1</v>
      </c>
      <c r="AD48" s="19" t="inlineStr">
        <is>
          <t>SI</t>
        </is>
      </c>
      <c r="AE48" s="29" t="inlineStr">
        <is>
          <t>COOPERATIVA AGROINDUSTRIAL CACAO AROMATICO INKA CUCHARA LTDA.</t>
        </is>
      </c>
      <c r="AF48" s="29" t="inlineStr">
        <is>
          <t>HUANUCO</t>
        </is>
      </c>
      <c r="AG48" s="29" t="inlineStr">
        <is>
          <t>LEONCIO PRADO</t>
        </is>
      </c>
      <c r="AH48" s="29" t="inlineStr">
        <is>
          <t>RUPA-RUPA</t>
        </is>
      </c>
      <c r="AI48" s="29" t="inlineStr">
        <is>
          <t>VENENILLO</t>
        </is>
      </c>
      <c r="AJ48" s="29" t="inlineStr">
        <is>
          <t>CULTIVO DE FRUTAS TROPICALES Y SUBTROPICALES</t>
        </is>
      </c>
      <c r="AK48" s="29" t="inlineStr">
        <is>
          <t>3.0</t>
        </is>
      </c>
      <c r="AL48" s="29" t="inlineStr">
        <is>
          <t>1.0</t>
        </is>
      </c>
      <c r="AM48" s="29" t="inlineStr">
        <is>
          <t>1.0</t>
        </is>
      </c>
      <c r="AN48" s="29" t="n">
        <v>2</v>
      </c>
      <c r="AO48" s="29" t="inlineStr">
        <is>
          <t>RUFINO ARTETA LIZ</t>
        </is>
      </c>
      <c r="AP48" s="29" t="inlineStr"/>
      <c r="AQ48" s="29" t="inlineStr"/>
      <c r="AR48" s="29" t="inlineStr">
        <is>
          <t>NO TIENE</t>
        </is>
      </c>
      <c r="AS48" s="29" t="inlineStr">
        <is>
          <t>COOPINCACU@GMAIL.COM</t>
        </is>
      </c>
      <c r="AT48" s="29" t="inlineStr">
        <is>
          <t>NO TIENE</t>
        </is>
      </c>
      <c r="AU48" s="29" t="inlineStr">
        <is>
          <t>-9.294788333333335</t>
        </is>
      </c>
      <c r="AV48" s="29" t="inlineStr">
        <is>
          <t>-76.00726833333333</t>
        </is>
      </c>
      <c r="AW48" s="29" t="inlineStr">
        <is>
          <t>2013.0</t>
        </is>
      </c>
      <c r="AX48" s="29" t="inlineStr">
        <is>
          <t>2015.0</t>
        </is>
      </c>
      <c r="AY48" s="29" t="inlineStr">
        <is>
          <t>1</t>
        </is>
      </c>
      <c r="AZ48" s="29" t="inlineStr">
        <is>
          <t>sept-2026</t>
        </is>
      </c>
      <c r="BD48" s="81">
        <f>0</f>
        <v/>
      </c>
      <c r="BE48" s="81">
        <f>IFERROR((IF(ISNUMBER(T48),MIN(T48/30,1),0)+IF(ISNUMBER(P48),MIN(P48/500,1),0))/2,0)</f>
        <v/>
      </c>
      <c r="BF48" s="81">
        <f>IFERROR(IF(OR(U48&lt;&gt;"",V48="SÍ"),IF(ISNUMBER(L48),(1*MIN(L48/10000,1))^0.5,0),IF(ISNUMBER(L48),(0*MIN(L48/10000,1))^0.5,0)),0)</f>
        <v/>
      </c>
    </row>
    <row r="49">
      <c r="A49" t="inlineStr">
        <is>
          <t>CENACOOP; CENCOOP 2017</t>
        </is>
      </c>
      <c r="B49" s="70" t="inlineStr">
        <is>
          <t>20136345487</t>
        </is>
      </c>
      <c r="C49" s="30" t="inlineStr">
        <is>
          <t>Cooperativa Agraria José Zuñiga Letona De Huaran Limitada 001-BVII</t>
        </is>
      </c>
      <c r="D49" s="30" t="inlineStr"/>
      <c r="E49" s="30" t="inlineStr">
        <is>
          <t>VENTA AL POR MENOR DE ALIMENTOS, BEBIDAS Y TABACO EN ALMACENES ESPECIALIZADOS</t>
        </is>
      </c>
      <c r="F49" s="30" t="inlineStr">
        <is>
          <t>ICA</t>
        </is>
      </c>
      <c r="G49" s="30" t="inlineStr">
        <is>
          <t>—</t>
        </is>
      </c>
      <c r="H49" s="30" t="inlineStr">
        <is>
          <t>—</t>
        </is>
      </c>
      <c r="I49" s="30" t="inlineStr">
        <is>
          <t>—</t>
        </is>
      </c>
      <c r="J49" s="30" t="n"/>
      <c r="K49" s="30" t="inlineStr">
        <is>
          <t>NO</t>
        </is>
      </c>
      <c r="L49" s="30" t="n"/>
      <c r="M49" s="30" t="n"/>
      <c r="N49" s="30" t="n"/>
      <c r="O49" s="30" t="n"/>
      <c r="P49" s="30" t="inlineStr"/>
      <c r="Q49" s="30" t="inlineStr"/>
      <c r="R49" s="14" t="inlineStr">
        <is>
          <t>2575.0</t>
        </is>
      </c>
      <c r="S49" s="30" t="inlineStr"/>
      <c r="T49" s="30" t="inlineStr"/>
      <c r="U49" s="14" t="inlineStr"/>
      <c r="V49" s="14" t="inlineStr">
        <is>
          <t>NO</t>
        </is>
      </c>
      <c r="W49" s="14" t="inlineStr">
        <is>
          <t>—</t>
        </is>
      </c>
      <c r="X49" s="14" t="inlineStr">
        <is>
          <t>—</t>
        </is>
      </c>
      <c r="Y49" s="14" t="inlineStr"/>
      <c r="Z49" s="30" t="inlineStr">
        <is>
          <t>—</t>
        </is>
      </c>
      <c r="AA49" s="30" t="b">
        <v>0</v>
      </c>
      <c r="AB49" s="30" t="b">
        <v>0</v>
      </c>
      <c r="AC49" s="30" t="b">
        <v>1</v>
      </c>
      <c r="AD49" s="19" t="inlineStr">
        <is>
          <t>SI</t>
        </is>
      </c>
      <c r="AE49" s="30" t="inlineStr">
        <is>
          <t>COOPERATIVA AGRARIA DE USUARIOS JOSE ZUÑIGA LETONA DE HUARAN LTDA. Nº 001-B-VII</t>
        </is>
      </c>
      <c r="AF49" s="30" t="inlineStr">
        <is>
          <t>CUSCO</t>
        </is>
      </c>
      <c r="AG49" s="30" t="inlineStr">
        <is>
          <t>CALCA</t>
        </is>
      </c>
      <c r="AH49" s="30" t="inlineStr">
        <is>
          <t>CALCA</t>
        </is>
      </c>
      <c r="AI49" s="30" t="inlineStr">
        <is>
          <t>COMUNIDAD DE HUARAN</t>
        </is>
      </c>
      <c r="AJ49" s="30" t="inlineStr">
        <is>
          <t>CULTIVO DE PRODUCTOS AGRÌCOLAS EN COMBINACIÒN CON LA CRÌA DE ANIMALES</t>
        </is>
      </c>
      <c r="AK49" s="30" t="inlineStr">
        <is>
          <t>1.0</t>
        </is>
      </c>
      <c r="AL49" s="30" t="inlineStr">
        <is>
          <t>1.0</t>
        </is>
      </c>
      <c r="AM49" s="30" t="inlineStr">
        <is>
          <t>1.0</t>
        </is>
      </c>
      <c r="AN49" s="30" t="n">
        <v>44</v>
      </c>
      <c r="AO49" s="30" t="inlineStr">
        <is>
          <t>ZAPATA MASIAS VICTOR</t>
        </is>
      </c>
      <c r="AP49" s="30" t="inlineStr">
        <is>
          <t>INGENIERO AGRONOMO</t>
        </is>
      </c>
      <c r="AQ49" s="30" t="inlineStr">
        <is>
          <t>10.0</t>
        </is>
      </c>
      <c r="AR49" s="30" t="inlineStr">
        <is>
          <t>NO TIENE</t>
        </is>
      </c>
      <c r="AS49" s="30" t="inlineStr">
        <is>
          <t>NO TIENE</t>
        </is>
      </c>
      <c r="AT49" s="30" t="inlineStr">
        <is>
          <t>928121597</t>
        </is>
      </c>
      <c r="AU49" s="30" t="inlineStr">
        <is>
          <t>-13.308848333333334</t>
        </is>
      </c>
      <c r="AV49" s="30" t="inlineStr">
        <is>
          <t>-72.028075</t>
        </is>
      </c>
      <c r="AW49" s="30" t="inlineStr">
        <is>
          <t>1973.0</t>
        </is>
      </c>
      <c r="AX49" s="30" t="inlineStr">
        <is>
          <t>1973.0</t>
        </is>
      </c>
      <c r="AY49" s="30" t="inlineStr">
        <is>
          <t>1</t>
        </is>
      </c>
      <c r="AZ49" s="30" t="inlineStr">
        <is>
          <t>sept-2026</t>
        </is>
      </c>
      <c r="BD49" s="81">
        <f>0</f>
        <v/>
      </c>
      <c r="BE49" s="81">
        <f>IFERROR((IF(ISNUMBER(T49),MIN(T49/30,1),0)+IF(ISNUMBER(P49),MIN(P49/500,1),0))/2,0)</f>
        <v/>
      </c>
      <c r="BF49" s="81">
        <f>IFERROR(IF(OR(U49&lt;&gt;"",V49="SÍ"),IF(ISNUMBER(L49),(1*MIN(L49/10000,1))^0.5,0),IF(ISNUMBER(L49),(0*MIN(L49/10000,1))^0.5,0)),0)</f>
        <v/>
      </c>
    </row>
    <row r="50">
      <c r="A50" t="inlineStr">
        <is>
          <t>CENACOOP; CENCOOP 2017; SISPAC</t>
        </is>
      </c>
      <c r="B50" s="70" t="inlineStr">
        <is>
          <t>20600558715</t>
        </is>
      </c>
      <c r="C50" s="29" t="inlineStr">
        <is>
          <t>Cooperativa Agraria Kiwicha Wayi Ltda</t>
        </is>
      </c>
      <c r="D50" s="29" t="inlineStr"/>
      <c r="E50" s="29" t="inlineStr">
        <is>
          <t>VENTA AL POR MENOR DE ALIMENTOS, BEBIDAS Y TABACO EN ALMACENES ESPECIALIZADOS</t>
        </is>
      </c>
      <c r="F50" s="29" t="inlineStr">
        <is>
          <t>Áncash</t>
        </is>
      </c>
      <c r="G50" s="29" t="inlineStr">
        <is>
          <t>Huaylas</t>
        </is>
      </c>
      <c r="H50" s="29" t="inlineStr">
        <is>
          <t>—</t>
        </is>
      </c>
      <c r="I50" s="29" t="inlineStr">
        <is>
          <t>—</t>
        </is>
      </c>
      <c r="J50" s="29" t="n"/>
      <c r="K50" s="29" t="inlineStr">
        <is>
          <t>NO</t>
        </is>
      </c>
      <c r="L50" s="29" t="n"/>
      <c r="M50" s="29" t="n"/>
      <c r="N50" s="29" t="n"/>
      <c r="O50" s="29" t="n"/>
      <c r="P50" s="29" t="inlineStr"/>
      <c r="Q50" s="29" t="inlineStr"/>
      <c r="R50" s="18" t="inlineStr">
        <is>
          <t>2575.0</t>
        </is>
      </c>
      <c r="S50" s="29" t="inlineStr"/>
      <c r="T50" s="29" t="inlineStr"/>
      <c r="U50" s="18" t="inlineStr"/>
      <c r="V50" s="18" t="inlineStr">
        <is>
          <t>NO</t>
        </is>
      </c>
      <c r="W50" s="18" t="inlineStr">
        <is>
          <t>—</t>
        </is>
      </c>
      <c r="X50" s="18" t="inlineStr">
        <is>
          <t>—</t>
        </is>
      </c>
      <c r="Y50" s="18" t="inlineStr"/>
      <c r="Z50" s="29" t="inlineStr">
        <is>
          <t>—</t>
        </is>
      </c>
      <c r="AA50" s="29" t="b">
        <v>0</v>
      </c>
      <c r="AB50" s="29" t="b">
        <v>0</v>
      </c>
      <c r="AC50" s="29" t="b">
        <v>1</v>
      </c>
      <c r="AD50" s="19" t="inlineStr">
        <is>
          <t>SI</t>
        </is>
      </c>
      <c r="AE50" s="29" t="inlineStr">
        <is>
          <t>COOPERATIVA AGRARIA KIWICHA WAYI LTDA.</t>
        </is>
      </c>
      <c r="AF50" s="29" t="inlineStr">
        <is>
          <t>ANCASH</t>
        </is>
      </c>
      <c r="AG50" s="29" t="inlineStr">
        <is>
          <t>HUAYLAS</t>
        </is>
      </c>
      <c r="AH50" s="29" t="inlineStr">
        <is>
          <t>CARAZ</t>
        </is>
      </c>
      <c r="AI50" s="29" t="inlineStr">
        <is>
          <t>SECTOR ICHOCHUAYLAS</t>
        </is>
      </c>
      <c r="AJ50" s="29" t="inlineStr">
        <is>
          <t>CULTIVO DE CEREALES (EXCEPTO ARROZ), LEGUMBRES Y SEMILLAS OLEAGINOSAS</t>
        </is>
      </c>
      <c r="AK50" s="29" t="inlineStr">
        <is>
          <t>1.0</t>
        </is>
      </c>
      <c r="AL50" s="29" t="inlineStr">
        <is>
          <t>1.0</t>
        </is>
      </c>
      <c r="AM50" s="29" t="inlineStr">
        <is>
          <t>1.0</t>
        </is>
      </c>
      <c r="AN50" s="29" t="n">
        <v>2</v>
      </c>
      <c r="AO50" s="29" t="inlineStr">
        <is>
          <t>NATIVIDAD RODRIGUEZ ROGER RAFAEL</t>
        </is>
      </c>
      <c r="AP50" s="29" t="inlineStr">
        <is>
          <t>NO TIENE</t>
        </is>
      </c>
      <c r="AQ50" s="29" t="inlineStr">
        <is>
          <t>4.0</t>
        </is>
      </c>
      <c r="AR50" s="29" t="inlineStr">
        <is>
          <t>NO TIENE</t>
        </is>
      </c>
      <c r="AS50" s="29" t="inlineStr">
        <is>
          <t>SANISIDROCARAZ@HOTMAIL.COM</t>
        </is>
      </c>
      <c r="AT50" s="29" t="inlineStr">
        <is>
          <t>NO TIENE</t>
        </is>
      </c>
      <c r="AU50" s="29" t="inlineStr">
        <is>
          <t>-9.036643333333334</t>
        </is>
      </c>
      <c r="AV50" s="29" t="inlineStr">
        <is>
          <t>-77.82116500000001</t>
        </is>
      </c>
      <c r="AW50" s="29" t="inlineStr">
        <is>
          <t>2015.0</t>
        </is>
      </c>
      <c r="AX50" s="29" t="inlineStr">
        <is>
          <t>2015.0</t>
        </is>
      </c>
      <c r="AY50" s="29" t="inlineStr">
        <is>
          <t>1</t>
        </is>
      </c>
      <c r="AZ50" s="29" t="inlineStr">
        <is>
          <t>sept-2026</t>
        </is>
      </c>
      <c r="BD50" s="81">
        <f>0</f>
        <v/>
      </c>
      <c r="BE50" s="81">
        <f>IFERROR((IF(ISNUMBER(T50),MIN(T50/30,1),0)+IF(ISNUMBER(P50),MIN(P50/500,1),0))/2,0)</f>
        <v/>
      </c>
      <c r="BF50" s="81">
        <f>IFERROR(IF(OR(U50&lt;&gt;"",V50="SÍ"),IF(ISNUMBER(L50),(1*MIN(L50/10000,1))^0.5,0),IF(ISNUMBER(L50),(0*MIN(L50/10000,1))^0.5,0)),0)</f>
        <v/>
      </c>
    </row>
    <row r="51">
      <c r="A51" t="inlineStr">
        <is>
          <t>CENACOOP; CENCOOP 2017</t>
        </is>
      </c>
      <c r="B51" s="70" t="inlineStr">
        <is>
          <t>20130891676</t>
        </is>
      </c>
      <c r="C51" s="30" t="inlineStr">
        <is>
          <t>Cooperativa Agraria La Esperanza Es Majes</t>
        </is>
      </c>
      <c r="D51" s="30" t="inlineStr"/>
      <c r="E51" s="30" t="inlineStr">
        <is>
          <t>VENTA AL POR MENOR DE ALIMENTOS, BEBIDAS Y TABACO EN ALMACENES ESPECIALIZADOS</t>
        </is>
      </c>
      <c r="F51" s="30" t="inlineStr">
        <is>
          <t>Arequipa</t>
        </is>
      </c>
      <c r="G51" s="30" t="inlineStr">
        <is>
          <t>Caylloma</t>
        </is>
      </c>
      <c r="H51" s="30" t="inlineStr">
        <is>
          <t>—</t>
        </is>
      </c>
      <c r="I51" s="30" t="inlineStr">
        <is>
          <t>—</t>
        </is>
      </c>
      <c r="J51" s="30" t="n"/>
      <c r="K51" s="30" t="inlineStr">
        <is>
          <t>NO</t>
        </is>
      </c>
      <c r="L51" s="30" t="n"/>
      <c r="M51" s="30" t="n"/>
      <c r="N51" s="30" t="n"/>
      <c r="O51" s="30" t="n"/>
      <c r="P51" s="30" t="inlineStr"/>
      <c r="Q51" s="30" t="inlineStr"/>
      <c r="R51" s="14" t="inlineStr">
        <is>
          <t>2575.0</t>
        </is>
      </c>
      <c r="S51" s="30" t="inlineStr"/>
      <c r="T51" s="30" t="inlineStr"/>
      <c r="U51" s="14" t="inlineStr"/>
      <c r="V51" s="14" t="inlineStr">
        <is>
          <t>NO</t>
        </is>
      </c>
      <c r="W51" s="14" t="inlineStr">
        <is>
          <t>—</t>
        </is>
      </c>
      <c r="X51" s="14" t="inlineStr">
        <is>
          <t>—</t>
        </is>
      </c>
      <c r="Y51" s="14" t="inlineStr"/>
      <c r="Z51" s="30" t="inlineStr">
        <is>
          <t>—</t>
        </is>
      </c>
      <c r="AA51" s="30" t="b">
        <v>0</v>
      </c>
      <c r="AB51" s="30" t="b">
        <v>0</v>
      </c>
      <c r="AC51" s="30" t="b">
        <v>1</v>
      </c>
      <c r="AD51" s="19" t="inlineStr">
        <is>
          <t>SI</t>
        </is>
      </c>
      <c r="AE51" s="30" t="inlineStr">
        <is>
          <t>COOPERATIVA AGRARIA LA ESPERANZA ES MAJE</t>
        </is>
      </c>
      <c r="AF51" s="30" t="inlineStr">
        <is>
          <t>AREQUIPA</t>
        </is>
      </c>
      <c r="AG51" s="30" t="inlineStr">
        <is>
          <t>CAYLLOMA</t>
        </is>
      </c>
      <c r="AH51" s="30" t="inlineStr">
        <is>
          <t>MAJES</t>
        </is>
      </c>
      <c r="AI51" s="30" t="inlineStr">
        <is>
          <t>MAJES</t>
        </is>
      </c>
      <c r="AJ51" s="30" t="inlineStr">
        <is>
          <t>VENTA AL POR MAYOR DE MATERIAS PRIMAS AGROPECUARIAS Y ANIMALES VIVOS.</t>
        </is>
      </c>
      <c r="AK51" s="30" t="inlineStr">
        <is>
          <t>1.0</t>
        </is>
      </c>
      <c r="AL51" s="30" t="inlineStr">
        <is>
          <t>1.0</t>
        </is>
      </c>
      <c r="AM51" s="30" t="inlineStr">
        <is>
          <t>1.0</t>
        </is>
      </c>
      <c r="AN51" s="30" t="n">
        <v>33</v>
      </c>
      <c r="AO51" s="30" t="inlineStr">
        <is>
          <t>FLORES CONDE GENARO CONSTANTINO</t>
        </is>
      </c>
      <c r="AP51" s="30" t="inlineStr">
        <is>
          <t>AGRICULTOR</t>
        </is>
      </c>
      <c r="AQ51" s="30" t="inlineStr">
        <is>
          <t>6.0</t>
        </is>
      </c>
      <c r="AR51" s="30" t="inlineStr">
        <is>
          <t>NO TIENE</t>
        </is>
      </c>
      <c r="AS51" s="30" t="inlineStr">
        <is>
          <t>CALEM_10@HOTMAIL.COM</t>
        </is>
      </c>
      <c r="AT51" s="30" t="inlineStr">
        <is>
          <t>958854374</t>
        </is>
      </c>
      <c r="AU51" s="30" t="inlineStr">
        <is>
          <t>-16.35454</t>
        </is>
      </c>
      <c r="AV51" s="30" t="inlineStr">
        <is>
          <t>-72.18744166666667</t>
        </is>
      </c>
      <c r="AW51" s="30" t="inlineStr">
        <is>
          <t>1984.0</t>
        </is>
      </c>
      <c r="AX51" s="30" t="inlineStr">
        <is>
          <t>1984.0</t>
        </is>
      </c>
      <c r="AY51" s="30" t="inlineStr">
        <is>
          <t>1</t>
        </is>
      </c>
      <c r="AZ51" s="30" t="inlineStr">
        <is>
          <t>sept-2026</t>
        </is>
      </c>
      <c r="BD51" s="81">
        <f>0</f>
        <v/>
      </c>
      <c r="BE51" s="81">
        <f>IFERROR((IF(ISNUMBER(T51),MIN(T51/30,1),0)+IF(ISNUMBER(P51),MIN(P51/500,1),0))/2,0)</f>
        <v/>
      </c>
      <c r="BF51" s="81">
        <f>IFERROR(IF(OR(U51&lt;&gt;"",V51="SÍ"),IF(ISNUMBER(L51),(1*MIN(L51/10000,1))^0.5,0),IF(ISNUMBER(L51),(0*MIN(L51/10000,1))^0.5,0)),0)</f>
        <v/>
      </c>
    </row>
    <row r="52">
      <c r="A52" t="inlineStr">
        <is>
          <t>CENACOOP; CENCOOP 2017; SISPAC</t>
        </is>
      </c>
      <c r="B52" s="70" t="inlineStr">
        <is>
          <t>20490810146</t>
        </is>
      </c>
      <c r="C52" s="29" t="inlineStr">
        <is>
          <t>Cooperativa Agraria Machupicchu Ltda.</t>
        </is>
      </c>
      <c r="D52" s="29" t="inlineStr"/>
      <c r="E52" s="29" t="inlineStr">
        <is>
          <t>VENTA AL POR MENOR DE ALIMENTOS, BEBIDAS Y TABACO EN ALMACENES ESPECIALIZADOS</t>
        </is>
      </c>
      <c r="F52" s="29" t="inlineStr">
        <is>
          <t>ICA</t>
        </is>
      </c>
      <c r="G52" s="29" t="inlineStr">
        <is>
          <t>—</t>
        </is>
      </c>
      <c r="H52" s="29" t="inlineStr">
        <is>
          <t>—</t>
        </is>
      </c>
      <c r="I52" s="29" t="inlineStr">
        <is>
          <t>—</t>
        </is>
      </c>
      <c r="J52" s="29" t="inlineStr">
        <is>
          <t>SI</t>
        </is>
      </c>
      <c r="K52" s="29" t="inlineStr">
        <is>
          <t>NO</t>
        </is>
      </c>
      <c r="L52" s="29" t="n">
        <v>0</v>
      </c>
      <c r="M52" s="29" t="n">
        <v>604901.49</v>
      </c>
      <c r="N52" s="29" t="n">
        <v>12</v>
      </c>
      <c r="O52" s="29" t="n">
        <v>4</v>
      </c>
      <c r="P52" s="29" t="inlineStr"/>
      <c r="Q52" s="29" t="inlineStr"/>
      <c r="R52" s="18" t="inlineStr">
        <is>
          <t>2575.0</t>
        </is>
      </c>
      <c r="S52" s="29" t="inlineStr"/>
      <c r="T52" s="29" t="inlineStr"/>
      <c r="U52" s="18" t="inlineStr"/>
      <c r="V52" s="18" t="inlineStr">
        <is>
          <t>NO</t>
        </is>
      </c>
      <c r="W52" s="18" t="inlineStr">
        <is>
          <t>—</t>
        </is>
      </c>
      <c r="X52" s="18" t="inlineStr">
        <is>
          <t>—</t>
        </is>
      </c>
      <c r="Y52" s="18" t="inlineStr"/>
      <c r="Z52" s="29" t="inlineStr">
        <is>
          <t>—</t>
        </is>
      </c>
      <c r="AA52" s="29" t="b">
        <v>0</v>
      </c>
      <c r="AB52" s="29" t="b">
        <v>0</v>
      </c>
      <c r="AC52" s="29" t="b">
        <v>1</v>
      </c>
      <c r="AD52" s="19" t="inlineStr">
        <is>
          <t>SI</t>
        </is>
      </c>
      <c r="AE52" s="29" t="inlineStr">
        <is>
          <t>COOPERATIVA AGROINDUSTRIAL MACHUPICCHU LTDA. - CAGMA</t>
        </is>
      </c>
      <c r="AF52" s="29" t="inlineStr">
        <is>
          <t>APURIMAC</t>
        </is>
      </c>
      <c r="AG52" s="29" t="inlineStr">
        <is>
          <t>ANDAHUAYLAS</t>
        </is>
      </c>
      <c r="AH52" s="29" t="inlineStr">
        <is>
          <t>SAN JERONIMO</t>
        </is>
      </c>
      <c r="AI52" s="29" t="inlineStr">
        <is>
          <t>SAN JERONIMO</t>
        </is>
      </c>
      <c r="AJ52" s="29" t="inlineStr">
        <is>
          <t>VENTA AL POR MAYOR DE MATERIAS PRIMAS AGROPECUARIAS Y ANIMALES VIVOS.</t>
        </is>
      </c>
      <c r="AK52" s="29" t="inlineStr">
        <is>
          <t>3.0</t>
        </is>
      </c>
      <c r="AL52" s="29" t="inlineStr">
        <is>
          <t>1.0</t>
        </is>
      </c>
      <c r="AM52" s="29" t="inlineStr">
        <is>
          <t>2.0</t>
        </is>
      </c>
      <c r="AN52" s="29" t="n">
        <v>5</v>
      </c>
      <c r="AO52" s="29" t="inlineStr">
        <is>
          <t>ALTAMIRANO CARDENAS NELYDA</t>
        </is>
      </c>
      <c r="AP52" s="29" t="inlineStr">
        <is>
          <t>ECONOMISTA</t>
        </is>
      </c>
      <c r="AQ52" s="29" t="inlineStr">
        <is>
          <t>10.0</t>
        </is>
      </c>
      <c r="AR52" s="29" t="inlineStr">
        <is>
          <t>WWW.COOPERATIVACAGMA.COM</t>
        </is>
      </c>
      <c r="AS52" s="29" t="inlineStr">
        <is>
          <t>COOPERATIVA.MACHUPICCHU@GMAIL.COM</t>
        </is>
      </c>
      <c r="AT52" s="29" t="inlineStr">
        <is>
          <t>988262628</t>
        </is>
      </c>
      <c r="AU52" s="29" t="inlineStr">
        <is>
          <t>-13.652674999999999</t>
        </is>
      </c>
      <c r="AV52" s="29" t="inlineStr">
        <is>
          <t>-73.36802666666668</t>
        </is>
      </c>
      <c r="AW52" s="29" t="inlineStr">
        <is>
          <t>2012.0</t>
        </is>
      </c>
      <c r="AX52" s="29" t="inlineStr">
        <is>
          <t>2012.0</t>
        </is>
      </c>
      <c r="AY52" s="29" t="inlineStr">
        <is>
          <t>1</t>
        </is>
      </c>
      <c r="AZ52" s="29" t="inlineStr">
        <is>
          <t>sept-2026</t>
        </is>
      </c>
      <c r="BA52" t="inlineStr">
        <is>
          <t>FRANCE; ITALY; NETHERLANDS; UNITED KINGDOM</t>
        </is>
      </c>
      <c r="BB52" t="n">
        <v>2016</v>
      </c>
      <c r="BC52" t="n">
        <v>2021</v>
      </c>
      <c r="BD52" s="81">
        <f>0</f>
        <v/>
      </c>
      <c r="BE52" s="81">
        <f>IFERROR((IF(ISNUMBER(T52),MIN(T52/30,1),0)+IF(ISNUMBER(P52),MIN(P52/500,1),0))/2,0)</f>
        <v/>
      </c>
      <c r="BF52" s="81">
        <f>IFERROR(IF(OR(U52&lt;&gt;"",V52="SÍ"),IF(ISNUMBER(L52),(1*MIN(L52/10000,1))^0.5,0),IF(ISNUMBER(L52),(0*MIN(L52/10000,1))^0.5,0)),0)</f>
        <v/>
      </c>
    </row>
    <row r="53">
      <c r="A53" t="inlineStr">
        <is>
          <t>CENACOOP; CENCOOP 2017; SISPAC</t>
        </is>
      </c>
      <c r="B53" s="70" t="inlineStr">
        <is>
          <t>20568804709</t>
        </is>
      </c>
      <c r="C53" s="30" t="inlineStr">
        <is>
          <t>Cooperativa Agraria Mujer Andina</t>
        </is>
      </c>
      <c r="D53" s="30" t="inlineStr"/>
      <c r="E53" s="30" t="inlineStr">
        <is>
          <t>VENTA AL POR MENOR DE ALIMENTOS, BEBIDAS Y TABACO EN ALMACENES ESPECIALIZADOS</t>
        </is>
      </c>
      <c r="F53" s="30" t="inlineStr">
        <is>
          <t>ICA</t>
        </is>
      </c>
      <c r="G53" s="30" t="inlineStr">
        <is>
          <t>—</t>
        </is>
      </c>
      <c r="H53" s="30" t="inlineStr">
        <is>
          <t>—</t>
        </is>
      </c>
      <c r="I53" s="30" t="inlineStr">
        <is>
          <t>—</t>
        </is>
      </c>
      <c r="J53" s="30" t="n"/>
      <c r="K53" s="30" t="inlineStr">
        <is>
          <t>NO</t>
        </is>
      </c>
      <c r="L53" s="30" t="n"/>
      <c r="M53" s="30" t="n"/>
      <c r="N53" s="30" t="n"/>
      <c r="O53" s="30" t="n"/>
      <c r="P53" s="30" t="inlineStr"/>
      <c r="Q53" s="30" t="inlineStr"/>
      <c r="R53" s="14" t="inlineStr">
        <is>
          <t>2575.0</t>
        </is>
      </c>
      <c r="S53" s="30" t="inlineStr"/>
      <c r="T53" s="30" t="inlineStr"/>
      <c r="U53" s="14" t="inlineStr"/>
      <c r="V53" s="14" t="inlineStr">
        <is>
          <t>NO</t>
        </is>
      </c>
      <c r="W53" s="14" t="inlineStr">
        <is>
          <t>—</t>
        </is>
      </c>
      <c r="X53" s="14" t="inlineStr">
        <is>
          <t>—</t>
        </is>
      </c>
      <c r="Y53" s="14" t="inlineStr"/>
      <c r="Z53" s="30" t="inlineStr">
        <is>
          <t>—</t>
        </is>
      </c>
      <c r="AA53" s="30" t="b">
        <v>0</v>
      </c>
      <c r="AB53" s="30" t="b">
        <v>0</v>
      </c>
      <c r="AC53" s="30" t="b">
        <v>1</v>
      </c>
      <c r="AD53" s="19" t="inlineStr">
        <is>
          <t>SI</t>
        </is>
      </c>
      <c r="AE53" s="30" t="inlineStr">
        <is>
          <t>COOPERATIVA AGRARIA MUJER ANDINA</t>
        </is>
      </c>
      <c r="AF53" s="30" t="inlineStr">
        <is>
          <t>JUNIN</t>
        </is>
      </c>
      <c r="AG53" s="30" t="inlineStr">
        <is>
          <t>CONCEPCION</t>
        </is>
      </c>
      <c r="AH53" s="30" t="inlineStr">
        <is>
          <t>SAN JOSE DE QUERO</t>
        </is>
      </c>
      <c r="AI53" s="30" t="inlineStr">
        <is>
          <t>SAN JOSE DE QUERO</t>
        </is>
      </c>
      <c r="AJ53" s="30" t="inlineStr">
        <is>
          <t>ELABORACIÓN DE PRODUCTOS LÁCTEOS</t>
        </is>
      </c>
      <c r="AK53" s="30" t="inlineStr">
        <is>
          <t>1.0</t>
        </is>
      </c>
      <c r="AL53" s="30" t="inlineStr">
        <is>
          <t>1.0</t>
        </is>
      </c>
      <c r="AM53" s="30" t="inlineStr">
        <is>
          <t>2.0</t>
        </is>
      </c>
      <c r="AN53" s="30" t="n">
        <v>4</v>
      </c>
      <c r="AO53" s="30" t="inlineStr">
        <is>
          <t>GUERRA RAMOS ROCIO</t>
        </is>
      </c>
      <c r="AP53" s="30" t="inlineStr">
        <is>
          <t>ASISTENTA SOCIAL</t>
        </is>
      </c>
      <c r="AQ53" s="30" t="inlineStr">
        <is>
          <t>10.0</t>
        </is>
      </c>
      <c r="AR53" s="30" t="inlineStr">
        <is>
          <t>NO TIENE</t>
        </is>
      </c>
      <c r="AS53" s="30" t="inlineStr">
        <is>
          <t>NO TIENE</t>
        </is>
      </c>
      <c r="AT53" s="30" t="inlineStr">
        <is>
          <t>979764799</t>
        </is>
      </c>
      <c r="AU53" s="30" t="inlineStr">
        <is>
          <t>-12.085701666666667</t>
        </is>
      </c>
      <c r="AV53" s="30" t="inlineStr">
        <is>
          <t>-75.5363</t>
        </is>
      </c>
      <c r="AW53" s="30" t="inlineStr">
        <is>
          <t>2013.0</t>
        </is>
      </c>
      <c r="AX53" s="30" t="inlineStr">
        <is>
          <t>2013.0</t>
        </is>
      </c>
      <c r="AY53" s="30" t="inlineStr">
        <is>
          <t>1</t>
        </is>
      </c>
      <c r="AZ53" s="30" t="inlineStr">
        <is>
          <t>sept-2026</t>
        </is>
      </c>
      <c r="BD53" s="81">
        <f>0</f>
        <v/>
      </c>
      <c r="BE53" s="81">
        <f>IFERROR((IF(ISNUMBER(T53),MIN(T53/30,1),0)+IF(ISNUMBER(P53),MIN(P53/500,1),0))/2,0)</f>
        <v/>
      </c>
      <c r="BF53" s="81">
        <f>IFERROR(IF(OR(U53&lt;&gt;"",V53="SÍ"),IF(ISNUMBER(L53),(1*MIN(L53/10000,1))^0.5,0),IF(ISNUMBER(L53),(0*MIN(L53/10000,1))^0.5,0)),0)</f>
        <v/>
      </c>
    </row>
    <row r="54">
      <c r="A54" t="inlineStr">
        <is>
          <t>CENACOOP; CENCOOP 2017</t>
        </is>
      </c>
      <c r="B54" s="70" t="inlineStr">
        <is>
          <t>20571496390</t>
        </is>
      </c>
      <c r="C54" s="29" t="inlineStr">
        <is>
          <t>Cooperativa Agraria Norte Chico</t>
        </is>
      </c>
      <c r="D54" s="29" t="inlineStr"/>
      <c r="E54" s="29" t="inlineStr">
        <is>
          <t>VENTA AL POR MENOR DE ALIMENTOS, BEBIDAS Y TABACO EN ALMACENES ESPECIALIZADOS</t>
        </is>
      </c>
      <c r="F54" s="29" t="inlineStr">
        <is>
          <t>Lima</t>
        </is>
      </c>
      <c r="G54" s="29" t="inlineStr">
        <is>
          <t>Barranca</t>
        </is>
      </c>
      <c r="H54" s="29" t="inlineStr">
        <is>
          <t>—</t>
        </is>
      </c>
      <c r="I54" s="29" t="inlineStr">
        <is>
          <t>—</t>
        </is>
      </c>
      <c r="J54" s="29" t="n"/>
      <c r="K54" s="29" t="inlineStr">
        <is>
          <t>NO</t>
        </is>
      </c>
      <c r="L54" s="29" t="n"/>
      <c r="M54" s="29" t="n"/>
      <c r="N54" s="29" t="n"/>
      <c r="O54" s="29" t="n"/>
      <c r="P54" s="29" t="inlineStr"/>
      <c r="Q54" s="29" t="inlineStr"/>
      <c r="R54" s="18" t="inlineStr">
        <is>
          <t>2575.0</t>
        </is>
      </c>
      <c r="S54" s="29" t="inlineStr"/>
      <c r="T54" s="29" t="inlineStr"/>
      <c r="U54" s="18" t="inlineStr"/>
      <c r="V54" s="18" t="inlineStr">
        <is>
          <t>NO</t>
        </is>
      </c>
      <c r="W54" s="18" t="inlineStr">
        <is>
          <t>—</t>
        </is>
      </c>
      <c r="X54" s="18" t="inlineStr">
        <is>
          <t>—</t>
        </is>
      </c>
      <c r="Y54" s="18" t="inlineStr"/>
      <c r="Z54" s="29" t="inlineStr">
        <is>
          <t>—</t>
        </is>
      </c>
      <c r="AA54" s="29" t="b">
        <v>0</v>
      </c>
      <c r="AB54" s="29" t="b">
        <v>0</v>
      </c>
      <c r="AC54" s="29" t="b">
        <v>1</v>
      </c>
      <c r="AD54" s="19" t="inlineStr">
        <is>
          <t>SI</t>
        </is>
      </c>
      <c r="AE54" s="29" t="inlineStr">
        <is>
          <t>COOPERATIVA AGRARIA NORTE CHICO COOPANORTE</t>
        </is>
      </c>
      <c r="AF54" s="29" t="inlineStr">
        <is>
          <t>LIMA</t>
        </is>
      </c>
      <c r="AG54" s="29" t="inlineStr">
        <is>
          <t>BARRANCA</t>
        </is>
      </c>
      <c r="AH54" s="29" t="inlineStr">
        <is>
          <t>BARRANCA</t>
        </is>
      </c>
      <c r="AI54" s="29" t="inlineStr">
        <is>
          <t>BARRANCA</t>
        </is>
      </c>
      <c r="AJ54" s="29" t="inlineStr">
        <is>
          <t>CULTIVO DE CEREALES (EXCEPTO ARROZ), LEGUMBRES Y SEMILLAS OLEAGINOSAS</t>
        </is>
      </c>
      <c r="AK54" s="29" t="inlineStr">
        <is>
          <t>1.0</t>
        </is>
      </c>
      <c r="AL54" s="29" t="inlineStr">
        <is>
          <t>1.0</t>
        </is>
      </c>
      <c r="AM54" s="29" t="inlineStr">
        <is>
          <t>1.0</t>
        </is>
      </c>
      <c r="AN54" s="29" t="n">
        <v>4</v>
      </c>
      <c r="AO54" s="29" t="inlineStr">
        <is>
          <t>JARA TORRES ISAIAS</t>
        </is>
      </c>
      <c r="AP54" s="29" t="inlineStr">
        <is>
          <t>ANTROPOLOGO</t>
        </is>
      </c>
      <c r="AQ54" s="29" t="inlineStr">
        <is>
          <t>10.0</t>
        </is>
      </c>
      <c r="AR54" s="29" t="inlineStr">
        <is>
          <t>NO TIENE</t>
        </is>
      </c>
      <c r="AS54" s="29" t="inlineStr">
        <is>
          <t>COOPESEMNORTECHICO@GMAIL.COM</t>
        </is>
      </c>
      <c r="AT54" s="29" t="inlineStr">
        <is>
          <t>NO TIENE</t>
        </is>
      </c>
      <c r="AU54" s="29" t="inlineStr">
        <is>
          <t>-10.757863333333335</t>
        </is>
      </c>
      <c r="AV54" s="29" t="inlineStr">
        <is>
          <t>-77.75799833333333</t>
        </is>
      </c>
      <c r="AW54" s="29" t="inlineStr">
        <is>
          <t>2012.0</t>
        </is>
      </c>
      <c r="AX54" s="29" t="inlineStr">
        <is>
          <t>2013.0</t>
        </is>
      </c>
      <c r="AY54" s="29" t="inlineStr">
        <is>
          <t>1</t>
        </is>
      </c>
      <c r="AZ54" s="29" t="inlineStr">
        <is>
          <t>sept-2026</t>
        </is>
      </c>
      <c r="BD54" s="81">
        <f>0</f>
        <v/>
      </c>
      <c r="BE54" s="81">
        <f>IFERROR((IF(ISNUMBER(T54),MIN(T54/30,1),0)+IF(ISNUMBER(P54),MIN(P54/500,1),0))/2,0)</f>
        <v/>
      </c>
      <c r="BF54" s="81">
        <f>IFERROR(IF(OR(U54&lt;&gt;"",V54="SÍ"),IF(ISNUMBER(L54),(1*MIN(L54/10000,1))^0.5,0),IF(ISNUMBER(L54),(0*MIN(L54/10000,1))^0.5,0)),0)</f>
        <v/>
      </c>
    </row>
    <row r="55">
      <c r="A55" t="inlineStr">
        <is>
          <t>CENACOOP; CENCOOP 2017; SISPAC</t>
        </is>
      </c>
      <c r="B55" s="70" t="inlineStr">
        <is>
          <t>20573057385</t>
        </is>
      </c>
      <c r="C55" s="30" t="inlineStr">
        <is>
          <t>Cooperativa Agraria Paraíso</t>
        </is>
      </c>
      <c r="D55" s="30" t="inlineStr"/>
      <c r="E55" s="30" t="inlineStr">
        <is>
          <t>VENTA AL POR MENOR DE ALIMENTOS, BEBIDAS Y TABACO EN ALMACENES ESPECIALIZADOS</t>
        </is>
      </c>
      <c r="F55" s="30" t="inlineStr">
        <is>
          <t>ICA</t>
        </is>
      </c>
      <c r="G55" s="30" t="inlineStr">
        <is>
          <t>—</t>
        </is>
      </c>
      <c r="H55" s="30" t="inlineStr">
        <is>
          <t>—</t>
        </is>
      </c>
      <c r="I55" s="30" t="inlineStr">
        <is>
          <t>—</t>
        </is>
      </c>
      <c r="J55" s="30" t="n"/>
      <c r="K55" s="30" t="inlineStr">
        <is>
          <t>NO</t>
        </is>
      </c>
      <c r="L55" s="30" t="n"/>
      <c r="M55" s="30" t="n"/>
      <c r="N55" s="30" t="n"/>
      <c r="O55" s="30" t="n"/>
      <c r="P55" s="30" t="inlineStr"/>
      <c r="Q55" s="30" t="inlineStr"/>
      <c r="R55" s="14" t="inlineStr">
        <is>
          <t>2575.0</t>
        </is>
      </c>
      <c r="S55" s="30" t="inlineStr"/>
      <c r="T55" s="30" t="inlineStr"/>
      <c r="U55" s="14" t="inlineStr"/>
      <c r="V55" s="14" t="inlineStr">
        <is>
          <t>NO</t>
        </is>
      </c>
      <c r="W55" s="14" t="inlineStr">
        <is>
          <t>—</t>
        </is>
      </c>
      <c r="X55" s="14" t="inlineStr">
        <is>
          <t>—</t>
        </is>
      </c>
      <c r="Y55" s="14" t="inlineStr"/>
      <c r="Z55" s="30" t="inlineStr">
        <is>
          <t>—</t>
        </is>
      </c>
      <c r="AA55" s="30" t="b">
        <v>0</v>
      </c>
      <c r="AB55" s="30" t="b">
        <v>0</v>
      </c>
      <c r="AC55" s="30" t="b">
        <v>1</v>
      </c>
      <c r="AD55" s="19" t="inlineStr">
        <is>
          <t>SI</t>
        </is>
      </c>
      <c r="AE55" s="30" t="inlineStr">
        <is>
          <t>COOPERATIVA AGROINDUSTRIAL PARAISO DEL CENTRO POBLADO DE PARAISO LTDA.</t>
        </is>
      </c>
      <c r="AF55" s="30" t="inlineStr">
        <is>
          <t>HUANUCO</t>
        </is>
      </c>
      <c r="AG55" s="30" t="inlineStr">
        <is>
          <t>MARAÑON</t>
        </is>
      </c>
      <c r="AH55" s="30" t="inlineStr">
        <is>
          <t>CHOLON</t>
        </is>
      </c>
      <c r="AI55" s="30" t="inlineStr">
        <is>
          <t>CENTRO POBLADO DE PARAISO</t>
        </is>
      </c>
      <c r="AJ55" s="30" t="inlineStr">
        <is>
          <t>CULTIVO DE CEREALES (EXCEPTO ARROZ), LEGUMBRES Y SEMILLAS OLEAGINOSAS</t>
        </is>
      </c>
      <c r="AK55" s="30" t="inlineStr">
        <is>
          <t>3.0</t>
        </is>
      </c>
      <c r="AL55" s="30" t="inlineStr">
        <is>
          <t>1.0</t>
        </is>
      </c>
      <c r="AM55" s="30" t="inlineStr">
        <is>
          <t>2.0</t>
        </is>
      </c>
      <c r="AN55" s="30" t="n">
        <v>4</v>
      </c>
      <c r="AO55" s="30" t="inlineStr">
        <is>
          <t>DAVILA ALVARADO DENIS</t>
        </is>
      </c>
      <c r="AP55" s="30" t="inlineStr">
        <is>
          <t>INGENIERO AGRONOMO</t>
        </is>
      </c>
      <c r="AQ55" s="30" t="inlineStr">
        <is>
          <t>10.0</t>
        </is>
      </c>
      <c r="AR55" s="30" t="inlineStr">
        <is>
          <t>NO TIENE</t>
        </is>
      </c>
      <c r="AS55" s="30" t="inlineStr">
        <is>
          <t>CACAOPARAISO@GMAIL.COM</t>
        </is>
      </c>
      <c r="AT55" s="30" t="inlineStr">
        <is>
          <t>NO TIENE</t>
        </is>
      </c>
      <c r="AU55" s="30" t="inlineStr">
        <is>
          <t>-8.479831666666666</t>
        </is>
      </c>
      <c r="AV55" s="30" t="inlineStr">
        <is>
          <t>-76.38775166666666</t>
        </is>
      </c>
      <c r="AW55" s="30" t="inlineStr">
        <is>
          <t>2013.0</t>
        </is>
      </c>
      <c r="AX55" s="30" t="inlineStr">
        <is>
          <t>2013.0</t>
        </is>
      </c>
      <c r="AY55" s="30" t="inlineStr">
        <is>
          <t>1</t>
        </is>
      </c>
      <c r="AZ55" s="30" t="inlineStr">
        <is>
          <t>sept-2026</t>
        </is>
      </c>
      <c r="BD55" s="81">
        <f>0</f>
        <v/>
      </c>
      <c r="BE55" s="81">
        <f>IFERROR((IF(ISNUMBER(T55),MIN(T55/30,1),0)+IF(ISNUMBER(P55),MIN(P55/500,1),0))/2,0)</f>
        <v/>
      </c>
      <c r="BF55" s="81">
        <f>IFERROR(IF(OR(U55&lt;&gt;"",V55="SÍ"),IF(ISNUMBER(L55),(1*MIN(L55/10000,1))^0.5,0),IF(ISNUMBER(L55),(0*MIN(L55/10000,1))^0.5,0)),0)</f>
        <v/>
      </c>
    </row>
    <row r="56">
      <c r="A56" t="inlineStr">
        <is>
          <t>CENACOOP; CENCOOP 2017</t>
        </is>
      </c>
      <c r="B56" s="70" t="inlineStr">
        <is>
          <t>20525795544</t>
        </is>
      </c>
      <c r="C56" s="29" t="inlineStr">
        <is>
          <t>Cooperativa Agraria Pueblo Nuevo</t>
        </is>
      </c>
      <c r="D56" s="29" t="inlineStr"/>
      <c r="E56" s="29" t="inlineStr">
        <is>
          <t>VENTA AL POR MENOR DE ALIMENTOS, BEBIDAS Y TABACO EN ALMACENES ESPECIALIZADOS</t>
        </is>
      </c>
      <c r="F56" s="29" t="inlineStr">
        <is>
          <t>Piura</t>
        </is>
      </c>
      <c r="G56" s="29" t="inlineStr">
        <is>
          <t>Sullana</t>
        </is>
      </c>
      <c r="H56" s="29" t="inlineStr">
        <is>
          <t>—</t>
        </is>
      </c>
      <c r="I56" s="29" t="inlineStr">
        <is>
          <t>—</t>
        </is>
      </c>
      <c r="J56" s="17" t="inlineStr">
        <is>
          <t>SI</t>
        </is>
      </c>
      <c r="K56" s="29" t="inlineStr">
        <is>
          <t>SÍ</t>
        </is>
      </c>
      <c r="L56" s="29" t="n">
        <v>1633632</v>
      </c>
      <c r="M56" s="29" t="n">
        <v>22661048.45</v>
      </c>
      <c r="N56" s="29" t="n">
        <v>402</v>
      </c>
      <c r="O56" s="29" t="n">
        <v>9</v>
      </c>
      <c r="P56" s="29" t="inlineStr"/>
      <c r="Q56" s="29" t="inlineStr"/>
      <c r="R56" s="18" t="inlineStr">
        <is>
          <t>2575.0</t>
        </is>
      </c>
      <c r="S56" s="29" t="inlineStr"/>
      <c r="T56" s="29" t="inlineStr"/>
      <c r="U56" s="18" t="inlineStr"/>
      <c r="V56" s="18" t="inlineStr">
        <is>
          <t>NO</t>
        </is>
      </c>
      <c r="W56" s="18" t="inlineStr">
        <is>
          <t>—</t>
        </is>
      </c>
      <c r="X56" s="18" t="inlineStr">
        <is>
          <t>—</t>
        </is>
      </c>
      <c r="Y56" s="18" t="inlineStr"/>
      <c r="Z56" s="29" t="inlineStr">
        <is>
          <t>—</t>
        </is>
      </c>
      <c r="AA56" s="29" t="b">
        <v>0</v>
      </c>
      <c r="AB56" s="29" t="b">
        <v>0</v>
      </c>
      <c r="AC56" s="29" t="b">
        <v>1</v>
      </c>
      <c r="AD56" s="19" t="inlineStr">
        <is>
          <t>SI</t>
        </is>
      </c>
      <c r="AE56" s="29" t="inlineStr">
        <is>
          <t>COOPERATIVA AGRARIA PUEBLO NUEVO HUANGALA - CAPNH</t>
        </is>
      </c>
      <c r="AF56" s="29" t="inlineStr">
        <is>
          <t>PIURA</t>
        </is>
      </c>
      <c r="AG56" s="29" t="inlineStr">
        <is>
          <t>SULLANA</t>
        </is>
      </c>
      <c r="AH56" s="29" t="inlineStr">
        <is>
          <t>SULLANA</t>
        </is>
      </c>
      <c r="AI56" s="29" t="inlineStr">
        <is>
          <t>CAS. HUANGALA</t>
        </is>
      </c>
      <c r="AJ56" s="29" t="inlineStr">
        <is>
          <t>ELABORACIÒN Y CONSERVACIÓN DE FRUTAS,LEGUMBRES Y HORTALIZAS</t>
        </is>
      </c>
      <c r="AK56" s="29" t="inlineStr">
        <is>
          <t>1.0</t>
        </is>
      </c>
      <c r="AL56" s="29" t="inlineStr">
        <is>
          <t>1.0</t>
        </is>
      </c>
      <c r="AM56" s="29" t="inlineStr">
        <is>
          <t>3.0</t>
        </is>
      </c>
      <c r="AN56" s="29" t="n">
        <v>9</v>
      </c>
      <c r="AO56" s="29" t="inlineStr">
        <is>
          <t>Directorio PACHERRES CASTRO SANTOS TEODORO</t>
        </is>
      </c>
      <c r="AP56" s="29" t="inlineStr">
        <is>
          <t>AGRICULTOR</t>
        </is>
      </c>
      <c r="AQ56" s="29" t="inlineStr">
        <is>
          <t>3.0</t>
        </is>
      </c>
      <c r="AR56" s="29" t="inlineStr">
        <is>
          <t>NO TIENE</t>
        </is>
      </c>
      <c r="AS56" s="29" t="inlineStr">
        <is>
          <t>PUEBLONUEVOSIC@HOTMAIL.COM</t>
        </is>
      </c>
      <c r="AT56" s="29" t="inlineStr">
        <is>
          <t>NO TIENE</t>
        </is>
      </c>
      <c r="AU56" s="29" t="inlineStr">
        <is>
          <t>-4.839105</t>
        </is>
      </c>
      <c r="AV56" s="29" t="inlineStr">
        <is>
          <t>-80.60142833333333</t>
        </is>
      </c>
      <c r="AW56" s="29" t="inlineStr">
        <is>
          <t>2008.0</t>
        </is>
      </c>
      <c r="AX56" s="29" t="inlineStr">
        <is>
          <t>2008.0</t>
        </is>
      </c>
      <c r="AY56" s="29" t="inlineStr">
        <is>
          <t>1</t>
        </is>
      </c>
      <c r="AZ56" s="29" t="inlineStr">
        <is>
          <t>sept-2026</t>
        </is>
      </c>
      <c r="BA56" t="inlineStr">
        <is>
          <t>BELGIUM; CHILE; FINLAND; GERMANY; JAPAN; KOREA, REPUBLIC OF; NETHERLANDS; PANAMA; UNITED STATES</t>
        </is>
      </c>
      <c r="BB56" t="n">
        <v>2011</v>
      </c>
      <c r="BC56" t="n">
        <v>2025</v>
      </c>
      <c r="BD56" s="81">
        <f>0</f>
        <v/>
      </c>
      <c r="BE56" s="81">
        <f>IFERROR((IF(ISNUMBER(T56),MIN(T56/30,1),0)+IF(ISNUMBER(P56),MIN(P56/500,1),0))/2,0)</f>
        <v/>
      </c>
      <c r="BF56" s="81">
        <f>IFERROR(IF(OR(U56&lt;&gt;"",V56="SÍ"),IF(ISNUMBER(L56),(1*MIN(L56/10000,1))^0.5,0),IF(ISNUMBER(L56),(0*MIN(L56/10000,1))^0.5,0)),0)</f>
        <v/>
      </c>
    </row>
    <row r="57">
      <c r="A57" t="inlineStr">
        <is>
          <t>CENACOOP; CENCOOP 2017; SISPAC</t>
        </is>
      </c>
      <c r="B57" s="70" t="inlineStr">
        <is>
          <t>20600256808</t>
        </is>
      </c>
      <c r="C57" s="30" t="inlineStr">
        <is>
          <t>Cooperativa Agraria Reverendo Padre Gerardo Cote - Ucayali</t>
        </is>
      </c>
      <c r="D57" s="30" t="inlineStr"/>
      <c r="E57" s="30" t="inlineStr">
        <is>
          <t>VENTA AL POR MENOR DE ALIMENTOS, BEBIDAS Y TABACO EN ALMACENES ESPECIALIZADOS</t>
        </is>
      </c>
      <c r="F57" s="30" t="inlineStr">
        <is>
          <t>ICA</t>
        </is>
      </c>
      <c r="G57" s="30" t="inlineStr">
        <is>
          <t>—</t>
        </is>
      </c>
      <c r="H57" s="30" t="inlineStr">
        <is>
          <t>—</t>
        </is>
      </c>
      <c r="I57" s="30" t="inlineStr">
        <is>
          <t>—</t>
        </is>
      </c>
      <c r="J57" s="30" t="n"/>
      <c r="K57" s="30" t="inlineStr">
        <is>
          <t>NO</t>
        </is>
      </c>
      <c r="L57" s="30" t="n"/>
      <c r="M57" s="30" t="n"/>
      <c r="N57" s="30" t="n"/>
      <c r="O57" s="30" t="n"/>
      <c r="P57" s="30" t="inlineStr"/>
      <c r="Q57" s="30" t="inlineStr"/>
      <c r="R57" s="14" t="inlineStr">
        <is>
          <t>2575.0</t>
        </is>
      </c>
      <c r="S57" s="30" t="inlineStr"/>
      <c r="T57" s="30" t="inlineStr"/>
      <c r="U57" s="14" t="inlineStr"/>
      <c r="V57" s="14" t="inlineStr">
        <is>
          <t>NO</t>
        </is>
      </c>
      <c r="W57" s="14" t="inlineStr">
        <is>
          <t>—</t>
        </is>
      </c>
      <c r="X57" s="14" t="inlineStr">
        <is>
          <t>—</t>
        </is>
      </c>
      <c r="Y57" s="14" t="inlineStr"/>
      <c r="Z57" s="30" t="inlineStr">
        <is>
          <t>—</t>
        </is>
      </c>
      <c r="AA57" s="30" t="b">
        <v>0</v>
      </c>
      <c r="AB57" s="30" t="b">
        <v>0</v>
      </c>
      <c r="AC57" s="30" t="b">
        <v>1</v>
      </c>
      <c r="AD57" s="19" t="inlineStr">
        <is>
          <t>SI</t>
        </is>
      </c>
      <c r="AE57" s="30" t="inlineStr">
        <is>
          <t>COOPERATIVA AGRARIA REVERENDO PADRE GERARDO COTE-UCAYALI COOPAGRA RPGC-UCAYALI</t>
        </is>
      </c>
      <c r="AF57" s="30" t="inlineStr">
        <is>
          <t>UCAYALI</t>
        </is>
      </c>
      <c r="AG57" s="30" t="inlineStr">
        <is>
          <t>CORONEL PORTILLO</t>
        </is>
      </c>
      <c r="AH57" s="30" t="inlineStr">
        <is>
          <t>YARINACOCHA</t>
        </is>
      </c>
      <c r="AI57" s="30" t="inlineStr">
        <is>
          <t>PUCALLPA</t>
        </is>
      </c>
      <c r="AJ57" s="30" t="inlineStr">
        <is>
          <t>CULTIVO DE FRUTAS TROPICALES Y SUBTROPICALES</t>
        </is>
      </c>
      <c r="AK57" s="30" t="inlineStr">
        <is>
          <t>1.0</t>
        </is>
      </c>
      <c r="AL57" s="30" t="inlineStr">
        <is>
          <t>1.0</t>
        </is>
      </c>
      <c r="AM57" s="30" t="inlineStr">
        <is>
          <t>1.0</t>
        </is>
      </c>
      <c r="AN57" s="30" t="n">
        <v>2</v>
      </c>
      <c r="AO57" s="30" t="inlineStr">
        <is>
          <t>ANGULO WONG WERNER</t>
        </is>
      </c>
      <c r="AP57" s="30" t="inlineStr">
        <is>
          <t>GESTION PUBLICA</t>
        </is>
      </c>
      <c r="AQ57" s="30" t="inlineStr">
        <is>
          <t>11.0</t>
        </is>
      </c>
      <c r="AR57" s="30" t="inlineStr">
        <is>
          <t>NO TIENE</t>
        </is>
      </c>
      <c r="AS57" s="30" t="inlineStr">
        <is>
          <t>NO TIENE</t>
        </is>
      </c>
      <c r="AT57" s="30" t="inlineStr">
        <is>
          <t>NO TIENE</t>
        </is>
      </c>
      <c r="AU57" s="30" t="inlineStr">
        <is>
          <t>-8.380930000000001</t>
        </is>
      </c>
      <c r="AV57" s="30" t="inlineStr">
        <is>
          <t>-74.56218166666666</t>
        </is>
      </c>
      <c r="AW57" s="30" t="inlineStr">
        <is>
          <t>2015.0</t>
        </is>
      </c>
      <c r="AX57" s="30" t="inlineStr">
        <is>
          <t>2015.0</t>
        </is>
      </c>
      <c r="AY57" s="30" t="inlineStr">
        <is>
          <t>1</t>
        </is>
      </c>
      <c r="AZ57" s="30" t="inlineStr">
        <is>
          <t>sept-2026</t>
        </is>
      </c>
      <c r="BD57" s="81">
        <f>0</f>
        <v/>
      </c>
      <c r="BE57" s="81">
        <f>IFERROR((IF(ISNUMBER(T57),MIN(T57/30,1),0)+IF(ISNUMBER(P57),MIN(P57/500,1),0))/2,0)</f>
        <v/>
      </c>
      <c r="BF57" s="81">
        <f>IFERROR(IF(OR(U57&lt;&gt;"",V57="SÍ"),IF(ISNUMBER(L57),(1*MIN(L57/10000,1))^0.5,0),IF(ISNUMBER(L57),(0*MIN(L57/10000,1))^0.5,0)),0)</f>
        <v/>
      </c>
    </row>
    <row r="58">
      <c r="A58" t="inlineStr">
        <is>
          <t>CENACOOP; CENCOOP 2017</t>
        </is>
      </c>
      <c r="B58" s="70" t="inlineStr">
        <is>
          <t>20526080310</t>
        </is>
      </c>
      <c r="C58" s="29" t="inlineStr">
        <is>
          <t>Cooperativa Agraria San Lorenzo</t>
        </is>
      </c>
      <c r="D58" s="29" t="inlineStr"/>
      <c r="E58" s="29" t="inlineStr">
        <is>
          <t>VENTA AL POR MENOR DE ALIMENTOS, BEBIDAS Y TABACO EN ALMACENES ESPECIALIZADOS</t>
        </is>
      </c>
      <c r="F58" s="29" t="inlineStr">
        <is>
          <t>ICA</t>
        </is>
      </c>
      <c r="G58" s="29" t="inlineStr">
        <is>
          <t>—</t>
        </is>
      </c>
      <c r="H58" s="29" t="inlineStr">
        <is>
          <t>—</t>
        </is>
      </c>
      <c r="I58" s="29" t="inlineStr">
        <is>
          <t>—</t>
        </is>
      </c>
      <c r="J58" s="17" t="n"/>
      <c r="K58" s="29" t="inlineStr">
        <is>
          <t>SÍ</t>
        </is>
      </c>
      <c r="L58" s="29" t="n"/>
      <c r="M58" s="29" t="n"/>
      <c r="N58" s="29" t="n"/>
      <c r="O58" s="29" t="n"/>
      <c r="P58" s="29" t="inlineStr"/>
      <c r="Q58" s="29" t="inlineStr"/>
      <c r="R58" s="18" t="inlineStr">
        <is>
          <t>2575.0</t>
        </is>
      </c>
      <c r="S58" s="29" t="inlineStr"/>
      <c r="T58" s="29" t="inlineStr"/>
      <c r="U58" s="18" t="inlineStr"/>
      <c r="V58" s="18" t="inlineStr">
        <is>
          <t>NO</t>
        </is>
      </c>
      <c r="W58" s="18" t="inlineStr">
        <is>
          <t>—</t>
        </is>
      </c>
      <c r="X58" s="18" t="inlineStr">
        <is>
          <t>—</t>
        </is>
      </c>
      <c r="Y58" s="18" t="inlineStr"/>
      <c r="Z58" s="29" t="inlineStr">
        <is>
          <t>—</t>
        </is>
      </c>
      <c r="AA58" s="29" t="b">
        <v>0</v>
      </c>
      <c r="AB58" s="29" t="b">
        <v>0</v>
      </c>
      <c r="AC58" s="29" t="b">
        <v>1</v>
      </c>
      <c r="AD58" s="19" t="inlineStr">
        <is>
          <t>SI</t>
        </is>
      </c>
      <c r="AE58" s="29" t="inlineStr">
        <is>
          <t>COOPERATIVA DE USUARIOS AGRO BANANERA SAN LORENZO</t>
        </is>
      </c>
      <c r="AF58" s="29" t="inlineStr">
        <is>
          <t>PIURA</t>
        </is>
      </c>
      <c r="AG58" s="29" t="inlineStr">
        <is>
          <t>PIURA</t>
        </is>
      </c>
      <c r="AH58" s="29" t="inlineStr">
        <is>
          <t>TAMBO GRANDE</t>
        </is>
      </c>
      <c r="AI58" s="29" t="inlineStr">
        <is>
          <t>CERCADO TAMBO GRANDE</t>
        </is>
      </c>
      <c r="AJ58" s="29" t="inlineStr">
        <is>
          <t>ELABORACIÒN Y CONSERVACIÓN DE FRUTAS,LEGUMBRES Y HORTALIZAS</t>
        </is>
      </c>
      <c r="AK58" s="29" t="inlineStr">
        <is>
          <t>1.0</t>
        </is>
      </c>
      <c r="AL58" s="29" t="inlineStr">
        <is>
          <t>1.0</t>
        </is>
      </c>
      <c r="AM58" s="29" t="inlineStr">
        <is>
          <t>2.0</t>
        </is>
      </c>
      <c r="AN58" s="29" t="n">
        <v>2</v>
      </c>
      <c r="AO58" s="29" t="inlineStr">
        <is>
          <t>GODOS GARCIA JULIO CESAR</t>
        </is>
      </c>
      <c r="AP58" s="29" t="inlineStr">
        <is>
          <t>ECONOMISTA</t>
        </is>
      </c>
      <c r="AQ58" s="29" t="inlineStr">
        <is>
          <t>10.0</t>
        </is>
      </c>
      <c r="AR58" s="29" t="inlineStr">
        <is>
          <t>NO TIENE</t>
        </is>
      </c>
      <c r="AS58" s="29" t="inlineStr">
        <is>
          <t>COOPAGROSANLORENZO@GMAIL.COM</t>
        </is>
      </c>
      <c r="AT58" s="29" t="inlineStr">
        <is>
          <t>NO TIENE</t>
        </is>
      </c>
      <c r="AU58" s="29" t="inlineStr">
        <is>
          <t>-4.934326666666666</t>
        </is>
      </c>
      <c r="AV58" s="29" t="inlineStr">
        <is>
          <t>-80.343785</t>
        </is>
      </c>
      <c r="AW58" s="29" t="inlineStr">
        <is>
          <t>2015.0</t>
        </is>
      </c>
      <c r="AX58" s="29" t="inlineStr">
        <is>
          <t>2015.0</t>
        </is>
      </c>
      <c r="AY58" s="29" t="inlineStr">
        <is>
          <t>1</t>
        </is>
      </c>
      <c r="AZ58" s="29" t="inlineStr">
        <is>
          <t>sept-2026</t>
        </is>
      </c>
      <c r="BD58" s="81">
        <f>0</f>
        <v/>
      </c>
      <c r="BE58" s="81">
        <f>IFERROR((IF(ISNUMBER(T58),MIN(T58/30,1),0)+IF(ISNUMBER(P58),MIN(P58/500,1),0))/2,0)</f>
        <v/>
      </c>
      <c r="BF58" s="81">
        <f>IFERROR(IF(OR(U58&lt;&gt;"",V58="SÍ"),IF(ISNUMBER(L58),(1*MIN(L58/10000,1))^0.5,0),IF(ISNUMBER(L58),(0*MIN(L58/10000,1))^0.5,0)),0)</f>
        <v/>
      </c>
    </row>
    <row r="59">
      <c r="A59" t="inlineStr">
        <is>
          <t>CENACOOP; CENCOOP 2017</t>
        </is>
      </c>
      <c r="B59" s="70" t="inlineStr">
        <is>
          <t>20601198321</t>
        </is>
      </c>
      <c r="C59" s="30" t="inlineStr">
        <is>
          <t>Cooperativa Agraria Sostenible Llaylla Ltda</t>
        </is>
      </c>
      <c r="D59" s="30" t="inlineStr"/>
      <c r="E59" s="30" t="inlineStr">
        <is>
          <t>VENTA AL POR MENOR DE ALIMENTOS, BEBIDAS Y TABACO EN ALMACENES ESPECIALIZADOS</t>
        </is>
      </c>
      <c r="F59" s="30" t="inlineStr">
        <is>
          <t>ICA</t>
        </is>
      </c>
      <c r="G59" s="30" t="inlineStr">
        <is>
          <t>—</t>
        </is>
      </c>
      <c r="H59" s="30" t="inlineStr">
        <is>
          <t>—</t>
        </is>
      </c>
      <c r="I59" s="30" t="inlineStr">
        <is>
          <t>—</t>
        </is>
      </c>
      <c r="J59" s="30" t="n"/>
      <c r="K59" s="30" t="inlineStr">
        <is>
          <t>NO</t>
        </is>
      </c>
      <c r="L59" s="30" t="n"/>
      <c r="M59" s="30" t="n"/>
      <c r="N59" s="30" t="n"/>
      <c r="O59" s="30" t="n"/>
      <c r="P59" s="30" t="inlineStr"/>
      <c r="Q59" s="30" t="inlineStr"/>
      <c r="R59" s="14" t="inlineStr">
        <is>
          <t>2575.0</t>
        </is>
      </c>
      <c r="S59" s="30" t="inlineStr"/>
      <c r="T59" s="30" t="inlineStr"/>
      <c r="U59" s="14" t="inlineStr"/>
      <c r="V59" s="14" t="inlineStr">
        <is>
          <t>NO</t>
        </is>
      </c>
      <c r="W59" s="14" t="inlineStr">
        <is>
          <t>—</t>
        </is>
      </c>
      <c r="X59" s="14" t="inlineStr">
        <is>
          <t>—</t>
        </is>
      </c>
      <c r="Y59" s="14" t="inlineStr"/>
      <c r="Z59" s="30" t="inlineStr">
        <is>
          <t>—</t>
        </is>
      </c>
      <c r="AA59" s="30" t="b">
        <v>0</v>
      </c>
      <c r="AB59" s="30" t="b">
        <v>0</v>
      </c>
      <c r="AC59" s="30" t="b">
        <v>1</v>
      </c>
      <c r="AD59" s="19" t="inlineStr">
        <is>
          <t>SI</t>
        </is>
      </c>
      <c r="AE59" s="30" t="inlineStr">
        <is>
          <t>COODirectorio PACI DE LLAYLLA</t>
        </is>
      </c>
      <c r="AF59" s="30" t="inlineStr">
        <is>
          <t>JUNIN</t>
        </is>
      </c>
      <c r="AG59" s="30" t="inlineStr">
        <is>
          <t>SATIPO</t>
        </is>
      </c>
      <c r="AH59" s="30" t="inlineStr">
        <is>
          <t>LLAYLLA</t>
        </is>
      </c>
      <c r="AI59" s="30" t="inlineStr">
        <is>
          <t>SANTA ALVINA</t>
        </is>
      </c>
      <c r="AJ59" s="30" t="inlineStr">
        <is>
          <t>CULTIVO DE CEREALES (EXCEPTO ARROZ), LEGUMBRES Y SEMILLAS OLEAGINOSAS</t>
        </is>
      </c>
      <c r="AK59" s="30" t="inlineStr">
        <is>
          <t>1.0</t>
        </is>
      </c>
      <c r="AL59" s="30" t="inlineStr">
        <is>
          <t>1.0</t>
        </is>
      </c>
      <c r="AM59" s="30" t="inlineStr">
        <is>
          <t>1.0</t>
        </is>
      </c>
      <c r="AN59" s="30" t="n">
        <v>1</v>
      </c>
      <c r="AO59" s="30" t="inlineStr">
        <is>
          <t>FLORES MAYTA HILARIO FRANCISCO</t>
        </is>
      </c>
      <c r="AP59" s="30" t="inlineStr">
        <is>
          <t>INGENIERO AGRONOMO</t>
        </is>
      </c>
      <c r="AQ59" s="30" t="inlineStr">
        <is>
          <t>10.0</t>
        </is>
      </c>
      <c r="AR59" s="30" t="inlineStr">
        <is>
          <t>NO TIENE</t>
        </is>
      </c>
      <c r="AS59" s="30" t="inlineStr">
        <is>
          <t>NO TIENE</t>
        </is>
      </c>
      <c r="AT59" s="30" t="inlineStr">
        <is>
          <t>974662769</t>
        </is>
      </c>
      <c r="AU59" s="30" t="inlineStr">
        <is>
          <t>-11.38237</t>
        </is>
      </c>
      <c r="AV59" s="30" t="inlineStr">
        <is>
          <t>-74.59137000000001</t>
        </is>
      </c>
      <c r="AW59" s="30" t="inlineStr">
        <is>
          <t>2016.0</t>
        </is>
      </c>
      <c r="AX59" s="30" t="inlineStr">
        <is>
          <t>2016.0</t>
        </is>
      </c>
      <c r="AY59" s="30" t="inlineStr">
        <is>
          <t>1</t>
        </is>
      </c>
      <c r="AZ59" s="30" t="inlineStr">
        <is>
          <t>sept-2026</t>
        </is>
      </c>
      <c r="BD59" s="81">
        <f>0</f>
        <v/>
      </c>
      <c r="BE59" s="81">
        <f>IFERROR((IF(ISNUMBER(T59),MIN(T59/30,1),0)+IF(ISNUMBER(P59),MIN(P59/500,1),0))/2,0)</f>
        <v/>
      </c>
      <c r="BF59" s="81">
        <f>IFERROR(IF(OR(U59&lt;&gt;"",V59="SÍ"),IF(ISNUMBER(L59),(1*MIN(L59/10000,1))^0.5,0),IF(ISNUMBER(L59),(0*MIN(L59/10000,1))^0.5,0)),0)</f>
        <v/>
      </c>
    </row>
    <row r="60">
      <c r="A60" t="inlineStr">
        <is>
          <t>CENACOOP; CENCOOP 2017</t>
        </is>
      </c>
      <c r="B60" s="70" t="inlineStr">
        <is>
          <t>20570810236</t>
        </is>
      </c>
      <c r="C60" s="29" t="inlineStr">
        <is>
          <t>Cooperativa Agraria Union y Fe La Coipa</t>
        </is>
      </c>
      <c r="D60" s="29" t="inlineStr"/>
      <c r="E60" s="29" t="inlineStr">
        <is>
          <t>VENTA AL POR MENOR DE ALIMENTOS, BEBIDAS Y TABACO EN ALMACENES ESPECIALIZADOS</t>
        </is>
      </c>
      <c r="F60" s="29" t="inlineStr">
        <is>
          <t>ICA</t>
        </is>
      </c>
      <c r="G60" s="29" t="inlineStr">
        <is>
          <t>—</t>
        </is>
      </c>
      <c r="H60" s="29" t="inlineStr">
        <is>
          <t>—</t>
        </is>
      </c>
      <c r="I60" s="29" t="inlineStr">
        <is>
          <t>—</t>
        </is>
      </c>
      <c r="J60" s="29" t="n"/>
      <c r="K60" s="29" t="inlineStr">
        <is>
          <t>NO</t>
        </is>
      </c>
      <c r="L60" s="29" t="n"/>
      <c r="M60" s="29" t="n"/>
      <c r="N60" s="29" t="n"/>
      <c r="O60" s="29" t="n"/>
      <c r="P60" s="29" t="inlineStr"/>
      <c r="Q60" s="29" t="inlineStr"/>
      <c r="R60" s="18" t="inlineStr">
        <is>
          <t>2575.0</t>
        </is>
      </c>
      <c r="S60" s="29" t="inlineStr"/>
      <c r="T60" s="29" t="inlineStr"/>
      <c r="U60" s="18" t="inlineStr"/>
      <c r="V60" s="18" t="inlineStr">
        <is>
          <t>NO</t>
        </is>
      </c>
      <c r="W60" s="18" t="inlineStr">
        <is>
          <t>—</t>
        </is>
      </c>
      <c r="X60" s="18" t="inlineStr">
        <is>
          <t>—</t>
        </is>
      </c>
      <c r="Y60" s="18" t="inlineStr"/>
      <c r="Z60" s="29" t="inlineStr">
        <is>
          <t>—</t>
        </is>
      </c>
      <c r="AA60" s="29" t="b">
        <v>0</v>
      </c>
      <c r="AB60" s="29" t="b">
        <v>0</v>
      </c>
      <c r="AC60" s="29" t="b">
        <v>1</v>
      </c>
      <c r="AD60" s="19" t="inlineStr">
        <is>
          <t>SI</t>
        </is>
      </c>
      <c r="AE60" s="29" t="inlineStr">
        <is>
          <t>COOPERATIVA AGRARIA UNIÓN Y FE LA COIPA</t>
        </is>
      </c>
      <c r="AF60" s="29" t="inlineStr">
        <is>
          <t>CAJAMARCA</t>
        </is>
      </c>
      <c r="AG60" s="29" t="inlineStr">
        <is>
          <t>SAN IGNACIO</t>
        </is>
      </c>
      <c r="AH60" s="29" t="inlineStr">
        <is>
          <t>LA COIPA</t>
        </is>
      </c>
      <c r="AI60" s="29" t="inlineStr">
        <is>
          <t>BARRO NEGRO( PBLO LA COIPA)</t>
        </is>
      </c>
      <c r="AJ60" s="29" t="inlineStr">
        <is>
          <t>CULTIVO DE PLANTAS CON LAS QUE SE PREPARAN BEBIDAS</t>
        </is>
      </c>
      <c r="AK60" s="29" t="inlineStr">
        <is>
          <t>1.0</t>
        </is>
      </c>
      <c r="AL60" s="29" t="inlineStr">
        <is>
          <t>1.0</t>
        </is>
      </c>
      <c r="AM60" s="29" t="inlineStr">
        <is>
          <t>2.0</t>
        </is>
      </c>
      <c r="AN60" s="29" t="n">
        <v>3</v>
      </c>
      <c r="AO60" s="29" t="inlineStr">
        <is>
          <t>ZURITA CRUZ JORGE EDGAR</t>
        </is>
      </c>
      <c r="AP60" s="29" t="inlineStr">
        <is>
          <t>AGRICULTOR</t>
        </is>
      </c>
      <c r="AQ60" s="29" t="inlineStr">
        <is>
          <t>6.0</t>
        </is>
      </c>
      <c r="AR60" s="29" t="inlineStr">
        <is>
          <t>NO TIENE</t>
        </is>
      </c>
      <c r="AS60" s="29" t="inlineStr">
        <is>
          <t>NO TIENE</t>
        </is>
      </c>
      <c r="AT60" s="29" t="inlineStr">
        <is>
          <t>945512731</t>
        </is>
      </c>
      <c r="AU60" s="29" t="inlineStr">
        <is>
          <t>-5.389113333333333</t>
        </is>
      </c>
      <c r="AV60" s="29" t="inlineStr">
        <is>
          <t>-78.91170166666667</t>
        </is>
      </c>
      <c r="AW60" s="29" t="inlineStr">
        <is>
          <t>2014.0</t>
        </is>
      </c>
      <c r="AX60" s="29" t="inlineStr">
        <is>
          <t>2014.0</t>
        </is>
      </c>
      <c r="AY60" s="29" t="inlineStr">
        <is>
          <t>1</t>
        </is>
      </c>
      <c r="AZ60" s="29" t="inlineStr">
        <is>
          <t>sept-2026</t>
        </is>
      </c>
      <c r="BD60" s="81">
        <f>0</f>
        <v/>
      </c>
      <c r="BE60" s="81">
        <f>IFERROR((IF(ISNUMBER(T60),MIN(T60/30,1),0)+IF(ISNUMBER(P60),MIN(P60/500,1),0))/2,0)</f>
        <v/>
      </c>
      <c r="BF60" s="81">
        <f>IFERROR(IF(OR(U60&lt;&gt;"",V60="SÍ"),IF(ISNUMBER(L60),(1*MIN(L60/10000,1))^0.5,0),IF(ISNUMBER(L60),(0*MIN(L60/10000,1))^0.5,0)),0)</f>
        <v/>
      </c>
    </row>
    <row r="61">
      <c r="A61" t="inlineStr">
        <is>
          <t>CENACOOP; CENCOOP 2017</t>
        </is>
      </c>
      <c r="B61" s="70" t="inlineStr">
        <is>
          <t>20525795897</t>
        </is>
      </c>
      <c r="C61" s="30" t="inlineStr">
        <is>
          <t>Cooperativa Agraria de Bananeros Organicos Huayquiquira - COOPABOH</t>
        </is>
      </c>
      <c r="D61" s="30" t="inlineStr"/>
      <c r="E61" s="30" t="inlineStr">
        <is>
          <t>VENTA AL POR MENOR DE ALIMENTOS, BEBIDAS Y TABACO EN ALMACENES ESPECIALIZADOS</t>
        </is>
      </c>
      <c r="F61" s="30" t="inlineStr">
        <is>
          <t>ICA</t>
        </is>
      </c>
      <c r="G61" s="30" t="inlineStr">
        <is>
          <t>—</t>
        </is>
      </c>
      <c r="H61" s="30" t="inlineStr">
        <is>
          <t>—</t>
        </is>
      </c>
      <c r="I61" s="30" t="inlineStr">
        <is>
          <t>—</t>
        </is>
      </c>
      <c r="J61" s="17" t="n"/>
      <c r="K61" s="30" t="inlineStr">
        <is>
          <t>SÍ</t>
        </is>
      </c>
      <c r="L61" s="30" t="n"/>
      <c r="M61" s="30" t="n"/>
      <c r="N61" s="30" t="n"/>
      <c r="O61" s="30" t="n"/>
      <c r="P61" s="30" t="inlineStr"/>
      <c r="Q61" s="30" t="inlineStr"/>
      <c r="R61" s="14" t="inlineStr">
        <is>
          <t>2575.0</t>
        </is>
      </c>
      <c r="S61" s="30" t="inlineStr"/>
      <c r="T61" s="30" t="inlineStr"/>
      <c r="U61" s="14" t="inlineStr"/>
      <c r="V61" s="14" t="inlineStr">
        <is>
          <t>NO</t>
        </is>
      </c>
      <c r="W61" s="14" t="inlineStr">
        <is>
          <t>—</t>
        </is>
      </c>
      <c r="X61" s="14" t="inlineStr">
        <is>
          <t>—</t>
        </is>
      </c>
      <c r="Y61" s="14" t="inlineStr"/>
      <c r="Z61" s="30" t="inlineStr">
        <is>
          <t>—</t>
        </is>
      </c>
      <c r="AA61" s="30" t="b">
        <v>0</v>
      </c>
      <c r="AB61" s="30" t="b">
        <v>0</v>
      </c>
      <c r="AC61" s="30" t="b">
        <v>1</v>
      </c>
      <c r="AD61" s="19" t="inlineStr">
        <is>
          <t>SI</t>
        </is>
      </c>
      <c r="AE61" s="30" t="inlineStr">
        <is>
          <t>COOPERATIVA AGRARIA DE BANANEROS ORGANICOS HUAYQUIQUIRA -COOPABOH</t>
        </is>
      </c>
      <c r="AF61" s="30" t="inlineStr">
        <is>
          <t>PIURA</t>
        </is>
      </c>
      <c r="AG61" s="30" t="inlineStr">
        <is>
          <t>SULLANA</t>
        </is>
      </c>
      <c r="AH61" s="30" t="inlineStr">
        <is>
          <t>SULLANA</t>
        </is>
      </c>
      <c r="AI61" s="30" t="inlineStr">
        <is>
          <t>CAP. VILLA HUANGALA</t>
        </is>
      </c>
      <c r="AJ61" s="30" t="inlineStr">
        <is>
          <t>ELABORACIÒN Y CONSERVACIÓN DE FRUTAS,LEGUMBRES Y HORTALIZAS</t>
        </is>
      </c>
      <c r="AK61" s="30" t="inlineStr">
        <is>
          <t>1.0</t>
        </is>
      </c>
      <c r="AL61" s="30" t="inlineStr">
        <is>
          <t>1.0</t>
        </is>
      </c>
      <c r="AM61" s="30" t="inlineStr">
        <is>
          <t>3.0</t>
        </is>
      </c>
      <c r="AN61" s="30" t="n">
        <v>9</v>
      </c>
      <c r="AO61" s="30" t="inlineStr">
        <is>
          <t>Directorio PACHERRES GIRON SANTOS ANTONIO</t>
        </is>
      </c>
      <c r="AP61" s="30" t="inlineStr">
        <is>
          <t>AGRICULTOR</t>
        </is>
      </c>
      <c r="AQ61" s="30" t="inlineStr">
        <is>
          <t>4.0</t>
        </is>
      </c>
      <c r="AR61" s="30" t="inlineStr">
        <is>
          <t>NO TIENE</t>
        </is>
      </c>
      <c r="AS61" s="30" t="inlineStr">
        <is>
          <t>HUAYQUIQUIRASIC@HOTMAIL.COM</t>
        </is>
      </c>
      <c r="AT61" s="30" t="inlineStr">
        <is>
          <t>NO TIENE</t>
        </is>
      </c>
      <c r="AU61" s="30" t="inlineStr">
        <is>
          <t>-4.840531666666666</t>
        </is>
      </c>
      <c r="AV61" s="30" t="inlineStr">
        <is>
          <t>-80.60016999999999</t>
        </is>
      </c>
      <c r="AW61" s="30" t="inlineStr">
        <is>
          <t>2008.0</t>
        </is>
      </c>
      <c r="AX61" s="30" t="inlineStr">
        <is>
          <t>2008.0</t>
        </is>
      </c>
      <c r="AY61" s="30" t="inlineStr">
        <is>
          <t>1</t>
        </is>
      </c>
      <c r="AZ61" s="30" t="inlineStr">
        <is>
          <t>sept-2026</t>
        </is>
      </c>
      <c r="BD61" s="81">
        <f>0</f>
        <v/>
      </c>
      <c r="BE61" s="81">
        <f>IFERROR((IF(ISNUMBER(T61),MIN(T61/30,1),0)+IF(ISNUMBER(P61),MIN(P61/500,1),0))/2,0)</f>
        <v/>
      </c>
      <c r="BF61" s="81">
        <f>IFERROR(IF(OR(U61&lt;&gt;"",V61="SÍ"),IF(ISNUMBER(L61),(1*MIN(L61/10000,1))^0.5,0),IF(ISNUMBER(L61),(0*MIN(L61/10000,1))^0.5,0)),0)</f>
        <v/>
      </c>
    </row>
    <row r="62">
      <c r="A62" t="inlineStr">
        <is>
          <t>CENACOOP; CENCOOP 2017</t>
        </is>
      </c>
      <c r="B62" s="70" t="inlineStr">
        <is>
          <t>20600724089</t>
        </is>
      </c>
      <c r="C62" s="29" t="inlineStr">
        <is>
          <t>Cooperativa Agraria de Jovenes Pangoa Ltda</t>
        </is>
      </c>
      <c r="D62" s="29" t="inlineStr"/>
      <c r="E62" s="29" t="inlineStr">
        <is>
          <t>VENTA AL POR MENOR DE ALIMENTOS, BEBIDAS Y TABACO EN ALMACENES ESPECIALIZADOS</t>
        </is>
      </c>
      <c r="F62" s="29" t="inlineStr">
        <is>
          <t>ICA</t>
        </is>
      </c>
      <c r="G62" s="29" t="inlineStr">
        <is>
          <t>—</t>
        </is>
      </c>
      <c r="H62" s="29" t="inlineStr">
        <is>
          <t>Junín (San Martín de Pangoa, Satipo)</t>
        </is>
      </c>
      <c r="I62" s="29" t="inlineStr">
        <is>
          <t>Café / Cacao</t>
        </is>
      </c>
      <c r="J62" s="17" t="n"/>
      <c r="K62" s="29" t="inlineStr">
        <is>
          <t>SÍ</t>
        </is>
      </c>
      <c r="L62" s="29" t="n"/>
      <c r="M62" s="29" t="n"/>
      <c r="N62" s="29" t="n"/>
      <c r="O62" s="29" t="n"/>
      <c r="P62" s="29" t="inlineStr"/>
      <c r="Q62" s="29" t="inlineStr"/>
      <c r="R62" s="18" t="inlineStr">
        <is>
          <t>2575.0</t>
        </is>
      </c>
      <c r="S62" s="29" t="inlineStr"/>
      <c r="T62" s="29" t="inlineStr"/>
      <c r="U62" s="18" t="inlineStr"/>
      <c r="V62" s="15" t="inlineStr">
        <is>
          <t>SÍ</t>
        </is>
      </c>
      <c r="W62" s="18" t="inlineStr">
        <is>
          <t>—</t>
        </is>
      </c>
      <c r="X62" s="18" t="inlineStr">
        <is>
          <t>Fundada en 1977; 698 socios (135 mujeres)</t>
        </is>
      </c>
      <c r="Y62" s="18" t="inlineStr"/>
      <c r="Z62" s="29" t="inlineStr">
        <is>
          <t>No disponible — requiere consulta directa (SUNAT/RUC.PE) o solicitud a la organización</t>
        </is>
      </c>
      <c r="AA62" s="29" t="b">
        <v>0</v>
      </c>
      <c r="AB62" s="29" t="b">
        <v>0</v>
      </c>
      <c r="AC62" s="29" t="b">
        <v>1</v>
      </c>
      <c r="AD62" s="19" t="inlineStr">
        <is>
          <t>SI</t>
        </is>
      </c>
      <c r="AE62" s="29" t="inlineStr">
        <is>
          <t>COOPERATIVA AGROINDUSTRIAL DE JOVENES LTDA.</t>
        </is>
      </c>
      <c r="AF62" s="29" t="inlineStr">
        <is>
          <t>JUNIN</t>
        </is>
      </c>
      <c r="AG62" s="29" t="inlineStr">
        <is>
          <t>SATIPO</t>
        </is>
      </c>
      <c r="AH62" s="29" t="inlineStr">
        <is>
          <t>PANGOA</t>
        </is>
      </c>
      <c r="AI62" s="29" t="inlineStr">
        <is>
          <t>SAN RAMON DE PANGOA</t>
        </is>
      </c>
      <c r="AJ62" s="29" t="inlineStr">
        <is>
          <t>CULTIVO DE CEREALES (EXCEPTO ARROZ), LEGUMBRES Y SEMILLAS OLEAGINOSAS</t>
        </is>
      </c>
      <c r="AK62" s="29" t="inlineStr">
        <is>
          <t>3.0</t>
        </is>
      </c>
      <c r="AL62" s="29" t="inlineStr">
        <is>
          <t>1.0</t>
        </is>
      </c>
      <c r="AM62" s="29" t="inlineStr">
        <is>
          <t>1.0</t>
        </is>
      </c>
      <c r="AN62" s="29" t="n">
        <v>3</v>
      </c>
      <c r="AO62" s="29" t="inlineStr">
        <is>
          <t>ROJAS EGOAVIL HANS ROBERT</t>
        </is>
      </c>
      <c r="AP62" s="29" t="inlineStr"/>
      <c r="AQ62" s="29" t="inlineStr"/>
      <c r="AR62" s="29" t="inlineStr">
        <is>
          <t>NO TIENE</t>
        </is>
      </c>
      <c r="AS62" s="29" t="inlineStr">
        <is>
          <t>COOPDEJOVENES@GMAIL.COM</t>
        </is>
      </c>
      <c r="AT62" s="29" t="inlineStr">
        <is>
          <t>995881787</t>
        </is>
      </c>
      <c r="AU62" s="29" t="inlineStr">
        <is>
          <t>-11.431278333333333</t>
        </is>
      </c>
      <c r="AV62" s="29" t="inlineStr">
        <is>
          <t>-74.48251666666667</t>
        </is>
      </c>
      <c r="AW62" s="29" t="inlineStr">
        <is>
          <t>2014.0</t>
        </is>
      </c>
      <c r="AX62" s="29" t="inlineStr">
        <is>
          <t>2014.0</t>
        </is>
      </c>
      <c r="AY62" s="29" t="inlineStr">
        <is>
          <t>1</t>
        </is>
      </c>
      <c r="AZ62" s="29" t="inlineStr">
        <is>
          <t>sept-2026</t>
        </is>
      </c>
      <c r="BD62" s="81">
        <f>0</f>
        <v/>
      </c>
      <c r="BE62" s="81">
        <f>IFERROR((IF(ISNUMBER(T62),MIN(T62/30,1),0)+IF(ISNUMBER(P62),MIN(P62/500,1),0))/2,0)</f>
        <v/>
      </c>
      <c r="BF62" s="81">
        <f>IFERROR(IF(OR(U62&lt;&gt;"",V62="SÍ"),IF(ISNUMBER(L62),(1*MIN(L62/10000,1))^0.5,0),IF(ISNUMBER(L62),(0*MIN(L62/10000,1))^0.5,0)),0)</f>
        <v/>
      </c>
    </row>
    <row r="63">
      <c r="A63" t="inlineStr">
        <is>
          <t>CENACOOP; CENCOOP 2017</t>
        </is>
      </c>
      <c r="B63" s="70" t="inlineStr">
        <is>
          <t>20568633629</t>
        </is>
      </c>
      <c r="C63" s="30" t="inlineStr">
        <is>
          <t>Cooperativa Agraria de Mujeres Productoras de Café - Pichanaki</t>
        </is>
      </c>
      <c r="D63" s="30" t="inlineStr"/>
      <c r="E63" s="30" t="inlineStr">
        <is>
          <t>VENTA AL POR MENOR DE ALIMENTOS, BEBIDAS Y TABACO EN ALMACENES ESPECIALIZADOS</t>
        </is>
      </c>
      <c r="F63" s="30" t="inlineStr">
        <is>
          <t>ICA</t>
        </is>
      </c>
      <c r="G63" s="30" t="inlineStr">
        <is>
          <t>—</t>
        </is>
      </c>
      <c r="H63" s="30" t="inlineStr">
        <is>
          <t>—</t>
        </is>
      </c>
      <c r="I63" s="30" t="inlineStr">
        <is>
          <t>—</t>
        </is>
      </c>
      <c r="J63" s="30" t="n"/>
      <c r="K63" s="30" t="inlineStr">
        <is>
          <t>NO</t>
        </is>
      </c>
      <c r="L63" s="30" t="n"/>
      <c r="M63" s="30" t="n"/>
      <c r="N63" s="30" t="n"/>
      <c r="O63" s="30" t="n"/>
      <c r="P63" s="30" t="inlineStr"/>
      <c r="Q63" s="30" t="inlineStr"/>
      <c r="R63" s="14" t="inlineStr">
        <is>
          <t>2575.0</t>
        </is>
      </c>
      <c r="S63" s="30" t="inlineStr"/>
      <c r="T63" s="30" t="inlineStr"/>
      <c r="U63" s="14" t="inlineStr"/>
      <c r="V63" s="14" t="inlineStr">
        <is>
          <t>NO</t>
        </is>
      </c>
      <c r="W63" s="14" t="inlineStr">
        <is>
          <t>—</t>
        </is>
      </c>
      <c r="X63" s="14" t="inlineStr">
        <is>
          <t>—</t>
        </is>
      </c>
      <c r="Y63" s="14" t="inlineStr"/>
      <c r="Z63" s="30" t="inlineStr">
        <is>
          <t>—</t>
        </is>
      </c>
      <c r="AA63" s="30" t="b">
        <v>0</v>
      </c>
      <c r="AB63" s="30" t="b">
        <v>0</v>
      </c>
      <c r="AC63" s="30" t="b">
        <v>1</v>
      </c>
      <c r="AD63" s="19" t="inlineStr">
        <is>
          <t>SI</t>
        </is>
      </c>
      <c r="AE63" s="30" t="inlineStr">
        <is>
          <t>COOPERATIVA AGRARIA DE MUJERES PRODUCTORAS DE CAFE - PICHANAKI</t>
        </is>
      </c>
      <c r="AF63" s="30" t="inlineStr">
        <is>
          <t>JUNIN</t>
        </is>
      </c>
      <c r="AG63" s="30" t="inlineStr">
        <is>
          <t>CHANCHAMAYO</t>
        </is>
      </c>
      <c r="AH63" s="30" t="inlineStr">
        <is>
          <t>PICHANAQUI</t>
        </is>
      </c>
      <c r="AI63" s="30" t="inlineStr">
        <is>
          <t>PICHANAQUI</t>
        </is>
      </c>
      <c r="AJ63" s="30" t="inlineStr">
        <is>
          <t>VENTA AL POR MAYOR DE MATERIAS PRIMAS AGROPECUARIAS Y ANIMALES VIVOS.</t>
        </is>
      </c>
      <c r="AK63" s="30" t="inlineStr">
        <is>
          <t>1.0</t>
        </is>
      </c>
      <c r="AL63" s="30" t="inlineStr">
        <is>
          <t>1.0</t>
        </is>
      </c>
      <c r="AM63" s="30" t="inlineStr">
        <is>
          <t>1.0</t>
        </is>
      </c>
      <c r="AN63" s="30" t="n">
        <v>3</v>
      </c>
      <c r="AO63" s="30" t="inlineStr">
        <is>
          <t>RAMIREZ ESCALANTE ANA MARIA</t>
        </is>
      </c>
      <c r="AP63" s="30" t="inlineStr">
        <is>
          <t>COMPUTACION E INFORMATICA</t>
        </is>
      </c>
      <c r="AQ63" s="30" t="inlineStr">
        <is>
          <t>8.0</t>
        </is>
      </c>
      <c r="AR63" s="30" t="inlineStr">
        <is>
          <t>NO TIENE</t>
        </is>
      </c>
      <c r="AS63" s="30" t="inlineStr">
        <is>
          <t>CAMPCPKI@GMAIL.COM</t>
        </is>
      </c>
      <c r="AT63" s="30" t="inlineStr">
        <is>
          <t>954644243</t>
        </is>
      </c>
      <c r="AU63" s="30" t="inlineStr">
        <is>
          <t>-10.930341666666667</t>
        </is>
      </c>
      <c r="AV63" s="30" t="inlineStr">
        <is>
          <t>-74.87271000000001</t>
        </is>
      </c>
      <c r="AW63" s="30" t="inlineStr">
        <is>
          <t>2012.0</t>
        </is>
      </c>
      <c r="AX63" s="30" t="inlineStr">
        <is>
          <t>2014.0</t>
        </is>
      </c>
      <c r="AY63" s="30" t="inlineStr">
        <is>
          <t>1</t>
        </is>
      </c>
      <c r="AZ63" s="30" t="inlineStr">
        <is>
          <t>sept-2026</t>
        </is>
      </c>
      <c r="BD63" s="81">
        <f>0</f>
        <v/>
      </c>
      <c r="BE63" s="81">
        <f>IFERROR((IF(ISNUMBER(T63),MIN(T63/30,1),0)+IF(ISNUMBER(P63),MIN(P63/500,1),0))/2,0)</f>
        <v/>
      </c>
      <c r="BF63" s="81">
        <f>IFERROR(IF(OR(U63&lt;&gt;"",V63="SÍ"),IF(ISNUMBER(L63),(1*MIN(L63/10000,1))^0.5,0),IF(ISNUMBER(L63),(0*MIN(L63/10000,1))^0.5,0)),0)</f>
        <v/>
      </c>
    </row>
    <row r="64">
      <c r="A64" t="inlineStr">
        <is>
          <t>CENACOOP; CENCOOP 2017</t>
        </is>
      </c>
      <c r="B64" s="70" t="inlineStr">
        <is>
          <t>20168357576</t>
        </is>
      </c>
      <c r="C64" s="29" t="inlineStr">
        <is>
          <t>Cooperativa Agraria de Producción Pucayacu Limitada N°004</t>
        </is>
      </c>
      <c r="D64" s="29" t="inlineStr"/>
      <c r="E64" s="29" t="inlineStr">
        <is>
          <t>VENTA AL POR MENOR DE ALIMENTOS, BEBIDAS Y TABACO EN ALMACENES ESPECIALIZADOS</t>
        </is>
      </c>
      <c r="F64" s="29" t="inlineStr">
        <is>
          <t>CUSCO</t>
        </is>
      </c>
      <c r="G64" s="29" t="inlineStr">
        <is>
          <t>—</t>
        </is>
      </c>
      <c r="H64" s="29" t="inlineStr">
        <is>
          <t>—</t>
        </is>
      </c>
      <c r="I64" s="29" t="inlineStr">
        <is>
          <t>—</t>
        </is>
      </c>
      <c r="J64" s="29" t="n"/>
      <c r="K64" s="29" t="inlineStr">
        <is>
          <t>NO</t>
        </is>
      </c>
      <c r="L64" s="29" t="n"/>
      <c r="M64" s="29" t="n"/>
      <c r="N64" s="29" t="n"/>
      <c r="O64" s="29" t="n"/>
      <c r="P64" s="29" t="inlineStr"/>
      <c r="Q64" s="29" t="inlineStr"/>
      <c r="R64" s="18" t="inlineStr">
        <is>
          <t>1030000.0</t>
        </is>
      </c>
      <c r="S64" s="29" t="inlineStr"/>
      <c r="T64" s="29" t="inlineStr"/>
      <c r="U64" s="18" t="inlineStr"/>
      <c r="V64" s="18" t="inlineStr">
        <is>
          <t>NO</t>
        </is>
      </c>
      <c r="W64" s="18" t="inlineStr">
        <is>
          <t>—</t>
        </is>
      </c>
      <c r="X64" s="18" t="inlineStr">
        <is>
          <t>—</t>
        </is>
      </c>
      <c r="Y64" s="18" t="inlineStr"/>
      <c r="Z64" s="29" t="inlineStr">
        <is>
          <t>—</t>
        </is>
      </c>
      <c r="AA64" s="29" t="b">
        <v>0</v>
      </c>
      <c r="AB64" s="29" t="b">
        <v>0</v>
      </c>
      <c r="AC64" s="29" t="b">
        <v>1</v>
      </c>
      <c r="AD64" s="19" t="inlineStr">
        <is>
          <t>SI</t>
        </is>
      </c>
      <c r="AE64" s="29" t="inlineStr">
        <is>
          <t>COOPERATIVA AGRARIA DE TRABAJADORES PUCAYACU LTDA. N° 004</t>
        </is>
      </c>
      <c r="AF64" s="29" t="inlineStr">
        <is>
          <t>PASCO</t>
        </is>
      </c>
      <c r="AG64" s="29" t="inlineStr">
        <is>
          <t>PASCO</t>
        </is>
      </c>
      <c r="AH64" s="29" t="inlineStr">
        <is>
          <t>YANACANCHA</t>
        </is>
      </c>
      <c r="AI64" s="29" t="inlineStr">
        <is>
          <t>AAHH. VICTOR RAUL HAYA DE LA TORRE</t>
        </is>
      </c>
      <c r="AJ64" s="29" t="inlineStr">
        <is>
          <t>CRÍA DE CAMELLOS Y OTROS CAMÉLIDOS</t>
        </is>
      </c>
      <c r="AK64" s="29" t="inlineStr">
        <is>
          <t>1.0</t>
        </is>
      </c>
      <c r="AL64" s="29" t="inlineStr">
        <is>
          <t>1.0</t>
        </is>
      </c>
      <c r="AM64" s="29" t="inlineStr">
        <is>
          <t>1.0</t>
        </is>
      </c>
      <c r="AN64" s="29" t="n">
        <v>35</v>
      </c>
      <c r="AO64" s="29" t="inlineStr">
        <is>
          <t>PALACIOS PANEZ MARIO ORLANDO</t>
        </is>
      </c>
      <c r="AP64" s="29" t="inlineStr">
        <is>
          <t>PROFESOR DE NIVEL SECUNDARIA</t>
        </is>
      </c>
      <c r="AQ64" s="29" t="inlineStr">
        <is>
          <t>10.0</t>
        </is>
      </c>
      <c r="AR64" s="29" t="inlineStr">
        <is>
          <t>NO TIENE</t>
        </is>
      </c>
      <c r="AS64" s="29" t="inlineStr">
        <is>
          <t>NO TIENE</t>
        </is>
      </c>
      <c r="AT64" s="29" t="inlineStr">
        <is>
          <t>NO TIENE</t>
        </is>
      </c>
      <c r="AU64" s="29" t="inlineStr">
        <is>
          <t>-10.658953333333333</t>
        </is>
      </c>
      <c r="AV64" s="29" t="inlineStr">
        <is>
          <t>-76.25364166666667</t>
        </is>
      </c>
      <c r="AW64" s="29" t="inlineStr">
        <is>
          <t>1982.0</t>
        </is>
      </c>
      <c r="AX64" s="29" t="inlineStr">
        <is>
          <t>1982.0</t>
        </is>
      </c>
      <c r="AY64" s="29" t="inlineStr">
        <is>
          <t>1</t>
        </is>
      </c>
      <c r="AZ64" s="29" t="inlineStr">
        <is>
          <t>sept-2026</t>
        </is>
      </c>
      <c r="BD64" s="81">
        <f>0</f>
        <v/>
      </c>
      <c r="BE64" s="81">
        <f>IFERROR((IF(ISNUMBER(T64),MIN(T64/30,1),0)+IF(ISNUMBER(P64),MIN(P64/500,1),0))/2,0)</f>
        <v/>
      </c>
      <c r="BF64" s="81">
        <f>IFERROR(IF(OR(U64&lt;&gt;"",V64="SÍ"),IF(ISNUMBER(L64),(1*MIN(L64/10000,1))^0.5,0),IF(ISNUMBER(L64),(0*MIN(L64/10000,1))^0.5,0)),0)</f>
        <v/>
      </c>
    </row>
    <row r="65">
      <c r="A65" t="inlineStr">
        <is>
          <t>CENACOOP; CENCOOP 2017</t>
        </is>
      </c>
      <c r="B65" s="70" t="inlineStr">
        <is>
          <t>20601027896</t>
        </is>
      </c>
      <c r="C65" s="30" t="inlineStr">
        <is>
          <t>Cooperativa Agraria de Productores Organicos Capo Caleb Lta.</t>
        </is>
      </c>
      <c r="D65" s="30" t="inlineStr"/>
      <c r="E65" s="30" t="inlineStr">
        <is>
          <t>VENTA AL POR MENOR DE ALIMENTOS, BEBIDAS Y TABACO EN ALMACENES ESPECIALIZADOS</t>
        </is>
      </c>
      <c r="F65" s="30" t="inlineStr">
        <is>
          <t>La Libertad</t>
        </is>
      </c>
      <c r="G65" s="30" t="inlineStr">
        <is>
          <t>Chepén</t>
        </is>
      </c>
      <c r="H65" s="30" t="inlineStr">
        <is>
          <t>—</t>
        </is>
      </c>
      <c r="I65" s="30" t="inlineStr">
        <is>
          <t>—</t>
        </is>
      </c>
      <c r="J65" s="30" t="n"/>
      <c r="K65" s="30" t="inlineStr">
        <is>
          <t>NO</t>
        </is>
      </c>
      <c r="L65" s="30" t="n"/>
      <c r="M65" s="30" t="n"/>
      <c r="N65" s="30" t="n"/>
      <c r="O65" s="30" t="n"/>
      <c r="P65" s="30" t="inlineStr"/>
      <c r="Q65" s="30" t="inlineStr"/>
      <c r="R65" s="14" t="inlineStr">
        <is>
          <t>2575.0</t>
        </is>
      </c>
      <c r="S65" s="30" t="inlineStr"/>
      <c r="T65" s="30" t="inlineStr"/>
      <c r="U65" s="14" t="inlineStr"/>
      <c r="V65" s="14" t="inlineStr">
        <is>
          <t>NO</t>
        </is>
      </c>
      <c r="W65" s="14" t="inlineStr">
        <is>
          <t>—</t>
        </is>
      </c>
      <c r="X65" s="14" t="inlineStr">
        <is>
          <t>—</t>
        </is>
      </c>
      <c r="Y65" s="14" t="inlineStr"/>
      <c r="Z65" s="30" t="inlineStr">
        <is>
          <t>—</t>
        </is>
      </c>
      <c r="AA65" s="30" t="b">
        <v>0</v>
      </c>
      <c r="AB65" s="30" t="b">
        <v>0</v>
      </c>
      <c r="AC65" s="30" t="b">
        <v>1</v>
      </c>
      <c r="AD65" s="19" t="inlineStr">
        <is>
          <t>SI</t>
        </is>
      </c>
      <c r="AE65" s="30" t="inlineStr">
        <is>
          <t>COOPERATIVA AGRARIA DE PRODUCTORES ORGANICOS CAPO CALEB LTDA.</t>
        </is>
      </c>
      <c r="AF65" s="30" t="inlineStr">
        <is>
          <t>LA LIBERTAD</t>
        </is>
      </c>
      <c r="AG65" s="30" t="inlineStr">
        <is>
          <t>CHEPEN</t>
        </is>
      </c>
      <c r="AH65" s="30" t="inlineStr">
        <is>
          <t>Directorio PACANGA</t>
        </is>
      </c>
      <c r="AI65" s="30" t="inlineStr">
        <is>
          <t>Directorio PACANGA</t>
        </is>
      </c>
      <c r="AJ65" s="30" t="inlineStr">
        <is>
          <t>ELABORACIÒN Y CONSERVACIÓN DE FRUTAS,LEGUMBRES Y HORTALIZAS</t>
        </is>
      </c>
      <c r="AK65" s="30" t="inlineStr">
        <is>
          <t>1.0</t>
        </is>
      </c>
      <c r="AL65" s="30" t="inlineStr">
        <is>
          <t>1.0</t>
        </is>
      </c>
      <c r="AM65" s="30" t="inlineStr">
        <is>
          <t>2.0</t>
        </is>
      </c>
      <c r="AN65" s="30" t="n">
        <v>1</v>
      </c>
      <c r="AO65" s="30" t="inlineStr">
        <is>
          <t>ROMERO HERNANDEZ ALINDOR</t>
        </is>
      </c>
      <c r="AP65" s="30" t="inlineStr">
        <is>
          <t>TECNICO EN ADMINISTRACION</t>
        </is>
      </c>
      <c r="AQ65" s="30" t="inlineStr">
        <is>
          <t>8.0</t>
        </is>
      </c>
      <c r="AR65" s="30" t="inlineStr">
        <is>
          <t>NO TIENE</t>
        </is>
      </c>
      <c r="AS65" s="30" t="inlineStr">
        <is>
          <t>COOPERATIVACALEB@GMAIL.COM</t>
        </is>
      </c>
      <c r="AT65" s="30" t="inlineStr">
        <is>
          <t>NO TIENE</t>
        </is>
      </c>
      <c r="AU65" s="30" t="inlineStr">
        <is>
          <t>-7.181653333333332</t>
        </is>
      </c>
      <c r="AV65" s="30" t="inlineStr">
        <is>
          <t>-79.434615</t>
        </is>
      </c>
      <c r="AW65" s="30" t="inlineStr">
        <is>
          <t>2016.0</t>
        </is>
      </c>
      <c r="AX65" s="30" t="inlineStr">
        <is>
          <t>2016.0</t>
        </is>
      </c>
      <c r="AY65" s="30" t="inlineStr">
        <is>
          <t>1</t>
        </is>
      </c>
      <c r="AZ65" s="30" t="inlineStr">
        <is>
          <t>sept-2026</t>
        </is>
      </c>
      <c r="BD65" s="81">
        <f>0</f>
        <v/>
      </c>
      <c r="BE65" s="81">
        <f>IFERROR((IF(ISNUMBER(T65),MIN(T65/30,1),0)+IF(ISNUMBER(P65),MIN(P65/500,1),0))/2,0)</f>
        <v/>
      </c>
      <c r="BF65" s="81">
        <f>IFERROR(IF(OR(U65&lt;&gt;"",V65="SÍ"),IF(ISNUMBER(L65),(1*MIN(L65/10000,1))^0.5,0),IF(ISNUMBER(L65),(0*MIN(L65/10000,1))^0.5,0)),0)</f>
        <v/>
      </c>
    </row>
    <row r="66">
      <c r="A66" t="inlineStr">
        <is>
          <t>CENACOOP; CENCOOP 2017</t>
        </is>
      </c>
      <c r="B66" s="70" t="inlineStr">
        <is>
          <t>20601283523</t>
        </is>
      </c>
      <c r="C66" s="29" t="inlineStr">
        <is>
          <t>Cooperativa Agraria de Productores Sostenibles Selva Central</t>
        </is>
      </c>
      <c r="D66" s="29" t="inlineStr"/>
      <c r="E66" s="29" t="inlineStr">
        <is>
          <t>VENTA AL POR MENOR DE ALIMENTOS, BEBIDAS Y TABACO EN ALMACENES ESPECIALIZADOS</t>
        </is>
      </c>
      <c r="F66" s="29" t="inlineStr">
        <is>
          <t>ICA</t>
        </is>
      </c>
      <c r="G66" s="29" t="inlineStr">
        <is>
          <t>—</t>
        </is>
      </c>
      <c r="H66" s="29" t="inlineStr">
        <is>
          <t>—</t>
        </is>
      </c>
      <c r="I66" s="29" t="inlineStr">
        <is>
          <t>—</t>
        </is>
      </c>
      <c r="J66" s="17" t="n"/>
      <c r="K66" s="29" t="inlineStr">
        <is>
          <t>SÍ</t>
        </is>
      </c>
      <c r="L66" s="29" t="n"/>
      <c r="M66" s="29" t="n"/>
      <c r="N66" s="29" t="n"/>
      <c r="O66" s="29" t="n"/>
      <c r="P66" s="29" t="inlineStr"/>
      <c r="Q66" s="29" t="inlineStr"/>
      <c r="R66" s="18" t="inlineStr">
        <is>
          <t>2575.0</t>
        </is>
      </c>
      <c r="S66" s="29" t="inlineStr"/>
      <c r="T66" s="29" t="inlineStr"/>
      <c r="U66" s="18" t="inlineStr"/>
      <c r="V66" s="18" t="inlineStr">
        <is>
          <t>NO</t>
        </is>
      </c>
      <c r="W66" s="18" t="inlineStr">
        <is>
          <t>—</t>
        </is>
      </c>
      <c r="X66" s="18" t="inlineStr">
        <is>
          <t>—</t>
        </is>
      </c>
      <c r="Y66" s="18" t="inlineStr"/>
      <c r="Z66" s="29" t="inlineStr">
        <is>
          <t>—</t>
        </is>
      </c>
      <c r="AA66" s="29" t="b">
        <v>0</v>
      </c>
      <c r="AB66" s="29" t="b">
        <v>0</v>
      </c>
      <c r="AC66" s="29" t="b">
        <v>1</v>
      </c>
      <c r="AD66" s="19" t="inlineStr">
        <is>
          <t>SI</t>
        </is>
      </c>
      <c r="AE66" s="29" t="inlineStr">
        <is>
          <t>COOPERATIVA AGRARIA DE PRODUCTORES SOSTENIBLES SELVA CENTRAL  - CAPS SELVA CENTRAL</t>
        </is>
      </c>
      <c r="AF66" s="29" t="inlineStr">
        <is>
          <t>JUNIN</t>
        </is>
      </c>
      <c r="AG66" s="29" t="inlineStr">
        <is>
          <t>CHANCHAMAYO</t>
        </is>
      </c>
      <c r="AH66" s="29" t="inlineStr">
        <is>
          <t>PICHANAQUI</t>
        </is>
      </c>
      <c r="AI66" s="29" t="inlineStr">
        <is>
          <t>PICHANAKI</t>
        </is>
      </c>
      <c r="AJ66" s="29" t="inlineStr">
        <is>
          <t>CULTIVO DE CEREALES (EXCEPTO ARROZ), LEGUMBRES Y SEMILLAS OLEAGINOSAS</t>
        </is>
      </c>
      <c r="AK66" s="29" t="inlineStr">
        <is>
          <t>1.0</t>
        </is>
      </c>
      <c r="AL66" s="29" t="inlineStr">
        <is>
          <t>1.0</t>
        </is>
      </c>
      <c r="AM66" s="29" t="inlineStr">
        <is>
          <t>1.0</t>
        </is>
      </c>
      <c r="AN66" s="29" t="n">
        <v>1</v>
      </c>
      <c r="AO66" s="29" t="inlineStr">
        <is>
          <t>AIRE CARDENAS JOEL LUIS</t>
        </is>
      </c>
      <c r="AP66" s="29" t="inlineStr">
        <is>
          <t>COMERCIANTE</t>
        </is>
      </c>
      <c r="AQ66" s="29" t="inlineStr">
        <is>
          <t>6.0</t>
        </is>
      </c>
      <c r="AR66" s="29" t="inlineStr">
        <is>
          <t>NO TIENE</t>
        </is>
      </c>
      <c r="AS66" s="29" t="inlineStr">
        <is>
          <t>CAPS.SELVACENTRAL@GMAIL.COM</t>
        </is>
      </c>
      <c r="AT66" s="29" t="inlineStr">
        <is>
          <t>NO TIENE</t>
        </is>
      </c>
      <c r="AU66" s="29" t="inlineStr">
        <is>
          <t>-10.927033333333334</t>
        </is>
      </c>
      <c r="AV66" s="29" t="inlineStr">
        <is>
          <t>-74.87495833333334</t>
        </is>
      </c>
      <c r="AW66" s="29" t="inlineStr">
        <is>
          <t>2016.0</t>
        </is>
      </c>
      <c r="AX66" s="29" t="inlineStr">
        <is>
          <t>2016.0</t>
        </is>
      </c>
      <c r="AY66" s="29" t="inlineStr">
        <is>
          <t>1</t>
        </is>
      </c>
      <c r="AZ66" s="29" t="inlineStr">
        <is>
          <t>sept-2026</t>
        </is>
      </c>
      <c r="BD66" s="81">
        <f>0</f>
        <v/>
      </c>
      <c r="BE66" s="81">
        <f>IFERROR((IF(ISNUMBER(T66),MIN(T66/30,1),0)+IF(ISNUMBER(P66),MIN(P66/500,1),0))/2,0)</f>
        <v/>
      </c>
      <c r="BF66" s="81">
        <f>IFERROR(IF(OR(U66&lt;&gt;"",V66="SÍ"),IF(ISNUMBER(L66),(1*MIN(L66/10000,1))^0.5,0),IF(ISNUMBER(L66),(0*MIN(L66/10000,1))^0.5,0)),0)</f>
        <v/>
      </c>
    </row>
    <row r="67">
      <c r="A67" t="inlineStr">
        <is>
          <t>CENACOOP; CENCOOP 2017</t>
        </is>
      </c>
      <c r="B67" s="70" t="inlineStr">
        <is>
          <t>20601105641</t>
        </is>
      </c>
      <c r="C67" s="30" t="inlineStr">
        <is>
          <t>Cooperativa Agraria de Productores de Banano Orgánico Javier Heraud Quebrada Parales Medio Piura Ltda.</t>
        </is>
      </c>
      <c r="D67" s="30" t="inlineStr"/>
      <c r="E67" s="30" t="inlineStr">
        <is>
          <t>VENTA AL POR MENOR DE ALIMENTOS, BEBIDAS Y TABACO EN ALMACENES ESPECIALIZADOS</t>
        </is>
      </c>
      <c r="F67" s="30" t="inlineStr">
        <is>
          <t>Piura</t>
        </is>
      </c>
      <c r="G67" s="30" t="inlineStr">
        <is>
          <t>Piura</t>
        </is>
      </c>
      <c r="H67" s="30" t="inlineStr">
        <is>
          <t>—</t>
        </is>
      </c>
      <c r="I67" s="30" t="inlineStr">
        <is>
          <t>—</t>
        </is>
      </c>
      <c r="J67" s="30" t="n"/>
      <c r="K67" s="30" t="inlineStr">
        <is>
          <t>NO</t>
        </is>
      </c>
      <c r="L67" s="30" t="n"/>
      <c r="M67" s="30" t="n"/>
      <c r="N67" s="30" t="n"/>
      <c r="O67" s="30" t="n"/>
      <c r="P67" s="30" t="inlineStr"/>
      <c r="Q67" s="30" t="inlineStr"/>
      <c r="R67" s="14" t="inlineStr">
        <is>
          <t>2575.0</t>
        </is>
      </c>
      <c r="S67" s="30" t="inlineStr"/>
      <c r="T67" s="30" t="inlineStr"/>
      <c r="U67" s="14" t="inlineStr"/>
      <c r="V67" s="14" t="inlineStr">
        <is>
          <t>NO</t>
        </is>
      </c>
      <c r="W67" s="14" t="inlineStr">
        <is>
          <t>—</t>
        </is>
      </c>
      <c r="X67" s="14" t="inlineStr">
        <is>
          <t>—</t>
        </is>
      </c>
      <c r="Y67" s="14" t="inlineStr"/>
      <c r="Z67" s="30" t="inlineStr">
        <is>
          <t>—</t>
        </is>
      </c>
      <c r="AA67" s="30" t="b">
        <v>0</v>
      </c>
      <c r="AB67" s="30" t="b">
        <v>0</v>
      </c>
      <c r="AC67" s="30" t="b">
        <v>1</v>
      </c>
      <c r="AD67" s="19" t="inlineStr">
        <is>
          <t>SI</t>
        </is>
      </c>
      <c r="AE67" s="30" t="inlineStr">
        <is>
          <t>COOPERATIVA AGRARIA DE PRODUCTORES DE BANANO ORGÁNICO JAVIER HERAUD QUEBRADA PARALES MEDIO PIURA LTDA.</t>
        </is>
      </c>
      <c r="AF67" s="30" t="inlineStr">
        <is>
          <t>PIURA</t>
        </is>
      </c>
      <c r="AG67" s="30" t="inlineStr">
        <is>
          <t>PIURA</t>
        </is>
      </c>
      <c r="AH67" s="30" t="inlineStr">
        <is>
          <t>TAMBO GRANDE</t>
        </is>
      </c>
      <c r="AI67" s="30" t="inlineStr">
        <is>
          <t>CASERIO LA QUEBRADA</t>
        </is>
      </c>
      <c r="AJ67" s="30" t="inlineStr">
        <is>
          <t>ELABORACIÒN Y CONSERVACIÓN DE FRUTAS,LEGUMBRES Y HORTALIZAS</t>
        </is>
      </c>
      <c r="AK67" s="30" t="inlineStr">
        <is>
          <t>1.0</t>
        </is>
      </c>
      <c r="AL67" s="30" t="inlineStr">
        <is>
          <t>1.0</t>
        </is>
      </c>
      <c r="AM67" s="30" t="inlineStr">
        <is>
          <t>2.0</t>
        </is>
      </c>
      <c r="AN67" s="30" t="n">
        <v>1</v>
      </c>
      <c r="AO67" s="30" t="inlineStr">
        <is>
          <t>ZAPATA NAVARRO CESAR ALFREDO</t>
        </is>
      </c>
      <c r="AP67" s="30" t="inlineStr">
        <is>
          <t>AGRICULTOR</t>
        </is>
      </c>
      <c r="AQ67" s="30" t="inlineStr">
        <is>
          <t>5.0</t>
        </is>
      </c>
      <c r="AR67" s="30" t="inlineStr">
        <is>
          <t>NO TIENE</t>
        </is>
      </c>
      <c r="AS67" s="30" t="inlineStr">
        <is>
          <t>NO TIENE</t>
        </is>
      </c>
      <c r="AT67" s="30" t="inlineStr">
        <is>
          <t>NO TIENE</t>
        </is>
      </c>
      <c r="AU67" s="30" t="inlineStr">
        <is>
          <t>-4.960873333333334</t>
        </is>
      </c>
      <c r="AV67" s="30" t="inlineStr">
        <is>
          <t>-80.56698833333333</t>
        </is>
      </c>
      <c r="AW67" s="30" t="inlineStr">
        <is>
          <t>2015.0</t>
        </is>
      </c>
      <c r="AX67" s="30" t="inlineStr">
        <is>
          <t>2016.0</t>
        </is>
      </c>
      <c r="AY67" s="30" t="inlineStr">
        <is>
          <t>1</t>
        </is>
      </c>
      <c r="AZ67" s="30" t="inlineStr">
        <is>
          <t>sept-2026</t>
        </is>
      </c>
      <c r="BD67" s="81">
        <f>0</f>
        <v/>
      </c>
      <c r="BE67" s="81">
        <f>IFERROR((IF(ISNUMBER(T67),MIN(T67/30,1),0)+IF(ISNUMBER(P67),MIN(P67/500,1),0))/2,0)</f>
        <v/>
      </c>
      <c r="BF67" s="81">
        <f>IFERROR(IF(OR(U67&lt;&gt;"",V67="SÍ"),IF(ISNUMBER(L67),(1*MIN(L67/10000,1))^0.5,0),IF(ISNUMBER(L67),(0*MIN(L67/10000,1))^0.5,0)),0)</f>
        <v/>
      </c>
    </row>
    <row r="68">
      <c r="A68" t="inlineStr">
        <is>
          <t>CENACOOP; CENCOOP 2017</t>
        </is>
      </c>
      <c r="B68" s="70" t="inlineStr">
        <is>
          <t>20530322573</t>
        </is>
      </c>
      <c r="C68" s="29" t="inlineStr">
        <is>
          <t>Cooperativa Agraria de Productores de Banano Orgánico Olivares - San Fernando</t>
        </is>
      </c>
      <c r="D68" s="29" t="inlineStr"/>
      <c r="E68" s="29" t="inlineStr">
        <is>
          <t>VENTA AL POR MENOR DE ALIMENTOS, BEBIDAS Y TABACO EN ALMACENES ESPECIALIZADOS</t>
        </is>
      </c>
      <c r="F68" s="29" t="inlineStr">
        <is>
          <t>Piura</t>
        </is>
      </c>
      <c r="G68" s="29" t="inlineStr">
        <is>
          <t>Piura</t>
        </is>
      </c>
      <c r="H68" s="29" t="inlineStr">
        <is>
          <t>—</t>
        </is>
      </c>
      <c r="I68" s="29" t="inlineStr">
        <is>
          <t>—</t>
        </is>
      </c>
      <c r="J68" s="29" t="inlineStr">
        <is>
          <t>SI</t>
        </is>
      </c>
      <c r="K68" s="29" t="inlineStr">
        <is>
          <t>NO</t>
        </is>
      </c>
      <c r="L68" s="29" t="n">
        <v>0</v>
      </c>
      <c r="M68" s="29" t="n">
        <v>312333.6</v>
      </c>
      <c r="N68" s="29" t="n">
        <v>8</v>
      </c>
      <c r="O68" s="29" t="n">
        <v>1</v>
      </c>
      <c r="P68" s="29" t="inlineStr"/>
      <c r="Q68" s="29" t="inlineStr"/>
      <c r="R68" s="18" t="inlineStr">
        <is>
          <t>2575.0</t>
        </is>
      </c>
      <c r="S68" s="29" t="inlineStr"/>
      <c r="T68" s="29" t="inlineStr"/>
      <c r="U68" s="18" t="inlineStr"/>
      <c r="V68" s="18" t="inlineStr">
        <is>
          <t>NO</t>
        </is>
      </c>
      <c r="W68" s="18" t="inlineStr">
        <is>
          <t>—</t>
        </is>
      </c>
      <c r="X68" s="18" t="inlineStr">
        <is>
          <t>—</t>
        </is>
      </c>
      <c r="Y68" s="18" t="inlineStr"/>
      <c r="Z68" s="29" t="inlineStr">
        <is>
          <t>—</t>
        </is>
      </c>
      <c r="AA68" s="29" t="b">
        <v>0</v>
      </c>
      <c r="AB68" s="29" t="b">
        <v>0</v>
      </c>
      <c r="AC68" s="29" t="b">
        <v>1</v>
      </c>
      <c r="AD68" s="19" t="inlineStr">
        <is>
          <t>SI</t>
        </is>
      </c>
      <c r="AE68" s="29" t="inlineStr">
        <is>
          <t>COOPERATIVA AGRARIA DE PRODUCTORES DE BANANO ORGANICO OLIVARES - SAN FERNANDO - COOPAPBOSF.</t>
        </is>
      </c>
      <c r="AF68" s="29" t="inlineStr">
        <is>
          <t>PIURA</t>
        </is>
      </c>
      <c r="AG68" s="29" t="inlineStr">
        <is>
          <t>PIURA</t>
        </is>
      </c>
      <c r="AH68" s="29" t="inlineStr">
        <is>
          <t>PIURA</t>
        </is>
      </c>
      <c r="AI68" s="29" t="inlineStr">
        <is>
          <t>CASERIO OLIVARES SAN FERNANDO</t>
        </is>
      </c>
      <c r="AJ68" s="29" t="inlineStr">
        <is>
          <t>ELABORACIÒN Y CONSERVACIÓN DE FRUTAS,LEGUMBRES Y HORTALIZAS</t>
        </is>
      </c>
      <c r="AK68" s="29" t="inlineStr">
        <is>
          <t>1.0</t>
        </is>
      </c>
      <c r="AL68" s="29" t="inlineStr">
        <is>
          <t>1.0</t>
        </is>
      </c>
      <c r="AM68" s="29" t="inlineStr">
        <is>
          <t>2.0</t>
        </is>
      </c>
      <c r="AN68" s="29" t="n">
        <v>2</v>
      </c>
      <c r="AO68" s="29" t="inlineStr">
        <is>
          <t>JUAREZ GARCIA RAUL</t>
        </is>
      </c>
      <c r="AP68" s="29" t="inlineStr">
        <is>
          <t>AGRICULTOR</t>
        </is>
      </c>
      <c r="AQ68" s="29" t="inlineStr">
        <is>
          <t>6.0</t>
        </is>
      </c>
      <c r="AR68" s="29" t="inlineStr">
        <is>
          <t>NO TIENE</t>
        </is>
      </c>
      <c r="AS68" s="29" t="inlineStr">
        <is>
          <t>COOPAPBOSF@GMAIL.COM</t>
        </is>
      </c>
      <c r="AT68" s="29" t="inlineStr">
        <is>
          <t>NO TIENE</t>
        </is>
      </c>
      <c r="AU68" s="29" t="inlineStr">
        <is>
          <t>-4.967045</t>
        </is>
      </c>
      <c r="AV68" s="29" t="inlineStr">
        <is>
          <t>-80.59951</t>
        </is>
      </c>
      <c r="AW68" s="29" t="inlineStr">
        <is>
          <t>2014.0</t>
        </is>
      </c>
      <c r="AX68" s="29" t="inlineStr">
        <is>
          <t>2015.0</t>
        </is>
      </c>
      <c r="AY68" s="29" t="inlineStr">
        <is>
          <t>1</t>
        </is>
      </c>
      <c r="AZ68" s="29" t="inlineStr">
        <is>
          <t>sept-2026</t>
        </is>
      </c>
      <c r="BA68" t="inlineStr">
        <is>
          <t>NETHERLANDS</t>
        </is>
      </c>
      <c r="BB68" t="n">
        <v>2022</v>
      </c>
      <c r="BC68" t="n">
        <v>2022</v>
      </c>
      <c r="BD68" s="81">
        <f>0</f>
        <v/>
      </c>
      <c r="BE68" s="81">
        <f>IFERROR((IF(ISNUMBER(T68),MIN(T68/30,1),0)+IF(ISNUMBER(P68),MIN(P68/500,1),0))/2,0)</f>
        <v/>
      </c>
      <c r="BF68" s="81">
        <f>IFERROR(IF(OR(U68&lt;&gt;"",V68="SÍ"),IF(ISNUMBER(L68),(1*MIN(L68/10000,1))^0.5,0),IF(ISNUMBER(L68),(0*MIN(L68/10000,1))^0.5,0)),0)</f>
        <v/>
      </c>
    </row>
    <row r="69">
      <c r="A69" t="inlineStr">
        <is>
          <t>CENACOOP; CENCOOP 2017; SISPAC</t>
        </is>
      </c>
      <c r="B69" s="70" t="inlineStr">
        <is>
          <t>20525969551</t>
        </is>
      </c>
      <c r="C69" s="30" t="inlineStr">
        <is>
          <t>Cooperativa Agraria de Productores de Banano, Cacao Orgánico y Otros Cultivos Agrarios Ltda.</t>
        </is>
      </c>
      <c r="D69" s="30" t="inlineStr"/>
      <c r="E69" s="30" t="inlineStr">
        <is>
          <t>VENTA AL POR MENOR DE ALIMENTOS, BEBIDAS Y TABACO EN ALMACENES ESPECIALIZADOS</t>
        </is>
      </c>
      <c r="F69" s="30" t="inlineStr">
        <is>
          <t>Piura</t>
        </is>
      </c>
      <c r="G69" s="30" t="inlineStr">
        <is>
          <t>Morropon</t>
        </is>
      </c>
      <c r="H69" s="30" t="inlineStr">
        <is>
          <t>—</t>
        </is>
      </c>
      <c r="I69" s="30" t="inlineStr">
        <is>
          <t>—</t>
        </is>
      </c>
      <c r="J69" s="30" t="inlineStr">
        <is>
          <t>SI</t>
        </is>
      </c>
      <c r="K69" s="30" t="inlineStr">
        <is>
          <t>NO</t>
        </is>
      </c>
      <c r="L69" s="30" t="n">
        <v>0</v>
      </c>
      <c r="M69" s="30" t="n">
        <v>131631.6</v>
      </c>
      <c r="N69" s="30" t="n">
        <v>5</v>
      </c>
      <c r="O69" s="30" t="n">
        <v>2</v>
      </c>
      <c r="P69" s="30" t="inlineStr"/>
      <c r="Q69" s="30" t="inlineStr"/>
      <c r="R69" s="14" t="inlineStr">
        <is>
          <t>46350.0</t>
        </is>
      </c>
      <c r="S69" s="30" t="inlineStr"/>
      <c r="T69" s="30" t="inlineStr"/>
      <c r="U69" s="14" t="inlineStr"/>
      <c r="V69" s="14" t="inlineStr">
        <is>
          <t>NO</t>
        </is>
      </c>
      <c r="W69" s="14" t="inlineStr">
        <is>
          <t>—</t>
        </is>
      </c>
      <c r="X69" s="14" t="inlineStr">
        <is>
          <t>—</t>
        </is>
      </c>
      <c r="Y69" s="14" t="inlineStr"/>
      <c r="Z69" s="30" t="inlineStr">
        <is>
          <t>—</t>
        </is>
      </c>
      <c r="AA69" s="30" t="b">
        <v>0</v>
      </c>
      <c r="AB69" s="30" t="b">
        <v>0</v>
      </c>
      <c r="AC69" s="30" t="b">
        <v>1</v>
      </c>
      <c r="AD69" s="19" t="inlineStr">
        <is>
          <t>SI</t>
        </is>
      </c>
      <c r="AE69" s="30" t="inlineStr">
        <is>
          <t>COOPERATIVA AGRARIA DE PRODUCTORES DE BANANO, CACAO ORGANICO Y OTROS CULTIVOS AGRARIOS LTDA.</t>
        </is>
      </c>
      <c r="AF69" s="30" t="inlineStr">
        <is>
          <t>PIURA</t>
        </is>
      </c>
      <c r="AG69" s="30" t="inlineStr">
        <is>
          <t>MORROPON</t>
        </is>
      </c>
      <c r="AH69" s="30" t="inlineStr">
        <is>
          <t>BUENOS AIRES</t>
        </is>
      </c>
      <c r="AI69" s="30" t="inlineStr">
        <is>
          <t>SECTOR NUEVO LINDEROS</t>
        </is>
      </c>
      <c r="AJ69" s="30" t="inlineStr">
        <is>
          <t>ELABORACIÒN Y CONSERVACIÓN DE FRUTAS,LEGUMBRES Y HORTALIZAS</t>
        </is>
      </c>
      <c r="AK69" s="30" t="inlineStr">
        <is>
          <t>1.0</t>
        </is>
      </c>
      <c r="AL69" s="30" t="inlineStr">
        <is>
          <t>1.0</t>
        </is>
      </c>
      <c r="AM69" s="30" t="inlineStr">
        <is>
          <t>2.0</t>
        </is>
      </c>
      <c r="AN69" s="30" t="n">
        <v>3</v>
      </c>
      <c r="AO69" s="30" t="inlineStr">
        <is>
          <t>AGUIRRE ALVARADO PABLO ALBERTO</t>
        </is>
      </c>
      <c r="AP69" s="30" t="inlineStr">
        <is>
          <t>AGRICULTOR</t>
        </is>
      </c>
      <c r="AQ69" s="30" t="inlineStr">
        <is>
          <t>6.0</t>
        </is>
      </c>
      <c r="AR69" s="30" t="inlineStr">
        <is>
          <t>WWW.COOPASPROBO.PE</t>
        </is>
      </c>
      <c r="AS69" s="30" t="inlineStr">
        <is>
          <t>ASPROBO@COOPASPROBO.PE</t>
        </is>
      </c>
      <c r="AT69" s="30" t="inlineStr">
        <is>
          <t>968245276</t>
        </is>
      </c>
      <c r="AU69" s="30" t="inlineStr">
        <is>
          <t>-5.270246666666666</t>
        </is>
      </c>
      <c r="AV69" s="30" t="inlineStr">
        <is>
          <t>-79.96423666666666</t>
        </is>
      </c>
      <c r="AW69" s="30" t="inlineStr">
        <is>
          <t>2014.0</t>
        </is>
      </c>
      <c r="AX69" s="30" t="inlineStr">
        <is>
          <t>2014.0</t>
        </is>
      </c>
      <c r="AY69" s="30" t="inlineStr">
        <is>
          <t>1</t>
        </is>
      </c>
      <c r="AZ69" s="30" t="inlineStr">
        <is>
          <t>sept-2026</t>
        </is>
      </c>
      <c r="BA69" t="inlineStr">
        <is>
          <t>BELGIUM; NETHERLANDS</t>
        </is>
      </c>
      <c r="BB69" t="n">
        <v>2022</v>
      </c>
      <c r="BC69" t="n">
        <v>2025</v>
      </c>
      <c r="BD69" s="81">
        <f>0</f>
        <v/>
      </c>
      <c r="BE69" s="81">
        <f>IFERROR((IF(ISNUMBER(T69),MIN(T69/30,1),0)+IF(ISNUMBER(P69),MIN(P69/500,1),0))/2,0)</f>
        <v/>
      </c>
      <c r="BF69" s="81">
        <f>IFERROR(IF(OR(U69&lt;&gt;"",V69="SÍ"),IF(ISNUMBER(L69),(1*MIN(L69/10000,1))^0.5,0),IF(ISNUMBER(L69),(0*MIN(L69/10000,1))^0.5,0)),0)</f>
        <v/>
      </c>
    </row>
    <row r="70">
      <c r="A70" t="inlineStr">
        <is>
          <t>CENACOOP; CENCOOP 2017</t>
        </is>
      </c>
      <c r="B70" s="70" t="inlineStr">
        <is>
          <t>20486054949</t>
        </is>
      </c>
      <c r="C70" s="29" t="inlineStr">
        <is>
          <t>Cooperativa Agraria de Servicios Café Hemalu de Los Bosques del Inka - COOPCHEBI</t>
        </is>
      </c>
      <c r="D70" s="29" t="inlineStr"/>
      <c r="E70" s="29" t="inlineStr">
        <is>
          <t>VENTA AL POR MENOR DE ALIMENTOS, BEBIDAS Y TABACO EN ALMACENES ESPECIALIZADOS</t>
        </is>
      </c>
      <c r="F70" s="29" t="inlineStr">
        <is>
          <t>ICA</t>
        </is>
      </c>
      <c r="G70" s="29" t="inlineStr">
        <is>
          <t>—</t>
        </is>
      </c>
      <c r="H70" s="29" t="inlineStr">
        <is>
          <t>—</t>
        </is>
      </c>
      <c r="I70" s="29" t="inlineStr">
        <is>
          <t>—</t>
        </is>
      </c>
      <c r="J70" s="17" t="n"/>
      <c r="K70" s="29" t="inlineStr">
        <is>
          <t>SÍ</t>
        </is>
      </c>
      <c r="L70" s="29" t="n"/>
      <c r="M70" s="29" t="n"/>
      <c r="N70" s="29" t="n"/>
      <c r="O70" s="29" t="n"/>
      <c r="P70" s="29" t="inlineStr"/>
      <c r="Q70" s="29" t="inlineStr"/>
      <c r="R70" s="18" t="inlineStr">
        <is>
          <t>2575.0</t>
        </is>
      </c>
      <c r="S70" s="29" t="inlineStr"/>
      <c r="T70" s="29" t="inlineStr"/>
      <c r="U70" s="18" t="inlineStr"/>
      <c r="V70" s="18" t="inlineStr">
        <is>
          <t>NO</t>
        </is>
      </c>
      <c r="W70" s="18" t="inlineStr">
        <is>
          <t>—</t>
        </is>
      </c>
      <c r="X70" s="18" t="inlineStr">
        <is>
          <t>—</t>
        </is>
      </c>
      <c r="Y70" s="18" t="inlineStr"/>
      <c r="Z70" s="29" t="inlineStr">
        <is>
          <t>—</t>
        </is>
      </c>
      <c r="AA70" s="29" t="b">
        <v>0</v>
      </c>
      <c r="AB70" s="29" t="b">
        <v>0</v>
      </c>
      <c r="AC70" s="29" t="b">
        <v>1</v>
      </c>
      <c r="AD70" s="19" t="inlineStr">
        <is>
          <t>SI</t>
        </is>
      </c>
      <c r="AE70" s="29" t="inlineStr">
        <is>
          <t>COOPERATIVA AGRARIA DE SERVICIOS CAFE HEMALU DE LOS BOSQUES DEL INKA</t>
        </is>
      </c>
      <c r="AF70" s="29" t="inlineStr">
        <is>
          <t>JUNIN</t>
        </is>
      </c>
      <c r="AG70" s="29" t="inlineStr">
        <is>
          <t>CHANCHAMAYO</t>
        </is>
      </c>
      <c r="AH70" s="29" t="inlineStr">
        <is>
          <t>SAN LUIS DE SHUARO</t>
        </is>
      </c>
      <c r="AI70" s="29" t="inlineStr">
        <is>
          <t>SANTA HERMINIA PALOMAR</t>
        </is>
      </c>
      <c r="AJ70" s="29" t="inlineStr">
        <is>
          <t>OTRAS ACTIVIDADES DE SERVICIOS PERSONALES N.C.P.</t>
        </is>
      </c>
      <c r="AK70" s="29" t="inlineStr">
        <is>
          <t>1.0</t>
        </is>
      </c>
      <c r="AL70" s="29" t="inlineStr">
        <is>
          <t>1.0</t>
        </is>
      </c>
      <c r="AM70" s="29" t="inlineStr">
        <is>
          <t>2.0</t>
        </is>
      </c>
      <c r="AN70" s="29" t="n">
        <v>14</v>
      </c>
      <c r="AO70" s="29" t="inlineStr">
        <is>
          <t>HUARACA PARIONA FRANCISCO</t>
        </is>
      </c>
      <c r="AP70" s="29" t="inlineStr">
        <is>
          <t>CONTADOR</t>
        </is>
      </c>
      <c r="AQ70" s="29" t="inlineStr">
        <is>
          <t>10.0</t>
        </is>
      </c>
      <c r="AR70" s="29" t="inlineStr">
        <is>
          <t>WWW.COOPCHEBI.COM</t>
        </is>
      </c>
      <c r="AS70" s="29" t="inlineStr">
        <is>
          <t>COOPCHEBI@TERRA.COM.PE</t>
        </is>
      </c>
      <c r="AT70" s="29" t="inlineStr">
        <is>
          <t>957521150</t>
        </is>
      </c>
      <c r="AU70" s="29" t="inlineStr">
        <is>
          <t>-10.77582</t>
        </is>
      </c>
      <c r="AV70" s="29" t="inlineStr">
        <is>
          <t>-75.22740999999999</t>
        </is>
      </c>
      <c r="AW70" s="29" t="inlineStr">
        <is>
          <t>2003.0</t>
        </is>
      </c>
      <c r="AX70" s="29" t="inlineStr">
        <is>
          <t>2003.0</t>
        </is>
      </c>
      <c r="AY70" s="29" t="inlineStr">
        <is>
          <t>1</t>
        </is>
      </c>
      <c r="AZ70" s="29" t="inlineStr">
        <is>
          <t>sept-2026</t>
        </is>
      </c>
      <c r="BD70" s="81">
        <f>0</f>
        <v/>
      </c>
      <c r="BE70" s="81">
        <f>IFERROR((IF(ISNUMBER(T70),MIN(T70/30,1),0)+IF(ISNUMBER(P70),MIN(P70/500,1),0))/2,0)</f>
        <v/>
      </c>
      <c r="BF70" s="81">
        <f>IFERROR(IF(OR(U70&lt;&gt;"",V70="SÍ"),IF(ISNUMBER(L70),(1*MIN(L70/10000,1))^0.5,0),IF(ISNUMBER(L70),(0*MIN(L70/10000,1))^0.5,0)),0)</f>
        <v/>
      </c>
    </row>
    <row r="71">
      <c r="A71" t="inlineStr">
        <is>
          <t>CENACOOP; CENCOOP 2017</t>
        </is>
      </c>
      <c r="B71" s="70" t="inlineStr">
        <is>
          <t>20601173477</t>
        </is>
      </c>
      <c r="C71" s="30" t="inlineStr">
        <is>
          <t>Cooperativa Agraria de Servicios Múltiples para el Progreso e Integración de Cafetaleros</t>
        </is>
      </c>
      <c r="D71" s="30" t="inlineStr"/>
      <c r="E71" s="30" t="inlineStr">
        <is>
          <t>VENTA AL POR MENOR DE ALIMENTOS, BEBIDAS Y TABACO EN ALMACENES ESPECIALIZADOS</t>
        </is>
      </c>
      <c r="F71" s="30" t="inlineStr">
        <is>
          <t>ICA</t>
        </is>
      </c>
      <c r="G71" s="30" t="inlineStr">
        <is>
          <t>—</t>
        </is>
      </c>
      <c r="H71" s="30" t="inlineStr">
        <is>
          <t>—</t>
        </is>
      </c>
      <c r="I71" s="30" t="inlineStr">
        <is>
          <t>—</t>
        </is>
      </c>
      <c r="J71" s="30" t="inlineStr">
        <is>
          <t>SI</t>
        </is>
      </c>
      <c r="K71" s="30" t="inlineStr">
        <is>
          <t>NO</t>
        </is>
      </c>
      <c r="L71" s="30" t="n">
        <v>0</v>
      </c>
      <c r="M71" s="30" t="n">
        <v>3677460.38</v>
      </c>
      <c r="N71" s="30" t="n">
        <v>12</v>
      </c>
      <c r="O71" s="30" t="n">
        <v>4</v>
      </c>
      <c r="P71" s="30" t="inlineStr"/>
      <c r="Q71" s="30" t="inlineStr"/>
      <c r="R71" s="14" t="inlineStr">
        <is>
          <t>2575.0</t>
        </is>
      </c>
      <c r="S71" s="30" t="inlineStr"/>
      <c r="T71" s="30" t="inlineStr"/>
      <c r="U71" s="14" t="inlineStr"/>
      <c r="V71" s="14" t="inlineStr">
        <is>
          <t>NO</t>
        </is>
      </c>
      <c r="W71" s="14" t="inlineStr">
        <is>
          <t>—</t>
        </is>
      </c>
      <c r="X71" s="14" t="inlineStr">
        <is>
          <t>—</t>
        </is>
      </c>
      <c r="Y71" s="14" t="inlineStr"/>
      <c r="Z71" s="30" t="inlineStr">
        <is>
          <t>—</t>
        </is>
      </c>
      <c r="AA71" s="30" t="b">
        <v>0</v>
      </c>
      <c r="AB71" s="30" t="b">
        <v>0</v>
      </c>
      <c r="AC71" s="30" t="b">
        <v>1</v>
      </c>
      <c r="AD71" s="19" t="inlineStr">
        <is>
          <t>SI</t>
        </is>
      </c>
      <c r="AE71" s="30" t="inlineStr">
        <is>
          <t>COOPERATIVA AGRARIA DE SERVICIOS MULTIPLES PARA EL PROGRESO E INTEGRACION DE CAFETALEROS</t>
        </is>
      </c>
      <c r="AF71" s="30" t="inlineStr">
        <is>
          <t>CAJAMARCA</t>
        </is>
      </c>
      <c r="AG71" s="30" t="inlineStr">
        <is>
          <t>JAEN</t>
        </is>
      </c>
      <c r="AH71" s="30" t="inlineStr">
        <is>
          <t>JAEN</t>
        </is>
      </c>
      <c r="AI71" s="30" t="inlineStr">
        <is>
          <t>JAEN</t>
        </is>
      </c>
      <c r="AJ71" s="30" t="inlineStr">
        <is>
          <t>CULTIVO DE PLANTAS CON LAS QUE SE PREPARAN BEBIDAS</t>
        </is>
      </c>
      <c r="AK71" s="30" t="inlineStr">
        <is>
          <t>1.0</t>
        </is>
      </c>
      <c r="AL71" s="30" t="inlineStr">
        <is>
          <t>1.0</t>
        </is>
      </c>
      <c r="AM71" s="30" t="inlineStr">
        <is>
          <t>2.0</t>
        </is>
      </c>
      <c r="AN71" s="30" t="n">
        <v>1</v>
      </c>
      <c r="AO71" s="30" t="inlineStr">
        <is>
          <t>YAJAHUANCA PEÑA TEODORO</t>
        </is>
      </c>
      <c r="AP71" s="30" t="inlineStr">
        <is>
          <t>ADMINISTRACION Y NEGOCIOS INTERNACIONALES</t>
        </is>
      </c>
      <c r="AQ71" s="30" t="inlineStr">
        <is>
          <t>10.0</t>
        </is>
      </c>
      <c r="AR71" s="30" t="inlineStr">
        <is>
          <t>NO TIENE</t>
        </is>
      </c>
      <c r="AS71" s="30" t="inlineStr">
        <is>
          <t>COOPCOPICAFEGERENCIA@GMAIL.COM</t>
        </is>
      </c>
      <c r="AT71" s="30" t="inlineStr">
        <is>
          <t>952284766</t>
        </is>
      </c>
      <c r="AU71" s="30" t="inlineStr">
        <is>
          <t>-5.697665000000001</t>
        </is>
      </c>
      <c r="AV71" s="30" t="inlineStr">
        <is>
          <t>-78.80726833333333</t>
        </is>
      </c>
      <c r="AW71" s="30" t="inlineStr">
        <is>
          <t>2016.0</t>
        </is>
      </c>
      <c r="AX71" s="30" t="inlineStr">
        <is>
          <t>2016.0</t>
        </is>
      </c>
      <c r="AY71" s="30" t="inlineStr">
        <is>
          <t>1</t>
        </is>
      </c>
      <c r="AZ71" s="30" t="inlineStr">
        <is>
          <t>sept-2026</t>
        </is>
      </c>
      <c r="BA71" t="inlineStr">
        <is>
          <t>AUSTRALIA; BELGIUM; ITALY; UNITED STATES</t>
        </is>
      </c>
      <c r="BB71" t="n">
        <v>2022</v>
      </c>
      <c r="BC71" t="n">
        <v>2023</v>
      </c>
      <c r="BD71" s="81">
        <f>0</f>
        <v/>
      </c>
      <c r="BE71" s="81">
        <f>IFERROR((IF(ISNUMBER(T71),MIN(T71/30,1),0)+IF(ISNUMBER(P71),MIN(P71/500,1),0))/2,0)</f>
        <v/>
      </c>
      <c r="BF71" s="81">
        <f>IFERROR(IF(OR(U71&lt;&gt;"",V71="SÍ"),IF(ISNUMBER(L71),(1*MIN(L71/10000,1))^0.5,0),IF(ISNUMBER(L71),(0*MIN(L71/10000,1))^0.5,0)),0)</f>
        <v/>
      </c>
    </row>
    <row r="72">
      <c r="A72" t="inlineStr">
        <is>
          <t>CENACOOP; CENCOOP 2017</t>
        </is>
      </c>
      <c r="B72" s="70" t="inlineStr">
        <is>
          <t>20449165927</t>
        </is>
      </c>
      <c r="C72" s="29" t="inlineStr">
        <is>
          <t>Cooperativa Agraria de Usuarios Herbay Limitada</t>
        </is>
      </c>
      <c r="D72" s="29" t="inlineStr"/>
      <c r="E72" s="29" t="inlineStr">
        <is>
          <t>VENTA AL POR MENOR DE ALIMENTOS, BEBIDAS Y TABACO EN ALMACENES ESPECIALIZADOS</t>
        </is>
      </c>
      <c r="F72" s="29" t="inlineStr">
        <is>
          <t>Lima</t>
        </is>
      </c>
      <c r="G72" s="29" t="inlineStr">
        <is>
          <t>Cañete</t>
        </is>
      </c>
      <c r="H72" s="29" t="inlineStr">
        <is>
          <t>—</t>
        </is>
      </c>
      <c r="I72" s="29" t="inlineStr">
        <is>
          <t>—</t>
        </is>
      </c>
      <c r="J72" s="29" t="n"/>
      <c r="K72" s="29" t="inlineStr">
        <is>
          <t>NO</t>
        </is>
      </c>
      <c r="L72" s="29" t="n"/>
      <c r="M72" s="29" t="n"/>
      <c r="N72" s="29" t="n"/>
      <c r="O72" s="29" t="n"/>
      <c r="P72" s="29" t="inlineStr"/>
      <c r="Q72" s="29" t="inlineStr"/>
      <c r="R72" s="18" t="inlineStr">
        <is>
          <t>2575.0</t>
        </is>
      </c>
      <c r="S72" s="29" t="inlineStr"/>
      <c r="T72" s="29" t="inlineStr"/>
      <c r="U72" s="18" t="inlineStr"/>
      <c r="V72" s="18" t="inlineStr">
        <is>
          <t>NO</t>
        </is>
      </c>
      <c r="W72" s="18" t="inlineStr">
        <is>
          <t>—</t>
        </is>
      </c>
      <c r="X72" s="18" t="inlineStr">
        <is>
          <t>—</t>
        </is>
      </c>
      <c r="Y72" s="18" t="inlineStr"/>
      <c r="Z72" s="29" t="inlineStr">
        <is>
          <t>—</t>
        </is>
      </c>
      <c r="AA72" s="29" t="b">
        <v>0</v>
      </c>
      <c r="AB72" s="29" t="b">
        <v>0</v>
      </c>
      <c r="AC72" s="29" t="b">
        <v>1</v>
      </c>
      <c r="AD72" s="19" t="inlineStr">
        <is>
          <t>SI</t>
        </is>
      </c>
      <c r="AE72" s="29" t="inlineStr">
        <is>
          <t>COOPERATIVA AGRARIA DE USUARIOS HERBAY LTDA.</t>
        </is>
      </c>
      <c r="AF72" s="29" t="inlineStr">
        <is>
          <t>LIMA</t>
        </is>
      </c>
      <c r="AG72" s="29" t="inlineStr">
        <is>
          <t>CAÑETE</t>
        </is>
      </c>
      <c r="AH72" s="29" t="inlineStr">
        <is>
          <t>SAN VICENTE DE CAÑETE</t>
        </is>
      </c>
      <c r="AI72" s="29" t="inlineStr">
        <is>
          <t>SAN VICENTE DE CAÑETE</t>
        </is>
      </c>
      <c r="AJ72" s="29" t="inlineStr">
        <is>
          <t>CULTIVO DE PRODUCTOS AGRÌCOLAS EN COMBINACIÒN CON LA CRÌA DE ANIMALES</t>
        </is>
      </c>
      <c r="AK72" s="29" t="inlineStr">
        <is>
          <t>1.0</t>
        </is>
      </c>
      <c r="AL72" s="29" t="inlineStr">
        <is>
          <t>1.0</t>
        </is>
      </c>
      <c r="AM72" s="29" t="inlineStr">
        <is>
          <t>2.0</t>
        </is>
      </c>
      <c r="AN72" s="29" t="n">
        <v>16</v>
      </c>
      <c r="AO72" s="29" t="inlineStr">
        <is>
          <t>MATEO ROJAS LUIS ALBERTO</t>
        </is>
      </c>
      <c r="AP72" s="29" t="inlineStr">
        <is>
          <t>CONTADOR</t>
        </is>
      </c>
      <c r="AQ72" s="29" t="inlineStr">
        <is>
          <t>10.0</t>
        </is>
      </c>
      <c r="AR72" s="29" t="inlineStr">
        <is>
          <t>NO TIENE</t>
        </is>
      </c>
      <c r="AS72" s="29" t="inlineStr">
        <is>
          <t>NO TIENE</t>
        </is>
      </c>
      <c r="AT72" s="29" t="inlineStr">
        <is>
          <t>NO TIENE</t>
        </is>
      </c>
      <c r="AU72" s="29" t="inlineStr">
        <is>
          <t>-13.075381666666665</t>
        </is>
      </c>
      <c r="AV72" s="29" t="inlineStr">
        <is>
          <t>-76.39004</t>
        </is>
      </c>
      <c r="AW72" s="29" t="inlineStr">
        <is>
          <t>1973.0</t>
        </is>
      </c>
      <c r="AX72" s="29" t="inlineStr">
        <is>
          <t>2001.0</t>
        </is>
      </c>
      <c r="AY72" s="29" t="inlineStr">
        <is>
          <t>1</t>
        </is>
      </c>
      <c r="AZ72" s="29" t="inlineStr">
        <is>
          <t>sept-2026</t>
        </is>
      </c>
      <c r="BD72" s="81">
        <f>0</f>
        <v/>
      </c>
      <c r="BE72" s="81">
        <f>IFERROR((IF(ISNUMBER(T72),MIN(T72/30,1),0)+IF(ISNUMBER(P72),MIN(P72/500,1),0))/2,0)</f>
        <v/>
      </c>
      <c r="BF72" s="81">
        <f>IFERROR(IF(OR(U72&lt;&gt;"",V72="SÍ"),IF(ISNUMBER(L72),(1*MIN(L72/10000,1))^0.5,0),IF(ISNUMBER(L72),(0*MIN(L72/10000,1))^0.5,0)),0)</f>
        <v/>
      </c>
    </row>
    <row r="73">
      <c r="A73" t="inlineStr">
        <is>
          <t>CENACOOP; CENCOOP 2017</t>
        </is>
      </c>
      <c r="B73" s="70" t="inlineStr">
        <is>
          <t>20529595787</t>
        </is>
      </c>
      <c r="C73" s="30" t="inlineStr">
        <is>
          <t>Cooperativa Agraria del Alto Jequetepeque</t>
        </is>
      </c>
      <c r="D73" s="30" t="inlineStr"/>
      <c r="E73" s="30" t="inlineStr">
        <is>
          <t>VENTA AL POR MENOR DE ALIMENTOS, BEBIDAS Y TABACO EN ALMACENES ESPECIALIZADOS</t>
        </is>
      </c>
      <c r="F73" s="30" t="inlineStr">
        <is>
          <t>ICA</t>
        </is>
      </c>
      <c r="G73" s="30" t="inlineStr">
        <is>
          <t>—</t>
        </is>
      </c>
      <c r="H73" s="30" t="inlineStr">
        <is>
          <t>—</t>
        </is>
      </c>
      <c r="I73" s="30" t="inlineStr">
        <is>
          <t>—</t>
        </is>
      </c>
      <c r="J73" s="30" t="n"/>
      <c r="K73" s="30" t="inlineStr">
        <is>
          <t>NO</t>
        </is>
      </c>
      <c r="L73" s="30" t="n"/>
      <c r="M73" s="30" t="n"/>
      <c r="N73" s="30" t="n"/>
      <c r="O73" s="30" t="n"/>
      <c r="P73" s="30" t="inlineStr"/>
      <c r="Q73" s="30" t="inlineStr"/>
      <c r="R73" s="14" t="inlineStr">
        <is>
          <t>2575.0</t>
        </is>
      </c>
      <c r="S73" s="30" t="inlineStr"/>
      <c r="T73" s="30" t="inlineStr"/>
      <c r="U73" s="14" t="inlineStr"/>
      <c r="V73" s="14" t="inlineStr">
        <is>
          <t>NO</t>
        </is>
      </c>
      <c r="W73" s="14" t="inlineStr">
        <is>
          <t>—</t>
        </is>
      </c>
      <c r="X73" s="14" t="inlineStr">
        <is>
          <t>—</t>
        </is>
      </c>
      <c r="Y73" s="14" t="inlineStr"/>
      <c r="Z73" s="30" t="inlineStr">
        <is>
          <t>—</t>
        </is>
      </c>
      <c r="AA73" s="30" t="b">
        <v>0</v>
      </c>
      <c r="AB73" s="30" t="b">
        <v>0</v>
      </c>
      <c r="AC73" s="30" t="b">
        <v>1</v>
      </c>
      <c r="AD73" s="19" t="inlineStr">
        <is>
          <t>SI</t>
        </is>
      </c>
      <c r="AE73" s="30" t="inlineStr">
        <is>
          <t>COOPERATIVA DE SERVICIOS MULTIPLES DE LA CUENCA DEL JEQUETEPEQUE</t>
        </is>
      </c>
      <c r="AF73" s="30" t="inlineStr">
        <is>
          <t>CAJAMARCA</t>
        </is>
      </c>
      <c r="AG73" s="30" t="inlineStr">
        <is>
          <t>CONTUMAZA</t>
        </is>
      </c>
      <c r="AH73" s="30" t="inlineStr">
        <is>
          <t>CHILETE</t>
        </is>
      </c>
      <c r="AI73" s="30" t="inlineStr">
        <is>
          <t>CHILETE</t>
        </is>
      </c>
      <c r="AJ73" s="30" t="inlineStr">
        <is>
          <t>VENTA AL POR MAYOR DE MATERIAS PRIMAS AGROPECUARIAS Y ANIMALES VIVOS.</t>
        </is>
      </c>
      <c r="AK73" s="30" t="inlineStr">
        <is>
          <t>1.0</t>
        </is>
      </c>
      <c r="AL73" s="30" t="inlineStr">
        <is>
          <t>1.0</t>
        </is>
      </c>
      <c r="AM73" s="30" t="inlineStr">
        <is>
          <t>1.0</t>
        </is>
      </c>
      <c r="AN73" s="30" t="n">
        <v>5</v>
      </c>
      <c r="AO73" s="30" t="inlineStr">
        <is>
          <t>SERRANO CERNA JOSE HELITAR</t>
        </is>
      </c>
      <c r="AP73" s="30" t="inlineStr">
        <is>
          <t>ADMINISTRADOR</t>
        </is>
      </c>
      <c r="AQ73" s="30" t="inlineStr">
        <is>
          <t>10.0</t>
        </is>
      </c>
      <c r="AR73" s="30" t="inlineStr">
        <is>
          <t>NO TIENE</t>
        </is>
      </c>
      <c r="AS73" s="30" t="inlineStr">
        <is>
          <t>NO TIENE</t>
        </is>
      </c>
      <c r="AT73" s="30" t="inlineStr">
        <is>
          <t>NO TIENE</t>
        </is>
      </c>
      <c r="AU73" s="30" t="inlineStr">
        <is>
          <t>-7.221749999999999</t>
        </is>
      </c>
      <c r="AV73" s="30" t="inlineStr">
        <is>
          <t>-78.839175</t>
        </is>
      </c>
      <c r="AW73" s="30" t="inlineStr">
        <is>
          <t>2012.0</t>
        </is>
      </c>
      <c r="AX73" s="30" t="inlineStr">
        <is>
          <t>2012.0</t>
        </is>
      </c>
      <c r="AY73" s="30" t="inlineStr">
        <is>
          <t>1</t>
        </is>
      </c>
      <c r="AZ73" s="30" t="inlineStr">
        <is>
          <t>sept-2026</t>
        </is>
      </c>
      <c r="BD73" s="81">
        <f>0</f>
        <v/>
      </c>
      <c r="BE73" s="81">
        <f>IFERROR((IF(ISNUMBER(T73),MIN(T73/30,1),0)+IF(ISNUMBER(P73),MIN(P73/500,1),0))/2,0)</f>
        <v/>
      </c>
      <c r="BF73" s="81">
        <f>IFERROR(IF(OR(U73&lt;&gt;"",V73="SÍ"),IF(ISNUMBER(L73),(1*MIN(L73/10000,1))^0.5,0),IF(ISNUMBER(L73),(0*MIN(L73/10000,1))^0.5,0)),0)</f>
        <v/>
      </c>
    </row>
    <row r="74">
      <c r="A74" t="inlineStr">
        <is>
          <t>CENACOOP; CENCOOP 2017</t>
        </is>
      </c>
      <c r="B74" s="70" t="inlineStr">
        <is>
          <t>20601427690</t>
        </is>
      </c>
      <c r="C74" s="29" t="inlineStr">
        <is>
          <t>Cooperativa Agraria e Industrial Pangoa Vraem Limitada</t>
        </is>
      </c>
      <c r="D74" s="29" t="inlineStr"/>
      <c r="E74" s="29" t="inlineStr">
        <is>
          <t>VENTA AL POR MENOR DE ALIMENTOS, BEBIDAS Y TABACO EN ALMACENES ESPECIALIZADOS</t>
        </is>
      </c>
      <c r="F74" s="29" t="inlineStr">
        <is>
          <t>ICA</t>
        </is>
      </c>
      <c r="G74" s="29" t="inlineStr">
        <is>
          <t>—</t>
        </is>
      </c>
      <c r="H74" s="29" t="inlineStr">
        <is>
          <t>Junín (San Martín de Pangoa, Satipo)</t>
        </is>
      </c>
      <c r="I74" s="29" t="inlineStr">
        <is>
          <t>Café / Cacao</t>
        </is>
      </c>
      <c r="J74" s="29" t="n"/>
      <c r="K74" s="29" t="inlineStr">
        <is>
          <t>NO</t>
        </is>
      </c>
      <c r="L74" s="29" t="n"/>
      <c r="M74" s="29" t="n"/>
      <c r="N74" s="29" t="n"/>
      <c r="O74" s="29" t="n"/>
      <c r="P74" s="29" t="inlineStr"/>
      <c r="Q74" s="29" t="inlineStr"/>
      <c r="R74" s="18" t="inlineStr">
        <is>
          <t>2575.0</t>
        </is>
      </c>
      <c r="S74" s="29" t="inlineStr"/>
      <c r="T74" s="29" t="inlineStr"/>
      <c r="U74" s="18" t="inlineStr"/>
      <c r="V74" s="15" t="inlineStr">
        <is>
          <t>SÍ</t>
        </is>
      </c>
      <c r="W74" s="18" t="inlineStr">
        <is>
          <t>—</t>
        </is>
      </c>
      <c r="X74" s="18" t="inlineStr">
        <is>
          <t>Fundada en 1977; 698 socios (135 mujeres)</t>
        </is>
      </c>
      <c r="Y74" s="18" t="inlineStr"/>
      <c r="Z74" s="29" t="inlineStr">
        <is>
          <t>No disponible — requiere consulta directa (SUNAT/RUC.PE) o solicitud a la organización</t>
        </is>
      </c>
      <c r="AA74" s="29" t="b">
        <v>0</v>
      </c>
      <c r="AB74" s="29" t="b">
        <v>0</v>
      </c>
      <c r="AC74" s="29" t="b">
        <v>1</v>
      </c>
      <c r="AD74" s="19" t="inlineStr">
        <is>
          <t>SI</t>
        </is>
      </c>
      <c r="AE74" s="29" t="inlineStr">
        <is>
          <t>COOPERATIVA AGROINDUSTRIAL PANGOA VRAEM</t>
        </is>
      </c>
      <c r="AF74" s="29" t="inlineStr">
        <is>
          <t>JUNIN</t>
        </is>
      </c>
      <c r="AG74" s="29" t="inlineStr">
        <is>
          <t>SATIPO</t>
        </is>
      </c>
      <c r="AH74" s="29" t="inlineStr">
        <is>
          <t>PANGOA</t>
        </is>
      </c>
      <c r="AI74" s="29" t="inlineStr">
        <is>
          <t>SAN RAMON DE PANGOA</t>
        </is>
      </c>
      <c r="AJ74" s="29" t="inlineStr">
        <is>
          <t>VENTA AL POR MAYOR DE ALIMENTOS, BEBIDAS Y TABACO.</t>
        </is>
      </c>
      <c r="AK74" s="29" t="inlineStr">
        <is>
          <t>3.0</t>
        </is>
      </c>
      <c r="AL74" s="29" t="inlineStr">
        <is>
          <t>1.0</t>
        </is>
      </c>
      <c r="AM74" s="29" t="inlineStr">
        <is>
          <t>1.0</t>
        </is>
      </c>
      <c r="AN74" s="29" t="n">
        <v>1</v>
      </c>
      <c r="AO74" s="29" t="inlineStr">
        <is>
          <t>ALCALA CALLE SARA ANABEL</t>
        </is>
      </c>
      <c r="AP74" s="29" t="inlineStr">
        <is>
          <t>ABOGADO</t>
        </is>
      </c>
      <c r="AQ74" s="29" t="inlineStr">
        <is>
          <t>9.0</t>
        </is>
      </c>
      <c r="AR74" s="29" t="inlineStr">
        <is>
          <t>NO TIENE</t>
        </is>
      </c>
      <c r="AS74" s="29" t="inlineStr">
        <is>
          <t>CAI_PANGOA@HOTMAIL.COM</t>
        </is>
      </c>
      <c r="AT74" s="29" t="inlineStr">
        <is>
          <t>NO TIENE</t>
        </is>
      </c>
      <c r="AU74" s="29" t="inlineStr">
        <is>
          <t>-11.432515</t>
        </is>
      </c>
      <c r="AV74" s="29" t="inlineStr">
        <is>
          <t>-74.48422833333333</t>
        </is>
      </c>
      <c r="AW74" s="29" t="inlineStr">
        <is>
          <t>2015.0</t>
        </is>
      </c>
      <c r="AX74" s="29" t="inlineStr">
        <is>
          <t>2016.0</t>
        </is>
      </c>
      <c r="AY74" s="29" t="inlineStr">
        <is>
          <t>1</t>
        </is>
      </c>
      <c r="AZ74" s="29" t="inlineStr">
        <is>
          <t>sept-2026</t>
        </is>
      </c>
      <c r="BD74" s="81">
        <f>0</f>
        <v/>
      </c>
      <c r="BE74" s="81">
        <f>IFERROR((IF(ISNUMBER(T74),MIN(T74/30,1),0)+IF(ISNUMBER(P74),MIN(P74/500,1),0))/2,0)</f>
        <v/>
      </c>
      <c r="BF74" s="81">
        <f>IFERROR(IF(OR(U74&lt;&gt;"",V74="SÍ"),IF(ISNUMBER(L74),(1*MIN(L74/10000,1))^0.5,0),IF(ISNUMBER(L74),(0*MIN(L74/10000,1))^0.5,0)),0)</f>
        <v/>
      </c>
    </row>
    <row r="75">
      <c r="A75" t="inlineStr">
        <is>
          <t>CENACOOP; CENCOOP 2017</t>
        </is>
      </c>
      <c r="B75" s="70" t="inlineStr">
        <is>
          <t>20129846772</t>
        </is>
      </c>
      <c r="C75" s="30" t="inlineStr">
        <is>
          <t>Cooperativa Comunal Quiulacocha Ltda. 11</t>
        </is>
      </c>
      <c r="D75" s="30" t="inlineStr"/>
      <c r="E75" s="30" t="inlineStr">
        <is>
          <t>—</t>
        </is>
      </c>
      <c r="F75" s="30" t="inlineStr">
        <is>
          <t>Pasco</t>
        </is>
      </c>
      <c r="G75" s="30" t="inlineStr">
        <is>
          <t>Pasco</t>
        </is>
      </c>
      <c r="H75" s="30" t="inlineStr">
        <is>
          <t>—</t>
        </is>
      </c>
      <c r="I75" s="30" t="inlineStr">
        <is>
          <t>—</t>
        </is>
      </c>
      <c r="J75" s="30" t="n"/>
      <c r="K75" s="30" t="inlineStr">
        <is>
          <t>NO</t>
        </is>
      </c>
      <c r="L75" s="30" t="n"/>
      <c r="M75" s="30" t="n"/>
      <c r="N75" s="30" t="n"/>
      <c r="O75" s="30" t="n"/>
      <c r="P75" s="30" t="inlineStr"/>
      <c r="Q75" s="30" t="inlineStr"/>
      <c r="R75" s="14" t="inlineStr">
        <is>
          <t>—</t>
        </is>
      </c>
      <c r="S75" s="30" t="inlineStr"/>
      <c r="T75" s="30" t="inlineStr"/>
      <c r="U75" s="14" t="inlineStr"/>
      <c r="V75" s="14" t="inlineStr">
        <is>
          <t>NO</t>
        </is>
      </c>
      <c r="W75" s="14" t="inlineStr">
        <is>
          <t>—</t>
        </is>
      </c>
      <c r="X75" s="14" t="inlineStr">
        <is>
          <t>—</t>
        </is>
      </c>
      <c r="Y75" s="14" t="inlineStr"/>
      <c r="Z75" s="30" t="inlineStr">
        <is>
          <t>—</t>
        </is>
      </c>
      <c r="AA75" s="30" t="b">
        <v>0</v>
      </c>
      <c r="AB75" s="30" t="b">
        <v>0</v>
      </c>
      <c r="AC75" s="30" t="b">
        <v>1</v>
      </c>
      <c r="AD75" s="19" t="inlineStr">
        <is>
          <t>SI</t>
        </is>
      </c>
      <c r="AE75" s="30" t="inlineStr">
        <is>
          <t>COOPERATIVA COMUNAL QUIULACOCHA LTDA. N° 11</t>
        </is>
      </c>
      <c r="AF75" s="30" t="inlineStr">
        <is>
          <t>PASCO</t>
        </is>
      </c>
      <c r="AG75" s="30" t="inlineStr">
        <is>
          <t>PASCO</t>
        </is>
      </c>
      <c r="AH75" s="30" t="inlineStr">
        <is>
          <t>SIMON BOLIVAR</t>
        </is>
      </c>
      <c r="AI75" s="30" t="inlineStr">
        <is>
          <t>QUIULACOCHA</t>
        </is>
      </c>
      <c r="AJ75" s="30" t="inlineStr">
        <is>
          <t>CRÍA DE OVEJAS Y CABRAS</t>
        </is>
      </c>
      <c r="AK75" s="30" t="inlineStr">
        <is>
          <t>15.0</t>
        </is>
      </c>
      <c r="AL75" s="30" t="inlineStr">
        <is>
          <t>1.0</t>
        </is>
      </c>
      <c r="AM75" s="30" t="inlineStr">
        <is>
          <t>2.0</t>
        </is>
      </c>
      <c r="AN75" s="30" t="n">
        <v>45</v>
      </c>
      <c r="AO75" s="30" t="inlineStr">
        <is>
          <t>BENITO BALDEON HERMITAÑO</t>
        </is>
      </c>
      <c r="AP75" s="30" t="inlineStr">
        <is>
          <t>INGENIERO ZOOTECNISTA</t>
        </is>
      </c>
      <c r="AQ75" s="30" t="inlineStr">
        <is>
          <t>10.0</t>
        </is>
      </c>
      <c r="AR75" s="30" t="inlineStr">
        <is>
          <t>NO TIENE</t>
        </is>
      </c>
      <c r="AS75" s="30" t="inlineStr">
        <is>
          <t>NO TIENE</t>
        </is>
      </c>
      <c r="AT75" s="30" t="inlineStr">
        <is>
          <t>NO TIENE</t>
        </is>
      </c>
      <c r="AU75" s="30" t="inlineStr">
        <is>
          <t>-10.702615</t>
        </is>
      </c>
      <c r="AV75" s="30" t="inlineStr">
        <is>
          <t>-76.29107333333333</t>
        </is>
      </c>
      <c r="AW75" s="30" t="inlineStr">
        <is>
          <t>1970.0</t>
        </is>
      </c>
      <c r="AX75" s="30" t="inlineStr">
        <is>
          <t>1972.0</t>
        </is>
      </c>
      <c r="AY75" s="30" t="inlineStr">
        <is>
          <t>1</t>
        </is>
      </c>
      <c r="AZ75" s="30" t="inlineStr">
        <is>
          <t>sept-2026</t>
        </is>
      </c>
      <c r="BD75" s="81">
        <f>0</f>
        <v/>
      </c>
      <c r="BE75" s="81">
        <f>IFERROR((IF(ISNUMBER(T75),MIN(T75/30,1),0)+IF(ISNUMBER(P75),MIN(P75/500,1),0))/2,0)</f>
        <v/>
      </c>
      <c r="BF75" s="81">
        <f>IFERROR(IF(OR(U75&lt;&gt;"",V75="SÍ"),IF(ISNUMBER(L75),(1*MIN(L75/10000,1))^0.5,0),IF(ISNUMBER(L75),(0*MIN(L75/10000,1))^0.5,0)),0)</f>
        <v/>
      </c>
    </row>
    <row r="76">
      <c r="A76" t="inlineStr">
        <is>
          <t>CENACOOP; CENCOOP 2017</t>
        </is>
      </c>
      <c r="B76" s="70" t="inlineStr">
        <is>
          <t>20130740384</t>
        </is>
      </c>
      <c r="C76" s="29" t="inlineStr">
        <is>
          <t>Cooperativa Comunal Sacra Familia Ltda 13</t>
        </is>
      </c>
      <c r="D76" s="29" t="inlineStr"/>
      <c r="E76" s="29" t="inlineStr">
        <is>
          <t>—</t>
        </is>
      </c>
      <c r="F76" s="29" t="inlineStr">
        <is>
          <t>Pasco</t>
        </is>
      </c>
      <c r="G76" s="29" t="inlineStr">
        <is>
          <t>Pasco</t>
        </is>
      </c>
      <c r="H76" s="29" t="inlineStr">
        <is>
          <t>—</t>
        </is>
      </c>
      <c r="I76" s="29" t="inlineStr">
        <is>
          <t>—</t>
        </is>
      </c>
      <c r="J76" s="29" t="n"/>
      <c r="K76" s="29" t="inlineStr">
        <is>
          <t>NO</t>
        </is>
      </c>
      <c r="L76" s="29" t="n"/>
      <c r="M76" s="29" t="n"/>
      <c r="N76" s="29" t="n"/>
      <c r="O76" s="29" t="n"/>
      <c r="P76" s="29" t="inlineStr"/>
      <c r="Q76" s="29" t="inlineStr"/>
      <c r="R76" s="18" t="inlineStr">
        <is>
          <t>—</t>
        </is>
      </c>
      <c r="S76" s="29" t="inlineStr"/>
      <c r="T76" s="29" t="inlineStr"/>
      <c r="U76" s="18" t="inlineStr"/>
      <c r="V76" s="18" t="inlineStr">
        <is>
          <t>NO</t>
        </is>
      </c>
      <c r="W76" s="18" t="inlineStr">
        <is>
          <t>—</t>
        </is>
      </c>
      <c r="X76" s="18" t="inlineStr">
        <is>
          <t>—</t>
        </is>
      </c>
      <c r="Y76" s="18" t="inlineStr"/>
      <c r="Z76" s="29" t="inlineStr">
        <is>
          <t>—</t>
        </is>
      </c>
      <c r="AA76" s="29" t="b">
        <v>0</v>
      </c>
      <c r="AB76" s="29" t="b">
        <v>0</v>
      </c>
      <c r="AC76" s="29" t="b">
        <v>1</v>
      </c>
      <c r="AD76" s="19" t="inlineStr">
        <is>
          <t>SI</t>
        </is>
      </c>
      <c r="AE76" s="29" t="inlineStr">
        <is>
          <t>COPERATIVA COMUNAL SACRAFAMILIA LTDA. N° 13</t>
        </is>
      </c>
      <c r="AF76" s="29" t="inlineStr">
        <is>
          <t>PASCO</t>
        </is>
      </c>
      <c r="AG76" s="29" t="inlineStr">
        <is>
          <t>PASCO</t>
        </is>
      </c>
      <c r="AH76" s="29" t="inlineStr">
        <is>
          <t>SIMON BOLIVAR</t>
        </is>
      </c>
      <c r="AI76" s="29" t="inlineStr">
        <is>
          <t>SACRA FAMILIA</t>
        </is>
      </c>
      <c r="AJ76" s="29" t="inlineStr">
        <is>
          <t>CRÍA DE OVEJAS Y CABRAS</t>
        </is>
      </c>
      <c r="AK76" s="29" t="inlineStr">
        <is>
          <t>15.0</t>
        </is>
      </c>
      <c r="AL76" s="29" t="inlineStr">
        <is>
          <t>1.0</t>
        </is>
      </c>
      <c r="AM76" s="29" t="inlineStr">
        <is>
          <t>1.0</t>
        </is>
      </c>
      <c r="AN76" s="29" t="n">
        <v>45</v>
      </c>
      <c r="AO76" s="29" t="inlineStr">
        <is>
          <t>VARGAS ROJAS RAUL PEDRO</t>
        </is>
      </c>
      <c r="AP76" s="29" t="inlineStr"/>
      <c r="AQ76" s="29" t="inlineStr"/>
      <c r="AR76" s="29" t="inlineStr">
        <is>
          <t>NO TIENE</t>
        </is>
      </c>
      <c r="AS76" s="29" t="inlineStr">
        <is>
          <t>NO TIENE</t>
        </is>
      </c>
      <c r="AT76" s="29" t="inlineStr">
        <is>
          <t>NO TIENE</t>
        </is>
      </c>
      <c r="AU76" s="29" t="inlineStr">
        <is>
          <t>-10.748606666666667</t>
        </is>
      </c>
      <c r="AV76" s="29" t="inlineStr">
        <is>
          <t>-76.31197</t>
        </is>
      </c>
      <c r="AW76" s="29" t="inlineStr">
        <is>
          <t>1972.0</t>
        </is>
      </c>
      <c r="AX76" s="29" t="inlineStr">
        <is>
          <t>1972.0</t>
        </is>
      </c>
      <c r="AY76" s="29" t="inlineStr">
        <is>
          <t>1</t>
        </is>
      </c>
      <c r="AZ76" s="29" t="inlineStr">
        <is>
          <t>sept-2026</t>
        </is>
      </c>
      <c r="BD76" s="81">
        <f>0</f>
        <v/>
      </c>
      <c r="BE76" s="81">
        <f>IFERROR((IF(ISNUMBER(T76),MIN(T76/30,1),0)+IF(ISNUMBER(P76),MIN(P76/500,1),0))/2,0)</f>
        <v/>
      </c>
      <c r="BF76" s="81">
        <f>IFERROR(IF(OR(U76&lt;&gt;"",V76="SÍ"),IF(ISNUMBER(L76),(1*MIN(L76/10000,1))^0.5,0),IF(ISNUMBER(L76),(0*MIN(L76/10000,1))^0.5,0)),0)</f>
        <v/>
      </c>
    </row>
    <row r="77">
      <c r="A77" t="inlineStr">
        <is>
          <t>CENACOOP; CENCOOP 2017; SISPAC</t>
        </is>
      </c>
      <c r="B77" s="70" t="inlineStr">
        <is>
          <t>20131453427</t>
        </is>
      </c>
      <c r="C77" s="30" t="inlineStr">
        <is>
          <t>Cooperativa Comunal San Pedro de Racco</t>
        </is>
      </c>
      <c r="D77" s="30" t="inlineStr"/>
      <c r="E77" s="30" t="inlineStr">
        <is>
          <t>—</t>
        </is>
      </c>
      <c r="F77" s="30" t="inlineStr">
        <is>
          <t>Pasco</t>
        </is>
      </c>
      <c r="G77" s="30" t="inlineStr">
        <is>
          <t>Pasco</t>
        </is>
      </c>
      <c r="H77" s="30" t="inlineStr">
        <is>
          <t>—</t>
        </is>
      </c>
      <c r="I77" s="30" t="inlineStr">
        <is>
          <t>—</t>
        </is>
      </c>
      <c r="J77" s="30" t="n"/>
      <c r="K77" s="30" t="inlineStr">
        <is>
          <t>NO</t>
        </is>
      </c>
      <c r="L77" s="30" t="n"/>
      <c r="M77" s="30" t="n"/>
      <c r="N77" s="30" t="n"/>
      <c r="O77" s="30" t="n"/>
      <c r="P77" s="30" t="inlineStr"/>
      <c r="Q77" s="30" t="inlineStr"/>
      <c r="R77" s="14" t="inlineStr">
        <is>
          <t>—</t>
        </is>
      </c>
      <c r="S77" s="30" t="inlineStr"/>
      <c r="T77" s="30" t="inlineStr"/>
      <c r="U77" s="14" t="inlineStr"/>
      <c r="V77" s="14" t="inlineStr">
        <is>
          <t>NO</t>
        </is>
      </c>
      <c r="W77" s="14" t="inlineStr">
        <is>
          <t>—</t>
        </is>
      </c>
      <c r="X77" s="14" t="inlineStr">
        <is>
          <t>—</t>
        </is>
      </c>
      <c r="Y77" s="14" t="inlineStr"/>
      <c r="Z77" s="30" t="inlineStr">
        <is>
          <t>—</t>
        </is>
      </c>
      <c r="AA77" s="30" t="b">
        <v>0</v>
      </c>
      <c r="AB77" s="30" t="b">
        <v>0</v>
      </c>
      <c r="AC77" s="30" t="b">
        <v>1</v>
      </c>
      <c r="AD77" s="19" t="inlineStr">
        <is>
          <t>SI</t>
        </is>
      </c>
      <c r="AE77" s="30" t="inlineStr">
        <is>
          <t>COOPERATIVA COMUNAL SAN PEDRO DE RACCO</t>
        </is>
      </c>
      <c r="AF77" s="30" t="inlineStr">
        <is>
          <t>PASCO</t>
        </is>
      </c>
      <c r="AG77" s="30" t="inlineStr">
        <is>
          <t>PASCO</t>
        </is>
      </c>
      <c r="AH77" s="30" t="inlineStr">
        <is>
          <t>SIMON BOLIVAR</t>
        </is>
      </c>
      <c r="AI77" s="30" t="inlineStr">
        <is>
          <t>SAN PEDRO DE RACCO</t>
        </is>
      </c>
      <c r="AJ77" s="30" t="inlineStr">
        <is>
          <t>CRÍA DE OVEJAS Y CABRAS</t>
        </is>
      </c>
      <c r="AK77" s="30" t="inlineStr">
        <is>
          <t>15.0</t>
        </is>
      </c>
      <c r="AL77" s="30" t="inlineStr">
        <is>
          <t>1.0</t>
        </is>
      </c>
      <c r="AM77" s="30" t="inlineStr">
        <is>
          <t>1.0</t>
        </is>
      </c>
      <c r="AN77" s="30" t="n">
        <v>52</v>
      </c>
      <c r="AO77" s="30" t="inlineStr">
        <is>
          <t>YANTOS GUILLERMO FELIX</t>
        </is>
      </c>
      <c r="AP77" s="30" t="inlineStr">
        <is>
          <t>INGENIERO ZOOTECNISTA</t>
        </is>
      </c>
      <c r="AQ77" s="30" t="inlineStr">
        <is>
          <t>10.0</t>
        </is>
      </c>
      <c r="AR77" s="30" t="inlineStr">
        <is>
          <t>NO TIENE</t>
        </is>
      </c>
      <c r="AS77" s="30" t="inlineStr">
        <is>
          <t>NO TIENE</t>
        </is>
      </c>
      <c r="AT77" s="30" t="inlineStr">
        <is>
          <t>NO TIENE</t>
        </is>
      </c>
      <c r="AU77" s="30" t="inlineStr">
        <is>
          <t>-10.780145000000001</t>
        </is>
      </c>
      <c r="AV77" s="30" t="inlineStr">
        <is>
          <t>-76.38000000000001</t>
        </is>
      </c>
      <c r="AW77" s="30" t="inlineStr">
        <is>
          <t>1965.0</t>
        </is>
      </c>
      <c r="AX77" s="30" t="inlineStr">
        <is>
          <t>1965.0</t>
        </is>
      </c>
      <c r="AY77" s="30" t="inlineStr">
        <is>
          <t>1</t>
        </is>
      </c>
      <c r="AZ77" s="30" t="inlineStr">
        <is>
          <t>sept-2026</t>
        </is>
      </c>
      <c r="BD77" s="81">
        <f>0</f>
        <v/>
      </c>
      <c r="BE77" s="81">
        <f>IFERROR((IF(ISNUMBER(T77),MIN(T77/30,1),0)+IF(ISNUMBER(P77),MIN(P77/500,1),0))/2,0)</f>
        <v/>
      </c>
      <c r="BF77" s="81">
        <f>IFERROR(IF(OR(U77&lt;&gt;"",V77="SÍ"),IF(ISNUMBER(L77),(1*MIN(L77/10000,1))^0.5,0),IF(ISNUMBER(L77),(0*MIN(L77/10000,1))^0.5,0)),0)</f>
        <v/>
      </c>
    </row>
    <row r="78">
      <c r="A78" t="inlineStr">
        <is>
          <t>CENACOOP; CENCOOP 2017</t>
        </is>
      </c>
      <c r="B78" s="70" t="inlineStr">
        <is>
          <t>20129765420</t>
        </is>
      </c>
      <c r="C78" s="29" t="inlineStr">
        <is>
          <t>Cooperativa Comunal Yurajhuanca Ltda. 15.</t>
        </is>
      </c>
      <c r="D78" s="29" t="inlineStr"/>
      <c r="E78" s="29" t="inlineStr">
        <is>
          <t>—</t>
        </is>
      </c>
      <c r="F78" s="29" t="inlineStr">
        <is>
          <t>Pasco</t>
        </is>
      </c>
      <c r="G78" s="29" t="inlineStr">
        <is>
          <t>Pasco</t>
        </is>
      </c>
      <c r="H78" s="29" t="inlineStr">
        <is>
          <t>—</t>
        </is>
      </c>
      <c r="I78" s="29" t="inlineStr">
        <is>
          <t>—</t>
        </is>
      </c>
      <c r="J78" s="29" t="n"/>
      <c r="K78" s="29" t="inlineStr">
        <is>
          <t>NO</t>
        </is>
      </c>
      <c r="L78" s="29" t="n"/>
      <c r="M78" s="29" t="n"/>
      <c r="N78" s="29" t="n"/>
      <c r="O78" s="29" t="n"/>
      <c r="P78" s="29" t="inlineStr"/>
      <c r="Q78" s="29" t="inlineStr"/>
      <c r="R78" s="18" t="inlineStr">
        <is>
          <t>—</t>
        </is>
      </c>
      <c r="S78" s="29" t="inlineStr"/>
      <c r="T78" s="29" t="inlineStr"/>
      <c r="U78" s="18" t="inlineStr"/>
      <c r="V78" s="18" t="inlineStr">
        <is>
          <t>NO</t>
        </is>
      </c>
      <c r="W78" s="18" t="inlineStr">
        <is>
          <t>—</t>
        </is>
      </c>
      <c r="X78" s="18" t="inlineStr">
        <is>
          <t>—</t>
        </is>
      </c>
      <c r="Y78" s="18" t="inlineStr"/>
      <c r="Z78" s="29" t="inlineStr">
        <is>
          <t>—</t>
        </is>
      </c>
      <c r="AA78" s="29" t="b">
        <v>0</v>
      </c>
      <c r="AB78" s="29" t="b">
        <v>0</v>
      </c>
      <c r="AC78" s="29" t="b">
        <v>1</v>
      </c>
      <c r="AD78" s="19" t="inlineStr">
        <is>
          <t>SI</t>
        </is>
      </c>
      <c r="AE78" s="29" t="inlineStr">
        <is>
          <t>COOPERATIVA COMUNAL YURAJHUANCA LTDA.15</t>
        </is>
      </c>
      <c r="AF78" s="29" t="inlineStr">
        <is>
          <t>PASCO</t>
        </is>
      </c>
      <c r="AG78" s="29" t="inlineStr">
        <is>
          <t>PASCO</t>
        </is>
      </c>
      <c r="AH78" s="29" t="inlineStr">
        <is>
          <t>SIMON BOLIVAR</t>
        </is>
      </c>
      <c r="AI78" s="29" t="inlineStr">
        <is>
          <t>YURAJHUANCA</t>
        </is>
      </c>
      <c r="AJ78" s="29" t="inlineStr">
        <is>
          <t>CRÍA DE OVEJAS Y CABRAS</t>
        </is>
      </c>
      <c r="AK78" s="29" t="inlineStr">
        <is>
          <t>15.0</t>
        </is>
      </c>
      <c r="AL78" s="29" t="inlineStr">
        <is>
          <t>1.0</t>
        </is>
      </c>
      <c r="AM78" s="29" t="inlineStr">
        <is>
          <t>2.0</t>
        </is>
      </c>
      <c r="AN78" s="29" t="n">
        <v>35</v>
      </c>
      <c r="AO78" s="29" t="inlineStr">
        <is>
          <t>CALLUPE ZUÑIGA VICTOR CLEVER</t>
        </is>
      </c>
      <c r="AP78" s="29" t="inlineStr">
        <is>
          <t>DOCENTE</t>
        </is>
      </c>
      <c r="AQ78" s="29" t="inlineStr">
        <is>
          <t>10.0</t>
        </is>
      </c>
      <c r="AR78" s="29" t="inlineStr">
        <is>
          <t>NO TIENE</t>
        </is>
      </c>
      <c r="AS78" s="29" t="inlineStr">
        <is>
          <t>NO TIENE</t>
        </is>
      </c>
      <c r="AT78" s="29" t="inlineStr">
        <is>
          <t>NO TIENE</t>
        </is>
      </c>
      <c r="AU78" s="29" t="inlineStr">
        <is>
          <t>-10.703865</t>
        </is>
      </c>
      <c r="AV78" s="29" t="inlineStr">
        <is>
          <t>-76.31175166666667</t>
        </is>
      </c>
      <c r="AW78" s="29" t="inlineStr">
        <is>
          <t>1982.0</t>
        </is>
      </c>
      <c r="AX78" s="29" t="inlineStr">
        <is>
          <t>1982.0</t>
        </is>
      </c>
      <c r="AY78" s="29" t="inlineStr">
        <is>
          <t>1</t>
        </is>
      </c>
      <c r="AZ78" s="29" t="inlineStr">
        <is>
          <t>sept-2026</t>
        </is>
      </c>
      <c r="BD78" s="81">
        <f>0</f>
        <v/>
      </c>
      <c r="BE78" s="81">
        <f>IFERROR((IF(ISNUMBER(T78),MIN(T78/30,1),0)+IF(ISNUMBER(P78),MIN(P78/500,1),0))/2,0)</f>
        <v/>
      </c>
      <c r="BF78" s="81">
        <f>IFERROR(IF(OR(U78&lt;&gt;"",V78="SÍ"),IF(ISNUMBER(L78),(1*MIN(L78/10000,1))^0.5,0),IF(ISNUMBER(L78),(0*MIN(L78/10000,1))^0.5,0)),0)</f>
        <v/>
      </c>
    </row>
    <row r="79">
      <c r="A79" t="inlineStr">
        <is>
          <t>PAC; CENCOOP 2017; SISPAC</t>
        </is>
      </c>
      <c r="B79" s="70" t="inlineStr">
        <is>
          <t>20143692010</t>
        </is>
      </c>
      <c r="C79" s="30" t="inlineStr">
        <is>
          <t>El Quinacho</t>
        </is>
      </c>
      <c r="D79" s="30" t="inlineStr"/>
      <c r="E79" s="30" t="inlineStr">
        <is>
          <t>—</t>
        </is>
      </c>
      <c r="F79" s="30" t="inlineStr">
        <is>
          <t>—</t>
        </is>
      </c>
      <c r="G79" s="30" t="inlineStr">
        <is>
          <t>—</t>
        </is>
      </c>
      <c r="H79" s="30" t="inlineStr">
        <is>
          <t>Ayacucho / Cusco / Junín (VRAEM)</t>
        </is>
      </c>
      <c r="I79" s="30" t="inlineStr">
        <is>
          <t>Café / Cacao</t>
        </is>
      </c>
      <c r="J79" s="30" t="inlineStr">
        <is>
          <t>SI</t>
        </is>
      </c>
      <c r="K79" s="30" t="inlineStr">
        <is>
          <t>NO</t>
        </is>
      </c>
      <c r="L79" s="30" t="n">
        <v>1652331.65</v>
      </c>
      <c r="M79" s="30" t="n">
        <v>30505652.15</v>
      </c>
      <c r="N79" s="30" t="n">
        <v>159</v>
      </c>
      <c r="O79" s="30" t="n">
        <v>11</v>
      </c>
      <c r="P79" s="30" t="inlineStr"/>
      <c r="Q79" s="30" t="inlineStr"/>
      <c r="R79" s="14" t="inlineStr">
        <is>
          <t>—</t>
        </is>
      </c>
      <c r="S79" s="30" t="inlineStr"/>
      <c r="T79" s="30" t="inlineStr"/>
      <c r="U79" s="14" t="inlineStr"/>
      <c r="V79" s="15" t="inlineStr">
        <is>
          <t>SÍ</t>
        </is>
      </c>
      <c r="W79" s="14" t="inlineStr">
        <is>
          <t>—</t>
        </is>
      </c>
      <c r="X79" s="14" t="inlineStr">
        <is>
          <t>Fundada en 1970; 302 socios, 900 ha</t>
        </is>
      </c>
      <c r="Y79" s="14" t="inlineStr"/>
      <c r="Z79" s="30" t="inlineStr">
        <is>
          <t>No disponible — requiere consulta directa (SUNAT/RUC.PE) o solicitud a la organización</t>
        </is>
      </c>
      <c r="AA79" s="30" t="b">
        <v>1</v>
      </c>
      <c r="AB79" s="30" t="b">
        <v>0</v>
      </c>
      <c r="AC79" s="30" t="b">
        <v>0</v>
      </c>
      <c r="AD79" s="19" t="inlineStr">
        <is>
          <t>SI</t>
        </is>
      </c>
      <c r="AE79" s="30" t="inlineStr">
        <is>
          <t>COOPERATIVA AGRARIA CAFETALERA EL QUINACHO LTDA.N° 78</t>
        </is>
      </c>
      <c r="AF79" s="30" t="inlineStr">
        <is>
          <t>AYACUCHO</t>
        </is>
      </c>
      <c r="AG79" s="30" t="inlineStr">
        <is>
          <t>HUANTA</t>
        </is>
      </c>
      <c r="AH79" s="30" t="inlineStr">
        <is>
          <t>SIVIA</t>
        </is>
      </c>
      <c r="AI79" s="30" t="inlineStr">
        <is>
          <t>NO TIENE</t>
        </is>
      </c>
      <c r="AJ79" s="30" t="inlineStr">
        <is>
          <t>ELABORACIÓN DE CACAO Y CHOCOLATE Y DE PRODUCTOS DE CONFITERÍA</t>
        </is>
      </c>
      <c r="AK79" s="30" t="inlineStr">
        <is>
          <t>1.0</t>
        </is>
      </c>
      <c r="AL79" s="30" t="inlineStr">
        <is>
          <t>1.0</t>
        </is>
      </c>
      <c r="AM79" s="30" t="inlineStr">
        <is>
          <t>3.0</t>
        </is>
      </c>
      <c r="AN79" s="30" t="n">
        <v>46</v>
      </c>
      <c r="AO79" s="30" t="inlineStr">
        <is>
          <t>CENTENO ORE ROGER AMILCAR</t>
        </is>
      </c>
      <c r="AP79" s="30" t="inlineStr">
        <is>
          <t>INGENIERO AGRONOMO</t>
        </is>
      </c>
      <c r="AQ79" s="30" t="inlineStr">
        <is>
          <t>10.0</t>
        </is>
      </c>
      <c r="AR79" s="30" t="inlineStr">
        <is>
          <t>NO TIENE</t>
        </is>
      </c>
      <c r="AS79" s="30" t="inlineStr">
        <is>
          <t>CAC_ELQUINACHO@YAHOO.ES</t>
        </is>
      </c>
      <c r="AT79" s="30" t="inlineStr">
        <is>
          <t>966958618</t>
        </is>
      </c>
      <c r="AU79" s="30" t="inlineStr">
        <is>
          <t>-12.511408333333334</t>
        </is>
      </c>
      <c r="AV79" s="30" t="inlineStr">
        <is>
          <t>-73.857825</t>
        </is>
      </c>
      <c r="AW79" s="30" t="inlineStr">
        <is>
          <t>1971.0</t>
        </is>
      </c>
      <c r="AX79" s="30" t="inlineStr">
        <is>
          <t>1971.0</t>
        </is>
      </c>
      <c r="AY79" s="30" t="inlineStr">
        <is>
          <t>1</t>
        </is>
      </c>
      <c r="AZ79" s="30" t="inlineStr">
        <is>
          <t>sept-2026</t>
        </is>
      </c>
      <c r="BA79" t="inlineStr">
        <is>
          <t>AUSTRALIA; BELGIUM; CANADA; FRANCE; GERMANY; ITALY; NETHERLANDS; SINGAPORE; SPAIN; SWITZERLAND; UNITED STATES</t>
        </is>
      </c>
      <c r="BB79" t="n">
        <v>2010</v>
      </c>
      <c r="BC79" t="n">
        <v>2025</v>
      </c>
      <c r="BD79" s="81">
        <f>0</f>
        <v/>
      </c>
      <c r="BE79" s="81">
        <f>IFERROR((IF(ISNUMBER(T79),MIN(T79/30,1),0)+IF(ISNUMBER(P79),MIN(P79/500,1),0))/2,0)</f>
        <v/>
      </c>
      <c r="BF79" s="81">
        <f>IFERROR(IF(OR(U79&lt;&gt;"",V79="SÍ"),IF(ISNUMBER(L79),(1*MIN(L79/10000,1))^0.5,0),IF(ISNUMBER(L79),(0*MIN(L79/10000,1))^0.5,0)),0)</f>
        <v/>
      </c>
    </row>
    <row r="80">
      <c r="A80" t="inlineStr">
        <is>
          <t>PAC; CENCOOP 2017</t>
        </is>
      </c>
      <c r="B80" s="70" t="inlineStr">
        <is>
          <t>20136264053</t>
        </is>
      </c>
      <c r="C80" s="29" t="inlineStr">
        <is>
          <t>Naranjillo</t>
        </is>
      </c>
      <c r="D80" s="29" t="inlineStr"/>
      <c r="E80" s="29" t="inlineStr">
        <is>
          <t>—</t>
        </is>
      </c>
      <c r="F80" s="29" t="inlineStr">
        <is>
          <t>—</t>
        </is>
      </c>
      <c r="G80" s="29" t="inlineStr">
        <is>
          <t>—</t>
        </is>
      </c>
      <c r="H80" s="29" t="inlineStr">
        <is>
          <t>Tingo María, Huánuco</t>
        </is>
      </c>
      <c r="I80" s="29" t="inlineStr">
        <is>
          <t>Cacao / Café</t>
        </is>
      </c>
      <c r="J80" s="29" t="n"/>
      <c r="K80" s="29" t="inlineStr">
        <is>
          <t>NO</t>
        </is>
      </c>
      <c r="L80" s="29" t="n"/>
      <c r="M80" s="29" t="n"/>
      <c r="N80" s="29" t="n"/>
      <c r="O80" s="29" t="n"/>
      <c r="P80" s="29" t="inlineStr"/>
      <c r="Q80" s="29" t="inlineStr"/>
      <c r="R80" s="18" t="inlineStr">
        <is>
          <t>—</t>
        </is>
      </c>
      <c r="S80" s="29" t="inlineStr"/>
      <c r="T80" s="29" t="inlineStr"/>
      <c r="U80" s="18" t="inlineStr"/>
      <c r="V80" s="15" t="inlineStr">
        <is>
          <t>SÍ</t>
        </is>
      </c>
      <c r="W80" s="18" t="inlineStr">
        <is>
          <t>—</t>
        </is>
      </c>
      <c r="X80" s="18" t="inlineStr">
        <is>
          <t>Fundada en 1964; ~5,000 socios en Huánuco/San Martín/Ucayali; RUC a confirmar</t>
        </is>
      </c>
      <c r="Y80" s="18" t="inlineStr"/>
      <c r="Z80" s="29" t="inlineStr">
        <is>
          <t>No disponible — requiere consulta directa (SUNAT/RUC.PE) o solicitud a la organización</t>
        </is>
      </c>
      <c r="AA80" s="29" t="b">
        <v>1</v>
      </c>
      <c r="AB80" s="29" t="b">
        <v>0</v>
      </c>
      <c r="AC80" s="29" t="b">
        <v>0</v>
      </c>
      <c r="AD80" s="19" t="inlineStr">
        <is>
          <t>SI</t>
        </is>
      </c>
      <c r="AE80" s="29" t="inlineStr">
        <is>
          <t>COOPERATIVA AGRARIA INDUSTRIAL NARANJILLO</t>
        </is>
      </c>
      <c r="AF80" s="29" t="inlineStr">
        <is>
          <t>HUANUCO</t>
        </is>
      </c>
      <c r="AG80" s="29" t="inlineStr">
        <is>
          <t>LEONCIO PRADO</t>
        </is>
      </c>
      <c r="AH80" s="29" t="inlineStr">
        <is>
          <t>RUPA-RUPA</t>
        </is>
      </c>
      <c r="AI80" s="29" t="inlineStr">
        <is>
          <t>CIUDAD</t>
        </is>
      </c>
      <c r="AJ80" s="29" t="inlineStr">
        <is>
          <t>ELABORACIÓN DE CACAO Y CHOCOLATE Y DE PRODUCTOS DE CONFITERÍA</t>
        </is>
      </c>
      <c r="AK80" s="29" t="inlineStr">
        <is>
          <t>1.0</t>
        </is>
      </c>
      <c r="AL80" s="29" t="inlineStr">
        <is>
          <t>1.0</t>
        </is>
      </c>
      <c r="AM80" s="29" t="inlineStr">
        <is>
          <t>3.0</t>
        </is>
      </c>
      <c r="AN80" s="29" t="n">
        <v>24</v>
      </c>
      <c r="AO80" s="29" t="inlineStr">
        <is>
          <t>CASTRO ABILA MARCOS</t>
        </is>
      </c>
      <c r="AP80" s="29" t="inlineStr">
        <is>
          <t>ADMINISTRADOR</t>
        </is>
      </c>
      <c r="AQ80" s="29" t="inlineStr">
        <is>
          <t>10.0</t>
        </is>
      </c>
      <c r="AR80" s="29" t="inlineStr">
        <is>
          <t>WWW.NARANJILLO.COM</t>
        </is>
      </c>
      <c r="AS80" s="29" t="inlineStr">
        <is>
          <t>NO TIENE</t>
        </is>
      </c>
      <c r="AT80" s="29" t="inlineStr">
        <is>
          <t>NO TIENE</t>
        </is>
      </c>
      <c r="AU80" s="29" t="inlineStr">
        <is>
          <t>-9.303243333333334</t>
        </is>
      </c>
      <c r="AV80" s="29" t="inlineStr">
        <is>
          <t>-76.00608000000001</t>
        </is>
      </c>
      <c r="AW80" s="29" t="inlineStr">
        <is>
          <t>1964.0</t>
        </is>
      </c>
      <c r="AX80" s="29" t="inlineStr">
        <is>
          <t>1993.0</t>
        </is>
      </c>
      <c r="AY80" s="29" t="inlineStr">
        <is>
          <t>1</t>
        </is>
      </c>
      <c r="AZ80" s="29" t="inlineStr">
        <is>
          <t>sept-2026</t>
        </is>
      </c>
      <c r="BD80" s="81">
        <f>0</f>
        <v/>
      </c>
      <c r="BE80" s="81">
        <f>IFERROR((IF(ISNUMBER(T80),MIN(T80/30,1),0)+IF(ISNUMBER(P80),MIN(P80/500,1),0))/2,0)</f>
        <v/>
      </c>
      <c r="BF80" s="81">
        <f>IFERROR(IF(OR(U80&lt;&gt;"",V80="SÍ"),IF(ISNUMBER(L80),(1*MIN(L80/10000,1))^0.5,0),IF(ISNUMBER(L80),(0*MIN(L80/10000,1))^0.5,0)),0)</f>
        <v/>
      </c>
    </row>
    <row r="81">
      <c r="A81" t="inlineStr">
        <is>
          <t>PAC; CENCOOP 2017</t>
        </is>
      </c>
      <c r="B81" s="70" t="inlineStr">
        <is>
          <t>20114942937</t>
        </is>
      </c>
      <c r="C81" s="30" t="inlineStr">
        <is>
          <t>San Juan del Oro</t>
        </is>
      </c>
      <c r="D81" s="30" t="inlineStr"/>
      <c r="E81" s="30" t="inlineStr">
        <is>
          <t>—</t>
        </is>
      </c>
      <c r="F81" s="30" t="inlineStr">
        <is>
          <t>—</t>
        </is>
      </c>
      <c r="G81" s="30" t="inlineStr">
        <is>
          <t>—</t>
        </is>
      </c>
      <c r="H81" s="30" t="inlineStr">
        <is>
          <t>Sandia, Puno</t>
        </is>
      </c>
      <c r="I81" s="30" t="inlineStr">
        <is>
          <t>Café</t>
        </is>
      </c>
      <c r="J81" s="30" t="n"/>
      <c r="K81" s="30" t="inlineStr">
        <is>
          <t>NO</t>
        </is>
      </c>
      <c r="L81" s="30" t="n"/>
      <c r="M81" s="30" t="n"/>
      <c r="N81" s="30" t="n"/>
      <c r="O81" s="30" t="n"/>
      <c r="P81" s="30" t="inlineStr"/>
      <c r="Q81" s="30" t="inlineStr"/>
      <c r="R81" s="14" t="inlineStr">
        <is>
          <t>—</t>
        </is>
      </c>
      <c r="S81" s="30" t="inlineStr"/>
      <c r="T81" s="30" t="inlineStr"/>
      <c r="U81" s="14" t="inlineStr"/>
      <c r="V81" s="15" t="inlineStr">
        <is>
          <t>SÍ</t>
        </is>
      </c>
      <c r="W81" s="14" t="inlineStr">
        <is>
          <t>—</t>
        </is>
      </c>
      <c r="X81" s="14" t="inlineStr">
        <is>
          <t>Constituida en 1961; ~2,800 familias</t>
        </is>
      </c>
      <c r="Y81" s="14" t="inlineStr"/>
      <c r="Z81" s="30" t="inlineStr">
        <is>
          <t>No disponible — requiere consulta directa (SUNAT/RUC.PE) o solicitud a la organización</t>
        </is>
      </c>
      <c r="AA81" s="30" t="b">
        <v>1</v>
      </c>
      <c r="AB81" s="30" t="b">
        <v>0</v>
      </c>
      <c r="AC81" s="30" t="b">
        <v>0</v>
      </c>
      <c r="AD81" s="19" t="inlineStr">
        <is>
          <t>SI</t>
        </is>
      </c>
      <c r="AE81" s="30" t="inlineStr">
        <is>
          <t>COOPERATIVA AGRARIA CAFETALERA SAN JUAN DEL ORO LTDA.</t>
        </is>
      </c>
      <c r="AF81" s="30" t="inlineStr">
        <is>
          <t>PUNO</t>
        </is>
      </c>
      <c r="AG81" s="30" t="inlineStr">
        <is>
          <t>SANDIA</t>
        </is>
      </c>
      <c r="AH81" s="30" t="inlineStr">
        <is>
          <t>SAN JUAN DEL ORO</t>
        </is>
      </c>
      <c r="AI81" s="30" t="inlineStr">
        <is>
          <t>SAN JUAN DEL ORO</t>
        </is>
      </c>
      <c r="AJ81" s="30" t="inlineStr">
        <is>
          <t>CULTIVO DE PLANTAS CON LAS QUE SE PREPARAN BEBIDAS</t>
        </is>
      </c>
      <c r="AK81" s="30" t="inlineStr">
        <is>
          <t>1.0</t>
        </is>
      </c>
      <c r="AL81" s="30" t="inlineStr">
        <is>
          <t>1.0</t>
        </is>
      </c>
      <c r="AM81" s="30" t="inlineStr">
        <is>
          <t>2.0</t>
        </is>
      </c>
      <c r="AN81" s="30" t="n">
        <v>56</v>
      </c>
      <c r="AO81" s="30" t="inlineStr">
        <is>
          <t>APAZA APAZA FLORENTINO</t>
        </is>
      </c>
      <c r="AP81" s="30" t="inlineStr">
        <is>
          <t>INGENIERO AGROINDUSTRIAL</t>
        </is>
      </c>
      <c r="AQ81" s="30" t="inlineStr">
        <is>
          <t>10.0</t>
        </is>
      </c>
      <c r="AR81" s="30" t="inlineStr">
        <is>
          <t>NO TIENE</t>
        </is>
      </c>
      <c r="AS81" s="30" t="inlineStr">
        <is>
          <t>MATEOQ16@HOTMAIL.COM</t>
        </is>
      </c>
      <c r="AT81" s="30" t="inlineStr">
        <is>
          <t>951660966</t>
        </is>
      </c>
      <c r="AU81" s="30" t="inlineStr">
        <is>
          <t>-14.220501666666667</t>
        </is>
      </c>
      <c r="AV81" s="30" t="inlineStr">
        <is>
          <t>-69.15415833333333</t>
        </is>
      </c>
      <c r="AW81" s="30" t="inlineStr">
        <is>
          <t>1961.0</t>
        </is>
      </c>
      <c r="AX81" s="30" t="inlineStr">
        <is>
          <t>1961.0</t>
        </is>
      </c>
      <c r="AY81" s="30" t="inlineStr">
        <is>
          <t>1</t>
        </is>
      </c>
      <c r="AZ81" s="30" t="inlineStr">
        <is>
          <t>sept-2026</t>
        </is>
      </c>
      <c r="BD81" s="81">
        <f>0</f>
        <v/>
      </c>
      <c r="BE81" s="81">
        <f>IFERROR((IF(ISNUMBER(T81),MIN(T81/30,1),0)+IF(ISNUMBER(P81),MIN(P81/500,1),0))/2,0)</f>
        <v/>
      </c>
      <c r="BF81" s="81">
        <f>IFERROR(IF(OR(U81&lt;&gt;"",V81="SÍ"),IF(ISNUMBER(L81),(1*MIN(L81/10000,1))^0.5,0),IF(ISNUMBER(L81),(0*MIN(L81/10000,1))^0.5,0)),0)</f>
        <v/>
      </c>
    </row>
    <row r="82">
      <c r="A82" t="inlineStr">
        <is>
          <t>MIDAGRI; SISPAC</t>
        </is>
      </c>
      <c r="B82" s="70" t="inlineStr">
        <is>
          <t>20480458550</t>
        </is>
      </c>
      <c r="C82" s="29" t="inlineStr">
        <is>
          <t>Cooperativa Agraria APROCAM</t>
        </is>
      </c>
      <c r="D82" s="29" t="inlineStr"/>
      <c r="E82" s="29" t="inlineStr">
        <is>
          <t>VENTA AL POR MENOR DE ALIMENTOS, BEBIDAS Y TABACO EN ALMACENES ESPECIALIZADOS</t>
        </is>
      </c>
      <c r="F82" s="29" t="inlineStr">
        <is>
          <t>Amazonas</t>
        </is>
      </c>
      <c r="G82" s="29" t="inlineStr">
        <is>
          <t>Bagua</t>
        </is>
      </c>
      <c r="H82" s="29" t="inlineStr">
        <is>
          <t>Amazonas / Cajamarca</t>
        </is>
      </c>
      <c r="I82" s="29" t="inlineStr">
        <is>
          <t>Cacao</t>
        </is>
      </c>
      <c r="J82" s="29" t="inlineStr">
        <is>
          <t>SI</t>
        </is>
      </c>
      <c r="K82" s="29" t="inlineStr">
        <is>
          <t>NO</t>
        </is>
      </c>
      <c r="L82" s="29" t="n">
        <v>496930.92</v>
      </c>
      <c r="M82" s="29" t="n">
        <v>7863675.41</v>
      </c>
      <c r="N82" s="29" t="n">
        <v>82</v>
      </c>
      <c r="O82" s="29" t="n">
        <v>8</v>
      </c>
      <c r="P82" s="29" t="inlineStr"/>
      <c r="Q82" s="29" t="inlineStr"/>
      <c r="R82" s="18" t="inlineStr">
        <is>
          <t>2575.0</t>
        </is>
      </c>
      <c r="S82" s="29" t="inlineStr"/>
      <c r="T82" s="29" t="inlineStr"/>
      <c r="U82" s="18" t="inlineStr"/>
      <c r="V82" s="15" t="inlineStr">
        <is>
          <t>SÍ</t>
        </is>
      </c>
      <c r="W82" s="18" t="inlineStr">
        <is>
          <t>—</t>
        </is>
      </c>
      <c r="X82" s="18" t="inlineStr">
        <is>
          <t>—</t>
        </is>
      </c>
      <c r="Y82" s="18" t="inlineStr"/>
      <c r="Z82" s="29" t="inlineStr">
        <is>
          <t>No disponible — requiere consulta directa (SUNAT/RUC.PE) o solicitud a la organización</t>
        </is>
      </c>
      <c r="AA82" s="29" t="b">
        <v>0</v>
      </c>
      <c r="AB82" s="29" t="b">
        <v>1</v>
      </c>
      <c r="AC82" s="29" t="b">
        <v>0</v>
      </c>
      <c r="AD82" s="29" t="inlineStr">
        <is>
          <t>NO</t>
        </is>
      </c>
      <c r="AE82" s="29" t="inlineStr"/>
      <c r="AF82" s="29" t="inlineStr"/>
      <c r="AG82" s="29" t="inlineStr"/>
      <c r="AH82" s="29" t="inlineStr"/>
      <c r="AI82" s="29" t="inlineStr"/>
      <c r="AJ82" s="29" t="inlineStr"/>
      <c r="AK82" s="29" t="inlineStr"/>
      <c r="AL82" s="29" t="inlineStr"/>
      <c r="AM82" s="29" t="inlineStr"/>
      <c r="AN82" s="29" t="n"/>
      <c r="AO82" s="29" t="inlineStr"/>
      <c r="AP82" s="29" t="inlineStr"/>
      <c r="AQ82" s="29" t="inlineStr"/>
      <c r="AR82" s="29" t="inlineStr"/>
      <c r="AS82" s="29" t="inlineStr"/>
      <c r="AT82" s="29" t="inlineStr"/>
      <c r="AU82" s="29" t="inlineStr"/>
      <c r="AV82" s="29" t="inlineStr"/>
      <c r="AW82" s="29" t="inlineStr"/>
      <c r="AX82" s="29" t="inlineStr"/>
      <c r="AY82" s="29" t="inlineStr">
        <is>
          <t>1</t>
        </is>
      </c>
      <c r="AZ82" s="29" t="inlineStr">
        <is>
          <t>sept-2026</t>
        </is>
      </c>
      <c r="BA82" t="inlineStr">
        <is>
          <t>BELGIUM; CANADA; GERMANY; ITALY; SPAIN; SWEDEN; UNITED KINGDOM; UNITED STATES</t>
        </is>
      </c>
      <c r="BB82" t="n">
        <v>2010</v>
      </c>
      <c r="BC82" t="n">
        <v>2025</v>
      </c>
      <c r="BD82" s="81">
        <f>0</f>
        <v/>
      </c>
      <c r="BE82" s="81">
        <f>IFERROR((IF(ISNUMBER(T82),MIN(T82/30,1),0)+IF(ISNUMBER(P82),MIN(P82/500,1),0))/2,0)</f>
        <v/>
      </c>
      <c r="BF82" s="81">
        <f>IFERROR(IF(OR(U82&lt;&gt;"",V82="SÍ"),IF(ISNUMBER(L82),(1*MIN(L82/10000,1))^0.5,0),IF(ISNUMBER(L82),(0*MIN(L82/10000,1))^0.5,0)),0)</f>
        <v/>
      </c>
    </row>
    <row r="83">
      <c r="A83" t="inlineStr">
        <is>
          <t>MIDAGRI; CENACOOP; CENCOOP 2017</t>
        </is>
      </c>
      <c r="B83" s="70" t="inlineStr">
        <is>
          <t>20601123178</t>
        </is>
      </c>
      <c r="C83" s="30" t="inlineStr">
        <is>
          <t>Cooperativa Agraria Amazonas Siempre Verde Ltda.</t>
        </is>
      </c>
      <c r="D83" s="30" t="inlineStr"/>
      <c r="E83" s="30" t="inlineStr">
        <is>
          <t>VENTA AL POR MENOR DE ALIMENTOS, BEBIDAS Y TABACO EN ALMACENES ESPECIALIZADOS</t>
        </is>
      </c>
      <c r="F83" s="30" t="inlineStr">
        <is>
          <t>Amazonas</t>
        </is>
      </c>
      <c r="G83" s="30" t="inlineStr">
        <is>
          <t>Utcubamba</t>
        </is>
      </c>
      <c r="H83" s="30" t="inlineStr">
        <is>
          <t>—</t>
        </is>
      </c>
      <c r="I83" s="30" t="inlineStr">
        <is>
          <t>—</t>
        </is>
      </c>
      <c r="J83" s="30" t="n"/>
      <c r="K83" s="30" t="inlineStr">
        <is>
          <t>NO</t>
        </is>
      </c>
      <c r="L83" s="30" t="n"/>
      <c r="M83" s="30" t="n"/>
      <c r="N83" s="30" t="n"/>
      <c r="O83" s="30" t="n"/>
      <c r="P83" s="30" t="inlineStr"/>
      <c r="Q83" s="30" t="inlineStr"/>
      <c r="R83" s="14" t="inlineStr">
        <is>
          <t>2575.0</t>
        </is>
      </c>
      <c r="S83" s="30" t="inlineStr"/>
      <c r="T83" s="30" t="inlineStr"/>
      <c r="U83" s="14" t="inlineStr"/>
      <c r="V83" s="14" t="inlineStr">
        <is>
          <t>NO</t>
        </is>
      </c>
      <c r="W83" s="14" t="inlineStr">
        <is>
          <t>—</t>
        </is>
      </c>
      <c r="X83" s="14" t="inlineStr">
        <is>
          <t>—</t>
        </is>
      </c>
      <c r="Y83" s="14" t="inlineStr"/>
      <c r="Z83" s="30" t="inlineStr">
        <is>
          <t>—</t>
        </is>
      </c>
      <c r="AA83" s="30" t="b">
        <v>0</v>
      </c>
      <c r="AB83" s="30" t="b">
        <v>1</v>
      </c>
      <c r="AC83" s="30" t="b">
        <v>1</v>
      </c>
      <c r="AD83" s="19" t="inlineStr">
        <is>
          <t>SI</t>
        </is>
      </c>
      <c r="AE83" s="30" t="inlineStr">
        <is>
          <t>COOPERATIVA AGRARIA AMAZONAS SIEMPRE VERDE LTDA.</t>
        </is>
      </c>
      <c r="AF83" s="30" t="inlineStr">
        <is>
          <t>AMAZONAS</t>
        </is>
      </c>
      <c r="AG83" s="30" t="inlineStr">
        <is>
          <t>UTCUBAMBA</t>
        </is>
      </c>
      <c r="AH83" s="30" t="inlineStr">
        <is>
          <t>BAGUA GRANDE</t>
        </is>
      </c>
      <c r="AI83" s="30" t="inlineStr">
        <is>
          <t>SAN LUIS</t>
        </is>
      </c>
      <c r="AJ83" s="30" t="inlineStr">
        <is>
          <t>OTRAS ACTIVIDADES DE SERVICIOS PERSONALES N.C.P.</t>
        </is>
      </c>
      <c r="AK83" s="30" t="inlineStr">
        <is>
          <t>1.0</t>
        </is>
      </c>
      <c r="AL83" s="30" t="inlineStr">
        <is>
          <t>1.0</t>
        </is>
      </c>
      <c r="AM83" s="30" t="inlineStr">
        <is>
          <t>1.0</t>
        </is>
      </c>
      <c r="AN83" s="30" t="n">
        <v>1</v>
      </c>
      <c r="AO83" s="30" t="inlineStr">
        <is>
          <t>PEREZ MERA FORTUNATO</t>
        </is>
      </c>
      <c r="AP83" s="30" t="inlineStr"/>
      <c r="AQ83" s="30" t="inlineStr"/>
      <c r="AR83" s="30" t="inlineStr">
        <is>
          <t>NO TIENE</t>
        </is>
      </c>
      <c r="AS83" s="30" t="inlineStr">
        <is>
          <t>NO TIENE</t>
        </is>
      </c>
      <c r="AT83" s="30" t="inlineStr">
        <is>
          <t>NO TIENE</t>
        </is>
      </c>
      <c r="AU83" s="30" t="inlineStr">
        <is>
          <t>-5.765816666666666</t>
        </is>
      </c>
      <c r="AV83" s="30" t="inlineStr">
        <is>
          <t>-78.42557166666667</t>
        </is>
      </c>
      <c r="AW83" s="30" t="inlineStr">
        <is>
          <t>2016.0</t>
        </is>
      </c>
      <c r="AX83" s="30" t="inlineStr">
        <is>
          <t>2016.0</t>
        </is>
      </c>
      <c r="AY83" s="30" t="inlineStr">
        <is>
          <t>2</t>
        </is>
      </c>
      <c r="AZ83" s="30" t="inlineStr">
        <is>
          <t>sept-2026</t>
        </is>
      </c>
      <c r="BD83" s="81">
        <f>0</f>
        <v/>
      </c>
      <c r="BE83" s="81">
        <f>IFERROR((IF(ISNUMBER(T83),MIN(T83/30,1),0)+IF(ISNUMBER(P83),MIN(P83/500,1),0))/2,0)</f>
        <v/>
      </c>
      <c r="BF83" s="81">
        <f>IFERROR(IF(OR(U83&lt;&gt;"",V83="SÍ"),IF(ISNUMBER(L83),(1*MIN(L83/10000,1))^0.5,0),IF(ISNUMBER(L83),(0*MIN(L83/10000,1))^0.5,0)),0)</f>
        <v/>
      </c>
    </row>
    <row r="84">
      <c r="A84" t="inlineStr">
        <is>
          <t>MIDAGRI; SISPAC</t>
        </is>
      </c>
      <c r="B84" s="70" t="inlineStr">
        <is>
          <t>20603320621</t>
        </is>
      </c>
      <c r="C84" s="29" t="inlineStr">
        <is>
          <t>Cooperativa Agraria Cafetalera Alta Montaña</t>
        </is>
      </c>
      <c r="D84" s="29" t="inlineStr"/>
      <c r="E84" s="29" t="inlineStr">
        <is>
          <t>VENTA AL POR MENOR DE ALIMENTOS, BEBIDAS Y TABACO EN ALMACENES ESPECIALIZADOS</t>
        </is>
      </c>
      <c r="F84" s="29" t="inlineStr">
        <is>
          <t>Amazonas</t>
        </is>
      </c>
      <c r="G84" s="29" t="inlineStr">
        <is>
          <t>Rodriguez de Mendoza</t>
        </is>
      </c>
      <c r="H84" s="29" t="inlineStr">
        <is>
          <t>—</t>
        </is>
      </c>
      <c r="I84" s="29" t="inlineStr">
        <is>
          <t>—</t>
        </is>
      </c>
      <c r="J84" s="29" t="inlineStr">
        <is>
          <t>SI</t>
        </is>
      </c>
      <c r="K84" s="29" t="inlineStr">
        <is>
          <t>NO</t>
        </is>
      </c>
      <c r="L84" s="29" t="n">
        <v>0</v>
      </c>
      <c r="M84" s="29" t="n">
        <v>657806.39</v>
      </c>
      <c r="N84" s="29" t="n">
        <v>7</v>
      </c>
      <c r="O84" s="29" t="n">
        <v>5</v>
      </c>
      <c r="P84" s="29" t="inlineStr"/>
      <c r="Q84" s="29" t="inlineStr"/>
      <c r="R84" s="18" t="inlineStr">
        <is>
          <t>2575.0</t>
        </is>
      </c>
      <c r="S84" s="29" t="inlineStr"/>
      <c r="T84" s="29" t="inlineStr"/>
      <c r="U84" s="18" t="inlineStr"/>
      <c r="V84" s="18" t="inlineStr">
        <is>
          <t>NO</t>
        </is>
      </c>
      <c r="W84" s="18" t="inlineStr">
        <is>
          <t>—</t>
        </is>
      </c>
      <c r="X84" s="18" t="inlineStr">
        <is>
          <t>—</t>
        </is>
      </c>
      <c r="Y84" s="18" t="inlineStr"/>
      <c r="Z84" s="29" t="inlineStr">
        <is>
          <t>—</t>
        </is>
      </c>
      <c r="AA84" s="29" t="b">
        <v>0</v>
      </c>
      <c r="AB84" s="29" t="b">
        <v>1</v>
      </c>
      <c r="AC84" s="29" t="b">
        <v>0</v>
      </c>
      <c r="AD84" s="29" t="inlineStr">
        <is>
          <t>NO</t>
        </is>
      </c>
      <c r="AE84" s="29" t="inlineStr"/>
      <c r="AF84" s="29" t="inlineStr"/>
      <c r="AG84" s="29" t="inlineStr"/>
      <c r="AH84" s="29" t="inlineStr"/>
      <c r="AI84" s="29" t="inlineStr"/>
      <c r="AJ84" s="29" t="inlineStr"/>
      <c r="AK84" s="29" t="inlineStr"/>
      <c r="AL84" s="29" t="inlineStr"/>
      <c r="AM84" s="29" t="inlineStr"/>
      <c r="AN84" s="29" t="n"/>
      <c r="AO84" s="29" t="inlineStr"/>
      <c r="AP84" s="29" t="inlineStr"/>
      <c r="AQ84" s="29" t="inlineStr"/>
      <c r="AR84" s="29" t="inlineStr"/>
      <c r="AS84" s="29" t="inlineStr"/>
      <c r="AT84" s="29" t="inlineStr"/>
      <c r="AU84" s="29" t="inlineStr"/>
      <c r="AV84" s="29" t="inlineStr"/>
      <c r="AW84" s="29" t="inlineStr"/>
      <c r="AX84" s="29" t="inlineStr"/>
      <c r="AY84" s="29" t="inlineStr">
        <is>
          <t>1</t>
        </is>
      </c>
      <c r="AZ84" s="29" t="inlineStr">
        <is>
          <t>sept-2026</t>
        </is>
      </c>
      <c r="BA84" t="inlineStr">
        <is>
          <t>BELGIUM; CROATIA; FRANCE; GERMANY; UNITED STATES</t>
        </is>
      </c>
      <c r="BB84" t="n">
        <v>2021</v>
      </c>
      <c r="BC84" t="n">
        <v>2025</v>
      </c>
      <c r="BD84" s="81">
        <f>0</f>
        <v/>
      </c>
      <c r="BE84" s="81">
        <f>IFERROR((IF(ISNUMBER(T84),MIN(T84/30,1),0)+IF(ISNUMBER(P84),MIN(P84/500,1),0))/2,0)</f>
        <v/>
      </c>
      <c r="BF84" s="81">
        <f>IFERROR(IF(OR(U84&lt;&gt;"",V84="SÍ"),IF(ISNUMBER(L84),(1*MIN(L84/10000,1))^0.5,0),IF(ISNUMBER(L84),(0*MIN(L84/10000,1))^0.5,0)),0)</f>
        <v/>
      </c>
    </row>
    <row r="85">
      <c r="A85" t="inlineStr">
        <is>
          <t>MIDAGRI; CENACOOP; CENCOOP 2017; SISPAC</t>
        </is>
      </c>
      <c r="B85" s="70" t="inlineStr">
        <is>
          <t>20170142773</t>
        </is>
      </c>
      <c r="C85" s="30" t="inlineStr">
        <is>
          <t>Cooperativa Agraria Cafetalera Bagua Grande Ltda.</t>
        </is>
      </c>
      <c r="D85" s="30" t="inlineStr"/>
      <c r="E85" s="30" t="inlineStr">
        <is>
          <t>VENTA AL POR MENOR DE ALIMENTOS, BEBIDAS Y TABACO EN ALMACENES ESPECIALIZADOS</t>
        </is>
      </c>
      <c r="F85" s="30" t="inlineStr">
        <is>
          <t>Amazonas</t>
        </is>
      </c>
      <c r="G85" s="30" t="inlineStr">
        <is>
          <t>Utcubamba</t>
        </is>
      </c>
      <c r="H85" s="30" t="inlineStr">
        <is>
          <t>Amazonas</t>
        </is>
      </c>
      <c r="I85" s="30" t="inlineStr">
        <is>
          <t>Café</t>
        </is>
      </c>
      <c r="J85" s="17" t="inlineStr">
        <is>
          <t>SI</t>
        </is>
      </c>
      <c r="K85" s="30" t="inlineStr">
        <is>
          <t>SÍ</t>
        </is>
      </c>
      <c r="L85" s="30" t="n">
        <v>2528981.6</v>
      </c>
      <c r="M85" s="30" t="n">
        <v>42999233.42</v>
      </c>
      <c r="N85" s="30" t="n">
        <v>224</v>
      </c>
      <c r="O85" s="30" t="n">
        <v>15</v>
      </c>
      <c r="P85" s="30" t="inlineStr"/>
      <c r="Q85" s="30" t="inlineStr"/>
      <c r="R85" s="14" t="inlineStr">
        <is>
          <t>2575.0</t>
        </is>
      </c>
      <c r="S85" s="30" t="inlineStr"/>
      <c r="T85" s="30" t="inlineStr"/>
      <c r="U85" s="14" t="inlineStr"/>
      <c r="V85" s="15" t="inlineStr">
        <is>
          <t>SÍ</t>
        </is>
      </c>
      <c r="W85" s="14" t="inlineStr">
        <is>
          <t>—</t>
        </is>
      </c>
      <c r="X85" s="14" t="inlineStr">
        <is>
          <t>—</t>
        </is>
      </c>
      <c r="Y85" s="14" t="inlineStr"/>
      <c r="Z85" s="30" t="inlineStr">
        <is>
          <t>No disponible — requiere consulta directa (SUNAT/RUC.PE) o solicitud a la organización</t>
        </is>
      </c>
      <c r="AA85" s="30" t="b">
        <v>0</v>
      </c>
      <c r="AB85" s="30" t="b">
        <v>1</v>
      </c>
      <c r="AC85" s="30" t="b">
        <v>1</v>
      </c>
      <c r="AD85" s="19" t="inlineStr">
        <is>
          <t>SI</t>
        </is>
      </c>
      <c r="AE85" s="30" t="inlineStr">
        <is>
          <t>COOPERATIVA AGRARIA CAFETALERA BAGUA GRANDE LTDA.</t>
        </is>
      </c>
      <c r="AF85" s="30" t="inlineStr">
        <is>
          <t>AMAZONAS</t>
        </is>
      </c>
      <c r="AG85" s="30" t="inlineStr">
        <is>
          <t>UTCUBAMBA</t>
        </is>
      </c>
      <c r="AH85" s="30" t="inlineStr">
        <is>
          <t>BAGUA GRANDE</t>
        </is>
      </c>
      <c r="AI85" s="30" t="inlineStr">
        <is>
          <t>BAGUA GRANDE</t>
        </is>
      </c>
      <c r="AJ85" s="30" t="inlineStr">
        <is>
          <t>ACTIVIDADES DE APOYO A LA AGRICULTURA</t>
        </is>
      </c>
      <c r="AK85" s="30" t="inlineStr">
        <is>
          <t>1.0</t>
        </is>
      </c>
      <c r="AL85" s="30" t="inlineStr">
        <is>
          <t>1.0</t>
        </is>
      </c>
      <c r="AM85" s="30" t="inlineStr">
        <is>
          <t>3.0</t>
        </is>
      </c>
      <c r="AN85" s="30" t="n">
        <v>39</v>
      </c>
      <c r="AO85" s="30" t="inlineStr">
        <is>
          <t>CUBAS CASTILLO HUMBERTO</t>
        </is>
      </c>
      <c r="AP85" s="30" t="inlineStr">
        <is>
          <t>INGENIERO AGRONOMO</t>
        </is>
      </c>
      <c r="AQ85" s="30" t="inlineStr">
        <is>
          <t>10.0</t>
        </is>
      </c>
      <c r="AR85" s="30" t="inlineStr">
        <is>
          <t>WWW.CACBAGUAGRANDE.PE</t>
        </is>
      </c>
      <c r="AS85" s="30" t="inlineStr">
        <is>
          <t>NO TIENE</t>
        </is>
      </c>
      <c r="AT85" s="30" t="inlineStr">
        <is>
          <t>NO TIENE</t>
        </is>
      </c>
      <c r="AU85" s="30" t="inlineStr">
        <is>
          <t>-5.758266666666667</t>
        </is>
      </c>
      <c r="AV85" s="30" t="inlineStr">
        <is>
          <t>-78.440385</t>
        </is>
      </c>
      <c r="AW85" s="30" t="inlineStr">
        <is>
          <t>1978.0</t>
        </is>
      </c>
      <c r="AX85" s="30" t="inlineStr">
        <is>
          <t>1978.0</t>
        </is>
      </c>
      <c r="AY85" s="30" t="inlineStr">
        <is>
          <t>2</t>
        </is>
      </c>
      <c r="AZ85" s="30" t="inlineStr">
        <is>
          <t>sept-2026</t>
        </is>
      </c>
      <c r="BA85" t="inlineStr">
        <is>
          <t>ARGENTINA; AUSTRALIA; BELGIUM; CANADA; FRANCE; GERMANY; IRELAND; ITALY; NETHERLANDS; SPAIN; SWEDEN; SWITZERLAND; TURKEY; UNITED KINGDOM; UNITED STATES</t>
        </is>
      </c>
      <c r="BB85" t="n">
        <v>2010</v>
      </c>
      <c r="BC85" t="n">
        <v>2025</v>
      </c>
      <c r="BD85" s="81">
        <f>0</f>
        <v/>
      </c>
      <c r="BE85" s="81">
        <f>IFERROR((IF(ISNUMBER(T85),MIN(T85/30,1),0)+IF(ISNUMBER(P85),MIN(P85/500,1),0))/2,0)</f>
        <v/>
      </c>
      <c r="BF85" s="81">
        <f>IFERROR(IF(OR(U85&lt;&gt;"",V85="SÍ"),IF(ISNUMBER(L85),(1*MIN(L85/10000,1))^0.5,0),IF(ISNUMBER(L85),(0*MIN(L85/10000,1))^0.5,0)),0)</f>
        <v/>
      </c>
    </row>
    <row r="86">
      <c r="A86" t="inlineStr">
        <is>
          <t>MIDAGRI</t>
        </is>
      </c>
      <c r="B86" s="70" t="inlineStr">
        <is>
          <t>20610402489</t>
        </is>
      </c>
      <c r="C86" s="29" t="inlineStr">
        <is>
          <t>Cooperativa Agraria Cafetalera Cafe Amigo De Las Aves</t>
        </is>
      </c>
      <c r="D86" s="29" t="inlineStr"/>
      <c r="E86" s="29" t="inlineStr">
        <is>
          <t>VENTA AL POR MENOR DE ALIMENTOS, BEBIDAS Y TABACO EN ALMACENES ESPECIALIZADOS</t>
        </is>
      </c>
      <c r="F86" s="29" t="inlineStr">
        <is>
          <t>Amazonas</t>
        </is>
      </c>
      <c r="G86" s="29" t="inlineStr">
        <is>
          <t>Utcubamba</t>
        </is>
      </c>
      <c r="H86" s="29" t="inlineStr">
        <is>
          <t>—</t>
        </is>
      </c>
      <c r="I86" s="29" t="inlineStr">
        <is>
          <t>—</t>
        </is>
      </c>
      <c r="J86" s="29" t="n"/>
      <c r="K86" s="29" t="inlineStr">
        <is>
          <t>NO</t>
        </is>
      </c>
      <c r="L86" s="29" t="n"/>
      <c r="M86" s="29" t="n"/>
      <c r="N86" s="29" t="n"/>
      <c r="O86" s="29" t="n"/>
      <c r="P86" s="29" t="inlineStr"/>
      <c r="Q86" s="29" t="inlineStr"/>
      <c r="R86" s="18" t="inlineStr">
        <is>
          <t>2575.0</t>
        </is>
      </c>
      <c r="S86" s="29" t="inlineStr"/>
      <c r="T86" s="29" t="inlineStr"/>
      <c r="U86" s="18" t="inlineStr"/>
      <c r="V86" s="18" t="inlineStr">
        <is>
          <t>NO</t>
        </is>
      </c>
      <c r="W86" s="18" t="inlineStr">
        <is>
          <t>—</t>
        </is>
      </c>
      <c r="X86" s="18" t="inlineStr">
        <is>
          <t>—</t>
        </is>
      </c>
      <c r="Y86" s="18" t="inlineStr"/>
      <c r="Z86" s="29" t="inlineStr">
        <is>
          <t>—</t>
        </is>
      </c>
      <c r="AA86" s="29" t="b">
        <v>0</v>
      </c>
      <c r="AB86" s="29" t="b">
        <v>1</v>
      </c>
      <c r="AC86" s="29" t="b">
        <v>0</v>
      </c>
      <c r="AD86" s="29" t="inlineStr">
        <is>
          <t>NO</t>
        </is>
      </c>
      <c r="AE86" s="29" t="inlineStr"/>
      <c r="AF86" s="29" t="inlineStr"/>
      <c r="AG86" s="29" t="inlineStr"/>
      <c r="AH86" s="29" t="inlineStr"/>
      <c r="AI86" s="29" t="inlineStr"/>
      <c r="AJ86" s="29" t="inlineStr"/>
      <c r="AK86" s="29" t="inlineStr"/>
      <c r="AL86" s="29" t="inlineStr"/>
      <c r="AM86" s="29" t="inlineStr"/>
      <c r="AN86" s="29" t="n"/>
      <c r="AO86" s="29" t="inlineStr"/>
      <c r="AP86" s="29" t="inlineStr"/>
      <c r="AQ86" s="29" t="inlineStr"/>
      <c r="AR86" s="29" t="inlineStr"/>
      <c r="AS86" s="29" t="inlineStr"/>
      <c r="AT86" s="29" t="inlineStr"/>
      <c r="AU86" s="29" t="inlineStr"/>
      <c r="AV86" s="29" t="inlineStr"/>
      <c r="AW86" s="29" t="inlineStr"/>
      <c r="AX86" s="29" t="inlineStr"/>
      <c r="AY86" s="29" t="inlineStr">
        <is>
          <t>1</t>
        </is>
      </c>
      <c r="AZ86" s="29" t="inlineStr">
        <is>
          <t>sept-2026</t>
        </is>
      </c>
      <c r="BD86" s="81">
        <f>0</f>
        <v/>
      </c>
      <c r="BE86" s="81">
        <f>IFERROR((IF(ISNUMBER(T86),MIN(T86/30,1),0)+IF(ISNUMBER(P86),MIN(P86/500,1),0))/2,0)</f>
        <v/>
      </c>
      <c r="BF86" s="81">
        <f>IFERROR(IF(OR(U86&lt;&gt;"",V86="SÍ"),IF(ISNUMBER(L86),(1*MIN(L86/10000,1))^0.5,0),IF(ISNUMBER(L86),(0*MIN(L86/10000,1))^0.5,0)),0)</f>
        <v/>
      </c>
    </row>
    <row r="87">
      <c r="A87" t="inlineStr">
        <is>
          <t>MIDAGRI; SISPAC</t>
        </is>
      </c>
      <c r="B87" s="70" t="inlineStr">
        <is>
          <t>20601958911</t>
        </is>
      </c>
      <c r="C87" s="30" t="inlineStr">
        <is>
          <t>Cooperativa Agraria Cafetalera Laguna De Los Cóndores Ltda</t>
        </is>
      </c>
      <c r="D87" s="30" t="inlineStr"/>
      <c r="E87" s="30" t="inlineStr">
        <is>
          <t>VENTA AL POR MENOR DE ALIMENTOS, BEBIDAS Y TABACO EN ALMACENES ESPECIALIZADOS</t>
        </is>
      </c>
      <c r="F87" s="30" t="inlineStr">
        <is>
          <t>Amazonas</t>
        </is>
      </c>
      <c r="G87" s="30" t="inlineStr">
        <is>
          <t>Chachapoyas</t>
        </is>
      </c>
      <c r="H87" s="30" t="inlineStr">
        <is>
          <t>—</t>
        </is>
      </c>
      <c r="I87" s="30" t="inlineStr">
        <is>
          <t>—</t>
        </is>
      </c>
      <c r="J87" s="30" t="inlineStr">
        <is>
          <t>SI</t>
        </is>
      </c>
      <c r="K87" s="30" t="inlineStr">
        <is>
          <t>NO</t>
        </is>
      </c>
      <c r="L87" s="30" t="n">
        <v>2581163.75</v>
      </c>
      <c r="M87" s="30" t="n">
        <v>14148683.24</v>
      </c>
      <c r="N87" s="30" t="n">
        <v>58</v>
      </c>
      <c r="O87" s="30" t="n">
        <v>8</v>
      </c>
      <c r="P87" s="30" t="inlineStr"/>
      <c r="Q87" s="30" t="inlineStr"/>
      <c r="R87" s="14" t="inlineStr">
        <is>
          <t>2575.0</t>
        </is>
      </c>
      <c r="S87" s="30" t="inlineStr"/>
      <c r="T87" s="30" t="inlineStr"/>
      <c r="U87" s="14" t="inlineStr"/>
      <c r="V87" s="14" t="inlineStr">
        <is>
          <t>NO</t>
        </is>
      </c>
      <c r="W87" s="14" t="inlineStr">
        <is>
          <t>—</t>
        </is>
      </c>
      <c r="X87" s="14" t="inlineStr">
        <is>
          <t>—</t>
        </is>
      </c>
      <c r="Y87" s="14" t="inlineStr"/>
      <c r="Z87" s="30" t="inlineStr">
        <is>
          <t>—</t>
        </is>
      </c>
      <c r="AA87" s="30" t="b">
        <v>0</v>
      </c>
      <c r="AB87" s="30" t="b">
        <v>1</v>
      </c>
      <c r="AC87" s="30" t="b">
        <v>0</v>
      </c>
      <c r="AD87" s="30" t="inlineStr">
        <is>
          <t>NO</t>
        </is>
      </c>
      <c r="AE87" s="30" t="inlineStr"/>
      <c r="AF87" s="30" t="inlineStr"/>
      <c r="AG87" s="30" t="inlineStr"/>
      <c r="AH87" s="30" t="inlineStr"/>
      <c r="AI87" s="30" t="inlineStr"/>
      <c r="AJ87" s="30" t="inlineStr"/>
      <c r="AK87" s="30" t="inlineStr"/>
      <c r="AL87" s="30" t="inlineStr"/>
      <c r="AM87" s="30" t="inlineStr"/>
      <c r="AN87" s="30" t="n"/>
      <c r="AO87" s="30" t="inlineStr"/>
      <c r="AP87" s="30" t="inlineStr"/>
      <c r="AQ87" s="30" t="inlineStr"/>
      <c r="AR87" s="30" t="inlineStr"/>
      <c r="AS87" s="30" t="inlineStr"/>
      <c r="AT87" s="30" t="inlineStr"/>
      <c r="AU87" s="30" t="inlineStr"/>
      <c r="AV87" s="30" t="inlineStr"/>
      <c r="AW87" s="30" t="inlineStr"/>
      <c r="AX87" s="30" t="inlineStr"/>
      <c r="AY87" s="30" t="inlineStr">
        <is>
          <t>1</t>
        </is>
      </c>
      <c r="AZ87" s="30" t="inlineStr">
        <is>
          <t>sept-2026</t>
        </is>
      </c>
      <c r="BA87" t="inlineStr">
        <is>
          <t>AUSTRALIA; BELGIUM; CANADA; GERMANY; ITALY; NEW ZEALAND; SWEDEN; UNITED STATES</t>
        </is>
      </c>
      <c r="BB87" t="n">
        <v>2021</v>
      </c>
      <c r="BC87" t="n">
        <v>2025</v>
      </c>
      <c r="BD87" s="81">
        <f>0</f>
        <v/>
      </c>
      <c r="BE87" s="81">
        <f>IFERROR((IF(ISNUMBER(T87),MIN(T87/30,1),0)+IF(ISNUMBER(P87),MIN(P87/500,1),0))/2,0)</f>
        <v/>
      </c>
      <c r="BF87" s="81">
        <f>IFERROR(IF(OR(U87&lt;&gt;"",V87="SÍ"),IF(ISNUMBER(L87),(1*MIN(L87/10000,1))^0.5,0),IF(ISNUMBER(L87),(0*MIN(L87/10000,1))^0.5,0)),0)</f>
        <v/>
      </c>
    </row>
    <row r="88">
      <c r="A88" t="inlineStr">
        <is>
          <t>MIDAGRI; CENACOOP; CENCOOP 2017; SISPAC</t>
        </is>
      </c>
      <c r="B88" s="70" t="inlineStr">
        <is>
          <t>20600200756</t>
        </is>
      </c>
      <c r="C88" s="29" t="inlineStr">
        <is>
          <t>Cooperativa Agraria Cafetalera Montaña Azul Ltda.</t>
        </is>
      </c>
      <c r="D88" s="29" t="inlineStr"/>
      <c r="E88" s="29" t="inlineStr">
        <is>
          <t>VENTA AL POR MENOR DE ALIMENTOS, BEBIDAS Y TABACO EN ALMACENES ESPECIALIZADOS</t>
        </is>
      </c>
      <c r="F88" s="29" t="inlineStr">
        <is>
          <t>Amazonas</t>
        </is>
      </c>
      <c r="G88" s="29" t="inlineStr">
        <is>
          <t>Utcubamba</t>
        </is>
      </c>
      <c r="H88" s="29" t="inlineStr">
        <is>
          <t>—</t>
        </is>
      </c>
      <c r="I88" s="29" t="inlineStr">
        <is>
          <t>—</t>
        </is>
      </c>
      <c r="J88" s="29" t="inlineStr">
        <is>
          <t>SI</t>
        </is>
      </c>
      <c r="K88" s="29" t="inlineStr">
        <is>
          <t>NO</t>
        </is>
      </c>
      <c r="L88" s="29" t="n">
        <v>0</v>
      </c>
      <c r="M88" s="29" t="n">
        <v>682932.64</v>
      </c>
      <c r="N88" s="29" t="n">
        <v>7</v>
      </c>
      <c r="O88" s="29" t="n">
        <v>3</v>
      </c>
      <c r="P88" s="29" t="inlineStr"/>
      <c r="Q88" s="29" t="inlineStr"/>
      <c r="R88" s="18" t="inlineStr">
        <is>
          <t>2575.0</t>
        </is>
      </c>
      <c r="S88" s="29" t="inlineStr"/>
      <c r="T88" s="29" t="inlineStr"/>
      <c r="U88" s="18" t="inlineStr"/>
      <c r="V88" s="18" t="inlineStr">
        <is>
          <t>NO</t>
        </is>
      </c>
      <c r="W88" s="18" t="inlineStr">
        <is>
          <t>—</t>
        </is>
      </c>
      <c r="X88" s="18" t="inlineStr">
        <is>
          <t>—</t>
        </is>
      </c>
      <c r="Y88" s="18" t="inlineStr"/>
      <c r="Z88" s="29" t="inlineStr">
        <is>
          <t>—</t>
        </is>
      </c>
      <c r="AA88" s="29" t="b">
        <v>0</v>
      </c>
      <c r="AB88" s="29" t="b">
        <v>1</v>
      </c>
      <c r="AC88" s="29" t="b">
        <v>1</v>
      </c>
      <c r="AD88" s="19" t="inlineStr">
        <is>
          <t>SI</t>
        </is>
      </c>
      <c r="AE88" s="29" t="inlineStr">
        <is>
          <t>COOPERATIVA AGRARIA CAFETALERA MONTAÑA AZUL LTDA. - COODirectorio PACMA</t>
        </is>
      </c>
      <c r="AF88" s="29" t="inlineStr">
        <is>
          <t>AMAZONAS</t>
        </is>
      </c>
      <c r="AG88" s="29" t="inlineStr">
        <is>
          <t>UTCUBAMBA</t>
        </is>
      </c>
      <c r="AH88" s="29" t="inlineStr">
        <is>
          <t>LONYA GRANDE</t>
        </is>
      </c>
      <c r="AI88" s="29" t="inlineStr">
        <is>
          <t>LONYA GRANDE</t>
        </is>
      </c>
      <c r="AJ88" s="29" t="inlineStr">
        <is>
          <t>CULTIVO DE CEREALES (EXCEPTO ARROZ), LEGUMBRES Y SEMILLAS OLEAGINOSAS</t>
        </is>
      </c>
      <c r="AK88" s="29" t="inlineStr">
        <is>
          <t>1.0</t>
        </is>
      </c>
      <c r="AL88" s="29" t="inlineStr">
        <is>
          <t>1.0</t>
        </is>
      </c>
      <c r="AM88" s="29" t="inlineStr">
        <is>
          <t>2.0</t>
        </is>
      </c>
      <c r="AN88" s="29" t="n">
        <v>2</v>
      </c>
      <c r="AO88" s="29" t="inlineStr">
        <is>
          <t>AREVALO MONTENEGRO ISABEL</t>
        </is>
      </c>
      <c r="AP88" s="29" t="inlineStr">
        <is>
          <t>INGENIERO AGRONOMO</t>
        </is>
      </c>
      <c r="AQ88" s="29" t="inlineStr">
        <is>
          <t>9.0</t>
        </is>
      </c>
      <c r="AR88" s="29" t="inlineStr">
        <is>
          <t>NO TIENE</t>
        </is>
      </c>
      <c r="AS88" s="29" t="inlineStr">
        <is>
          <t>COODirectorio PACMA@GMAIL.COM</t>
        </is>
      </c>
      <c r="AT88" s="29" t="inlineStr">
        <is>
          <t>968078951</t>
        </is>
      </c>
      <c r="AU88" s="29" t="inlineStr">
        <is>
          <t>-6.094956666666667</t>
        </is>
      </c>
      <c r="AV88" s="29" t="inlineStr">
        <is>
          <t>-78.42322166666666</t>
        </is>
      </c>
      <c r="AW88" s="29" t="inlineStr">
        <is>
          <t>2015.0</t>
        </is>
      </c>
      <c r="AX88" s="29" t="inlineStr">
        <is>
          <t>2015.0</t>
        </is>
      </c>
      <c r="AY88" s="29" t="inlineStr">
        <is>
          <t>2</t>
        </is>
      </c>
      <c r="AZ88" s="29" t="inlineStr">
        <is>
          <t>sept-2026</t>
        </is>
      </c>
      <c r="BA88" t="inlineStr">
        <is>
          <t>CHILE; GERMANY; UNITED STATES</t>
        </is>
      </c>
      <c r="BB88" t="n">
        <v>2015</v>
      </c>
      <c r="BC88" t="n">
        <v>2019</v>
      </c>
      <c r="BD88" s="81">
        <f>0</f>
        <v/>
      </c>
      <c r="BE88" s="81">
        <f>IFERROR((IF(ISNUMBER(T88),MIN(T88/30,1),0)+IF(ISNUMBER(P88),MIN(P88/500,1),0))/2,0)</f>
        <v/>
      </c>
      <c r="BF88" s="81">
        <f>IFERROR(IF(OR(U88&lt;&gt;"",V88="SÍ"),IF(ISNUMBER(L88),(1*MIN(L88/10000,1))^0.5,0),IF(ISNUMBER(L88),(0*MIN(L88/10000,1))^0.5,0)),0)</f>
        <v/>
      </c>
    </row>
    <row r="89">
      <c r="A89" t="inlineStr">
        <is>
          <t>MIDAGRI; CENCOOP 2017; SISPAC</t>
        </is>
      </c>
      <c r="B89" s="70" t="inlineStr">
        <is>
          <t>20601558204</t>
        </is>
      </c>
      <c r="C89" s="30" t="inlineStr">
        <is>
          <t>Cooperativa Agraria Cafetalera Ocumal</t>
        </is>
      </c>
      <c r="D89" s="30" t="inlineStr"/>
      <c r="E89" s="30" t="inlineStr">
        <is>
          <t>VENTA AL POR MENOR DE ALIMENTOS, BEBIDAS Y TABACO EN ALMACENES ESPECIALIZADOS</t>
        </is>
      </c>
      <c r="F89" s="30" t="inlineStr">
        <is>
          <t>Amazonas</t>
        </is>
      </c>
      <c r="G89" s="30" t="inlineStr">
        <is>
          <t>Luya</t>
        </is>
      </c>
      <c r="H89" s="30" t="inlineStr">
        <is>
          <t>—</t>
        </is>
      </c>
      <c r="I89" s="30" t="inlineStr">
        <is>
          <t>—</t>
        </is>
      </c>
      <c r="J89" s="30" t="inlineStr">
        <is>
          <t>SI</t>
        </is>
      </c>
      <c r="K89" s="30" t="inlineStr">
        <is>
          <t>NO</t>
        </is>
      </c>
      <c r="L89" s="30" t="n">
        <v>442439.35</v>
      </c>
      <c r="M89" s="30" t="n">
        <v>1415894.96</v>
      </c>
      <c r="N89" s="30" t="n">
        <v>16</v>
      </c>
      <c r="O89" s="30" t="n">
        <v>4</v>
      </c>
      <c r="P89" s="30" t="inlineStr"/>
      <c r="Q89" s="30" t="inlineStr"/>
      <c r="R89" s="14" t="inlineStr">
        <is>
          <t>2575.0</t>
        </is>
      </c>
      <c r="S89" s="30" t="inlineStr"/>
      <c r="T89" s="30" t="inlineStr"/>
      <c r="U89" s="14" t="inlineStr"/>
      <c r="V89" s="14" t="inlineStr">
        <is>
          <t>NO</t>
        </is>
      </c>
      <c r="W89" s="14" t="inlineStr">
        <is>
          <t>—</t>
        </is>
      </c>
      <c r="X89" s="14" t="inlineStr">
        <is>
          <t>—</t>
        </is>
      </c>
      <c r="Y89" s="14" t="inlineStr"/>
      <c r="Z89" s="30" t="inlineStr">
        <is>
          <t>—</t>
        </is>
      </c>
      <c r="AA89" s="30" t="b">
        <v>0</v>
      </c>
      <c r="AB89" s="30" t="b">
        <v>1</v>
      </c>
      <c r="AC89" s="30" t="b">
        <v>0</v>
      </c>
      <c r="AD89" s="19" t="inlineStr">
        <is>
          <t>SI</t>
        </is>
      </c>
      <c r="AE89" s="30" t="inlineStr">
        <is>
          <t>COOPERATIVA AGROPECUARIA OCUMAL</t>
        </is>
      </c>
      <c r="AF89" s="30" t="inlineStr">
        <is>
          <t>AMAZONAS</t>
        </is>
      </c>
      <c r="AG89" s="30" t="inlineStr">
        <is>
          <t>LUYA</t>
        </is>
      </c>
      <c r="AH89" s="30" t="inlineStr">
        <is>
          <t>OCUMAL</t>
        </is>
      </c>
      <c r="AI89" s="30" t="inlineStr">
        <is>
          <t>COLLONCE</t>
        </is>
      </c>
      <c r="AJ89" s="30" t="inlineStr">
        <is>
          <t>VENTA AL POR MAYOR DE MATERIAS PRIMAS AGROPECUARIAS Y ANIMALES VIVOS.</t>
        </is>
      </c>
      <c r="AK89" s="30" t="inlineStr">
        <is>
          <t>2.0</t>
        </is>
      </c>
      <c r="AL89" s="30" t="inlineStr">
        <is>
          <t>2.0</t>
        </is>
      </c>
      <c r="AM89" s="30" t="inlineStr"/>
      <c r="AN89" s="30" t="n">
        <v>1</v>
      </c>
      <c r="AO89" s="30" t="inlineStr"/>
      <c r="AP89" s="30" t="inlineStr"/>
      <c r="AQ89" s="30" t="inlineStr"/>
      <c r="AR89" s="30" t="inlineStr">
        <is>
          <t>NO TIENE</t>
        </is>
      </c>
      <c r="AS89" s="30" t="inlineStr">
        <is>
          <t>NO TIENE</t>
        </is>
      </c>
      <c r="AT89" s="30" t="inlineStr">
        <is>
          <t>NO TIENE</t>
        </is>
      </c>
      <c r="AU89" s="30" t="inlineStr">
        <is>
          <t>-6.2277450000000005</t>
        </is>
      </c>
      <c r="AV89" s="30" t="inlineStr">
        <is>
          <t>-77.86403166666668</t>
        </is>
      </c>
      <c r="AW89" s="30" t="inlineStr">
        <is>
          <t>2016.0</t>
        </is>
      </c>
      <c r="AX89" s="30" t="inlineStr">
        <is>
          <t>2016.0</t>
        </is>
      </c>
      <c r="AY89" s="30" t="inlineStr">
        <is>
          <t>1</t>
        </is>
      </c>
      <c r="AZ89" s="30" t="inlineStr">
        <is>
          <t>sept-2026</t>
        </is>
      </c>
      <c r="BA89" t="inlineStr">
        <is>
          <t>CANADA; FRANCE; GERMANY; UNITED STATES</t>
        </is>
      </c>
      <c r="BB89" t="n">
        <v>2019</v>
      </c>
      <c r="BC89" t="n">
        <v>2024</v>
      </c>
      <c r="BD89" s="81">
        <f>0</f>
        <v/>
      </c>
      <c r="BE89" s="81">
        <f>IFERROR((IF(ISNUMBER(T89),MIN(T89/30,1),0)+IF(ISNUMBER(P89),MIN(P89/500,1),0))/2,0)</f>
        <v/>
      </c>
      <c r="BF89" s="81">
        <f>IFERROR(IF(OR(U89&lt;&gt;"",V89="SÍ"),IF(ISNUMBER(L89),(1*MIN(L89/10000,1))^0.5,0),IF(ISNUMBER(L89),(0*MIN(L89/10000,1))^0.5,0)),0)</f>
        <v/>
      </c>
      <c r="BG89" t="n">
        <v>8</v>
      </c>
      <c r="BH89" t="n">
        <v>0</v>
      </c>
      <c r="BI89" t="n">
        <v>0</v>
      </c>
      <c r="BJ89" t="n">
        <v>0</v>
      </c>
      <c r="BK89" t="n">
        <v>0</v>
      </c>
      <c r="BL89" t="n">
        <v>8</v>
      </c>
      <c r="BM89" t="n">
        <v>0</v>
      </c>
      <c r="BN89" t="n">
        <v>8</v>
      </c>
      <c r="BO89" t="n">
        <v>3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8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0.375</v>
      </c>
      <c r="CD89" t="n">
        <v>0</v>
      </c>
      <c r="CE89" t="n">
        <v>0</v>
      </c>
      <c r="CF89" t="n">
        <v>0</v>
      </c>
    </row>
    <row r="90">
      <c r="A90" t="inlineStr">
        <is>
          <t>MIDAGRI; CENACOOP; CENCOOP 2017; SISPAC</t>
        </is>
      </c>
      <c r="B90" s="70" t="inlineStr">
        <is>
          <t>20600001109</t>
        </is>
      </c>
      <c r="C90" s="29" t="inlineStr">
        <is>
          <t>Cooperativa Agraria Cafetalera Productora Comercial Exportadora Café Andez Amazonicos Ltda.</t>
        </is>
      </c>
      <c r="D90" s="29" t="inlineStr"/>
      <c r="E90" s="29" t="inlineStr">
        <is>
          <t>VENTA AL POR MENOR DE ALIMENTOS, BEBIDAS Y TABACO EN ALMACENES ESPECIALIZADOS</t>
        </is>
      </c>
      <c r="F90" s="29" t="inlineStr">
        <is>
          <t>Amazonas</t>
        </is>
      </c>
      <c r="G90" s="29" t="inlineStr">
        <is>
          <t>Utcubamba</t>
        </is>
      </c>
      <c r="H90" s="29" t="inlineStr">
        <is>
          <t>—</t>
        </is>
      </c>
      <c r="I90" s="29" t="inlineStr">
        <is>
          <t>—</t>
        </is>
      </c>
      <c r="J90" s="29" t="inlineStr">
        <is>
          <t>SI</t>
        </is>
      </c>
      <c r="K90" s="29" t="inlineStr">
        <is>
          <t>NO</t>
        </is>
      </c>
      <c r="L90" s="29" t="n">
        <v>0</v>
      </c>
      <c r="M90" s="29" t="n">
        <v>248943.2</v>
      </c>
      <c r="N90" s="29" t="n">
        <v>5</v>
      </c>
      <c r="O90" s="29" t="n">
        <v>3</v>
      </c>
      <c r="P90" s="29" t="inlineStr"/>
      <c r="Q90" s="29" t="inlineStr"/>
      <c r="R90" s="18" t="inlineStr">
        <is>
          <t>2575.0</t>
        </is>
      </c>
      <c r="S90" s="29" t="inlineStr"/>
      <c r="T90" s="29" t="inlineStr"/>
      <c r="U90" s="18" t="inlineStr"/>
      <c r="V90" s="18" t="inlineStr">
        <is>
          <t>NO</t>
        </is>
      </c>
      <c r="W90" s="18" t="inlineStr">
        <is>
          <t>—</t>
        </is>
      </c>
      <c r="X90" s="18" t="inlineStr">
        <is>
          <t>—</t>
        </is>
      </c>
      <c r="Y90" s="18" t="inlineStr"/>
      <c r="Z90" s="29" t="inlineStr">
        <is>
          <t>—</t>
        </is>
      </c>
      <c r="AA90" s="29" t="b">
        <v>0</v>
      </c>
      <c r="AB90" s="29" t="b">
        <v>1</v>
      </c>
      <c r="AC90" s="29" t="b">
        <v>1</v>
      </c>
      <c r="AD90" s="19" t="inlineStr">
        <is>
          <t>SI</t>
        </is>
      </c>
      <c r="AE90" s="29" t="inlineStr">
        <is>
          <t>COOPERATIVA AGRARIA CAFETALERA PRODUCTORA COMERCIAL EXPORTADORA CAFE ANDES AMAZONICOS LTDA.</t>
        </is>
      </c>
      <c r="AF90" s="29" t="inlineStr">
        <is>
          <t>AMAZONAS</t>
        </is>
      </c>
      <c r="AG90" s="29" t="inlineStr">
        <is>
          <t>UTCUBAMBA</t>
        </is>
      </c>
      <c r="AH90" s="29" t="inlineStr">
        <is>
          <t>LONYA GRANDE</t>
        </is>
      </c>
      <c r="AI90" s="29" t="inlineStr">
        <is>
          <t>LONYA GRANDE</t>
        </is>
      </c>
      <c r="AJ90" s="29" t="inlineStr">
        <is>
          <t>CULTIVO DE CEREALES (EXCEPTO ARROZ), LEGUMBRES Y SEMILLAS OLEAGINOSAS</t>
        </is>
      </c>
      <c r="AK90" s="29" t="inlineStr">
        <is>
          <t>1.0</t>
        </is>
      </c>
      <c r="AL90" s="29" t="inlineStr">
        <is>
          <t>1.0</t>
        </is>
      </c>
      <c r="AM90" s="29" t="inlineStr">
        <is>
          <t>2.0</t>
        </is>
      </c>
      <c r="AN90" s="29" t="n">
        <v>3</v>
      </c>
      <c r="AO90" s="29" t="inlineStr">
        <is>
          <t>SILVA DIAZ NILSON</t>
        </is>
      </c>
      <c r="AP90" s="29" t="inlineStr">
        <is>
          <t>TECNICO EN ENFERMERIA</t>
        </is>
      </c>
      <c r="AQ90" s="29" t="inlineStr">
        <is>
          <t>8.0</t>
        </is>
      </c>
      <c r="AR90" s="29" t="inlineStr">
        <is>
          <t>NO TIENE</t>
        </is>
      </c>
      <c r="AS90" s="29" t="inlineStr">
        <is>
          <t>NO TIENE</t>
        </is>
      </c>
      <c r="AT90" s="29" t="inlineStr">
        <is>
          <t>983152684</t>
        </is>
      </c>
      <c r="AU90" s="29" t="inlineStr">
        <is>
          <t>-6.095758333333333</t>
        </is>
      </c>
      <c r="AV90" s="29" t="inlineStr">
        <is>
          <t>-78.42287333333334</t>
        </is>
      </c>
      <c r="AW90" s="29" t="inlineStr">
        <is>
          <t>2014.0</t>
        </is>
      </c>
      <c r="AX90" s="29" t="inlineStr">
        <is>
          <t>2014.0</t>
        </is>
      </c>
      <c r="AY90" s="29" t="inlineStr">
        <is>
          <t>2</t>
        </is>
      </c>
      <c r="AZ90" s="29" t="inlineStr">
        <is>
          <t>sept-2026</t>
        </is>
      </c>
      <c r="BA90" t="inlineStr">
        <is>
          <t>CANADA; UNITED KINGDOM; UNITED STATES</t>
        </is>
      </c>
      <c r="BB90" t="n">
        <v>2016</v>
      </c>
      <c r="BC90" t="n">
        <v>2018</v>
      </c>
      <c r="BD90" s="81">
        <f>0</f>
        <v/>
      </c>
      <c r="BE90" s="81">
        <f>IFERROR((IF(ISNUMBER(T90),MIN(T90/30,1),0)+IF(ISNUMBER(P90),MIN(P90/500,1),0))/2,0)</f>
        <v/>
      </c>
      <c r="BF90" s="81">
        <f>IFERROR(IF(OR(U90&lt;&gt;"",V90="SÍ"),IF(ISNUMBER(L90),(1*MIN(L90/10000,1))^0.5,0),IF(ISNUMBER(L90),(0*MIN(L90/10000,1))^0.5,0)),0)</f>
        <v/>
      </c>
    </row>
    <row r="91">
      <c r="A91" t="inlineStr">
        <is>
          <t>MIDAGRI; CENACOOP; CENCOOP 2017</t>
        </is>
      </c>
      <c r="B91" s="70" t="inlineStr">
        <is>
          <t>20601310202</t>
        </is>
      </c>
      <c r="C91" s="30" t="inlineStr">
        <is>
          <t>Cooperativa Agraria Cafetalera Valle Alto Ltda.</t>
        </is>
      </c>
      <c r="D91" s="30" t="inlineStr"/>
      <c r="E91" s="30" t="inlineStr">
        <is>
          <t>VENTA AL POR MENOR DE ALIMENTOS, BEBIDAS Y TABACO EN ALMACENES ESPECIALIZADOS</t>
        </is>
      </c>
      <c r="F91" s="30" t="inlineStr">
        <is>
          <t>Amazonas</t>
        </is>
      </c>
      <c r="G91" s="30" t="inlineStr">
        <is>
          <t>Utcubamba</t>
        </is>
      </c>
      <c r="H91" s="30" t="inlineStr">
        <is>
          <t>—</t>
        </is>
      </c>
      <c r="I91" s="30" t="inlineStr">
        <is>
          <t>—</t>
        </is>
      </c>
      <c r="J91" s="17" t="inlineStr">
        <is>
          <t>SI</t>
        </is>
      </c>
      <c r="K91" s="30" t="inlineStr">
        <is>
          <t>SÍ</t>
        </is>
      </c>
      <c r="L91" s="30" t="n">
        <v>1200607.57</v>
      </c>
      <c r="M91" s="30" t="n">
        <v>3865770.09</v>
      </c>
      <c r="N91" s="30" t="n">
        <v>30</v>
      </c>
      <c r="O91" s="30" t="n">
        <v>8</v>
      </c>
      <c r="P91" s="30" t="inlineStr"/>
      <c r="Q91" s="30" t="inlineStr"/>
      <c r="R91" s="14" t="inlineStr">
        <is>
          <t>2575.0</t>
        </is>
      </c>
      <c r="S91" s="30" t="inlineStr"/>
      <c r="T91" s="30" t="inlineStr"/>
      <c r="U91" s="14" t="inlineStr"/>
      <c r="V91" s="14" t="inlineStr">
        <is>
          <t>NO</t>
        </is>
      </c>
      <c r="W91" s="14" t="inlineStr">
        <is>
          <t>—</t>
        </is>
      </c>
      <c r="X91" s="14" t="inlineStr">
        <is>
          <t>—</t>
        </is>
      </c>
      <c r="Y91" s="14" t="inlineStr"/>
      <c r="Z91" s="30" t="inlineStr">
        <is>
          <t>—</t>
        </is>
      </c>
      <c r="AA91" s="30" t="b">
        <v>0</v>
      </c>
      <c r="AB91" s="30" t="b">
        <v>1</v>
      </c>
      <c r="AC91" s="30" t="b">
        <v>1</v>
      </c>
      <c r="AD91" s="19" t="inlineStr">
        <is>
          <t>SI</t>
        </is>
      </c>
      <c r="AE91" s="30" t="inlineStr">
        <is>
          <t>COOPERATIVA DE SERVICIOS MULTIPLES VALLE ALTO LTDA.</t>
        </is>
      </c>
      <c r="AF91" s="30" t="inlineStr">
        <is>
          <t>AMAZONAS</t>
        </is>
      </c>
      <c r="AG91" s="30" t="inlineStr">
        <is>
          <t>UTCUBAMBA</t>
        </is>
      </c>
      <c r="AH91" s="30" t="inlineStr">
        <is>
          <t>LONYA GRANDE</t>
        </is>
      </c>
      <c r="AI91" s="30" t="inlineStr">
        <is>
          <t>LONYA GRANDE</t>
        </is>
      </c>
      <c r="AJ91" s="30" t="inlineStr">
        <is>
          <t>OTRAS ACTIVIDADES DE SERVICIOS PERSONALES N.C.P.</t>
        </is>
      </c>
      <c r="AK91" s="30" t="inlineStr">
        <is>
          <t>9.0</t>
        </is>
      </c>
      <c r="AL91" s="30" t="inlineStr">
        <is>
          <t>1.0</t>
        </is>
      </c>
      <c r="AM91" s="30" t="inlineStr">
        <is>
          <t>1.0</t>
        </is>
      </c>
      <c r="AN91" s="30" t="n">
        <v>1</v>
      </c>
      <c r="AO91" s="30" t="inlineStr">
        <is>
          <t>FERNANDEZ NAVARRO JOSE SANTOS</t>
        </is>
      </c>
      <c r="AP91" s="30" t="inlineStr">
        <is>
          <t>LICENCIADO EN NEGOCIOS INTERNACIONALES</t>
        </is>
      </c>
      <c r="AQ91" s="30" t="inlineStr">
        <is>
          <t>10.0</t>
        </is>
      </c>
      <c r="AR91" s="30" t="inlineStr">
        <is>
          <t>NO TIENE</t>
        </is>
      </c>
      <c r="AS91" s="30" t="inlineStr">
        <is>
          <t>VALLEALTOCOOP@GMAIL.COM</t>
        </is>
      </c>
      <c r="AT91" s="30" t="inlineStr">
        <is>
          <t>951303550</t>
        </is>
      </c>
      <c r="AU91" s="30" t="inlineStr">
        <is>
          <t>-6.095428333333333</t>
        </is>
      </c>
      <c r="AV91" s="30" t="inlineStr">
        <is>
          <t>-78.423125</t>
        </is>
      </c>
      <c r="AW91" s="30" t="inlineStr">
        <is>
          <t>2016.0</t>
        </is>
      </c>
      <c r="AX91" s="30" t="inlineStr">
        <is>
          <t>2016.0</t>
        </is>
      </c>
      <c r="AY91" s="30" t="inlineStr">
        <is>
          <t>2</t>
        </is>
      </c>
      <c r="AZ91" s="30" t="inlineStr">
        <is>
          <t>sept-2026</t>
        </is>
      </c>
      <c r="BA91" t="inlineStr">
        <is>
          <t>ARGENTINA; BELGIUM; CHILE; FRANCE; GERMANY; RUSSIAN FEDERATION; UNITED KINGDOM; UNITED STATES</t>
        </is>
      </c>
      <c r="BB91" t="n">
        <v>2023</v>
      </c>
      <c r="BC91" t="n">
        <v>2025</v>
      </c>
      <c r="BD91" s="81">
        <f>0</f>
        <v/>
      </c>
      <c r="BE91" s="81">
        <f>IFERROR((IF(ISNUMBER(T91),MIN(T91/30,1),0)+IF(ISNUMBER(P91),MIN(P91/500,1),0))/2,0)</f>
        <v/>
      </c>
      <c r="BF91" s="81">
        <f>IFERROR(IF(OR(U91&lt;&gt;"",V91="SÍ"),IF(ISNUMBER(L91),(1*MIN(L91/10000,1))^0.5,0),IF(ISNUMBER(L91),(0*MIN(L91/10000,1))^0.5,0)),0)</f>
        <v/>
      </c>
    </row>
    <row r="92">
      <c r="A92" t="inlineStr">
        <is>
          <t>MIDAGRI; CENACOOP; CENCOOP 2017; SISPAC</t>
        </is>
      </c>
      <c r="B92" s="70" t="inlineStr">
        <is>
          <t>20479917141</t>
        </is>
      </c>
      <c r="C92" s="29" t="inlineStr">
        <is>
          <t>Cooperativa Agraria Central de Productores Agropecuarios del Amazonas</t>
        </is>
      </c>
      <c r="D92" s="29" t="inlineStr"/>
      <c r="E92" s="29" t="inlineStr">
        <is>
          <t>VENTA AL POR MENOR DE ALIMENTOS, BEBIDAS Y TABACO EN ALMACENES ESPECIALIZADOS</t>
        </is>
      </c>
      <c r="F92" s="29" t="inlineStr">
        <is>
          <t>Amazonas</t>
        </is>
      </c>
      <c r="G92" s="29" t="inlineStr">
        <is>
          <t>Utcubamba</t>
        </is>
      </c>
      <c r="H92" s="29" t="inlineStr">
        <is>
          <t>—</t>
        </is>
      </c>
      <c r="I92" s="29" t="inlineStr">
        <is>
          <t>—</t>
        </is>
      </c>
      <c r="J92" s="17" t="inlineStr">
        <is>
          <t>SI</t>
        </is>
      </c>
      <c r="K92" s="29" t="inlineStr">
        <is>
          <t>SÍ</t>
        </is>
      </c>
      <c r="L92" s="29" t="n">
        <v>797333.3</v>
      </c>
      <c r="M92" s="29" t="n">
        <v>1210668.46</v>
      </c>
      <c r="N92" s="29" t="n">
        <v>8</v>
      </c>
      <c r="O92" s="29" t="n">
        <v>2</v>
      </c>
      <c r="P92" s="29" t="inlineStr"/>
      <c r="Q92" s="29" t="inlineStr"/>
      <c r="R92" s="18" t="inlineStr">
        <is>
          <t>2575.0</t>
        </is>
      </c>
      <c r="S92" s="29" t="inlineStr"/>
      <c r="T92" s="29" t="inlineStr"/>
      <c r="U92" s="18" t="inlineStr"/>
      <c r="V92" s="18" t="inlineStr">
        <is>
          <t>NO</t>
        </is>
      </c>
      <c r="W92" s="18" t="inlineStr">
        <is>
          <t>—</t>
        </is>
      </c>
      <c r="X92" s="18" t="inlineStr">
        <is>
          <t>—</t>
        </is>
      </c>
      <c r="Y92" s="18" t="inlineStr"/>
      <c r="Z92" s="29" t="inlineStr">
        <is>
          <t>—</t>
        </is>
      </c>
      <c r="AA92" s="29" t="b">
        <v>0</v>
      </c>
      <c r="AB92" s="29" t="b">
        <v>1</v>
      </c>
      <c r="AC92" s="29" t="b">
        <v>1</v>
      </c>
      <c r="AD92" s="19" t="inlineStr">
        <is>
          <t>SI</t>
        </is>
      </c>
      <c r="AE92" s="29" t="inlineStr">
        <is>
          <t>COOPERATIVA CENTRAL DE PRODUCTORES AGROPECUARIOS DE AMAZONAS CEPROAA</t>
        </is>
      </c>
      <c r="AF92" s="29" t="inlineStr">
        <is>
          <t>AMAZONAS</t>
        </is>
      </c>
      <c r="AG92" s="29" t="inlineStr">
        <is>
          <t>UTCUBAMBA</t>
        </is>
      </c>
      <c r="AH92" s="29" t="inlineStr">
        <is>
          <t>CAJARURO</t>
        </is>
      </c>
      <c r="AI92" s="29" t="inlineStr">
        <is>
          <t>CAJARURO</t>
        </is>
      </c>
      <c r="AJ92" s="29" t="inlineStr">
        <is>
          <t>CULTIVO DE PLANTAS CON LAS QUE SE PREPARAN BEBIDAS</t>
        </is>
      </c>
      <c r="AK92" s="29" t="inlineStr">
        <is>
          <t>2.0</t>
        </is>
      </c>
      <c r="AL92" s="29" t="inlineStr">
        <is>
          <t>1.0</t>
        </is>
      </c>
      <c r="AM92" s="29" t="inlineStr">
        <is>
          <t>2.0</t>
        </is>
      </c>
      <c r="AN92" s="29" t="n">
        <v>12</v>
      </c>
      <c r="AO92" s="29" t="inlineStr">
        <is>
          <t>MEDINA VILCHEZ WILMER</t>
        </is>
      </c>
      <c r="AP92" s="29" t="inlineStr">
        <is>
          <t>INGENIERO AGRONOMO</t>
        </is>
      </c>
      <c r="AQ92" s="29" t="inlineStr">
        <is>
          <t>10.0</t>
        </is>
      </c>
      <c r="AR92" s="29" t="inlineStr">
        <is>
          <t>NO TIENE</t>
        </is>
      </c>
      <c r="AS92" s="29" t="inlineStr">
        <is>
          <t>COOP.CEPROA@GMAIL.COM</t>
        </is>
      </c>
      <c r="AT92" s="29" t="inlineStr">
        <is>
          <t>NO TIENE</t>
        </is>
      </c>
      <c r="AU92" s="29" t="inlineStr">
        <is>
          <t>-5.737343333333333</t>
        </is>
      </c>
      <c r="AV92" s="29" t="inlineStr">
        <is>
          <t>-78.43133666666667</t>
        </is>
      </c>
      <c r="AW92" s="29" t="inlineStr">
        <is>
          <t>2005.0</t>
        </is>
      </c>
      <c r="AX92" s="29" t="inlineStr">
        <is>
          <t>2005.0</t>
        </is>
      </c>
      <c r="AY92" s="29" t="inlineStr">
        <is>
          <t>2</t>
        </is>
      </c>
      <c r="AZ92" s="29" t="inlineStr">
        <is>
          <t>sept-2026</t>
        </is>
      </c>
      <c r="BA92" t="inlineStr">
        <is>
          <t>ITALY; UNITED STATES</t>
        </is>
      </c>
      <c r="BB92" t="n">
        <v>2023</v>
      </c>
      <c r="BC92" t="n">
        <v>2025</v>
      </c>
      <c r="BD92" s="81">
        <f>0</f>
        <v/>
      </c>
      <c r="BE92" s="81">
        <f>IFERROR((IF(ISNUMBER(T92),MIN(T92/30,1),0)+IF(ISNUMBER(P92),MIN(P92/500,1),0))/2,0)</f>
        <v/>
      </c>
      <c r="BF92" s="81">
        <f>IFERROR(IF(OR(U92&lt;&gt;"",V92="SÍ"),IF(ISNUMBER(L92),(1*MIN(L92/10000,1))^0.5,0),IF(ISNUMBER(L92),(0*MIN(L92/10000,1))^0.5,0)),0)</f>
        <v/>
      </c>
    </row>
    <row r="93">
      <c r="A93" t="inlineStr">
        <is>
          <t>MIDAGRI</t>
        </is>
      </c>
      <c r="B93" s="70" t="inlineStr">
        <is>
          <t>20611644826</t>
        </is>
      </c>
      <c r="C93" s="30" t="inlineStr">
        <is>
          <t>Cooperativa Agraria De Servicios Múltiples Intercoffee</t>
        </is>
      </c>
      <c r="D93" s="30" t="inlineStr"/>
      <c r="E93" s="30" t="inlineStr">
        <is>
          <t>VENTA AL POR MENOR DE ALIMENTOS, BEBIDAS Y TABACO EN ALMACENES ESPECIALIZADOS</t>
        </is>
      </c>
      <c r="F93" s="30" t="inlineStr">
        <is>
          <t>Amazonas</t>
        </is>
      </c>
      <c r="G93" s="30" t="inlineStr">
        <is>
          <t>Utcubamba</t>
        </is>
      </c>
      <c r="H93" s="30" t="inlineStr">
        <is>
          <t>—</t>
        </is>
      </c>
      <c r="I93" s="30" t="inlineStr">
        <is>
          <t>—</t>
        </is>
      </c>
      <c r="J93" s="30" t="n"/>
      <c r="K93" s="30" t="inlineStr">
        <is>
          <t>NO</t>
        </is>
      </c>
      <c r="L93" s="30" t="n"/>
      <c r="M93" s="30" t="n"/>
      <c r="N93" s="30" t="n"/>
      <c r="O93" s="30" t="n"/>
      <c r="P93" s="30" t="inlineStr"/>
      <c r="Q93" s="30" t="inlineStr"/>
      <c r="R93" s="14" t="inlineStr">
        <is>
          <t>2575.0</t>
        </is>
      </c>
      <c r="S93" s="30" t="inlineStr"/>
      <c r="T93" s="30" t="inlineStr"/>
      <c r="U93" s="14" t="inlineStr"/>
      <c r="V93" s="14" t="inlineStr">
        <is>
          <t>NO</t>
        </is>
      </c>
      <c r="W93" s="14" t="inlineStr">
        <is>
          <t>—</t>
        </is>
      </c>
      <c r="X93" s="14" t="inlineStr">
        <is>
          <t>—</t>
        </is>
      </c>
      <c r="Y93" s="14" t="inlineStr"/>
      <c r="Z93" s="30" t="inlineStr">
        <is>
          <t>—</t>
        </is>
      </c>
      <c r="AA93" s="30" t="b">
        <v>0</v>
      </c>
      <c r="AB93" s="30" t="b">
        <v>1</v>
      </c>
      <c r="AC93" s="30" t="b">
        <v>0</v>
      </c>
      <c r="AD93" s="30" t="inlineStr">
        <is>
          <t>NO</t>
        </is>
      </c>
      <c r="AE93" s="30" t="inlineStr"/>
      <c r="AF93" s="30" t="inlineStr"/>
      <c r="AG93" s="30" t="inlineStr"/>
      <c r="AH93" s="30" t="inlineStr"/>
      <c r="AI93" s="30" t="inlineStr"/>
      <c r="AJ93" s="30" t="inlineStr"/>
      <c r="AK93" s="30" t="inlineStr"/>
      <c r="AL93" s="30" t="inlineStr"/>
      <c r="AM93" s="30" t="inlineStr"/>
      <c r="AN93" s="30" t="n"/>
      <c r="AO93" s="30" t="inlineStr"/>
      <c r="AP93" s="30" t="inlineStr"/>
      <c r="AQ93" s="30" t="inlineStr"/>
      <c r="AR93" s="30" t="inlineStr"/>
      <c r="AS93" s="30" t="inlineStr"/>
      <c r="AT93" s="30" t="inlineStr"/>
      <c r="AU93" s="30" t="inlineStr"/>
      <c r="AV93" s="30" t="inlineStr"/>
      <c r="AW93" s="30" t="inlineStr"/>
      <c r="AX93" s="30" t="inlineStr"/>
      <c r="AY93" s="30" t="inlineStr">
        <is>
          <t>1</t>
        </is>
      </c>
      <c r="AZ93" s="30" t="inlineStr">
        <is>
          <t>sept-2026</t>
        </is>
      </c>
      <c r="BD93" s="81">
        <f>0</f>
        <v/>
      </c>
      <c r="BE93" s="81">
        <f>IFERROR((IF(ISNUMBER(T93),MIN(T93/30,1),0)+IF(ISNUMBER(P93),MIN(P93/500,1),0))/2,0)</f>
        <v/>
      </c>
      <c r="BF93" s="81">
        <f>IFERROR(IF(OR(U93&lt;&gt;"",V93="SÍ"),IF(ISNUMBER(L93),(1*MIN(L93/10000,1))^0.5,0),IF(ISNUMBER(L93),(0*MIN(L93/10000,1))^0.5,0)),0)</f>
        <v/>
      </c>
    </row>
    <row r="94">
      <c r="A94" t="inlineStr">
        <is>
          <t>MIDAGRI</t>
        </is>
      </c>
      <c r="B94" s="70" t="inlineStr">
        <is>
          <t>20609201674</t>
        </is>
      </c>
      <c r="C94" s="29" t="inlineStr">
        <is>
          <t>Cooperativa Agraria De Servicios Múltiples La Semilla Del Campo Ltda</t>
        </is>
      </c>
      <c r="D94" s="29" t="inlineStr"/>
      <c r="E94" s="29" t="inlineStr">
        <is>
          <t>VENTA AL POR MENOR DE ALIMENTOS, BEBIDAS Y TABACO EN ALMACENES ESPECIALIZADOS</t>
        </is>
      </c>
      <c r="F94" s="29" t="inlineStr">
        <is>
          <t>Amazonas</t>
        </is>
      </c>
      <c r="G94" s="29" t="inlineStr">
        <is>
          <t>Utcubamba</t>
        </is>
      </c>
      <c r="H94" s="29" t="inlineStr">
        <is>
          <t>—</t>
        </is>
      </c>
      <c r="I94" s="29" t="inlineStr">
        <is>
          <t>—</t>
        </is>
      </c>
      <c r="J94" s="29" t="n"/>
      <c r="K94" s="29" t="inlineStr">
        <is>
          <t>NO</t>
        </is>
      </c>
      <c r="L94" s="29" t="n"/>
      <c r="M94" s="29" t="n"/>
      <c r="N94" s="29" t="n"/>
      <c r="O94" s="29" t="n"/>
      <c r="P94" s="29" t="inlineStr"/>
      <c r="Q94" s="29" t="inlineStr"/>
      <c r="R94" s="18" t="inlineStr">
        <is>
          <t>5665.0</t>
        </is>
      </c>
      <c r="S94" s="29" t="inlineStr"/>
      <c r="T94" s="29" t="inlineStr"/>
      <c r="U94" s="18" t="inlineStr"/>
      <c r="V94" s="18" t="inlineStr">
        <is>
          <t>NO</t>
        </is>
      </c>
      <c r="W94" s="18" t="inlineStr">
        <is>
          <t>—</t>
        </is>
      </c>
      <c r="X94" s="18" t="inlineStr">
        <is>
          <t>—</t>
        </is>
      </c>
      <c r="Y94" s="18" t="inlineStr"/>
      <c r="Z94" s="29" t="inlineStr">
        <is>
          <t>—</t>
        </is>
      </c>
      <c r="AA94" s="29" t="b">
        <v>0</v>
      </c>
      <c r="AB94" s="29" t="b">
        <v>1</v>
      </c>
      <c r="AC94" s="29" t="b">
        <v>0</v>
      </c>
      <c r="AD94" s="29" t="inlineStr">
        <is>
          <t>NO</t>
        </is>
      </c>
      <c r="AE94" s="29" t="inlineStr"/>
      <c r="AF94" s="29" t="inlineStr"/>
      <c r="AG94" s="29" t="inlineStr"/>
      <c r="AH94" s="29" t="inlineStr"/>
      <c r="AI94" s="29" t="inlineStr"/>
      <c r="AJ94" s="29" t="inlineStr"/>
      <c r="AK94" s="29" t="inlineStr"/>
      <c r="AL94" s="29" t="inlineStr"/>
      <c r="AM94" s="29" t="inlineStr"/>
      <c r="AN94" s="29" t="n"/>
      <c r="AO94" s="29" t="inlineStr"/>
      <c r="AP94" s="29" t="inlineStr"/>
      <c r="AQ94" s="29" t="inlineStr"/>
      <c r="AR94" s="29" t="inlineStr"/>
      <c r="AS94" s="29" t="inlineStr"/>
      <c r="AT94" s="29" t="inlineStr"/>
      <c r="AU94" s="29" t="inlineStr"/>
      <c r="AV94" s="29" t="inlineStr"/>
      <c r="AW94" s="29" t="inlineStr"/>
      <c r="AX94" s="29" t="inlineStr"/>
      <c r="AY94" s="29" t="inlineStr">
        <is>
          <t>1</t>
        </is>
      </c>
      <c r="AZ94" s="29" t="inlineStr">
        <is>
          <t>sept-2026</t>
        </is>
      </c>
      <c r="BD94" s="81">
        <f>0</f>
        <v/>
      </c>
      <c r="BE94" s="81">
        <f>IFERROR((IF(ISNUMBER(T94),MIN(T94/30,1),0)+IF(ISNUMBER(P94),MIN(P94/500,1),0))/2,0)</f>
        <v/>
      </c>
      <c r="BF94" s="81">
        <f>IFERROR(IF(OR(U94&lt;&gt;"",V94="SÍ"),IF(ISNUMBER(L94),(1*MIN(L94/10000,1))^0.5,0),IF(ISNUMBER(L94),(0*MIN(L94/10000,1))^0.5,0)),0)</f>
        <v/>
      </c>
    </row>
    <row r="95">
      <c r="A95" t="inlineStr">
        <is>
          <t>MIDAGRI; CENACOOP; CENCOOP 2017; SISPAC</t>
        </is>
      </c>
      <c r="B95" s="70" t="inlineStr">
        <is>
          <t>20561140091</t>
        </is>
      </c>
      <c r="C95" s="30" t="inlineStr">
        <is>
          <t>Cooperativa Agraria Ecológica Cafetalera De Lonya Grande</t>
        </is>
      </c>
      <c r="D95" s="30" t="inlineStr"/>
      <c r="E95" s="30" t="inlineStr">
        <is>
          <t>VENTA AL POR MENOR DE ALIMENTOS, BEBIDAS Y TABACO EN ALMACENES ESPECIALIZADOS</t>
        </is>
      </c>
      <c r="F95" s="30" t="inlineStr">
        <is>
          <t>Amazonas</t>
        </is>
      </c>
      <c r="G95" s="30" t="inlineStr">
        <is>
          <t>Utcubamba</t>
        </is>
      </c>
      <c r="H95" s="30" t="inlineStr">
        <is>
          <t>—</t>
        </is>
      </c>
      <c r="I95" s="30" t="inlineStr">
        <is>
          <t>—</t>
        </is>
      </c>
      <c r="J95" s="30" t="inlineStr">
        <is>
          <t>SI</t>
        </is>
      </c>
      <c r="K95" s="30" t="inlineStr">
        <is>
          <t>NO</t>
        </is>
      </c>
      <c r="L95" s="30" t="n">
        <v>0</v>
      </c>
      <c r="M95" s="30" t="n">
        <v>42752623.44</v>
      </c>
      <c r="N95" s="30" t="n">
        <v>203</v>
      </c>
      <c r="O95" s="30" t="n">
        <v>12</v>
      </c>
      <c r="P95" s="30" t="inlineStr"/>
      <c r="Q95" s="30" t="inlineStr"/>
      <c r="R95" s="14" t="inlineStr">
        <is>
          <t>2575.0</t>
        </is>
      </c>
      <c r="S95" s="30" t="inlineStr"/>
      <c r="T95" s="30" t="inlineStr"/>
      <c r="U95" s="14" t="inlineStr"/>
      <c r="V95" s="14" t="inlineStr">
        <is>
          <t>NO</t>
        </is>
      </c>
      <c r="W95" s="14" t="inlineStr">
        <is>
          <t>—</t>
        </is>
      </c>
      <c r="X95" s="14" t="inlineStr">
        <is>
          <t>—</t>
        </is>
      </c>
      <c r="Y95" s="14" t="inlineStr"/>
      <c r="Z95" s="30" t="inlineStr">
        <is>
          <t>—</t>
        </is>
      </c>
      <c r="AA95" s="30" t="b">
        <v>0</v>
      </c>
      <c r="AB95" s="30" t="b">
        <v>1</v>
      </c>
      <c r="AC95" s="30" t="b">
        <v>1</v>
      </c>
      <c r="AD95" s="19" t="inlineStr">
        <is>
          <t>SI</t>
        </is>
      </c>
      <c r="AE95" s="30" t="inlineStr">
        <is>
          <t>COOPERATIVA AGRARIA ECOLOGICA CAFETALERA DE LONYA GRANDE</t>
        </is>
      </c>
      <c r="AF95" s="30" t="inlineStr">
        <is>
          <t>AMAZONAS</t>
        </is>
      </c>
      <c r="AG95" s="30" t="inlineStr">
        <is>
          <t>UTCUBAMBA</t>
        </is>
      </c>
      <c r="AH95" s="30" t="inlineStr">
        <is>
          <t>LONYA GRANDE</t>
        </is>
      </c>
      <c r="AI95" s="30" t="inlineStr">
        <is>
          <t>LONYA GRANDE</t>
        </is>
      </c>
      <c r="AJ95" s="30" t="inlineStr">
        <is>
          <t>CULTIVO DE CEREALES (EXCEPTO ARROZ), LEGUMBRES Y SEMILLAS OLEAGINOSAS</t>
        </is>
      </c>
      <c r="AK95" s="30" t="inlineStr">
        <is>
          <t>1.0</t>
        </is>
      </c>
      <c r="AL95" s="30" t="inlineStr">
        <is>
          <t>1.0</t>
        </is>
      </c>
      <c r="AM95" s="30" t="inlineStr">
        <is>
          <t>3.0</t>
        </is>
      </c>
      <c r="AN95" s="30" t="n">
        <v>3</v>
      </c>
      <c r="AO95" s="30" t="inlineStr">
        <is>
          <t>SANCHEZ VACA EDWARD</t>
        </is>
      </c>
      <c r="AP95" s="30" t="inlineStr">
        <is>
          <t>ADMINISTRADOR DE EMPRESAS</t>
        </is>
      </c>
      <c r="AQ95" s="30" t="inlineStr">
        <is>
          <t>10.0</t>
        </is>
      </c>
      <c r="AR95" s="30" t="inlineStr">
        <is>
          <t>WWW.CECAFE.ORG</t>
        </is>
      </c>
      <c r="AS95" s="30" t="inlineStr">
        <is>
          <t>CECAFE@CECAFE.ORG</t>
        </is>
      </c>
      <c r="AT95" s="30" t="inlineStr">
        <is>
          <t>976967619</t>
        </is>
      </c>
      <c r="AU95" s="30" t="inlineStr">
        <is>
          <t>-6.094551666666666</t>
        </is>
      </c>
      <c r="AV95" s="30" t="inlineStr">
        <is>
          <t>-78.42333333333333</t>
        </is>
      </c>
      <c r="AW95" s="30" t="inlineStr">
        <is>
          <t>2014.0</t>
        </is>
      </c>
      <c r="AX95" s="30" t="inlineStr">
        <is>
          <t>2014.0</t>
        </is>
      </c>
      <c r="AY95" s="30" t="inlineStr">
        <is>
          <t>2</t>
        </is>
      </c>
      <c r="AZ95" s="30" t="inlineStr">
        <is>
          <t>sept-2026</t>
        </is>
      </c>
      <c r="BA95" t="inlineStr">
        <is>
          <t>BELGIUM; CANADA; FRANCE; GERMANY; ITALY; JORDAN; NETHERLANDS; PORTUGAL; SPAIN; SWEDEN; UNITED KINGDOM; UNITED STATES</t>
        </is>
      </c>
      <c r="BB95" t="n">
        <v>2014</v>
      </c>
      <c r="BC95" t="n">
        <v>2022</v>
      </c>
      <c r="BD95" s="81">
        <f>0</f>
        <v/>
      </c>
      <c r="BE95" s="81">
        <f>IFERROR((IF(ISNUMBER(T95),MIN(T95/30,1),0)+IF(ISNUMBER(P95),MIN(P95/500,1),0))/2,0)</f>
        <v/>
      </c>
      <c r="BF95" s="81">
        <f>IFERROR(IF(OR(U95&lt;&gt;"",V95="SÍ"),IF(ISNUMBER(L95),(1*MIN(L95/10000,1))^0.5,0),IF(ISNUMBER(L95),(0*MIN(L95/10000,1))^0.5,0)),0)</f>
        <v/>
      </c>
    </row>
    <row r="96">
      <c r="A96" t="inlineStr">
        <is>
          <t>MIDAGRI</t>
        </is>
      </c>
      <c r="B96" s="70" t="inlineStr">
        <is>
          <t>20609813963</t>
        </is>
      </c>
      <c r="C96" s="29" t="inlineStr">
        <is>
          <t>Cooperativa Agraria Frutos &amp; Aromas del Valle de Rodriguez de Mendoza Ltda.</t>
        </is>
      </c>
      <c r="D96" s="29" t="inlineStr"/>
      <c r="E96" s="29" t="inlineStr">
        <is>
          <t>VENTA AL POR MENOR DE ALIMENTOS, BEBIDAS Y TABACO EN ALMACENES ESPECIALIZADOS</t>
        </is>
      </c>
      <c r="F96" s="29" t="inlineStr">
        <is>
          <t>Amazonas</t>
        </is>
      </c>
      <c r="G96" s="29" t="inlineStr">
        <is>
          <t>Rodriguez de Mendoza</t>
        </is>
      </c>
      <c r="H96" s="29" t="inlineStr">
        <is>
          <t>—</t>
        </is>
      </c>
      <c r="I96" s="29" t="inlineStr">
        <is>
          <t>—</t>
        </is>
      </c>
      <c r="J96" s="29" t="n"/>
      <c r="K96" s="29" t="inlineStr">
        <is>
          <t>NO</t>
        </is>
      </c>
      <c r="L96" s="29" t="n"/>
      <c r="M96" s="29" t="n"/>
      <c r="N96" s="29" t="n"/>
      <c r="O96" s="29" t="n"/>
      <c r="P96" s="29" t="inlineStr"/>
      <c r="Q96" s="29" t="inlineStr"/>
      <c r="R96" s="18" t="inlineStr">
        <is>
          <t>2575.0</t>
        </is>
      </c>
      <c r="S96" s="29" t="inlineStr"/>
      <c r="T96" s="29" t="inlineStr"/>
      <c r="U96" s="18" t="inlineStr"/>
      <c r="V96" s="18" t="inlineStr">
        <is>
          <t>NO</t>
        </is>
      </c>
      <c r="W96" s="18" t="inlineStr">
        <is>
          <t>—</t>
        </is>
      </c>
      <c r="X96" s="18" t="inlineStr">
        <is>
          <t>—</t>
        </is>
      </c>
      <c r="Y96" s="18" t="inlineStr"/>
      <c r="Z96" s="29" t="inlineStr">
        <is>
          <t>—</t>
        </is>
      </c>
      <c r="AA96" s="29" t="b">
        <v>0</v>
      </c>
      <c r="AB96" s="29" t="b">
        <v>1</v>
      </c>
      <c r="AC96" s="29" t="b">
        <v>0</v>
      </c>
      <c r="AD96" s="29" t="inlineStr">
        <is>
          <t>NO</t>
        </is>
      </c>
      <c r="AE96" s="29" t="inlineStr"/>
      <c r="AF96" s="29" t="inlineStr"/>
      <c r="AG96" s="29" t="inlineStr"/>
      <c r="AH96" s="29" t="inlineStr"/>
      <c r="AI96" s="29" t="inlineStr"/>
      <c r="AJ96" s="29" t="inlineStr"/>
      <c r="AK96" s="29" t="inlineStr"/>
      <c r="AL96" s="29" t="inlineStr"/>
      <c r="AM96" s="29" t="inlineStr"/>
      <c r="AN96" s="29" t="n"/>
      <c r="AO96" s="29" t="inlineStr"/>
      <c r="AP96" s="29" t="inlineStr"/>
      <c r="AQ96" s="29" t="inlineStr"/>
      <c r="AR96" s="29" t="inlineStr"/>
      <c r="AS96" s="29" t="inlineStr"/>
      <c r="AT96" s="29" t="inlineStr"/>
      <c r="AU96" s="29" t="inlineStr"/>
      <c r="AV96" s="29" t="inlineStr"/>
      <c r="AW96" s="29" t="inlineStr"/>
      <c r="AX96" s="29" t="inlineStr"/>
      <c r="AY96" s="29" t="inlineStr">
        <is>
          <t>1</t>
        </is>
      </c>
      <c r="AZ96" s="29" t="inlineStr">
        <is>
          <t>sept-2026</t>
        </is>
      </c>
      <c r="BD96" s="81">
        <f>0</f>
        <v/>
      </c>
      <c r="BE96" s="81">
        <f>IFERROR((IF(ISNUMBER(T96),MIN(T96/30,1),0)+IF(ISNUMBER(P96),MIN(P96/500,1),0))/2,0)</f>
        <v/>
      </c>
      <c r="BF96" s="81">
        <f>IFERROR(IF(OR(U96&lt;&gt;"",V96="SÍ"),IF(ISNUMBER(L96),(1*MIN(L96/10000,1))^0.5,0),IF(ISNUMBER(L96),(0*MIN(L96/10000,1))^0.5,0)),0)</f>
        <v/>
      </c>
    </row>
    <row r="97">
      <c r="A97" t="inlineStr">
        <is>
          <t>MIDAGRI; CENACOOP; CENCOOP 2017; SISPAC</t>
        </is>
      </c>
      <c r="B97" s="70" t="inlineStr">
        <is>
          <t>20479622699</t>
        </is>
      </c>
      <c r="C97" s="30" t="inlineStr">
        <is>
          <t>Cooperativa Agraria Juan Marco El Palto</t>
        </is>
      </c>
      <c r="D97" s="30" t="inlineStr"/>
      <c r="E97" s="30" t="inlineStr">
        <is>
          <t>VENTA AL POR MENOR DE ALIMENTOS, BEBIDAS Y TABACO EN ALMACENES ESPECIALIZADOS</t>
        </is>
      </c>
      <c r="F97" s="30" t="inlineStr">
        <is>
          <t>Amazonas</t>
        </is>
      </c>
      <c r="G97" s="30" t="inlineStr">
        <is>
          <t>Utcubamba</t>
        </is>
      </c>
      <c r="H97" s="30" t="inlineStr">
        <is>
          <t>—</t>
        </is>
      </c>
      <c r="I97" s="30" t="inlineStr">
        <is>
          <t>—</t>
        </is>
      </c>
      <c r="J97" s="30" t="inlineStr">
        <is>
          <t>SI</t>
        </is>
      </c>
      <c r="K97" s="30" t="inlineStr">
        <is>
          <t>NO</t>
        </is>
      </c>
      <c r="L97" s="30" t="n">
        <v>0</v>
      </c>
      <c r="M97" s="30" t="n">
        <v>32262745.82</v>
      </c>
      <c r="N97" s="30" t="n">
        <v>215</v>
      </c>
      <c r="O97" s="30" t="n">
        <v>10</v>
      </c>
      <c r="P97" s="30" t="inlineStr"/>
      <c r="Q97" s="30" t="inlineStr"/>
      <c r="R97" s="14" t="inlineStr">
        <is>
          <t>2575.0</t>
        </is>
      </c>
      <c r="S97" s="30" t="inlineStr"/>
      <c r="T97" s="30" t="inlineStr"/>
      <c r="U97" s="14" t="inlineStr"/>
      <c r="V97" s="14" t="inlineStr">
        <is>
          <t>NO</t>
        </is>
      </c>
      <c r="W97" s="14" t="inlineStr">
        <is>
          <t>—</t>
        </is>
      </c>
      <c r="X97" s="14" t="inlineStr">
        <is>
          <t>—</t>
        </is>
      </c>
      <c r="Y97" s="14" t="inlineStr"/>
      <c r="Z97" s="30" t="inlineStr">
        <is>
          <t>—</t>
        </is>
      </c>
      <c r="AA97" s="30" t="b">
        <v>0</v>
      </c>
      <c r="AB97" s="30" t="b">
        <v>1</v>
      </c>
      <c r="AC97" s="30" t="b">
        <v>1</v>
      </c>
      <c r="AD97" s="19" t="inlineStr">
        <is>
          <t>SI</t>
        </is>
      </c>
      <c r="AE97" s="30" t="inlineStr">
        <is>
          <t>COOPERATIVA AGRARIA JUAN MARCO EL PALTO</t>
        </is>
      </c>
      <c r="AF97" s="30" t="inlineStr">
        <is>
          <t>LAMBAYEQUE</t>
        </is>
      </c>
      <c r="AG97" s="30" t="inlineStr">
        <is>
          <t>CHICLAYO</t>
        </is>
      </c>
      <c r="AH97" s="30" t="inlineStr">
        <is>
          <t>CHICLAYO</t>
        </is>
      </c>
      <c r="AI97" s="30" t="inlineStr">
        <is>
          <t>URBANIZACION VILLA DEL NORTE</t>
        </is>
      </c>
      <c r="AJ97" s="30" t="inlineStr">
        <is>
          <t>CULTIVO DE PLANTAS CON LAS QUE SE PREPARAN BEBIDAS</t>
        </is>
      </c>
      <c r="AK97" s="30" t="inlineStr">
        <is>
          <t>1.0</t>
        </is>
      </c>
      <c r="AL97" s="30" t="inlineStr">
        <is>
          <t>1.0</t>
        </is>
      </c>
      <c r="AM97" s="30" t="inlineStr">
        <is>
          <t>3.0</t>
        </is>
      </c>
      <c r="AN97" s="30" t="n">
        <v>2</v>
      </c>
      <c r="AO97" s="30" t="inlineStr">
        <is>
          <t>CARRANZA BARBOZA JILBER</t>
        </is>
      </c>
      <c r="AP97" s="30" t="inlineStr">
        <is>
          <t>ADMINISTRACION Y NEGOCIOS INTERNACIONALES</t>
        </is>
      </c>
      <c r="AQ97" s="30" t="inlineStr">
        <is>
          <t>9.0</t>
        </is>
      </c>
      <c r="AR97" s="30" t="inlineStr">
        <is>
          <t>WWW.COOPJUMARP.COM</t>
        </is>
      </c>
      <c r="AS97" s="30" t="inlineStr">
        <is>
          <t>COOPJUMARP@OUTLOOK.COM</t>
        </is>
      </c>
      <c r="AT97" s="30" t="inlineStr">
        <is>
          <t>NO TIENE</t>
        </is>
      </c>
      <c r="AU97" s="30" t="inlineStr">
        <is>
          <t>-6.784701666666666</t>
        </is>
      </c>
      <c r="AV97" s="30" t="inlineStr">
        <is>
          <t>-79.85129333333333</t>
        </is>
      </c>
      <c r="AW97" s="30" t="inlineStr">
        <is>
          <t>2015.0</t>
        </is>
      </c>
      <c r="AX97" s="30" t="inlineStr">
        <is>
          <t>2015.0</t>
        </is>
      </c>
      <c r="AY97" s="30" t="inlineStr">
        <is>
          <t>2</t>
        </is>
      </c>
      <c r="AZ97" s="30" t="inlineStr">
        <is>
          <t>sept-2026</t>
        </is>
      </c>
      <c r="BA97" t="inlineStr">
        <is>
          <t>BELGIUM; CANADA; DENMARK; FRANCE; GERMANY; PANAMA; SAUDI ARABIA; SPAIN; UNITED KINGDOM; UNITED STATES</t>
        </is>
      </c>
      <c r="BB97" t="n">
        <v>2010</v>
      </c>
      <c r="BC97" t="n">
        <v>2023</v>
      </c>
      <c r="BD97" s="81">
        <f>0</f>
        <v/>
      </c>
      <c r="BE97" s="81">
        <f>IFERROR((IF(ISNUMBER(T97),MIN(T97/30,1),0)+IF(ISNUMBER(P97),MIN(P97/500,1),0))/2,0)</f>
        <v/>
      </c>
      <c r="BF97" s="81">
        <f>IFERROR(IF(OR(U97&lt;&gt;"",V97="SÍ"),IF(ISNUMBER(L97),(1*MIN(L97/10000,1))^0.5,0),IF(ISNUMBER(L97),(0*MIN(L97/10000,1))^0.5,0)),0)</f>
        <v/>
      </c>
    </row>
    <row r="98">
      <c r="A98" t="inlineStr">
        <is>
          <t>MIDAGRI; CENACOOP; CENCOOP 2017</t>
        </is>
      </c>
      <c r="B98" s="70" t="inlineStr">
        <is>
          <t>20480298412</t>
        </is>
      </c>
      <c r="C98" s="29" t="inlineStr">
        <is>
          <t>Cooperativa Agraria Rodriguez De Mendoza</t>
        </is>
      </c>
      <c r="D98" s="29" t="inlineStr"/>
      <c r="E98" s="29" t="inlineStr">
        <is>
          <t>VENTA AL POR MENOR DE ALIMENTOS, BEBIDAS Y TABACO EN ALMACENES ESPECIALIZADOS</t>
        </is>
      </c>
      <c r="F98" s="29" t="inlineStr">
        <is>
          <t>Amazonas</t>
        </is>
      </c>
      <c r="G98" s="29" t="inlineStr">
        <is>
          <t>Rodriguez de Mendoza</t>
        </is>
      </c>
      <c r="H98" s="29" t="inlineStr">
        <is>
          <t>—</t>
        </is>
      </c>
      <c r="I98" s="29" t="inlineStr">
        <is>
          <t>—</t>
        </is>
      </c>
      <c r="J98" s="17" t="inlineStr">
        <is>
          <t>SI</t>
        </is>
      </c>
      <c r="K98" s="29" t="inlineStr">
        <is>
          <t>SÍ</t>
        </is>
      </c>
      <c r="L98" s="29" t="n">
        <v>14569325.8</v>
      </c>
      <c r="M98" s="29" t="n">
        <v>103743043.08</v>
      </c>
      <c r="N98" s="29" t="n">
        <v>441</v>
      </c>
      <c r="O98" s="29" t="n">
        <v>14</v>
      </c>
      <c r="P98" s="29" t="inlineStr"/>
      <c r="Q98" s="29" t="inlineStr"/>
      <c r="R98" s="18" t="inlineStr">
        <is>
          <t>2575.0</t>
        </is>
      </c>
      <c r="S98" s="29" t="inlineStr"/>
      <c r="T98" s="29" t="inlineStr"/>
      <c r="U98" s="18" t="inlineStr"/>
      <c r="V98" s="18" t="inlineStr">
        <is>
          <t>NO</t>
        </is>
      </c>
      <c r="W98" s="18" t="inlineStr">
        <is>
          <t>—</t>
        </is>
      </c>
      <c r="X98" s="18" t="inlineStr">
        <is>
          <t>—</t>
        </is>
      </c>
      <c r="Y98" s="18" t="inlineStr"/>
      <c r="Z98" s="29" t="inlineStr">
        <is>
          <t>—</t>
        </is>
      </c>
      <c r="AA98" s="29" t="b">
        <v>0</v>
      </c>
      <c r="AB98" s="29" t="b">
        <v>1</v>
      </c>
      <c r="AC98" s="29" t="b">
        <v>1</v>
      </c>
      <c r="AD98" s="19" t="inlineStr">
        <is>
          <t>SI</t>
        </is>
      </c>
      <c r="AE98" s="29" t="inlineStr">
        <is>
          <t>COOPERATIVA AGRARIA RODRIGUEZ DE MENDOZA</t>
        </is>
      </c>
      <c r="AF98" s="29" t="inlineStr">
        <is>
          <t>AMAZONAS</t>
        </is>
      </c>
      <c r="AG98" s="29" t="inlineStr">
        <is>
          <t>RODRIGUEZ DE MENDOZA</t>
        </is>
      </c>
      <c r="AH98" s="29" t="inlineStr">
        <is>
          <t>SAN NICOLAS</t>
        </is>
      </c>
      <c r="AI98" s="29" t="inlineStr">
        <is>
          <t>SAN NICOLAS</t>
        </is>
      </c>
      <c r="AJ98" s="29" t="inlineStr">
        <is>
          <t>CULTIVO DE PLANTAS CON LAS QUE SE PREPARAN BEBIDAS</t>
        </is>
      </c>
      <c r="AK98" s="29" t="inlineStr">
        <is>
          <t>1.0</t>
        </is>
      </c>
      <c r="AL98" s="29" t="inlineStr">
        <is>
          <t>1.0</t>
        </is>
      </c>
      <c r="AM98" s="29" t="inlineStr">
        <is>
          <t>2.0</t>
        </is>
      </c>
      <c r="AN98" s="29" t="n">
        <v>9</v>
      </c>
      <c r="AO98" s="29" t="inlineStr">
        <is>
          <t>OCAMPO TAFUR MURILIO</t>
        </is>
      </c>
      <c r="AP98" s="29" t="inlineStr">
        <is>
          <t>ADMINISTRADOR</t>
        </is>
      </c>
      <c r="AQ98" s="29" t="inlineStr">
        <is>
          <t>10.0</t>
        </is>
      </c>
      <c r="AR98" s="29" t="inlineStr">
        <is>
          <t>WWW.COOPARM.ORG</t>
        </is>
      </c>
      <c r="AS98" s="29" t="inlineStr">
        <is>
          <t>CONTACTO@COOPARM.ORG</t>
        </is>
      </c>
      <c r="AT98" s="29" t="inlineStr">
        <is>
          <t>NO TIENE</t>
        </is>
      </c>
      <c r="AU98" s="29" t="inlineStr">
        <is>
          <t>-6.396446666666666</t>
        </is>
      </c>
      <c r="AV98" s="29" t="inlineStr">
        <is>
          <t>-77.47709</t>
        </is>
      </c>
      <c r="AW98" s="29" t="inlineStr">
        <is>
          <t>2007.0</t>
        </is>
      </c>
      <c r="AX98" s="29" t="inlineStr">
        <is>
          <t>2008.0</t>
        </is>
      </c>
      <c r="AY98" s="29" t="inlineStr">
        <is>
          <t>2</t>
        </is>
      </c>
      <c r="AZ98" s="29" t="inlineStr">
        <is>
          <t>sept-2026</t>
        </is>
      </c>
      <c r="BA98" t="inlineStr">
        <is>
          <t>BELGIUM; CANADA; CHILE; FRANCE; GERMANY; JAPAN; MEXICO; NETHERLANDS; NEW ZEALAND; PANAMA; SWEDEN; SWITZERLAND; UNITED KINGDOM; UNITED STATES</t>
        </is>
      </c>
      <c r="BB98" t="n">
        <v>2010</v>
      </c>
      <c r="BC98" t="n">
        <v>2025</v>
      </c>
      <c r="BD98" s="81">
        <f>0</f>
        <v/>
      </c>
      <c r="BE98" s="81">
        <f>IFERROR((IF(ISNUMBER(T98),MIN(T98/30,1),0)+IF(ISNUMBER(P98),MIN(P98/500,1),0))/2,0)</f>
        <v/>
      </c>
      <c r="BF98" s="81">
        <f>IFERROR(IF(OR(U98&lt;&gt;"",V98="SÍ"),IF(ISNUMBER(L98),(1*MIN(L98/10000,1))^0.5,0),IF(ISNUMBER(L98),(0*MIN(L98/10000,1))^0.5,0)),0)</f>
        <v/>
      </c>
    </row>
    <row r="99">
      <c r="A99" t="inlineStr">
        <is>
          <t>MIDAGRI; SISPAC</t>
        </is>
      </c>
      <c r="B99" s="70" t="inlineStr">
        <is>
          <t>20608478311</t>
        </is>
      </c>
      <c r="C99" s="30" t="inlineStr">
        <is>
          <t>Cooperativa Agraria Yakatheo del Amazonas Coopayakat</t>
        </is>
      </c>
      <c r="D99" s="30" t="inlineStr"/>
      <c r="E99" s="30" t="inlineStr">
        <is>
          <t>VENTA AL POR MENOR DE ALIMENTOS, BEBIDAS Y TABACO EN ALMACENES ESPECIALIZADOS</t>
        </is>
      </c>
      <c r="F99" s="30" t="inlineStr">
        <is>
          <t>Amazonas</t>
        </is>
      </c>
      <c r="G99" s="30" t="inlineStr">
        <is>
          <t>Bagua</t>
        </is>
      </c>
      <c r="H99" s="30" t="inlineStr">
        <is>
          <t>—</t>
        </is>
      </c>
      <c r="I99" s="30" t="inlineStr">
        <is>
          <t>—</t>
        </is>
      </c>
      <c r="J99" s="30" t="inlineStr">
        <is>
          <t>SI</t>
        </is>
      </c>
      <c r="K99" s="30" t="inlineStr">
        <is>
          <t>NO</t>
        </is>
      </c>
      <c r="L99" s="30" t="n">
        <v>0</v>
      </c>
      <c r="M99" s="30" t="n">
        <v>19111.5</v>
      </c>
      <c r="N99" s="30" t="n">
        <v>1</v>
      </c>
      <c r="O99" s="30" t="n">
        <v>1</v>
      </c>
      <c r="P99" s="30" t="inlineStr"/>
      <c r="Q99" s="30" t="inlineStr"/>
      <c r="R99" s="14" t="inlineStr">
        <is>
          <t>2575.0</t>
        </is>
      </c>
      <c r="S99" s="30" t="inlineStr"/>
      <c r="T99" s="30" t="inlineStr"/>
      <c r="U99" s="14" t="inlineStr"/>
      <c r="V99" s="14" t="inlineStr">
        <is>
          <t>NO</t>
        </is>
      </c>
      <c r="W99" s="14" t="inlineStr">
        <is>
          <t>—</t>
        </is>
      </c>
      <c r="X99" s="14" t="inlineStr">
        <is>
          <t>—</t>
        </is>
      </c>
      <c r="Y99" s="14" t="inlineStr"/>
      <c r="Z99" s="30" t="inlineStr">
        <is>
          <t>—</t>
        </is>
      </c>
      <c r="AA99" s="30" t="b">
        <v>0</v>
      </c>
      <c r="AB99" s="30" t="b">
        <v>1</v>
      </c>
      <c r="AC99" s="30" t="b">
        <v>0</v>
      </c>
      <c r="AD99" s="30" t="inlineStr">
        <is>
          <t>NO</t>
        </is>
      </c>
      <c r="AE99" s="30" t="inlineStr"/>
      <c r="AF99" s="30" t="inlineStr"/>
      <c r="AG99" s="30" t="inlineStr"/>
      <c r="AH99" s="30" t="inlineStr"/>
      <c r="AI99" s="30" t="inlineStr"/>
      <c r="AJ99" s="30" t="inlineStr"/>
      <c r="AK99" s="30" t="inlineStr"/>
      <c r="AL99" s="30" t="inlineStr"/>
      <c r="AM99" s="30" t="inlineStr"/>
      <c r="AN99" s="30" t="n"/>
      <c r="AO99" s="30" t="inlineStr"/>
      <c r="AP99" s="30" t="inlineStr"/>
      <c r="AQ99" s="30" t="inlineStr"/>
      <c r="AR99" s="30" t="inlineStr"/>
      <c r="AS99" s="30" t="inlineStr"/>
      <c r="AT99" s="30" t="inlineStr"/>
      <c r="AU99" s="30" t="inlineStr"/>
      <c r="AV99" s="30" t="inlineStr"/>
      <c r="AW99" s="30" t="inlineStr"/>
      <c r="AX99" s="30" t="inlineStr"/>
      <c r="AY99" s="30" t="inlineStr">
        <is>
          <t>1</t>
        </is>
      </c>
      <c r="AZ99" s="30" t="inlineStr">
        <is>
          <t>sept-2026</t>
        </is>
      </c>
      <c r="BA99" t="inlineStr">
        <is>
          <t>SWITZERLAND</t>
        </is>
      </c>
      <c r="BB99" t="n">
        <v>2025</v>
      </c>
      <c r="BC99" t="n">
        <v>2025</v>
      </c>
      <c r="BD99" s="81">
        <f>0</f>
        <v/>
      </c>
      <c r="BE99" s="81">
        <f>IFERROR((IF(ISNUMBER(T99),MIN(T99/30,1),0)+IF(ISNUMBER(P99),MIN(P99/500,1),0))/2,0)</f>
        <v/>
      </c>
      <c r="BF99" s="81">
        <f>IFERROR(IF(OR(U99&lt;&gt;"",V99="SÍ"),IF(ISNUMBER(L99),(1*MIN(L99/10000,1))^0.5,0),IF(ISNUMBER(L99),(0*MIN(L99/10000,1))^0.5,0)),0)</f>
        <v/>
      </c>
    </row>
    <row r="100">
      <c r="A100" t="inlineStr">
        <is>
          <t>MIDAGRI; CENACOOP; CENCOOP 2017; SISPAC</t>
        </is>
      </c>
      <c r="B100" s="70" t="inlineStr">
        <is>
          <t>20527565376</t>
        </is>
      </c>
      <c r="C100" s="29" t="inlineStr">
        <is>
          <t>Cooperativa Agraria Cafetalera Valle De Incahuasi</t>
        </is>
      </c>
      <c r="D100" s="29" t="inlineStr"/>
      <c r="E100" s="29" t="inlineStr">
        <is>
          <t>VENTA AL POR MENOR DE ALIMENTOS, BEBIDAS Y TABACO EN ALMACENES ESPECIALIZADOS</t>
        </is>
      </c>
      <c r="F100" s="29" t="inlineStr">
        <is>
          <t>Apurímac</t>
        </is>
      </c>
      <c r="G100" s="29" t="inlineStr">
        <is>
          <t>Andahuaylas</t>
        </is>
      </c>
      <c r="H100" s="29" t="inlineStr">
        <is>
          <t>—</t>
        </is>
      </c>
      <c r="I100" s="29" t="inlineStr">
        <is>
          <t>Café</t>
        </is>
      </c>
      <c r="J100" s="17" t="inlineStr">
        <is>
          <t>SI</t>
        </is>
      </c>
      <c r="K100" s="29" t="inlineStr">
        <is>
          <t>SÍ</t>
        </is>
      </c>
      <c r="L100" s="29" t="n">
        <v>3608737.5</v>
      </c>
      <c r="M100" s="29" t="n">
        <v>40675527.11</v>
      </c>
      <c r="N100" s="29" t="n">
        <v>188</v>
      </c>
      <c r="O100" s="29" t="n">
        <v>12</v>
      </c>
      <c r="P100" s="29" t="inlineStr"/>
      <c r="Q100" s="29" t="inlineStr"/>
      <c r="R100" s="18" t="inlineStr">
        <is>
          <t>2575.0</t>
        </is>
      </c>
      <c r="S100" s="29" t="inlineStr"/>
      <c r="T100" s="29" t="inlineStr"/>
      <c r="U100" s="18" t="inlineStr"/>
      <c r="V100" s="15" t="inlineStr">
        <is>
          <t>SÍ</t>
        </is>
      </c>
      <c r="W100" s="18" t="inlineStr">
        <is>
          <t>—</t>
        </is>
      </c>
      <c r="X100" s="18" t="inlineStr">
        <is>
          <t>—</t>
        </is>
      </c>
      <c r="Y100" s="18" t="inlineStr"/>
      <c r="Z100" s="29" t="inlineStr">
        <is>
          <t>No disponible — requiere consulta directa (SUNAT/RUC.PE) o solicitud a la organización</t>
        </is>
      </c>
      <c r="AA100" s="29" t="b">
        <v>0</v>
      </c>
      <c r="AB100" s="29" t="b">
        <v>1</v>
      </c>
      <c r="AC100" s="29" t="b">
        <v>1</v>
      </c>
      <c r="AD100" s="19" t="inlineStr">
        <is>
          <t>SI</t>
        </is>
      </c>
      <c r="AE100" s="29" t="inlineStr">
        <is>
          <t>COOPERATIVA AGRARIA CAFETALERA VALLE DE INCAHUASI</t>
        </is>
      </c>
      <c r="AF100" s="29" t="inlineStr">
        <is>
          <t>APURIMAC</t>
        </is>
      </c>
      <c r="AG100" s="29" t="inlineStr">
        <is>
          <t>ANDAHUAYLAS</t>
        </is>
      </c>
      <c r="AH100" s="29" t="inlineStr">
        <is>
          <t>ANDAHUAYLAS</t>
        </is>
      </c>
      <c r="AI100" s="29" t="inlineStr">
        <is>
          <t>ANDAHUAYLAS</t>
        </is>
      </c>
      <c r="AJ100" s="29" t="inlineStr">
        <is>
          <t>CULTIVO DE PLANTAS CON LAS QUE SE PREPARAN BEBIDAS</t>
        </is>
      </c>
      <c r="AK100" s="29" t="inlineStr">
        <is>
          <t>1.0</t>
        </is>
      </c>
      <c r="AL100" s="29" t="inlineStr">
        <is>
          <t>1.0</t>
        </is>
      </c>
      <c r="AM100" s="29" t="inlineStr">
        <is>
          <t>3.0</t>
        </is>
      </c>
      <c r="AN100" s="29" t="n">
        <v>12</v>
      </c>
      <c r="AO100" s="29" t="inlineStr">
        <is>
          <t>USTUA YUPANQUI MARCOS SALOME</t>
        </is>
      </c>
      <c r="AP100" s="29" t="inlineStr">
        <is>
          <t>ADMINISTRADOR</t>
        </is>
      </c>
      <c r="AQ100" s="29" t="inlineStr">
        <is>
          <t>10.0</t>
        </is>
      </c>
      <c r="AR100" s="29" t="inlineStr">
        <is>
          <t>WWW.CAC-INCAHUASI.COM</t>
        </is>
      </c>
      <c r="AS100" s="29" t="inlineStr">
        <is>
          <t>CACVIPERU@YAHOO.ES</t>
        </is>
      </c>
      <c r="AT100" s="29" t="inlineStr">
        <is>
          <t>983615926</t>
        </is>
      </c>
      <c r="AU100" s="29" t="inlineStr">
        <is>
          <t>-13.65679</t>
        </is>
      </c>
      <c r="AV100" s="29" t="inlineStr">
        <is>
          <t>-73.41650166666666</t>
        </is>
      </c>
      <c r="AW100" s="29" t="inlineStr">
        <is>
          <t>2005.0</t>
        </is>
      </c>
      <c r="AX100" s="29" t="inlineStr">
        <is>
          <t>2005.0</t>
        </is>
      </c>
      <c r="AY100" s="29" t="inlineStr">
        <is>
          <t>2</t>
        </is>
      </c>
      <c r="AZ100" s="29" t="inlineStr">
        <is>
          <t>sept-2026</t>
        </is>
      </c>
      <c r="BA100" t="inlineStr">
        <is>
          <t>BELGIUM; CANADA; CHILE; DENMARK; FRANCE; GERMANY; JAPAN; RUSSIAN FEDERATION; SWEDEN; TAIWAN, PROVINCE OF CHINA; UNITED KINGDOM; UNITED STATES</t>
        </is>
      </c>
      <c r="BB100" t="n">
        <v>2010</v>
      </c>
      <c r="BC100" t="n">
        <v>2025</v>
      </c>
      <c r="BD100" s="81">
        <f>0</f>
        <v/>
      </c>
      <c r="BE100" s="81">
        <f>IFERROR((IF(ISNUMBER(T100),MIN(T100/30,1),0)+IF(ISNUMBER(P100),MIN(P100/500,1),0))/2,0)</f>
        <v/>
      </c>
      <c r="BF100" s="81">
        <f>IFERROR(IF(OR(U100&lt;&gt;"",V100="SÍ"),IF(ISNUMBER(L100),(1*MIN(L100/10000,1))^0.5,0),IF(ISNUMBER(L100),(0*MIN(L100/10000,1))^0.5,0)),0)</f>
        <v/>
      </c>
    </row>
    <row r="101">
      <c r="A101" t="inlineStr">
        <is>
          <t>MIDAGRI</t>
        </is>
      </c>
      <c r="B101" s="70" t="inlineStr">
        <is>
          <t>20602937128</t>
        </is>
      </c>
      <c r="C101" s="30" t="inlineStr">
        <is>
          <t>Cooperativa Agraria de Servicios Múltiples Agro Andino</t>
        </is>
      </c>
      <c r="D101" s="30" t="inlineStr"/>
      <c r="E101" s="30" t="inlineStr">
        <is>
          <t>VENTA AL POR MENOR DE ALIMENTOS, BEBIDAS Y TABACO EN ALMACENES ESPECIALIZADOS</t>
        </is>
      </c>
      <c r="F101" s="30" t="inlineStr">
        <is>
          <t>Apurímac</t>
        </is>
      </c>
      <c r="G101" s="30" t="inlineStr">
        <is>
          <t>Andahuaylas</t>
        </is>
      </c>
      <c r="H101" s="30" t="inlineStr">
        <is>
          <t>—</t>
        </is>
      </c>
      <c r="I101" s="30" t="inlineStr">
        <is>
          <t>—</t>
        </is>
      </c>
      <c r="J101" s="30" t="n"/>
      <c r="K101" s="30" t="inlineStr">
        <is>
          <t>NO</t>
        </is>
      </c>
      <c r="L101" s="30" t="n"/>
      <c r="M101" s="30" t="n"/>
      <c r="N101" s="30" t="n"/>
      <c r="O101" s="30" t="n"/>
      <c r="P101" s="30" t="inlineStr"/>
      <c r="Q101" s="30" t="inlineStr"/>
      <c r="R101" s="14" t="inlineStr">
        <is>
          <t>2575.0</t>
        </is>
      </c>
      <c r="S101" s="30" t="inlineStr"/>
      <c r="T101" s="30" t="inlineStr"/>
      <c r="U101" s="14" t="inlineStr"/>
      <c r="V101" s="14" t="inlineStr">
        <is>
          <t>NO</t>
        </is>
      </c>
      <c r="W101" s="14" t="inlineStr">
        <is>
          <t>—</t>
        </is>
      </c>
      <c r="X101" s="14" t="inlineStr">
        <is>
          <t>—</t>
        </is>
      </c>
      <c r="Y101" s="14" t="inlineStr"/>
      <c r="Z101" s="30" t="inlineStr">
        <is>
          <t>—</t>
        </is>
      </c>
      <c r="AA101" s="30" t="b">
        <v>0</v>
      </c>
      <c r="AB101" s="30" t="b">
        <v>1</v>
      </c>
      <c r="AC101" s="30" t="b">
        <v>0</v>
      </c>
      <c r="AD101" s="30" t="inlineStr">
        <is>
          <t>NO</t>
        </is>
      </c>
      <c r="AE101" s="30" t="inlineStr"/>
      <c r="AF101" s="30" t="inlineStr"/>
      <c r="AG101" s="30" t="inlineStr"/>
      <c r="AH101" s="30" t="inlineStr"/>
      <c r="AI101" s="30" t="inlineStr"/>
      <c r="AJ101" s="30" t="inlineStr"/>
      <c r="AK101" s="30" t="inlineStr"/>
      <c r="AL101" s="30" t="inlineStr"/>
      <c r="AM101" s="30" t="inlineStr"/>
      <c r="AN101" s="30" t="n"/>
      <c r="AO101" s="30" t="inlineStr"/>
      <c r="AP101" s="30" t="inlineStr"/>
      <c r="AQ101" s="30" t="inlineStr"/>
      <c r="AR101" s="30" t="inlineStr"/>
      <c r="AS101" s="30" t="inlineStr"/>
      <c r="AT101" s="30" t="inlineStr"/>
      <c r="AU101" s="30" t="inlineStr"/>
      <c r="AV101" s="30" t="inlineStr"/>
      <c r="AW101" s="30" t="inlineStr"/>
      <c r="AX101" s="30" t="inlineStr"/>
      <c r="AY101" s="30" t="inlineStr">
        <is>
          <t>1</t>
        </is>
      </c>
      <c r="AZ101" s="30" t="inlineStr">
        <is>
          <t>sept-2026</t>
        </is>
      </c>
      <c r="BD101" s="81">
        <f>0</f>
        <v/>
      </c>
      <c r="BE101" s="81">
        <f>IFERROR((IF(ISNUMBER(T101),MIN(T101/30,1),0)+IF(ISNUMBER(P101),MIN(P101/500,1),0))/2,0)</f>
        <v/>
      </c>
      <c r="BF101" s="81">
        <f>IFERROR(IF(OR(U101&lt;&gt;"",V101="SÍ"),IF(ISNUMBER(L101),(1*MIN(L101/10000,1))^0.5,0),IF(ISNUMBER(L101),(0*MIN(L101/10000,1))^0.5,0)),0)</f>
        <v/>
      </c>
    </row>
    <row r="102">
      <c r="A102" t="inlineStr">
        <is>
          <t>MIDAGRI; CENACOOP; CENCOOP 2017; SISPAC</t>
        </is>
      </c>
      <c r="B102" s="70" t="inlineStr">
        <is>
          <t>20129156083</t>
        </is>
      </c>
      <c r="C102" s="29" t="inlineStr">
        <is>
          <t>Cooperativa Agraria Cafetalera Valle Río Apurímac</t>
        </is>
      </c>
      <c r="D102" s="29" t="inlineStr"/>
      <c r="E102" s="29" t="inlineStr">
        <is>
          <t>VENTA AL POR MENOR DE ALIMENTOS, BEBIDAS Y TABACO EN ALMACENES ESPECIALIZADOS</t>
        </is>
      </c>
      <c r="F102" s="29" t="inlineStr">
        <is>
          <t>Ayacucho</t>
        </is>
      </c>
      <c r="G102" s="29" t="inlineStr">
        <is>
          <t>La Mar</t>
        </is>
      </c>
      <c r="H102" s="29" t="inlineStr">
        <is>
          <t>—</t>
        </is>
      </c>
      <c r="I102" s="29" t="inlineStr">
        <is>
          <t>—</t>
        </is>
      </c>
      <c r="J102" s="29" t="inlineStr">
        <is>
          <t>SI</t>
        </is>
      </c>
      <c r="K102" s="29" t="inlineStr">
        <is>
          <t>NO</t>
        </is>
      </c>
      <c r="L102" s="29" t="n">
        <v>0</v>
      </c>
      <c r="M102" s="29" t="n">
        <v>12837496.06</v>
      </c>
      <c r="N102" s="29" t="n">
        <v>64</v>
      </c>
      <c r="O102" s="29" t="n">
        <v>11</v>
      </c>
      <c r="P102" s="29" t="inlineStr"/>
      <c r="Q102" s="29" t="inlineStr"/>
      <c r="R102" s="18" t="inlineStr">
        <is>
          <t>2575.0</t>
        </is>
      </c>
      <c r="S102" s="29" t="inlineStr"/>
      <c r="T102" s="29" t="inlineStr"/>
      <c r="U102" s="18" t="inlineStr"/>
      <c r="V102" s="18" t="inlineStr">
        <is>
          <t>NO</t>
        </is>
      </c>
      <c r="W102" s="18" t="inlineStr">
        <is>
          <t>—</t>
        </is>
      </c>
      <c r="X102" s="18" t="inlineStr">
        <is>
          <t>—</t>
        </is>
      </c>
      <c r="Y102" s="18" t="inlineStr"/>
      <c r="Z102" s="29" t="inlineStr">
        <is>
          <t>—</t>
        </is>
      </c>
      <c r="AA102" s="29" t="b">
        <v>0</v>
      </c>
      <c r="AB102" s="29" t="b">
        <v>1</v>
      </c>
      <c r="AC102" s="29" t="b">
        <v>1</v>
      </c>
      <c r="AD102" s="19" t="inlineStr">
        <is>
          <t>SI</t>
        </is>
      </c>
      <c r="AE102" s="29" t="inlineStr">
        <is>
          <t>COOPERATIVA AGRARIA CAFET VALLE RIO APURIMAC</t>
        </is>
      </c>
      <c r="AF102" s="29" t="inlineStr">
        <is>
          <t>AYACUCHO</t>
        </is>
      </c>
      <c r="AG102" s="29" t="inlineStr">
        <is>
          <t>LA MAR</t>
        </is>
      </c>
      <c r="AH102" s="29" t="inlineStr">
        <is>
          <t>AYNA</t>
        </is>
      </c>
      <c r="AI102" s="29" t="inlineStr">
        <is>
          <t>NO TIENE</t>
        </is>
      </c>
      <c r="AJ102" s="29" t="inlineStr">
        <is>
          <t>CULTIVO DE PRODUCTOS AGRÌCOLAS EN COMBINACIÒN CON LA CRÌA DE ANIMALES</t>
        </is>
      </c>
      <c r="AK102" s="29" t="inlineStr">
        <is>
          <t>1.0</t>
        </is>
      </c>
      <c r="AL102" s="29" t="inlineStr">
        <is>
          <t>1.0</t>
        </is>
      </c>
      <c r="AM102" s="29" t="inlineStr">
        <is>
          <t>3.0</t>
        </is>
      </c>
      <c r="AN102" s="29" t="n">
        <v>47</v>
      </c>
      <c r="AO102" s="29" t="inlineStr">
        <is>
          <t>GUTIERREZ BADAJOS PIO</t>
        </is>
      </c>
      <c r="AP102" s="29" t="inlineStr">
        <is>
          <t>INGENIERO AGRONOMO</t>
        </is>
      </c>
      <c r="AQ102" s="29" t="inlineStr">
        <is>
          <t>10.0</t>
        </is>
      </c>
      <c r="AR102" s="29" t="inlineStr">
        <is>
          <t>NO TIENE</t>
        </is>
      </c>
      <c r="AS102" s="29" t="inlineStr">
        <is>
          <t>CACVRA@YAHOO.ES</t>
        </is>
      </c>
      <c r="AT102" s="29" t="inlineStr">
        <is>
          <t>966666471</t>
        </is>
      </c>
      <c r="AU102" s="29" t="inlineStr">
        <is>
          <t>-12.623322</t>
        </is>
      </c>
      <c r="AV102" s="29" t="inlineStr">
        <is>
          <t>-73.789670</t>
        </is>
      </c>
      <c r="AW102" s="29" t="inlineStr">
        <is>
          <t>1969.0</t>
        </is>
      </c>
      <c r="AX102" s="29" t="inlineStr">
        <is>
          <t>1970.0</t>
        </is>
      </c>
      <c r="AY102" s="29" t="inlineStr">
        <is>
          <t>2</t>
        </is>
      </c>
      <c r="AZ102" s="29" t="inlineStr">
        <is>
          <t>sept-2026</t>
        </is>
      </c>
      <c r="BA102" t="inlineStr">
        <is>
          <t>BELGIUM; BRAZIL; DENMARK; GERMANY; ITALY; NETHERLANDS; SINGAPORE; SPAIN; SWEDEN; SWITZERLAND; UNITED STATES</t>
        </is>
      </c>
      <c r="BB102" t="n">
        <v>2010</v>
      </c>
      <c r="BC102" t="n">
        <v>2019</v>
      </c>
      <c r="BD102" s="81">
        <f>0</f>
        <v/>
      </c>
      <c r="BE102" s="81">
        <f>IFERROR((IF(ISNUMBER(T102),MIN(T102/30,1),0)+IF(ISNUMBER(P102),MIN(P102/500,1),0))/2,0)</f>
        <v/>
      </c>
      <c r="BF102" s="81">
        <f>IFERROR(IF(OR(U102&lt;&gt;"",V102="SÍ"),IF(ISNUMBER(L102),(1*MIN(L102/10000,1))^0.5,0),IF(ISNUMBER(L102),(0*MIN(L102/10000,1))^0.5,0)),0)</f>
        <v/>
      </c>
    </row>
    <row r="103">
      <c r="A103" t="inlineStr">
        <is>
          <t>MIDAGRI</t>
        </is>
      </c>
      <c r="B103" s="70" t="inlineStr">
        <is>
          <t>20611498447</t>
        </is>
      </c>
      <c r="C103" s="30" t="inlineStr">
        <is>
          <t>Cooperativa Agraria Selva Vraem</t>
        </is>
      </c>
      <c r="D103" s="30" t="inlineStr"/>
      <c r="E103" s="30" t="inlineStr">
        <is>
          <t>VENTA AL POR MENOR DE ALIMENTOS, BEBIDAS Y TABACO EN ALMACENES ESPECIALIZADOS</t>
        </is>
      </c>
      <c r="F103" s="30" t="inlineStr">
        <is>
          <t>Ayacucho</t>
        </is>
      </c>
      <c r="G103" s="30" t="inlineStr">
        <is>
          <t>La Mar</t>
        </is>
      </c>
      <c r="H103" s="30" t="inlineStr">
        <is>
          <t>—</t>
        </is>
      </c>
      <c r="I103" s="30" t="inlineStr">
        <is>
          <t>—</t>
        </is>
      </c>
      <c r="J103" s="30" t="n"/>
      <c r="K103" s="30" t="inlineStr">
        <is>
          <t>NO</t>
        </is>
      </c>
      <c r="L103" s="30" t="n"/>
      <c r="M103" s="30" t="n"/>
      <c r="N103" s="30" t="n"/>
      <c r="O103" s="30" t="n"/>
      <c r="P103" s="30" t="inlineStr"/>
      <c r="Q103" s="30" t="inlineStr"/>
      <c r="R103" s="14" t="inlineStr">
        <is>
          <t>2575.0</t>
        </is>
      </c>
      <c r="S103" s="30" t="inlineStr"/>
      <c r="T103" s="30" t="inlineStr"/>
      <c r="U103" s="14" t="inlineStr"/>
      <c r="V103" s="14" t="inlineStr">
        <is>
          <t>NO</t>
        </is>
      </c>
      <c r="W103" s="14" t="inlineStr">
        <is>
          <t>—</t>
        </is>
      </c>
      <c r="X103" s="14" t="inlineStr">
        <is>
          <t>—</t>
        </is>
      </c>
      <c r="Y103" s="14" t="inlineStr"/>
      <c r="Z103" s="30" t="inlineStr">
        <is>
          <t>—</t>
        </is>
      </c>
      <c r="AA103" s="30" t="b">
        <v>0</v>
      </c>
      <c r="AB103" s="30" t="b">
        <v>1</v>
      </c>
      <c r="AC103" s="30" t="b">
        <v>0</v>
      </c>
      <c r="AD103" s="30" t="inlineStr">
        <is>
          <t>NO</t>
        </is>
      </c>
      <c r="AE103" s="30" t="inlineStr"/>
      <c r="AF103" s="30" t="inlineStr"/>
      <c r="AG103" s="30" t="inlineStr"/>
      <c r="AH103" s="30" t="inlineStr"/>
      <c r="AI103" s="30" t="inlineStr"/>
      <c r="AJ103" s="30" t="inlineStr"/>
      <c r="AK103" s="30" t="inlineStr"/>
      <c r="AL103" s="30" t="inlineStr"/>
      <c r="AM103" s="30" t="inlineStr"/>
      <c r="AN103" s="30" t="n"/>
      <c r="AO103" s="30" t="inlineStr"/>
      <c r="AP103" s="30" t="inlineStr"/>
      <c r="AQ103" s="30" t="inlineStr"/>
      <c r="AR103" s="30" t="inlineStr"/>
      <c r="AS103" s="30" t="inlineStr"/>
      <c r="AT103" s="30" t="inlineStr"/>
      <c r="AU103" s="30" t="inlineStr"/>
      <c r="AV103" s="30" t="inlineStr"/>
      <c r="AW103" s="30" t="inlineStr"/>
      <c r="AX103" s="30" t="inlineStr"/>
      <c r="AY103" s="30" t="inlineStr">
        <is>
          <t>1</t>
        </is>
      </c>
      <c r="AZ103" s="30" t="inlineStr">
        <is>
          <t>sept-2026</t>
        </is>
      </c>
      <c r="BD103" s="81">
        <f>0</f>
        <v/>
      </c>
      <c r="BE103" s="81">
        <f>IFERROR((IF(ISNUMBER(T103),MIN(T103/30,1),0)+IF(ISNUMBER(P103),MIN(P103/500,1),0))/2,0)</f>
        <v/>
      </c>
      <c r="BF103" s="81">
        <f>IFERROR(IF(OR(U103&lt;&gt;"",V103="SÍ"),IF(ISNUMBER(L103),(1*MIN(L103/10000,1))^0.5,0),IF(ISNUMBER(L103),(0*MIN(L103/10000,1))^0.5,0)),0)</f>
        <v/>
      </c>
    </row>
    <row r="104">
      <c r="A104" t="inlineStr">
        <is>
          <t>MIDAGRI</t>
        </is>
      </c>
      <c r="B104" s="70" t="inlineStr">
        <is>
          <t>20609130700</t>
        </is>
      </c>
      <c r="C104" s="29" t="inlineStr">
        <is>
          <t>Cooperativa Agraria Unión Anco</t>
        </is>
      </c>
      <c r="D104" s="29" t="inlineStr"/>
      <c r="E104" s="29" t="inlineStr">
        <is>
          <t>VENTA AL POR MENOR DE ALIMENTOS, BEBIDAS Y TABACO EN ALMACENES ESPECIALIZADOS</t>
        </is>
      </c>
      <c r="F104" s="29" t="inlineStr">
        <is>
          <t>Ayacucho</t>
        </is>
      </c>
      <c r="G104" s="29" t="inlineStr">
        <is>
          <t>La Mar</t>
        </is>
      </c>
      <c r="H104" s="29" t="inlineStr">
        <is>
          <t>—</t>
        </is>
      </c>
      <c r="I104" s="29" t="inlineStr">
        <is>
          <t>—</t>
        </is>
      </c>
      <c r="J104" s="29" t="n"/>
      <c r="K104" s="29" t="inlineStr">
        <is>
          <t>NO</t>
        </is>
      </c>
      <c r="L104" s="29" t="n"/>
      <c r="M104" s="29" t="n"/>
      <c r="N104" s="29" t="n"/>
      <c r="O104" s="29" t="n"/>
      <c r="P104" s="29" t="inlineStr"/>
      <c r="Q104" s="29" t="inlineStr"/>
      <c r="R104" s="18" t="inlineStr">
        <is>
          <t>2575.0</t>
        </is>
      </c>
      <c r="S104" s="29" t="inlineStr"/>
      <c r="T104" s="29" t="inlineStr"/>
      <c r="U104" s="18" t="inlineStr"/>
      <c r="V104" s="18" t="inlineStr">
        <is>
          <t>NO</t>
        </is>
      </c>
      <c r="W104" s="18" t="inlineStr">
        <is>
          <t>—</t>
        </is>
      </c>
      <c r="X104" s="18" t="inlineStr">
        <is>
          <t>—</t>
        </is>
      </c>
      <c r="Y104" s="18" t="inlineStr"/>
      <c r="Z104" s="29" t="inlineStr">
        <is>
          <t>—</t>
        </is>
      </c>
      <c r="AA104" s="29" t="b">
        <v>0</v>
      </c>
      <c r="AB104" s="29" t="b">
        <v>1</v>
      </c>
      <c r="AC104" s="29" t="b">
        <v>0</v>
      </c>
      <c r="AD104" s="29" t="inlineStr">
        <is>
          <t>NO</t>
        </is>
      </c>
      <c r="AE104" s="29" t="inlineStr"/>
      <c r="AF104" s="29" t="inlineStr"/>
      <c r="AG104" s="29" t="inlineStr"/>
      <c r="AH104" s="29" t="inlineStr"/>
      <c r="AI104" s="29" t="inlineStr"/>
      <c r="AJ104" s="29" t="inlineStr"/>
      <c r="AK104" s="29" t="inlineStr"/>
      <c r="AL104" s="29" t="inlineStr"/>
      <c r="AM104" s="29" t="inlineStr"/>
      <c r="AN104" s="29" t="n"/>
      <c r="AO104" s="29" t="inlineStr"/>
      <c r="AP104" s="29" t="inlineStr"/>
      <c r="AQ104" s="29" t="inlineStr"/>
      <c r="AR104" s="29" t="inlineStr"/>
      <c r="AS104" s="29" t="inlineStr"/>
      <c r="AT104" s="29" t="inlineStr"/>
      <c r="AU104" s="29" t="inlineStr"/>
      <c r="AV104" s="29" t="inlineStr"/>
      <c r="AW104" s="29" t="inlineStr"/>
      <c r="AX104" s="29" t="inlineStr"/>
      <c r="AY104" s="29" t="inlineStr">
        <is>
          <t>1</t>
        </is>
      </c>
      <c r="AZ104" s="29" t="inlineStr">
        <is>
          <t>sept-2026</t>
        </is>
      </c>
      <c r="BD104" s="81">
        <f>0</f>
        <v/>
      </c>
      <c r="BE104" s="81">
        <f>IFERROR((IF(ISNUMBER(T104),MIN(T104/30,1),0)+IF(ISNUMBER(P104),MIN(P104/500,1),0))/2,0)</f>
        <v/>
      </c>
      <c r="BF104" s="81">
        <f>IFERROR(IF(OR(U104&lt;&gt;"",V104="SÍ"),IF(ISNUMBER(L104),(1*MIN(L104/10000,1))^0.5,0),IF(ISNUMBER(L104),(0*MIN(L104/10000,1))^0.5,0)),0)</f>
        <v/>
      </c>
    </row>
    <row r="105">
      <c r="A105" t="inlineStr">
        <is>
          <t>MIDAGRI; CENACOOP; CENCOOP 2017</t>
        </is>
      </c>
      <c r="B105" s="70" t="inlineStr">
        <is>
          <t>20437547263</t>
        </is>
      </c>
      <c r="C105" s="30" t="inlineStr">
        <is>
          <t>Cooperativa Agraria APROCASSI</t>
        </is>
      </c>
      <c r="D105" s="30" t="inlineStr"/>
      <c r="E105" s="30" t="inlineStr">
        <is>
          <t>VENTA AL POR MENOR DE ALIMENTOS, BEBIDAS Y TABACO EN ALMACENES ESPECIALIZADOS</t>
        </is>
      </c>
      <c r="F105" s="30" t="inlineStr">
        <is>
          <t>Cajamarca</t>
        </is>
      </c>
      <c r="G105" s="30" t="inlineStr">
        <is>
          <t>San Ignacio</t>
        </is>
      </c>
      <c r="H105" s="30" t="inlineStr">
        <is>
          <t>—</t>
        </is>
      </c>
      <c r="I105" s="30" t="inlineStr">
        <is>
          <t>—</t>
        </is>
      </c>
      <c r="J105" s="17" t="inlineStr">
        <is>
          <t>SI</t>
        </is>
      </c>
      <c r="K105" s="30" t="inlineStr">
        <is>
          <t>SÍ</t>
        </is>
      </c>
      <c r="L105" s="30" t="n">
        <v>10518379.24</v>
      </c>
      <c r="M105" s="30" t="n">
        <v>85946468.31</v>
      </c>
      <c r="N105" s="30" t="n">
        <v>499</v>
      </c>
      <c r="O105" s="30" t="n">
        <v>22</v>
      </c>
      <c r="P105" s="30" t="inlineStr"/>
      <c r="Q105" s="30" t="inlineStr"/>
      <c r="R105" s="14" t="inlineStr">
        <is>
          <t>2575.0</t>
        </is>
      </c>
      <c r="S105" s="30" t="inlineStr"/>
      <c r="T105" s="30" t="inlineStr"/>
      <c r="U105" s="14" t="inlineStr"/>
      <c r="V105" s="14" t="inlineStr">
        <is>
          <t>NO</t>
        </is>
      </c>
      <c r="W105" s="14" t="inlineStr">
        <is>
          <t>—</t>
        </is>
      </c>
      <c r="X105" s="14" t="inlineStr">
        <is>
          <t>—</t>
        </is>
      </c>
      <c r="Y105" s="14" t="inlineStr"/>
      <c r="Z105" s="30" t="inlineStr">
        <is>
          <t>—</t>
        </is>
      </c>
      <c r="AA105" s="30" t="b">
        <v>0</v>
      </c>
      <c r="AB105" s="30" t="b">
        <v>1</v>
      </c>
      <c r="AC105" s="30" t="b">
        <v>1</v>
      </c>
      <c r="AD105" s="19" t="inlineStr">
        <is>
          <t>SI</t>
        </is>
      </c>
      <c r="AE105" s="30" t="inlineStr">
        <is>
          <t>COOPERATIVA DE SERVICIOS MULTIPLES APROCASSI</t>
        </is>
      </c>
      <c r="AF105" s="30" t="inlineStr">
        <is>
          <t>CAJAMARCA</t>
        </is>
      </c>
      <c r="AG105" s="30" t="inlineStr">
        <is>
          <t>SAN IGNACIO</t>
        </is>
      </c>
      <c r="AH105" s="30" t="inlineStr">
        <is>
          <t>SAN IGNACIO</t>
        </is>
      </c>
      <c r="AI105" s="30" t="inlineStr">
        <is>
          <t>SAN IGNACIO</t>
        </is>
      </c>
      <c r="AJ105" s="30" t="inlineStr">
        <is>
          <t>CULTIVO DE CEREALES (EXCEPTO ARROZ), LEGUMBRES Y SEMILLAS OLEAGINOSAS</t>
        </is>
      </c>
      <c r="AK105" s="30" t="inlineStr">
        <is>
          <t>9.0</t>
        </is>
      </c>
      <c r="AL105" s="30" t="inlineStr">
        <is>
          <t>1.0</t>
        </is>
      </c>
      <c r="AM105" s="30" t="inlineStr">
        <is>
          <t>3.0</t>
        </is>
      </c>
      <c r="AN105" s="30" t="n">
        <v>6</v>
      </c>
      <c r="AO105" s="30" t="inlineStr">
        <is>
          <t>QUIÑONES AGUIRRE SAUL</t>
        </is>
      </c>
      <c r="AP105" s="30" t="inlineStr">
        <is>
          <t>INGENIERO AGRONOMO</t>
        </is>
      </c>
      <c r="AQ105" s="30" t="inlineStr">
        <is>
          <t>10.0</t>
        </is>
      </c>
      <c r="AR105" s="30" t="inlineStr">
        <is>
          <t>NO TIENE</t>
        </is>
      </c>
      <c r="AS105" s="30" t="inlineStr">
        <is>
          <t>APROCASSI63@YAHOO.ES</t>
        </is>
      </c>
      <c r="AT105" s="30" t="inlineStr">
        <is>
          <t>NO TIENE</t>
        </is>
      </c>
      <c r="AU105" s="30" t="inlineStr">
        <is>
          <t>-5.141578333333333</t>
        </is>
      </c>
      <c r="AV105" s="30" t="inlineStr">
        <is>
          <t>-78.99772</t>
        </is>
      </c>
      <c r="AW105" s="30" t="inlineStr">
        <is>
          <t>2011.0</t>
        </is>
      </c>
      <c r="AX105" s="30" t="inlineStr">
        <is>
          <t>2011.0</t>
        </is>
      </c>
      <c r="AY105" s="30" t="inlineStr">
        <is>
          <t>2</t>
        </is>
      </c>
      <c r="AZ105" s="30" t="inlineStr">
        <is>
          <t>sept-2026</t>
        </is>
      </c>
      <c r="BA105" t="inlineStr">
        <is>
          <t>AUSTRALIA; BELGIUM; CANADA; CHINA; FINLAND; FRANCE; GERMANY; IRELAND; ITALY; JAPAN; KOREA, REPUBLIC OF; MEXICO; NETHERLANDS; NEW ZEALAND; POLAND; SPAIN; SWEDEN; SWITZERLAND; TAIWAN, PROVINCE OF CHINA; UKRAINE; UNITED KINGDOM; UNITED STATES</t>
        </is>
      </c>
      <c r="BB105" t="n">
        <v>2010</v>
      </c>
      <c r="BC105" t="n">
        <v>2025</v>
      </c>
      <c r="BD105" s="81">
        <f>0</f>
        <v/>
      </c>
      <c r="BE105" s="81">
        <f>IFERROR((IF(ISNUMBER(T105),MIN(T105/30,1),0)+IF(ISNUMBER(P105),MIN(P105/500,1),0))/2,0)</f>
        <v/>
      </c>
      <c r="BF105" s="81">
        <f>IFERROR(IF(OR(U105&lt;&gt;"",V105="SÍ"),IF(ISNUMBER(L105),(1*MIN(L105/10000,1))^0.5,0),IF(ISNUMBER(L105),(0*MIN(L105/10000,1))^0.5,0)),0)</f>
        <v/>
      </c>
    </row>
    <row r="106">
      <c r="A106" t="inlineStr">
        <is>
          <t>MIDAGRI</t>
        </is>
      </c>
      <c r="B106" s="70" t="inlineStr">
        <is>
          <t>20607450677</t>
        </is>
      </c>
      <c r="C106" s="29" t="inlineStr">
        <is>
          <t>Cooperativa Agraria Aromas del Valle</t>
        </is>
      </c>
      <c r="D106" s="29" t="inlineStr"/>
      <c r="E106" s="29" t="inlineStr">
        <is>
          <t>VENTA AL POR MENOR DE ALIMENTOS, BEBIDAS Y TABACO EN ALMACENES ESPECIALIZADOS</t>
        </is>
      </c>
      <c r="F106" s="29" t="inlineStr">
        <is>
          <t>Cajamarca</t>
        </is>
      </c>
      <c r="G106" s="29" t="inlineStr">
        <is>
          <t>Jaén</t>
        </is>
      </c>
      <c r="H106" s="29" t="inlineStr">
        <is>
          <t>—</t>
        </is>
      </c>
      <c r="I106" s="29" t="inlineStr">
        <is>
          <t>—</t>
        </is>
      </c>
      <c r="J106" s="29" t="inlineStr">
        <is>
          <t>SI</t>
        </is>
      </c>
      <c r="K106" s="29" t="inlineStr">
        <is>
          <t>NO</t>
        </is>
      </c>
      <c r="L106" s="29" t="n">
        <v>4852107.53</v>
      </c>
      <c r="M106" s="29" t="n">
        <v>27542290.65</v>
      </c>
      <c r="N106" s="29" t="n">
        <v>134</v>
      </c>
      <c r="O106" s="29" t="n">
        <v>20</v>
      </c>
      <c r="P106" s="29" t="inlineStr"/>
      <c r="Q106" s="29" t="inlineStr"/>
      <c r="R106" s="18" t="inlineStr">
        <is>
          <t>2575.0</t>
        </is>
      </c>
      <c r="S106" s="29" t="inlineStr"/>
      <c r="T106" s="29" t="inlineStr"/>
      <c r="U106" s="18" t="inlineStr"/>
      <c r="V106" s="18" t="inlineStr">
        <is>
          <t>NO</t>
        </is>
      </c>
      <c r="W106" s="18" t="inlineStr">
        <is>
          <t>—</t>
        </is>
      </c>
      <c r="X106" s="18" t="inlineStr">
        <is>
          <t>—</t>
        </is>
      </c>
      <c r="Y106" s="18" t="inlineStr"/>
      <c r="Z106" s="29" t="inlineStr">
        <is>
          <t>—</t>
        </is>
      </c>
      <c r="AA106" s="29" t="b">
        <v>0</v>
      </c>
      <c r="AB106" s="29" t="b">
        <v>1</v>
      </c>
      <c r="AC106" s="29" t="b">
        <v>0</v>
      </c>
      <c r="AD106" s="29" t="inlineStr">
        <is>
          <t>NO</t>
        </is>
      </c>
      <c r="AE106" s="29" t="inlineStr"/>
      <c r="AF106" s="29" t="inlineStr"/>
      <c r="AG106" s="29" t="inlineStr"/>
      <c r="AH106" s="29" t="inlineStr"/>
      <c r="AI106" s="29" t="inlineStr"/>
      <c r="AJ106" s="29" t="inlineStr"/>
      <c r="AK106" s="29" t="inlineStr"/>
      <c r="AL106" s="29" t="inlineStr"/>
      <c r="AM106" s="29" t="inlineStr"/>
      <c r="AN106" s="29" t="n"/>
      <c r="AO106" s="29" t="inlineStr"/>
      <c r="AP106" s="29" t="inlineStr"/>
      <c r="AQ106" s="29" t="inlineStr"/>
      <c r="AR106" s="29" t="inlineStr"/>
      <c r="AS106" s="29" t="inlineStr"/>
      <c r="AT106" s="29" t="inlineStr"/>
      <c r="AU106" s="29" t="inlineStr"/>
      <c r="AV106" s="29" t="inlineStr"/>
      <c r="AW106" s="29" t="inlineStr"/>
      <c r="AX106" s="29" t="inlineStr"/>
      <c r="AY106" s="29" t="inlineStr">
        <is>
          <t>1</t>
        </is>
      </c>
      <c r="AZ106" s="29" t="inlineStr">
        <is>
          <t>sept-2026</t>
        </is>
      </c>
      <c r="BA106" t="inlineStr">
        <is>
          <t>ARGENTINA; AUSTRALIA; BELGIUM; CANADA; CHILE; DENMARK; ESTONIA; FRANCE; GERMANY; IRELAND; ITALY; KOREA, REPUBLIC OF; MEXICO; NETHERLANDS; NORWAY; POLAND; SPAIN; SWEDEN; UNITED KINGDOM; UNITED STATES</t>
        </is>
      </c>
      <c r="BB106" t="n">
        <v>2021</v>
      </c>
      <c r="BC106" t="n">
        <v>2025</v>
      </c>
      <c r="BD106" s="81">
        <f>0</f>
        <v/>
      </c>
      <c r="BE106" s="81">
        <f>IFERROR((IF(ISNUMBER(T106),MIN(T106/30,1),0)+IF(ISNUMBER(P106),MIN(P106/500,1),0))/2,0)</f>
        <v/>
      </c>
      <c r="BF106" s="81">
        <f>IFERROR(IF(OR(U106&lt;&gt;"",V106="SÍ"),IF(ISNUMBER(L106),(1*MIN(L106/10000,1))^0.5,0),IF(ISNUMBER(L106),(0*MIN(L106/10000,1))^0.5,0)),0)</f>
        <v/>
      </c>
    </row>
    <row r="107">
      <c r="A107" t="inlineStr">
        <is>
          <t>MIDAGRI</t>
        </is>
      </c>
      <c r="B107" s="70" t="inlineStr">
        <is>
          <t>20607800830</t>
        </is>
      </c>
      <c r="C107" s="30" t="inlineStr">
        <is>
          <t>Cooperativa Agraria Bosques Verdes</t>
        </is>
      </c>
      <c r="D107" s="30" t="inlineStr"/>
      <c r="E107" s="30" t="inlineStr">
        <is>
          <t>VENTA AL POR MENOR DE ALIMENTOS, BEBIDAS Y TABACO EN ALMACENES ESPECIALIZADOS</t>
        </is>
      </c>
      <c r="F107" s="30" t="inlineStr">
        <is>
          <t>Cajamarca</t>
        </is>
      </c>
      <c r="G107" s="30" t="inlineStr">
        <is>
          <t>San Ignacio</t>
        </is>
      </c>
      <c r="H107" s="30" t="inlineStr">
        <is>
          <t>—</t>
        </is>
      </c>
      <c r="I107" s="30" t="inlineStr">
        <is>
          <t>—</t>
        </is>
      </c>
      <c r="J107" s="30" t="inlineStr">
        <is>
          <t>SI</t>
        </is>
      </c>
      <c r="K107" s="30" t="inlineStr">
        <is>
          <t>NO</t>
        </is>
      </c>
      <c r="L107" s="30" t="n">
        <v>1459821.77</v>
      </c>
      <c r="M107" s="30" t="n">
        <v>3431958.4</v>
      </c>
      <c r="N107" s="30" t="n">
        <v>22</v>
      </c>
      <c r="O107" s="30" t="n">
        <v>5</v>
      </c>
      <c r="P107" s="30" t="inlineStr"/>
      <c r="Q107" s="30" t="inlineStr"/>
      <c r="R107" s="14" t="inlineStr">
        <is>
          <t>2575.0</t>
        </is>
      </c>
      <c r="S107" s="30" t="inlineStr"/>
      <c r="T107" s="30" t="inlineStr"/>
      <c r="U107" s="14" t="inlineStr"/>
      <c r="V107" s="14" t="inlineStr">
        <is>
          <t>NO</t>
        </is>
      </c>
      <c r="W107" s="14" t="inlineStr">
        <is>
          <t>—</t>
        </is>
      </c>
      <c r="X107" s="14" t="inlineStr">
        <is>
          <t>—</t>
        </is>
      </c>
      <c r="Y107" s="14" t="inlineStr"/>
      <c r="Z107" s="30" t="inlineStr">
        <is>
          <t>—</t>
        </is>
      </c>
      <c r="AA107" s="30" t="b">
        <v>0</v>
      </c>
      <c r="AB107" s="30" t="b">
        <v>1</v>
      </c>
      <c r="AC107" s="30" t="b">
        <v>0</v>
      </c>
      <c r="AD107" s="30" t="inlineStr">
        <is>
          <t>NO</t>
        </is>
      </c>
      <c r="AE107" s="30" t="inlineStr"/>
      <c r="AF107" s="30" t="inlineStr"/>
      <c r="AG107" s="30" t="inlineStr"/>
      <c r="AH107" s="30" t="inlineStr"/>
      <c r="AI107" s="30" t="inlineStr"/>
      <c r="AJ107" s="30" t="inlineStr"/>
      <c r="AK107" s="30" t="inlineStr"/>
      <c r="AL107" s="30" t="inlineStr"/>
      <c r="AM107" s="30" t="inlineStr"/>
      <c r="AN107" s="30" t="n"/>
      <c r="AO107" s="30" t="inlineStr"/>
      <c r="AP107" s="30" t="inlineStr"/>
      <c r="AQ107" s="30" t="inlineStr"/>
      <c r="AR107" s="30" t="inlineStr"/>
      <c r="AS107" s="30" t="inlineStr"/>
      <c r="AT107" s="30" t="inlineStr"/>
      <c r="AU107" s="30" t="inlineStr"/>
      <c r="AV107" s="30" t="inlineStr"/>
      <c r="AW107" s="30" t="inlineStr"/>
      <c r="AX107" s="30" t="inlineStr"/>
      <c r="AY107" s="30" t="inlineStr">
        <is>
          <t>1</t>
        </is>
      </c>
      <c r="AZ107" s="30" t="inlineStr">
        <is>
          <t>sept-2026</t>
        </is>
      </c>
      <c r="BA107" t="inlineStr">
        <is>
          <t>BELGIUM; CANADA; FRANCE; UNITED KINGDOM; UNITED STATES</t>
        </is>
      </c>
      <c r="BB107" t="n">
        <v>2021</v>
      </c>
      <c r="BC107" t="n">
        <v>2025</v>
      </c>
      <c r="BD107" s="81">
        <f>0</f>
        <v/>
      </c>
      <c r="BE107" s="81">
        <f>IFERROR((IF(ISNUMBER(T107),MIN(T107/30,1),0)+IF(ISNUMBER(P107),MIN(P107/500,1),0))/2,0)</f>
        <v/>
      </c>
      <c r="BF107" s="81">
        <f>IFERROR(IF(OR(U107&lt;&gt;"",V107="SÍ"),IF(ISNUMBER(L107),(1*MIN(L107/10000,1))^0.5,0),IF(ISNUMBER(L107),(0*MIN(L107/10000,1))^0.5,0)),0)</f>
        <v/>
      </c>
    </row>
    <row r="108">
      <c r="A108" t="inlineStr">
        <is>
          <t>MIDAGRI; CENACOOP; CENCOOP 2017</t>
        </is>
      </c>
      <c r="B108" s="70" t="inlineStr">
        <is>
          <t>20479836061</t>
        </is>
      </c>
      <c r="C108" s="29" t="inlineStr">
        <is>
          <t>Cooperativa Agraria Cafetalera Aprocanorsi Ltda.</t>
        </is>
      </c>
      <c r="D108" s="29" t="inlineStr"/>
      <c r="E108" s="29" t="inlineStr">
        <is>
          <t>VENTA AL POR MENOR DE ALIMENTOS, BEBIDAS Y TABACO EN ALMACENES ESPECIALIZADOS</t>
        </is>
      </c>
      <c r="F108" s="29" t="inlineStr">
        <is>
          <t>Cajamarca</t>
        </is>
      </c>
      <c r="G108" s="29" t="inlineStr">
        <is>
          <t>San Ignacio</t>
        </is>
      </c>
      <c r="H108" s="29" t="inlineStr">
        <is>
          <t>—</t>
        </is>
      </c>
      <c r="I108" s="29" t="inlineStr">
        <is>
          <t>—</t>
        </is>
      </c>
      <c r="J108" s="29" t="inlineStr">
        <is>
          <t>SI</t>
        </is>
      </c>
      <c r="K108" s="29" t="inlineStr">
        <is>
          <t>NO</t>
        </is>
      </c>
      <c r="L108" s="29" t="n">
        <v>0</v>
      </c>
      <c r="M108" s="29" t="n">
        <v>9660513.689999999</v>
      </c>
      <c r="N108" s="29" t="n">
        <v>101</v>
      </c>
      <c r="O108" s="29" t="n">
        <v>11</v>
      </c>
      <c r="P108" s="29" t="inlineStr"/>
      <c r="Q108" s="29" t="inlineStr"/>
      <c r="R108" s="18" t="inlineStr">
        <is>
          <t>2575.0</t>
        </is>
      </c>
      <c r="S108" s="29" t="inlineStr"/>
      <c r="T108" s="29" t="inlineStr"/>
      <c r="U108" s="18" t="inlineStr"/>
      <c r="V108" s="18" t="inlineStr">
        <is>
          <t>NO</t>
        </is>
      </c>
      <c r="W108" s="18" t="inlineStr">
        <is>
          <t>—</t>
        </is>
      </c>
      <c r="X108" s="18" t="inlineStr">
        <is>
          <t>—</t>
        </is>
      </c>
      <c r="Y108" s="18" t="inlineStr"/>
      <c r="Z108" s="29" t="inlineStr">
        <is>
          <t>—</t>
        </is>
      </c>
      <c r="AA108" s="29" t="b">
        <v>0</v>
      </c>
      <c r="AB108" s="29" t="b">
        <v>1</v>
      </c>
      <c r="AC108" s="29" t="b">
        <v>1</v>
      </c>
      <c r="AD108" s="19" t="inlineStr">
        <is>
          <t>SI</t>
        </is>
      </c>
      <c r="AE108" s="29" t="inlineStr">
        <is>
          <t>COOPERATIVA AGRARIA CAFETALERA APROCANORSI LTDA.</t>
        </is>
      </c>
      <c r="AF108" s="29" t="inlineStr">
        <is>
          <t>CAJAMARCA</t>
        </is>
      </c>
      <c r="AG108" s="29" t="inlineStr">
        <is>
          <t>SAN IGNACIO</t>
        </is>
      </c>
      <c r="AH108" s="29" t="inlineStr">
        <is>
          <t>SAN IGNACIO</t>
        </is>
      </c>
      <c r="AI108" s="29" t="inlineStr">
        <is>
          <t>SAN IGNACIO</t>
        </is>
      </c>
      <c r="AJ108" s="29" t="inlineStr">
        <is>
          <t>CULTIVO DE PRODUCTOS AGRÌCOLAS EN COMBINACIÒN CON LA CRÌA DE ANIMALES</t>
        </is>
      </c>
      <c r="AK108" s="29" t="inlineStr">
        <is>
          <t>1.0</t>
        </is>
      </c>
      <c r="AL108" s="29" t="inlineStr">
        <is>
          <t>1.0</t>
        </is>
      </c>
      <c r="AM108" s="29" t="inlineStr">
        <is>
          <t>2.0</t>
        </is>
      </c>
      <c r="AN108" s="29" t="n">
        <v>12</v>
      </c>
      <c r="AO108" s="29" t="inlineStr">
        <is>
          <t>PEÑA CALLE RAUL</t>
        </is>
      </c>
      <c r="AP108" s="29" t="inlineStr">
        <is>
          <t>COMERCIO Y NEGOCIOS INTERNACIONALES</t>
        </is>
      </c>
      <c r="AQ108" s="29" t="inlineStr">
        <is>
          <t>10.0</t>
        </is>
      </c>
      <c r="AR108" s="29" t="inlineStr">
        <is>
          <t>NO TIENE</t>
        </is>
      </c>
      <c r="AS108" s="29" t="inlineStr">
        <is>
          <t>APROCANORSI@YAHOO.ES</t>
        </is>
      </c>
      <c r="AT108" s="29" t="inlineStr">
        <is>
          <t>NO TIENE</t>
        </is>
      </c>
      <c r="AU108" s="29" t="inlineStr">
        <is>
          <t>-5.148276666666666</t>
        </is>
      </c>
      <c r="AV108" s="29" t="inlineStr">
        <is>
          <t>-79.00738833333334</t>
        </is>
      </c>
      <c r="AW108" s="29" t="inlineStr">
        <is>
          <t>2004.0</t>
        </is>
      </c>
      <c r="AX108" s="29" t="inlineStr">
        <is>
          <t>2005.0</t>
        </is>
      </c>
      <c r="AY108" s="29" t="inlineStr">
        <is>
          <t>2</t>
        </is>
      </c>
      <c r="AZ108" s="29" t="inlineStr">
        <is>
          <t>sept-2026</t>
        </is>
      </c>
      <c r="BA108" t="inlineStr">
        <is>
          <t>AUSTRALIA; BELGIUM; CANADA; DENMARK; FINLAND; FRANCE; GERMANY; ITALY; SWEDEN; UNITED KINGDOM; UNITED STATES</t>
        </is>
      </c>
      <c r="BB108" t="n">
        <v>2010</v>
      </c>
      <c r="BC108" t="n">
        <v>2020</v>
      </c>
      <c r="BD108" s="81">
        <f>0</f>
        <v/>
      </c>
      <c r="BE108" s="81">
        <f>IFERROR((IF(ISNUMBER(T108),MIN(T108/30,1),0)+IF(ISNUMBER(P108),MIN(P108/500,1),0))/2,0)</f>
        <v/>
      </c>
      <c r="BF108" s="81">
        <f>IFERROR(IF(OR(U108&lt;&gt;"",V108="SÍ"),IF(ISNUMBER(L108),(1*MIN(L108/10000,1))^0.5,0),IF(ISNUMBER(L108),(0*MIN(L108/10000,1))^0.5,0)),0)</f>
        <v/>
      </c>
    </row>
    <row r="109">
      <c r="A109" t="inlineStr">
        <is>
          <t>MIDAGRI; CENACOOP; CENCOOP 2017; SISPAC</t>
        </is>
      </c>
      <c r="B109" s="70" t="inlineStr">
        <is>
          <t>20479595276</t>
        </is>
      </c>
      <c r="C109" s="30" t="inlineStr">
        <is>
          <t>Cooperativa Agraria Cafetalera Casil Ltda.</t>
        </is>
      </c>
      <c r="D109" s="30" t="inlineStr"/>
      <c r="E109" s="30" t="inlineStr">
        <is>
          <t>VENTA AL POR MENOR DE ALIMENTOS, BEBIDAS Y TABACO EN ALMACENES ESPECIALIZADOS</t>
        </is>
      </c>
      <c r="F109" s="30" t="inlineStr">
        <is>
          <t>Cajamarca</t>
        </is>
      </c>
      <c r="G109" s="30" t="inlineStr">
        <is>
          <t>San Ignacio</t>
        </is>
      </c>
      <c r="H109" s="30" t="inlineStr">
        <is>
          <t>—</t>
        </is>
      </c>
      <c r="I109" s="30" t="inlineStr">
        <is>
          <t>—</t>
        </is>
      </c>
      <c r="J109" s="17" t="inlineStr">
        <is>
          <t>SI</t>
        </is>
      </c>
      <c r="K109" s="30" t="inlineStr">
        <is>
          <t>SÍ</t>
        </is>
      </c>
      <c r="L109" s="30" t="n">
        <v>1282513.17</v>
      </c>
      <c r="M109" s="30" t="n">
        <v>28645777.89</v>
      </c>
      <c r="N109" s="30" t="n">
        <v>172</v>
      </c>
      <c r="O109" s="30" t="n">
        <v>15</v>
      </c>
      <c r="P109" s="30" t="inlineStr"/>
      <c r="Q109" s="30" t="inlineStr"/>
      <c r="R109" s="14" t="inlineStr">
        <is>
          <t>2575.0</t>
        </is>
      </c>
      <c r="S109" s="30" t="inlineStr"/>
      <c r="T109" s="30" t="inlineStr"/>
      <c r="U109" s="14" t="inlineStr"/>
      <c r="V109" s="14" t="inlineStr">
        <is>
          <t>NO</t>
        </is>
      </c>
      <c r="W109" s="14" t="inlineStr">
        <is>
          <t>—</t>
        </is>
      </c>
      <c r="X109" s="14" t="inlineStr">
        <is>
          <t>—</t>
        </is>
      </c>
      <c r="Y109" s="14" t="inlineStr"/>
      <c r="Z109" s="30" t="inlineStr">
        <is>
          <t>—</t>
        </is>
      </c>
      <c r="AA109" s="30" t="b">
        <v>0</v>
      </c>
      <c r="AB109" s="30" t="b">
        <v>1</v>
      </c>
      <c r="AC109" s="30" t="b">
        <v>1</v>
      </c>
      <c r="AD109" s="19" t="inlineStr">
        <is>
          <t>SI</t>
        </is>
      </c>
      <c r="AE109" s="30" t="inlineStr">
        <is>
          <t>COOPERATIVA AGRARIA CAFETALERA CASIL LTD</t>
        </is>
      </c>
      <c r="AF109" s="30" t="inlineStr">
        <is>
          <t>CAJAMARCA</t>
        </is>
      </c>
      <c r="AG109" s="30" t="inlineStr">
        <is>
          <t>SAN IGNACIO</t>
        </is>
      </c>
      <c r="AH109" s="30" t="inlineStr">
        <is>
          <t>SAN IGNACIO</t>
        </is>
      </c>
      <c r="AI109" s="30" t="inlineStr">
        <is>
          <t>SAN IGNACIO</t>
        </is>
      </c>
      <c r="AJ109" s="30" t="inlineStr">
        <is>
          <t>CULTIVO DE PRODUCTOS AGRÌCOLAS EN COMBINACIÒN CON LA CRÌA DE ANIMALES</t>
        </is>
      </c>
      <c r="AK109" s="30" t="inlineStr">
        <is>
          <t>1.0</t>
        </is>
      </c>
      <c r="AL109" s="30" t="inlineStr">
        <is>
          <t>1.0</t>
        </is>
      </c>
      <c r="AM109" s="30" t="inlineStr">
        <is>
          <t>3.0</t>
        </is>
      </c>
      <c r="AN109" s="30" t="n">
        <v>51</v>
      </c>
      <c r="AO109" s="30" t="inlineStr">
        <is>
          <t>FLORES MARTINEZ CONFESOR</t>
        </is>
      </c>
      <c r="AP109" s="30" t="inlineStr">
        <is>
          <t>AGRICULTOR</t>
        </is>
      </c>
      <c r="AQ109" s="30" t="inlineStr">
        <is>
          <t>6.0</t>
        </is>
      </c>
      <c r="AR109" s="30" t="inlineStr">
        <is>
          <t>NO TIENE</t>
        </is>
      </c>
      <c r="AS109" s="30" t="inlineStr">
        <is>
          <t>CASIL66@HOTMAIL.COM</t>
        </is>
      </c>
      <c r="AT109" s="30" t="inlineStr">
        <is>
          <t>NO TIENE</t>
        </is>
      </c>
      <c r="AU109" s="30" t="inlineStr">
        <is>
          <t>-5.146081666666666</t>
        </is>
      </c>
      <c r="AV109" s="30" t="inlineStr">
        <is>
          <t>-78.99865333333334</t>
        </is>
      </c>
      <c r="AW109" s="30" t="inlineStr">
        <is>
          <t>1966.0</t>
        </is>
      </c>
      <c r="AX109" s="30" t="inlineStr">
        <is>
          <t>1966.0</t>
        </is>
      </c>
      <c r="AY109" s="30" t="inlineStr">
        <is>
          <t>2</t>
        </is>
      </c>
      <c r="AZ109" s="30" t="inlineStr">
        <is>
          <t>sept-2026</t>
        </is>
      </c>
      <c r="BA109" t="inlineStr">
        <is>
          <t>AUSTRALIA; BELGIUM; CANADA; COLOMBIA; GERMANY; ITALY; JAPAN; JORDAN; KOREA, REPUBLIC OF; MEXICO; PORTUGAL; SPAIN; SWEDEN; UNITED KINGDOM; UNITED STATES</t>
        </is>
      </c>
      <c r="BB109" t="n">
        <v>2010</v>
      </c>
      <c r="BC109" t="n">
        <v>2025</v>
      </c>
      <c r="BD109" s="81">
        <f>0</f>
        <v/>
      </c>
      <c r="BE109" s="81">
        <f>IFERROR((IF(ISNUMBER(T109),MIN(T109/30,1),0)+IF(ISNUMBER(P109),MIN(P109/500,1),0))/2,0)</f>
        <v/>
      </c>
      <c r="BF109" s="81">
        <f>IFERROR(IF(OR(U109&lt;&gt;"",V109="SÍ"),IF(ISNUMBER(L109),(1*MIN(L109/10000,1))^0.5,0),IF(ISNUMBER(L109),(0*MIN(L109/10000,1))^0.5,0)),0)</f>
        <v/>
      </c>
      <c r="BG109" t="n">
        <v>29</v>
      </c>
      <c r="BH109" t="n">
        <v>11</v>
      </c>
      <c r="BI109" t="n">
        <v>0</v>
      </c>
      <c r="BJ109" t="n">
        <v>0</v>
      </c>
      <c r="BK109" t="n">
        <v>0</v>
      </c>
      <c r="BL109" t="n">
        <v>22</v>
      </c>
      <c r="BM109" t="n">
        <v>5</v>
      </c>
      <c r="BN109" t="n">
        <v>29</v>
      </c>
      <c r="BO109" t="n">
        <v>3</v>
      </c>
      <c r="BP109" t="n">
        <v>0</v>
      </c>
      <c r="BQ109" t="n">
        <v>0</v>
      </c>
      <c r="BR109" t="n">
        <v>7</v>
      </c>
      <c r="BS109" t="n">
        <v>0</v>
      </c>
      <c r="BT109" t="n">
        <v>0</v>
      </c>
      <c r="BU109" t="n">
        <v>18</v>
      </c>
      <c r="BV109" t="n">
        <v>0</v>
      </c>
      <c r="BW109" t="n">
        <v>1</v>
      </c>
      <c r="BX109" t="n">
        <v>0</v>
      </c>
      <c r="BY109" t="n">
        <v>0</v>
      </c>
      <c r="BZ109" t="n">
        <v>0.3793</v>
      </c>
      <c r="CA109" t="n">
        <v>0.7586000000000001</v>
      </c>
      <c r="CB109" t="n">
        <v>0.1724</v>
      </c>
      <c r="CC109" t="n">
        <v>0.1034</v>
      </c>
      <c r="CD109" t="n">
        <v>0.3793</v>
      </c>
      <c r="CE109" t="n">
        <v>0.0805</v>
      </c>
      <c r="CF109" t="n">
        <v>0.25</v>
      </c>
    </row>
    <row r="110">
      <c r="A110" t="inlineStr">
        <is>
          <t>MIDAGRI; CENACOOP; CENCOOP 2017</t>
        </is>
      </c>
      <c r="B110" s="70" t="inlineStr">
        <is>
          <t>20147123052</t>
        </is>
      </c>
      <c r="C110" s="29" t="inlineStr">
        <is>
          <t>Cooperativa Agraria Cafetalera La Prosperidad de Chirinos</t>
        </is>
      </c>
      <c r="D110" s="29" t="inlineStr"/>
      <c r="E110" s="29" t="inlineStr">
        <is>
          <t>VENTA AL POR MENOR DE ALIMENTOS, BEBIDAS Y TABACO EN ALMACENES ESPECIALIZADOS</t>
        </is>
      </c>
      <c r="F110" s="29" t="inlineStr">
        <is>
          <t>Cajamarca</t>
        </is>
      </c>
      <c r="G110" s="29" t="inlineStr">
        <is>
          <t>San Ignacio</t>
        </is>
      </c>
      <c r="H110" s="29" t="inlineStr">
        <is>
          <t>—</t>
        </is>
      </c>
      <c r="I110" s="29" t="inlineStr">
        <is>
          <t>—</t>
        </is>
      </c>
      <c r="J110" s="17" t="inlineStr">
        <is>
          <t>SI</t>
        </is>
      </c>
      <c r="K110" s="29" t="inlineStr">
        <is>
          <t>SÍ</t>
        </is>
      </c>
      <c r="L110" s="29" t="n">
        <v>14089808.63</v>
      </c>
      <c r="M110" s="29" t="n">
        <v>122329727.48</v>
      </c>
      <c r="N110" s="29" t="n">
        <v>494</v>
      </c>
      <c r="O110" s="29" t="n">
        <v>17</v>
      </c>
      <c r="P110" s="29" t="inlineStr"/>
      <c r="Q110" s="29" t="inlineStr"/>
      <c r="R110" s="18" t="inlineStr">
        <is>
          <t>2575.0</t>
        </is>
      </c>
      <c r="S110" s="29" t="inlineStr"/>
      <c r="T110" s="29" t="inlineStr"/>
      <c r="U110" s="18" t="inlineStr"/>
      <c r="V110" s="18" t="inlineStr">
        <is>
          <t>NO</t>
        </is>
      </c>
      <c r="W110" s="18" t="inlineStr">
        <is>
          <t>—</t>
        </is>
      </c>
      <c r="X110" s="18" t="inlineStr">
        <is>
          <t>—</t>
        </is>
      </c>
      <c r="Y110" s="18" t="inlineStr"/>
      <c r="Z110" s="29" t="inlineStr">
        <is>
          <t>—</t>
        </is>
      </c>
      <c r="AA110" s="29" t="b">
        <v>0</v>
      </c>
      <c r="AB110" s="29" t="b">
        <v>1</v>
      </c>
      <c r="AC110" s="29" t="b">
        <v>1</v>
      </c>
      <c r="AD110" s="19" t="inlineStr">
        <is>
          <t>SI</t>
        </is>
      </c>
      <c r="AE110" s="29" t="inlineStr">
        <is>
          <t>COOPERATIVA AGRARIA CAFETALERA LA PROSPERIDAD DE CHIRINOS</t>
        </is>
      </c>
      <c r="AF110" s="29" t="inlineStr">
        <is>
          <t>CAJAMARCA</t>
        </is>
      </c>
      <c r="AG110" s="29" t="inlineStr">
        <is>
          <t>SAN IGNACIO</t>
        </is>
      </c>
      <c r="AH110" s="29" t="inlineStr">
        <is>
          <t>CHIRINOS</t>
        </is>
      </c>
      <c r="AI110" s="29" t="inlineStr">
        <is>
          <t>CHIRINOS</t>
        </is>
      </c>
      <c r="AJ110" s="29" t="inlineStr">
        <is>
          <t>CULTIVO DE PRODUCTOS AGRÌCOLAS EN COMBINACIÒN CON LA CRÌA DE ANIMALES</t>
        </is>
      </c>
      <c r="AK110" s="29" t="inlineStr">
        <is>
          <t>1.0</t>
        </is>
      </c>
      <c r="AL110" s="29" t="inlineStr">
        <is>
          <t>1.0</t>
        </is>
      </c>
      <c r="AM110" s="29" t="inlineStr">
        <is>
          <t>3.0</t>
        </is>
      </c>
      <c r="AN110" s="29" t="n">
        <v>49</v>
      </c>
      <c r="AO110" s="29" t="inlineStr">
        <is>
          <t>SANCHEZ GUEVARA JOEL</t>
        </is>
      </c>
      <c r="AP110" s="29" t="inlineStr">
        <is>
          <t>CONTADOR</t>
        </is>
      </c>
      <c r="AQ110" s="29" t="inlineStr">
        <is>
          <t>10.0</t>
        </is>
      </c>
      <c r="AR110" s="29" t="inlineStr">
        <is>
          <t>NO TIENE</t>
        </is>
      </c>
      <c r="AS110" s="29" t="inlineStr">
        <is>
          <t>CAN_LA PROSPERIDAD@HOTMAIL.COM</t>
        </is>
      </c>
      <c r="AT110" s="29" t="inlineStr">
        <is>
          <t>NO TIENE</t>
        </is>
      </c>
      <c r="AU110" s="29" t="inlineStr">
        <is>
          <t>-5.307655</t>
        </is>
      </c>
      <c r="AV110" s="29" t="inlineStr">
        <is>
          <t>-78.89669333333333</t>
        </is>
      </c>
      <c r="AW110" s="29" t="inlineStr">
        <is>
          <t>1968.0</t>
        </is>
      </c>
      <c r="AX110" s="29" t="inlineStr">
        <is>
          <t>1968.0</t>
        </is>
      </c>
      <c r="AY110" s="29" t="inlineStr">
        <is>
          <t>2</t>
        </is>
      </c>
      <c r="AZ110" s="29" t="inlineStr">
        <is>
          <t>sept-2026</t>
        </is>
      </c>
      <c r="BA110" t="inlineStr">
        <is>
          <t>AUSTRALIA; BELGIUM; CANADA; DENMARK; FRANCE; GERMANY; IRELAND; ITALY; JAPAN; KOREA, REPUBLIC OF; MEXICO; NETHERLANDS; NEW ZEALAND; NORWAY; SWEDEN; UNITED KINGDOM; UNITED STATES</t>
        </is>
      </c>
      <c r="BB110" t="n">
        <v>2010</v>
      </c>
      <c r="BC110" t="n">
        <v>2025</v>
      </c>
      <c r="BD110" s="81">
        <f>0</f>
        <v/>
      </c>
      <c r="BE110" s="81">
        <f>IFERROR((IF(ISNUMBER(T110),MIN(T110/30,1),0)+IF(ISNUMBER(P110),MIN(P110/500,1),0))/2,0)</f>
        <v/>
      </c>
      <c r="BF110" s="81">
        <f>IFERROR(IF(OR(U110&lt;&gt;"",V110="SÍ"),IF(ISNUMBER(L110),(1*MIN(L110/10000,1))^0.5,0),IF(ISNUMBER(L110),(0*MIN(L110/10000,1))^0.5,0)),0)</f>
        <v/>
      </c>
    </row>
    <row r="111">
      <c r="A111" t="inlineStr">
        <is>
          <t>MIDAGRI</t>
        </is>
      </c>
      <c r="B111" s="70" t="inlineStr">
        <is>
          <t>20604477337</t>
        </is>
      </c>
      <c r="C111" s="30" t="inlineStr">
        <is>
          <t>Cooperativa Agraria Cafetalera Perù Andino</t>
        </is>
      </c>
      <c r="D111" s="30" t="inlineStr"/>
      <c r="E111" s="30" t="inlineStr">
        <is>
          <t>VENTA AL POR MENOR DE ALIMENTOS, BEBIDAS Y TABACO EN ALMACENES ESPECIALIZADOS</t>
        </is>
      </c>
      <c r="F111" s="30" t="inlineStr">
        <is>
          <t>Cajamarca</t>
        </is>
      </c>
      <c r="G111" s="30" t="inlineStr">
        <is>
          <t>Jaén</t>
        </is>
      </c>
      <c r="H111" s="30" t="inlineStr">
        <is>
          <t>—</t>
        </is>
      </c>
      <c r="I111" s="30" t="inlineStr">
        <is>
          <t>—</t>
        </is>
      </c>
      <c r="J111" s="30" t="inlineStr">
        <is>
          <t>SI</t>
        </is>
      </c>
      <c r="K111" s="30" t="inlineStr">
        <is>
          <t>NO</t>
        </is>
      </c>
      <c r="L111" s="30" t="n">
        <v>0</v>
      </c>
      <c r="M111" s="30" t="n">
        <v>315272.56</v>
      </c>
      <c r="N111" s="30" t="n">
        <v>2</v>
      </c>
      <c r="O111" s="30" t="n">
        <v>2</v>
      </c>
      <c r="P111" s="30" t="inlineStr"/>
      <c r="Q111" s="30" t="inlineStr"/>
      <c r="R111" s="14" t="inlineStr">
        <is>
          <t>2575.0</t>
        </is>
      </c>
      <c r="S111" s="30" t="inlineStr"/>
      <c r="T111" s="30" t="inlineStr"/>
      <c r="U111" s="14" t="inlineStr"/>
      <c r="V111" s="14" t="inlineStr">
        <is>
          <t>NO</t>
        </is>
      </c>
      <c r="W111" s="14" t="inlineStr">
        <is>
          <t>—</t>
        </is>
      </c>
      <c r="X111" s="14" t="inlineStr">
        <is>
          <t>—</t>
        </is>
      </c>
      <c r="Y111" s="14" t="inlineStr"/>
      <c r="Z111" s="30" t="inlineStr">
        <is>
          <t>—</t>
        </is>
      </c>
      <c r="AA111" s="30" t="b">
        <v>0</v>
      </c>
      <c r="AB111" s="30" t="b">
        <v>1</v>
      </c>
      <c r="AC111" s="30" t="b">
        <v>0</v>
      </c>
      <c r="AD111" s="30" t="inlineStr">
        <is>
          <t>NO</t>
        </is>
      </c>
      <c r="AE111" s="30" t="inlineStr"/>
      <c r="AF111" s="30" t="inlineStr"/>
      <c r="AG111" s="30" t="inlineStr"/>
      <c r="AH111" s="30" t="inlineStr"/>
      <c r="AI111" s="30" t="inlineStr"/>
      <c r="AJ111" s="30" t="inlineStr"/>
      <c r="AK111" s="30" t="inlineStr"/>
      <c r="AL111" s="30" t="inlineStr"/>
      <c r="AM111" s="30" t="inlineStr"/>
      <c r="AN111" s="30" t="n"/>
      <c r="AO111" s="30" t="inlineStr"/>
      <c r="AP111" s="30" t="inlineStr"/>
      <c r="AQ111" s="30" t="inlineStr"/>
      <c r="AR111" s="30" t="inlineStr"/>
      <c r="AS111" s="30" t="inlineStr"/>
      <c r="AT111" s="30" t="inlineStr"/>
      <c r="AU111" s="30" t="inlineStr"/>
      <c r="AV111" s="30" t="inlineStr"/>
      <c r="AW111" s="30" t="inlineStr"/>
      <c r="AX111" s="30" t="inlineStr"/>
      <c r="AY111" s="30" t="inlineStr">
        <is>
          <t>1</t>
        </is>
      </c>
      <c r="AZ111" s="30" t="inlineStr">
        <is>
          <t>sept-2026</t>
        </is>
      </c>
      <c r="BA111" t="inlineStr">
        <is>
          <t>IRELAND; UNITED STATES</t>
        </is>
      </c>
      <c r="BB111" t="n">
        <v>2021</v>
      </c>
      <c r="BC111" t="n">
        <v>2022</v>
      </c>
      <c r="BD111" s="81">
        <f>0</f>
        <v/>
      </c>
      <c r="BE111" s="81">
        <f>IFERROR((IF(ISNUMBER(T111),MIN(T111/30,1),0)+IF(ISNUMBER(P111),MIN(P111/500,1),0))/2,0)</f>
        <v/>
      </c>
      <c r="BF111" s="81">
        <f>IFERROR(IF(OR(U111&lt;&gt;"",V111="SÍ"),IF(ISNUMBER(L111),(1*MIN(L111/10000,1))^0.5,0),IF(ISNUMBER(L111),(0*MIN(L111/10000,1))^0.5,0)),0)</f>
        <v/>
      </c>
    </row>
    <row r="112">
      <c r="A112" t="inlineStr">
        <is>
          <t>MIDAGRI</t>
        </is>
      </c>
      <c r="B112" s="70" t="inlineStr">
        <is>
          <t>20609286921</t>
        </is>
      </c>
      <c r="C112" s="29" t="inlineStr">
        <is>
          <t>Cooperativa Agraria Cafetalera Rayos del Sol</t>
        </is>
      </c>
      <c r="D112" s="29" t="inlineStr"/>
      <c r="E112" s="29" t="inlineStr">
        <is>
          <t>VENTA AL POR MENOR DE ALIMENTOS, BEBIDAS Y TABACO EN ALMACENES ESPECIALIZADOS</t>
        </is>
      </c>
      <c r="F112" s="29" t="inlineStr">
        <is>
          <t>Cajamarca</t>
        </is>
      </c>
      <c r="G112" s="29" t="inlineStr">
        <is>
          <t>Cutervo</t>
        </is>
      </c>
      <c r="H112" s="29" t="inlineStr">
        <is>
          <t>—</t>
        </is>
      </c>
      <c r="I112" s="29" t="inlineStr">
        <is>
          <t>—</t>
        </is>
      </c>
      <c r="J112" s="29" t="n"/>
      <c r="K112" s="29" t="inlineStr">
        <is>
          <t>NO</t>
        </is>
      </c>
      <c r="L112" s="29" t="n"/>
      <c r="M112" s="29" t="n"/>
      <c r="N112" s="29" t="n"/>
      <c r="O112" s="29" t="n"/>
      <c r="P112" s="29" t="inlineStr"/>
      <c r="Q112" s="29" t="inlineStr"/>
      <c r="R112" s="18" t="inlineStr">
        <is>
          <t>2575.0</t>
        </is>
      </c>
      <c r="S112" s="29" t="inlineStr"/>
      <c r="T112" s="29" t="inlineStr"/>
      <c r="U112" s="18" t="inlineStr"/>
      <c r="V112" s="18" t="inlineStr">
        <is>
          <t>NO</t>
        </is>
      </c>
      <c r="W112" s="18" t="inlineStr">
        <is>
          <t>—</t>
        </is>
      </c>
      <c r="X112" s="18" t="inlineStr">
        <is>
          <t>—</t>
        </is>
      </c>
      <c r="Y112" s="18" t="inlineStr"/>
      <c r="Z112" s="29" t="inlineStr">
        <is>
          <t>—</t>
        </is>
      </c>
      <c r="AA112" s="29" t="b">
        <v>0</v>
      </c>
      <c r="AB112" s="29" t="b">
        <v>1</v>
      </c>
      <c r="AC112" s="29" t="b">
        <v>0</v>
      </c>
      <c r="AD112" s="29" t="inlineStr">
        <is>
          <t>NO</t>
        </is>
      </c>
      <c r="AE112" s="29" t="inlineStr"/>
      <c r="AF112" s="29" t="inlineStr"/>
      <c r="AG112" s="29" t="inlineStr"/>
      <c r="AH112" s="29" t="inlineStr"/>
      <c r="AI112" s="29" t="inlineStr"/>
      <c r="AJ112" s="29" t="inlineStr"/>
      <c r="AK112" s="29" t="inlineStr"/>
      <c r="AL112" s="29" t="inlineStr"/>
      <c r="AM112" s="29" t="inlineStr"/>
      <c r="AN112" s="29" t="n"/>
      <c r="AO112" s="29" t="inlineStr"/>
      <c r="AP112" s="29" t="inlineStr"/>
      <c r="AQ112" s="29" t="inlineStr"/>
      <c r="AR112" s="29" t="inlineStr"/>
      <c r="AS112" s="29" t="inlineStr"/>
      <c r="AT112" s="29" t="inlineStr"/>
      <c r="AU112" s="29" t="inlineStr"/>
      <c r="AV112" s="29" t="inlineStr"/>
      <c r="AW112" s="29" t="inlineStr"/>
      <c r="AX112" s="29" t="inlineStr"/>
      <c r="AY112" s="29" t="inlineStr">
        <is>
          <t>1</t>
        </is>
      </c>
      <c r="AZ112" s="29" t="inlineStr">
        <is>
          <t>sept-2026</t>
        </is>
      </c>
      <c r="BD112" s="81">
        <f>0</f>
        <v/>
      </c>
      <c r="BE112" s="81">
        <f>IFERROR((IF(ISNUMBER(T112),MIN(T112/30,1),0)+IF(ISNUMBER(P112),MIN(P112/500,1),0))/2,0)</f>
        <v/>
      </c>
      <c r="BF112" s="81">
        <f>IFERROR(IF(OR(U112&lt;&gt;"",V112="SÍ"),IF(ISNUMBER(L112),(1*MIN(L112/10000,1))^0.5,0),IF(ISNUMBER(L112),(0*MIN(L112/10000,1))^0.5,0)),0)</f>
        <v/>
      </c>
    </row>
    <row r="113">
      <c r="A113" t="inlineStr">
        <is>
          <t>MIDAGRI</t>
        </is>
      </c>
      <c r="B113" s="70" t="inlineStr">
        <is>
          <t>20601152984</t>
        </is>
      </c>
      <c r="C113" s="30" t="inlineStr">
        <is>
          <t>Cooperativa Agraria Caficultores Alto Cajamarca</t>
        </is>
      </c>
      <c r="D113" s="30" t="inlineStr"/>
      <c r="E113" s="30" t="inlineStr">
        <is>
          <t>VENTA AL POR MENOR DE ALIMENTOS, BEBIDAS Y TABACO EN ALMACENES ESPECIALIZADOS</t>
        </is>
      </c>
      <c r="F113" s="30" t="inlineStr">
        <is>
          <t>Cajamarca</t>
        </is>
      </c>
      <c r="G113" s="30" t="inlineStr">
        <is>
          <t>Jaén</t>
        </is>
      </c>
      <c r="H113" s="30" t="inlineStr">
        <is>
          <t>—</t>
        </is>
      </c>
      <c r="I113" s="30" t="inlineStr">
        <is>
          <t>—</t>
        </is>
      </c>
      <c r="J113" s="30" t="inlineStr">
        <is>
          <t>SI</t>
        </is>
      </c>
      <c r="K113" s="30" t="inlineStr">
        <is>
          <t>NO</t>
        </is>
      </c>
      <c r="L113" s="30" t="n">
        <v>69072.10000000001</v>
      </c>
      <c r="M113" s="30" t="n">
        <v>2485814.01</v>
      </c>
      <c r="N113" s="30" t="n">
        <v>28</v>
      </c>
      <c r="O113" s="30" t="n">
        <v>4</v>
      </c>
      <c r="P113" s="30" t="inlineStr"/>
      <c r="Q113" s="30" t="inlineStr"/>
      <c r="R113" s="14" t="inlineStr">
        <is>
          <t>2575.0</t>
        </is>
      </c>
      <c r="S113" s="30" t="inlineStr"/>
      <c r="T113" s="30" t="inlineStr"/>
      <c r="U113" s="14" t="inlineStr"/>
      <c r="V113" s="14" t="inlineStr">
        <is>
          <t>NO</t>
        </is>
      </c>
      <c r="W113" s="14" t="inlineStr">
        <is>
          <t>—</t>
        </is>
      </c>
      <c r="X113" s="14" t="inlineStr">
        <is>
          <t>—</t>
        </is>
      </c>
      <c r="Y113" s="14" t="inlineStr"/>
      <c r="Z113" s="30" t="inlineStr">
        <is>
          <t>—</t>
        </is>
      </c>
      <c r="AA113" s="30" t="b">
        <v>0</v>
      </c>
      <c r="AB113" s="30" t="b">
        <v>1</v>
      </c>
      <c r="AC113" s="30" t="b">
        <v>0</v>
      </c>
      <c r="AD113" s="30" t="inlineStr">
        <is>
          <t>NO</t>
        </is>
      </c>
      <c r="AE113" s="30" t="inlineStr"/>
      <c r="AF113" s="30" t="inlineStr"/>
      <c r="AG113" s="30" t="inlineStr"/>
      <c r="AH113" s="30" t="inlineStr"/>
      <c r="AI113" s="30" t="inlineStr"/>
      <c r="AJ113" s="30" t="inlineStr"/>
      <c r="AK113" s="30" t="inlineStr"/>
      <c r="AL113" s="30" t="inlineStr"/>
      <c r="AM113" s="30" t="inlineStr"/>
      <c r="AN113" s="30" t="n"/>
      <c r="AO113" s="30" t="inlineStr"/>
      <c r="AP113" s="30" t="inlineStr"/>
      <c r="AQ113" s="30" t="inlineStr"/>
      <c r="AR113" s="30" t="inlineStr"/>
      <c r="AS113" s="30" t="inlineStr"/>
      <c r="AT113" s="30" t="inlineStr"/>
      <c r="AU113" s="30" t="inlineStr"/>
      <c r="AV113" s="30" t="inlineStr"/>
      <c r="AW113" s="30" t="inlineStr"/>
      <c r="AX113" s="30" t="inlineStr"/>
      <c r="AY113" s="30" t="inlineStr">
        <is>
          <t>1</t>
        </is>
      </c>
      <c r="AZ113" s="30" t="inlineStr">
        <is>
          <t>sept-2026</t>
        </is>
      </c>
      <c r="BA113" t="inlineStr">
        <is>
          <t>GERMANY; GREECE; JAPAN; UNITED KINGDOM</t>
        </is>
      </c>
      <c r="BB113" t="n">
        <v>2017</v>
      </c>
      <c r="BC113" t="n">
        <v>2025</v>
      </c>
      <c r="BD113" s="81">
        <f>0</f>
        <v/>
      </c>
      <c r="BE113" s="81">
        <f>IFERROR((IF(ISNUMBER(T113),MIN(T113/30,1),0)+IF(ISNUMBER(P113),MIN(P113/500,1),0))/2,0)</f>
        <v/>
      </c>
      <c r="BF113" s="81">
        <f>IFERROR(IF(OR(U113&lt;&gt;"",V113="SÍ"),IF(ISNUMBER(L113),(1*MIN(L113/10000,1))^0.5,0),IF(ISNUMBER(L113),(0*MIN(L113/10000,1))^0.5,0)),0)</f>
        <v/>
      </c>
    </row>
    <row r="114">
      <c r="A114" t="inlineStr">
        <is>
          <t>MIDAGRI</t>
        </is>
      </c>
      <c r="B114" s="70" t="inlineStr">
        <is>
          <t>20607246051</t>
        </is>
      </c>
      <c r="C114" s="29" t="inlineStr">
        <is>
          <t>Cooperativa Agraria Café Sierra Andina</t>
        </is>
      </c>
      <c r="D114" s="29" t="inlineStr"/>
      <c r="E114" s="29" t="inlineStr">
        <is>
          <t>VENTA AL POR MENOR DE ALIMENTOS, BEBIDAS Y TABACO EN ALMACENES ESPECIALIZADOS</t>
        </is>
      </c>
      <c r="F114" s="29" t="inlineStr">
        <is>
          <t>Cajamarca</t>
        </is>
      </c>
      <c r="G114" s="29" t="inlineStr">
        <is>
          <t>Chota</t>
        </is>
      </c>
      <c r="H114" s="29" t="inlineStr">
        <is>
          <t>—</t>
        </is>
      </c>
      <c r="I114" s="29" t="inlineStr">
        <is>
          <t>—</t>
        </is>
      </c>
      <c r="J114" s="29" t="n"/>
      <c r="K114" s="29" t="inlineStr">
        <is>
          <t>NO</t>
        </is>
      </c>
      <c r="L114" s="29" t="n"/>
      <c r="M114" s="29" t="n"/>
      <c r="N114" s="29" t="n"/>
      <c r="O114" s="29" t="n"/>
      <c r="P114" s="29" t="inlineStr"/>
      <c r="Q114" s="29" t="inlineStr"/>
      <c r="R114" s="18" t="inlineStr">
        <is>
          <t>2575.0</t>
        </is>
      </c>
      <c r="S114" s="29" t="inlineStr"/>
      <c r="T114" s="29" t="inlineStr"/>
      <c r="U114" s="18" t="inlineStr"/>
      <c r="V114" s="18" t="inlineStr">
        <is>
          <t>NO</t>
        </is>
      </c>
      <c r="W114" s="18" t="inlineStr">
        <is>
          <t>—</t>
        </is>
      </c>
      <c r="X114" s="18" t="inlineStr">
        <is>
          <t>—</t>
        </is>
      </c>
      <c r="Y114" s="18" t="inlineStr"/>
      <c r="Z114" s="29" t="inlineStr">
        <is>
          <t>—</t>
        </is>
      </c>
      <c r="AA114" s="29" t="b">
        <v>0</v>
      </c>
      <c r="AB114" s="29" t="b">
        <v>1</v>
      </c>
      <c r="AC114" s="29" t="b">
        <v>0</v>
      </c>
      <c r="AD114" s="29" t="inlineStr">
        <is>
          <t>NO</t>
        </is>
      </c>
      <c r="AE114" s="29" t="inlineStr"/>
      <c r="AF114" s="29" t="inlineStr"/>
      <c r="AG114" s="29" t="inlineStr"/>
      <c r="AH114" s="29" t="inlineStr"/>
      <c r="AI114" s="29" t="inlineStr"/>
      <c r="AJ114" s="29" t="inlineStr"/>
      <c r="AK114" s="29" t="inlineStr"/>
      <c r="AL114" s="29" t="inlineStr"/>
      <c r="AM114" s="29" t="inlineStr"/>
      <c r="AN114" s="29" t="n"/>
      <c r="AO114" s="29" t="inlineStr"/>
      <c r="AP114" s="29" t="inlineStr"/>
      <c r="AQ114" s="29" t="inlineStr"/>
      <c r="AR114" s="29" t="inlineStr"/>
      <c r="AS114" s="29" t="inlineStr"/>
      <c r="AT114" s="29" t="inlineStr"/>
      <c r="AU114" s="29" t="inlineStr"/>
      <c r="AV114" s="29" t="inlineStr"/>
      <c r="AW114" s="29" t="inlineStr"/>
      <c r="AX114" s="29" t="inlineStr"/>
      <c r="AY114" s="29" t="inlineStr">
        <is>
          <t>1</t>
        </is>
      </c>
      <c r="AZ114" s="29" t="inlineStr">
        <is>
          <t>sept-2026</t>
        </is>
      </c>
      <c r="BD114" s="81">
        <f>0</f>
        <v/>
      </c>
      <c r="BE114" s="81">
        <f>IFERROR((IF(ISNUMBER(T114),MIN(T114/30,1),0)+IF(ISNUMBER(P114),MIN(P114/500,1),0))/2,0)</f>
        <v/>
      </c>
      <c r="BF114" s="81">
        <f>IFERROR(IF(OR(U114&lt;&gt;"",V114="SÍ"),IF(ISNUMBER(L114),(1*MIN(L114/10000,1))^0.5,0),IF(ISNUMBER(L114),(0*MIN(L114/10000,1))^0.5,0)),0)</f>
        <v/>
      </c>
    </row>
    <row r="115">
      <c r="A115" t="inlineStr">
        <is>
          <t>MIDAGRI; CENCOOP 2017</t>
        </is>
      </c>
      <c r="B115" s="70" t="inlineStr">
        <is>
          <t>20570630173</t>
        </is>
      </c>
      <c r="C115" s="30" t="inlineStr">
        <is>
          <t>Cooperativa Agraria Cedros Café Ltda.</t>
        </is>
      </c>
      <c r="D115" s="30" t="inlineStr"/>
      <c r="E115" s="30" t="inlineStr">
        <is>
          <t>VENTA AL POR MENOR DE ALIMENTOS, BEBIDAS Y TABACO EN ALMACENES ESPECIALIZADOS</t>
        </is>
      </c>
      <c r="F115" s="30" t="inlineStr">
        <is>
          <t>Cajamarca</t>
        </is>
      </c>
      <c r="G115" s="30" t="inlineStr">
        <is>
          <t>Jaén</t>
        </is>
      </c>
      <c r="H115" s="30" t="inlineStr">
        <is>
          <t>—</t>
        </is>
      </c>
      <c r="I115" s="30" t="inlineStr">
        <is>
          <t>—</t>
        </is>
      </c>
      <c r="J115" s="30" t="inlineStr">
        <is>
          <t>SI</t>
        </is>
      </c>
      <c r="K115" s="30" t="inlineStr">
        <is>
          <t>NO</t>
        </is>
      </c>
      <c r="L115" s="30" t="n">
        <v>2007652.36</v>
      </c>
      <c r="M115" s="30" t="n">
        <v>20840730.48</v>
      </c>
      <c r="N115" s="30" t="n">
        <v>146</v>
      </c>
      <c r="O115" s="30" t="n">
        <v>12</v>
      </c>
      <c r="P115" s="30" t="inlineStr"/>
      <c r="Q115" s="30" t="inlineStr"/>
      <c r="R115" s="14" t="inlineStr">
        <is>
          <t>2575.0</t>
        </is>
      </c>
      <c r="S115" s="30" t="inlineStr"/>
      <c r="T115" s="30" t="inlineStr"/>
      <c r="U115" s="14" t="inlineStr"/>
      <c r="V115" s="14" t="inlineStr">
        <is>
          <t>NO</t>
        </is>
      </c>
      <c r="W115" s="14" t="inlineStr">
        <is>
          <t>—</t>
        </is>
      </c>
      <c r="X115" s="14" t="inlineStr">
        <is>
          <t>—</t>
        </is>
      </c>
      <c r="Y115" s="14" t="inlineStr"/>
      <c r="Z115" s="30" t="inlineStr">
        <is>
          <t>—</t>
        </is>
      </c>
      <c r="AA115" s="30" t="b">
        <v>0</v>
      </c>
      <c r="AB115" s="30" t="b">
        <v>1</v>
      </c>
      <c r="AC115" s="30" t="b">
        <v>0</v>
      </c>
      <c r="AD115" s="19" t="inlineStr">
        <is>
          <t>SI</t>
        </is>
      </c>
      <c r="AE115" s="30" t="inlineStr">
        <is>
          <t>COOPERATIVA DE SERVICIOS MULTIPLES CEDROS CAFÉ</t>
        </is>
      </c>
      <c r="AF115" s="30" t="inlineStr">
        <is>
          <t>CAJAMARCA</t>
        </is>
      </c>
      <c r="AG115" s="30" t="inlineStr">
        <is>
          <t>JAEN</t>
        </is>
      </c>
      <c r="AH115" s="30" t="inlineStr">
        <is>
          <t>JAEN</t>
        </is>
      </c>
      <c r="AI115" s="30" t="inlineStr">
        <is>
          <t>JAEN</t>
        </is>
      </c>
      <c r="AJ115" s="30" t="inlineStr">
        <is>
          <t>CULTIVO DE OTRAS PLANTAS NO PERENNES</t>
        </is>
      </c>
      <c r="AK115" s="30" t="inlineStr">
        <is>
          <t>9.0</t>
        </is>
      </c>
      <c r="AL115" s="30" t="inlineStr">
        <is>
          <t>1.0</t>
        </is>
      </c>
      <c r="AM115" s="30" t="inlineStr">
        <is>
          <t>2.0</t>
        </is>
      </c>
      <c r="AN115" s="30" t="n">
        <v>4</v>
      </c>
      <c r="AO115" s="30" t="inlineStr">
        <is>
          <t>GARCIA GUERRERO PABLO</t>
        </is>
      </c>
      <c r="AP115" s="30" t="inlineStr">
        <is>
          <t>TECNICO AGROPECUARIO</t>
        </is>
      </c>
      <c r="AQ115" s="30" t="inlineStr">
        <is>
          <t>8.0</t>
        </is>
      </c>
      <c r="AR115" s="30" t="inlineStr">
        <is>
          <t>WWW.CEDROSCAFE.COM</t>
        </is>
      </c>
      <c r="AS115" s="30" t="inlineStr">
        <is>
          <t>JORGE@CEDROSCAFE.COM</t>
        </is>
      </c>
      <c r="AT115" s="30" t="inlineStr">
        <is>
          <t>976840802</t>
        </is>
      </c>
      <c r="AU115" s="30" t="inlineStr">
        <is>
          <t>-5.693743333333333</t>
        </is>
      </c>
      <c r="AV115" s="30" t="inlineStr">
        <is>
          <t>-78.80377166666668</t>
        </is>
      </c>
      <c r="AW115" s="30" t="inlineStr">
        <is>
          <t>2013.0</t>
        </is>
      </c>
      <c r="AX115" s="30" t="inlineStr">
        <is>
          <t>2013.0</t>
        </is>
      </c>
      <c r="AY115" s="30" t="inlineStr">
        <is>
          <t>1</t>
        </is>
      </c>
      <c r="AZ115" s="30" t="inlineStr">
        <is>
          <t>sept-2026</t>
        </is>
      </c>
      <c r="BA115" t="inlineStr">
        <is>
          <t>AUSTRALIA; BELGIUM; CANADA; FRANCE; GERMANY; NETHERLANDS; PORTUGAL; SPAIN; SWEDEN; TAIWAN, PROVINCE OF CHINA; UNITED KINGDOM; UNITED STATES</t>
        </is>
      </c>
      <c r="BB115" t="n">
        <v>2014</v>
      </c>
      <c r="BC115" t="n">
        <v>2025</v>
      </c>
      <c r="BD115" s="81">
        <f>0</f>
        <v/>
      </c>
      <c r="BE115" s="81">
        <f>IFERROR((IF(ISNUMBER(T115),MIN(T115/30,1),0)+IF(ISNUMBER(P115),MIN(P115/500,1),0))/2,0)</f>
        <v/>
      </c>
      <c r="BF115" s="81">
        <f>IFERROR(IF(OR(U115&lt;&gt;"",V115="SÍ"),IF(ISNUMBER(L115),(1*MIN(L115/10000,1))^0.5,0),IF(ISNUMBER(L115),(0*MIN(L115/10000,1))^0.5,0)),0)</f>
        <v/>
      </c>
    </row>
    <row r="116">
      <c r="A116" t="inlineStr">
        <is>
          <t>MIDAGRI</t>
        </is>
      </c>
      <c r="B116" s="70" t="inlineStr">
        <is>
          <t>20605600485</t>
        </is>
      </c>
      <c r="C116" s="29" t="inlineStr">
        <is>
          <t>Cooperativa Agraria Colinas del Santuario</t>
        </is>
      </c>
      <c r="D116" s="29" t="inlineStr"/>
      <c r="E116" s="29" t="inlineStr">
        <is>
          <t>VENTA AL POR MENOR DE ALIMENTOS, BEBIDAS Y TABACO EN ALMACENES ESPECIALIZADOS</t>
        </is>
      </c>
      <c r="F116" s="29" t="inlineStr">
        <is>
          <t>Cajamarca</t>
        </is>
      </c>
      <c r="G116" s="29" t="inlineStr">
        <is>
          <t>Jaén</t>
        </is>
      </c>
      <c r="H116" s="29" t="inlineStr">
        <is>
          <t>—</t>
        </is>
      </c>
      <c r="I116" s="29" t="inlineStr">
        <is>
          <t>—</t>
        </is>
      </c>
      <c r="J116" s="29" t="inlineStr">
        <is>
          <t>SI</t>
        </is>
      </c>
      <c r="K116" s="29" t="inlineStr">
        <is>
          <t>NO</t>
        </is>
      </c>
      <c r="L116" s="29" t="n">
        <v>0</v>
      </c>
      <c r="M116" s="29" t="n">
        <v>78421.03999999999</v>
      </c>
      <c r="N116" s="29" t="n">
        <v>2</v>
      </c>
      <c r="O116" s="29" t="n">
        <v>2</v>
      </c>
      <c r="P116" s="29" t="inlineStr"/>
      <c r="Q116" s="29" t="inlineStr"/>
      <c r="R116" s="18" t="inlineStr">
        <is>
          <t>2575.0</t>
        </is>
      </c>
      <c r="S116" s="29" t="inlineStr"/>
      <c r="T116" s="29" t="inlineStr"/>
      <c r="U116" s="18" t="inlineStr"/>
      <c r="V116" s="18" t="inlineStr">
        <is>
          <t>NO</t>
        </is>
      </c>
      <c r="W116" s="18" t="inlineStr">
        <is>
          <t>—</t>
        </is>
      </c>
      <c r="X116" s="18" t="inlineStr">
        <is>
          <t>—</t>
        </is>
      </c>
      <c r="Y116" s="18" t="inlineStr"/>
      <c r="Z116" s="29" t="inlineStr">
        <is>
          <t>—</t>
        </is>
      </c>
      <c r="AA116" s="29" t="b">
        <v>0</v>
      </c>
      <c r="AB116" s="29" t="b">
        <v>1</v>
      </c>
      <c r="AC116" s="29" t="b">
        <v>0</v>
      </c>
      <c r="AD116" s="29" t="inlineStr">
        <is>
          <t>NO</t>
        </is>
      </c>
      <c r="AE116" s="29" t="inlineStr"/>
      <c r="AF116" s="29" t="inlineStr"/>
      <c r="AG116" s="29" t="inlineStr"/>
      <c r="AH116" s="29" t="inlineStr"/>
      <c r="AI116" s="29" t="inlineStr"/>
      <c r="AJ116" s="29" t="inlineStr"/>
      <c r="AK116" s="29" t="inlineStr"/>
      <c r="AL116" s="29" t="inlineStr"/>
      <c r="AM116" s="29" t="inlineStr"/>
      <c r="AN116" s="29" t="n"/>
      <c r="AO116" s="29" t="inlineStr"/>
      <c r="AP116" s="29" t="inlineStr"/>
      <c r="AQ116" s="29" t="inlineStr"/>
      <c r="AR116" s="29" t="inlineStr"/>
      <c r="AS116" s="29" t="inlineStr"/>
      <c r="AT116" s="29" t="inlineStr"/>
      <c r="AU116" s="29" t="inlineStr"/>
      <c r="AV116" s="29" t="inlineStr"/>
      <c r="AW116" s="29" t="inlineStr"/>
      <c r="AX116" s="29" t="inlineStr"/>
      <c r="AY116" s="29" t="inlineStr">
        <is>
          <t>1</t>
        </is>
      </c>
      <c r="AZ116" s="29" t="inlineStr">
        <is>
          <t>sept-2026</t>
        </is>
      </c>
      <c r="BA116" t="inlineStr">
        <is>
          <t>FRANCE; TAIWAN, PROVINCE OF CHINA</t>
        </is>
      </c>
      <c r="BB116" t="n">
        <v>2025</v>
      </c>
      <c r="BC116" t="n">
        <v>2025</v>
      </c>
      <c r="BD116" s="81">
        <f>0</f>
        <v/>
      </c>
      <c r="BE116" s="81">
        <f>IFERROR((IF(ISNUMBER(T116),MIN(T116/30,1),0)+IF(ISNUMBER(P116),MIN(P116/500,1),0))/2,0)</f>
        <v/>
      </c>
      <c r="BF116" s="81">
        <f>IFERROR(IF(OR(U116&lt;&gt;"",V116="SÍ"),IF(ISNUMBER(L116),(1*MIN(L116/10000,1))^0.5,0),IF(ISNUMBER(L116),(0*MIN(L116/10000,1))^0.5,0)),0)</f>
        <v/>
      </c>
    </row>
    <row r="117">
      <c r="A117" t="inlineStr">
        <is>
          <t>MIDAGRI; SISPAC</t>
        </is>
      </c>
      <c r="B117" s="70" t="inlineStr">
        <is>
          <t>20607536016</t>
        </is>
      </c>
      <c r="C117" s="30" t="inlineStr">
        <is>
          <t>Cooperativa Agraria Coopagro Ltda.</t>
        </is>
      </c>
      <c r="D117" s="30" t="inlineStr"/>
      <c r="E117" s="30" t="inlineStr">
        <is>
          <t>VENTA AL POR MENOR DE ALIMENTOS, BEBIDAS Y TABACO EN ALMACENES ESPECIALIZADOS</t>
        </is>
      </c>
      <c r="F117" s="30" t="inlineStr">
        <is>
          <t>Cajamarca</t>
        </is>
      </c>
      <c r="G117" s="30" t="inlineStr">
        <is>
          <t>Jaén</t>
        </is>
      </c>
      <c r="H117" s="30" t="inlineStr">
        <is>
          <t>—</t>
        </is>
      </c>
      <c r="I117" s="30" t="inlineStr">
        <is>
          <t>—</t>
        </is>
      </c>
      <c r="J117" s="30" t="inlineStr">
        <is>
          <t>SI</t>
        </is>
      </c>
      <c r="K117" s="30" t="inlineStr">
        <is>
          <t>NO</t>
        </is>
      </c>
      <c r="L117" s="30" t="n">
        <v>1022648.33</v>
      </c>
      <c r="M117" s="30" t="n">
        <v>10291868.05</v>
      </c>
      <c r="N117" s="30" t="n">
        <v>65</v>
      </c>
      <c r="O117" s="30" t="n">
        <v>14</v>
      </c>
      <c r="P117" s="30" t="inlineStr"/>
      <c r="Q117" s="30" t="inlineStr"/>
      <c r="R117" s="14" t="inlineStr">
        <is>
          <t>2575.0</t>
        </is>
      </c>
      <c r="S117" s="30" t="inlineStr"/>
      <c r="T117" s="30" t="inlineStr"/>
      <c r="U117" s="14" t="inlineStr"/>
      <c r="V117" s="14" t="inlineStr">
        <is>
          <t>NO</t>
        </is>
      </c>
      <c r="W117" s="14" t="inlineStr">
        <is>
          <t>—</t>
        </is>
      </c>
      <c r="X117" s="14" t="inlineStr">
        <is>
          <t>—</t>
        </is>
      </c>
      <c r="Y117" s="14" t="inlineStr"/>
      <c r="Z117" s="30" t="inlineStr">
        <is>
          <t>—</t>
        </is>
      </c>
      <c r="AA117" s="30" t="b">
        <v>0</v>
      </c>
      <c r="AB117" s="30" t="b">
        <v>1</v>
      </c>
      <c r="AC117" s="30" t="b">
        <v>0</v>
      </c>
      <c r="AD117" s="30" t="inlineStr">
        <is>
          <t>NO</t>
        </is>
      </c>
      <c r="AE117" s="30" t="inlineStr"/>
      <c r="AF117" s="30" t="inlineStr"/>
      <c r="AG117" s="30" t="inlineStr"/>
      <c r="AH117" s="30" t="inlineStr"/>
      <c r="AI117" s="30" t="inlineStr"/>
      <c r="AJ117" s="30" t="inlineStr"/>
      <c r="AK117" s="30" t="inlineStr"/>
      <c r="AL117" s="30" t="inlineStr"/>
      <c r="AM117" s="30" t="inlineStr"/>
      <c r="AN117" s="30" t="n"/>
      <c r="AO117" s="30" t="inlineStr"/>
      <c r="AP117" s="30" t="inlineStr"/>
      <c r="AQ117" s="30" t="inlineStr"/>
      <c r="AR117" s="30" t="inlineStr"/>
      <c r="AS117" s="30" t="inlineStr"/>
      <c r="AT117" s="30" t="inlineStr"/>
      <c r="AU117" s="30" t="inlineStr"/>
      <c r="AV117" s="30" t="inlineStr"/>
      <c r="AW117" s="30" t="inlineStr"/>
      <c r="AX117" s="30" t="inlineStr"/>
      <c r="AY117" s="30" t="inlineStr">
        <is>
          <t>1</t>
        </is>
      </c>
      <c r="AZ117" s="30" t="inlineStr">
        <is>
          <t>sept-2026</t>
        </is>
      </c>
      <c r="BA117" t="inlineStr">
        <is>
          <t>AUSTRALIA; BELGIUM; CANADA; FRANCE; GERMANY; GUADELOUPE; ITALY; MEXICO; NETHERLANDS; NEW ZEALAND; SPAIN; SWEDEN; UNITED KINGDOM; UNITED STATES</t>
        </is>
      </c>
      <c r="BB117" t="n">
        <v>2021</v>
      </c>
      <c r="BC117" t="n">
        <v>2025</v>
      </c>
      <c r="BD117" s="81">
        <f>0</f>
        <v/>
      </c>
      <c r="BE117" s="81">
        <f>IFERROR((IF(ISNUMBER(T117),MIN(T117/30,1),0)+IF(ISNUMBER(P117),MIN(P117/500,1),0))/2,0)</f>
        <v/>
      </c>
      <c r="BF117" s="81">
        <f>IFERROR(IF(OR(U117&lt;&gt;"",V117="SÍ"),IF(ISNUMBER(L117),(1*MIN(L117/10000,1))^0.5,0),IF(ISNUMBER(L117),(0*MIN(L117/10000,1))^0.5,0)),0)</f>
        <v/>
      </c>
    </row>
    <row r="118">
      <c r="A118" t="inlineStr">
        <is>
          <t>MIDAGRI</t>
        </is>
      </c>
      <c r="B118" s="70" t="inlineStr">
        <is>
          <t>20610993801</t>
        </is>
      </c>
      <c r="C118" s="29" t="inlineStr">
        <is>
          <t>Cooperativa Agraria De Mujeres Campesinas Indigenas Y Nativas Del Nor Oriente Peruano "COMUNORP"</t>
        </is>
      </c>
      <c r="D118" s="29" t="inlineStr"/>
      <c r="E118" s="29" t="inlineStr">
        <is>
          <t>VENTA AL POR MENOR DE ALIMENTOS, BEBIDAS Y TABACO EN ALMACENES ESPECIALIZADOS</t>
        </is>
      </c>
      <c r="F118" s="29" t="inlineStr">
        <is>
          <t>Cajamarca</t>
        </is>
      </c>
      <c r="G118" s="29" t="inlineStr">
        <is>
          <t>Jaén</t>
        </is>
      </c>
      <c r="H118" s="29" t="inlineStr">
        <is>
          <t>—</t>
        </is>
      </c>
      <c r="I118" s="29" t="inlineStr">
        <is>
          <t>—</t>
        </is>
      </c>
      <c r="J118" s="29" t="n"/>
      <c r="K118" s="29" t="inlineStr">
        <is>
          <t>NO</t>
        </is>
      </c>
      <c r="L118" s="29" t="n"/>
      <c r="M118" s="29" t="n"/>
      <c r="N118" s="29" t="n"/>
      <c r="O118" s="29" t="n"/>
      <c r="P118" s="29" t="inlineStr"/>
      <c r="Q118" s="29" t="inlineStr"/>
      <c r="R118" s="18" t="inlineStr">
        <is>
          <t>2575.0</t>
        </is>
      </c>
      <c r="S118" s="29" t="inlineStr"/>
      <c r="T118" s="29" t="inlineStr"/>
      <c r="U118" s="18" t="inlineStr"/>
      <c r="V118" s="18" t="inlineStr">
        <is>
          <t>NO</t>
        </is>
      </c>
      <c r="W118" s="18" t="inlineStr">
        <is>
          <t>—</t>
        </is>
      </c>
      <c r="X118" s="18" t="inlineStr">
        <is>
          <t>—</t>
        </is>
      </c>
      <c r="Y118" s="18" t="inlineStr"/>
      <c r="Z118" s="29" t="inlineStr">
        <is>
          <t>—</t>
        </is>
      </c>
      <c r="AA118" s="29" t="b">
        <v>0</v>
      </c>
      <c r="AB118" s="29" t="b">
        <v>1</v>
      </c>
      <c r="AC118" s="29" t="b">
        <v>0</v>
      </c>
      <c r="AD118" s="29" t="inlineStr">
        <is>
          <t>NO</t>
        </is>
      </c>
      <c r="AE118" s="29" t="inlineStr"/>
      <c r="AF118" s="29" t="inlineStr"/>
      <c r="AG118" s="29" t="inlineStr"/>
      <c r="AH118" s="29" t="inlineStr"/>
      <c r="AI118" s="29" t="inlineStr"/>
      <c r="AJ118" s="29" t="inlineStr"/>
      <c r="AK118" s="29" t="inlineStr"/>
      <c r="AL118" s="29" t="inlineStr"/>
      <c r="AM118" s="29" t="inlineStr"/>
      <c r="AN118" s="29" t="n"/>
      <c r="AO118" s="29" t="inlineStr"/>
      <c r="AP118" s="29" t="inlineStr"/>
      <c r="AQ118" s="29" t="inlineStr"/>
      <c r="AR118" s="29" t="inlineStr"/>
      <c r="AS118" s="29" t="inlineStr"/>
      <c r="AT118" s="29" t="inlineStr"/>
      <c r="AU118" s="29" t="inlineStr"/>
      <c r="AV118" s="29" t="inlineStr"/>
      <c r="AW118" s="29" t="inlineStr"/>
      <c r="AX118" s="29" t="inlineStr"/>
      <c r="AY118" s="29" t="inlineStr">
        <is>
          <t>1</t>
        </is>
      </c>
      <c r="AZ118" s="29" t="inlineStr">
        <is>
          <t>sept-2026</t>
        </is>
      </c>
      <c r="BD118" s="81">
        <f>0</f>
        <v/>
      </c>
      <c r="BE118" s="81">
        <f>IFERROR((IF(ISNUMBER(T118),MIN(T118/30,1),0)+IF(ISNUMBER(P118),MIN(P118/500,1),0))/2,0)</f>
        <v/>
      </c>
      <c r="BF118" s="81">
        <f>IFERROR(IF(OR(U118&lt;&gt;"",V118="SÍ"),IF(ISNUMBER(L118),(1*MIN(L118/10000,1))^0.5,0),IF(ISNUMBER(L118),(0*MIN(L118/10000,1))^0.5,0)),0)</f>
        <v/>
      </c>
    </row>
    <row r="119">
      <c r="A119" t="inlineStr">
        <is>
          <t>MIDAGRI; CENACOOP; CENCOOP 2017; SISPAC</t>
        </is>
      </c>
      <c r="B119" s="70" t="inlineStr">
        <is>
          <t>20542380455</t>
        </is>
      </c>
      <c r="C119" s="30" t="inlineStr">
        <is>
          <t>Cooperativa Agraria Ecoforest</t>
        </is>
      </c>
      <c r="D119" s="30" t="inlineStr"/>
      <c r="E119" s="30" t="inlineStr">
        <is>
          <t>VENTA AL POR MENOR DE ALIMENTOS, BEBIDAS Y TABACO EN ALMACENES ESPECIALIZADOS</t>
        </is>
      </c>
      <c r="F119" s="30" t="inlineStr">
        <is>
          <t>Cajamarca</t>
        </is>
      </c>
      <c r="G119" s="30" t="inlineStr">
        <is>
          <t>Jaén</t>
        </is>
      </c>
      <c r="H119" s="30" t="inlineStr">
        <is>
          <t>—</t>
        </is>
      </c>
      <c r="I119" s="30" t="inlineStr">
        <is>
          <t>—</t>
        </is>
      </c>
      <c r="J119" s="17" t="inlineStr">
        <is>
          <t>SI</t>
        </is>
      </c>
      <c r="K119" s="30" t="inlineStr">
        <is>
          <t>SÍ</t>
        </is>
      </c>
      <c r="L119" s="30" t="n">
        <v>5929449.76</v>
      </c>
      <c r="M119" s="30" t="n">
        <v>33083308.37</v>
      </c>
      <c r="N119" s="30" t="n">
        <v>137</v>
      </c>
      <c r="O119" s="30" t="n">
        <v>13</v>
      </c>
      <c r="P119" s="30" t="inlineStr"/>
      <c r="Q119" s="30" t="inlineStr"/>
      <c r="R119" s="14" t="inlineStr">
        <is>
          <t>2575.0</t>
        </is>
      </c>
      <c r="S119" s="30" t="inlineStr"/>
      <c r="T119" s="30" t="inlineStr"/>
      <c r="U119" s="14" t="inlineStr"/>
      <c r="V119" s="14" t="inlineStr">
        <is>
          <t>NO</t>
        </is>
      </c>
      <c r="W119" s="14" t="inlineStr">
        <is>
          <t>—</t>
        </is>
      </c>
      <c r="X119" s="14" t="inlineStr">
        <is>
          <t>—</t>
        </is>
      </c>
      <c r="Y119" s="14" t="inlineStr"/>
      <c r="Z119" s="30" t="inlineStr">
        <is>
          <t>—</t>
        </is>
      </c>
      <c r="AA119" s="30" t="b">
        <v>0</v>
      </c>
      <c r="AB119" s="30" t="b">
        <v>1</v>
      </c>
      <c r="AC119" s="30" t="b">
        <v>1</v>
      </c>
      <c r="AD119" s="19" t="inlineStr">
        <is>
          <t>SI</t>
        </is>
      </c>
      <c r="AE119" s="30" t="inlineStr">
        <is>
          <t>COOPERATIVA DE SERVICIOS MULTIPLES ECOFOREST LTDA.</t>
        </is>
      </c>
      <c r="AF119" s="30" t="inlineStr">
        <is>
          <t>CAJAMARCA</t>
        </is>
      </c>
      <c r="AG119" s="30" t="inlineStr">
        <is>
          <t>JAEN</t>
        </is>
      </c>
      <c r="AH119" s="30" t="inlineStr">
        <is>
          <t>JAEN</t>
        </is>
      </c>
      <c r="AI119" s="30" t="inlineStr">
        <is>
          <t>PUEBLO LIBRE</t>
        </is>
      </c>
      <c r="AJ119" s="30" t="inlineStr">
        <is>
          <t>VENTA AL POR MAYOR DE ALIMENTOS, BEBIDAS Y TABACO.</t>
        </is>
      </c>
      <c r="AK119" s="30" t="inlineStr">
        <is>
          <t>9.0</t>
        </is>
      </c>
      <c r="AL119" s="30" t="inlineStr">
        <is>
          <t>1.0</t>
        </is>
      </c>
      <c r="AM119" s="30" t="inlineStr">
        <is>
          <t>2.0</t>
        </is>
      </c>
      <c r="AN119" s="30" t="n">
        <v>4</v>
      </c>
      <c r="AO119" s="30" t="inlineStr">
        <is>
          <t>MORALES CARRION DIONICIO</t>
        </is>
      </c>
      <c r="AP119" s="30" t="inlineStr">
        <is>
          <t>ADMINISTRADOR</t>
        </is>
      </c>
      <c r="AQ119" s="30" t="inlineStr">
        <is>
          <t>10.0</t>
        </is>
      </c>
      <c r="AR119" s="30" t="inlineStr">
        <is>
          <t>NO TIENE</t>
        </is>
      </c>
      <c r="AS119" s="30" t="inlineStr">
        <is>
          <t>COOPERATIVAECOFOREST@OUTLOOK.COM</t>
        </is>
      </c>
      <c r="AT119" s="30" t="inlineStr">
        <is>
          <t>956644122</t>
        </is>
      </c>
      <c r="AU119" s="30" t="inlineStr">
        <is>
          <t>-5.6972016666666665</t>
        </is>
      </c>
      <c r="AV119" s="30" t="inlineStr">
        <is>
          <t>-78.80666166666667</t>
        </is>
      </c>
      <c r="AW119" s="30" t="inlineStr">
        <is>
          <t>2013.0</t>
        </is>
      </c>
      <c r="AX119" s="30" t="inlineStr">
        <is>
          <t>2013.0</t>
        </is>
      </c>
      <c r="AY119" s="30" t="inlineStr">
        <is>
          <t>2</t>
        </is>
      </c>
      <c r="AZ119" s="30" t="inlineStr">
        <is>
          <t>sept-2026</t>
        </is>
      </c>
      <c r="BA119" t="inlineStr">
        <is>
          <t>BELGIUM; CANADA; DENMARK; FRANCE; GERMANY; ITALY; JAPAN; QATAR; SPAIN; SWEDEN; TURKEY; UNITED KINGDOM; UNITED STATES</t>
        </is>
      </c>
      <c r="BB119" t="n">
        <v>2015</v>
      </c>
      <c r="BC119" t="n">
        <v>2025</v>
      </c>
      <c r="BD119" s="81">
        <f>0</f>
        <v/>
      </c>
      <c r="BE119" s="81">
        <f>IFERROR((IF(ISNUMBER(T119),MIN(T119/30,1),0)+IF(ISNUMBER(P119),MIN(P119/500,1),0))/2,0)</f>
        <v/>
      </c>
      <c r="BF119" s="81">
        <f>IFERROR(IF(OR(U119&lt;&gt;"",V119="SÍ"),IF(ISNUMBER(L119),(1*MIN(L119/10000,1))^0.5,0),IF(ISNUMBER(L119),(0*MIN(L119/10000,1))^0.5,0)),0)</f>
        <v/>
      </c>
    </row>
    <row r="120">
      <c r="A120" t="inlineStr">
        <is>
          <t>MIDAGRI; CENACOOP; CENCOOP 2017</t>
        </is>
      </c>
      <c r="B120" s="70" t="inlineStr">
        <is>
          <t>20113940515</t>
        </is>
      </c>
      <c r="C120" s="29" t="inlineStr">
        <is>
          <t>Cooperativa Agraria Frontera San Ignacio Ltda.</t>
        </is>
      </c>
      <c r="D120" s="29" t="inlineStr"/>
      <c r="E120" s="29" t="inlineStr">
        <is>
          <t>VENTA AL POR MENOR DE ALIMENTOS, BEBIDAS Y TABACO EN ALMACENES ESPECIALIZADOS</t>
        </is>
      </c>
      <c r="F120" s="29" t="inlineStr">
        <is>
          <t>Cajamarca</t>
        </is>
      </c>
      <c r="G120" s="29" t="inlineStr">
        <is>
          <t>San Ignacio</t>
        </is>
      </c>
      <c r="H120" s="29" t="inlineStr">
        <is>
          <t>—</t>
        </is>
      </c>
      <c r="I120" s="29" t="inlineStr">
        <is>
          <t>—</t>
        </is>
      </c>
      <c r="J120" s="17" t="inlineStr">
        <is>
          <t>SI</t>
        </is>
      </c>
      <c r="K120" s="29" t="inlineStr">
        <is>
          <t>SÍ</t>
        </is>
      </c>
      <c r="L120" s="29" t="n">
        <v>5522854.16</v>
      </c>
      <c r="M120" s="29" t="n">
        <v>63989238.69</v>
      </c>
      <c r="N120" s="29" t="n">
        <v>342</v>
      </c>
      <c r="O120" s="29" t="n">
        <v>15</v>
      </c>
      <c r="P120" s="29" t="inlineStr"/>
      <c r="Q120" s="29" t="inlineStr"/>
      <c r="R120" s="18" t="inlineStr">
        <is>
          <t>6437500.0</t>
        </is>
      </c>
      <c r="S120" s="29" t="inlineStr"/>
      <c r="T120" s="29" t="inlineStr"/>
      <c r="U120" s="18" t="inlineStr"/>
      <c r="V120" s="18" t="inlineStr">
        <is>
          <t>NO</t>
        </is>
      </c>
      <c r="W120" s="18" t="inlineStr">
        <is>
          <t>—</t>
        </is>
      </c>
      <c r="X120" s="18" t="inlineStr">
        <is>
          <t>—</t>
        </is>
      </c>
      <c r="Y120" s="18" t="inlineStr"/>
      <c r="Z120" s="29" t="inlineStr">
        <is>
          <t>—</t>
        </is>
      </c>
      <c r="AA120" s="29" t="b">
        <v>0</v>
      </c>
      <c r="AB120" s="29" t="b">
        <v>1</v>
      </c>
      <c r="AC120" s="29" t="b">
        <v>1</v>
      </c>
      <c r="AD120" s="19" t="inlineStr">
        <is>
          <t>SI</t>
        </is>
      </c>
      <c r="AE120" s="29" t="inlineStr">
        <is>
          <t>COOPERATIVA AGRARIA FRONTERA SAN IGNACIO LTDA.</t>
        </is>
      </c>
      <c r="AF120" s="29" t="inlineStr">
        <is>
          <t>CAJAMARCA</t>
        </is>
      </c>
      <c r="AG120" s="29" t="inlineStr">
        <is>
          <t>SAN IGNACIO</t>
        </is>
      </c>
      <c r="AH120" s="29" t="inlineStr">
        <is>
          <t>SAN IGNACIO</t>
        </is>
      </c>
      <c r="AI120" s="29" t="inlineStr">
        <is>
          <t>SAN IGNACIO</t>
        </is>
      </c>
      <c r="AJ120" s="29" t="inlineStr">
        <is>
          <t>CULTIVO DE PRODUCTOS AGRÌCOLAS EN COMBINACIÒN CON LA CRÌA DE ANIMALES</t>
        </is>
      </c>
      <c r="AK120" s="29" t="inlineStr">
        <is>
          <t>1.0</t>
        </is>
      </c>
      <c r="AL120" s="29" t="inlineStr">
        <is>
          <t>1.0</t>
        </is>
      </c>
      <c r="AM120" s="29" t="inlineStr">
        <is>
          <t>3.0</t>
        </is>
      </c>
      <c r="AN120" s="29" t="n">
        <v>48</v>
      </c>
      <c r="AO120" s="29" t="inlineStr">
        <is>
          <t>PINTADO CHINCHAY PABLO</t>
        </is>
      </c>
      <c r="AP120" s="29" t="inlineStr">
        <is>
          <t>CONTADOR</t>
        </is>
      </c>
      <c r="AQ120" s="29" t="inlineStr">
        <is>
          <t>10.0</t>
        </is>
      </c>
      <c r="AR120" s="29" t="inlineStr">
        <is>
          <t>NO TIENE</t>
        </is>
      </c>
      <c r="AS120" s="29" t="inlineStr">
        <is>
          <t>GERENCI@COOPAFSI.COM</t>
        </is>
      </c>
      <c r="AT120" s="29" t="inlineStr">
        <is>
          <t>NO TIENE</t>
        </is>
      </c>
      <c r="AU120" s="29" t="inlineStr">
        <is>
          <t>-5.1447650000000005</t>
        </is>
      </c>
      <c r="AV120" s="29" t="inlineStr">
        <is>
          <t>-78.99950333333332</t>
        </is>
      </c>
      <c r="AW120" s="29" t="inlineStr">
        <is>
          <t>1969.0</t>
        </is>
      </c>
      <c r="AX120" s="29" t="inlineStr">
        <is>
          <t>1969.0</t>
        </is>
      </c>
      <c r="AY120" s="29" t="inlineStr">
        <is>
          <t>2</t>
        </is>
      </c>
      <c r="AZ120" s="29" t="inlineStr">
        <is>
          <t>sept-2026</t>
        </is>
      </c>
      <c r="BA120" t="inlineStr">
        <is>
          <t>AUSTRALIA; BELGIUM; CANADA; DENMARK; GERMANY; IRELAND; ITALY; MEXICO; NETHERLANDS; NORWAY; SINGAPORE; SPAIN; SWEDEN; UNITED KINGDOM; UNITED STATES</t>
        </is>
      </c>
      <c r="BB120" t="n">
        <v>2010</v>
      </c>
      <c r="BC120" t="n">
        <v>2025</v>
      </c>
      <c r="BD120" s="81">
        <f>0</f>
        <v/>
      </c>
      <c r="BE120" s="81">
        <f>IFERROR((IF(ISNUMBER(T120),MIN(T120/30,1),0)+IF(ISNUMBER(P120),MIN(P120/500,1),0))/2,0)</f>
        <v/>
      </c>
      <c r="BF120" s="81">
        <f>IFERROR(IF(OR(U120&lt;&gt;"",V120="SÍ"),IF(ISNUMBER(L120),(1*MIN(L120/10000,1))^0.5,0),IF(ISNUMBER(L120),(0*MIN(L120/10000,1))^0.5,0)),0)</f>
        <v/>
      </c>
    </row>
    <row r="121">
      <c r="A121" t="inlineStr">
        <is>
          <t>MIDAGRI</t>
        </is>
      </c>
      <c r="B121" s="70" t="inlineStr">
        <is>
          <t>20604774277</t>
        </is>
      </c>
      <c r="C121" s="30" t="inlineStr">
        <is>
          <t>Cooperativa Agraria Norcafe Perú</t>
        </is>
      </c>
      <c r="D121" s="30" t="inlineStr"/>
      <c r="E121" s="30" t="inlineStr">
        <is>
          <t>VENTA AL POR MENOR DE ALIMENTOS, BEBIDAS Y TABACO EN ALMACENES ESPECIALIZADOS</t>
        </is>
      </c>
      <c r="F121" s="30" t="inlineStr">
        <is>
          <t>Cajamarca</t>
        </is>
      </c>
      <c r="G121" s="30" t="inlineStr">
        <is>
          <t>Jaén</t>
        </is>
      </c>
      <c r="H121" s="30" t="inlineStr">
        <is>
          <t>—</t>
        </is>
      </c>
      <c r="I121" s="30" t="inlineStr">
        <is>
          <t>—</t>
        </is>
      </c>
      <c r="J121" s="30" t="inlineStr">
        <is>
          <t>SI</t>
        </is>
      </c>
      <c r="K121" s="30" t="inlineStr">
        <is>
          <t>NO</t>
        </is>
      </c>
      <c r="L121" s="30" t="n">
        <v>441974.02</v>
      </c>
      <c r="M121" s="30" t="n">
        <v>10194274.19</v>
      </c>
      <c r="N121" s="30" t="n">
        <v>81</v>
      </c>
      <c r="O121" s="30" t="n">
        <v>8</v>
      </c>
      <c r="P121" s="30" t="inlineStr"/>
      <c r="Q121" s="30" t="inlineStr"/>
      <c r="R121" s="14" t="inlineStr">
        <is>
          <t>2575.0</t>
        </is>
      </c>
      <c r="S121" s="30" t="inlineStr"/>
      <c r="T121" s="30" t="inlineStr"/>
      <c r="U121" s="14" t="inlineStr"/>
      <c r="V121" s="14" t="inlineStr">
        <is>
          <t>NO</t>
        </is>
      </c>
      <c r="W121" s="14" t="inlineStr">
        <is>
          <t>—</t>
        </is>
      </c>
      <c r="X121" s="14" t="inlineStr">
        <is>
          <t>—</t>
        </is>
      </c>
      <c r="Y121" s="14" t="inlineStr"/>
      <c r="Z121" s="30" t="inlineStr">
        <is>
          <t>—</t>
        </is>
      </c>
      <c r="AA121" s="30" t="b">
        <v>0</v>
      </c>
      <c r="AB121" s="30" t="b">
        <v>1</v>
      </c>
      <c r="AC121" s="30" t="b">
        <v>0</v>
      </c>
      <c r="AD121" s="30" t="inlineStr">
        <is>
          <t>NO</t>
        </is>
      </c>
      <c r="AE121" s="30" t="inlineStr"/>
      <c r="AF121" s="30" t="inlineStr"/>
      <c r="AG121" s="30" t="inlineStr"/>
      <c r="AH121" s="30" t="inlineStr"/>
      <c r="AI121" s="30" t="inlineStr"/>
      <c r="AJ121" s="30" t="inlineStr"/>
      <c r="AK121" s="30" t="inlineStr"/>
      <c r="AL121" s="30" t="inlineStr"/>
      <c r="AM121" s="30" t="inlineStr"/>
      <c r="AN121" s="30" t="n"/>
      <c r="AO121" s="30" t="inlineStr"/>
      <c r="AP121" s="30" t="inlineStr"/>
      <c r="AQ121" s="30" t="inlineStr"/>
      <c r="AR121" s="30" t="inlineStr"/>
      <c r="AS121" s="30" t="inlineStr"/>
      <c r="AT121" s="30" t="inlineStr"/>
      <c r="AU121" s="30" t="inlineStr"/>
      <c r="AV121" s="30" t="inlineStr"/>
      <c r="AW121" s="30" t="inlineStr"/>
      <c r="AX121" s="30" t="inlineStr"/>
      <c r="AY121" s="30" t="inlineStr">
        <is>
          <t>1</t>
        </is>
      </c>
      <c r="AZ121" s="30" t="inlineStr">
        <is>
          <t>sept-2026</t>
        </is>
      </c>
      <c r="BA121" t="inlineStr">
        <is>
          <t>BELGIUM; CANADA; FRANCE; GERMANY; MEXICO; NETHERLANDS; SPAIN; UNITED STATES</t>
        </is>
      </c>
      <c r="BB121" t="n">
        <v>2019</v>
      </c>
      <c r="BC121" t="n">
        <v>2024</v>
      </c>
      <c r="BD121" s="81">
        <f>0</f>
        <v/>
      </c>
      <c r="BE121" s="81">
        <f>IFERROR((IF(ISNUMBER(T121),MIN(T121/30,1),0)+IF(ISNUMBER(P121),MIN(P121/500,1),0))/2,0)</f>
        <v/>
      </c>
      <c r="BF121" s="81">
        <f>IFERROR(IF(OR(U121&lt;&gt;"",V121="SÍ"),IF(ISNUMBER(L121),(1*MIN(L121/10000,1))^0.5,0),IF(ISNUMBER(L121),(0*MIN(L121/10000,1))^0.5,0)),0)</f>
        <v/>
      </c>
    </row>
    <row r="122">
      <c r="A122" t="inlineStr">
        <is>
          <t>MIDAGRI; CENACOOP; CENCOOP 2017; SISPAC</t>
        </is>
      </c>
      <c r="B122" s="70" t="inlineStr">
        <is>
          <t>20570706927</t>
        </is>
      </c>
      <c r="C122" s="29" t="inlineStr">
        <is>
          <t>Cooperativa Agraria Rutas del Inca</t>
        </is>
      </c>
      <c r="D122" s="29" t="inlineStr"/>
      <c r="E122" s="29" t="inlineStr">
        <is>
          <t>VENTA AL POR MENOR DE ALIMENTOS, BEBIDAS Y TABACO EN ALMACENES ESPECIALIZADOS</t>
        </is>
      </c>
      <c r="F122" s="29" t="inlineStr">
        <is>
          <t>Cajamarca</t>
        </is>
      </c>
      <c r="G122" s="29" t="inlineStr">
        <is>
          <t>Chota</t>
        </is>
      </c>
      <c r="H122" s="29" t="inlineStr">
        <is>
          <t>—</t>
        </is>
      </c>
      <c r="I122" s="29" t="inlineStr">
        <is>
          <t>—</t>
        </is>
      </c>
      <c r="J122" s="17" t="inlineStr">
        <is>
          <t>SI</t>
        </is>
      </c>
      <c r="K122" s="29" t="inlineStr">
        <is>
          <t>SÍ</t>
        </is>
      </c>
      <c r="L122" s="29" t="n">
        <v>3163527.96</v>
      </c>
      <c r="M122" s="29" t="n">
        <v>14852641.57</v>
      </c>
      <c r="N122" s="29" t="n">
        <v>81</v>
      </c>
      <c r="O122" s="29" t="n">
        <v>7</v>
      </c>
      <c r="P122" s="29" t="inlineStr"/>
      <c r="Q122" s="29" t="inlineStr"/>
      <c r="R122" s="18" t="inlineStr">
        <is>
          <t>2575.0</t>
        </is>
      </c>
      <c r="S122" s="29" t="inlineStr"/>
      <c r="T122" s="29" t="inlineStr"/>
      <c r="U122" s="18" t="inlineStr"/>
      <c r="V122" s="18" t="inlineStr">
        <is>
          <t>NO</t>
        </is>
      </c>
      <c r="W122" s="18" t="inlineStr">
        <is>
          <t>—</t>
        </is>
      </c>
      <c r="X122" s="18" t="inlineStr">
        <is>
          <t>—</t>
        </is>
      </c>
      <c r="Y122" s="18" t="inlineStr"/>
      <c r="Z122" s="29" t="inlineStr">
        <is>
          <t>—</t>
        </is>
      </c>
      <c r="AA122" s="29" t="b">
        <v>0</v>
      </c>
      <c r="AB122" s="29" t="b">
        <v>1</v>
      </c>
      <c r="AC122" s="29" t="b">
        <v>1</v>
      </c>
      <c r="AD122" s="19" t="inlineStr">
        <is>
          <t>SI</t>
        </is>
      </c>
      <c r="AE122" s="29" t="inlineStr">
        <is>
          <t>COOPERATIVA AGRARIA RUTAS DEL INCA</t>
        </is>
      </c>
      <c r="AF122" s="29" t="inlineStr">
        <is>
          <t>CAJAMARCA</t>
        </is>
      </c>
      <c r="AG122" s="29" t="inlineStr">
        <is>
          <t>CHOTA</t>
        </is>
      </c>
      <c r="AH122" s="29" t="inlineStr">
        <is>
          <t>QUEROCOTO</t>
        </is>
      </c>
      <c r="AI122" s="29" t="inlineStr">
        <is>
          <t>QUEROCOTO</t>
        </is>
      </c>
      <c r="AJ122" s="29" t="inlineStr">
        <is>
          <t>CULTIVO DE PLANTAS CON LAS QUE SE PREPARAN BEBIDAS</t>
        </is>
      </c>
      <c r="AK122" s="29" t="inlineStr">
        <is>
          <t>1.0</t>
        </is>
      </c>
      <c r="AL122" s="29" t="inlineStr">
        <is>
          <t>1.0</t>
        </is>
      </c>
      <c r="AM122" s="29" t="inlineStr">
        <is>
          <t>2.0</t>
        </is>
      </c>
      <c r="AN122" s="29" t="n">
        <v>3</v>
      </c>
      <c r="AO122" s="29" t="inlineStr">
        <is>
          <t>DIAZ CUBAS AURELIO</t>
        </is>
      </c>
      <c r="AP122" s="29" t="inlineStr">
        <is>
          <t>TECNICO ELECTRICISTA</t>
        </is>
      </c>
      <c r="AQ122" s="29" t="inlineStr">
        <is>
          <t>8.0</t>
        </is>
      </c>
      <c r="AR122" s="29" t="inlineStr">
        <is>
          <t>NO TIENE</t>
        </is>
      </c>
      <c r="AS122" s="29" t="inlineStr">
        <is>
          <t>COOPERATIVA-CARI@HOTMAIL.COM</t>
        </is>
      </c>
      <c r="AT122" s="29" t="inlineStr">
        <is>
          <t>984992908</t>
        </is>
      </c>
      <c r="AU122" s="29" t="inlineStr">
        <is>
          <t>-6.358198333333333</t>
        </is>
      </c>
      <c r="AV122" s="29" t="inlineStr">
        <is>
          <t>-79.03524999999999</t>
        </is>
      </c>
      <c r="AW122" s="29" t="inlineStr">
        <is>
          <t>2014.0</t>
        </is>
      </c>
      <c r="AX122" s="29" t="inlineStr">
        <is>
          <t>2014.0</t>
        </is>
      </c>
      <c r="AY122" s="29" t="inlineStr">
        <is>
          <t>2</t>
        </is>
      </c>
      <c r="AZ122" s="29" t="inlineStr">
        <is>
          <t>sept-2026</t>
        </is>
      </c>
      <c r="BA122" t="inlineStr">
        <is>
          <t>BELGIUM; CANADA; GERMANY; KOREA, REPUBLIC OF; MEXICO; NETHERLANDS; UNITED STATES</t>
        </is>
      </c>
      <c r="BB122" t="n">
        <v>2014</v>
      </c>
      <c r="BC122" t="n">
        <v>2025</v>
      </c>
      <c r="BD122" s="81">
        <f>0</f>
        <v/>
      </c>
      <c r="BE122" s="81">
        <f>IFERROR((IF(ISNUMBER(T122),MIN(T122/30,1),0)+IF(ISNUMBER(P122),MIN(P122/500,1),0))/2,0)</f>
        <v/>
      </c>
      <c r="BF122" s="81">
        <f>IFERROR(IF(OR(U122&lt;&gt;"",V122="SÍ"),IF(ISNUMBER(L122),(1*MIN(L122/10000,1))^0.5,0),IF(ISNUMBER(L122),(0*MIN(L122/10000,1))^0.5,0)),0)</f>
        <v/>
      </c>
    </row>
    <row r="123">
      <c r="A123" t="inlineStr">
        <is>
          <t>MIDAGRI; CENACOOP; CENCOOP 2017</t>
        </is>
      </c>
      <c r="B123" s="70" t="inlineStr">
        <is>
          <t>20600761731</t>
        </is>
      </c>
      <c r="C123" s="30" t="inlineStr">
        <is>
          <t>Cooperativa Agraria Selva Andina</t>
        </is>
      </c>
      <c r="D123" s="30" t="inlineStr"/>
      <c r="E123" s="30" t="inlineStr">
        <is>
          <t>VENTA AL POR MENOR DE ALIMENTOS, BEBIDAS Y TABACO EN ALMACENES ESPECIALIZADOS</t>
        </is>
      </c>
      <c r="F123" s="30" t="inlineStr">
        <is>
          <t>Cajamarca</t>
        </is>
      </c>
      <c r="G123" s="30" t="inlineStr">
        <is>
          <t>Jaén</t>
        </is>
      </c>
      <c r="H123" s="30" t="inlineStr">
        <is>
          <t>—</t>
        </is>
      </c>
      <c r="I123" s="30" t="inlineStr">
        <is>
          <t>—</t>
        </is>
      </c>
      <c r="J123" s="17" t="inlineStr">
        <is>
          <t>SI</t>
        </is>
      </c>
      <c r="K123" s="30" t="inlineStr">
        <is>
          <t>SÍ</t>
        </is>
      </c>
      <c r="L123" s="30" t="n">
        <v>5391731.28</v>
      </c>
      <c r="M123" s="30" t="n">
        <v>47235581.78</v>
      </c>
      <c r="N123" s="30" t="n">
        <v>188</v>
      </c>
      <c r="O123" s="30" t="n">
        <v>13</v>
      </c>
      <c r="P123" s="30" t="inlineStr"/>
      <c r="Q123" s="30" t="inlineStr"/>
      <c r="R123" s="14" t="inlineStr">
        <is>
          <t>2575.0</t>
        </is>
      </c>
      <c r="S123" s="30" t="inlineStr"/>
      <c r="T123" s="30" t="inlineStr"/>
      <c r="U123" s="14" t="inlineStr"/>
      <c r="V123" s="14" t="inlineStr">
        <is>
          <t>NO</t>
        </is>
      </c>
      <c r="W123" s="14" t="inlineStr">
        <is>
          <t>—</t>
        </is>
      </c>
      <c r="X123" s="14" t="inlineStr">
        <is>
          <t>—</t>
        </is>
      </c>
      <c r="Y123" s="14" t="inlineStr"/>
      <c r="Z123" s="30" t="inlineStr">
        <is>
          <t>—</t>
        </is>
      </c>
      <c r="AA123" s="30" t="b">
        <v>0</v>
      </c>
      <c r="AB123" s="30" t="b">
        <v>1</v>
      </c>
      <c r="AC123" s="30" t="b">
        <v>1</v>
      </c>
      <c r="AD123" s="19" t="inlineStr">
        <is>
          <t>SI</t>
        </is>
      </c>
      <c r="AE123" s="30" t="inlineStr">
        <is>
          <t>COOPERATIVA AGRARIA DE SERVICIOS MULTIPLES SELVA ANDINA</t>
        </is>
      </c>
      <c r="AF123" s="30" t="inlineStr">
        <is>
          <t>CAJAMARCA</t>
        </is>
      </c>
      <c r="AG123" s="30" t="inlineStr">
        <is>
          <t>JAEN</t>
        </is>
      </c>
      <c r="AH123" s="30" t="inlineStr">
        <is>
          <t>JAEN</t>
        </is>
      </c>
      <c r="AI123" s="30" t="inlineStr">
        <is>
          <t>JAEN</t>
        </is>
      </c>
      <c r="AJ123" s="30" t="inlineStr">
        <is>
          <t>OTRAS ACTIVIDADES DE SERVICIOS FINANCIEROS, EXCEPTO LAS DE SEGUROS Y FONDOS DE PENSIONES, N.C.P.</t>
        </is>
      </c>
      <c r="AK123" s="30" t="inlineStr">
        <is>
          <t>1.0</t>
        </is>
      </c>
      <c r="AL123" s="30" t="inlineStr">
        <is>
          <t>1.0</t>
        </is>
      </c>
      <c r="AM123" s="30" t="inlineStr">
        <is>
          <t>3.0</t>
        </is>
      </c>
      <c r="AN123" s="30" t="n">
        <v>1</v>
      </c>
      <c r="AO123" s="30" t="inlineStr">
        <is>
          <t>TONGO JULON ABELARDO</t>
        </is>
      </c>
      <c r="AP123" s="30" t="inlineStr">
        <is>
          <t>INGENIERO AGRONOMO</t>
        </is>
      </c>
      <c r="AQ123" s="30" t="inlineStr">
        <is>
          <t>10.0</t>
        </is>
      </c>
      <c r="AR123" s="30" t="inlineStr">
        <is>
          <t>WWW.SELVAANDINA.ORG</t>
        </is>
      </c>
      <c r="AS123" s="30" t="inlineStr">
        <is>
          <t>SELVAANDINA@SELVAANDINA.ORG</t>
        </is>
      </c>
      <c r="AT123" s="30" t="inlineStr">
        <is>
          <t>949722208</t>
        </is>
      </c>
      <c r="AU123" s="30" t="inlineStr">
        <is>
          <t>-5.69904</t>
        </is>
      </c>
      <c r="AV123" s="30" t="inlineStr">
        <is>
          <t>-78.806405</t>
        </is>
      </c>
      <c r="AW123" s="30" t="inlineStr">
        <is>
          <t>2015.0</t>
        </is>
      </c>
      <c r="AX123" s="30" t="inlineStr">
        <is>
          <t>2016.0</t>
        </is>
      </c>
      <c r="AY123" s="30" t="inlineStr">
        <is>
          <t>2</t>
        </is>
      </c>
      <c r="AZ123" s="30" t="inlineStr">
        <is>
          <t>sept-2026</t>
        </is>
      </c>
      <c r="BA123" t="inlineStr">
        <is>
          <t>AUSTRALIA; BELGIUM; CANADA; FRANCE; GERMANY; ITALY; MEXICO; NETHERLANDS; SPAIN; SWEDEN; TAIWAN, PROVINCE OF CHINA; UNITED KINGDOM; UNITED STATES</t>
        </is>
      </c>
      <c r="BB123" t="n">
        <v>2016</v>
      </c>
      <c r="BC123" t="n">
        <v>2025</v>
      </c>
      <c r="BD123" s="81">
        <f>0</f>
        <v/>
      </c>
      <c r="BE123" s="81">
        <f>IFERROR((IF(ISNUMBER(T123),MIN(T123/30,1),0)+IF(ISNUMBER(P123),MIN(P123/500,1),0))/2,0)</f>
        <v/>
      </c>
      <c r="BF123" s="81">
        <f>IFERROR(IF(OR(U123&lt;&gt;"",V123="SÍ"),IF(ISNUMBER(L123),(1*MIN(L123/10000,1))^0.5,0),IF(ISNUMBER(L123),(0*MIN(L123/10000,1))^0.5,0)),0)</f>
        <v/>
      </c>
    </row>
    <row r="124">
      <c r="A124" t="inlineStr">
        <is>
          <t>MIDAGRI; CENACOOP; CENCOOP 2017</t>
        </is>
      </c>
      <c r="B124" s="70" t="inlineStr">
        <is>
          <t>20480560672</t>
        </is>
      </c>
      <c r="C124" s="29" t="inlineStr">
        <is>
          <t>Cooperativa Agraria Valle del Marañon</t>
        </is>
      </c>
      <c r="D124" s="29" t="inlineStr"/>
      <c r="E124" s="29" t="inlineStr">
        <is>
          <t>VENTA AL POR MENOR DE ALIMENTOS, BEBIDAS Y TABACO EN ALMACENES ESPECIALIZADOS</t>
        </is>
      </c>
      <c r="F124" s="29" t="inlineStr">
        <is>
          <t>Cajamarca</t>
        </is>
      </c>
      <c r="G124" s="29" t="inlineStr">
        <is>
          <t>Jaén</t>
        </is>
      </c>
      <c r="H124" s="29" t="inlineStr">
        <is>
          <t>—</t>
        </is>
      </c>
      <c r="I124" s="29" t="inlineStr">
        <is>
          <t>—</t>
        </is>
      </c>
      <c r="J124" s="17" t="inlineStr">
        <is>
          <t>SI</t>
        </is>
      </c>
      <c r="K124" s="29" t="inlineStr">
        <is>
          <t>SÍ</t>
        </is>
      </c>
      <c r="L124" s="29" t="n">
        <v>1404756.37</v>
      </c>
      <c r="M124" s="29" t="n">
        <v>24604598.46</v>
      </c>
      <c r="N124" s="29" t="n">
        <v>150</v>
      </c>
      <c r="O124" s="29" t="n">
        <v>10</v>
      </c>
      <c r="P124" s="29" t="inlineStr"/>
      <c r="Q124" s="29" t="inlineStr"/>
      <c r="R124" s="18" t="inlineStr">
        <is>
          <t>2575.0</t>
        </is>
      </c>
      <c r="S124" s="29" t="inlineStr"/>
      <c r="T124" s="29" t="inlineStr"/>
      <c r="U124" s="18" t="inlineStr"/>
      <c r="V124" s="18" t="inlineStr">
        <is>
          <t>NO</t>
        </is>
      </c>
      <c r="W124" s="18" t="inlineStr">
        <is>
          <t>—</t>
        </is>
      </c>
      <c r="X124" s="18" t="inlineStr">
        <is>
          <t>—</t>
        </is>
      </c>
      <c r="Y124" s="18" t="inlineStr"/>
      <c r="Z124" s="29" t="inlineStr">
        <is>
          <t>—</t>
        </is>
      </c>
      <c r="AA124" s="29" t="b">
        <v>0</v>
      </c>
      <c r="AB124" s="29" t="b">
        <v>1</v>
      </c>
      <c r="AC124" s="29" t="b">
        <v>1</v>
      </c>
      <c r="AD124" s="19" t="inlineStr">
        <is>
          <t>SI</t>
        </is>
      </c>
      <c r="AE124" s="29" t="inlineStr">
        <is>
          <t>COOPERATIVA AGRARIA Y DE SERVICIOS MULTIPLES VALLE DEL MARAÑON</t>
        </is>
      </c>
      <c r="AF124" s="29" t="inlineStr">
        <is>
          <t>CAJAMARCA</t>
        </is>
      </c>
      <c r="AG124" s="29" t="inlineStr">
        <is>
          <t>JAEN</t>
        </is>
      </c>
      <c r="AH124" s="29" t="inlineStr">
        <is>
          <t>JAEN</t>
        </is>
      </c>
      <c r="AI124" s="29" t="inlineStr">
        <is>
          <t>JAEN</t>
        </is>
      </c>
      <c r="AJ124" s="29" t="inlineStr">
        <is>
          <t>CULTIVO DE PLANTAS CON LAS QUE SE PREPARAN BEBIDAS</t>
        </is>
      </c>
      <c r="AK124" s="29" t="inlineStr">
        <is>
          <t>1.0</t>
        </is>
      </c>
      <c r="AL124" s="29" t="inlineStr">
        <is>
          <t>1.0</t>
        </is>
      </c>
      <c r="AM124" s="29" t="inlineStr">
        <is>
          <t>3.0</t>
        </is>
      </c>
      <c r="AN124" s="29" t="n">
        <v>8</v>
      </c>
      <c r="AO124" s="29" t="inlineStr">
        <is>
          <t>AGUILAR BECERRA EPIFANIO</t>
        </is>
      </c>
      <c r="AP124" s="29" t="inlineStr">
        <is>
          <t>LICENCIADO EN ADMINISTRACION</t>
        </is>
      </c>
      <c r="AQ124" s="29" t="inlineStr">
        <is>
          <t>10.0</t>
        </is>
      </c>
      <c r="AR124" s="29" t="inlineStr">
        <is>
          <t>WWW.COOPVAMA.COM</t>
        </is>
      </c>
      <c r="AS124" s="29" t="inlineStr">
        <is>
          <t>NO TIENE</t>
        </is>
      </c>
      <c r="AT124" s="29" t="inlineStr">
        <is>
          <t>NO TIENE</t>
        </is>
      </c>
      <c r="AU124" s="29" t="inlineStr">
        <is>
          <t>-5.700096666666667</t>
        </is>
      </c>
      <c r="AV124" s="29" t="inlineStr">
        <is>
          <t>-78.80561666666668</t>
        </is>
      </c>
      <c r="AW124" s="29" t="inlineStr">
        <is>
          <t>2008.0</t>
        </is>
      </c>
      <c r="AX124" s="29" t="inlineStr">
        <is>
          <t>2009.0</t>
        </is>
      </c>
      <c r="AY124" s="29" t="inlineStr">
        <is>
          <t>2</t>
        </is>
      </c>
      <c r="AZ124" s="29" t="inlineStr">
        <is>
          <t>sept-2026</t>
        </is>
      </c>
      <c r="BA124" t="inlineStr">
        <is>
          <t>BELGIUM; CANADA; DENMARK; GERMANY; ITALY; NETHERLANDS; SWEDEN; SWITZERLAND; UNITED KINGDOM; UNITED STATES</t>
        </is>
      </c>
      <c r="BB124" t="n">
        <v>2010</v>
      </c>
      <c r="BC124" t="n">
        <v>2025</v>
      </c>
      <c r="BD124" s="81">
        <f>0</f>
        <v/>
      </c>
      <c r="BE124" s="81">
        <f>IFERROR((IF(ISNUMBER(T124),MIN(T124/30,1),0)+IF(ISNUMBER(P124),MIN(P124/500,1),0))/2,0)</f>
        <v/>
      </c>
      <c r="BF124" s="81">
        <f>IFERROR(IF(OR(U124&lt;&gt;"",V124="SÍ"),IF(ISNUMBER(L124),(1*MIN(L124/10000,1))^0.5,0),IF(ISNUMBER(L124),(0*MIN(L124/10000,1))^0.5,0)),0)</f>
        <v/>
      </c>
    </row>
    <row r="125">
      <c r="A125" t="inlineStr">
        <is>
          <t>MIDAGRI</t>
        </is>
      </c>
      <c r="B125" s="70" t="inlineStr">
        <is>
          <t>20602023711</t>
        </is>
      </c>
      <c r="C125" s="30" t="inlineStr">
        <is>
          <t>Cooperativa Agraria Valles de Café</t>
        </is>
      </c>
      <c r="D125" s="30" t="inlineStr"/>
      <c r="E125" s="30" t="inlineStr">
        <is>
          <t>VENTA AL POR MENOR DE ALIMENTOS, BEBIDAS Y TABACO EN ALMACENES ESPECIALIZADOS</t>
        </is>
      </c>
      <c r="F125" s="30" t="inlineStr">
        <is>
          <t>Cajamarca</t>
        </is>
      </c>
      <c r="G125" s="30" t="inlineStr">
        <is>
          <t>San Ignacio</t>
        </is>
      </c>
      <c r="H125" s="30" t="inlineStr">
        <is>
          <t>—</t>
        </is>
      </c>
      <c r="I125" s="30" t="inlineStr">
        <is>
          <t>—</t>
        </is>
      </c>
      <c r="J125" s="30" t="inlineStr">
        <is>
          <t>SI</t>
        </is>
      </c>
      <c r="K125" s="30" t="inlineStr">
        <is>
          <t>NO</t>
        </is>
      </c>
      <c r="L125" s="30" t="n">
        <v>0</v>
      </c>
      <c r="M125" s="30" t="n">
        <v>277980.91</v>
      </c>
      <c r="N125" s="30" t="n">
        <v>2</v>
      </c>
      <c r="O125" s="30" t="n">
        <v>2</v>
      </c>
      <c r="P125" s="30" t="inlineStr"/>
      <c r="Q125" s="30" t="inlineStr"/>
      <c r="R125" s="14" t="inlineStr">
        <is>
          <t>2575.0</t>
        </is>
      </c>
      <c r="S125" s="30" t="inlineStr"/>
      <c r="T125" s="30" t="inlineStr"/>
      <c r="U125" s="14" t="inlineStr"/>
      <c r="V125" s="14" t="inlineStr">
        <is>
          <t>NO</t>
        </is>
      </c>
      <c r="W125" s="14" t="inlineStr">
        <is>
          <t>—</t>
        </is>
      </c>
      <c r="X125" s="14" t="inlineStr">
        <is>
          <t>—</t>
        </is>
      </c>
      <c r="Y125" s="14" t="inlineStr"/>
      <c r="Z125" s="30" t="inlineStr">
        <is>
          <t>—</t>
        </is>
      </c>
      <c r="AA125" s="30" t="b">
        <v>0</v>
      </c>
      <c r="AB125" s="30" t="b">
        <v>1</v>
      </c>
      <c r="AC125" s="30" t="b">
        <v>0</v>
      </c>
      <c r="AD125" s="30" t="inlineStr">
        <is>
          <t>NO</t>
        </is>
      </c>
      <c r="AE125" s="30" t="inlineStr"/>
      <c r="AF125" s="30" t="inlineStr"/>
      <c r="AG125" s="30" t="inlineStr"/>
      <c r="AH125" s="30" t="inlineStr"/>
      <c r="AI125" s="30" t="inlineStr"/>
      <c r="AJ125" s="30" t="inlineStr"/>
      <c r="AK125" s="30" t="inlineStr"/>
      <c r="AL125" s="30" t="inlineStr"/>
      <c r="AM125" s="30" t="inlineStr"/>
      <c r="AN125" s="30" t="n"/>
      <c r="AO125" s="30" t="inlineStr"/>
      <c r="AP125" s="30" t="inlineStr"/>
      <c r="AQ125" s="30" t="inlineStr"/>
      <c r="AR125" s="30" t="inlineStr"/>
      <c r="AS125" s="30" t="inlineStr"/>
      <c r="AT125" s="30" t="inlineStr"/>
      <c r="AU125" s="30" t="inlineStr"/>
      <c r="AV125" s="30" t="inlineStr"/>
      <c r="AW125" s="30" t="inlineStr"/>
      <c r="AX125" s="30" t="inlineStr"/>
      <c r="AY125" s="30" t="inlineStr">
        <is>
          <t>1</t>
        </is>
      </c>
      <c r="AZ125" s="30" t="inlineStr">
        <is>
          <t>sept-2026</t>
        </is>
      </c>
      <c r="BA125" t="inlineStr">
        <is>
          <t>UNITED ARAB EMIRATES; UNITED STATES</t>
        </is>
      </c>
      <c r="BB125" t="n">
        <v>2022</v>
      </c>
      <c r="BC125" t="n">
        <v>2022</v>
      </c>
      <c r="BD125" s="81">
        <f>0</f>
        <v/>
      </c>
      <c r="BE125" s="81">
        <f>IFERROR((IF(ISNUMBER(T125),MIN(T125/30,1),0)+IF(ISNUMBER(P125),MIN(P125/500,1),0))/2,0)</f>
        <v/>
      </c>
      <c r="BF125" s="81">
        <f>IFERROR(IF(OR(U125&lt;&gt;"",V125="SÍ"),IF(ISNUMBER(L125),(1*MIN(L125/10000,1))^0.5,0),IF(ISNUMBER(L125),(0*MIN(L125/10000,1))^0.5,0)),0)</f>
        <v/>
      </c>
    </row>
    <row r="126">
      <c r="A126" t="inlineStr">
        <is>
          <t>MIDAGRI; CENACOOP; CENCOOP 2017</t>
        </is>
      </c>
      <c r="B126" s="70" t="inlineStr">
        <is>
          <t>20570777352</t>
        </is>
      </c>
      <c r="C126" s="29" t="inlineStr">
        <is>
          <t>Cooperativa Agraria de Servicios Múltiples Integración de Cafetaleros</t>
        </is>
      </c>
      <c r="D126" s="29" t="inlineStr"/>
      <c r="E126" s="29" t="inlineStr">
        <is>
          <t>VENTA AL POR MENOR DE ALIMENTOS, BEBIDAS Y TABACO EN ALMACENES ESPECIALIZADOS</t>
        </is>
      </c>
      <c r="F126" s="29" t="inlineStr">
        <is>
          <t>Cajamarca</t>
        </is>
      </c>
      <c r="G126" s="29" t="inlineStr">
        <is>
          <t>Jaén</t>
        </is>
      </c>
      <c r="H126" s="29" t="inlineStr">
        <is>
          <t>—</t>
        </is>
      </c>
      <c r="I126" s="29" t="inlineStr">
        <is>
          <t>—</t>
        </is>
      </c>
      <c r="J126" s="17" t="inlineStr">
        <is>
          <t>SI</t>
        </is>
      </c>
      <c r="K126" s="29" t="inlineStr">
        <is>
          <t>SÍ</t>
        </is>
      </c>
      <c r="L126" s="29" t="n">
        <v>967566.89</v>
      </c>
      <c r="M126" s="29" t="n">
        <v>7415555.06</v>
      </c>
      <c r="N126" s="29" t="n">
        <v>42</v>
      </c>
      <c r="O126" s="29" t="n">
        <v>6</v>
      </c>
      <c r="P126" s="29" t="inlineStr"/>
      <c r="Q126" s="29" t="inlineStr"/>
      <c r="R126" s="18" t="inlineStr">
        <is>
          <t>2575.0</t>
        </is>
      </c>
      <c r="S126" s="29" t="inlineStr"/>
      <c r="T126" s="29" t="inlineStr"/>
      <c r="U126" s="18" t="inlineStr"/>
      <c r="V126" s="18" t="inlineStr">
        <is>
          <t>NO</t>
        </is>
      </c>
      <c r="W126" s="18" t="inlineStr">
        <is>
          <t>—</t>
        </is>
      </c>
      <c r="X126" s="18" t="inlineStr">
        <is>
          <t>—</t>
        </is>
      </c>
      <c r="Y126" s="18" t="inlineStr"/>
      <c r="Z126" s="29" t="inlineStr">
        <is>
          <t>—</t>
        </is>
      </c>
      <c r="AA126" s="29" t="b">
        <v>0</v>
      </c>
      <c r="AB126" s="29" t="b">
        <v>1</v>
      </c>
      <c r="AC126" s="29" t="b">
        <v>1</v>
      </c>
      <c r="AD126" s="19" t="inlineStr">
        <is>
          <t>SI</t>
        </is>
      </c>
      <c r="AE126" s="29" t="inlineStr">
        <is>
          <t>COOPERATIVA AGRARIA DE SERVICIOS MULTIPLES INTEGRACION DE CAFETALEROS</t>
        </is>
      </c>
      <c r="AF126" s="29" t="inlineStr">
        <is>
          <t>CAJAMARCA</t>
        </is>
      </c>
      <c r="AG126" s="29" t="inlineStr">
        <is>
          <t>JAEN</t>
        </is>
      </c>
      <c r="AH126" s="29" t="inlineStr">
        <is>
          <t>JAEN</t>
        </is>
      </c>
      <c r="AI126" s="29" t="inlineStr">
        <is>
          <t>JAEN</t>
        </is>
      </c>
      <c r="AJ126" s="29" t="inlineStr">
        <is>
          <t>CULTIVO DE PLANTAS CON LAS QUE SE PREPARAN BEBIDAS</t>
        </is>
      </c>
      <c r="AK126" s="29" t="inlineStr">
        <is>
          <t>1.0</t>
        </is>
      </c>
      <c r="AL126" s="29" t="inlineStr">
        <is>
          <t>1.0</t>
        </is>
      </c>
      <c r="AM126" s="29" t="inlineStr">
        <is>
          <t>3.0</t>
        </is>
      </c>
      <c r="AN126" s="29" t="n">
        <v>3</v>
      </c>
      <c r="AO126" s="29" t="inlineStr">
        <is>
          <t>VILCHEZ ESTELA JOSE DAVID</t>
        </is>
      </c>
      <c r="AP126" s="29" t="inlineStr">
        <is>
          <t>ECONOMISTA</t>
        </is>
      </c>
      <c r="AQ126" s="29" t="inlineStr">
        <is>
          <t>10.0</t>
        </is>
      </c>
      <c r="AR126" s="29" t="inlineStr">
        <is>
          <t>NO TIENE</t>
        </is>
      </c>
      <c r="AS126" s="29" t="inlineStr">
        <is>
          <t>NO TIENE</t>
        </is>
      </c>
      <c r="AT126" s="29" t="inlineStr">
        <is>
          <t>920200893</t>
        </is>
      </c>
      <c r="AU126" s="29" t="inlineStr">
        <is>
          <t>-5.6939150000000005</t>
        </is>
      </c>
      <c r="AV126" s="29" t="inlineStr">
        <is>
          <t>-78.80399333333334</t>
        </is>
      </c>
      <c r="AW126" s="29" t="inlineStr">
        <is>
          <t>2014.0</t>
        </is>
      </c>
      <c r="AX126" s="29" t="inlineStr">
        <is>
          <t>2014.0</t>
        </is>
      </c>
      <c r="AY126" s="29" t="inlineStr">
        <is>
          <t>2</t>
        </is>
      </c>
      <c r="AZ126" s="29" t="inlineStr">
        <is>
          <t>sept-2026</t>
        </is>
      </c>
      <c r="BA126" t="inlineStr">
        <is>
          <t>BELGIUM; CANADA; GERMANY; NORWAY; SPAIN; UNITED STATES</t>
        </is>
      </c>
      <c r="BB126" t="n">
        <v>2018</v>
      </c>
      <c r="BC126" t="n">
        <v>2025</v>
      </c>
      <c r="BD126" s="81">
        <f>0</f>
        <v/>
      </c>
      <c r="BE126" s="81">
        <f>IFERROR((IF(ISNUMBER(T126),MIN(T126/30,1),0)+IF(ISNUMBER(P126),MIN(P126/500,1),0))/2,0)</f>
        <v/>
      </c>
      <c r="BF126" s="81">
        <f>IFERROR(IF(OR(U126&lt;&gt;"",V126="SÍ"),IF(ISNUMBER(L126),(1*MIN(L126/10000,1))^0.5,0),IF(ISNUMBER(L126),(0*MIN(L126/10000,1))^0.5,0)),0)</f>
        <v/>
      </c>
    </row>
    <row r="127">
      <c r="A127" t="inlineStr">
        <is>
          <t>MIDAGRI; CENCOOP 2017</t>
        </is>
      </c>
      <c r="B127" s="70" t="inlineStr">
        <is>
          <t>20479958921</t>
        </is>
      </c>
      <c r="C127" s="30" t="inlineStr">
        <is>
          <t>Cooperativa Agraria de Servicios Múltuples El Milagro</t>
        </is>
      </c>
      <c r="D127" s="30" t="inlineStr"/>
      <c r="E127" s="30" t="inlineStr">
        <is>
          <t>VENTA AL POR MENOR DE ALIMENTOS, BEBIDAS Y TABACO EN ALMACENES ESPECIALIZADOS</t>
        </is>
      </c>
      <c r="F127" s="30" t="inlineStr">
        <is>
          <t>Cajamarca</t>
        </is>
      </c>
      <c r="G127" s="30" t="inlineStr">
        <is>
          <t>San Ignacio</t>
        </is>
      </c>
      <c r="H127" s="30" t="inlineStr">
        <is>
          <t>—</t>
        </is>
      </c>
      <c r="I127" s="30" t="inlineStr">
        <is>
          <t>—</t>
        </is>
      </c>
      <c r="J127" s="30" t="inlineStr">
        <is>
          <t>SI</t>
        </is>
      </c>
      <c r="K127" s="30" t="inlineStr">
        <is>
          <t>NO</t>
        </is>
      </c>
      <c r="L127" s="30" t="n">
        <v>1133775.75</v>
      </c>
      <c r="M127" s="30" t="n">
        <v>10981790.98</v>
      </c>
      <c r="N127" s="30" t="n">
        <v>92</v>
      </c>
      <c r="O127" s="30" t="n">
        <v>8</v>
      </c>
      <c r="P127" s="30" t="inlineStr"/>
      <c r="Q127" s="30" t="inlineStr"/>
      <c r="R127" s="14" t="inlineStr">
        <is>
          <t>2575.0</t>
        </is>
      </c>
      <c r="S127" s="30" t="inlineStr"/>
      <c r="T127" s="30" t="inlineStr"/>
      <c r="U127" s="14" t="inlineStr"/>
      <c r="V127" s="14" t="inlineStr">
        <is>
          <t>NO</t>
        </is>
      </c>
      <c r="W127" s="14" t="inlineStr">
        <is>
          <t>—</t>
        </is>
      </c>
      <c r="X127" s="14" t="inlineStr">
        <is>
          <t>—</t>
        </is>
      </c>
      <c r="Y127" s="14" t="inlineStr"/>
      <c r="Z127" s="30" t="inlineStr">
        <is>
          <t>—</t>
        </is>
      </c>
      <c r="AA127" s="30" t="b">
        <v>0</v>
      </c>
      <c r="AB127" s="30" t="b">
        <v>1</v>
      </c>
      <c r="AC127" s="30" t="b">
        <v>0</v>
      </c>
      <c r="AD127" s="19" t="inlineStr">
        <is>
          <t>SI</t>
        </is>
      </c>
      <c r="AE127" s="30" t="inlineStr">
        <is>
          <t>COOPERATIVA AGRARIA DE SERVICIOS MULTIPLES EL MILAGRO</t>
        </is>
      </c>
      <c r="AF127" s="30" t="inlineStr">
        <is>
          <t>CAJAMARCA</t>
        </is>
      </c>
      <c r="AG127" s="30" t="inlineStr">
        <is>
          <t>SAN IGNACIO</t>
        </is>
      </c>
      <c r="AH127" s="30" t="inlineStr">
        <is>
          <t>SAN JOSE DE LOURDES</t>
        </is>
      </c>
      <c r="AI127" s="30" t="inlineStr">
        <is>
          <t>SAN JOSE DE LOURDES</t>
        </is>
      </c>
      <c r="AJ127" s="30" t="inlineStr">
        <is>
          <t>ACTIVIDADES POSCOSECHA</t>
        </is>
      </c>
      <c r="AK127" s="30" t="inlineStr">
        <is>
          <t>1.0</t>
        </is>
      </c>
      <c r="AL127" s="30" t="inlineStr">
        <is>
          <t>1.0</t>
        </is>
      </c>
      <c r="AM127" s="30" t="inlineStr">
        <is>
          <t>2.0</t>
        </is>
      </c>
      <c r="AN127" s="30" t="n">
        <v>33</v>
      </c>
      <c r="AO127" s="30" t="inlineStr">
        <is>
          <t>FERNANDEZ VASQUEZ EUDES</t>
        </is>
      </c>
      <c r="AP127" s="30" t="inlineStr">
        <is>
          <t>INGENIERO FORESTAL</t>
        </is>
      </c>
      <c r="AQ127" s="30" t="inlineStr">
        <is>
          <t>10.0</t>
        </is>
      </c>
      <c r="AR127" s="30" t="inlineStr">
        <is>
          <t>NO TIENE</t>
        </is>
      </c>
      <c r="AS127" s="30" t="inlineStr">
        <is>
          <t>CACMILAGRO36@YAHOO.COM</t>
        </is>
      </c>
      <c r="AT127" s="30" t="inlineStr">
        <is>
          <t>940767916</t>
        </is>
      </c>
      <c r="AU127" s="30" t="inlineStr">
        <is>
          <t>-5.104463333333333</t>
        </is>
      </c>
      <c r="AV127" s="30" t="inlineStr">
        <is>
          <t>-78.91402666666666</t>
        </is>
      </c>
      <c r="AW127" s="30" t="inlineStr">
        <is>
          <t>1984.0</t>
        </is>
      </c>
      <c r="AX127" s="30" t="inlineStr">
        <is>
          <t>1984.0</t>
        </is>
      </c>
      <c r="AY127" s="30" t="inlineStr">
        <is>
          <t>1</t>
        </is>
      </c>
      <c r="AZ127" s="30" t="inlineStr">
        <is>
          <t>sept-2026</t>
        </is>
      </c>
      <c r="BA127" t="inlineStr">
        <is>
          <t>BELGIUM; CANADA; FRANCE; JAPAN; MEXICO; NETHERLANDS; UNITED KINGDOM; UNITED STATES</t>
        </is>
      </c>
      <c r="BB127" t="n">
        <v>2010</v>
      </c>
      <c r="BC127" t="n">
        <v>2025</v>
      </c>
      <c r="BD127" s="81">
        <f>0</f>
        <v/>
      </c>
      <c r="BE127" s="81">
        <f>IFERROR((IF(ISNUMBER(T127),MIN(T127/30,1),0)+IF(ISNUMBER(P127),MIN(P127/500,1),0))/2,0)</f>
        <v/>
      </c>
      <c r="BF127" s="81">
        <f>IFERROR(IF(OR(U127&lt;&gt;"",V127="SÍ"),IF(ISNUMBER(L127),(1*MIN(L127/10000,1))^0.5,0),IF(ISNUMBER(L127),(0*MIN(L127/10000,1))^0.5,0)),0)</f>
        <v/>
      </c>
    </row>
    <row r="128">
      <c r="A128" t="inlineStr">
        <is>
          <t>MIDAGRI; CENACOOP; CENCOOP 2017</t>
        </is>
      </c>
      <c r="B128" s="70" t="inlineStr">
        <is>
          <t>20601714893</t>
        </is>
      </c>
      <c r="C128" s="29" t="inlineStr">
        <is>
          <t>Cooperativa Agraria y Servicios Múltiples Café Amoju</t>
        </is>
      </c>
      <c r="D128" s="29" t="inlineStr"/>
      <c r="E128" s="29" t="inlineStr">
        <is>
          <t>VENTA AL POR MENOR DE ALIMENTOS, BEBIDAS Y TABACO EN ALMACENES ESPECIALIZADOS</t>
        </is>
      </c>
      <c r="F128" s="29" t="inlineStr">
        <is>
          <t>Cajamarca</t>
        </is>
      </c>
      <c r="G128" s="29" t="inlineStr">
        <is>
          <t>Jaén</t>
        </is>
      </c>
      <c r="H128" s="29" t="inlineStr">
        <is>
          <t>—</t>
        </is>
      </c>
      <c r="I128" s="29" t="inlineStr">
        <is>
          <t>—</t>
        </is>
      </c>
      <c r="J128" s="17" t="inlineStr">
        <is>
          <t>SI</t>
        </is>
      </c>
      <c r="K128" s="29" t="inlineStr">
        <is>
          <t>SÍ</t>
        </is>
      </c>
      <c r="L128" s="29" t="n">
        <v>11113443.16</v>
      </c>
      <c r="M128" s="29" t="n">
        <v>58190294.92</v>
      </c>
      <c r="N128" s="29" t="n">
        <v>207</v>
      </c>
      <c r="O128" s="29" t="n">
        <v>15</v>
      </c>
      <c r="P128" s="29" t="inlineStr"/>
      <c r="Q128" s="29" t="inlineStr"/>
      <c r="R128" s="18" t="inlineStr">
        <is>
          <t>2575.0</t>
        </is>
      </c>
      <c r="S128" s="29" t="inlineStr"/>
      <c r="T128" s="29" t="inlineStr"/>
      <c r="U128" s="18" t="inlineStr"/>
      <c r="V128" s="18" t="inlineStr">
        <is>
          <t>NO</t>
        </is>
      </c>
      <c r="W128" s="18" t="inlineStr">
        <is>
          <t>—</t>
        </is>
      </c>
      <c r="X128" s="18" t="inlineStr">
        <is>
          <t>—</t>
        </is>
      </c>
      <c r="Y128" s="18" t="inlineStr"/>
      <c r="Z128" s="29" t="inlineStr">
        <is>
          <t>—</t>
        </is>
      </c>
      <c r="AA128" s="29" t="b">
        <v>0</v>
      </c>
      <c r="AB128" s="29" t="b">
        <v>1</v>
      </c>
      <c r="AC128" s="29" t="b">
        <v>1</v>
      </c>
      <c r="AD128" s="19" t="inlineStr">
        <is>
          <t>SI</t>
        </is>
      </c>
      <c r="AE128" s="29" t="inlineStr">
        <is>
          <t>COOPERATIVA AGRARIA Y SERVICIOS MULTIPLES CAFE AMOJU</t>
        </is>
      </c>
      <c r="AF128" s="29" t="inlineStr">
        <is>
          <t>CAJAMARCA</t>
        </is>
      </c>
      <c r="AG128" s="29" t="inlineStr">
        <is>
          <t>JAEN</t>
        </is>
      </c>
      <c r="AH128" s="29" t="inlineStr">
        <is>
          <t>JAEN</t>
        </is>
      </c>
      <c r="AI128" s="29" t="inlineStr">
        <is>
          <t>JAEN</t>
        </is>
      </c>
      <c r="AJ128" s="29" t="inlineStr">
        <is>
          <t>ACTIVIDADES DE APOYO A LA AGRICULTURA</t>
        </is>
      </c>
      <c r="AK128" s="29" t="inlineStr">
        <is>
          <t>1.0</t>
        </is>
      </c>
      <c r="AL128" s="29" t="inlineStr">
        <is>
          <t>1.0</t>
        </is>
      </c>
      <c r="AM128" s="29" t="inlineStr">
        <is>
          <t>1.0</t>
        </is>
      </c>
      <c r="AN128" s="29" t="n">
        <v>1</v>
      </c>
      <c r="AO128" s="29" t="inlineStr">
        <is>
          <t>VASQUEZ PEDRAZA JOSE BLAS</t>
        </is>
      </c>
      <c r="AP128" s="29" t="inlineStr">
        <is>
          <t>TECNICO AGRONOMO</t>
        </is>
      </c>
      <c r="AQ128" s="29" t="inlineStr">
        <is>
          <t>8.0</t>
        </is>
      </c>
      <c r="AR128" s="29" t="inlineStr">
        <is>
          <t>NO TIENE</t>
        </is>
      </c>
      <c r="AS128" s="29" t="inlineStr">
        <is>
          <t>JOSEBLAS@HOTMAIL.COM</t>
        </is>
      </c>
      <c r="AT128" s="29" t="inlineStr">
        <is>
          <t>963873199</t>
        </is>
      </c>
      <c r="AU128" s="29" t="inlineStr">
        <is>
          <t>-5.6916883333333335</t>
        </is>
      </c>
      <c r="AV128" s="29" t="inlineStr">
        <is>
          <t>-78.80122333333334</t>
        </is>
      </c>
      <c r="AW128" s="29" t="inlineStr">
        <is>
          <t>2016.0</t>
        </is>
      </c>
      <c r="AX128" s="29" t="inlineStr">
        <is>
          <t>2016.0</t>
        </is>
      </c>
      <c r="AY128" s="29" t="inlineStr">
        <is>
          <t>2</t>
        </is>
      </c>
      <c r="AZ128" s="29" t="inlineStr">
        <is>
          <t>sept-2026</t>
        </is>
      </c>
      <c r="BA128" t="inlineStr">
        <is>
          <t>AUSTRALIA; BELGIUM; CANADA; DENMARK; FINLAND; FRANCE; GERMANY; ITALY; JAPAN; MEXICO; NETHERLANDS; NORWAY; SWEDEN; UNITED KINGDOM; UNITED STATES</t>
        </is>
      </c>
      <c r="BB128" t="n">
        <v>2018</v>
      </c>
      <c r="BC128" t="n">
        <v>2025</v>
      </c>
      <c r="BD128" s="81">
        <f>0</f>
        <v/>
      </c>
      <c r="BE128" s="81">
        <f>IFERROR((IF(ISNUMBER(T128),MIN(T128/30,1),0)+IF(ISNUMBER(P128),MIN(P128/500,1),0))/2,0)</f>
        <v/>
      </c>
      <c r="BF128" s="81">
        <f>IFERROR(IF(OR(U128&lt;&gt;"",V128="SÍ"),IF(ISNUMBER(L128),(1*MIN(L128/10000,1))^0.5,0),IF(ISNUMBER(L128),(0*MIN(L128/10000,1))^0.5,0)),0)</f>
        <v/>
      </c>
    </row>
    <row r="129">
      <c r="A129" t="inlineStr">
        <is>
          <t>MIDAGRI</t>
        </is>
      </c>
      <c r="B129" s="70" t="inlineStr">
        <is>
          <t>20602046321</t>
        </is>
      </c>
      <c r="C129" s="30" t="inlineStr">
        <is>
          <t>Cooperativa Agraria y de Servicios Múltiples Cumbres del Norte</t>
        </is>
      </c>
      <c r="D129" s="30" t="inlineStr"/>
      <c r="E129" s="30" t="inlineStr">
        <is>
          <t>VENTA AL POR MENOR DE ALIMENTOS, BEBIDAS Y TABACO EN ALMACENES ESPECIALIZADOS</t>
        </is>
      </c>
      <c r="F129" s="30" t="inlineStr">
        <is>
          <t>Cajamarca</t>
        </is>
      </c>
      <c r="G129" s="30" t="inlineStr">
        <is>
          <t>Jaén</t>
        </is>
      </c>
      <c r="H129" s="30" t="inlineStr">
        <is>
          <t>—</t>
        </is>
      </c>
      <c r="I129" s="30" t="inlineStr">
        <is>
          <t>—</t>
        </is>
      </c>
      <c r="J129" s="30" t="inlineStr">
        <is>
          <t>SI</t>
        </is>
      </c>
      <c r="K129" s="30" t="inlineStr">
        <is>
          <t>NO</t>
        </is>
      </c>
      <c r="L129" s="30" t="n">
        <v>62330.03</v>
      </c>
      <c r="M129" s="30" t="n">
        <v>844736.61</v>
      </c>
      <c r="N129" s="30" t="n">
        <v>5</v>
      </c>
      <c r="O129" s="30" t="n">
        <v>4</v>
      </c>
      <c r="P129" s="30" t="inlineStr"/>
      <c r="Q129" s="30" t="inlineStr"/>
      <c r="R129" s="14" t="inlineStr">
        <is>
          <t>2575.0</t>
        </is>
      </c>
      <c r="S129" s="30" t="inlineStr"/>
      <c r="T129" s="30" t="inlineStr"/>
      <c r="U129" s="14" t="inlineStr"/>
      <c r="V129" s="14" t="inlineStr">
        <is>
          <t>NO</t>
        </is>
      </c>
      <c r="W129" s="14" t="inlineStr">
        <is>
          <t>—</t>
        </is>
      </c>
      <c r="X129" s="14" t="inlineStr">
        <is>
          <t>—</t>
        </is>
      </c>
      <c r="Y129" s="14" t="inlineStr"/>
      <c r="Z129" s="30" t="inlineStr">
        <is>
          <t>—</t>
        </is>
      </c>
      <c r="AA129" s="30" t="b">
        <v>0</v>
      </c>
      <c r="AB129" s="30" t="b">
        <v>1</v>
      </c>
      <c r="AC129" s="30" t="b">
        <v>0</v>
      </c>
      <c r="AD129" s="30" t="inlineStr">
        <is>
          <t>NO</t>
        </is>
      </c>
      <c r="AE129" s="30" t="inlineStr"/>
      <c r="AF129" s="30" t="inlineStr"/>
      <c r="AG129" s="30" t="inlineStr"/>
      <c r="AH129" s="30" t="inlineStr"/>
      <c r="AI129" s="30" t="inlineStr"/>
      <c r="AJ129" s="30" t="inlineStr"/>
      <c r="AK129" s="30" t="inlineStr"/>
      <c r="AL129" s="30" t="inlineStr"/>
      <c r="AM129" s="30" t="inlineStr"/>
      <c r="AN129" s="30" t="n"/>
      <c r="AO129" s="30" t="inlineStr"/>
      <c r="AP129" s="30" t="inlineStr"/>
      <c r="AQ129" s="30" t="inlineStr"/>
      <c r="AR129" s="30" t="inlineStr"/>
      <c r="AS129" s="30" t="inlineStr"/>
      <c r="AT129" s="30" t="inlineStr"/>
      <c r="AU129" s="30" t="inlineStr"/>
      <c r="AV129" s="30" t="inlineStr"/>
      <c r="AW129" s="30" t="inlineStr"/>
      <c r="AX129" s="30" t="inlineStr"/>
      <c r="AY129" s="30" t="inlineStr">
        <is>
          <t>1</t>
        </is>
      </c>
      <c r="AZ129" s="30" t="inlineStr">
        <is>
          <t>sept-2026</t>
        </is>
      </c>
      <c r="BA129" t="inlineStr">
        <is>
          <t>BELGIUM; CANADA; FRANCE; UNITED STATES</t>
        </is>
      </c>
      <c r="BB129" t="n">
        <v>2021</v>
      </c>
      <c r="BC129" t="n">
        <v>2024</v>
      </c>
      <c r="BD129" s="81">
        <f>0</f>
        <v/>
      </c>
      <c r="BE129" s="81">
        <f>IFERROR((IF(ISNUMBER(T129),MIN(T129/30,1),0)+IF(ISNUMBER(P129),MIN(P129/500,1),0))/2,0)</f>
        <v/>
      </c>
      <c r="BF129" s="81">
        <f>IFERROR(IF(OR(U129&lt;&gt;"",V129="SÍ"),IF(ISNUMBER(L129),(1*MIN(L129/10000,1))^0.5,0),IF(ISNUMBER(L129),(0*MIN(L129/10000,1))^0.5,0)),0)</f>
        <v/>
      </c>
    </row>
    <row r="130">
      <c r="A130" t="inlineStr">
        <is>
          <t>MIDAGRI; CENACOOP; CENCOOP 2017</t>
        </is>
      </c>
      <c r="B130" s="70" t="inlineStr">
        <is>
          <t>20601214505</t>
        </is>
      </c>
      <c r="C130" s="29" t="inlineStr">
        <is>
          <t>Cooperativa Agraria y de Servicios Múltiples Ilucan</t>
        </is>
      </c>
      <c r="D130" s="29" t="inlineStr"/>
      <c r="E130" s="29" t="inlineStr">
        <is>
          <t>VENTA AL POR MENOR DE ALIMENTOS, BEBIDAS Y TABACO EN ALMACENES ESPECIALIZADOS</t>
        </is>
      </c>
      <c r="F130" s="29" t="inlineStr">
        <is>
          <t>Cajamarca</t>
        </is>
      </c>
      <c r="G130" s="29" t="inlineStr">
        <is>
          <t>Cutervo</t>
        </is>
      </c>
      <c r="H130" s="29" t="inlineStr">
        <is>
          <t>—</t>
        </is>
      </c>
      <c r="I130" s="29" t="inlineStr">
        <is>
          <t>—</t>
        </is>
      </c>
      <c r="J130" s="29" t="n"/>
      <c r="K130" s="29" t="inlineStr">
        <is>
          <t>NO</t>
        </is>
      </c>
      <c r="L130" s="29" t="n"/>
      <c r="M130" s="29" t="n"/>
      <c r="N130" s="29" t="n"/>
      <c r="O130" s="29" t="n"/>
      <c r="P130" s="29" t="inlineStr"/>
      <c r="Q130" s="29" t="inlineStr"/>
      <c r="R130" s="18" t="inlineStr">
        <is>
          <t>2575.0</t>
        </is>
      </c>
      <c r="S130" s="29" t="inlineStr"/>
      <c r="T130" s="29" t="inlineStr"/>
      <c r="U130" s="18" t="inlineStr"/>
      <c r="V130" s="18" t="inlineStr">
        <is>
          <t>NO</t>
        </is>
      </c>
      <c r="W130" s="18" t="inlineStr">
        <is>
          <t>—</t>
        </is>
      </c>
      <c r="X130" s="18" t="inlineStr">
        <is>
          <t>—</t>
        </is>
      </c>
      <c r="Y130" s="18" t="inlineStr"/>
      <c r="Z130" s="29" t="inlineStr">
        <is>
          <t>—</t>
        </is>
      </c>
      <c r="AA130" s="29" t="b">
        <v>0</v>
      </c>
      <c r="AB130" s="29" t="b">
        <v>1</v>
      </c>
      <c r="AC130" s="29" t="b">
        <v>1</v>
      </c>
      <c r="AD130" s="19" t="inlineStr">
        <is>
          <t>SI</t>
        </is>
      </c>
      <c r="AE130" s="29" t="inlineStr">
        <is>
          <t>COOPERATIVA AGRARIA Y DE SERVICIOS MULTIPLES ILUCAN</t>
        </is>
      </c>
      <c r="AF130" s="29" t="inlineStr">
        <is>
          <t>CAJAMARCA</t>
        </is>
      </c>
      <c r="AG130" s="29" t="inlineStr">
        <is>
          <t>CUTERVO</t>
        </is>
      </c>
      <c r="AH130" s="29" t="inlineStr">
        <is>
          <t>CALLAYUC</t>
        </is>
      </c>
      <c r="AI130" s="29" t="inlineStr">
        <is>
          <t>CHIPLE</t>
        </is>
      </c>
      <c r="AJ130" s="29" t="inlineStr">
        <is>
          <t>OTROS TIPOS DE INTERMEDIACIÓN MONETARIA.</t>
        </is>
      </c>
      <c r="AK130" s="29" t="inlineStr">
        <is>
          <t>1.0</t>
        </is>
      </c>
      <c r="AL130" s="29" t="inlineStr">
        <is>
          <t>1.0</t>
        </is>
      </c>
      <c r="AM130" s="29" t="inlineStr">
        <is>
          <t>1.0</t>
        </is>
      </c>
      <c r="AN130" s="29" t="n">
        <v>1</v>
      </c>
      <c r="AO130" s="29" t="inlineStr">
        <is>
          <t>ROJAS CASTRO JUAN</t>
        </is>
      </c>
      <c r="AP130" s="29" t="inlineStr">
        <is>
          <t>INGENIERO ZOOTECNISTA</t>
        </is>
      </c>
      <c r="AQ130" s="29" t="inlineStr">
        <is>
          <t>10.0</t>
        </is>
      </c>
      <c r="AR130" s="29" t="inlineStr">
        <is>
          <t>NO TIENE</t>
        </is>
      </c>
      <c r="AS130" s="29" t="inlineStr">
        <is>
          <t>NO TIENE</t>
        </is>
      </c>
      <c r="AT130" s="29" t="inlineStr">
        <is>
          <t>NO TIENE</t>
        </is>
      </c>
      <c r="AU130" s="29" t="inlineStr">
        <is>
          <t>-6.048411666666667</t>
        </is>
      </c>
      <c r="AV130" s="29" t="inlineStr">
        <is>
          <t>-78.899485</t>
        </is>
      </c>
      <c r="AW130" s="29" t="inlineStr">
        <is>
          <t>2016.0</t>
        </is>
      </c>
      <c r="AX130" s="29" t="inlineStr">
        <is>
          <t>2016.0</t>
        </is>
      </c>
      <c r="AY130" s="29" t="inlineStr">
        <is>
          <t>2</t>
        </is>
      </c>
      <c r="AZ130" s="29" t="inlineStr">
        <is>
          <t>sept-2026</t>
        </is>
      </c>
      <c r="BD130" s="81">
        <f>0</f>
        <v/>
      </c>
      <c r="BE130" s="81">
        <f>IFERROR((IF(ISNUMBER(T130),MIN(T130/30,1),0)+IF(ISNUMBER(P130),MIN(P130/500,1),0))/2,0)</f>
        <v/>
      </c>
      <c r="BF130" s="81">
        <f>IFERROR(IF(OR(U130&lt;&gt;"",V130="SÍ"),IF(ISNUMBER(L130),(1*MIN(L130/10000,1))^0.5,0),IF(ISNUMBER(L130),(0*MIN(L130/10000,1))^0.5,0)),0)</f>
        <v/>
      </c>
    </row>
    <row r="131">
      <c r="A131" t="inlineStr">
        <is>
          <t>MIDAGRI; CENCOOP 2017</t>
        </is>
      </c>
      <c r="B131" s="70" t="inlineStr">
        <is>
          <t>20601971624</t>
        </is>
      </c>
      <c r="C131" s="30" t="inlineStr">
        <is>
          <t>Cooperativa Agraria y de Servicios Múltiples Valle Tabaconas</t>
        </is>
      </c>
      <c r="D131" s="30" t="inlineStr"/>
      <c r="E131" s="30" t="inlineStr">
        <is>
          <t>VENTA AL POR MENOR DE ALIMENTOS, BEBIDAS Y TABACO EN ALMACENES ESPECIALIZADOS</t>
        </is>
      </c>
      <c r="F131" s="30" t="inlineStr">
        <is>
          <t>Cajamarca</t>
        </is>
      </c>
      <c r="G131" s="30" t="inlineStr">
        <is>
          <t>San Ignacio</t>
        </is>
      </c>
      <c r="H131" s="30" t="inlineStr">
        <is>
          <t>—</t>
        </is>
      </c>
      <c r="I131" s="30" t="inlineStr">
        <is>
          <t>—</t>
        </is>
      </c>
      <c r="J131" s="30" t="n"/>
      <c r="K131" s="30" t="inlineStr">
        <is>
          <t>NO</t>
        </is>
      </c>
      <c r="L131" s="30" t="n"/>
      <c r="M131" s="30" t="n"/>
      <c r="N131" s="30" t="n"/>
      <c r="O131" s="30" t="n"/>
      <c r="P131" s="30" t="inlineStr"/>
      <c r="Q131" s="30" t="inlineStr"/>
      <c r="R131" s="14" t="inlineStr">
        <is>
          <t>2575.0</t>
        </is>
      </c>
      <c r="S131" s="30" t="inlineStr"/>
      <c r="T131" s="30" t="inlineStr"/>
      <c r="U131" s="14" t="inlineStr"/>
      <c r="V131" s="14" t="inlineStr">
        <is>
          <t>NO</t>
        </is>
      </c>
      <c r="W131" s="14" t="inlineStr">
        <is>
          <t>—</t>
        </is>
      </c>
      <c r="X131" s="14" t="inlineStr">
        <is>
          <t>—</t>
        </is>
      </c>
      <c r="Y131" s="14" t="inlineStr"/>
      <c r="Z131" s="30" t="inlineStr">
        <is>
          <t>—</t>
        </is>
      </c>
      <c r="AA131" s="30" t="b">
        <v>0</v>
      </c>
      <c r="AB131" s="30" t="b">
        <v>1</v>
      </c>
      <c r="AC131" s="30" t="b">
        <v>0</v>
      </c>
      <c r="AD131" s="19" t="inlineStr">
        <is>
          <t>SI</t>
        </is>
      </c>
      <c r="AE131" s="30" t="inlineStr">
        <is>
          <t>COOPERATIVA AGRARIA Y DE SERVICIOS MULTIPLES VALLE TABACONAS - COOPAVAT</t>
        </is>
      </c>
      <c r="AF131" s="30" t="inlineStr">
        <is>
          <t>CAJAMARCA</t>
        </is>
      </c>
      <c r="AG131" s="30" t="inlineStr">
        <is>
          <t>JAEN</t>
        </is>
      </c>
      <c r="AH131" s="30" t="inlineStr">
        <is>
          <t>BELLAVISTA</t>
        </is>
      </c>
      <c r="AI131" s="30" t="inlineStr">
        <is>
          <t>AMBATO TAMBORAPO</t>
        </is>
      </c>
      <c r="AJ131" s="30" t="inlineStr">
        <is>
          <t>ACTIVIDADES DE OTRAS ASOCIACIONES N.C.P.</t>
        </is>
      </c>
      <c r="AK131" s="30" t="inlineStr">
        <is>
          <t>1.0</t>
        </is>
      </c>
      <c r="AL131" s="30" t="inlineStr">
        <is>
          <t>2.0</t>
        </is>
      </c>
      <c r="AM131" s="30" t="inlineStr"/>
      <c r="AN131" s="30" t="n">
        <v>0</v>
      </c>
      <c r="AO131" s="30" t="inlineStr"/>
      <c r="AP131" s="30" t="inlineStr"/>
      <c r="AQ131" s="30" t="inlineStr"/>
      <c r="AR131" s="30" t="inlineStr">
        <is>
          <t>NO TIENE</t>
        </is>
      </c>
      <c r="AS131" s="30" t="inlineStr">
        <is>
          <t>NO TIENE</t>
        </is>
      </c>
      <c r="AT131" s="30" t="inlineStr">
        <is>
          <t>NO TIENE</t>
        </is>
      </c>
      <c r="AU131" s="30" t="inlineStr">
        <is>
          <t>-5.451919999999999</t>
        </is>
      </c>
      <c r="AV131" s="30" t="inlineStr">
        <is>
          <t>-78.83257833333333</t>
        </is>
      </c>
      <c r="AW131" s="30" t="inlineStr">
        <is>
          <t>2017.0</t>
        </is>
      </c>
      <c r="AX131" s="30" t="inlineStr">
        <is>
          <t>2017.0</t>
        </is>
      </c>
      <c r="AY131" s="30" t="inlineStr">
        <is>
          <t>1</t>
        </is>
      </c>
      <c r="AZ131" s="30" t="inlineStr">
        <is>
          <t>sept-2026</t>
        </is>
      </c>
      <c r="BD131" s="81">
        <f>0</f>
        <v/>
      </c>
      <c r="BE131" s="81">
        <f>IFERROR((IF(ISNUMBER(T131),MIN(T131/30,1),0)+IF(ISNUMBER(P131),MIN(P131/500,1),0))/2,0)</f>
        <v/>
      </c>
      <c r="BF131" s="81">
        <f>IFERROR(IF(OR(U131&lt;&gt;"",V131="SÍ"),IF(ISNUMBER(L131),(1*MIN(L131/10000,1))^0.5,0),IF(ISNUMBER(L131),(0*MIN(L131/10000,1))^0.5,0)),0)</f>
        <v/>
      </c>
    </row>
    <row r="132">
      <c r="A132" t="inlineStr">
        <is>
          <t>PAC; MIDAGRI</t>
        </is>
      </c>
      <c r="B132" s="70" t="inlineStr">
        <is>
          <t>20479548600</t>
        </is>
      </c>
      <c r="C132" s="29" t="inlineStr">
        <is>
          <t>Cooperativa Agraria y de Servicios Unión de Cafetaleros Ecológicos</t>
        </is>
      </c>
      <c r="D132" s="29" t="inlineStr"/>
      <c r="E132" s="29" t="inlineStr">
        <is>
          <t>VENTA AL POR MENOR DE ALIMENTOS, BEBIDAS Y TABACO EN ALMACENES ESPECIALIZADOS</t>
        </is>
      </c>
      <c r="F132" s="29" t="inlineStr">
        <is>
          <t>Cajamarca</t>
        </is>
      </c>
      <c r="G132" s="29" t="inlineStr">
        <is>
          <t>San Ignacio</t>
        </is>
      </c>
      <c r="H132" s="29" t="inlineStr">
        <is>
          <t>San Ignacio, Cajamarca</t>
        </is>
      </c>
      <c r="I132" s="29" t="inlineStr">
        <is>
          <t>Café</t>
        </is>
      </c>
      <c r="J132" s="29" t="inlineStr">
        <is>
          <t>SI</t>
        </is>
      </c>
      <c r="K132" s="29" t="inlineStr">
        <is>
          <t>NO</t>
        </is>
      </c>
      <c r="L132" s="29" t="n">
        <v>2470862.41</v>
      </c>
      <c r="M132" s="29" t="n">
        <v>49898948.43</v>
      </c>
      <c r="N132" s="29" t="n">
        <v>333</v>
      </c>
      <c r="O132" s="29" t="n">
        <v>11</v>
      </c>
      <c r="P132" s="29" t="inlineStr"/>
      <c r="Q132" s="29" t="inlineStr"/>
      <c r="R132" s="18" t="inlineStr">
        <is>
          <t>2575.0</t>
        </is>
      </c>
      <c r="S132" s="29" t="inlineStr"/>
      <c r="T132" s="29" t="inlineStr"/>
      <c r="U132" s="18" t="inlineStr"/>
      <c r="V132" s="15" t="inlineStr">
        <is>
          <t>SÍ</t>
        </is>
      </c>
      <c r="W132" s="18" t="inlineStr">
        <is>
          <t>Luis Alberto Villegas García</t>
        </is>
      </c>
      <c r="X132" s="18" t="inlineStr">
        <is>
          <t>Director JNC 2024-2027</t>
        </is>
      </c>
      <c r="Y132" s="18" t="inlineStr"/>
      <c r="Z132" s="29" t="inlineStr">
        <is>
          <t>No disponible — requiere consulta directa (SUNAT/RUC.PE) o solicitud a la organización</t>
        </is>
      </c>
      <c r="AA132" s="29" t="b">
        <v>1</v>
      </c>
      <c r="AB132" s="29" t="b">
        <v>1</v>
      </c>
      <c r="AC132" s="29" t="b">
        <v>0</v>
      </c>
      <c r="AD132" s="29" t="inlineStr">
        <is>
          <t>NO</t>
        </is>
      </c>
      <c r="AE132" s="29" t="inlineStr"/>
      <c r="AF132" s="29" t="inlineStr"/>
      <c r="AG132" s="29" t="inlineStr"/>
      <c r="AH132" s="29" t="inlineStr"/>
      <c r="AI132" s="29" t="inlineStr"/>
      <c r="AJ132" s="29" t="inlineStr"/>
      <c r="AK132" s="29" t="inlineStr"/>
      <c r="AL132" s="29" t="inlineStr"/>
      <c r="AM132" s="29" t="inlineStr"/>
      <c r="AN132" s="29" t="n"/>
      <c r="AO132" s="29" t="inlineStr"/>
      <c r="AP132" s="29" t="inlineStr"/>
      <c r="AQ132" s="29" t="inlineStr"/>
      <c r="AR132" s="29" t="inlineStr"/>
      <c r="AS132" s="29" t="inlineStr"/>
      <c r="AT132" s="29" t="inlineStr"/>
      <c r="AU132" s="29" t="inlineStr"/>
      <c r="AV132" s="29" t="inlineStr"/>
      <c r="AW132" s="29" t="inlineStr"/>
      <c r="AX132" s="29" t="inlineStr"/>
      <c r="AY132" s="29" t="inlineStr">
        <is>
          <t>2</t>
        </is>
      </c>
      <c r="AZ132" s="29" t="inlineStr">
        <is>
          <t>sept-2026</t>
        </is>
      </c>
      <c r="BA132" t="inlineStr">
        <is>
          <t>AUSTRALIA; BELGIUM; CANADA; FRANCE; GERMANY; ITALY; NETHERLANDS; NEW ZEALAND; SWEDEN; UNITED KINGDOM; UNITED STATES</t>
        </is>
      </c>
      <c r="BB132" t="n">
        <v>2010</v>
      </c>
      <c r="BC132" t="n">
        <v>2025</v>
      </c>
      <c r="BD132" s="81">
        <f>0</f>
        <v/>
      </c>
      <c r="BE132" s="81">
        <f>IFERROR((IF(ISNUMBER(T132),MIN(T132/30,1),0)+IF(ISNUMBER(P132),MIN(P132/500,1),0))/2,0)</f>
        <v/>
      </c>
      <c r="BF132" s="81">
        <f>IFERROR(IF(OR(U132&lt;&gt;"",V132="SÍ"),IF(ISNUMBER(L132),(1*MIN(L132/10000,1))^0.5,0),IF(ISNUMBER(L132),(0*MIN(L132/10000,1))^0.5,0)),0)</f>
        <v/>
      </c>
    </row>
    <row r="133">
      <c r="A133" t="inlineStr">
        <is>
          <t>PAC; MIDAGRI; CENACOOP; CENCOOP 2017; SISPAC</t>
        </is>
      </c>
      <c r="B133" s="70" t="inlineStr">
        <is>
          <t>20136201213</t>
        </is>
      </c>
      <c r="C133" s="30" t="inlineStr">
        <is>
          <t>Central De Cooperativas Agrarias Cafetaleras Cocla Ltda. N° 281</t>
        </is>
      </c>
      <c r="D133" s="30" t="inlineStr"/>
      <c r="E133" s="30" t="inlineStr">
        <is>
          <t>—</t>
        </is>
      </c>
      <c r="F133" s="30" t="inlineStr">
        <is>
          <t>Cusco</t>
        </is>
      </c>
      <c r="G133" s="30" t="inlineStr">
        <is>
          <t>La Convención</t>
        </is>
      </c>
      <c r="H133" s="30" t="inlineStr">
        <is>
          <t>Cusco (Quillabamba, La Convención)</t>
        </is>
      </c>
      <c r="I133" s="30" t="inlineStr">
        <is>
          <t>Café</t>
        </is>
      </c>
      <c r="J133" s="17" t="inlineStr">
        <is>
          <t>SI</t>
        </is>
      </c>
      <c r="K133" s="30" t="inlineStr">
        <is>
          <t>SÍ</t>
        </is>
      </c>
      <c r="L133" s="30" t="n">
        <v>1446154.37</v>
      </c>
      <c r="M133" s="30" t="n">
        <v>180257191.84</v>
      </c>
      <c r="N133" s="30" t="n">
        <v>650</v>
      </c>
      <c r="O133" s="30" t="n">
        <v>29</v>
      </c>
      <c r="P133" s="30" t="inlineStr"/>
      <c r="Q133" s="30" t="inlineStr"/>
      <c r="R133" s="14" t="inlineStr">
        <is>
          <t>—</t>
        </is>
      </c>
      <c r="S133" s="30" t="inlineStr"/>
      <c r="T133" s="30" t="inlineStr"/>
      <c r="U133" s="14" t="inlineStr"/>
      <c r="V133" s="15" t="inlineStr">
        <is>
          <t>SÍ</t>
        </is>
      </c>
      <c r="W133" s="14" t="inlineStr">
        <is>
          <t>—</t>
        </is>
      </c>
      <c r="X133" s="14" t="inlineStr">
        <is>
          <t>Central de 2° grado, 22 cooperativas primarias</t>
        </is>
      </c>
      <c r="Y133" s="14" t="inlineStr"/>
      <c r="Z133" s="30" t="inlineStr">
        <is>
          <t>No disponible — requiere consulta directa (SUNAT/RUC.PE) o solicitud a la organización</t>
        </is>
      </c>
      <c r="AA133" s="30" t="b">
        <v>1</v>
      </c>
      <c r="AB133" s="30" t="b">
        <v>1</v>
      </c>
      <c r="AC133" s="30" t="b">
        <v>1</v>
      </c>
      <c r="AD133" s="19" t="inlineStr">
        <is>
          <t>SI</t>
        </is>
      </c>
      <c r="AE133" s="30" t="inlineStr">
        <is>
          <t>CENTRAL DE COOPERATIVAS AGRARIAS CAFETALERAS COCLA LTDA. N° 281</t>
        </is>
      </c>
      <c r="AF133" s="30" t="inlineStr">
        <is>
          <t>CUSCO</t>
        </is>
      </c>
      <c r="AG133" s="30" t="inlineStr">
        <is>
          <t>LA CONVENCION</t>
        </is>
      </c>
      <c r="AH133" s="30" t="inlineStr">
        <is>
          <t>SANTA ANA</t>
        </is>
      </c>
      <c r="AI133" s="30" t="inlineStr">
        <is>
          <t>QUILLABAMBA</t>
        </is>
      </c>
      <c r="AJ133" s="30" t="inlineStr">
        <is>
          <t>VENTA AL POR MAYOR NO ESPECIALIZADA</t>
        </is>
      </c>
      <c r="AK133" s="30" t="inlineStr">
        <is>
          <t>15.0</t>
        </is>
      </c>
      <c r="AL133" s="30" t="inlineStr">
        <is>
          <t>1.0</t>
        </is>
      </c>
      <c r="AM133" s="30" t="inlineStr">
        <is>
          <t>3.0</t>
        </is>
      </c>
      <c r="AN133" s="30" t="n">
        <v>51</v>
      </c>
      <c r="AO133" s="30" t="inlineStr">
        <is>
          <t>AGUILAR LOZANO GUILLERMO</t>
        </is>
      </c>
      <c r="AP133" s="30" t="inlineStr">
        <is>
          <t>ADMINISTRADOR</t>
        </is>
      </c>
      <c r="AQ133" s="30" t="inlineStr">
        <is>
          <t>10.0</t>
        </is>
      </c>
      <c r="AR133" s="30" t="inlineStr">
        <is>
          <t>WWW.COCLAPERU.COM</t>
        </is>
      </c>
      <c r="AS133" s="30" t="inlineStr">
        <is>
          <t>COCLA@COCLAPERU.COM</t>
        </is>
      </c>
      <c r="AT133" s="30" t="inlineStr">
        <is>
          <t>984695559</t>
        </is>
      </c>
      <c r="AU133" s="30" t="inlineStr">
        <is>
          <t>-12.876176666666668</t>
        </is>
      </c>
      <c r="AV133" s="30" t="inlineStr">
        <is>
          <t>-72.69145333333333</t>
        </is>
      </c>
      <c r="AW133" s="30" t="inlineStr">
        <is>
          <t>1966.0</t>
        </is>
      </c>
      <c r="AX133" s="30" t="inlineStr">
        <is>
          <t>1966.0</t>
        </is>
      </c>
      <c r="AY133" s="30" t="inlineStr">
        <is>
          <t>3</t>
        </is>
      </c>
      <c r="AZ133" s="30" t="inlineStr">
        <is>
          <t>sept-2026</t>
        </is>
      </c>
      <c r="BA133" t="inlineStr">
        <is>
          <t>AUSTRALIA; BELGIUM; CANADA; COLOMBIA; COSTA RICA; DENMARK; EL SALVADOR; FINLAND; FRANCE; GERMANY; GREECE; ICELAND; INDIA; IRELAND; ITALY; JAPAN; KOREA, REPUBLIC OF; MALAYSIA; MEXICO; NETHERLANDS; NEW ZEALAND; NORWAY; ROMANIA; SINGAPORE; SPAIN; SWEDEN; SWITZERLAND; UNITED KINGDOM; UNITED STATES</t>
        </is>
      </c>
      <c r="BB133" t="n">
        <v>2010</v>
      </c>
      <c r="BC133" t="n">
        <v>2025</v>
      </c>
      <c r="BD133" s="81">
        <f>0</f>
        <v/>
      </c>
      <c r="BE133" s="81">
        <f>IFERROR((IF(ISNUMBER(T133),MIN(T133/30,1),0)+IF(ISNUMBER(P133),MIN(P133/500,1),0))/2,0)</f>
        <v/>
      </c>
      <c r="BF133" s="81">
        <f>IFERROR(IF(OR(U133&lt;&gt;"",V133="SÍ"),IF(ISNUMBER(L133),(1*MIN(L133/10000,1))^0.5,0),IF(ISNUMBER(L133),(0*MIN(L133/10000,1))^0.5,0)),0)</f>
        <v/>
      </c>
      <c r="BG133" t="n">
        <v>61</v>
      </c>
      <c r="BH133" t="n">
        <v>35</v>
      </c>
      <c r="BI133" t="n">
        <v>10</v>
      </c>
      <c r="BJ133" t="n">
        <v>0</v>
      </c>
      <c r="BK133" t="n">
        <v>0</v>
      </c>
      <c r="BL133" t="n">
        <v>57</v>
      </c>
      <c r="BM133" t="n">
        <v>0</v>
      </c>
      <c r="BN133" t="n">
        <v>61</v>
      </c>
      <c r="BO133" t="n">
        <v>5</v>
      </c>
      <c r="BP133" t="n">
        <v>0</v>
      </c>
      <c r="BQ133" t="n">
        <v>0</v>
      </c>
      <c r="BR133" t="n">
        <v>7</v>
      </c>
      <c r="BS133" t="n">
        <v>0</v>
      </c>
      <c r="BT133" t="n">
        <v>2</v>
      </c>
      <c r="BU133" t="n">
        <v>20</v>
      </c>
      <c r="BV133" t="n">
        <v>0</v>
      </c>
      <c r="BW133" t="n">
        <v>1</v>
      </c>
      <c r="BX133" t="n">
        <v>0</v>
      </c>
      <c r="BY133" t="n">
        <v>1</v>
      </c>
      <c r="BZ133" t="n">
        <v>0.5738</v>
      </c>
      <c r="CA133" t="n">
        <v>0.9344</v>
      </c>
      <c r="CB133" t="n">
        <v>0</v>
      </c>
      <c r="CC133" t="n">
        <v>0.082</v>
      </c>
      <c r="CD133" t="n">
        <v>0.7377</v>
      </c>
      <c r="CE133" t="n">
        <v>0.0601</v>
      </c>
      <c r="CF133" t="n">
        <v>0.4385</v>
      </c>
    </row>
    <row r="134">
      <c r="A134" t="inlineStr">
        <is>
          <t>MIDAGRI; CENCOOP 2017</t>
        </is>
      </c>
      <c r="B134" s="70" t="inlineStr">
        <is>
          <t>20136203003</t>
        </is>
      </c>
      <c r="C134" s="29" t="inlineStr">
        <is>
          <t>Central de Cooperativas Agrarias Te Huyro Ltda. N° 43</t>
        </is>
      </c>
      <c r="D134" s="29" t="inlineStr"/>
      <c r="E134" s="29" t="inlineStr">
        <is>
          <t>—</t>
        </is>
      </c>
      <c r="F134" s="29" t="inlineStr">
        <is>
          <t>Cusco</t>
        </is>
      </c>
      <c r="G134" s="29" t="inlineStr">
        <is>
          <t>La Convención</t>
        </is>
      </c>
      <c r="H134" s="29" t="inlineStr">
        <is>
          <t>—</t>
        </is>
      </c>
      <c r="I134" s="29" t="inlineStr">
        <is>
          <t>—</t>
        </is>
      </c>
      <c r="J134" s="29" t="n"/>
      <c r="K134" s="29" t="inlineStr">
        <is>
          <t>NO</t>
        </is>
      </c>
      <c r="L134" s="29" t="n"/>
      <c r="M134" s="29" t="n"/>
      <c r="N134" s="29" t="n"/>
      <c r="O134" s="29" t="n"/>
      <c r="P134" s="29" t="inlineStr"/>
      <c r="Q134" s="29" t="inlineStr"/>
      <c r="R134" s="18" t="inlineStr">
        <is>
          <t>—</t>
        </is>
      </c>
      <c r="S134" s="29" t="inlineStr"/>
      <c r="T134" s="29" t="inlineStr"/>
      <c r="U134" s="18" t="inlineStr"/>
      <c r="V134" s="18" t="inlineStr">
        <is>
          <t>NO</t>
        </is>
      </c>
      <c r="W134" s="18" t="inlineStr">
        <is>
          <t>—</t>
        </is>
      </c>
      <c r="X134" s="18" t="inlineStr">
        <is>
          <t>—</t>
        </is>
      </c>
      <c r="Y134" s="18" t="inlineStr"/>
      <c r="Z134" s="29" t="inlineStr">
        <is>
          <t>—</t>
        </is>
      </c>
      <c r="AA134" s="29" t="b">
        <v>0</v>
      </c>
      <c r="AB134" s="29" t="b">
        <v>1</v>
      </c>
      <c r="AC134" s="29" t="b">
        <v>0</v>
      </c>
      <c r="AD134" s="19" t="inlineStr">
        <is>
          <t>SI</t>
        </is>
      </c>
      <c r="AE134" s="29" t="inlineStr">
        <is>
          <t>CENTRAL DE COOPERATIVAS AGRARIAS TE HUYRO LTDA. Nº 43</t>
        </is>
      </c>
      <c r="AF134" s="29" t="inlineStr">
        <is>
          <t>CUSCO</t>
        </is>
      </c>
      <c r="AG134" s="29" t="inlineStr">
        <is>
          <t>LA CONVENCION</t>
        </is>
      </c>
      <c r="AH134" s="29" t="inlineStr">
        <is>
          <t>HUAYOPATA</t>
        </is>
      </c>
      <c r="AI134" s="29" t="inlineStr">
        <is>
          <t>HUYRO ANTIGUO</t>
        </is>
      </c>
      <c r="AJ134" s="29" t="inlineStr">
        <is>
          <t>ELABORACIÓN DE OTROS PRODUCTOS ALIMENTICIOS N.C.P.</t>
        </is>
      </c>
      <c r="AK134" s="29" t="inlineStr">
        <is>
          <t>15.0</t>
        </is>
      </c>
      <c r="AL134" s="29" t="inlineStr">
        <is>
          <t>2.0</t>
        </is>
      </c>
      <c r="AM134" s="29" t="inlineStr"/>
      <c r="AN134" s="29" t="n">
        <v>47</v>
      </c>
      <c r="AO134" s="29" t="inlineStr"/>
      <c r="AP134" s="29" t="inlineStr"/>
      <c r="AQ134" s="29" t="inlineStr"/>
      <c r="AR134" s="29" t="inlineStr">
        <is>
          <t>NO TIENE</t>
        </is>
      </c>
      <c r="AS134" s="29" t="inlineStr">
        <is>
          <t>NO TIENE</t>
        </is>
      </c>
      <c r="AT134" s="29" t="inlineStr">
        <is>
          <t>998569667</t>
        </is>
      </c>
      <c r="AU134" s="29" t="inlineStr">
        <is>
          <t>-13.004480000000001</t>
        </is>
      </c>
      <c r="AV134" s="29" t="inlineStr">
        <is>
          <t>-72.558605</t>
        </is>
      </c>
      <c r="AW134" s="29" t="inlineStr">
        <is>
          <t>1993.0</t>
        </is>
      </c>
      <c r="AX134" s="29" t="inlineStr">
        <is>
          <t>1970.0</t>
        </is>
      </c>
      <c r="AY134" s="29" t="inlineStr">
        <is>
          <t>1</t>
        </is>
      </c>
      <c r="AZ134" s="29" t="inlineStr">
        <is>
          <t>sept-2026</t>
        </is>
      </c>
      <c r="BD134" s="81">
        <f>0</f>
        <v/>
      </c>
      <c r="BE134" s="81">
        <f>IFERROR((IF(ISNUMBER(T134),MIN(T134/30,1),0)+IF(ISNUMBER(P134),MIN(P134/500,1),0))/2,0)</f>
        <v/>
      </c>
      <c r="BF134" s="81">
        <f>IFERROR(IF(OR(U134&lt;&gt;"",V134="SÍ"),IF(ISNUMBER(L134),(1*MIN(L134/10000,1))^0.5,0),IF(ISNUMBER(L134),(0*MIN(L134/10000,1))^0.5,0)),0)</f>
        <v/>
      </c>
    </row>
    <row r="135">
      <c r="A135" t="inlineStr">
        <is>
          <t>MIDAGRI</t>
        </is>
      </c>
      <c r="B135" s="70" t="inlineStr">
        <is>
          <t>20602657249</t>
        </is>
      </c>
      <c r="C135" s="30" t="inlineStr">
        <is>
          <t>Cooperativa Agraria Agroindustrial Q´ori Warmi Ltda.</t>
        </is>
      </c>
      <c r="D135" s="30" t="inlineStr"/>
      <c r="E135" s="30" t="inlineStr">
        <is>
          <t>VENTA AL POR MENOR DE ALIMENTOS, BEBIDAS Y TABACO EN ALMACENES ESPECIALIZADOS</t>
        </is>
      </c>
      <c r="F135" s="30" t="inlineStr">
        <is>
          <t>Cusco</t>
        </is>
      </c>
      <c r="G135" s="30" t="inlineStr">
        <is>
          <t>La Convención</t>
        </is>
      </c>
      <c r="H135" s="30" t="inlineStr">
        <is>
          <t>—</t>
        </is>
      </c>
      <c r="I135" s="30" t="inlineStr">
        <is>
          <t>—</t>
        </is>
      </c>
      <c r="J135" s="30" t="inlineStr">
        <is>
          <t>SI</t>
        </is>
      </c>
      <c r="K135" s="30" t="inlineStr">
        <is>
          <t>NO</t>
        </is>
      </c>
      <c r="L135" s="30" t="n">
        <v>82201.5</v>
      </c>
      <c r="M135" s="30" t="n">
        <v>102818.5</v>
      </c>
      <c r="N135" s="30" t="n">
        <v>5</v>
      </c>
      <c r="O135" s="30" t="n">
        <v>3</v>
      </c>
      <c r="P135" s="30" t="inlineStr"/>
      <c r="Q135" s="30" t="inlineStr"/>
      <c r="R135" s="14" t="inlineStr">
        <is>
          <t>2575.0</t>
        </is>
      </c>
      <c r="S135" s="30" t="inlineStr"/>
      <c r="T135" s="30" t="inlineStr"/>
      <c r="U135" s="14" t="inlineStr"/>
      <c r="V135" s="14" t="inlineStr">
        <is>
          <t>NO</t>
        </is>
      </c>
      <c r="W135" s="14" t="inlineStr">
        <is>
          <t>—</t>
        </is>
      </c>
      <c r="X135" s="14" t="inlineStr">
        <is>
          <t>—</t>
        </is>
      </c>
      <c r="Y135" s="14" t="inlineStr"/>
      <c r="Z135" s="30" t="inlineStr">
        <is>
          <t>—</t>
        </is>
      </c>
      <c r="AA135" s="30" t="b">
        <v>0</v>
      </c>
      <c r="AB135" s="30" t="b">
        <v>1</v>
      </c>
      <c r="AC135" s="30" t="b">
        <v>0</v>
      </c>
      <c r="AD135" s="30" t="inlineStr">
        <is>
          <t>NO</t>
        </is>
      </c>
      <c r="AE135" s="30" t="inlineStr"/>
      <c r="AF135" s="30" t="inlineStr"/>
      <c r="AG135" s="30" t="inlineStr"/>
      <c r="AH135" s="30" t="inlineStr"/>
      <c r="AI135" s="30" t="inlineStr"/>
      <c r="AJ135" s="30" t="inlineStr"/>
      <c r="AK135" s="30" t="inlineStr"/>
      <c r="AL135" s="30" t="inlineStr"/>
      <c r="AM135" s="30" t="inlineStr"/>
      <c r="AN135" s="30" t="n"/>
      <c r="AO135" s="30" t="inlineStr"/>
      <c r="AP135" s="30" t="inlineStr"/>
      <c r="AQ135" s="30" t="inlineStr"/>
      <c r="AR135" s="30" t="inlineStr"/>
      <c r="AS135" s="30" t="inlineStr"/>
      <c r="AT135" s="30" t="inlineStr"/>
      <c r="AU135" s="30" t="inlineStr"/>
      <c r="AV135" s="30" t="inlineStr"/>
      <c r="AW135" s="30" t="inlineStr"/>
      <c r="AX135" s="30" t="inlineStr"/>
      <c r="AY135" s="30" t="inlineStr">
        <is>
          <t>1</t>
        </is>
      </c>
      <c r="AZ135" s="30" t="inlineStr">
        <is>
          <t>sept-2026</t>
        </is>
      </c>
      <c r="BA135" t="inlineStr">
        <is>
          <t>BELGIUM; SPAIN; UNITED STATES</t>
        </is>
      </c>
      <c r="BB135" t="n">
        <v>2024</v>
      </c>
      <c r="BC135" t="n">
        <v>2025</v>
      </c>
      <c r="BD135" s="81">
        <f>0</f>
        <v/>
      </c>
      <c r="BE135" s="81">
        <f>IFERROR((IF(ISNUMBER(T135),MIN(T135/30,1),0)+IF(ISNUMBER(P135),MIN(P135/500,1),0))/2,0)</f>
        <v/>
      </c>
      <c r="BF135" s="81">
        <f>IFERROR(IF(OR(U135&lt;&gt;"",V135="SÍ"),IF(ISNUMBER(L135),(1*MIN(L135/10000,1))^0.5,0),IF(ISNUMBER(L135),(0*MIN(L135/10000,1))^0.5,0)),0)</f>
        <v/>
      </c>
    </row>
    <row r="136">
      <c r="A136" t="inlineStr">
        <is>
          <t>MIDAGRI; CENACOOP; CENCOOP 2017</t>
        </is>
      </c>
      <c r="B136" s="70" t="inlineStr">
        <is>
          <t>20132491217</t>
        </is>
      </c>
      <c r="C136" s="29" t="inlineStr">
        <is>
          <t>Cooperativa Agraria Cafetalera "Chaco Huaynay" Ltda. 100</t>
        </is>
      </c>
      <c r="D136" s="29" t="inlineStr"/>
      <c r="E136" s="29" t="inlineStr">
        <is>
          <t>VENTA AL POR MENOR DE ALIMENTOS, BEBIDAS Y TABACO EN ALMACENES ESPECIALIZADOS</t>
        </is>
      </c>
      <c r="F136" s="29" t="inlineStr">
        <is>
          <t>Cusco</t>
        </is>
      </c>
      <c r="G136" s="29" t="inlineStr">
        <is>
          <t>La Convención</t>
        </is>
      </c>
      <c r="H136" s="29" t="inlineStr">
        <is>
          <t>—</t>
        </is>
      </c>
      <c r="I136" s="29" t="inlineStr">
        <is>
          <t>—</t>
        </is>
      </c>
      <c r="J136" s="29" t="n"/>
      <c r="K136" s="29" t="inlineStr">
        <is>
          <t>NO</t>
        </is>
      </c>
      <c r="L136" s="29" t="n"/>
      <c r="M136" s="29" t="n"/>
      <c r="N136" s="29" t="n"/>
      <c r="O136" s="29" t="n"/>
      <c r="P136" s="29" t="inlineStr"/>
      <c r="Q136" s="29" t="inlineStr"/>
      <c r="R136" s="18" t="inlineStr">
        <is>
          <t>2575.0</t>
        </is>
      </c>
      <c r="S136" s="29" t="inlineStr"/>
      <c r="T136" s="29" t="inlineStr"/>
      <c r="U136" s="18" t="inlineStr"/>
      <c r="V136" s="18" t="inlineStr">
        <is>
          <t>NO</t>
        </is>
      </c>
      <c r="W136" s="18" t="inlineStr">
        <is>
          <t>—</t>
        </is>
      </c>
      <c r="X136" s="18" t="inlineStr">
        <is>
          <t>—</t>
        </is>
      </c>
      <c r="Y136" s="18" t="inlineStr"/>
      <c r="Z136" s="29" t="inlineStr">
        <is>
          <t>—</t>
        </is>
      </c>
      <c r="AA136" s="29" t="b">
        <v>0</v>
      </c>
      <c r="AB136" s="29" t="b">
        <v>1</v>
      </c>
      <c r="AC136" s="29" t="b">
        <v>1</v>
      </c>
      <c r="AD136" s="19" t="inlineStr">
        <is>
          <t>SI</t>
        </is>
      </c>
      <c r="AE136" s="29" t="inlineStr">
        <is>
          <t>COOPERATIVA AGRARIA CAFETALERA CHACO HUAYANAY L</t>
        </is>
      </c>
      <c r="AF136" s="29" t="inlineStr">
        <is>
          <t>CUSCO</t>
        </is>
      </c>
      <c r="AG136" s="29" t="inlineStr">
        <is>
          <t>LA CONVENCION</t>
        </is>
      </c>
      <c r="AH136" s="29" t="inlineStr">
        <is>
          <t>SANTA ANA</t>
        </is>
      </c>
      <c r="AI136" s="29" t="inlineStr">
        <is>
          <t>QUILLABAMBA</t>
        </is>
      </c>
      <c r="AJ136" s="29" t="inlineStr">
        <is>
          <t>VENTA AL POR MAYOR DE ALIMENTOS, BEBIDAS Y TABACO.</t>
        </is>
      </c>
      <c r="AK136" s="29" t="inlineStr">
        <is>
          <t>1.0</t>
        </is>
      </c>
      <c r="AL136" s="29" t="inlineStr">
        <is>
          <t>1.0</t>
        </is>
      </c>
      <c r="AM136" s="29" t="inlineStr">
        <is>
          <t>1.0</t>
        </is>
      </c>
      <c r="AN136" s="29" t="n">
        <v>51</v>
      </c>
      <c r="AO136" s="29" t="inlineStr">
        <is>
          <t>VERA REBOLLAR MAR EMMA LUISA</t>
        </is>
      </c>
      <c r="AP136" s="29" t="inlineStr">
        <is>
          <t>SECRETARIA EJECUTIVA</t>
        </is>
      </c>
      <c r="AQ136" s="29" t="inlineStr">
        <is>
          <t>8.0</t>
        </is>
      </c>
      <c r="AR136" s="29" t="inlineStr">
        <is>
          <t>NO TIENE</t>
        </is>
      </c>
      <c r="AS136" s="29" t="inlineStr">
        <is>
          <t>CACCHACOHUAYANAY@HOTMAIL.COM</t>
        </is>
      </c>
      <c r="AT136" s="29" t="inlineStr">
        <is>
          <t>984326879</t>
        </is>
      </c>
      <c r="AU136" s="29" t="inlineStr">
        <is>
          <t>-12.865703333333332</t>
        </is>
      </c>
      <c r="AV136" s="29" t="inlineStr">
        <is>
          <t>-72.69217</t>
        </is>
      </c>
      <c r="AW136" s="29" t="inlineStr">
        <is>
          <t>1966.0</t>
        </is>
      </c>
      <c r="AX136" s="29" t="inlineStr">
        <is>
          <t>1966.0</t>
        </is>
      </c>
      <c r="AY136" s="29" t="inlineStr">
        <is>
          <t>2</t>
        </is>
      </c>
      <c r="AZ136" s="29" t="inlineStr">
        <is>
          <t>sept-2026</t>
        </is>
      </c>
      <c r="BD136" s="81">
        <f>0</f>
        <v/>
      </c>
      <c r="BE136" s="81">
        <f>IFERROR((IF(ISNUMBER(T136),MIN(T136/30,1),0)+IF(ISNUMBER(P136),MIN(P136/500,1),0))/2,0)</f>
        <v/>
      </c>
      <c r="BF136" s="81">
        <f>IFERROR(IF(OR(U136&lt;&gt;"",V136="SÍ"),IF(ISNUMBER(L136),(1*MIN(L136/10000,1))^0.5,0),IF(ISNUMBER(L136),(0*MIN(L136/10000,1))^0.5,0)),0)</f>
        <v/>
      </c>
    </row>
    <row r="137">
      <c r="A137" t="inlineStr">
        <is>
          <t>PAC; MIDAGRI; CENACOOP; CENCOOP 2017; SISPAC</t>
        </is>
      </c>
      <c r="B137" s="70" t="inlineStr">
        <is>
          <t>20136201132</t>
        </is>
      </c>
      <c r="C137" s="30" t="inlineStr">
        <is>
          <t>Cooperativa Agraria Cafetalera Alto Urubamba Ltda. Nº 239</t>
        </is>
      </c>
      <c r="D137" s="30" t="inlineStr"/>
      <c r="E137" s="30" t="inlineStr">
        <is>
          <t>VENTA AL POR MENOR DE ALIMENTOS, BEBIDAS Y TABACO EN ALMACENES ESPECIALIZADOS</t>
        </is>
      </c>
      <c r="F137" s="30" t="inlineStr">
        <is>
          <t>Cusco</t>
        </is>
      </c>
      <c r="G137" s="30" t="inlineStr">
        <is>
          <t>La Convención</t>
        </is>
      </c>
      <c r="H137" s="30" t="inlineStr">
        <is>
          <t>Cusco (Quillabamba, La Convención)</t>
        </is>
      </c>
      <c r="I137" s="30" t="inlineStr">
        <is>
          <t>Café / Cacao</t>
        </is>
      </c>
      <c r="J137" s="17" t="inlineStr">
        <is>
          <t>SI</t>
        </is>
      </c>
      <c r="K137" s="30" t="inlineStr">
        <is>
          <t>SÍ</t>
        </is>
      </c>
      <c r="L137" s="30" t="n">
        <v>120170.56</v>
      </c>
      <c r="M137" s="30" t="n">
        <v>3146737.04</v>
      </c>
      <c r="N137" s="30" t="n">
        <v>44</v>
      </c>
      <c r="O137" s="30" t="n">
        <v>12</v>
      </c>
      <c r="P137" s="30" t="inlineStr"/>
      <c r="Q137" s="30" t="inlineStr"/>
      <c r="R137" s="14" t="inlineStr">
        <is>
          <t>2575.0</t>
        </is>
      </c>
      <c r="S137" s="30" t="inlineStr"/>
      <c r="T137" s="30" t="inlineStr"/>
      <c r="U137" s="14" t="inlineStr"/>
      <c r="V137" s="15" t="inlineStr">
        <is>
          <t>SÍ</t>
        </is>
      </c>
      <c r="W137" s="14" t="inlineStr">
        <is>
          <t>—</t>
        </is>
      </c>
      <c r="X137" s="14" t="inlineStr">
        <is>
          <t>—</t>
        </is>
      </c>
      <c r="Y137" s="14" t="inlineStr"/>
      <c r="Z137" s="30" t="inlineStr">
        <is>
          <t>No disponible — requiere consulta directa (SUNAT/RUC.PE) o solicitud a la organización</t>
        </is>
      </c>
      <c r="AA137" s="30" t="b">
        <v>1</v>
      </c>
      <c r="AB137" s="30" t="b">
        <v>1</v>
      </c>
      <c r="AC137" s="30" t="b">
        <v>1</v>
      </c>
      <c r="AD137" s="19" t="inlineStr">
        <is>
          <t>SI</t>
        </is>
      </c>
      <c r="AE137" s="30" t="inlineStr">
        <is>
          <t>COOPERATIVA AGRARIA CAFETALERA ALTO URUBAMBA LTDA. N° 239</t>
        </is>
      </c>
      <c r="AF137" s="30" t="inlineStr">
        <is>
          <t>CUSCO</t>
        </is>
      </c>
      <c r="AG137" s="30" t="inlineStr">
        <is>
          <t>LA CONVENCION</t>
        </is>
      </c>
      <c r="AH137" s="30" t="inlineStr">
        <is>
          <t>SANTA ANA</t>
        </is>
      </c>
      <c r="AI137" s="30" t="inlineStr">
        <is>
          <t>QUILLABAMBA</t>
        </is>
      </c>
      <c r="AJ137" s="30" t="inlineStr">
        <is>
          <t>VENTA AL POR MAYOR DE ALIMENTOS, BEBIDAS Y TABACO.</t>
        </is>
      </c>
      <c r="AK137" s="30" t="inlineStr">
        <is>
          <t>1.0</t>
        </is>
      </c>
      <c r="AL137" s="30" t="inlineStr">
        <is>
          <t>1.0</t>
        </is>
      </c>
      <c r="AM137" s="30" t="inlineStr">
        <is>
          <t>2.0</t>
        </is>
      </c>
      <c r="AN137" s="30" t="n">
        <v>50</v>
      </c>
      <c r="AO137" s="30" t="inlineStr">
        <is>
          <t>CHAMBI APAZA SOCRATES</t>
        </is>
      </c>
      <c r="AP137" s="30" t="inlineStr">
        <is>
          <t>INGENIERO AGRONOMO</t>
        </is>
      </c>
      <c r="AQ137" s="30" t="inlineStr">
        <is>
          <t>10.0</t>
        </is>
      </c>
      <c r="AR137" s="30" t="inlineStr">
        <is>
          <t>WWW.CACALTOURUBAMBA.COM</t>
        </is>
      </c>
      <c r="AS137" s="30" t="inlineStr">
        <is>
          <t>FRANSO-19@HOTMAIL.COM</t>
        </is>
      </c>
      <c r="AT137" s="30" t="inlineStr">
        <is>
          <t>982606445</t>
        </is>
      </c>
      <c r="AU137" s="30" t="inlineStr">
        <is>
          <t>-12.871553333333335</t>
        </is>
      </c>
      <c r="AV137" s="30" t="inlineStr">
        <is>
          <t>-72.70084666666666</t>
        </is>
      </c>
      <c r="AW137" s="30" t="inlineStr">
        <is>
          <t>1967.0</t>
        </is>
      </c>
      <c r="AX137" s="30" t="inlineStr">
        <is>
          <t>1967.0</t>
        </is>
      </c>
      <c r="AY137" s="30" t="inlineStr">
        <is>
          <t>3</t>
        </is>
      </c>
      <c r="AZ137" s="30" t="inlineStr">
        <is>
          <t>sept-2026</t>
        </is>
      </c>
      <c r="BA137" t="inlineStr">
        <is>
          <t>AUSTRALIA; BELGIUM; CANADA; CHINA; FRANCE; HONG KONG; JAPAN; NETHERLANDS; PORTUGAL; TAIWAN, PROVINCE OF CHINA; UNITED KINGDOM; UNITED STATES</t>
        </is>
      </c>
      <c r="BB137" t="n">
        <v>2014</v>
      </c>
      <c r="BC137" t="n">
        <v>2025</v>
      </c>
      <c r="BD137" s="81">
        <f>0</f>
        <v/>
      </c>
      <c r="BE137" s="81">
        <f>IFERROR((IF(ISNUMBER(T137),MIN(T137/30,1),0)+IF(ISNUMBER(P137),MIN(P137/500,1),0))/2,0)</f>
        <v/>
      </c>
      <c r="BF137" s="81">
        <f>IFERROR(IF(OR(U137&lt;&gt;"",V137="SÍ"),IF(ISNUMBER(L137),(1*MIN(L137/10000,1))^0.5,0),IF(ISNUMBER(L137),(0*MIN(L137/10000,1))^0.5,0)),0)</f>
        <v/>
      </c>
    </row>
    <row r="138">
      <c r="A138" t="inlineStr">
        <is>
          <t>MIDAGRI; CENACOOP; CENCOOP 2017; SISPAC</t>
        </is>
      </c>
      <c r="B138" s="70" t="inlineStr">
        <is>
          <t>20140292657</t>
        </is>
      </c>
      <c r="C138" s="29" t="inlineStr">
        <is>
          <t>Cooperativa Agraria Cafetalera Ccochapampa Ltda.</t>
        </is>
      </c>
      <c r="D138" s="29" t="inlineStr"/>
      <c r="E138" s="29" t="inlineStr">
        <is>
          <t>VENTA AL POR MENOR DE ALIMENTOS, BEBIDAS Y TABACO EN ALMACENES ESPECIALIZADOS</t>
        </is>
      </c>
      <c r="F138" s="29" t="inlineStr">
        <is>
          <t>Cusco</t>
        </is>
      </c>
      <c r="G138" s="29" t="inlineStr">
        <is>
          <t>La Convención</t>
        </is>
      </c>
      <c r="H138" s="29" t="inlineStr">
        <is>
          <t>—</t>
        </is>
      </c>
      <c r="I138" s="29" t="inlineStr">
        <is>
          <t>—</t>
        </is>
      </c>
      <c r="J138" s="29" t="inlineStr">
        <is>
          <t>SI</t>
        </is>
      </c>
      <c r="K138" s="29" t="inlineStr">
        <is>
          <t>NO</t>
        </is>
      </c>
      <c r="L138" s="29" t="n">
        <v>0</v>
      </c>
      <c r="M138" s="29" t="n">
        <v>1436011.72</v>
      </c>
      <c r="N138" s="29" t="n">
        <v>14</v>
      </c>
      <c r="O138" s="29" t="n">
        <v>6</v>
      </c>
      <c r="P138" s="29" t="inlineStr"/>
      <c r="Q138" s="29" t="inlineStr"/>
      <c r="R138" s="18" t="inlineStr">
        <is>
          <t>2575.0</t>
        </is>
      </c>
      <c r="S138" s="29" t="inlineStr"/>
      <c r="T138" s="29" t="inlineStr"/>
      <c r="U138" s="18" t="inlineStr"/>
      <c r="V138" s="18" t="inlineStr">
        <is>
          <t>NO</t>
        </is>
      </c>
      <c r="W138" s="18" t="inlineStr">
        <is>
          <t>—</t>
        </is>
      </c>
      <c r="X138" s="18" t="inlineStr">
        <is>
          <t>—</t>
        </is>
      </c>
      <c r="Y138" s="18" t="inlineStr"/>
      <c r="Z138" s="29" t="inlineStr">
        <is>
          <t>—</t>
        </is>
      </c>
      <c r="AA138" s="29" t="b">
        <v>0</v>
      </c>
      <c r="AB138" s="29" t="b">
        <v>1</v>
      </c>
      <c r="AC138" s="29" t="b">
        <v>1</v>
      </c>
      <c r="AD138" s="19" t="inlineStr">
        <is>
          <t>SI</t>
        </is>
      </c>
      <c r="AE138" s="29" t="inlineStr">
        <is>
          <t>COOPERATIVA AGRARIA CAFETALERA CCOCHAPAMPA LTDA.</t>
        </is>
      </c>
      <c r="AF138" s="29" t="inlineStr">
        <is>
          <t>CUSCO</t>
        </is>
      </c>
      <c r="AG138" s="29" t="inlineStr">
        <is>
          <t>LA CONVENCION</t>
        </is>
      </c>
      <c r="AH138" s="29" t="inlineStr">
        <is>
          <t>SANTA ANA</t>
        </is>
      </c>
      <c r="AI138" s="29" t="inlineStr">
        <is>
          <t>CCOCHAPAMPA</t>
        </is>
      </c>
      <c r="AJ138" s="29" t="inlineStr">
        <is>
          <t>TRANSPORTE DE CARGA POR CARRETERA</t>
        </is>
      </c>
      <c r="AK138" s="29" t="inlineStr">
        <is>
          <t>1.0</t>
        </is>
      </c>
      <c r="AL138" s="29" t="inlineStr">
        <is>
          <t>1.0</t>
        </is>
      </c>
      <c r="AM138" s="29" t="inlineStr">
        <is>
          <t>2.0</t>
        </is>
      </c>
      <c r="AN138" s="29" t="n">
        <v>26</v>
      </c>
      <c r="AO138" s="29" t="inlineStr">
        <is>
          <t>CALVO HUAMAN LAUREANO</t>
        </is>
      </c>
      <c r="AP138" s="29" t="inlineStr">
        <is>
          <t>INGENIERO AGRONOMO</t>
        </is>
      </c>
      <c r="AQ138" s="29" t="inlineStr">
        <is>
          <t>10.0</t>
        </is>
      </c>
      <c r="AR138" s="29" t="inlineStr">
        <is>
          <t>NO TIENE</t>
        </is>
      </c>
      <c r="AS138" s="29" t="inlineStr">
        <is>
          <t>CCOCHAPAMPA@HOTMAIL.COM</t>
        </is>
      </c>
      <c r="AT138" s="29" t="inlineStr">
        <is>
          <t>984950408</t>
        </is>
      </c>
      <c r="AU138" s="29" t="inlineStr">
        <is>
          <t>-12.867545</t>
        </is>
      </c>
      <c r="AV138" s="29" t="inlineStr">
        <is>
          <t>-72.69345833333334</t>
        </is>
      </c>
      <c r="AW138" s="29" t="inlineStr">
        <is>
          <t>1991.0</t>
        </is>
      </c>
      <c r="AX138" s="29" t="inlineStr">
        <is>
          <t>1991.0</t>
        </is>
      </c>
      <c r="AY138" s="29" t="inlineStr">
        <is>
          <t>2</t>
        </is>
      </c>
      <c r="AZ138" s="29" t="inlineStr">
        <is>
          <t>sept-2026</t>
        </is>
      </c>
      <c r="BA138" t="inlineStr">
        <is>
          <t>CANADA; GERMANY; IRELAND; JAPAN; SPAIN; UNITED STATES</t>
        </is>
      </c>
      <c r="BB138" t="n">
        <v>2015</v>
      </c>
      <c r="BC138" t="n">
        <v>2019</v>
      </c>
      <c r="BD138" s="81">
        <f>0</f>
        <v/>
      </c>
      <c r="BE138" s="81">
        <f>IFERROR((IF(ISNUMBER(T138),MIN(T138/30,1),0)+IF(ISNUMBER(P138),MIN(P138/500,1),0))/2,0)</f>
        <v/>
      </c>
      <c r="BF138" s="81">
        <f>IFERROR(IF(OR(U138&lt;&gt;"",V138="SÍ"),IF(ISNUMBER(L138),(1*MIN(L138/10000,1))^0.5,0),IF(ISNUMBER(L138),(0*MIN(L138/10000,1))^0.5,0)),0)</f>
        <v/>
      </c>
    </row>
    <row r="139">
      <c r="A139" t="inlineStr">
        <is>
          <t>MIDAGRI; CENACOOP; CENCOOP 2017</t>
        </is>
      </c>
      <c r="B139" s="70" t="inlineStr">
        <is>
          <t>20132489824</t>
        </is>
      </c>
      <c r="C139" s="30" t="inlineStr">
        <is>
          <t>Cooperativa Agraria Cafetalera Chanchamayo Ltda. N°008-B-VII</t>
        </is>
      </c>
      <c r="D139" s="30" t="inlineStr"/>
      <c r="E139" s="30" t="inlineStr">
        <is>
          <t>VENTA AL POR MENOR DE ALIMENTOS, BEBIDAS Y TABACO EN ALMACENES ESPECIALIZADOS</t>
        </is>
      </c>
      <c r="F139" s="30" t="inlineStr">
        <is>
          <t>Cusco</t>
        </is>
      </c>
      <c r="G139" s="30" t="inlineStr">
        <is>
          <t>Calca</t>
        </is>
      </c>
      <c r="H139" s="30" t="inlineStr">
        <is>
          <t>—</t>
        </is>
      </c>
      <c r="I139" s="30" t="inlineStr">
        <is>
          <t>—</t>
        </is>
      </c>
      <c r="J139" s="30" t="n"/>
      <c r="K139" s="30" t="inlineStr">
        <is>
          <t>NO</t>
        </is>
      </c>
      <c r="L139" s="30" t="n"/>
      <c r="M139" s="30" t="n"/>
      <c r="N139" s="30" t="n"/>
      <c r="O139" s="30" t="n"/>
      <c r="P139" s="30" t="inlineStr"/>
      <c r="Q139" s="30" t="inlineStr"/>
      <c r="R139" s="14" t="inlineStr">
        <is>
          <t>2575.0</t>
        </is>
      </c>
      <c r="S139" s="30" t="inlineStr"/>
      <c r="T139" s="30" t="inlineStr"/>
      <c r="U139" s="14" t="inlineStr"/>
      <c r="V139" s="14" t="inlineStr">
        <is>
          <t>NO</t>
        </is>
      </c>
      <c r="W139" s="14" t="inlineStr">
        <is>
          <t>—</t>
        </is>
      </c>
      <c r="X139" s="14" t="inlineStr">
        <is>
          <t>—</t>
        </is>
      </c>
      <c r="Y139" s="14" t="inlineStr"/>
      <c r="Z139" s="30" t="inlineStr">
        <is>
          <t>—</t>
        </is>
      </c>
      <c r="AA139" s="30" t="b">
        <v>0</v>
      </c>
      <c r="AB139" s="30" t="b">
        <v>1</v>
      </c>
      <c r="AC139" s="30" t="b">
        <v>1</v>
      </c>
      <c r="AD139" s="19" t="inlineStr">
        <is>
          <t>SI</t>
        </is>
      </c>
      <c r="AE139" s="30" t="inlineStr">
        <is>
          <t>COOPERATIVA AGRARIA CAFETALERA CHANCAMAYO LTDA. N° 008-B-VII</t>
        </is>
      </c>
      <c r="AF139" s="30" t="inlineStr">
        <is>
          <t>CUSCO</t>
        </is>
      </c>
      <c r="AG139" s="30" t="inlineStr">
        <is>
          <t>LA CONVENCION</t>
        </is>
      </c>
      <c r="AH139" s="30" t="inlineStr">
        <is>
          <t>SANTA ANA</t>
        </is>
      </c>
      <c r="AI139" s="30" t="inlineStr">
        <is>
          <t>CHANCAMAYO</t>
        </is>
      </c>
      <c r="AJ139" s="30" t="inlineStr">
        <is>
          <t>CULTIVO DE PRODUCTOS AGRÌCOLAS EN COMBINACIÒN CON LA CRÌA DE ANIMALES</t>
        </is>
      </c>
      <c r="AK139" s="30" t="inlineStr">
        <is>
          <t>1.0</t>
        </is>
      </c>
      <c r="AL139" s="30" t="inlineStr">
        <is>
          <t>1.0</t>
        </is>
      </c>
      <c r="AM139" s="30" t="inlineStr">
        <is>
          <t>1.0</t>
        </is>
      </c>
      <c r="AN139" s="30" t="n">
        <v>44</v>
      </c>
      <c r="AO139" s="30" t="inlineStr">
        <is>
          <t>CARDENAS VIZCARRA SILFREDO</t>
        </is>
      </c>
      <c r="AP139" s="30" t="inlineStr">
        <is>
          <t>TECNICO EN CONTABILIDAD</t>
        </is>
      </c>
      <c r="AQ139" s="30" t="inlineStr">
        <is>
          <t>11.0</t>
        </is>
      </c>
      <c r="AR139" s="30" t="inlineStr">
        <is>
          <t>NO TIENE</t>
        </is>
      </c>
      <c r="AS139" s="30" t="inlineStr">
        <is>
          <t>NO TIENE</t>
        </is>
      </c>
      <c r="AT139" s="30" t="inlineStr">
        <is>
          <t>NO TIENE</t>
        </is>
      </c>
      <c r="AU139" s="30" t="inlineStr">
        <is>
          <t>-12.623859999</t>
        </is>
      </c>
      <c r="AV139" s="30" t="inlineStr">
        <is>
          <t>-72.37362</t>
        </is>
      </c>
      <c r="AW139" s="30" t="inlineStr">
        <is>
          <t>1973.0</t>
        </is>
      </c>
      <c r="AX139" s="30" t="inlineStr">
        <is>
          <t>1973.0</t>
        </is>
      </c>
      <c r="AY139" s="30" t="inlineStr">
        <is>
          <t>2</t>
        </is>
      </c>
      <c r="AZ139" s="30" t="inlineStr">
        <is>
          <t>sept-2026</t>
        </is>
      </c>
      <c r="BD139" s="81">
        <f>0</f>
        <v/>
      </c>
      <c r="BE139" s="81">
        <f>IFERROR((IF(ISNUMBER(T139),MIN(T139/30,1),0)+IF(ISNUMBER(P139),MIN(P139/500,1),0))/2,0)</f>
        <v/>
      </c>
      <c r="BF139" s="81">
        <f>IFERROR(IF(OR(U139&lt;&gt;"",V139="SÍ"),IF(ISNUMBER(L139),(1*MIN(L139/10000,1))^0.5,0),IF(ISNUMBER(L139),(0*MIN(L139/10000,1))^0.5,0)),0)</f>
        <v/>
      </c>
    </row>
    <row r="140">
      <c r="A140" t="inlineStr">
        <is>
          <t>MIDAGRI; CENCOOP 2017</t>
        </is>
      </c>
      <c r="B140" s="70" t="inlineStr">
        <is>
          <t>20132489158</t>
        </is>
      </c>
      <c r="C140" s="29" t="inlineStr">
        <is>
          <t>Cooperativa Agraria Cafetalera Chaupimayo Ltda.</t>
        </is>
      </c>
      <c r="D140" s="29" t="inlineStr"/>
      <c r="E140" s="29" t="inlineStr">
        <is>
          <t>VENTA AL POR MENOR DE ALIMENTOS, BEBIDAS Y TABACO EN ALMACENES ESPECIALIZADOS</t>
        </is>
      </c>
      <c r="F140" s="29" t="inlineStr">
        <is>
          <t>Cusco</t>
        </is>
      </c>
      <c r="G140" s="29" t="inlineStr">
        <is>
          <t>La Convención</t>
        </is>
      </c>
      <c r="H140" s="29" t="inlineStr">
        <is>
          <t>—</t>
        </is>
      </c>
      <c r="I140" s="29" t="inlineStr">
        <is>
          <t>—</t>
        </is>
      </c>
      <c r="J140" s="29" t="n"/>
      <c r="K140" s="29" t="inlineStr">
        <is>
          <t>NO</t>
        </is>
      </c>
      <c r="L140" s="29" t="n"/>
      <c r="M140" s="29" t="n"/>
      <c r="N140" s="29" t="n"/>
      <c r="O140" s="29" t="n"/>
      <c r="P140" s="29" t="inlineStr"/>
      <c r="Q140" s="29" t="inlineStr"/>
      <c r="R140" s="18" t="inlineStr">
        <is>
          <t>2575.0</t>
        </is>
      </c>
      <c r="S140" s="29" t="inlineStr"/>
      <c r="T140" s="29" t="inlineStr"/>
      <c r="U140" s="18" t="inlineStr"/>
      <c r="V140" s="18" t="inlineStr">
        <is>
          <t>NO</t>
        </is>
      </c>
      <c r="W140" s="18" t="inlineStr">
        <is>
          <t>—</t>
        </is>
      </c>
      <c r="X140" s="18" t="inlineStr">
        <is>
          <t>—</t>
        </is>
      </c>
      <c r="Y140" s="18" t="inlineStr"/>
      <c r="Z140" s="29" t="inlineStr">
        <is>
          <t>—</t>
        </is>
      </c>
      <c r="AA140" s="29" t="b">
        <v>0</v>
      </c>
      <c r="AB140" s="29" t="b">
        <v>1</v>
      </c>
      <c r="AC140" s="29" t="b">
        <v>0</v>
      </c>
      <c r="AD140" s="19" t="inlineStr">
        <is>
          <t>SI</t>
        </is>
      </c>
      <c r="AE140" s="29" t="inlineStr">
        <is>
          <t>COOPERATIVA AGRARIA CAFETALERA CHAUPIMAYO LTDA.</t>
        </is>
      </c>
      <c r="AF140" s="29" t="inlineStr">
        <is>
          <t>CUSCO</t>
        </is>
      </c>
      <c r="AG140" s="29" t="inlineStr">
        <is>
          <t>LA CONVENCION</t>
        </is>
      </c>
      <c r="AH140" s="29" t="inlineStr">
        <is>
          <t>SANTA TERESA</t>
        </is>
      </c>
      <c r="AI140" s="29" t="inlineStr">
        <is>
          <t>SULLUCUYOC</t>
        </is>
      </c>
      <c r="AJ140" s="29" t="inlineStr">
        <is>
          <t>VENTA AL POR MAYOR DE ALIMENTOS, BEBIDAS Y TABACO.</t>
        </is>
      </c>
      <c r="AK140" s="29" t="inlineStr">
        <is>
          <t>1.0</t>
        </is>
      </c>
      <c r="AL140" s="29" t="inlineStr">
        <is>
          <t>1.0</t>
        </is>
      </c>
      <c r="AM140" s="29" t="inlineStr">
        <is>
          <t>1.0</t>
        </is>
      </c>
      <c r="AN140" s="29" t="n">
        <v>24</v>
      </c>
      <c r="AO140" s="29" t="inlineStr">
        <is>
          <t>BORDA ZAPANI PROFICO</t>
        </is>
      </c>
      <c r="AP140" s="29" t="inlineStr">
        <is>
          <t>AGRICULTOR</t>
        </is>
      </c>
      <c r="AQ140" s="29" t="inlineStr">
        <is>
          <t>6.0</t>
        </is>
      </c>
      <c r="AR140" s="29" t="inlineStr">
        <is>
          <t>NO TIENE</t>
        </is>
      </c>
      <c r="AS140" s="29" t="inlineStr">
        <is>
          <t>NO TIENE</t>
        </is>
      </c>
      <c r="AT140" s="29" t="inlineStr">
        <is>
          <t>992738362</t>
        </is>
      </c>
      <c r="AU140" s="29" t="inlineStr">
        <is>
          <t>-13.040723333333336</t>
        </is>
      </c>
      <c r="AV140" s="29" t="inlineStr">
        <is>
          <t>-72.69597999999999</t>
        </is>
      </c>
      <c r="AW140" s="29" t="inlineStr">
        <is>
          <t>1993.0</t>
        </is>
      </c>
      <c r="AX140" s="29" t="inlineStr">
        <is>
          <t>1993.0</t>
        </is>
      </c>
      <c r="AY140" s="29" t="inlineStr">
        <is>
          <t>1</t>
        </is>
      </c>
      <c r="AZ140" s="29" t="inlineStr">
        <is>
          <t>sept-2026</t>
        </is>
      </c>
      <c r="BD140" s="81">
        <f>0</f>
        <v/>
      </c>
      <c r="BE140" s="81">
        <f>IFERROR((IF(ISNUMBER(T140),MIN(T140/30,1),0)+IF(ISNUMBER(P140),MIN(P140/500,1),0))/2,0)</f>
        <v/>
      </c>
      <c r="BF140" s="81">
        <f>IFERROR(IF(OR(U140&lt;&gt;"",V140="SÍ"),IF(ISNUMBER(L140),(1*MIN(L140/10000,1))^0.5,0),IF(ISNUMBER(L140),(0*MIN(L140/10000,1))^0.5,0)),0)</f>
        <v/>
      </c>
    </row>
    <row r="141">
      <c r="A141" t="inlineStr">
        <is>
          <t>MIDAGRI; CENCOOP 2017</t>
        </is>
      </c>
      <c r="B141" s="70" t="inlineStr">
        <is>
          <t>20132497410</t>
        </is>
      </c>
      <c r="C141" s="30" t="inlineStr">
        <is>
          <t>Cooperativa Agraria Cafetalera Huadquiña Ltda. N°109</t>
        </is>
      </c>
      <c r="D141" s="30" t="inlineStr"/>
      <c r="E141" s="30" t="inlineStr">
        <is>
          <t>VENTA AL POR MENOR DE ALIMENTOS, BEBIDAS Y TABACO EN ALMACENES ESPECIALIZADOS</t>
        </is>
      </c>
      <c r="F141" s="30" t="inlineStr">
        <is>
          <t>Cusco</t>
        </is>
      </c>
      <c r="G141" s="30" t="inlineStr">
        <is>
          <t>La Convención</t>
        </is>
      </c>
      <c r="H141" s="30" t="inlineStr">
        <is>
          <t>—</t>
        </is>
      </c>
      <c r="I141" s="30" t="inlineStr">
        <is>
          <t>—</t>
        </is>
      </c>
      <c r="J141" s="30" t="inlineStr">
        <is>
          <t>SI</t>
        </is>
      </c>
      <c r="K141" s="30" t="inlineStr">
        <is>
          <t>NO</t>
        </is>
      </c>
      <c r="L141" s="30" t="n">
        <v>2112998.53</v>
      </c>
      <c r="M141" s="30" t="n">
        <v>16320350.71</v>
      </c>
      <c r="N141" s="30" t="n">
        <v>112</v>
      </c>
      <c r="O141" s="30" t="n">
        <v>9</v>
      </c>
      <c r="P141" s="30" t="inlineStr"/>
      <c r="Q141" s="30" t="inlineStr"/>
      <c r="R141" s="14" t="inlineStr">
        <is>
          <t>2575.0</t>
        </is>
      </c>
      <c r="S141" s="30" t="inlineStr"/>
      <c r="T141" s="30" t="inlineStr"/>
      <c r="U141" s="14" t="inlineStr"/>
      <c r="V141" s="14" t="inlineStr">
        <is>
          <t>NO</t>
        </is>
      </c>
      <c r="W141" s="14" t="inlineStr">
        <is>
          <t>—</t>
        </is>
      </c>
      <c r="X141" s="14" t="inlineStr">
        <is>
          <t>—</t>
        </is>
      </c>
      <c r="Y141" s="14" t="inlineStr"/>
      <c r="Z141" s="30" t="inlineStr">
        <is>
          <t>—</t>
        </is>
      </c>
      <c r="AA141" s="30" t="b">
        <v>0</v>
      </c>
      <c r="AB141" s="30" t="b">
        <v>1</v>
      </c>
      <c r="AC141" s="30" t="b">
        <v>0</v>
      </c>
      <c r="AD141" s="19" t="inlineStr">
        <is>
          <t>SI</t>
        </is>
      </c>
      <c r="AE141" s="30" t="inlineStr">
        <is>
          <t>COOPERATIVA AGRARIA CAFETALERA HUADQUIÑA LTDA. N° 109</t>
        </is>
      </c>
      <c r="AF141" s="30" t="inlineStr">
        <is>
          <t>CUSCO</t>
        </is>
      </c>
      <c r="AG141" s="30" t="inlineStr">
        <is>
          <t>LA CONVENCION</t>
        </is>
      </c>
      <c r="AH141" s="30" t="inlineStr">
        <is>
          <t>SANTA TERESA</t>
        </is>
      </c>
      <c r="AI141" s="30" t="inlineStr">
        <is>
          <t>CASERIO HUADQUIÑA</t>
        </is>
      </c>
      <c r="AJ141" s="30" t="inlineStr">
        <is>
          <t>ELABORACIÓN DE OTROS PRODUCTOS ALIMENTICIOS N.C.P.</t>
        </is>
      </c>
      <c r="AK141" s="30" t="inlineStr">
        <is>
          <t>1.0</t>
        </is>
      </c>
      <c r="AL141" s="30" t="inlineStr">
        <is>
          <t>1.0</t>
        </is>
      </c>
      <c r="AM141" s="30" t="inlineStr">
        <is>
          <t>2.0</t>
        </is>
      </c>
      <c r="AN141" s="30" t="n">
        <v>49</v>
      </c>
      <c r="AO141" s="30" t="inlineStr">
        <is>
          <t>PEREZ CAMACHO SAMUEL</t>
        </is>
      </c>
      <c r="AP141" s="30" t="inlineStr">
        <is>
          <t>LICENCIADO EN ADMINISTRACION</t>
        </is>
      </c>
      <c r="AQ141" s="30" t="inlineStr">
        <is>
          <t>10.0</t>
        </is>
      </c>
      <c r="AR141" s="30" t="inlineStr">
        <is>
          <t>WWW.CAC-HUADQUINA.COM</t>
        </is>
      </c>
      <c r="AS141" s="30" t="inlineStr">
        <is>
          <t>HUADQUINA@HOTMAAIL.COM</t>
        </is>
      </c>
      <c r="AT141" s="30" t="inlineStr">
        <is>
          <t>984840989</t>
        </is>
      </c>
      <c r="AU141" s="30" t="inlineStr">
        <is>
          <t>-13.133586666666668</t>
        </is>
      </c>
      <c r="AV141" s="30" t="inlineStr">
        <is>
          <t>-72.59745166666667</t>
        </is>
      </c>
      <c r="AW141" s="30" t="inlineStr">
        <is>
          <t>1964.0</t>
        </is>
      </c>
      <c r="AX141" s="30" t="inlineStr">
        <is>
          <t>1968.0</t>
        </is>
      </c>
      <c r="AY141" s="30" t="inlineStr">
        <is>
          <t>1</t>
        </is>
      </c>
      <c r="AZ141" s="30" t="inlineStr">
        <is>
          <t>sept-2026</t>
        </is>
      </c>
      <c r="BA141" t="inlineStr">
        <is>
          <t>AUSTRALIA; FRANCE; GERMANY; GREECE; IRELAND; JAPAN; TURKEY; UNITED KINGDOM; UNITED STATES</t>
        </is>
      </c>
      <c r="BB141" t="n">
        <v>2015</v>
      </c>
      <c r="BC141" t="n">
        <v>2025</v>
      </c>
      <c r="BD141" s="81">
        <f>0</f>
        <v/>
      </c>
      <c r="BE141" s="81">
        <f>IFERROR((IF(ISNUMBER(T141),MIN(T141/30,1),0)+IF(ISNUMBER(P141),MIN(P141/500,1),0))/2,0)</f>
        <v/>
      </c>
      <c r="BF141" s="81">
        <f>IFERROR(IF(OR(U141&lt;&gt;"",V141="SÍ"),IF(ISNUMBER(L141),(1*MIN(L141/10000,1))^0.5,0),IF(ISNUMBER(L141),(0*MIN(L141/10000,1))^0.5,0)),0)</f>
        <v/>
      </c>
    </row>
    <row r="142">
      <c r="A142" t="inlineStr">
        <is>
          <t>MIDAGRI; CENACOOP; CENCOOP 2017</t>
        </is>
      </c>
      <c r="B142" s="70" t="inlineStr">
        <is>
          <t>20132490245</t>
        </is>
      </c>
      <c r="C142" s="29" t="inlineStr">
        <is>
          <t>Cooperativa Agraria Cafetalera Huayopata Limitada N°110</t>
        </is>
      </c>
      <c r="D142" s="29" t="inlineStr"/>
      <c r="E142" s="29" t="inlineStr">
        <is>
          <t>VENTA AL POR MENOR DE ALIMENTOS, BEBIDAS Y TABACO EN ALMACENES ESPECIALIZADOS</t>
        </is>
      </c>
      <c r="F142" s="29" t="inlineStr">
        <is>
          <t>Cusco</t>
        </is>
      </c>
      <c r="G142" s="29" t="inlineStr">
        <is>
          <t>La Convención</t>
        </is>
      </c>
      <c r="H142" s="29" t="inlineStr">
        <is>
          <t>—</t>
        </is>
      </c>
      <c r="I142" s="29" t="inlineStr">
        <is>
          <t>—</t>
        </is>
      </c>
      <c r="J142" s="29" t="n"/>
      <c r="K142" s="29" t="inlineStr">
        <is>
          <t>NO</t>
        </is>
      </c>
      <c r="L142" s="29" t="n"/>
      <c r="M142" s="29" t="n"/>
      <c r="N142" s="29" t="n"/>
      <c r="O142" s="29" t="n"/>
      <c r="P142" s="29" t="inlineStr"/>
      <c r="Q142" s="29" t="inlineStr"/>
      <c r="R142" s="18" t="inlineStr">
        <is>
          <t>2575.0</t>
        </is>
      </c>
      <c r="S142" s="29" t="inlineStr"/>
      <c r="T142" s="29" t="inlineStr"/>
      <c r="U142" s="18" t="inlineStr"/>
      <c r="V142" s="18" t="inlineStr">
        <is>
          <t>NO</t>
        </is>
      </c>
      <c r="W142" s="18" t="inlineStr">
        <is>
          <t>—</t>
        </is>
      </c>
      <c r="X142" s="18" t="inlineStr">
        <is>
          <t>—</t>
        </is>
      </c>
      <c r="Y142" s="18" t="inlineStr"/>
      <c r="Z142" s="29" t="inlineStr">
        <is>
          <t>—</t>
        </is>
      </c>
      <c r="AA142" s="29" t="b">
        <v>0</v>
      </c>
      <c r="AB142" s="29" t="b">
        <v>1</v>
      </c>
      <c r="AC142" s="29" t="b">
        <v>1</v>
      </c>
      <c r="AD142" s="19" t="inlineStr">
        <is>
          <t>SI</t>
        </is>
      </c>
      <c r="AE142" s="29" t="inlineStr">
        <is>
          <t>COOPERATIVA AGRARIA CAFETALERA HUAYOPATA LTDA. N° 110</t>
        </is>
      </c>
      <c r="AF142" s="29" t="inlineStr">
        <is>
          <t>CUSCO</t>
        </is>
      </c>
      <c r="AG142" s="29" t="inlineStr">
        <is>
          <t>LA CONVENCION</t>
        </is>
      </c>
      <c r="AH142" s="29" t="inlineStr">
        <is>
          <t>HUAYOPATA</t>
        </is>
      </c>
      <c r="AI142" s="29" t="inlineStr">
        <is>
          <t>HUAYOPATA CHONTA</t>
        </is>
      </c>
      <c r="AJ142" s="29" t="inlineStr">
        <is>
          <t>VENTA AL POR MAYOR DE ALIMENTOS, BEBIDAS Y TABACO.</t>
        </is>
      </c>
      <c r="AK142" s="29" t="inlineStr">
        <is>
          <t>1.0</t>
        </is>
      </c>
      <c r="AL142" s="29" t="inlineStr">
        <is>
          <t>1.0</t>
        </is>
      </c>
      <c r="AM142" s="29" t="inlineStr">
        <is>
          <t>1.0</t>
        </is>
      </c>
      <c r="AN142" s="29" t="n">
        <v>24</v>
      </c>
      <c r="AO142" s="29" t="inlineStr">
        <is>
          <t>ANCARI ABENDAÑO BALTAZAR</t>
        </is>
      </c>
      <c r="AP142" s="29" t="inlineStr"/>
      <c r="AQ142" s="29" t="inlineStr"/>
      <c r="AR142" s="29" t="inlineStr">
        <is>
          <t>NO TIENE</t>
        </is>
      </c>
      <c r="AS142" s="29" t="inlineStr">
        <is>
          <t>NO TIENE</t>
        </is>
      </c>
      <c r="AT142" s="29" t="inlineStr">
        <is>
          <t>983793012</t>
        </is>
      </c>
      <c r="AU142" s="29" t="inlineStr">
        <is>
          <t>-13.006398333333333</t>
        </is>
      </c>
      <c r="AV142" s="29" t="inlineStr">
        <is>
          <t>-72.58418</t>
        </is>
      </c>
      <c r="AW142" s="29" t="inlineStr">
        <is>
          <t>1993.0</t>
        </is>
      </c>
      <c r="AX142" s="29" t="inlineStr">
        <is>
          <t>1993.0</t>
        </is>
      </c>
      <c r="AY142" s="29" t="inlineStr">
        <is>
          <t>2</t>
        </is>
      </c>
      <c r="AZ142" s="29" t="inlineStr">
        <is>
          <t>sept-2026</t>
        </is>
      </c>
      <c r="BD142" s="81">
        <f>0</f>
        <v/>
      </c>
      <c r="BE142" s="81">
        <f>IFERROR((IF(ISNUMBER(T142),MIN(T142/30,1),0)+IF(ISNUMBER(P142),MIN(P142/500,1),0))/2,0)</f>
        <v/>
      </c>
      <c r="BF142" s="81">
        <f>IFERROR(IF(OR(U142&lt;&gt;"",V142="SÍ"),IF(ISNUMBER(L142),(1*MIN(L142/10000,1))^0.5,0),IF(ISNUMBER(L142),(0*MIN(L142/10000,1))^0.5,0)),0)</f>
        <v/>
      </c>
    </row>
    <row r="143">
      <c r="A143" t="inlineStr">
        <is>
          <t>MIDAGRI; CENCOOP 2017</t>
        </is>
      </c>
      <c r="B143" s="70" t="inlineStr">
        <is>
          <t>20200880448</t>
        </is>
      </c>
      <c r="C143" s="30" t="inlineStr">
        <is>
          <t>Cooperativa Agraria Cafetalera Jorge Chavez Ltda.</t>
        </is>
      </c>
      <c r="D143" s="30" t="inlineStr"/>
      <c r="E143" s="30" t="inlineStr">
        <is>
          <t>VENTA AL POR MENOR DE ALIMENTOS, BEBIDAS Y TABACO EN ALMACENES ESPECIALIZADOS</t>
        </is>
      </c>
      <c r="F143" s="30" t="inlineStr">
        <is>
          <t>Cusco</t>
        </is>
      </c>
      <c r="G143" s="30" t="inlineStr">
        <is>
          <t>Calca</t>
        </is>
      </c>
      <c r="H143" s="30" t="inlineStr">
        <is>
          <t>—</t>
        </is>
      </c>
      <c r="I143" s="30" t="inlineStr">
        <is>
          <t>—</t>
        </is>
      </c>
      <c r="J143" s="30" t="n"/>
      <c r="K143" s="30" t="inlineStr">
        <is>
          <t>NO</t>
        </is>
      </c>
      <c r="L143" s="30" t="n"/>
      <c r="M143" s="30" t="n"/>
      <c r="N143" s="30" t="n"/>
      <c r="O143" s="30" t="n"/>
      <c r="P143" s="30" t="inlineStr"/>
      <c r="Q143" s="30" t="inlineStr"/>
      <c r="R143" s="14" t="inlineStr">
        <is>
          <t>2575.0</t>
        </is>
      </c>
      <c r="S143" s="30" t="inlineStr"/>
      <c r="T143" s="30" t="inlineStr"/>
      <c r="U143" s="14" t="inlineStr"/>
      <c r="V143" s="14" t="inlineStr">
        <is>
          <t>NO</t>
        </is>
      </c>
      <c r="W143" s="14" t="inlineStr">
        <is>
          <t>—</t>
        </is>
      </c>
      <c r="X143" s="14" t="inlineStr">
        <is>
          <t>—</t>
        </is>
      </c>
      <c r="Y143" s="14" t="inlineStr"/>
      <c r="Z143" s="30" t="inlineStr">
        <is>
          <t>—</t>
        </is>
      </c>
      <c r="AA143" s="30" t="b">
        <v>0</v>
      </c>
      <c r="AB143" s="30" t="b">
        <v>1</v>
      </c>
      <c r="AC143" s="30" t="b">
        <v>0</v>
      </c>
      <c r="AD143" s="19" t="inlineStr">
        <is>
          <t>SI</t>
        </is>
      </c>
      <c r="AE143" s="30" t="inlineStr">
        <is>
          <t>COOPERATIVA AGRARIA CAFETALERA JORGE CHAVEZ LTDA.</t>
        </is>
      </c>
      <c r="AF143" s="30" t="inlineStr">
        <is>
          <t>CUSCO</t>
        </is>
      </c>
      <c r="AG143" s="30" t="inlineStr">
        <is>
          <t>CALCA</t>
        </is>
      </c>
      <c r="AH143" s="30" t="inlineStr">
        <is>
          <t>YANATILE</t>
        </is>
      </c>
      <c r="AI143" s="30" t="inlineStr">
        <is>
          <t>CUQUIPATA</t>
        </is>
      </c>
      <c r="AJ143" s="30" t="inlineStr">
        <is>
          <t>VENTA AL POR MAYOR DE ALIMENTOS, BEBIDAS Y TABACO.</t>
        </is>
      </c>
      <c r="AK143" s="30" t="inlineStr">
        <is>
          <t>1.0</t>
        </is>
      </c>
      <c r="AL143" s="30" t="inlineStr">
        <is>
          <t>1.0</t>
        </is>
      </c>
      <c r="AM143" s="30" t="inlineStr">
        <is>
          <t>1.0</t>
        </is>
      </c>
      <c r="AN143" s="30" t="n">
        <v>24</v>
      </c>
      <c r="AO143" s="30" t="inlineStr">
        <is>
          <t>MONTESINOS VICTORIA ALEJANDRO</t>
        </is>
      </c>
      <c r="AP143" s="30" t="inlineStr"/>
      <c r="AQ143" s="30" t="inlineStr"/>
      <c r="AR143" s="30" t="inlineStr">
        <is>
          <t>NO TIENE</t>
        </is>
      </c>
      <c r="AS143" s="30" t="inlineStr">
        <is>
          <t>NO TIENE</t>
        </is>
      </c>
      <c r="AT143" s="30" t="inlineStr">
        <is>
          <t>NO TIENE</t>
        </is>
      </c>
      <c r="AU143" s="30" t="inlineStr">
        <is>
          <t>-12.755194999999999</t>
        </is>
      </c>
      <c r="AV143" s="30" t="inlineStr">
        <is>
          <t>-72.17876500000001</t>
        </is>
      </c>
      <c r="AW143" s="30" t="inlineStr">
        <is>
          <t>1993.0</t>
        </is>
      </c>
      <c r="AX143" s="30" t="inlineStr">
        <is>
          <t>1993.0</t>
        </is>
      </c>
      <c r="AY143" s="30" t="inlineStr">
        <is>
          <t>1</t>
        </is>
      </c>
      <c r="AZ143" s="30" t="inlineStr">
        <is>
          <t>sept-2026</t>
        </is>
      </c>
      <c r="BD143" s="81">
        <f>0</f>
        <v/>
      </c>
      <c r="BE143" s="81">
        <f>IFERROR((IF(ISNUMBER(T143),MIN(T143/30,1),0)+IF(ISNUMBER(P143),MIN(P143/500,1),0))/2,0)</f>
        <v/>
      </c>
      <c r="BF143" s="81">
        <f>IFERROR(IF(OR(U143&lt;&gt;"",V143="SÍ"),IF(ISNUMBER(L143),(1*MIN(L143/10000,1))^0.5,0),IF(ISNUMBER(L143),(0*MIN(L143/10000,1))^0.5,0)),0)</f>
        <v/>
      </c>
    </row>
    <row r="144">
      <c r="A144" t="inlineStr">
        <is>
          <t>MIDAGRI; CENACOOP; CENCOOP 2017; SISPAC</t>
        </is>
      </c>
      <c r="B144" s="70" t="inlineStr">
        <is>
          <t>20132509795</t>
        </is>
      </c>
      <c r="C144" s="29" t="inlineStr">
        <is>
          <t>Cooperativa Agraria Cafetalera Jose Olaya Ltda. N°252</t>
        </is>
      </c>
      <c r="D144" s="29" t="inlineStr"/>
      <c r="E144" s="29" t="inlineStr">
        <is>
          <t>VENTA AL POR MENOR DE ALIMENTOS, BEBIDAS Y TABACO EN ALMACENES ESPECIALIZADOS</t>
        </is>
      </c>
      <c r="F144" s="29" t="inlineStr">
        <is>
          <t>Cusco</t>
        </is>
      </c>
      <c r="G144" s="29" t="inlineStr">
        <is>
          <t>La Convención</t>
        </is>
      </c>
      <c r="H144" s="29" t="inlineStr">
        <is>
          <t>—</t>
        </is>
      </c>
      <c r="I144" s="29" t="inlineStr">
        <is>
          <t>—</t>
        </is>
      </c>
      <c r="J144" s="17" t="inlineStr">
        <is>
          <t>SI</t>
        </is>
      </c>
      <c r="K144" s="29" t="inlineStr">
        <is>
          <t>SÍ</t>
        </is>
      </c>
      <c r="L144" s="29" t="n">
        <v>1437984.09</v>
      </c>
      <c r="M144" s="29" t="n">
        <v>16944809.71</v>
      </c>
      <c r="N144" s="29" t="n">
        <v>146</v>
      </c>
      <c r="O144" s="29" t="n">
        <v>17</v>
      </c>
      <c r="P144" s="29" t="inlineStr"/>
      <c r="Q144" s="29" t="inlineStr"/>
      <c r="R144" s="18" t="inlineStr">
        <is>
          <t>2575.0</t>
        </is>
      </c>
      <c r="S144" s="29" t="inlineStr"/>
      <c r="T144" s="29" t="inlineStr"/>
      <c r="U144" s="18" t="inlineStr"/>
      <c r="V144" s="18" t="inlineStr">
        <is>
          <t>NO</t>
        </is>
      </c>
      <c r="W144" s="18" t="inlineStr">
        <is>
          <t>—</t>
        </is>
      </c>
      <c r="X144" s="18" t="inlineStr">
        <is>
          <t>—</t>
        </is>
      </c>
      <c r="Y144" s="18" t="inlineStr"/>
      <c r="Z144" s="29" t="inlineStr">
        <is>
          <t>—</t>
        </is>
      </c>
      <c r="AA144" s="29" t="b">
        <v>0</v>
      </c>
      <c r="AB144" s="29" t="b">
        <v>1</v>
      </c>
      <c r="AC144" s="29" t="b">
        <v>1</v>
      </c>
      <c r="AD144" s="19" t="inlineStr">
        <is>
          <t>SI</t>
        </is>
      </c>
      <c r="AE144" s="29" t="inlineStr">
        <is>
          <t>COOPERATIVA AGRARIA CAFETALERA JOSE OLAYA LTDA. Nº 252</t>
        </is>
      </c>
      <c r="AF144" s="29" t="inlineStr">
        <is>
          <t>CUSCO</t>
        </is>
      </c>
      <c r="AG144" s="29" t="inlineStr">
        <is>
          <t>LA CONVENCION</t>
        </is>
      </c>
      <c r="AH144" s="29" t="inlineStr">
        <is>
          <t>SANTA ANA</t>
        </is>
      </c>
      <c r="AI144" s="29" t="inlineStr">
        <is>
          <t>QUILLABAMBA</t>
        </is>
      </c>
      <c r="AJ144" s="29" t="inlineStr">
        <is>
          <t>VENTA AL POR MAYOR DE ALIMENTOS, BEBIDAS Y TABACO.</t>
        </is>
      </c>
      <c r="AK144" s="29" t="inlineStr">
        <is>
          <t>1.0</t>
        </is>
      </c>
      <c r="AL144" s="29" t="inlineStr">
        <is>
          <t>1.0</t>
        </is>
      </c>
      <c r="AM144" s="29" t="inlineStr">
        <is>
          <t>3.0</t>
        </is>
      </c>
      <c r="AN144" s="29" t="n">
        <v>51</v>
      </c>
      <c r="AO144" s="29" t="inlineStr">
        <is>
          <t>LATORRE CHACON SAMUEL</t>
        </is>
      </c>
      <c r="AP144" s="29" t="inlineStr">
        <is>
          <t>CONTADOR</t>
        </is>
      </c>
      <c r="AQ144" s="29" t="inlineStr">
        <is>
          <t>10.0</t>
        </is>
      </c>
      <c r="AR144" s="29" t="inlineStr">
        <is>
          <t>WWW.CACJOSEOLAYA.COM</t>
        </is>
      </c>
      <c r="AS144" s="29" t="inlineStr">
        <is>
          <t>252CACJOSEOLAYA@GMAIL.COM</t>
        </is>
      </c>
      <c r="AT144" s="29" t="inlineStr">
        <is>
          <t>983606079</t>
        </is>
      </c>
      <c r="AU144" s="29" t="inlineStr">
        <is>
          <t>-12.866695</t>
        </is>
      </c>
      <c r="AV144" s="29" t="inlineStr">
        <is>
          <t>-72.693415</t>
        </is>
      </c>
      <c r="AW144" s="29" t="inlineStr">
        <is>
          <t>1966.0</t>
        </is>
      </c>
      <c r="AX144" s="29" t="inlineStr">
        <is>
          <t>1966.0</t>
        </is>
      </c>
      <c r="AY144" s="29" t="inlineStr">
        <is>
          <t>2</t>
        </is>
      </c>
      <c r="AZ144" s="29" t="inlineStr">
        <is>
          <t>sept-2026</t>
        </is>
      </c>
      <c r="BA144" t="inlineStr">
        <is>
          <t>AUSTRALIA; BELGIUM; CANADA; DENMARK; FRANCE; GERMANY; IRELAND; ITALY; JAPAN; MEXICO; NETHERLANDS; POLAND; SPAIN; SWEDEN; TURKEY; UNITED KINGDOM; UNITED STATES</t>
        </is>
      </c>
      <c r="BB144" t="n">
        <v>2011</v>
      </c>
      <c r="BC144" t="n">
        <v>2025</v>
      </c>
      <c r="BD144" s="81">
        <f>0</f>
        <v/>
      </c>
      <c r="BE144" s="81">
        <f>IFERROR((IF(ISNUMBER(T144),MIN(T144/30,1),0)+IF(ISNUMBER(P144),MIN(P144/500,1),0))/2,0)</f>
        <v/>
      </c>
      <c r="BF144" s="81">
        <f>IFERROR(IF(OR(U144&lt;&gt;"",V144="SÍ"),IF(ISNUMBER(L144),(1*MIN(L144/10000,1))^0.5,0),IF(ISNUMBER(L144),(0*MIN(L144/10000,1))^0.5,0)),0)</f>
        <v/>
      </c>
    </row>
    <row r="145">
      <c r="A145" t="inlineStr">
        <is>
          <t>MIDAGRI; CENCOOP 2017</t>
        </is>
      </c>
      <c r="B145" s="70" t="inlineStr">
        <is>
          <t>20179744750</t>
        </is>
      </c>
      <c r="C145" s="30" t="inlineStr">
        <is>
          <t>Cooperativa Agraria Cafetalera Macamango Ltda. 85</t>
        </is>
      </c>
      <c r="D145" s="30" t="inlineStr"/>
      <c r="E145" s="30" t="inlineStr">
        <is>
          <t>VENTA AL POR MENOR DE ALIMENTOS, BEBIDAS Y TABACO EN ALMACENES ESPECIALIZADOS</t>
        </is>
      </c>
      <c r="F145" s="30" t="inlineStr">
        <is>
          <t>Cusco</t>
        </is>
      </c>
      <c r="G145" s="30" t="inlineStr">
        <is>
          <t>La Convención</t>
        </is>
      </c>
      <c r="H145" s="30" t="inlineStr">
        <is>
          <t>—</t>
        </is>
      </c>
      <c r="I145" s="30" t="inlineStr">
        <is>
          <t>—</t>
        </is>
      </c>
      <c r="J145" s="30" t="n"/>
      <c r="K145" s="30" t="inlineStr">
        <is>
          <t>NO</t>
        </is>
      </c>
      <c r="L145" s="30" t="n"/>
      <c r="M145" s="30" t="n"/>
      <c r="N145" s="30" t="n"/>
      <c r="O145" s="30" t="n"/>
      <c r="P145" s="30" t="inlineStr"/>
      <c r="Q145" s="30" t="inlineStr"/>
      <c r="R145" s="14" t="inlineStr">
        <is>
          <t>2575.0</t>
        </is>
      </c>
      <c r="S145" s="30" t="inlineStr"/>
      <c r="T145" s="30" t="inlineStr"/>
      <c r="U145" s="14" t="inlineStr"/>
      <c r="V145" s="14" t="inlineStr">
        <is>
          <t>NO</t>
        </is>
      </c>
      <c r="W145" s="14" t="inlineStr">
        <is>
          <t>—</t>
        </is>
      </c>
      <c r="X145" s="14" t="inlineStr">
        <is>
          <t>—</t>
        </is>
      </c>
      <c r="Y145" s="14" t="inlineStr"/>
      <c r="Z145" s="30" t="inlineStr">
        <is>
          <t>—</t>
        </is>
      </c>
      <c r="AA145" s="30" t="b">
        <v>0</v>
      </c>
      <c r="AB145" s="30" t="b">
        <v>1</v>
      </c>
      <c r="AC145" s="30" t="b">
        <v>0</v>
      </c>
      <c r="AD145" s="19" t="inlineStr">
        <is>
          <t>SI</t>
        </is>
      </c>
      <c r="AE145" s="30" t="inlineStr">
        <is>
          <t>COOPERATIVA AGRARIA CAFETALERA MACAMANGO LTDA. 85</t>
        </is>
      </c>
      <c r="AF145" s="30" t="inlineStr">
        <is>
          <t>CUSCO</t>
        </is>
      </c>
      <c r="AG145" s="30" t="inlineStr">
        <is>
          <t>LA CONVENCION</t>
        </is>
      </c>
      <c r="AH145" s="30" t="inlineStr">
        <is>
          <t>SANTA ANA</t>
        </is>
      </c>
      <c r="AI145" s="30" t="inlineStr">
        <is>
          <t>QUILLABAMBA</t>
        </is>
      </c>
      <c r="AJ145" s="30" t="inlineStr">
        <is>
          <t>OTRAS ACTIVIDADES DE SERVICIOS DE APOYO A LAS EMPRESAS N.C.P</t>
        </is>
      </c>
      <c r="AK145" s="30" t="inlineStr">
        <is>
          <t>1.0</t>
        </is>
      </c>
      <c r="AL145" s="30" t="inlineStr">
        <is>
          <t>2.0</t>
        </is>
      </c>
      <c r="AM145" s="30" t="inlineStr"/>
      <c r="AN145" s="30" t="n">
        <v>24</v>
      </c>
      <c r="AO145" s="30" t="inlineStr"/>
      <c r="AP145" s="30" t="inlineStr"/>
      <c r="AQ145" s="30" t="inlineStr"/>
      <c r="AR145" s="30" t="inlineStr">
        <is>
          <t>NO TIENE</t>
        </is>
      </c>
      <c r="AS145" s="30" t="inlineStr">
        <is>
          <t>NO TIENE</t>
        </is>
      </c>
      <c r="AT145" s="30" t="inlineStr">
        <is>
          <t>NO TIENE</t>
        </is>
      </c>
      <c r="AU145" s="30" t="inlineStr">
        <is>
          <t>-12.863323333333335</t>
        </is>
      </c>
      <c r="AV145" s="30" t="inlineStr">
        <is>
          <t>-72.69953833333334</t>
        </is>
      </c>
      <c r="AW145" s="30" t="inlineStr">
        <is>
          <t>1980.0</t>
        </is>
      </c>
      <c r="AX145" s="30" t="inlineStr">
        <is>
          <t>1993.0</t>
        </is>
      </c>
      <c r="AY145" s="30" t="inlineStr">
        <is>
          <t>1</t>
        </is>
      </c>
      <c r="AZ145" s="30" t="inlineStr">
        <is>
          <t>sept-2026</t>
        </is>
      </c>
      <c r="BD145" s="81">
        <f>0</f>
        <v/>
      </c>
      <c r="BE145" s="81">
        <f>IFERROR((IF(ISNUMBER(T145),MIN(T145/30,1),0)+IF(ISNUMBER(P145),MIN(P145/500,1),0))/2,0)</f>
        <v/>
      </c>
      <c r="BF145" s="81">
        <f>IFERROR(IF(OR(U145&lt;&gt;"",V145="SÍ"),IF(ISNUMBER(L145),(1*MIN(L145/10000,1))^0.5,0),IF(ISNUMBER(L145),(0*MIN(L145/10000,1))^0.5,0)),0)</f>
        <v/>
      </c>
    </row>
    <row r="146">
      <c r="A146" t="inlineStr">
        <is>
          <t>MIDAGRI; CENCOOP 2017</t>
        </is>
      </c>
      <c r="B146" s="70" t="inlineStr">
        <is>
          <t>20140282007</t>
        </is>
      </c>
      <c r="C146" s="29" t="inlineStr">
        <is>
          <t>Cooperativa Agraria Cafetalera Manco II Ltda. 11</t>
        </is>
      </c>
      <c r="D146" s="29" t="inlineStr"/>
      <c r="E146" s="29" t="inlineStr">
        <is>
          <t>VENTA AL POR MENOR DE ALIMENTOS, BEBIDAS Y TABACO EN ALMACENES ESPECIALIZADOS</t>
        </is>
      </c>
      <c r="F146" s="29" t="inlineStr">
        <is>
          <t>Cusco</t>
        </is>
      </c>
      <c r="G146" s="29" t="inlineStr">
        <is>
          <t>La Convención</t>
        </is>
      </c>
      <c r="H146" s="29" t="inlineStr">
        <is>
          <t>—</t>
        </is>
      </c>
      <c r="I146" s="29" t="inlineStr">
        <is>
          <t>—</t>
        </is>
      </c>
      <c r="J146" s="29" t="n"/>
      <c r="K146" s="29" t="inlineStr">
        <is>
          <t>NO</t>
        </is>
      </c>
      <c r="L146" s="29" t="n"/>
      <c r="M146" s="29" t="n"/>
      <c r="N146" s="29" t="n"/>
      <c r="O146" s="29" t="n"/>
      <c r="P146" s="29" t="inlineStr"/>
      <c r="Q146" s="29" t="inlineStr"/>
      <c r="R146" s="18" t="inlineStr">
        <is>
          <t>2575.0</t>
        </is>
      </c>
      <c r="S146" s="29" t="inlineStr"/>
      <c r="T146" s="29" t="inlineStr"/>
      <c r="U146" s="18" t="inlineStr"/>
      <c r="V146" s="18" t="inlineStr">
        <is>
          <t>NO</t>
        </is>
      </c>
      <c r="W146" s="18" t="inlineStr">
        <is>
          <t>—</t>
        </is>
      </c>
      <c r="X146" s="18" t="inlineStr">
        <is>
          <t>—</t>
        </is>
      </c>
      <c r="Y146" s="18" t="inlineStr"/>
      <c r="Z146" s="29" t="inlineStr">
        <is>
          <t>—</t>
        </is>
      </c>
      <c r="AA146" s="29" t="b">
        <v>0</v>
      </c>
      <c r="AB146" s="29" t="b">
        <v>1</v>
      </c>
      <c r="AC146" s="29" t="b">
        <v>0</v>
      </c>
      <c r="AD146" s="19" t="inlineStr">
        <is>
          <t>SI</t>
        </is>
      </c>
      <c r="AE146" s="29" t="inlineStr">
        <is>
          <t>COOPERATIVA AGRARIA CAFETALERA MANCO II LTDA. N° 11</t>
        </is>
      </c>
      <c r="AF146" s="29" t="inlineStr">
        <is>
          <t>CUSCO</t>
        </is>
      </c>
      <c r="AG146" s="29" t="inlineStr">
        <is>
          <t>LA CONVENCION</t>
        </is>
      </c>
      <c r="AH146" s="29" t="inlineStr">
        <is>
          <t>MARANURA</t>
        </is>
      </c>
      <c r="AI146" s="29" t="inlineStr">
        <is>
          <t>TABLABAMBA-VILCABAMBA</t>
        </is>
      </c>
      <c r="AJ146" s="29" t="inlineStr">
        <is>
          <t>CULTIVO DE PRODUCTOS AGRÌCOLAS EN COMBINACIÒN CON LA CRÌA DE ANIMALES</t>
        </is>
      </c>
      <c r="AK146" s="29" t="inlineStr">
        <is>
          <t>1.0</t>
        </is>
      </c>
      <c r="AL146" s="29" t="inlineStr">
        <is>
          <t>1.0</t>
        </is>
      </c>
      <c r="AM146" s="29" t="inlineStr">
        <is>
          <t>1.0</t>
        </is>
      </c>
      <c r="AN146" s="29" t="n">
        <v>47</v>
      </c>
      <c r="AO146" s="29" t="inlineStr">
        <is>
          <t>QUISPE TAPIA EPIFANIO</t>
        </is>
      </c>
      <c r="AP146" s="29" t="inlineStr">
        <is>
          <t>TECNICO EN CONTABILIDAD</t>
        </is>
      </c>
      <c r="AQ146" s="29" t="inlineStr">
        <is>
          <t>8.0</t>
        </is>
      </c>
      <c r="AR146" s="29" t="inlineStr">
        <is>
          <t>NO TIENE</t>
        </is>
      </c>
      <c r="AS146" s="29" t="inlineStr">
        <is>
          <t>NO TIENE</t>
        </is>
      </c>
      <c r="AT146" s="29" t="inlineStr">
        <is>
          <t>946762270</t>
        </is>
      </c>
      <c r="AU146" s="29" t="inlineStr">
        <is>
          <t>-13.008856666666668</t>
        </is>
      </c>
      <c r="AV146" s="29" t="inlineStr">
        <is>
          <t>-72.64776499999999</t>
        </is>
      </c>
      <c r="AW146" s="29" t="inlineStr">
        <is>
          <t>1970.0</t>
        </is>
      </c>
      <c r="AX146" s="29" t="inlineStr">
        <is>
          <t>1970.0</t>
        </is>
      </c>
      <c r="AY146" s="29" t="inlineStr">
        <is>
          <t>1</t>
        </is>
      </c>
      <c r="AZ146" s="29" t="inlineStr">
        <is>
          <t>sept-2026</t>
        </is>
      </c>
      <c r="BD146" s="81">
        <f>0</f>
        <v/>
      </c>
      <c r="BE146" s="81">
        <f>IFERROR((IF(ISNUMBER(T146),MIN(T146/30,1),0)+IF(ISNUMBER(P146),MIN(P146/500,1),0))/2,0)</f>
        <v/>
      </c>
      <c r="BF146" s="81">
        <f>IFERROR(IF(OR(U146&lt;&gt;"",V146="SÍ"),IF(ISNUMBER(L146),(1*MIN(L146/10000,1))^0.5,0),IF(ISNUMBER(L146),(0*MIN(L146/10000,1))^0.5,0)),0)</f>
        <v/>
      </c>
    </row>
    <row r="147">
      <c r="A147" t="inlineStr">
        <is>
          <t>MIDAGRI; CENCOOP 2017</t>
        </is>
      </c>
      <c r="B147" s="70" t="inlineStr">
        <is>
          <t>20187587337</t>
        </is>
      </c>
      <c r="C147" s="30" t="inlineStr">
        <is>
          <t>Cooperativa Agraria Cafetalera Manco Inca Ltda</t>
        </is>
      </c>
      <c r="D147" s="30" t="inlineStr"/>
      <c r="E147" s="30" t="inlineStr">
        <is>
          <t>VENTA AL POR MENOR DE ALIMENTOS, BEBIDAS Y TABACO EN ALMACENES ESPECIALIZADOS</t>
        </is>
      </c>
      <c r="F147" s="30" t="inlineStr">
        <is>
          <t>Cusco</t>
        </is>
      </c>
      <c r="G147" s="30" t="inlineStr">
        <is>
          <t>La Convención</t>
        </is>
      </c>
      <c r="H147" s="30" t="inlineStr">
        <is>
          <t>—</t>
        </is>
      </c>
      <c r="I147" s="30" t="inlineStr">
        <is>
          <t>—</t>
        </is>
      </c>
      <c r="J147" s="30" t="n"/>
      <c r="K147" s="30" t="inlineStr">
        <is>
          <t>NO</t>
        </is>
      </c>
      <c r="L147" s="30" t="n"/>
      <c r="M147" s="30" t="n"/>
      <c r="N147" s="30" t="n"/>
      <c r="O147" s="30" t="n"/>
      <c r="P147" s="30" t="inlineStr"/>
      <c r="Q147" s="30" t="inlineStr"/>
      <c r="R147" s="14" t="inlineStr">
        <is>
          <t>2575.0</t>
        </is>
      </c>
      <c r="S147" s="30" t="inlineStr"/>
      <c r="T147" s="30" t="inlineStr"/>
      <c r="U147" s="14" t="inlineStr"/>
      <c r="V147" s="14" t="inlineStr">
        <is>
          <t>NO</t>
        </is>
      </c>
      <c r="W147" s="14" t="inlineStr">
        <is>
          <t>—</t>
        </is>
      </c>
      <c r="X147" s="14" t="inlineStr">
        <is>
          <t>—</t>
        </is>
      </c>
      <c r="Y147" s="14" t="inlineStr"/>
      <c r="Z147" s="30" t="inlineStr">
        <is>
          <t>—</t>
        </is>
      </c>
      <c r="AA147" s="30" t="b">
        <v>0</v>
      </c>
      <c r="AB147" s="30" t="b">
        <v>1</v>
      </c>
      <c r="AC147" s="30" t="b">
        <v>0</v>
      </c>
      <c r="AD147" s="19" t="inlineStr">
        <is>
          <t>SI</t>
        </is>
      </c>
      <c r="AE147" s="30" t="inlineStr">
        <is>
          <t>COOPERATIVA AGRARIA CAFETALERA MANCO INCA LTDA.</t>
        </is>
      </c>
      <c r="AF147" s="30" t="inlineStr">
        <is>
          <t>CUSCO</t>
        </is>
      </c>
      <c r="AG147" s="30" t="inlineStr">
        <is>
          <t>LA CONVENCION</t>
        </is>
      </c>
      <c r="AH147" s="30" t="inlineStr">
        <is>
          <t>VILCABAMBA</t>
        </is>
      </c>
      <c r="AI147" s="30" t="inlineStr">
        <is>
          <t>OYARA</t>
        </is>
      </c>
      <c r="AJ147" s="30" t="inlineStr">
        <is>
          <t>CULTIVO DE CEREALES (EXCEPTO ARROZ), LEGUMBRES Y SEMILLAS OLEAGINOSAS</t>
        </is>
      </c>
      <c r="AK147" s="30" t="inlineStr">
        <is>
          <t>1.0</t>
        </is>
      </c>
      <c r="AL147" s="30" t="inlineStr">
        <is>
          <t>1.0</t>
        </is>
      </c>
      <c r="AM147" s="30" t="inlineStr">
        <is>
          <t>1.0</t>
        </is>
      </c>
      <c r="AN147" s="30" t="n">
        <v>24</v>
      </c>
      <c r="AO147" s="30" t="inlineStr">
        <is>
          <t>ACUÑA RIVERA JUAN EDILBERTO</t>
        </is>
      </c>
      <c r="AP147" s="30" t="inlineStr">
        <is>
          <t>INGENIERO AGRONOMO</t>
        </is>
      </c>
      <c r="AQ147" s="30" t="inlineStr">
        <is>
          <t>9.0</t>
        </is>
      </c>
      <c r="AR147" s="30" t="inlineStr">
        <is>
          <t>NO TIENE</t>
        </is>
      </c>
      <c r="AS147" s="30" t="inlineStr">
        <is>
          <t>NO TIENE</t>
        </is>
      </c>
      <c r="AT147" s="30" t="inlineStr">
        <is>
          <t>995521687</t>
        </is>
      </c>
      <c r="AU147" s="30" t="inlineStr">
        <is>
          <t>-13.036039999999998</t>
        </is>
      </c>
      <c r="AV147" s="30" t="inlineStr">
        <is>
          <t>-72.83125833333334</t>
        </is>
      </c>
      <c r="AW147" s="30" t="inlineStr">
        <is>
          <t>1993.0</t>
        </is>
      </c>
      <c r="AX147" s="30" t="inlineStr">
        <is>
          <t>1993.0</t>
        </is>
      </c>
      <c r="AY147" s="30" t="inlineStr">
        <is>
          <t>1</t>
        </is>
      </c>
      <c r="AZ147" s="30" t="inlineStr">
        <is>
          <t>sept-2026</t>
        </is>
      </c>
      <c r="BD147" s="81">
        <f>0</f>
        <v/>
      </c>
      <c r="BE147" s="81">
        <f>IFERROR((IF(ISNUMBER(T147),MIN(T147/30,1),0)+IF(ISNUMBER(P147),MIN(P147/500,1),0))/2,0)</f>
        <v/>
      </c>
      <c r="BF147" s="81">
        <f>IFERROR(IF(OR(U147&lt;&gt;"",V147="SÍ"),IF(ISNUMBER(L147),(1*MIN(L147/10000,1))^0.5,0),IF(ISNUMBER(L147),(0*MIN(L147/10000,1))^0.5,0)),0)</f>
        <v/>
      </c>
    </row>
    <row r="148">
      <c r="A148" t="inlineStr">
        <is>
          <t>MIDAGRI; CENACOOP; CENCOOP 2017; SISPAC</t>
        </is>
      </c>
      <c r="B148" s="70" t="inlineStr">
        <is>
          <t>20132517119</t>
        </is>
      </c>
      <c r="C148" s="29" t="inlineStr">
        <is>
          <t>Cooperativa Agraria Cafetalera Mateo Pumachua Ltda N° 185</t>
        </is>
      </c>
      <c r="D148" s="29" t="inlineStr"/>
      <c r="E148" s="29" t="inlineStr">
        <is>
          <t>VENTA AL POR MENOR DE ALIMENTOS, BEBIDAS Y TABACO EN ALMACENES ESPECIALIZADOS</t>
        </is>
      </c>
      <c r="F148" s="29" t="inlineStr">
        <is>
          <t>Cusco</t>
        </is>
      </c>
      <c r="G148" s="29" t="inlineStr">
        <is>
          <t>La Convención</t>
        </is>
      </c>
      <c r="H148" s="29" t="inlineStr">
        <is>
          <t>—</t>
        </is>
      </c>
      <c r="I148" s="29" t="inlineStr">
        <is>
          <t>—</t>
        </is>
      </c>
      <c r="J148" s="29" t="inlineStr">
        <is>
          <t>SI</t>
        </is>
      </c>
      <c r="K148" s="29" t="inlineStr">
        <is>
          <t>NO</t>
        </is>
      </c>
      <c r="L148" s="29" t="n">
        <v>0</v>
      </c>
      <c r="M148" s="29" t="n">
        <v>327924.13</v>
      </c>
      <c r="N148" s="29" t="n">
        <v>4</v>
      </c>
      <c r="O148" s="29" t="n">
        <v>2</v>
      </c>
      <c r="P148" s="29" t="inlineStr"/>
      <c r="Q148" s="29" t="inlineStr"/>
      <c r="R148" s="18" t="inlineStr">
        <is>
          <t>2575.0</t>
        </is>
      </c>
      <c r="S148" s="29" t="inlineStr"/>
      <c r="T148" s="29" t="inlineStr"/>
      <c r="U148" s="18" t="inlineStr"/>
      <c r="V148" s="18" t="inlineStr">
        <is>
          <t>NO</t>
        </is>
      </c>
      <c r="W148" s="18" t="inlineStr">
        <is>
          <t>—</t>
        </is>
      </c>
      <c r="X148" s="18" t="inlineStr">
        <is>
          <t>—</t>
        </is>
      </c>
      <c r="Y148" s="18" t="inlineStr"/>
      <c r="Z148" s="29" t="inlineStr">
        <is>
          <t>—</t>
        </is>
      </c>
      <c r="AA148" s="29" t="b">
        <v>0</v>
      </c>
      <c r="AB148" s="29" t="b">
        <v>1</v>
      </c>
      <c r="AC148" s="29" t="b">
        <v>1</v>
      </c>
      <c r="AD148" s="19" t="inlineStr">
        <is>
          <t>SI</t>
        </is>
      </c>
      <c r="AE148" s="29" t="inlineStr">
        <is>
          <t>COOPERATIVA AGRARIA CAFETALERA MATEO PUMACAHUA LTDA. Nº 185</t>
        </is>
      </c>
      <c r="AF148" s="29" t="inlineStr">
        <is>
          <t>CUSCO</t>
        </is>
      </c>
      <c r="AG148" s="29" t="inlineStr">
        <is>
          <t>LA CONVENCION</t>
        </is>
      </c>
      <c r="AH148" s="29" t="inlineStr">
        <is>
          <t>SANTA ANA</t>
        </is>
      </c>
      <c r="AI148" s="29" t="inlineStr">
        <is>
          <t>QUILLABAMBA</t>
        </is>
      </c>
      <c r="AJ148" s="29" t="inlineStr">
        <is>
          <t>VENTA AL POR MAYOR DE ALIMENTOS, BEBIDAS Y TABACO.</t>
        </is>
      </c>
      <c r="AK148" s="29" t="inlineStr">
        <is>
          <t>1.0</t>
        </is>
      </c>
      <c r="AL148" s="29" t="inlineStr">
        <is>
          <t>1.0</t>
        </is>
      </c>
      <c r="AM148" s="29" t="inlineStr">
        <is>
          <t>2.0</t>
        </is>
      </c>
      <c r="AN148" s="29" t="n">
        <v>52</v>
      </c>
      <c r="AO148" s="29" t="inlineStr">
        <is>
          <t>VALDEZ VALENCIA REMIGIO</t>
        </is>
      </c>
      <c r="AP148" s="29" t="inlineStr">
        <is>
          <t>INGENIERO AGRONOMO</t>
        </is>
      </c>
      <c r="AQ148" s="29" t="inlineStr">
        <is>
          <t>10.0</t>
        </is>
      </c>
      <c r="AR148" s="29" t="inlineStr">
        <is>
          <t>NO TIENE</t>
        </is>
      </c>
      <c r="AS148" s="29" t="inlineStr">
        <is>
          <t>CACMATEOPUMACAHUA@HOTMAIL.COM</t>
        </is>
      </c>
      <c r="AT148" s="29" t="inlineStr">
        <is>
          <t>978563749</t>
        </is>
      </c>
      <c r="AU148" s="29" t="inlineStr">
        <is>
          <t>-12.864440000000002</t>
        </is>
      </c>
      <c r="AV148" s="29" t="inlineStr">
        <is>
          <t>-72.69499833333333</t>
        </is>
      </c>
      <c r="AW148" s="29" t="inlineStr">
        <is>
          <t>1965.0</t>
        </is>
      </c>
      <c r="AX148" s="29" t="inlineStr">
        <is>
          <t>1965.0</t>
        </is>
      </c>
      <c r="AY148" s="29" t="inlineStr">
        <is>
          <t>2</t>
        </is>
      </c>
      <c r="AZ148" s="29" t="inlineStr">
        <is>
          <t>sept-2026</t>
        </is>
      </c>
      <c r="BA148" t="inlineStr">
        <is>
          <t>GERMANY; UNITED STATES</t>
        </is>
      </c>
      <c r="BB148" t="n">
        <v>2014</v>
      </c>
      <c r="BC148" t="n">
        <v>2016</v>
      </c>
      <c r="BD148" s="81">
        <f>0</f>
        <v/>
      </c>
      <c r="BE148" s="81">
        <f>IFERROR((IF(ISNUMBER(T148),MIN(T148/30,1),0)+IF(ISNUMBER(P148),MIN(P148/500,1),0))/2,0)</f>
        <v/>
      </c>
      <c r="BF148" s="81">
        <f>IFERROR(IF(OR(U148&lt;&gt;"",V148="SÍ"),IF(ISNUMBER(L148),(1*MIN(L148/10000,1))^0.5,0),IF(ISNUMBER(L148),(0*MIN(L148/10000,1))^0.5,0)),0)</f>
        <v/>
      </c>
    </row>
    <row r="149">
      <c r="A149" t="inlineStr">
        <is>
          <t>MIDAGRI</t>
        </is>
      </c>
      <c r="B149" s="70" t="inlineStr">
        <is>
          <t>20563844991</t>
        </is>
      </c>
      <c r="C149" s="30" t="inlineStr">
        <is>
          <t>Cooperativa Agraria Cafetalera Quillabamba Limitada</t>
        </is>
      </c>
      <c r="D149" s="30" t="inlineStr"/>
      <c r="E149" s="30" t="inlineStr">
        <is>
          <t>VENTA AL POR MENOR DE ALIMENTOS, BEBIDAS Y TABACO EN ALMACENES ESPECIALIZADOS</t>
        </is>
      </c>
      <c r="F149" s="30" t="inlineStr">
        <is>
          <t>Cusco</t>
        </is>
      </c>
      <c r="G149" s="30" t="inlineStr">
        <is>
          <t>La Convención</t>
        </is>
      </c>
      <c r="H149" s="30" t="inlineStr">
        <is>
          <t>—</t>
        </is>
      </c>
      <c r="I149" s="30" t="inlineStr">
        <is>
          <t>—</t>
        </is>
      </c>
      <c r="J149" s="30" t="n"/>
      <c r="K149" s="30" t="inlineStr">
        <is>
          <t>NO</t>
        </is>
      </c>
      <c r="L149" s="30" t="n"/>
      <c r="M149" s="30" t="n"/>
      <c r="N149" s="30" t="n"/>
      <c r="O149" s="30" t="n"/>
      <c r="P149" s="30" t="inlineStr"/>
      <c r="Q149" s="30" t="inlineStr"/>
      <c r="R149" s="14" t="inlineStr">
        <is>
          <t>2575.0</t>
        </is>
      </c>
      <c r="S149" s="30" t="inlineStr"/>
      <c r="T149" s="30" t="inlineStr"/>
      <c r="U149" s="14" t="inlineStr"/>
      <c r="V149" s="14" t="inlineStr">
        <is>
          <t>NO</t>
        </is>
      </c>
      <c r="W149" s="14" t="inlineStr">
        <is>
          <t>—</t>
        </is>
      </c>
      <c r="X149" s="14" t="inlineStr">
        <is>
          <t>—</t>
        </is>
      </c>
      <c r="Y149" s="14" t="inlineStr"/>
      <c r="Z149" s="30" t="inlineStr">
        <is>
          <t>—</t>
        </is>
      </c>
      <c r="AA149" s="30" t="b">
        <v>0</v>
      </c>
      <c r="AB149" s="30" t="b">
        <v>1</v>
      </c>
      <c r="AC149" s="30" t="b">
        <v>0</v>
      </c>
      <c r="AD149" s="30" t="inlineStr">
        <is>
          <t>NO</t>
        </is>
      </c>
      <c r="AE149" s="30" t="inlineStr"/>
      <c r="AF149" s="30" t="inlineStr"/>
      <c r="AG149" s="30" t="inlineStr"/>
      <c r="AH149" s="30" t="inlineStr"/>
      <c r="AI149" s="30" t="inlineStr"/>
      <c r="AJ149" s="30" t="inlineStr"/>
      <c r="AK149" s="30" t="inlineStr"/>
      <c r="AL149" s="30" t="inlineStr"/>
      <c r="AM149" s="30" t="inlineStr"/>
      <c r="AN149" s="30" t="n"/>
      <c r="AO149" s="30" t="inlineStr"/>
      <c r="AP149" s="30" t="inlineStr"/>
      <c r="AQ149" s="30" t="inlineStr"/>
      <c r="AR149" s="30" t="inlineStr"/>
      <c r="AS149" s="30" t="inlineStr"/>
      <c r="AT149" s="30" t="inlineStr"/>
      <c r="AU149" s="30" t="inlineStr"/>
      <c r="AV149" s="30" t="inlineStr"/>
      <c r="AW149" s="30" t="inlineStr"/>
      <c r="AX149" s="30" t="inlineStr"/>
      <c r="AY149" s="30" t="inlineStr">
        <is>
          <t>1</t>
        </is>
      </c>
      <c r="AZ149" s="30" t="inlineStr">
        <is>
          <t>sept-2026</t>
        </is>
      </c>
      <c r="BD149" s="81">
        <f>0</f>
        <v/>
      </c>
      <c r="BE149" s="81">
        <f>IFERROR((IF(ISNUMBER(T149),MIN(T149/30,1),0)+IF(ISNUMBER(P149),MIN(P149/500,1),0))/2,0)</f>
        <v/>
      </c>
      <c r="BF149" s="81">
        <f>IFERROR(IF(OR(U149&lt;&gt;"",V149="SÍ"),IF(ISNUMBER(L149),(1*MIN(L149/10000,1))^0.5,0),IF(ISNUMBER(L149),(0*MIN(L149/10000,1))^0.5,0)),0)</f>
        <v/>
      </c>
    </row>
    <row r="150">
      <c r="A150" t="inlineStr">
        <is>
          <t>MIDAGRI; CENCOOP 2017</t>
        </is>
      </c>
      <c r="B150" s="70" t="inlineStr">
        <is>
          <t>20527181047</t>
        </is>
      </c>
      <c r="C150" s="29" t="inlineStr">
        <is>
          <t>Cooperativa Agraria Cafetalera San Fernando Ltda</t>
        </is>
      </c>
      <c r="D150" s="29" t="inlineStr"/>
      <c r="E150" s="29" t="inlineStr">
        <is>
          <t>VENTA AL POR MENOR DE ALIMENTOS, BEBIDAS Y TABACO EN ALMACENES ESPECIALIZADOS</t>
        </is>
      </c>
      <c r="F150" s="29" t="inlineStr">
        <is>
          <t>Cusco</t>
        </is>
      </c>
      <c r="G150" s="29" t="inlineStr">
        <is>
          <t>La Convención</t>
        </is>
      </c>
      <c r="H150" s="29" t="inlineStr">
        <is>
          <t>—</t>
        </is>
      </c>
      <c r="I150" s="29" t="inlineStr">
        <is>
          <t>—</t>
        </is>
      </c>
      <c r="J150" s="29" t="inlineStr">
        <is>
          <t>SI</t>
        </is>
      </c>
      <c r="K150" s="29" t="inlineStr">
        <is>
          <t>NO</t>
        </is>
      </c>
      <c r="L150" s="29" t="n">
        <v>1648360.21</v>
      </c>
      <c r="M150" s="29" t="n">
        <v>18766658.17</v>
      </c>
      <c r="N150" s="29" t="n">
        <v>90</v>
      </c>
      <c r="O150" s="29" t="n">
        <v>8</v>
      </c>
      <c r="P150" s="29" t="inlineStr"/>
      <c r="Q150" s="29" t="inlineStr"/>
      <c r="R150" s="18" t="inlineStr">
        <is>
          <t>2575.0</t>
        </is>
      </c>
      <c r="S150" s="29" t="inlineStr"/>
      <c r="T150" s="29" t="inlineStr"/>
      <c r="U150" s="18" t="inlineStr"/>
      <c r="V150" s="18" t="inlineStr">
        <is>
          <t>NO</t>
        </is>
      </c>
      <c r="W150" s="18" t="inlineStr">
        <is>
          <t>—</t>
        </is>
      </c>
      <c r="X150" s="18" t="inlineStr">
        <is>
          <t>—</t>
        </is>
      </c>
      <c r="Y150" s="18" t="inlineStr"/>
      <c r="Z150" s="29" t="inlineStr">
        <is>
          <t>—</t>
        </is>
      </c>
      <c r="AA150" s="29" t="b">
        <v>0</v>
      </c>
      <c r="AB150" s="29" t="b">
        <v>1</v>
      </c>
      <c r="AC150" s="29" t="b">
        <v>0</v>
      </c>
      <c r="AD150" s="19" t="inlineStr">
        <is>
          <t>SI</t>
        </is>
      </c>
      <c r="AE150" s="29" t="inlineStr">
        <is>
          <t>COOPERATIVA AGRARIA CAFETALERA SAN FERNANDO LTDA.</t>
        </is>
      </c>
      <c r="AF150" s="29" t="inlineStr">
        <is>
          <t>CUSCO</t>
        </is>
      </c>
      <c r="AG150" s="29" t="inlineStr">
        <is>
          <t>LA CONVENCION</t>
        </is>
      </c>
      <c r="AH150" s="29" t="inlineStr">
        <is>
          <t>VILCABAMBA</t>
        </is>
      </c>
      <c r="AI150" s="29" t="inlineStr">
        <is>
          <t>APAYLLA</t>
        </is>
      </c>
      <c r="AJ150" s="29" t="inlineStr">
        <is>
          <t>ELABORACIÓN DE OTROS PRODUCTOS ALIMENTICIOS N.C.P.</t>
        </is>
      </c>
      <c r="AK150" s="29" t="inlineStr">
        <is>
          <t>1.0</t>
        </is>
      </c>
      <c r="AL150" s="29" t="inlineStr">
        <is>
          <t>1.0</t>
        </is>
      </c>
      <c r="AM150" s="29" t="inlineStr">
        <is>
          <t>2.0</t>
        </is>
      </c>
      <c r="AN150" s="29" t="n">
        <v>15</v>
      </c>
      <c r="AO150" s="29" t="inlineStr">
        <is>
          <t>LEGUIA MASIAS BELTRAN</t>
        </is>
      </c>
      <c r="AP150" s="29" t="inlineStr">
        <is>
          <t>LICENCIADO EN ADMINISTRACION</t>
        </is>
      </c>
      <c r="AQ150" s="29" t="inlineStr">
        <is>
          <t>11.0</t>
        </is>
      </c>
      <c r="AR150" s="29" t="inlineStr">
        <is>
          <t>NO TIENE</t>
        </is>
      </c>
      <c r="AS150" s="29" t="inlineStr">
        <is>
          <t>SANFERNANDOLTDA@OUTLOOK.COM</t>
        </is>
      </c>
      <c r="AT150" s="29" t="inlineStr">
        <is>
          <t>984600083</t>
        </is>
      </c>
      <c r="AU150" s="29" t="inlineStr">
        <is>
          <t>-13.302331666666666</t>
        </is>
      </c>
      <c r="AV150" s="29" t="inlineStr">
        <is>
          <t>-73.26938</t>
        </is>
      </c>
      <c r="AW150" s="29" t="inlineStr">
        <is>
          <t>2002.0</t>
        </is>
      </c>
      <c r="AX150" s="29" t="inlineStr">
        <is>
          <t>2002.0</t>
        </is>
      </c>
      <c r="AY150" s="29" t="inlineStr">
        <is>
          <t>1</t>
        </is>
      </c>
      <c r="AZ150" s="29" t="inlineStr">
        <is>
          <t>sept-2026</t>
        </is>
      </c>
      <c r="BA150" t="inlineStr">
        <is>
          <t>AUSTRALIA; CANADA; GERMANY; IRELAND; KOREA, REPUBLIC OF; MEXICO; UNITED KINGDOM; UNITED STATES</t>
        </is>
      </c>
      <c r="BB150" t="n">
        <v>2014</v>
      </c>
      <c r="BC150" t="n">
        <v>2025</v>
      </c>
      <c r="BD150" s="81">
        <f>0</f>
        <v/>
      </c>
      <c r="BE150" s="81">
        <f>IFERROR((IF(ISNUMBER(T150),MIN(T150/30,1),0)+IF(ISNUMBER(P150),MIN(P150/500,1),0))/2,0)</f>
        <v/>
      </c>
      <c r="BF150" s="81">
        <f>IFERROR(IF(OR(U150&lt;&gt;"",V150="SÍ"),IF(ISNUMBER(L150),(1*MIN(L150/10000,1))^0.5,0),IF(ISNUMBER(L150),(0*MIN(L150/10000,1))^0.5,0)),0)</f>
        <v/>
      </c>
    </row>
    <row r="151">
      <c r="A151" t="inlineStr">
        <is>
          <t>MIDAGRI; CENACOOP; CENCOOP 2017</t>
        </is>
      </c>
      <c r="B151" s="70" t="inlineStr">
        <is>
          <t>20132526703</t>
        </is>
      </c>
      <c r="C151" s="30" t="inlineStr">
        <is>
          <t>Cooperativa Agraria Cafetalera Santa Ana Ltda. 232</t>
        </is>
      </c>
      <c r="D151" s="30" t="inlineStr"/>
      <c r="E151" s="30" t="inlineStr">
        <is>
          <t>VENTA AL POR MENOR DE ALIMENTOS, BEBIDAS Y TABACO EN ALMACENES ESPECIALIZADOS</t>
        </is>
      </c>
      <c r="F151" s="30" t="inlineStr">
        <is>
          <t>Cusco</t>
        </is>
      </c>
      <c r="G151" s="30" t="inlineStr">
        <is>
          <t>La Convención</t>
        </is>
      </c>
      <c r="H151" s="30" t="inlineStr">
        <is>
          <t>—</t>
        </is>
      </c>
      <c r="I151" s="30" t="inlineStr">
        <is>
          <t>—</t>
        </is>
      </c>
      <c r="J151" s="30" t="n"/>
      <c r="K151" s="30" t="inlineStr">
        <is>
          <t>NO</t>
        </is>
      </c>
      <c r="L151" s="30" t="n"/>
      <c r="M151" s="30" t="n"/>
      <c r="N151" s="30" t="n"/>
      <c r="O151" s="30" t="n"/>
      <c r="P151" s="30" t="inlineStr"/>
      <c r="Q151" s="30" t="inlineStr"/>
      <c r="R151" s="14" t="inlineStr">
        <is>
          <t>2575.0</t>
        </is>
      </c>
      <c r="S151" s="30" t="inlineStr"/>
      <c r="T151" s="30" t="inlineStr"/>
      <c r="U151" s="14" t="inlineStr"/>
      <c r="V151" s="14" t="inlineStr">
        <is>
          <t>NO</t>
        </is>
      </c>
      <c r="W151" s="14" t="inlineStr">
        <is>
          <t>—</t>
        </is>
      </c>
      <c r="X151" s="14" t="inlineStr">
        <is>
          <t>—</t>
        </is>
      </c>
      <c r="Y151" s="14" t="inlineStr"/>
      <c r="Z151" s="30" t="inlineStr">
        <is>
          <t>—</t>
        </is>
      </c>
      <c r="AA151" s="30" t="b">
        <v>0</v>
      </c>
      <c r="AB151" s="30" t="b">
        <v>1</v>
      </c>
      <c r="AC151" s="30" t="b">
        <v>1</v>
      </c>
      <c r="AD151" s="19" t="inlineStr">
        <is>
          <t>SI</t>
        </is>
      </c>
      <c r="AE151" s="30" t="inlineStr">
        <is>
          <t>COOPERATIVA AGRARIA CAFETALERA SANTA ANA LTDA. Nº 232</t>
        </is>
      </c>
      <c r="AF151" s="30" t="inlineStr">
        <is>
          <t>CUSCO</t>
        </is>
      </c>
      <c r="AG151" s="30" t="inlineStr">
        <is>
          <t>LA CONVENCION</t>
        </is>
      </c>
      <c r="AH151" s="30" t="inlineStr">
        <is>
          <t>SANTA ANA</t>
        </is>
      </c>
      <c r="AI151" s="30" t="inlineStr">
        <is>
          <t>QUILLABAMBA</t>
        </is>
      </c>
      <c r="AJ151" s="30" t="inlineStr">
        <is>
          <t>VENTA AL POR MAYOR DE ALIMENTOS, BEBIDAS Y TABACO.</t>
        </is>
      </c>
      <c r="AK151" s="30" t="inlineStr">
        <is>
          <t>1.0</t>
        </is>
      </c>
      <c r="AL151" s="30" t="inlineStr">
        <is>
          <t>1.0</t>
        </is>
      </c>
      <c r="AM151" s="30" t="inlineStr">
        <is>
          <t>1.0</t>
        </is>
      </c>
      <c r="AN151" s="30" t="n">
        <v>24</v>
      </c>
      <c r="AO151" s="30" t="inlineStr">
        <is>
          <t>CRUZ QUISPE FREDY</t>
        </is>
      </c>
      <c r="AP151" s="30" t="inlineStr">
        <is>
          <t>ASISTENTE DE CONTABILIDAD</t>
        </is>
      </c>
      <c r="AQ151" s="30" t="inlineStr">
        <is>
          <t>8.0</t>
        </is>
      </c>
      <c r="AR151" s="30" t="inlineStr">
        <is>
          <t>NO TIENE</t>
        </is>
      </c>
      <c r="AS151" s="30" t="inlineStr">
        <is>
          <t>NO TIENE</t>
        </is>
      </c>
      <c r="AT151" s="30" t="inlineStr">
        <is>
          <t>984044806</t>
        </is>
      </c>
      <c r="AU151" s="30" t="inlineStr">
        <is>
          <t>-12.867078333333332</t>
        </is>
      </c>
      <c r="AV151" s="30" t="inlineStr">
        <is>
          <t>-72.69699333333332</t>
        </is>
      </c>
      <c r="AW151" s="30" t="inlineStr">
        <is>
          <t>1993.0</t>
        </is>
      </c>
      <c r="AX151" s="30" t="inlineStr">
        <is>
          <t>1993.0</t>
        </is>
      </c>
      <c r="AY151" s="30" t="inlineStr">
        <is>
          <t>2</t>
        </is>
      </c>
      <c r="AZ151" s="30" t="inlineStr">
        <is>
          <t>sept-2026</t>
        </is>
      </c>
      <c r="BD151" s="81">
        <f>0</f>
        <v/>
      </c>
      <c r="BE151" s="81">
        <f>IFERROR((IF(ISNUMBER(T151),MIN(T151/30,1),0)+IF(ISNUMBER(P151),MIN(P151/500,1),0))/2,0)</f>
        <v/>
      </c>
      <c r="BF151" s="81">
        <f>IFERROR(IF(OR(U151&lt;&gt;"",V151="SÍ"),IF(ISNUMBER(L151),(1*MIN(L151/10000,1))^0.5,0),IF(ISNUMBER(L151),(0*MIN(L151/10000,1))^0.5,0)),0)</f>
        <v/>
      </c>
    </row>
    <row r="152">
      <c r="A152" t="inlineStr">
        <is>
          <t>MIDAGRI; CENACOOP; CENCOOP 2017</t>
        </is>
      </c>
      <c r="B152" s="70" t="inlineStr">
        <is>
          <t>20140274756</t>
        </is>
      </c>
      <c r="C152" s="29" t="inlineStr">
        <is>
          <t>Cooperativa Agraria Cafetalera Tiobamba Ltda.</t>
        </is>
      </c>
      <c r="D152" s="29" t="inlineStr"/>
      <c r="E152" s="29" t="inlineStr">
        <is>
          <t>VENTA AL POR MENOR DE ALIMENTOS, BEBIDAS Y TABACO EN ALMACENES ESPECIALIZADOS</t>
        </is>
      </c>
      <c r="F152" s="29" t="inlineStr">
        <is>
          <t>Cusco</t>
        </is>
      </c>
      <c r="G152" s="29" t="inlineStr">
        <is>
          <t>La Convención</t>
        </is>
      </c>
      <c r="H152" s="29" t="inlineStr">
        <is>
          <t>—</t>
        </is>
      </c>
      <c r="I152" s="29" t="inlineStr">
        <is>
          <t>—</t>
        </is>
      </c>
      <c r="J152" s="29" t="n"/>
      <c r="K152" s="29" t="inlineStr">
        <is>
          <t>NO</t>
        </is>
      </c>
      <c r="L152" s="29" t="n"/>
      <c r="M152" s="29" t="n"/>
      <c r="N152" s="29" t="n"/>
      <c r="O152" s="29" t="n"/>
      <c r="P152" s="29" t="inlineStr"/>
      <c r="Q152" s="29" t="inlineStr"/>
      <c r="R152" s="18" t="inlineStr">
        <is>
          <t>2575.0</t>
        </is>
      </c>
      <c r="S152" s="29" t="inlineStr"/>
      <c r="T152" s="29" t="inlineStr"/>
      <c r="U152" s="18" t="inlineStr"/>
      <c r="V152" s="18" t="inlineStr">
        <is>
          <t>NO</t>
        </is>
      </c>
      <c r="W152" s="18" t="inlineStr">
        <is>
          <t>—</t>
        </is>
      </c>
      <c r="X152" s="18" t="inlineStr">
        <is>
          <t>—</t>
        </is>
      </c>
      <c r="Y152" s="18" t="inlineStr"/>
      <c r="Z152" s="29" t="inlineStr">
        <is>
          <t>—</t>
        </is>
      </c>
      <c r="AA152" s="29" t="b">
        <v>0</v>
      </c>
      <c r="AB152" s="29" t="b">
        <v>1</v>
      </c>
      <c r="AC152" s="29" t="b">
        <v>1</v>
      </c>
      <c r="AD152" s="19" t="inlineStr">
        <is>
          <t>SI</t>
        </is>
      </c>
      <c r="AE152" s="29" t="inlineStr">
        <is>
          <t>COOPERATIVA AGRARIA CAFETALERA TIOBAMBA</t>
        </is>
      </c>
      <c r="AF152" s="29" t="inlineStr">
        <is>
          <t>CUSCO</t>
        </is>
      </c>
      <c r="AG152" s="29" t="inlineStr">
        <is>
          <t>LA CONVENCION</t>
        </is>
      </c>
      <c r="AH152" s="29" t="inlineStr">
        <is>
          <t>SANTA ANA</t>
        </is>
      </c>
      <c r="AI152" s="29" t="inlineStr">
        <is>
          <t>QUILLABAMBA</t>
        </is>
      </c>
      <c r="AJ152" s="29" t="inlineStr">
        <is>
          <t>VENTA AL POR MAYOR DE ALIMENTOS, BEBIDAS Y TABACO.</t>
        </is>
      </c>
      <c r="AK152" s="29" t="inlineStr">
        <is>
          <t>1.0</t>
        </is>
      </c>
      <c r="AL152" s="29" t="inlineStr">
        <is>
          <t>1.0</t>
        </is>
      </c>
      <c r="AM152" s="29" t="inlineStr">
        <is>
          <t>1.0</t>
        </is>
      </c>
      <c r="AN152" s="29" t="n">
        <v>42</v>
      </c>
      <c r="AO152" s="29" t="inlineStr">
        <is>
          <t>MAR CACERES FABIO</t>
        </is>
      </c>
      <c r="AP152" s="29" t="inlineStr">
        <is>
          <t>INGENIERO AGRONOMO</t>
        </is>
      </c>
      <c r="AQ152" s="29" t="inlineStr">
        <is>
          <t>10.0</t>
        </is>
      </c>
      <c r="AR152" s="29" t="inlineStr">
        <is>
          <t>NO TIENE</t>
        </is>
      </c>
      <c r="AS152" s="29" t="inlineStr">
        <is>
          <t>NO TIENE</t>
        </is>
      </c>
      <c r="AT152" s="29" t="inlineStr">
        <is>
          <t>968140737</t>
        </is>
      </c>
      <c r="AU152" s="29" t="inlineStr">
        <is>
          <t>-12.863618333333333</t>
        </is>
      </c>
      <c r="AV152" s="29" t="inlineStr">
        <is>
          <t>-72.69175333333332</t>
        </is>
      </c>
      <c r="AW152" s="29" t="inlineStr">
        <is>
          <t>1975.0</t>
        </is>
      </c>
      <c r="AX152" s="29" t="inlineStr">
        <is>
          <t>1975.0</t>
        </is>
      </c>
      <c r="AY152" s="29" t="inlineStr">
        <is>
          <t>2</t>
        </is>
      </c>
      <c r="AZ152" s="29" t="inlineStr">
        <is>
          <t>sept-2026</t>
        </is>
      </c>
      <c r="BD152" s="81">
        <f>0</f>
        <v/>
      </c>
      <c r="BE152" s="81">
        <f>IFERROR((IF(ISNUMBER(T152),MIN(T152/30,1),0)+IF(ISNUMBER(P152),MIN(P152/500,1),0))/2,0)</f>
        <v/>
      </c>
      <c r="BF152" s="81">
        <f>IFERROR(IF(OR(U152&lt;&gt;"",V152="SÍ"),IF(ISNUMBER(L152),(1*MIN(L152/10000,1))^0.5,0),IF(ISNUMBER(L152),(0*MIN(L152/10000,1))^0.5,0)),0)</f>
        <v/>
      </c>
    </row>
    <row r="153">
      <c r="A153" t="inlineStr">
        <is>
          <t>MIDAGRI; CENCOOP 2017; SISPAC</t>
        </is>
      </c>
      <c r="B153" s="70" t="inlineStr">
        <is>
          <t>20143224857</t>
        </is>
      </c>
      <c r="C153" s="30" t="inlineStr">
        <is>
          <t>Cooperativa Agraria De Usuarios Amaybamba Pistipata Ltda N° 34</t>
        </is>
      </c>
      <c r="D153" s="30" t="inlineStr"/>
      <c r="E153" s="30" t="inlineStr">
        <is>
          <t>VENTA AL POR MENOR DE ALIMENTOS, BEBIDAS Y TABACO EN ALMACENES ESPECIALIZADOS</t>
        </is>
      </c>
      <c r="F153" s="30" t="inlineStr">
        <is>
          <t>Cusco</t>
        </is>
      </c>
      <c r="G153" s="30" t="inlineStr">
        <is>
          <t>La Convención</t>
        </is>
      </c>
      <c r="H153" s="30" t="inlineStr">
        <is>
          <t>—</t>
        </is>
      </c>
      <c r="I153" s="30" t="inlineStr">
        <is>
          <t>—</t>
        </is>
      </c>
      <c r="J153" s="30" t="n"/>
      <c r="K153" s="30" t="inlineStr">
        <is>
          <t>NO</t>
        </is>
      </c>
      <c r="L153" s="30" t="n"/>
      <c r="M153" s="30" t="n"/>
      <c r="N153" s="30" t="n"/>
      <c r="O153" s="30" t="n"/>
      <c r="P153" s="30" t="inlineStr"/>
      <c r="Q153" s="30" t="inlineStr"/>
      <c r="R153" s="14" t="inlineStr">
        <is>
          <t>2575.0</t>
        </is>
      </c>
      <c r="S153" s="30" t="inlineStr"/>
      <c r="T153" s="30" t="inlineStr"/>
      <c r="U153" s="14" t="inlineStr"/>
      <c r="V153" s="14" t="inlineStr">
        <is>
          <t>NO</t>
        </is>
      </c>
      <c r="W153" s="14" t="inlineStr">
        <is>
          <t>—</t>
        </is>
      </c>
      <c r="X153" s="14" t="inlineStr">
        <is>
          <t>—</t>
        </is>
      </c>
      <c r="Y153" s="14" t="inlineStr"/>
      <c r="Z153" s="30" t="inlineStr">
        <is>
          <t>—</t>
        </is>
      </c>
      <c r="AA153" s="30" t="b">
        <v>0</v>
      </c>
      <c r="AB153" s="30" t="b">
        <v>1</v>
      </c>
      <c r="AC153" s="30" t="b">
        <v>0</v>
      </c>
      <c r="AD153" s="19" t="inlineStr">
        <is>
          <t>SI</t>
        </is>
      </c>
      <c r="AE153" s="30" t="inlineStr">
        <is>
          <t>COOPERATIVA AGRARIA AMAYBAMBA PISTIPATA</t>
        </is>
      </c>
      <c r="AF153" s="30" t="inlineStr">
        <is>
          <t>CUSCO</t>
        </is>
      </c>
      <c r="AG153" s="30" t="inlineStr">
        <is>
          <t>LA CONVENCION</t>
        </is>
      </c>
      <c r="AH153" s="30" t="inlineStr">
        <is>
          <t>HUAYOPATA</t>
        </is>
      </c>
      <c r="AI153" s="30" t="inlineStr">
        <is>
          <t>AMAYBAMBA</t>
        </is>
      </c>
      <c r="AJ153" s="30" t="inlineStr">
        <is>
          <t>CULTIVO DE PLANTAS CON LAS QUE SE PREPARAN BEBIDAS</t>
        </is>
      </c>
      <c r="AK153" s="30" t="inlineStr">
        <is>
          <t>1.0</t>
        </is>
      </c>
      <c r="AL153" s="30" t="inlineStr">
        <is>
          <t>2.0</t>
        </is>
      </c>
      <c r="AM153" s="30" t="inlineStr"/>
      <c r="AN153" s="30" t="n">
        <v>24</v>
      </c>
      <c r="AO153" s="30" t="inlineStr"/>
      <c r="AP153" s="30" t="inlineStr"/>
      <c r="AQ153" s="30" t="inlineStr"/>
      <c r="AR153" s="30" t="inlineStr">
        <is>
          <t>NO TIENE</t>
        </is>
      </c>
      <c r="AS153" s="30" t="inlineStr">
        <is>
          <t>NO TIENE</t>
        </is>
      </c>
      <c r="AT153" s="30" t="inlineStr">
        <is>
          <t>956539394</t>
        </is>
      </c>
      <c r="AU153" s="30" t="inlineStr">
        <is>
          <t>-13.001851666666669</t>
        </is>
      </c>
      <c r="AV153" s="30" t="inlineStr">
        <is>
          <t>-72.522795</t>
        </is>
      </c>
      <c r="AW153" s="30" t="inlineStr">
        <is>
          <t>1993.0</t>
        </is>
      </c>
      <c r="AX153" s="30" t="inlineStr">
        <is>
          <t>1993.0</t>
        </is>
      </c>
      <c r="AY153" s="30" t="inlineStr">
        <is>
          <t>1</t>
        </is>
      </c>
      <c r="AZ153" s="30" t="inlineStr">
        <is>
          <t>sept-2026</t>
        </is>
      </c>
      <c r="BD153" s="81">
        <f>0</f>
        <v/>
      </c>
      <c r="BE153" s="81">
        <f>IFERROR((IF(ISNUMBER(T153),MIN(T153/30,1),0)+IF(ISNUMBER(P153),MIN(P153/500,1),0))/2,0)</f>
        <v/>
      </c>
      <c r="BF153" s="81">
        <f>IFERROR(IF(OR(U153&lt;&gt;"",V153="SÍ"),IF(ISNUMBER(L153),(1*MIN(L153/10000,1))^0.5,0),IF(ISNUMBER(L153),(0*MIN(L153/10000,1))^0.5,0)),0)</f>
        <v/>
      </c>
    </row>
    <row r="154">
      <c r="A154" t="inlineStr">
        <is>
          <t>MIDAGRI</t>
        </is>
      </c>
      <c r="B154" s="70" t="inlineStr">
        <is>
          <t>20609488477</t>
        </is>
      </c>
      <c r="C154" s="29" t="inlineStr">
        <is>
          <t>Cooperativa Agraria Origenes del Valle de Lacco</t>
        </is>
      </c>
      <c r="D154" s="29" t="inlineStr"/>
      <c r="E154" s="29" t="inlineStr">
        <is>
          <t>VENTA AL POR MENOR DE ALIMENTOS, BEBIDAS Y TABACO EN ALMACENES ESPECIALIZADOS</t>
        </is>
      </c>
      <c r="F154" s="29" t="inlineStr">
        <is>
          <t>Cusco</t>
        </is>
      </c>
      <c r="G154" s="29" t="inlineStr">
        <is>
          <t>Calca</t>
        </is>
      </c>
      <c r="H154" s="29" t="inlineStr">
        <is>
          <t>—</t>
        </is>
      </c>
      <c r="I154" s="29" t="inlineStr">
        <is>
          <t>—</t>
        </is>
      </c>
      <c r="J154" s="29" t="inlineStr">
        <is>
          <t>SI</t>
        </is>
      </c>
      <c r="K154" s="29" t="inlineStr">
        <is>
          <t>NO</t>
        </is>
      </c>
      <c r="L154" s="29" t="n">
        <v>210409.71</v>
      </c>
      <c r="M154" s="29" t="n">
        <v>819595.3</v>
      </c>
      <c r="N154" s="29" t="n">
        <v>7</v>
      </c>
      <c r="O154" s="29" t="n">
        <v>1</v>
      </c>
      <c r="P154" s="29" t="inlineStr"/>
      <c r="Q154" s="29" t="inlineStr"/>
      <c r="R154" s="18" t="inlineStr">
        <is>
          <t>2575.0</t>
        </is>
      </c>
      <c r="S154" s="29" t="inlineStr"/>
      <c r="T154" s="29" t="inlineStr"/>
      <c r="U154" s="18" t="inlineStr"/>
      <c r="V154" s="18" t="inlineStr">
        <is>
          <t>NO</t>
        </is>
      </c>
      <c r="W154" s="18" t="inlineStr">
        <is>
          <t>—</t>
        </is>
      </c>
      <c r="X154" s="18" t="inlineStr">
        <is>
          <t>—</t>
        </is>
      </c>
      <c r="Y154" s="18" t="inlineStr"/>
      <c r="Z154" s="29" t="inlineStr">
        <is>
          <t>—</t>
        </is>
      </c>
      <c r="AA154" s="29" t="b">
        <v>0</v>
      </c>
      <c r="AB154" s="29" t="b">
        <v>1</v>
      </c>
      <c r="AC154" s="29" t="b">
        <v>0</v>
      </c>
      <c r="AD154" s="29" t="inlineStr">
        <is>
          <t>NO</t>
        </is>
      </c>
      <c r="AE154" s="29" t="inlineStr"/>
      <c r="AF154" s="29" t="inlineStr"/>
      <c r="AG154" s="29" t="inlineStr"/>
      <c r="AH154" s="29" t="inlineStr"/>
      <c r="AI154" s="29" t="inlineStr"/>
      <c r="AJ154" s="29" t="inlineStr"/>
      <c r="AK154" s="29" t="inlineStr"/>
      <c r="AL154" s="29" t="inlineStr"/>
      <c r="AM154" s="29" t="inlineStr"/>
      <c r="AN154" s="29" t="n"/>
      <c r="AO154" s="29" t="inlineStr"/>
      <c r="AP154" s="29" t="inlineStr"/>
      <c r="AQ154" s="29" t="inlineStr"/>
      <c r="AR154" s="29" t="inlineStr"/>
      <c r="AS154" s="29" t="inlineStr"/>
      <c r="AT154" s="29" t="inlineStr"/>
      <c r="AU154" s="29" t="inlineStr"/>
      <c r="AV154" s="29" t="inlineStr"/>
      <c r="AW154" s="29" t="inlineStr"/>
      <c r="AX154" s="29" t="inlineStr"/>
      <c r="AY154" s="29" t="inlineStr">
        <is>
          <t>1</t>
        </is>
      </c>
      <c r="AZ154" s="29" t="inlineStr">
        <is>
          <t>sept-2026</t>
        </is>
      </c>
      <c r="BA154" t="inlineStr">
        <is>
          <t>UNITED STATES</t>
        </is>
      </c>
      <c r="BB154" t="n">
        <v>2022</v>
      </c>
      <c r="BC154" t="n">
        <v>2025</v>
      </c>
      <c r="BD154" s="81">
        <f>0</f>
        <v/>
      </c>
      <c r="BE154" s="81">
        <f>IFERROR((IF(ISNUMBER(T154),MIN(T154/30,1),0)+IF(ISNUMBER(P154),MIN(P154/500,1),0))/2,0)</f>
        <v/>
      </c>
      <c r="BF154" s="81">
        <f>IFERROR(IF(OR(U154&lt;&gt;"",V154="SÍ"),IF(ISNUMBER(L154),(1*MIN(L154/10000,1))^0.5,0),IF(ISNUMBER(L154),(0*MIN(L154/10000,1))^0.5,0)),0)</f>
        <v/>
      </c>
    </row>
    <row r="155">
      <c r="A155" t="inlineStr">
        <is>
          <t>MIDAGRI; CENACOOP; CENCOOP 2017; SISPAC</t>
        </is>
      </c>
      <c r="B155" s="70" t="inlineStr">
        <is>
          <t>20600161378</t>
        </is>
      </c>
      <c r="C155" s="30" t="inlineStr">
        <is>
          <t>Cooperativa Agraria de Agricultores Huyro</t>
        </is>
      </c>
      <c r="D155" s="30" t="inlineStr"/>
      <c r="E155" s="30" t="inlineStr">
        <is>
          <t>VENTA AL POR MENOR DE ALIMENTOS, BEBIDAS Y TABACO EN ALMACENES ESPECIALIZADOS</t>
        </is>
      </c>
      <c r="F155" s="30" t="inlineStr">
        <is>
          <t>Cusco</t>
        </is>
      </c>
      <c r="G155" s="30" t="inlineStr">
        <is>
          <t>La Convención</t>
        </is>
      </c>
      <c r="H155" s="30" t="inlineStr">
        <is>
          <t>—</t>
        </is>
      </c>
      <c r="I155" s="30" t="inlineStr">
        <is>
          <t>—</t>
        </is>
      </c>
      <c r="J155" s="30" t="n"/>
      <c r="K155" s="30" t="inlineStr">
        <is>
          <t>NO</t>
        </is>
      </c>
      <c r="L155" s="30" t="n"/>
      <c r="M155" s="30" t="n"/>
      <c r="N155" s="30" t="n"/>
      <c r="O155" s="30" t="n"/>
      <c r="P155" s="30" t="inlineStr"/>
      <c r="Q155" s="30" t="inlineStr"/>
      <c r="R155" s="14" t="inlineStr">
        <is>
          <t>2575.0</t>
        </is>
      </c>
      <c r="S155" s="30" t="inlineStr"/>
      <c r="T155" s="30" t="inlineStr"/>
      <c r="U155" s="14" t="inlineStr"/>
      <c r="V155" s="14" t="inlineStr">
        <is>
          <t>NO</t>
        </is>
      </c>
      <c r="W155" s="14" t="inlineStr">
        <is>
          <t>—</t>
        </is>
      </c>
      <c r="X155" s="14" t="inlineStr">
        <is>
          <t>—</t>
        </is>
      </c>
      <c r="Y155" s="14" t="inlineStr"/>
      <c r="Z155" s="30" t="inlineStr">
        <is>
          <t>—</t>
        </is>
      </c>
      <c r="AA155" s="30" t="b">
        <v>0</v>
      </c>
      <c r="AB155" s="30" t="b">
        <v>1</v>
      </c>
      <c r="AC155" s="30" t="b">
        <v>1</v>
      </c>
      <c r="AD155" s="19" t="inlineStr">
        <is>
          <t>SI</t>
        </is>
      </c>
      <c r="AE155" s="30" t="inlineStr">
        <is>
          <t>COOPERATIVA AGRARIA DE AGRICULTORES HUYRO</t>
        </is>
      </c>
      <c r="AF155" s="30" t="inlineStr">
        <is>
          <t>CUSCO</t>
        </is>
      </c>
      <c r="AG155" s="30" t="inlineStr">
        <is>
          <t>LA CONVENCION</t>
        </is>
      </c>
      <c r="AH155" s="30" t="inlineStr">
        <is>
          <t>HUAYOPATA</t>
        </is>
      </c>
      <c r="AI155" s="30" t="inlineStr">
        <is>
          <t>IPAL</t>
        </is>
      </c>
      <c r="AJ155" s="30" t="inlineStr">
        <is>
          <t>ELABORACIÓN DE OTROS PRODUCTOS ALIMENTICIOS N.C.P.</t>
        </is>
      </c>
      <c r="AK155" s="30" t="inlineStr">
        <is>
          <t>1.0</t>
        </is>
      </c>
      <c r="AL155" s="30" t="inlineStr">
        <is>
          <t>1.0</t>
        </is>
      </c>
      <c r="AM155" s="30" t="inlineStr">
        <is>
          <t>1.0</t>
        </is>
      </c>
      <c r="AN155" s="30" t="n">
        <v>2</v>
      </c>
      <c r="AO155" s="30" t="inlineStr">
        <is>
          <t>ARAMBURO GUILLEN DOMINGO</t>
        </is>
      </c>
      <c r="AP155" s="30" t="inlineStr">
        <is>
          <t>ECONOMISTA</t>
        </is>
      </c>
      <c r="AQ155" s="30" t="inlineStr">
        <is>
          <t>10.0</t>
        </is>
      </c>
      <c r="AR155" s="30" t="inlineStr">
        <is>
          <t>WWW.CAAH-IPAL.COM.PE</t>
        </is>
      </c>
      <c r="AS155" s="30" t="inlineStr">
        <is>
          <t>CAAH-IPAL@GMAIL.COM</t>
        </is>
      </c>
      <c r="AT155" s="30" t="inlineStr">
        <is>
          <t>944404104</t>
        </is>
      </c>
      <c r="AU155" s="30" t="inlineStr">
        <is>
          <t>-12.989938333333335</t>
        </is>
      </c>
      <c r="AV155" s="30" t="inlineStr">
        <is>
          <t>-72.53719833333334</t>
        </is>
      </c>
      <c r="AW155" s="30" t="inlineStr">
        <is>
          <t>2015.0</t>
        </is>
      </c>
      <c r="AX155" s="30" t="inlineStr">
        <is>
          <t>2015.0</t>
        </is>
      </c>
      <c r="AY155" s="30" t="inlineStr">
        <is>
          <t>2</t>
        </is>
      </c>
      <c r="AZ155" s="30" t="inlineStr">
        <is>
          <t>sept-2026</t>
        </is>
      </c>
      <c r="BD155" s="81">
        <f>0</f>
        <v/>
      </c>
      <c r="BE155" s="81">
        <f>IFERROR((IF(ISNUMBER(T155),MIN(T155/30,1),0)+IF(ISNUMBER(P155),MIN(P155/500,1),0))/2,0)</f>
        <v/>
      </c>
      <c r="BF155" s="81">
        <f>IFERROR(IF(OR(U155&lt;&gt;"",V155="SÍ"),IF(ISNUMBER(L155),(1*MIN(L155/10000,1))^0.5,0),IF(ISNUMBER(L155),(0*MIN(L155/10000,1))^0.5,0)),0)</f>
        <v/>
      </c>
    </row>
    <row r="156">
      <c r="A156" t="inlineStr">
        <is>
          <t>MIDAGRI; CENACOOP; CENCOOP 2017; SISPAC</t>
        </is>
      </c>
      <c r="B156" s="70" t="inlineStr">
        <is>
          <t>20573260008</t>
        </is>
      </c>
      <c r="C156" s="29" t="inlineStr">
        <is>
          <t>Cooperativa Agraria Aucayacu</t>
        </is>
      </c>
      <c r="D156" s="29" t="inlineStr"/>
      <c r="E156" s="29" t="inlineStr">
        <is>
          <t>VENTA AL POR MENOR DE ALIMENTOS, BEBIDAS Y TABACO EN ALMACENES ESPECIALIZADOS</t>
        </is>
      </c>
      <c r="F156" s="29" t="inlineStr">
        <is>
          <t>Huánuco</t>
        </is>
      </c>
      <c r="G156" s="29" t="inlineStr">
        <is>
          <t>Leoncio Prado</t>
        </is>
      </c>
      <c r="H156" s="29" t="inlineStr">
        <is>
          <t>—</t>
        </is>
      </c>
      <c r="I156" s="29" t="inlineStr">
        <is>
          <t>—</t>
        </is>
      </c>
      <c r="J156" s="29" t="n"/>
      <c r="K156" s="29" t="inlineStr">
        <is>
          <t>NO</t>
        </is>
      </c>
      <c r="L156" s="29" t="n"/>
      <c r="M156" s="29" t="n"/>
      <c r="N156" s="29" t="n"/>
      <c r="O156" s="29" t="n"/>
      <c r="P156" s="29" t="inlineStr"/>
      <c r="Q156" s="29" t="inlineStr"/>
      <c r="R156" s="18" t="inlineStr">
        <is>
          <t>2575.0</t>
        </is>
      </c>
      <c r="S156" s="29" t="inlineStr"/>
      <c r="T156" s="29" t="inlineStr"/>
      <c r="U156" s="18" t="inlineStr"/>
      <c r="V156" s="18" t="inlineStr">
        <is>
          <t>NO</t>
        </is>
      </c>
      <c r="W156" s="18" t="inlineStr">
        <is>
          <t>—</t>
        </is>
      </c>
      <c r="X156" s="18" t="inlineStr">
        <is>
          <t>—</t>
        </is>
      </c>
      <c r="Y156" s="18" t="inlineStr"/>
      <c r="Z156" s="29" t="inlineStr">
        <is>
          <t>—</t>
        </is>
      </c>
      <c r="AA156" s="29" t="b">
        <v>0</v>
      </c>
      <c r="AB156" s="29" t="b">
        <v>1</v>
      </c>
      <c r="AC156" s="29" t="b">
        <v>1</v>
      </c>
      <c r="AD156" s="19" t="inlineStr">
        <is>
          <t>SI</t>
        </is>
      </c>
      <c r="AE156" s="29" t="inlineStr">
        <is>
          <t>COOPERATIVA AGRARIA AUCAYACU</t>
        </is>
      </c>
      <c r="AF156" s="29" t="inlineStr">
        <is>
          <t>HUANUCO</t>
        </is>
      </c>
      <c r="AG156" s="29" t="inlineStr">
        <is>
          <t>LEONCIO PRADO</t>
        </is>
      </c>
      <c r="AH156" s="29" t="inlineStr">
        <is>
          <t>JOSE CRESPO Y CASTILLO</t>
        </is>
      </c>
      <c r="AI156" s="29" t="inlineStr">
        <is>
          <t>JOSE CRESPO Y CASTILLO</t>
        </is>
      </c>
      <c r="AJ156" s="29" t="inlineStr">
        <is>
          <t>CULTIVO DE PRODUCTOS AGRÌCOLAS EN COMBINACIÒN CON LA CRÌA DE ANIMALES</t>
        </is>
      </c>
      <c r="AK156" s="29" t="inlineStr">
        <is>
          <t>1.0</t>
        </is>
      </c>
      <c r="AL156" s="29" t="inlineStr">
        <is>
          <t>1.0</t>
        </is>
      </c>
      <c r="AM156" s="29" t="inlineStr">
        <is>
          <t>1.0</t>
        </is>
      </c>
      <c r="AN156" s="29" t="n">
        <v>2</v>
      </c>
      <c r="AO156" s="29" t="inlineStr">
        <is>
          <t>CESARE CORAL JORGE ANTONIO</t>
        </is>
      </c>
      <c r="AP156" s="29" t="inlineStr">
        <is>
          <t>SOCIOLOGO</t>
        </is>
      </c>
      <c r="AQ156" s="29" t="inlineStr">
        <is>
          <t>10.0</t>
        </is>
      </c>
      <c r="AR156" s="29" t="inlineStr">
        <is>
          <t>NO TIENE</t>
        </is>
      </c>
      <c r="AS156" s="29" t="inlineStr">
        <is>
          <t>NO TIENE</t>
        </is>
      </c>
      <c r="AT156" s="29" t="inlineStr">
        <is>
          <t>NO TIENE</t>
        </is>
      </c>
      <c r="AU156" s="29" t="inlineStr">
        <is>
          <t>-8.936333333333332</t>
        </is>
      </c>
      <c r="AV156" s="29" t="inlineStr">
        <is>
          <t>-76.11064666666667</t>
        </is>
      </c>
      <c r="AW156" s="29" t="inlineStr">
        <is>
          <t>2014.0</t>
        </is>
      </c>
      <c r="AX156" s="29" t="inlineStr">
        <is>
          <t>2015.0</t>
        </is>
      </c>
      <c r="AY156" s="29" t="inlineStr">
        <is>
          <t>2</t>
        </is>
      </c>
      <c r="AZ156" s="29" t="inlineStr">
        <is>
          <t>sept-2026</t>
        </is>
      </c>
      <c r="BD156" s="81">
        <f>0</f>
        <v/>
      </c>
      <c r="BE156" s="81">
        <f>IFERROR((IF(ISNUMBER(T156),MIN(T156/30,1),0)+IF(ISNUMBER(P156),MIN(P156/500,1),0))/2,0)</f>
        <v/>
      </c>
      <c r="BF156" s="81">
        <f>IFERROR(IF(OR(U156&lt;&gt;"",V156="SÍ"),IF(ISNUMBER(L156),(1*MIN(L156/10000,1))^0.5,0),IF(ISNUMBER(L156),(0*MIN(L156/10000,1))^0.5,0)),0)</f>
        <v/>
      </c>
    </row>
    <row r="157">
      <c r="A157" t="inlineStr">
        <is>
          <t>MIDAGRI; CENACOOP; CENCOOP 2017; SISPAC</t>
        </is>
      </c>
      <c r="B157" s="70" t="inlineStr">
        <is>
          <t>20573049102</t>
        </is>
      </c>
      <c r="C157" s="30" t="inlineStr">
        <is>
          <t>Cooperativa Agraria Cacaotera Puerto Inca</t>
        </is>
      </c>
      <c r="D157" s="30" t="inlineStr"/>
      <c r="E157" s="30" t="inlineStr">
        <is>
          <t>VENTA AL POR MENOR DE ALIMENTOS, BEBIDAS Y TABACO EN ALMACENES ESPECIALIZADOS</t>
        </is>
      </c>
      <c r="F157" s="30" t="inlineStr">
        <is>
          <t>Huánuco</t>
        </is>
      </c>
      <c r="G157" s="30" t="inlineStr">
        <is>
          <t>Puerto Inca</t>
        </is>
      </c>
      <c r="H157" s="30" t="inlineStr">
        <is>
          <t>—</t>
        </is>
      </c>
      <c r="I157" s="30" t="inlineStr">
        <is>
          <t>—</t>
        </is>
      </c>
      <c r="J157" s="30" t="n"/>
      <c r="K157" s="30" t="inlineStr">
        <is>
          <t>NO</t>
        </is>
      </c>
      <c r="L157" s="30" t="n"/>
      <c r="M157" s="30" t="n"/>
      <c r="N157" s="30" t="n"/>
      <c r="O157" s="30" t="n"/>
      <c r="P157" s="30" t="inlineStr"/>
      <c r="Q157" s="30" t="inlineStr"/>
      <c r="R157" s="14" t="inlineStr">
        <is>
          <t>2575.0</t>
        </is>
      </c>
      <c r="S157" s="30" t="inlineStr"/>
      <c r="T157" s="30" t="inlineStr"/>
      <c r="U157" s="14" t="inlineStr"/>
      <c r="V157" s="14" t="inlineStr">
        <is>
          <t>NO</t>
        </is>
      </c>
      <c r="W157" s="14" t="inlineStr">
        <is>
          <t>—</t>
        </is>
      </c>
      <c r="X157" s="14" t="inlineStr">
        <is>
          <t>—</t>
        </is>
      </c>
      <c r="Y157" s="14" t="inlineStr"/>
      <c r="Z157" s="30" t="inlineStr">
        <is>
          <t>—</t>
        </is>
      </c>
      <c r="AA157" s="30" t="b">
        <v>0</v>
      </c>
      <c r="AB157" s="30" t="b">
        <v>1</v>
      </c>
      <c r="AC157" s="30" t="b">
        <v>1</v>
      </c>
      <c r="AD157" s="19" t="inlineStr">
        <is>
          <t>SI</t>
        </is>
      </c>
      <c r="AE157" s="30" t="inlineStr">
        <is>
          <t>COOPERATIVA AGRARIA CACAOTERA PUERTO INCA</t>
        </is>
      </c>
      <c r="AF157" s="30" t="inlineStr">
        <is>
          <t>HUANUCO</t>
        </is>
      </c>
      <c r="AG157" s="30" t="inlineStr">
        <is>
          <t>PUERTO INCA</t>
        </is>
      </c>
      <c r="AH157" s="30" t="inlineStr">
        <is>
          <t>PUERTO INCA</t>
        </is>
      </c>
      <c r="AI157" s="30" t="inlineStr">
        <is>
          <t>ZUNGARO</t>
        </is>
      </c>
      <c r="AJ157" s="30" t="inlineStr">
        <is>
          <t>CULTIVO DE PRODUCTOS AGRÌCOLAS EN COMBINACIÒN CON LA CRÌA DE ANIMALES</t>
        </is>
      </c>
      <c r="AK157" s="30" t="inlineStr">
        <is>
          <t>1.0</t>
        </is>
      </c>
      <c r="AL157" s="30" t="inlineStr">
        <is>
          <t>1.0</t>
        </is>
      </c>
      <c r="AM157" s="30" t="inlineStr">
        <is>
          <t>1.0</t>
        </is>
      </c>
      <c r="AN157" s="30" t="n">
        <v>4</v>
      </c>
      <c r="AO157" s="30" t="inlineStr">
        <is>
          <t>MENDEZ MENDOZA VICENTE BARTOLOME</t>
        </is>
      </c>
      <c r="AP157" s="30" t="inlineStr"/>
      <c r="AQ157" s="30" t="inlineStr"/>
      <c r="AR157" s="30" t="inlineStr">
        <is>
          <t>NO TIENE</t>
        </is>
      </c>
      <c r="AS157" s="30" t="inlineStr">
        <is>
          <t>COODirectorio PACPI@HOTMAIL.COM</t>
        </is>
      </c>
      <c r="AT157" s="30" t="inlineStr">
        <is>
          <t>997762765</t>
        </is>
      </c>
      <c r="AU157" s="30" t="inlineStr">
        <is>
          <t>-9.380761666666666</t>
        </is>
      </c>
      <c r="AV157" s="30" t="inlineStr">
        <is>
          <t>-75.035605</t>
        </is>
      </c>
      <c r="AW157" s="30" t="inlineStr">
        <is>
          <t>2012.0</t>
        </is>
      </c>
      <c r="AX157" s="30" t="inlineStr">
        <is>
          <t>2013.0</t>
        </is>
      </c>
      <c r="AY157" s="30" t="inlineStr">
        <is>
          <t>2</t>
        </is>
      </c>
      <c r="AZ157" s="30" t="inlineStr">
        <is>
          <t>sept-2026</t>
        </is>
      </c>
      <c r="BD157" s="81">
        <f>0</f>
        <v/>
      </c>
      <c r="BE157" s="81">
        <f>IFERROR((IF(ISNUMBER(T157),MIN(T157/30,1),0)+IF(ISNUMBER(P157),MIN(P157/500,1),0))/2,0)</f>
        <v/>
      </c>
      <c r="BF157" s="81">
        <f>IFERROR(IF(OR(U157&lt;&gt;"",V157="SÍ"),IF(ISNUMBER(L157),(1*MIN(L157/10000,1))^0.5,0),IF(ISNUMBER(L157),(0*MIN(L157/10000,1))^0.5,0)),0)</f>
        <v/>
      </c>
    </row>
    <row r="158">
      <c r="A158" t="inlineStr">
        <is>
          <t>MIDAGRI; CENACOOP; CENCOOP 2017; SISPAC</t>
        </is>
      </c>
      <c r="B158" s="70" t="inlineStr">
        <is>
          <t>20352423921</t>
        </is>
      </c>
      <c r="C158" s="29" t="inlineStr">
        <is>
          <t>Cooperativa Agraria Cafetalera Divisoria Ltda.</t>
        </is>
      </c>
      <c r="D158" s="29" t="inlineStr"/>
      <c r="E158" s="29" t="inlineStr">
        <is>
          <t>VENTA AL POR MENOR DE ALIMENTOS, BEBIDAS Y TABACO EN ALMACENES ESPECIALIZADOS</t>
        </is>
      </c>
      <c r="F158" s="29" t="inlineStr">
        <is>
          <t>Huánuco</t>
        </is>
      </c>
      <c r="G158" s="29" t="inlineStr">
        <is>
          <t>Huánuco</t>
        </is>
      </c>
      <c r="H158" s="29" t="inlineStr">
        <is>
          <t>Huánuco</t>
        </is>
      </c>
      <c r="I158" s="29" t="inlineStr">
        <is>
          <t>Cacao</t>
        </is>
      </c>
      <c r="J158" s="29" t="inlineStr">
        <is>
          <t>SI</t>
        </is>
      </c>
      <c r="K158" s="29" t="inlineStr">
        <is>
          <t>NO</t>
        </is>
      </c>
      <c r="L158" s="29" t="n">
        <v>0</v>
      </c>
      <c r="M158" s="29" t="n">
        <v>26920207.51</v>
      </c>
      <c r="N158" s="29" t="n">
        <v>175</v>
      </c>
      <c r="O158" s="29" t="n">
        <v>8</v>
      </c>
      <c r="P158" s="29" t="inlineStr"/>
      <c r="Q158" s="29" t="inlineStr"/>
      <c r="R158" s="18" t="inlineStr">
        <is>
          <t>2575.0</t>
        </is>
      </c>
      <c r="S158" s="29" t="inlineStr"/>
      <c r="T158" s="29" t="inlineStr"/>
      <c r="U158" s="18" t="inlineStr"/>
      <c r="V158" s="15" t="inlineStr">
        <is>
          <t>SÍ</t>
        </is>
      </c>
      <c r="W158" s="18" t="inlineStr">
        <is>
          <t>—</t>
        </is>
      </c>
      <c r="X158" s="18" t="inlineStr">
        <is>
          <t>—</t>
        </is>
      </c>
      <c r="Y158" s="18" t="inlineStr"/>
      <c r="Z158" s="29" t="inlineStr">
        <is>
          <t>No disponible — requiere consulta directa (SUNAT/RUC.PE) o solicitud a la organización</t>
        </is>
      </c>
      <c r="AA158" s="29" t="b">
        <v>0</v>
      </c>
      <c r="AB158" s="29" t="b">
        <v>1</v>
      </c>
      <c r="AC158" s="29" t="b">
        <v>1</v>
      </c>
      <c r="AD158" s="19" t="inlineStr">
        <is>
          <t>SI</t>
        </is>
      </c>
      <c r="AE158" s="29" t="inlineStr">
        <is>
          <t>COOPERATIVA AGRARIA CAFETALERA DIVISORIA LTDA</t>
        </is>
      </c>
      <c r="AF158" s="29" t="inlineStr">
        <is>
          <t>HUANUCO</t>
        </is>
      </c>
      <c r="AG158" s="29" t="inlineStr">
        <is>
          <t>LEONCIO PRADO</t>
        </is>
      </c>
      <c r="AH158" s="29" t="inlineStr">
        <is>
          <t>LUYANDO</t>
        </is>
      </c>
      <c r="AI158" s="29" t="inlineStr">
        <is>
          <t>MAPRESA</t>
        </is>
      </c>
      <c r="AJ158" s="29" t="inlineStr">
        <is>
          <t>CULTIVO DE CEREALES (EXCEPTO ARROZ), LEGUMBRES Y SEMILLAS OLEAGINOSAS</t>
        </is>
      </c>
      <c r="AK158" s="29" t="inlineStr">
        <is>
          <t>1.0</t>
        </is>
      </c>
      <c r="AL158" s="29" t="inlineStr">
        <is>
          <t>1.0</t>
        </is>
      </c>
      <c r="AM158" s="29" t="inlineStr">
        <is>
          <t>3.0</t>
        </is>
      </c>
      <c r="AN158" s="29" t="n">
        <v>16</v>
      </c>
      <c r="AO158" s="29" t="inlineStr">
        <is>
          <t>PARRA CABALLEROS MARIO AQUILES</t>
        </is>
      </c>
      <c r="AP158" s="29" t="inlineStr">
        <is>
          <t>ADMINISTRADOR</t>
        </is>
      </c>
      <c r="AQ158" s="29" t="inlineStr">
        <is>
          <t>10.0</t>
        </is>
      </c>
      <c r="AR158" s="29" t="inlineStr">
        <is>
          <t>WWW.CACDIVISORIA.COM</t>
        </is>
      </c>
      <c r="AS158" s="29" t="inlineStr">
        <is>
          <t>GERENCIA@CACDIVISORIA.COM</t>
        </is>
      </c>
      <c r="AT158" s="29" t="inlineStr">
        <is>
          <t>NO TIENE</t>
        </is>
      </c>
      <c r="AU158" s="29" t="inlineStr">
        <is>
          <t>-9.261971666666666</t>
        </is>
      </c>
      <c r="AV158" s="29" t="inlineStr">
        <is>
          <t>-75.99429833333333</t>
        </is>
      </c>
      <c r="AW158" s="29" t="inlineStr">
        <is>
          <t>2001.0</t>
        </is>
      </c>
      <c r="AX158" s="29" t="inlineStr">
        <is>
          <t>2001.0</t>
        </is>
      </c>
      <c r="AY158" s="29" t="inlineStr">
        <is>
          <t>2</t>
        </is>
      </c>
      <c r="AZ158" s="29" t="inlineStr">
        <is>
          <t>sept-2026</t>
        </is>
      </c>
      <c r="BA158" t="inlineStr">
        <is>
          <t>BAHAMAS; BELGIUM; CANADA; GERMANY; ITALY; NETHERLANDS; UNITED KINGDOM; UNITED STATES</t>
        </is>
      </c>
      <c r="BB158" t="n">
        <v>2010</v>
      </c>
      <c r="BC158" t="n">
        <v>2023</v>
      </c>
      <c r="BD158" s="81">
        <f>0</f>
        <v/>
      </c>
      <c r="BE158" s="81">
        <f>IFERROR((IF(ISNUMBER(T158),MIN(T158/30,1),0)+IF(ISNUMBER(P158),MIN(P158/500,1),0))/2,0)</f>
        <v/>
      </c>
      <c r="BF158" s="81">
        <f>IFERROR(IF(OR(U158&lt;&gt;"",V158="SÍ"),IF(ISNUMBER(L158),(1*MIN(L158/10000,1))^0.5,0),IF(ISNUMBER(L158),(0*MIN(L158/10000,1))^0.5,0)),0)</f>
        <v/>
      </c>
    </row>
    <row r="159">
      <c r="A159" t="inlineStr">
        <is>
          <t>MIDAGRI</t>
        </is>
      </c>
      <c r="B159" s="70" t="inlineStr">
        <is>
          <t>20608362631</t>
        </is>
      </c>
      <c r="C159" s="30" t="inlineStr">
        <is>
          <t>Cooperativa Agraria Palmas del Paraiso</t>
        </is>
      </c>
      <c r="D159" s="30" t="inlineStr"/>
      <c r="E159" s="30" t="inlineStr">
        <is>
          <t>VENTA AL POR MENOR DE ALIMENTOS, BEBIDAS Y TABACO EN ALMACENES ESPECIALIZADOS</t>
        </is>
      </c>
      <c r="F159" s="30" t="inlineStr">
        <is>
          <t>Huánuco</t>
        </is>
      </c>
      <c r="G159" s="30" t="inlineStr">
        <is>
          <t>Marañon</t>
        </is>
      </c>
      <c r="H159" s="30" t="inlineStr">
        <is>
          <t>—</t>
        </is>
      </c>
      <c r="I159" s="30" t="inlineStr">
        <is>
          <t>—</t>
        </is>
      </c>
      <c r="J159" s="30" t="n"/>
      <c r="K159" s="30" t="inlineStr">
        <is>
          <t>NO</t>
        </is>
      </c>
      <c r="L159" s="30" t="n"/>
      <c r="M159" s="30" t="n"/>
      <c r="N159" s="30" t="n"/>
      <c r="O159" s="30" t="n"/>
      <c r="P159" s="30" t="inlineStr"/>
      <c r="Q159" s="30" t="inlineStr"/>
      <c r="R159" s="14" t="inlineStr">
        <is>
          <t>2575.0</t>
        </is>
      </c>
      <c r="S159" s="30" t="inlineStr"/>
      <c r="T159" s="30" t="inlineStr"/>
      <c r="U159" s="14" t="inlineStr"/>
      <c r="V159" s="14" t="inlineStr">
        <is>
          <t>NO</t>
        </is>
      </c>
      <c r="W159" s="14" t="inlineStr">
        <is>
          <t>—</t>
        </is>
      </c>
      <c r="X159" s="14" t="inlineStr">
        <is>
          <t>—</t>
        </is>
      </c>
      <c r="Y159" s="14" t="inlineStr"/>
      <c r="Z159" s="30" t="inlineStr">
        <is>
          <t>—</t>
        </is>
      </c>
      <c r="AA159" s="30" t="b">
        <v>0</v>
      </c>
      <c r="AB159" s="30" t="b">
        <v>1</v>
      </c>
      <c r="AC159" s="30" t="b">
        <v>0</v>
      </c>
      <c r="AD159" s="30" t="inlineStr">
        <is>
          <t>NO</t>
        </is>
      </c>
      <c r="AE159" s="30" t="inlineStr"/>
      <c r="AF159" s="30" t="inlineStr"/>
      <c r="AG159" s="30" t="inlineStr"/>
      <c r="AH159" s="30" t="inlineStr"/>
      <c r="AI159" s="30" t="inlineStr"/>
      <c r="AJ159" s="30" t="inlineStr"/>
      <c r="AK159" s="30" t="inlineStr"/>
      <c r="AL159" s="30" t="inlineStr"/>
      <c r="AM159" s="30" t="inlineStr"/>
      <c r="AN159" s="30" t="n"/>
      <c r="AO159" s="30" t="inlineStr"/>
      <c r="AP159" s="30" t="inlineStr"/>
      <c r="AQ159" s="30" t="inlineStr"/>
      <c r="AR159" s="30" t="inlineStr"/>
      <c r="AS159" s="30" t="inlineStr"/>
      <c r="AT159" s="30" t="inlineStr"/>
      <c r="AU159" s="30" t="inlineStr"/>
      <c r="AV159" s="30" t="inlineStr"/>
      <c r="AW159" s="30" t="inlineStr"/>
      <c r="AX159" s="30" t="inlineStr"/>
      <c r="AY159" s="30" t="inlineStr">
        <is>
          <t>1</t>
        </is>
      </c>
      <c r="AZ159" s="30" t="inlineStr">
        <is>
          <t>sept-2026</t>
        </is>
      </c>
      <c r="BD159" s="81">
        <f>0</f>
        <v/>
      </c>
      <c r="BE159" s="81">
        <f>IFERROR((IF(ISNUMBER(T159),MIN(T159/30,1),0)+IF(ISNUMBER(P159),MIN(P159/500,1),0))/2,0)</f>
        <v/>
      </c>
      <c r="BF159" s="81">
        <f>IFERROR(IF(OR(U159&lt;&gt;"",V159="SÍ"),IF(ISNUMBER(L159),(1*MIN(L159/10000,1))^0.5,0),IF(ISNUMBER(L159),(0*MIN(L159/10000,1))^0.5,0)),0)</f>
        <v/>
      </c>
    </row>
    <row r="160">
      <c r="A160" t="inlineStr">
        <is>
          <t>MIDAGRI; CENACOOP; CENCOOP 2017; SISPAC</t>
        </is>
      </c>
      <c r="B160" s="70" t="inlineStr">
        <is>
          <t>20600720733</t>
        </is>
      </c>
      <c r="C160" s="29" t="inlineStr">
        <is>
          <t>Cooperativa Agraria Valle Del Monzón</t>
        </is>
      </c>
      <c r="D160" s="29" t="inlineStr"/>
      <c r="E160" s="29" t="inlineStr">
        <is>
          <t>VENTA AL POR MENOR DE ALIMENTOS, BEBIDAS Y TABACO EN ALMACENES ESPECIALIZADOS</t>
        </is>
      </c>
      <c r="F160" s="29" t="inlineStr">
        <is>
          <t>Huánuco</t>
        </is>
      </c>
      <c r="G160" s="29" t="inlineStr">
        <is>
          <t>Huamalíes</t>
        </is>
      </c>
      <c r="H160" s="29" t="inlineStr">
        <is>
          <t>—</t>
        </is>
      </c>
      <c r="I160" s="29" t="inlineStr">
        <is>
          <t>—</t>
        </is>
      </c>
      <c r="J160" s="29" t="n"/>
      <c r="K160" s="29" t="inlineStr">
        <is>
          <t>NO</t>
        </is>
      </c>
      <c r="L160" s="29" t="n"/>
      <c r="M160" s="29" t="n"/>
      <c r="N160" s="29" t="n"/>
      <c r="O160" s="29" t="n"/>
      <c r="P160" s="29" t="inlineStr"/>
      <c r="Q160" s="29" t="inlineStr"/>
      <c r="R160" s="18" t="inlineStr">
        <is>
          <t>2575.0</t>
        </is>
      </c>
      <c r="S160" s="29" t="inlineStr"/>
      <c r="T160" s="29" t="inlineStr"/>
      <c r="U160" s="18" t="inlineStr"/>
      <c r="V160" s="18" t="inlineStr">
        <is>
          <t>NO</t>
        </is>
      </c>
      <c r="W160" s="18" t="inlineStr">
        <is>
          <t>—</t>
        </is>
      </c>
      <c r="X160" s="18" t="inlineStr">
        <is>
          <t>—</t>
        </is>
      </c>
      <c r="Y160" s="18" t="inlineStr"/>
      <c r="Z160" s="29" t="inlineStr">
        <is>
          <t>—</t>
        </is>
      </c>
      <c r="AA160" s="29" t="b">
        <v>0</v>
      </c>
      <c r="AB160" s="29" t="b">
        <v>1</v>
      </c>
      <c r="AC160" s="29" t="b">
        <v>1</v>
      </c>
      <c r="AD160" s="19" t="inlineStr">
        <is>
          <t>SI</t>
        </is>
      </c>
      <c r="AE160" s="29" t="inlineStr">
        <is>
          <t>COOPERATIVA AGRARIA VALLE DEL MONZON CAV MONZON</t>
        </is>
      </c>
      <c r="AF160" s="29" t="inlineStr">
        <is>
          <t>HUANUCO</t>
        </is>
      </c>
      <c r="AG160" s="29" t="inlineStr">
        <is>
          <t>HUAMALIES</t>
        </is>
      </c>
      <c r="AH160" s="29" t="inlineStr">
        <is>
          <t>MONZON</t>
        </is>
      </c>
      <c r="AI160" s="29" t="inlineStr">
        <is>
          <t>C.P. CACHICOTO</t>
        </is>
      </c>
      <c r="AJ160" s="29" t="inlineStr">
        <is>
          <t>CULTIVO DE PLANTAS CON LAS QUE SE PREPARAN BEBIDAS</t>
        </is>
      </c>
      <c r="AK160" s="29" t="inlineStr">
        <is>
          <t>1.0</t>
        </is>
      </c>
      <c r="AL160" s="29" t="inlineStr">
        <is>
          <t>1.0</t>
        </is>
      </c>
      <c r="AM160" s="29" t="inlineStr">
        <is>
          <t>1.0</t>
        </is>
      </c>
      <c r="AN160" s="29" t="n">
        <v>1</v>
      </c>
      <c r="AO160" s="29" t="inlineStr">
        <is>
          <t>CASTILLEJOS RIVERA EUTROPIA MARIA</t>
        </is>
      </c>
      <c r="AP160" s="29" t="inlineStr"/>
      <c r="AQ160" s="29" t="inlineStr"/>
      <c r="AR160" s="29" t="inlineStr">
        <is>
          <t>NO TIENE</t>
        </is>
      </c>
      <c r="AS160" s="29" t="inlineStr">
        <is>
          <t>CAVMONZON@GMAIL.COM</t>
        </is>
      </c>
      <c r="AT160" s="29" t="inlineStr">
        <is>
          <t>NO TIENE</t>
        </is>
      </c>
      <c r="AU160" s="29" t="inlineStr">
        <is>
          <t>-9.21752</t>
        </is>
      </c>
      <c r="AV160" s="29" t="inlineStr">
        <is>
          <t>-76.21426166666667</t>
        </is>
      </c>
      <c r="AW160" s="29" t="inlineStr">
        <is>
          <t>2015.0</t>
        </is>
      </c>
      <c r="AX160" s="29" t="inlineStr">
        <is>
          <t>2016.0</t>
        </is>
      </c>
      <c r="AY160" s="29" t="inlineStr">
        <is>
          <t>2</t>
        </is>
      </c>
      <c r="AZ160" s="29" t="inlineStr">
        <is>
          <t>sept-2026</t>
        </is>
      </c>
      <c r="BD160" s="81">
        <f>0</f>
        <v/>
      </c>
      <c r="BE160" s="81">
        <f>IFERROR((IF(ISNUMBER(T160),MIN(T160/30,1),0)+IF(ISNUMBER(P160),MIN(P160/500,1),0))/2,0)</f>
        <v/>
      </c>
      <c r="BF160" s="81">
        <f>IFERROR(IF(OR(U160&lt;&gt;"",V160="SÍ"),IF(ISNUMBER(L160),(1*MIN(L160/10000,1))^0.5,0),IF(ISNUMBER(L160),(0*MIN(L160/10000,1))^0.5,0)),0)</f>
        <v/>
      </c>
    </row>
    <row r="161">
      <c r="A161" t="inlineStr">
        <is>
          <t>MIDAGRI</t>
        </is>
      </c>
      <c r="B161" s="70" t="inlineStr">
        <is>
          <t>20600902793</t>
        </is>
      </c>
      <c r="C161" s="30" t="inlineStr">
        <is>
          <t>Cooperativa Agraria de Cacaoteros de Codo del Pozuzo</t>
        </is>
      </c>
      <c r="D161" s="30" t="inlineStr"/>
      <c r="E161" s="30" t="inlineStr">
        <is>
          <t>VENTA AL POR MENOR DE ALIMENTOS, BEBIDAS Y TABACO EN ALMACENES ESPECIALIZADOS</t>
        </is>
      </c>
      <c r="F161" s="30" t="inlineStr">
        <is>
          <t>Huánuco</t>
        </is>
      </c>
      <c r="G161" s="30" t="inlineStr">
        <is>
          <t>Puerto Inca</t>
        </is>
      </c>
      <c r="H161" s="30" t="inlineStr">
        <is>
          <t>—</t>
        </is>
      </c>
      <c r="I161" s="30" t="inlineStr">
        <is>
          <t>—</t>
        </is>
      </c>
      <c r="J161" s="30" t="n"/>
      <c r="K161" s="30" t="inlineStr">
        <is>
          <t>NO</t>
        </is>
      </c>
      <c r="L161" s="30" t="n"/>
      <c r="M161" s="30" t="n"/>
      <c r="N161" s="30" t="n"/>
      <c r="O161" s="30" t="n"/>
      <c r="P161" s="30" t="inlineStr"/>
      <c r="Q161" s="30" t="inlineStr"/>
      <c r="R161" s="14" t="inlineStr">
        <is>
          <t>2575.0</t>
        </is>
      </c>
      <c r="S161" s="30" t="inlineStr"/>
      <c r="T161" s="30" t="inlineStr"/>
      <c r="U161" s="14" t="inlineStr"/>
      <c r="V161" s="14" t="inlineStr">
        <is>
          <t>NO</t>
        </is>
      </c>
      <c r="W161" s="14" t="inlineStr">
        <is>
          <t>—</t>
        </is>
      </c>
      <c r="X161" s="14" t="inlineStr">
        <is>
          <t>—</t>
        </is>
      </c>
      <c r="Y161" s="14" t="inlineStr"/>
      <c r="Z161" s="30" t="inlineStr">
        <is>
          <t>—</t>
        </is>
      </c>
      <c r="AA161" s="30" t="b">
        <v>0</v>
      </c>
      <c r="AB161" s="30" t="b">
        <v>1</v>
      </c>
      <c r="AC161" s="30" t="b">
        <v>0</v>
      </c>
      <c r="AD161" s="30" t="inlineStr">
        <is>
          <t>NO</t>
        </is>
      </c>
      <c r="AE161" s="30" t="inlineStr"/>
      <c r="AF161" s="30" t="inlineStr"/>
      <c r="AG161" s="30" t="inlineStr"/>
      <c r="AH161" s="30" t="inlineStr"/>
      <c r="AI161" s="30" t="inlineStr"/>
      <c r="AJ161" s="30" t="inlineStr"/>
      <c r="AK161" s="30" t="inlineStr"/>
      <c r="AL161" s="30" t="inlineStr"/>
      <c r="AM161" s="30" t="inlineStr"/>
      <c r="AN161" s="30" t="n"/>
      <c r="AO161" s="30" t="inlineStr"/>
      <c r="AP161" s="30" t="inlineStr"/>
      <c r="AQ161" s="30" t="inlineStr"/>
      <c r="AR161" s="30" t="inlineStr"/>
      <c r="AS161" s="30" t="inlineStr"/>
      <c r="AT161" s="30" t="inlineStr"/>
      <c r="AU161" s="30" t="inlineStr"/>
      <c r="AV161" s="30" t="inlineStr"/>
      <c r="AW161" s="30" t="inlineStr"/>
      <c r="AX161" s="30" t="inlineStr"/>
      <c r="AY161" s="30" t="inlineStr">
        <is>
          <t>1</t>
        </is>
      </c>
      <c r="AZ161" s="30" t="inlineStr">
        <is>
          <t>sept-2026</t>
        </is>
      </c>
      <c r="BD161" s="81">
        <f>0</f>
        <v/>
      </c>
      <c r="BE161" s="81">
        <f>IFERROR((IF(ISNUMBER(T161),MIN(T161/30,1),0)+IF(ISNUMBER(P161),MIN(P161/500,1),0))/2,0)</f>
        <v/>
      </c>
      <c r="BF161" s="81">
        <f>IFERROR(IF(OR(U161&lt;&gt;"",V161="SÍ"),IF(ISNUMBER(L161),(1*MIN(L161/10000,1))^0.5,0),IF(ISNUMBER(L161),(0*MIN(L161/10000,1))^0.5,0)),0)</f>
        <v/>
      </c>
    </row>
    <row r="162">
      <c r="A162" t="inlineStr">
        <is>
          <t>MIDAGRI</t>
        </is>
      </c>
      <c r="B162" s="70" t="inlineStr">
        <is>
          <t>20605616837</t>
        </is>
      </c>
      <c r="C162" s="29" t="inlineStr">
        <is>
          <t>Cooperativa Agraria Agroindustrial Asháninka Ecológica Kasankari Kemito Del Valle Del Río Perené - Selva Central Ltda.</t>
        </is>
      </c>
      <c r="D162" s="29" t="inlineStr"/>
      <c r="E162" s="29" t="inlineStr">
        <is>
          <t>VENTA AL POR MENOR DE ALIMENTOS, BEBIDAS Y TABACO EN ALMACENES ESPECIALIZADOS</t>
        </is>
      </c>
      <c r="F162" s="29" t="inlineStr">
        <is>
          <t>Junín</t>
        </is>
      </c>
      <c r="G162" s="29" t="inlineStr">
        <is>
          <t>Chanchamayo</t>
        </is>
      </c>
      <c r="H162" s="29" t="inlineStr">
        <is>
          <t>Junín</t>
        </is>
      </c>
      <c r="I162" s="29" t="inlineStr">
        <is>
          <t>Café</t>
        </is>
      </c>
      <c r="J162" s="29" t="n"/>
      <c r="K162" s="29" t="inlineStr">
        <is>
          <t>NO</t>
        </is>
      </c>
      <c r="L162" s="29" t="n"/>
      <c r="M162" s="29" t="n"/>
      <c r="N162" s="29" t="n"/>
      <c r="O162" s="29" t="n"/>
      <c r="P162" s="29" t="inlineStr"/>
      <c r="Q162" s="29" t="inlineStr"/>
      <c r="R162" s="18" t="inlineStr">
        <is>
          <t>2575.0</t>
        </is>
      </c>
      <c r="S162" s="29" t="inlineStr"/>
      <c r="T162" s="29" t="inlineStr"/>
      <c r="U162" s="18" t="inlineStr"/>
      <c r="V162" s="15" t="inlineStr">
        <is>
          <t>SÍ</t>
        </is>
      </c>
      <c r="W162" s="18" t="inlineStr">
        <is>
          <t>—</t>
        </is>
      </c>
      <c r="X162" s="18" t="inlineStr">
        <is>
          <t>—</t>
        </is>
      </c>
      <c r="Y162" s="18" t="inlineStr"/>
      <c r="Z162" s="29" t="inlineStr">
        <is>
          <t>No disponible — requiere consulta directa (SUNAT/RUC.PE) o solicitud a la organización</t>
        </is>
      </c>
      <c r="AA162" s="29" t="b">
        <v>0</v>
      </c>
      <c r="AB162" s="29" t="b">
        <v>1</v>
      </c>
      <c r="AC162" s="29" t="b">
        <v>0</v>
      </c>
      <c r="AD162" s="29" t="inlineStr">
        <is>
          <t>NO</t>
        </is>
      </c>
      <c r="AE162" s="29" t="inlineStr"/>
      <c r="AF162" s="29" t="inlineStr"/>
      <c r="AG162" s="29" t="inlineStr"/>
      <c r="AH162" s="29" t="inlineStr"/>
      <c r="AI162" s="29" t="inlineStr"/>
      <c r="AJ162" s="29" t="inlineStr"/>
      <c r="AK162" s="29" t="inlineStr"/>
      <c r="AL162" s="29" t="inlineStr"/>
      <c r="AM162" s="29" t="inlineStr"/>
      <c r="AN162" s="29" t="n"/>
      <c r="AO162" s="29" t="inlineStr"/>
      <c r="AP162" s="29" t="inlineStr"/>
      <c r="AQ162" s="29" t="inlineStr"/>
      <c r="AR162" s="29" t="inlineStr"/>
      <c r="AS162" s="29" t="inlineStr"/>
      <c r="AT162" s="29" t="inlineStr"/>
      <c r="AU162" s="29" t="inlineStr"/>
      <c r="AV162" s="29" t="inlineStr"/>
      <c r="AW162" s="29" t="inlineStr"/>
      <c r="AX162" s="29" t="inlineStr"/>
      <c r="AY162" s="29" t="inlineStr">
        <is>
          <t>1</t>
        </is>
      </c>
      <c r="AZ162" s="29" t="inlineStr">
        <is>
          <t>sept-2026</t>
        </is>
      </c>
      <c r="BD162" s="81">
        <f>0</f>
        <v/>
      </c>
      <c r="BE162" s="81">
        <f>IFERROR((IF(ISNUMBER(T162),MIN(T162/30,1),0)+IF(ISNUMBER(P162),MIN(P162/500,1),0))/2,0)</f>
        <v/>
      </c>
      <c r="BF162" s="81">
        <f>IFERROR(IF(OR(U162&lt;&gt;"",V162="SÍ"),IF(ISNUMBER(L162),(1*MIN(L162/10000,1))^0.5,0),IF(ISNUMBER(L162),(0*MIN(L162/10000,1))^0.5,0)),0)</f>
        <v/>
      </c>
    </row>
    <row r="163">
      <c r="A163" t="inlineStr">
        <is>
          <t>MIDAGRI</t>
        </is>
      </c>
      <c r="B163" s="70" t="inlineStr">
        <is>
          <t>20610292098</t>
        </is>
      </c>
      <c r="C163" s="30" t="inlineStr">
        <is>
          <t>Cooperativa Agraria Agroindustrial De Café Y Cacao Roy Selva Central</t>
        </is>
      </c>
      <c r="D163" s="30" t="inlineStr"/>
      <c r="E163" s="30" t="inlineStr">
        <is>
          <t>VENTA AL POR MENOR DE ALIMENTOS, BEBIDAS Y TABACO EN ALMACENES ESPECIALIZADOS</t>
        </is>
      </c>
      <c r="F163" s="30" t="inlineStr">
        <is>
          <t>Junín</t>
        </is>
      </c>
      <c r="G163" s="30" t="inlineStr">
        <is>
          <t>Satipo</t>
        </is>
      </c>
      <c r="H163" s="30" t="inlineStr">
        <is>
          <t>—</t>
        </is>
      </c>
      <c r="I163" s="30" t="inlineStr">
        <is>
          <t>—</t>
        </is>
      </c>
      <c r="J163" s="30" t="n"/>
      <c r="K163" s="30" t="inlineStr">
        <is>
          <t>NO</t>
        </is>
      </c>
      <c r="L163" s="30" t="n"/>
      <c r="M163" s="30" t="n"/>
      <c r="N163" s="30" t="n"/>
      <c r="O163" s="30" t="n"/>
      <c r="P163" s="30" t="inlineStr"/>
      <c r="Q163" s="30" t="inlineStr"/>
      <c r="R163" s="14" t="inlineStr">
        <is>
          <t>429166.66</t>
        </is>
      </c>
      <c r="S163" s="30" t="inlineStr"/>
      <c r="T163" s="30" t="inlineStr"/>
      <c r="U163" s="14" t="inlineStr"/>
      <c r="V163" s="14" t="inlineStr">
        <is>
          <t>NO</t>
        </is>
      </c>
      <c r="W163" s="14" t="inlineStr">
        <is>
          <t>—</t>
        </is>
      </c>
      <c r="X163" s="14" t="inlineStr">
        <is>
          <t>—</t>
        </is>
      </c>
      <c r="Y163" s="14" t="inlineStr"/>
      <c r="Z163" s="30" t="inlineStr">
        <is>
          <t>—</t>
        </is>
      </c>
      <c r="AA163" s="30" t="b">
        <v>0</v>
      </c>
      <c r="AB163" s="30" t="b">
        <v>1</v>
      </c>
      <c r="AC163" s="30" t="b">
        <v>0</v>
      </c>
      <c r="AD163" s="30" t="inlineStr">
        <is>
          <t>NO</t>
        </is>
      </c>
      <c r="AE163" s="30" t="inlineStr"/>
      <c r="AF163" s="30" t="inlineStr"/>
      <c r="AG163" s="30" t="inlineStr"/>
      <c r="AH163" s="30" t="inlineStr"/>
      <c r="AI163" s="30" t="inlineStr"/>
      <c r="AJ163" s="30" t="inlineStr"/>
      <c r="AK163" s="30" t="inlineStr"/>
      <c r="AL163" s="30" t="inlineStr"/>
      <c r="AM163" s="30" t="inlineStr"/>
      <c r="AN163" s="30" t="n"/>
      <c r="AO163" s="30" t="inlineStr"/>
      <c r="AP163" s="30" t="inlineStr"/>
      <c r="AQ163" s="30" t="inlineStr"/>
      <c r="AR163" s="30" t="inlineStr"/>
      <c r="AS163" s="30" t="inlineStr"/>
      <c r="AT163" s="30" t="inlineStr"/>
      <c r="AU163" s="30" t="inlineStr"/>
      <c r="AV163" s="30" t="inlineStr"/>
      <c r="AW163" s="30" t="inlineStr"/>
      <c r="AX163" s="30" t="inlineStr"/>
      <c r="AY163" s="30" t="inlineStr">
        <is>
          <t>1</t>
        </is>
      </c>
      <c r="AZ163" s="30" t="inlineStr">
        <is>
          <t>sept-2026</t>
        </is>
      </c>
      <c r="BD163" s="81">
        <f>0</f>
        <v/>
      </c>
      <c r="BE163" s="81">
        <f>IFERROR((IF(ISNUMBER(T163),MIN(T163/30,1),0)+IF(ISNUMBER(P163),MIN(P163/500,1),0))/2,0)</f>
        <v/>
      </c>
      <c r="BF163" s="81">
        <f>IFERROR(IF(OR(U163&lt;&gt;"",V163="SÍ"),IF(ISNUMBER(L163),(1*MIN(L163/10000,1))^0.5,0),IF(ISNUMBER(L163),(0*MIN(L163/10000,1))^0.5,0)),0)</f>
        <v/>
      </c>
    </row>
    <row r="164">
      <c r="A164" t="inlineStr">
        <is>
          <t>MIDAGRI; CENACOOP; CENCOOP 2017</t>
        </is>
      </c>
      <c r="B164" s="70" t="inlineStr">
        <is>
          <t>20444479753</t>
        </is>
      </c>
      <c r="C164" s="29" t="inlineStr">
        <is>
          <t>Cooperativa Agraria Cafetalera ACPC Pichanaki</t>
        </is>
      </c>
      <c r="D164" s="29" t="inlineStr"/>
      <c r="E164" s="29" t="inlineStr">
        <is>
          <t>VENTA AL POR MENOR DE ALIMENTOS, BEBIDAS Y TABACO EN ALMACENES ESPECIALIZADOS</t>
        </is>
      </c>
      <c r="F164" s="29" t="inlineStr">
        <is>
          <t>Junín</t>
        </is>
      </c>
      <c r="G164" s="29" t="inlineStr">
        <is>
          <t>Chanchamayo</t>
        </is>
      </c>
      <c r="H164" s="29" t="inlineStr">
        <is>
          <t>Pichanaki, Chanchamayo, Junín</t>
        </is>
      </c>
      <c r="I164" s="29" t="inlineStr">
        <is>
          <t>Café / Cacao</t>
        </is>
      </c>
      <c r="J164" s="17" t="inlineStr">
        <is>
          <t>SI</t>
        </is>
      </c>
      <c r="K164" s="29" t="inlineStr">
        <is>
          <t>SÍ</t>
        </is>
      </c>
      <c r="L164" s="29" t="n">
        <v>7519919.27</v>
      </c>
      <c r="M164" s="29" t="n">
        <v>79286682.92</v>
      </c>
      <c r="N164" s="29" t="n">
        <v>355</v>
      </c>
      <c r="O164" s="29" t="n">
        <v>16</v>
      </c>
      <c r="P164" s="29" t="inlineStr"/>
      <c r="Q164" s="29" t="inlineStr"/>
      <c r="R164" s="18" t="inlineStr">
        <is>
          <t>2575.0</t>
        </is>
      </c>
      <c r="S164" s="29" t="inlineStr"/>
      <c r="T164" s="29" t="inlineStr"/>
      <c r="U164" s="18" t="inlineStr"/>
      <c r="V164" s="15" t="inlineStr">
        <is>
          <t>SÍ</t>
        </is>
      </c>
      <c r="W164" s="18" t="inlineStr">
        <is>
          <t>Víctor Gutiérrez Centeno</t>
        </is>
      </c>
      <c r="X164" s="18" t="inlineStr">
        <is>
          <t>Director JNC 2024-2027; 320 socios</t>
        </is>
      </c>
      <c r="Y164" s="18" t="inlineStr"/>
      <c r="Z164" s="29" t="inlineStr">
        <is>
          <t>No disponible — requiere consulta directa (SUNAT/RUC.PE) o solicitud a la organización</t>
        </is>
      </c>
      <c r="AA164" s="29" t="b">
        <v>0</v>
      </c>
      <c r="AB164" s="29" t="b">
        <v>1</v>
      </c>
      <c r="AC164" s="29" t="b">
        <v>1</v>
      </c>
      <c r="AD164" s="19" t="inlineStr">
        <is>
          <t>SI</t>
        </is>
      </c>
      <c r="AE164" s="29" t="inlineStr">
        <is>
          <t>COOPERATIVA AGRARIA CAFETALERA ACPC PICHANAKI</t>
        </is>
      </c>
      <c r="AF164" s="29" t="inlineStr">
        <is>
          <t>JUNIN</t>
        </is>
      </c>
      <c r="AG164" s="29" t="inlineStr">
        <is>
          <t>CHANCHAMAYO</t>
        </is>
      </c>
      <c r="AH164" s="29" t="inlineStr">
        <is>
          <t>PICHANAQUI</t>
        </is>
      </c>
      <c r="AI164" s="29" t="inlineStr">
        <is>
          <t>PICHANAQUI</t>
        </is>
      </c>
      <c r="AJ164" s="29" t="inlineStr">
        <is>
          <t>CULTIVO DE CEREALES (EXCEPTO ARROZ), LEGUMBRES Y SEMILLAS OLEAGINOSAS</t>
        </is>
      </c>
      <c r="AK164" s="29" t="inlineStr">
        <is>
          <t>1.0</t>
        </is>
      </c>
      <c r="AL164" s="29" t="inlineStr">
        <is>
          <t>1.0</t>
        </is>
      </c>
      <c r="AM164" s="29" t="inlineStr">
        <is>
          <t>3.0</t>
        </is>
      </c>
      <c r="AN164" s="29" t="n">
        <v>2</v>
      </c>
      <c r="AO164" s="29" t="inlineStr">
        <is>
          <t>ARIAS CONDOR VICTOR POMPEYO</t>
        </is>
      </c>
      <c r="AP164" s="29" t="inlineStr">
        <is>
          <t>INGENIERO AGRONOMO</t>
        </is>
      </c>
      <c r="AQ164" s="29" t="inlineStr">
        <is>
          <t>10.0</t>
        </is>
      </c>
      <c r="AR164" s="29" t="inlineStr">
        <is>
          <t>NO TIENE</t>
        </is>
      </c>
      <c r="AS164" s="29" t="inlineStr">
        <is>
          <t>ACPC_PKI@HOTMAIL.COM</t>
        </is>
      </c>
      <c r="AT164" s="29" t="inlineStr">
        <is>
          <t>NO TIENE</t>
        </is>
      </c>
      <c r="AU164" s="29" t="inlineStr">
        <is>
          <t>-10.922940000000002</t>
        </is>
      </c>
      <c r="AV164" s="29" t="inlineStr">
        <is>
          <t>-74.86948166666666</t>
        </is>
      </c>
      <c r="AW164" s="29" t="inlineStr">
        <is>
          <t>2015.0</t>
        </is>
      </c>
      <c r="AX164" s="29" t="inlineStr">
        <is>
          <t>2015.0</t>
        </is>
      </c>
      <c r="AY164" s="29" t="inlineStr">
        <is>
          <t>2</t>
        </is>
      </c>
      <c r="AZ164" s="29" t="inlineStr">
        <is>
          <t>sept-2026</t>
        </is>
      </c>
      <c r="BA164" t="inlineStr">
        <is>
          <t>BELGIUM; CANADA; DENMARK; FRANCE; GERMANY; IRELAND; ITALY; JAPAN; KOREA, REPUBLIC OF; MEXICO; NETHERLANDS; SWEDEN; SWITZERLAND; TAIWAN, PROVINCE OF CHINA; UNITED KINGDOM; UNITED STATES</t>
        </is>
      </c>
      <c r="BB164" t="n">
        <v>2010</v>
      </c>
      <c r="BC164" t="n">
        <v>2025</v>
      </c>
      <c r="BD164" s="81">
        <f>0</f>
        <v/>
      </c>
      <c r="BE164" s="81">
        <f>IFERROR((IF(ISNUMBER(T164),MIN(T164/30,1),0)+IF(ISNUMBER(P164),MIN(P164/500,1),0))/2,0)</f>
        <v/>
      </c>
      <c r="BF164" s="81">
        <f>IFERROR(IF(OR(U164&lt;&gt;"",V164="SÍ"),IF(ISNUMBER(L164),(1*MIN(L164/10000,1))^0.5,0),IF(ISNUMBER(L164),(0*MIN(L164/10000,1))^0.5,0)),0)</f>
        <v/>
      </c>
    </row>
    <row r="165">
      <c r="A165" t="inlineStr">
        <is>
          <t>MIDAGRI</t>
        </is>
      </c>
      <c r="B165" s="70" t="inlineStr">
        <is>
          <t>20601915473</t>
        </is>
      </c>
      <c r="C165" s="30" t="inlineStr">
        <is>
          <t>Cooperativa Agraria Cafetalera Agroindustrial Caje Mishki Unión Huahuari Rio Negro Satipo</t>
        </is>
      </c>
      <c r="D165" s="30" t="inlineStr"/>
      <c r="E165" s="30" t="inlineStr">
        <is>
          <t>VENTA AL POR MENOR DE ALIMENTOS, BEBIDAS Y TABACO EN ALMACENES ESPECIALIZADOS</t>
        </is>
      </c>
      <c r="F165" s="30" t="inlineStr">
        <is>
          <t>Junín</t>
        </is>
      </c>
      <c r="G165" s="30" t="inlineStr">
        <is>
          <t>Satipo</t>
        </is>
      </c>
      <c r="H165" s="30" t="inlineStr">
        <is>
          <t>Satipo, Junín</t>
        </is>
      </c>
      <c r="I165" s="30" t="inlineStr">
        <is>
          <t>Café / Cacao</t>
        </is>
      </c>
      <c r="J165" s="30" t="n"/>
      <c r="K165" s="30" t="inlineStr">
        <is>
          <t>NO</t>
        </is>
      </c>
      <c r="L165" s="30" t="n"/>
      <c r="M165" s="30" t="n"/>
      <c r="N165" s="30" t="n"/>
      <c r="O165" s="30" t="n"/>
      <c r="P165" s="30" t="inlineStr"/>
      <c r="Q165" s="30" t="inlineStr"/>
      <c r="R165" s="14" t="inlineStr">
        <is>
          <t>2575.0</t>
        </is>
      </c>
      <c r="S165" s="30" t="inlineStr"/>
      <c r="T165" s="30" t="inlineStr"/>
      <c r="U165" s="14" t="inlineStr"/>
      <c r="V165" s="15" t="inlineStr">
        <is>
          <t>SÍ</t>
        </is>
      </c>
      <c r="W165" s="14" t="inlineStr">
        <is>
          <t>—</t>
        </is>
      </c>
      <c r="X165" s="14" t="inlineStr">
        <is>
          <t>Fundada en 1993 — hay dos registros SUNAT similares, confirmar cuál es la vigente</t>
        </is>
      </c>
      <c r="Y165" s="14" t="inlineStr"/>
      <c r="Z165" s="30" t="inlineStr">
        <is>
          <t>No disponible — requiere consulta directa (SUNAT/RUC.PE) o solicitud a la organización</t>
        </is>
      </c>
      <c r="AA165" s="30" t="b">
        <v>0</v>
      </c>
      <c r="AB165" s="30" t="b">
        <v>1</v>
      </c>
      <c r="AC165" s="30" t="b">
        <v>0</v>
      </c>
      <c r="AD165" s="30" t="inlineStr">
        <is>
          <t>NO</t>
        </is>
      </c>
      <c r="AE165" s="30" t="inlineStr"/>
      <c r="AF165" s="30" t="inlineStr"/>
      <c r="AG165" s="30" t="inlineStr"/>
      <c r="AH165" s="30" t="inlineStr"/>
      <c r="AI165" s="30" t="inlineStr"/>
      <c r="AJ165" s="30" t="inlineStr"/>
      <c r="AK165" s="30" t="inlineStr"/>
      <c r="AL165" s="30" t="inlineStr"/>
      <c r="AM165" s="30" t="inlineStr"/>
      <c r="AN165" s="30" t="n"/>
      <c r="AO165" s="30" t="inlineStr"/>
      <c r="AP165" s="30" t="inlineStr"/>
      <c r="AQ165" s="30" t="inlineStr"/>
      <c r="AR165" s="30" t="inlineStr"/>
      <c r="AS165" s="30" t="inlineStr"/>
      <c r="AT165" s="30" t="inlineStr"/>
      <c r="AU165" s="30" t="inlineStr"/>
      <c r="AV165" s="30" t="inlineStr"/>
      <c r="AW165" s="30" t="inlineStr"/>
      <c r="AX165" s="30" t="inlineStr"/>
      <c r="AY165" s="30" t="inlineStr">
        <is>
          <t>1</t>
        </is>
      </c>
      <c r="AZ165" s="30" t="inlineStr">
        <is>
          <t>sept-2026</t>
        </is>
      </c>
      <c r="BD165" s="81">
        <f>0</f>
        <v/>
      </c>
      <c r="BE165" s="81">
        <f>IFERROR((IF(ISNUMBER(T165),MIN(T165/30,1),0)+IF(ISNUMBER(P165),MIN(P165/500,1),0))/2,0)</f>
        <v/>
      </c>
      <c r="BF165" s="81">
        <f>IFERROR(IF(OR(U165&lt;&gt;"",V165="SÍ"),IF(ISNUMBER(L165),(1*MIN(L165/10000,1))^0.5,0),IF(ISNUMBER(L165),(0*MIN(L165/10000,1))^0.5,0)),0)</f>
        <v/>
      </c>
    </row>
    <row r="166">
      <c r="A166" t="inlineStr">
        <is>
          <t>MIDAGRI</t>
        </is>
      </c>
      <c r="B166" s="70" t="inlineStr">
        <is>
          <t>20603859503</t>
        </is>
      </c>
      <c r="C166" s="29" t="inlineStr">
        <is>
          <t>Cooperativa Agraria Cafetalera Central Alta Montaña</t>
        </is>
      </c>
      <c r="D166" s="29" t="inlineStr"/>
      <c r="E166" s="29" t="inlineStr">
        <is>
          <t>VENTA AL POR MENOR DE ALIMENTOS, BEBIDAS Y TABACO EN ALMACENES ESPECIALIZADOS</t>
        </is>
      </c>
      <c r="F166" s="29" t="inlineStr">
        <is>
          <t>Junín</t>
        </is>
      </c>
      <c r="G166" s="29" t="inlineStr">
        <is>
          <t>Chanchamayo</t>
        </is>
      </c>
      <c r="H166" s="29" t="inlineStr">
        <is>
          <t>—</t>
        </is>
      </c>
      <c r="I166" s="29" t="inlineStr">
        <is>
          <t>—</t>
        </is>
      </c>
      <c r="J166" s="29" t="n"/>
      <c r="K166" s="29" t="inlineStr">
        <is>
          <t>NO</t>
        </is>
      </c>
      <c r="L166" s="29" t="n"/>
      <c r="M166" s="29" t="n"/>
      <c r="N166" s="29" t="n"/>
      <c r="O166" s="29" t="n"/>
      <c r="P166" s="29" t="inlineStr"/>
      <c r="Q166" s="29" t="inlineStr"/>
      <c r="R166" s="18" t="inlineStr">
        <is>
          <t>2575.0</t>
        </is>
      </c>
      <c r="S166" s="29" t="inlineStr"/>
      <c r="T166" s="29" t="inlineStr"/>
      <c r="U166" s="18" t="inlineStr"/>
      <c r="V166" s="18" t="inlineStr">
        <is>
          <t>NO</t>
        </is>
      </c>
      <c r="W166" s="18" t="inlineStr">
        <is>
          <t>—</t>
        </is>
      </c>
      <c r="X166" s="18" t="inlineStr">
        <is>
          <t>—</t>
        </is>
      </c>
      <c r="Y166" s="18" t="inlineStr"/>
      <c r="Z166" s="29" t="inlineStr">
        <is>
          <t>—</t>
        </is>
      </c>
      <c r="AA166" s="29" t="b">
        <v>0</v>
      </c>
      <c r="AB166" s="29" t="b">
        <v>1</v>
      </c>
      <c r="AC166" s="29" t="b">
        <v>0</v>
      </c>
      <c r="AD166" s="29" t="inlineStr">
        <is>
          <t>NO</t>
        </is>
      </c>
      <c r="AE166" s="29" t="inlineStr"/>
      <c r="AF166" s="29" t="inlineStr"/>
      <c r="AG166" s="29" t="inlineStr"/>
      <c r="AH166" s="29" t="inlineStr"/>
      <c r="AI166" s="29" t="inlineStr"/>
      <c r="AJ166" s="29" t="inlineStr"/>
      <c r="AK166" s="29" t="inlineStr"/>
      <c r="AL166" s="29" t="inlineStr"/>
      <c r="AM166" s="29" t="inlineStr"/>
      <c r="AN166" s="29" t="n"/>
      <c r="AO166" s="29" t="inlineStr"/>
      <c r="AP166" s="29" t="inlineStr"/>
      <c r="AQ166" s="29" t="inlineStr"/>
      <c r="AR166" s="29" t="inlineStr"/>
      <c r="AS166" s="29" t="inlineStr"/>
      <c r="AT166" s="29" t="inlineStr"/>
      <c r="AU166" s="29" t="inlineStr"/>
      <c r="AV166" s="29" t="inlineStr"/>
      <c r="AW166" s="29" t="inlineStr"/>
      <c r="AX166" s="29" t="inlineStr"/>
      <c r="AY166" s="29" t="inlineStr">
        <is>
          <t>1</t>
        </is>
      </c>
      <c r="AZ166" s="29" t="inlineStr">
        <is>
          <t>sept-2026</t>
        </is>
      </c>
      <c r="BD166" s="81">
        <f>0</f>
        <v/>
      </c>
      <c r="BE166" s="81">
        <f>IFERROR((IF(ISNUMBER(T166),MIN(T166/30,1),0)+IF(ISNUMBER(P166),MIN(P166/500,1),0))/2,0)</f>
        <v/>
      </c>
      <c r="BF166" s="81">
        <f>IFERROR(IF(OR(U166&lt;&gt;"",V166="SÍ"),IF(ISNUMBER(L166),(1*MIN(L166/10000,1))^0.5,0),IF(ISNUMBER(L166),(0*MIN(L166/10000,1))^0.5,0)),0)</f>
        <v/>
      </c>
    </row>
    <row r="167">
      <c r="A167" t="inlineStr">
        <is>
          <t>MIDAGRI; CENACOOP; CENCOOP 2017</t>
        </is>
      </c>
      <c r="B167" s="70" t="inlineStr">
        <is>
          <t>20600125649</t>
        </is>
      </c>
      <c r="C167" s="30" t="inlineStr">
        <is>
          <t>Cooperativa Agraria Cafetalera Ecosostenible del Valle Huahuari</t>
        </is>
      </c>
      <c r="D167" s="30" t="inlineStr"/>
      <c r="E167" s="30" t="inlineStr">
        <is>
          <t>VENTA AL POR MENOR DE ALIMENTOS, BEBIDAS Y TABACO EN ALMACENES ESPECIALIZADOS</t>
        </is>
      </c>
      <c r="F167" s="30" t="inlineStr">
        <is>
          <t>Junín</t>
        </is>
      </c>
      <c r="G167" s="30" t="inlineStr">
        <is>
          <t>Satipo</t>
        </is>
      </c>
      <c r="H167" s="30" t="inlineStr">
        <is>
          <t>—</t>
        </is>
      </c>
      <c r="I167" s="30" t="inlineStr">
        <is>
          <t>—</t>
        </is>
      </c>
      <c r="J167" s="30" t="n"/>
      <c r="K167" s="30" t="inlineStr">
        <is>
          <t>NO</t>
        </is>
      </c>
      <c r="L167" s="30" t="n"/>
      <c r="M167" s="30" t="n"/>
      <c r="N167" s="30" t="n"/>
      <c r="O167" s="30" t="n"/>
      <c r="P167" s="30" t="inlineStr"/>
      <c r="Q167" s="30" t="inlineStr"/>
      <c r="R167" s="14" t="inlineStr">
        <is>
          <t>2575.0</t>
        </is>
      </c>
      <c r="S167" s="30" t="inlineStr"/>
      <c r="T167" s="30" t="inlineStr"/>
      <c r="U167" s="14" t="inlineStr"/>
      <c r="V167" s="14" t="inlineStr">
        <is>
          <t>NO</t>
        </is>
      </c>
      <c r="W167" s="14" t="inlineStr">
        <is>
          <t>—</t>
        </is>
      </c>
      <c r="X167" s="14" t="inlineStr">
        <is>
          <t>—</t>
        </is>
      </c>
      <c r="Y167" s="14" t="inlineStr"/>
      <c r="Z167" s="30" t="inlineStr">
        <is>
          <t>—</t>
        </is>
      </c>
      <c r="AA167" s="30" t="b">
        <v>0</v>
      </c>
      <c r="AB167" s="30" t="b">
        <v>1</v>
      </c>
      <c r="AC167" s="30" t="b">
        <v>1</v>
      </c>
      <c r="AD167" s="19" t="inlineStr">
        <is>
          <t>SI</t>
        </is>
      </c>
      <c r="AE167" s="30" t="inlineStr">
        <is>
          <t>CACE HUAHUARI</t>
        </is>
      </c>
      <c r="AF167" s="30" t="inlineStr">
        <is>
          <t>JUNIN</t>
        </is>
      </c>
      <c r="AG167" s="30" t="inlineStr">
        <is>
          <t>SATIPO</t>
        </is>
      </c>
      <c r="AH167" s="30" t="inlineStr">
        <is>
          <t>SATIPO</t>
        </is>
      </c>
      <c r="AI167" s="30" t="inlineStr">
        <is>
          <t>SATIPO</t>
        </is>
      </c>
      <c r="AJ167" s="30" t="inlineStr">
        <is>
          <t>CULTIVO DE PRODUCTOS AGRÌCOLAS EN COMBINACIÒN CON LA CRÌA DE ANIMALES</t>
        </is>
      </c>
      <c r="AK167" s="30" t="inlineStr">
        <is>
          <t>1.0</t>
        </is>
      </c>
      <c r="AL167" s="30" t="inlineStr">
        <is>
          <t>1.0</t>
        </is>
      </c>
      <c r="AM167" s="30" t="inlineStr">
        <is>
          <t>1.0</t>
        </is>
      </c>
      <c r="AN167" s="30" t="n">
        <v>1</v>
      </c>
      <c r="AO167" s="30" t="inlineStr">
        <is>
          <t>OLARTE OCHOA ANDRES</t>
        </is>
      </c>
      <c r="AP167" s="30" t="inlineStr">
        <is>
          <t>ADMINISTRADOR</t>
        </is>
      </c>
      <c r="AQ167" s="30" t="inlineStr">
        <is>
          <t>9.0</t>
        </is>
      </c>
      <c r="AR167" s="30" t="inlineStr">
        <is>
          <t>NO TIENE</t>
        </is>
      </c>
      <c r="AS167" s="30" t="inlineStr">
        <is>
          <t>NO TIENE</t>
        </is>
      </c>
      <c r="AT167" s="30" t="inlineStr">
        <is>
          <t>972693731</t>
        </is>
      </c>
      <c r="AU167" s="30" t="inlineStr">
        <is>
          <t>-11.255535000000002</t>
        </is>
      </c>
      <c r="AV167" s="30" t="inlineStr">
        <is>
          <t>-74.64173166666666</t>
        </is>
      </c>
      <c r="AW167" s="30" t="inlineStr">
        <is>
          <t>2015.0</t>
        </is>
      </c>
      <c r="AX167" s="30" t="inlineStr">
        <is>
          <t>2016.0</t>
        </is>
      </c>
      <c r="AY167" s="30" t="inlineStr">
        <is>
          <t>2</t>
        </is>
      </c>
      <c r="AZ167" s="30" t="inlineStr">
        <is>
          <t>sept-2026</t>
        </is>
      </c>
      <c r="BD167" s="81">
        <f>0</f>
        <v/>
      </c>
      <c r="BE167" s="81">
        <f>IFERROR((IF(ISNUMBER(T167),MIN(T167/30,1),0)+IF(ISNUMBER(P167),MIN(P167/500,1),0))/2,0)</f>
        <v/>
      </c>
      <c r="BF167" s="81">
        <f>IFERROR(IF(OR(U167&lt;&gt;"",V167="SÍ"),IF(ISNUMBER(L167),(1*MIN(L167/10000,1))^0.5,0),IF(ISNUMBER(L167),(0*MIN(L167/10000,1))^0.5,0)),0)</f>
        <v/>
      </c>
    </row>
    <row r="168">
      <c r="A168" t="inlineStr">
        <is>
          <t>MIDAGRI</t>
        </is>
      </c>
      <c r="B168" s="70" t="inlineStr">
        <is>
          <t>20602801641</t>
        </is>
      </c>
      <c r="C168" s="29" t="inlineStr">
        <is>
          <t>Cooperativa Agraria Cafetalera Industrial Satinaki</t>
        </is>
      </c>
      <c r="D168" s="29" t="inlineStr"/>
      <c r="E168" s="29" t="inlineStr">
        <is>
          <t>VENTA AL POR MENOR DE ALIMENTOS, BEBIDAS Y TABACO EN ALMACENES ESPECIALIZADOS</t>
        </is>
      </c>
      <c r="F168" s="29" t="inlineStr">
        <is>
          <t>Junín</t>
        </is>
      </c>
      <c r="G168" s="29" t="inlineStr">
        <is>
          <t>Chanchamayo</t>
        </is>
      </c>
      <c r="H168" s="29" t="inlineStr">
        <is>
          <t>—</t>
        </is>
      </c>
      <c r="I168" s="29" t="inlineStr">
        <is>
          <t>—</t>
        </is>
      </c>
      <c r="J168" s="29" t="inlineStr">
        <is>
          <t>SI</t>
        </is>
      </c>
      <c r="K168" s="29" t="inlineStr">
        <is>
          <t>NO</t>
        </is>
      </c>
      <c r="L168" s="29" t="n">
        <v>608276.2</v>
      </c>
      <c r="M168" s="29" t="n">
        <v>3770317.01</v>
      </c>
      <c r="N168" s="29" t="n">
        <v>35</v>
      </c>
      <c r="O168" s="29" t="n">
        <v>2</v>
      </c>
      <c r="P168" s="29" t="inlineStr"/>
      <c r="Q168" s="29" t="inlineStr"/>
      <c r="R168" s="18" t="inlineStr">
        <is>
          <t>2575.0</t>
        </is>
      </c>
      <c r="S168" s="29" t="inlineStr"/>
      <c r="T168" s="29" t="inlineStr"/>
      <c r="U168" s="18" t="inlineStr"/>
      <c r="V168" s="18" t="inlineStr">
        <is>
          <t>NO</t>
        </is>
      </c>
      <c r="W168" s="18" t="inlineStr">
        <is>
          <t>—</t>
        </is>
      </c>
      <c r="X168" s="18" t="inlineStr">
        <is>
          <t>—</t>
        </is>
      </c>
      <c r="Y168" s="18" t="inlineStr"/>
      <c r="Z168" s="29" t="inlineStr">
        <is>
          <t>—</t>
        </is>
      </c>
      <c r="AA168" s="29" t="b">
        <v>0</v>
      </c>
      <c r="AB168" s="29" t="b">
        <v>1</v>
      </c>
      <c r="AC168" s="29" t="b">
        <v>0</v>
      </c>
      <c r="AD168" s="29" t="inlineStr">
        <is>
          <t>NO</t>
        </is>
      </c>
      <c r="AE168" s="29" t="inlineStr"/>
      <c r="AF168" s="29" t="inlineStr"/>
      <c r="AG168" s="29" t="inlineStr"/>
      <c r="AH168" s="29" t="inlineStr"/>
      <c r="AI168" s="29" t="inlineStr"/>
      <c r="AJ168" s="29" t="inlineStr"/>
      <c r="AK168" s="29" t="inlineStr"/>
      <c r="AL168" s="29" t="inlineStr"/>
      <c r="AM168" s="29" t="inlineStr"/>
      <c r="AN168" s="29" t="n"/>
      <c r="AO168" s="29" t="inlineStr"/>
      <c r="AP168" s="29" t="inlineStr"/>
      <c r="AQ168" s="29" t="inlineStr"/>
      <c r="AR168" s="29" t="inlineStr"/>
      <c r="AS168" s="29" t="inlineStr"/>
      <c r="AT168" s="29" t="inlineStr"/>
      <c r="AU168" s="29" t="inlineStr"/>
      <c r="AV168" s="29" t="inlineStr"/>
      <c r="AW168" s="29" t="inlineStr"/>
      <c r="AX168" s="29" t="inlineStr"/>
      <c r="AY168" s="29" t="inlineStr">
        <is>
          <t>1</t>
        </is>
      </c>
      <c r="AZ168" s="29" t="inlineStr">
        <is>
          <t>sept-2026</t>
        </is>
      </c>
      <c r="BA168" t="inlineStr">
        <is>
          <t>FRANCE; GERMANY</t>
        </is>
      </c>
      <c r="BB168" t="n">
        <v>2018</v>
      </c>
      <c r="BC168" t="n">
        <v>2025</v>
      </c>
      <c r="BD168" s="81">
        <f>0</f>
        <v/>
      </c>
      <c r="BE168" s="81">
        <f>IFERROR((IF(ISNUMBER(T168),MIN(T168/30,1),0)+IF(ISNUMBER(P168),MIN(P168/500,1),0))/2,0)</f>
        <v/>
      </c>
      <c r="BF168" s="81">
        <f>IFERROR(IF(OR(U168&lt;&gt;"",V168="SÍ"),IF(ISNUMBER(L168),(1*MIN(L168/10000,1))^0.5,0),IF(ISNUMBER(L168),(0*MIN(L168/10000,1))^0.5,0)),0)</f>
        <v/>
      </c>
    </row>
    <row r="169">
      <c r="A169" t="inlineStr">
        <is>
          <t>PAC; MIDAGRI; CENACOOP; CENCOOP 2017</t>
        </is>
      </c>
      <c r="B169" s="70" t="inlineStr">
        <is>
          <t>20140181405</t>
        </is>
      </c>
      <c r="C169" s="30" t="inlineStr">
        <is>
          <t>Cooperativa Agraria Cafetalera La Florida</t>
        </is>
      </c>
      <c r="D169" s="30" t="inlineStr"/>
      <c r="E169" s="30" t="inlineStr">
        <is>
          <t>VENTA AL POR MENOR DE ALIMENTOS, BEBIDAS Y TABACO EN ALMACENES ESPECIALIZADOS</t>
        </is>
      </c>
      <c r="F169" s="30" t="inlineStr">
        <is>
          <t>Junín</t>
        </is>
      </c>
      <c r="G169" s="30" t="inlineStr">
        <is>
          <t>Chanchamayo</t>
        </is>
      </c>
      <c r="H169" s="30" t="inlineStr">
        <is>
          <t>Chanchamayo, Junín (Pto. Yurinaki)</t>
        </is>
      </c>
      <c r="I169" s="30" t="inlineStr">
        <is>
          <t>Café</t>
        </is>
      </c>
      <c r="J169" s="17" t="inlineStr">
        <is>
          <t>SI</t>
        </is>
      </c>
      <c r="K169" s="30" t="inlineStr">
        <is>
          <t>SÍ</t>
        </is>
      </c>
      <c r="L169" s="30" t="n">
        <v>1258316.54</v>
      </c>
      <c r="M169" s="30" t="n">
        <v>94782381.88</v>
      </c>
      <c r="N169" s="30" t="n">
        <v>431</v>
      </c>
      <c r="O169" s="30" t="n">
        <v>19</v>
      </c>
      <c r="P169" s="30" t="inlineStr"/>
      <c r="Q169" s="30" t="inlineStr"/>
      <c r="R169" s="14" t="inlineStr">
        <is>
          <t>2575.0</t>
        </is>
      </c>
      <c r="S169" s="30" t="inlineStr"/>
      <c r="T169" s="30" t="inlineStr"/>
      <c r="U169" s="14" t="inlineStr"/>
      <c r="V169" s="15" t="inlineStr">
        <is>
          <t>SÍ</t>
        </is>
      </c>
      <c r="W169" s="14" t="inlineStr">
        <is>
          <t>—</t>
        </is>
      </c>
      <c r="X169" s="14" t="inlineStr">
        <is>
          <t>Activa desde 1970</t>
        </is>
      </c>
      <c r="Y169" s="14" t="inlineStr"/>
      <c r="Z169" s="30" t="inlineStr">
        <is>
          <t>No disponible — requiere consulta directa (SUNAT/RUC.PE) o solicitud a la organización</t>
        </is>
      </c>
      <c r="AA169" s="30" t="b">
        <v>1</v>
      </c>
      <c r="AB169" s="30" t="b">
        <v>1</v>
      </c>
      <c r="AC169" s="30" t="b">
        <v>1</v>
      </c>
      <c r="AD169" s="19" t="inlineStr">
        <is>
          <t>SI</t>
        </is>
      </c>
      <c r="AE169" s="30" t="inlineStr">
        <is>
          <t>COOPERATIVA AGRARIA CAFETALERA LA FLORIDA</t>
        </is>
      </c>
      <c r="AF169" s="30" t="inlineStr">
        <is>
          <t>JUNIN</t>
        </is>
      </c>
      <c r="AG169" s="30" t="inlineStr">
        <is>
          <t>CHANCHAMAYO</t>
        </is>
      </c>
      <c r="AH169" s="30" t="inlineStr">
        <is>
          <t>CHANCHAMAYO</t>
        </is>
      </c>
      <c r="AI169" s="30" t="inlineStr">
        <is>
          <t>PAMPA DEL CARMEN</t>
        </is>
      </c>
      <c r="AJ169" s="30" t="inlineStr">
        <is>
          <t>VENTA AL POR MAYOR DE ALIMENTOS, BEBIDAS Y TABACO.</t>
        </is>
      </c>
      <c r="AK169" s="30" t="inlineStr">
        <is>
          <t>1.0</t>
        </is>
      </c>
      <c r="AL169" s="30" t="inlineStr">
        <is>
          <t>1.0</t>
        </is>
      </c>
      <c r="AM169" s="30" t="inlineStr">
        <is>
          <t>3.0</t>
        </is>
      </c>
      <c r="AN169" s="30" t="n">
        <v>42</v>
      </c>
      <c r="AO169" s="30" t="inlineStr">
        <is>
          <t>MOSCOSO ABREGU FERNANDO</t>
        </is>
      </c>
      <c r="AP169" s="30" t="inlineStr">
        <is>
          <t>ADMINISTRADOR</t>
        </is>
      </c>
      <c r="AQ169" s="30" t="inlineStr">
        <is>
          <t>10.0</t>
        </is>
      </c>
      <c r="AR169" s="30" t="inlineStr">
        <is>
          <t>WWW.CACLAFLORIDA.COM</t>
        </is>
      </c>
      <c r="AS169" s="30" t="inlineStr">
        <is>
          <t>GERENCIA.CACLAFLORIDA@GMAIL.COM</t>
        </is>
      </c>
      <c r="AT169" s="30" t="inlineStr">
        <is>
          <t>996651584</t>
        </is>
      </c>
      <c r="AU169" s="30" t="inlineStr">
        <is>
          <t>-11.064801666666664</t>
        </is>
      </c>
      <c r="AV169" s="30" t="inlineStr">
        <is>
          <t>-75.33732</t>
        </is>
      </c>
      <c r="AW169" s="30" t="inlineStr">
        <is>
          <t>1975.0</t>
        </is>
      </c>
      <c r="AX169" s="30" t="inlineStr">
        <is>
          <t>1975.0</t>
        </is>
      </c>
      <c r="AY169" s="30" t="inlineStr">
        <is>
          <t>3</t>
        </is>
      </c>
      <c r="AZ169" s="30" t="inlineStr">
        <is>
          <t>sept-2026</t>
        </is>
      </c>
      <c r="BA169" t="inlineStr">
        <is>
          <t>AUSTRALIA; BELGIUM; CANADA; CHINA; DENMARK; FRANCE; GERMANY; GUADELOUPE; IRELAND; JAPAN; MEXICO; NETHERLANDS; NORWAY; PANAMA; RUSSIAN FEDERATION; SPAIN; SWEDEN; UNITED KINGDOM; UNITED STATES</t>
        </is>
      </c>
      <c r="BB169" t="n">
        <v>2010</v>
      </c>
      <c r="BC169" t="n">
        <v>2025</v>
      </c>
      <c r="BD169" s="81">
        <f>0</f>
        <v/>
      </c>
      <c r="BE169" s="81">
        <f>IFERROR((IF(ISNUMBER(T169),MIN(T169/30,1),0)+IF(ISNUMBER(P169),MIN(P169/500,1),0))/2,0)</f>
        <v/>
      </c>
      <c r="BF169" s="81">
        <f>IFERROR(IF(OR(U169&lt;&gt;"",V169="SÍ"),IF(ISNUMBER(L169),(1*MIN(L169/10000,1))^0.5,0),IF(ISNUMBER(L169),(0*MIN(L169/10000,1))^0.5,0)),0)</f>
        <v/>
      </c>
      <c r="BG169" t="n">
        <v>39</v>
      </c>
      <c r="BH169" t="n">
        <v>30</v>
      </c>
      <c r="BI169" t="n">
        <v>0</v>
      </c>
      <c r="BJ169" t="n">
        <v>0</v>
      </c>
      <c r="BK169" t="n">
        <v>0</v>
      </c>
      <c r="BL169" t="n">
        <v>37</v>
      </c>
      <c r="BM169" t="n">
        <v>0</v>
      </c>
      <c r="BN169" t="n">
        <v>11</v>
      </c>
      <c r="BO169" t="n">
        <v>1</v>
      </c>
      <c r="BP169" t="n">
        <v>0</v>
      </c>
      <c r="BQ169" t="n">
        <v>0</v>
      </c>
      <c r="BR169" t="n">
        <v>0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1</v>
      </c>
      <c r="BY169" t="n">
        <v>0</v>
      </c>
      <c r="BZ169" t="n">
        <v>0.7692</v>
      </c>
      <c r="CA169" t="n">
        <v>0.9487</v>
      </c>
      <c r="CB169" t="n">
        <v>0</v>
      </c>
      <c r="CC169" t="n">
        <v>0.0256</v>
      </c>
      <c r="CD169" t="n">
        <v>0.7692</v>
      </c>
      <c r="CE169" t="n">
        <v>0.0171</v>
      </c>
      <c r="CF169" t="n">
        <v>0.3846</v>
      </c>
    </row>
    <row r="170">
      <c r="A170" t="inlineStr">
        <is>
          <t>MIDAGRI; CENACOOP; CENCOOP 2017</t>
        </is>
      </c>
      <c r="B170" s="70" t="inlineStr">
        <is>
          <t>20601103428</t>
        </is>
      </c>
      <c r="C170" s="29" t="inlineStr">
        <is>
          <t>Cooperativa Agraria Cafetalera Multiservicios Kajiriali Limitada</t>
        </is>
      </c>
      <c r="D170" s="29" t="inlineStr"/>
      <c r="E170" s="29" t="inlineStr">
        <is>
          <t>VENTA AL POR MENOR DE ALIMENTOS, BEBIDAS Y TABACO EN ALMACENES ESPECIALIZADOS</t>
        </is>
      </c>
      <c r="F170" s="29" t="inlineStr">
        <is>
          <t>Junín</t>
        </is>
      </c>
      <c r="G170" s="29" t="inlineStr">
        <is>
          <t>Satipo</t>
        </is>
      </c>
      <c r="H170" s="29" t="inlineStr">
        <is>
          <t>—</t>
        </is>
      </c>
      <c r="I170" s="29" t="inlineStr">
        <is>
          <t>—</t>
        </is>
      </c>
      <c r="J170" s="29" t="n"/>
      <c r="K170" s="29" t="inlineStr">
        <is>
          <t>NO</t>
        </is>
      </c>
      <c r="L170" s="29" t="n"/>
      <c r="M170" s="29" t="n"/>
      <c r="N170" s="29" t="n"/>
      <c r="O170" s="29" t="n"/>
      <c r="P170" s="29" t="inlineStr"/>
      <c r="Q170" s="29" t="inlineStr"/>
      <c r="R170" s="18" t="inlineStr">
        <is>
          <t>2575.0</t>
        </is>
      </c>
      <c r="S170" s="29" t="inlineStr"/>
      <c r="T170" s="29" t="inlineStr"/>
      <c r="U170" s="18" t="inlineStr"/>
      <c r="V170" s="18" t="inlineStr">
        <is>
          <t>NO</t>
        </is>
      </c>
      <c r="W170" s="18" t="inlineStr">
        <is>
          <t>—</t>
        </is>
      </c>
      <c r="X170" s="18" t="inlineStr">
        <is>
          <t>—</t>
        </is>
      </c>
      <c r="Y170" s="18" t="inlineStr"/>
      <c r="Z170" s="29" t="inlineStr">
        <is>
          <t>—</t>
        </is>
      </c>
      <c r="AA170" s="29" t="b">
        <v>0</v>
      </c>
      <c r="AB170" s="29" t="b">
        <v>1</v>
      </c>
      <c r="AC170" s="29" t="b">
        <v>1</v>
      </c>
      <c r="AD170" s="19" t="inlineStr">
        <is>
          <t>SI</t>
        </is>
      </c>
      <c r="AE170" s="29" t="inlineStr">
        <is>
          <t>COOPERATIVA AGRARIA CAFETALERA MULTISERVICIOS KAJIRIALI LTDA.</t>
        </is>
      </c>
      <c r="AF170" s="29" t="inlineStr">
        <is>
          <t>JUNIN</t>
        </is>
      </c>
      <c r="AG170" s="29" t="inlineStr">
        <is>
          <t>SATIPO</t>
        </is>
      </c>
      <c r="AH170" s="29" t="inlineStr">
        <is>
          <t>PANGOA</t>
        </is>
      </c>
      <c r="AI170" s="29" t="inlineStr">
        <is>
          <t>ASENTAMIENTO HUMANO TERESA OTINIANO</t>
        </is>
      </c>
      <c r="AJ170" s="29" t="inlineStr">
        <is>
          <t>CULTIVO DE FRUTAS TROPICALES Y SUBTROPICALES</t>
        </is>
      </c>
      <c r="AK170" s="29" t="inlineStr">
        <is>
          <t>1.0</t>
        </is>
      </c>
      <c r="AL170" s="29" t="inlineStr">
        <is>
          <t>1.0</t>
        </is>
      </c>
      <c r="AM170" s="29" t="inlineStr">
        <is>
          <t>1.0</t>
        </is>
      </c>
      <c r="AN170" s="29" t="n">
        <v>1</v>
      </c>
      <c r="AO170" s="29" t="inlineStr">
        <is>
          <t>PALOMINO ROJAD JONNYS AMERICO</t>
        </is>
      </c>
      <c r="AP170" s="29" t="inlineStr">
        <is>
          <t>AGRICULTOR</t>
        </is>
      </c>
      <c r="AQ170" s="29" t="inlineStr">
        <is>
          <t>6.0</t>
        </is>
      </c>
      <c r="AR170" s="29" t="inlineStr">
        <is>
          <t>NO TIENE</t>
        </is>
      </c>
      <c r="AS170" s="29" t="inlineStr">
        <is>
          <t>NO TIENE</t>
        </is>
      </c>
      <c r="AT170" s="29" t="inlineStr">
        <is>
          <t>999519908</t>
        </is>
      </c>
      <c r="AU170" s="29" t="inlineStr">
        <is>
          <t>-11.427571666666665</t>
        </is>
      </c>
      <c r="AV170" s="29" t="inlineStr">
        <is>
          <t>-74.48445</t>
        </is>
      </c>
      <c r="AW170" s="29" t="inlineStr">
        <is>
          <t>2016.0</t>
        </is>
      </c>
      <c r="AX170" s="29" t="inlineStr">
        <is>
          <t>2016.0</t>
        </is>
      </c>
      <c r="AY170" s="29" t="inlineStr">
        <is>
          <t>2</t>
        </is>
      </c>
      <c r="AZ170" s="29" t="inlineStr">
        <is>
          <t>sept-2026</t>
        </is>
      </c>
      <c r="BD170" s="81">
        <f>0</f>
        <v/>
      </c>
      <c r="BE170" s="81">
        <f>IFERROR((IF(ISNUMBER(T170),MIN(T170/30,1),0)+IF(ISNUMBER(P170),MIN(P170/500,1),0))/2,0)</f>
        <v/>
      </c>
      <c r="BF170" s="81">
        <f>IFERROR(IF(OR(U170&lt;&gt;"",V170="SÍ"),IF(ISNUMBER(L170),(1*MIN(L170/10000,1))^0.5,0),IF(ISNUMBER(L170),(0*MIN(L170/10000,1))^0.5,0)),0)</f>
        <v/>
      </c>
    </row>
    <row r="171">
      <c r="A171" t="inlineStr">
        <is>
          <t>MIDAGRI; CENACOOP; CENCOOP 2017</t>
        </is>
      </c>
      <c r="B171" s="70" t="inlineStr">
        <is>
          <t>20135240681</t>
        </is>
      </c>
      <c r="C171" s="30" t="inlineStr">
        <is>
          <t>Cooperativa Agraria Cafetalera Pangoa Ltda</t>
        </is>
      </c>
      <c r="D171" s="30" t="inlineStr"/>
      <c r="E171" s="30" t="inlineStr">
        <is>
          <t>VENTA AL POR MENOR DE ALIMENTOS, BEBIDAS Y TABACO EN ALMACENES ESPECIALIZADOS</t>
        </is>
      </c>
      <c r="F171" s="30" t="inlineStr">
        <is>
          <t>Junín</t>
        </is>
      </c>
      <c r="G171" s="30" t="inlineStr">
        <is>
          <t>Satipo</t>
        </is>
      </c>
      <c r="H171" s="30" t="inlineStr">
        <is>
          <t>Junín (San Martín de Pangoa, Satipo)</t>
        </is>
      </c>
      <c r="I171" s="30" t="inlineStr">
        <is>
          <t>Café / Cacao</t>
        </is>
      </c>
      <c r="J171" s="17" t="inlineStr">
        <is>
          <t>SI</t>
        </is>
      </c>
      <c r="K171" s="30" t="inlineStr">
        <is>
          <t>SÍ</t>
        </is>
      </c>
      <c r="L171" s="30" t="n">
        <v>9024114.810000001</v>
      </c>
      <c r="M171" s="30" t="n">
        <v>80912017.78</v>
      </c>
      <c r="N171" s="30" t="n">
        <v>556</v>
      </c>
      <c r="O171" s="30" t="n">
        <v>19</v>
      </c>
      <c r="P171" s="30" t="inlineStr"/>
      <c r="Q171" s="30" t="inlineStr"/>
      <c r="R171" s="14" t="inlineStr">
        <is>
          <t>2575.0</t>
        </is>
      </c>
      <c r="S171" s="30" t="inlineStr"/>
      <c r="T171" s="30" t="inlineStr"/>
      <c r="U171" s="14" t="inlineStr"/>
      <c r="V171" s="15" t="inlineStr">
        <is>
          <t>SÍ</t>
        </is>
      </c>
      <c r="W171" s="14" t="inlineStr">
        <is>
          <t>—</t>
        </is>
      </c>
      <c r="X171" s="14" t="inlineStr">
        <is>
          <t>Fundada en 1977; 698 socios (135 mujeres)</t>
        </is>
      </c>
      <c r="Y171" s="14" t="inlineStr"/>
      <c r="Z171" s="30" t="inlineStr">
        <is>
          <t>No disponible — requiere consulta directa (SUNAT/RUC.PE) o solicitud a la organización</t>
        </is>
      </c>
      <c r="AA171" s="30" t="b">
        <v>0</v>
      </c>
      <c r="AB171" s="30" t="b">
        <v>1</v>
      </c>
      <c r="AC171" s="30" t="b">
        <v>1</v>
      </c>
      <c r="AD171" s="19" t="inlineStr">
        <is>
          <t>SI</t>
        </is>
      </c>
      <c r="AE171" s="30" t="inlineStr">
        <is>
          <t>COOPERATIVA AGRARIA CAFETALERA PANGOA LTDA.</t>
        </is>
      </c>
      <c r="AF171" s="30" t="inlineStr">
        <is>
          <t>JUNIN</t>
        </is>
      </c>
      <c r="AG171" s="30" t="inlineStr">
        <is>
          <t>SATIPO</t>
        </is>
      </c>
      <c r="AH171" s="30" t="inlineStr">
        <is>
          <t>PANGOA</t>
        </is>
      </c>
      <c r="AI171" s="30" t="inlineStr">
        <is>
          <t>SAN MARTIN DE PANGOA</t>
        </is>
      </c>
      <c r="AJ171" s="30" t="inlineStr">
        <is>
          <t>VENTA AL POR MAYOR DE ALIMENTOS, BEBIDAS Y TABACO.</t>
        </is>
      </c>
      <c r="AK171" s="30" t="inlineStr">
        <is>
          <t>1.0</t>
        </is>
      </c>
      <c r="AL171" s="30" t="inlineStr">
        <is>
          <t>1.0</t>
        </is>
      </c>
      <c r="AM171" s="30" t="inlineStr">
        <is>
          <t>3.0</t>
        </is>
      </c>
      <c r="AN171" s="30" t="n">
        <v>39</v>
      </c>
      <c r="AO171" s="30" t="inlineStr">
        <is>
          <t>AQUIZE VELIZ JUAN MANUEL</t>
        </is>
      </c>
      <c r="AP171" s="30" t="inlineStr">
        <is>
          <t>INGENIERO AGRONOMO</t>
        </is>
      </c>
      <c r="AQ171" s="30" t="inlineStr">
        <is>
          <t>10.0</t>
        </is>
      </c>
      <c r="AR171" s="30" t="inlineStr">
        <is>
          <t>WWW.CACPANGOA.COM</t>
        </is>
      </c>
      <c r="AS171" s="30" t="inlineStr">
        <is>
          <t>CACPANGOA@CACPANGOA.COM</t>
        </is>
      </c>
      <c r="AT171" s="30" t="inlineStr">
        <is>
          <t>964557160</t>
        </is>
      </c>
      <c r="AU171" s="30" t="inlineStr">
        <is>
          <t>-11.426241666666666</t>
        </is>
      </c>
      <c r="AV171" s="30" t="inlineStr">
        <is>
          <t>-74.49111166666667</t>
        </is>
      </c>
      <c r="AW171" s="30" t="inlineStr">
        <is>
          <t>1977.0</t>
        </is>
      </c>
      <c r="AX171" s="30" t="inlineStr">
        <is>
          <t>1978.0</t>
        </is>
      </c>
      <c r="AY171" s="30" t="inlineStr">
        <is>
          <t>2</t>
        </is>
      </c>
      <c r="AZ171" s="30" t="inlineStr">
        <is>
          <t>sept-2026</t>
        </is>
      </c>
      <c r="BA171" t="inlineStr">
        <is>
          <t>ALGERIA; BELGIUM; CANADA; CHILE; ESTONIA; FRANCE; GERMANY; IRAN (ISLAMIC REPUBLIC OF); IRELAND; ITALY; JAPAN; LUXEMBOURG; MEXICO; NETHERLANDS; NEW ZEALAND; SPAIN; SWITZERLAND; UNITED KINGDOM; UNITED STATES</t>
        </is>
      </c>
      <c r="BB171" t="n">
        <v>2010</v>
      </c>
      <c r="BC171" t="n">
        <v>2025</v>
      </c>
      <c r="BD171" s="81">
        <f>0</f>
        <v/>
      </c>
      <c r="BE171" s="81">
        <f>IFERROR((IF(ISNUMBER(T171),MIN(T171/30,1),0)+IF(ISNUMBER(P171),MIN(P171/500,1),0))/2,0)</f>
        <v/>
      </c>
      <c r="BF171" s="81">
        <f>IFERROR(IF(OR(U171&lt;&gt;"",V171="SÍ"),IF(ISNUMBER(L171),(1*MIN(L171/10000,1))^0.5,0),IF(ISNUMBER(L171),(0*MIN(L171/10000,1))^0.5,0)),0)</f>
        <v/>
      </c>
    </row>
    <row r="172">
      <c r="A172" t="inlineStr">
        <is>
          <t>MIDAGRI; CENACOOP; CENCOOP 2017</t>
        </is>
      </c>
      <c r="B172" s="70" t="inlineStr">
        <is>
          <t>20130376127</t>
        </is>
      </c>
      <c r="C172" s="29" t="inlineStr">
        <is>
          <t>Cooperativa Agraria Cafetalera Perene</t>
        </is>
      </c>
      <c r="D172" s="29" t="inlineStr"/>
      <c r="E172" s="29" t="inlineStr">
        <is>
          <t>VENTA AL POR MENOR DE ALIMENTOS, BEBIDAS Y TABACO EN ALMACENES ESPECIALIZADOS</t>
        </is>
      </c>
      <c r="F172" s="29" t="inlineStr">
        <is>
          <t>Junín</t>
        </is>
      </c>
      <c r="G172" s="29" t="inlineStr">
        <is>
          <t>Chanchamayo</t>
        </is>
      </c>
      <c r="H172" s="29" t="inlineStr">
        <is>
          <t>—</t>
        </is>
      </c>
      <c r="I172" s="29" t="inlineStr">
        <is>
          <t>—</t>
        </is>
      </c>
      <c r="J172" s="29" t="inlineStr">
        <is>
          <t>SI</t>
        </is>
      </c>
      <c r="K172" s="29" t="inlineStr">
        <is>
          <t>NO</t>
        </is>
      </c>
      <c r="L172" s="29" t="n">
        <v>0</v>
      </c>
      <c r="M172" s="29" t="n">
        <v>20378616.99</v>
      </c>
      <c r="N172" s="29" t="n">
        <v>147</v>
      </c>
      <c r="O172" s="29" t="n">
        <v>9</v>
      </c>
      <c r="P172" s="29" t="inlineStr"/>
      <c r="Q172" s="29" t="inlineStr"/>
      <c r="R172" s="18" t="inlineStr">
        <is>
          <t>2575.0</t>
        </is>
      </c>
      <c r="S172" s="29" t="inlineStr"/>
      <c r="T172" s="29" t="inlineStr"/>
      <c r="U172" s="18" t="inlineStr"/>
      <c r="V172" s="18" t="inlineStr">
        <is>
          <t>NO</t>
        </is>
      </c>
      <c r="W172" s="18" t="inlineStr">
        <is>
          <t>—</t>
        </is>
      </c>
      <c r="X172" s="18" t="inlineStr">
        <is>
          <t>—</t>
        </is>
      </c>
      <c r="Y172" s="18" t="inlineStr"/>
      <c r="Z172" s="29" t="inlineStr">
        <is>
          <t>—</t>
        </is>
      </c>
      <c r="AA172" s="29" t="b">
        <v>0</v>
      </c>
      <c r="AB172" s="29" t="b">
        <v>1</v>
      </c>
      <c r="AC172" s="29" t="b">
        <v>1</v>
      </c>
      <c r="AD172" s="19" t="inlineStr">
        <is>
          <t>SI</t>
        </is>
      </c>
      <c r="AE172" s="29" t="inlineStr">
        <is>
          <t>COOPERATIVA AGRARIA CAFETALERA PERENE</t>
        </is>
      </c>
      <c r="AF172" s="29" t="inlineStr">
        <is>
          <t>JUNIN</t>
        </is>
      </c>
      <c r="AG172" s="29" t="inlineStr">
        <is>
          <t>CHANCHAMAYO</t>
        </is>
      </c>
      <c r="AH172" s="29" t="inlineStr">
        <is>
          <t>CHANCHAMAYO</t>
        </is>
      </c>
      <c r="AI172" s="29" t="inlineStr">
        <is>
          <t>PAMPA DEL CARMEN</t>
        </is>
      </c>
      <c r="AJ172" s="29" t="inlineStr">
        <is>
          <t>VENTA AL POR MAYOR DE ALIMENTOS, BEBIDAS Y TABACO.</t>
        </is>
      </c>
      <c r="AK172" s="29" t="inlineStr">
        <is>
          <t>1.0</t>
        </is>
      </c>
      <c r="AL172" s="29" t="inlineStr">
        <is>
          <t>1.0</t>
        </is>
      </c>
      <c r="AM172" s="29" t="inlineStr">
        <is>
          <t>3.0</t>
        </is>
      </c>
      <c r="AN172" s="29" t="n">
        <v>50</v>
      </c>
      <c r="AO172" s="29" t="inlineStr">
        <is>
          <t>LOZANO TAYPE EDWIN</t>
        </is>
      </c>
      <c r="AP172" s="29" t="inlineStr">
        <is>
          <t>ADMINISTRADOR</t>
        </is>
      </c>
      <c r="AQ172" s="29" t="inlineStr">
        <is>
          <t>10.0</t>
        </is>
      </c>
      <c r="AR172" s="29" t="inlineStr">
        <is>
          <t>NO TIENE</t>
        </is>
      </c>
      <c r="AS172" s="29" t="inlineStr">
        <is>
          <t>JROMERO@COOPERENE.COM</t>
        </is>
      </c>
      <c r="AT172" s="29" t="inlineStr">
        <is>
          <t>927997648</t>
        </is>
      </c>
      <c r="AU172" s="29" t="inlineStr">
        <is>
          <t>-11.066809999999998</t>
        </is>
      </c>
      <c r="AV172" s="29" t="inlineStr">
        <is>
          <t>-75.33687833333333</t>
        </is>
      </c>
      <c r="AW172" s="29" t="inlineStr">
        <is>
          <t>1967.0</t>
        </is>
      </c>
      <c r="AX172" s="29" t="inlineStr">
        <is>
          <t>1967.0</t>
        </is>
      </c>
      <c r="AY172" s="29" t="inlineStr">
        <is>
          <t>2</t>
        </is>
      </c>
      <c r="AZ172" s="29" t="inlineStr">
        <is>
          <t>sept-2026</t>
        </is>
      </c>
      <c r="BA172" t="inlineStr">
        <is>
          <t>BELGIUM; FINLAND; FRANCE; GERMANY; ITALY; JAPAN; NETHERLANDS; SWEDEN; UNITED STATES</t>
        </is>
      </c>
      <c r="BB172" t="n">
        <v>2010</v>
      </c>
      <c r="BC172" t="n">
        <v>2019</v>
      </c>
      <c r="BD172" s="81">
        <f>0</f>
        <v/>
      </c>
      <c r="BE172" s="81">
        <f>IFERROR((IF(ISNUMBER(T172),MIN(T172/30,1),0)+IF(ISNUMBER(P172),MIN(P172/500,1),0))/2,0)</f>
        <v/>
      </c>
      <c r="BF172" s="81">
        <f>IFERROR(IF(OR(U172&lt;&gt;"",V172="SÍ"),IF(ISNUMBER(L172),(1*MIN(L172/10000,1))^0.5,0),IF(ISNUMBER(L172),(0*MIN(L172/10000,1))^0.5,0)),0)</f>
        <v/>
      </c>
    </row>
    <row r="173">
      <c r="A173" t="inlineStr">
        <is>
          <t>MIDAGRI; SISPAC</t>
        </is>
      </c>
      <c r="B173" s="70" t="inlineStr">
        <is>
          <t>20602712657</t>
        </is>
      </c>
      <c r="C173" s="30" t="inlineStr">
        <is>
          <t>Cooperativa Agraria Cafetalera Rio Tambo Limitada</t>
        </is>
      </c>
      <c r="D173" s="30" t="inlineStr"/>
      <c r="E173" s="30" t="inlineStr">
        <is>
          <t>VENTA AL POR MENOR DE ALIMENTOS, BEBIDAS Y TABACO EN ALMACENES ESPECIALIZADOS</t>
        </is>
      </c>
      <c r="F173" s="30" t="inlineStr">
        <is>
          <t>Junín</t>
        </is>
      </c>
      <c r="G173" s="30" t="inlineStr">
        <is>
          <t>Satipo</t>
        </is>
      </c>
      <c r="H173" s="30" t="inlineStr">
        <is>
          <t>—</t>
        </is>
      </c>
      <c r="I173" s="30" t="inlineStr">
        <is>
          <t>—</t>
        </is>
      </c>
      <c r="J173" s="30" t="n"/>
      <c r="K173" s="30" t="inlineStr">
        <is>
          <t>NO</t>
        </is>
      </c>
      <c r="L173" s="30" t="n"/>
      <c r="M173" s="30" t="n"/>
      <c r="N173" s="30" t="n"/>
      <c r="O173" s="30" t="n"/>
      <c r="P173" s="30" t="inlineStr"/>
      <c r="Q173" s="30" t="inlineStr"/>
      <c r="R173" s="14" t="inlineStr">
        <is>
          <t>2575.0</t>
        </is>
      </c>
      <c r="S173" s="30" t="inlineStr"/>
      <c r="T173" s="30" t="inlineStr"/>
      <c r="U173" s="14" t="inlineStr"/>
      <c r="V173" s="14" t="inlineStr">
        <is>
          <t>NO</t>
        </is>
      </c>
      <c r="W173" s="14" t="inlineStr">
        <is>
          <t>—</t>
        </is>
      </c>
      <c r="X173" s="14" t="inlineStr">
        <is>
          <t>—</t>
        </is>
      </c>
      <c r="Y173" s="14" t="inlineStr"/>
      <c r="Z173" s="30" t="inlineStr">
        <is>
          <t>—</t>
        </is>
      </c>
      <c r="AA173" s="30" t="b">
        <v>0</v>
      </c>
      <c r="AB173" s="30" t="b">
        <v>1</v>
      </c>
      <c r="AC173" s="30" t="b">
        <v>0</v>
      </c>
      <c r="AD173" s="30" t="inlineStr">
        <is>
          <t>NO</t>
        </is>
      </c>
      <c r="AE173" s="30" t="inlineStr"/>
      <c r="AF173" s="30" t="inlineStr"/>
      <c r="AG173" s="30" t="inlineStr"/>
      <c r="AH173" s="30" t="inlineStr"/>
      <c r="AI173" s="30" t="inlineStr"/>
      <c r="AJ173" s="30" t="inlineStr"/>
      <c r="AK173" s="30" t="inlineStr"/>
      <c r="AL173" s="30" t="inlineStr"/>
      <c r="AM173" s="30" t="inlineStr"/>
      <c r="AN173" s="30" t="n"/>
      <c r="AO173" s="30" t="inlineStr"/>
      <c r="AP173" s="30" t="inlineStr"/>
      <c r="AQ173" s="30" t="inlineStr"/>
      <c r="AR173" s="30" t="inlineStr"/>
      <c r="AS173" s="30" t="inlineStr"/>
      <c r="AT173" s="30" t="inlineStr"/>
      <c r="AU173" s="30" t="inlineStr"/>
      <c r="AV173" s="30" t="inlineStr"/>
      <c r="AW173" s="30" t="inlineStr"/>
      <c r="AX173" s="30" t="inlineStr"/>
      <c r="AY173" s="30" t="inlineStr">
        <is>
          <t>1</t>
        </is>
      </c>
      <c r="AZ173" s="30" t="inlineStr">
        <is>
          <t>sept-2026</t>
        </is>
      </c>
      <c r="BD173" s="81">
        <f>0</f>
        <v/>
      </c>
      <c r="BE173" s="81">
        <f>IFERROR((IF(ISNUMBER(T173),MIN(T173/30,1),0)+IF(ISNUMBER(P173),MIN(P173/500,1),0))/2,0)</f>
        <v/>
      </c>
      <c r="BF173" s="81">
        <f>IFERROR(IF(OR(U173&lt;&gt;"",V173="SÍ"),IF(ISNUMBER(L173),(1*MIN(L173/10000,1))^0.5,0),IF(ISNUMBER(L173),(0*MIN(L173/10000,1))^0.5,0)),0)</f>
        <v/>
      </c>
    </row>
    <row r="174">
      <c r="A174" t="inlineStr">
        <is>
          <t>MIDAGRI; CENACOOP; CENCOOP 2017; SISPAC</t>
        </is>
      </c>
      <c r="B174" s="70" t="inlineStr">
        <is>
          <t>20129529530</t>
        </is>
      </c>
      <c r="C174" s="29" t="inlineStr">
        <is>
          <t>Cooperativa Agraria Cafetalera Satipo Ltda.</t>
        </is>
      </c>
      <c r="D174" s="29" t="inlineStr"/>
      <c r="E174" s="29" t="inlineStr">
        <is>
          <t>VENTA AL POR MENOR DE ALIMENTOS, BEBIDAS Y TABACO EN ALMACENES ESPECIALIZADOS</t>
        </is>
      </c>
      <c r="F174" s="29" t="inlineStr">
        <is>
          <t>Junín</t>
        </is>
      </c>
      <c r="G174" s="29" t="inlineStr">
        <is>
          <t>Satipo</t>
        </is>
      </c>
      <c r="H174" s="29" t="inlineStr">
        <is>
          <t>Satipo, Junín</t>
        </is>
      </c>
      <c r="I174" s="29" t="inlineStr">
        <is>
          <t>Café / Cacao</t>
        </is>
      </c>
      <c r="J174" s="17" t="inlineStr">
        <is>
          <t>SI</t>
        </is>
      </c>
      <c r="K174" s="29" t="inlineStr">
        <is>
          <t>SÍ</t>
        </is>
      </c>
      <c r="L174" s="29" t="n">
        <v>2526946.18</v>
      </c>
      <c r="M174" s="29" t="n">
        <v>29107401.46</v>
      </c>
      <c r="N174" s="29" t="n">
        <v>154</v>
      </c>
      <c r="O174" s="29" t="n">
        <v>11</v>
      </c>
      <c r="P174" s="29" t="inlineStr"/>
      <c r="Q174" s="29" t="inlineStr"/>
      <c r="R174" s="18" t="inlineStr">
        <is>
          <t>2575.0</t>
        </is>
      </c>
      <c r="S174" s="29" t="inlineStr"/>
      <c r="T174" s="29" t="inlineStr"/>
      <c r="U174" s="18" t="inlineStr"/>
      <c r="V174" s="15" t="inlineStr">
        <is>
          <t>SÍ</t>
        </is>
      </c>
      <c r="W174" s="18" t="inlineStr">
        <is>
          <t>—</t>
        </is>
      </c>
      <c r="X174" s="18" t="inlineStr">
        <is>
          <t>Fundada en 1993 — hay dos registros SUNAT similares, confirmar cuál es la vigente</t>
        </is>
      </c>
      <c r="Y174" s="18" t="inlineStr"/>
      <c r="Z174" s="29" t="inlineStr">
        <is>
          <t>No disponible — requiere consulta directa (SUNAT/RUC.PE) o solicitud a la organización</t>
        </is>
      </c>
      <c r="AA174" s="29" t="b">
        <v>0</v>
      </c>
      <c r="AB174" s="29" t="b">
        <v>1</v>
      </c>
      <c r="AC174" s="29" t="b">
        <v>1</v>
      </c>
      <c r="AD174" s="19" t="inlineStr">
        <is>
          <t>SI</t>
        </is>
      </c>
      <c r="AE174" s="29" t="inlineStr">
        <is>
          <t>COOPERATIVA AGRARIA CAFETALERA SATIPO LTDA.</t>
        </is>
      </c>
      <c r="AF174" s="29" t="inlineStr">
        <is>
          <t>JUNIN</t>
        </is>
      </c>
      <c r="AG174" s="29" t="inlineStr">
        <is>
          <t>SATIPO</t>
        </is>
      </c>
      <c r="AH174" s="29" t="inlineStr">
        <is>
          <t>SATIPO</t>
        </is>
      </c>
      <c r="AI174" s="29" t="inlineStr">
        <is>
          <t>SATIPO</t>
        </is>
      </c>
      <c r="AJ174" s="29" t="inlineStr">
        <is>
          <t>CULTIVO DE PRODUCTOS AGRÌCOLAS EN COMBINACIÒN CON LA CRÌA DE ANIMALES</t>
        </is>
      </c>
      <c r="AK174" s="29" t="inlineStr">
        <is>
          <t>1.0</t>
        </is>
      </c>
      <c r="AL174" s="29" t="inlineStr">
        <is>
          <t>1.0</t>
        </is>
      </c>
      <c r="AM174" s="29" t="inlineStr">
        <is>
          <t>2.0</t>
        </is>
      </c>
      <c r="AN174" s="29" t="n">
        <v>24</v>
      </c>
      <c r="AO174" s="29" t="inlineStr">
        <is>
          <t>FLORES TORRES MARIO ALBERTO</t>
        </is>
      </c>
      <c r="AP174" s="29" t="inlineStr">
        <is>
          <t>TECNICO EN ADMINISTRACION</t>
        </is>
      </c>
      <c r="AQ174" s="29" t="inlineStr">
        <is>
          <t>8.0</t>
        </is>
      </c>
      <c r="AR174" s="29" t="inlineStr">
        <is>
          <t>WWW.CACSATIPO.ORG</t>
        </is>
      </c>
      <c r="AS174" s="29" t="inlineStr">
        <is>
          <t>SATIPOCACSATIPO@SATIPO.ORG</t>
        </is>
      </c>
      <c r="AT174" s="29" t="inlineStr">
        <is>
          <t>990223331</t>
        </is>
      </c>
      <c r="AU174" s="29" t="inlineStr">
        <is>
          <t>-11.253856666666666</t>
        </is>
      </c>
      <c r="AV174" s="29" t="inlineStr">
        <is>
          <t>-74.63796</t>
        </is>
      </c>
      <c r="AW174" s="29" t="inlineStr">
        <is>
          <t>1993.0</t>
        </is>
      </c>
      <c r="AX174" s="29" t="inlineStr">
        <is>
          <t>1993.0</t>
        </is>
      </c>
      <c r="AY174" s="29" t="inlineStr">
        <is>
          <t>2</t>
        </is>
      </c>
      <c r="AZ174" s="29" t="inlineStr">
        <is>
          <t>sept-2026</t>
        </is>
      </c>
      <c r="BA174" t="inlineStr">
        <is>
          <t>BELGIUM; CANADA; CHILE; DENMARK; GERMANY; INDONESIA; NETHERLANDS; SPAIN; SWEDEN; UNITED KINGDOM; UNITED STATES</t>
        </is>
      </c>
      <c r="BB174" t="n">
        <v>2010</v>
      </c>
      <c r="BC174" t="n">
        <v>2025</v>
      </c>
      <c r="BD174" s="81">
        <f>0</f>
        <v/>
      </c>
      <c r="BE174" s="81">
        <f>IFERROR((IF(ISNUMBER(T174),MIN(T174/30,1),0)+IF(ISNUMBER(P174),MIN(P174/500,1),0))/2,0)</f>
        <v/>
      </c>
      <c r="BF174" s="81">
        <f>IFERROR(IF(OR(U174&lt;&gt;"",V174="SÍ"),IF(ISNUMBER(L174),(1*MIN(L174/10000,1))^0.5,0),IF(ISNUMBER(L174),(0*MIN(L174/10000,1))^0.5,0)),0)</f>
        <v/>
      </c>
    </row>
    <row r="175">
      <c r="A175" t="inlineStr">
        <is>
          <t>MIDAGRI; CENACOOP; CENCOOP 2017</t>
        </is>
      </c>
      <c r="B175" s="70" t="inlineStr">
        <is>
          <t>20600472373</t>
        </is>
      </c>
      <c r="C175" s="30" t="inlineStr">
        <is>
          <t>Cooperativa Agraria Cafetalera Shankivironi</t>
        </is>
      </c>
      <c r="D175" s="30" t="inlineStr"/>
      <c r="E175" s="30" t="inlineStr">
        <is>
          <t>VENTA AL POR MENOR DE ALIMENTOS, BEBIDAS Y TABACO EN ALMACENES ESPECIALIZADOS</t>
        </is>
      </c>
      <c r="F175" s="30" t="inlineStr">
        <is>
          <t>Junín</t>
        </is>
      </c>
      <c r="G175" s="30" t="inlineStr">
        <is>
          <t>Chanchamayo</t>
        </is>
      </c>
      <c r="H175" s="30" t="inlineStr">
        <is>
          <t>—</t>
        </is>
      </c>
      <c r="I175" s="30" t="inlineStr">
        <is>
          <t>—</t>
        </is>
      </c>
      <c r="J175" s="30" t="n"/>
      <c r="K175" s="30" t="inlineStr">
        <is>
          <t>NO</t>
        </is>
      </c>
      <c r="L175" s="30" t="n"/>
      <c r="M175" s="30" t="n"/>
      <c r="N175" s="30" t="n"/>
      <c r="O175" s="30" t="n"/>
      <c r="P175" s="30" t="inlineStr"/>
      <c r="Q175" s="30" t="inlineStr"/>
      <c r="R175" s="14" t="inlineStr">
        <is>
          <t>2575.0</t>
        </is>
      </c>
      <c r="S175" s="30" t="inlineStr"/>
      <c r="T175" s="30" t="inlineStr"/>
      <c r="U175" s="14" t="inlineStr"/>
      <c r="V175" s="14" t="inlineStr">
        <is>
          <t>NO</t>
        </is>
      </c>
      <c r="W175" s="14" t="inlineStr">
        <is>
          <t>—</t>
        </is>
      </c>
      <c r="X175" s="14" t="inlineStr">
        <is>
          <t>—</t>
        </is>
      </c>
      <c r="Y175" s="14" t="inlineStr"/>
      <c r="Z175" s="30" t="inlineStr">
        <is>
          <t>—</t>
        </is>
      </c>
      <c r="AA175" s="30" t="b">
        <v>0</v>
      </c>
      <c r="AB175" s="30" t="b">
        <v>1</v>
      </c>
      <c r="AC175" s="30" t="b">
        <v>1</v>
      </c>
      <c r="AD175" s="19" t="inlineStr">
        <is>
          <t>SI</t>
        </is>
      </c>
      <c r="AE175" s="30" t="inlineStr">
        <is>
          <t>COOPERATIVA AGRARIA CAFETALERA SHANKIVIRONI</t>
        </is>
      </c>
      <c r="AF175" s="30" t="inlineStr">
        <is>
          <t>JUNIN</t>
        </is>
      </c>
      <c r="AG175" s="30" t="inlineStr">
        <is>
          <t>CHANCHAMAYO</t>
        </is>
      </c>
      <c r="AH175" s="30" t="inlineStr">
        <is>
          <t>PICHANAQUI</t>
        </is>
      </c>
      <c r="AI175" s="30" t="inlineStr">
        <is>
          <t>PICHANAQUI</t>
        </is>
      </c>
      <c r="AJ175" s="30" t="inlineStr">
        <is>
          <t>CULTIVO DE CEREALES (EXCEPTO ARROZ), LEGUMBRES Y SEMILLAS OLEAGINOSAS</t>
        </is>
      </c>
      <c r="AK175" s="30" t="inlineStr">
        <is>
          <t>1.0</t>
        </is>
      </c>
      <c r="AL175" s="30" t="inlineStr">
        <is>
          <t>1.0</t>
        </is>
      </c>
      <c r="AM175" s="30" t="inlineStr">
        <is>
          <t>1.0</t>
        </is>
      </c>
      <c r="AN175" s="30" t="n">
        <v>2</v>
      </c>
      <c r="AO175" s="30" t="inlineStr">
        <is>
          <t>AIRE AYLAS JHON CHRISTIAN</t>
        </is>
      </c>
      <c r="AP175" s="30" t="inlineStr">
        <is>
          <t>INFORMATICA, ADMINISTRACION</t>
        </is>
      </c>
      <c r="AQ175" s="30" t="inlineStr">
        <is>
          <t>8.0</t>
        </is>
      </c>
      <c r="AR175" s="30" t="inlineStr">
        <is>
          <t>NO TIENE</t>
        </is>
      </c>
      <c r="AS175" s="30" t="inlineStr">
        <is>
          <t>CAC.SHANKIVIRONI@GMAIL.COM</t>
        </is>
      </c>
      <c r="AT175" s="30" t="inlineStr">
        <is>
          <t>961518059</t>
        </is>
      </c>
      <c r="AU175" s="30" t="inlineStr">
        <is>
          <t>-10.926903333333334</t>
        </is>
      </c>
      <c r="AV175" s="30" t="inlineStr">
        <is>
          <t>-74.87501333333333</t>
        </is>
      </c>
      <c r="AW175" s="30" t="inlineStr">
        <is>
          <t>2015.0</t>
        </is>
      </c>
      <c r="AX175" s="30" t="inlineStr">
        <is>
          <t>2015.0</t>
        </is>
      </c>
      <c r="AY175" s="30" t="inlineStr">
        <is>
          <t>2</t>
        </is>
      </c>
      <c r="AZ175" s="30" t="inlineStr">
        <is>
          <t>sept-2026</t>
        </is>
      </c>
      <c r="BD175" s="81">
        <f>0</f>
        <v/>
      </c>
      <c r="BE175" s="81">
        <f>IFERROR((IF(ISNUMBER(T175),MIN(T175/30,1),0)+IF(ISNUMBER(P175),MIN(P175/500,1),0))/2,0)</f>
        <v/>
      </c>
      <c r="BF175" s="81">
        <f>IFERROR(IF(OR(U175&lt;&gt;"",V175="SÍ"),IF(ISNUMBER(L175),(1*MIN(L175/10000,1))^0.5,0),IF(ISNUMBER(L175),(0*MIN(L175/10000,1))^0.5,0)),0)</f>
        <v/>
      </c>
    </row>
    <row r="176">
      <c r="A176" t="inlineStr">
        <is>
          <t>MIDAGRI; CENACOOP; CENCOOP 2017</t>
        </is>
      </c>
      <c r="B176" s="70" t="inlineStr">
        <is>
          <t>20486267934</t>
        </is>
      </c>
      <c r="C176" s="29" t="inlineStr">
        <is>
          <t>Cooperativa Agraria Cafetalera Sostenible Valle Ubiriki</t>
        </is>
      </c>
      <c r="D176" s="29" t="inlineStr"/>
      <c r="E176" s="29" t="inlineStr">
        <is>
          <t>VENTA AL POR MENOR DE ALIMENTOS, BEBIDAS Y TABACO EN ALMACENES ESPECIALIZADOS</t>
        </is>
      </c>
      <c r="F176" s="29" t="inlineStr">
        <is>
          <t>Junín</t>
        </is>
      </c>
      <c r="G176" s="29" t="inlineStr">
        <is>
          <t>Chanchamayo</t>
        </is>
      </c>
      <c r="H176" s="29" t="inlineStr">
        <is>
          <t>—</t>
        </is>
      </c>
      <c r="I176" s="29" t="inlineStr">
        <is>
          <t>—</t>
        </is>
      </c>
      <c r="J176" s="17" t="inlineStr">
        <is>
          <t>SI</t>
        </is>
      </c>
      <c r="K176" s="29" t="inlineStr">
        <is>
          <t>SÍ</t>
        </is>
      </c>
      <c r="L176" s="29" t="n">
        <v>9766195.109999999</v>
      </c>
      <c r="M176" s="29" t="n">
        <v>92946077.59999999</v>
      </c>
      <c r="N176" s="29" t="n">
        <v>341</v>
      </c>
      <c r="O176" s="29" t="n">
        <v>16</v>
      </c>
      <c r="P176" s="29" t="inlineStr"/>
      <c r="Q176" s="29" t="inlineStr"/>
      <c r="R176" s="18" t="inlineStr">
        <is>
          <t>2575.0</t>
        </is>
      </c>
      <c r="S176" s="29" t="inlineStr"/>
      <c r="T176" s="29" t="inlineStr"/>
      <c r="U176" s="18" t="inlineStr"/>
      <c r="V176" s="18" t="inlineStr">
        <is>
          <t>NO</t>
        </is>
      </c>
      <c r="W176" s="18" t="inlineStr">
        <is>
          <t>—</t>
        </is>
      </c>
      <c r="X176" s="18" t="inlineStr">
        <is>
          <t>—</t>
        </is>
      </c>
      <c r="Y176" s="18" t="inlineStr"/>
      <c r="Z176" s="29" t="inlineStr">
        <is>
          <t>—</t>
        </is>
      </c>
      <c r="AA176" s="29" t="b">
        <v>0</v>
      </c>
      <c r="AB176" s="29" t="b">
        <v>1</v>
      </c>
      <c r="AC176" s="29" t="b">
        <v>1</v>
      </c>
      <c r="AD176" s="19" t="inlineStr">
        <is>
          <t>SI</t>
        </is>
      </c>
      <c r="AE176" s="29" t="inlineStr">
        <is>
          <t>COOPERATIVA AGRARIA CAFETALERA SOSTENIBLE VALLE UBIRIKI</t>
        </is>
      </c>
      <c r="AF176" s="29" t="inlineStr">
        <is>
          <t>JUNIN</t>
        </is>
      </c>
      <c r="AG176" s="29" t="inlineStr">
        <is>
          <t>CHANCHAMAYO</t>
        </is>
      </c>
      <c r="AH176" s="29" t="inlineStr">
        <is>
          <t>PICHANAQUI</t>
        </is>
      </c>
      <c r="AI176" s="29" t="inlineStr">
        <is>
          <t>PICHANAQUI</t>
        </is>
      </c>
      <c r="AJ176" s="29" t="inlineStr">
        <is>
          <t>CULTIVO DE OTRAS PLANTAS NO PERENNES</t>
        </is>
      </c>
      <c r="AK176" s="29" t="inlineStr">
        <is>
          <t>1.0</t>
        </is>
      </c>
      <c r="AL176" s="29" t="inlineStr">
        <is>
          <t>1.0</t>
        </is>
      </c>
      <c r="AM176" s="29" t="inlineStr">
        <is>
          <t>3.0</t>
        </is>
      </c>
      <c r="AN176" s="29" t="n">
        <v>12</v>
      </c>
      <c r="AO176" s="29" t="inlineStr">
        <is>
          <t>APARCO PARIONA MIGUEL</t>
        </is>
      </c>
      <c r="AP176" s="29" t="inlineStr">
        <is>
          <t>INGENIERO AGRONOMO</t>
        </is>
      </c>
      <c r="AQ176" s="29" t="inlineStr">
        <is>
          <t>11.0</t>
        </is>
      </c>
      <c r="AR176" s="29" t="inlineStr">
        <is>
          <t>WWW.UBIRIKI.COM.PE</t>
        </is>
      </c>
      <c r="AS176" s="29" t="inlineStr">
        <is>
          <t>COOPERATIVA@UBIRIKI.COM.PE</t>
        </is>
      </c>
      <c r="AT176" s="29" t="inlineStr">
        <is>
          <t>969495033</t>
        </is>
      </c>
      <c r="AU176" s="29" t="inlineStr">
        <is>
          <t>-10.942293333333335</t>
        </is>
      </c>
      <c r="AV176" s="29" t="inlineStr">
        <is>
          <t>-74.85835333333333</t>
        </is>
      </c>
      <c r="AW176" s="29" t="inlineStr">
        <is>
          <t>2004.0</t>
        </is>
      </c>
      <c r="AX176" s="29" t="inlineStr">
        <is>
          <t>2005.0</t>
        </is>
      </c>
      <c r="AY176" s="29" t="inlineStr">
        <is>
          <t>2</t>
        </is>
      </c>
      <c r="AZ176" s="29" t="inlineStr">
        <is>
          <t>sept-2026</t>
        </is>
      </c>
      <c r="BA176" t="inlineStr">
        <is>
          <t>AUSTRALIA; BELGIUM; CANADA; COSTA RICA; DENMARK; FRANCE; GERMANY; ITALY; MEXICO; NETHERLANDS; NORWAY; PORTUGAL; SPAIN; SWEDEN; UNITED KINGDOM; UNITED STATES</t>
        </is>
      </c>
      <c r="BB176" t="n">
        <v>2010</v>
      </c>
      <c r="BC176" t="n">
        <v>2025</v>
      </c>
      <c r="BD176" s="81">
        <f>0</f>
        <v/>
      </c>
      <c r="BE176" s="81">
        <f>IFERROR((IF(ISNUMBER(T176),MIN(T176/30,1),0)+IF(ISNUMBER(P176),MIN(P176/500,1),0))/2,0)</f>
        <v/>
      </c>
      <c r="BF176" s="81">
        <f>IFERROR(IF(OR(U176&lt;&gt;"",V176="SÍ"),IF(ISNUMBER(L176),(1*MIN(L176/10000,1))^0.5,0),IF(ISNUMBER(L176),(0*MIN(L176/10000,1))^0.5,0)),0)</f>
        <v/>
      </c>
    </row>
    <row r="177">
      <c r="A177" t="inlineStr">
        <is>
          <t>MIDAGRI</t>
        </is>
      </c>
      <c r="B177" s="70" t="inlineStr">
        <is>
          <t>20602730671</t>
        </is>
      </c>
      <c r="C177" s="30" t="inlineStr">
        <is>
          <t>Cooperativa Agraria Cafetalera Yurinaki Bayoz</t>
        </is>
      </c>
      <c r="D177" s="30" t="inlineStr"/>
      <c r="E177" s="30" t="inlineStr">
        <is>
          <t>VENTA AL POR MENOR DE ALIMENTOS, BEBIDAS Y TABACO EN ALMACENES ESPECIALIZADOS</t>
        </is>
      </c>
      <c r="F177" s="30" t="inlineStr">
        <is>
          <t>Junín</t>
        </is>
      </c>
      <c r="G177" s="30" t="inlineStr">
        <is>
          <t>Chanchamayo</t>
        </is>
      </c>
      <c r="H177" s="30" t="inlineStr">
        <is>
          <t>—</t>
        </is>
      </c>
      <c r="I177" s="30" t="inlineStr">
        <is>
          <t>—</t>
        </is>
      </c>
      <c r="J177" s="30" t="inlineStr">
        <is>
          <t>SI</t>
        </is>
      </c>
      <c r="K177" s="30" t="inlineStr">
        <is>
          <t>NO</t>
        </is>
      </c>
      <c r="L177" s="30" t="n">
        <v>0</v>
      </c>
      <c r="M177" s="30" t="n">
        <v>133674.52</v>
      </c>
      <c r="N177" s="30" t="n">
        <v>1</v>
      </c>
      <c r="O177" s="30" t="n">
        <v>1</v>
      </c>
      <c r="P177" s="30" t="inlineStr"/>
      <c r="Q177" s="30" t="inlineStr"/>
      <c r="R177" s="14" t="inlineStr">
        <is>
          <t>2575.0</t>
        </is>
      </c>
      <c r="S177" s="30" t="inlineStr"/>
      <c r="T177" s="30" t="inlineStr"/>
      <c r="U177" s="14" t="inlineStr"/>
      <c r="V177" s="14" t="inlineStr">
        <is>
          <t>NO</t>
        </is>
      </c>
      <c r="W177" s="14" t="inlineStr">
        <is>
          <t>—</t>
        </is>
      </c>
      <c r="X177" s="14" t="inlineStr">
        <is>
          <t>—</t>
        </is>
      </c>
      <c r="Y177" s="14" t="inlineStr"/>
      <c r="Z177" s="30" t="inlineStr">
        <is>
          <t>—</t>
        </is>
      </c>
      <c r="AA177" s="30" t="b">
        <v>0</v>
      </c>
      <c r="AB177" s="30" t="b">
        <v>1</v>
      </c>
      <c r="AC177" s="30" t="b">
        <v>0</v>
      </c>
      <c r="AD177" s="30" t="inlineStr">
        <is>
          <t>NO</t>
        </is>
      </c>
      <c r="AE177" s="30" t="inlineStr"/>
      <c r="AF177" s="30" t="inlineStr"/>
      <c r="AG177" s="30" t="inlineStr"/>
      <c r="AH177" s="30" t="inlineStr"/>
      <c r="AI177" s="30" t="inlineStr"/>
      <c r="AJ177" s="30" t="inlineStr"/>
      <c r="AK177" s="30" t="inlineStr"/>
      <c r="AL177" s="30" t="inlineStr"/>
      <c r="AM177" s="30" t="inlineStr"/>
      <c r="AN177" s="30" t="n"/>
      <c r="AO177" s="30" t="inlineStr"/>
      <c r="AP177" s="30" t="inlineStr"/>
      <c r="AQ177" s="30" t="inlineStr"/>
      <c r="AR177" s="30" t="inlineStr"/>
      <c r="AS177" s="30" t="inlineStr"/>
      <c r="AT177" s="30" t="inlineStr"/>
      <c r="AU177" s="30" t="inlineStr"/>
      <c r="AV177" s="30" t="inlineStr"/>
      <c r="AW177" s="30" t="inlineStr"/>
      <c r="AX177" s="30" t="inlineStr"/>
      <c r="AY177" s="30" t="inlineStr">
        <is>
          <t>1</t>
        </is>
      </c>
      <c r="AZ177" s="30" t="inlineStr">
        <is>
          <t>sept-2026</t>
        </is>
      </c>
      <c r="BA177" t="inlineStr">
        <is>
          <t>GERMANY</t>
        </is>
      </c>
      <c r="BB177" t="n">
        <v>2023</v>
      </c>
      <c r="BC177" t="n">
        <v>2023</v>
      </c>
      <c r="BD177" s="81">
        <f>0</f>
        <v/>
      </c>
      <c r="BE177" s="81">
        <f>IFERROR((IF(ISNUMBER(T177),MIN(T177/30,1),0)+IF(ISNUMBER(P177),MIN(P177/500,1),0))/2,0)</f>
        <v/>
      </c>
      <c r="BF177" s="81">
        <f>IFERROR(IF(OR(U177&lt;&gt;"",V177="SÍ"),IF(ISNUMBER(L177),(1*MIN(L177/10000,1))^0.5,0),IF(ISNUMBER(L177),(0*MIN(L177/10000,1))^0.5,0)),0)</f>
        <v/>
      </c>
    </row>
    <row r="178">
      <c r="A178" t="inlineStr">
        <is>
          <t>MIDAGRI; CENACOOP; CENCOOP 2017</t>
        </is>
      </c>
      <c r="B178" s="70" t="inlineStr">
        <is>
          <t>20601156858</t>
        </is>
      </c>
      <c r="C178" s="29" t="inlineStr">
        <is>
          <t>Cooperativa Agraria Coyentimari Ltda.</t>
        </is>
      </c>
      <c r="D178" s="29" t="inlineStr"/>
      <c r="E178" s="29" t="inlineStr">
        <is>
          <t>VENTA AL POR MENOR DE ALIMENTOS, BEBIDAS Y TABACO EN ALMACENES ESPECIALIZADOS</t>
        </is>
      </c>
      <c r="F178" s="29" t="inlineStr">
        <is>
          <t>Junín</t>
        </is>
      </c>
      <c r="G178" s="29" t="inlineStr">
        <is>
          <t>Satipo</t>
        </is>
      </c>
      <c r="H178" s="29" t="inlineStr">
        <is>
          <t>—</t>
        </is>
      </c>
      <c r="I178" s="29" t="inlineStr">
        <is>
          <t>—</t>
        </is>
      </c>
      <c r="J178" s="29" t="inlineStr">
        <is>
          <t>SI</t>
        </is>
      </c>
      <c r="K178" s="29" t="inlineStr">
        <is>
          <t>NO</t>
        </is>
      </c>
      <c r="L178" s="29" t="n">
        <v>0</v>
      </c>
      <c r="M178" s="29" t="n">
        <v>5839825.27</v>
      </c>
      <c r="N178" s="29" t="n">
        <v>26</v>
      </c>
      <c r="O178" s="29" t="n">
        <v>8</v>
      </c>
      <c r="P178" s="29" t="inlineStr"/>
      <c r="Q178" s="29" t="inlineStr"/>
      <c r="R178" s="18" t="inlineStr">
        <is>
          <t>2575.0</t>
        </is>
      </c>
      <c r="S178" s="29" t="inlineStr"/>
      <c r="T178" s="29" t="inlineStr"/>
      <c r="U178" s="18" t="inlineStr"/>
      <c r="V178" s="18" t="inlineStr">
        <is>
          <t>NO</t>
        </is>
      </c>
      <c r="W178" s="18" t="inlineStr">
        <is>
          <t>—</t>
        </is>
      </c>
      <c r="X178" s="18" t="inlineStr">
        <is>
          <t>—</t>
        </is>
      </c>
      <c r="Y178" s="18" t="inlineStr"/>
      <c r="Z178" s="29" t="inlineStr">
        <is>
          <t>—</t>
        </is>
      </c>
      <c r="AA178" s="29" t="b">
        <v>0</v>
      </c>
      <c r="AB178" s="29" t="b">
        <v>1</v>
      </c>
      <c r="AC178" s="29" t="b">
        <v>1</v>
      </c>
      <c r="AD178" s="19" t="inlineStr">
        <is>
          <t>SI</t>
        </is>
      </c>
      <c r="AE178" s="29" t="inlineStr">
        <is>
          <t>COOPERATIVA AGRARIA COYENTIMARI LTDA.</t>
        </is>
      </c>
      <c r="AF178" s="29" t="inlineStr">
        <is>
          <t>JUNIN</t>
        </is>
      </c>
      <c r="AG178" s="29" t="inlineStr">
        <is>
          <t>SATIPO</t>
        </is>
      </c>
      <c r="AH178" s="29" t="inlineStr">
        <is>
          <t>PANGOA</t>
        </is>
      </c>
      <c r="AI178" s="29" t="inlineStr">
        <is>
          <t>PANGOA</t>
        </is>
      </c>
      <c r="AJ178" s="29" t="inlineStr">
        <is>
          <t>VENTA AL POR MAYOR DE ALIMENTOS, BEBIDAS Y TABACO.</t>
        </is>
      </c>
      <c r="AK178" s="29" t="inlineStr">
        <is>
          <t>1.0</t>
        </is>
      </c>
      <c r="AL178" s="29" t="inlineStr">
        <is>
          <t>1.0</t>
        </is>
      </c>
      <c r="AM178" s="29" t="inlineStr">
        <is>
          <t>1.0</t>
        </is>
      </c>
      <c r="AN178" s="29" t="n">
        <v>2</v>
      </c>
      <c r="AO178" s="29" t="inlineStr">
        <is>
          <t>USCAMAYTA PAUCARCAJA LUIS</t>
        </is>
      </c>
      <c r="AP178" s="29" t="inlineStr">
        <is>
          <t>INGENIERO AGRONOMO</t>
        </is>
      </c>
      <c r="AQ178" s="29" t="inlineStr">
        <is>
          <t>10.0</t>
        </is>
      </c>
      <c r="AR178" s="29" t="inlineStr">
        <is>
          <t>NO TIENE</t>
        </is>
      </c>
      <c r="AS178" s="29" t="inlineStr">
        <is>
          <t>NO TIENE</t>
        </is>
      </c>
      <c r="AT178" s="29" t="inlineStr">
        <is>
          <t>995518877</t>
        </is>
      </c>
      <c r="AU178" s="29" t="inlineStr">
        <is>
          <t>-11.431801666666669</t>
        </is>
      </c>
      <c r="AV178" s="29" t="inlineStr">
        <is>
          <t>-74.48708</t>
        </is>
      </c>
      <c r="AW178" s="29" t="inlineStr">
        <is>
          <t>2015.0</t>
        </is>
      </c>
      <c r="AX178" s="29" t="inlineStr">
        <is>
          <t>2015.0</t>
        </is>
      </c>
      <c r="AY178" s="29" t="inlineStr">
        <is>
          <t>2</t>
        </is>
      </c>
      <c r="AZ178" s="29" t="inlineStr">
        <is>
          <t>sept-2026</t>
        </is>
      </c>
      <c r="BA178" t="inlineStr">
        <is>
          <t>BELGIUM; CANADA; GERMANY; ITALY; NETHERLANDS; RUSSIAN FEDERATION; UKRAINE; UNITED STATES</t>
        </is>
      </c>
      <c r="BB178" t="n">
        <v>2019</v>
      </c>
      <c r="BC178" t="n">
        <v>2025</v>
      </c>
      <c r="BD178" s="81">
        <f>0</f>
        <v/>
      </c>
      <c r="BE178" s="81">
        <f>IFERROR((IF(ISNUMBER(T178),MIN(T178/30,1),0)+IF(ISNUMBER(P178),MIN(P178/500,1),0))/2,0)</f>
        <v/>
      </c>
      <c r="BF178" s="81">
        <f>IFERROR(IF(OR(U178&lt;&gt;"",V178="SÍ"),IF(ISNUMBER(L178),(1*MIN(L178/10000,1))^0.5,0),IF(ISNUMBER(L178),(0*MIN(L178/10000,1))^0.5,0)),0)</f>
        <v/>
      </c>
    </row>
    <row r="179">
      <c r="A179" t="inlineStr">
        <is>
          <t>MIDAGRI; CENACOOP; CENCOOP 2017; SISPAC</t>
        </is>
      </c>
      <c r="B179" s="70" t="inlineStr">
        <is>
          <t>20487242994</t>
        </is>
      </c>
      <c r="C179" s="30" t="inlineStr">
        <is>
          <t>Cooperativa Agraria Ecologica Cacaotera Valle Rio Ene</t>
        </is>
      </c>
      <c r="D179" s="30" t="inlineStr"/>
      <c r="E179" s="30" t="inlineStr">
        <is>
          <t>VENTA AL POR MENOR DE ALIMENTOS, BEBIDAS Y TABACO EN ALMACENES ESPECIALIZADOS</t>
        </is>
      </c>
      <c r="F179" s="30" t="inlineStr">
        <is>
          <t>Junín</t>
        </is>
      </c>
      <c r="G179" s="30" t="inlineStr">
        <is>
          <t>Satipo</t>
        </is>
      </c>
      <c r="H179" s="30" t="inlineStr">
        <is>
          <t>—</t>
        </is>
      </c>
      <c r="I179" s="30" t="inlineStr">
        <is>
          <t>—</t>
        </is>
      </c>
      <c r="J179" s="17" t="inlineStr">
        <is>
          <t>SI</t>
        </is>
      </c>
      <c r="K179" s="30" t="inlineStr">
        <is>
          <t>SÍ</t>
        </is>
      </c>
      <c r="L179" s="30" t="n">
        <v>818490.16</v>
      </c>
      <c r="M179" s="30" t="n">
        <v>4035101.87</v>
      </c>
      <c r="N179" s="30" t="n">
        <v>32</v>
      </c>
      <c r="O179" s="30" t="n">
        <v>3</v>
      </c>
      <c r="P179" s="30" t="inlineStr"/>
      <c r="Q179" s="30" t="inlineStr"/>
      <c r="R179" s="14" t="inlineStr">
        <is>
          <t>2575.0</t>
        </is>
      </c>
      <c r="S179" s="30" t="inlineStr"/>
      <c r="T179" s="30" t="inlineStr"/>
      <c r="U179" s="14" t="inlineStr"/>
      <c r="V179" s="14" t="inlineStr">
        <is>
          <t>NO</t>
        </is>
      </c>
      <c r="W179" s="14" t="inlineStr">
        <is>
          <t>—</t>
        </is>
      </c>
      <c r="X179" s="14" t="inlineStr">
        <is>
          <t>—</t>
        </is>
      </c>
      <c r="Y179" s="14" t="inlineStr"/>
      <c r="Z179" s="30" t="inlineStr">
        <is>
          <t>—</t>
        </is>
      </c>
      <c r="AA179" s="30" t="b">
        <v>0</v>
      </c>
      <c r="AB179" s="30" t="b">
        <v>1</v>
      </c>
      <c r="AC179" s="30" t="b">
        <v>1</v>
      </c>
      <c r="AD179" s="19" t="inlineStr">
        <is>
          <t>SI</t>
        </is>
      </c>
      <c r="AE179" s="30" t="inlineStr">
        <is>
          <t>COOPERATIVA AGRARIA ECOLOGICA CACAOTERA VALLE RIO ENE - COOPAVRE</t>
        </is>
      </c>
      <c r="AF179" s="30" t="inlineStr">
        <is>
          <t>JUNIN</t>
        </is>
      </c>
      <c r="AG179" s="30" t="inlineStr">
        <is>
          <t>SATIPO</t>
        </is>
      </c>
      <c r="AH179" s="30" t="inlineStr">
        <is>
          <t>SATIPO</t>
        </is>
      </c>
      <c r="AI179" s="30" t="inlineStr">
        <is>
          <t>SATIPO</t>
        </is>
      </c>
      <c r="AJ179" s="30" t="inlineStr">
        <is>
          <t>CULTIVO DE PLANTAS CON LAS QUE SE PREPARAN BEBIDAS</t>
        </is>
      </c>
      <c r="AK179" s="30" t="inlineStr">
        <is>
          <t>1.0</t>
        </is>
      </c>
      <c r="AL179" s="30" t="inlineStr">
        <is>
          <t>1.0</t>
        </is>
      </c>
      <c r="AM179" s="30" t="inlineStr">
        <is>
          <t>2.0</t>
        </is>
      </c>
      <c r="AN179" s="30" t="n">
        <v>7</v>
      </c>
      <c r="AO179" s="30" t="inlineStr">
        <is>
          <t>AGUILAR CHUCHON FLORIANO MANUEL</t>
        </is>
      </c>
      <c r="AP179" s="30" t="inlineStr">
        <is>
          <t>INGENIERO QUIMICO INDUSTRIAL</t>
        </is>
      </c>
      <c r="AQ179" s="30" t="inlineStr">
        <is>
          <t>10.0</t>
        </is>
      </c>
      <c r="AR179" s="30" t="inlineStr">
        <is>
          <t>NO TIENE</t>
        </is>
      </c>
      <c r="AS179" s="30" t="inlineStr">
        <is>
          <t>COOPAVRE2010@GMAIL.COM</t>
        </is>
      </c>
      <c r="AT179" s="30" t="inlineStr">
        <is>
          <t>988698301</t>
        </is>
      </c>
      <c r="AU179" s="30" t="inlineStr">
        <is>
          <t>-11.256721666666666</t>
        </is>
      </c>
      <c r="AV179" s="30" t="inlineStr">
        <is>
          <t>-74.64314166666666</t>
        </is>
      </c>
      <c r="AW179" s="30" t="inlineStr">
        <is>
          <t>2009.0</t>
        </is>
      </c>
      <c r="AX179" s="30" t="inlineStr">
        <is>
          <t>2010.0</t>
        </is>
      </c>
      <c r="AY179" s="30" t="inlineStr">
        <is>
          <t>2</t>
        </is>
      </c>
      <c r="AZ179" s="30" t="inlineStr">
        <is>
          <t>sept-2026</t>
        </is>
      </c>
      <c r="BA179" t="inlineStr">
        <is>
          <t>BELGIUM; ITALY; NETHERLANDS</t>
        </is>
      </c>
      <c r="BB179" t="n">
        <v>2015</v>
      </c>
      <c r="BC179" t="n">
        <v>2025</v>
      </c>
      <c r="BD179" s="81">
        <f>0</f>
        <v/>
      </c>
      <c r="BE179" s="81">
        <f>IFERROR((IF(ISNUMBER(T179),MIN(T179/30,1),0)+IF(ISNUMBER(P179),MIN(P179/500,1),0))/2,0)</f>
        <v/>
      </c>
      <c r="BF179" s="81">
        <f>IFERROR(IF(OR(U179&lt;&gt;"",V179="SÍ"),IF(ISNUMBER(L179),(1*MIN(L179/10000,1))^0.5,0),IF(ISNUMBER(L179),(0*MIN(L179/10000,1))^0.5,0)),0)</f>
        <v/>
      </c>
    </row>
    <row r="180">
      <c r="A180" t="inlineStr">
        <is>
          <t>MIDAGRI</t>
        </is>
      </c>
      <c r="B180" s="70" t="inlineStr">
        <is>
          <t>20611271744</t>
        </is>
      </c>
      <c r="C180" s="29" t="inlineStr">
        <is>
          <t>Cooperativa Agraria Industrial Cafés Perú</t>
        </is>
      </c>
      <c r="D180" s="29" t="inlineStr"/>
      <c r="E180" s="29" t="inlineStr">
        <is>
          <t>VENTA AL POR MENOR DE ALIMENTOS, BEBIDAS Y TABACO EN ALMACENES ESPECIALIZADOS</t>
        </is>
      </c>
      <c r="F180" s="29" t="inlineStr">
        <is>
          <t>Junín</t>
        </is>
      </c>
      <c r="G180" s="29" t="inlineStr">
        <is>
          <t>Chanchamayo</t>
        </is>
      </c>
      <c r="H180" s="29" t="inlineStr">
        <is>
          <t>—</t>
        </is>
      </c>
      <c r="I180" s="29" t="inlineStr">
        <is>
          <t>—</t>
        </is>
      </c>
      <c r="J180" s="29" t="n"/>
      <c r="K180" s="29" t="inlineStr">
        <is>
          <t>NO</t>
        </is>
      </c>
      <c r="L180" s="29" t="n"/>
      <c r="M180" s="29" t="n"/>
      <c r="N180" s="29" t="n"/>
      <c r="O180" s="29" t="n"/>
      <c r="P180" s="29" t="inlineStr"/>
      <c r="Q180" s="29" t="inlineStr"/>
      <c r="R180" s="18" t="inlineStr">
        <is>
          <t>2575.0</t>
        </is>
      </c>
      <c r="S180" s="29" t="inlineStr"/>
      <c r="T180" s="29" t="inlineStr"/>
      <c r="U180" s="18" t="inlineStr"/>
      <c r="V180" s="18" t="inlineStr">
        <is>
          <t>NO</t>
        </is>
      </c>
      <c r="W180" s="18" t="inlineStr">
        <is>
          <t>—</t>
        </is>
      </c>
      <c r="X180" s="18" t="inlineStr">
        <is>
          <t>—</t>
        </is>
      </c>
      <c r="Y180" s="18" t="inlineStr"/>
      <c r="Z180" s="29" t="inlineStr">
        <is>
          <t>—</t>
        </is>
      </c>
      <c r="AA180" s="29" t="b">
        <v>0</v>
      </c>
      <c r="AB180" s="29" t="b">
        <v>1</v>
      </c>
      <c r="AC180" s="29" t="b">
        <v>0</v>
      </c>
      <c r="AD180" s="29" t="inlineStr">
        <is>
          <t>NO</t>
        </is>
      </c>
      <c r="AE180" s="29" t="inlineStr"/>
      <c r="AF180" s="29" t="inlineStr"/>
      <c r="AG180" s="29" t="inlineStr"/>
      <c r="AH180" s="29" t="inlineStr"/>
      <c r="AI180" s="29" t="inlineStr"/>
      <c r="AJ180" s="29" t="inlineStr"/>
      <c r="AK180" s="29" t="inlineStr"/>
      <c r="AL180" s="29" t="inlineStr"/>
      <c r="AM180" s="29" t="inlineStr"/>
      <c r="AN180" s="29" t="n"/>
      <c r="AO180" s="29" t="inlineStr"/>
      <c r="AP180" s="29" t="inlineStr"/>
      <c r="AQ180" s="29" t="inlineStr"/>
      <c r="AR180" s="29" t="inlineStr"/>
      <c r="AS180" s="29" t="inlineStr"/>
      <c r="AT180" s="29" t="inlineStr"/>
      <c r="AU180" s="29" t="inlineStr"/>
      <c r="AV180" s="29" t="inlineStr"/>
      <c r="AW180" s="29" t="inlineStr"/>
      <c r="AX180" s="29" t="inlineStr"/>
      <c r="AY180" s="29" t="inlineStr">
        <is>
          <t>1</t>
        </is>
      </c>
      <c r="AZ180" s="29" t="inlineStr">
        <is>
          <t>sept-2026</t>
        </is>
      </c>
      <c r="BD180" s="81">
        <f>0</f>
        <v/>
      </c>
      <c r="BE180" s="81">
        <f>IFERROR((IF(ISNUMBER(T180),MIN(T180/30,1),0)+IF(ISNUMBER(P180),MIN(P180/500,1),0))/2,0)</f>
        <v/>
      </c>
      <c r="BF180" s="81">
        <f>IFERROR(IF(OR(U180&lt;&gt;"",V180="SÍ"),IF(ISNUMBER(L180),(1*MIN(L180/10000,1))^0.5,0),IF(ISNUMBER(L180),(0*MIN(L180/10000,1))^0.5,0)),0)</f>
        <v/>
      </c>
    </row>
    <row r="181">
      <c r="A181" t="inlineStr">
        <is>
          <t>MIDAGRI</t>
        </is>
      </c>
      <c r="B181" s="70" t="inlineStr">
        <is>
          <t>20611235896</t>
        </is>
      </c>
      <c r="C181" s="30" t="inlineStr">
        <is>
          <t>Cooperativa Agraria Industrial Tami</t>
        </is>
      </c>
      <c r="D181" s="30" t="inlineStr"/>
      <c r="E181" s="30" t="inlineStr">
        <is>
          <t>VENTA AL POR MENOR DE ALIMENTOS, BEBIDAS Y TABACO EN ALMACENES ESPECIALIZADOS</t>
        </is>
      </c>
      <c r="F181" s="30" t="inlineStr">
        <is>
          <t>Junín</t>
        </is>
      </c>
      <c r="G181" s="30" t="inlineStr">
        <is>
          <t>Chanchamayo</t>
        </is>
      </c>
      <c r="H181" s="30" t="inlineStr">
        <is>
          <t>—</t>
        </is>
      </c>
      <c r="I181" s="30" t="inlineStr">
        <is>
          <t>—</t>
        </is>
      </c>
      <c r="J181" s="30" t="n"/>
      <c r="K181" s="30" t="inlineStr">
        <is>
          <t>NO</t>
        </is>
      </c>
      <c r="L181" s="30" t="n"/>
      <c r="M181" s="30" t="n"/>
      <c r="N181" s="30" t="n"/>
      <c r="O181" s="30" t="n"/>
      <c r="P181" s="30" t="inlineStr"/>
      <c r="Q181" s="30" t="inlineStr"/>
      <c r="R181" s="14" t="inlineStr">
        <is>
          <t>2575.0</t>
        </is>
      </c>
      <c r="S181" s="30" t="inlineStr"/>
      <c r="T181" s="30" t="inlineStr"/>
      <c r="U181" s="14" t="inlineStr"/>
      <c r="V181" s="14" t="inlineStr">
        <is>
          <t>NO</t>
        </is>
      </c>
      <c r="W181" s="14" t="inlineStr">
        <is>
          <t>—</t>
        </is>
      </c>
      <c r="X181" s="14" t="inlineStr">
        <is>
          <t>—</t>
        </is>
      </c>
      <c r="Y181" s="14" t="inlineStr"/>
      <c r="Z181" s="30" t="inlineStr">
        <is>
          <t>—</t>
        </is>
      </c>
      <c r="AA181" s="30" t="b">
        <v>0</v>
      </c>
      <c r="AB181" s="30" t="b">
        <v>1</v>
      </c>
      <c r="AC181" s="30" t="b">
        <v>0</v>
      </c>
      <c r="AD181" s="30" t="inlineStr">
        <is>
          <t>NO</t>
        </is>
      </c>
      <c r="AE181" s="30" t="inlineStr"/>
      <c r="AF181" s="30" t="inlineStr"/>
      <c r="AG181" s="30" t="inlineStr"/>
      <c r="AH181" s="30" t="inlineStr"/>
      <c r="AI181" s="30" t="inlineStr"/>
      <c r="AJ181" s="30" t="inlineStr"/>
      <c r="AK181" s="30" t="inlineStr"/>
      <c r="AL181" s="30" t="inlineStr"/>
      <c r="AM181" s="30" t="inlineStr"/>
      <c r="AN181" s="30" t="n"/>
      <c r="AO181" s="30" t="inlineStr"/>
      <c r="AP181" s="30" t="inlineStr"/>
      <c r="AQ181" s="30" t="inlineStr"/>
      <c r="AR181" s="30" t="inlineStr"/>
      <c r="AS181" s="30" t="inlineStr"/>
      <c r="AT181" s="30" t="inlineStr"/>
      <c r="AU181" s="30" t="inlineStr"/>
      <c r="AV181" s="30" t="inlineStr"/>
      <c r="AW181" s="30" t="inlineStr"/>
      <c r="AX181" s="30" t="inlineStr"/>
      <c r="AY181" s="30" t="inlineStr">
        <is>
          <t>1</t>
        </is>
      </c>
      <c r="AZ181" s="30" t="inlineStr">
        <is>
          <t>sept-2026</t>
        </is>
      </c>
      <c r="BD181" s="81">
        <f>0</f>
        <v/>
      </c>
      <c r="BE181" s="81">
        <f>IFERROR((IF(ISNUMBER(T181),MIN(T181/30,1),0)+IF(ISNUMBER(P181),MIN(P181/500,1),0))/2,0)</f>
        <v/>
      </c>
      <c r="BF181" s="81">
        <f>IFERROR(IF(OR(U181&lt;&gt;"",V181="SÍ"),IF(ISNUMBER(L181),(1*MIN(L181/10000,1))^0.5,0),IF(ISNUMBER(L181),(0*MIN(L181/10000,1))^0.5,0)),0)</f>
        <v/>
      </c>
    </row>
    <row r="182">
      <c r="A182" t="inlineStr">
        <is>
          <t>MIDAGRI; CENCOOP 2017; SISPAC</t>
        </is>
      </c>
      <c r="B182" s="70" t="inlineStr">
        <is>
          <t>20601919657</t>
        </is>
      </c>
      <c r="C182" s="29" t="inlineStr">
        <is>
          <t>Cooperativa Agraria Innovación Café y Cacao del Vraem</t>
        </is>
      </c>
      <c r="D182" s="29" t="inlineStr"/>
      <c r="E182" s="29" t="inlineStr">
        <is>
          <t>VENTA AL POR MENOR DE ALIMENTOS, BEBIDAS Y TABACO EN ALMACENES ESPECIALIZADOS</t>
        </is>
      </c>
      <c r="F182" s="29" t="inlineStr">
        <is>
          <t>Junín</t>
        </is>
      </c>
      <c r="G182" s="29" t="inlineStr">
        <is>
          <t>Satipo</t>
        </is>
      </c>
      <c r="H182" s="29" t="inlineStr">
        <is>
          <t>—</t>
        </is>
      </c>
      <c r="I182" s="29" t="inlineStr">
        <is>
          <t>—</t>
        </is>
      </c>
      <c r="J182" s="29" t="inlineStr">
        <is>
          <t>SI</t>
        </is>
      </c>
      <c r="K182" s="29" t="inlineStr">
        <is>
          <t>NO</t>
        </is>
      </c>
      <c r="L182" s="29" t="n">
        <v>0</v>
      </c>
      <c r="M182" s="29" t="n">
        <v>122502.52</v>
      </c>
      <c r="N182" s="29" t="n">
        <v>2</v>
      </c>
      <c r="O182" s="29" t="n">
        <v>2</v>
      </c>
      <c r="P182" s="29" t="inlineStr"/>
      <c r="Q182" s="29" t="inlineStr"/>
      <c r="R182" s="18" t="inlineStr">
        <is>
          <t>429166.66</t>
        </is>
      </c>
      <c r="S182" s="29" t="inlineStr"/>
      <c r="T182" s="29" t="inlineStr"/>
      <c r="U182" s="18" t="inlineStr"/>
      <c r="V182" s="18" t="inlineStr">
        <is>
          <t>NO</t>
        </is>
      </c>
      <c r="W182" s="18" t="inlineStr">
        <is>
          <t>—</t>
        </is>
      </c>
      <c r="X182" s="18" t="inlineStr">
        <is>
          <t>—</t>
        </is>
      </c>
      <c r="Y182" s="18" t="inlineStr"/>
      <c r="Z182" s="29" t="inlineStr">
        <is>
          <t>—</t>
        </is>
      </c>
      <c r="AA182" s="29" t="b">
        <v>0</v>
      </c>
      <c r="AB182" s="29" t="b">
        <v>1</v>
      </c>
      <c r="AC182" s="29" t="b">
        <v>0</v>
      </c>
      <c r="AD182" s="19" t="inlineStr">
        <is>
          <t>SI</t>
        </is>
      </c>
      <c r="AE182" s="29" t="inlineStr">
        <is>
          <t>COOPERATIVA AGRARIA INNOVACION CACAO Y CAFE DEL VRAEM</t>
        </is>
      </c>
      <c r="AF182" s="29" t="inlineStr">
        <is>
          <t>JUNIN</t>
        </is>
      </c>
      <c r="AG182" s="29" t="inlineStr">
        <is>
          <t>SATIPO</t>
        </is>
      </c>
      <c r="AH182" s="29" t="inlineStr">
        <is>
          <t>PANGOA</t>
        </is>
      </c>
      <c r="AI182" s="29" t="inlineStr">
        <is>
          <t>SAN MARTIN DE PANGOS</t>
        </is>
      </c>
      <c r="AJ182" s="29" t="inlineStr">
        <is>
          <t>CULTIVO DE FRUTAS TROPICALES Y SUBTROPICALES</t>
        </is>
      </c>
      <c r="AK182" s="29" t="inlineStr">
        <is>
          <t>1.0</t>
        </is>
      </c>
      <c r="AL182" s="29" t="inlineStr">
        <is>
          <t>2.0</t>
        </is>
      </c>
      <c r="AM182" s="29" t="inlineStr"/>
      <c r="AN182" s="29" t="n">
        <v>0</v>
      </c>
      <c r="AO182" s="29" t="inlineStr"/>
      <c r="AP182" s="29" t="inlineStr"/>
      <c r="AQ182" s="29" t="inlineStr"/>
      <c r="AR182" s="29" t="inlineStr">
        <is>
          <t>NO TIENE</t>
        </is>
      </c>
      <c r="AS182" s="29" t="inlineStr">
        <is>
          <t>COOP.INCCAFEDELVRAEM@OUTLOOK.COM</t>
        </is>
      </c>
      <c r="AT182" s="29" t="inlineStr">
        <is>
          <t>942992181</t>
        </is>
      </c>
      <c r="AU182" s="29" t="inlineStr">
        <is>
          <t>-11.43045</t>
        </is>
      </c>
      <c r="AV182" s="29" t="inlineStr">
        <is>
          <t>-74.48847</t>
        </is>
      </c>
      <c r="AW182" s="29" t="inlineStr">
        <is>
          <t>2017.0</t>
        </is>
      </c>
      <c r="AX182" s="29" t="inlineStr">
        <is>
          <t>2017.0</t>
        </is>
      </c>
      <c r="AY182" s="29" t="inlineStr">
        <is>
          <t>1</t>
        </is>
      </c>
      <c r="AZ182" s="29" t="inlineStr">
        <is>
          <t>sept-2026</t>
        </is>
      </c>
      <c r="BA182" t="inlineStr">
        <is>
          <t>FRANCE; INDONESIA</t>
        </is>
      </c>
      <c r="BB182" t="n">
        <v>2020</v>
      </c>
      <c r="BC182" t="n">
        <v>2020</v>
      </c>
      <c r="BD182" s="81">
        <f>0</f>
        <v/>
      </c>
      <c r="BE182" s="81">
        <f>IFERROR((IF(ISNUMBER(T182),MIN(T182/30,1),0)+IF(ISNUMBER(P182),MIN(P182/500,1),0))/2,0)</f>
        <v/>
      </c>
      <c r="BF182" s="81">
        <f>IFERROR(IF(OR(U182&lt;&gt;"",V182="SÍ"),IF(ISNUMBER(L182),(1*MIN(L182/10000,1))^0.5,0),IF(ISNUMBER(L182),(0*MIN(L182/10000,1))^0.5,0)),0)</f>
        <v/>
      </c>
    </row>
    <row r="183">
      <c r="A183" t="inlineStr">
        <is>
          <t>MIDAGRI; SISPAC</t>
        </is>
      </c>
      <c r="B183" s="70" t="inlineStr">
        <is>
          <t>20611340002</t>
        </is>
      </c>
      <c r="C183" s="30" t="inlineStr">
        <is>
          <t>Cooperativa Agraria Intercultural Cafe Pui Pui Ltda</t>
        </is>
      </c>
      <c r="D183" s="30" t="inlineStr"/>
      <c r="E183" s="30" t="inlineStr">
        <is>
          <t>VENTA AL POR MENOR DE ALIMENTOS, BEBIDAS Y TABACO EN ALMACENES ESPECIALIZADOS</t>
        </is>
      </c>
      <c r="F183" s="30" t="inlineStr">
        <is>
          <t>Junín</t>
        </is>
      </c>
      <c r="G183" s="30" t="inlineStr">
        <is>
          <t>Satipo</t>
        </is>
      </c>
      <c r="H183" s="30" t="inlineStr">
        <is>
          <t>—</t>
        </is>
      </c>
      <c r="I183" s="30" t="inlineStr">
        <is>
          <t>—</t>
        </is>
      </c>
      <c r="J183" s="30" t="n"/>
      <c r="K183" s="30" t="inlineStr">
        <is>
          <t>NO</t>
        </is>
      </c>
      <c r="L183" s="30" t="n"/>
      <c r="M183" s="30" t="n"/>
      <c r="N183" s="30" t="n"/>
      <c r="O183" s="30" t="n"/>
      <c r="P183" s="30" t="inlineStr"/>
      <c r="Q183" s="30" t="inlineStr"/>
      <c r="R183" s="14" t="inlineStr">
        <is>
          <t>2575.0</t>
        </is>
      </c>
      <c r="S183" s="30" t="inlineStr"/>
      <c r="T183" s="30" t="inlineStr"/>
      <c r="U183" s="14" t="inlineStr"/>
      <c r="V183" s="14" t="inlineStr">
        <is>
          <t>NO</t>
        </is>
      </c>
      <c r="W183" s="14" t="inlineStr">
        <is>
          <t>—</t>
        </is>
      </c>
      <c r="X183" s="14" t="inlineStr">
        <is>
          <t>—</t>
        </is>
      </c>
      <c r="Y183" s="14" t="inlineStr"/>
      <c r="Z183" s="30" t="inlineStr">
        <is>
          <t>—</t>
        </is>
      </c>
      <c r="AA183" s="30" t="b">
        <v>0</v>
      </c>
      <c r="AB183" s="30" t="b">
        <v>1</v>
      </c>
      <c r="AC183" s="30" t="b">
        <v>0</v>
      </c>
      <c r="AD183" s="30" t="inlineStr">
        <is>
          <t>NO</t>
        </is>
      </c>
      <c r="AE183" s="30" t="inlineStr"/>
      <c r="AF183" s="30" t="inlineStr"/>
      <c r="AG183" s="30" t="inlineStr"/>
      <c r="AH183" s="30" t="inlineStr"/>
      <c r="AI183" s="30" t="inlineStr"/>
      <c r="AJ183" s="30" t="inlineStr"/>
      <c r="AK183" s="30" t="inlineStr"/>
      <c r="AL183" s="30" t="inlineStr"/>
      <c r="AM183" s="30" t="inlineStr"/>
      <c r="AN183" s="30" t="n"/>
      <c r="AO183" s="30" t="inlineStr"/>
      <c r="AP183" s="30" t="inlineStr"/>
      <c r="AQ183" s="30" t="inlineStr"/>
      <c r="AR183" s="30" t="inlineStr"/>
      <c r="AS183" s="30" t="inlineStr"/>
      <c r="AT183" s="30" t="inlineStr"/>
      <c r="AU183" s="30" t="inlineStr"/>
      <c r="AV183" s="30" t="inlineStr"/>
      <c r="AW183" s="30" t="inlineStr"/>
      <c r="AX183" s="30" t="inlineStr"/>
      <c r="AY183" s="30" t="inlineStr">
        <is>
          <t>1</t>
        </is>
      </c>
      <c r="AZ183" s="30" t="inlineStr">
        <is>
          <t>sept-2026</t>
        </is>
      </c>
      <c r="BD183" s="81">
        <f>0</f>
        <v/>
      </c>
      <c r="BE183" s="81">
        <f>IFERROR((IF(ISNUMBER(T183),MIN(T183/30,1),0)+IF(ISNUMBER(P183),MIN(P183/500,1),0))/2,0)</f>
        <v/>
      </c>
      <c r="BF183" s="81">
        <f>IFERROR(IF(OR(U183&lt;&gt;"",V183="SÍ"),IF(ISNUMBER(L183),(1*MIN(L183/10000,1))^0.5,0),IF(ISNUMBER(L183),(0*MIN(L183/10000,1))^0.5,0)),0)</f>
        <v/>
      </c>
    </row>
    <row r="184">
      <c r="A184" t="inlineStr">
        <is>
          <t>MIDAGRI; CENACOOP; CENCOOP 2017</t>
        </is>
      </c>
      <c r="B184" s="70" t="inlineStr">
        <is>
          <t>20600329848</t>
        </is>
      </c>
      <c r="C184" s="29" t="inlineStr">
        <is>
          <t>Cooperativa Agraria Intercultural Café y Cacao de Río Tambo - Vraem</t>
        </is>
      </c>
      <c r="D184" s="29" t="inlineStr"/>
      <c r="E184" s="29" t="inlineStr">
        <is>
          <t>VENTA AL POR MENOR DE ALIMENTOS, BEBIDAS Y TABACO EN ALMACENES ESPECIALIZADOS</t>
        </is>
      </c>
      <c r="F184" s="29" t="inlineStr">
        <is>
          <t>Junín</t>
        </is>
      </c>
      <c r="G184" s="29" t="inlineStr">
        <is>
          <t>Satipo</t>
        </is>
      </c>
      <c r="H184" s="29" t="inlineStr">
        <is>
          <t>—</t>
        </is>
      </c>
      <c r="I184" s="29" t="inlineStr">
        <is>
          <t>—</t>
        </is>
      </c>
      <c r="J184" s="17" t="inlineStr">
        <is>
          <t>SI</t>
        </is>
      </c>
      <c r="K184" s="29" t="inlineStr">
        <is>
          <t>SÍ</t>
        </is>
      </c>
      <c r="L184" s="29" t="n">
        <v>7185061.3</v>
      </c>
      <c r="M184" s="29" t="n">
        <v>21230140.96</v>
      </c>
      <c r="N184" s="29" t="n">
        <v>70</v>
      </c>
      <c r="O184" s="29" t="n">
        <v>6</v>
      </c>
      <c r="P184" s="29" t="inlineStr"/>
      <c r="Q184" s="29" t="inlineStr"/>
      <c r="R184" s="18" t="inlineStr">
        <is>
          <t>429166.66</t>
        </is>
      </c>
      <c r="S184" s="29" t="inlineStr"/>
      <c r="T184" s="29" t="inlineStr"/>
      <c r="U184" s="18" t="inlineStr"/>
      <c r="V184" s="18" t="inlineStr">
        <is>
          <t>NO</t>
        </is>
      </c>
      <c r="W184" s="18" t="inlineStr">
        <is>
          <t>—</t>
        </is>
      </c>
      <c r="X184" s="18" t="inlineStr">
        <is>
          <t>—</t>
        </is>
      </c>
      <c r="Y184" s="18" t="inlineStr"/>
      <c r="Z184" s="29" t="inlineStr">
        <is>
          <t>—</t>
        </is>
      </c>
      <c r="AA184" s="29" t="b">
        <v>0</v>
      </c>
      <c r="AB184" s="29" t="b">
        <v>1</v>
      </c>
      <c r="AC184" s="29" t="b">
        <v>1</v>
      </c>
      <c r="AD184" s="19" t="inlineStr">
        <is>
          <t>SI</t>
        </is>
      </c>
      <c r="AE184" s="29" t="inlineStr">
        <is>
          <t>COOPERATIVA AGRARIA INTERCULTURAL CAFE Y CACAO DE RIO TAMBO - VRAEM</t>
        </is>
      </c>
      <c r="AF184" s="29" t="inlineStr">
        <is>
          <t>JUNIN</t>
        </is>
      </c>
      <c r="AG184" s="29" t="inlineStr">
        <is>
          <t>SATIPO</t>
        </is>
      </c>
      <c r="AH184" s="29" t="inlineStr">
        <is>
          <t>RIO NEGRO</t>
        </is>
      </c>
      <c r="AI184" s="29" t="inlineStr">
        <is>
          <t>RIO NEGRO</t>
        </is>
      </c>
      <c r="AJ184" s="29" t="inlineStr">
        <is>
          <t>CULTIVO DE CEREALES (EXCEPTO ARROZ), LEGUMBRES Y SEMILLAS OLEAGINOSAS</t>
        </is>
      </c>
      <c r="AK184" s="29" t="inlineStr">
        <is>
          <t>1.0</t>
        </is>
      </c>
      <c r="AL184" s="29" t="inlineStr">
        <is>
          <t>1.0</t>
        </is>
      </c>
      <c r="AM184" s="29" t="inlineStr">
        <is>
          <t>1.0</t>
        </is>
      </c>
      <c r="AN184" s="29" t="n">
        <v>2</v>
      </c>
      <c r="AO184" s="29" t="inlineStr">
        <is>
          <t>RAVELO DAMIAN ROGER CIRO</t>
        </is>
      </c>
      <c r="AP184" s="29" t="inlineStr">
        <is>
          <t>INGENIERO AGRONOMO</t>
        </is>
      </c>
      <c r="AQ184" s="29" t="inlineStr">
        <is>
          <t>10.0</t>
        </is>
      </c>
      <c r="AR184" s="29" t="inlineStr">
        <is>
          <t>NO TIENE</t>
        </is>
      </c>
      <c r="AS184" s="29" t="inlineStr">
        <is>
          <t>CAICC.RIOTAMBO.VRAEM@GMAIL.COM</t>
        </is>
      </c>
      <c r="AT184" s="29" t="inlineStr">
        <is>
          <t>988164819</t>
        </is>
      </c>
      <c r="AU184" s="29" t="inlineStr">
        <is>
          <t>-11.205516666666664</t>
        </is>
      </c>
      <c r="AV184" s="29" t="inlineStr">
        <is>
          <t>-74.662755</t>
        </is>
      </c>
      <c r="AW184" s="29" t="inlineStr">
        <is>
          <t>2015.0</t>
        </is>
      </c>
      <c r="AX184" s="29" t="inlineStr">
        <is>
          <t>2015.0</t>
        </is>
      </c>
      <c r="AY184" s="29" t="inlineStr">
        <is>
          <t>2</t>
        </is>
      </c>
      <c r="AZ184" s="29" t="inlineStr">
        <is>
          <t>sept-2026</t>
        </is>
      </c>
      <c r="BA184" t="inlineStr">
        <is>
          <t>BELGIUM; GERMANY; ITALY; NETHERLANDS; SWITZERLAND; UNITED STATES</t>
        </is>
      </c>
      <c r="BB184" t="n">
        <v>2020</v>
      </c>
      <c r="BC184" t="n">
        <v>2025</v>
      </c>
      <c r="BD184" s="81">
        <f>0</f>
        <v/>
      </c>
      <c r="BE184" s="81">
        <f>IFERROR((IF(ISNUMBER(T184),MIN(T184/30,1),0)+IF(ISNUMBER(P184),MIN(P184/500,1),0))/2,0)</f>
        <v/>
      </c>
      <c r="BF184" s="81">
        <f>IFERROR(IF(OR(U184&lt;&gt;"",V184="SÍ"),IF(ISNUMBER(L184),(1*MIN(L184/10000,1))^0.5,0),IF(ISNUMBER(L184),(0*MIN(L184/10000,1))^0.5,0)),0)</f>
        <v/>
      </c>
    </row>
    <row r="185">
      <c r="A185" t="inlineStr">
        <is>
          <t>MIDAGRI</t>
        </is>
      </c>
      <c r="B185" s="70" t="inlineStr">
        <is>
          <t>20611402415</t>
        </is>
      </c>
      <c r="C185" s="30" t="inlineStr">
        <is>
          <t>Cooperativa Agraria Intercultural De Mujeres Emprendedoras Ltda</t>
        </is>
      </c>
      <c r="D185" s="30" t="inlineStr"/>
      <c r="E185" s="30" t="inlineStr">
        <is>
          <t>VENTA AL POR MENOR DE ALIMENTOS, BEBIDAS Y TABACO EN ALMACENES ESPECIALIZADOS</t>
        </is>
      </c>
      <c r="F185" s="30" t="inlineStr">
        <is>
          <t>Junín</t>
        </is>
      </c>
      <c r="G185" s="30" t="inlineStr">
        <is>
          <t>Satipo</t>
        </is>
      </c>
      <c r="H185" s="30" t="inlineStr">
        <is>
          <t>—</t>
        </is>
      </c>
      <c r="I185" s="30" t="inlineStr">
        <is>
          <t>—</t>
        </is>
      </c>
      <c r="J185" s="30" t="n"/>
      <c r="K185" s="30" t="inlineStr">
        <is>
          <t>NO</t>
        </is>
      </c>
      <c r="L185" s="30" t="n"/>
      <c r="M185" s="30" t="n"/>
      <c r="N185" s="30" t="n"/>
      <c r="O185" s="30" t="n"/>
      <c r="P185" s="30" t="inlineStr"/>
      <c r="Q185" s="30" t="inlineStr"/>
      <c r="R185" s="14" t="inlineStr">
        <is>
          <t>2575.0</t>
        </is>
      </c>
      <c r="S185" s="30" t="inlineStr"/>
      <c r="T185" s="30" t="inlineStr"/>
      <c r="U185" s="14" t="inlineStr"/>
      <c r="V185" s="14" t="inlineStr">
        <is>
          <t>NO</t>
        </is>
      </c>
      <c r="W185" s="14" t="inlineStr">
        <is>
          <t>—</t>
        </is>
      </c>
      <c r="X185" s="14" t="inlineStr">
        <is>
          <t>—</t>
        </is>
      </c>
      <c r="Y185" s="14" t="inlineStr"/>
      <c r="Z185" s="30" t="inlineStr">
        <is>
          <t>—</t>
        </is>
      </c>
      <c r="AA185" s="30" t="b">
        <v>0</v>
      </c>
      <c r="AB185" s="30" t="b">
        <v>1</v>
      </c>
      <c r="AC185" s="30" t="b">
        <v>0</v>
      </c>
      <c r="AD185" s="30" t="inlineStr">
        <is>
          <t>NO</t>
        </is>
      </c>
      <c r="AE185" s="30" t="inlineStr"/>
      <c r="AF185" s="30" t="inlineStr"/>
      <c r="AG185" s="30" t="inlineStr"/>
      <c r="AH185" s="30" t="inlineStr"/>
      <c r="AI185" s="30" t="inlineStr"/>
      <c r="AJ185" s="30" t="inlineStr"/>
      <c r="AK185" s="30" t="inlineStr"/>
      <c r="AL185" s="30" t="inlineStr"/>
      <c r="AM185" s="30" t="inlineStr"/>
      <c r="AN185" s="30" t="n"/>
      <c r="AO185" s="30" t="inlineStr"/>
      <c r="AP185" s="30" t="inlineStr"/>
      <c r="AQ185" s="30" t="inlineStr"/>
      <c r="AR185" s="30" t="inlineStr"/>
      <c r="AS185" s="30" t="inlineStr"/>
      <c r="AT185" s="30" t="inlineStr"/>
      <c r="AU185" s="30" t="inlineStr"/>
      <c r="AV185" s="30" t="inlineStr"/>
      <c r="AW185" s="30" t="inlineStr"/>
      <c r="AX185" s="30" t="inlineStr"/>
      <c r="AY185" s="30" t="inlineStr">
        <is>
          <t>1</t>
        </is>
      </c>
      <c r="AZ185" s="30" t="inlineStr">
        <is>
          <t>sept-2026</t>
        </is>
      </c>
      <c r="BD185" s="81">
        <f>0</f>
        <v/>
      </c>
      <c r="BE185" s="81">
        <f>IFERROR((IF(ISNUMBER(T185),MIN(T185/30,1),0)+IF(ISNUMBER(P185),MIN(P185/500,1),0))/2,0)</f>
        <v/>
      </c>
      <c r="BF185" s="81">
        <f>IFERROR(IF(OR(U185&lt;&gt;"",V185="SÍ"),IF(ISNUMBER(L185),(1*MIN(L185/10000,1))^0.5,0),IF(ISNUMBER(L185),(0*MIN(L185/10000,1))^0.5,0)),0)</f>
        <v/>
      </c>
    </row>
    <row r="186">
      <c r="A186" t="inlineStr">
        <is>
          <t>MIDAGRI</t>
        </is>
      </c>
      <c r="B186" s="70" t="inlineStr">
        <is>
          <t>20609951886</t>
        </is>
      </c>
      <c r="C186" s="29" t="inlineStr">
        <is>
          <t>Cooperativa Agraria Intercultural Satipo Ltda</t>
        </is>
      </c>
      <c r="D186" s="29" t="inlineStr"/>
      <c r="E186" s="29" t="inlineStr">
        <is>
          <t>VENTA AL POR MENOR DE ALIMENTOS, BEBIDAS Y TABACO EN ALMACENES ESPECIALIZADOS</t>
        </is>
      </c>
      <c r="F186" s="29" t="inlineStr">
        <is>
          <t>Junín</t>
        </is>
      </c>
      <c r="G186" s="29" t="inlineStr">
        <is>
          <t>Satipo</t>
        </is>
      </c>
      <c r="H186" s="29" t="inlineStr">
        <is>
          <t>Satipo, Junín</t>
        </is>
      </c>
      <c r="I186" s="29" t="inlineStr">
        <is>
          <t>Café / Cacao</t>
        </is>
      </c>
      <c r="J186" s="29" t="n"/>
      <c r="K186" s="29" t="inlineStr">
        <is>
          <t>NO</t>
        </is>
      </c>
      <c r="L186" s="29" t="n"/>
      <c r="M186" s="29" t="n"/>
      <c r="N186" s="29" t="n"/>
      <c r="O186" s="29" t="n"/>
      <c r="P186" s="29" t="inlineStr"/>
      <c r="Q186" s="29" t="inlineStr"/>
      <c r="R186" s="18" t="inlineStr">
        <is>
          <t>2575.0</t>
        </is>
      </c>
      <c r="S186" s="29" t="inlineStr"/>
      <c r="T186" s="29" t="inlineStr"/>
      <c r="U186" s="18" t="inlineStr"/>
      <c r="V186" s="15" t="inlineStr">
        <is>
          <t>SÍ</t>
        </is>
      </c>
      <c r="W186" s="18" t="inlineStr">
        <is>
          <t>—</t>
        </is>
      </c>
      <c r="X186" s="18" t="inlineStr">
        <is>
          <t>Fundada en 1993 — hay dos registros SUNAT similares, confirmar cuál es la vigente</t>
        </is>
      </c>
      <c r="Y186" s="18" t="inlineStr"/>
      <c r="Z186" s="29" t="inlineStr">
        <is>
          <t>No disponible — requiere consulta directa (SUNAT/RUC.PE) o solicitud a la organización</t>
        </is>
      </c>
      <c r="AA186" s="29" t="b">
        <v>0</v>
      </c>
      <c r="AB186" s="29" t="b">
        <v>1</v>
      </c>
      <c r="AC186" s="29" t="b">
        <v>0</v>
      </c>
      <c r="AD186" s="29" t="inlineStr">
        <is>
          <t>NO</t>
        </is>
      </c>
      <c r="AE186" s="29" t="inlineStr"/>
      <c r="AF186" s="29" t="inlineStr"/>
      <c r="AG186" s="29" t="inlineStr"/>
      <c r="AH186" s="29" t="inlineStr"/>
      <c r="AI186" s="29" t="inlineStr"/>
      <c r="AJ186" s="29" t="inlineStr"/>
      <c r="AK186" s="29" t="inlineStr"/>
      <c r="AL186" s="29" t="inlineStr"/>
      <c r="AM186" s="29" t="inlineStr"/>
      <c r="AN186" s="29" t="n"/>
      <c r="AO186" s="29" t="inlineStr"/>
      <c r="AP186" s="29" t="inlineStr"/>
      <c r="AQ186" s="29" t="inlineStr"/>
      <c r="AR186" s="29" t="inlineStr"/>
      <c r="AS186" s="29" t="inlineStr"/>
      <c r="AT186" s="29" t="inlineStr"/>
      <c r="AU186" s="29" t="inlineStr"/>
      <c r="AV186" s="29" t="inlineStr"/>
      <c r="AW186" s="29" t="inlineStr"/>
      <c r="AX186" s="29" t="inlineStr"/>
      <c r="AY186" s="29" t="inlineStr">
        <is>
          <t>1</t>
        </is>
      </c>
      <c r="AZ186" s="29" t="inlineStr">
        <is>
          <t>sept-2026</t>
        </is>
      </c>
      <c r="BD186" s="81">
        <f>0</f>
        <v/>
      </c>
      <c r="BE186" s="81">
        <f>IFERROR((IF(ISNUMBER(T186),MIN(T186/30,1),0)+IF(ISNUMBER(P186),MIN(P186/500,1),0))/2,0)</f>
        <v/>
      </c>
      <c r="BF186" s="81">
        <f>IFERROR(IF(OR(U186&lt;&gt;"",V186="SÍ"),IF(ISNUMBER(L186),(1*MIN(L186/10000,1))^0.5,0),IF(ISNUMBER(L186),(0*MIN(L186/10000,1))^0.5,0)),0)</f>
        <v/>
      </c>
    </row>
    <row r="187">
      <c r="A187" t="inlineStr">
        <is>
          <t>MIDAGRI</t>
        </is>
      </c>
      <c r="B187" s="70" t="inlineStr">
        <is>
          <t>20612610658</t>
        </is>
      </c>
      <c r="C187" s="30" t="inlineStr">
        <is>
          <t>Cooperativa Agraria Pakitza</t>
        </is>
      </c>
      <c r="D187" s="30" t="inlineStr"/>
      <c r="E187" s="30" t="inlineStr">
        <is>
          <t>VENTA AL POR MENOR DE ALIMENTOS, BEBIDAS Y TABACO EN ALMACENES ESPECIALIZADOS</t>
        </is>
      </c>
      <c r="F187" s="30" t="inlineStr">
        <is>
          <t>Junín</t>
        </is>
      </c>
      <c r="G187" s="30" t="inlineStr">
        <is>
          <t>Satipo</t>
        </is>
      </c>
      <c r="H187" s="30" t="inlineStr">
        <is>
          <t>—</t>
        </is>
      </c>
      <c r="I187" s="30" t="inlineStr">
        <is>
          <t>—</t>
        </is>
      </c>
      <c r="J187" s="30" t="n"/>
      <c r="K187" s="30" t="inlineStr">
        <is>
          <t>NO</t>
        </is>
      </c>
      <c r="L187" s="30" t="n"/>
      <c r="M187" s="30" t="n"/>
      <c r="N187" s="30" t="n"/>
      <c r="O187" s="30" t="n"/>
      <c r="P187" s="30" t="inlineStr"/>
      <c r="Q187" s="30" t="inlineStr"/>
      <c r="R187" s="14" t="inlineStr">
        <is>
          <t>7725.0</t>
        </is>
      </c>
      <c r="S187" s="30" t="inlineStr"/>
      <c r="T187" s="30" t="inlineStr"/>
      <c r="U187" s="14" t="inlineStr"/>
      <c r="V187" s="14" t="inlineStr">
        <is>
          <t>NO</t>
        </is>
      </c>
      <c r="W187" s="14" t="inlineStr">
        <is>
          <t>—</t>
        </is>
      </c>
      <c r="X187" s="14" t="inlineStr">
        <is>
          <t>—</t>
        </is>
      </c>
      <c r="Y187" s="14" t="inlineStr"/>
      <c r="Z187" s="30" t="inlineStr">
        <is>
          <t>—</t>
        </is>
      </c>
      <c r="AA187" s="30" t="b">
        <v>0</v>
      </c>
      <c r="AB187" s="30" t="b">
        <v>1</v>
      </c>
      <c r="AC187" s="30" t="b">
        <v>0</v>
      </c>
      <c r="AD187" s="30" t="inlineStr">
        <is>
          <t>NO</t>
        </is>
      </c>
      <c r="AE187" s="30" t="inlineStr"/>
      <c r="AF187" s="30" t="inlineStr"/>
      <c r="AG187" s="30" t="inlineStr"/>
      <c r="AH187" s="30" t="inlineStr"/>
      <c r="AI187" s="30" t="inlineStr"/>
      <c r="AJ187" s="30" t="inlineStr"/>
      <c r="AK187" s="30" t="inlineStr"/>
      <c r="AL187" s="30" t="inlineStr"/>
      <c r="AM187" s="30" t="inlineStr"/>
      <c r="AN187" s="30" t="n"/>
      <c r="AO187" s="30" t="inlineStr"/>
      <c r="AP187" s="30" t="inlineStr"/>
      <c r="AQ187" s="30" t="inlineStr"/>
      <c r="AR187" s="30" t="inlineStr"/>
      <c r="AS187" s="30" t="inlineStr"/>
      <c r="AT187" s="30" t="inlineStr"/>
      <c r="AU187" s="30" t="inlineStr"/>
      <c r="AV187" s="30" t="inlineStr"/>
      <c r="AW187" s="30" t="inlineStr"/>
      <c r="AX187" s="30" t="inlineStr"/>
      <c r="AY187" s="30" t="inlineStr">
        <is>
          <t>1</t>
        </is>
      </c>
      <c r="AZ187" s="30" t="inlineStr">
        <is>
          <t>sept-2026</t>
        </is>
      </c>
      <c r="BD187" s="81">
        <f>0</f>
        <v/>
      </c>
      <c r="BE187" s="81">
        <f>IFERROR((IF(ISNUMBER(T187),MIN(T187/30,1),0)+IF(ISNUMBER(P187),MIN(P187/500,1),0))/2,0)</f>
        <v/>
      </c>
      <c r="BF187" s="81">
        <f>IFERROR(IF(OR(U187&lt;&gt;"",V187="SÍ"),IF(ISNUMBER(L187),(1*MIN(L187/10000,1))^0.5,0),IF(ISNUMBER(L187),(0*MIN(L187/10000,1))^0.5,0)),0)</f>
        <v/>
      </c>
    </row>
    <row r="188">
      <c r="A188" t="inlineStr">
        <is>
          <t>MIDAGRI; CENACOOP; CENCOOP 2017; SISPAC</t>
        </is>
      </c>
      <c r="B188" s="70" t="inlineStr">
        <is>
          <t>20486255090</t>
        </is>
      </c>
      <c r="C188" s="29" t="inlineStr">
        <is>
          <t>Cooperativa Agraria Sangareni</t>
        </is>
      </c>
      <c r="D188" s="29" t="inlineStr"/>
      <c r="E188" s="29" t="inlineStr">
        <is>
          <t>VENTA AL POR MENOR DE ALIMENTOS, BEBIDAS Y TABACO EN ALMACENES ESPECIALIZADOS</t>
        </is>
      </c>
      <c r="F188" s="29" t="inlineStr">
        <is>
          <t>Junín</t>
        </is>
      </c>
      <c r="G188" s="29" t="inlineStr">
        <is>
          <t>Satipo</t>
        </is>
      </c>
      <c r="H188" s="29" t="inlineStr">
        <is>
          <t>—</t>
        </is>
      </c>
      <c r="I188" s="29" t="inlineStr">
        <is>
          <t>—</t>
        </is>
      </c>
      <c r="J188" s="17" t="inlineStr">
        <is>
          <t>SI</t>
        </is>
      </c>
      <c r="K188" s="29" t="inlineStr">
        <is>
          <t>SÍ</t>
        </is>
      </c>
      <c r="L188" s="29" t="n">
        <v>5217095.74</v>
      </c>
      <c r="M188" s="29" t="n">
        <v>46621007.03</v>
      </c>
      <c r="N188" s="29" t="n">
        <v>175</v>
      </c>
      <c r="O188" s="29" t="n">
        <v>13</v>
      </c>
      <c r="P188" s="29" t="inlineStr"/>
      <c r="Q188" s="29" t="inlineStr"/>
      <c r="R188" s="18" t="inlineStr">
        <is>
          <t>2575.0</t>
        </is>
      </c>
      <c r="S188" s="29" t="inlineStr"/>
      <c r="T188" s="29" t="inlineStr"/>
      <c r="U188" s="18" t="inlineStr"/>
      <c r="V188" s="18" t="inlineStr">
        <is>
          <t>NO</t>
        </is>
      </c>
      <c r="W188" s="18" t="inlineStr">
        <is>
          <t>—</t>
        </is>
      </c>
      <c r="X188" s="18" t="inlineStr">
        <is>
          <t>—</t>
        </is>
      </c>
      <c r="Y188" s="18" t="inlineStr"/>
      <c r="Z188" s="29" t="inlineStr">
        <is>
          <t>—</t>
        </is>
      </c>
      <c r="AA188" s="29" t="b">
        <v>0</v>
      </c>
      <c r="AB188" s="29" t="b">
        <v>1</v>
      </c>
      <c r="AC188" s="29" t="b">
        <v>1</v>
      </c>
      <c r="AD188" s="19" t="inlineStr">
        <is>
          <t>SI</t>
        </is>
      </c>
      <c r="AE188" s="29" t="inlineStr">
        <is>
          <t>COOPERATIVA AGRARIA SANGARENI</t>
        </is>
      </c>
      <c r="AF188" s="29" t="inlineStr">
        <is>
          <t>JUNIN</t>
        </is>
      </c>
      <c r="AG188" s="29" t="inlineStr">
        <is>
          <t>SATIPO</t>
        </is>
      </c>
      <c r="AH188" s="29" t="inlineStr">
        <is>
          <t>PANGOA</t>
        </is>
      </c>
      <c r="AI188" s="29" t="inlineStr">
        <is>
          <t>SAN MARTIN DE PANGOA</t>
        </is>
      </c>
      <c r="AJ188" s="29" t="inlineStr">
        <is>
          <t>ELABORACIÓN DE OTROS PRODUCTOS ALIMENTICIOS N.C.P.</t>
        </is>
      </c>
      <c r="AK188" s="29" t="inlineStr">
        <is>
          <t>1.0</t>
        </is>
      </c>
      <c r="AL188" s="29" t="inlineStr">
        <is>
          <t>1.0</t>
        </is>
      </c>
      <c r="AM188" s="29" t="inlineStr">
        <is>
          <t>3.0</t>
        </is>
      </c>
      <c r="AN188" s="29" t="n">
        <v>13</v>
      </c>
      <c r="AO188" s="29" t="inlineStr">
        <is>
          <t>GARCIA TORRES AGUSTIN</t>
        </is>
      </c>
      <c r="AP188" s="29" t="inlineStr">
        <is>
          <t>INGENIERO AGRONOMO</t>
        </is>
      </c>
      <c r="AQ188" s="29" t="inlineStr">
        <is>
          <t>10.0</t>
        </is>
      </c>
      <c r="AR188" s="29" t="inlineStr">
        <is>
          <t>NO TIENE</t>
        </is>
      </c>
      <c r="AS188" s="29" t="inlineStr">
        <is>
          <t>SANGARENICOOP@GMAIL.COM</t>
        </is>
      </c>
      <c r="AT188" s="29" t="inlineStr">
        <is>
          <t>985743002</t>
        </is>
      </c>
      <c r="AU188" s="29" t="inlineStr">
        <is>
          <t>-11.431659999999999</t>
        </is>
      </c>
      <c r="AV188" s="29" t="inlineStr">
        <is>
          <t>-74.48725333333333</t>
        </is>
      </c>
      <c r="AW188" s="29" t="inlineStr">
        <is>
          <t>2004.0</t>
        </is>
      </c>
      <c r="AX188" s="29" t="inlineStr">
        <is>
          <t>2004.0</t>
        </is>
      </c>
      <c r="AY188" s="29" t="inlineStr">
        <is>
          <t>2</t>
        </is>
      </c>
      <c r="AZ188" s="29" t="inlineStr">
        <is>
          <t>sept-2026</t>
        </is>
      </c>
      <c r="BA188" t="inlineStr">
        <is>
          <t>AUSTRALIA; BELGIUM; CANADA; COSTA RICA; FRANCE; GERMANY; ITALY; NETHERLANDS; PANAMA; SPAIN; SWEDEN; UNITED KINGDOM; UNITED STATES</t>
        </is>
      </c>
      <c r="BB188" t="n">
        <v>2011</v>
      </c>
      <c r="BC188" t="n">
        <v>2025</v>
      </c>
      <c r="BD188" s="81">
        <f>0</f>
        <v/>
      </c>
      <c r="BE188" s="81">
        <f>IFERROR((IF(ISNUMBER(T188),MIN(T188/30,1),0)+IF(ISNUMBER(P188),MIN(P188/500,1),0))/2,0)</f>
        <v/>
      </c>
      <c r="BF188" s="81">
        <f>IFERROR(IF(OR(U188&lt;&gt;"",V188="SÍ"),IF(ISNUMBER(L188),(1*MIN(L188/10000,1))^0.5,0),IF(ISNUMBER(L188),(0*MIN(L188/10000,1))^0.5,0)),0)</f>
        <v/>
      </c>
    </row>
    <row r="189">
      <c r="A189" t="inlineStr">
        <is>
          <t>MIDAGRI</t>
        </is>
      </c>
      <c r="B189" s="70" t="inlineStr">
        <is>
          <t>20611134836</t>
        </is>
      </c>
      <c r="C189" s="30" t="inlineStr">
        <is>
          <t>Cooperativa Agraria Tropical Sostenible El Agricultor</t>
        </is>
      </c>
      <c r="D189" s="30" t="inlineStr"/>
      <c r="E189" s="30" t="inlineStr">
        <is>
          <t>VENTA AL POR MENOR DE ALIMENTOS, BEBIDAS Y TABACO EN ALMACENES ESPECIALIZADOS</t>
        </is>
      </c>
      <c r="F189" s="30" t="inlineStr">
        <is>
          <t>Junín</t>
        </is>
      </c>
      <c r="G189" s="30" t="inlineStr">
        <is>
          <t>Chanchamayo</t>
        </is>
      </c>
      <c r="H189" s="30" t="inlineStr">
        <is>
          <t>—</t>
        </is>
      </c>
      <c r="I189" s="30" t="inlineStr">
        <is>
          <t>—</t>
        </is>
      </c>
      <c r="J189" s="30" t="n"/>
      <c r="K189" s="30" t="inlineStr">
        <is>
          <t>NO</t>
        </is>
      </c>
      <c r="L189" s="30" t="n"/>
      <c r="M189" s="30" t="n"/>
      <c r="N189" s="30" t="n"/>
      <c r="O189" s="30" t="n"/>
      <c r="P189" s="30" t="inlineStr"/>
      <c r="Q189" s="30" t="inlineStr"/>
      <c r="R189" s="14" t="inlineStr">
        <is>
          <t>2575.0</t>
        </is>
      </c>
      <c r="S189" s="30" t="inlineStr"/>
      <c r="T189" s="30" t="inlineStr"/>
      <c r="U189" s="14" t="inlineStr"/>
      <c r="V189" s="14" t="inlineStr">
        <is>
          <t>NO</t>
        </is>
      </c>
      <c r="W189" s="14" t="inlineStr">
        <is>
          <t>—</t>
        </is>
      </c>
      <c r="X189" s="14" t="inlineStr">
        <is>
          <t>—</t>
        </is>
      </c>
      <c r="Y189" s="14" t="inlineStr"/>
      <c r="Z189" s="30" t="inlineStr">
        <is>
          <t>—</t>
        </is>
      </c>
      <c r="AA189" s="30" t="b">
        <v>0</v>
      </c>
      <c r="AB189" s="30" t="b">
        <v>1</v>
      </c>
      <c r="AC189" s="30" t="b">
        <v>0</v>
      </c>
      <c r="AD189" s="30" t="inlineStr">
        <is>
          <t>NO</t>
        </is>
      </c>
      <c r="AE189" s="30" t="inlineStr"/>
      <c r="AF189" s="30" t="inlineStr"/>
      <c r="AG189" s="30" t="inlineStr"/>
      <c r="AH189" s="30" t="inlineStr"/>
      <c r="AI189" s="30" t="inlineStr"/>
      <c r="AJ189" s="30" t="inlineStr"/>
      <c r="AK189" s="30" t="inlineStr"/>
      <c r="AL189" s="30" t="inlineStr"/>
      <c r="AM189" s="30" t="inlineStr"/>
      <c r="AN189" s="30" t="n"/>
      <c r="AO189" s="30" t="inlineStr"/>
      <c r="AP189" s="30" t="inlineStr"/>
      <c r="AQ189" s="30" t="inlineStr"/>
      <c r="AR189" s="30" t="inlineStr"/>
      <c r="AS189" s="30" t="inlineStr"/>
      <c r="AT189" s="30" t="inlineStr"/>
      <c r="AU189" s="30" t="inlineStr"/>
      <c r="AV189" s="30" t="inlineStr"/>
      <c r="AW189" s="30" t="inlineStr"/>
      <c r="AX189" s="30" t="inlineStr"/>
      <c r="AY189" s="30" t="inlineStr">
        <is>
          <t>1</t>
        </is>
      </c>
      <c r="AZ189" s="30" t="inlineStr">
        <is>
          <t>sept-2026</t>
        </is>
      </c>
      <c r="BD189" s="81">
        <f>0</f>
        <v/>
      </c>
      <c r="BE189" s="81">
        <f>IFERROR((IF(ISNUMBER(T189),MIN(T189/30,1),0)+IF(ISNUMBER(P189),MIN(P189/500,1),0))/2,0)</f>
        <v/>
      </c>
      <c r="BF189" s="81">
        <f>IFERROR(IF(OR(U189&lt;&gt;"",V189="SÍ"),IF(ISNUMBER(L189),(1*MIN(L189/10000,1))^0.5,0),IF(ISNUMBER(L189),(0*MIN(L189/10000,1))^0.5,0)),0)</f>
        <v/>
      </c>
    </row>
    <row r="190">
      <c r="A190" t="inlineStr">
        <is>
          <t>MIDAGRI</t>
        </is>
      </c>
      <c r="B190" s="70" t="inlineStr">
        <is>
          <t>20605010882</t>
        </is>
      </c>
      <c r="C190" s="29" t="inlineStr">
        <is>
          <t>Cooperativa Agraria de Cafés Especiales de La Cuenca del Tulumayo</t>
        </is>
      </c>
      <c r="D190" s="29" t="inlineStr"/>
      <c r="E190" s="29" t="inlineStr">
        <is>
          <t>VENTA AL POR MENOR DE ALIMENTOS, BEBIDAS Y TABACO EN ALMACENES ESPECIALIZADOS</t>
        </is>
      </c>
      <c r="F190" s="29" t="inlineStr">
        <is>
          <t>Junín</t>
        </is>
      </c>
      <c r="G190" s="29" t="inlineStr">
        <is>
          <t>Chanchamayo</t>
        </is>
      </c>
      <c r="H190" s="29" t="inlineStr">
        <is>
          <t>—</t>
        </is>
      </c>
      <c r="I190" s="29" t="inlineStr">
        <is>
          <t>—</t>
        </is>
      </c>
      <c r="J190" s="29" t="n"/>
      <c r="K190" s="29" t="inlineStr">
        <is>
          <t>NO</t>
        </is>
      </c>
      <c r="L190" s="29" t="n"/>
      <c r="M190" s="29" t="n"/>
      <c r="N190" s="29" t="n"/>
      <c r="O190" s="29" t="n"/>
      <c r="P190" s="29" t="inlineStr"/>
      <c r="Q190" s="29" t="inlineStr"/>
      <c r="R190" s="18" t="inlineStr">
        <is>
          <t>2575.0</t>
        </is>
      </c>
      <c r="S190" s="29" t="inlineStr"/>
      <c r="T190" s="29" t="inlineStr"/>
      <c r="U190" s="18" t="inlineStr"/>
      <c r="V190" s="18" t="inlineStr">
        <is>
          <t>NO</t>
        </is>
      </c>
      <c r="W190" s="18" t="inlineStr">
        <is>
          <t>—</t>
        </is>
      </c>
      <c r="X190" s="18" t="inlineStr">
        <is>
          <t>—</t>
        </is>
      </c>
      <c r="Y190" s="18" t="inlineStr"/>
      <c r="Z190" s="29" t="inlineStr">
        <is>
          <t>—</t>
        </is>
      </c>
      <c r="AA190" s="29" t="b">
        <v>0</v>
      </c>
      <c r="AB190" s="29" t="b">
        <v>1</v>
      </c>
      <c r="AC190" s="29" t="b">
        <v>0</v>
      </c>
      <c r="AD190" s="29" t="inlineStr">
        <is>
          <t>NO</t>
        </is>
      </c>
      <c r="AE190" s="29" t="inlineStr"/>
      <c r="AF190" s="29" t="inlineStr"/>
      <c r="AG190" s="29" t="inlineStr"/>
      <c r="AH190" s="29" t="inlineStr"/>
      <c r="AI190" s="29" t="inlineStr"/>
      <c r="AJ190" s="29" t="inlineStr"/>
      <c r="AK190" s="29" t="inlineStr"/>
      <c r="AL190" s="29" t="inlineStr"/>
      <c r="AM190" s="29" t="inlineStr"/>
      <c r="AN190" s="29" t="n"/>
      <c r="AO190" s="29" t="inlineStr"/>
      <c r="AP190" s="29" t="inlineStr"/>
      <c r="AQ190" s="29" t="inlineStr"/>
      <c r="AR190" s="29" t="inlineStr"/>
      <c r="AS190" s="29" t="inlineStr"/>
      <c r="AT190" s="29" t="inlineStr"/>
      <c r="AU190" s="29" t="inlineStr"/>
      <c r="AV190" s="29" t="inlineStr"/>
      <c r="AW190" s="29" t="inlineStr"/>
      <c r="AX190" s="29" t="inlineStr"/>
      <c r="AY190" s="29" t="inlineStr">
        <is>
          <t>1</t>
        </is>
      </c>
      <c r="AZ190" s="29" t="inlineStr">
        <is>
          <t>sept-2026</t>
        </is>
      </c>
      <c r="BD190" s="81">
        <f>0</f>
        <v/>
      </c>
      <c r="BE190" s="81">
        <f>IFERROR((IF(ISNUMBER(T190),MIN(T190/30,1),0)+IF(ISNUMBER(P190),MIN(P190/500,1),0))/2,0)</f>
        <v/>
      </c>
      <c r="BF190" s="81">
        <f>IFERROR(IF(OR(U190&lt;&gt;"",V190="SÍ"),IF(ISNUMBER(L190),(1*MIN(L190/10000,1))^0.5,0),IF(ISNUMBER(L190),(0*MIN(L190/10000,1))^0.5,0)),0)</f>
        <v/>
      </c>
    </row>
    <row r="191">
      <c r="A191" t="inlineStr">
        <is>
          <t>MIDAGRI</t>
        </is>
      </c>
      <c r="B191" s="70" t="inlineStr">
        <is>
          <t>20610300988</t>
        </is>
      </c>
      <c r="C191" s="30" t="inlineStr">
        <is>
          <t>Cooperativa Agraria de Mujeres Interculturales del Vraem Ltda</t>
        </is>
      </c>
      <c r="D191" s="30" t="inlineStr"/>
      <c r="E191" s="30" t="inlineStr">
        <is>
          <t>VENTA AL POR MENOR DE ALIMENTOS, BEBIDAS Y TABACO EN ALMACENES ESPECIALIZADOS</t>
        </is>
      </c>
      <c r="F191" s="30" t="inlineStr">
        <is>
          <t>Junín</t>
        </is>
      </c>
      <c r="G191" s="30" t="inlineStr">
        <is>
          <t>Satipo</t>
        </is>
      </c>
      <c r="H191" s="30" t="inlineStr">
        <is>
          <t>—</t>
        </is>
      </c>
      <c r="I191" s="30" t="inlineStr">
        <is>
          <t>—</t>
        </is>
      </c>
      <c r="J191" s="30" t="n"/>
      <c r="K191" s="30" t="inlineStr">
        <is>
          <t>NO</t>
        </is>
      </c>
      <c r="L191" s="30" t="n"/>
      <c r="M191" s="30" t="n"/>
      <c r="N191" s="30" t="n"/>
      <c r="O191" s="30" t="n"/>
      <c r="P191" s="30" t="inlineStr"/>
      <c r="Q191" s="30" t="inlineStr"/>
      <c r="R191" s="14" t="inlineStr">
        <is>
          <t>2575.0</t>
        </is>
      </c>
      <c r="S191" s="30" t="inlineStr"/>
      <c r="T191" s="30" t="inlineStr"/>
      <c r="U191" s="14" t="inlineStr"/>
      <c r="V191" s="14" t="inlineStr">
        <is>
          <t>NO</t>
        </is>
      </c>
      <c r="W191" s="14" t="inlineStr">
        <is>
          <t>—</t>
        </is>
      </c>
      <c r="X191" s="14" t="inlineStr">
        <is>
          <t>—</t>
        </is>
      </c>
      <c r="Y191" s="14" t="inlineStr"/>
      <c r="Z191" s="30" t="inlineStr">
        <is>
          <t>—</t>
        </is>
      </c>
      <c r="AA191" s="30" t="b">
        <v>0</v>
      </c>
      <c r="AB191" s="30" t="b">
        <v>1</v>
      </c>
      <c r="AC191" s="30" t="b">
        <v>0</v>
      </c>
      <c r="AD191" s="30" t="inlineStr">
        <is>
          <t>NO</t>
        </is>
      </c>
      <c r="AE191" s="30" t="inlineStr"/>
      <c r="AF191" s="30" t="inlineStr"/>
      <c r="AG191" s="30" t="inlineStr"/>
      <c r="AH191" s="30" t="inlineStr"/>
      <c r="AI191" s="30" t="inlineStr"/>
      <c r="AJ191" s="30" t="inlineStr"/>
      <c r="AK191" s="30" t="inlineStr"/>
      <c r="AL191" s="30" t="inlineStr"/>
      <c r="AM191" s="30" t="inlineStr"/>
      <c r="AN191" s="30" t="n"/>
      <c r="AO191" s="30" t="inlineStr"/>
      <c r="AP191" s="30" t="inlineStr"/>
      <c r="AQ191" s="30" t="inlineStr"/>
      <c r="AR191" s="30" t="inlineStr"/>
      <c r="AS191" s="30" t="inlineStr"/>
      <c r="AT191" s="30" t="inlineStr"/>
      <c r="AU191" s="30" t="inlineStr"/>
      <c r="AV191" s="30" t="inlineStr"/>
      <c r="AW191" s="30" t="inlineStr"/>
      <c r="AX191" s="30" t="inlineStr"/>
      <c r="AY191" s="30" t="inlineStr">
        <is>
          <t>1</t>
        </is>
      </c>
      <c r="AZ191" s="30" t="inlineStr">
        <is>
          <t>sept-2026</t>
        </is>
      </c>
      <c r="BD191" s="81">
        <f>0</f>
        <v/>
      </c>
      <c r="BE191" s="81">
        <f>IFERROR((IF(ISNUMBER(T191),MIN(T191/30,1),0)+IF(ISNUMBER(P191),MIN(P191/500,1),0))/2,0)</f>
        <v/>
      </c>
      <c r="BF191" s="81">
        <f>IFERROR(IF(OR(U191&lt;&gt;"",V191="SÍ"),IF(ISNUMBER(L191),(1*MIN(L191/10000,1))^0.5,0),IF(ISNUMBER(L191),(0*MIN(L191/10000,1))^0.5,0)),0)</f>
        <v/>
      </c>
    </row>
    <row r="192">
      <c r="A192" t="inlineStr">
        <is>
          <t>MIDAGRI</t>
        </is>
      </c>
      <c r="B192" s="70" t="inlineStr">
        <is>
          <t>20600426584</t>
        </is>
      </c>
      <c r="C192" s="29" t="inlineStr">
        <is>
          <t>La Cooperativa Agraria Ashaninka Y Nomatsiguenga Con Criterios Ambientales Ltda</t>
        </is>
      </c>
      <c r="D192" s="29" t="inlineStr"/>
      <c r="E192" s="29" t="inlineStr">
        <is>
          <t>VENTA AL POR MENOR DE ALIMENTOS, BEBIDAS Y TABACO EN ALMACENES ESPECIALIZADOS</t>
        </is>
      </c>
      <c r="F192" s="29" t="inlineStr">
        <is>
          <t>Junín</t>
        </is>
      </c>
      <c r="G192" s="29" t="inlineStr">
        <is>
          <t>Satipo</t>
        </is>
      </c>
      <c r="H192" s="29" t="inlineStr">
        <is>
          <t>—</t>
        </is>
      </c>
      <c r="I192" s="29" t="inlineStr">
        <is>
          <t>—</t>
        </is>
      </c>
      <c r="J192" s="29" t="n"/>
      <c r="K192" s="29" t="inlineStr">
        <is>
          <t>NO</t>
        </is>
      </c>
      <c r="L192" s="29" t="n"/>
      <c r="M192" s="29" t="n"/>
      <c r="N192" s="29" t="n"/>
      <c r="O192" s="29" t="n"/>
      <c r="P192" s="29" t="inlineStr"/>
      <c r="Q192" s="29" t="inlineStr"/>
      <c r="R192" s="18" t="inlineStr">
        <is>
          <t>2575.0</t>
        </is>
      </c>
      <c r="S192" s="29" t="inlineStr"/>
      <c r="T192" s="29" t="inlineStr"/>
      <c r="U192" s="18" t="inlineStr"/>
      <c r="V192" s="18" t="inlineStr">
        <is>
          <t>NO</t>
        </is>
      </c>
      <c r="W192" s="18" t="inlineStr">
        <is>
          <t>—</t>
        </is>
      </c>
      <c r="X192" s="18" t="inlineStr">
        <is>
          <t>—</t>
        </is>
      </c>
      <c r="Y192" s="18" t="inlineStr"/>
      <c r="Z192" s="29" t="inlineStr">
        <is>
          <t>—</t>
        </is>
      </c>
      <c r="AA192" s="29" t="b">
        <v>0</v>
      </c>
      <c r="AB192" s="29" t="b">
        <v>1</v>
      </c>
      <c r="AC192" s="29" t="b">
        <v>0</v>
      </c>
      <c r="AD192" s="29" t="inlineStr">
        <is>
          <t>NO</t>
        </is>
      </c>
      <c r="AE192" s="29" t="inlineStr"/>
      <c r="AF192" s="29" t="inlineStr"/>
      <c r="AG192" s="29" t="inlineStr"/>
      <c r="AH192" s="29" t="inlineStr"/>
      <c r="AI192" s="29" t="inlineStr"/>
      <c r="AJ192" s="29" t="inlineStr"/>
      <c r="AK192" s="29" t="inlineStr"/>
      <c r="AL192" s="29" t="inlineStr"/>
      <c r="AM192" s="29" t="inlineStr"/>
      <c r="AN192" s="29" t="n"/>
      <c r="AO192" s="29" t="inlineStr"/>
      <c r="AP192" s="29" t="inlineStr"/>
      <c r="AQ192" s="29" t="inlineStr"/>
      <c r="AR192" s="29" t="inlineStr"/>
      <c r="AS192" s="29" t="inlineStr"/>
      <c r="AT192" s="29" t="inlineStr"/>
      <c r="AU192" s="29" t="inlineStr"/>
      <c r="AV192" s="29" t="inlineStr"/>
      <c r="AW192" s="29" t="inlineStr"/>
      <c r="AX192" s="29" t="inlineStr"/>
      <c r="AY192" s="29" t="inlineStr">
        <is>
          <t>1</t>
        </is>
      </c>
      <c r="AZ192" s="29" t="inlineStr">
        <is>
          <t>sept-2026</t>
        </is>
      </c>
      <c r="BD192" s="81">
        <f>0</f>
        <v/>
      </c>
      <c r="BE192" s="81">
        <f>IFERROR((IF(ISNUMBER(T192),MIN(T192/30,1),0)+IF(ISNUMBER(P192),MIN(P192/500,1),0))/2,0)</f>
        <v/>
      </c>
      <c r="BF192" s="81">
        <f>IFERROR(IF(OR(U192&lt;&gt;"",V192="SÍ"),IF(ISNUMBER(L192),(1*MIN(L192/10000,1))^0.5,0),IF(ISNUMBER(L192),(0*MIN(L192/10000,1))^0.5,0)),0)</f>
        <v/>
      </c>
    </row>
    <row r="193">
      <c r="A193" t="inlineStr">
        <is>
          <t>MIDAGRI</t>
        </is>
      </c>
      <c r="B193" s="70" t="inlineStr">
        <is>
          <t>20607434281</t>
        </is>
      </c>
      <c r="C193" s="30" t="inlineStr">
        <is>
          <t>Cooperativa Agraria Central de Productores de La Libertad</t>
        </is>
      </c>
      <c r="D193" s="30" t="inlineStr"/>
      <c r="E193" s="30" t="inlineStr">
        <is>
          <t>VENTA AL POR MENOR DE ALIMENTOS, BEBIDAS Y TABACO EN ALMACENES ESPECIALIZADOS</t>
        </is>
      </c>
      <c r="F193" s="30" t="inlineStr">
        <is>
          <t>La Libertad</t>
        </is>
      </c>
      <c r="G193" s="30" t="inlineStr">
        <is>
          <t>Chepén</t>
        </is>
      </c>
      <c r="H193" s="30" t="inlineStr">
        <is>
          <t>—</t>
        </is>
      </c>
      <c r="I193" s="30" t="inlineStr">
        <is>
          <t>—</t>
        </is>
      </c>
      <c r="J193" s="30" t="n"/>
      <c r="K193" s="30" t="inlineStr">
        <is>
          <t>NO</t>
        </is>
      </c>
      <c r="L193" s="30" t="n"/>
      <c r="M193" s="30" t="n"/>
      <c r="N193" s="30" t="n"/>
      <c r="O193" s="30" t="n"/>
      <c r="P193" s="30" t="inlineStr"/>
      <c r="Q193" s="30" t="inlineStr"/>
      <c r="R193" s="14" t="inlineStr">
        <is>
          <t>2575.0</t>
        </is>
      </c>
      <c r="S193" s="30" t="inlineStr"/>
      <c r="T193" s="30" t="inlineStr"/>
      <c r="U193" s="14" t="inlineStr"/>
      <c r="V193" s="14" t="inlineStr">
        <is>
          <t>NO</t>
        </is>
      </c>
      <c r="W193" s="14" t="inlineStr">
        <is>
          <t>—</t>
        </is>
      </c>
      <c r="X193" s="14" t="inlineStr">
        <is>
          <t>—</t>
        </is>
      </c>
      <c r="Y193" s="14" t="inlineStr"/>
      <c r="Z193" s="30" t="inlineStr">
        <is>
          <t>—</t>
        </is>
      </c>
      <c r="AA193" s="30" t="b">
        <v>0</v>
      </c>
      <c r="AB193" s="30" t="b">
        <v>1</v>
      </c>
      <c r="AC193" s="30" t="b">
        <v>0</v>
      </c>
      <c r="AD193" s="30" t="inlineStr">
        <is>
          <t>NO</t>
        </is>
      </c>
      <c r="AE193" s="30" t="inlineStr"/>
      <c r="AF193" s="30" t="inlineStr"/>
      <c r="AG193" s="30" t="inlineStr"/>
      <c r="AH193" s="30" t="inlineStr"/>
      <c r="AI193" s="30" t="inlineStr"/>
      <c r="AJ193" s="30" t="inlineStr"/>
      <c r="AK193" s="30" t="inlineStr"/>
      <c r="AL193" s="30" t="inlineStr"/>
      <c r="AM193" s="30" t="inlineStr"/>
      <c r="AN193" s="30" t="n"/>
      <c r="AO193" s="30" t="inlineStr"/>
      <c r="AP193" s="30" t="inlineStr"/>
      <c r="AQ193" s="30" t="inlineStr"/>
      <c r="AR193" s="30" t="inlineStr"/>
      <c r="AS193" s="30" t="inlineStr"/>
      <c r="AT193" s="30" t="inlineStr"/>
      <c r="AU193" s="30" t="inlineStr"/>
      <c r="AV193" s="30" t="inlineStr"/>
      <c r="AW193" s="30" t="inlineStr"/>
      <c r="AX193" s="30" t="inlineStr"/>
      <c r="AY193" s="30" t="inlineStr">
        <is>
          <t>1</t>
        </is>
      </c>
      <c r="AZ193" s="30" t="inlineStr">
        <is>
          <t>sept-2026</t>
        </is>
      </c>
      <c r="BD193" s="81">
        <f>0</f>
        <v/>
      </c>
      <c r="BE193" s="81">
        <f>IFERROR((IF(ISNUMBER(T193),MIN(T193/30,1),0)+IF(ISNUMBER(P193),MIN(P193/500,1),0))/2,0)</f>
        <v/>
      </c>
      <c r="BF193" s="81">
        <f>IFERROR(IF(OR(U193&lt;&gt;"",V193="SÍ"),IF(ISNUMBER(L193),(1*MIN(L193/10000,1))^0.5,0),IF(ISNUMBER(L193),(0*MIN(L193/10000,1))^0.5,0)),0)</f>
        <v/>
      </c>
    </row>
    <row r="194">
      <c r="A194" t="inlineStr">
        <is>
          <t>MIDAGRI</t>
        </is>
      </c>
      <c r="B194" s="70" t="inlineStr">
        <is>
          <t>20609902869</t>
        </is>
      </c>
      <c r="C194" s="29" t="inlineStr">
        <is>
          <t>Cooperativa Agraria Agricultores Terra</t>
        </is>
      </c>
      <c r="D194" s="29" t="inlineStr"/>
      <c r="E194" s="29" t="inlineStr">
        <is>
          <t>VENTA AL POR MENOR DE ALIMENTOS, BEBIDAS Y TABACO EN ALMACENES ESPECIALIZADOS</t>
        </is>
      </c>
      <c r="F194" s="29" t="inlineStr">
        <is>
          <t>Lambayeque</t>
        </is>
      </c>
      <c r="G194" s="29" t="inlineStr">
        <is>
          <t>Chiclayo</t>
        </is>
      </c>
      <c r="H194" s="29" t="inlineStr">
        <is>
          <t>—</t>
        </is>
      </c>
      <c r="I194" s="29" t="inlineStr">
        <is>
          <t>—</t>
        </is>
      </c>
      <c r="J194" s="29" t="n"/>
      <c r="K194" s="29" t="inlineStr">
        <is>
          <t>NO</t>
        </is>
      </c>
      <c r="L194" s="29" t="n"/>
      <c r="M194" s="29" t="n"/>
      <c r="N194" s="29" t="n"/>
      <c r="O194" s="29" t="n"/>
      <c r="P194" s="29" t="inlineStr"/>
      <c r="Q194" s="29" t="inlineStr"/>
      <c r="R194" s="18" t="inlineStr">
        <is>
          <t>2575.0</t>
        </is>
      </c>
      <c r="S194" s="29" t="inlineStr"/>
      <c r="T194" s="29" t="inlineStr"/>
      <c r="U194" s="18" t="inlineStr"/>
      <c r="V194" s="18" t="inlineStr">
        <is>
          <t>NO</t>
        </is>
      </c>
      <c r="W194" s="18" t="inlineStr">
        <is>
          <t>—</t>
        </is>
      </c>
      <c r="X194" s="18" t="inlineStr">
        <is>
          <t>—</t>
        </is>
      </c>
      <c r="Y194" s="18" t="inlineStr"/>
      <c r="Z194" s="29" t="inlineStr">
        <is>
          <t>—</t>
        </is>
      </c>
      <c r="AA194" s="29" t="b">
        <v>0</v>
      </c>
      <c r="AB194" s="29" t="b">
        <v>1</v>
      </c>
      <c r="AC194" s="29" t="b">
        <v>0</v>
      </c>
      <c r="AD194" s="29" t="inlineStr">
        <is>
          <t>NO</t>
        </is>
      </c>
      <c r="AE194" s="29" t="inlineStr"/>
      <c r="AF194" s="29" t="inlineStr"/>
      <c r="AG194" s="29" t="inlineStr"/>
      <c r="AH194" s="29" t="inlineStr"/>
      <c r="AI194" s="29" t="inlineStr"/>
      <c r="AJ194" s="29" t="inlineStr"/>
      <c r="AK194" s="29" t="inlineStr"/>
      <c r="AL194" s="29" t="inlineStr"/>
      <c r="AM194" s="29" t="inlineStr"/>
      <c r="AN194" s="29" t="n"/>
      <c r="AO194" s="29" t="inlineStr"/>
      <c r="AP194" s="29" t="inlineStr"/>
      <c r="AQ194" s="29" t="inlineStr"/>
      <c r="AR194" s="29" t="inlineStr"/>
      <c r="AS194" s="29" t="inlineStr"/>
      <c r="AT194" s="29" t="inlineStr"/>
      <c r="AU194" s="29" t="inlineStr"/>
      <c r="AV194" s="29" t="inlineStr"/>
      <c r="AW194" s="29" t="inlineStr"/>
      <c r="AX194" s="29" t="inlineStr"/>
      <c r="AY194" s="29" t="inlineStr">
        <is>
          <t>1</t>
        </is>
      </c>
      <c r="AZ194" s="29" t="inlineStr">
        <is>
          <t>sept-2026</t>
        </is>
      </c>
      <c r="BD194" s="81">
        <f>0</f>
        <v/>
      </c>
      <c r="BE194" s="81">
        <f>IFERROR((IF(ISNUMBER(T194),MIN(T194/30,1),0)+IF(ISNUMBER(P194),MIN(P194/500,1),0))/2,0)</f>
        <v/>
      </c>
      <c r="BF194" s="81">
        <f>IFERROR(IF(OR(U194&lt;&gt;"",V194="SÍ"),IF(ISNUMBER(L194),(1*MIN(L194/10000,1))^0.5,0),IF(ISNUMBER(L194),(0*MIN(L194/10000,1))^0.5,0)),0)</f>
        <v/>
      </c>
    </row>
    <row r="195">
      <c r="A195" t="inlineStr">
        <is>
          <t>MIDAGRI; CENCOOP 2017; SISPAC</t>
        </is>
      </c>
      <c r="B195" s="70" t="inlineStr">
        <is>
          <t>20542311569</t>
        </is>
      </c>
      <c r="C195" s="30" t="inlineStr">
        <is>
          <t>Cooperativa Agraria Achuar Shakaim Ltda</t>
        </is>
      </c>
      <c r="D195" s="30" t="inlineStr"/>
      <c r="E195" s="30" t="inlineStr">
        <is>
          <t>VENTA AL POR MENOR DE ALIMENTOS, BEBIDAS Y TABACO EN ALMACENES ESPECIALIZADOS</t>
        </is>
      </c>
      <c r="F195" s="30" t="inlineStr">
        <is>
          <t>Loreto</t>
        </is>
      </c>
      <c r="G195" s="30" t="inlineStr">
        <is>
          <t>Datem del Marañon</t>
        </is>
      </c>
      <c r="H195" s="30" t="inlineStr">
        <is>
          <t>—</t>
        </is>
      </c>
      <c r="I195" s="30" t="inlineStr">
        <is>
          <t>—</t>
        </is>
      </c>
      <c r="J195" s="30" t="n"/>
      <c r="K195" s="30" t="inlineStr">
        <is>
          <t>NO</t>
        </is>
      </c>
      <c r="L195" s="30" t="n"/>
      <c r="M195" s="30" t="n"/>
      <c r="N195" s="30" t="n"/>
      <c r="O195" s="30" t="n"/>
      <c r="P195" s="30" t="inlineStr"/>
      <c r="Q195" s="30" t="inlineStr"/>
      <c r="R195" s="14" t="inlineStr">
        <is>
          <t>2575.0</t>
        </is>
      </c>
      <c r="S195" s="30" t="inlineStr"/>
      <c r="T195" s="30" t="inlineStr"/>
      <c r="U195" s="14" t="inlineStr"/>
      <c r="V195" s="14" t="inlineStr">
        <is>
          <t>NO</t>
        </is>
      </c>
      <c r="W195" s="14" t="inlineStr">
        <is>
          <t>—</t>
        </is>
      </c>
      <c r="X195" s="14" t="inlineStr">
        <is>
          <t>—</t>
        </is>
      </c>
      <c r="Y195" s="14" t="inlineStr"/>
      <c r="Z195" s="30" t="inlineStr">
        <is>
          <t>—</t>
        </is>
      </c>
      <c r="AA195" s="30" t="b">
        <v>0</v>
      </c>
      <c r="AB195" s="30" t="b">
        <v>1</v>
      </c>
      <c r="AC195" s="30" t="b">
        <v>0</v>
      </c>
      <c r="AD195" s="19" t="inlineStr">
        <is>
          <t>SI</t>
        </is>
      </c>
      <c r="AE195" s="30" t="inlineStr">
        <is>
          <t>COOPERATIVA AGRARIA ACHUAR SHAKAIM LTDA.</t>
        </is>
      </c>
      <c r="AF195" s="30" t="inlineStr">
        <is>
          <t>LORETO</t>
        </is>
      </c>
      <c r="AG195" s="30" t="inlineStr">
        <is>
          <t>ALTO AMAZONAS</t>
        </is>
      </c>
      <c r="AH195" s="30" t="inlineStr">
        <is>
          <t>YURIMAGUAS</t>
        </is>
      </c>
      <c r="AI195" s="30" t="inlineStr">
        <is>
          <t>BR LA UNION</t>
        </is>
      </c>
      <c r="AJ195" s="30" t="inlineStr">
        <is>
          <t>CULTIVO DE PRODUCTOS AGRÌCOLAS EN COMBINACIÒN CON LA CRÌA DE ANIMALES</t>
        </is>
      </c>
      <c r="AK195" s="30" t="inlineStr">
        <is>
          <t>1.0</t>
        </is>
      </c>
      <c r="AL195" s="30" t="inlineStr">
        <is>
          <t>1.0</t>
        </is>
      </c>
      <c r="AM195" s="30" t="inlineStr">
        <is>
          <t>1.0</t>
        </is>
      </c>
      <c r="AN195" s="30" t="n">
        <v>4</v>
      </c>
      <c r="AO195" s="30" t="inlineStr">
        <is>
          <t>TSEREN CARLOS MARIAN</t>
        </is>
      </c>
      <c r="AP195" s="30" t="inlineStr">
        <is>
          <t>TECNICO EN CONTABILIDAD</t>
        </is>
      </c>
      <c r="AQ195" s="30" t="inlineStr">
        <is>
          <t>8.0</t>
        </is>
      </c>
      <c r="AR195" s="30" t="inlineStr">
        <is>
          <t>NO TIENE</t>
        </is>
      </c>
      <c r="AS195" s="30" t="inlineStr">
        <is>
          <t>NO TIENE</t>
        </is>
      </c>
      <c r="AT195" s="30" t="inlineStr">
        <is>
          <t>NO TIENE</t>
        </is>
      </c>
      <c r="AU195" s="30" t="inlineStr">
        <is>
          <t>-5.911264999999999</t>
        </is>
      </c>
      <c r="AV195" s="30" t="inlineStr">
        <is>
          <t>-76.11244833333333</t>
        </is>
      </c>
      <c r="AW195" s="30" t="inlineStr">
        <is>
          <t>2012.0</t>
        </is>
      </c>
      <c r="AX195" s="30" t="inlineStr">
        <is>
          <t>2013.0</t>
        </is>
      </c>
      <c r="AY195" s="30" t="inlineStr">
        <is>
          <t>1</t>
        </is>
      </c>
      <c r="AZ195" s="30" t="inlineStr">
        <is>
          <t>sept-2026</t>
        </is>
      </c>
      <c r="BD195" s="81">
        <f>0</f>
        <v/>
      </c>
      <c r="BE195" s="81">
        <f>IFERROR((IF(ISNUMBER(T195),MIN(T195/30,1),0)+IF(ISNUMBER(P195),MIN(P195/500,1),0))/2,0)</f>
        <v/>
      </c>
      <c r="BF195" s="81">
        <f>IFERROR(IF(OR(U195&lt;&gt;"",V195="SÍ"),IF(ISNUMBER(L195),(1*MIN(L195/10000,1))^0.5,0),IF(ISNUMBER(L195),(0*MIN(L195/10000,1))^0.5,0)),0)</f>
        <v/>
      </c>
    </row>
    <row r="196">
      <c r="A196" t="inlineStr">
        <is>
          <t>MIDAGRI; CENACOOP; CENCOOP 2017; SISPAC</t>
        </is>
      </c>
      <c r="B196" s="70" t="inlineStr">
        <is>
          <t>20600029887</t>
        </is>
      </c>
      <c r="C196" s="29" t="inlineStr">
        <is>
          <t>Cooperativa Agraria Integral Luz de la Esperanza - COOPAILE</t>
        </is>
      </c>
      <c r="D196" s="29" t="inlineStr"/>
      <c r="E196" s="29" t="inlineStr">
        <is>
          <t>VENTA AL POR MENOR DE ALIMENTOS, BEBIDAS Y TABACO EN ALMACENES ESPECIALIZADOS</t>
        </is>
      </c>
      <c r="F196" s="29" t="inlineStr">
        <is>
          <t>Loreto</t>
        </is>
      </c>
      <c r="G196" s="29" t="inlineStr">
        <is>
          <t>Mariscal Ramòn Castilla</t>
        </is>
      </c>
      <c r="H196" s="29" t="inlineStr">
        <is>
          <t>—</t>
        </is>
      </c>
      <c r="I196" s="29" t="inlineStr">
        <is>
          <t>—</t>
        </is>
      </c>
      <c r="J196" s="29" t="n"/>
      <c r="K196" s="29" t="inlineStr">
        <is>
          <t>NO</t>
        </is>
      </c>
      <c r="L196" s="29" t="n"/>
      <c r="M196" s="29" t="n"/>
      <c r="N196" s="29" t="n"/>
      <c r="O196" s="29" t="n"/>
      <c r="P196" s="29" t="inlineStr"/>
      <c r="Q196" s="29" t="inlineStr"/>
      <c r="R196" s="18" t="inlineStr">
        <is>
          <t>2575.0</t>
        </is>
      </c>
      <c r="S196" s="29" t="inlineStr"/>
      <c r="T196" s="29" t="inlineStr"/>
      <c r="U196" s="18" t="inlineStr"/>
      <c r="V196" s="18" t="inlineStr">
        <is>
          <t>NO</t>
        </is>
      </c>
      <c r="W196" s="18" t="inlineStr">
        <is>
          <t>—</t>
        </is>
      </c>
      <c r="X196" s="18" t="inlineStr">
        <is>
          <t>—</t>
        </is>
      </c>
      <c r="Y196" s="18" t="inlineStr"/>
      <c r="Z196" s="29" t="inlineStr">
        <is>
          <t>—</t>
        </is>
      </c>
      <c r="AA196" s="29" t="b">
        <v>0</v>
      </c>
      <c r="AB196" s="29" t="b">
        <v>1</v>
      </c>
      <c r="AC196" s="29" t="b">
        <v>1</v>
      </c>
      <c r="AD196" s="19" t="inlineStr">
        <is>
          <t>SI</t>
        </is>
      </c>
      <c r="AE196" s="29" t="inlineStr">
        <is>
          <t>COOPERATIVA AGRARIA INTEGRAL LUZ DE LA ESPERANZA</t>
        </is>
      </c>
      <c r="AF196" s="29" t="inlineStr">
        <is>
          <t>LORETO</t>
        </is>
      </c>
      <c r="AG196" s="29" t="inlineStr">
        <is>
          <t>MARISCAL RAMON CASTILLA</t>
        </is>
      </c>
      <c r="AH196" s="29" t="inlineStr">
        <is>
          <t>RAMON CASTILLA</t>
        </is>
      </c>
      <c r="AI196" s="29" t="inlineStr">
        <is>
          <t>CABALLOCOCHA</t>
        </is>
      </c>
      <c r="AJ196" s="29" t="inlineStr">
        <is>
          <t>CULTIVO DE PRODUCTOS AGRÌCOLAS EN COMBINACIÒN CON LA CRÌA DE ANIMALES</t>
        </is>
      </c>
      <c r="AK196" s="29" t="inlineStr">
        <is>
          <t>1.0</t>
        </is>
      </c>
      <c r="AL196" s="29" t="inlineStr">
        <is>
          <t>1.0</t>
        </is>
      </c>
      <c r="AM196" s="29" t="inlineStr">
        <is>
          <t>1.0</t>
        </is>
      </c>
      <c r="AN196" s="29" t="n">
        <v>2</v>
      </c>
      <c r="AO196" s="29" t="inlineStr">
        <is>
          <t>PALOMINO ANYOSA PRESENTACION JULIAN</t>
        </is>
      </c>
      <c r="AP196" s="29" t="inlineStr">
        <is>
          <t>TECNICO EN ENFERMERIA</t>
        </is>
      </c>
      <c r="AQ196" s="29" t="inlineStr">
        <is>
          <t>8.0</t>
        </is>
      </c>
      <c r="AR196" s="29" t="inlineStr">
        <is>
          <t>NO TIENE</t>
        </is>
      </c>
      <c r="AS196" s="29" t="inlineStr">
        <is>
          <t>NO TIENE</t>
        </is>
      </c>
      <c r="AT196" s="29" t="inlineStr">
        <is>
          <t>NO TIENE</t>
        </is>
      </c>
      <c r="AU196" s="29" t="inlineStr">
        <is>
          <t>-3.91355</t>
        </is>
      </c>
      <c r="AV196" s="29" t="inlineStr">
        <is>
          <t>-70.506535</t>
        </is>
      </c>
      <c r="AW196" s="29" t="inlineStr">
        <is>
          <t>2015.0</t>
        </is>
      </c>
      <c r="AX196" s="29" t="inlineStr">
        <is>
          <t>2015.0</t>
        </is>
      </c>
      <c r="AY196" s="29" t="inlineStr">
        <is>
          <t>2</t>
        </is>
      </c>
      <c r="AZ196" s="29" t="inlineStr">
        <is>
          <t>sept-2026</t>
        </is>
      </c>
      <c r="BD196" s="81">
        <f>0</f>
        <v/>
      </c>
      <c r="BE196" s="81">
        <f>IFERROR((IF(ISNUMBER(T196),MIN(T196/30,1),0)+IF(ISNUMBER(P196),MIN(P196/500,1),0))/2,0)</f>
        <v/>
      </c>
      <c r="BF196" s="81">
        <f>IFERROR(IF(OR(U196&lt;&gt;"",V196="SÍ"),IF(ISNUMBER(L196),(1*MIN(L196/10000,1))^0.5,0),IF(ISNUMBER(L196),(0*MIN(L196/10000,1))^0.5,0)),0)</f>
        <v/>
      </c>
    </row>
    <row r="197">
      <c r="A197" t="inlineStr">
        <is>
          <t>MIDAGRI; CENCOOP 2017; SISPAC</t>
        </is>
      </c>
      <c r="B197" s="70" t="inlineStr">
        <is>
          <t>20542825163</t>
        </is>
      </c>
      <c r="C197" s="30" t="inlineStr">
        <is>
          <t>Cooperativa Agraria De Servicios Cacao Fino Agrobosque - Cooperativa Agrobosque</t>
        </is>
      </c>
      <c r="D197" s="30" t="inlineStr"/>
      <c r="E197" s="30" t="inlineStr">
        <is>
          <t>VENTA AL POR MENOR DE ALIMENTOS, BEBIDAS Y TABACO EN ALMACENES ESPECIALIZADOS</t>
        </is>
      </c>
      <c r="F197" s="30" t="inlineStr">
        <is>
          <t>Madre de Dios</t>
        </is>
      </c>
      <c r="G197" s="30" t="inlineStr">
        <is>
          <t>Tambopata</t>
        </is>
      </c>
      <c r="H197" s="30" t="inlineStr">
        <is>
          <t>—</t>
        </is>
      </c>
      <c r="I197" s="30" t="inlineStr">
        <is>
          <t>—</t>
        </is>
      </c>
      <c r="J197" s="30" t="inlineStr">
        <is>
          <t>SI</t>
        </is>
      </c>
      <c r="K197" s="30" t="inlineStr">
        <is>
          <t>NO</t>
        </is>
      </c>
      <c r="L197" s="30" t="n">
        <v>0</v>
      </c>
      <c r="M197" s="30" t="n">
        <v>38110.66</v>
      </c>
      <c r="N197" s="30" t="n">
        <v>4</v>
      </c>
      <c r="O197" s="30" t="n">
        <v>2</v>
      </c>
      <c r="P197" s="30" t="inlineStr"/>
      <c r="Q197" s="30" t="inlineStr"/>
      <c r="R197" s="14" t="inlineStr">
        <is>
          <t>44633.332</t>
        </is>
      </c>
      <c r="S197" s="30" t="inlineStr"/>
      <c r="T197" s="30" t="inlineStr"/>
      <c r="U197" s="14" t="inlineStr"/>
      <c r="V197" s="14" t="inlineStr">
        <is>
          <t>NO</t>
        </is>
      </c>
      <c r="W197" s="14" t="inlineStr">
        <is>
          <t>—</t>
        </is>
      </c>
      <c r="X197" s="14" t="inlineStr">
        <is>
          <t>—</t>
        </is>
      </c>
      <c r="Y197" s="14" t="inlineStr"/>
      <c r="Z197" s="30" t="inlineStr">
        <is>
          <t>—</t>
        </is>
      </c>
      <c r="AA197" s="30" t="b">
        <v>0</v>
      </c>
      <c r="AB197" s="30" t="b">
        <v>1</v>
      </c>
      <c r="AC197" s="30" t="b">
        <v>0</v>
      </c>
      <c r="AD197" s="19" t="inlineStr">
        <is>
          <t>SI</t>
        </is>
      </c>
      <c r="AE197" s="30" t="inlineStr">
        <is>
          <t>COOPERATIVA AGROBOSQUE</t>
        </is>
      </c>
      <c r="AF197" s="30" t="inlineStr">
        <is>
          <t>MADRE DE DIOS</t>
        </is>
      </c>
      <c r="AG197" s="30" t="inlineStr">
        <is>
          <t>TAMBOPATA</t>
        </is>
      </c>
      <c r="AH197" s="30" t="inlineStr">
        <is>
          <t>INAMBARI</t>
        </is>
      </c>
      <c r="AI197" s="30" t="inlineStr">
        <is>
          <t>INAMBARI</t>
        </is>
      </c>
      <c r="AJ197" s="30" t="inlineStr">
        <is>
          <t>ACTIVIDADES DE OTRAS ASOCIACIONES N.C.P.</t>
        </is>
      </c>
      <c r="AK197" s="30" t="inlineStr">
        <is>
          <t>1.0</t>
        </is>
      </c>
      <c r="AL197" s="30" t="inlineStr">
        <is>
          <t>1.0</t>
        </is>
      </c>
      <c r="AM197" s="30" t="inlineStr">
        <is>
          <t>1.0</t>
        </is>
      </c>
      <c r="AN197" s="30" t="n">
        <v>3</v>
      </c>
      <c r="AO197" s="30" t="inlineStr">
        <is>
          <t>HUAMAN APAZA PORFIRIO</t>
        </is>
      </c>
      <c r="AP197" s="30" t="inlineStr">
        <is>
          <t>INGENIERO AGROINDUSTRIAL</t>
        </is>
      </c>
      <c r="AQ197" s="30" t="inlineStr">
        <is>
          <t>10.0</t>
        </is>
      </c>
      <c r="AR197" s="30" t="inlineStr">
        <is>
          <t>NO TIENE</t>
        </is>
      </c>
      <c r="AS197" s="30" t="inlineStr">
        <is>
          <t>COOPERATIVAGROBOSQUE@GMAIL.COM</t>
        </is>
      </c>
      <c r="AT197" s="30" t="inlineStr">
        <is>
          <t>986817984</t>
        </is>
      </c>
      <c r="AU197" s="30" t="inlineStr">
        <is>
          <t>-12.91531</t>
        </is>
      </c>
      <c r="AV197" s="30" t="inlineStr">
        <is>
          <t>-70.20038333333333</t>
        </is>
      </c>
      <c r="AW197" s="30" t="inlineStr">
        <is>
          <t>2013.0</t>
        </is>
      </c>
      <c r="AX197" s="30" t="inlineStr">
        <is>
          <t>2014.0</t>
        </is>
      </c>
      <c r="AY197" s="30" t="inlineStr">
        <is>
          <t>1</t>
        </is>
      </c>
      <c r="AZ197" s="30" t="inlineStr">
        <is>
          <t>sept-2026</t>
        </is>
      </c>
      <c r="BA197" t="inlineStr">
        <is>
          <t>FRANCE; SWITZERLAND</t>
        </is>
      </c>
      <c r="BB197" t="n">
        <v>2017</v>
      </c>
      <c r="BC197" t="n">
        <v>2021</v>
      </c>
      <c r="BD197" s="81">
        <f>0</f>
        <v/>
      </c>
      <c r="BE197" s="81">
        <f>IFERROR((IF(ISNUMBER(T197),MIN(T197/30,1),0)+IF(ISNUMBER(P197),MIN(P197/500,1),0))/2,0)</f>
        <v/>
      </c>
      <c r="BF197" s="81">
        <f>IFERROR(IF(OR(U197&lt;&gt;"",V197="SÍ"),IF(ISNUMBER(L197),(1*MIN(L197/10000,1))^0.5,0),IF(ISNUMBER(L197),(0*MIN(L197/10000,1))^0.5,0)),0)</f>
        <v/>
      </c>
    </row>
    <row r="198">
      <c r="A198" t="inlineStr">
        <is>
          <t>MIDAGRI; CENACOOP; CENCOOP 2017; SISPAC</t>
        </is>
      </c>
      <c r="B198" s="70" t="inlineStr">
        <is>
          <t>20600146689</t>
        </is>
      </c>
      <c r="C198" s="29" t="inlineStr">
        <is>
          <t>Cooperativa Agraria De Servicios Múltiples Tambopata Candamo - Coopaser Tambopata Candamo</t>
        </is>
      </c>
      <c r="D198" s="29" t="inlineStr"/>
      <c r="E198" s="29" t="inlineStr">
        <is>
          <t>VENTA AL POR MENOR DE ALIMENTOS, BEBIDAS Y TABACO EN ALMACENES ESPECIALIZADOS</t>
        </is>
      </c>
      <c r="F198" s="29" t="inlineStr">
        <is>
          <t>Madre de Dios</t>
        </is>
      </c>
      <c r="G198" s="29" t="inlineStr">
        <is>
          <t>Tambopata</t>
        </is>
      </c>
      <c r="H198" s="29" t="inlineStr">
        <is>
          <t>—</t>
        </is>
      </c>
      <c r="I198" s="29" t="inlineStr">
        <is>
          <t>—</t>
        </is>
      </c>
      <c r="J198" s="29" t="inlineStr">
        <is>
          <t>SI</t>
        </is>
      </c>
      <c r="K198" s="29" t="inlineStr">
        <is>
          <t>NO</t>
        </is>
      </c>
      <c r="L198" s="29" t="n">
        <v>0</v>
      </c>
      <c r="M198" s="29" t="n">
        <v>3534494.25</v>
      </c>
      <c r="N198" s="29" t="n">
        <v>31</v>
      </c>
      <c r="O198" s="29" t="n">
        <v>4</v>
      </c>
      <c r="P198" s="29" t="inlineStr"/>
      <c r="Q198" s="29" t="inlineStr"/>
      <c r="R198" s="18" t="inlineStr">
        <is>
          <t>2575.0</t>
        </is>
      </c>
      <c r="S198" s="29" t="inlineStr"/>
      <c r="T198" s="29" t="inlineStr"/>
      <c r="U198" s="18" t="inlineStr"/>
      <c r="V198" s="18" t="inlineStr">
        <is>
          <t>NO</t>
        </is>
      </c>
      <c r="W198" s="18" t="inlineStr">
        <is>
          <t>—</t>
        </is>
      </c>
      <c r="X198" s="18" t="inlineStr">
        <is>
          <t>—</t>
        </is>
      </c>
      <c r="Y198" s="18" t="inlineStr"/>
      <c r="Z198" s="29" t="inlineStr">
        <is>
          <t>—</t>
        </is>
      </c>
      <c r="AA198" s="29" t="b">
        <v>0</v>
      </c>
      <c r="AB198" s="29" t="b">
        <v>1</v>
      </c>
      <c r="AC198" s="29" t="b">
        <v>1</v>
      </c>
      <c r="AD198" s="19" t="inlineStr">
        <is>
          <t>SI</t>
        </is>
      </c>
      <c r="AE198" s="29" t="inlineStr">
        <is>
          <t>COOPERATIVA AGRARIA DE SERVICIOS MULTIPLES TAMBOPATA CANDAMO - COOPASER - TAMBOPATA CANDAMO</t>
        </is>
      </c>
      <c r="AF198" s="29" t="inlineStr">
        <is>
          <t>MADRE DE DIOS</t>
        </is>
      </c>
      <c r="AG198" s="29" t="inlineStr">
        <is>
          <t>TAMBOPATA</t>
        </is>
      </c>
      <c r="AH198" s="29" t="inlineStr">
        <is>
          <t>TAMBOPATA</t>
        </is>
      </c>
      <c r="AI198" s="29" t="inlineStr">
        <is>
          <t>TAMBOPATA</t>
        </is>
      </c>
      <c r="AJ198" s="29" t="inlineStr">
        <is>
          <t>OTRAS ACTIVIDADES DE SERVICIOS DE APOYO A LAS EMPRESAS N.C.P</t>
        </is>
      </c>
      <c r="AK198" s="29" t="inlineStr">
        <is>
          <t>9.0</t>
        </is>
      </c>
      <c r="AL198" s="29" t="inlineStr">
        <is>
          <t>1.0</t>
        </is>
      </c>
      <c r="AM198" s="29" t="inlineStr">
        <is>
          <t>1.0</t>
        </is>
      </c>
      <c r="AN198" s="29" t="n">
        <v>2</v>
      </c>
      <c r="AO198" s="29" t="inlineStr">
        <is>
          <t>SANCHEZ CRUZ ODERON CIRILO</t>
        </is>
      </c>
      <c r="AP198" s="29" t="inlineStr">
        <is>
          <t>CONTADOR</t>
        </is>
      </c>
      <c r="AQ198" s="29" t="inlineStr">
        <is>
          <t>10.0</t>
        </is>
      </c>
      <c r="AR198" s="29" t="inlineStr">
        <is>
          <t>WWW.COOPTAMBOPATA.COM</t>
        </is>
      </c>
      <c r="AS198" s="29" t="inlineStr">
        <is>
          <t>INFO@COOPTAMBOPATA.COM</t>
        </is>
      </c>
      <c r="AT198" s="29" t="inlineStr">
        <is>
          <t>978048230</t>
        </is>
      </c>
      <c r="AU198" s="29" t="inlineStr">
        <is>
          <t>-12.601721666666666</t>
        </is>
      </c>
      <c r="AV198" s="29" t="inlineStr">
        <is>
          <t>-69.185605</t>
        </is>
      </c>
      <c r="AW198" s="29" t="inlineStr">
        <is>
          <t>2015.0</t>
        </is>
      </c>
      <c r="AX198" s="29" t="inlineStr">
        <is>
          <t>2015.0</t>
        </is>
      </c>
      <c r="AY198" s="29" t="inlineStr">
        <is>
          <t>2</t>
        </is>
      </c>
      <c r="AZ198" s="29" t="inlineStr">
        <is>
          <t>sept-2026</t>
        </is>
      </c>
      <c r="BA198" t="inlineStr">
        <is>
          <t>BELGIUM; INDONESIA; ITALY; NETHERLANDS</t>
        </is>
      </c>
      <c r="BB198" t="n">
        <v>2019</v>
      </c>
      <c r="BC198" t="n">
        <v>2023</v>
      </c>
      <c r="BD198" s="81">
        <f>0</f>
        <v/>
      </c>
      <c r="BE198" s="81">
        <f>IFERROR((IF(ISNUMBER(T198),MIN(T198/30,1),0)+IF(ISNUMBER(P198),MIN(P198/500,1),0))/2,0)</f>
        <v/>
      </c>
      <c r="BF198" s="81">
        <f>IFERROR(IF(OR(U198&lt;&gt;"",V198="SÍ"),IF(ISNUMBER(L198),(1*MIN(L198/10000,1))^0.5,0),IF(ISNUMBER(L198),(0*MIN(L198/10000,1))^0.5,0)),0)</f>
        <v/>
      </c>
    </row>
    <row r="199">
      <c r="A199" t="inlineStr">
        <is>
          <t>MIDAGRI; SISPAC</t>
        </is>
      </c>
      <c r="B199" s="70" t="inlineStr">
        <is>
          <t>20604151954</t>
        </is>
      </c>
      <c r="C199" s="30" t="inlineStr">
        <is>
          <t>Cooperativa Agraria de Servicios Múltiples Sur Oriente - Coopssur Oriente</t>
        </is>
      </c>
      <c r="D199" s="30" t="inlineStr"/>
      <c r="E199" s="30" t="inlineStr">
        <is>
          <t>VENTA AL POR MENOR DE ALIMENTOS, BEBIDAS Y TABACO EN ALMACENES ESPECIALIZADOS</t>
        </is>
      </c>
      <c r="F199" s="30" t="inlineStr">
        <is>
          <t>Madre de Dios</t>
        </is>
      </c>
      <c r="G199" s="30" t="inlineStr">
        <is>
          <t>Tambopata</t>
        </is>
      </c>
      <c r="H199" s="30" t="inlineStr">
        <is>
          <t>—</t>
        </is>
      </c>
      <c r="I199" s="30" t="inlineStr">
        <is>
          <t>—</t>
        </is>
      </c>
      <c r="J199" s="30" t="inlineStr">
        <is>
          <t>SI</t>
        </is>
      </c>
      <c r="K199" s="30" t="inlineStr">
        <is>
          <t>NO</t>
        </is>
      </c>
      <c r="L199" s="30" t="n">
        <v>207488.58</v>
      </c>
      <c r="M199" s="30" t="n">
        <v>579662.04</v>
      </c>
      <c r="N199" s="30" t="n">
        <v>6</v>
      </c>
      <c r="O199" s="30" t="n">
        <v>4</v>
      </c>
      <c r="P199" s="30" t="inlineStr"/>
      <c r="Q199" s="30" t="inlineStr"/>
      <c r="R199" s="14" t="inlineStr">
        <is>
          <t>2575.0</t>
        </is>
      </c>
      <c r="S199" s="30" t="inlineStr"/>
      <c r="T199" s="30" t="inlineStr"/>
      <c r="U199" s="14" t="inlineStr"/>
      <c r="V199" s="14" t="inlineStr">
        <is>
          <t>NO</t>
        </is>
      </c>
      <c r="W199" s="14" t="inlineStr">
        <is>
          <t>—</t>
        </is>
      </c>
      <c r="X199" s="14" t="inlineStr">
        <is>
          <t>—</t>
        </is>
      </c>
      <c r="Y199" s="14" t="inlineStr"/>
      <c r="Z199" s="30" t="inlineStr">
        <is>
          <t>—</t>
        </is>
      </c>
      <c r="AA199" s="30" t="b">
        <v>0</v>
      </c>
      <c r="AB199" s="30" t="b">
        <v>1</v>
      </c>
      <c r="AC199" s="30" t="b">
        <v>0</v>
      </c>
      <c r="AD199" s="30" t="inlineStr">
        <is>
          <t>NO</t>
        </is>
      </c>
      <c r="AE199" s="30" t="inlineStr"/>
      <c r="AF199" s="30" t="inlineStr"/>
      <c r="AG199" s="30" t="inlineStr"/>
      <c r="AH199" s="30" t="inlineStr"/>
      <c r="AI199" s="30" t="inlineStr"/>
      <c r="AJ199" s="30" t="inlineStr"/>
      <c r="AK199" s="30" t="inlineStr"/>
      <c r="AL199" s="30" t="inlineStr"/>
      <c r="AM199" s="30" t="inlineStr"/>
      <c r="AN199" s="30" t="n"/>
      <c r="AO199" s="30" t="inlineStr"/>
      <c r="AP199" s="30" t="inlineStr"/>
      <c r="AQ199" s="30" t="inlineStr"/>
      <c r="AR199" s="30" t="inlineStr"/>
      <c r="AS199" s="30" t="inlineStr"/>
      <c r="AT199" s="30" t="inlineStr"/>
      <c r="AU199" s="30" t="inlineStr"/>
      <c r="AV199" s="30" t="inlineStr"/>
      <c r="AW199" s="30" t="inlineStr"/>
      <c r="AX199" s="30" t="inlineStr"/>
      <c r="AY199" s="30" t="inlineStr">
        <is>
          <t>1</t>
        </is>
      </c>
      <c r="AZ199" s="30" t="inlineStr">
        <is>
          <t>sept-2026</t>
        </is>
      </c>
      <c r="BA199" t="inlineStr">
        <is>
          <t>BELGIUM; FRANCE; GERMANY; ITALY</t>
        </is>
      </c>
      <c r="BB199" t="n">
        <v>2022</v>
      </c>
      <c r="BC199" t="n">
        <v>2025</v>
      </c>
      <c r="BD199" s="81">
        <f>0</f>
        <v/>
      </c>
      <c r="BE199" s="81">
        <f>IFERROR((IF(ISNUMBER(T199),MIN(T199/30,1),0)+IF(ISNUMBER(P199),MIN(P199/500,1),0))/2,0)</f>
        <v/>
      </c>
      <c r="BF199" s="81">
        <f>IFERROR(IF(OR(U199&lt;&gt;"",V199="SÍ"),IF(ISNUMBER(L199),(1*MIN(L199/10000,1))^0.5,0),IF(ISNUMBER(L199),(0*MIN(L199/10000,1))^0.5,0)),0)</f>
        <v/>
      </c>
    </row>
    <row r="200">
      <c r="A200" t="inlineStr">
        <is>
          <t>MIDAGRI</t>
        </is>
      </c>
      <c r="B200" s="70" t="inlineStr">
        <is>
          <t>20606969237</t>
        </is>
      </c>
      <c r="C200" s="29" t="inlineStr">
        <is>
          <t>Cooperativa Agraria Coffee and Sharem Villa Rica - Palcazu</t>
        </is>
      </c>
      <c r="D200" s="29" t="inlineStr"/>
      <c r="E200" s="29" t="inlineStr">
        <is>
          <t>VENTA AL POR MENOR DE ALIMENTOS, BEBIDAS Y TABACO EN ALMACENES ESPECIALIZADOS</t>
        </is>
      </c>
      <c r="F200" s="29" t="inlineStr">
        <is>
          <t>Pasco</t>
        </is>
      </c>
      <c r="G200" s="29" t="inlineStr">
        <is>
          <t>Oxapampa</t>
        </is>
      </c>
      <c r="H200" s="29" t="inlineStr">
        <is>
          <t>—</t>
        </is>
      </c>
      <c r="I200" s="29" t="inlineStr">
        <is>
          <t>—</t>
        </is>
      </c>
      <c r="J200" s="29" t="n"/>
      <c r="K200" s="29" t="inlineStr">
        <is>
          <t>NO</t>
        </is>
      </c>
      <c r="L200" s="29" t="n"/>
      <c r="M200" s="29" t="n"/>
      <c r="N200" s="29" t="n"/>
      <c r="O200" s="29" t="n"/>
      <c r="P200" s="29" t="inlineStr"/>
      <c r="Q200" s="29" t="inlineStr"/>
      <c r="R200" s="18" t="inlineStr">
        <is>
          <t>2575.0</t>
        </is>
      </c>
      <c r="S200" s="29" t="inlineStr"/>
      <c r="T200" s="29" t="inlineStr"/>
      <c r="U200" s="18" t="inlineStr"/>
      <c r="V200" s="18" t="inlineStr">
        <is>
          <t>NO</t>
        </is>
      </c>
      <c r="W200" s="18" t="inlineStr">
        <is>
          <t>—</t>
        </is>
      </c>
      <c r="X200" s="18" t="inlineStr">
        <is>
          <t>—</t>
        </is>
      </c>
      <c r="Y200" s="18" t="inlineStr"/>
      <c r="Z200" s="29" t="inlineStr">
        <is>
          <t>—</t>
        </is>
      </c>
      <c r="AA200" s="29" t="b">
        <v>0</v>
      </c>
      <c r="AB200" s="29" t="b">
        <v>1</v>
      </c>
      <c r="AC200" s="29" t="b">
        <v>0</v>
      </c>
      <c r="AD200" s="29" t="inlineStr">
        <is>
          <t>NO</t>
        </is>
      </c>
      <c r="AE200" s="29" t="inlineStr"/>
      <c r="AF200" s="29" t="inlineStr"/>
      <c r="AG200" s="29" t="inlineStr"/>
      <c r="AH200" s="29" t="inlineStr"/>
      <c r="AI200" s="29" t="inlineStr"/>
      <c r="AJ200" s="29" t="inlineStr"/>
      <c r="AK200" s="29" t="inlineStr"/>
      <c r="AL200" s="29" t="inlineStr"/>
      <c r="AM200" s="29" t="inlineStr"/>
      <c r="AN200" s="29" t="n"/>
      <c r="AO200" s="29" t="inlineStr"/>
      <c r="AP200" s="29" t="inlineStr"/>
      <c r="AQ200" s="29" t="inlineStr"/>
      <c r="AR200" s="29" t="inlineStr"/>
      <c r="AS200" s="29" t="inlineStr"/>
      <c r="AT200" s="29" t="inlineStr"/>
      <c r="AU200" s="29" t="inlineStr"/>
      <c r="AV200" s="29" t="inlineStr"/>
      <c r="AW200" s="29" t="inlineStr"/>
      <c r="AX200" s="29" t="inlineStr"/>
      <c r="AY200" s="29" t="inlineStr">
        <is>
          <t>1</t>
        </is>
      </c>
      <c r="AZ200" s="29" t="inlineStr">
        <is>
          <t>sept-2026</t>
        </is>
      </c>
      <c r="BD200" s="81">
        <f>0</f>
        <v/>
      </c>
      <c r="BE200" s="81">
        <f>IFERROR((IF(ISNUMBER(T200),MIN(T200/30,1),0)+IF(ISNUMBER(P200),MIN(P200/500,1),0))/2,0)</f>
        <v/>
      </c>
      <c r="BF200" s="81">
        <f>IFERROR(IF(OR(U200&lt;&gt;"",V200="SÍ"),IF(ISNUMBER(L200),(1*MIN(L200/10000,1))^0.5,0),IF(ISNUMBER(L200),(0*MIN(L200/10000,1))^0.5,0)),0)</f>
        <v/>
      </c>
    </row>
    <row r="201">
      <c r="A201" t="inlineStr">
        <is>
          <t>MIDAGRI; CENCOOP 2017; SISPAC</t>
        </is>
      </c>
      <c r="B201" s="70" t="inlineStr">
        <is>
          <t>20568549083</t>
        </is>
      </c>
      <c r="C201" s="30" t="inlineStr">
        <is>
          <t>Cooperativa Agraria Industrial Apasc Sancore Palcazu Ltda.</t>
        </is>
      </c>
      <c r="D201" s="30" t="inlineStr"/>
      <c r="E201" s="30" t="inlineStr">
        <is>
          <t>VENTA AL POR MENOR DE ALIMENTOS, BEBIDAS Y TABACO EN ALMACENES ESPECIALIZADOS</t>
        </is>
      </c>
      <c r="F201" s="30" t="inlineStr">
        <is>
          <t>Pasco</t>
        </is>
      </c>
      <c r="G201" s="30" t="inlineStr">
        <is>
          <t>Oxapampa</t>
        </is>
      </c>
      <c r="H201" s="30" t="inlineStr">
        <is>
          <t>—</t>
        </is>
      </c>
      <c r="I201" s="30" t="inlineStr">
        <is>
          <t>—</t>
        </is>
      </c>
      <c r="J201" s="30" t="n"/>
      <c r="K201" s="30" t="inlineStr">
        <is>
          <t>NO</t>
        </is>
      </c>
      <c r="L201" s="30" t="n"/>
      <c r="M201" s="30" t="n"/>
      <c r="N201" s="30" t="n"/>
      <c r="O201" s="30" t="n"/>
      <c r="P201" s="30" t="inlineStr"/>
      <c r="Q201" s="30" t="inlineStr"/>
      <c r="R201" s="14" t="inlineStr">
        <is>
          <t>2575.0</t>
        </is>
      </c>
      <c r="S201" s="30" t="inlineStr"/>
      <c r="T201" s="30" t="inlineStr"/>
      <c r="U201" s="14" t="inlineStr"/>
      <c r="V201" s="14" t="inlineStr">
        <is>
          <t>NO</t>
        </is>
      </c>
      <c r="W201" s="14" t="inlineStr">
        <is>
          <t>—</t>
        </is>
      </c>
      <c r="X201" s="14" t="inlineStr">
        <is>
          <t>—</t>
        </is>
      </c>
      <c r="Y201" s="14" t="inlineStr"/>
      <c r="Z201" s="30" t="inlineStr">
        <is>
          <t>—</t>
        </is>
      </c>
      <c r="AA201" s="30" t="b">
        <v>0</v>
      </c>
      <c r="AB201" s="30" t="b">
        <v>1</v>
      </c>
      <c r="AC201" s="30" t="b">
        <v>0</v>
      </c>
      <c r="AD201" s="19" t="inlineStr">
        <is>
          <t>SI</t>
        </is>
      </c>
      <c r="AE201" s="30" t="inlineStr">
        <is>
          <t>COOPERATIVA AGRARIA INDUSTRIAL APASC SANCORE-PALCAZU LTDA.</t>
        </is>
      </c>
      <c r="AF201" s="30" t="inlineStr">
        <is>
          <t>PASCO</t>
        </is>
      </c>
      <c r="AG201" s="30" t="inlineStr">
        <is>
          <t>OXAPAMPA</t>
        </is>
      </c>
      <c r="AH201" s="30" t="inlineStr">
        <is>
          <t>PALCAZU</t>
        </is>
      </c>
      <c r="AI201" s="30" t="inlineStr">
        <is>
          <t>ISCOZASIN</t>
        </is>
      </c>
      <c r="AJ201" s="30" t="inlineStr">
        <is>
          <t>CULTIVO DE PLANTAS CON LAS QUE SE PREPARAN BEBIDAS</t>
        </is>
      </c>
      <c r="AK201" s="30" t="inlineStr">
        <is>
          <t>1.0</t>
        </is>
      </c>
      <c r="AL201" s="30" t="inlineStr">
        <is>
          <t>1.0</t>
        </is>
      </c>
      <c r="AM201" s="30" t="inlineStr">
        <is>
          <t>1.0</t>
        </is>
      </c>
      <c r="AN201" s="30" t="n">
        <v>4</v>
      </c>
      <c r="AO201" s="30" t="inlineStr">
        <is>
          <t>EGG TAMAYO LLUBISA MAGDALENA</t>
        </is>
      </c>
      <c r="AP201" s="30" t="inlineStr"/>
      <c r="AQ201" s="30" t="inlineStr"/>
      <c r="AR201" s="30" t="inlineStr">
        <is>
          <t>NO TIENE</t>
        </is>
      </c>
      <c r="AS201" s="30" t="inlineStr">
        <is>
          <t>APASC.SANCORE@GMAIL.COM</t>
        </is>
      </c>
      <c r="AT201" s="30" t="inlineStr">
        <is>
          <t>951969581</t>
        </is>
      </c>
      <c r="AU201" s="30" t="inlineStr">
        <is>
          <t>-10.185545</t>
        </is>
      </c>
      <c r="AV201" s="30" t="inlineStr">
        <is>
          <t>-75.14960666666666</t>
        </is>
      </c>
      <c r="AW201" s="30" t="inlineStr">
        <is>
          <t>2012.0</t>
        </is>
      </c>
      <c r="AX201" s="30" t="inlineStr">
        <is>
          <t>2013.0</t>
        </is>
      </c>
      <c r="AY201" s="30" t="inlineStr">
        <is>
          <t>1</t>
        </is>
      </c>
      <c r="AZ201" s="30" t="inlineStr">
        <is>
          <t>sept-2026</t>
        </is>
      </c>
      <c r="BD201" s="81">
        <f>0</f>
        <v/>
      </c>
      <c r="BE201" s="81">
        <f>IFERROR((IF(ISNUMBER(T201),MIN(T201/30,1),0)+IF(ISNUMBER(P201),MIN(P201/500,1),0))/2,0)</f>
        <v/>
      </c>
      <c r="BF201" s="81">
        <f>IFERROR(IF(OR(U201&lt;&gt;"",V201="SÍ"),IF(ISNUMBER(L201),(1*MIN(L201/10000,1))^0.5,0),IF(ISNUMBER(L201),(0*MIN(L201/10000,1))^0.5,0)),0)</f>
        <v/>
      </c>
    </row>
    <row r="202">
      <c r="A202" t="inlineStr">
        <is>
          <t>MIDAGRI; CENACOOP; CENCOOP 2017; SISPAC</t>
        </is>
      </c>
      <c r="B202" s="70" t="inlineStr">
        <is>
          <t>20568567731</t>
        </is>
      </c>
      <c r="C202" s="29" t="inlineStr">
        <is>
          <t>Cooperativa Agraria Villa Rica Golden Coffee Ltda.</t>
        </is>
      </c>
      <c r="D202" s="29" t="inlineStr"/>
      <c r="E202" s="29" t="inlineStr">
        <is>
          <t>VENTA AL POR MENOR DE ALIMENTOS, BEBIDAS Y TABACO EN ALMACENES ESPECIALIZADOS</t>
        </is>
      </c>
      <c r="F202" s="29" t="inlineStr">
        <is>
          <t>Pasco</t>
        </is>
      </c>
      <c r="G202" s="29" t="inlineStr">
        <is>
          <t>Oxapampa</t>
        </is>
      </c>
      <c r="H202" s="29" t="inlineStr">
        <is>
          <t>—</t>
        </is>
      </c>
      <c r="I202" s="29" t="inlineStr">
        <is>
          <t>—</t>
        </is>
      </c>
      <c r="J202" s="29" t="inlineStr">
        <is>
          <t>SI</t>
        </is>
      </c>
      <c r="K202" s="29" t="inlineStr">
        <is>
          <t>NO</t>
        </is>
      </c>
      <c r="L202" s="29" t="n">
        <v>0</v>
      </c>
      <c r="M202" s="29" t="n">
        <v>21210193.64</v>
      </c>
      <c r="N202" s="29" t="n">
        <v>124</v>
      </c>
      <c r="O202" s="29" t="n">
        <v>9</v>
      </c>
      <c r="P202" s="29" t="inlineStr"/>
      <c r="Q202" s="29" t="inlineStr"/>
      <c r="R202" s="18" t="inlineStr">
        <is>
          <t>2575.0</t>
        </is>
      </c>
      <c r="S202" s="29" t="inlineStr"/>
      <c r="T202" s="29" t="inlineStr"/>
      <c r="U202" s="18" t="inlineStr"/>
      <c r="V202" s="18" t="inlineStr">
        <is>
          <t>NO</t>
        </is>
      </c>
      <c r="W202" s="18" t="inlineStr">
        <is>
          <t>—</t>
        </is>
      </c>
      <c r="X202" s="18" t="inlineStr">
        <is>
          <t>—</t>
        </is>
      </c>
      <c r="Y202" s="18" t="inlineStr"/>
      <c r="Z202" s="29" t="inlineStr">
        <is>
          <t>—</t>
        </is>
      </c>
      <c r="AA202" s="29" t="b">
        <v>0</v>
      </c>
      <c r="AB202" s="29" t="b">
        <v>1</v>
      </c>
      <c r="AC202" s="29" t="b">
        <v>1</v>
      </c>
      <c r="AD202" s="19" t="inlineStr">
        <is>
          <t>SI</t>
        </is>
      </c>
      <c r="AE202" s="29" t="inlineStr">
        <is>
          <t>COOPERATIVA AGROINDUSTRIAL VILLA RICA GOLDEN COFFEE LTDA.</t>
        </is>
      </c>
      <c r="AF202" s="29" t="inlineStr">
        <is>
          <t>PASCO</t>
        </is>
      </c>
      <c r="AG202" s="29" t="inlineStr">
        <is>
          <t>OXAPAMPA</t>
        </is>
      </c>
      <c r="AH202" s="29" t="inlineStr">
        <is>
          <t>VILLA RICA</t>
        </is>
      </c>
      <c r="AI202" s="29" t="inlineStr">
        <is>
          <t>VILLA RICA</t>
        </is>
      </c>
      <c r="AJ202" s="29" t="inlineStr">
        <is>
          <t>CULTIVO DE CEREALES (EXCEPTO ARROZ), LEGUMBRES Y SEMILLAS OLEAGINOSAS</t>
        </is>
      </c>
      <c r="AK202" s="29" t="inlineStr">
        <is>
          <t>3.0</t>
        </is>
      </c>
      <c r="AL202" s="29" t="inlineStr">
        <is>
          <t>1.0</t>
        </is>
      </c>
      <c r="AM202" s="29" t="inlineStr">
        <is>
          <t>3.0</t>
        </is>
      </c>
      <c r="AN202" s="29" t="n">
        <v>4</v>
      </c>
      <c r="AO202" s="29" t="inlineStr">
        <is>
          <t>COCHACHI RIVERA ROBIN KALY</t>
        </is>
      </c>
      <c r="AP202" s="29" t="inlineStr">
        <is>
          <t>TECNICO AGROPECUARIO</t>
        </is>
      </c>
      <c r="AQ202" s="29" t="inlineStr">
        <is>
          <t>8.0</t>
        </is>
      </c>
      <c r="AR202" s="29" t="inlineStr">
        <is>
          <t>WWW.COOPVILLARICA.COM</t>
        </is>
      </c>
      <c r="AS202" s="29" t="inlineStr">
        <is>
          <t>COOPVILLARICA@COOPVILLARICA.COM</t>
        </is>
      </c>
      <c r="AT202" s="29" t="inlineStr">
        <is>
          <t>NO TIENE</t>
        </is>
      </c>
      <c r="AU202" s="29" t="inlineStr">
        <is>
          <t>-10.729835</t>
        </is>
      </c>
      <c r="AV202" s="29" t="inlineStr">
        <is>
          <t>-75.26498666666666</t>
        </is>
      </c>
      <c r="AW202" s="29" t="inlineStr">
        <is>
          <t>2012.0</t>
        </is>
      </c>
      <c r="AX202" s="29" t="inlineStr">
        <is>
          <t>2013.0</t>
        </is>
      </c>
      <c r="AY202" s="29" t="inlineStr">
        <is>
          <t>2</t>
        </is>
      </c>
      <c r="AZ202" s="29" t="inlineStr">
        <is>
          <t>sept-2026</t>
        </is>
      </c>
      <c r="BA202" t="inlineStr">
        <is>
          <t>BELGIUM; CANADA; DENMARK; FRANCE; GERMANY; IRELAND; NETHERLANDS; SWEDEN; UNITED STATES</t>
        </is>
      </c>
      <c r="BB202" t="n">
        <v>2015</v>
      </c>
      <c r="BC202" t="n">
        <v>2023</v>
      </c>
      <c r="BD202" s="81">
        <f>0</f>
        <v/>
      </c>
      <c r="BE202" s="81">
        <f>IFERROR((IF(ISNUMBER(T202),MIN(T202/30,1),0)+IF(ISNUMBER(P202),MIN(P202/500,1),0))/2,0)</f>
        <v/>
      </c>
      <c r="BF202" s="81">
        <f>IFERROR(IF(OR(U202&lt;&gt;"",V202="SÍ"),IF(ISNUMBER(L202),(1*MIN(L202/10000,1))^0.5,0),IF(ISNUMBER(L202),(0*MIN(L202/10000,1))^0.5,0)),0)</f>
        <v/>
      </c>
    </row>
    <row r="203">
      <c r="A203" t="inlineStr">
        <is>
          <t>MIDAGRI</t>
        </is>
      </c>
      <c r="B203" s="70" t="inlineStr">
        <is>
          <t>20605894977</t>
        </is>
      </c>
      <c r="C203" s="30" t="inlineStr">
        <is>
          <t>Cooperativa Agraria y Servicios San José Valle Paucartambo - Oxapampa</t>
        </is>
      </c>
      <c r="D203" s="30" t="inlineStr"/>
      <c r="E203" s="30" t="inlineStr">
        <is>
          <t>VENTA AL POR MENOR DE ALIMENTOS, BEBIDAS Y TABACO EN ALMACENES ESPECIALIZADOS</t>
        </is>
      </c>
      <c r="F203" s="30" t="inlineStr">
        <is>
          <t>Pasco</t>
        </is>
      </c>
      <c r="G203" s="30" t="inlineStr">
        <is>
          <t>Oxapampa</t>
        </is>
      </c>
      <c r="H203" s="30" t="inlineStr">
        <is>
          <t>—</t>
        </is>
      </c>
      <c r="I203" s="30" t="inlineStr">
        <is>
          <t>—</t>
        </is>
      </c>
      <c r="J203" s="30" t="n"/>
      <c r="K203" s="30" t="inlineStr">
        <is>
          <t>NO</t>
        </is>
      </c>
      <c r="L203" s="30" t="n"/>
      <c r="M203" s="30" t="n"/>
      <c r="N203" s="30" t="n"/>
      <c r="O203" s="30" t="n"/>
      <c r="P203" s="30" t="inlineStr"/>
      <c r="Q203" s="30" t="inlineStr"/>
      <c r="R203" s="14" t="inlineStr">
        <is>
          <t>2575.0</t>
        </is>
      </c>
      <c r="S203" s="30" t="inlineStr"/>
      <c r="T203" s="30" t="inlineStr"/>
      <c r="U203" s="14" t="inlineStr"/>
      <c r="V203" s="14" t="inlineStr">
        <is>
          <t>NO</t>
        </is>
      </c>
      <c r="W203" s="14" t="inlineStr">
        <is>
          <t>—</t>
        </is>
      </c>
      <c r="X203" s="14" t="inlineStr">
        <is>
          <t>—</t>
        </is>
      </c>
      <c r="Y203" s="14" t="inlineStr"/>
      <c r="Z203" s="30" t="inlineStr">
        <is>
          <t>—</t>
        </is>
      </c>
      <c r="AA203" s="30" t="b">
        <v>0</v>
      </c>
      <c r="AB203" s="30" t="b">
        <v>1</v>
      </c>
      <c r="AC203" s="30" t="b">
        <v>0</v>
      </c>
      <c r="AD203" s="30" t="inlineStr">
        <is>
          <t>NO</t>
        </is>
      </c>
      <c r="AE203" s="30" t="inlineStr"/>
      <c r="AF203" s="30" t="inlineStr"/>
      <c r="AG203" s="30" t="inlineStr"/>
      <c r="AH203" s="30" t="inlineStr"/>
      <c r="AI203" s="30" t="inlineStr"/>
      <c r="AJ203" s="30" t="inlineStr"/>
      <c r="AK203" s="30" t="inlineStr"/>
      <c r="AL203" s="30" t="inlineStr"/>
      <c r="AM203" s="30" t="inlineStr"/>
      <c r="AN203" s="30" t="n"/>
      <c r="AO203" s="30" t="inlineStr"/>
      <c r="AP203" s="30" t="inlineStr"/>
      <c r="AQ203" s="30" t="inlineStr"/>
      <c r="AR203" s="30" t="inlineStr"/>
      <c r="AS203" s="30" t="inlineStr"/>
      <c r="AT203" s="30" t="inlineStr"/>
      <c r="AU203" s="30" t="inlineStr"/>
      <c r="AV203" s="30" t="inlineStr"/>
      <c r="AW203" s="30" t="inlineStr"/>
      <c r="AX203" s="30" t="inlineStr"/>
      <c r="AY203" s="30" t="inlineStr">
        <is>
          <t>1</t>
        </is>
      </c>
      <c r="AZ203" s="30" t="inlineStr">
        <is>
          <t>sept-2026</t>
        </is>
      </c>
      <c r="BD203" s="81">
        <f>0</f>
        <v/>
      </c>
      <c r="BE203" s="81">
        <f>IFERROR((IF(ISNUMBER(T203),MIN(T203/30,1),0)+IF(ISNUMBER(P203),MIN(P203/500,1),0))/2,0)</f>
        <v/>
      </c>
      <c r="BF203" s="81">
        <f>IFERROR(IF(OR(U203&lt;&gt;"",V203="SÍ"),IF(ISNUMBER(L203),(1*MIN(L203/10000,1))^0.5,0),IF(ISNUMBER(L203),(0*MIN(L203/10000,1))^0.5,0)),0)</f>
        <v/>
      </c>
    </row>
    <row r="204">
      <c r="A204" t="inlineStr">
        <is>
          <t>MIDAGRI</t>
        </is>
      </c>
      <c r="B204" s="70" t="inlineStr">
        <is>
          <t>20609444941</t>
        </is>
      </c>
      <c r="C204" s="29" t="inlineStr">
        <is>
          <t>Cooperativa Agraria Agrolatina</t>
        </is>
      </c>
      <c r="D204" s="29" t="inlineStr"/>
      <c r="E204" s="29" t="inlineStr">
        <is>
          <t>VENTA AL POR MENOR DE ALIMENTOS, BEBIDAS Y TABACO EN ALMACENES ESPECIALIZADOS</t>
        </is>
      </c>
      <c r="F204" s="29" t="inlineStr">
        <is>
          <t>Piura</t>
        </is>
      </c>
      <c r="G204" s="29" t="inlineStr">
        <is>
          <t>Piura</t>
        </is>
      </c>
      <c r="H204" s="29" t="inlineStr">
        <is>
          <t>—</t>
        </is>
      </c>
      <c r="I204" s="29" t="inlineStr">
        <is>
          <t>—</t>
        </is>
      </c>
      <c r="J204" s="29" t="n"/>
      <c r="K204" s="29" t="inlineStr">
        <is>
          <t>NO</t>
        </is>
      </c>
      <c r="L204" s="29" t="n"/>
      <c r="M204" s="29" t="n"/>
      <c r="N204" s="29" t="n"/>
      <c r="O204" s="29" t="n"/>
      <c r="P204" s="29" t="inlineStr"/>
      <c r="Q204" s="29" t="inlineStr"/>
      <c r="R204" s="18" t="inlineStr">
        <is>
          <t>2575.0</t>
        </is>
      </c>
      <c r="S204" s="29" t="inlineStr"/>
      <c r="T204" s="29" t="inlineStr"/>
      <c r="U204" s="18" t="inlineStr"/>
      <c r="V204" s="18" t="inlineStr">
        <is>
          <t>NO</t>
        </is>
      </c>
      <c r="W204" s="18" t="inlineStr">
        <is>
          <t>—</t>
        </is>
      </c>
      <c r="X204" s="18" t="inlineStr">
        <is>
          <t>—</t>
        </is>
      </c>
      <c r="Y204" s="18" t="inlineStr"/>
      <c r="Z204" s="29" t="inlineStr">
        <is>
          <t>—</t>
        </is>
      </c>
      <c r="AA204" s="29" t="b">
        <v>0</v>
      </c>
      <c r="AB204" s="29" t="b">
        <v>1</v>
      </c>
      <c r="AC204" s="29" t="b">
        <v>0</v>
      </c>
      <c r="AD204" s="29" t="inlineStr">
        <is>
          <t>NO</t>
        </is>
      </c>
      <c r="AE204" s="29" t="inlineStr"/>
      <c r="AF204" s="29" t="inlineStr"/>
      <c r="AG204" s="29" t="inlineStr"/>
      <c r="AH204" s="29" t="inlineStr"/>
      <c r="AI204" s="29" t="inlineStr"/>
      <c r="AJ204" s="29" t="inlineStr"/>
      <c r="AK204" s="29" t="inlineStr"/>
      <c r="AL204" s="29" t="inlineStr"/>
      <c r="AM204" s="29" t="inlineStr"/>
      <c r="AN204" s="29" t="n"/>
      <c r="AO204" s="29" t="inlineStr"/>
      <c r="AP204" s="29" t="inlineStr"/>
      <c r="AQ204" s="29" t="inlineStr"/>
      <c r="AR204" s="29" t="inlineStr"/>
      <c r="AS204" s="29" t="inlineStr"/>
      <c r="AT204" s="29" t="inlineStr"/>
      <c r="AU204" s="29" t="inlineStr"/>
      <c r="AV204" s="29" t="inlineStr"/>
      <c r="AW204" s="29" t="inlineStr"/>
      <c r="AX204" s="29" t="inlineStr"/>
      <c r="AY204" s="29" t="inlineStr">
        <is>
          <t>1</t>
        </is>
      </c>
      <c r="AZ204" s="29" t="inlineStr">
        <is>
          <t>sept-2026</t>
        </is>
      </c>
      <c r="BD204" s="81">
        <f>0</f>
        <v/>
      </c>
      <c r="BE204" s="81">
        <f>IFERROR((IF(ISNUMBER(T204),MIN(T204/30,1),0)+IF(ISNUMBER(P204),MIN(P204/500,1),0))/2,0)</f>
        <v/>
      </c>
      <c r="BF204" s="81">
        <f>IFERROR(IF(OR(U204&lt;&gt;"",V204="SÍ"),IF(ISNUMBER(L204),(1*MIN(L204/10000,1))^0.5,0),IF(ISNUMBER(L204),(0*MIN(L204/10000,1))^0.5,0)),0)</f>
        <v/>
      </c>
    </row>
    <row r="205">
      <c r="A205" t="inlineStr">
        <is>
          <t>MIDAGRI; CENCOOP 2017; SISPAC</t>
        </is>
      </c>
      <c r="B205" s="70" t="inlineStr">
        <is>
          <t>20484163902</t>
        </is>
      </c>
      <c r="C205" s="30" t="inlineStr">
        <is>
          <t>Cooperativa Agraria Approcap Ltda.</t>
        </is>
      </c>
      <c r="D205" s="30" t="inlineStr"/>
      <c r="E205" s="30" t="inlineStr">
        <is>
          <t>VENTA AL POR MENOR DE ALIMENTOS, BEBIDAS Y TABACO EN ALMACENES ESPECIALIZADOS</t>
        </is>
      </c>
      <c r="F205" s="30" t="inlineStr">
        <is>
          <t>Piura</t>
        </is>
      </c>
      <c r="G205" s="30" t="inlineStr">
        <is>
          <t>Morropon</t>
        </is>
      </c>
      <c r="H205" s="30" t="inlineStr">
        <is>
          <t>Piura / Tumbes</t>
        </is>
      </c>
      <c r="I205" s="30" t="inlineStr">
        <is>
          <t>Cacao</t>
        </is>
      </c>
      <c r="J205" s="30" t="inlineStr">
        <is>
          <t>SI</t>
        </is>
      </c>
      <c r="K205" s="30" t="inlineStr">
        <is>
          <t>NO</t>
        </is>
      </c>
      <c r="L205" s="30" t="n">
        <v>232600</v>
      </c>
      <c r="M205" s="30" t="n">
        <v>1406163</v>
      </c>
      <c r="N205" s="30" t="n">
        <v>23</v>
      </c>
      <c r="O205" s="30" t="n">
        <v>4</v>
      </c>
      <c r="P205" s="30" t="inlineStr"/>
      <c r="Q205" s="30" t="inlineStr"/>
      <c r="R205" s="14" t="inlineStr">
        <is>
          <t>2575.0</t>
        </is>
      </c>
      <c r="S205" s="30" t="inlineStr"/>
      <c r="T205" s="30" t="inlineStr"/>
      <c r="U205" s="14" t="inlineStr"/>
      <c r="V205" s="15" t="inlineStr">
        <is>
          <t>SÍ</t>
        </is>
      </c>
      <c r="W205" s="14" t="inlineStr">
        <is>
          <t>—</t>
        </is>
      </c>
      <c r="X205" s="14" t="inlineStr">
        <is>
          <t>—</t>
        </is>
      </c>
      <c r="Y205" s="14" t="inlineStr"/>
      <c r="Z205" s="30" t="inlineStr">
        <is>
          <t>No disponible — requiere consulta directa (SUNAT/RUC.PE) o solicitud a la organización</t>
        </is>
      </c>
      <c r="AA205" s="30" t="b">
        <v>0</v>
      </c>
      <c r="AB205" s="30" t="b">
        <v>1</v>
      </c>
      <c r="AC205" s="30" t="b">
        <v>0</v>
      </c>
      <c r="AD205" s="19" t="inlineStr">
        <is>
          <t>SI</t>
        </is>
      </c>
      <c r="AE205" s="30" t="inlineStr">
        <is>
          <t>COOPERATIVA AGRARIA APPROCAP LTDA.</t>
        </is>
      </c>
      <c r="AF205" s="30" t="inlineStr">
        <is>
          <t>PIURA</t>
        </is>
      </c>
      <c r="AG205" s="30" t="inlineStr">
        <is>
          <t>MORROPON</t>
        </is>
      </c>
      <c r="AH205" s="30" t="inlineStr">
        <is>
          <t>SAN JUAN DE BIGOTE</t>
        </is>
      </c>
      <c r="AI205" s="30" t="inlineStr">
        <is>
          <t>CIUDAD SAN JUAN DE BIGOTE</t>
        </is>
      </c>
      <c r="AJ205" s="30" t="inlineStr">
        <is>
          <t>ELABORACIÓN DE CACAO Y CHOCOLATE Y DE PRODUCTOS DE CONFITERÍA</t>
        </is>
      </c>
      <c r="AK205" s="30" t="inlineStr">
        <is>
          <t>1.0</t>
        </is>
      </c>
      <c r="AL205" s="30" t="inlineStr">
        <is>
          <t>1.0</t>
        </is>
      </c>
      <c r="AM205" s="30" t="inlineStr">
        <is>
          <t>1.0</t>
        </is>
      </c>
      <c r="AN205" s="30" t="n">
        <v>2</v>
      </c>
      <c r="AO205" s="30" t="inlineStr">
        <is>
          <t>FERIA JIMENEZ OLIBERTO</t>
        </is>
      </c>
      <c r="AP205" s="30" t="inlineStr">
        <is>
          <t>AGRICULTOR</t>
        </is>
      </c>
      <c r="AQ205" s="30" t="inlineStr">
        <is>
          <t>6.0</t>
        </is>
      </c>
      <c r="AR205" s="30" t="inlineStr">
        <is>
          <t>NO TIENE</t>
        </is>
      </c>
      <c r="AS205" s="30" t="inlineStr">
        <is>
          <t>APPROCAP@YAHOO.ES</t>
        </is>
      </c>
      <c r="AT205" s="30" t="inlineStr">
        <is>
          <t>NO TIENE</t>
        </is>
      </c>
      <c r="AU205" s="30" t="inlineStr">
        <is>
          <t>-5.318046666666667</t>
        </is>
      </c>
      <c r="AV205" s="30" t="inlineStr">
        <is>
          <t>-79.78750833333334</t>
        </is>
      </c>
      <c r="AW205" s="30" t="inlineStr">
        <is>
          <t>2015.0</t>
        </is>
      </c>
      <c r="AX205" s="30" t="inlineStr">
        <is>
          <t>2015.0</t>
        </is>
      </c>
      <c r="AY205" s="30" t="inlineStr">
        <is>
          <t>1</t>
        </is>
      </c>
      <c r="AZ205" s="30" t="inlineStr">
        <is>
          <t>sept-2026</t>
        </is>
      </c>
      <c r="BA205" t="inlineStr">
        <is>
          <t>BELGIUM; GERMANY; PORTUGAL; SPAIN</t>
        </is>
      </c>
      <c r="BB205" t="n">
        <v>2010</v>
      </c>
      <c r="BC205" t="n">
        <v>2025</v>
      </c>
      <c r="BD205" s="81">
        <f>0</f>
        <v/>
      </c>
      <c r="BE205" s="81">
        <f>IFERROR((IF(ISNUMBER(T205),MIN(T205/30,1),0)+IF(ISNUMBER(P205),MIN(P205/500,1),0))/2,0)</f>
        <v/>
      </c>
      <c r="BF205" s="81">
        <f>IFERROR(IF(OR(U205&lt;&gt;"",V205="SÍ"),IF(ISNUMBER(L205),(1*MIN(L205/10000,1))^0.5,0),IF(ISNUMBER(L205),(0*MIN(L205/10000,1))^0.5,0)),0)</f>
        <v/>
      </c>
    </row>
    <row r="206">
      <c r="A206" t="inlineStr">
        <is>
          <t>MIDAGRI; CENCOOP 2017; SISPAC</t>
        </is>
      </c>
      <c r="B206" s="70" t="inlineStr">
        <is>
          <t>20146696041</t>
        </is>
      </c>
      <c r="C206" s="29" t="inlineStr">
        <is>
          <t>Cooperativa Agraria Cafetalera José Gabriel Condorcanqui Ltda.</t>
        </is>
      </c>
      <c r="D206" s="29" t="inlineStr"/>
      <c r="E206" s="29" t="inlineStr">
        <is>
          <t>VENTA AL POR MENOR DE ALIMENTOS, BEBIDAS Y TABACO EN ALMACENES ESPECIALIZADOS</t>
        </is>
      </c>
      <c r="F206" s="29" t="inlineStr">
        <is>
          <t>Piura</t>
        </is>
      </c>
      <c r="G206" s="29" t="inlineStr">
        <is>
          <t>Huancabamba</t>
        </is>
      </c>
      <c r="H206" s="29" t="inlineStr">
        <is>
          <t>—</t>
        </is>
      </c>
      <c r="I206" s="29" t="inlineStr">
        <is>
          <t>—</t>
        </is>
      </c>
      <c r="J206" s="29" t="n"/>
      <c r="K206" s="29" t="inlineStr">
        <is>
          <t>NO</t>
        </is>
      </c>
      <c r="L206" s="29" t="n"/>
      <c r="M206" s="29" t="n"/>
      <c r="N206" s="29" t="n"/>
      <c r="O206" s="29" t="n"/>
      <c r="P206" s="29" t="inlineStr"/>
      <c r="Q206" s="29" t="inlineStr"/>
      <c r="R206" s="18" t="inlineStr">
        <is>
          <t>2575.0</t>
        </is>
      </c>
      <c r="S206" s="29" t="inlineStr"/>
      <c r="T206" s="29" t="inlineStr"/>
      <c r="U206" s="18" t="inlineStr"/>
      <c r="V206" s="18" t="inlineStr">
        <is>
          <t>NO</t>
        </is>
      </c>
      <c r="W206" s="18" t="inlineStr">
        <is>
          <t>—</t>
        </is>
      </c>
      <c r="X206" s="18" t="inlineStr">
        <is>
          <t>—</t>
        </is>
      </c>
      <c r="Y206" s="18" t="inlineStr"/>
      <c r="Z206" s="29" t="inlineStr">
        <is>
          <t>—</t>
        </is>
      </c>
      <c r="AA206" s="29" t="b">
        <v>0</v>
      </c>
      <c r="AB206" s="29" t="b">
        <v>1</v>
      </c>
      <c r="AC206" s="29" t="b">
        <v>0</v>
      </c>
      <c r="AD206" s="19" t="inlineStr">
        <is>
          <t>SI</t>
        </is>
      </c>
      <c r="AE206" s="29" t="inlineStr">
        <is>
          <t>COOPERATIVA AGRARIA CAFET JOSE GABRIEL CONDORCA</t>
        </is>
      </c>
      <c r="AF206" s="29" t="inlineStr">
        <is>
          <t>PIURA</t>
        </is>
      </c>
      <c r="AG206" s="29" t="inlineStr">
        <is>
          <t>HUANCABAMBA</t>
        </is>
      </c>
      <c r="AH206" s="29" t="inlineStr">
        <is>
          <t>CANCHAQUE</t>
        </is>
      </c>
      <c r="AI206" s="29" t="inlineStr">
        <is>
          <t>CENTRO POBLADO COYONA</t>
        </is>
      </c>
      <c r="AJ206" s="29" t="inlineStr">
        <is>
          <t>VENTA AL POR MAYOR DE ALIMENTOS, BEBIDAS Y TABACO.</t>
        </is>
      </c>
      <c r="AK206" s="29" t="inlineStr">
        <is>
          <t>1.0</t>
        </is>
      </c>
      <c r="AL206" s="29" t="inlineStr">
        <is>
          <t>1.0</t>
        </is>
      </c>
      <c r="AM206" s="29" t="inlineStr">
        <is>
          <t>2.0</t>
        </is>
      </c>
      <c r="AN206" s="29" t="n">
        <v>46</v>
      </c>
      <c r="AO206" s="29" t="inlineStr">
        <is>
          <t>PEÑA RAMIREZ SANTOS RODOLFO</t>
        </is>
      </c>
      <c r="AP206" s="29" t="inlineStr">
        <is>
          <t>TECNICO AGROPECUARIO</t>
        </is>
      </c>
      <c r="AQ206" s="29" t="inlineStr">
        <is>
          <t>8.0</t>
        </is>
      </c>
      <c r="AR206" s="29" t="inlineStr">
        <is>
          <t>NO TIENE</t>
        </is>
      </c>
      <c r="AS206" s="29" t="inlineStr">
        <is>
          <t>NO TIENE</t>
        </is>
      </c>
      <c r="AT206" s="29" t="inlineStr">
        <is>
          <t>NO TIENE</t>
        </is>
      </c>
      <c r="AU206" s="29" t="inlineStr">
        <is>
          <t>-5.308434999999999</t>
        </is>
      </c>
      <c r="AV206" s="29" t="inlineStr">
        <is>
          <t>-79.61891999999999</t>
        </is>
      </c>
      <c r="AW206" s="29" t="inlineStr">
        <is>
          <t>1969.0</t>
        </is>
      </c>
      <c r="AX206" s="29" t="inlineStr">
        <is>
          <t>1971.0</t>
        </is>
      </c>
      <c r="AY206" s="29" t="inlineStr">
        <is>
          <t>1</t>
        </is>
      </c>
      <c r="AZ206" s="29" t="inlineStr">
        <is>
          <t>sept-2026</t>
        </is>
      </c>
      <c r="BD206" s="81">
        <f>0</f>
        <v/>
      </c>
      <c r="BE206" s="81">
        <f>IFERROR((IF(ISNUMBER(T206),MIN(T206/30,1),0)+IF(ISNUMBER(P206),MIN(P206/500,1),0))/2,0)</f>
        <v/>
      </c>
      <c r="BF206" s="81">
        <f>IFERROR(IF(OR(U206&lt;&gt;"",V206="SÍ"),IF(ISNUMBER(L206),(1*MIN(L206/10000,1))^0.5,0),IF(ISNUMBER(L206),(0*MIN(L206/10000,1))^0.5,0)),0)</f>
        <v/>
      </c>
    </row>
    <row r="207">
      <c r="A207" t="inlineStr">
        <is>
          <t>MIDAGRI</t>
        </is>
      </c>
      <c r="B207" s="70" t="inlineStr">
        <is>
          <t>20608371291</t>
        </is>
      </c>
      <c r="C207" s="30" t="inlineStr">
        <is>
          <t>Cooperativa Agraria Los Apus de Las Huarigas de Huancabamba</t>
        </is>
      </c>
      <c r="D207" s="30" t="inlineStr"/>
      <c r="E207" s="30" t="inlineStr">
        <is>
          <t>VENTA AL POR MENOR DE ALIMENTOS, BEBIDAS Y TABACO EN ALMACENES ESPECIALIZADOS</t>
        </is>
      </c>
      <c r="F207" s="30" t="inlineStr">
        <is>
          <t>Piura</t>
        </is>
      </c>
      <c r="G207" s="30" t="inlineStr">
        <is>
          <t>Huancabamba</t>
        </is>
      </c>
      <c r="H207" s="30" t="inlineStr">
        <is>
          <t>—</t>
        </is>
      </c>
      <c r="I207" s="30" t="inlineStr">
        <is>
          <t>—</t>
        </is>
      </c>
      <c r="J207" s="30" t="n"/>
      <c r="K207" s="30" t="inlineStr">
        <is>
          <t>NO</t>
        </is>
      </c>
      <c r="L207" s="30" t="n"/>
      <c r="M207" s="30" t="n"/>
      <c r="N207" s="30" t="n"/>
      <c r="O207" s="30" t="n"/>
      <c r="P207" s="30" t="inlineStr"/>
      <c r="Q207" s="30" t="inlineStr"/>
      <c r="R207" s="14" t="inlineStr">
        <is>
          <t>2575.0</t>
        </is>
      </c>
      <c r="S207" s="30" t="inlineStr"/>
      <c r="T207" s="30" t="inlineStr"/>
      <c r="U207" s="14" t="inlineStr"/>
      <c r="V207" s="14" t="inlineStr">
        <is>
          <t>NO</t>
        </is>
      </c>
      <c r="W207" s="14" t="inlineStr">
        <is>
          <t>—</t>
        </is>
      </c>
      <c r="X207" s="14" t="inlineStr">
        <is>
          <t>—</t>
        </is>
      </c>
      <c r="Y207" s="14" t="inlineStr"/>
      <c r="Z207" s="30" t="inlineStr">
        <is>
          <t>—</t>
        </is>
      </c>
      <c r="AA207" s="30" t="b">
        <v>0</v>
      </c>
      <c r="AB207" s="30" t="b">
        <v>1</v>
      </c>
      <c r="AC207" s="30" t="b">
        <v>0</v>
      </c>
      <c r="AD207" s="30" t="inlineStr">
        <is>
          <t>NO</t>
        </is>
      </c>
      <c r="AE207" s="30" t="inlineStr"/>
      <c r="AF207" s="30" t="inlineStr"/>
      <c r="AG207" s="30" t="inlineStr"/>
      <c r="AH207" s="30" t="inlineStr"/>
      <c r="AI207" s="30" t="inlineStr"/>
      <c r="AJ207" s="30" t="inlineStr"/>
      <c r="AK207" s="30" t="inlineStr"/>
      <c r="AL207" s="30" t="inlineStr"/>
      <c r="AM207" s="30" t="inlineStr"/>
      <c r="AN207" s="30" t="n"/>
      <c r="AO207" s="30" t="inlineStr"/>
      <c r="AP207" s="30" t="inlineStr"/>
      <c r="AQ207" s="30" t="inlineStr"/>
      <c r="AR207" s="30" t="inlineStr"/>
      <c r="AS207" s="30" t="inlineStr"/>
      <c r="AT207" s="30" t="inlineStr"/>
      <c r="AU207" s="30" t="inlineStr"/>
      <c r="AV207" s="30" t="inlineStr"/>
      <c r="AW207" s="30" t="inlineStr"/>
      <c r="AX207" s="30" t="inlineStr"/>
      <c r="AY207" s="30" t="inlineStr">
        <is>
          <t>1</t>
        </is>
      </c>
      <c r="AZ207" s="30" t="inlineStr">
        <is>
          <t>sept-2026</t>
        </is>
      </c>
      <c r="BD207" s="81">
        <f>0</f>
        <v/>
      </c>
      <c r="BE207" s="81">
        <f>IFERROR((IF(ISNUMBER(T207),MIN(T207/30,1),0)+IF(ISNUMBER(P207),MIN(P207/500,1),0))/2,0)</f>
        <v/>
      </c>
      <c r="BF207" s="81">
        <f>IFERROR(IF(OR(U207&lt;&gt;"",V207="SÍ"),IF(ISNUMBER(L207),(1*MIN(L207/10000,1))^0.5,0),IF(ISNUMBER(L207),(0*MIN(L207/10000,1))^0.5,0)),0)</f>
        <v/>
      </c>
    </row>
    <row r="208">
      <c r="A208" t="inlineStr">
        <is>
          <t>PAC; MIDAGRI; CENCOOP 2017</t>
        </is>
      </c>
      <c r="B208" s="70" t="inlineStr">
        <is>
          <t>20525416543</t>
        </is>
      </c>
      <c r="C208" s="29" t="inlineStr">
        <is>
          <t>Cooperativa Agraria Norandino Ltda.</t>
        </is>
      </c>
      <c r="D208" s="29" t="inlineStr"/>
      <c r="E208" s="29" t="inlineStr">
        <is>
          <t>VENTA AL POR MENOR DE ALIMENTOS, BEBIDAS Y TABACO EN ALMACENES ESPECIALIZADOS</t>
        </is>
      </c>
      <c r="F208" s="29" t="inlineStr">
        <is>
          <t>Piura</t>
        </is>
      </c>
      <c r="G208" s="29" t="inlineStr">
        <is>
          <t>Piura</t>
        </is>
      </c>
      <c r="H208" s="29" t="inlineStr">
        <is>
          <t>Piura</t>
        </is>
      </c>
      <c r="I208" s="29" t="inlineStr">
        <is>
          <t>Cacao / Café / Panela</t>
        </is>
      </c>
      <c r="J208" s="29" t="inlineStr">
        <is>
          <t>SI</t>
        </is>
      </c>
      <c r="K208" s="29" t="inlineStr">
        <is>
          <t>NO</t>
        </is>
      </c>
      <c r="L208" s="29" t="n">
        <v>25612277.97</v>
      </c>
      <c r="M208" s="29" t="n">
        <v>321715696.59</v>
      </c>
      <c r="N208" s="29" t="n">
        <v>1285</v>
      </c>
      <c r="O208" s="29" t="n">
        <v>30</v>
      </c>
      <c r="P208" s="29" t="inlineStr"/>
      <c r="Q208" s="29" t="inlineStr"/>
      <c r="R208" s="18" t="inlineStr">
        <is>
          <t>2575.0</t>
        </is>
      </c>
      <c r="S208" s="29" t="inlineStr"/>
      <c r="T208" s="29" t="inlineStr"/>
      <c r="U208" s="18" t="inlineStr"/>
      <c r="V208" s="15" t="inlineStr">
        <is>
          <t>SÍ</t>
        </is>
      </c>
      <c r="W208" s="18" t="inlineStr">
        <is>
          <t>—</t>
        </is>
      </c>
      <c r="X208" s="18" t="inlineStr">
        <is>
          <t>Primera inscrita en RNCA-MIDAGRI; 90 orgs. de base, ~4,790 productores; posible sucesora de Cepicafé — verificar</t>
        </is>
      </c>
      <c r="Y208" s="18" t="inlineStr"/>
      <c r="Z208" s="29" t="inlineStr">
        <is>
          <t>No disponible — requiere consulta directa (SUNAT/RUC.PE) o solicitud a la organización</t>
        </is>
      </c>
      <c r="AA208" s="29" t="b">
        <v>1</v>
      </c>
      <c r="AB208" s="29" t="b">
        <v>1</v>
      </c>
      <c r="AC208" s="29" t="b">
        <v>0</v>
      </c>
      <c r="AD208" s="19" t="inlineStr">
        <is>
          <t>SI</t>
        </is>
      </c>
      <c r="AE208" s="29" t="inlineStr">
        <is>
          <t>COOPERATIVA AGRARIA NORANDINO LTDA..- COOP. NORANDINO</t>
        </is>
      </c>
      <c r="AF208" s="29" t="inlineStr">
        <is>
          <t>PIURA</t>
        </is>
      </c>
      <c r="AG208" s="29" t="inlineStr">
        <is>
          <t>PIURA</t>
        </is>
      </c>
      <c r="AH208" s="29" t="inlineStr">
        <is>
          <t>PIURA</t>
        </is>
      </c>
      <c r="AI208" s="29" t="inlineStr">
        <is>
          <t>CIUDAD</t>
        </is>
      </c>
      <c r="AJ208" s="29" t="inlineStr">
        <is>
          <t>VENTA AL POR MAYOR DE MATERIAS PRIMAS AGROPECUARIAS Y ANIMALES VIVOS.</t>
        </is>
      </c>
      <c r="AK208" s="29" t="inlineStr">
        <is>
          <t>1.0</t>
        </is>
      </c>
      <c r="AL208" s="29" t="inlineStr">
        <is>
          <t>1.0</t>
        </is>
      </c>
      <c r="AM208" s="29" t="inlineStr">
        <is>
          <t>3.0</t>
        </is>
      </c>
      <c r="AN208" s="29" t="n">
        <v>4</v>
      </c>
      <c r="AO208" s="29" t="inlineStr">
        <is>
          <t>CRUZ ZURITA KLEHBER</t>
        </is>
      </c>
      <c r="AP208" s="29" t="inlineStr">
        <is>
          <t>CONTADOR</t>
        </is>
      </c>
      <c r="AQ208" s="29" t="inlineStr">
        <is>
          <t>10.0</t>
        </is>
      </c>
      <c r="AR208" s="29" t="inlineStr">
        <is>
          <t>WWW.COOPNORANDINO.COM.PE</t>
        </is>
      </c>
      <c r="AS208" s="29" t="inlineStr">
        <is>
          <t>COOPNORANDINO@COOPNORANDINO.COM.PE</t>
        </is>
      </c>
      <c r="AT208" s="29" t="inlineStr">
        <is>
          <t>981872410</t>
        </is>
      </c>
      <c r="AU208" s="29" t="inlineStr">
        <is>
          <t>-5.191515</t>
        </is>
      </c>
      <c r="AV208" s="29" t="inlineStr">
        <is>
          <t>-80.61131</t>
        </is>
      </c>
      <c r="AW208" s="29" t="inlineStr">
        <is>
          <t>2005.0</t>
        </is>
      </c>
      <c r="AX208" s="29" t="inlineStr">
        <is>
          <t>2013.0</t>
        </is>
      </c>
      <c r="AY208" s="29" t="inlineStr">
        <is>
          <t>2</t>
        </is>
      </c>
      <c r="AZ208" s="29" t="inlineStr">
        <is>
          <t>sept-2026</t>
        </is>
      </c>
      <c r="BA208" t="inlineStr">
        <is>
          <t>AUSTRALIA; BELGIUM; CANADA; CHILE; COLOMBIA; DENMARK; DOMINICAN REPUBLIC; ECUADOR; FRANCE; GERMANY; GREECE; IRELAND; ISRAEL; ITALY; JAPAN; KOREA, REPUBLIC OF; LATVIA; MEXICO; NETHERLANDS; NEW ZEALAND; PANAMA; PORTUGAL; RUSSIAN FEDERATION; SAUDI ARABIA; SLOVENIA; SPAIN; SWEDEN; SWITZERLAND; UNITED KINGDOM; UNITED STATES</t>
        </is>
      </c>
      <c r="BB208" t="n">
        <v>2013</v>
      </c>
      <c r="BC208" t="n">
        <v>2025</v>
      </c>
      <c r="BD208" s="81">
        <f>0</f>
        <v/>
      </c>
      <c r="BE208" s="81">
        <f>IFERROR((IF(ISNUMBER(T208),MIN(T208/30,1),0)+IF(ISNUMBER(P208),MIN(P208/500,1),0))/2,0)</f>
        <v/>
      </c>
      <c r="BF208" s="81">
        <f>IFERROR(IF(OR(U208&lt;&gt;"",V208="SÍ"),IF(ISNUMBER(L208),(1*MIN(L208/10000,1))^0.5,0),IF(ISNUMBER(L208),(0*MIN(L208/10000,1))^0.5,0)),0)</f>
        <v/>
      </c>
    </row>
    <row r="209">
      <c r="A209" t="inlineStr">
        <is>
          <t>PAC; MIDAGRI; CENACOOP; CENCOOP 2017; SISPAC</t>
        </is>
      </c>
      <c r="B209" s="70" t="inlineStr">
        <is>
          <t>20118578415</t>
        </is>
      </c>
      <c r="C209" s="30" t="inlineStr">
        <is>
          <t>Central de Cooperativas Agrarias Cafetaleras de Los Valles De Sandia Cecovasa Ltda.</t>
        </is>
      </c>
      <c r="D209" s="30" t="inlineStr"/>
      <c r="E209" s="30" t="inlineStr">
        <is>
          <t>—</t>
        </is>
      </c>
      <c r="F209" s="30" t="inlineStr">
        <is>
          <t>Puno</t>
        </is>
      </c>
      <c r="G209" s="30" t="inlineStr">
        <is>
          <t>Sandia</t>
        </is>
      </c>
      <c r="H209" s="30" t="inlineStr">
        <is>
          <t>Puno (San Juan del Oro, Sandia)</t>
        </is>
      </c>
      <c r="I209" s="30" t="inlineStr">
        <is>
          <t>Café</t>
        </is>
      </c>
      <c r="J209" s="17" t="inlineStr">
        <is>
          <t>SI</t>
        </is>
      </c>
      <c r="K209" s="30" t="inlineStr">
        <is>
          <t>SÍ</t>
        </is>
      </c>
      <c r="L209" s="30" t="n">
        <v>1774443.01</v>
      </c>
      <c r="M209" s="30" t="n">
        <v>65103739.33</v>
      </c>
      <c r="N209" s="30" t="n">
        <v>354</v>
      </c>
      <c r="O209" s="30" t="n">
        <v>18</v>
      </c>
      <c r="P209" s="30" t="inlineStr"/>
      <c r="Q209" s="30" t="inlineStr"/>
      <c r="R209" s="14" t="inlineStr">
        <is>
          <t>—</t>
        </is>
      </c>
      <c r="S209" s="30" t="inlineStr"/>
      <c r="T209" s="30" t="inlineStr"/>
      <c r="U209" s="14" t="inlineStr"/>
      <c r="V209" s="15" t="inlineStr">
        <is>
          <t>SÍ</t>
        </is>
      </c>
      <c r="W209" s="14" t="inlineStr">
        <is>
          <t>—</t>
        </is>
      </c>
      <c r="X209" s="14" t="inlineStr">
        <is>
          <t>8 cooperativas, ~4,581 productores</t>
        </is>
      </c>
      <c r="Y209" s="14" t="inlineStr"/>
      <c r="Z209" s="30" t="inlineStr">
        <is>
          <t>No disponible — requiere consulta directa (SUNAT/RUC.PE) o solicitud a la organización</t>
        </is>
      </c>
      <c r="AA209" s="30" t="b">
        <v>1</v>
      </c>
      <c r="AB209" s="30" t="b">
        <v>1</v>
      </c>
      <c r="AC209" s="30" t="b">
        <v>1</v>
      </c>
      <c r="AD209" s="19" t="inlineStr">
        <is>
          <t>SI</t>
        </is>
      </c>
      <c r="AE209" s="30" t="inlineStr">
        <is>
          <t>CENTRAL DE COOPERATIVAS AGRARIAS CAFETELERAS DE LOS VALLES DE SANDIA LTDA.</t>
        </is>
      </c>
      <c r="AF209" s="30" t="inlineStr">
        <is>
          <t>PUNO</t>
        </is>
      </c>
      <c r="AG209" s="30" t="inlineStr">
        <is>
          <t>SANDIA</t>
        </is>
      </c>
      <c r="AH209" s="30" t="inlineStr">
        <is>
          <t>SAN JUAN DEL ORO</t>
        </is>
      </c>
      <c r="AI209" s="30" t="inlineStr">
        <is>
          <t>SAN JUAN DEL ORO</t>
        </is>
      </c>
      <c r="AJ209" s="30" t="inlineStr">
        <is>
          <t>VENTA AL POR MAYOR DE MATERIAS PRIMAS AGROPECUARIAS Y ANIMALES VIVOS.</t>
        </is>
      </c>
      <c r="AK209" s="30" t="inlineStr">
        <is>
          <t>15.0</t>
        </is>
      </c>
      <c r="AL209" s="30" t="inlineStr">
        <is>
          <t>1.0</t>
        </is>
      </c>
      <c r="AM209" s="30" t="inlineStr">
        <is>
          <t>3.0</t>
        </is>
      </c>
      <c r="AN209" s="30" t="n">
        <v>10</v>
      </c>
      <c r="AO209" s="30" t="inlineStr">
        <is>
          <t>YUJRA VILCA WILSON</t>
        </is>
      </c>
      <c r="AP209" s="30" t="inlineStr">
        <is>
          <t>ECONOMISTA</t>
        </is>
      </c>
      <c r="AQ209" s="30" t="inlineStr">
        <is>
          <t>10.0</t>
        </is>
      </c>
      <c r="AR209" s="30" t="inlineStr">
        <is>
          <t>WWW.CECOVASA.COM.PE</t>
        </is>
      </c>
      <c r="AS209" s="30" t="inlineStr">
        <is>
          <t>MSENLINEA@YAHOO.ES</t>
        </is>
      </c>
      <c r="AT209" s="30" t="inlineStr">
        <is>
          <t>980727378</t>
        </is>
      </c>
      <c r="AU209" s="30" t="inlineStr">
        <is>
          <t>-14.114091666666665</t>
        </is>
      </c>
      <c r="AV209" s="30" t="inlineStr">
        <is>
          <t>-69.04642833333334</t>
        </is>
      </c>
      <c r="AW209" s="30" t="inlineStr">
        <is>
          <t>1970.0</t>
        </is>
      </c>
      <c r="AX209" s="30" t="inlineStr">
        <is>
          <t>2007.0</t>
        </is>
      </c>
      <c r="AY209" s="30" t="inlineStr">
        <is>
          <t>3</t>
        </is>
      </c>
      <c r="AZ209" s="30" t="inlineStr">
        <is>
          <t>sept-2026</t>
        </is>
      </c>
      <c r="BA209" t="inlineStr">
        <is>
          <t>BELGIUM; CANADA; CHINA; DENMARK; FRANCE; GERMANY; GREECE; IRELAND; ITALY; JAPAN; KOREA, REPUBLIC OF; MEXICO; NETHERLANDS; POLAND; SPAIN; SWEDEN; UNITED KINGDOM; UNITED STATES</t>
        </is>
      </c>
      <c r="BB209" t="n">
        <v>2010</v>
      </c>
      <c r="BC209" t="n">
        <v>2025</v>
      </c>
      <c r="BD209" s="81">
        <f>0</f>
        <v/>
      </c>
      <c r="BE209" s="81">
        <f>IFERROR((IF(ISNUMBER(T209),MIN(T209/30,1),0)+IF(ISNUMBER(P209),MIN(P209/500,1),0))/2,0)</f>
        <v/>
      </c>
      <c r="BF209" s="81">
        <f>IFERROR(IF(OR(U209&lt;&gt;"",V209="SÍ"),IF(ISNUMBER(L209),(1*MIN(L209/10000,1))^0.5,0),IF(ISNUMBER(L209),(0*MIN(L209/10000,1))^0.5,0)),0)</f>
        <v/>
      </c>
    </row>
    <row r="210">
      <c r="A210" t="inlineStr">
        <is>
          <t>MIDAGRI; CENACOOP; CENCOOP 2017</t>
        </is>
      </c>
      <c r="B210" s="70" t="inlineStr">
        <is>
          <t>20146128662</t>
        </is>
      </c>
      <c r="C210" s="29" t="inlineStr">
        <is>
          <t>Cooperativa Agraria Cafetalera Inambari Ltda.</t>
        </is>
      </c>
      <c r="D210" s="29" t="inlineStr"/>
      <c r="E210" s="29" t="inlineStr">
        <is>
          <t>VENTA AL POR MENOR DE ALIMENTOS, BEBIDAS Y TABACO EN ALMACENES ESPECIALIZADOS</t>
        </is>
      </c>
      <c r="F210" s="29" t="inlineStr">
        <is>
          <t>Puno</t>
        </is>
      </c>
      <c r="G210" s="29" t="inlineStr">
        <is>
          <t>Sandia</t>
        </is>
      </c>
      <c r="H210" s="29" t="inlineStr">
        <is>
          <t>—</t>
        </is>
      </c>
      <c r="I210" s="29" t="inlineStr">
        <is>
          <t>—</t>
        </is>
      </c>
      <c r="J210" s="29" t="n"/>
      <c r="K210" s="29" t="inlineStr">
        <is>
          <t>NO</t>
        </is>
      </c>
      <c r="L210" s="29" t="n"/>
      <c r="M210" s="29" t="n"/>
      <c r="N210" s="29" t="n"/>
      <c r="O210" s="29" t="n"/>
      <c r="P210" s="29" t="inlineStr"/>
      <c r="Q210" s="29" t="inlineStr"/>
      <c r="R210" s="18" t="inlineStr">
        <is>
          <t>2575.0</t>
        </is>
      </c>
      <c r="S210" s="29" t="inlineStr"/>
      <c r="T210" s="29" t="inlineStr"/>
      <c r="U210" s="18" t="inlineStr"/>
      <c r="V210" s="18" t="inlineStr">
        <is>
          <t>NO</t>
        </is>
      </c>
      <c r="W210" s="18" t="inlineStr">
        <is>
          <t>—</t>
        </is>
      </c>
      <c r="X210" s="18" t="inlineStr">
        <is>
          <t>—</t>
        </is>
      </c>
      <c r="Y210" s="18" t="inlineStr"/>
      <c r="Z210" s="29" t="inlineStr">
        <is>
          <t>—</t>
        </is>
      </c>
      <c r="AA210" s="29" t="b">
        <v>0</v>
      </c>
      <c r="AB210" s="29" t="b">
        <v>1</v>
      </c>
      <c r="AC210" s="29" t="b">
        <v>1</v>
      </c>
      <c r="AD210" s="19" t="inlineStr">
        <is>
          <t>SI</t>
        </is>
      </c>
      <c r="AE210" s="29" t="inlineStr">
        <is>
          <t>COOPERATIVA AGRARIA CAFETALERA INAMBARI LTDA.</t>
        </is>
      </c>
      <c r="AF210" s="29" t="inlineStr">
        <is>
          <t>PUNO</t>
        </is>
      </c>
      <c r="AG210" s="29" t="inlineStr">
        <is>
          <t>SANDIA</t>
        </is>
      </c>
      <c r="AH210" s="29" t="inlineStr">
        <is>
          <t>SANDIA</t>
        </is>
      </c>
      <c r="AI210" s="29" t="inlineStr">
        <is>
          <t>PUEBLO DE MASIAPO</t>
        </is>
      </c>
      <c r="AJ210" s="29" t="inlineStr">
        <is>
          <t>CULTIVO DE PRODUCTOS AGRÌCOLAS EN COMBINACIÒN CON LA CRÌA DE ANIMALES</t>
        </is>
      </c>
      <c r="AK210" s="29" t="inlineStr">
        <is>
          <t>1.0</t>
        </is>
      </c>
      <c r="AL210" s="29" t="inlineStr">
        <is>
          <t>1.0</t>
        </is>
      </c>
      <c r="AM210" s="29" t="inlineStr">
        <is>
          <t>1.0</t>
        </is>
      </c>
      <c r="AN210" s="29" t="n">
        <v>50</v>
      </c>
      <c r="AO210" s="29" t="inlineStr">
        <is>
          <t>MAMANI QUISPE BERNARDO</t>
        </is>
      </c>
      <c r="AP210" s="29" t="inlineStr">
        <is>
          <t>CONTADOR</t>
        </is>
      </c>
      <c r="AQ210" s="29" t="inlineStr">
        <is>
          <t>10.0</t>
        </is>
      </c>
      <c r="AR210" s="29" t="inlineStr">
        <is>
          <t>NO TIENE</t>
        </is>
      </c>
      <c r="AS210" s="29" t="inlineStr">
        <is>
          <t>NO TIENE</t>
        </is>
      </c>
      <c r="AT210" s="29" t="inlineStr">
        <is>
          <t>NO TIENE</t>
        </is>
      </c>
      <c r="AU210" s="29" t="inlineStr">
        <is>
          <t>-14.089448333333333</t>
        </is>
      </c>
      <c r="AV210" s="29" t="inlineStr">
        <is>
          <t>-69.24420833333333</t>
        </is>
      </c>
      <c r="AW210" s="29" t="inlineStr">
        <is>
          <t>1967.0</t>
        </is>
      </c>
      <c r="AX210" s="29" t="inlineStr">
        <is>
          <t>1967.0</t>
        </is>
      </c>
      <c r="AY210" s="29" t="inlineStr">
        <is>
          <t>2</t>
        </is>
      </c>
      <c r="AZ210" s="29" t="inlineStr">
        <is>
          <t>sept-2026</t>
        </is>
      </c>
      <c r="BD210" s="81">
        <f>0</f>
        <v/>
      </c>
      <c r="BE210" s="81">
        <f>IFERROR((IF(ISNUMBER(T210),MIN(T210/30,1),0)+IF(ISNUMBER(P210),MIN(P210/500,1),0))/2,0)</f>
        <v/>
      </c>
      <c r="BF210" s="81">
        <f>IFERROR(IF(OR(U210&lt;&gt;"",V210="SÍ"),IF(ISNUMBER(L210),(1*MIN(L210/10000,1))^0.5,0),IF(ISNUMBER(L210),(0*MIN(L210/10000,1))^0.5,0)),0)</f>
        <v/>
      </c>
    </row>
    <row r="211">
      <c r="A211" t="inlineStr">
        <is>
          <t>MIDAGRI; CENACOOP; CENCOOP 2017; SISPAC</t>
        </is>
      </c>
      <c r="B211" s="70" t="inlineStr">
        <is>
          <t>20145484597</t>
        </is>
      </c>
      <c r="C211" s="30" t="inlineStr">
        <is>
          <t>Cooperativa Agraria Cafetalera San Ignacio Ltda.</t>
        </is>
      </c>
      <c r="D211" s="30" t="inlineStr"/>
      <c r="E211" s="30" t="inlineStr">
        <is>
          <t>VENTA AL POR MENOR DE ALIMENTOS, BEBIDAS Y TABACO EN ALMACENES ESPECIALIZADOS</t>
        </is>
      </c>
      <c r="F211" s="30" t="inlineStr">
        <is>
          <t>Puno</t>
        </is>
      </c>
      <c r="G211" s="30" t="inlineStr">
        <is>
          <t>Sandia</t>
        </is>
      </c>
      <c r="H211" s="30" t="inlineStr">
        <is>
          <t>—</t>
        </is>
      </c>
      <c r="I211" s="30" t="inlineStr">
        <is>
          <t>—</t>
        </is>
      </c>
      <c r="J211" s="30" t="n"/>
      <c r="K211" s="30" t="inlineStr">
        <is>
          <t>NO</t>
        </is>
      </c>
      <c r="L211" s="30" t="n"/>
      <c r="M211" s="30" t="n"/>
      <c r="N211" s="30" t="n"/>
      <c r="O211" s="30" t="n"/>
      <c r="P211" s="30" t="inlineStr"/>
      <c r="Q211" s="30" t="inlineStr"/>
      <c r="R211" s="14" t="inlineStr">
        <is>
          <t>2575.0</t>
        </is>
      </c>
      <c r="S211" s="30" t="inlineStr"/>
      <c r="T211" s="30" t="inlineStr"/>
      <c r="U211" s="14" t="inlineStr"/>
      <c r="V211" s="14" t="inlineStr">
        <is>
          <t>NO</t>
        </is>
      </c>
      <c r="W211" s="14" t="inlineStr">
        <is>
          <t>—</t>
        </is>
      </c>
      <c r="X211" s="14" t="inlineStr">
        <is>
          <t>—</t>
        </is>
      </c>
      <c r="Y211" s="14" t="inlineStr"/>
      <c r="Z211" s="30" t="inlineStr">
        <is>
          <t>—</t>
        </is>
      </c>
      <c r="AA211" s="30" t="b">
        <v>0</v>
      </c>
      <c r="AB211" s="30" t="b">
        <v>1</v>
      </c>
      <c r="AC211" s="30" t="b">
        <v>1</v>
      </c>
      <c r="AD211" s="19" t="inlineStr">
        <is>
          <t>SI</t>
        </is>
      </c>
      <c r="AE211" s="30" t="inlineStr">
        <is>
          <t>COOPERATIVA AGRARIA CAFETALERA SAN IGNACIO LTDA.</t>
        </is>
      </c>
      <c r="AF211" s="30" t="inlineStr">
        <is>
          <t>PUNO</t>
        </is>
      </c>
      <c r="AG211" s="30" t="inlineStr">
        <is>
          <t>SANDIA</t>
        </is>
      </c>
      <c r="AH211" s="30" t="inlineStr">
        <is>
          <t>SAN PEDRO DE PUTINA PUNCO</t>
        </is>
      </c>
      <c r="AI211" s="30" t="inlineStr">
        <is>
          <t>NO TIENE</t>
        </is>
      </c>
      <c r="AJ211" s="30" t="inlineStr">
        <is>
          <t>ELABORACIÓN DE OTROS PRODUCTOS ALIMENTICIOS N.C.P.</t>
        </is>
      </c>
      <c r="AK211" s="30" t="inlineStr">
        <is>
          <t>1.0</t>
        </is>
      </c>
      <c r="AL211" s="30" t="inlineStr">
        <is>
          <t>1.0</t>
        </is>
      </c>
      <c r="AM211" s="30" t="inlineStr">
        <is>
          <t>1.0</t>
        </is>
      </c>
      <c r="AN211" s="30" t="n">
        <v>47</v>
      </c>
      <c r="AO211" s="30" t="inlineStr">
        <is>
          <t>MAMANI HUAYHUA JORGE</t>
        </is>
      </c>
      <c r="AP211" s="30" t="inlineStr">
        <is>
          <t>AGRICULTOR</t>
        </is>
      </c>
      <c r="AQ211" s="30" t="inlineStr">
        <is>
          <t>4.0</t>
        </is>
      </c>
      <c r="AR211" s="30" t="inlineStr">
        <is>
          <t>NO TIENE</t>
        </is>
      </c>
      <c r="AS211" s="30" t="inlineStr">
        <is>
          <t>NO TIENE</t>
        </is>
      </c>
      <c r="AT211" s="30" t="inlineStr">
        <is>
          <t>988619064</t>
        </is>
      </c>
      <c r="AU211" s="30" t="inlineStr">
        <is>
          <t>-14.113793333333335</t>
        </is>
      </c>
      <c r="AV211" s="30" t="inlineStr">
        <is>
          <t>-69.04697666666667</t>
        </is>
      </c>
      <c r="AW211" s="30" t="inlineStr">
        <is>
          <t>1970.0</t>
        </is>
      </c>
      <c r="AX211" s="30" t="inlineStr">
        <is>
          <t>1970.0</t>
        </is>
      </c>
      <c r="AY211" s="30" t="inlineStr">
        <is>
          <t>2</t>
        </is>
      </c>
      <c r="AZ211" s="30" t="inlineStr">
        <is>
          <t>sept-2026</t>
        </is>
      </c>
      <c r="BD211" s="81">
        <f>0</f>
        <v/>
      </c>
      <c r="BE211" s="81">
        <f>IFERROR((IF(ISNUMBER(T211),MIN(T211/30,1),0)+IF(ISNUMBER(P211),MIN(P211/500,1),0))/2,0)</f>
        <v/>
      </c>
      <c r="BF211" s="81">
        <f>IFERROR(IF(OR(U211&lt;&gt;"",V211="SÍ"),IF(ISNUMBER(L211),(1*MIN(L211/10000,1))^0.5,0),IF(ISNUMBER(L211),(0*MIN(L211/10000,1))^0.5,0)),0)</f>
        <v/>
      </c>
    </row>
    <row r="212">
      <c r="A212" t="inlineStr">
        <is>
          <t>MIDAGRI; CENCOOP 2017</t>
        </is>
      </c>
      <c r="B212" s="70" t="inlineStr">
        <is>
          <t>20185883664</t>
        </is>
      </c>
      <c r="C212" s="29" t="inlineStr">
        <is>
          <t>Cooperativa Agraria Cafetalera Túpac Amaru Ltda.</t>
        </is>
      </c>
      <c r="D212" s="29" t="inlineStr"/>
      <c r="E212" s="29" t="inlineStr">
        <is>
          <t>VENTA AL POR MENOR DE ALIMENTOS, BEBIDAS Y TABACO EN ALMACENES ESPECIALIZADOS</t>
        </is>
      </c>
      <c r="F212" s="29" t="inlineStr">
        <is>
          <t>Puno</t>
        </is>
      </c>
      <c r="G212" s="29" t="inlineStr">
        <is>
          <t>Sandia</t>
        </is>
      </c>
      <c r="H212" s="29" t="inlineStr">
        <is>
          <t>—</t>
        </is>
      </c>
      <c r="I212" s="29" t="inlineStr">
        <is>
          <t>—</t>
        </is>
      </c>
      <c r="J212" s="29" t="n"/>
      <c r="K212" s="29" t="inlineStr">
        <is>
          <t>NO</t>
        </is>
      </c>
      <c r="L212" s="29" t="n"/>
      <c r="M212" s="29" t="n"/>
      <c r="N212" s="29" t="n"/>
      <c r="O212" s="29" t="n"/>
      <c r="P212" s="29" t="inlineStr"/>
      <c r="Q212" s="29" t="inlineStr"/>
      <c r="R212" s="18" t="inlineStr">
        <is>
          <t>2575.0</t>
        </is>
      </c>
      <c r="S212" s="29" t="inlineStr"/>
      <c r="T212" s="29" t="inlineStr"/>
      <c r="U212" s="18" t="inlineStr"/>
      <c r="V212" s="18" t="inlineStr">
        <is>
          <t>NO</t>
        </is>
      </c>
      <c r="W212" s="18" t="inlineStr">
        <is>
          <t>—</t>
        </is>
      </c>
      <c r="X212" s="18" t="inlineStr">
        <is>
          <t>—</t>
        </is>
      </c>
      <c r="Y212" s="18" t="inlineStr"/>
      <c r="Z212" s="29" t="inlineStr">
        <is>
          <t>—</t>
        </is>
      </c>
      <c r="AA212" s="29" t="b">
        <v>0</v>
      </c>
      <c r="AB212" s="29" t="b">
        <v>1</v>
      </c>
      <c r="AC212" s="29" t="b">
        <v>0</v>
      </c>
      <c r="AD212" s="19" t="inlineStr">
        <is>
          <t>SI</t>
        </is>
      </c>
      <c r="AE212" s="29" t="inlineStr">
        <is>
          <t>COOPERATIVA AGRARIA CAFETALERA TUDirectorio PAC AMARU LTDA.</t>
        </is>
      </c>
      <c r="AF212" s="29" t="inlineStr">
        <is>
          <t>PUNO</t>
        </is>
      </c>
      <c r="AG212" s="29" t="inlineStr">
        <is>
          <t>SANDIA</t>
        </is>
      </c>
      <c r="AH212" s="29" t="inlineStr">
        <is>
          <t>ALTO INAMBARI</t>
        </is>
      </c>
      <c r="AI212" s="29" t="inlineStr">
        <is>
          <t>QUIQUIRA</t>
        </is>
      </c>
      <c r="AJ212" s="29" t="inlineStr">
        <is>
          <t>CULTIVO DE PRODUCTOS AGRÌCOLAS EN COMBINACIÒN CON LA CRÌA DE ANIMALES</t>
        </is>
      </c>
      <c r="AK212" s="29" t="inlineStr">
        <is>
          <t>1.0</t>
        </is>
      </c>
      <c r="AL212" s="29" t="inlineStr">
        <is>
          <t>1.0</t>
        </is>
      </c>
      <c r="AM212" s="29" t="inlineStr">
        <is>
          <t>1.0</t>
        </is>
      </c>
      <c r="AN212" s="29" t="n">
        <v>24</v>
      </c>
      <c r="AO212" s="29" t="inlineStr">
        <is>
          <t>MAMANI APAZA PABLO</t>
        </is>
      </c>
      <c r="AP212" s="29" t="inlineStr">
        <is>
          <t>CONTADOR</t>
        </is>
      </c>
      <c r="AQ212" s="29" t="inlineStr">
        <is>
          <t>10.0</t>
        </is>
      </c>
      <c r="AR212" s="29" t="inlineStr">
        <is>
          <t>NO TIENE</t>
        </is>
      </c>
      <c r="AS212" s="29" t="inlineStr">
        <is>
          <t>NO TIENE</t>
        </is>
      </c>
      <c r="AT212" s="29" t="inlineStr">
        <is>
          <t>984412747</t>
        </is>
      </c>
      <c r="AU212" s="29" t="inlineStr">
        <is>
          <t>-14.160859999999998</t>
        </is>
      </c>
      <c r="AV212" s="29" t="inlineStr">
        <is>
          <t>-69.287435</t>
        </is>
      </c>
      <c r="AW212" s="29" t="inlineStr">
        <is>
          <t>1982.0</t>
        </is>
      </c>
      <c r="AX212" s="29" t="inlineStr">
        <is>
          <t>1993.0</t>
        </is>
      </c>
      <c r="AY212" s="29" t="inlineStr">
        <is>
          <t>1</t>
        </is>
      </c>
      <c r="AZ212" s="29" t="inlineStr">
        <is>
          <t>sept-2026</t>
        </is>
      </c>
      <c r="BD212" s="81">
        <f>0</f>
        <v/>
      </c>
      <c r="BE212" s="81">
        <f>IFERROR((IF(ISNUMBER(T212),MIN(T212/30,1),0)+IF(ISNUMBER(P212),MIN(P212/500,1),0))/2,0)</f>
        <v/>
      </c>
      <c r="BF212" s="81">
        <f>IFERROR(IF(OR(U212&lt;&gt;"",V212="SÍ"),IF(ISNUMBER(L212),(1*MIN(L212/10000,1))^0.5,0),IF(ISNUMBER(L212),(0*MIN(L212/10000,1))^0.5,0)),0)</f>
        <v/>
      </c>
    </row>
    <row r="213">
      <c r="A213" t="inlineStr">
        <is>
          <t>MIDAGRI; CENCOOP 2017</t>
        </is>
      </c>
      <c r="B213" s="70" t="inlineStr">
        <is>
          <t>20233074561</t>
        </is>
      </c>
      <c r="C213" s="30" t="inlineStr">
        <is>
          <t>Cooperativa Agraria Cafetalera Valle Grande</t>
        </is>
      </c>
      <c r="D213" s="30" t="inlineStr"/>
      <c r="E213" s="30" t="inlineStr">
        <is>
          <t>VENTA AL POR MENOR DE ALIMENTOS, BEBIDAS Y TABACO EN ALMACENES ESPECIALIZADOS</t>
        </is>
      </c>
      <c r="F213" s="30" t="inlineStr">
        <is>
          <t>Puno</t>
        </is>
      </c>
      <c r="G213" s="30" t="inlineStr">
        <is>
          <t>Sandia</t>
        </is>
      </c>
      <c r="H213" s="30" t="inlineStr">
        <is>
          <t>—</t>
        </is>
      </c>
      <c r="I213" s="30" t="inlineStr">
        <is>
          <t>—</t>
        </is>
      </c>
      <c r="J213" s="30" t="n"/>
      <c r="K213" s="30" t="inlineStr">
        <is>
          <t>NO</t>
        </is>
      </c>
      <c r="L213" s="30" t="n"/>
      <c r="M213" s="30" t="n"/>
      <c r="N213" s="30" t="n"/>
      <c r="O213" s="30" t="n"/>
      <c r="P213" s="30" t="inlineStr"/>
      <c r="Q213" s="30" t="inlineStr"/>
      <c r="R213" s="14" t="inlineStr">
        <is>
          <t>2575.0</t>
        </is>
      </c>
      <c r="S213" s="30" t="inlineStr"/>
      <c r="T213" s="30" t="inlineStr"/>
      <c r="U213" s="14" t="inlineStr"/>
      <c r="V213" s="14" t="inlineStr">
        <is>
          <t>NO</t>
        </is>
      </c>
      <c r="W213" s="14" t="inlineStr">
        <is>
          <t>—</t>
        </is>
      </c>
      <c r="X213" s="14" t="inlineStr">
        <is>
          <t>—</t>
        </is>
      </c>
      <c r="Y213" s="14" t="inlineStr"/>
      <c r="Z213" s="30" t="inlineStr">
        <is>
          <t>—</t>
        </is>
      </c>
      <c r="AA213" s="30" t="b">
        <v>0</v>
      </c>
      <c r="AB213" s="30" t="b">
        <v>1</v>
      </c>
      <c r="AC213" s="30" t="b">
        <v>0</v>
      </c>
      <c r="AD213" s="19" t="inlineStr">
        <is>
          <t>SI</t>
        </is>
      </c>
      <c r="AE213" s="30" t="inlineStr">
        <is>
          <t>COOPERATIVA AGRARIA CAFETALERA VALLE GDE</t>
        </is>
      </c>
      <c r="AF213" s="30" t="inlineStr">
        <is>
          <t>PUNO</t>
        </is>
      </c>
      <c r="AG213" s="30" t="inlineStr">
        <is>
          <t>SANDIA</t>
        </is>
      </c>
      <c r="AH213" s="30" t="inlineStr">
        <is>
          <t>ALTO INAMBARI</t>
        </is>
      </c>
      <c r="AI213" s="30" t="inlineStr">
        <is>
          <t>PAMPA YANAMAYO</t>
        </is>
      </c>
      <c r="AJ213" s="30" t="inlineStr">
        <is>
          <t>OTRAS ACTIVIDADES DE SERVICIOS PERSONALES N.C.P.</t>
        </is>
      </c>
      <c r="AK213" s="30" t="inlineStr">
        <is>
          <t>1.0</t>
        </is>
      </c>
      <c r="AL213" s="30" t="inlineStr">
        <is>
          <t>1.0</t>
        </is>
      </c>
      <c r="AM213" s="30" t="inlineStr">
        <is>
          <t>1.0</t>
        </is>
      </c>
      <c r="AN213" s="30" t="n">
        <v>24</v>
      </c>
      <c r="AO213" s="30" t="inlineStr">
        <is>
          <t>SURCO QUISPE MATEO</t>
        </is>
      </c>
      <c r="AP213" s="30" t="inlineStr">
        <is>
          <t>AGRICULTOR</t>
        </is>
      </c>
      <c r="AQ213" s="30" t="inlineStr">
        <is>
          <t>6.0</t>
        </is>
      </c>
      <c r="AR213" s="30" t="inlineStr">
        <is>
          <t>NO TIENE</t>
        </is>
      </c>
      <c r="AS213" s="30" t="inlineStr">
        <is>
          <t>NO TIENE</t>
        </is>
      </c>
      <c r="AT213" s="30" t="inlineStr">
        <is>
          <t>992763073</t>
        </is>
      </c>
      <c r="AU213" s="30" t="inlineStr">
        <is>
          <t>-14.001531666666665</t>
        </is>
      </c>
      <c r="AV213" s="30" t="inlineStr">
        <is>
          <t>-69.27013833333334</t>
        </is>
      </c>
      <c r="AW213" s="30" t="inlineStr">
        <is>
          <t>1973.0</t>
        </is>
      </c>
      <c r="AX213" s="30" t="inlineStr">
        <is>
          <t>1993.0</t>
        </is>
      </c>
      <c r="AY213" s="30" t="inlineStr">
        <is>
          <t>1</t>
        </is>
      </c>
      <c r="AZ213" s="30" t="inlineStr">
        <is>
          <t>sept-2026</t>
        </is>
      </c>
      <c r="BD213" s="81">
        <f>0</f>
        <v/>
      </c>
      <c r="BE213" s="81">
        <f>IFERROR((IF(ISNUMBER(T213),MIN(T213/30,1),0)+IF(ISNUMBER(P213),MIN(P213/500,1),0))/2,0)</f>
        <v/>
      </c>
      <c r="BF213" s="81">
        <f>IFERROR(IF(OR(U213&lt;&gt;"",V213="SÍ"),IF(ISNUMBER(L213),(1*MIN(L213/10000,1))^0.5,0),IF(ISNUMBER(L213),(0*MIN(L213/10000,1))^0.5,0)),0)</f>
        <v/>
      </c>
    </row>
    <row r="214">
      <c r="A214" t="inlineStr">
        <is>
          <t>MIDAGRI; CENACOOP; CENCOOP 2017</t>
        </is>
      </c>
      <c r="B214" s="70" t="inlineStr">
        <is>
          <t>20447895316</t>
        </is>
      </c>
      <c r="C214" s="29" t="inlineStr">
        <is>
          <t>Cooperativa Agraria Centro De Productores De Origen Natural Chacaneque Ltda.</t>
        </is>
      </c>
      <c r="D214" s="29" t="inlineStr"/>
      <c r="E214" s="29" t="inlineStr">
        <is>
          <t>VENTA AL POR MENOR DE ALIMENTOS, BEBIDAS Y TABACO EN ALMACENES ESPECIALIZADOS</t>
        </is>
      </c>
      <c r="F214" s="29" t="inlineStr">
        <is>
          <t>Puno</t>
        </is>
      </c>
      <c r="G214" s="29" t="inlineStr">
        <is>
          <t>Carabaya</t>
        </is>
      </c>
      <c r="H214" s="29" t="inlineStr">
        <is>
          <t>—</t>
        </is>
      </c>
      <c r="I214" s="29" t="inlineStr">
        <is>
          <t>—</t>
        </is>
      </c>
      <c r="J214" s="29" t="n"/>
      <c r="K214" s="29" t="inlineStr">
        <is>
          <t>NO</t>
        </is>
      </c>
      <c r="L214" s="29" t="n"/>
      <c r="M214" s="29" t="n"/>
      <c r="N214" s="29" t="n"/>
      <c r="O214" s="29" t="n"/>
      <c r="P214" s="29" t="inlineStr"/>
      <c r="Q214" s="29" t="inlineStr"/>
      <c r="R214" s="18" t="inlineStr">
        <is>
          <t>2575.0</t>
        </is>
      </c>
      <c r="S214" s="29" t="inlineStr"/>
      <c r="T214" s="29" t="inlineStr"/>
      <c r="U214" s="18" t="inlineStr"/>
      <c r="V214" s="18" t="inlineStr">
        <is>
          <t>NO</t>
        </is>
      </c>
      <c r="W214" s="18" t="inlineStr">
        <is>
          <t>—</t>
        </is>
      </c>
      <c r="X214" s="18" t="inlineStr">
        <is>
          <t>—</t>
        </is>
      </c>
      <c r="Y214" s="18" t="inlineStr"/>
      <c r="Z214" s="29" t="inlineStr">
        <is>
          <t>—</t>
        </is>
      </c>
      <c r="AA214" s="29" t="b">
        <v>0</v>
      </c>
      <c r="AB214" s="29" t="b">
        <v>1</v>
      </c>
      <c r="AC214" s="29" t="b">
        <v>1</v>
      </c>
      <c r="AD214" s="19" t="inlineStr">
        <is>
          <t>SI</t>
        </is>
      </c>
      <c r="AE214" s="29" t="inlineStr">
        <is>
          <t>COOPERATIVA AGRARIA CENTRO DE PRODUCTORES DE ORIGEN NATURAL CHACANEQUE LTDA.</t>
        </is>
      </c>
      <c r="AF214" s="29" t="inlineStr">
        <is>
          <t>PUNO</t>
        </is>
      </c>
      <c r="AG214" s="29" t="inlineStr">
        <is>
          <t>CARABAYA</t>
        </is>
      </c>
      <c r="AH214" s="29" t="inlineStr">
        <is>
          <t>SAN GABAN</t>
        </is>
      </c>
      <c r="AI214" s="29" t="inlineStr">
        <is>
          <t>CHACANEQUE</t>
        </is>
      </c>
      <c r="AJ214" s="29" t="inlineStr">
        <is>
          <t>CULTIVO DE PRODUCTOS AGRÌCOLAS EN COMBINACIÒN CON LA CRÌA DE ANIMALES</t>
        </is>
      </c>
      <c r="AK214" s="29" t="inlineStr">
        <is>
          <t>1.0</t>
        </is>
      </c>
      <c r="AL214" s="29" t="inlineStr">
        <is>
          <t>1.0</t>
        </is>
      </c>
      <c r="AM214" s="29" t="inlineStr">
        <is>
          <t>1.0</t>
        </is>
      </c>
      <c r="AN214" s="29" t="n">
        <v>1</v>
      </c>
      <c r="AO214" s="29" t="inlineStr">
        <is>
          <t>YAMPASI QUISPE ESTANISLAO</t>
        </is>
      </c>
      <c r="AP214" s="29" t="inlineStr">
        <is>
          <t>AGRICULTOR</t>
        </is>
      </c>
      <c r="AQ214" s="29" t="inlineStr">
        <is>
          <t>6.0</t>
        </is>
      </c>
      <c r="AR214" s="29" t="inlineStr">
        <is>
          <t>NO TIENE</t>
        </is>
      </c>
      <c r="AS214" s="29" t="inlineStr">
        <is>
          <t>NO TIENE</t>
        </is>
      </c>
      <c r="AT214" s="29" t="inlineStr">
        <is>
          <t>NO TIENE</t>
        </is>
      </c>
      <c r="AU214" s="29" t="inlineStr">
        <is>
          <t>-13.659098333333334</t>
        </is>
      </c>
      <c r="AV214" s="29" t="inlineStr">
        <is>
          <t>-70.47944833333332</t>
        </is>
      </c>
      <c r="AW214" s="29" t="inlineStr">
        <is>
          <t>2008.0</t>
        </is>
      </c>
      <c r="AX214" s="29" t="inlineStr">
        <is>
          <t>2016.0</t>
        </is>
      </c>
      <c r="AY214" s="29" t="inlineStr">
        <is>
          <t>2</t>
        </is>
      </c>
      <c r="AZ214" s="29" t="inlineStr">
        <is>
          <t>sept-2026</t>
        </is>
      </c>
      <c r="BD214" s="81">
        <f>0</f>
        <v/>
      </c>
      <c r="BE214" s="81">
        <f>IFERROR((IF(ISNUMBER(T214),MIN(T214/30,1),0)+IF(ISNUMBER(P214),MIN(P214/500,1),0))/2,0)</f>
        <v/>
      </c>
      <c r="BF214" s="81">
        <f>IFERROR(IF(OR(U214&lt;&gt;"",V214="SÍ"),IF(ISNUMBER(L214),(1*MIN(L214/10000,1))^0.5,0),IF(ISNUMBER(L214),(0*MIN(L214/10000,1))^0.5,0)),0)</f>
        <v/>
      </c>
    </row>
    <row r="215">
      <c r="A215" t="inlineStr">
        <is>
          <t>MIDAGRI; CENACOOP; CENCOOP 2017; SISPAC</t>
        </is>
      </c>
      <c r="B215" s="70" t="inlineStr">
        <is>
          <t>20447888701</t>
        </is>
      </c>
      <c r="C215" s="30" t="inlineStr">
        <is>
          <t>Cooperativa Agraria Industrial San Gabán Ltda.</t>
        </is>
      </c>
      <c r="D215" s="30" t="inlineStr"/>
      <c r="E215" s="30" t="inlineStr">
        <is>
          <t>VENTA AL POR MENOR DE ALIMENTOS, BEBIDAS Y TABACO EN ALMACENES ESPECIALIZADOS</t>
        </is>
      </c>
      <c r="F215" s="30" t="inlineStr">
        <is>
          <t>Puno</t>
        </is>
      </c>
      <c r="G215" s="30" t="inlineStr">
        <is>
          <t>Carabaya</t>
        </is>
      </c>
      <c r="H215" s="30" t="inlineStr">
        <is>
          <t>Puno</t>
        </is>
      </c>
      <c r="I215" s="30" t="inlineStr">
        <is>
          <t>Café / Cacao</t>
        </is>
      </c>
      <c r="J215" s="30" t="n"/>
      <c r="K215" s="30" t="inlineStr">
        <is>
          <t>NO</t>
        </is>
      </c>
      <c r="L215" s="30" t="n"/>
      <c r="M215" s="30" t="n"/>
      <c r="N215" s="30" t="n"/>
      <c r="O215" s="30" t="n"/>
      <c r="P215" s="30" t="inlineStr"/>
      <c r="Q215" s="30" t="inlineStr"/>
      <c r="R215" s="14" t="inlineStr">
        <is>
          <t>2575.0</t>
        </is>
      </c>
      <c r="S215" s="30" t="inlineStr"/>
      <c r="T215" s="30" t="inlineStr"/>
      <c r="U215" s="14" t="inlineStr"/>
      <c r="V215" s="15" t="inlineStr">
        <is>
          <t>SÍ</t>
        </is>
      </c>
      <c r="W215" s="14" t="inlineStr">
        <is>
          <t>—</t>
        </is>
      </c>
      <c r="X215" s="14" t="inlineStr">
        <is>
          <t>—</t>
        </is>
      </c>
      <c r="Y215" s="14" t="inlineStr"/>
      <c r="Z215" s="30" t="inlineStr">
        <is>
          <t>No disponible — requiere consulta directa (SUNAT/RUC.PE) o solicitud a la organización</t>
        </is>
      </c>
      <c r="AA215" s="30" t="b">
        <v>0</v>
      </c>
      <c r="AB215" s="30" t="b">
        <v>1</v>
      </c>
      <c r="AC215" s="30" t="b">
        <v>1</v>
      </c>
      <c r="AD215" s="19" t="inlineStr">
        <is>
          <t>SI</t>
        </is>
      </c>
      <c r="AE215" s="30" t="inlineStr">
        <is>
          <t>COOPERATIVA AGRARIA SAN GABAN LIMITADA</t>
        </is>
      </c>
      <c r="AF215" s="30" t="inlineStr">
        <is>
          <t>PUNO</t>
        </is>
      </c>
      <c r="AG215" s="30" t="inlineStr">
        <is>
          <t>CARABAYA</t>
        </is>
      </c>
      <c r="AH215" s="30" t="inlineStr">
        <is>
          <t>SAN GABAN</t>
        </is>
      </c>
      <c r="AI215" s="30" t="inlineStr">
        <is>
          <t>SAN GABAN</t>
        </is>
      </c>
      <c r="AJ215" s="30" t="inlineStr">
        <is>
          <t>CULTIVO DE PRODUCTOS AGRÌCOLAS EN COMBINACIÒN CON LA CRÌA DE ANIMALES</t>
        </is>
      </c>
      <c r="AK215" s="30" t="inlineStr">
        <is>
          <t>1.0</t>
        </is>
      </c>
      <c r="AL215" s="30" t="inlineStr">
        <is>
          <t>1.0</t>
        </is>
      </c>
      <c r="AM215" s="30" t="inlineStr">
        <is>
          <t>1.0</t>
        </is>
      </c>
      <c r="AN215" s="30" t="n">
        <v>9</v>
      </c>
      <c r="AO215" s="30" t="inlineStr">
        <is>
          <t>BUSTINZA MONTESINOS MIGUEL GABRIEL</t>
        </is>
      </c>
      <c r="AP215" s="30" t="inlineStr">
        <is>
          <t>INGENIERO AGRONOMO</t>
        </is>
      </c>
      <c r="AQ215" s="30" t="inlineStr">
        <is>
          <t>9.0</t>
        </is>
      </c>
      <c r="AR215" s="30" t="inlineStr">
        <is>
          <t>NO TIENE</t>
        </is>
      </c>
      <c r="AS215" s="30" t="inlineStr">
        <is>
          <t>CAISANGABAN@GMAIL.COM</t>
        </is>
      </c>
      <c r="AT215" s="30" t="inlineStr">
        <is>
          <t>962639808</t>
        </is>
      </c>
      <c r="AU215" s="30" t="inlineStr">
        <is>
          <t>-13.440876666666668</t>
        </is>
      </c>
      <c r="AV215" s="30" t="inlineStr">
        <is>
          <t>-70.40436</t>
        </is>
      </c>
      <c r="AW215" s="30" t="inlineStr">
        <is>
          <t>2008.0</t>
        </is>
      </c>
      <c r="AX215" s="30" t="inlineStr">
        <is>
          <t>2008.0</t>
        </is>
      </c>
      <c r="AY215" s="30" t="inlineStr">
        <is>
          <t>2</t>
        </is>
      </c>
      <c r="AZ215" s="30" t="inlineStr">
        <is>
          <t>sept-2026</t>
        </is>
      </c>
      <c r="BD215" s="81">
        <f>0</f>
        <v/>
      </c>
      <c r="BE215" s="81">
        <f>IFERROR((IF(ISNUMBER(T215),MIN(T215/30,1),0)+IF(ISNUMBER(P215),MIN(P215/500,1),0))/2,0)</f>
        <v/>
      </c>
      <c r="BF215" s="81">
        <f>IFERROR(IF(OR(U215&lt;&gt;"",V215="SÍ"),IF(ISNUMBER(L215),(1*MIN(L215/10000,1))^0.5,0),IF(ISNUMBER(L215),(0*MIN(L215/10000,1))^0.5,0)),0)</f>
        <v/>
      </c>
    </row>
    <row r="216">
      <c r="A216" t="inlineStr">
        <is>
          <t>PAC; MIDAGRI; CENACOOP; CENCOOP 2017</t>
        </is>
      </c>
      <c r="B216" s="70" t="inlineStr">
        <is>
          <t>20404057805</t>
        </is>
      </c>
      <c r="C216" s="29" t="inlineStr">
        <is>
          <t>Cooperativa Agraria Acopagro Ltda.</t>
        </is>
      </c>
      <c r="D216" s="29" t="inlineStr"/>
      <c r="E216" s="29" t="inlineStr">
        <is>
          <t>VENTA AL POR MENOR DE ALIMENTOS, BEBIDAS Y TABACO EN ALMACENES ESPECIALIZADOS</t>
        </is>
      </c>
      <c r="F216" s="29" t="inlineStr">
        <is>
          <t>San Martín</t>
        </is>
      </c>
      <c r="G216" s="29" t="inlineStr">
        <is>
          <t>Mariscal Cáceres</t>
        </is>
      </c>
      <c r="H216" s="29" t="inlineStr">
        <is>
          <t>Juanjuí, San Martín</t>
        </is>
      </c>
      <c r="I216" s="29" t="inlineStr">
        <is>
          <t>Cacao</t>
        </is>
      </c>
      <c r="J216" s="17" t="inlineStr">
        <is>
          <t>SI</t>
        </is>
      </c>
      <c r="K216" s="29" t="inlineStr">
        <is>
          <t>SÍ</t>
        </is>
      </c>
      <c r="L216" s="29" t="n">
        <v>13263215.35</v>
      </c>
      <c r="M216" s="29" t="n">
        <v>165836189.19</v>
      </c>
      <c r="N216" s="29" t="n">
        <v>399</v>
      </c>
      <c r="O216" s="29" t="n">
        <v>11</v>
      </c>
      <c r="P216" s="29" t="inlineStr"/>
      <c r="Q216" s="29" t="inlineStr"/>
      <c r="R216" s="18" t="inlineStr">
        <is>
          <t>2575.0</t>
        </is>
      </c>
      <c r="S216" s="29" t="inlineStr"/>
      <c r="T216" s="29" t="inlineStr"/>
      <c r="U216" s="18" t="inlineStr"/>
      <c r="V216" s="15" t="inlineStr">
        <is>
          <t>SÍ</t>
        </is>
      </c>
      <c r="W216" s="18" t="inlineStr">
        <is>
          <t>—</t>
        </is>
      </c>
      <c r="X216" s="18" t="inlineStr">
        <is>
          <t>Primera exportadora de cacao especial del Perú; ~1,800 socios</t>
        </is>
      </c>
      <c r="Y216" s="18" t="inlineStr"/>
      <c r="Z216" s="29" t="inlineStr">
        <is>
          <t>No disponible — requiere consulta directa (SUNAT/RUC.PE) o solicitud a la organización</t>
        </is>
      </c>
      <c r="AA216" s="29" t="b">
        <v>1</v>
      </c>
      <c r="AB216" s="29" t="b">
        <v>1</v>
      </c>
      <c r="AC216" s="29" t="b">
        <v>1</v>
      </c>
      <c r="AD216" s="19" t="inlineStr">
        <is>
          <t>SI</t>
        </is>
      </c>
      <c r="AE216" s="29" t="inlineStr">
        <is>
          <t>COOPERATIVA AGRARIA CACAOTERA ACOPAGRO</t>
        </is>
      </c>
      <c r="AF216" s="29" t="inlineStr">
        <is>
          <t>SAN MARTIN</t>
        </is>
      </c>
      <c r="AG216" s="29" t="inlineStr">
        <is>
          <t>MARISCAL CACERES</t>
        </is>
      </c>
      <c r="AH216" s="29" t="inlineStr">
        <is>
          <t>JUANJUI</t>
        </is>
      </c>
      <c r="AI216" s="29" t="inlineStr">
        <is>
          <t>JUANJUI</t>
        </is>
      </c>
      <c r="AJ216" s="29" t="inlineStr">
        <is>
          <t>CULTIVO DE PLANTAS CON LAS QUE SE PREPARAN BEBIDAS</t>
        </is>
      </c>
      <c r="AK216" s="29" t="inlineStr">
        <is>
          <t>1.0</t>
        </is>
      </c>
      <c r="AL216" s="29" t="inlineStr">
        <is>
          <t>1.0</t>
        </is>
      </c>
      <c r="AM216" s="29" t="inlineStr">
        <is>
          <t>3.0</t>
        </is>
      </c>
      <c r="AN216" s="29" t="n">
        <v>20</v>
      </c>
      <c r="AO216" s="29" t="inlineStr">
        <is>
          <t>LAIMITO QUISPE JORGE</t>
        </is>
      </c>
      <c r="AP216" s="29" t="inlineStr">
        <is>
          <t>ECONOMISTA</t>
        </is>
      </c>
      <c r="AQ216" s="29" t="inlineStr">
        <is>
          <t>10.0</t>
        </is>
      </c>
      <c r="AR216" s="29" t="inlineStr">
        <is>
          <t>WWW.ACOPAGRO.COM.PE</t>
        </is>
      </c>
      <c r="AS216" s="29" t="inlineStr">
        <is>
          <t>ACOPAGRO@ACOPAGRO.COM.PE</t>
        </is>
      </c>
      <c r="AT216" s="29" t="inlineStr">
        <is>
          <t>942695767</t>
        </is>
      </c>
      <c r="AU216" s="29" t="inlineStr">
        <is>
          <t>-7.1812566666666</t>
        </is>
      </c>
      <c r="AV216" s="29" t="inlineStr">
        <is>
          <t>-76.735311666</t>
        </is>
      </c>
      <c r="AW216" s="29" t="inlineStr">
        <is>
          <t>1997.0</t>
        </is>
      </c>
      <c r="AX216" s="29" t="inlineStr">
        <is>
          <t>1997.0</t>
        </is>
      </c>
      <c r="AY216" s="29" t="inlineStr">
        <is>
          <t>3</t>
        </is>
      </c>
      <c r="AZ216" s="29" t="inlineStr">
        <is>
          <t>sept-2026</t>
        </is>
      </c>
      <c r="BA216" t="inlineStr">
        <is>
          <t>BELGIUM; CANADA; COLOMBIA; GERMANY; INDONESIA; ITALY; MEXICO; NETHERLANDS; SPAIN; SWITZERLAND; UNITED STATES</t>
        </is>
      </c>
      <c r="BB216" t="n">
        <v>2010</v>
      </c>
      <c r="BC216" t="n">
        <v>2025</v>
      </c>
      <c r="BD216" s="81">
        <f>0</f>
        <v/>
      </c>
      <c r="BE216" s="81">
        <f>IFERROR((IF(ISNUMBER(T216),MIN(T216/30,1),0)+IF(ISNUMBER(P216),MIN(P216/500,1),0))/2,0)</f>
        <v/>
      </c>
      <c r="BF216" s="81">
        <f>IFERROR(IF(OR(U216&lt;&gt;"",V216="SÍ"),IF(ISNUMBER(L216),(1*MIN(L216/10000,1))^0.5,0),IF(ISNUMBER(L216),(0*MIN(L216/10000,1))^0.5,0)),0)</f>
        <v/>
      </c>
      <c r="BG216" t="n">
        <v>1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</v>
      </c>
      <c r="BU216" t="n">
        <v>0</v>
      </c>
      <c r="BV216" t="n">
        <v>0</v>
      </c>
      <c r="BW216" t="n">
        <v>0</v>
      </c>
      <c r="BX216" t="n">
        <v>0</v>
      </c>
      <c r="BY216" t="n">
        <v>1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0.6667</v>
      </c>
      <c r="CF216" t="n">
        <v>0</v>
      </c>
    </row>
    <row r="217">
      <c r="A217" t="inlineStr">
        <is>
          <t>MIDAGRI; CENCOOP 2017; SISPAC</t>
        </is>
      </c>
      <c r="B217" s="70" t="inlineStr">
        <is>
          <t>20531441797</t>
        </is>
      </c>
      <c r="C217" s="30" t="inlineStr">
        <is>
          <t>Cooperativa Agraria Allima Cacao Ltda.</t>
        </is>
      </c>
      <c r="D217" s="30" t="inlineStr"/>
      <c r="E217" s="30" t="inlineStr">
        <is>
          <t>VENTA AL POR MENOR DE ALIMENTOS, BEBIDAS Y TABACO EN ALMACENES ESPECIALIZADOS</t>
        </is>
      </c>
      <c r="F217" s="30" t="inlineStr">
        <is>
          <t>San Martín</t>
        </is>
      </c>
      <c r="G217" s="30" t="inlineStr">
        <is>
          <t>San Martín</t>
        </is>
      </c>
      <c r="H217" s="30" t="inlineStr">
        <is>
          <t>—</t>
        </is>
      </c>
      <c r="I217" s="30" t="inlineStr">
        <is>
          <t>—</t>
        </is>
      </c>
      <c r="J217" s="30" t="inlineStr">
        <is>
          <t>SI</t>
        </is>
      </c>
      <c r="K217" s="30" t="inlineStr">
        <is>
          <t>NO</t>
        </is>
      </c>
      <c r="L217" s="30" t="n">
        <v>1984.05</v>
      </c>
      <c r="M217" s="30" t="n">
        <v>2906058.74</v>
      </c>
      <c r="N217" s="30" t="n">
        <v>35</v>
      </c>
      <c r="O217" s="30" t="n">
        <v>3</v>
      </c>
      <c r="P217" s="30" t="inlineStr"/>
      <c r="Q217" s="30" t="inlineStr"/>
      <c r="R217" s="14" t="inlineStr">
        <is>
          <t>1716.6666</t>
        </is>
      </c>
      <c r="S217" s="30" t="inlineStr"/>
      <c r="T217" s="30" t="inlineStr"/>
      <c r="U217" s="14" t="inlineStr"/>
      <c r="V217" s="14" t="inlineStr">
        <is>
          <t>NO</t>
        </is>
      </c>
      <c r="W217" s="14" t="inlineStr">
        <is>
          <t>—</t>
        </is>
      </c>
      <c r="X217" s="14" t="inlineStr">
        <is>
          <t>—</t>
        </is>
      </c>
      <c r="Y217" s="14" t="inlineStr"/>
      <c r="Z217" s="30" t="inlineStr">
        <is>
          <t>—</t>
        </is>
      </c>
      <c r="AA217" s="30" t="b">
        <v>0</v>
      </c>
      <c r="AB217" s="30" t="b">
        <v>1</v>
      </c>
      <c r="AC217" s="30" t="b">
        <v>0</v>
      </c>
      <c r="AD217" s="19" t="inlineStr">
        <is>
          <t>SI</t>
        </is>
      </c>
      <c r="AE217" s="30" t="inlineStr">
        <is>
          <t>COOPERATIVA AGRARIA ALLIMA CACAO LTDA.</t>
        </is>
      </c>
      <c r="AF217" s="30" t="inlineStr">
        <is>
          <t>SAN MARTIN</t>
        </is>
      </c>
      <c r="AG217" s="30" t="inlineStr">
        <is>
          <t>SAN MARTIN</t>
        </is>
      </c>
      <c r="AH217" s="30" t="inlineStr">
        <is>
          <t>CHAZUTA</t>
        </is>
      </c>
      <c r="AI217" s="30" t="inlineStr">
        <is>
          <t>CHAZUTA</t>
        </is>
      </c>
      <c r="AJ217" s="30" t="inlineStr">
        <is>
          <t>ACTIVIDADES DE APOYO A LA AGRICULTURA</t>
        </is>
      </c>
      <c r="AK217" s="30" t="inlineStr">
        <is>
          <t>1.0</t>
        </is>
      </c>
      <c r="AL217" s="30" t="inlineStr">
        <is>
          <t>1.0</t>
        </is>
      </c>
      <c r="AM217" s="30" t="inlineStr">
        <is>
          <t>2.0</t>
        </is>
      </c>
      <c r="AN217" s="30" t="n">
        <v>1</v>
      </c>
      <c r="AO217" s="30" t="inlineStr">
        <is>
          <t>FLORES GARAZATUA GEORGE</t>
        </is>
      </c>
      <c r="AP217" s="30" t="inlineStr">
        <is>
          <t>INGENIERO AMBIENTAL</t>
        </is>
      </c>
      <c r="AQ217" s="30" t="inlineStr">
        <is>
          <t>10.0</t>
        </is>
      </c>
      <c r="AR217" s="30" t="inlineStr">
        <is>
          <t>NO TIENE</t>
        </is>
      </c>
      <c r="AS217" s="30" t="inlineStr">
        <is>
          <t>ALLIMACACAO@GMAIL.COM</t>
        </is>
      </c>
      <c r="AT217" s="30" t="inlineStr">
        <is>
          <t>945679222</t>
        </is>
      </c>
      <c r="AU217" s="30" t="inlineStr">
        <is>
          <t>-6.579381666666666</t>
        </is>
      </c>
      <c r="AV217" s="30" t="inlineStr">
        <is>
          <t>-76.139335</t>
        </is>
      </c>
      <c r="AW217" s="30" t="inlineStr">
        <is>
          <t>2016.0</t>
        </is>
      </c>
      <c r="AX217" s="30" t="inlineStr">
        <is>
          <t>2016.0</t>
        </is>
      </c>
      <c r="AY217" s="30" t="inlineStr">
        <is>
          <t>1</t>
        </is>
      </c>
      <c r="AZ217" s="30" t="inlineStr">
        <is>
          <t>sept-2026</t>
        </is>
      </c>
      <c r="BA217" t="inlineStr">
        <is>
          <t>ITALY; NETHERLANDS; SWITZERLAND</t>
        </is>
      </c>
      <c r="BB217" t="n">
        <v>2017</v>
      </c>
      <c r="BC217" t="n">
        <v>2024</v>
      </c>
      <c r="BD217" s="81">
        <f>0</f>
        <v/>
      </c>
      <c r="BE217" s="81">
        <f>IFERROR((IF(ISNUMBER(T217),MIN(T217/30,1),0)+IF(ISNUMBER(P217),MIN(P217/500,1),0))/2,0)</f>
        <v/>
      </c>
      <c r="BF217" s="81">
        <f>IFERROR(IF(OR(U217&lt;&gt;"",V217="SÍ"),IF(ISNUMBER(L217),(1*MIN(L217/10000,1))^0.5,0),IF(ISNUMBER(L217),(0*MIN(L217/10000,1))^0.5,0)),0)</f>
        <v/>
      </c>
    </row>
    <row r="218">
      <c r="A218" t="inlineStr">
        <is>
          <t>MIDAGRI; SISPAC</t>
        </is>
      </c>
      <c r="B218" s="70" t="inlineStr">
        <is>
          <t>20603478879</t>
        </is>
      </c>
      <c r="C218" s="29" t="inlineStr">
        <is>
          <t>Cooperativa Agraria Alto Mayo Nueva Cajamarca</t>
        </is>
      </c>
      <c r="D218" s="29" t="inlineStr"/>
      <c r="E218" s="29" t="inlineStr">
        <is>
          <t>VENTA AL POR MENOR DE ALIMENTOS, BEBIDAS Y TABACO EN ALMACENES ESPECIALIZADOS</t>
        </is>
      </c>
      <c r="F218" s="29" t="inlineStr">
        <is>
          <t>San Martín</t>
        </is>
      </c>
      <c r="G218" s="29" t="inlineStr">
        <is>
          <t>Rioja</t>
        </is>
      </c>
      <c r="H218" s="29" t="inlineStr">
        <is>
          <t>—</t>
        </is>
      </c>
      <c r="I218" s="29" t="inlineStr">
        <is>
          <t>—</t>
        </is>
      </c>
      <c r="J218" s="29" t="n"/>
      <c r="K218" s="29" t="inlineStr">
        <is>
          <t>NO</t>
        </is>
      </c>
      <c r="L218" s="29" t="n"/>
      <c r="M218" s="29" t="n"/>
      <c r="N218" s="29" t="n"/>
      <c r="O218" s="29" t="n"/>
      <c r="P218" s="29" t="inlineStr"/>
      <c r="Q218" s="29" t="inlineStr"/>
      <c r="R218" s="18" t="inlineStr">
        <is>
          <t>2575.0</t>
        </is>
      </c>
      <c r="S218" s="29" t="inlineStr"/>
      <c r="T218" s="29" t="inlineStr"/>
      <c r="U218" s="18" t="inlineStr"/>
      <c r="V218" s="18" t="inlineStr">
        <is>
          <t>NO</t>
        </is>
      </c>
      <c r="W218" s="18" t="inlineStr">
        <is>
          <t>—</t>
        </is>
      </c>
      <c r="X218" s="18" t="inlineStr">
        <is>
          <t>—</t>
        </is>
      </c>
      <c r="Y218" s="18" t="inlineStr"/>
      <c r="Z218" s="29" t="inlineStr">
        <is>
          <t>—</t>
        </is>
      </c>
      <c r="AA218" s="29" t="b">
        <v>0</v>
      </c>
      <c r="AB218" s="29" t="b">
        <v>1</v>
      </c>
      <c r="AC218" s="29" t="b">
        <v>0</v>
      </c>
      <c r="AD218" s="29" t="inlineStr">
        <is>
          <t>NO</t>
        </is>
      </c>
      <c r="AE218" s="29" t="inlineStr"/>
      <c r="AF218" s="29" t="inlineStr"/>
      <c r="AG218" s="29" t="inlineStr"/>
      <c r="AH218" s="29" t="inlineStr"/>
      <c r="AI218" s="29" t="inlineStr"/>
      <c r="AJ218" s="29" t="inlineStr"/>
      <c r="AK218" s="29" t="inlineStr"/>
      <c r="AL218" s="29" t="inlineStr"/>
      <c r="AM218" s="29" t="inlineStr"/>
      <c r="AN218" s="29" t="n"/>
      <c r="AO218" s="29" t="inlineStr"/>
      <c r="AP218" s="29" t="inlineStr"/>
      <c r="AQ218" s="29" t="inlineStr"/>
      <c r="AR218" s="29" t="inlineStr"/>
      <c r="AS218" s="29" t="inlineStr"/>
      <c r="AT218" s="29" t="inlineStr"/>
      <c r="AU218" s="29" t="inlineStr"/>
      <c r="AV218" s="29" t="inlineStr"/>
      <c r="AW218" s="29" t="inlineStr"/>
      <c r="AX218" s="29" t="inlineStr"/>
      <c r="AY218" s="29" t="inlineStr">
        <is>
          <t>1</t>
        </is>
      </c>
      <c r="AZ218" s="29" t="inlineStr">
        <is>
          <t>sept-2026</t>
        </is>
      </c>
      <c r="BD218" s="81">
        <f>0</f>
        <v/>
      </c>
      <c r="BE218" s="81">
        <f>IFERROR((IF(ISNUMBER(T218),MIN(T218/30,1),0)+IF(ISNUMBER(P218),MIN(P218/500,1),0))/2,0)</f>
        <v/>
      </c>
      <c r="BF218" s="81">
        <f>IFERROR(IF(OR(U218&lt;&gt;"",V218="SÍ"),IF(ISNUMBER(L218),(1*MIN(L218/10000,1))^0.5,0),IF(ISNUMBER(L218),(0*MIN(L218/10000,1))^0.5,0)),0)</f>
        <v/>
      </c>
    </row>
    <row r="219">
      <c r="A219" t="inlineStr">
        <is>
          <t>MIDAGRI; CENACOOP; CENCOOP 2017</t>
        </is>
      </c>
      <c r="B219" s="70" t="inlineStr">
        <is>
          <t>20531360525</t>
        </is>
      </c>
      <c r="C219" s="30" t="inlineStr">
        <is>
          <t>Cooperativa Agraria Aproeco</t>
        </is>
      </c>
      <c r="D219" s="30" t="inlineStr"/>
      <c r="E219" s="30" t="inlineStr">
        <is>
          <t>VENTA AL POR MENOR DE ALIMENTOS, BEBIDAS Y TABACO EN ALMACENES ESPECIALIZADOS</t>
        </is>
      </c>
      <c r="F219" s="30" t="inlineStr">
        <is>
          <t>San Martín</t>
        </is>
      </c>
      <c r="G219" s="30" t="inlineStr">
        <is>
          <t>Moyobamba</t>
        </is>
      </c>
      <c r="H219" s="30" t="inlineStr">
        <is>
          <t>—</t>
        </is>
      </c>
      <c r="I219" s="30" t="inlineStr">
        <is>
          <t>—</t>
        </is>
      </c>
      <c r="J219" s="17" t="inlineStr">
        <is>
          <t>SI</t>
        </is>
      </c>
      <c r="K219" s="30" t="inlineStr">
        <is>
          <t>SÍ</t>
        </is>
      </c>
      <c r="L219" s="30" t="n">
        <v>510032.41</v>
      </c>
      <c r="M219" s="30" t="n">
        <v>13784586.61</v>
      </c>
      <c r="N219" s="30" t="n">
        <v>131</v>
      </c>
      <c r="O219" s="30" t="n">
        <v>9</v>
      </c>
      <c r="P219" s="30" t="inlineStr"/>
      <c r="Q219" s="30" t="inlineStr"/>
      <c r="R219" s="14" t="inlineStr">
        <is>
          <t>2575.0</t>
        </is>
      </c>
      <c r="S219" s="30" t="inlineStr"/>
      <c r="T219" s="30" t="inlineStr"/>
      <c r="U219" s="14" t="inlineStr"/>
      <c r="V219" s="14" t="inlineStr">
        <is>
          <t>NO</t>
        </is>
      </c>
      <c r="W219" s="14" t="inlineStr">
        <is>
          <t>—</t>
        </is>
      </c>
      <c r="X219" s="14" t="inlineStr">
        <is>
          <t>—</t>
        </is>
      </c>
      <c r="Y219" s="14" t="inlineStr"/>
      <c r="Z219" s="30" t="inlineStr">
        <is>
          <t>—</t>
        </is>
      </c>
      <c r="AA219" s="30" t="b">
        <v>0</v>
      </c>
      <c r="AB219" s="30" t="b">
        <v>1</v>
      </c>
      <c r="AC219" s="30" t="b">
        <v>1</v>
      </c>
      <c r="AD219" s="19" t="inlineStr">
        <is>
          <t>SI</t>
        </is>
      </c>
      <c r="AE219" s="30" t="inlineStr">
        <is>
          <t>COOPERATIVA AGRARIA APROECO</t>
        </is>
      </c>
      <c r="AF219" s="30" t="inlineStr">
        <is>
          <t>SAN MARTIN</t>
        </is>
      </c>
      <c r="AG219" s="30" t="inlineStr">
        <is>
          <t>MOYOBAMBA</t>
        </is>
      </c>
      <c r="AH219" s="30" t="inlineStr">
        <is>
          <t>MOYOBAMBA</t>
        </is>
      </c>
      <c r="AI219" s="30" t="inlineStr">
        <is>
          <t>MOYOBAMBA</t>
        </is>
      </c>
      <c r="AJ219" s="30" t="inlineStr">
        <is>
          <t>CULTIVO DE PRODUCTOS AGRÌCOLAS EN COMBINACIÒN CON LA CRÌA DE ANIMALES</t>
        </is>
      </c>
      <c r="AK219" s="30" t="inlineStr">
        <is>
          <t>1.0</t>
        </is>
      </c>
      <c r="AL219" s="30" t="inlineStr">
        <is>
          <t>1.0</t>
        </is>
      </c>
      <c r="AM219" s="30" t="inlineStr">
        <is>
          <t>2.0</t>
        </is>
      </c>
      <c r="AN219" s="30" t="n">
        <v>10</v>
      </c>
      <c r="AO219" s="30" t="inlineStr">
        <is>
          <t>ROJAS DELGADO MARTIN FELIX</t>
        </is>
      </c>
      <c r="AP219" s="30" t="inlineStr">
        <is>
          <t>ECONOMISTA</t>
        </is>
      </c>
      <c r="AQ219" s="30" t="inlineStr">
        <is>
          <t>10.0</t>
        </is>
      </c>
      <c r="AR219" s="30" t="inlineStr">
        <is>
          <t>WWW.APROECO.COM</t>
        </is>
      </c>
      <c r="AS219" s="30" t="inlineStr">
        <is>
          <t>COOPERATIVAAGRARIA@APROECO.COM</t>
        </is>
      </c>
      <c r="AT219" s="30" t="inlineStr">
        <is>
          <t>969238821</t>
        </is>
      </c>
      <c r="AU219" s="30" t="inlineStr">
        <is>
          <t>-6.059880000000001</t>
        </is>
      </c>
      <c r="AV219" s="30" t="inlineStr">
        <is>
          <t>-76.97372999999999</t>
        </is>
      </c>
      <c r="AW219" s="30" t="inlineStr">
        <is>
          <t>2002.0</t>
        </is>
      </c>
      <c r="AX219" s="30" t="inlineStr">
        <is>
          <t>2007.0</t>
        </is>
      </c>
      <c r="AY219" s="30" t="inlineStr">
        <is>
          <t>2</t>
        </is>
      </c>
      <c r="AZ219" s="30" t="inlineStr">
        <is>
          <t>sept-2026</t>
        </is>
      </c>
      <c r="BA219" t="inlineStr">
        <is>
          <t>AUSTRALIA; BELGIUM; CANADA; FRANCE; GERMANY; NETHERLANDS; SWEDEN; UNITED KINGDOM; UNITED STATES</t>
        </is>
      </c>
      <c r="BB219" t="n">
        <v>2010</v>
      </c>
      <c r="BC219" t="n">
        <v>2025</v>
      </c>
      <c r="BD219" s="81">
        <f>0</f>
        <v/>
      </c>
      <c r="BE219" s="81">
        <f>IFERROR((IF(ISNUMBER(T219),MIN(T219/30,1),0)+IF(ISNUMBER(P219),MIN(P219/500,1),0))/2,0)</f>
        <v/>
      </c>
      <c r="BF219" s="81">
        <f>IFERROR(IF(OR(U219&lt;&gt;"",V219="SÍ"),IF(ISNUMBER(L219),(1*MIN(L219/10000,1))^0.5,0),IF(ISNUMBER(L219),(0*MIN(L219/10000,1))^0.5,0)),0)</f>
        <v/>
      </c>
    </row>
    <row r="220">
      <c r="A220" t="inlineStr">
        <is>
          <t>MIDAGRI; CENACOOP; CENCOOP 2017</t>
        </is>
      </c>
      <c r="B220" s="70" t="inlineStr">
        <is>
          <t>20542310911</t>
        </is>
      </c>
      <c r="C220" s="29" t="inlineStr">
        <is>
          <t>Cooperativa Agraria Cacaotera Alto Huayabamba Ltda.</t>
        </is>
      </c>
      <c r="D220" s="29" t="inlineStr"/>
      <c r="E220" s="29" t="inlineStr">
        <is>
          <t>VENTA AL POR MENOR DE ALIMENTOS, BEBIDAS Y TABACO EN ALMACENES ESPECIALIZADOS</t>
        </is>
      </c>
      <c r="F220" s="29" t="inlineStr">
        <is>
          <t>San Martín</t>
        </is>
      </c>
      <c r="G220" s="29" t="inlineStr">
        <is>
          <t>Mariscal Cáceres</t>
        </is>
      </c>
      <c r="H220" s="29" t="inlineStr">
        <is>
          <t>—</t>
        </is>
      </c>
      <c r="I220" s="29" t="inlineStr">
        <is>
          <t>—</t>
        </is>
      </c>
      <c r="J220" s="29" t="n"/>
      <c r="K220" s="29" t="inlineStr">
        <is>
          <t>NO</t>
        </is>
      </c>
      <c r="L220" s="29" t="n"/>
      <c r="M220" s="29" t="n"/>
      <c r="N220" s="29" t="n"/>
      <c r="O220" s="29" t="n"/>
      <c r="P220" s="29" t="inlineStr"/>
      <c r="Q220" s="29" t="inlineStr"/>
      <c r="R220" s="18" t="inlineStr">
        <is>
          <t>2575.0</t>
        </is>
      </c>
      <c r="S220" s="29" t="inlineStr"/>
      <c r="T220" s="29" t="inlineStr"/>
      <c r="U220" s="18" t="inlineStr"/>
      <c r="V220" s="18" t="inlineStr">
        <is>
          <t>NO</t>
        </is>
      </c>
      <c r="W220" s="18" t="inlineStr">
        <is>
          <t>—</t>
        </is>
      </c>
      <c r="X220" s="18" t="inlineStr">
        <is>
          <t>—</t>
        </is>
      </c>
      <c r="Y220" s="18" t="inlineStr"/>
      <c r="Z220" s="29" t="inlineStr">
        <is>
          <t>—</t>
        </is>
      </c>
      <c r="AA220" s="29" t="b">
        <v>0</v>
      </c>
      <c r="AB220" s="29" t="b">
        <v>1</v>
      </c>
      <c r="AC220" s="29" t="b">
        <v>1</v>
      </c>
      <c r="AD220" s="19" t="inlineStr">
        <is>
          <t>SI</t>
        </is>
      </c>
      <c r="AE220" s="29" t="inlineStr">
        <is>
          <t>COOPERATIVA AGRARIA CACAOTERA ALTO HUAYABAMBA LTDA.</t>
        </is>
      </c>
      <c r="AF220" s="29" t="inlineStr">
        <is>
          <t>SAN MARTIN</t>
        </is>
      </c>
      <c r="AG220" s="29" t="inlineStr">
        <is>
          <t>MARISCAL CACERES</t>
        </is>
      </c>
      <c r="AH220" s="29" t="inlineStr">
        <is>
          <t>JUANJUI</t>
        </is>
      </c>
      <c r="AI220" s="29" t="inlineStr">
        <is>
          <t>JUANJUI</t>
        </is>
      </c>
      <c r="AJ220" s="29" t="inlineStr">
        <is>
          <t>CULTIVO DE PLANTAS CON LAS QUE SE PREPARAN BEBIDAS</t>
        </is>
      </c>
      <c r="AK220" s="29" t="inlineStr">
        <is>
          <t>1.0</t>
        </is>
      </c>
      <c r="AL220" s="29" t="inlineStr">
        <is>
          <t>1.0</t>
        </is>
      </c>
      <c r="AM220" s="29" t="inlineStr">
        <is>
          <t>1.0</t>
        </is>
      </c>
      <c r="AN220" s="29" t="n">
        <v>4</v>
      </c>
      <c r="AO220" s="29" t="inlineStr">
        <is>
          <t>PINEDO ANGULO EDGARDO</t>
        </is>
      </c>
      <c r="AP220" s="29" t="inlineStr">
        <is>
          <t>ECONOMISTA</t>
        </is>
      </c>
      <c r="AQ220" s="29" t="inlineStr">
        <is>
          <t>10.0</t>
        </is>
      </c>
      <c r="AR220" s="29" t="inlineStr">
        <is>
          <t>WWW.COOPALHUA.COM</t>
        </is>
      </c>
      <c r="AS220" s="29" t="inlineStr">
        <is>
          <t>COOPERATIVAALHUA@GMAIL.COM</t>
        </is>
      </c>
      <c r="AT220" s="29" t="inlineStr">
        <is>
          <t>954939708</t>
        </is>
      </c>
      <c r="AU220" s="29" t="inlineStr">
        <is>
          <t>-7.183951666666667</t>
        </is>
      </c>
      <c r="AV220" s="29" t="inlineStr">
        <is>
          <t>-76.72720666666667</t>
        </is>
      </c>
      <c r="AW220" s="29" t="inlineStr">
        <is>
          <t>2011.0</t>
        </is>
      </c>
      <c r="AX220" s="29" t="inlineStr">
        <is>
          <t>2013.0</t>
        </is>
      </c>
      <c r="AY220" s="29" t="inlineStr">
        <is>
          <t>2</t>
        </is>
      </c>
      <c r="AZ220" s="29" t="inlineStr">
        <is>
          <t>sept-2026</t>
        </is>
      </c>
      <c r="BD220" s="81">
        <f>0</f>
        <v/>
      </c>
      <c r="BE220" s="81">
        <f>IFERROR((IF(ISNUMBER(T220),MIN(T220/30,1),0)+IF(ISNUMBER(P220),MIN(P220/500,1),0))/2,0)</f>
        <v/>
      </c>
      <c r="BF220" s="81">
        <f>IFERROR(IF(OR(U220&lt;&gt;"",V220="SÍ"),IF(ISNUMBER(L220),(1*MIN(L220/10000,1))^0.5,0),IF(ISNUMBER(L220),(0*MIN(L220/10000,1))^0.5,0)),0)</f>
        <v/>
      </c>
    </row>
    <row r="221">
      <c r="A221" t="inlineStr">
        <is>
          <t>MIDAGRI; CENCOOP 2017</t>
        </is>
      </c>
      <c r="B221" s="70" t="inlineStr">
        <is>
          <t>20600286367</t>
        </is>
      </c>
      <c r="C221" s="30" t="inlineStr">
        <is>
          <t>Cooperativa Agraria Cacaotera Choba Choba Ltda.</t>
        </is>
      </c>
      <c r="D221" s="30" t="inlineStr"/>
      <c r="E221" s="30" t="inlineStr">
        <is>
          <t>VENTA AL POR MENOR DE ALIMENTOS, BEBIDAS Y TABACO EN ALMACENES ESPECIALIZADOS</t>
        </is>
      </c>
      <c r="F221" s="30" t="inlineStr">
        <is>
          <t>San Martín</t>
        </is>
      </c>
      <c r="G221" s="30" t="inlineStr">
        <is>
          <t>Mariscal Cáceres</t>
        </is>
      </c>
      <c r="H221" s="30" t="inlineStr">
        <is>
          <t>San Martín</t>
        </is>
      </c>
      <c r="I221" s="30" t="inlineStr">
        <is>
          <t>Cacao</t>
        </is>
      </c>
      <c r="J221" s="30" t="inlineStr">
        <is>
          <t>SI</t>
        </is>
      </c>
      <c r="K221" s="30" t="inlineStr">
        <is>
          <t>NO</t>
        </is>
      </c>
      <c r="L221" s="30" t="n">
        <v>0</v>
      </c>
      <c r="M221" s="30" t="n">
        <v>245045</v>
      </c>
      <c r="N221" s="30" t="n">
        <v>3</v>
      </c>
      <c r="O221" s="30" t="n">
        <v>2</v>
      </c>
      <c r="P221" s="30" t="inlineStr"/>
      <c r="Q221" s="30" t="inlineStr"/>
      <c r="R221" s="14" t="inlineStr">
        <is>
          <t>2575.0</t>
        </is>
      </c>
      <c r="S221" s="30" t="inlineStr"/>
      <c r="T221" s="30" t="inlineStr"/>
      <c r="U221" s="14" t="inlineStr"/>
      <c r="V221" s="15" t="inlineStr">
        <is>
          <t>SÍ</t>
        </is>
      </c>
      <c r="W221" s="14" t="inlineStr">
        <is>
          <t>—</t>
        </is>
      </c>
      <c r="X221" s="14" t="inlineStr">
        <is>
          <t>—</t>
        </is>
      </c>
      <c r="Y221" s="14" t="inlineStr"/>
      <c r="Z221" s="30" t="inlineStr">
        <is>
          <t>No disponible — requiere consulta directa (SUNAT/RUC.PE) o solicitud a la organización</t>
        </is>
      </c>
      <c r="AA221" s="30" t="b">
        <v>0</v>
      </c>
      <c r="AB221" s="30" t="b">
        <v>1</v>
      </c>
      <c r="AC221" s="30" t="b">
        <v>0</v>
      </c>
      <c r="AD221" s="19" t="inlineStr">
        <is>
          <t>SI</t>
        </is>
      </c>
      <c r="AE221" s="30" t="inlineStr">
        <is>
          <t>COOPERATIVA AGRARIA CACAOTERA CHOBA CHOBA LTDA.</t>
        </is>
      </c>
      <c r="AF221" s="30" t="inlineStr">
        <is>
          <t>SAN MARTIN</t>
        </is>
      </c>
      <c r="AG221" s="30" t="inlineStr">
        <is>
          <t>MARISCAL CACERES</t>
        </is>
      </c>
      <c r="AH221" s="30" t="inlineStr">
        <is>
          <t>JUANJUI</t>
        </is>
      </c>
      <c r="AI221" s="30" t="inlineStr">
        <is>
          <t>JUANJUI</t>
        </is>
      </c>
      <c r="AJ221" s="30" t="inlineStr">
        <is>
          <t>CULTIVO DE CEREALES (EXCEPTO ARROZ), LEGUMBRES Y SEMILLAS OLEAGINOSAS</t>
        </is>
      </c>
      <c r="AK221" s="30" t="inlineStr">
        <is>
          <t>1.0</t>
        </is>
      </c>
      <c r="AL221" s="30" t="inlineStr">
        <is>
          <t>2.0</t>
        </is>
      </c>
      <c r="AM221" s="30" t="inlineStr"/>
      <c r="AN221" s="30" t="n">
        <v>0</v>
      </c>
      <c r="AO221" s="30" t="inlineStr"/>
      <c r="AP221" s="30" t="inlineStr"/>
      <c r="AQ221" s="30" t="inlineStr"/>
      <c r="AR221" s="30" t="inlineStr">
        <is>
          <t>WWW.CHOBACHOBA.COM</t>
        </is>
      </c>
      <c r="AS221" s="30" t="inlineStr">
        <is>
          <t>JHON@CHOBACHOBA.COM</t>
        </is>
      </c>
      <c r="AT221" s="30" t="inlineStr">
        <is>
          <t>951045421</t>
        </is>
      </c>
      <c r="AU221" s="30" t="inlineStr">
        <is>
          <t>-7.182025</t>
        </is>
      </c>
      <c r="AV221" s="30" t="inlineStr">
        <is>
          <t>-76.73211666666666</t>
        </is>
      </c>
      <c r="AW221" s="30" t="inlineStr">
        <is>
          <t>2015.0</t>
        </is>
      </c>
      <c r="AX221" s="30" t="inlineStr">
        <is>
          <t>2017.0</t>
        </is>
      </c>
      <c r="AY221" s="30" t="inlineStr">
        <is>
          <t>1</t>
        </is>
      </c>
      <c r="AZ221" s="30" t="inlineStr">
        <is>
          <t>sept-2026</t>
        </is>
      </c>
      <c r="BA221" t="inlineStr">
        <is>
          <t>NETHERLANDS; SWITZERLAND</t>
        </is>
      </c>
      <c r="BB221" t="n">
        <v>2023</v>
      </c>
      <c r="BC221" t="n">
        <v>2025</v>
      </c>
      <c r="BD221" s="81">
        <f>0</f>
        <v/>
      </c>
      <c r="BE221" s="81">
        <f>IFERROR((IF(ISNUMBER(T221),MIN(T221/30,1),0)+IF(ISNUMBER(P221),MIN(P221/500,1),0))/2,0)</f>
        <v/>
      </c>
      <c r="BF221" s="81">
        <f>IFERROR(IF(OR(U221&lt;&gt;"",V221="SÍ"),IF(ISNUMBER(L221),(1*MIN(L221/10000,1))^0.5,0),IF(ISNUMBER(L221),(0*MIN(L221/10000,1))^0.5,0)),0)</f>
        <v/>
      </c>
    </row>
    <row r="222">
      <c r="A222" t="inlineStr">
        <is>
          <t>MIDAGRI; CENACOOP; CENCOOP 2017</t>
        </is>
      </c>
      <c r="B222" s="70" t="inlineStr">
        <is>
          <t>20542215501</t>
        </is>
      </c>
      <c r="C222" s="29" t="inlineStr">
        <is>
          <t>Cooperativa Agraria Cafetalera Alto Mayo</t>
        </is>
      </c>
      <c r="D222" s="29" t="inlineStr"/>
      <c r="E222" s="29" t="inlineStr">
        <is>
          <t>VENTA AL POR MENOR DE ALIMENTOS, BEBIDAS Y TABACO EN ALMACENES ESPECIALIZADOS</t>
        </is>
      </c>
      <c r="F222" s="29" t="inlineStr">
        <is>
          <t>San Martín</t>
        </is>
      </c>
      <c r="G222" s="29" t="inlineStr">
        <is>
          <t>Moyobamba</t>
        </is>
      </c>
      <c r="H222" s="29" t="inlineStr">
        <is>
          <t>—</t>
        </is>
      </c>
      <c r="I222" s="29" t="inlineStr">
        <is>
          <t>—</t>
        </is>
      </c>
      <c r="J222" s="17" t="inlineStr">
        <is>
          <t>SI</t>
        </is>
      </c>
      <c r="K222" s="29" t="inlineStr">
        <is>
          <t>SÍ</t>
        </is>
      </c>
      <c r="L222" s="29" t="n">
        <v>6400167.36</v>
      </c>
      <c r="M222" s="29" t="n">
        <v>121455200.24</v>
      </c>
      <c r="N222" s="29" t="n">
        <v>500</v>
      </c>
      <c r="O222" s="29" t="n">
        <v>23</v>
      </c>
      <c r="P222" s="29" t="inlineStr"/>
      <c r="Q222" s="29" t="inlineStr"/>
      <c r="R222" s="18" t="inlineStr">
        <is>
          <t>2575.0</t>
        </is>
      </c>
      <c r="S222" s="29" t="inlineStr"/>
      <c r="T222" s="29" t="inlineStr"/>
      <c r="U222" s="18" t="inlineStr"/>
      <c r="V222" s="18" t="inlineStr">
        <is>
          <t>NO</t>
        </is>
      </c>
      <c r="W222" s="18" t="inlineStr">
        <is>
          <t>—</t>
        </is>
      </c>
      <c r="X222" s="18" t="inlineStr">
        <is>
          <t>—</t>
        </is>
      </c>
      <c r="Y222" s="18" t="inlineStr"/>
      <c r="Z222" s="29" t="inlineStr">
        <is>
          <t>—</t>
        </is>
      </c>
      <c r="AA222" s="29" t="b">
        <v>0</v>
      </c>
      <c r="AB222" s="29" t="b">
        <v>1</v>
      </c>
      <c r="AC222" s="29" t="b">
        <v>1</v>
      </c>
      <c r="AD222" s="19" t="inlineStr">
        <is>
          <t>SI</t>
        </is>
      </c>
      <c r="AE222" s="29" t="inlineStr">
        <is>
          <t>COOPERATIVA AGRARIA CAFETALERA ALTO MAYO</t>
        </is>
      </c>
      <c r="AF222" s="29" t="inlineStr">
        <is>
          <t>SAN MARTIN</t>
        </is>
      </c>
      <c r="AG222" s="29" t="inlineStr">
        <is>
          <t>MOYOBAMBA</t>
        </is>
      </c>
      <c r="AH222" s="29" t="inlineStr">
        <is>
          <t>MOYOBAMBA</t>
        </is>
      </c>
      <c r="AI222" s="29" t="inlineStr">
        <is>
          <t>MOYOBAMBA</t>
        </is>
      </c>
      <c r="AJ222" s="29" t="inlineStr">
        <is>
          <t>CULTIVO DE CEREALES (EXCEPTO ARROZ), LEGUMBRES Y SEMILLAS OLEAGINOSAS</t>
        </is>
      </c>
      <c r="AK222" s="29" t="inlineStr">
        <is>
          <t>1.0</t>
        </is>
      </c>
      <c r="AL222" s="29" t="inlineStr">
        <is>
          <t>1.0</t>
        </is>
      </c>
      <c r="AM222" s="29" t="inlineStr">
        <is>
          <t>2.0</t>
        </is>
      </c>
      <c r="AN222" s="29" t="n">
        <v>5</v>
      </c>
      <c r="AO222" s="29" t="inlineStr">
        <is>
          <t>MINGA CUÑA BENTURA</t>
        </is>
      </c>
      <c r="AP222" s="29" t="inlineStr">
        <is>
          <t>AGRICULTOR</t>
        </is>
      </c>
      <c r="AQ222" s="29" t="inlineStr">
        <is>
          <t>8.0</t>
        </is>
      </c>
      <c r="AR222" s="29" t="inlineStr">
        <is>
          <t>NO TIENE</t>
        </is>
      </c>
      <c r="AS222" s="29" t="inlineStr">
        <is>
          <t>CACALTOMAYOGER@GMAIL.COM</t>
        </is>
      </c>
      <c r="AT222" s="29" t="inlineStr">
        <is>
          <t>939077347</t>
        </is>
      </c>
      <c r="AU222" s="29" t="inlineStr">
        <is>
          <t>-6.03500212</t>
        </is>
      </c>
      <c r="AV222" s="29" t="inlineStr">
        <is>
          <t>-76.973674</t>
        </is>
      </c>
      <c r="AW222" s="29" t="inlineStr">
        <is>
          <t>2012.0</t>
        </is>
      </c>
      <c r="AX222" s="29" t="inlineStr">
        <is>
          <t>2012.0</t>
        </is>
      </c>
      <c r="AY222" s="29" t="inlineStr">
        <is>
          <t>2</t>
        </is>
      </c>
      <c r="AZ222" s="29" t="inlineStr">
        <is>
          <t>sept-2026</t>
        </is>
      </c>
      <c r="BA222" t="inlineStr">
        <is>
          <t>AUSTRALIA; BELGIUM; CANADA; COLOMBIA; FINLAND; FRANCE; GERMANY; GREECE; HONG KONG; IRELAND; ITALY; JAPAN; KOREA, REPUBLIC OF; MEXICO; NETHERLANDS; NEW ZEALAND; NORWAY; POLAND; RUSSIAN FEDERATION; SPAIN; SWEDEN; UNITED KINGDOM; UNITED STATES</t>
        </is>
      </c>
      <c r="BB222" t="n">
        <v>2016</v>
      </c>
      <c r="BC222" t="n">
        <v>2025</v>
      </c>
      <c r="BD222" s="81">
        <f>0</f>
        <v/>
      </c>
      <c r="BE222" s="81">
        <f>IFERROR((IF(ISNUMBER(T222),MIN(T222/30,1),0)+IF(ISNUMBER(P222),MIN(P222/500,1),0))/2,0)</f>
        <v/>
      </c>
      <c r="BF222" s="81">
        <f>IFERROR(IF(OR(U222&lt;&gt;"",V222="SÍ"),IF(ISNUMBER(L222),(1*MIN(L222/10000,1))^0.5,0),IF(ISNUMBER(L222),(0*MIN(L222/10000,1))^0.5,0)),0)</f>
        <v/>
      </c>
    </row>
    <row r="223">
      <c r="A223" t="inlineStr">
        <is>
          <t>MIDAGRI</t>
        </is>
      </c>
      <c r="B223" s="70" t="inlineStr">
        <is>
          <t>20608495275</t>
        </is>
      </c>
      <c r="C223" s="30" t="inlineStr">
        <is>
          <t>Cooperativa Agraria Cafetalera Moyobamba</t>
        </is>
      </c>
      <c r="D223" s="30" t="inlineStr"/>
      <c r="E223" s="30" t="inlineStr">
        <is>
          <t>VENTA AL POR MENOR DE ALIMENTOS, BEBIDAS Y TABACO EN ALMACENES ESPECIALIZADOS</t>
        </is>
      </c>
      <c r="F223" s="30" t="inlineStr">
        <is>
          <t>San Martín</t>
        </is>
      </c>
      <c r="G223" s="30" t="inlineStr">
        <is>
          <t>Moyobamba</t>
        </is>
      </c>
      <c r="H223" s="30" t="inlineStr">
        <is>
          <t>—</t>
        </is>
      </c>
      <c r="I223" s="30" t="inlineStr">
        <is>
          <t>—</t>
        </is>
      </c>
      <c r="J223" s="30" t="n"/>
      <c r="K223" s="30" t="inlineStr">
        <is>
          <t>NO</t>
        </is>
      </c>
      <c r="L223" s="30" t="n"/>
      <c r="M223" s="30" t="n"/>
      <c r="N223" s="30" t="n"/>
      <c r="O223" s="30" t="n"/>
      <c r="P223" s="30" t="inlineStr"/>
      <c r="Q223" s="30" t="inlineStr"/>
      <c r="R223" s="14" t="inlineStr">
        <is>
          <t>2575.0</t>
        </is>
      </c>
      <c r="S223" s="30" t="inlineStr"/>
      <c r="T223" s="30" t="inlineStr"/>
      <c r="U223" s="14" t="inlineStr"/>
      <c r="V223" s="14" t="inlineStr">
        <is>
          <t>NO</t>
        </is>
      </c>
      <c r="W223" s="14" t="inlineStr">
        <is>
          <t>—</t>
        </is>
      </c>
      <c r="X223" s="14" t="inlineStr">
        <is>
          <t>—</t>
        </is>
      </c>
      <c r="Y223" s="14" t="inlineStr"/>
      <c r="Z223" s="30" t="inlineStr">
        <is>
          <t>—</t>
        </is>
      </c>
      <c r="AA223" s="30" t="b">
        <v>0</v>
      </c>
      <c r="AB223" s="30" t="b">
        <v>1</v>
      </c>
      <c r="AC223" s="30" t="b">
        <v>0</v>
      </c>
      <c r="AD223" s="30" t="inlineStr">
        <is>
          <t>NO</t>
        </is>
      </c>
      <c r="AE223" s="30" t="inlineStr"/>
      <c r="AF223" s="30" t="inlineStr"/>
      <c r="AG223" s="30" t="inlineStr"/>
      <c r="AH223" s="30" t="inlineStr"/>
      <c r="AI223" s="30" t="inlineStr"/>
      <c r="AJ223" s="30" t="inlineStr"/>
      <c r="AK223" s="30" t="inlineStr"/>
      <c r="AL223" s="30" t="inlineStr"/>
      <c r="AM223" s="30" t="inlineStr"/>
      <c r="AN223" s="30" t="n"/>
      <c r="AO223" s="30" t="inlineStr"/>
      <c r="AP223" s="30" t="inlineStr"/>
      <c r="AQ223" s="30" t="inlineStr"/>
      <c r="AR223" s="30" t="inlineStr"/>
      <c r="AS223" s="30" t="inlineStr"/>
      <c r="AT223" s="30" t="inlineStr"/>
      <c r="AU223" s="30" t="inlineStr"/>
      <c r="AV223" s="30" t="inlineStr"/>
      <c r="AW223" s="30" t="inlineStr"/>
      <c r="AX223" s="30" t="inlineStr"/>
      <c r="AY223" s="30" t="inlineStr">
        <is>
          <t>1</t>
        </is>
      </c>
      <c r="AZ223" s="30" t="inlineStr">
        <is>
          <t>sept-2026</t>
        </is>
      </c>
      <c r="BD223" s="81">
        <f>0</f>
        <v/>
      </c>
      <c r="BE223" s="81">
        <f>IFERROR((IF(ISNUMBER(T223),MIN(T223/30,1),0)+IF(ISNUMBER(P223),MIN(P223/500,1),0))/2,0)</f>
        <v/>
      </c>
      <c r="BF223" s="81">
        <f>IFERROR(IF(OR(U223&lt;&gt;"",V223="SÍ"),IF(ISNUMBER(L223),(1*MIN(L223/10000,1))^0.5,0),IF(ISNUMBER(L223),(0*MIN(L223/10000,1))^0.5,0)),0)</f>
        <v/>
      </c>
    </row>
    <row r="224">
      <c r="A224" t="inlineStr">
        <is>
          <t>MIDAGRI; CENCOOP 2017</t>
        </is>
      </c>
      <c r="B224" s="70" t="inlineStr">
        <is>
          <t>20542226294</t>
        </is>
      </c>
      <c r="C224" s="29" t="inlineStr">
        <is>
          <t>Cooperativa Agraria Cafetalera Shunte Ltda</t>
        </is>
      </c>
      <c r="D224" s="29" t="inlineStr"/>
      <c r="E224" s="29" t="inlineStr">
        <is>
          <t>VENTA AL POR MENOR DE ALIMENTOS, BEBIDAS Y TABACO EN ALMACENES ESPECIALIZADOS</t>
        </is>
      </c>
      <c r="F224" s="29" t="inlineStr">
        <is>
          <t>San Martín</t>
        </is>
      </c>
      <c r="G224" s="29" t="inlineStr">
        <is>
          <t>Tocache</t>
        </is>
      </c>
      <c r="H224" s="29" t="inlineStr">
        <is>
          <t>—</t>
        </is>
      </c>
      <c r="I224" s="29" t="inlineStr">
        <is>
          <t>—</t>
        </is>
      </c>
      <c r="J224" s="29" t="n"/>
      <c r="K224" s="29" t="inlineStr">
        <is>
          <t>NO</t>
        </is>
      </c>
      <c r="L224" s="29" t="n"/>
      <c r="M224" s="29" t="n"/>
      <c r="N224" s="29" t="n"/>
      <c r="O224" s="29" t="n"/>
      <c r="P224" s="29" t="inlineStr"/>
      <c r="Q224" s="29" t="inlineStr"/>
      <c r="R224" s="18" t="inlineStr">
        <is>
          <t>2575.0</t>
        </is>
      </c>
      <c r="S224" s="29" t="inlineStr"/>
      <c r="T224" s="29" t="inlineStr"/>
      <c r="U224" s="18" t="inlineStr"/>
      <c r="V224" s="18" t="inlineStr">
        <is>
          <t>NO</t>
        </is>
      </c>
      <c r="W224" s="18" t="inlineStr">
        <is>
          <t>—</t>
        </is>
      </c>
      <c r="X224" s="18" t="inlineStr">
        <is>
          <t>—</t>
        </is>
      </c>
      <c r="Y224" s="18" t="inlineStr"/>
      <c r="Z224" s="29" t="inlineStr">
        <is>
          <t>—</t>
        </is>
      </c>
      <c r="AA224" s="29" t="b">
        <v>0</v>
      </c>
      <c r="AB224" s="29" t="b">
        <v>1</v>
      </c>
      <c r="AC224" s="29" t="b">
        <v>0</v>
      </c>
      <c r="AD224" s="19" t="inlineStr">
        <is>
          <t>SI</t>
        </is>
      </c>
      <c r="AE224" s="29" t="inlineStr">
        <is>
          <t>COOPERATIVA AGRARIA CAFETALERA SHUNTE LTDA</t>
        </is>
      </c>
      <c r="AF224" s="29" t="inlineStr">
        <is>
          <t>SAN MARTIN</t>
        </is>
      </c>
      <c r="AG224" s="29" t="inlineStr">
        <is>
          <t>TOCACHE</t>
        </is>
      </c>
      <c r="AH224" s="29" t="inlineStr">
        <is>
          <t>SHUNTE</t>
        </is>
      </c>
      <c r="AI224" s="29" t="inlineStr">
        <is>
          <t>SHUNTE</t>
        </is>
      </c>
      <c r="AJ224" s="29" t="inlineStr">
        <is>
          <t>CULTIVO DE CEREALES (EXCEPTO ARROZ), LEGUMBRES Y SEMILLAS OLEAGINOSAS</t>
        </is>
      </c>
      <c r="AK224" s="29" t="inlineStr">
        <is>
          <t>1.0</t>
        </is>
      </c>
      <c r="AL224" s="29" t="inlineStr">
        <is>
          <t>2.0</t>
        </is>
      </c>
      <c r="AM224" s="29" t="inlineStr"/>
      <c r="AN224" s="29" t="n">
        <v>5</v>
      </c>
      <c r="AO224" s="29" t="inlineStr"/>
      <c r="AP224" s="29" t="inlineStr"/>
      <c r="AQ224" s="29" t="inlineStr"/>
      <c r="AR224" s="29" t="inlineStr">
        <is>
          <t>NO TIENE</t>
        </is>
      </c>
      <c r="AS224" s="29" t="inlineStr">
        <is>
          <t>NO TIENE</t>
        </is>
      </c>
      <c r="AT224" s="29" t="inlineStr">
        <is>
          <t>NO TIENE</t>
        </is>
      </c>
      <c r="AU224" s="29" t="inlineStr">
        <is>
          <t>-8.390546666</t>
        </is>
      </c>
      <c r="AV224" s="29" t="inlineStr">
        <is>
          <t>-76.73365666</t>
        </is>
      </c>
      <c r="AW224" s="29" t="inlineStr">
        <is>
          <t>2012.0</t>
        </is>
      </c>
      <c r="AX224" s="29" t="inlineStr">
        <is>
          <t>2012.0</t>
        </is>
      </c>
      <c r="AY224" s="29" t="inlineStr">
        <is>
          <t>1</t>
        </is>
      </c>
      <c r="AZ224" s="29" t="inlineStr">
        <is>
          <t>sept-2026</t>
        </is>
      </c>
      <c r="BD224" s="81">
        <f>0</f>
        <v/>
      </c>
      <c r="BE224" s="81">
        <f>IFERROR((IF(ISNUMBER(T224),MIN(T224/30,1),0)+IF(ISNUMBER(P224),MIN(P224/500,1),0))/2,0)</f>
        <v/>
      </c>
      <c r="BF224" s="81">
        <f>IFERROR(IF(OR(U224&lt;&gt;"",V224="SÍ"),IF(ISNUMBER(L224),(1*MIN(L224/10000,1))^0.5,0),IF(ISNUMBER(L224),(0*MIN(L224/10000,1))^0.5,0)),0)</f>
        <v/>
      </c>
    </row>
    <row r="225">
      <c r="A225" t="inlineStr">
        <is>
          <t>MIDAGRI; CENACOOP; CENCOOP 2017</t>
        </is>
      </c>
      <c r="B225" s="70" t="inlineStr">
        <is>
          <t>20493931726</t>
        </is>
      </c>
      <c r="C225" s="30" t="inlineStr">
        <is>
          <t>Cooperativa Agraria Cafetalera Tocache Ltda.</t>
        </is>
      </c>
      <c r="D225" s="30" t="inlineStr"/>
      <c r="E225" s="30" t="inlineStr">
        <is>
          <t>VENTA AL POR MENOR DE ALIMENTOS, BEBIDAS Y TABACO EN ALMACENES ESPECIALIZADOS</t>
        </is>
      </c>
      <c r="F225" s="30" t="inlineStr">
        <is>
          <t>San Martín</t>
        </is>
      </c>
      <c r="G225" s="30" t="inlineStr">
        <is>
          <t>Tocache</t>
        </is>
      </c>
      <c r="H225" s="30" t="inlineStr">
        <is>
          <t>Tocache, San Martín</t>
        </is>
      </c>
      <c r="I225" s="30" t="inlineStr">
        <is>
          <t>Cacao</t>
        </is>
      </c>
      <c r="J225" s="30" t="n"/>
      <c r="K225" s="30" t="inlineStr">
        <is>
          <t>NO</t>
        </is>
      </c>
      <c r="L225" s="30" t="n"/>
      <c r="M225" s="30" t="n"/>
      <c r="N225" s="30" t="n"/>
      <c r="O225" s="30" t="n"/>
      <c r="P225" s="30" t="inlineStr"/>
      <c r="Q225" s="30" t="inlineStr"/>
      <c r="R225" s="14" t="inlineStr">
        <is>
          <t>2575.0</t>
        </is>
      </c>
      <c r="S225" s="30" t="inlineStr"/>
      <c r="T225" s="30" t="inlineStr"/>
      <c r="U225" s="14" t="inlineStr"/>
      <c r="V225" s="15" t="inlineStr">
        <is>
          <t>SÍ</t>
        </is>
      </c>
      <c r="W225" s="14" t="inlineStr">
        <is>
          <t>—</t>
        </is>
      </c>
      <c r="X225" s="14" t="inlineStr">
        <is>
          <t>Marca Cacao Tocache</t>
        </is>
      </c>
      <c r="Y225" s="14" t="inlineStr"/>
      <c r="Z225" s="30" t="inlineStr">
        <is>
          <t>No disponible — requiere consulta directa (SUNAT/RUC.PE) o solicitud a la organización</t>
        </is>
      </c>
      <c r="AA225" s="30" t="b">
        <v>0</v>
      </c>
      <c r="AB225" s="30" t="b">
        <v>1</v>
      </c>
      <c r="AC225" s="30" t="b">
        <v>1</v>
      </c>
      <c r="AD225" s="19" t="inlineStr">
        <is>
          <t>SI</t>
        </is>
      </c>
      <c r="AE225" s="30" t="inlineStr">
        <is>
          <t>COOPERATIVA AGRARIA CAFETALERA TOCACHE LTDA.</t>
        </is>
      </c>
      <c r="AF225" s="30" t="inlineStr">
        <is>
          <t>SAN MARTIN</t>
        </is>
      </c>
      <c r="AG225" s="30" t="inlineStr">
        <is>
          <t>TOCACHE</t>
        </is>
      </c>
      <c r="AH225" s="30" t="inlineStr">
        <is>
          <t>TOCACHE</t>
        </is>
      </c>
      <c r="AI225" s="30" t="inlineStr">
        <is>
          <t>SARITA COLONIA</t>
        </is>
      </c>
      <c r="AJ225" s="30" t="inlineStr">
        <is>
          <t>ELABORACIÓN DE OTROS PRODUCTOS ALIMENTICIOS N.C.P.</t>
        </is>
      </c>
      <c r="AK225" s="30" t="inlineStr">
        <is>
          <t>1.0</t>
        </is>
      </c>
      <c r="AL225" s="30" t="inlineStr">
        <is>
          <t>1.0</t>
        </is>
      </c>
      <c r="AM225" s="30" t="inlineStr">
        <is>
          <t>1.0</t>
        </is>
      </c>
      <c r="AN225" s="30" t="n">
        <v>7</v>
      </c>
      <c r="AO225" s="30" t="inlineStr">
        <is>
          <t>MARTIN MARTICORENA VICTORIANO</t>
        </is>
      </c>
      <c r="AP225" s="30" t="inlineStr">
        <is>
          <t>AGRICULTOR</t>
        </is>
      </c>
      <c r="AQ225" s="30" t="inlineStr">
        <is>
          <t>5.0</t>
        </is>
      </c>
      <c r="AR225" s="30" t="inlineStr">
        <is>
          <t>NO TIENE</t>
        </is>
      </c>
      <c r="AS225" s="30" t="inlineStr">
        <is>
          <t>CACTOCACHE@HOTMAIL.COM</t>
        </is>
      </c>
      <c r="AT225" s="30" t="inlineStr">
        <is>
          <t>980608962</t>
        </is>
      </c>
      <c r="AU225" s="30" t="inlineStr">
        <is>
          <t>-8.18883333333</t>
        </is>
      </c>
      <c r="AV225" s="30" t="inlineStr">
        <is>
          <t>-76.4991633333</t>
        </is>
      </c>
      <c r="AW225" s="30" t="inlineStr">
        <is>
          <t>2010.0</t>
        </is>
      </c>
      <c r="AX225" s="30" t="inlineStr">
        <is>
          <t>2010.0</t>
        </is>
      </c>
      <c r="AY225" s="30" t="inlineStr">
        <is>
          <t>2</t>
        </is>
      </c>
      <c r="AZ225" s="30" t="inlineStr">
        <is>
          <t>sept-2026</t>
        </is>
      </c>
      <c r="BD225" s="81">
        <f>0</f>
        <v/>
      </c>
      <c r="BE225" s="81">
        <f>IFERROR((IF(ISNUMBER(T225),MIN(T225/30,1),0)+IF(ISNUMBER(P225),MIN(P225/500,1),0))/2,0)</f>
        <v/>
      </c>
      <c r="BF225" s="81">
        <f>IFERROR(IF(OR(U225&lt;&gt;"",V225="SÍ"),IF(ISNUMBER(L225),(1*MIN(L225/10000,1))^0.5,0),IF(ISNUMBER(L225),(0*MIN(L225/10000,1))^0.5,0)),0)</f>
        <v/>
      </c>
    </row>
    <row r="226">
      <c r="A226" t="inlineStr">
        <is>
          <t>MIDAGRI</t>
        </is>
      </c>
      <c r="B226" s="70" t="inlineStr">
        <is>
          <t>20609759381</t>
        </is>
      </c>
      <c r="C226" s="29" t="inlineStr">
        <is>
          <t>Cooperativa Agraria Cafetalera Valle Verde</t>
        </is>
      </c>
      <c r="D226" s="29" t="inlineStr"/>
      <c r="E226" s="29" t="inlineStr">
        <is>
          <t>VENTA AL POR MENOR DE ALIMENTOS, BEBIDAS Y TABACO EN ALMACENES ESPECIALIZADOS</t>
        </is>
      </c>
      <c r="F226" s="29" t="inlineStr">
        <is>
          <t>San Martín</t>
        </is>
      </c>
      <c r="G226" s="29" t="inlineStr">
        <is>
          <t>Moyobamba</t>
        </is>
      </c>
      <c r="H226" s="29" t="inlineStr">
        <is>
          <t>—</t>
        </is>
      </c>
      <c r="I226" s="29" t="inlineStr">
        <is>
          <t>—</t>
        </is>
      </c>
      <c r="J226" s="29" t="n"/>
      <c r="K226" s="29" t="inlineStr">
        <is>
          <t>NO</t>
        </is>
      </c>
      <c r="L226" s="29" t="n"/>
      <c r="M226" s="29" t="n"/>
      <c r="N226" s="29" t="n"/>
      <c r="O226" s="29" t="n"/>
      <c r="P226" s="29" t="inlineStr"/>
      <c r="Q226" s="29" t="inlineStr"/>
      <c r="R226" s="18" t="inlineStr">
        <is>
          <t>2575.0</t>
        </is>
      </c>
      <c r="S226" s="29" t="inlineStr"/>
      <c r="T226" s="29" t="inlineStr"/>
      <c r="U226" s="18" t="inlineStr"/>
      <c r="V226" s="18" t="inlineStr">
        <is>
          <t>NO</t>
        </is>
      </c>
      <c r="W226" s="18" t="inlineStr">
        <is>
          <t>—</t>
        </is>
      </c>
      <c r="X226" s="18" t="inlineStr">
        <is>
          <t>—</t>
        </is>
      </c>
      <c r="Y226" s="18" t="inlineStr"/>
      <c r="Z226" s="29" t="inlineStr">
        <is>
          <t>—</t>
        </is>
      </c>
      <c r="AA226" s="29" t="b">
        <v>0</v>
      </c>
      <c r="AB226" s="29" t="b">
        <v>1</v>
      </c>
      <c r="AC226" s="29" t="b">
        <v>0</v>
      </c>
      <c r="AD226" s="29" t="inlineStr">
        <is>
          <t>NO</t>
        </is>
      </c>
      <c r="AE226" s="29" t="inlineStr"/>
      <c r="AF226" s="29" t="inlineStr"/>
      <c r="AG226" s="29" t="inlineStr"/>
      <c r="AH226" s="29" t="inlineStr"/>
      <c r="AI226" s="29" t="inlineStr"/>
      <c r="AJ226" s="29" t="inlineStr"/>
      <c r="AK226" s="29" t="inlineStr"/>
      <c r="AL226" s="29" t="inlineStr"/>
      <c r="AM226" s="29" t="inlineStr"/>
      <c r="AN226" s="29" t="n"/>
      <c r="AO226" s="29" t="inlineStr"/>
      <c r="AP226" s="29" t="inlineStr"/>
      <c r="AQ226" s="29" t="inlineStr"/>
      <c r="AR226" s="29" t="inlineStr"/>
      <c r="AS226" s="29" t="inlineStr"/>
      <c r="AT226" s="29" t="inlineStr"/>
      <c r="AU226" s="29" t="inlineStr"/>
      <c r="AV226" s="29" t="inlineStr"/>
      <c r="AW226" s="29" t="inlineStr"/>
      <c r="AX226" s="29" t="inlineStr"/>
      <c r="AY226" s="29" t="inlineStr">
        <is>
          <t>1</t>
        </is>
      </c>
      <c r="AZ226" s="29" t="inlineStr">
        <is>
          <t>sept-2026</t>
        </is>
      </c>
      <c r="BD226" s="81">
        <f>0</f>
        <v/>
      </c>
      <c r="BE226" s="81">
        <f>IFERROR((IF(ISNUMBER(T226),MIN(T226/30,1),0)+IF(ISNUMBER(P226),MIN(P226/500,1),0))/2,0)</f>
        <v/>
      </c>
      <c r="BF226" s="81">
        <f>IFERROR(IF(OR(U226&lt;&gt;"",V226="SÍ"),IF(ISNUMBER(L226),(1*MIN(L226/10000,1))^0.5,0),IF(ISNUMBER(L226),(0*MIN(L226/10000,1))^0.5,0)),0)</f>
        <v/>
      </c>
    </row>
    <row r="227">
      <c r="A227" t="inlineStr">
        <is>
          <t>MIDAGRI</t>
        </is>
      </c>
      <c r="B227" s="70" t="inlineStr">
        <is>
          <t>20602333907</t>
        </is>
      </c>
      <c r="C227" s="30" t="inlineStr">
        <is>
          <t>Cooperativa Agraria Cafetalera Valles De Polvora Ltda.</t>
        </is>
      </c>
      <c r="D227" s="30" t="inlineStr"/>
      <c r="E227" s="30" t="inlineStr">
        <is>
          <t>VENTA AL POR MENOR DE ALIMENTOS, BEBIDAS Y TABACO EN ALMACENES ESPECIALIZADOS</t>
        </is>
      </c>
      <c r="F227" s="30" t="inlineStr">
        <is>
          <t>San Martín</t>
        </is>
      </c>
      <c r="G227" s="30" t="inlineStr">
        <is>
          <t>Tocache</t>
        </is>
      </c>
      <c r="H227" s="30" t="inlineStr">
        <is>
          <t>—</t>
        </is>
      </c>
      <c r="I227" s="30" t="inlineStr">
        <is>
          <t>—</t>
        </is>
      </c>
      <c r="J227" s="30" t="n"/>
      <c r="K227" s="30" t="inlineStr">
        <is>
          <t>NO</t>
        </is>
      </c>
      <c r="L227" s="30" t="n"/>
      <c r="M227" s="30" t="n"/>
      <c r="N227" s="30" t="n"/>
      <c r="O227" s="30" t="n"/>
      <c r="P227" s="30" t="inlineStr"/>
      <c r="Q227" s="30" t="inlineStr"/>
      <c r="R227" s="14" t="inlineStr">
        <is>
          <t>2575.0</t>
        </is>
      </c>
      <c r="S227" s="30" t="inlineStr"/>
      <c r="T227" s="30" t="inlineStr"/>
      <c r="U227" s="14" t="inlineStr"/>
      <c r="V227" s="14" t="inlineStr">
        <is>
          <t>NO</t>
        </is>
      </c>
      <c r="W227" s="14" t="inlineStr">
        <is>
          <t>—</t>
        </is>
      </c>
      <c r="X227" s="14" t="inlineStr">
        <is>
          <t>—</t>
        </is>
      </c>
      <c r="Y227" s="14" t="inlineStr"/>
      <c r="Z227" s="30" t="inlineStr">
        <is>
          <t>—</t>
        </is>
      </c>
      <c r="AA227" s="30" t="b">
        <v>0</v>
      </c>
      <c r="AB227" s="30" t="b">
        <v>1</v>
      </c>
      <c r="AC227" s="30" t="b">
        <v>0</v>
      </c>
      <c r="AD227" s="30" t="inlineStr">
        <is>
          <t>NO</t>
        </is>
      </c>
      <c r="AE227" s="30" t="inlineStr"/>
      <c r="AF227" s="30" t="inlineStr"/>
      <c r="AG227" s="30" t="inlineStr"/>
      <c r="AH227" s="30" t="inlineStr"/>
      <c r="AI227" s="30" t="inlineStr"/>
      <c r="AJ227" s="30" t="inlineStr"/>
      <c r="AK227" s="30" t="inlineStr"/>
      <c r="AL227" s="30" t="inlineStr"/>
      <c r="AM227" s="30" t="inlineStr"/>
      <c r="AN227" s="30" t="n"/>
      <c r="AO227" s="30" t="inlineStr"/>
      <c r="AP227" s="30" t="inlineStr"/>
      <c r="AQ227" s="30" t="inlineStr"/>
      <c r="AR227" s="30" t="inlineStr"/>
      <c r="AS227" s="30" t="inlineStr"/>
      <c r="AT227" s="30" t="inlineStr"/>
      <c r="AU227" s="30" t="inlineStr"/>
      <c r="AV227" s="30" t="inlineStr"/>
      <c r="AW227" s="30" t="inlineStr"/>
      <c r="AX227" s="30" t="inlineStr"/>
      <c r="AY227" s="30" t="inlineStr">
        <is>
          <t>1</t>
        </is>
      </c>
      <c r="AZ227" s="30" t="inlineStr">
        <is>
          <t>sept-2026</t>
        </is>
      </c>
      <c r="BD227" s="81">
        <f>0</f>
        <v/>
      </c>
      <c r="BE227" s="81">
        <f>IFERROR((IF(ISNUMBER(T227),MIN(T227/30,1),0)+IF(ISNUMBER(P227),MIN(P227/500,1),0))/2,0)</f>
        <v/>
      </c>
      <c r="BF227" s="81">
        <f>IFERROR(IF(OR(U227&lt;&gt;"",V227="SÍ"),IF(ISNUMBER(L227),(1*MIN(L227/10000,1))^0.5,0),IF(ISNUMBER(L227),(0*MIN(L227/10000,1))^0.5,0)),0)</f>
        <v/>
      </c>
    </row>
    <row r="228">
      <c r="A228" t="inlineStr">
        <is>
          <t>MIDAGRI; CENACOOP; CENCOOP 2017</t>
        </is>
      </c>
      <c r="B228" s="70" t="inlineStr">
        <is>
          <t>20489109981</t>
        </is>
      </c>
      <c r="C228" s="29" t="inlineStr">
        <is>
          <t>Cooperativa Agraria Cafetalera y de Servicios Oro Verde Ltda.</t>
        </is>
      </c>
      <c r="D228" s="29" t="inlineStr"/>
      <c r="E228" s="29" t="inlineStr">
        <is>
          <t>VENTA AL POR MENOR DE ALIMENTOS, BEBIDAS Y TABACO EN ALMACENES ESPECIALIZADOS</t>
        </is>
      </c>
      <c r="F228" s="29" t="inlineStr">
        <is>
          <t>San Martín</t>
        </is>
      </c>
      <c r="G228" s="29" t="inlineStr">
        <is>
          <t>Lamas</t>
        </is>
      </c>
      <c r="H228" s="29" t="inlineStr">
        <is>
          <t>San Martín</t>
        </is>
      </c>
      <c r="I228" s="29" t="inlineStr">
        <is>
          <t>Cacao</t>
        </is>
      </c>
      <c r="J228" s="29" t="inlineStr">
        <is>
          <t>SI</t>
        </is>
      </c>
      <c r="K228" s="29" t="inlineStr">
        <is>
          <t>NO</t>
        </is>
      </c>
      <c r="L228" s="29" t="n">
        <v>0</v>
      </c>
      <c r="M228" s="29" t="n">
        <v>62094721.25</v>
      </c>
      <c r="N228" s="29" t="n">
        <v>462</v>
      </c>
      <c r="O228" s="29" t="n">
        <v>21</v>
      </c>
      <c r="P228" s="29" t="inlineStr"/>
      <c r="Q228" s="29" t="inlineStr"/>
      <c r="R228" s="18" t="inlineStr">
        <is>
          <t>2575.0</t>
        </is>
      </c>
      <c r="S228" s="29" t="inlineStr"/>
      <c r="T228" s="29" t="inlineStr"/>
      <c r="U228" s="18" t="inlineStr"/>
      <c r="V228" s="15" t="inlineStr">
        <is>
          <t>SÍ</t>
        </is>
      </c>
      <c r="W228" s="18" t="inlineStr">
        <is>
          <t>—</t>
        </is>
      </c>
      <c r="X228" s="18" t="inlineStr">
        <is>
          <t>—</t>
        </is>
      </c>
      <c r="Y228" s="18" t="inlineStr"/>
      <c r="Z228" s="29" t="inlineStr">
        <is>
          <t>No disponible — requiere consulta directa (SUNAT/RUC.PE) o solicitud a la organización</t>
        </is>
      </c>
      <c r="AA228" s="29" t="b">
        <v>0</v>
      </c>
      <c r="AB228" s="29" t="b">
        <v>1</v>
      </c>
      <c r="AC228" s="29" t="b">
        <v>1</v>
      </c>
      <c r="AD228" s="19" t="inlineStr">
        <is>
          <t>SI</t>
        </is>
      </c>
      <c r="AE228" s="29" t="inlineStr">
        <is>
          <t>COOPERATIVA AGRARIA CAFETALERA Y DE SERVICIOS ORO VERDE LTDA.</t>
        </is>
      </c>
      <c r="AF228" s="29" t="inlineStr">
        <is>
          <t>SAN MARTIN</t>
        </is>
      </c>
      <c r="AG228" s="29" t="inlineStr">
        <is>
          <t>LAMAS</t>
        </is>
      </c>
      <c r="AH228" s="29" t="inlineStr">
        <is>
          <t>LAMAS</t>
        </is>
      </c>
      <c r="AI228" s="29" t="inlineStr">
        <is>
          <t>LAMAS</t>
        </is>
      </c>
      <c r="AJ228" s="29" t="inlineStr">
        <is>
          <t>CULTIVO DE CEREALES (EXCEPTO ARROZ), LEGUMBRES Y SEMILLAS OLEAGINOSAS</t>
        </is>
      </c>
      <c r="AK228" s="29" t="inlineStr">
        <is>
          <t>1.0</t>
        </is>
      </c>
      <c r="AL228" s="29" t="inlineStr">
        <is>
          <t>1.0</t>
        </is>
      </c>
      <c r="AM228" s="29" t="inlineStr">
        <is>
          <t>3.0</t>
        </is>
      </c>
      <c r="AN228" s="29" t="n">
        <v>17</v>
      </c>
      <c r="AO228" s="29" t="inlineStr">
        <is>
          <t>CORDOVA MARCHENA TOMAS ALBERTO</t>
        </is>
      </c>
      <c r="AP228" s="29" t="inlineStr">
        <is>
          <t>INGENIERO DE INDUSTRIAS ALIMENTARIAS</t>
        </is>
      </c>
      <c r="AQ228" s="29" t="inlineStr">
        <is>
          <t>10.0</t>
        </is>
      </c>
      <c r="AR228" s="29" t="inlineStr">
        <is>
          <t>WWW.OROVERDE.COM.PE</t>
        </is>
      </c>
      <c r="AS228" s="29" t="inlineStr">
        <is>
          <t>OROVERDE@OROVERDE.COM.PE</t>
        </is>
      </c>
      <c r="AT228" s="29" t="inlineStr">
        <is>
          <t>977256458</t>
        </is>
      </c>
      <c r="AU228" s="29" t="inlineStr">
        <is>
          <t>-6.425416</t>
        </is>
      </c>
      <c r="AV228" s="29" t="inlineStr">
        <is>
          <t>-76.514247</t>
        </is>
      </c>
      <c r="AW228" s="29" t="inlineStr">
        <is>
          <t>1999.0</t>
        </is>
      </c>
      <c r="AX228" s="29" t="inlineStr">
        <is>
          <t>2000.0</t>
        </is>
      </c>
      <c r="AY228" s="29" t="inlineStr">
        <is>
          <t>2</t>
        </is>
      </c>
      <c r="AZ228" s="29" t="inlineStr">
        <is>
          <t>sept-2026</t>
        </is>
      </c>
      <c r="BA228" t="inlineStr">
        <is>
          <t>BELGIUM; CANADA; DENMARK; ESTONIA; FRANCE; GERMANY; GREECE; INDONESIA; ITALY; KOREA, REPUBLIC OF; MALAYSIA; MEXICO; NETHERLANDS; NORWAY; POLAND; SINGAPORE; SPAIN; SWEDEN; SWITZERLAND; UNITED KINGDOM; UNITED STATES</t>
        </is>
      </c>
      <c r="BB228" t="n">
        <v>2010</v>
      </c>
      <c r="BC228" t="n">
        <v>2025</v>
      </c>
      <c r="BD228" s="81">
        <f>0</f>
        <v/>
      </c>
      <c r="BE228" s="81">
        <f>IFERROR((IF(ISNUMBER(T228),MIN(T228/30,1),0)+IF(ISNUMBER(P228),MIN(P228/500,1),0))/2,0)</f>
        <v/>
      </c>
      <c r="BF228" s="81">
        <f>IFERROR(IF(OR(U228&lt;&gt;"",V228="SÍ"),IF(ISNUMBER(L228),(1*MIN(L228/10000,1))^0.5,0),IF(ISNUMBER(L228),(0*MIN(L228/10000,1))^0.5,0)),0)</f>
        <v/>
      </c>
    </row>
    <row r="229">
      <c r="A229" t="inlineStr">
        <is>
          <t>MIDAGRI; CENACOOP; CENCOOP 2017</t>
        </is>
      </c>
      <c r="B229" s="70" t="inlineStr">
        <is>
          <t>20572145388</t>
        </is>
      </c>
      <c r="C229" s="30" t="inlineStr">
        <is>
          <t>Cooperativa Agraria Cordillera Azul Nuevo Progreso Ltda.</t>
        </is>
      </c>
      <c r="D229" s="30" t="inlineStr"/>
      <c r="E229" s="30" t="inlineStr">
        <is>
          <t>VENTA AL POR MENOR DE ALIMENTOS, BEBIDAS Y TABACO EN ALMACENES ESPECIALIZADOS</t>
        </is>
      </c>
      <c r="F229" s="30" t="inlineStr">
        <is>
          <t>San Martín</t>
        </is>
      </c>
      <c r="G229" s="30" t="inlineStr">
        <is>
          <t>Tocache</t>
        </is>
      </c>
      <c r="H229" s="30" t="inlineStr">
        <is>
          <t>—</t>
        </is>
      </c>
      <c r="I229" s="30" t="inlineStr">
        <is>
          <t>—</t>
        </is>
      </c>
      <c r="J229" s="30" t="n"/>
      <c r="K229" s="30" t="inlineStr">
        <is>
          <t>NO</t>
        </is>
      </c>
      <c r="L229" s="30" t="n"/>
      <c r="M229" s="30" t="n"/>
      <c r="N229" s="30" t="n"/>
      <c r="O229" s="30" t="n"/>
      <c r="P229" s="30" t="inlineStr"/>
      <c r="Q229" s="30" t="inlineStr"/>
      <c r="R229" s="14" t="inlineStr">
        <is>
          <t>2575.0</t>
        </is>
      </c>
      <c r="S229" s="30" t="inlineStr"/>
      <c r="T229" s="30" t="inlineStr"/>
      <c r="U229" s="14" t="inlineStr"/>
      <c r="V229" s="14" t="inlineStr">
        <is>
          <t>NO</t>
        </is>
      </c>
      <c r="W229" s="14" t="inlineStr">
        <is>
          <t>—</t>
        </is>
      </c>
      <c r="X229" s="14" t="inlineStr">
        <is>
          <t>—</t>
        </is>
      </c>
      <c r="Y229" s="14" t="inlineStr"/>
      <c r="Z229" s="30" t="inlineStr">
        <is>
          <t>—</t>
        </is>
      </c>
      <c r="AA229" s="30" t="b">
        <v>0</v>
      </c>
      <c r="AB229" s="30" t="b">
        <v>1</v>
      </c>
      <c r="AC229" s="30" t="b">
        <v>1</v>
      </c>
      <c r="AD229" s="19" t="inlineStr">
        <is>
          <t>SI</t>
        </is>
      </c>
      <c r="AE229" s="30" t="inlineStr">
        <is>
          <t>COOPERATIVA AGROINDUSTRIAL CORDILLERA AZUL NUEVO PROGRESO LTDA.</t>
        </is>
      </c>
      <c r="AF229" s="30" t="inlineStr">
        <is>
          <t>SAN MARTIN</t>
        </is>
      </c>
      <c r="AG229" s="30" t="inlineStr">
        <is>
          <t>TOCACHE</t>
        </is>
      </c>
      <c r="AH229" s="30" t="inlineStr">
        <is>
          <t>NUEVO PROGRESO</t>
        </is>
      </c>
      <c r="AI229" s="30" t="inlineStr">
        <is>
          <t>NUEVO PROGRESO</t>
        </is>
      </c>
      <c r="AJ229" s="30" t="inlineStr">
        <is>
          <t>CULTIVO DE CEREALES (EXCEPTO ARROZ), LEGUMBRES Y SEMILLAS OLEAGINOSAS</t>
        </is>
      </c>
      <c r="AK229" s="30" t="inlineStr">
        <is>
          <t>3.0</t>
        </is>
      </c>
      <c r="AL229" s="30" t="inlineStr">
        <is>
          <t>1.0</t>
        </is>
      </c>
      <c r="AM229" s="30" t="inlineStr">
        <is>
          <t>1.0</t>
        </is>
      </c>
      <c r="AN229" s="30" t="n">
        <v>3</v>
      </c>
      <c r="AO229" s="30" t="inlineStr">
        <is>
          <t>PEREZ VILLANUEVA RICHARD ROY</t>
        </is>
      </c>
      <c r="AP229" s="30" t="inlineStr">
        <is>
          <t>ZOOTECNISTA</t>
        </is>
      </c>
      <c r="AQ229" s="30" t="inlineStr">
        <is>
          <t>10.0</t>
        </is>
      </c>
      <c r="AR229" s="30" t="inlineStr">
        <is>
          <t>NO TIENE</t>
        </is>
      </c>
      <c r="AS229" s="30" t="inlineStr">
        <is>
          <t>COOPCORDILLERAAZUL@HOTMAIL.COM</t>
        </is>
      </c>
      <c r="AT229" s="30" t="inlineStr">
        <is>
          <t>998048063</t>
        </is>
      </c>
      <c r="AU229" s="30" t="inlineStr">
        <is>
          <t>-8.45363</t>
        </is>
      </c>
      <c r="AV229" s="30" t="inlineStr">
        <is>
          <t>-76.326825</t>
        </is>
      </c>
      <c r="AW229" s="30" t="inlineStr">
        <is>
          <t>2013.0</t>
        </is>
      </c>
      <c r="AX229" s="30" t="inlineStr">
        <is>
          <t>2014.0</t>
        </is>
      </c>
      <c r="AY229" s="30" t="inlineStr">
        <is>
          <t>2</t>
        </is>
      </c>
      <c r="AZ229" s="30" t="inlineStr">
        <is>
          <t>sept-2026</t>
        </is>
      </c>
      <c r="BD229" s="81">
        <f>0</f>
        <v/>
      </c>
      <c r="BE229" s="81">
        <f>IFERROR((IF(ISNUMBER(T229),MIN(T229/30,1),0)+IF(ISNUMBER(P229),MIN(P229/500,1),0))/2,0)</f>
        <v/>
      </c>
      <c r="BF229" s="81">
        <f>IFERROR(IF(OR(U229&lt;&gt;"",V229="SÍ"),IF(ISNUMBER(L229),(1*MIN(L229/10000,1))^0.5,0),IF(ISNUMBER(L229),(0*MIN(L229/10000,1))^0.5,0)),0)</f>
        <v/>
      </c>
    </row>
    <row r="230">
      <c r="A230" t="inlineStr">
        <is>
          <t>MIDAGRI</t>
        </is>
      </c>
      <c r="B230" s="70" t="inlineStr">
        <is>
          <t>20606730650</t>
        </is>
      </c>
      <c r="C230" s="29" t="inlineStr">
        <is>
          <t>Cooperativa Agraria De Productores Integrados San Martin</t>
        </is>
      </c>
      <c r="D230" s="29" t="inlineStr"/>
      <c r="E230" s="29" t="inlineStr">
        <is>
          <t>VENTA AL POR MENOR DE ALIMENTOS, BEBIDAS Y TABACO EN ALMACENES ESPECIALIZADOS</t>
        </is>
      </c>
      <c r="F230" s="29" t="inlineStr">
        <is>
          <t>San Martín</t>
        </is>
      </c>
      <c r="G230" s="29" t="inlineStr">
        <is>
          <t>Moyobamba</t>
        </is>
      </c>
      <c r="H230" s="29" t="inlineStr">
        <is>
          <t>—</t>
        </is>
      </c>
      <c r="I230" s="29" t="inlineStr">
        <is>
          <t>—</t>
        </is>
      </c>
      <c r="J230" s="29" t="inlineStr">
        <is>
          <t>SI</t>
        </is>
      </c>
      <c r="K230" s="29" t="inlineStr">
        <is>
          <t>NO</t>
        </is>
      </c>
      <c r="L230" s="29" t="n">
        <v>0</v>
      </c>
      <c r="M230" s="29" t="n">
        <v>23778.14</v>
      </c>
      <c r="N230" s="29" t="n">
        <v>1</v>
      </c>
      <c r="O230" s="29" t="n">
        <v>1</v>
      </c>
      <c r="P230" s="29" t="inlineStr"/>
      <c r="Q230" s="29" t="inlineStr"/>
      <c r="R230" s="18" t="inlineStr">
        <is>
          <t>2575.0</t>
        </is>
      </c>
      <c r="S230" s="29" t="inlineStr"/>
      <c r="T230" s="29" t="inlineStr"/>
      <c r="U230" s="18" t="inlineStr"/>
      <c r="V230" s="18" t="inlineStr">
        <is>
          <t>NO</t>
        </is>
      </c>
      <c r="W230" s="18" t="inlineStr">
        <is>
          <t>—</t>
        </is>
      </c>
      <c r="X230" s="18" t="inlineStr">
        <is>
          <t>—</t>
        </is>
      </c>
      <c r="Y230" s="18" t="inlineStr"/>
      <c r="Z230" s="29" t="inlineStr">
        <is>
          <t>—</t>
        </is>
      </c>
      <c r="AA230" s="29" t="b">
        <v>0</v>
      </c>
      <c r="AB230" s="29" t="b">
        <v>1</v>
      </c>
      <c r="AC230" s="29" t="b">
        <v>0</v>
      </c>
      <c r="AD230" s="29" t="inlineStr">
        <is>
          <t>NO</t>
        </is>
      </c>
      <c r="AE230" s="29" t="inlineStr"/>
      <c r="AF230" s="29" t="inlineStr"/>
      <c r="AG230" s="29" t="inlineStr"/>
      <c r="AH230" s="29" t="inlineStr"/>
      <c r="AI230" s="29" t="inlineStr"/>
      <c r="AJ230" s="29" t="inlineStr"/>
      <c r="AK230" s="29" t="inlineStr"/>
      <c r="AL230" s="29" t="inlineStr"/>
      <c r="AM230" s="29" t="inlineStr"/>
      <c r="AN230" s="29" t="n"/>
      <c r="AO230" s="29" t="inlineStr"/>
      <c r="AP230" s="29" t="inlineStr"/>
      <c r="AQ230" s="29" t="inlineStr"/>
      <c r="AR230" s="29" t="inlineStr"/>
      <c r="AS230" s="29" t="inlineStr"/>
      <c r="AT230" s="29" t="inlineStr"/>
      <c r="AU230" s="29" t="inlineStr"/>
      <c r="AV230" s="29" t="inlineStr"/>
      <c r="AW230" s="29" t="inlineStr"/>
      <c r="AX230" s="29" t="inlineStr"/>
      <c r="AY230" s="29" t="inlineStr">
        <is>
          <t>1</t>
        </is>
      </c>
      <c r="AZ230" s="29" t="inlineStr">
        <is>
          <t>sept-2026</t>
        </is>
      </c>
      <c r="BA230" t="inlineStr">
        <is>
          <t>JAPAN</t>
        </is>
      </c>
      <c r="BB230" t="n">
        <v>2025</v>
      </c>
      <c r="BC230" t="n">
        <v>2025</v>
      </c>
      <c r="BD230" s="81">
        <f>0</f>
        <v/>
      </c>
      <c r="BE230" s="81">
        <f>IFERROR((IF(ISNUMBER(T230),MIN(T230/30,1),0)+IF(ISNUMBER(P230),MIN(P230/500,1),0))/2,0)</f>
        <v/>
      </c>
      <c r="BF230" s="81">
        <f>IFERROR(IF(OR(U230&lt;&gt;"",V230="SÍ"),IF(ISNUMBER(L230),(1*MIN(L230/10000,1))^0.5,0),IF(ISNUMBER(L230),(0*MIN(L230/10000,1))^0.5,0)),0)</f>
        <v/>
      </c>
    </row>
    <row r="231">
      <c r="A231" t="inlineStr">
        <is>
          <t>MIDAGRI; CENACOOP; CENCOOP 2017</t>
        </is>
      </c>
      <c r="B231" s="70" t="inlineStr">
        <is>
          <t>20542370735</t>
        </is>
      </c>
      <c r="C231" s="30" t="inlineStr">
        <is>
          <t>Cooperativa Agraria Industrial Mishollo Ltda.</t>
        </is>
      </c>
      <c r="D231" s="30" t="inlineStr"/>
      <c r="E231" s="30" t="inlineStr">
        <is>
          <t>VENTA AL POR MENOR DE ALIMENTOS, BEBIDAS Y TABACO EN ALMACENES ESPECIALIZADOS</t>
        </is>
      </c>
      <c r="F231" s="30" t="inlineStr">
        <is>
          <t>San Martín</t>
        </is>
      </c>
      <c r="G231" s="30" t="inlineStr">
        <is>
          <t>Tocache</t>
        </is>
      </c>
      <c r="H231" s="30" t="inlineStr">
        <is>
          <t>—</t>
        </is>
      </c>
      <c r="I231" s="30" t="inlineStr">
        <is>
          <t>—</t>
        </is>
      </c>
      <c r="J231" s="30" t="n"/>
      <c r="K231" s="30" t="inlineStr">
        <is>
          <t>NO</t>
        </is>
      </c>
      <c r="L231" s="30" t="n"/>
      <c r="M231" s="30" t="n"/>
      <c r="N231" s="30" t="n"/>
      <c r="O231" s="30" t="n"/>
      <c r="P231" s="30" t="inlineStr"/>
      <c r="Q231" s="30" t="inlineStr"/>
      <c r="R231" s="14" t="inlineStr">
        <is>
          <t>2575.0</t>
        </is>
      </c>
      <c r="S231" s="30" t="inlineStr"/>
      <c r="T231" s="30" t="inlineStr"/>
      <c r="U231" s="14" t="inlineStr"/>
      <c r="V231" s="14" t="inlineStr">
        <is>
          <t>NO</t>
        </is>
      </c>
      <c r="W231" s="14" t="inlineStr">
        <is>
          <t>—</t>
        </is>
      </c>
      <c r="X231" s="14" t="inlineStr">
        <is>
          <t>—</t>
        </is>
      </c>
      <c r="Y231" s="14" t="inlineStr"/>
      <c r="Z231" s="30" t="inlineStr">
        <is>
          <t>—</t>
        </is>
      </c>
      <c r="AA231" s="30" t="b">
        <v>0</v>
      </c>
      <c r="AB231" s="30" t="b">
        <v>1</v>
      </c>
      <c r="AC231" s="30" t="b">
        <v>1</v>
      </c>
      <c r="AD231" s="19" t="inlineStr">
        <is>
          <t>SI</t>
        </is>
      </c>
      <c r="AE231" s="30" t="inlineStr">
        <is>
          <t>COOPERATIVA AGRARIA VALLE DEL MISHOLLO LTDA</t>
        </is>
      </c>
      <c r="AF231" s="30" t="inlineStr">
        <is>
          <t>SAN MARTIN</t>
        </is>
      </c>
      <c r="AG231" s="30" t="inlineStr">
        <is>
          <t>TOCACHE</t>
        </is>
      </c>
      <c r="AH231" s="30" t="inlineStr">
        <is>
          <t>POLVORA</t>
        </is>
      </c>
      <c r="AI231" s="30" t="inlineStr">
        <is>
          <t>SANTA ROSA DE MISHOLLO</t>
        </is>
      </c>
      <c r="AJ231" s="30" t="inlineStr">
        <is>
          <t>CULTIVO DE PRODUCTOS AGRÌCOLAS EN COMBINACIÒN CON LA CRÌA DE ANIMALES</t>
        </is>
      </c>
      <c r="AK231" s="30" t="inlineStr">
        <is>
          <t>1.0</t>
        </is>
      </c>
      <c r="AL231" s="30" t="inlineStr">
        <is>
          <t>1.0</t>
        </is>
      </c>
      <c r="AM231" s="30" t="inlineStr">
        <is>
          <t>1.0</t>
        </is>
      </c>
      <c r="AN231" s="30" t="n">
        <v>4</v>
      </c>
      <c r="AO231" s="30" t="inlineStr">
        <is>
          <t>MATOS MORENO MELANIO</t>
        </is>
      </c>
      <c r="AP231" s="30" t="inlineStr">
        <is>
          <t>INGENIERO AGRONOMO</t>
        </is>
      </c>
      <c r="AQ231" s="30" t="inlineStr">
        <is>
          <t>10.0</t>
        </is>
      </c>
      <c r="AR231" s="30" t="inlineStr">
        <is>
          <t>NO TIENE</t>
        </is>
      </c>
      <c r="AS231" s="30" t="inlineStr">
        <is>
          <t>NO TIENE</t>
        </is>
      </c>
      <c r="AT231" s="30" t="inlineStr">
        <is>
          <t>NO TIENE</t>
        </is>
      </c>
      <c r="AU231" s="30" t="inlineStr">
        <is>
          <t>-8.036290000000001</t>
        </is>
      </c>
      <c r="AV231" s="30" t="inlineStr">
        <is>
          <t>-76.68414</t>
        </is>
      </c>
      <c r="AW231" s="30" t="inlineStr">
        <is>
          <t>2013.0</t>
        </is>
      </c>
      <c r="AX231" s="30" t="inlineStr">
        <is>
          <t>2013.0</t>
        </is>
      </c>
      <c r="AY231" s="30" t="inlineStr">
        <is>
          <t>2</t>
        </is>
      </c>
      <c r="AZ231" s="30" t="inlineStr">
        <is>
          <t>sept-2026</t>
        </is>
      </c>
      <c r="BD231" s="81">
        <f>0</f>
        <v/>
      </c>
      <c r="BE231" s="81">
        <f>IFERROR((IF(ISNUMBER(T231),MIN(T231/30,1),0)+IF(ISNUMBER(P231),MIN(P231/500,1),0))/2,0)</f>
        <v/>
      </c>
      <c r="BF231" s="81">
        <f>IFERROR(IF(OR(U231&lt;&gt;"",V231="SÍ"),IF(ISNUMBER(L231),(1*MIN(L231/10000,1))^0.5,0),IF(ISNUMBER(L231),(0*MIN(L231/10000,1))^0.5,0)),0)</f>
        <v/>
      </c>
    </row>
    <row r="232">
      <c r="A232" t="inlineStr">
        <is>
          <t>MIDAGRI; CENACOOP; CENCOOP 2017</t>
        </is>
      </c>
      <c r="B232" s="70" t="inlineStr">
        <is>
          <t>20450306445</t>
        </is>
      </c>
      <c r="C232" s="29" t="inlineStr">
        <is>
          <t>Cooperativa Agraria Industrial Progreso Ltda.</t>
        </is>
      </c>
      <c r="D232" s="29" t="inlineStr"/>
      <c r="E232" s="29" t="inlineStr">
        <is>
          <t>VENTA AL POR MENOR DE ALIMENTOS, BEBIDAS Y TABACO EN ALMACENES ESPECIALIZADOS</t>
        </is>
      </c>
      <c r="F232" s="29" t="inlineStr">
        <is>
          <t>San Martín</t>
        </is>
      </c>
      <c r="G232" s="29" t="inlineStr">
        <is>
          <t>Tocache</t>
        </is>
      </c>
      <c r="H232" s="29" t="inlineStr">
        <is>
          <t>—</t>
        </is>
      </c>
      <c r="I232" s="29" t="inlineStr">
        <is>
          <t>—</t>
        </is>
      </c>
      <c r="J232" s="29" t="inlineStr">
        <is>
          <t>SI</t>
        </is>
      </c>
      <c r="K232" s="29" t="inlineStr">
        <is>
          <t>NO</t>
        </is>
      </c>
      <c r="L232" s="29" t="n">
        <v>0</v>
      </c>
      <c r="M232" s="29" t="n">
        <v>246949.85</v>
      </c>
      <c r="N232" s="29" t="n">
        <v>3</v>
      </c>
      <c r="O232" s="29" t="n">
        <v>2</v>
      </c>
      <c r="P232" s="29" t="inlineStr"/>
      <c r="Q232" s="29" t="inlineStr"/>
      <c r="R232" s="18" t="inlineStr">
        <is>
          <t>2575.0</t>
        </is>
      </c>
      <c r="S232" s="29" t="inlineStr"/>
      <c r="T232" s="29" t="inlineStr"/>
      <c r="U232" s="18" t="inlineStr"/>
      <c r="V232" s="18" t="inlineStr">
        <is>
          <t>NO</t>
        </is>
      </c>
      <c r="W232" s="18" t="inlineStr">
        <is>
          <t>—</t>
        </is>
      </c>
      <c r="X232" s="18" t="inlineStr">
        <is>
          <t>—</t>
        </is>
      </c>
      <c r="Y232" s="18" t="inlineStr"/>
      <c r="Z232" s="29" t="inlineStr">
        <is>
          <t>—</t>
        </is>
      </c>
      <c r="AA232" s="29" t="b">
        <v>0</v>
      </c>
      <c r="AB232" s="29" t="b">
        <v>1</v>
      </c>
      <c r="AC232" s="29" t="b">
        <v>1</v>
      </c>
      <c r="AD232" s="19" t="inlineStr">
        <is>
          <t>SI</t>
        </is>
      </c>
      <c r="AE232" s="29" t="inlineStr">
        <is>
          <t>COOPERATIVA AGRARIA INDUSTRIAL PROGRESO LTDA.</t>
        </is>
      </c>
      <c r="AF232" s="29" t="inlineStr">
        <is>
          <t>SAN MARTIN</t>
        </is>
      </c>
      <c r="AG232" s="29" t="inlineStr">
        <is>
          <t>TOCACHE</t>
        </is>
      </c>
      <c r="AH232" s="29" t="inlineStr">
        <is>
          <t>NUEVO PROGRESO</t>
        </is>
      </c>
      <c r="AI232" s="29" t="inlineStr">
        <is>
          <t>NUEVO PROGRESO</t>
        </is>
      </c>
      <c r="AJ232" s="29" t="inlineStr">
        <is>
          <t>ACTIVIDADES DE APOYO A LA AGRICULTURA</t>
        </is>
      </c>
      <c r="AK232" s="29" t="inlineStr">
        <is>
          <t>1.0</t>
        </is>
      </c>
      <c r="AL232" s="29" t="inlineStr">
        <is>
          <t>1.0</t>
        </is>
      </c>
      <c r="AM232" s="29" t="inlineStr">
        <is>
          <t>2.0</t>
        </is>
      </c>
      <c r="AN232" s="29" t="n">
        <v>7</v>
      </c>
      <c r="AO232" s="29" t="inlineStr">
        <is>
          <t>PABLO CASTILLO VICTOR DOMINGO</t>
        </is>
      </c>
      <c r="AP232" s="29" t="inlineStr">
        <is>
          <t>INGENIERO AGRONOMO</t>
        </is>
      </c>
      <c r="AQ232" s="29" t="inlineStr">
        <is>
          <t>11.0</t>
        </is>
      </c>
      <c r="AR232" s="29" t="inlineStr">
        <is>
          <t>NO TIENE</t>
        </is>
      </c>
      <c r="AS232" s="29" t="inlineStr">
        <is>
          <t>EDUEDU22@HOTMAIL.COM</t>
        </is>
      </c>
      <c r="AT232" s="29" t="inlineStr">
        <is>
          <t>978287888</t>
        </is>
      </c>
      <c r="AU232" s="29" t="inlineStr">
        <is>
          <t>-8.450629999999999</t>
        </is>
      </c>
      <c r="AV232" s="29" t="inlineStr">
        <is>
          <t>-76.32591833333332</t>
        </is>
      </c>
      <c r="AW232" s="29" t="inlineStr">
        <is>
          <t>1997.0</t>
        </is>
      </c>
      <c r="AX232" s="29" t="inlineStr">
        <is>
          <t>2010.0</t>
        </is>
      </c>
      <c r="AY232" s="29" t="inlineStr">
        <is>
          <t>2</t>
        </is>
      </c>
      <c r="AZ232" s="29" t="inlineStr">
        <is>
          <t>sept-2026</t>
        </is>
      </c>
      <c r="BA232" t="inlineStr">
        <is>
          <t>BELGIUM; NETHERLANDS</t>
        </is>
      </c>
      <c r="BB232" t="n">
        <v>2014</v>
      </c>
      <c r="BC232" t="n">
        <v>2016</v>
      </c>
      <c r="BD232" s="81">
        <f>0</f>
        <v/>
      </c>
      <c r="BE232" s="81">
        <f>IFERROR((IF(ISNUMBER(T232),MIN(T232/30,1),0)+IF(ISNUMBER(P232),MIN(P232/500,1),0))/2,0)</f>
        <v/>
      </c>
      <c r="BF232" s="81">
        <f>IFERROR(IF(OR(U232&lt;&gt;"",V232="SÍ"),IF(ISNUMBER(L232),(1*MIN(L232/10000,1))^0.5,0),IF(ISNUMBER(L232),(0*MIN(L232/10000,1))^0.5,0)),0)</f>
        <v/>
      </c>
    </row>
    <row r="233">
      <c r="A233" t="inlineStr">
        <is>
          <t>MIDAGRI; SISPAC</t>
        </is>
      </c>
      <c r="B233" s="70" t="inlineStr">
        <is>
          <t>20608294512</t>
        </is>
      </c>
      <c r="C233" s="30" t="inlineStr">
        <is>
          <t>Cooperativa Agraria Kuri Valle Del Sisa Ltda.</t>
        </is>
      </c>
      <c r="D233" s="30" t="inlineStr"/>
      <c r="E233" s="30" t="inlineStr">
        <is>
          <t>VENTA AL POR MENOR DE ALIMENTOS, BEBIDAS Y TABACO EN ALMACENES ESPECIALIZADOS</t>
        </is>
      </c>
      <c r="F233" s="30" t="inlineStr">
        <is>
          <t>San Martín</t>
        </is>
      </c>
      <c r="G233" s="30" t="inlineStr">
        <is>
          <t>El Dorado</t>
        </is>
      </c>
      <c r="H233" s="30" t="inlineStr">
        <is>
          <t>—</t>
        </is>
      </c>
      <c r="I233" s="30" t="inlineStr">
        <is>
          <t>—</t>
        </is>
      </c>
      <c r="J233" s="30" t="n"/>
      <c r="K233" s="30" t="inlineStr">
        <is>
          <t>NO</t>
        </is>
      </c>
      <c r="L233" s="30" t="n"/>
      <c r="M233" s="30" t="n"/>
      <c r="N233" s="30" t="n"/>
      <c r="O233" s="30" t="n"/>
      <c r="P233" s="30" t="inlineStr"/>
      <c r="Q233" s="30" t="inlineStr"/>
      <c r="R233" s="14" t="inlineStr">
        <is>
          <t>2575.0</t>
        </is>
      </c>
      <c r="S233" s="30" t="inlineStr"/>
      <c r="T233" s="30" t="inlineStr"/>
      <c r="U233" s="14" t="inlineStr"/>
      <c r="V233" s="14" t="inlineStr">
        <is>
          <t>NO</t>
        </is>
      </c>
      <c r="W233" s="14" t="inlineStr">
        <is>
          <t>—</t>
        </is>
      </c>
      <c r="X233" s="14" t="inlineStr">
        <is>
          <t>—</t>
        </is>
      </c>
      <c r="Y233" s="14" t="inlineStr"/>
      <c r="Z233" s="30" t="inlineStr">
        <is>
          <t>—</t>
        </is>
      </c>
      <c r="AA233" s="30" t="b">
        <v>0</v>
      </c>
      <c r="AB233" s="30" t="b">
        <v>1</v>
      </c>
      <c r="AC233" s="30" t="b">
        <v>0</v>
      </c>
      <c r="AD233" s="30" t="inlineStr">
        <is>
          <t>NO</t>
        </is>
      </c>
      <c r="AE233" s="30" t="inlineStr"/>
      <c r="AF233" s="30" t="inlineStr"/>
      <c r="AG233" s="30" t="inlineStr"/>
      <c r="AH233" s="30" t="inlineStr"/>
      <c r="AI233" s="30" t="inlineStr"/>
      <c r="AJ233" s="30" t="inlineStr"/>
      <c r="AK233" s="30" t="inlineStr"/>
      <c r="AL233" s="30" t="inlineStr"/>
      <c r="AM233" s="30" t="inlineStr"/>
      <c r="AN233" s="30" t="n"/>
      <c r="AO233" s="30" t="inlineStr"/>
      <c r="AP233" s="30" t="inlineStr"/>
      <c r="AQ233" s="30" t="inlineStr"/>
      <c r="AR233" s="30" t="inlineStr"/>
      <c r="AS233" s="30" t="inlineStr"/>
      <c r="AT233" s="30" t="inlineStr"/>
      <c r="AU233" s="30" t="inlineStr"/>
      <c r="AV233" s="30" t="inlineStr"/>
      <c r="AW233" s="30" t="inlineStr"/>
      <c r="AX233" s="30" t="inlineStr"/>
      <c r="AY233" s="30" t="inlineStr">
        <is>
          <t>1</t>
        </is>
      </c>
      <c r="AZ233" s="30" t="inlineStr">
        <is>
          <t>sept-2026</t>
        </is>
      </c>
      <c r="BD233" s="81">
        <f>0</f>
        <v/>
      </c>
      <c r="BE233" s="81">
        <f>IFERROR((IF(ISNUMBER(T233),MIN(T233/30,1),0)+IF(ISNUMBER(P233),MIN(P233/500,1),0))/2,0)</f>
        <v/>
      </c>
      <c r="BF233" s="81">
        <f>IFERROR(IF(OR(U233&lt;&gt;"",V233="SÍ"),IF(ISNUMBER(L233),(1*MIN(L233/10000,1))^0.5,0),IF(ISNUMBER(L233),(0*MIN(L233/10000,1))^0.5,0)),0)</f>
        <v/>
      </c>
    </row>
    <row r="234">
      <c r="A234" t="inlineStr">
        <is>
          <t>MIDAGRI</t>
        </is>
      </c>
      <c r="B234" s="70" t="inlineStr">
        <is>
          <t>20606808730</t>
        </is>
      </c>
      <c r="C234" s="29" t="inlineStr">
        <is>
          <t>Cooperativa Agraria Mi Perú Ltda. - COOPA Mi Perú Ltda.</t>
        </is>
      </c>
      <c r="D234" s="29" t="inlineStr"/>
      <c r="E234" s="29" t="inlineStr">
        <is>
          <t>VENTA AL POR MENOR DE ALIMENTOS, BEBIDAS Y TABACO EN ALMACENES ESPECIALIZADOS</t>
        </is>
      </c>
      <c r="F234" s="29" t="inlineStr">
        <is>
          <t>San Martín</t>
        </is>
      </c>
      <c r="G234" s="29" t="inlineStr">
        <is>
          <t>San Martín</t>
        </is>
      </c>
      <c r="H234" s="29" t="inlineStr">
        <is>
          <t>—</t>
        </is>
      </c>
      <c r="I234" s="29" t="inlineStr">
        <is>
          <t>—</t>
        </is>
      </c>
      <c r="J234" s="29" t="n"/>
      <c r="K234" s="29" t="inlineStr">
        <is>
          <t>NO</t>
        </is>
      </c>
      <c r="L234" s="29" t="n"/>
      <c r="M234" s="29" t="n"/>
      <c r="N234" s="29" t="n"/>
      <c r="O234" s="29" t="n"/>
      <c r="P234" s="29" t="inlineStr"/>
      <c r="Q234" s="29" t="inlineStr"/>
      <c r="R234" s="18" t="inlineStr">
        <is>
          <t>2575.0</t>
        </is>
      </c>
      <c r="S234" s="29" t="inlineStr"/>
      <c r="T234" s="29" t="inlineStr"/>
      <c r="U234" s="18" t="inlineStr"/>
      <c r="V234" s="18" t="inlineStr">
        <is>
          <t>NO</t>
        </is>
      </c>
      <c r="W234" s="18" t="inlineStr">
        <is>
          <t>—</t>
        </is>
      </c>
      <c r="X234" s="18" t="inlineStr">
        <is>
          <t>—</t>
        </is>
      </c>
      <c r="Y234" s="18" t="inlineStr"/>
      <c r="Z234" s="29" t="inlineStr">
        <is>
          <t>—</t>
        </is>
      </c>
      <c r="AA234" s="29" t="b">
        <v>0</v>
      </c>
      <c r="AB234" s="29" t="b">
        <v>1</v>
      </c>
      <c r="AC234" s="29" t="b">
        <v>0</v>
      </c>
      <c r="AD234" s="29" t="inlineStr">
        <is>
          <t>NO</t>
        </is>
      </c>
      <c r="AE234" s="29" t="inlineStr"/>
      <c r="AF234" s="29" t="inlineStr"/>
      <c r="AG234" s="29" t="inlineStr"/>
      <c r="AH234" s="29" t="inlineStr"/>
      <c r="AI234" s="29" t="inlineStr"/>
      <c r="AJ234" s="29" t="inlineStr"/>
      <c r="AK234" s="29" t="inlineStr"/>
      <c r="AL234" s="29" t="inlineStr"/>
      <c r="AM234" s="29" t="inlineStr"/>
      <c r="AN234" s="29" t="n"/>
      <c r="AO234" s="29" t="inlineStr"/>
      <c r="AP234" s="29" t="inlineStr"/>
      <c r="AQ234" s="29" t="inlineStr"/>
      <c r="AR234" s="29" t="inlineStr"/>
      <c r="AS234" s="29" t="inlineStr"/>
      <c r="AT234" s="29" t="inlineStr"/>
      <c r="AU234" s="29" t="inlineStr"/>
      <c r="AV234" s="29" t="inlineStr"/>
      <c r="AW234" s="29" t="inlineStr"/>
      <c r="AX234" s="29" t="inlineStr"/>
      <c r="AY234" s="29" t="inlineStr">
        <is>
          <t>1</t>
        </is>
      </c>
      <c r="AZ234" s="29" t="inlineStr">
        <is>
          <t>sept-2026</t>
        </is>
      </c>
      <c r="BD234" s="81">
        <f>0</f>
        <v/>
      </c>
      <c r="BE234" s="81">
        <f>IFERROR((IF(ISNUMBER(T234),MIN(T234/30,1),0)+IF(ISNUMBER(P234),MIN(P234/500,1),0))/2,0)</f>
        <v/>
      </c>
      <c r="BF234" s="81">
        <f>IFERROR(IF(OR(U234&lt;&gt;"",V234="SÍ"),IF(ISNUMBER(L234),(1*MIN(L234/10000,1))^0.5,0),IF(ISNUMBER(L234),(0*MIN(L234/10000,1))^0.5,0)),0)</f>
        <v/>
      </c>
    </row>
    <row r="235">
      <c r="A235" t="inlineStr">
        <is>
          <t>MIDAGRI; CENACOOP; CENCOOP 2017</t>
        </is>
      </c>
      <c r="B235" s="70" t="inlineStr">
        <is>
          <t>20600847156</t>
        </is>
      </c>
      <c r="C235" s="30" t="inlineStr">
        <is>
          <t>Cooperativa Agraria Monte Azul</t>
        </is>
      </c>
      <c r="D235" s="30" t="inlineStr"/>
      <c r="E235" s="30" t="inlineStr">
        <is>
          <t>VENTA AL POR MENOR DE ALIMENTOS, BEBIDAS Y TABACO EN ALMACENES ESPECIALIZADOS</t>
        </is>
      </c>
      <c r="F235" s="30" t="inlineStr">
        <is>
          <t>San Martín</t>
        </is>
      </c>
      <c r="G235" s="30" t="inlineStr">
        <is>
          <t>San Martín</t>
        </is>
      </c>
      <c r="H235" s="30" t="inlineStr">
        <is>
          <t>—</t>
        </is>
      </c>
      <c r="I235" s="30" t="inlineStr">
        <is>
          <t>—</t>
        </is>
      </c>
      <c r="J235" s="17" t="inlineStr">
        <is>
          <t>SI</t>
        </is>
      </c>
      <c r="K235" s="30" t="inlineStr">
        <is>
          <t>SÍ</t>
        </is>
      </c>
      <c r="L235" s="30" t="n">
        <v>172501.13</v>
      </c>
      <c r="M235" s="30" t="n">
        <v>4403770.74</v>
      </c>
      <c r="N235" s="30" t="n">
        <v>39</v>
      </c>
      <c r="O235" s="30" t="n">
        <v>10</v>
      </c>
      <c r="P235" s="30" t="inlineStr"/>
      <c r="Q235" s="30" t="inlineStr"/>
      <c r="R235" s="14" t="inlineStr">
        <is>
          <t>2575.0</t>
        </is>
      </c>
      <c r="S235" s="30" t="inlineStr"/>
      <c r="T235" s="30" t="inlineStr"/>
      <c r="U235" s="14" t="inlineStr"/>
      <c r="V235" s="14" t="inlineStr">
        <is>
          <t>NO</t>
        </is>
      </c>
      <c r="W235" s="14" t="inlineStr">
        <is>
          <t>—</t>
        </is>
      </c>
      <c r="X235" s="14" t="inlineStr">
        <is>
          <t>—</t>
        </is>
      </c>
      <c r="Y235" s="14" t="inlineStr"/>
      <c r="Z235" s="30" t="inlineStr">
        <is>
          <t>—</t>
        </is>
      </c>
      <c r="AA235" s="30" t="b">
        <v>0</v>
      </c>
      <c r="AB235" s="30" t="b">
        <v>1</v>
      </c>
      <c r="AC235" s="30" t="b">
        <v>1</v>
      </c>
      <c r="AD235" s="19" t="inlineStr">
        <is>
          <t>SI</t>
        </is>
      </c>
      <c r="AE235" s="30" t="inlineStr">
        <is>
          <t>COOPERATIVA AGRARIA MONTE AZUL - MONTE AZUL COOP</t>
        </is>
      </c>
      <c r="AF235" s="30" t="inlineStr">
        <is>
          <t>SAN MARTIN</t>
        </is>
      </c>
      <c r="AG235" s="30" t="inlineStr">
        <is>
          <t>SAN MARTIN</t>
        </is>
      </c>
      <c r="AH235" s="30" t="inlineStr">
        <is>
          <t>TARAPOTO</t>
        </is>
      </c>
      <c r="AI235" s="30" t="inlineStr">
        <is>
          <t>TARAPOTO</t>
        </is>
      </c>
      <c r="AJ235" s="30" t="inlineStr">
        <is>
          <t>CULTIVO DE PLANTAS CON LAS QUE SE PREPARAN BEBIDAS</t>
        </is>
      </c>
      <c r="AK235" s="30" t="inlineStr">
        <is>
          <t>1.0</t>
        </is>
      </c>
      <c r="AL235" s="30" t="inlineStr">
        <is>
          <t>1.0</t>
        </is>
      </c>
      <c r="AM235" s="30" t="inlineStr">
        <is>
          <t>1.0</t>
        </is>
      </c>
      <c r="AN235" s="30" t="n">
        <v>1</v>
      </c>
      <c r="AO235" s="30" t="inlineStr">
        <is>
          <t>TORRES SANTA CRUZ DEYSI</t>
        </is>
      </c>
      <c r="AP235" s="30" t="inlineStr">
        <is>
          <t>INGENIERO INDUSTRIAL</t>
        </is>
      </c>
      <c r="AQ235" s="30" t="inlineStr">
        <is>
          <t>10.0</t>
        </is>
      </c>
      <c r="AR235" s="30" t="inlineStr">
        <is>
          <t>WWW.MONTEAZULCOOP.COM</t>
        </is>
      </c>
      <c r="AS235" s="30" t="inlineStr">
        <is>
          <t>MONTEAZULCOOP@YAHOO.COM</t>
        </is>
      </c>
      <c r="AT235" s="30" t="inlineStr">
        <is>
          <t>995692254</t>
        </is>
      </c>
      <c r="AU235" s="30" t="inlineStr">
        <is>
          <t>-6.496648333333334</t>
        </is>
      </c>
      <c r="AV235" s="30" t="inlineStr">
        <is>
          <t>-76.372345</t>
        </is>
      </c>
      <c r="AW235" s="30" t="inlineStr">
        <is>
          <t>2015.0</t>
        </is>
      </c>
      <c r="AX235" s="30" t="inlineStr">
        <is>
          <t>2016.0</t>
        </is>
      </c>
      <c r="AY235" s="30" t="inlineStr">
        <is>
          <t>2</t>
        </is>
      </c>
      <c r="AZ235" s="30" t="inlineStr">
        <is>
          <t>sept-2026</t>
        </is>
      </c>
      <c r="BA235" t="inlineStr">
        <is>
          <t>AUSTRALIA; BELGIUM; CANADA; DENMARK; GERMANY; JAPAN; NETHERLANDS; SPAIN; SWEDEN; UNITED STATES</t>
        </is>
      </c>
      <c r="BB235" t="n">
        <v>2018</v>
      </c>
      <c r="BC235" t="n">
        <v>2024</v>
      </c>
      <c r="BD235" s="81">
        <f>0</f>
        <v/>
      </c>
      <c r="BE235" s="81">
        <f>IFERROR((IF(ISNUMBER(T235),MIN(T235/30,1),0)+IF(ISNUMBER(P235),MIN(P235/500,1),0))/2,0)</f>
        <v/>
      </c>
      <c r="BF235" s="81">
        <f>IFERROR(IF(OR(U235&lt;&gt;"",V235="SÍ"),IF(ISNUMBER(L235),(1*MIN(L235/10000,1))^0.5,0),IF(ISNUMBER(L235),(0*MIN(L235/10000,1))^0.5,0)),0)</f>
        <v/>
      </c>
    </row>
    <row r="236">
      <c r="A236" t="inlineStr">
        <is>
          <t>MIDAGRI; CENACOOP; CENCOOP 2017; SISPAC</t>
        </is>
      </c>
      <c r="B236" s="70" t="inlineStr">
        <is>
          <t>20493934822</t>
        </is>
      </c>
      <c r="C236" s="29" t="inlineStr">
        <is>
          <t>Cooperativa Agraria Nuevo Amanecer Ltda</t>
        </is>
      </c>
      <c r="D236" s="29" t="inlineStr"/>
      <c r="E236" s="29" t="inlineStr">
        <is>
          <t>VENTA AL POR MENOR DE ALIMENTOS, BEBIDAS Y TABACO EN ALMACENES ESPECIALIZADOS</t>
        </is>
      </c>
      <c r="F236" s="29" t="inlineStr">
        <is>
          <t>San Martín</t>
        </is>
      </c>
      <c r="G236" s="29" t="inlineStr">
        <is>
          <t>Lamas</t>
        </is>
      </c>
      <c r="H236" s="29" t="inlineStr">
        <is>
          <t>—</t>
        </is>
      </c>
      <c r="I236" s="29" t="inlineStr">
        <is>
          <t>—</t>
        </is>
      </c>
      <c r="J236" s="29" t="n"/>
      <c r="K236" s="29" t="inlineStr">
        <is>
          <t>NO</t>
        </is>
      </c>
      <c r="L236" s="29" t="n"/>
      <c r="M236" s="29" t="n"/>
      <c r="N236" s="29" t="n"/>
      <c r="O236" s="29" t="n"/>
      <c r="P236" s="29" t="inlineStr"/>
      <c r="Q236" s="29" t="inlineStr"/>
      <c r="R236" s="18" t="inlineStr">
        <is>
          <t>2575.0</t>
        </is>
      </c>
      <c r="S236" s="29" t="inlineStr"/>
      <c r="T236" s="29" t="inlineStr"/>
      <c r="U236" s="18" t="inlineStr"/>
      <c r="V236" s="18" t="inlineStr">
        <is>
          <t>NO</t>
        </is>
      </c>
      <c r="W236" s="18" t="inlineStr">
        <is>
          <t>—</t>
        </is>
      </c>
      <c r="X236" s="18" t="inlineStr">
        <is>
          <t>—</t>
        </is>
      </c>
      <c r="Y236" s="18" t="inlineStr"/>
      <c r="Z236" s="29" t="inlineStr">
        <is>
          <t>—</t>
        </is>
      </c>
      <c r="AA236" s="29" t="b">
        <v>0</v>
      </c>
      <c r="AB236" s="29" t="b">
        <v>1</v>
      </c>
      <c r="AC236" s="29" t="b">
        <v>1</v>
      </c>
      <c r="AD236" s="19" t="inlineStr">
        <is>
          <t>SI</t>
        </is>
      </c>
      <c r="AE236" s="29" t="inlineStr">
        <is>
          <t>COOPERATIVA AGRARIA NUEVO AMANECER LTDA.</t>
        </is>
      </c>
      <c r="AF236" s="29" t="inlineStr">
        <is>
          <t>SAN MARTIN</t>
        </is>
      </c>
      <c r="AG236" s="29" t="inlineStr">
        <is>
          <t>LAMAS</t>
        </is>
      </c>
      <c r="AH236" s="29" t="inlineStr">
        <is>
          <t>BARRANQUITA</t>
        </is>
      </c>
      <c r="AI236" s="29" t="inlineStr">
        <is>
          <t>BARRANQUITA</t>
        </is>
      </c>
      <c r="AJ236" s="29" t="inlineStr">
        <is>
          <t>CULTIVO DE PRODUCTOS AGRÌCOLAS EN COMBINACIÒN CON LA CRÌA DE ANIMALES</t>
        </is>
      </c>
      <c r="AK236" s="29" t="inlineStr">
        <is>
          <t>1.0</t>
        </is>
      </c>
      <c r="AL236" s="29" t="inlineStr">
        <is>
          <t>1.0</t>
        </is>
      </c>
      <c r="AM236" s="29" t="inlineStr">
        <is>
          <t>2.0</t>
        </is>
      </c>
      <c r="AN236" s="29" t="n">
        <v>7</v>
      </c>
      <c r="AO236" s="29" t="inlineStr">
        <is>
          <t>SANGAMA CACHIQUE ASTERIO</t>
        </is>
      </c>
      <c r="AP236" s="29" t="inlineStr">
        <is>
          <t>INGENIERO AGRONOMO</t>
        </is>
      </c>
      <c r="AQ236" s="29" t="inlineStr">
        <is>
          <t>10.0</t>
        </is>
      </c>
      <c r="AR236" s="29" t="inlineStr">
        <is>
          <t>NO TIENE</t>
        </is>
      </c>
      <c r="AS236" s="29" t="inlineStr">
        <is>
          <t>COPANA.BARRANQUITA@GMAIL.COM</t>
        </is>
      </c>
      <c r="AT236" s="29" t="inlineStr">
        <is>
          <t>956037139</t>
        </is>
      </c>
      <c r="AU236" s="29" t="inlineStr">
        <is>
          <t>-6.252276666666668</t>
        </is>
      </c>
      <c r="AV236" s="29" t="inlineStr">
        <is>
          <t>-76.03255</t>
        </is>
      </c>
      <c r="AW236" s="29" t="inlineStr">
        <is>
          <t>2010.0</t>
        </is>
      </c>
      <c r="AX236" s="29" t="inlineStr">
        <is>
          <t>2010.0</t>
        </is>
      </c>
      <c r="AY236" s="29" t="inlineStr">
        <is>
          <t>2</t>
        </is>
      </c>
      <c r="AZ236" s="29" t="inlineStr">
        <is>
          <t>sept-2026</t>
        </is>
      </c>
      <c r="BD236" s="81">
        <f>0</f>
        <v/>
      </c>
      <c r="BE236" s="81">
        <f>IFERROR((IF(ISNUMBER(T236),MIN(T236/30,1),0)+IF(ISNUMBER(P236),MIN(P236/500,1),0))/2,0)</f>
        <v/>
      </c>
      <c r="BF236" s="81">
        <f>IFERROR(IF(OR(U236&lt;&gt;"",V236="SÍ"),IF(ISNUMBER(L236),(1*MIN(L236/10000,1))^0.5,0),IF(ISNUMBER(L236),(0*MIN(L236/10000,1))^0.5,0)),0)</f>
        <v/>
      </c>
    </row>
    <row r="237">
      <c r="A237" t="inlineStr">
        <is>
          <t>MIDAGRI</t>
        </is>
      </c>
      <c r="B237" s="70" t="inlineStr">
        <is>
          <t>20603264372</t>
        </is>
      </c>
      <c r="C237" s="30" t="inlineStr">
        <is>
          <t>Cooperativa Agraria Qoriqao Ltda.</t>
        </is>
      </c>
      <c r="D237" s="30" t="inlineStr"/>
      <c r="E237" s="30" t="inlineStr">
        <is>
          <t>VENTA AL POR MENOR DE ALIMENTOS, BEBIDAS Y TABACO EN ALMACENES ESPECIALIZADOS</t>
        </is>
      </c>
      <c r="F237" s="30" t="inlineStr">
        <is>
          <t>San Martín</t>
        </is>
      </c>
      <c r="G237" s="30" t="inlineStr">
        <is>
          <t>Huallaga</t>
        </is>
      </c>
      <c r="H237" s="30" t="inlineStr">
        <is>
          <t>—</t>
        </is>
      </c>
      <c r="I237" s="30" t="inlineStr">
        <is>
          <t>—</t>
        </is>
      </c>
      <c r="J237" s="30" t="inlineStr">
        <is>
          <t>SI</t>
        </is>
      </c>
      <c r="K237" s="30" t="inlineStr">
        <is>
          <t>NO</t>
        </is>
      </c>
      <c r="L237" s="30" t="n">
        <v>7122402.96</v>
      </c>
      <c r="M237" s="30" t="n">
        <v>16192273.58</v>
      </c>
      <c r="N237" s="30" t="n">
        <v>22</v>
      </c>
      <c r="O237" s="30" t="n">
        <v>5</v>
      </c>
      <c r="P237" s="30" t="inlineStr"/>
      <c r="Q237" s="30" t="inlineStr"/>
      <c r="R237" s="14" t="inlineStr">
        <is>
          <t>2575.0</t>
        </is>
      </c>
      <c r="S237" s="30" t="inlineStr"/>
      <c r="T237" s="30" t="inlineStr"/>
      <c r="U237" s="14" t="inlineStr"/>
      <c r="V237" s="14" t="inlineStr">
        <is>
          <t>NO</t>
        </is>
      </c>
      <c r="W237" s="14" t="inlineStr">
        <is>
          <t>—</t>
        </is>
      </c>
      <c r="X237" s="14" t="inlineStr">
        <is>
          <t>—</t>
        </is>
      </c>
      <c r="Y237" s="14" t="inlineStr"/>
      <c r="Z237" s="30" t="inlineStr">
        <is>
          <t>—</t>
        </is>
      </c>
      <c r="AA237" s="30" t="b">
        <v>0</v>
      </c>
      <c r="AB237" s="30" t="b">
        <v>1</v>
      </c>
      <c r="AC237" s="30" t="b">
        <v>0</v>
      </c>
      <c r="AD237" s="30" t="inlineStr">
        <is>
          <t>NO</t>
        </is>
      </c>
      <c r="AE237" s="30" t="inlineStr"/>
      <c r="AF237" s="30" t="inlineStr"/>
      <c r="AG237" s="30" t="inlineStr"/>
      <c r="AH237" s="30" t="inlineStr"/>
      <c r="AI237" s="30" t="inlineStr"/>
      <c r="AJ237" s="30" t="inlineStr"/>
      <c r="AK237" s="30" t="inlineStr"/>
      <c r="AL237" s="30" t="inlineStr"/>
      <c r="AM237" s="30" t="inlineStr"/>
      <c r="AN237" s="30" t="n"/>
      <c r="AO237" s="30" t="inlineStr"/>
      <c r="AP237" s="30" t="inlineStr"/>
      <c r="AQ237" s="30" t="inlineStr"/>
      <c r="AR237" s="30" t="inlineStr"/>
      <c r="AS237" s="30" t="inlineStr"/>
      <c r="AT237" s="30" t="inlineStr"/>
      <c r="AU237" s="30" t="inlineStr"/>
      <c r="AV237" s="30" t="inlineStr"/>
      <c r="AW237" s="30" t="inlineStr"/>
      <c r="AX237" s="30" t="inlineStr"/>
      <c r="AY237" s="30" t="inlineStr">
        <is>
          <t>1</t>
        </is>
      </c>
      <c r="AZ237" s="30" t="inlineStr">
        <is>
          <t>sept-2026</t>
        </is>
      </c>
      <c r="BA237" t="inlineStr">
        <is>
          <t>INDONESIA; MALAYSIA; NETHERLANDS; SINGAPORE; UNITED STATES</t>
        </is>
      </c>
      <c r="BB237" t="n">
        <v>2023</v>
      </c>
      <c r="BC237" t="n">
        <v>2025</v>
      </c>
      <c r="BD237" s="81">
        <f>0</f>
        <v/>
      </c>
      <c r="BE237" s="81">
        <f>IFERROR((IF(ISNUMBER(T237),MIN(T237/30,1),0)+IF(ISNUMBER(P237),MIN(P237/500,1),0))/2,0)</f>
        <v/>
      </c>
      <c r="BF237" s="81">
        <f>IFERROR(IF(OR(U237&lt;&gt;"",V237="SÍ"),IF(ISNUMBER(L237),(1*MIN(L237/10000,1))^0.5,0),IF(ISNUMBER(L237),(0*MIN(L237/10000,1))^0.5,0)),0)</f>
        <v/>
      </c>
    </row>
    <row r="238">
      <c r="A238" t="inlineStr">
        <is>
          <t>MIDAGRI</t>
        </is>
      </c>
      <c r="B238" s="70" t="inlineStr">
        <is>
          <t>20605343440</t>
        </is>
      </c>
      <c r="C238" s="29" t="inlineStr">
        <is>
          <t>Cooperativa Agraria Santiago Tello Grandez de Picota</t>
        </is>
      </c>
      <c r="D238" s="29" t="inlineStr"/>
      <c r="E238" s="29" t="inlineStr">
        <is>
          <t>VENTA AL POR MENOR DE ALIMENTOS, BEBIDAS Y TABACO EN ALMACENES ESPECIALIZADOS</t>
        </is>
      </c>
      <c r="F238" s="29" t="inlineStr">
        <is>
          <t>San Martín</t>
        </is>
      </c>
      <c r="G238" s="29" t="inlineStr">
        <is>
          <t>Picota</t>
        </is>
      </c>
      <c r="H238" s="29" t="inlineStr">
        <is>
          <t>—</t>
        </is>
      </c>
      <c r="I238" s="29" t="inlineStr">
        <is>
          <t>—</t>
        </is>
      </c>
      <c r="J238" s="29" t="n"/>
      <c r="K238" s="29" t="inlineStr">
        <is>
          <t>NO</t>
        </is>
      </c>
      <c r="L238" s="29" t="n"/>
      <c r="M238" s="29" t="n"/>
      <c r="N238" s="29" t="n"/>
      <c r="O238" s="29" t="n"/>
      <c r="P238" s="29" t="inlineStr"/>
      <c r="Q238" s="29" t="inlineStr"/>
      <c r="R238" s="18" t="inlineStr">
        <is>
          <t>2575.0</t>
        </is>
      </c>
      <c r="S238" s="29" t="inlineStr"/>
      <c r="T238" s="29" t="inlineStr"/>
      <c r="U238" s="18" t="inlineStr"/>
      <c r="V238" s="18" t="inlineStr">
        <is>
          <t>NO</t>
        </is>
      </c>
      <c r="W238" s="18" t="inlineStr">
        <is>
          <t>—</t>
        </is>
      </c>
      <c r="X238" s="18" t="inlineStr">
        <is>
          <t>—</t>
        </is>
      </c>
      <c r="Y238" s="18" t="inlineStr"/>
      <c r="Z238" s="29" t="inlineStr">
        <is>
          <t>—</t>
        </is>
      </c>
      <c r="AA238" s="29" t="b">
        <v>0</v>
      </c>
      <c r="AB238" s="29" t="b">
        <v>1</v>
      </c>
      <c r="AC238" s="29" t="b">
        <v>0</v>
      </c>
      <c r="AD238" s="29" t="inlineStr">
        <is>
          <t>NO</t>
        </is>
      </c>
      <c r="AE238" s="29" t="inlineStr"/>
      <c r="AF238" s="29" t="inlineStr"/>
      <c r="AG238" s="29" t="inlineStr"/>
      <c r="AH238" s="29" t="inlineStr"/>
      <c r="AI238" s="29" t="inlineStr"/>
      <c r="AJ238" s="29" t="inlineStr"/>
      <c r="AK238" s="29" t="inlineStr"/>
      <c r="AL238" s="29" t="inlineStr"/>
      <c r="AM238" s="29" t="inlineStr"/>
      <c r="AN238" s="29" t="n"/>
      <c r="AO238" s="29" t="inlineStr"/>
      <c r="AP238" s="29" t="inlineStr"/>
      <c r="AQ238" s="29" t="inlineStr"/>
      <c r="AR238" s="29" t="inlineStr"/>
      <c r="AS238" s="29" t="inlineStr"/>
      <c r="AT238" s="29" t="inlineStr"/>
      <c r="AU238" s="29" t="inlineStr"/>
      <c r="AV238" s="29" t="inlineStr"/>
      <c r="AW238" s="29" t="inlineStr"/>
      <c r="AX238" s="29" t="inlineStr"/>
      <c r="AY238" s="29" t="inlineStr">
        <is>
          <t>1</t>
        </is>
      </c>
      <c r="AZ238" s="29" t="inlineStr">
        <is>
          <t>sept-2026</t>
        </is>
      </c>
      <c r="BD238" s="81">
        <f>0</f>
        <v/>
      </c>
      <c r="BE238" s="81">
        <f>IFERROR((IF(ISNUMBER(T238),MIN(T238/30,1),0)+IF(ISNUMBER(P238),MIN(P238/500,1),0))/2,0)</f>
        <v/>
      </c>
      <c r="BF238" s="81">
        <f>IFERROR(IF(OR(U238&lt;&gt;"",V238="SÍ"),IF(ISNUMBER(L238),(1*MIN(L238/10000,1))^0.5,0),IF(ISNUMBER(L238),(0*MIN(L238/10000,1))^0.5,0)),0)</f>
        <v/>
      </c>
    </row>
    <row r="239">
      <c r="A239" t="inlineStr">
        <is>
          <t>MIDAGRI</t>
        </is>
      </c>
      <c r="B239" s="70" t="inlineStr">
        <is>
          <t>20607055204</t>
        </is>
      </c>
      <c r="C239" s="30" t="inlineStr">
        <is>
          <t>Cooperativa Agraria Sol Del Oriente Del Alto Mayo</t>
        </is>
      </c>
      <c r="D239" s="30" t="inlineStr"/>
      <c r="E239" s="30" t="inlineStr">
        <is>
          <t>VENTA AL POR MENOR DE ALIMENTOS, BEBIDAS Y TABACO EN ALMACENES ESPECIALIZADOS</t>
        </is>
      </c>
      <c r="F239" s="30" t="inlineStr">
        <is>
          <t>San Martín</t>
        </is>
      </c>
      <c r="G239" s="30" t="inlineStr">
        <is>
          <t>Moyobamba</t>
        </is>
      </c>
      <c r="H239" s="30" t="inlineStr">
        <is>
          <t>—</t>
        </is>
      </c>
      <c r="I239" s="30" t="inlineStr">
        <is>
          <t>—</t>
        </is>
      </c>
      <c r="J239" s="30" t="n"/>
      <c r="K239" s="30" t="inlineStr">
        <is>
          <t>NO</t>
        </is>
      </c>
      <c r="L239" s="30" t="n"/>
      <c r="M239" s="30" t="n"/>
      <c r="N239" s="30" t="n"/>
      <c r="O239" s="30" t="n"/>
      <c r="P239" s="30" t="inlineStr"/>
      <c r="Q239" s="30" t="inlineStr"/>
      <c r="R239" s="14" t="inlineStr">
        <is>
          <t>2575.0</t>
        </is>
      </c>
      <c r="S239" s="30" t="inlineStr"/>
      <c r="T239" s="30" t="inlineStr"/>
      <c r="U239" s="14" t="inlineStr"/>
      <c r="V239" s="14" t="inlineStr">
        <is>
          <t>NO</t>
        </is>
      </c>
      <c r="W239" s="14" t="inlineStr">
        <is>
          <t>—</t>
        </is>
      </c>
      <c r="X239" s="14" t="inlineStr">
        <is>
          <t>—</t>
        </is>
      </c>
      <c r="Y239" s="14" t="inlineStr"/>
      <c r="Z239" s="30" t="inlineStr">
        <is>
          <t>—</t>
        </is>
      </c>
      <c r="AA239" s="30" t="b">
        <v>0</v>
      </c>
      <c r="AB239" s="30" t="b">
        <v>1</v>
      </c>
      <c r="AC239" s="30" t="b">
        <v>0</v>
      </c>
      <c r="AD239" s="30" t="inlineStr">
        <is>
          <t>NO</t>
        </is>
      </c>
      <c r="AE239" s="30" t="inlineStr"/>
      <c r="AF239" s="30" t="inlineStr"/>
      <c r="AG239" s="30" t="inlineStr"/>
      <c r="AH239" s="30" t="inlineStr"/>
      <c r="AI239" s="30" t="inlineStr"/>
      <c r="AJ239" s="30" t="inlineStr"/>
      <c r="AK239" s="30" t="inlineStr"/>
      <c r="AL239" s="30" t="inlineStr"/>
      <c r="AM239" s="30" t="inlineStr"/>
      <c r="AN239" s="30" t="n"/>
      <c r="AO239" s="30" t="inlineStr"/>
      <c r="AP239" s="30" t="inlineStr"/>
      <c r="AQ239" s="30" t="inlineStr"/>
      <c r="AR239" s="30" t="inlineStr"/>
      <c r="AS239" s="30" t="inlineStr"/>
      <c r="AT239" s="30" t="inlineStr"/>
      <c r="AU239" s="30" t="inlineStr"/>
      <c r="AV239" s="30" t="inlineStr"/>
      <c r="AW239" s="30" t="inlineStr"/>
      <c r="AX239" s="30" t="inlineStr"/>
      <c r="AY239" s="30" t="inlineStr">
        <is>
          <t>1</t>
        </is>
      </c>
      <c r="AZ239" s="30" t="inlineStr">
        <is>
          <t>sept-2026</t>
        </is>
      </c>
      <c r="BD239" s="81">
        <f>0</f>
        <v/>
      </c>
      <c r="BE239" s="81">
        <f>IFERROR((IF(ISNUMBER(T239),MIN(T239/30,1),0)+IF(ISNUMBER(P239),MIN(P239/500,1),0))/2,0)</f>
        <v/>
      </c>
      <c r="BF239" s="81">
        <f>IFERROR(IF(OR(U239&lt;&gt;"",V239="SÍ"),IF(ISNUMBER(L239),(1*MIN(L239/10000,1))^0.5,0),IF(ISNUMBER(L239),(0*MIN(L239/10000,1))^0.5,0)),0)</f>
        <v/>
      </c>
    </row>
    <row r="240">
      <c r="A240" t="inlineStr">
        <is>
          <t>MIDAGRI; CENCOOP 2017</t>
        </is>
      </c>
      <c r="B240" s="70" t="inlineStr">
        <is>
          <t>20542377586</t>
        </is>
      </c>
      <c r="C240" s="29" t="inlineStr">
        <is>
          <t>Cooperativa Agraria Villa del Triunfo</t>
        </is>
      </c>
      <c r="D240" s="29" t="inlineStr"/>
      <c r="E240" s="29" t="inlineStr">
        <is>
          <t>VENTA AL POR MENOR DE ALIMENTOS, BEBIDAS Y TABACO EN ALMACENES ESPECIALIZADOS</t>
        </is>
      </c>
      <c r="F240" s="29" t="inlineStr">
        <is>
          <t>San Martín</t>
        </is>
      </c>
      <c r="G240" s="29" t="inlineStr">
        <is>
          <t>Moyobamba</t>
        </is>
      </c>
      <c r="H240" s="29" t="inlineStr">
        <is>
          <t>—</t>
        </is>
      </c>
      <c r="I240" s="29" t="inlineStr">
        <is>
          <t>—</t>
        </is>
      </c>
      <c r="J240" s="29" t="inlineStr">
        <is>
          <t>SI</t>
        </is>
      </c>
      <c r="K240" s="29" t="inlineStr">
        <is>
          <t>NO</t>
        </is>
      </c>
      <c r="L240" s="29" t="n">
        <v>100999.35</v>
      </c>
      <c r="M240" s="29" t="n">
        <v>769402.4399999999</v>
      </c>
      <c r="N240" s="29" t="n">
        <v>7</v>
      </c>
      <c r="O240" s="29" t="n">
        <v>1</v>
      </c>
      <c r="P240" s="29" t="inlineStr"/>
      <c r="Q240" s="29" t="inlineStr"/>
      <c r="R240" s="18" t="inlineStr">
        <is>
          <t>2575.0</t>
        </is>
      </c>
      <c r="S240" s="29" t="inlineStr"/>
      <c r="T240" s="29" t="inlineStr"/>
      <c r="U240" s="18" t="inlineStr"/>
      <c r="V240" s="18" t="inlineStr">
        <is>
          <t>NO</t>
        </is>
      </c>
      <c r="W240" s="18" t="inlineStr">
        <is>
          <t>—</t>
        </is>
      </c>
      <c r="X240" s="18" t="inlineStr">
        <is>
          <t>—</t>
        </is>
      </c>
      <c r="Y240" s="18" t="inlineStr"/>
      <c r="Z240" s="29" t="inlineStr">
        <is>
          <t>—</t>
        </is>
      </c>
      <c r="AA240" s="29" t="b">
        <v>0</v>
      </c>
      <c r="AB240" s="29" t="b">
        <v>1</v>
      </c>
      <c r="AC240" s="29" t="b">
        <v>0</v>
      </c>
      <c r="AD240" s="19" t="inlineStr">
        <is>
          <t>SI</t>
        </is>
      </c>
      <c r="AE240" s="29" t="inlineStr">
        <is>
          <t>COOPERATIVA AGRARIA VILLA DEL TRIUNFO</t>
        </is>
      </c>
      <c r="AF240" s="29" t="inlineStr">
        <is>
          <t>SAN MARTIN</t>
        </is>
      </c>
      <c r="AG240" s="29" t="inlineStr">
        <is>
          <t>MOYOBAMBA</t>
        </is>
      </c>
      <c r="AH240" s="29" t="inlineStr">
        <is>
          <t>MOYOBAMBA</t>
        </is>
      </c>
      <c r="AI240" s="29" t="inlineStr">
        <is>
          <t>MOYOBAMBA</t>
        </is>
      </c>
      <c r="AJ240" s="29" t="inlineStr">
        <is>
          <t>CULTIVO DE CEREALES (EXCEPTO ARROZ), LEGUMBRES Y SEMILLAS OLEAGINOSAS</t>
        </is>
      </c>
      <c r="AK240" s="29" t="inlineStr">
        <is>
          <t>1.0</t>
        </is>
      </c>
      <c r="AL240" s="29" t="inlineStr">
        <is>
          <t>2.0</t>
        </is>
      </c>
      <c r="AM240" s="29" t="inlineStr"/>
      <c r="AN240" s="29" t="n">
        <v>4</v>
      </c>
      <c r="AO240" s="29" t="inlineStr"/>
      <c r="AP240" s="29" t="inlineStr"/>
      <c r="AQ240" s="29" t="inlineStr"/>
      <c r="AR240" s="29" t="inlineStr">
        <is>
          <t>NO TIENE</t>
        </is>
      </c>
      <c r="AS240" s="29" t="inlineStr">
        <is>
          <t>COOPVILLADELTRIUNFO@GMAIL.COM</t>
        </is>
      </c>
      <c r="AT240" s="29" t="inlineStr">
        <is>
          <t>939475653</t>
        </is>
      </c>
      <c r="AU240" s="29" t="inlineStr">
        <is>
          <t>-6.028535</t>
        </is>
      </c>
      <c r="AV240" s="29" t="inlineStr">
        <is>
          <t>-76.96762833333334</t>
        </is>
      </c>
      <c r="AW240" s="29" t="inlineStr">
        <is>
          <t>2013.0</t>
        </is>
      </c>
      <c r="AX240" s="29" t="inlineStr">
        <is>
          <t>2013.0</t>
        </is>
      </c>
      <c r="AY240" s="29" t="inlineStr">
        <is>
          <t>1</t>
        </is>
      </c>
      <c r="AZ240" s="29" t="inlineStr">
        <is>
          <t>sept-2026</t>
        </is>
      </c>
      <c r="BA240" t="inlineStr">
        <is>
          <t>UNITED STATES</t>
        </is>
      </c>
      <c r="BB240" t="n">
        <v>2021</v>
      </c>
      <c r="BC240" t="n">
        <v>2025</v>
      </c>
      <c r="BD240" s="81">
        <f>0</f>
        <v/>
      </c>
      <c r="BE240" s="81">
        <f>IFERROR((IF(ISNUMBER(T240),MIN(T240/30,1),0)+IF(ISNUMBER(P240),MIN(P240/500,1),0))/2,0)</f>
        <v/>
      </c>
      <c r="BF240" s="81">
        <f>IFERROR(IF(OR(U240&lt;&gt;"",V240="SÍ"),IF(ISNUMBER(L240),(1*MIN(L240/10000,1))^0.5,0),IF(ISNUMBER(L240),(0*MIN(L240/10000,1))^0.5,0)),0)</f>
        <v/>
      </c>
    </row>
    <row r="241">
      <c r="A241" t="inlineStr">
        <is>
          <t>MIDAGRI</t>
        </is>
      </c>
      <c r="B241" s="70" t="inlineStr">
        <is>
          <t>20609726351</t>
        </is>
      </c>
      <c r="C241" s="30" t="inlineStr">
        <is>
          <t>Cooperativa Agraria de Productores Arroceros del Alto Huallaga Ltda.</t>
        </is>
      </c>
      <c r="D241" s="30" t="inlineStr"/>
      <c r="E241" s="30" t="inlineStr">
        <is>
          <t>VENTA AL POR MENOR DE ALIMENTOS, BEBIDAS Y TABACO EN ALMACENES ESPECIALIZADOS</t>
        </is>
      </c>
      <c r="F241" s="30" t="inlineStr">
        <is>
          <t>San Martín</t>
        </is>
      </c>
      <c r="G241" s="30" t="inlineStr">
        <is>
          <t>Tocache</t>
        </is>
      </c>
      <c r="H241" s="30" t="inlineStr">
        <is>
          <t>—</t>
        </is>
      </c>
      <c r="I241" s="30" t="inlineStr">
        <is>
          <t>—</t>
        </is>
      </c>
      <c r="J241" s="30" t="n"/>
      <c r="K241" s="30" t="inlineStr">
        <is>
          <t>NO</t>
        </is>
      </c>
      <c r="L241" s="30" t="n"/>
      <c r="M241" s="30" t="n"/>
      <c r="N241" s="30" t="n"/>
      <c r="O241" s="30" t="n"/>
      <c r="P241" s="30" t="inlineStr"/>
      <c r="Q241" s="30" t="inlineStr"/>
      <c r="R241" s="14" t="inlineStr">
        <is>
          <t>2575.0</t>
        </is>
      </c>
      <c r="S241" s="30" t="inlineStr"/>
      <c r="T241" s="30" t="inlineStr"/>
      <c r="U241" s="14" t="inlineStr"/>
      <c r="V241" s="14" t="inlineStr">
        <is>
          <t>NO</t>
        </is>
      </c>
      <c r="W241" s="14" t="inlineStr">
        <is>
          <t>—</t>
        </is>
      </c>
      <c r="X241" s="14" t="inlineStr">
        <is>
          <t>—</t>
        </is>
      </c>
      <c r="Y241" s="14" t="inlineStr"/>
      <c r="Z241" s="30" t="inlineStr">
        <is>
          <t>—</t>
        </is>
      </c>
      <c r="AA241" s="30" t="b">
        <v>0</v>
      </c>
      <c r="AB241" s="30" t="b">
        <v>1</v>
      </c>
      <c r="AC241" s="30" t="b">
        <v>0</v>
      </c>
      <c r="AD241" s="30" t="inlineStr">
        <is>
          <t>NO</t>
        </is>
      </c>
      <c r="AE241" s="30" t="inlineStr"/>
      <c r="AF241" s="30" t="inlineStr"/>
      <c r="AG241" s="30" t="inlineStr"/>
      <c r="AH241" s="30" t="inlineStr"/>
      <c r="AI241" s="30" t="inlineStr"/>
      <c r="AJ241" s="30" t="inlineStr"/>
      <c r="AK241" s="30" t="inlineStr"/>
      <c r="AL241" s="30" t="inlineStr"/>
      <c r="AM241" s="30" t="inlineStr"/>
      <c r="AN241" s="30" t="n"/>
      <c r="AO241" s="30" t="inlineStr"/>
      <c r="AP241" s="30" t="inlineStr"/>
      <c r="AQ241" s="30" t="inlineStr"/>
      <c r="AR241" s="30" t="inlineStr"/>
      <c r="AS241" s="30" t="inlineStr"/>
      <c r="AT241" s="30" t="inlineStr"/>
      <c r="AU241" s="30" t="inlineStr"/>
      <c r="AV241" s="30" t="inlineStr"/>
      <c r="AW241" s="30" t="inlineStr"/>
      <c r="AX241" s="30" t="inlineStr"/>
      <c r="AY241" s="30" t="inlineStr">
        <is>
          <t>1</t>
        </is>
      </c>
      <c r="AZ241" s="30" t="inlineStr">
        <is>
          <t>sept-2026</t>
        </is>
      </c>
      <c r="BD241" s="81">
        <f>0</f>
        <v/>
      </c>
      <c r="BE241" s="81">
        <f>IFERROR((IF(ISNUMBER(T241),MIN(T241/30,1),0)+IF(ISNUMBER(P241),MIN(P241/500,1),0))/2,0)</f>
        <v/>
      </c>
      <c r="BF241" s="81">
        <f>IFERROR(IF(OR(U241&lt;&gt;"",V241="SÍ"),IF(ISNUMBER(L241),(1*MIN(L241/10000,1))^0.5,0),IF(ISNUMBER(L241),(0*MIN(L241/10000,1))^0.5,0)),0)</f>
        <v/>
      </c>
    </row>
    <row r="242">
      <c r="A242" t="inlineStr">
        <is>
          <t>MIDAGRI; CENCOOP 2017</t>
        </is>
      </c>
      <c r="B242" s="70" t="inlineStr">
        <is>
          <t>20542347911</t>
        </is>
      </c>
      <c r="C242" s="29" t="inlineStr">
        <is>
          <t>Cooperativa Agraria de Productores de Alonso de Alvarado - San Martin Limitada</t>
        </is>
      </c>
      <c r="D242" s="29" t="inlineStr"/>
      <c r="E242" s="29" t="inlineStr">
        <is>
          <t>VENTA AL POR MENOR DE ALIMENTOS, BEBIDAS Y TABACO EN ALMACENES ESPECIALIZADOS</t>
        </is>
      </c>
      <c r="F242" s="29" t="inlineStr">
        <is>
          <t>San Martín</t>
        </is>
      </c>
      <c r="G242" s="29" t="inlineStr">
        <is>
          <t>Moyobamba</t>
        </is>
      </c>
      <c r="H242" s="29" t="inlineStr">
        <is>
          <t>—</t>
        </is>
      </c>
      <c r="I242" s="29" t="inlineStr">
        <is>
          <t>—</t>
        </is>
      </c>
      <c r="J242" s="29" t="inlineStr">
        <is>
          <t>SI</t>
        </is>
      </c>
      <c r="K242" s="29" t="inlineStr">
        <is>
          <t>NO</t>
        </is>
      </c>
      <c r="L242" s="29" t="n">
        <v>3648686.16</v>
      </c>
      <c r="M242" s="29" t="n">
        <v>9064157.59</v>
      </c>
      <c r="N242" s="29" t="n">
        <v>60</v>
      </c>
      <c r="O242" s="29" t="n">
        <v>9</v>
      </c>
      <c r="P242" s="29" t="inlineStr"/>
      <c r="Q242" s="29" t="inlineStr"/>
      <c r="R242" s="18" t="inlineStr">
        <is>
          <t>2575.0</t>
        </is>
      </c>
      <c r="S242" s="29" t="inlineStr"/>
      <c r="T242" s="29" t="inlineStr"/>
      <c r="U242" s="18" t="inlineStr"/>
      <c r="V242" s="18" t="inlineStr">
        <is>
          <t>NO</t>
        </is>
      </c>
      <c r="W242" s="18" t="inlineStr">
        <is>
          <t>—</t>
        </is>
      </c>
      <c r="X242" s="18" t="inlineStr">
        <is>
          <t>—</t>
        </is>
      </c>
      <c r="Y242" s="18" t="inlineStr"/>
      <c r="Z242" s="29" t="inlineStr">
        <is>
          <t>—</t>
        </is>
      </c>
      <c r="AA242" s="29" t="b">
        <v>0</v>
      </c>
      <c r="AB242" s="29" t="b">
        <v>1</v>
      </c>
      <c r="AC242" s="29" t="b">
        <v>0</v>
      </c>
      <c r="AD242" s="19" t="inlineStr">
        <is>
          <t>SI</t>
        </is>
      </c>
      <c r="AE242" s="29" t="inlineStr">
        <is>
          <t>COOPERATIVA AGRARIA DE PRODUCTORES DE ALONSO DE ALVARADO  - SAN MARTIN LIMITADA</t>
        </is>
      </c>
      <c r="AF242" s="29" t="inlineStr">
        <is>
          <t>SAN MARTIN</t>
        </is>
      </c>
      <c r="AG242" s="29" t="inlineStr">
        <is>
          <t>MOYOBAMBA</t>
        </is>
      </c>
      <c r="AH242" s="29" t="inlineStr">
        <is>
          <t>MOYOBAMBA</t>
        </is>
      </c>
      <c r="AI242" s="29" t="inlineStr">
        <is>
          <t>MOYOBAMBA</t>
        </is>
      </c>
      <c r="AJ242" s="29" t="inlineStr">
        <is>
          <t>OTRAS ACTIVIDADES DE SERVICIOS PERSONALES N.C.P.</t>
        </is>
      </c>
      <c r="AK242" s="29" t="inlineStr">
        <is>
          <t>1.0</t>
        </is>
      </c>
      <c r="AL242" s="29" t="inlineStr">
        <is>
          <t>2.0</t>
        </is>
      </c>
      <c r="AM242" s="29" t="inlineStr"/>
      <c r="AN242" s="29" t="n">
        <v>4</v>
      </c>
      <c r="AO242" s="29" t="inlineStr"/>
      <c r="AP242" s="29" t="inlineStr"/>
      <c r="AQ242" s="29" t="inlineStr"/>
      <c r="AR242" s="29" t="inlineStr">
        <is>
          <t>NO TIENE</t>
        </is>
      </c>
      <c r="AS242" s="29" t="inlineStr">
        <is>
          <t>NO TIENE</t>
        </is>
      </c>
      <c r="AT242" s="29" t="inlineStr">
        <is>
          <t>NO TIENE</t>
        </is>
      </c>
      <c r="AU242" s="29" t="inlineStr">
        <is>
          <t>-6.030505</t>
        </is>
      </c>
      <c r="AV242" s="29" t="inlineStr">
        <is>
          <t>-76.96471</t>
        </is>
      </c>
      <c r="AW242" s="29" t="inlineStr">
        <is>
          <t>2013.0</t>
        </is>
      </c>
      <c r="AX242" s="29" t="inlineStr">
        <is>
          <t>2013.0</t>
        </is>
      </c>
      <c r="AY242" s="29" t="inlineStr">
        <is>
          <t>1</t>
        </is>
      </c>
      <c r="AZ242" s="29" t="inlineStr">
        <is>
          <t>sept-2026</t>
        </is>
      </c>
      <c r="BA242" t="inlineStr">
        <is>
          <t>BELGIUM; CANADA; FRANCE; GERMANY; IRELAND; NETHERLANDS; SWEDEN; UNITED KINGDOM; UNITED STATES</t>
        </is>
      </c>
      <c r="BB242" t="n">
        <v>2020</v>
      </c>
      <c r="BC242" t="n">
        <v>2025</v>
      </c>
      <c r="BD242" s="81">
        <f>0</f>
        <v/>
      </c>
      <c r="BE242" s="81">
        <f>IFERROR((IF(ISNUMBER(T242),MIN(T242/30,1),0)+IF(ISNUMBER(P242),MIN(P242/500,1),0))/2,0)</f>
        <v/>
      </c>
      <c r="BF242" s="81">
        <f>IFERROR(IF(OR(U242&lt;&gt;"",V242="SÍ"),IF(ISNUMBER(L242),(1*MIN(L242/10000,1))^0.5,0),IF(ISNUMBER(L242),(0*MIN(L242/10000,1))^0.5,0)),0)</f>
        <v/>
      </c>
    </row>
    <row r="243">
      <c r="A243" t="inlineStr">
        <is>
          <t>MIDAGRI; CENACOOP; CENCOOP 2017; SISPAC</t>
        </is>
      </c>
      <c r="B243" s="70" t="inlineStr">
        <is>
          <t>20542264544</t>
        </is>
      </c>
      <c r="C243" s="30" t="inlineStr">
        <is>
          <t>Cooperativa Agraria del Bajo Biavo Ltda.</t>
        </is>
      </c>
      <c r="D243" s="30" t="inlineStr"/>
      <c r="E243" s="30" t="inlineStr">
        <is>
          <t>VENTA AL POR MENOR DE ALIMENTOS, BEBIDAS Y TABACO EN ALMACENES ESPECIALIZADOS</t>
        </is>
      </c>
      <c r="F243" s="30" t="inlineStr">
        <is>
          <t>San Martín</t>
        </is>
      </c>
      <c r="G243" s="30" t="inlineStr">
        <is>
          <t>Bellavista</t>
        </is>
      </c>
      <c r="H243" s="30" t="inlineStr">
        <is>
          <t>—</t>
        </is>
      </c>
      <c r="I243" s="30" t="inlineStr">
        <is>
          <t>—</t>
        </is>
      </c>
      <c r="J243" s="30" t="inlineStr">
        <is>
          <t>SI</t>
        </is>
      </c>
      <c r="K243" s="30" t="inlineStr">
        <is>
          <t>NO</t>
        </is>
      </c>
      <c r="L243" s="30" t="n">
        <v>0</v>
      </c>
      <c r="M243" s="30" t="n">
        <v>1686820.85</v>
      </c>
      <c r="N243" s="30" t="n">
        <v>8</v>
      </c>
      <c r="O243" s="30" t="n">
        <v>1</v>
      </c>
      <c r="P243" s="30" t="inlineStr"/>
      <c r="Q243" s="30" t="inlineStr"/>
      <c r="R243" s="14" t="inlineStr">
        <is>
          <t>2575.0</t>
        </is>
      </c>
      <c r="S243" s="30" t="inlineStr"/>
      <c r="T243" s="30" t="inlineStr"/>
      <c r="U243" s="14" t="inlineStr"/>
      <c r="V243" s="14" t="inlineStr">
        <is>
          <t>NO</t>
        </is>
      </c>
      <c r="W243" s="14" t="inlineStr">
        <is>
          <t>—</t>
        </is>
      </c>
      <c r="X243" s="14" t="inlineStr">
        <is>
          <t>—</t>
        </is>
      </c>
      <c r="Y243" s="14" t="inlineStr"/>
      <c r="Z243" s="30" t="inlineStr">
        <is>
          <t>—</t>
        </is>
      </c>
      <c r="AA243" s="30" t="b">
        <v>0</v>
      </c>
      <c r="AB243" s="30" t="b">
        <v>1</v>
      </c>
      <c r="AC243" s="30" t="b">
        <v>1</v>
      </c>
      <c r="AD243" s="19" t="inlineStr">
        <is>
          <t>SI</t>
        </is>
      </c>
      <c r="AE243" s="30" t="inlineStr">
        <is>
          <t>COOPERATIVA AGRARIA DEL BAJO BIAVO LTDA.</t>
        </is>
      </c>
      <c r="AF243" s="30" t="inlineStr">
        <is>
          <t>SAN MARTIN</t>
        </is>
      </c>
      <c r="AG243" s="30" t="inlineStr">
        <is>
          <t>BELLAVISTA</t>
        </is>
      </c>
      <c r="AH243" s="30" t="inlineStr">
        <is>
          <t>BELLAVISTA</t>
        </is>
      </c>
      <c r="AI243" s="30" t="inlineStr">
        <is>
          <t>BELLAVISTA</t>
        </is>
      </c>
      <c r="AJ243" s="30" t="inlineStr">
        <is>
          <t>CULTIVO DE PLANTAS CON LAS QUE SE PREPARAN BEBIDAS</t>
        </is>
      </c>
      <c r="AK243" s="30" t="inlineStr">
        <is>
          <t>1.0</t>
        </is>
      </c>
      <c r="AL243" s="30" t="inlineStr">
        <is>
          <t>1.0</t>
        </is>
      </c>
      <c r="AM243" s="30" t="inlineStr">
        <is>
          <t>3.0</t>
        </is>
      </c>
      <c r="AN243" s="30" t="n">
        <v>3</v>
      </c>
      <c r="AO243" s="30" t="inlineStr">
        <is>
          <t>PEÑA JIMENEZ EUSEBIO</t>
        </is>
      </c>
      <c r="AP243" s="30" t="inlineStr">
        <is>
          <t>COMERCIANTE</t>
        </is>
      </c>
      <c r="AQ243" s="30" t="inlineStr">
        <is>
          <t>6.0</t>
        </is>
      </c>
      <c r="AR243" s="30" t="inlineStr">
        <is>
          <t>NO TIENE</t>
        </is>
      </c>
      <c r="AS243" s="30" t="inlineStr">
        <is>
          <t>COOPBAJOBIAVO@LIVE.COM</t>
        </is>
      </c>
      <c r="AT243" s="30" t="inlineStr">
        <is>
          <t>979854946</t>
        </is>
      </c>
      <c r="AU243" s="30" t="inlineStr">
        <is>
          <t>-7.060521666666667</t>
        </is>
      </c>
      <c r="AV243" s="30" t="inlineStr">
        <is>
          <t>-76.59252166666667</t>
        </is>
      </c>
      <c r="AW243" s="30" t="inlineStr">
        <is>
          <t>2012.0</t>
        </is>
      </c>
      <c r="AX243" s="30" t="inlineStr">
        <is>
          <t>2014.0</t>
        </is>
      </c>
      <c r="AY243" s="30" t="inlineStr">
        <is>
          <t>2</t>
        </is>
      </c>
      <c r="AZ243" s="30" t="inlineStr">
        <is>
          <t>sept-2026</t>
        </is>
      </c>
      <c r="BA243" t="inlineStr">
        <is>
          <t>BELGIUM</t>
        </is>
      </c>
      <c r="BB243" t="n">
        <v>2015</v>
      </c>
      <c r="BC243" t="n">
        <v>2025</v>
      </c>
      <c r="BD243" s="81">
        <f>0</f>
        <v/>
      </c>
      <c r="BE243" s="81">
        <f>IFERROR((IF(ISNUMBER(T243),MIN(T243/30,1),0)+IF(ISNUMBER(P243),MIN(P243/500,1),0))/2,0)</f>
        <v/>
      </c>
      <c r="BF243" s="81">
        <f>IFERROR(IF(OR(U243&lt;&gt;"",V243="SÍ"),IF(ISNUMBER(L243),(1*MIN(L243/10000,1))^0.5,0),IF(ISNUMBER(L243),(0*MIN(L243/10000,1))^0.5,0)),0)</f>
        <v/>
      </c>
      <c r="BG243" t="n">
        <v>7</v>
      </c>
      <c r="BH243" t="n">
        <v>0</v>
      </c>
      <c r="BI243" t="n">
        <v>0</v>
      </c>
      <c r="BJ243" t="n">
        <v>0</v>
      </c>
      <c r="BK243" t="n">
        <v>0</v>
      </c>
      <c r="BL243" t="n">
        <v>4</v>
      </c>
      <c r="BM243" t="n">
        <v>3</v>
      </c>
      <c r="BN243" t="n">
        <v>7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0.5714</v>
      </c>
      <c r="CB243" t="n">
        <v>0.4286</v>
      </c>
      <c r="CC243" t="n">
        <v>0</v>
      </c>
      <c r="CD243" t="n">
        <v>0</v>
      </c>
      <c r="CE243" t="n">
        <v>0</v>
      </c>
      <c r="CF243" t="n">
        <v>0</v>
      </c>
    </row>
    <row r="244">
      <c r="A244" t="inlineStr">
        <is>
          <t>MIDAGRI</t>
        </is>
      </c>
      <c r="B244" s="70" t="inlineStr">
        <is>
          <t>20605970690</t>
        </is>
      </c>
      <c r="C244" s="29" t="inlineStr">
        <is>
          <t>Cooperativa Agraria del Valle Dorado</t>
        </is>
      </c>
      <c r="D244" s="29" t="inlineStr"/>
      <c r="E244" s="29" t="inlineStr">
        <is>
          <t>VENTA AL POR MENOR DE ALIMENTOS, BEBIDAS Y TABACO EN ALMACENES ESPECIALIZADOS</t>
        </is>
      </c>
      <c r="F244" s="29" t="inlineStr">
        <is>
          <t>San Martín</t>
        </is>
      </c>
      <c r="G244" s="29" t="inlineStr">
        <is>
          <t>Tocache</t>
        </is>
      </c>
      <c r="H244" s="29" t="inlineStr">
        <is>
          <t>—</t>
        </is>
      </c>
      <c r="I244" s="29" t="inlineStr">
        <is>
          <t>—</t>
        </is>
      </c>
      <c r="J244" s="29" t="n"/>
      <c r="K244" s="29" t="inlineStr">
        <is>
          <t>NO</t>
        </is>
      </c>
      <c r="L244" s="29" t="n"/>
      <c r="M244" s="29" t="n"/>
      <c r="N244" s="29" t="n"/>
      <c r="O244" s="29" t="n"/>
      <c r="P244" s="29" t="inlineStr"/>
      <c r="Q244" s="29" t="inlineStr"/>
      <c r="R244" s="18" t="inlineStr">
        <is>
          <t>2575.0</t>
        </is>
      </c>
      <c r="S244" s="29" t="inlineStr"/>
      <c r="T244" s="29" t="inlineStr"/>
      <c r="U244" s="18" t="inlineStr"/>
      <c r="V244" s="18" t="inlineStr">
        <is>
          <t>NO</t>
        </is>
      </c>
      <c r="W244" s="18" t="inlineStr">
        <is>
          <t>—</t>
        </is>
      </c>
      <c r="X244" s="18" t="inlineStr">
        <is>
          <t>—</t>
        </is>
      </c>
      <c r="Y244" s="18" t="inlineStr"/>
      <c r="Z244" s="29" t="inlineStr">
        <is>
          <t>—</t>
        </is>
      </c>
      <c r="AA244" s="29" t="b">
        <v>0</v>
      </c>
      <c r="AB244" s="29" t="b">
        <v>1</v>
      </c>
      <c r="AC244" s="29" t="b">
        <v>0</v>
      </c>
      <c r="AD244" s="29" t="inlineStr">
        <is>
          <t>NO</t>
        </is>
      </c>
      <c r="AE244" s="29" t="inlineStr"/>
      <c r="AF244" s="29" t="inlineStr"/>
      <c r="AG244" s="29" t="inlineStr"/>
      <c r="AH244" s="29" t="inlineStr"/>
      <c r="AI244" s="29" t="inlineStr"/>
      <c r="AJ244" s="29" t="inlineStr"/>
      <c r="AK244" s="29" t="inlineStr"/>
      <c r="AL244" s="29" t="inlineStr"/>
      <c r="AM244" s="29" t="inlineStr"/>
      <c r="AN244" s="29" t="n"/>
      <c r="AO244" s="29" t="inlineStr"/>
      <c r="AP244" s="29" t="inlineStr"/>
      <c r="AQ244" s="29" t="inlineStr"/>
      <c r="AR244" s="29" t="inlineStr"/>
      <c r="AS244" s="29" t="inlineStr"/>
      <c r="AT244" s="29" t="inlineStr"/>
      <c r="AU244" s="29" t="inlineStr"/>
      <c r="AV244" s="29" t="inlineStr"/>
      <c r="AW244" s="29" t="inlineStr"/>
      <c r="AX244" s="29" t="inlineStr"/>
      <c r="AY244" s="29" t="inlineStr">
        <is>
          <t>1</t>
        </is>
      </c>
      <c r="AZ244" s="29" t="inlineStr">
        <is>
          <t>sept-2026</t>
        </is>
      </c>
      <c r="BD244" s="81">
        <f>0</f>
        <v/>
      </c>
      <c r="BE244" s="81">
        <f>IFERROR((IF(ISNUMBER(T244),MIN(T244/30,1),0)+IF(ISNUMBER(P244),MIN(P244/500,1),0))/2,0)</f>
        <v/>
      </c>
      <c r="BF244" s="81">
        <f>IFERROR(IF(OR(U244&lt;&gt;"",V244="SÍ"),IF(ISNUMBER(L244),(1*MIN(L244/10000,1))^0.5,0),IF(ISNUMBER(L244),(0*MIN(L244/10000,1))^0.5,0)),0)</f>
        <v/>
      </c>
    </row>
    <row r="245">
      <c r="A245" t="inlineStr">
        <is>
          <t>MIDAGRI; CENACOOP; CENCOOP 2017</t>
        </is>
      </c>
      <c r="B245" s="70" t="inlineStr">
        <is>
          <t>20450398111</t>
        </is>
      </c>
      <c r="C245" s="30" t="inlineStr">
        <is>
          <t>Cooperativa Agraria el Gran Saposoa Ltda.</t>
        </is>
      </c>
      <c r="D245" s="30" t="inlineStr"/>
      <c r="E245" s="30" t="inlineStr">
        <is>
          <t>VENTA AL POR MENOR DE ALIMENTOS, BEBIDAS Y TABACO EN ALMACENES ESPECIALIZADOS</t>
        </is>
      </c>
      <c r="F245" s="30" t="inlineStr">
        <is>
          <t>San Martín</t>
        </is>
      </c>
      <c r="G245" s="30" t="inlineStr">
        <is>
          <t>Huallaga</t>
        </is>
      </c>
      <c r="H245" s="30" t="inlineStr">
        <is>
          <t>—</t>
        </is>
      </c>
      <c r="I245" s="30" t="inlineStr">
        <is>
          <t>—</t>
        </is>
      </c>
      <c r="J245" s="30" t="inlineStr">
        <is>
          <t>SI</t>
        </is>
      </c>
      <c r="K245" s="30" t="inlineStr">
        <is>
          <t>NO</t>
        </is>
      </c>
      <c r="L245" s="30" t="n">
        <v>0</v>
      </c>
      <c r="M245" s="30" t="n">
        <v>3167083.6</v>
      </c>
      <c r="N245" s="30" t="n">
        <v>37</v>
      </c>
      <c r="O245" s="30" t="n">
        <v>6</v>
      </c>
      <c r="P245" s="30" t="inlineStr"/>
      <c r="Q245" s="30" t="inlineStr"/>
      <c r="R245" s="14" t="inlineStr">
        <is>
          <t>2575.0</t>
        </is>
      </c>
      <c r="S245" s="30" t="inlineStr"/>
      <c r="T245" s="30" t="inlineStr"/>
      <c r="U245" s="14" t="inlineStr"/>
      <c r="V245" s="14" t="inlineStr">
        <is>
          <t>NO</t>
        </is>
      </c>
      <c r="W245" s="14" t="inlineStr">
        <is>
          <t>—</t>
        </is>
      </c>
      <c r="X245" s="14" t="inlineStr">
        <is>
          <t>—</t>
        </is>
      </c>
      <c r="Y245" s="14" t="inlineStr"/>
      <c r="Z245" s="30" t="inlineStr">
        <is>
          <t>—</t>
        </is>
      </c>
      <c r="AA245" s="30" t="b">
        <v>0</v>
      </c>
      <c r="AB245" s="30" t="b">
        <v>1</v>
      </c>
      <c r="AC245" s="30" t="b">
        <v>1</v>
      </c>
      <c r="AD245" s="19" t="inlineStr">
        <is>
          <t>SI</t>
        </is>
      </c>
      <c r="AE245" s="30" t="inlineStr">
        <is>
          <t>COOPERATIVA AGRARIA EL GRAN SAPOSOA LTDA.</t>
        </is>
      </c>
      <c r="AF245" s="30" t="inlineStr">
        <is>
          <t>SAN MARTIN</t>
        </is>
      </c>
      <c r="AG245" s="30" t="inlineStr">
        <is>
          <t>HUALLAGA</t>
        </is>
      </c>
      <c r="AH245" s="30" t="inlineStr">
        <is>
          <t>SAPOSOA</t>
        </is>
      </c>
      <c r="AI245" s="30" t="inlineStr">
        <is>
          <t>SAPOSOA</t>
        </is>
      </c>
      <c r="AJ245" s="30" t="inlineStr">
        <is>
          <t>ELABORACIÓN DE CACAO Y CHOCOLATE Y DE PRODUCTOS DE CONFITERÍA</t>
        </is>
      </c>
      <c r="AK245" s="30" t="inlineStr">
        <is>
          <t>1.0</t>
        </is>
      </c>
      <c r="AL245" s="30" t="inlineStr">
        <is>
          <t>1.0</t>
        </is>
      </c>
      <c r="AM245" s="30" t="inlineStr">
        <is>
          <t>3.0</t>
        </is>
      </c>
      <c r="AN245" s="30" t="n">
        <v>8</v>
      </c>
      <c r="AO245" s="30" t="inlineStr">
        <is>
          <t>VILLANUEVA RENGIFO LANDER</t>
        </is>
      </c>
      <c r="AP245" s="30" t="inlineStr">
        <is>
          <t>INGENIERO AGRONOMO</t>
        </is>
      </c>
      <c r="AQ245" s="30" t="inlineStr">
        <is>
          <t>10.0</t>
        </is>
      </c>
      <c r="AR245" s="30" t="inlineStr">
        <is>
          <t>NO TIENE</t>
        </is>
      </c>
      <c r="AS245" s="30" t="inlineStr">
        <is>
          <t>COOPALGSA@GMAIL.COM</t>
        </is>
      </c>
      <c r="AT245" s="30" t="inlineStr">
        <is>
          <t>996803708</t>
        </is>
      </c>
      <c r="AU245" s="30" t="inlineStr">
        <is>
          <t>-6.9308983333333325</t>
        </is>
      </c>
      <c r="AV245" s="30" t="inlineStr">
        <is>
          <t>-76.77313666666667</t>
        </is>
      </c>
      <c r="AW245" s="30" t="inlineStr">
        <is>
          <t>2008.0</t>
        </is>
      </c>
      <c r="AX245" s="30" t="inlineStr">
        <is>
          <t>2009.0</t>
        </is>
      </c>
      <c r="AY245" s="30" t="inlineStr">
        <is>
          <t>2</t>
        </is>
      </c>
      <c r="AZ245" s="30" t="inlineStr">
        <is>
          <t>sept-2026</t>
        </is>
      </c>
      <c r="BA245" t="inlineStr">
        <is>
          <t>BELGIUM; GERMANY; ITALY; NETHERLANDS; SWEDEN; UNITED STATES</t>
        </is>
      </c>
      <c r="BB245" t="n">
        <v>2013</v>
      </c>
      <c r="BC245" t="n">
        <v>2018</v>
      </c>
      <c r="BD245" s="81">
        <f>0</f>
        <v/>
      </c>
      <c r="BE245" s="81">
        <f>IFERROR((IF(ISNUMBER(T245),MIN(T245/30,1),0)+IF(ISNUMBER(P245),MIN(P245/500,1),0))/2,0)</f>
        <v/>
      </c>
      <c r="BF245" s="81">
        <f>IFERROR(IF(OR(U245&lt;&gt;"",V245="SÍ"),IF(ISNUMBER(L245),(1*MIN(L245/10000,1))^0.5,0),IF(ISNUMBER(L245),(0*MIN(L245/10000,1))^0.5,0)),0)</f>
        <v/>
      </c>
    </row>
    <row r="246">
      <c r="A246" t="inlineStr">
        <is>
          <t>MIDAGRI; CENACOOP; CENCOOP 2017; SISPAC</t>
        </is>
      </c>
      <c r="B246" s="70" t="inlineStr">
        <is>
          <t>20393882868</t>
        </is>
      </c>
      <c r="C246" s="29" t="inlineStr">
        <is>
          <t>Cooperativa Agraria ASCAH</t>
        </is>
      </c>
      <c r="D246" s="29" t="inlineStr"/>
      <c r="E246" s="29" t="inlineStr">
        <is>
          <t>VENTA AL POR MENOR DE ALIMENTOS, BEBIDAS Y TABACO EN ALMACENES ESPECIALIZADOS</t>
        </is>
      </c>
      <c r="F246" s="29" t="inlineStr">
        <is>
          <t>Ucayali</t>
        </is>
      </c>
      <c r="G246" s="29" t="inlineStr">
        <is>
          <t>Padre Abad</t>
        </is>
      </c>
      <c r="H246" s="29" t="inlineStr">
        <is>
          <t>—</t>
        </is>
      </c>
      <c r="I246" s="29" t="inlineStr">
        <is>
          <t>—</t>
        </is>
      </c>
      <c r="J246" s="29" t="n"/>
      <c r="K246" s="29" t="inlineStr">
        <is>
          <t>NO</t>
        </is>
      </c>
      <c r="L246" s="29" t="n"/>
      <c r="M246" s="29" t="n"/>
      <c r="N246" s="29" t="n"/>
      <c r="O246" s="29" t="n"/>
      <c r="P246" s="29" t="inlineStr"/>
      <c r="Q246" s="29" t="inlineStr"/>
      <c r="R246" s="18" t="inlineStr">
        <is>
          <t>2575.0</t>
        </is>
      </c>
      <c r="S246" s="29" t="inlineStr"/>
      <c r="T246" s="29" t="inlineStr"/>
      <c r="U246" s="18" t="inlineStr"/>
      <c r="V246" s="18" t="inlineStr">
        <is>
          <t>NO</t>
        </is>
      </c>
      <c r="W246" s="18" t="inlineStr">
        <is>
          <t>—</t>
        </is>
      </c>
      <c r="X246" s="18" t="inlineStr">
        <is>
          <t>—</t>
        </is>
      </c>
      <c r="Y246" s="18" t="inlineStr"/>
      <c r="Z246" s="29" t="inlineStr">
        <is>
          <t>—</t>
        </is>
      </c>
      <c r="AA246" s="29" t="b">
        <v>0</v>
      </c>
      <c r="AB246" s="29" t="b">
        <v>1</v>
      </c>
      <c r="AC246" s="29" t="b">
        <v>1</v>
      </c>
      <c r="AD246" s="19" t="inlineStr">
        <is>
          <t>SI</t>
        </is>
      </c>
      <c r="AE246" s="29" t="inlineStr">
        <is>
          <t>COOPERATIVA AGRARIA ASCAH</t>
        </is>
      </c>
      <c r="AF246" s="29" t="inlineStr">
        <is>
          <t>UCAYALI</t>
        </is>
      </c>
      <c r="AG246" s="29" t="inlineStr">
        <is>
          <t>PADRE ABAD</t>
        </is>
      </c>
      <c r="AH246" s="29" t="inlineStr">
        <is>
          <t>PADRE ABAD</t>
        </is>
      </c>
      <c r="AI246" s="29" t="inlineStr">
        <is>
          <t>HUIPOCA</t>
        </is>
      </c>
      <c r="AJ246" s="29" t="inlineStr">
        <is>
          <t>CULTIVO DE PLANTAS CON LAS QUE SE PREPARAN BEBIDAS</t>
        </is>
      </c>
      <c r="AK246" s="29" t="inlineStr">
        <is>
          <t>1.0</t>
        </is>
      </c>
      <c r="AL246" s="29" t="inlineStr">
        <is>
          <t>1.0</t>
        </is>
      </c>
      <c r="AM246" s="29" t="inlineStr">
        <is>
          <t>1.0</t>
        </is>
      </c>
      <c r="AN246" s="29" t="n">
        <v>2</v>
      </c>
      <c r="AO246" s="29" t="inlineStr">
        <is>
          <t>HUAMAN PALOMARES PEDRO</t>
        </is>
      </c>
      <c r="AP246" s="29" t="inlineStr">
        <is>
          <t>AGRICULTOR</t>
        </is>
      </c>
      <c r="AQ246" s="29" t="inlineStr">
        <is>
          <t>3.0</t>
        </is>
      </c>
      <c r="AR246" s="29" t="inlineStr">
        <is>
          <t>NO TIENE</t>
        </is>
      </c>
      <c r="AS246" s="29" t="inlineStr">
        <is>
          <t>NO TIENE</t>
        </is>
      </c>
      <c r="AT246" s="29" t="inlineStr">
        <is>
          <t>NO TIENE</t>
        </is>
      </c>
      <c r="AU246" s="29" t="inlineStr">
        <is>
          <t>-8.977411666666665</t>
        </is>
      </c>
      <c r="AV246" s="29" t="inlineStr">
        <is>
          <t>-75.44893333333333</t>
        </is>
      </c>
      <c r="AW246" s="29" t="inlineStr">
        <is>
          <t>2015.0</t>
        </is>
      </c>
      <c r="AX246" s="29" t="inlineStr">
        <is>
          <t>2015.0</t>
        </is>
      </c>
      <c r="AY246" s="29" t="inlineStr">
        <is>
          <t>2</t>
        </is>
      </c>
      <c r="AZ246" s="29" t="inlineStr">
        <is>
          <t>sept-2026</t>
        </is>
      </c>
      <c r="BD246" s="81">
        <f>0</f>
        <v/>
      </c>
      <c r="BE246" s="81">
        <f>IFERROR((IF(ISNUMBER(T246),MIN(T246/30,1),0)+IF(ISNUMBER(P246),MIN(P246/500,1),0))/2,0)</f>
        <v/>
      </c>
      <c r="BF246" s="81">
        <f>IFERROR(IF(OR(U246&lt;&gt;"",V246="SÍ"),IF(ISNUMBER(L246),(1*MIN(L246/10000,1))^0.5,0),IF(ISNUMBER(L246),(0*MIN(L246/10000,1))^0.5,0)),0)</f>
        <v/>
      </c>
    </row>
    <row r="247">
      <c r="A247" t="inlineStr">
        <is>
          <t>MIDAGRI; SISPAC</t>
        </is>
      </c>
      <c r="B247" s="70" t="inlineStr">
        <is>
          <t>20605688170</t>
        </is>
      </c>
      <c r="C247" s="30" t="inlineStr">
        <is>
          <t>Cooperativa Agraria Alexander Von Humboldt Ltda.</t>
        </is>
      </c>
      <c r="D247" s="30" t="inlineStr"/>
      <c r="E247" s="30" t="inlineStr">
        <is>
          <t>VENTA AL POR MENOR DE ALIMENTOS, BEBIDAS Y TABACO EN ALMACENES ESPECIALIZADOS</t>
        </is>
      </c>
      <c r="F247" s="30" t="inlineStr">
        <is>
          <t>Ucayali</t>
        </is>
      </c>
      <c r="G247" s="30" t="inlineStr">
        <is>
          <t>Padre Abad</t>
        </is>
      </c>
      <c r="H247" s="30" t="inlineStr">
        <is>
          <t>—</t>
        </is>
      </c>
      <c r="I247" s="30" t="inlineStr">
        <is>
          <t>—</t>
        </is>
      </c>
      <c r="J247" s="30" t="n"/>
      <c r="K247" s="30" t="inlineStr">
        <is>
          <t>NO</t>
        </is>
      </c>
      <c r="L247" s="30" t="n"/>
      <c r="M247" s="30" t="n"/>
      <c r="N247" s="30" t="n"/>
      <c r="O247" s="30" t="n"/>
      <c r="P247" s="30" t="inlineStr"/>
      <c r="Q247" s="30" t="inlineStr"/>
      <c r="R247" s="14" t="inlineStr">
        <is>
          <t>2575.0</t>
        </is>
      </c>
      <c r="S247" s="30" t="inlineStr"/>
      <c r="T247" s="30" t="inlineStr"/>
      <c r="U247" s="14" t="inlineStr"/>
      <c r="V247" s="14" t="inlineStr">
        <is>
          <t>NO</t>
        </is>
      </c>
      <c r="W247" s="14" t="inlineStr">
        <is>
          <t>—</t>
        </is>
      </c>
      <c r="X247" s="14" t="inlineStr">
        <is>
          <t>—</t>
        </is>
      </c>
      <c r="Y247" s="14" t="inlineStr"/>
      <c r="Z247" s="30" t="inlineStr">
        <is>
          <t>—</t>
        </is>
      </c>
      <c r="AA247" s="30" t="b">
        <v>0</v>
      </c>
      <c r="AB247" s="30" t="b">
        <v>1</v>
      </c>
      <c r="AC247" s="30" t="b">
        <v>0</v>
      </c>
      <c r="AD247" s="30" t="inlineStr">
        <is>
          <t>NO</t>
        </is>
      </c>
      <c r="AE247" s="30" t="inlineStr"/>
      <c r="AF247" s="30" t="inlineStr"/>
      <c r="AG247" s="30" t="inlineStr"/>
      <c r="AH247" s="30" t="inlineStr"/>
      <c r="AI247" s="30" t="inlineStr"/>
      <c r="AJ247" s="30" t="inlineStr"/>
      <c r="AK247" s="30" t="inlineStr"/>
      <c r="AL247" s="30" t="inlineStr"/>
      <c r="AM247" s="30" t="inlineStr"/>
      <c r="AN247" s="30" t="n"/>
      <c r="AO247" s="30" t="inlineStr"/>
      <c r="AP247" s="30" t="inlineStr"/>
      <c r="AQ247" s="30" t="inlineStr"/>
      <c r="AR247" s="30" t="inlineStr"/>
      <c r="AS247" s="30" t="inlineStr"/>
      <c r="AT247" s="30" t="inlineStr"/>
      <c r="AU247" s="30" t="inlineStr"/>
      <c r="AV247" s="30" t="inlineStr"/>
      <c r="AW247" s="30" t="inlineStr"/>
      <c r="AX247" s="30" t="inlineStr"/>
      <c r="AY247" s="30" t="inlineStr">
        <is>
          <t>1</t>
        </is>
      </c>
      <c r="AZ247" s="30" t="inlineStr">
        <is>
          <t>sept-2026</t>
        </is>
      </c>
      <c r="BD247" s="81">
        <f>0</f>
        <v/>
      </c>
      <c r="BE247" s="81">
        <f>IFERROR((IF(ISNUMBER(T247),MIN(T247/30,1),0)+IF(ISNUMBER(P247),MIN(P247/500,1),0))/2,0)</f>
        <v/>
      </c>
      <c r="BF247" s="81">
        <f>IFERROR(IF(OR(U247&lt;&gt;"",V247="SÍ"),IF(ISNUMBER(L247),(1*MIN(L247/10000,1))^0.5,0),IF(ISNUMBER(L247),(0*MIN(L247/10000,1))^0.5,0)),0)</f>
        <v/>
      </c>
    </row>
    <row r="248">
      <c r="A248" t="inlineStr">
        <is>
          <t>MIDAGRI; CENCOOP 2017; SISPAC</t>
        </is>
      </c>
      <c r="B248" s="70" t="inlineStr">
        <is>
          <t>20393692228</t>
        </is>
      </c>
      <c r="C248" s="29" t="inlineStr">
        <is>
          <t>Cooperativa Agraria Cacaotera San Alejandro Ltda.</t>
        </is>
      </c>
      <c r="D248" s="29" t="inlineStr"/>
      <c r="E248" s="29" t="inlineStr">
        <is>
          <t>VENTA AL POR MENOR DE ALIMENTOS, BEBIDAS Y TABACO EN ALMACENES ESPECIALIZADOS</t>
        </is>
      </c>
      <c r="F248" s="29" t="inlineStr">
        <is>
          <t>Ucayali</t>
        </is>
      </c>
      <c r="G248" s="29" t="inlineStr">
        <is>
          <t>Padre Abad</t>
        </is>
      </c>
      <c r="H248" s="29" t="inlineStr">
        <is>
          <t>Ucayali</t>
        </is>
      </c>
      <c r="I248" s="29" t="inlineStr">
        <is>
          <t>Cacao</t>
        </is>
      </c>
      <c r="J248" s="29" t="n"/>
      <c r="K248" s="29" t="inlineStr">
        <is>
          <t>NO</t>
        </is>
      </c>
      <c r="L248" s="29" t="n"/>
      <c r="M248" s="29" t="n"/>
      <c r="N248" s="29" t="n"/>
      <c r="O248" s="29" t="n"/>
      <c r="P248" s="29" t="inlineStr"/>
      <c r="Q248" s="29" t="inlineStr"/>
      <c r="R248" s="18" t="inlineStr">
        <is>
          <t>2575.0</t>
        </is>
      </c>
      <c r="S248" s="29" t="inlineStr"/>
      <c r="T248" s="29" t="inlineStr"/>
      <c r="U248" s="18" t="inlineStr"/>
      <c r="V248" s="15" t="inlineStr">
        <is>
          <t>SÍ</t>
        </is>
      </c>
      <c r="W248" s="18" t="inlineStr">
        <is>
          <t>—</t>
        </is>
      </c>
      <c r="X248" s="18" t="inlineStr">
        <is>
          <t>—</t>
        </is>
      </c>
      <c r="Y248" s="18" t="inlineStr"/>
      <c r="Z248" s="29" t="inlineStr">
        <is>
          <t>No disponible — requiere consulta directa (SUNAT/RUC.PE) o solicitud a la organización</t>
        </is>
      </c>
      <c r="AA248" s="29" t="b">
        <v>0</v>
      </c>
      <c r="AB248" s="29" t="b">
        <v>1</v>
      </c>
      <c r="AC248" s="29" t="b">
        <v>0</v>
      </c>
      <c r="AD248" s="19" t="inlineStr">
        <is>
          <t>SI</t>
        </is>
      </c>
      <c r="AE248" s="29" t="inlineStr">
        <is>
          <t>COOPERATIVA AGRARIA CACAOTERA SAN ALEJANDRO LTDA.</t>
        </is>
      </c>
      <c r="AF248" s="29" t="inlineStr">
        <is>
          <t>UCAYALI</t>
        </is>
      </c>
      <c r="AG248" s="29" t="inlineStr">
        <is>
          <t>PADRE ABAD</t>
        </is>
      </c>
      <c r="AH248" s="29" t="inlineStr">
        <is>
          <t>IRAZOLA</t>
        </is>
      </c>
      <c r="AI248" s="29" t="inlineStr">
        <is>
          <t>SAN ALEJANDRO</t>
        </is>
      </c>
      <c r="AJ248" s="29" t="inlineStr">
        <is>
          <t>VENTA AL POR MAYOR NO ESPECIALIZADA</t>
        </is>
      </c>
      <c r="AK248" s="29" t="inlineStr">
        <is>
          <t>1.0</t>
        </is>
      </c>
      <c r="AL248" s="29" t="inlineStr">
        <is>
          <t>1.0</t>
        </is>
      </c>
      <c r="AM248" s="29" t="inlineStr">
        <is>
          <t>1.0</t>
        </is>
      </c>
      <c r="AN248" s="29" t="n">
        <v>6</v>
      </c>
      <c r="AO248" s="29" t="inlineStr">
        <is>
          <t>CARBAJAL TADEO FLORENCIO</t>
        </is>
      </c>
      <c r="AP248" s="29" t="inlineStr">
        <is>
          <t>AGRICULTOR</t>
        </is>
      </c>
      <c r="AQ248" s="29" t="inlineStr">
        <is>
          <t>5.0</t>
        </is>
      </c>
      <c r="AR248" s="29" t="inlineStr">
        <is>
          <t>NO TIENE</t>
        </is>
      </c>
      <c r="AS248" s="29" t="inlineStr">
        <is>
          <t>NO TIENE</t>
        </is>
      </c>
      <c r="AT248" s="29" t="inlineStr">
        <is>
          <t>NO TIENE</t>
        </is>
      </c>
      <c r="AU248" s="29" t="inlineStr">
        <is>
          <t>-8.829704999999999</t>
        </is>
      </c>
      <c r="AV248" s="29" t="inlineStr">
        <is>
          <t>-75.218695</t>
        </is>
      </c>
      <c r="AW248" s="29" t="inlineStr">
        <is>
          <t>2011.0</t>
        </is>
      </c>
      <c r="AX248" s="29" t="inlineStr">
        <is>
          <t>2011.0</t>
        </is>
      </c>
      <c r="AY248" s="29" t="inlineStr">
        <is>
          <t>1</t>
        </is>
      </c>
      <c r="AZ248" s="29" t="inlineStr">
        <is>
          <t>sept-2026</t>
        </is>
      </c>
      <c r="BD248" s="81">
        <f>0</f>
        <v/>
      </c>
      <c r="BE248" s="81">
        <f>IFERROR((IF(ISNUMBER(T248),MIN(T248/30,1),0)+IF(ISNUMBER(P248),MIN(P248/500,1),0))/2,0)</f>
        <v/>
      </c>
      <c r="BF248" s="81">
        <f>IFERROR(IF(OR(U248&lt;&gt;"",V248="SÍ"),IF(ISNUMBER(L248),(1*MIN(L248/10000,1))^0.5,0),IF(ISNUMBER(L248),(0*MIN(L248/10000,1))^0.5,0)),0)</f>
        <v/>
      </c>
    </row>
    <row r="249" ht="16" customHeight="1">
      <c r="A249" t="inlineStr">
        <is>
          <t>MIDAGRI; SISPAC</t>
        </is>
      </c>
      <c r="B249" s="70" t="inlineStr">
        <is>
          <t>20393786044</t>
        </is>
      </c>
      <c r="C249" s="30" t="inlineStr">
        <is>
          <t>Cooperativa Agraria Cafetalera Coordillera Azul de Ucayali Ltda</t>
        </is>
      </c>
      <c r="D249" s="30" t="inlineStr"/>
      <c r="E249" s="30" t="inlineStr">
        <is>
          <t>VENTA AL POR MENOR DE ALIMENTOS, BEBIDAS Y TABACO EN ALMACENES ESPECIALIZADOS</t>
        </is>
      </c>
      <c r="F249" s="30" t="inlineStr">
        <is>
          <t>Ucayali</t>
        </is>
      </c>
      <c r="G249" s="30" t="inlineStr">
        <is>
          <t>Padre Abad</t>
        </is>
      </c>
      <c r="H249" s="30" t="inlineStr">
        <is>
          <t>—</t>
        </is>
      </c>
      <c r="I249" s="30" t="inlineStr">
        <is>
          <t>—</t>
        </is>
      </c>
      <c r="J249" s="30" t="n"/>
      <c r="K249" s="30" t="inlineStr">
        <is>
          <t>NO</t>
        </is>
      </c>
      <c r="L249" s="30" t="n"/>
      <c r="M249" s="30" t="n"/>
      <c r="N249" s="30" t="n"/>
      <c r="O249" s="30" t="n"/>
      <c r="P249" s="30" t="inlineStr"/>
      <c r="Q249" s="30" t="inlineStr"/>
      <c r="R249" s="14" t="inlineStr">
        <is>
          <t>2575.0</t>
        </is>
      </c>
      <c r="S249" s="30" t="inlineStr"/>
      <c r="T249" s="30" t="inlineStr"/>
      <c r="U249" s="14" t="inlineStr"/>
      <c r="V249" s="14" t="inlineStr">
        <is>
          <t>NO</t>
        </is>
      </c>
      <c r="W249" s="14" t="inlineStr">
        <is>
          <t>—</t>
        </is>
      </c>
      <c r="X249" s="14" t="inlineStr">
        <is>
          <t>—</t>
        </is>
      </c>
      <c r="Y249" s="14" t="inlineStr"/>
      <c r="Z249" s="30" t="inlineStr">
        <is>
          <t>—</t>
        </is>
      </c>
      <c r="AA249" s="30" t="b">
        <v>0</v>
      </c>
      <c r="AB249" s="30" t="b">
        <v>1</v>
      </c>
      <c r="AC249" s="30" t="b">
        <v>0</v>
      </c>
      <c r="AD249" s="30" t="inlineStr">
        <is>
          <t>NO</t>
        </is>
      </c>
      <c r="AE249" s="30" t="inlineStr"/>
      <c r="AF249" s="30" t="inlineStr"/>
      <c r="AG249" s="30" t="inlineStr"/>
      <c r="AH249" s="30" t="inlineStr"/>
      <c r="AI249" s="30" t="inlineStr"/>
      <c r="AJ249" s="30" t="inlineStr"/>
      <c r="AK249" s="30" t="inlineStr"/>
      <c r="AL249" s="30" t="inlineStr"/>
      <c r="AM249" s="30" t="inlineStr"/>
      <c r="AN249" s="30" t="n"/>
      <c r="AO249" s="30" t="inlineStr"/>
      <c r="AP249" s="30" t="inlineStr"/>
      <c r="AQ249" s="30" t="inlineStr"/>
      <c r="AR249" s="30" t="inlineStr"/>
      <c r="AS249" s="30" t="inlineStr"/>
      <c r="AT249" s="30" t="inlineStr"/>
      <c r="AU249" s="30" t="inlineStr"/>
      <c r="AV249" s="30" t="inlineStr"/>
      <c r="AW249" s="30" t="inlineStr"/>
      <c r="AX249" s="30" t="inlineStr"/>
      <c r="AY249" s="30" t="inlineStr">
        <is>
          <t>1</t>
        </is>
      </c>
      <c r="AZ249" s="30" t="inlineStr">
        <is>
          <t>sept-2026</t>
        </is>
      </c>
      <c r="BD249" s="81">
        <f>0</f>
        <v/>
      </c>
      <c r="BE249" s="81">
        <f>IFERROR((IF(ISNUMBER(T249),MIN(T249/30,1),0)+IF(ISNUMBER(P249),MIN(P249/500,1),0))/2,0)</f>
        <v/>
      </c>
      <c r="BF249" s="81">
        <f>IFERROR(IF(OR(U249&lt;&gt;"",V249="SÍ"),IF(ISNUMBER(L249),(1*MIN(L249/10000,1))^0.5,0),IF(ISNUMBER(L249),(0*MIN(L249/10000,1))^0.5,0)),0)</f>
        <v/>
      </c>
    </row>
    <row r="250">
      <c r="A250" t="inlineStr">
        <is>
          <t>MIDAGRI; CENCOOP 2017; SISPAC</t>
        </is>
      </c>
      <c r="B250" s="70" t="inlineStr">
        <is>
          <t>20600390911</t>
        </is>
      </c>
      <c r="C250" s="29" t="inlineStr">
        <is>
          <t>Cooperativa Agraria De Cacao Aromático Colpa de Loros</t>
        </is>
      </c>
      <c r="D250" s="29" t="inlineStr"/>
      <c r="E250" s="29" t="inlineStr">
        <is>
          <t>VENTA AL POR MENOR DE ALIMENTOS, BEBIDAS Y TABACO EN ALMACENES ESPECIALIZADOS</t>
        </is>
      </c>
      <c r="F250" s="29" t="inlineStr">
        <is>
          <t>Ucayali</t>
        </is>
      </c>
      <c r="G250" s="29" t="inlineStr">
        <is>
          <t>Padre Abad</t>
        </is>
      </c>
      <c r="H250" s="29" t="inlineStr">
        <is>
          <t>—</t>
        </is>
      </c>
      <c r="I250" s="29" t="inlineStr">
        <is>
          <t>—</t>
        </is>
      </c>
      <c r="J250" s="29" t="inlineStr">
        <is>
          <t>SI</t>
        </is>
      </c>
      <c r="K250" s="29" t="inlineStr">
        <is>
          <t>NO</t>
        </is>
      </c>
      <c r="L250" s="29" t="n">
        <v>7796176.63</v>
      </c>
      <c r="M250" s="29" t="n">
        <v>37140074.97</v>
      </c>
      <c r="N250" s="29" t="n">
        <v>89</v>
      </c>
      <c r="O250" s="29" t="n">
        <v>2</v>
      </c>
      <c r="P250" s="29" t="inlineStr"/>
      <c r="Q250" s="29" t="inlineStr"/>
      <c r="R250" s="18" t="inlineStr">
        <is>
          <t>429166.66</t>
        </is>
      </c>
      <c r="S250" s="29" t="inlineStr"/>
      <c r="T250" s="29" t="inlineStr"/>
      <c r="U250" s="18" t="inlineStr"/>
      <c r="V250" s="18" t="inlineStr">
        <is>
          <t>NO</t>
        </is>
      </c>
      <c r="W250" s="18" t="inlineStr">
        <is>
          <t>—</t>
        </is>
      </c>
      <c r="X250" s="18" t="inlineStr">
        <is>
          <t>—</t>
        </is>
      </c>
      <c r="Y250" s="18" t="inlineStr"/>
      <c r="Z250" s="29" t="inlineStr">
        <is>
          <t>—</t>
        </is>
      </c>
      <c r="AA250" s="29" t="b">
        <v>0</v>
      </c>
      <c r="AB250" s="29" t="b">
        <v>1</v>
      </c>
      <c r="AC250" s="29" t="b">
        <v>0</v>
      </c>
      <c r="AD250" s="19" t="inlineStr">
        <is>
          <t>SI</t>
        </is>
      </c>
      <c r="AE250" s="29" t="inlineStr">
        <is>
          <t>COOPERATIVA AGRARIA DE CACAO AROMATICO COLPA DE LOROS</t>
        </is>
      </c>
      <c r="AF250" s="29" t="inlineStr">
        <is>
          <t>UCAYALI</t>
        </is>
      </c>
      <c r="AG250" s="29" t="inlineStr">
        <is>
          <t>PADRE ABAD</t>
        </is>
      </c>
      <c r="AH250" s="29" t="inlineStr">
        <is>
          <t>IRAZOLA</t>
        </is>
      </c>
      <c r="AI250" s="29" t="inlineStr">
        <is>
          <t>SAN ALEJANDRO</t>
        </is>
      </c>
      <c r="AJ250" s="29" t="inlineStr">
        <is>
          <t>CULTIVO DE ESPECIAS Y DE PLANTAS AROMÁTICAS, MEDICINALES Y FARMACEUTICAS</t>
        </is>
      </c>
      <c r="AK250" s="29" t="inlineStr">
        <is>
          <t>1.0</t>
        </is>
      </c>
      <c r="AL250" s="29" t="inlineStr">
        <is>
          <t>1.0</t>
        </is>
      </c>
      <c r="AM250" s="29" t="inlineStr">
        <is>
          <t>1.0</t>
        </is>
      </c>
      <c r="AN250" s="29" t="n">
        <v>2</v>
      </c>
      <c r="AO250" s="29" t="inlineStr">
        <is>
          <t>ALBERCA LAVAN MAURO</t>
        </is>
      </c>
      <c r="AP250" s="29" t="inlineStr">
        <is>
          <t>NO TIENE</t>
        </is>
      </c>
      <c r="AQ250" s="29" t="inlineStr">
        <is>
          <t>6.0</t>
        </is>
      </c>
      <c r="AR250" s="29" t="inlineStr">
        <is>
          <t>NO TIENE</t>
        </is>
      </c>
      <c r="AS250" s="29" t="inlineStr">
        <is>
          <t>CACCOLPADELOROS@GAMIL.COM</t>
        </is>
      </c>
      <c r="AT250" s="29" t="inlineStr">
        <is>
          <t>NO TIENE</t>
        </is>
      </c>
      <c r="AU250" s="29" t="inlineStr">
        <is>
          <t>-8.635288333333333</t>
        </is>
      </c>
      <c r="AV250" s="29" t="inlineStr">
        <is>
          <t>-74.96368333333334</t>
        </is>
      </c>
      <c r="AW250" s="29" t="inlineStr">
        <is>
          <t>2015.0</t>
        </is>
      </c>
      <c r="AX250" s="29" t="inlineStr">
        <is>
          <t>2015.0</t>
        </is>
      </c>
      <c r="AY250" s="29" t="inlineStr">
        <is>
          <t>1</t>
        </is>
      </c>
      <c r="AZ250" s="29" t="inlineStr">
        <is>
          <t>sept-2026</t>
        </is>
      </c>
      <c r="BA250" t="inlineStr">
        <is>
          <t>BELGIUM; NETHERLANDS</t>
        </is>
      </c>
      <c r="BB250" t="n">
        <v>2015</v>
      </c>
      <c r="BC250" t="n">
        <v>2025</v>
      </c>
      <c r="BD250" s="81">
        <f>0</f>
        <v/>
      </c>
      <c r="BE250" s="81">
        <f>IFERROR((IF(ISNUMBER(T250),MIN(T250/30,1),0)+IF(ISNUMBER(P250),MIN(P250/500,1),0))/2,0)</f>
        <v/>
      </c>
      <c r="BF250" s="81">
        <f>IFERROR(IF(OR(U250&lt;&gt;"",V250="SÍ"),IF(ISNUMBER(L250),(1*MIN(L250/10000,1))^0.5,0),IF(ISNUMBER(L250),(0*MIN(L250/10000,1))^0.5,0)),0)</f>
        <v/>
      </c>
    </row>
    <row r="251" ht="28" customHeight="1">
      <c r="A251" t="inlineStr">
        <is>
          <t>MIDAGRI; CENCOOP 2017; SISPAC</t>
        </is>
      </c>
      <c r="B251" s="70" t="inlineStr">
        <is>
          <t>20393816211</t>
        </is>
      </c>
      <c r="C251" s="30" t="inlineStr">
        <is>
          <t>Cooperativa Agraria San Juan Bautista</t>
        </is>
      </c>
      <c r="D251" s="30" t="inlineStr"/>
      <c r="E251" s="30" t="inlineStr">
        <is>
          <t>VENTA AL POR MENOR DE ALIMENTOS, BEBIDAS Y TABACO EN ALMACENES ESPECIALIZADOS</t>
        </is>
      </c>
      <c r="F251" s="30" t="inlineStr">
        <is>
          <t>Ucayali</t>
        </is>
      </c>
      <c r="G251" s="30" t="inlineStr">
        <is>
          <t>Padre Abad</t>
        </is>
      </c>
      <c r="H251" s="30" t="inlineStr">
        <is>
          <t>—</t>
        </is>
      </c>
      <c r="I251" s="30" t="inlineStr">
        <is>
          <t>—</t>
        </is>
      </c>
      <c r="J251" s="30" t="n"/>
      <c r="K251" s="30" t="inlineStr">
        <is>
          <t>NO</t>
        </is>
      </c>
      <c r="L251" s="30" t="n"/>
      <c r="M251" s="30" t="n"/>
      <c r="N251" s="30" t="n"/>
      <c r="O251" s="30" t="n"/>
      <c r="P251" s="30" t="inlineStr"/>
      <c r="Q251" s="30" t="inlineStr"/>
      <c r="R251" s="14" t="inlineStr">
        <is>
          <t>2575.0</t>
        </is>
      </c>
      <c r="S251" s="30" t="inlineStr"/>
      <c r="T251" s="30" t="inlineStr"/>
      <c r="U251" s="14" t="inlineStr"/>
      <c r="V251" s="14" t="inlineStr">
        <is>
          <t>NO</t>
        </is>
      </c>
      <c r="W251" s="14" t="inlineStr">
        <is>
          <t>—</t>
        </is>
      </c>
      <c r="X251" s="14" t="inlineStr">
        <is>
          <t>—</t>
        </is>
      </c>
      <c r="Y251" s="14" t="inlineStr"/>
      <c r="Z251" s="30" t="inlineStr">
        <is>
          <t>—</t>
        </is>
      </c>
      <c r="AA251" s="30" t="b">
        <v>0</v>
      </c>
      <c r="AB251" s="30" t="b">
        <v>1</v>
      </c>
      <c r="AC251" s="30" t="b">
        <v>0</v>
      </c>
      <c r="AD251" s="19" t="inlineStr">
        <is>
          <t>SI</t>
        </is>
      </c>
      <c r="AE251" s="30" t="inlineStr">
        <is>
          <t>COOPERATIVA AGRARIA SAN JUAN BAUTISTA</t>
        </is>
      </c>
      <c r="AF251" s="30" t="inlineStr">
        <is>
          <t>UCAYALI</t>
        </is>
      </c>
      <c r="AG251" s="30" t="inlineStr">
        <is>
          <t>PADRE ABAD</t>
        </is>
      </c>
      <c r="AH251" s="30" t="inlineStr">
        <is>
          <t>IRAZOLA</t>
        </is>
      </c>
      <c r="AI251" s="30" t="inlineStr">
        <is>
          <t>SAN JUAN BAUTISTA</t>
        </is>
      </c>
      <c r="AJ251" s="30" t="inlineStr">
        <is>
          <t>CULTIVO DE CEREALES (EXCEPTO ARROZ), LEGUMBRES Y SEMILLAS OLEAGINOSAS</t>
        </is>
      </c>
      <c r="AK251" s="30" t="inlineStr">
        <is>
          <t>1.0</t>
        </is>
      </c>
      <c r="AL251" s="30" t="inlineStr">
        <is>
          <t>1.0</t>
        </is>
      </c>
      <c r="AM251" s="30" t="inlineStr">
        <is>
          <t>1.0</t>
        </is>
      </c>
      <c r="AN251" s="30" t="n">
        <v>2</v>
      </c>
      <c r="AO251" s="30" t="inlineStr">
        <is>
          <t>ESPINOZA SARMIENTO VICTOR</t>
        </is>
      </c>
      <c r="AP251" s="30" t="inlineStr">
        <is>
          <t>TECNICO EN ENFERMERIA</t>
        </is>
      </c>
      <c r="AQ251" s="30" t="inlineStr">
        <is>
          <t>9.0</t>
        </is>
      </c>
      <c r="AR251" s="30" t="inlineStr">
        <is>
          <t>NO TIENE</t>
        </is>
      </c>
      <c r="AS251" s="30" t="inlineStr">
        <is>
          <t>NO TIENE</t>
        </is>
      </c>
      <c r="AT251" s="30" t="inlineStr">
        <is>
          <t>NO TIENE</t>
        </is>
      </c>
      <c r="AU251" s="30" t="inlineStr">
        <is>
          <t>-8.903563333333333</t>
        </is>
      </c>
      <c r="AV251" s="30" t="inlineStr">
        <is>
          <t>-75.34400666666667</t>
        </is>
      </c>
      <c r="AW251" s="30" t="inlineStr">
        <is>
          <t>2015.0</t>
        </is>
      </c>
      <c r="AX251" s="30" t="inlineStr">
        <is>
          <t>2015.0</t>
        </is>
      </c>
      <c r="AY251" s="30" t="inlineStr">
        <is>
          <t>1</t>
        </is>
      </c>
      <c r="AZ251" s="30" t="inlineStr">
        <is>
          <t>sept-2026</t>
        </is>
      </c>
      <c r="BD251" s="81">
        <f>0</f>
        <v/>
      </c>
      <c r="BE251" s="81">
        <f>IFERROR((IF(ISNUMBER(T251),MIN(T251/30,1),0)+IF(ISNUMBER(P251),MIN(P251/500,1),0))/2,0)</f>
        <v/>
      </c>
      <c r="BF251" s="81">
        <f>IFERROR(IF(OR(U251&lt;&gt;"",V251="SÍ"),IF(ISNUMBER(L251),(1*MIN(L251/10000,1))^0.5,0),IF(ISNUMBER(L251),(0*MIN(L251/10000,1))^0.5,0)),0)</f>
        <v/>
      </c>
    </row>
    <row r="252">
      <c r="A252" t="inlineStr">
        <is>
          <t>—</t>
        </is>
      </c>
      <c r="B252" s="71" t="n"/>
      <c r="BD252" s="81">
        <f>0</f>
        <v/>
      </c>
      <c r="BE252" s="81">
        <f>IFERROR((IF(ISNUMBER(T252),MIN(T252/30,1),0)+IF(ISNUMBER(P252),MIN(P252/500,1),0))/2,0)</f>
        <v/>
      </c>
      <c r="BF252" s="81">
        <f>IFERROR(IF(OR(U252&lt;&gt;"",V252="SÍ"),IF(ISNUMBER(L252),(1*MIN(L252/10000,1))^0.5,0),IF(ISNUMBER(L252),(0*MIN(L252/10000,1))^0.5,0)),0)</f>
        <v/>
      </c>
    </row>
    <row r="253" ht="28" customHeight="1">
      <c r="A253" t="inlineStr">
        <is>
          <t>—</t>
        </is>
      </c>
      <c r="B253" s="70" t="inlineStr">
        <is>
          <t>NOTA: ISA = Indice Sintetico de Alineamiento | IP = Indice de Preparacion | IV = Indice de Vulnerabilidad | RE = Riesgo de Exclusion. D1-D7 requieren Instrumento 2 (campo via Google Forms ISCAM). D8-D11 se calculan desde fuentes administrativas. Actualizacion: septiembre 2026.</t>
        </is>
      </c>
      <c r="BD253" s="81">
        <f>0</f>
        <v/>
      </c>
      <c r="BE253" s="81">
        <f>IFERROR((IF(ISNUMBER(T253),MIN(T253/30,1),0)+IF(ISNUMBER(P253),MIN(P253/500,1),0))/2,0)</f>
        <v/>
      </c>
      <c r="BF253" s="81">
        <f>IFERROR(IF(OR(U253&lt;&gt;"",V253="SÍ"),IF(ISNUMBER(L253),(1*MIN(L253/10000,1))^0.5,0),IF(ISNUMBER(L253),(0*MIN(L253/10000,1))^0.5,0)),0)</f>
        <v/>
      </c>
    </row>
    <row r="254">
      <c r="A254" t="inlineStr">
        <is>
          <t>—</t>
        </is>
      </c>
      <c r="B254" s="71" t="n"/>
      <c r="BD254" s="81">
        <f>0</f>
        <v/>
      </c>
      <c r="BE254" s="81">
        <f>IFERROR((IF(ISNUMBER(T254),MIN(T254/30,1),0)+IF(ISNUMBER(P254),MIN(P254/500,1),0))/2,0)</f>
        <v/>
      </c>
      <c r="BF254" s="81">
        <f>IFERROR(IF(OR(U254&lt;&gt;"",V254="SÍ"),IF(ISNUMBER(L254),(1*MIN(L254/10000,1))^0.5,0),IF(ISNUMBER(L254),(0*MIN(L254/10000,1))^0.5,0)),0)</f>
        <v/>
      </c>
    </row>
    <row r="255">
      <c r="A255" t="inlineStr">
        <is>
          <t>—</t>
        </is>
      </c>
      <c r="B255" s="70" t="inlineStr">
        <is>
          <t>NOTA: ISA = Indice Sintetico de Alineamiento | IP = Indice de Preparacion | IV = Indice de Vulnerabilidad | RE = Riesgo de Exclusion. D1-D7 requieren Instrumento 2 (campo via Google Forms ISCAM). D8-D11 se calculan desde fuentes administrativas. Actualizacion: septiembre 2026.</t>
        </is>
      </c>
      <c r="BD255" s="81">
        <f>0</f>
        <v/>
      </c>
      <c r="BE255" s="81">
        <f>IFERROR((IF(ISNUMBER(T255),MIN(T255/30,1),0)+IF(ISNUMBER(P255),MIN(P255/500,1),0))/2,0)</f>
        <v/>
      </c>
      <c r="BF255" s="81">
        <f>IFERROR(IF(OR(U255&lt;&gt;"",V255="SÍ"),IF(ISNUMBER(L255),(1*MIN(L255/10000,1))^0.5,0),IF(ISNUMBER(L255),(0*MIN(L255/10000,1))^0.5,0)),0)</f>
        <v/>
      </c>
    </row>
    <row r="256">
      <c r="A256" t="inlineStr">
        <is>
          <t>—</t>
        </is>
      </c>
      <c r="B256" s="70" t="inlineStr">
        <is>
          <t>20530078878</t>
        </is>
      </c>
      <c r="C256" t="inlineStr">
        <is>
          <t>MARANURA S.A.C.</t>
        </is>
      </c>
      <c r="F256" t="inlineStr">
        <is>
          <t>Cusco</t>
        </is>
      </c>
      <c r="J256" t="inlineStr">
        <is>
          <t>SI</t>
        </is>
      </c>
      <c r="L256" t="n">
        <v>905000000</v>
      </c>
      <c r="M256" t="n">
        <v>905000000</v>
      </c>
      <c r="N256" t="n">
        <v>48</v>
      </c>
      <c r="O256" t="n">
        <v>8</v>
      </c>
      <c r="BA256" t="inlineStr">
        <is>
          <t>ALEMANIA; BELGICA; PAISES BAJOS; ESTADOS UNIDOS; JAPON; SUIZA; REINO UNIDO; SUECIA</t>
        </is>
      </c>
      <c r="BB256" t="n">
        <v>2015</v>
      </c>
      <c r="BC256" t="n">
        <v>2025</v>
      </c>
      <c r="BD256" s="81">
        <f>0</f>
        <v/>
      </c>
      <c r="BE256" s="81">
        <f>IFERROR((IF(ISNUMBER(T256),MIN(T256/30,1),0)+IF(ISNUMBER(P256),MIN(P256/500,1),0))/2,0)</f>
        <v/>
      </c>
      <c r="BF256" s="81">
        <f>IFERROR(IF(OR(U256&lt;&gt;"",V256="SÍ"),IF(ISNUMBER(L256),(1*MIN(L256/10000,1))^0.5,0),IF(ISNUMBER(L256),(0*MIN(L256/10000,1))^0.5,0)),0)</f>
        <v/>
      </c>
    </row>
    <row r="257">
      <c r="A257" t="inlineStr">
        <is>
          <t>SISPAC</t>
        </is>
      </c>
      <c r="B257" s="70" t="inlineStr">
        <is>
          <t>20602712657</t>
        </is>
      </c>
      <c r="C257" t="inlineStr">
        <is>
          <t>KEMITO ENE S.A.C.</t>
        </is>
      </c>
      <c r="F257" t="inlineStr">
        <is>
          <t>Junin</t>
        </is>
      </c>
      <c r="J257" t="inlineStr">
        <is>
          <t>SI</t>
        </is>
      </c>
      <c r="BD257" s="81">
        <f>0</f>
        <v/>
      </c>
      <c r="BE257" s="81">
        <f>IFERROR((IF(ISNUMBER(T257),MIN(T257/30,1),0)+IF(ISNUMBER(P257),MIN(P257/500,1),0))/2,0)</f>
        <v/>
      </c>
      <c r="BF257" s="81">
        <f>IFERROR(IF(OR(U257&lt;&gt;"",V257="SÍ"),IF(ISNUMBER(L257),(1*MIN(L257/10000,1))^0.5,0),IF(ISNUMBER(L257),(0*MIN(L257/10000,1))^0.5,0)),0)</f>
        <v/>
      </c>
    </row>
    <row r="258">
      <c r="A258" t="inlineStr">
        <is>
          <t>—</t>
        </is>
      </c>
      <c r="B258" s="70" t="inlineStr">
        <is>
          <t>20602937128</t>
        </is>
      </c>
      <c r="C258" t="inlineStr">
        <is>
          <t>KAFFEE SATIPO S.A.C.</t>
        </is>
      </c>
      <c r="F258" t="inlineStr">
        <is>
          <t>Junin</t>
        </is>
      </c>
      <c r="J258" t="inlineStr">
        <is>
          <t>SI</t>
        </is>
      </c>
      <c r="BD258" s="81">
        <f>0</f>
        <v/>
      </c>
      <c r="BE258" s="81">
        <f>IFERROR((IF(ISNUMBER(T258),MIN(T258/30,1),0)+IF(ISNUMBER(P258),MIN(P258/500,1),0))/2,0)</f>
        <v/>
      </c>
      <c r="BF258" s="81">
        <f>IFERROR(IF(OR(U258&lt;&gt;"",V258="SÍ"),IF(ISNUMBER(L258),(1*MIN(L258/10000,1))^0.5,0),IF(ISNUMBER(L258),(0*MIN(L258/10000,1))^0.5,0)),0)</f>
        <v/>
      </c>
    </row>
    <row r="259" ht="32" customHeight="1">
      <c r="A259" t="inlineStr">
        <is>
          <t>SISPAC</t>
        </is>
      </c>
      <c r="B259" s="70" t="inlineStr">
        <is>
          <t>20603478879</t>
        </is>
      </c>
      <c r="C259" t="inlineStr">
        <is>
          <t>MISHAGRO S.A.C.</t>
        </is>
      </c>
      <c r="F259" t="inlineStr">
        <is>
          <t>Junin</t>
        </is>
      </c>
      <c r="J259" t="inlineStr">
        <is>
          <t>SI</t>
        </is>
      </c>
      <c r="L259" t="n">
        <v>11800000</v>
      </c>
      <c r="M259" t="n">
        <v>11800000</v>
      </c>
      <c r="N259" t="n">
        <v>12</v>
      </c>
      <c r="O259" t="n">
        <v>3</v>
      </c>
      <c r="BA259" t="inlineStr">
        <is>
          <t>ALEMANIA; PAISES BAJOS; BELGICA</t>
        </is>
      </c>
      <c r="BB259" t="n">
        <v>2018</v>
      </c>
      <c r="BC259" t="n">
        <v>2025</v>
      </c>
      <c r="BD259" s="81">
        <f>0</f>
        <v/>
      </c>
      <c r="BE259" s="81">
        <f>IFERROR((IF(ISNUMBER(T259),MIN(T259/30,1),0)+IF(ISNUMBER(P259),MIN(P259/500,1),0))/2,0)</f>
        <v/>
      </c>
      <c r="BF259" s="81">
        <f>IFERROR(IF(OR(U259&lt;&gt;"",V259="SÍ"),IF(ISNUMBER(L259),(1*MIN(L259/10000,1))^0.5,0),IF(ISNUMBER(L259),(0*MIN(L259/10000,1))^0.5,0)),0)</f>
        <v/>
      </c>
    </row>
    <row r="260" ht="32" customHeight="1">
      <c r="A260" t="inlineStr">
        <is>
          <t>—</t>
        </is>
      </c>
      <c r="B260" s="70" t="inlineStr">
        <is>
          <t>20607800830</t>
        </is>
      </c>
      <c r="C260" t="inlineStr">
        <is>
          <t>AROMAS FINOS DEL PERU S.A.C.</t>
        </is>
      </c>
      <c r="F260" t="inlineStr">
        <is>
          <t>Ayacucho</t>
        </is>
      </c>
      <c r="J260" t="inlineStr">
        <is>
          <t>SI</t>
        </is>
      </c>
      <c r="BD260" s="81">
        <f>0</f>
        <v/>
      </c>
      <c r="BE260" s="81">
        <f>IFERROR((IF(ISNUMBER(T260),MIN(T260/30,1),0)+IF(ISNUMBER(P260),MIN(P260/500,1),0))/2,0)</f>
        <v/>
      </c>
      <c r="BF260" s="81">
        <f>IFERROR(IF(OR(U260&lt;&gt;"",V260="SÍ"),IF(ISNUMBER(L260),(1*MIN(L260/10000,1))^0.5,0),IF(ISNUMBER(L260),(0*MIN(L260/10000,1))^0.5,0)),0)</f>
        <v/>
      </c>
    </row>
    <row r="261" ht="32" customHeight="1">
      <c r="A261" t="inlineStr">
        <is>
          <t>SISPAC; SUNAT API</t>
        </is>
      </c>
      <c r="B261" s="70" t="inlineStr">
        <is>
          <t>20132509876</t>
        </is>
      </c>
      <c r="C261" s="67" t="inlineStr">
        <is>
          <t>COOPERATIVA AGRARIA CAFETALERA MARANURA LTDA. 129</t>
        </is>
      </c>
      <c r="D261" s="67" t="inlineStr">
        <is>
          <t>Cooperativa</t>
        </is>
      </c>
      <c r="E261" s="67" t="n"/>
      <c r="F261" s="67" t="inlineStr">
        <is>
          <t>Cusco</t>
        </is>
      </c>
      <c r="G261" s="67" t="inlineStr">
        <is>
          <t>La Convencion</t>
        </is>
      </c>
      <c r="H261" s="67" t="inlineStr">
        <is>
          <t>Cusco - La Convencion</t>
        </is>
      </c>
      <c r="I261" s="67" t="inlineStr">
        <is>
          <t>Cafe</t>
        </is>
      </c>
      <c r="J261" s="68" t="inlineStr">
        <is>
          <t>—</t>
        </is>
      </c>
      <c r="K261" s="68" t="inlineStr">
        <is>
          <t>NO</t>
        </is>
      </c>
      <c r="L261" s="67" t="inlineStr">
        <is>
          <t>—</t>
        </is>
      </c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inlineStr">
        <is>
          <t>—</t>
        </is>
      </c>
      <c r="W261" s="67" t="n"/>
      <c r="X261" s="67" t="inlineStr">
        <is>
          <t>Validado API SUNAT 18/sep/2026 | Ubigeo 080904 | La Convencion, Cusco</t>
        </is>
      </c>
      <c r="Y261" s="67" t="n"/>
      <c r="Z261" s="68" t="n"/>
      <c r="AA261" s="68" t="b">
        <v>0</v>
      </c>
      <c r="AB261" s="68" t="n"/>
      <c r="AC261" s="68" t="n"/>
      <c r="AD261" s="67" t="n"/>
      <c r="AE261" s="67" t="n"/>
      <c r="AF261" s="67" t="n"/>
      <c r="AG261" s="67" t="n"/>
      <c r="AH261" s="67" t="n"/>
      <c r="AI261" s="67" t="n"/>
      <c r="AJ261" s="67" t="n"/>
      <c r="AK261" s="67" t="n"/>
      <c r="AL261" s="67" t="n"/>
      <c r="AM261" s="67" t="n"/>
      <c r="AN261" s="67" t="n"/>
      <c r="AO261" s="67" t="n"/>
      <c r="AP261" s="67" t="n"/>
      <c r="AQ261" s="67" t="n"/>
      <c r="AR261" s="67" t="n"/>
      <c r="AS261" s="67" t="n"/>
      <c r="AT261" s="67" t="n"/>
      <c r="AU261" s="67" t="n"/>
      <c r="AV261" s="67" t="n"/>
      <c r="AW261" s="67" t="n"/>
      <c r="AX261" s="67" t="n"/>
      <c r="AY261" s="67" t="n">
        <v>1</v>
      </c>
      <c r="AZ261" s="67" t="inlineStr">
        <is>
          <t>sept-2026</t>
        </is>
      </c>
      <c r="BA261" s="67" t="n"/>
      <c r="BB261" s="67" t="n"/>
      <c r="BC261" s="67" t="n"/>
      <c r="BD261" s="81">
        <f>0</f>
        <v/>
      </c>
      <c r="BE261" s="81">
        <f>IFERROR((IF(ISNUMBER(T261),MIN(T261/30,1),0)+IF(ISNUMBER(P261),MIN(P261/500,1),0))/2,0)</f>
        <v/>
      </c>
      <c r="BF261" s="81">
        <f>IFERROR(IF(OR(U261&lt;&gt;"",V261="SÍ"),IF(ISNUMBER(L261),(1*MIN(L261/10000,1))^0.5,0),IF(ISNUMBER(L261),(0*MIN(L261/10000,1))^0.5,0)),0)</f>
        <v/>
      </c>
    </row>
    <row r="262" ht="32" customHeight="1">
      <c r="A262" t="inlineStr">
        <is>
          <t>SISPAC; SUNAT API</t>
        </is>
      </c>
      <c r="B262" s="70" t="inlineStr">
        <is>
          <t>20568190450</t>
        </is>
      </c>
      <c r="C262" s="67" t="inlineStr">
        <is>
          <t>COOPERATIVA AGRARIA KEMITO ENE LTDA.</t>
        </is>
      </c>
      <c r="D262" s="67" t="inlineStr">
        <is>
          <t>Cooperativa</t>
        </is>
      </c>
      <c r="E262" s="67" t="n"/>
      <c r="F262" s="67" t="inlineStr">
        <is>
          <t>Junin</t>
        </is>
      </c>
      <c r="G262" s="67" t="inlineStr">
        <is>
          <t>Satipo</t>
        </is>
      </c>
      <c r="H262" s="67" t="inlineStr">
        <is>
          <t>Junin - Satipo</t>
        </is>
      </c>
      <c r="I262" s="67" t="inlineStr">
        <is>
          <t>Cafe</t>
        </is>
      </c>
      <c r="J262" s="68" t="inlineStr">
        <is>
          <t>—</t>
        </is>
      </c>
      <c r="K262" s="68" t="inlineStr">
        <is>
          <t>NO</t>
        </is>
      </c>
      <c r="L262" s="67" t="inlineStr">
        <is>
          <t>—</t>
        </is>
      </c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inlineStr">
        <is>
          <t>—</t>
        </is>
      </c>
      <c r="W262" s="67" t="n"/>
      <c r="X262" s="67" t="inlineStr">
        <is>
          <t>Validado API SUNAT 18/sep/2026 | Ubigeo 120601 | Satipo, Junin</t>
        </is>
      </c>
      <c r="Y262" s="67" t="n"/>
      <c r="Z262" s="68" t="n"/>
      <c r="AA262" s="68" t="b">
        <v>0</v>
      </c>
      <c r="AB262" s="68" t="n"/>
      <c r="AC262" s="68" t="n"/>
      <c r="AD262" s="67" t="n"/>
      <c r="AE262" s="67" t="n"/>
      <c r="AF262" s="67" t="n"/>
      <c r="AG262" s="67" t="n"/>
      <c r="AH262" s="67" t="n"/>
      <c r="AI262" s="67" t="n"/>
      <c r="AJ262" s="67" t="n"/>
      <c r="AK262" s="67" t="n"/>
      <c r="AL262" s="67" t="n"/>
      <c r="AM262" s="67" t="n"/>
      <c r="AN262" s="67" t="n"/>
      <c r="AO262" s="67" t="n"/>
      <c r="AP262" s="67" t="n"/>
      <c r="AQ262" s="67" t="n"/>
      <c r="AR262" s="67" t="n"/>
      <c r="AS262" s="67" t="n"/>
      <c r="AT262" s="67" t="n"/>
      <c r="AU262" s="67" t="n"/>
      <c r="AV262" s="67" t="n"/>
      <c r="AW262" s="67" t="n"/>
      <c r="AX262" s="67" t="n"/>
      <c r="AY262" s="67" t="n">
        <v>1</v>
      </c>
      <c r="AZ262" s="67" t="inlineStr">
        <is>
          <t>sept-2026</t>
        </is>
      </c>
      <c r="BA262" s="67" t="n"/>
      <c r="BB262" s="67" t="n"/>
      <c r="BC262" s="67" t="n"/>
      <c r="BD262" s="81">
        <f>0</f>
        <v/>
      </c>
      <c r="BE262" s="81">
        <f>IFERROR((IF(ISNUMBER(T262),MIN(T262/30,1),0)+IF(ISNUMBER(P262),MIN(P262/500,1),0))/2,0)</f>
        <v/>
      </c>
      <c r="BF262" s="81">
        <f>IFERROR(IF(OR(U262&lt;&gt;"",V262="SÍ"),IF(ISNUMBER(L262),(1*MIN(L262/10000,1))^0.5,0),IF(ISNUMBER(L262),(0*MIN(L262/10000,1))^0.5,0)),0)</f>
        <v/>
      </c>
    </row>
    <row r="263" ht="32" customHeight="1">
      <c r="A263" t="inlineStr">
        <is>
          <t>SISPAC; SUNAT API</t>
        </is>
      </c>
      <c r="B263" s="70" t="inlineStr">
        <is>
          <t>20603557825</t>
        </is>
      </c>
      <c r="C263" s="67" t="inlineStr">
        <is>
          <t>COOPERATIVA AGRARIA KAFFEE SATIPO</t>
        </is>
      </c>
      <c r="D263" s="67" t="inlineStr">
        <is>
          <t>Cooperativa</t>
        </is>
      </c>
      <c r="E263" s="67" t="n"/>
      <c r="F263" s="67" t="inlineStr">
        <is>
          <t>Junin</t>
        </is>
      </c>
      <c r="G263" s="67" t="inlineStr">
        <is>
          <t>Satipo</t>
        </is>
      </c>
      <c r="H263" s="67" t="inlineStr">
        <is>
          <t>Junin - Satipo</t>
        </is>
      </c>
      <c r="I263" s="67" t="inlineStr">
        <is>
          <t>Cafe</t>
        </is>
      </c>
      <c r="J263" s="68" t="inlineStr">
        <is>
          <t>—</t>
        </is>
      </c>
      <c r="K263" s="68" t="inlineStr">
        <is>
          <t>NO</t>
        </is>
      </c>
      <c r="L263" s="67" t="inlineStr">
        <is>
          <t>—</t>
        </is>
      </c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inlineStr">
        <is>
          <t>—</t>
        </is>
      </c>
      <c r="W263" s="67" t="n"/>
      <c r="X263" s="67" t="inlineStr">
        <is>
          <t>Validado API SUNAT 18/sep/2026 | Ubigeo 120601 | Satipo, Junin</t>
        </is>
      </c>
      <c r="Y263" s="67" t="n"/>
      <c r="Z263" s="68" t="n"/>
      <c r="AA263" s="68" t="b">
        <v>0</v>
      </c>
      <c r="AB263" s="68" t="n"/>
      <c r="AC263" s="68" t="n"/>
      <c r="AD263" s="67" t="n"/>
      <c r="AE263" s="67" t="n"/>
      <c r="AF263" s="67" t="n"/>
      <c r="AG263" s="67" t="n"/>
      <c r="AH263" s="67" t="n"/>
      <c r="AI263" s="67" t="n"/>
      <c r="AJ263" s="67" t="n"/>
      <c r="AK263" s="67" t="n"/>
      <c r="AL263" s="67" t="n"/>
      <c r="AM263" s="67" t="n"/>
      <c r="AN263" s="67" t="n"/>
      <c r="AO263" s="67" t="n"/>
      <c r="AP263" s="67" t="n"/>
      <c r="AQ263" s="67" t="n"/>
      <c r="AR263" s="67" t="n"/>
      <c r="AS263" s="67" t="n"/>
      <c r="AT263" s="67" t="n"/>
      <c r="AU263" s="67" t="n"/>
      <c r="AV263" s="67" t="n"/>
      <c r="AW263" s="67" t="n"/>
      <c r="AX263" s="67" t="n"/>
      <c r="AY263" s="67" t="n">
        <v>1</v>
      </c>
      <c r="AZ263" s="67" t="inlineStr">
        <is>
          <t>sept-2026</t>
        </is>
      </c>
      <c r="BA263" s="67" t="n"/>
      <c r="BB263" s="67" t="n"/>
      <c r="BC263" s="67" t="n"/>
      <c r="BD263" s="81">
        <f>0</f>
        <v/>
      </c>
      <c r="BE263" s="81">
        <f>IFERROR((IF(ISNUMBER(T263),MIN(T263/30,1),0)+IF(ISNUMBER(P263),MIN(P263/500,1),0))/2,0)</f>
        <v/>
      </c>
      <c r="BF263" s="81">
        <f>IFERROR(IF(OR(U263&lt;&gt;"",V263="SÍ"),IF(ISNUMBER(L263),(1*MIN(L263/10000,1))^0.5,0),IF(ISNUMBER(L263),(0*MIN(L263/10000,1))^0.5,0)),0)</f>
        <v/>
      </c>
    </row>
    <row r="264">
      <c r="A264" t="inlineStr">
        <is>
          <t>SUNAT API</t>
        </is>
      </c>
      <c r="B264" s="70" t="inlineStr">
        <is>
          <t>20603734255</t>
        </is>
      </c>
      <c r="C264" s="67" t="inlineStr">
        <is>
          <t>COOPERATIVA AGRARIA AGROINDUSTRIAL MISHAGRO</t>
        </is>
      </c>
      <c r="D264" s="67" t="inlineStr">
        <is>
          <t>Cooperativa</t>
        </is>
      </c>
      <c r="E264" s="67" t="n"/>
      <c r="F264" s="67" t="inlineStr">
        <is>
          <t>Junin</t>
        </is>
      </c>
      <c r="G264" s="67" t="inlineStr">
        <is>
          <t>Chanchamayo</t>
        </is>
      </c>
      <c r="H264" s="67" t="inlineStr">
        <is>
          <t>Junin - Chanchamayo</t>
        </is>
      </c>
      <c r="I264" s="67" t="inlineStr">
        <is>
          <t>Cafe</t>
        </is>
      </c>
      <c r="J264" s="68" t="inlineStr">
        <is>
          <t>—</t>
        </is>
      </c>
      <c r="K264" s="68" t="inlineStr">
        <is>
          <t>NO</t>
        </is>
      </c>
      <c r="L264" s="67" t="inlineStr">
        <is>
          <t>—</t>
        </is>
      </c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inlineStr">
        <is>
          <t>—</t>
        </is>
      </c>
      <c r="W264" s="67" t="n"/>
      <c r="X264" s="67" t="inlineStr">
        <is>
          <t>Validado API SUNAT 18/sep/2026 | Ubigeo 120303 | Chanchamayo, Junin</t>
        </is>
      </c>
      <c r="Y264" s="67" t="n"/>
      <c r="Z264" s="68" t="n"/>
      <c r="AA264" s="68" t="b">
        <v>0</v>
      </c>
      <c r="AB264" s="68" t="n"/>
      <c r="AC264" s="68" t="n"/>
      <c r="AD264" s="67" t="n"/>
      <c r="AE264" s="67" t="n"/>
      <c r="AF264" s="67" t="n"/>
      <c r="AG264" s="67" t="n"/>
      <c r="AH264" s="67" t="n"/>
      <c r="AI264" s="67" t="n"/>
      <c r="AJ264" s="67" t="n"/>
      <c r="AK264" s="67" t="n"/>
      <c r="AL264" s="67" t="n"/>
      <c r="AM264" s="67" t="n"/>
      <c r="AN264" s="67" t="n"/>
      <c r="AO264" s="67" t="n"/>
      <c r="AP264" s="67" t="n"/>
      <c r="AQ264" s="67" t="n"/>
      <c r="AR264" s="67" t="n"/>
      <c r="AS264" s="67" t="n"/>
      <c r="AT264" s="67" t="n"/>
      <c r="AU264" s="67" t="n"/>
      <c r="AV264" s="67" t="n"/>
      <c r="AW264" s="67" t="n"/>
      <c r="AX264" s="67" t="n"/>
      <c r="AY264" s="67" t="n">
        <v>1</v>
      </c>
      <c r="AZ264" s="67" t="inlineStr">
        <is>
          <t>sept-2026</t>
        </is>
      </c>
      <c r="BA264" s="67" t="n"/>
      <c r="BB264" s="67" t="n"/>
      <c r="BC264" s="67" t="n"/>
      <c r="BD264" s="81">
        <f>0</f>
        <v/>
      </c>
      <c r="BE264" s="81">
        <f>IFERROR((IF(ISNUMBER(T264),MIN(T264/30,1),0)+IF(ISNUMBER(P264),MIN(P264/500,1),0))/2,0)</f>
        <v/>
      </c>
      <c r="BF264" s="81">
        <f>IFERROR(IF(OR(U264&lt;&gt;"",V264="SÍ"),IF(ISNUMBER(L264),(1*MIN(L264/10000,1))^0.5,0),IF(ISNUMBER(L264),(0*MIN(L264/10000,1))^0.5,0)),0)</f>
        <v/>
      </c>
    </row>
    <row r="265">
      <c r="A265" t="inlineStr">
        <is>
          <t>SUNAT API</t>
        </is>
      </c>
      <c r="B265" s="70" t="inlineStr">
        <is>
          <t>20609098989</t>
        </is>
      </c>
      <c r="C265" s="67" t="inlineStr">
        <is>
          <t>COOPERATIVA AGRARIA CAFETALERA AROMAS FINOS DEL PERU</t>
        </is>
      </c>
      <c r="D265" s="67" t="inlineStr">
        <is>
          <t>Cooperativa</t>
        </is>
      </c>
      <c r="E265" s="67" t="n"/>
      <c r="F265" s="67" t="inlineStr">
        <is>
          <t>San Martin</t>
        </is>
      </c>
      <c r="G265" s="67" t="inlineStr">
        <is>
          <t>San Martin</t>
        </is>
      </c>
      <c r="H265" s="67" t="inlineStr">
        <is>
          <t>San Martin</t>
        </is>
      </c>
      <c r="I265" s="67" t="inlineStr">
        <is>
          <t>Cafe</t>
        </is>
      </c>
      <c r="J265" s="68" t="inlineStr">
        <is>
          <t>—</t>
        </is>
      </c>
      <c r="K265" s="68" t="inlineStr">
        <is>
          <t>NO</t>
        </is>
      </c>
      <c r="L265" s="67" t="inlineStr">
        <is>
          <t>—</t>
        </is>
      </c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inlineStr">
        <is>
          <t>—</t>
        </is>
      </c>
      <c r="W265" s="67" t="n"/>
      <c r="X265" s="67" t="inlineStr">
        <is>
          <t>Validado API SUNAT 18/sep/2026 | Ubigeo 060801 | San Martin</t>
        </is>
      </c>
      <c r="Y265" s="67" t="n"/>
      <c r="Z265" s="68" t="n"/>
      <c r="AA265" s="68" t="b">
        <v>0</v>
      </c>
      <c r="AB265" s="68" t="n"/>
      <c r="AC265" s="68" t="n"/>
      <c r="AD265" s="67" t="n"/>
      <c r="AE265" s="67" t="n"/>
      <c r="AF265" s="67" t="n"/>
      <c r="AG265" s="67" t="n"/>
      <c r="AH265" s="67" t="n"/>
      <c r="AI265" s="67" t="n"/>
      <c r="AJ265" s="67" t="n"/>
      <c r="AK265" s="67" t="n"/>
      <c r="AL265" s="67" t="n"/>
      <c r="AM265" s="67" t="n"/>
      <c r="AN265" s="67" t="n"/>
      <c r="AO265" s="67" t="n"/>
      <c r="AP265" s="67" t="n"/>
      <c r="AQ265" s="67" t="n"/>
      <c r="AR265" s="67" t="n"/>
      <c r="AS265" s="67" t="n"/>
      <c r="AT265" s="67" t="n"/>
      <c r="AU265" s="67" t="n"/>
      <c r="AV265" s="67" t="n"/>
      <c r="AW265" s="67" t="n"/>
      <c r="AX265" s="67" t="n"/>
      <c r="AY265" s="67" t="n">
        <v>1</v>
      </c>
      <c r="AZ265" s="67" t="inlineStr">
        <is>
          <t>sept-2026</t>
        </is>
      </c>
      <c r="BA265" s="67" t="n"/>
      <c r="BB265" s="67" t="n"/>
      <c r="BC265" s="67" t="n"/>
      <c r="BD265" s="81">
        <f>0</f>
        <v/>
      </c>
      <c r="BE265" s="81">
        <f>IFERROR((IF(ISNUMBER(T265),MIN(T265/30,1),0)+IF(ISNUMBER(P265),MIN(P265/500,1),0))/2,0)</f>
        <v/>
      </c>
      <c r="BF265" s="81">
        <f>IFERROR(IF(OR(U265&lt;&gt;"",V265="SÍ"),IF(ISNUMBER(L265),(1*MIN(L265/10000,1))^0.5,0),IF(ISNUMBER(L265),(0*MIN(L265/10000,1))^0.5,0)),0)</f>
        <v/>
      </c>
    </row>
  </sheetData>
  <autoFilter ref="A4:AY249"/>
  <mergeCells count="11">
    <mergeCell ref="V3:Z3"/>
    <mergeCell ref="A1:BF1"/>
    <mergeCell ref="O3:S3"/>
    <mergeCell ref="E3:H3"/>
    <mergeCell ref="A1:AV1"/>
    <mergeCell ref="AA3:AH3"/>
    <mergeCell ref="A3:D3"/>
    <mergeCell ref="I3:N3"/>
    <mergeCell ref="AR3:AV3"/>
    <mergeCell ref="T3:U3"/>
    <mergeCell ref="A2:A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4" customWidth="1" min="3" max="3"/>
    <col width="12" customWidth="1" min="4" max="4"/>
    <col width="40" customWidth="1" min="5" max="5"/>
  </cols>
  <sheetData>
    <row r="1" ht="18" customHeight="1">
      <c r="A1" s="20" t="inlineStr">
        <is>
          <t>Fuente</t>
        </is>
      </c>
      <c r="B1" s="20" t="inlineStr">
        <is>
          <t>Organizaciones</t>
        </is>
      </c>
      <c r="C1" s="20" t="inlineStr">
        <is>
          <t>Campos clave</t>
        </is>
      </c>
      <c r="D1" s="20" t="inlineStr">
        <is>
          <t>Dimension ISCAM</t>
        </is>
      </c>
      <c r="E1" s="20" t="inlineStr">
        <is>
          <t>Notas</t>
        </is>
      </c>
    </row>
    <row r="2" ht="18" customHeight="1">
      <c r="A2" s="18" t="inlineStr">
        <is>
          <t>SUNAT (validacion RUC)</t>
        </is>
      </c>
      <c r="B2" s="18" t="inlineStr">
        <is>
          <t>245</t>
        </is>
      </c>
      <c r="C2" s="18" t="inlineStr">
        <is>
          <t>Razon social, departamento, provincia, estado</t>
        </is>
      </c>
      <c r="D2" s="18" t="inlineStr">
        <is>
          <t>100% IDs</t>
        </is>
      </c>
      <c r="E2" s="18" t="inlineStr">
        <is>
          <t>Validacion al 2026</t>
        </is>
      </c>
    </row>
    <row r="3" ht="18" customHeight="1">
      <c r="A3" s="14" t="inlineStr">
        <is>
          <t>PRODUCE (exportadores)</t>
        </is>
      </c>
      <c r="B3" s="14" t="inlineStr">
        <is>
          <t>56</t>
        </is>
      </c>
      <c r="C3" s="14" t="inlineStr">
        <is>
          <t>FOB 2024, n ops, n paises, n socios, n trabajadores</t>
        </is>
      </c>
      <c r="D3" s="14" t="inlineStr">
        <is>
          <t>D9, D11</t>
        </is>
      </c>
      <c r="E3" s="14" t="inlineStr">
        <is>
          <t>Base de exportadores守法</t>
        </is>
      </c>
    </row>
    <row r="4" ht="18" customHeight="1">
      <c r="A4" s="18" t="inlineStr">
        <is>
          <t>MIDAGRI (inscritos)</t>
        </is>
      </c>
      <c r="B4" s="18" t="inlineStr">
        <is>
          <t>170</t>
        </is>
      </c>
      <c r="C4" s="18" t="inlineStr">
        <is>
          <t>Ano inscripcion, socios, trabajadores</t>
        </is>
      </c>
      <c r="D4" s="18" t="inlineStr">
        <is>
          <t>D8, D9</t>
        </is>
      </c>
      <c r="E4" s="18" t="inlineStr">
        <is>
          <t>Organizaciones registradas</t>
        </is>
      </c>
    </row>
    <row r="5" ht="18" customHeight="1">
      <c r="A5" s="14" t="inlineStr">
        <is>
          <t>Directorio PAC (Productores Asociados Cafetaleros Cepicafe-Norandino, 48 orgs)</t>
        </is>
      </c>
      <c r="B5" s="14" t="inlineStr">
        <is>
          <t>14</t>
        </is>
      </c>
      <c r="C5" s="14" t="inlineStr">
        <is>
          <t>Macro-zona, producto, certificaciones</t>
        </is>
      </c>
      <c r="D5" s="14" t="inlineStr">
        <is>
          <t>D9, D10</t>
        </is>
      </c>
      <c r="E5" s="14" t="inlineStr">
        <is>
          <t>Solo 48 orgs originales</t>
        </is>
      </c>
    </row>
    <row r="6" ht="18" customHeight="1">
      <c r="A6" s="18" t="inlineStr">
        <is>
          <t>CENCOOP 2017</t>
        </is>
      </c>
      <c r="B6" s="18" t="inlineStr">
        <is>
          <t>177</t>
        </is>
      </c>
      <c r="C6" s="18" t="inlineStr">
        <is>
          <t>GPS, contacto, anios constitucion, CIIU, estado, ingresos 2016</t>
        </is>
      </c>
      <c r="D6" s="18" t="inlineStr">
        <is>
          <t>D8, D9, geo</t>
        </is>
      </c>
      <c r="E6" s="18" t="inlineStr">
        <is>
          <t>1,965 coop censadas; 177 match</t>
        </is>
      </c>
    </row>
    <row r="7" ht="18" customHeight="1">
      <c r="A7" s="14" t="inlineStr">
        <is>
          <t>Modelo ISCAM (8 orgs)</t>
        </is>
      </c>
      <c r="B7" s="14" t="inlineStr">
        <is>
          <t>8</t>
        </is>
      </c>
      <c r="C7" s="14" t="inlineStr">
        <is>
          <t>D1-D7: trazabilidad, deforestacion, derechos</t>
        </is>
      </c>
      <c r="D7" s="14" t="inlineStr">
        <is>
          <t>D1-D7 (ISA)</t>
        </is>
      </c>
      <c r="E7" s="14" t="inlineStr">
        <is>
          <t>Instrumento 2 — requiere campo</t>
        </is>
      </c>
    </row>
    <row r="8" ht="18" customHeight="1">
      <c r="A8" s="18" t="inlineStr">
        <is>
          <t>SENASA / Rainforest / FLOCERT</t>
        </is>
      </c>
      <c r="B8" s="18" t="inlineStr">
        <is>
          <t>0</t>
        </is>
      </c>
      <c r="C8" s="18" t="inlineStr">
        <is>
          <t>Certificacion organica, Fairtrade, Rainforest</t>
        </is>
      </c>
      <c r="D8" s="18" t="inlineStr">
        <is>
          <t>D10</t>
        </is>
      </c>
      <c r="E8" s="18" t="inlineStr">
        <is>
          <t>NO cruzadas — requiere consulta</t>
        </is>
      </c>
    </row>
    <row r="9" ht="18" customHeight="1">
      <c r="A9" s="21" t="inlineStr">
        <is>
          <t>GAP CRITICO: D1-D7 del ISCAM requieren levantamiento de campo. Ninguna fuente administrativa las provee.</t>
        </is>
      </c>
      <c r="B9" s="22" t="n"/>
      <c r="C9" s="22" t="n"/>
      <c r="D9" s="22" t="n"/>
      <c r="E9" s="23" t="n"/>
    </row>
  </sheetData>
  <mergeCells count="1"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  <col width="20" customWidth="1" min="3" max="3"/>
    <col width="14" customWidth="1" min="4" max="4"/>
    <col width="14" customWidth="1" min="5" max="5"/>
    <col width="40" customWidth="1" min="6" max="6"/>
  </cols>
  <sheetData>
    <row r="1" ht="18" customHeight="1">
      <c r="A1" s="20" t="inlineStr">
        <is>
          <t>Dimension ISCAM</t>
        </is>
      </c>
      <c r="B1" s="20" t="inlineStr">
        <is>
          <t>Pregunta Instrumento 2</t>
        </is>
      </c>
      <c r="C1" s="20" t="inlineStr">
        <is>
          <t>Fuente disponible</t>
        </is>
      </c>
      <c r="D1" s="20" t="inlineStr">
        <is>
          <t>Con dato</t>
        </is>
      </c>
      <c r="E1" s="20" t="inlineStr">
        <is>
          <t>Cobertura</t>
        </is>
      </c>
      <c r="F1" s="20" t="inlineStr">
        <is>
          <t>Notas</t>
        </is>
      </c>
    </row>
    <row r="2" ht="16" customHeight="1">
      <c r="A2" s="24" t="inlineStr">
        <is>
          <t>D1</t>
        </is>
      </c>
      <c r="B2" s="24" t="inlineStr">
        <is>
          <t>Trazabilidad de lotes</t>
        </is>
      </c>
      <c r="C2" s="24" t="inlineStr">
        <is>
          <t>Ninguna</t>
        </is>
      </c>
      <c r="D2" s="24" t="n">
        <v>0</v>
      </c>
      <c r="E2" s="25" t="inlineStr">
        <is>
          <t>0%</t>
        </is>
      </c>
      <c r="F2" s="24" t="inlineStr">
        <is>
          <t>Requiere campo (ISCAM)</t>
        </is>
      </c>
    </row>
    <row r="3" ht="16" customHeight="1">
      <c r="A3" s="14" t="inlineStr">
        <is>
          <t>D2</t>
        </is>
      </c>
      <c r="B3" s="14" t="inlineStr">
        <is>
          <t>Registro de productores</t>
        </is>
      </c>
      <c r="C3" s="14" t="inlineStr">
        <is>
          <t>DUA items (marca/lote/contrato/bolsa/granel/proceso)</t>
        </is>
      </c>
      <c r="D3" s="14" t="n">
        <v>10</v>
      </c>
      <c r="E3" s="25" t="inlineStr">
        <is>
          <t>67%</t>
        </is>
      </c>
      <c r="F3" s="14" t="inlineStr">
        <is>
          <t>Marcas/lotes/contratos en DUA; empaque y proceso como proxy trazabilidad</t>
        </is>
      </c>
    </row>
    <row r="4" ht="16" customHeight="1">
      <c r="A4" s="24" t="inlineStr">
        <is>
          <t>D3</t>
        </is>
      </c>
      <c r="B4" s="24" t="inlineStr">
        <is>
          <t>Monitoreo deforestacion</t>
        </is>
      </c>
      <c r="C4" s="24" t="inlineStr">
        <is>
          <t>Ninguna</t>
        </is>
      </c>
      <c r="D4" s="24" t="n">
        <v>0</v>
      </c>
      <c r="E4" s="25" t="inlineStr">
        <is>
          <t>0%</t>
        </is>
      </c>
      <c r="F4" s="24" t="inlineStr">
        <is>
          <t>Requiere campo (ISCAM)</t>
        </is>
      </c>
    </row>
    <row r="5" ht="16" customHeight="1">
      <c r="A5" s="14" t="inlineStr">
        <is>
          <t>D4</t>
        </is>
      </c>
      <c r="B5" s="14" t="inlineStr">
        <is>
          <t>Manejo ambiental</t>
        </is>
      </c>
      <c r="C5" s="14" t="inlineStr">
        <is>
          <t>Ninguna</t>
        </is>
      </c>
      <c r="D5" s="14" t="n">
        <v>0</v>
      </c>
      <c r="E5" s="25" t="inlineStr">
        <is>
          <t>0%</t>
        </is>
      </c>
      <c r="F5" s="14" t="inlineStr">
        <is>
          <t>Requiere campo (ISCAM)</t>
        </is>
      </c>
    </row>
    <row r="6" ht="16" customHeight="1">
      <c r="A6" s="24" t="inlineStr">
        <is>
          <t>D5</t>
        </is>
      </c>
      <c r="B6" s="24" t="inlineStr">
        <is>
          <t>Condiciones laborales</t>
        </is>
      </c>
      <c r="C6" s="24" t="inlineStr">
        <is>
          <t>Ninguna</t>
        </is>
      </c>
      <c r="D6" s="24" t="n">
        <v>0</v>
      </c>
      <c r="E6" s="25" t="inlineStr">
        <is>
          <t>0%</t>
        </is>
      </c>
      <c r="F6" s="24" t="inlineStr">
        <is>
          <t>Requiere campo (ISCAM)</t>
        </is>
      </c>
    </row>
    <row r="7" ht="16" customHeight="1">
      <c r="A7" s="14" t="inlineStr">
        <is>
          <t>D6</t>
        </is>
      </c>
      <c r="B7" s="14" t="inlineStr">
        <is>
          <t>No infancia/trabajo forzado</t>
        </is>
      </c>
      <c r="C7" s="14" t="inlineStr">
        <is>
          <t>Ninguna</t>
        </is>
      </c>
      <c r="D7" s="14" t="n">
        <v>0</v>
      </c>
      <c r="E7" s="25" t="inlineStr">
        <is>
          <t>0%</t>
        </is>
      </c>
      <c r="F7" s="14" t="inlineStr">
        <is>
          <t>Requiere campo (ISCAM)</t>
        </is>
      </c>
    </row>
    <row r="8" ht="16" customHeight="1">
      <c r="A8" s="24" t="inlineStr">
        <is>
          <t>D7</t>
        </is>
      </c>
      <c r="B8" s="24" t="inlineStr">
        <is>
          <t>Seguridad y salud ocupacional</t>
        </is>
      </c>
      <c r="C8" s="24" t="inlineStr">
        <is>
          <t>Ninguna</t>
        </is>
      </c>
      <c r="D8" s="24" t="n">
        <v>0</v>
      </c>
      <c r="E8" s="25" t="inlineStr">
        <is>
          <t>0%</t>
        </is>
      </c>
      <c r="F8" s="24" t="inlineStr">
        <is>
          <t>Requiere campo (ISCAM)</t>
        </is>
      </c>
    </row>
    <row r="9" ht="16" customHeight="1">
      <c r="A9" s="14" t="inlineStr">
        <is>
          <t>D8</t>
        </is>
      </c>
      <c r="B9" s="14" t="inlineStr">
        <is>
          <t>Anos de operacion / n. socios</t>
        </is>
      </c>
      <c r="C9" s="14" t="inlineStr">
        <is>
          <t>MIDAGRI + SUNAT</t>
        </is>
      </c>
      <c r="D9" s="14" t="n">
        <v>177</v>
      </c>
      <c r="E9" s="15" t="inlineStr">
        <is>
          <t>72%</t>
        </is>
      </c>
      <c r="F9" s="14" t="inlineStr">
        <is>
          <t>MIDAGRI: socios; PRODUCE: socios</t>
        </is>
      </c>
    </row>
    <row r="10" ht="16" customHeight="1">
      <c r="A10" s="24" t="inlineStr">
        <is>
          <t>D9</t>
        </is>
      </c>
      <c r="B10" s="24" t="inlineStr">
        <is>
          <t>Capacidad exportar / n. paises</t>
        </is>
      </c>
      <c r="C10" s="24" t="inlineStr">
        <is>
          <t>PRODUCE + MIDAGRI + Directorio PAC</t>
        </is>
      </c>
      <c r="D10" s="24" t="n">
        <v>56</v>
      </c>
      <c r="E10" s="26" t="inlineStr">
        <is>
          <t>23%</t>
        </is>
      </c>
      <c r="F10" s="24" t="inlineStr">
        <is>
          <t>PRODUCE: ops/paises; MIDAGRI: trabajadores; Directorio PAC: producto</t>
        </is>
      </c>
    </row>
    <row r="11" ht="16" customHeight="1">
      <c r="A11" s="14" t="inlineStr">
        <is>
          <t>D10</t>
        </is>
      </c>
      <c r="B11" s="14" t="inlineStr">
        <is>
          <t>Certificaciones</t>
        </is>
      </c>
      <c r="C11" s="14" t="inlineStr">
        <is>
          <t>DUA items (organico/fairtrade/rainforest/utz) + Directorio PAC</t>
        </is>
      </c>
      <c r="D11" s="14" t="n">
        <v>9</v>
      </c>
      <c r="E11" s="26" t="inlineStr">
        <is>
          <t>60%</t>
        </is>
      </c>
      <c r="F11" s="14" t="inlineStr">
        <is>
          <t>Certificados declarados en DUA; 312 items, 108 organicos, 10 fairtrade, 0 rainforest/utz</t>
        </is>
      </c>
    </row>
    <row r="12" ht="16" customHeight="1">
      <c r="A12" s="24" t="inlineStr">
        <is>
          <t>D11</t>
        </is>
      </c>
      <c r="B12" s="24" t="inlineStr">
        <is>
          <t>Volumen / FOB</t>
        </is>
      </c>
      <c r="C12" s="24" t="inlineStr">
        <is>
          <t>PRODUCE + SUNAT</t>
        </is>
      </c>
      <c r="D12" s="24" t="n">
        <v>144</v>
      </c>
      <c r="E12" s="27" t="inlineStr">
        <is>
          <t>59%</t>
        </is>
      </c>
      <c r="F12" s="24" t="inlineStr">
        <is>
          <t>FOB 2024 disponible para exportadores; SUNAT FOB parcial</t>
        </is>
      </c>
    </row>
    <row r="13" ht="16" customHeight="1">
      <c r="A13" s="14" t="inlineStr">
        <is>
          <t>ISA</t>
        </is>
      </c>
      <c r="B13" s="14" t="inlineStr">
        <is>
          <t>Indice de Sostenibilidad (D1-D7)</t>
        </is>
      </c>
      <c r="C13" s="14" t="inlineStr">
        <is>
          <t>Ninguna</t>
        </is>
      </c>
      <c r="D13" s="14" t="n">
        <v>0</v>
      </c>
      <c r="E13" s="25" t="inlineStr">
        <is>
          <t>0%</t>
        </is>
      </c>
      <c r="F13" s="14" t="inlineStr">
        <is>
          <t>Calculado desde Instrumento 2 — 100% campo</t>
        </is>
      </c>
    </row>
    <row r="14" ht="16" customHeight="1">
      <c r="A14" s="24" t="inlineStr">
        <is>
          <t>IP</t>
        </is>
      </c>
      <c r="B14" s="24" t="inlineStr">
        <is>
          <t>Indice de Preparacion (D8-D9)</t>
        </is>
      </c>
      <c r="C14" s="24" t="inlineStr">
        <is>
          <t>MIDAGRI + PRODUCE</t>
        </is>
      </c>
      <c r="D14" s="24" t="n">
        <v>233</v>
      </c>
      <c r="E14" s="27" t="inlineStr">
        <is>
          <t>48%</t>
        </is>
      </c>
      <c r="F14" s="24" t="inlineStr">
        <is>
          <t>Parcialmente calculable</t>
        </is>
      </c>
    </row>
    <row r="15" ht="16" customHeight="1">
      <c r="A15" s="14" t="inlineStr">
        <is>
          <t>IV</t>
        </is>
      </c>
      <c r="B15" s="14" t="inlineStr">
        <is>
          <t>Indice de Verificabilidad (D10-D11)</t>
        </is>
      </c>
      <c r="C15" s="14" t="inlineStr">
        <is>
          <t>Directorio PAC + PRODUCE + SUNAT</t>
        </is>
      </c>
      <c r="D15" s="14" t="n">
        <v>179</v>
      </c>
      <c r="E15" s="27" t="inlineStr">
        <is>
          <t>37%</t>
        </is>
      </c>
      <c r="F15" s="14" t="inlineStr">
        <is>
          <t>FOB disponible; certificaciones insuficientes</t>
        </is>
      </c>
    </row>
    <row r="16" ht="14" customHeight="1">
      <c r="A16" s="33" t="inlineStr">
        <is>
          <t>FORMULAS ISCAM:</t>
        </is>
      </c>
    </row>
    <row r="17" ht="13" customHeight="1">
      <c r="A17" s="34" t="inlineStr">
        <is>
          <t xml:space="preserve">  ISA (Indice Sintetico de Alineamiento) = producto(D1 x D2 x ... x D7)^(1/7)  [geom. 0-1, mayor = mas alineado]</t>
        </is>
      </c>
    </row>
    <row r="18" ht="13" customHeight="1">
      <c r="A18" s="34" t="inlineStr">
        <is>
          <t xml:space="preserve">  IP  (Indice de Preparacion)           = (D8 + D9) / 2                        [arit.  0-1, mayor = mas preparado]</t>
        </is>
      </c>
    </row>
    <row r="19" ht="13" customHeight="1">
      <c r="A19" s="34" t="inlineStr">
        <is>
          <t xml:space="preserve">  IV  (Indice de Vulnerabilidad)         = (D10 x D11)^(1/2)                   [geom.  0-1, mayor = menos vulnerable]</t>
        </is>
      </c>
    </row>
    <row r="20" ht="13" customHeight="1">
      <c r="A20" s="34" t="inlineStr">
        <is>
          <t xml:space="preserve">  RE  (Riesgo de Exclusion)             = ponderacion AHP con Pool Expertos        [0-1, mayor = mayor riesgo exclusion EUDR]</t>
        </is>
      </c>
    </row>
    <row r="21" ht="14" customHeight="1"/>
    <row r="22" ht="13" customHeight="1"/>
    <row r="23" ht="13" customHeight="1"/>
    <row r="24" ht="13" customHeight="1"/>
    <row r="25" ht="13" customHeight="1"/>
  </sheetData>
  <mergeCells count="10">
    <mergeCell ref="A24:F24"/>
    <mergeCell ref="A16:F16"/>
    <mergeCell ref="A19:F19"/>
    <mergeCell ref="A23:F23"/>
    <mergeCell ref="A22:F22"/>
    <mergeCell ref="A17:F17"/>
    <mergeCell ref="A18:F18"/>
    <mergeCell ref="A20:F20"/>
    <mergeCell ref="A21:F2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60" customWidth="1" min="2" max="2"/>
    <col width="24" customWidth="1" min="3" max="3"/>
    <col width="36" customWidth="1" min="4" max="4"/>
  </cols>
  <sheetData>
    <row r="1" ht="18" customHeight="1">
      <c r="A1" s="20" t="inlineStr">
        <is>
          <t>Columna</t>
        </is>
      </c>
      <c r="B1" s="20" t="inlineStr">
        <is>
          <t>Descripcion</t>
        </is>
      </c>
      <c r="C1" s="20" t="inlineStr">
        <is>
          <t>Fuente</t>
        </is>
      </c>
      <c r="D1" s="20" t="inlineStr">
        <is>
          <t>Formula / Nota</t>
        </is>
      </c>
    </row>
    <row r="2" ht="16" customHeight="1">
      <c r="A2" s="18" t="inlineStr">
        <is>
          <t>RUC</t>
        </is>
      </c>
      <c r="B2" s="18" t="inlineStr">
        <is>
          <t>Numero de RUC de la organizacion (11 digitos)</t>
        </is>
      </c>
      <c r="C2" s="18" t="inlineStr">
        <is>
          <t>SUNAT</t>
        </is>
      </c>
      <c r="D2" s="18" t="inlineStr">
        <is>
          <t>Validado al 2026</t>
        </is>
      </c>
    </row>
    <row r="3" ht="16" customHeight="1">
      <c r="A3" s="14" t="inlineStr">
        <is>
          <t>Nombre</t>
        </is>
      </c>
      <c r="B3" s="14" t="inlineStr">
        <is>
          <t>Nombre comercial / nombre usual de la organizacion</t>
        </is>
      </c>
      <c r="C3" s="14" t="inlineStr">
        <is>
          <t>Excel Directorio PAC / MIDAGRI</t>
        </is>
      </c>
      <c r="D3" s="14" t="inlineStr">
        <is>
          <t>Usado como clave de display</t>
        </is>
      </c>
    </row>
    <row r="4" ht="16" customHeight="1">
      <c r="A4" s="18" t="inlineStr">
        <is>
          <t>Exporta (PRODUCE)</t>
        </is>
      </c>
      <c r="B4" s="18" t="inlineStr">
        <is>
          <t>Indica si la org tiene operaciones de exportacion registradas en PRODUCE</t>
        </is>
      </c>
      <c r="C4" s="18" t="inlineStr">
        <is>
          <t>PRODUCE/MIDAGRI</t>
        </is>
      </c>
      <c r="D4" s="18" t="inlineStr">
        <is>
          <t>SI / NO / —</t>
        </is>
      </c>
    </row>
    <row r="5" ht="16" customHeight="1">
      <c r="A5" s="14" t="inlineStr">
        <is>
          <t>FOB 2024 (miles USD)</t>
        </is>
      </c>
      <c r="B5" s="14" t="inlineStr">
        <is>
          <t>Valor FOB en miles de USD segun PRODUCE 2024</t>
        </is>
      </c>
      <c r="C5" s="14" t="inlineStr">
        <is>
          <t>PRODUCE</t>
        </is>
      </c>
      <c r="D5" s="14" t="inlineStr">
        <is>
          <t>Solo exportadores</t>
        </is>
      </c>
    </row>
    <row r="6" ht="16" customHeight="1">
      <c r="A6" s="18" t="inlineStr">
        <is>
          <t>Certificacion Directorio PAC</t>
        </is>
      </c>
      <c r="B6" s="18" t="inlineStr">
        <is>
          <t>Lista de certificaciones segun archivo Directorio Directorio PAC (Directorio PAC - Productores Asociados Cafetaleros Cepicafe-Norandino)</t>
        </is>
      </c>
      <c r="C6" s="18" t="inlineStr">
        <is>
          <t>Directorio Directorio PAC (Directorio PAC - Productores Asociados Cafetaleros Cepicafe-Norandino)</t>
        </is>
      </c>
      <c r="D6" s="18" t="inlineStr">
        <is>
          <t>NOP, UE, Naturland, Bio Suisse, Fairtrade, etc.</t>
        </is>
      </c>
    </row>
    <row r="7" ht="16" customHeight="1">
      <c r="A7" s="14" t="inlineStr">
        <is>
          <t>EN_SOPARSE</t>
        </is>
      </c>
      <c r="B7" s="14" t="inlineStr">
        <is>
          <t>Flag: la org tiene match en el CENCOOP 2017</t>
        </is>
      </c>
      <c r="C7" s="14" t="inlineStr">
        <is>
          <t>SOPARSE</t>
        </is>
      </c>
      <c r="D7" s="14" t="inlineStr">
        <is>
          <t>SI / NO</t>
        </is>
      </c>
    </row>
    <row r="8" ht="16" customHeight="1">
      <c r="A8" s="18" t="inlineStr">
        <is>
          <t>ANIOS_OPER_CENCOOP</t>
        </is>
      </c>
      <c r="B8" s="18" t="inlineStr">
        <is>
          <t>Anios desde inicio de operaciones segun CENCOOP 2017</t>
        </is>
      </c>
      <c r="C8" s="18" t="inlineStr">
        <is>
          <t>SOPARSE C1_P7</t>
        </is>
      </c>
      <c r="D8" s="18" t="inlineStr">
        <is>
          <t>2017 - anio_inicio_oper</t>
        </is>
      </c>
    </row>
    <row r="9" ht="16" customHeight="1">
      <c r="A9" s="14" t="inlineStr">
        <is>
          <t>COORD_LAT/LON</t>
        </is>
      </c>
      <c r="B9" s="14" t="inlineStr">
        <is>
          <t>Coordenadas GPS de la sede de la organizacion</t>
        </is>
      </c>
      <c r="C9" s="14" t="inlineStr">
        <is>
          <t>SOPARSE GPSLAT/GPSLON</t>
        </is>
      </c>
      <c r="D9" s="14" t="inlineStr">
        <is>
          <t>CENCOOP 2017</t>
        </is>
      </c>
    </row>
    <row r="10" ht="16" customHeight="1">
      <c r="A10" s="18" t="inlineStr">
        <is>
          <t>PRESIDENTE_NOMBRE</t>
        </is>
      </c>
      <c r="B10" s="18" t="inlineStr">
        <is>
          <t>Nombre completo del presidente del Consejo de Administracion</t>
        </is>
      </c>
      <c r="C10" s="18" t="inlineStr">
        <is>
          <t>SOPARSE C1_P24</t>
        </is>
      </c>
      <c r="D10" s="18" t="inlineStr">
        <is>
          <t>CENCOOP 2017</t>
        </is>
      </c>
    </row>
    <row r="11" ht="16" customHeight="1">
      <c r="A11" s="14" t="inlineStr">
        <is>
          <t>Cert presente</t>
        </is>
      </c>
      <c r="B11" s="14" t="inlineStr">
        <is>
          <t>Flag: la org tiene al menos una certificacion</t>
        </is>
      </c>
      <c r="C11" s="14" t="inlineStr">
        <is>
          <t>Directorio Directorio PAC (Directorio PAC - Productores Asociados Cafetaleros Cepicafe-Norandino)</t>
        </is>
      </c>
      <c r="D11" s="14" t="inlineStr">
        <is>
          <t>SÍ / NO</t>
        </is>
      </c>
    </row>
    <row r="12" ht="16" customHeight="1">
      <c r="A12" s="18" t="inlineStr">
        <is>
          <t>ISA</t>
        </is>
      </c>
      <c r="B12" s="18" t="inlineStr">
        <is>
          <t>Indice de Sostenibilidad: media geometrica D1-D7</t>
        </is>
      </c>
      <c r="C12" s="18" t="inlineStr">
        <is>
          <t>Instrumento 2 (ISCAM)</t>
        </is>
      </c>
      <c r="D12" s="18" t="inlineStr">
        <is>
          <t>100% campo — Google Forms</t>
        </is>
      </c>
    </row>
    <row r="13" ht="16" customHeight="1">
      <c r="A13" s="14" t="inlineStr">
        <is>
          <t>IP</t>
        </is>
      </c>
      <c r="B13" s="14" t="inlineStr">
        <is>
          <t>Indice de Practica: media aritmetica D8 + D9</t>
        </is>
      </c>
      <c r="C13" s="14" t="inlineStr">
        <is>
          <t>MIDAGRI + PRODUCE + SOPARSE</t>
        </is>
      </c>
      <c r="D13" s="14" t="inlineStr">
        <is>
          <t>Parcialmente calculable</t>
        </is>
      </c>
    </row>
    <row r="14" ht="16" customHeight="1">
      <c r="A14" s="18" t="inlineStr">
        <is>
          <t>IV</t>
        </is>
      </c>
      <c r="B14" s="18" t="inlineStr">
        <is>
          <t>Indice de Verificabilidad: media geometrica D10 + D11</t>
        </is>
      </c>
      <c r="C14" s="18" t="inlineStr">
        <is>
          <t>Directorio PAC + PRODUCE + SUNAT</t>
        </is>
      </c>
      <c r="D14" s="18" t="inlineStr">
        <is>
          <t>FOB OK; certificaciones parciales</t>
        </is>
      </c>
    </row>
    <row r="16" ht="28" customHeight="1">
      <c r="A16" s="35" t="inlineStr">
        <is>
          <t>ISA</t>
        </is>
      </c>
      <c r="B16" s="18" t="inlineStr">
        <is>
          <t>Indice Sintetico de Alineamiento. Producto geometrico de D1 a D7 elevado a 1/7. Mide sostenibilidad, due diligence, derechos humanos, traceabilidad y medio ambiente.</t>
        </is>
      </c>
      <c r="C16" s="18" t="inlineStr">
        <is>
          <t>Instrumento 2 (ISCAM)</t>
        </is>
      </c>
      <c r="D16" s="18" t="inlineStr">
        <is>
          <t>geom(D1 x D2 x D3 x D4 x D5 x D6 x D7)^(1/7) — rango 0 a 1</t>
        </is>
      </c>
    </row>
    <row r="17" ht="28" customHeight="1">
      <c r="A17" s="35" t="inlineStr">
        <is>
          <t>IP</t>
        </is>
      </c>
      <c r="B17" s="14" t="inlineStr">
        <is>
          <t>Indice de Preparacion. Media aritmetica de D8 (estructura) y D9 (mercado). Mide anos de operacion, n. de socios y capacidad de exportar.</t>
        </is>
      </c>
      <c r="C17" s="14" t="inlineStr">
        <is>
          <t>MIDAGRI + PRODUCE + SOPARSE</t>
        </is>
      </c>
      <c r="D17" s="14" t="inlineStr">
        <is>
          <t>media(D8 + D9) — rango 0 a 1</t>
        </is>
      </c>
    </row>
    <row r="18" ht="28" customHeight="1">
      <c r="A18" s="35" t="inlineStr">
        <is>
          <t>IV</t>
        </is>
      </c>
      <c r="B18" s="18" t="inlineStr">
        <is>
          <t>Indice de Vulnerabilidad. Media geometrica de D10 (certificaciones) y D11 (volumen FOB). Mide exposicion al riesgo EUDR por falta de trazabilidad verificable.</t>
        </is>
      </c>
      <c r="C18" s="18" t="inlineStr">
        <is>
          <t>Directorio PAC + PRODUCE + SUNAT</t>
        </is>
      </c>
      <c r="D18" s="18" t="inlineStr">
        <is>
          <t>geom(D10 x D11)^(1/2) — rango 0 a 1</t>
        </is>
      </c>
    </row>
    <row r="19" ht="28" customHeight="1">
      <c r="A19" s="35" t="inlineStr">
        <is>
          <t>RE</t>
        </is>
      </c>
      <c r="B19" s="14" t="inlineStr">
        <is>
          <t>Riesgo de Exclusion. Probabilidad de que la organizacion sea exclusion del mercado de la UE por incumplimiento del EUDR. Calculado con ponderacion AHP via Pool de Expertos.</t>
        </is>
      </c>
      <c r="C19" s="14" t="inlineStr">
        <is>
          <t>Pool Expertos AHP + Instrumento 2</t>
        </is>
      </c>
      <c r="D19" s="14" t="inlineStr">
        <is>
          <t>ponderacion AHP(ISA, IP, IV) con pesos del Pool — rango 0 a 1</t>
        </is>
      </c>
    </row>
    <row r="20" ht="28" customHeight="1">
      <c r="A20" s="35" t="inlineStr">
        <is>
          <t>D1</t>
        </is>
      </c>
      <c r="B20" s="18" t="inlineStr">
        <is>
          <t>Trazabilidad de lotes y sistemas de monitoreo. Pregunta ISCAM P1-P3 (Instrumento 2).</t>
        </is>
      </c>
      <c r="C20" s="18" t="inlineStr">
        <is>
          <t>Instrumento 2 (campo)</t>
        </is>
      </c>
      <c r="D20" s="18" t="inlineStr">
        <is>
          <t>Escala 0-4 por pregunta; ISA = geom(D1..D7)</t>
        </is>
      </c>
    </row>
    <row r="21" ht="28" customHeight="1">
      <c r="A21" s="35" t="inlineStr">
        <is>
          <t>D2</t>
        </is>
      </c>
      <c r="B21" s="14" t="inlineStr">
        <is>
          <t>Registro de productores y bases de datos. Pregunta ISCAM P4-P6.</t>
        </is>
      </c>
      <c r="C21" s="14" t="inlineStr">
        <is>
          <t>Instrumento 2 (campo)</t>
        </is>
      </c>
      <c r="D21" s="14" t="inlineStr">
        <is>
          <t>Escala 0-4</t>
        </is>
      </c>
    </row>
    <row r="22" ht="28" customHeight="1">
      <c r="A22" s="35" t="inlineStr">
        <is>
          <t>D3</t>
        </is>
      </c>
      <c r="B22" s="18" t="inlineStr">
        <is>
          <t>Deforestacion y conversion de ecosistemas. Pregunta ISCAM P7-P9.</t>
        </is>
      </c>
      <c r="C22" s="18" t="inlineStr">
        <is>
          <t>Instrumento 2 (campo)</t>
        </is>
      </c>
      <c r="D22" s="18" t="inlineStr">
        <is>
          <t>Escala 0-4</t>
        </is>
      </c>
    </row>
    <row r="23" ht="28" customHeight="1">
      <c r="A23" s="35" t="inlineStr">
        <is>
          <t>D4</t>
        </is>
      </c>
      <c r="B23" s="14" t="inlineStr">
        <is>
          <t>Manejo ambiental y buenas practicas. Pregunta ISCAM P10-P12.</t>
        </is>
      </c>
      <c r="C23" s="14" t="inlineStr">
        <is>
          <t>Instrumento 2 (campo)</t>
        </is>
      </c>
      <c r="D23" s="14" t="inlineStr">
        <is>
          <t>Escala 0-4</t>
        </is>
      </c>
    </row>
    <row r="24" ht="28" customHeight="1">
      <c r="A24" s="35" t="inlineStr">
        <is>
          <t>D5</t>
        </is>
      </c>
      <c r="B24" s="18" t="inlineStr">
        <is>
          <t>Condiciones laborales y contratos. Pregunta ISCAM P13-P15.</t>
        </is>
      </c>
      <c r="C24" s="18" t="inlineStr">
        <is>
          <t>Instrumento 2 (campo)</t>
        </is>
      </c>
      <c r="D24" s="18" t="inlineStr">
        <is>
          <t>Escala 0-4</t>
        </is>
      </c>
    </row>
    <row r="25" ht="28" customHeight="1">
      <c r="A25" s="35" t="inlineStr">
        <is>
          <t>D6</t>
        </is>
      </c>
      <c r="B25" s="14" t="inlineStr">
        <is>
          <t>No infancia, trabajo forzado ni discriminacion. Pregunta ISCAM P16-P18.</t>
        </is>
      </c>
      <c r="C25" s="14" t="inlineStr">
        <is>
          <t>Instrumento 2 (campo)</t>
        </is>
      </c>
      <c r="D25" s="14" t="inlineStr">
        <is>
          <t>Escala 0-4</t>
        </is>
      </c>
    </row>
    <row r="26" ht="28" customHeight="1">
      <c r="A26" s="35" t="inlineStr">
        <is>
          <t>D7</t>
        </is>
      </c>
      <c r="B26" s="18" t="inlineStr">
        <is>
          <t>Seguridad y salud ocupacional. Pregunta ISCAM P19-P21.</t>
        </is>
      </c>
      <c r="C26" s="18" t="inlineStr">
        <is>
          <t>Instrumento 2 (campo)</t>
        </is>
      </c>
      <c r="D26" s="18" t="inlineStr">
        <is>
          <t>Escala 0-4</t>
        </is>
      </c>
    </row>
    <row r="27" ht="28" customHeight="1">
      <c r="A27" s="35" t="inlineStr">
        <is>
          <t>D8</t>
        </is>
      </c>
      <c r="B27" s="14" t="inlineStr">
        <is>
          <t>Anos de operacion y numero de socios. Mide antiguedad y tamaño.</t>
        </is>
      </c>
      <c r="C27" s="14" t="inlineStr">
        <is>
          <t>MIDAGRI + SOPARSE CENCOOP + SUNAT</t>
        </is>
      </c>
      <c r="D27" s="14" t="inlineStr">
        <is>
          <t>D8 = min(anios/30, 1) si anios&gt;0; sinon 0</t>
        </is>
      </c>
    </row>
    <row r="28" ht="28" customHeight="1">
      <c r="A28" s="35" t="inlineStr">
        <is>
          <t>D9</t>
        </is>
      </c>
      <c r="B28" s="18" t="inlineStr">
        <is>
          <t>Capacidad de exportar: volumen, n. operaciones, n. paises destino.</t>
        </is>
      </c>
      <c r="C28" s="18" t="inlineStr">
        <is>
          <t>PRODUCE + MIDAGRI</t>
        </is>
      </c>
      <c r="D28" s="18" t="inlineStr">
        <is>
          <t>D9 = (n_ops&gt;0) + (n_paises&gt;1) + (fob&gt;media)</t>
        </is>
      </c>
    </row>
    <row r="29" ht="28" customHeight="1">
      <c r="A29" s="35" t="inlineStr">
        <is>
          <t>D10</t>
        </is>
      </c>
      <c r="B29" s="14" t="inlineStr">
        <is>
          <t>Certificaciones validas (EUDR): Rainforest, Fairtrade, Organic, etc.</t>
        </is>
      </c>
      <c r="C29" s="14" t="inlineStr">
        <is>
          <t>Directorio Directorio PAC (Directorio PAC - Productores Asociados Cafetaleros Cepicafe-Norandino)</t>
        </is>
      </c>
      <c r="D29" s="14" t="inlineStr">
        <is>
          <t>D10 = 1 si certificacion valida, 0 sinon</t>
        </is>
      </c>
    </row>
    <row r="30" ht="28" customHeight="1">
      <c r="A30" s="35" t="inlineStr">
        <is>
          <t>D11</t>
        </is>
      </c>
      <c r="B30" s="18" t="inlineStr">
        <is>
          <t>Volumen FOB 2024. Proxy de exposicion al mercado EU.</t>
        </is>
      </c>
      <c r="C30" s="18" t="inlineStr">
        <is>
          <t>PRODUCE + SUNAT</t>
        </is>
      </c>
      <c r="D30" s="18" t="inlineStr">
        <is>
          <t>D11 = min(FOB/max_FOB, 1)</t>
        </is>
      </c>
    </row>
    <row r="32" ht="28" customHeight="1">
      <c r="A32" s="35" t="inlineStr">
        <is>
          <t>ISA</t>
        </is>
      </c>
      <c r="B32" s="18" t="inlineStr">
        <is>
          <t>Indice Sintetico de Alineamiento. Producto geometrico de D1 a D7 elevado a 1/7. Mide sostenibilidad, due diligence, derechos humanos, traceabilidad y medio ambiente.</t>
        </is>
      </c>
      <c r="C32" s="18" t="inlineStr">
        <is>
          <t>Instrumento 2 (ISCAM)</t>
        </is>
      </c>
      <c r="D32" s="18" t="inlineStr">
        <is>
          <t>geom(D1 x D2 x D3 x D4 x D5 x D6 x D7)^(1/7) — rango 0 a 1</t>
        </is>
      </c>
    </row>
    <row r="33" ht="28" customHeight="1">
      <c r="A33" s="35" t="inlineStr">
        <is>
          <t>IP</t>
        </is>
      </c>
      <c r="B33" s="14" t="inlineStr">
        <is>
          <t>Indice de Preparacion. Media aritmetica de D8 (estructura) y D9 (mercado). Mide anos de operacion, n. de socios y capacidad de exportar.</t>
        </is>
      </c>
      <c r="C33" s="14" t="inlineStr">
        <is>
          <t>MIDAGRI + PRODUCE + SOPARSE</t>
        </is>
      </c>
      <c r="D33" s="14" t="inlineStr">
        <is>
          <t>media(D8 + D9) — rango 0 a 1</t>
        </is>
      </c>
    </row>
    <row r="34" ht="28" customHeight="1">
      <c r="A34" s="35" t="inlineStr">
        <is>
          <t>IV</t>
        </is>
      </c>
      <c r="B34" s="18" t="inlineStr">
        <is>
          <t>Indice de Vulnerabilidad. Media geometrica de D10 (certificaciones) y D11 (volumen FOB). Mide exposicion al riesgo EUDR por falta de trazabilidad verificable.</t>
        </is>
      </c>
      <c r="C34" s="18" t="inlineStr">
        <is>
          <t>Directorio PAC + PRODUCE + SUNAT</t>
        </is>
      </c>
      <c r="D34" s="18" t="inlineStr">
        <is>
          <t>geom(D10 x D11)^(1/2) — rango 0 a 1</t>
        </is>
      </c>
    </row>
    <row r="35" ht="28" customHeight="1">
      <c r="A35" s="35" t="inlineStr">
        <is>
          <t>RE</t>
        </is>
      </c>
      <c r="B35" s="14" t="inlineStr">
        <is>
          <t>Riesgo de Exclusion. Probabilidad de que la organizacion sea exclusion del mercado de la UE por incumplimiento del EUDR. Calculado con ponderacion AHP via Pool de Expertos.</t>
        </is>
      </c>
      <c r="C35" s="14" t="inlineStr">
        <is>
          <t>Pool Expertos AHP + Instrumento 2</t>
        </is>
      </c>
      <c r="D35" s="14" t="inlineStr">
        <is>
          <t>ponderacion AHP(ISA, IP, IV) con pesos del Pool — rango 0 a 1</t>
        </is>
      </c>
    </row>
    <row r="36" ht="28" customHeight="1">
      <c r="A36" s="35" t="inlineStr">
        <is>
          <t>D1</t>
        </is>
      </c>
      <c r="B36" s="18" t="inlineStr">
        <is>
          <t>Trazabilidad de lotes y sistemas de monitoreo. Pregunta ISCAM P1-P3 (Instrumento 2).</t>
        </is>
      </c>
      <c r="C36" s="18" t="inlineStr">
        <is>
          <t>Instrumento 2 (campo)</t>
        </is>
      </c>
      <c r="D36" s="18" t="inlineStr">
        <is>
          <t>Escala 0-4 por pregunta; ISA = geom(D1..D7)</t>
        </is>
      </c>
    </row>
    <row r="37" ht="28" customHeight="1">
      <c r="A37" s="35" t="inlineStr">
        <is>
          <t>D2</t>
        </is>
      </c>
      <c r="B37" s="14" t="inlineStr">
        <is>
          <t>Registro de productores y bases de datos. Pregunta ISCAM P4-P6.</t>
        </is>
      </c>
      <c r="C37" s="14" t="inlineStr">
        <is>
          <t>Instrumento 2 (campo)</t>
        </is>
      </c>
      <c r="D37" s="14" t="inlineStr">
        <is>
          <t>Escala 0-4</t>
        </is>
      </c>
    </row>
    <row r="38" ht="28" customHeight="1">
      <c r="A38" s="35" t="inlineStr">
        <is>
          <t>D3</t>
        </is>
      </c>
      <c r="B38" s="18" t="inlineStr">
        <is>
          <t>Deforestacion y conversion de ecosistemas. Pregunta ISCAM P7-P9.</t>
        </is>
      </c>
      <c r="C38" s="18" t="inlineStr">
        <is>
          <t>Instrumento 2 (campo)</t>
        </is>
      </c>
      <c r="D38" s="18" t="inlineStr">
        <is>
          <t>Escala 0-4</t>
        </is>
      </c>
    </row>
    <row r="39" ht="28" customHeight="1">
      <c r="A39" s="35" t="inlineStr">
        <is>
          <t>D4</t>
        </is>
      </c>
      <c r="B39" s="14" t="inlineStr">
        <is>
          <t>Manejo ambiental y buenas practicas. Pregunta ISCAM P10-P12.</t>
        </is>
      </c>
      <c r="C39" s="14" t="inlineStr">
        <is>
          <t>Instrumento 2 (campo)</t>
        </is>
      </c>
      <c r="D39" s="14" t="inlineStr">
        <is>
          <t>Escala 0-4</t>
        </is>
      </c>
    </row>
    <row r="40" ht="28" customHeight="1">
      <c r="A40" s="35" t="inlineStr">
        <is>
          <t>D5</t>
        </is>
      </c>
      <c r="B40" s="18" t="inlineStr">
        <is>
          <t>Condiciones laborales y contratos. Pregunta ISCAM P13-P15.</t>
        </is>
      </c>
      <c r="C40" s="18" t="inlineStr">
        <is>
          <t>Instrumento 2 (campo)</t>
        </is>
      </c>
      <c r="D40" s="18" t="inlineStr">
        <is>
          <t>Escala 0-4</t>
        </is>
      </c>
    </row>
    <row r="41" ht="28" customHeight="1">
      <c r="A41" s="35" t="inlineStr">
        <is>
          <t>D6</t>
        </is>
      </c>
      <c r="B41" s="14" t="inlineStr">
        <is>
          <t>No infancia, trabajo forzado ni discriminacion. Pregunta ISCAM P16-P18.</t>
        </is>
      </c>
      <c r="C41" s="14" t="inlineStr">
        <is>
          <t>Instrumento 2 (campo)</t>
        </is>
      </c>
      <c r="D41" s="14" t="inlineStr">
        <is>
          <t>Escala 0-4</t>
        </is>
      </c>
    </row>
    <row r="42" ht="28" customHeight="1">
      <c r="A42" s="35" t="inlineStr">
        <is>
          <t>D7</t>
        </is>
      </c>
      <c r="B42" s="18" t="inlineStr">
        <is>
          <t>Seguridad y salud ocupacional. Pregunta ISCAM P19-P21.</t>
        </is>
      </c>
      <c r="C42" s="18" t="inlineStr">
        <is>
          <t>Instrumento 2 (campo)</t>
        </is>
      </c>
      <c r="D42" s="18" t="inlineStr">
        <is>
          <t>Escala 0-4</t>
        </is>
      </c>
    </row>
    <row r="43" ht="28" customHeight="1">
      <c r="A43" s="35" t="inlineStr">
        <is>
          <t>D8</t>
        </is>
      </c>
      <c r="B43" s="14" t="inlineStr">
        <is>
          <t>Anos de operacion y numero de socios. Mide antiguedad y tamaño.</t>
        </is>
      </c>
      <c r="C43" s="14" t="inlineStr">
        <is>
          <t>MIDAGRI + SOPARSE CENCOOP + SUNAT</t>
        </is>
      </c>
      <c r="D43" s="14" t="inlineStr">
        <is>
          <t>D8 = min(anios/30, 1) si anios&gt;0; sinon 0</t>
        </is>
      </c>
    </row>
    <row r="44" ht="28" customHeight="1">
      <c r="A44" s="35" t="inlineStr">
        <is>
          <t>D9</t>
        </is>
      </c>
      <c r="B44" s="18" t="inlineStr">
        <is>
          <t>Capacidad de exportar: volumen, n. operaciones, n. paises destino.</t>
        </is>
      </c>
      <c r="C44" s="18" t="inlineStr">
        <is>
          <t>PRODUCE + MIDAGRI</t>
        </is>
      </c>
      <c r="D44" s="18" t="inlineStr">
        <is>
          <t>D9 = (n_ops&gt;0) + (n_paises&gt;1) + (fob&gt;media)</t>
        </is>
      </c>
    </row>
    <row r="45" ht="28" customHeight="1">
      <c r="A45" s="35" t="inlineStr">
        <is>
          <t>D10</t>
        </is>
      </c>
      <c r="B45" s="14" t="inlineStr">
        <is>
          <t>Certificaciones validas (EUDR): Rainforest, Fairtrade, Organic, etc.</t>
        </is>
      </c>
      <c r="C45" s="14" t="inlineStr">
        <is>
          <t>Directorio Directorio PAC (Directorio PAC - Productores Asociados Cafetaleros Cepicafe-Norandino)</t>
        </is>
      </c>
      <c r="D45" s="14" t="inlineStr">
        <is>
          <t>D10 = 1 si certificacion valida, 0 sinon</t>
        </is>
      </c>
    </row>
    <row r="46" ht="28" customHeight="1">
      <c r="A46" s="35" t="inlineStr">
        <is>
          <t>D11</t>
        </is>
      </c>
      <c r="B46" s="18" t="inlineStr">
        <is>
          <t>Volumen FOB 2024. Proxy de exposicion al mercado EU.</t>
        </is>
      </c>
      <c r="C46" s="18" t="inlineStr">
        <is>
          <t>PRODUCE + SUNAT</t>
        </is>
      </c>
      <c r="D46" s="18" t="inlineStr">
        <is>
          <t>D11 = min(FOB/max_FOB,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50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  <col width="20" customWidth="1" min="8" max="8"/>
  </cols>
  <sheetData>
    <row r="1" ht="18" customHeight="1">
      <c r="A1" s="20" t="inlineStr">
        <is>
          <t>RUC</t>
        </is>
      </c>
      <c r="B1" s="20" t="inlineStr">
        <is>
          <t>Razon social</t>
        </is>
      </c>
      <c r="C1" s="20" t="inlineStr">
        <is>
          <t>Departamento</t>
        </is>
      </c>
      <c r="D1" s="20" t="inlineStr">
        <is>
          <t>Provincia</t>
        </is>
      </c>
      <c r="E1" s="20" t="inlineStr">
        <is>
          <t>Distrito</t>
        </is>
      </c>
      <c r="F1" s="20" t="inlineStr">
        <is>
          <t>Centro poblado</t>
        </is>
      </c>
      <c r="G1" s="20" t="inlineStr">
        <is>
          <t>Anio inicio oper</t>
        </is>
      </c>
      <c r="H1" s="20" t="inlineStr">
        <is>
          <t>CIIU descripcion</t>
        </is>
      </c>
    </row>
    <row r="2" ht="18" customHeight="1">
      <c r="A2" s="28" t="inlineStr">
        <is>
          <t>83 organizaciones cafe/cacao en CENCOOP 2017 sin registro de exportacion en fuentes administrativas. Requiere validacion de campo.</t>
        </is>
      </c>
    </row>
    <row r="3" ht="15" customHeight="1">
      <c r="A3" s="29" t="inlineStr"/>
      <c r="B3" s="29" t="inlineStr">
        <is>
          <t>COOPERATIVA AGRARIA CAFETALERA LA PECA</t>
        </is>
      </c>
      <c r="C3" s="29" t="inlineStr">
        <is>
          <t>AMAZONAS</t>
        </is>
      </c>
      <c r="D3" s="29" t="inlineStr">
        <is>
          <t>BAGUA</t>
        </is>
      </c>
      <c r="E3" s="29" t="inlineStr">
        <is>
          <t>LA PECA</t>
        </is>
      </c>
      <c r="F3" s="29" t="inlineStr">
        <is>
          <t>LA PECA</t>
        </is>
      </c>
      <c r="G3" s="29" t="inlineStr">
        <is>
          <t>2013.0</t>
        </is>
      </c>
      <c r="H3" s="29" t="inlineStr">
        <is>
          <t>ACTIVIDADES DE PAISAJISMO Y SERVICIOS DE MANTENIMIENTO CONEXOS</t>
        </is>
      </c>
    </row>
    <row r="4" ht="15" customHeight="1">
      <c r="A4" s="30" t="inlineStr"/>
      <c r="B4" s="30" t="inlineStr">
        <is>
          <t>COOPERATIVA CAFETALERA LA PALMA LTDA</t>
        </is>
      </c>
      <c r="C4" s="30" t="inlineStr">
        <is>
          <t>AMAZONAS</t>
        </is>
      </c>
      <c r="D4" s="30" t="inlineStr">
        <is>
          <t>BAGUA</t>
        </is>
      </c>
      <c r="E4" s="30" t="inlineStr">
        <is>
          <t>COPALLIN</t>
        </is>
      </c>
      <c r="F4" s="30" t="inlineStr">
        <is>
          <t>COPALLIN</t>
        </is>
      </c>
      <c r="G4" s="30" t="inlineStr">
        <is>
          <t>2002.0</t>
        </is>
      </c>
      <c r="H4" s="30" t="inlineStr">
        <is>
          <t>OTRAS ACTIVIDADES DE SERVICIOS DE APOYO A LAS EMPRESAS N.C.P</t>
        </is>
      </c>
    </row>
    <row r="5" ht="15" customHeight="1">
      <c r="A5" s="29" t="inlineStr"/>
      <c r="B5" s="29" t="inlineStr">
        <is>
          <t>COOPERATIVA DE SERVICIOS MULTIPLES NORCAFE PERU</t>
        </is>
      </c>
      <c r="C5" s="29" t="inlineStr">
        <is>
          <t>AMAZONAS</t>
        </is>
      </c>
      <c r="D5" s="29" t="inlineStr">
        <is>
          <t>UTCUBAMBA</t>
        </is>
      </c>
      <c r="E5" s="29" t="inlineStr">
        <is>
          <t>LONYA GRANDE</t>
        </is>
      </c>
      <c r="F5" s="29" t="inlineStr">
        <is>
          <t>LONYA GRANDE</t>
        </is>
      </c>
      <c r="G5" s="29" t="inlineStr">
        <is>
          <t>2015.0</t>
        </is>
      </c>
      <c r="H5" s="29" t="inlineStr">
        <is>
          <t>CULTIVO DE CEREALES (EXCEPTO ARROZ), LEGUMBRES Y SEMILLAS OLEAGINOSAS</t>
        </is>
      </c>
    </row>
    <row r="6" ht="15" customHeight="1">
      <c r="A6" s="30" t="inlineStr"/>
      <c r="B6" s="30" t="inlineStr">
        <is>
          <t>COOPERATIVA AGRARIA CAFETERA LONYA GRANDE LTDA</t>
        </is>
      </c>
      <c r="C6" s="30" t="inlineStr">
        <is>
          <t>AMAZONAS</t>
        </is>
      </c>
      <c r="D6" s="30" t="inlineStr">
        <is>
          <t>UTCUBAMBA</t>
        </is>
      </c>
      <c r="E6" s="30" t="inlineStr">
        <is>
          <t>LONYA GRANDE</t>
        </is>
      </c>
      <c r="F6" s="30" t="inlineStr">
        <is>
          <t>LONYA GRANDE</t>
        </is>
      </c>
      <c r="G6" s="30" t="inlineStr">
        <is>
          <t>1995.0</t>
        </is>
      </c>
      <c r="H6" s="30" t="inlineStr">
        <is>
          <t>CULTIVO DE FRUTAS TROPICALES Y SUBTROPICALES</t>
        </is>
      </c>
    </row>
    <row r="7" ht="15" customHeight="1">
      <c r="A7" s="29" t="inlineStr"/>
      <c r="B7" s="29" t="inlineStr">
        <is>
          <t>COOPERATIVA AGRARIA CAFETALERA JUAN ALBACETE LTDA</t>
        </is>
      </c>
      <c r="C7" s="29" t="inlineStr">
        <is>
          <t>CAJAMARCA</t>
        </is>
      </c>
      <c r="D7" s="29" t="inlineStr">
        <is>
          <t>SAN IGNACIO</t>
        </is>
      </c>
      <c r="E7" s="29" t="inlineStr">
        <is>
          <t>SAN IGNACIO</t>
        </is>
      </c>
      <c r="F7" s="29" t="inlineStr">
        <is>
          <t>SAN IGNACIO</t>
        </is>
      </c>
      <c r="G7" s="29" t="inlineStr">
        <is>
          <t>1984.0</t>
        </is>
      </c>
      <c r="H7" s="29" t="inlineStr">
        <is>
          <t>CULTIVO DE PLANTAS CON LAS QUE SE PREPARAN BEBIDAS</t>
        </is>
      </c>
    </row>
    <row r="8" ht="15" customHeight="1">
      <c r="A8" s="30" t="inlineStr"/>
      <c r="B8" s="30" t="inlineStr">
        <is>
          <t>COOPERATIVA AGRARIA CAFETALERA UNION SAN IGNACIO LTDA.</t>
        </is>
      </c>
      <c r="C8" s="30" t="inlineStr">
        <is>
          <t>CAJAMARCA</t>
        </is>
      </c>
      <c r="D8" s="30" t="inlineStr">
        <is>
          <t>SAN IGNACIO</t>
        </is>
      </c>
      <c r="E8" s="30" t="inlineStr">
        <is>
          <t>SAN IGNACIO</t>
        </is>
      </c>
      <c r="F8" s="30" t="inlineStr">
        <is>
          <t>SAN IGNACIO</t>
        </is>
      </c>
      <c r="G8" s="30" t="inlineStr">
        <is>
          <t>1982.0</t>
        </is>
      </c>
      <c r="H8" s="30" t="inlineStr">
        <is>
          <t>OTRAS ACTIVIDADES DE SERVICIOS DE APOYO A LAS EMPRESAS N.C.P</t>
        </is>
      </c>
    </row>
    <row r="9" ht="15" customHeight="1">
      <c r="A9" s="29" t="inlineStr"/>
      <c r="B9" s="29" t="inlineStr">
        <is>
          <t>COOPERATIVA AGRARIA CAFETALERA CEBICAFEN LTDA..</t>
        </is>
      </c>
      <c r="C9" s="29" t="inlineStr">
        <is>
          <t>CAJAMARCA</t>
        </is>
      </c>
      <c r="D9" s="29" t="inlineStr">
        <is>
          <t>SAN IGNACIO</t>
        </is>
      </c>
      <c r="E9" s="29" t="inlineStr">
        <is>
          <t>NAMBALLE</t>
        </is>
      </c>
      <c r="F9" s="29" t="inlineStr">
        <is>
          <t>NAMBALLE</t>
        </is>
      </c>
      <c r="G9" s="29" t="inlineStr">
        <is>
          <t>2010.0</t>
        </is>
      </c>
      <c r="H9" s="29" t="inlineStr">
        <is>
          <t>CULTIVO DE CEREALES (EXCEPTO ARROZ), LEGUMBRES Y SEMILLAS OLEAGINOSAS</t>
        </is>
      </c>
    </row>
    <row r="10" ht="15" customHeight="1">
      <c r="A10" s="30" t="inlineStr"/>
      <c r="B10" s="30" t="inlineStr">
        <is>
          <t>COOPERATIVA AGRARIA CAFETALERA EL PALMA</t>
        </is>
      </c>
      <c r="C10" s="30" t="inlineStr">
        <is>
          <t>CAJAMARCA</t>
        </is>
      </c>
      <c r="D10" s="30" t="inlineStr">
        <is>
          <t>SAN IGNACIO</t>
        </is>
      </c>
      <c r="E10" s="30" t="inlineStr">
        <is>
          <t>SAN JOSE DE LOURDES</t>
        </is>
      </c>
      <c r="F10" s="30" t="inlineStr">
        <is>
          <t>EL PALMAL</t>
        </is>
      </c>
      <c r="G10" s="30" t="inlineStr">
        <is>
          <t>1994.0</t>
        </is>
      </c>
      <c r="H10" s="30" t="inlineStr">
        <is>
          <t>CULTIVO DE CEREALES (EXCEPTO ARROZ), LEGUMBRES Y SEMILLAS OLEAGINOSAS</t>
        </is>
      </c>
    </row>
    <row r="11" ht="15" customHeight="1">
      <c r="A11" s="29" t="inlineStr"/>
      <c r="B11" s="29" t="inlineStr">
        <is>
          <t>COOPERATIVA AGRARIA CAFETALERA SANTA ROSA LTDA.</t>
        </is>
      </c>
      <c r="C11" s="29" t="inlineStr">
        <is>
          <t>CAJAMARCA</t>
        </is>
      </c>
      <c r="D11" s="29" t="inlineStr">
        <is>
          <t>JAEN</t>
        </is>
      </c>
      <c r="E11" s="29" t="inlineStr">
        <is>
          <t>SANTA ROSA</t>
        </is>
      </c>
      <c r="F11" s="29" t="inlineStr">
        <is>
          <t>SANTA ROSA</t>
        </is>
      </c>
      <c r="G11" s="29" t="inlineStr">
        <is>
          <t>2010.0</t>
        </is>
      </c>
      <c r="H11" s="29" t="inlineStr">
        <is>
          <t>CULTIVO DE CEREALES (EXCEPTO ARROZ), LEGUMBRES Y SEMILLAS OLEAGINOSAS</t>
        </is>
      </c>
    </row>
    <row r="12" ht="15" customHeight="1">
      <c r="A12" s="30" t="inlineStr"/>
      <c r="B12" s="30" t="inlineStr">
        <is>
          <t>COOPERATIVA AGRARIA CAFETALERA ECOLOGICA Y DEFENSORA DE LA NATURALEZA</t>
        </is>
      </c>
      <c r="C12" s="30" t="inlineStr">
        <is>
          <t>CAJAMARCA</t>
        </is>
      </c>
      <c r="D12" s="30" t="inlineStr">
        <is>
          <t>JAEN</t>
        </is>
      </c>
      <c r="E12" s="30" t="inlineStr">
        <is>
          <t>HUABAL</t>
        </is>
      </c>
      <c r="F12" s="30" t="inlineStr">
        <is>
          <t>HUABAL</t>
        </is>
      </c>
      <c r="G12" s="30" t="inlineStr">
        <is>
          <t>2015.0</t>
        </is>
      </c>
      <c r="H12" s="30" t="inlineStr">
        <is>
          <t>CULTIVO DE CEREALES (EXCEPTO ARROZ), LEGUMBRES Y SEMILLAS OLEAGINOSAS</t>
        </is>
      </c>
    </row>
    <row r="13" ht="15" customHeight="1">
      <c r="A13" s="29" t="inlineStr"/>
      <c r="B13" s="29" t="inlineStr">
        <is>
          <t>COOPERATIVA DE SERVICIOS MULTIPLES CAFE ALTO MARAÑON</t>
        </is>
      </c>
      <c r="C13" s="29" t="inlineStr">
        <is>
          <t>CAJAMARCA</t>
        </is>
      </c>
      <c r="D13" s="29" t="inlineStr">
        <is>
          <t>JAEN</t>
        </is>
      </c>
      <c r="E13" s="29" t="inlineStr">
        <is>
          <t>JAEN</t>
        </is>
      </c>
      <c r="F13" s="29" t="inlineStr">
        <is>
          <t>JAEN</t>
        </is>
      </c>
      <c r="G13" s="29" t="inlineStr">
        <is>
          <t>2016.0</t>
        </is>
      </c>
      <c r="H13" s="29" t="inlineStr">
        <is>
          <t>VENTA AL POR MAYOR DE ALIMENTOS, BEBIDAS Y TABACO.</t>
        </is>
      </c>
    </row>
    <row r="14" ht="15" customHeight="1">
      <c r="A14" s="30" t="inlineStr"/>
      <c r="B14" s="30" t="inlineStr">
        <is>
          <t>COOPERATIVA AGRARIA CAFETALERA APROVAT</t>
        </is>
      </c>
      <c r="C14" s="30" t="inlineStr">
        <is>
          <t>CAJAMARCA</t>
        </is>
      </c>
      <c r="D14" s="30" t="inlineStr">
        <is>
          <t>SAN IGNACIO</t>
        </is>
      </c>
      <c r="E14" s="30" t="inlineStr">
        <is>
          <t>TABACONAS</t>
        </is>
      </c>
      <c r="F14" s="30" t="inlineStr">
        <is>
          <t>TAMBORAPA PUEBLO</t>
        </is>
      </c>
      <c r="G14" s="30" t="inlineStr">
        <is>
          <t>2014.0</t>
        </is>
      </c>
      <c r="H14" s="30" t="inlineStr">
        <is>
          <t>CULTIVO DE PLANTAS CON LAS QUE SE PREPARAN BEBIDAS</t>
        </is>
      </c>
    </row>
    <row r="15" ht="15" customHeight="1">
      <c r="A15" s="29" t="inlineStr"/>
      <c r="B15" s="29" t="inlineStr">
        <is>
          <t>COOPERATIVA DE SERVICIOS MULTIPLES GLOBAL CAFE</t>
        </is>
      </c>
      <c r="C15" s="29" t="inlineStr">
        <is>
          <t>CAJAMARCA</t>
        </is>
      </c>
      <c r="D15" s="29" t="inlineStr">
        <is>
          <t>SAN IGNACIO</t>
        </is>
      </c>
      <c r="E15" s="29" t="inlineStr">
        <is>
          <t>TABACONAS</t>
        </is>
      </c>
      <c r="F15" s="29" t="inlineStr">
        <is>
          <t>PALLA PEÑA</t>
        </is>
      </c>
      <c r="G15" s="29" t="inlineStr">
        <is>
          <t>2015.0</t>
        </is>
      </c>
      <c r="H15" s="29" t="inlineStr">
        <is>
          <t>ACTIVIDADES DE SERVICIO DE BEBIDAS</t>
        </is>
      </c>
    </row>
    <row r="16" ht="15" customHeight="1">
      <c r="A16" s="30" t="inlineStr"/>
      <c r="B16" s="30" t="inlineStr">
        <is>
          <t>COOPERATIVA DE SERVICIOS MULTIPLES INTEGRACIÓN DE VERDADEROS COOPERATIVISTAS CAFETALEROS</t>
        </is>
      </c>
      <c r="C16" s="30" t="inlineStr">
        <is>
          <t>CAJAMARCA</t>
        </is>
      </c>
      <c r="D16" s="30" t="inlineStr">
        <is>
          <t>SAN IGNACIO</t>
        </is>
      </c>
      <c r="E16" s="30" t="inlineStr">
        <is>
          <t>TABACONAS</t>
        </is>
      </c>
      <c r="F16" s="30" t="inlineStr">
        <is>
          <t>BERMEJA</t>
        </is>
      </c>
      <c r="G16" s="30" t="inlineStr">
        <is>
          <t>2016.0</t>
        </is>
      </c>
      <c r="H16" s="30" t="inlineStr">
        <is>
          <t>VENTA AL POR MAYOR DE ALIMENTOS, BEBIDAS Y TABACO.</t>
        </is>
      </c>
    </row>
    <row r="17" ht="15" customHeight="1">
      <c r="A17" s="29" t="inlineStr"/>
      <c r="B17" s="29" t="inlineStr">
        <is>
          <t>COOPERATIVA AGRARIA CAFETALERA ASUNCION LA COI</t>
        </is>
      </c>
      <c r="C17" s="29" t="inlineStr">
        <is>
          <t>CAJAMARCA</t>
        </is>
      </c>
      <c r="D17" s="29" t="inlineStr">
        <is>
          <t>SAN IGNACIO</t>
        </is>
      </c>
      <c r="E17" s="29" t="inlineStr">
        <is>
          <t>LA COIPA</t>
        </is>
      </c>
      <c r="F17" s="29" t="inlineStr">
        <is>
          <t>LA COIPA</t>
        </is>
      </c>
      <c r="G17" s="29" t="inlineStr">
        <is>
          <t>1973.0</t>
        </is>
      </c>
      <c r="H17" s="29" t="inlineStr">
        <is>
          <t>CULTIVO DE PLANTAS CON LAS QUE SE PREPARAN BEBIDAS</t>
        </is>
      </c>
    </row>
    <row r="18" ht="15" customHeight="1">
      <c r="A18" s="30" t="inlineStr"/>
      <c r="B18" s="30" t="inlineStr">
        <is>
          <t>COOPERATIVA DE SERVICIOS MULTIPLES SOL&amp;CAFE LTDA.</t>
        </is>
      </c>
      <c r="C18" s="30" t="inlineStr">
        <is>
          <t>CAJAMARCA</t>
        </is>
      </c>
      <c r="D18" s="30" t="inlineStr">
        <is>
          <t>JAEN</t>
        </is>
      </c>
      <c r="E18" s="30" t="inlineStr">
        <is>
          <t>JAEN</t>
        </is>
      </c>
      <c r="F18" s="30" t="inlineStr">
        <is>
          <t>JAEN</t>
        </is>
      </c>
      <c r="G18" s="30" t="inlineStr">
        <is>
          <t>2008.0</t>
        </is>
      </c>
      <c r="H18" s="30" t="inlineStr">
        <is>
          <t>CULTIVO DE CEREALES (EXCEPTO ARROZ), LEGUMBRES Y SEMILLAS OLEAGINOSAS</t>
        </is>
      </c>
    </row>
    <row r="19" ht="15" customHeight="1">
      <c r="A19" s="29" t="inlineStr"/>
      <c r="B19" s="29" t="inlineStr">
        <is>
          <t>COOPERATIVA AGRARIA CAFETALERA Y DE CACAO ALTAMIZA - COODirectorio PACCAL</t>
        </is>
      </c>
      <c r="C19" s="29" t="inlineStr">
        <is>
          <t>CAJAMARCA</t>
        </is>
      </c>
      <c r="D19" s="29" t="inlineStr">
        <is>
          <t>JAEN</t>
        </is>
      </c>
      <c r="E19" s="29" t="inlineStr">
        <is>
          <t>JAEN</t>
        </is>
      </c>
      <c r="F19" s="29" t="inlineStr">
        <is>
          <t>JAEN</t>
        </is>
      </c>
      <c r="G19" s="29" t="inlineStr">
        <is>
          <t>2015.0</t>
        </is>
      </c>
      <c r="H19" s="29" t="inlineStr">
        <is>
          <t>VENTA AL POR MAYOR DE MATERIAS PRIMAS AGROPECUARIAS Y ANIMALES VIVOS.</t>
        </is>
      </c>
    </row>
    <row r="20" ht="15" customHeight="1">
      <c r="A20" s="30" t="inlineStr"/>
      <c r="B20" s="30" t="inlineStr">
        <is>
          <t>COOPERATIVA AGRARIA CACAOTERA DE LORETO COACAL</t>
        </is>
      </c>
      <c r="C20" s="30" t="inlineStr">
        <is>
          <t>LORETO</t>
        </is>
      </c>
      <c r="D20" s="30" t="inlineStr">
        <is>
          <t>MAYNAS</t>
        </is>
      </c>
      <c r="E20" s="30" t="inlineStr">
        <is>
          <t>IQUITOS</t>
        </is>
      </c>
      <c r="F20" s="30" t="inlineStr">
        <is>
          <t>IQUITOS</t>
        </is>
      </c>
      <c r="G20" s="30" t="inlineStr">
        <is>
          <t>2012.0</t>
        </is>
      </c>
      <c r="H20" s="30" t="inlineStr">
        <is>
          <t>ELABORACIÓN DE CACAO Y CHOCOLATE Y DE PRODUCTOS DE CONFITERÍA</t>
        </is>
      </c>
    </row>
    <row r="21" ht="15" customHeight="1">
      <c r="A21" s="29" t="inlineStr"/>
      <c r="B21" s="29" t="inlineStr">
        <is>
          <t>COOPERATIVA AGRARIA DE CACAO LA INMACULADA LTDA</t>
        </is>
      </c>
      <c r="C21" s="29" t="inlineStr">
        <is>
          <t>LORETO</t>
        </is>
      </c>
      <c r="D21" s="29" t="inlineStr">
        <is>
          <t>ALTO AMAZONAS</t>
        </is>
      </c>
      <c r="E21" s="29" t="inlineStr">
        <is>
          <t>YURIMAGUAS</t>
        </is>
      </c>
      <c r="F21" s="29" t="inlineStr">
        <is>
          <t>NO TIENE</t>
        </is>
      </c>
      <c r="G21" s="29" t="inlineStr">
        <is>
          <t>2015.0</t>
        </is>
      </c>
      <c r="H21" s="29" t="inlineStr">
        <is>
          <t>CULTIVO DE PLANTAS CON LAS QUE SE PREPARAN BEBIDAS</t>
        </is>
      </c>
    </row>
    <row r="22" ht="15" customHeight="1">
      <c r="A22" s="30" t="inlineStr"/>
      <c r="B22" s="30" t="inlineStr">
        <is>
          <t>COOPERATIVA AGRARIA CACAOTERA CASELDO LTDA.</t>
        </is>
      </c>
      <c r="C22" s="30" t="inlineStr">
        <is>
          <t>SAN MARTIN</t>
        </is>
      </c>
      <c r="D22" s="30" t="inlineStr">
        <is>
          <t>SAN MARTIN</t>
        </is>
      </c>
      <c r="E22" s="30" t="inlineStr">
        <is>
          <t>LA BANDA DE SHILCAYO</t>
        </is>
      </c>
      <c r="F22" s="30" t="inlineStr">
        <is>
          <t>LA BANDA DE SHILCAYO</t>
        </is>
      </c>
      <c r="G22" s="30" t="inlineStr">
        <is>
          <t>2014.0</t>
        </is>
      </c>
      <c r="H22" s="30" t="inlineStr">
        <is>
          <t>VENTA AL POR MAYOR DE MATERIAS PRIMAS AGROPECUARIAS Y ANIMALES VIVOS.</t>
        </is>
      </c>
    </row>
    <row r="23" ht="15" customHeight="1">
      <c r="A23" s="29" t="inlineStr"/>
      <c r="B23" s="29" t="inlineStr">
        <is>
          <t>COOPERATIVA AGRARIA CAFETALERA FE Y ESPERANZA VALLE DEL ALTO MAYO LTDA.</t>
        </is>
      </c>
      <c r="C23" s="29" t="inlineStr">
        <is>
          <t>SAN MARTIN</t>
        </is>
      </c>
      <c r="D23" s="29" t="inlineStr">
        <is>
          <t>MOYOBAMBA</t>
        </is>
      </c>
      <c r="E23" s="29" t="inlineStr">
        <is>
          <t>MOYOBAMBA</t>
        </is>
      </c>
      <c r="F23" s="29" t="inlineStr">
        <is>
          <t>MOYOBAMBA</t>
        </is>
      </c>
      <c r="G23" s="29" t="inlineStr">
        <is>
          <t>2004.0</t>
        </is>
      </c>
      <c r="H23" s="29" t="inlineStr">
        <is>
          <t>CULTIVO DE CEREALES (EXCEPTO ARROZ), LEGUMBRES Y SEMILLAS OLEAGINOSAS</t>
        </is>
      </c>
    </row>
    <row r="24" ht="15" customHeight="1">
      <c r="A24" s="30" t="inlineStr"/>
      <c r="B24" s="30" t="inlineStr">
        <is>
          <t>COOPERATIVA AGROINDUSTRIAL CACAOTERA VALLE DEL ALTO MAYO</t>
        </is>
      </c>
      <c r="C24" s="30" t="inlineStr">
        <is>
          <t>SAN MARTIN</t>
        </is>
      </c>
      <c r="D24" s="30" t="inlineStr">
        <is>
          <t>MOYOBAMBA</t>
        </is>
      </c>
      <c r="E24" s="30" t="inlineStr">
        <is>
          <t>MOYOBAMBA</t>
        </is>
      </c>
      <c r="F24" s="30" t="inlineStr">
        <is>
          <t>MOYOBAMBA</t>
        </is>
      </c>
      <c r="G24" s="30" t="inlineStr">
        <is>
          <t>2009.0</t>
        </is>
      </c>
      <c r="H24" s="30" t="inlineStr">
        <is>
          <t>VENTA AL POR MAYOR DE MATERIAS PRIMAS AGROPECUARIAS Y ANIMALES VIVOS.</t>
        </is>
      </c>
    </row>
    <row r="25" ht="15" customHeight="1">
      <c r="A25" s="29" t="inlineStr"/>
      <c r="B25" s="29" t="inlineStr">
        <is>
          <t>COOPERATIVA DE PRODUCTORES DE CAFÉ EL OBRERO</t>
        </is>
      </c>
      <c r="C25" s="29" t="inlineStr">
        <is>
          <t>SAN MARTIN</t>
        </is>
      </c>
      <c r="D25" s="29" t="inlineStr">
        <is>
          <t>MOYOBAMBA</t>
        </is>
      </c>
      <c r="E25" s="29" t="inlineStr">
        <is>
          <t>MOYOBAMBA</t>
        </is>
      </c>
      <c r="F25" s="29" t="inlineStr">
        <is>
          <t>MOYOBAMBA</t>
        </is>
      </c>
      <c r="G25" s="29" t="inlineStr">
        <is>
          <t>2016.0</t>
        </is>
      </c>
      <c r="H25" s="29" t="inlineStr">
        <is>
          <t>CULTIVO DE PRODUCTOS AGRÌCOLAS EN COMBINACIÒN CON LA CRÌA DE ANIMALES</t>
        </is>
      </c>
    </row>
    <row r="26" ht="15" customHeight="1">
      <c r="A26" s="30" t="inlineStr"/>
      <c r="B26" s="30" t="inlineStr">
        <is>
          <t>COOPERATIVA AGRARIA DE SERVICIOS MULTIPLES CAFE DONCEL</t>
        </is>
      </c>
      <c r="C26" s="30" t="inlineStr">
        <is>
          <t>SAN MARTIN</t>
        </is>
      </c>
      <c r="D26" s="30" t="inlineStr">
        <is>
          <t>MOYOBAMBA</t>
        </is>
      </c>
      <c r="E26" s="30" t="inlineStr">
        <is>
          <t>SORITOR</t>
        </is>
      </c>
      <c r="F26" s="30" t="inlineStr">
        <is>
          <t>SORITOR</t>
        </is>
      </c>
      <c r="G26" s="30" t="inlineStr">
        <is>
          <t>2016.0</t>
        </is>
      </c>
      <c r="H26" s="30" t="inlineStr">
        <is>
          <t>CULTIVO DE PLANTAS CON LAS QUE SE PREPARAN BEBIDAS</t>
        </is>
      </c>
    </row>
    <row r="27" ht="15" customHeight="1">
      <c r="A27" s="29" t="inlineStr"/>
      <c r="B27" s="29" t="inlineStr">
        <is>
          <t>COOPERATIVA AGRARIA DE PRODUCTORES DE CACAO UCHICINOS LTDA - CAPCU LTDA</t>
        </is>
      </c>
      <c r="C27" s="29" t="inlineStr">
        <is>
          <t>SAN MARTIN</t>
        </is>
      </c>
      <c r="D27" s="29" t="inlineStr">
        <is>
          <t>TOCACHE</t>
        </is>
      </c>
      <c r="E27" s="29" t="inlineStr">
        <is>
          <t>UCHIZA</t>
        </is>
      </c>
      <c r="F27" s="29" t="inlineStr">
        <is>
          <t>UCHIZA</t>
        </is>
      </c>
      <c r="G27" s="29" t="inlineStr">
        <is>
          <t>2007.0</t>
        </is>
      </c>
      <c r="H27" s="29" t="inlineStr">
        <is>
          <t>CULTIVO DE CEREALES (EXCEPTO ARROZ), LEGUMBRES Y SEMILLAS OLEAGINOSAS</t>
        </is>
      </c>
    </row>
    <row r="28" ht="15" customHeight="1">
      <c r="A28" s="30" t="inlineStr"/>
      <c r="B28" s="30" t="inlineStr">
        <is>
          <t>COOPERATIVA AGRARIA Y DE SERVICIOS PRODUCTORES DE CACAO ORGANICO DE CHAZUTA LIMITADA</t>
        </is>
      </c>
      <c r="C28" s="30" t="inlineStr">
        <is>
          <t>SAN MARTIN</t>
        </is>
      </c>
      <c r="D28" s="30" t="inlineStr">
        <is>
          <t>SAN MARTIN</t>
        </is>
      </c>
      <c r="E28" s="30" t="inlineStr">
        <is>
          <t>TARAPOTO</t>
        </is>
      </c>
      <c r="F28" s="30" t="inlineStr">
        <is>
          <t>TARAPOTO</t>
        </is>
      </c>
      <c r="G28" s="30" t="inlineStr">
        <is>
          <t>2011.0</t>
        </is>
      </c>
      <c r="H28" s="30" t="inlineStr">
        <is>
          <t>CULTIVO DE PRODUCTOS AGRÌCOLAS EN COMBINACIÒN CON LA CRÌA DE ANIMALES</t>
        </is>
      </c>
    </row>
    <row r="29" ht="15" customHeight="1">
      <c r="A29" s="29" t="inlineStr"/>
      <c r="B29" s="29" t="inlineStr">
        <is>
          <t>COOPERATIVA AGRARIA CAFETALERA LAMAS LTD</t>
        </is>
      </c>
      <c r="C29" s="29" t="inlineStr">
        <is>
          <t>SAN MARTIN</t>
        </is>
      </c>
      <c r="D29" s="29" t="inlineStr">
        <is>
          <t>LAMAS</t>
        </is>
      </c>
      <c r="E29" s="29" t="inlineStr">
        <is>
          <t>LAMAS</t>
        </is>
      </c>
      <c r="F29" s="29" t="inlineStr">
        <is>
          <t>LAMAS</t>
        </is>
      </c>
      <c r="G29" s="29" t="inlineStr">
        <is>
          <t>1995.0</t>
        </is>
      </c>
      <c r="H29" s="29" t="inlineStr">
        <is>
          <t>CULTIVO DE PRODUCTOS AGRÌCOLAS EN COMBINACIÒN CON LA CRÌA DE ANIMALES</t>
        </is>
      </c>
    </row>
    <row r="30" ht="15" customHeight="1">
      <c r="A30" s="30" t="inlineStr"/>
      <c r="B30" s="30" t="inlineStr">
        <is>
          <t>COOPERATIVA CAFETALERA CRISTO REY</t>
        </is>
      </c>
      <c r="C30" s="30" t="inlineStr">
        <is>
          <t>SAN MARTIN</t>
        </is>
      </c>
      <c r="D30" s="30" t="inlineStr">
        <is>
          <t>LAMAS</t>
        </is>
      </c>
      <c r="E30" s="30" t="inlineStr">
        <is>
          <t>LAMAS</t>
        </is>
      </c>
      <c r="F30" s="30" t="inlineStr">
        <is>
          <t>PAMASHTO</t>
        </is>
      </c>
      <c r="G30" s="30" t="inlineStr">
        <is>
          <t>2005.0</t>
        </is>
      </c>
      <c r="H30" s="30" t="inlineStr">
        <is>
          <t>CULTIVO DE CEREALES (EXCEPTO ARROZ), LEGUMBRES Y SEMILLAS OLEAGINOSAS</t>
        </is>
      </c>
    </row>
    <row r="31" ht="15" customHeight="1">
      <c r="A31" s="29" t="inlineStr"/>
      <c r="B31" s="29" t="inlineStr">
        <is>
          <t>COOPERATIVA AGRARIA DE SERVICIOS MUJERES TECNOLOGAS CACAOTERAS DE LA PROVINCIA DE HUALLAGA LTDA.</t>
        </is>
      </c>
      <c r="C31" s="29" t="inlineStr">
        <is>
          <t>SAN MARTIN</t>
        </is>
      </c>
      <c r="D31" s="29" t="inlineStr">
        <is>
          <t>HUALLAGA</t>
        </is>
      </c>
      <c r="E31" s="29" t="inlineStr">
        <is>
          <t>SAPOSOA</t>
        </is>
      </c>
      <c r="F31" s="29" t="inlineStr">
        <is>
          <t>SAPOSOA</t>
        </is>
      </c>
      <c r="G31" s="29" t="inlineStr">
        <is>
          <t>2011.0</t>
        </is>
      </c>
      <c r="H31" s="29" t="inlineStr">
        <is>
          <t>CULTIVO DE PLANTAS CON LAS QUE SE PREPARAN BEBIDAS</t>
        </is>
      </c>
    </row>
    <row r="32" ht="15" customHeight="1">
      <c r="A32" s="30" t="inlineStr"/>
      <c r="B32" s="30" t="inlineStr">
        <is>
          <t>COOPERATIVA AGRARIA CAFETALERA DE HUALLAGA LTDA.</t>
        </is>
      </c>
      <c r="C32" s="30" t="inlineStr">
        <is>
          <t>SAN MARTIN</t>
        </is>
      </c>
      <c r="D32" s="30" t="inlineStr">
        <is>
          <t>HUALLAGA</t>
        </is>
      </c>
      <c r="E32" s="30" t="inlineStr">
        <is>
          <t>SAPOSOA</t>
        </is>
      </c>
      <c r="F32" s="30" t="inlineStr">
        <is>
          <t>SAPOSOA</t>
        </is>
      </c>
      <c r="G32" s="30" t="inlineStr">
        <is>
          <t>2011.0</t>
        </is>
      </c>
      <c r="H32" s="30" t="inlineStr">
        <is>
          <t>CULTIVO DE CEREALES (EXCEPTO ARROZ), LEGUMBRES Y SEMILLAS OLEAGINOSAS</t>
        </is>
      </c>
    </row>
    <row r="33" ht="15" customHeight="1">
      <c r="A33" s="29" t="inlineStr"/>
      <c r="B33" s="29" t="inlineStr">
        <is>
          <t>COOPERATIVA AGRARIA CAFETALERA ALTO HUALLAGA TOCACHE LTDA.</t>
        </is>
      </c>
      <c r="C33" s="29" t="inlineStr">
        <is>
          <t>SAN MARTIN</t>
        </is>
      </c>
      <c r="D33" s="29" t="inlineStr">
        <is>
          <t>TOCACHE</t>
        </is>
      </c>
      <c r="E33" s="29" t="inlineStr">
        <is>
          <t>TOCACHE</t>
        </is>
      </c>
      <c r="F33" s="29" t="inlineStr">
        <is>
          <t>TOCACHE</t>
        </is>
      </c>
      <c r="G33" s="29" t="inlineStr">
        <is>
          <t>2013.0</t>
        </is>
      </c>
      <c r="H33" s="29" t="inlineStr">
        <is>
          <t>ACTIVIDADES DE APOYO A LA AGRICULTURA</t>
        </is>
      </c>
    </row>
    <row r="34" ht="15" customHeight="1">
      <c r="A34" s="30" t="inlineStr"/>
      <c r="B34" s="30" t="inlineStr">
        <is>
          <t>COOPERATIVA AGRARIA DE CACAOTEROS TECNIFICADOS DE PADRE ABAD</t>
        </is>
      </c>
      <c r="C34" s="30" t="inlineStr">
        <is>
          <t>UCAYALI</t>
        </is>
      </c>
      <c r="D34" s="30" t="inlineStr">
        <is>
          <t>PADRE ABAD</t>
        </is>
      </c>
      <c r="E34" s="30" t="inlineStr">
        <is>
          <t>IRAZOLA</t>
        </is>
      </c>
      <c r="F34" s="30" t="inlineStr">
        <is>
          <t>SAN ALEJANDRO</t>
        </is>
      </c>
      <c r="G34" s="30" t="inlineStr">
        <is>
          <t>2015.0</t>
        </is>
      </c>
      <c r="H34" s="30" t="inlineStr">
        <is>
          <t>CULTIVO DE ESPECIAS Y DE PLANTAS AROMÁTICAS, MEDICINALES Y FARMACEUTICAS</t>
        </is>
      </c>
    </row>
    <row r="35" ht="15" customHeight="1">
      <c r="A35" s="29" t="inlineStr"/>
      <c r="B35" s="29" t="inlineStr">
        <is>
          <t>COOPERATIVA DE PRODUCTORES DE CACAO FINO Y DE AROMA</t>
        </is>
      </c>
      <c r="C35" s="29" t="inlineStr">
        <is>
          <t>UCAYALI</t>
        </is>
      </c>
      <c r="D35" s="29" t="inlineStr">
        <is>
          <t>PADRE ABAD</t>
        </is>
      </c>
      <c r="E35" s="29" t="inlineStr">
        <is>
          <t>PADRE ABAD</t>
        </is>
      </c>
      <c r="F35" s="29" t="inlineStr">
        <is>
          <t>HUIPOCA</t>
        </is>
      </c>
      <c r="G35" s="29" t="inlineStr">
        <is>
          <t>2016.0</t>
        </is>
      </c>
      <c r="H35" s="29" t="inlineStr">
        <is>
          <t>VENTA AL POR MAYOR DE MATERIAS PRIMAS AGROPECUARIAS Y ANIMALES VIVOS.</t>
        </is>
      </c>
    </row>
    <row r="36" ht="15" customHeight="1">
      <c r="A36" s="30" t="inlineStr"/>
      <c r="B36" s="30" t="inlineStr">
        <is>
          <t>COOPERATIVA AGRARIA DE CACAOTEROS CAMPOS VERDES DE CAMPO VERDE</t>
        </is>
      </c>
      <c r="C36" s="30" t="inlineStr">
        <is>
          <t>UCAYALI</t>
        </is>
      </c>
      <c r="D36" s="30" t="inlineStr">
        <is>
          <t>CORONEL PORTILLO</t>
        </is>
      </c>
      <c r="E36" s="30" t="inlineStr">
        <is>
          <t>CAMPOVERDE</t>
        </is>
      </c>
      <c r="F36" s="30" t="inlineStr">
        <is>
          <t>CAMPOVERDE</t>
        </is>
      </c>
      <c r="G36" s="30" t="inlineStr">
        <is>
          <t>2017.0</t>
        </is>
      </c>
      <c r="H36" s="30" t="inlineStr">
        <is>
          <t>CULTIVO DE CEREALES (EXCEPTO ARROZ), LEGUMBRES Y SEMILLAS OLEAGINOSAS</t>
        </is>
      </c>
    </row>
    <row r="37" ht="15" customHeight="1">
      <c r="A37" s="29" t="inlineStr"/>
      <c r="B37" s="29" t="inlineStr">
        <is>
          <t>COOPERATIVA AGRARIA CAFETALERA MARANURA LTDA. N° 129</t>
        </is>
      </c>
      <c r="C37" s="29" t="inlineStr">
        <is>
          <t>CUSCO</t>
        </is>
      </c>
      <c r="D37" s="29" t="inlineStr">
        <is>
          <t>LA CONVENCION</t>
        </is>
      </c>
      <c r="E37" s="29" t="inlineStr">
        <is>
          <t>MARANURA</t>
        </is>
      </c>
      <c r="F37" s="29" t="inlineStr">
        <is>
          <t>MARANURA ALTA</t>
        </is>
      </c>
      <c r="G37" s="29" t="inlineStr">
        <is>
          <t>1964.0</t>
        </is>
      </c>
      <c r="H37" s="29" t="inlineStr">
        <is>
          <t>VENTA AL POR MAYOR DE ALIMENTOS, BEBIDAS Y TABACO.</t>
        </is>
      </c>
    </row>
    <row r="38" ht="15" customHeight="1">
      <c r="A38" s="30" t="inlineStr"/>
      <c r="B38" s="30" t="inlineStr">
        <is>
          <t>COOPERATIVA AGRARIA CAFETALERA MACHUPICCHU LTDA. - C.A.C. MACHUPICCHU LTDA.</t>
        </is>
      </c>
      <c r="C38" s="30" t="inlineStr">
        <is>
          <t>CUSCO</t>
        </is>
      </c>
      <c r="D38" s="30" t="inlineStr">
        <is>
          <t>LA CONVENCION</t>
        </is>
      </c>
      <c r="E38" s="30" t="inlineStr">
        <is>
          <t>SANTA ANA</t>
        </is>
      </c>
      <c r="F38" s="30" t="inlineStr">
        <is>
          <t>QUILLABAMBA</t>
        </is>
      </c>
      <c r="G38" s="30" t="inlineStr">
        <is>
          <t>2014.0</t>
        </is>
      </c>
      <c r="H38" s="30" t="inlineStr">
        <is>
          <t>CULTIVO DE PRODUCTOS AGRÌCOLAS EN COMBINACIÒN CON LA CRÌA DE ANIMALES</t>
        </is>
      </c>
    </row>
    <row r="39" ht="15" customHeight="1">
      <c r="A39" s="29" t="inlineStr"/>
      <c r="B39" s="29" t="inlineStr">
        <is>
          <t>COOPERATIVA AGRARIA CAFETALERA TUDirectorio PAC AMARU LTDA. N° 115</t>
        </is>
      </c>
      <c r="C39" s="29" t="inlineStr">
        <is>
          <t>CUSCO</t>
        </is>
      </c>
      <c r="D39" s="29" t="inlineStr">
        <is>
          <t>LA CONVENCION</t>
        </is>
      </c>
      <c r="E39" s="29" t="inlineStr">
        <is>
          <t>SANTA ANA</t>
        </is>
      </c>
      <c r="F39" s="29" t="inlineStr">
        <is>
          <t>QUILLABAMBA</t>
        </is>
      </c>
      <c r="G39" s="29" t="inlineStr">
        <is>
          <t>1964.0</t>
        </is>
      </c>
      <c r="H39" s="29" t="inlineStr">
        <is>
          <t>VENTA AL POR MAYOR DE ALIMENTOS, BEBIDAS Y TABACO.</t>
        </is>
      </c>
    </row>
    <row r="40" ht="15" customHeight="1">
      <c r="A40" s="30" t="inlineStr"/>
      <c r="B40" s="30" t="inlineStr">
        <is>
          <t>COOP. AGRARIA CAFETALERA HUAYANAY LTDA.</t>
        </is>
      </c>
      <c r="C40" s="30" t="inlineStr">
        <is>
          <t>CUSCO</t>
        </is>
      </c>
      <c r="D40" s="30" t="inlineStr">
        <is>
          <t>LA CONVENCION</t>
        </is>
      </c>
      <c r="E40" s="30" t="inlineStr">
        <is>
          <t>SANTA ANA</t>
        </is>
      </c>
      <c r="F40" s="30" t="inlineStr">
        <is>
          <t>QUILLABAMBA</t>
        </is>
      </c>
      <c r="G40" s="30" t="inlineStr">
        <is>
          <t>1985.0</t>
        </is>
      </c>
      <c r="H40" s="30" t="inlineStr">
        <is>
          <t>VENTA AL POR MAYOR DE ALIMENTOS, BEBIDAS Y TABACO.</t>
        </is>
      </c>
    </row>
    <row r="41" ht="15" customHeight="1">
      <c r="A41" s="29" t="inlineStr"/>
      <c r="B41" s="29" t="inlineStr">
        <is>
          <t>COOPERATIVA AGRARIA CAFETALERA PAQUIVO LIMITADA</t>
        </is>
      </c>
      <c r="C41" s="29" t="inlineStr">
        <is>
          <t>CUSCO</t>
        </is>
      </c>
      <c r="D41" s="29" t="inlineStr">
        <is>
          <t>LA CONVENCION</t>
        </is>
      </c>
      <c r="E41" s="29" t="inlineStr">
        <is>
          <t>ECHARATE</t>
        </is>
      </c>
      <c r="F41" s="29" t="inlineStr">
        <is>
          <t>IVOCHOTE</t>
        </is>
      </c>
      <c r="G41" s="29" t="inlineStr">
        <is>
          <t>2015.0</t>
        </is>
      </c>
      <c r="H41" s="29" t="inlineStr">
        <is>
          <t>ELABORACIÓN DE CACAO Y CHOCOLATE Y DE PRODUCTOS DE CONFITERÍA</t>
        </is>
      </c>
    </row>
    <row r="42" ht="15" customHeight="1">
      <c r="A42" s="30" t="inlineStr"/>
      <c r="B42" s="30" t="inlineStr">
        <is>
          <t>COOPERATIVA AGRARIA CAFETALERA JOSE CARLOS MARIATEGUI LTDA. N° 036-VII</t>
        </is>
      </c>
      <c r="C42" s="30" t="inlineStr">
        <is>
          <t>CUSCO</t>
        </is>
      </c>
      <c r="D42" s="30" t="inlineStr">
        <is>
          <t>LA CONVENCION</t>
        </is>
      </c>
      <c r="E42" s="30" t="inlineStr">
        <is>
          <t>OCOBAMBA</t>
        </is>
      </c>
      <c r="F42" s="30" t="inlineStr">
        <is>
          <t>JOSE CARLOS MAREATEGUI DE SAN LORENZO</t>
        </is>
      </c>
      <c r="G42" s="30" t="inlineStr">
        <is>
          <t>1993.0</t>
        </is>
      </c>
      <c r="H42" s="30" t="inlineStr">
        <is>
          <t>VENTA AL POR MAYOR DE ALIMENTOS, BEBIDAS Y TABACO.</t>
        </is>
      </c>
    </row>
    <row r="43" ht="15" customHeight="1">
      <c r="A43" s="29" t="inlineStr"/>
      <c r="B43" s="29" t="inlineStr">
        <is>
          <t>COOPERATIVA AGRARIA CAFETALERA TIRIJUAY PAVAYOC LTDA. N° 013-B-VII</t>
        </is>
      </c>
      <c r="C43" s="29" t="inlineStr">
        <is>
          <t>CUSCO</t>
        </is>
      </c>
      <c r="D43" s="29" t="inlineStr">
        <is>
          <t>LA CONVENCION</t>
        </is>
      </c>
      <c r="E43" s="29" t="inlineStr">
        <is>
          <t>OCOBAMBA</t>
        </is>
      </c>
      <c r="F43" s="29" t="inlineStr">
        <is>
          <t>VERSALLES</t>
        </is>
      </c>
      <c r="G43" s="29" t="inlineStr">
        <is>
          <t>1993.0</t>
        </is>
      </c>
      <c r="H43" s="29" t="inlineStr">
        <is>
          <t>CULTIVO DE PLANTAS CON LAS QUE SE PREPARAN BEBIDAS</t>
        </is>
      </c>
    </row>
    <row r="44" ht="15" customHeight="1">
      <c r="A44" s="30" t="inlineStr"/>
      <c r="B44" s="30" t="inlineStr">
        <is>
          <t>COOPERATIVA AGRARIA CAFETALERA ARENAL</t>
        </is>
      </c>
      <c r="C44" s="30" t="inlineStr">
        <is>
          <t>CUSCO</t>
        </is>
      </c>
      <c r="D44" s="30" t="inlineStr">
        <is>
          <t>CALCA</t>
        </is>
      </c>
      <c r="E44" s="30" t="inlineStr">
        <is>
          <t>YANATILE</t>
        </is>
      </c>
      <c r="F44" s="30" t="inlineStr">
        <is>
          <t>ARENAL</t>
        </is>
      </c>
      <c r="G44" s="30" t="inlineStr">
        <is>
          <t>1980.0</t>
        </is>
      </c>
      <c r="H44" s="30" t="inlineStr">
        <is>
          <t>CULTIVO DE PLANTAS CON LAS QUE SE PREPARAN BEBIDAS</t>
        </is>
      </c>
    </row>
    <row r="45" ht="15" customHeight="1">
      <c r="A45" s="29" t="inlineStr"/>
      <c r="B45" s="29" t="inlineStr">
        <is>
          <t>COOPERATIVA AGRARIA CAFETALERA MEGANTONI LIMITADA - C.A.C. MEGANTONI LTDA</t>
        </is>
      </c>
      <c r="C45" s="29" t="inlineStr">
        <is>
          <t>CUSCO</t>
        </is>
      </c>
      <c r="D45" s="29" t="inlineStr">
        <is>
          <t>CALCA</t>
        </is>
      </c>
      <c r="E45" s="29" t="inlineStr">
        <is>
          <t>YANATILE</t>
        </is>
      </c>
      <c r="F45" s="29" t="inlineStr">
        <is>
          <t>ESTRELLA</t>
        </is>
      </c>
      <c r="G45" s="29" t="inlineStr">
        <is>
          <t>2013.0</t>
        </is>
      </c>
      <c r="H45" s="29" t="inlineStr">
        <is>
          <t>ELABORACIÓN DE OTROS PRODUCTOS ALIMENTICIOS N.C.P.</t>
        </is>
      </c>
    </row>
    <row r="46" ht="15" customHeight="1">
      <c r="A46" s="30" t="inlineStr"/>
      <c r="B46" s="30" t="inlineStr">
        <is>
          <t>COOPERATIVA AGRARIA CACAOTERA DE MADRE DE DIOS LTDA.. - COODirectorio PACMDD</t>
        </is>
      </c>
      <c r="C46" s="30" t="inlineStr">
        <is>
          <t>MADRE DE DIOS</t>
        </is>
      </c>
      <c r="D46" s="30" t="inlineStr">
        <is>
          <t>TAMBOPATA</t>
        </is>
      </c>
      <c r="E46" s="30" t="inlineStr">
        <is>
          <t>TAMBOPATA</t>
        </is>
      </c>
      <c r="F46" s="30" t="inlineStr">
        <is>
          <t>TAMBOPATA</t>
        </is>
      </c>
      <c r="G46" s="30" t="inlineStr">
        <is>
          <t>2013.0</t>
        </is>
      </c>
      <c r="H46" s="30" t="inlineStr">
        <is>
          <t>CULTIVO DE PLANTAS CON LAS QUE SE PREPARAN BEBIDAS</t>
        </is>
      </c>
    </row>
    <row r="47" ht="15" customHeight="1">
      <c r="A47" s="29" t="inlineStr"/>
      <c r="B47" s="29" t="inlineStr">
        <is>
          <t>COOPERATIVA AGRARIA CAFETELERA SAN ISIDRO LTDA.</t>
        </is>
      </c>
      <c r="C47" s="29" t="inlineStr">
        <is>
          <t>PUNO</t>
        </is>
      </c>
      <c r="D47" s="29" t="inlineStr">
        <is>
          <t>SANDIA</t>
        </is>
      </c>
      <c r="E47" s="29" t="inlineStr">
        <is>
          <t>YANAHUAYA</t>
        </is>
      </c>
      <c r="F47" s="29" t="inlineStr">
        <is>
          <t>YANAHUAYA</t>
        </is>
      </c>
      <c r="G47" s="29" t="inlineStr">
        <is>
          <t>1966.0</t>
        </is>
      </c>
      <c r="H47" s="29" t="inlineStr">
        <is>
          <t>CULTIVO DE PRODUCTOS AGRÌCOLAS EN COMBINACIÒN CON LA CRÌA DE ANIMALES</t>
        </is>
      </c>
    </row>
    <row r="48" ht="15" customHeight="1">
      <c r="A48" s="30" t="inlineStr"/>
      <c r="B48" s="30" t="inlineStr">
        <is>
          <t>COOPERATIVA AGRARIA CAFETALERA DE SERVICIOS MULTIPLES Y DE CONSUMO CHARUYO LTDA.</t>
        </is>
      </c>
      <c r="C48" s="30" t="inlineStr">
        <is>
          <t>PUNO</t>
        </is>
      </c>
      <c r="D48" s="30" t="inlineStr">
        <is>
          <t>SANDIA</t>
        </is>
      </c>
      <c r="E48" s="30" t="inlineStr">
        <is>
          <t>SAN JUAN DEL ORO</t>
        </is>
      </c>
      <c r="F48" s="30" t="inlineStr">
        <is>
          <t>SAN JUAN DEL ORO</t>
        </is>
      </c>
      <c r="G48" s="30" t="inlineStr">
        <is>
          <t>1966.0</t>
        </is>
      </c>
      <c r="H48" s="30" t="inlineStr">
        <is>
          <t>CULTIVO DE PRODUCTOS AGRÌCOLAS EN COMBINACIÒN CON LA CRÌA DE ANIMALES</t>
        </is>
      </c>
    </row>
    <row r="49" ht="15" customHeight="1">
      <c r="A49" s="29" t="inlineStr"/>
      <c r="B49" s="29" t="inlineStr">
        <is>
          <t>COOPERATIVA AGROINDUSTRIAL CACAO ALTO HUALLAGA</t>
        </is>
      </c>
      <c r="C49" s="29" t="inlineStr">
        <is>
          <t>HUANUCO</t>
        </is>
      </c>
      <c r="D49" s="29" t="inlineStr">
        <is>
          <t>LEONCIO PRADO</t>
        </is>
      </c>
      <c r="E49" s="29" t="inlineStr">
        <is>
          <t>RUPA-RUPA</t>
        </is>
      </c>
      <c r="F49" s="29" t="inlineStr">
        <is>
          <t>CASTILLO GRANDE</t>
        </is>
      </c>
      <c r="G49" s="29" t="inlineStr">
        <is>
          <t>2009.0</t>
        </is>
      </c>
      <c r="H49" s="29" t="inlineStr">
        <is>
          <t>VENTA AL POR MAYOR DE MATERIAS PRIMAS AGROPECUARIAS Y ANIMALES VIVOS.</t>
        </is>
      </c>
    </row>
    <row r="50" ht="15" customHeight="1">
      <c r="A50" s="30" t="inlineStr"/>
      <c r="B50" s="30" t="inlineStr">
        <is>
          <t>COOPERATIVA AGRARIA CACAOTERA NUEVA ESPERANZA DEL CASERIO DE SANTA MARTHA LTDA.</t>
        </is>
      </c>
      <c r="C50" s="30" t="inlineStr">
        <is>
          <t>HUANUCO</t>
        </is>
      </c>
      <c r="D50" s="30" t="inlineStr">
        <is>
          <t>LEONCIO PRADO</t>
        </is>
      </c>
      <c r="E50" s="30" t="inlineStr">
        <is>
          <t>RUPA-RUPA</t>
        </is>
      </c>
      <c r="F50" s="30" t="inlineStr">
        <is>
          <t>TINGO MARIA</t>
        </is>
      </c>
      <c r="G50" s="30" t="inlineStr">
        <is>
          <t>2011.0</t>
        </is>
      </c>
      <c r="H50" s="30" t="inlineStr">
        <is>
          <t>CULTIVO DE FRUTAS TROPICALES Y SUBTROPICALES</t>
        </is>
      </c>
    </row>
    <row r="51" ht="15" customHeight="1">
      <c r="A51" s="29" t="inlineStr"/>
      <c r="B51" s="29" t="inlineStr">
        <is>
          <t>COOPERATIVA AGRARIA CAFETALERA MILAGROS - MONZON</t>
        </is>
      </c>
      <c r="C51" s="29" t="inlineStr">
        <is>
          <t>HUANUCO</t>
        </is>
      </c>
      <c r="D51" s="29" t="inlineStr">
        <is>
          <t>HUAMALIES</t>
        </is>
      </c>
      <c r="E51" s="29" t="inlineStr">
        <is>
          <t>MONZON</t>
        </is>
      </c>
      <c r="F51" s="29" t="inlineStr">
        <is>
          <t>MONZON</t>
        </is>
      </c>
      <c r="G51" s="29" t="inlineStr">
        <is>
          <t>2015.0</t>
        </is>
      </c>
      <c r="H51" s="29" t="inlineStr">
        <is>
          <t>CULTIVO DE CEREALES (EXCEPTO ARROZ), LEGUMBRES Y SEMILLAS OLEAGINOSAS</t>
        </is>
      </c>
    </row>
    <row r="52" ht="15" customHeight="1">
      <c r="A52" s="30" t="inlineStr"/>
      <c r="B52" s="30" t="inlineStr">
        <is>
          <t>COOPERATIVA AGROINDUSTRIAL CAFETALERA CACOTERA MONZON LTDA.</t>
        </is>
      </c>
      <c r="C52" s="30" t="inlineStr">
        <is>
          <t>HUANUCO</t>
        </is>
      </c>
      <c r="D52" s="30" t="inlineStr">
        <is>
          <t>HUAMALIES</t>
        </is>
      </c>
      <c r="E52" s="30" t="inlineStr">
        <is>
          <t>MONZON</t>
        </is>
      </c>
      <c r="F52" s="30" t="inlineStr">
        <is>
          <t>MONZON</t>
        </is>
      </c>
      <c r="G52" s="30" t="inlineStr">
        <is>
          <t>2016.0</t>
        </is>
      </c>
      <c r="H52" s="30" t="inlineStr">
        <is>
          <t>CULTIVO DE PLANTAS CON LAS QUE SE PREPARAN BEBIDAS</t>
        </is>
      </c>
    </row>
    <row r="53" ht="15" customHeight="1">
      <c r="A53" s="29" t="inlineStr"/>
      <c r="B53" s="29" t="inlineStr">
        <is>
          <t>COOPERATIVA AGROINDUSTRIAL CACAO DE ORIGEN DEL VALLE DE MONZON</t>
        </is>
      </c>
      <c r="C53" s="29" t="inlineStr">
        <is>
          <t>HUANUCO</t>
        </is>
      </c>
      <c r="D53" s="29" t="inlineStr">
        <is>
          <t>HUAMALIES</t>
        </is>
      </c>
      <c r="E53" s="29" t="inlineStr">
        <is>
          <t>MONZON</t>
        </is>
      </c>
      <c r="F53" s="29" t="inlineStr">
        <is>
          <t>C.P. SACHAVACA</t>
        </is>
      </c>
      <c r="G53" s="29" t="inlineStr">
        <is>
          <t>2016.0</t>
        </is>
      </c>
      <c r="H53" s="29" t="inlineStr">
        <is>
          <t>CULTIVO DE PRODUCTOS AGRÌCOLAS EN COMBINACIÒN CON LA CRÌA DE ANIMALES</t>
        </is>
      </c>
    </row>
    <row r="54" ht="15" customHeight="1">
      <c r="A54" s="30" t="inlineStr"/>
      <c r="B54" s="30" t="inlineStr">
        <is>
          <t>COOPERATIVA AGRARIA CAFETALERA CAHUIDE PERENE LIMITADA</t>
        </is>
      </c>
      <c r="C54" s="30" t="inlineStr">
        <is>
          <t>JUNIN</t>
        </is>
      </c>
      <c r="D54" s="30" t="inlineStr">
        <is>
          <t>CHANCHAMAYO</t>
        </is>
      </c>
      <c r="E54" s="30" t="inlineStr">
        <is>
          <t>CHANCHAMAYO</t>
        </is>
      </c>
      <c r="F54" s="30" t="inlineStr">
        <is>
          <t>PAMPA DEL CARMEN</t>
        </is>
      </c>
      <c r="G54" s="30" t="inlineStr">
        <is>
          <t>1970.0</t>
        </is>
      </c>
      <c r="H54" s="30" t="inlineStr">
        <is>
          <t>OTRAS ACTIVIDADES DE SERVICIOS PERSONALES N.C.P.</t>
        </is>
      </c>
    </row>
    <row r="55" ht="15" customHeight="1">
      <c r="A55" s="29" t="inlineStr"/>
      <c r="B55" s="29" t="inlineStr">
        <is>
          <t>COOPERATIVA AGRARIA CAFETALERA DE LA CUENCA DE VITOC</t>
        </is>
      </c>
      <c r="C55" s="29" t="inlineStr">
        <is>
          <t>JUNIN</t>
        </is>
      </c>
      <c r="D55" s="29" t="inlineStr">
        <is>
          <t>CHANCHAMAYO</t>
        </is>
      </c>
      <c r="E55" s="29" t="inlineStr">
        <is>
          <t>VITOC</t>
        </is>
      </c>
      <c r="F55" s="29" t="inlineStr">
        <is>
          <t>VITOC</t>
        </is>
      </c>
      <c r="G55" s="29" t="inlineStr">
        <is>
          <t>2016.0</t>
        </is>
      </c>
      <c r="H55" s="29" t="inlineStr">
        <is>
          <t>CULTIVO DE FRUTAS TROPICALES Y SUBTROPICALES</t>
        </is>
      </c>
    </row>
    <row r="56" ht="15" customHeight="1">
      <c r="A56" s="30" t="inlineStr"/>
      <c r="B56" s="30" t="inlineStr">
        <is>
          <t>COOPERATIVA AGRARIA CAFETALERA EL PARAISO DE LA SELVA</t>
        </is>
      </c>
      <c r="C56" s="30" t="inlineStr">
        <is>
          <t>JUNIN</t>
        </is>
      </c>
      <c r="D56" s="30" t="inlineStr">
        <is>
          <t>CHANCHAMAYO</t>
        </is>
      </c>
      <c r="E56" s="30" t="inlineStr">
        <is>
          <t>PERENE</t>
        </is>
      </c>
      <c r="F56" s="30" t="inlineStr">
        <is>
          <t>PICHANAQUI</t>
        </is>
      </c>
      <c r="G56" s="30" t="inlineStr">
        <is>
          <t>2017.0</t>
        </is>
      </c>
      <c r="H56" s="30" t="inlineStr">
        <is>
          <t>VENTA AL POR MAYOR DE MATERIAS PRIMAS AGROPECUARIAS Y ANIMALES VIVOS.</t>
        </is>
      </c>
    </row>
    <row r="57" ht="15" customHeight="1">
      <c r="A57" s="29" t="inlineStr"/>
      <c r="B57" s="29" t="inlineStr">
        <is>
          <t>COOPERATIVA AGRARIA CAFETALERA MIRICHARO "PUI PUI" PERU</t>
        </is>
      </c>
      <c r="C57" s="29" t="inlineStr">
        <is>
          <t>JUNIN</t>
        </is>
      </c>
      <c r="D57" s="29" t="inlineStr">
        <is>
          <t>CHANCHAMAYO</t>
        </is>
      </c>
      <c r="E57" s="29" t="inlineStr">
        <is>
          <t>PERENE</t>
        </is>
      </c>
      <c r="F57" s="29" t="inlineStr">
        <is>
          <t>MIRICHARO</t>
        </is>
      </c>
      <c r="G57" s="29" t="inlineStr">
        <is>
          <t>2014.0</t>
        </is>
      </c>
      <c r="H57" s="29" t="inlineStr">
        <is>
          <t>CULTIVO DE CEREALES (EXCEPTO ARROZ), LEGUMBRES Y SEMILLAS OLEAGINOSAS</t>
        </is>
      </c>
    </row>
    <row r="58" ht="15" customHeight="1">
      <c r="A58" s="30" t="inlineStr"/>
      <c r="B58" s="30" t="inlineStr">
        <is>
          <t>COOPERATIVA AGROINDUSTRIAL CAFETALERA SAN ALAEJANDRO - UBIRIKI</t>
        </is>
      </c>
      <c r="C58" s="30" t="inlineStr">
        <is>
          <t>JUNIN</t>
        </is>
      </c>
      <c r="D58" s="30" t="inlineStr">
        <is>
          <t>CHANCHAMAYO</t>
        </is>
      </c>
      <c r="E58" s="30" t="inlineStr">
        <is>
          <t>PERENE</t>
        </is>
      </c>
      <c r="F58" s="30" t="inlineStr">
        <is>
          <t>LOS ANGELES UBIRIKI</t>
        </is>
      </c>
      <c r="G58" s="30" t="inlineStr">
        <is>
          <t>2015.0</t>
        </is>
      </c>
      <c r="H58" s="30" t="inlineStr">
        <is>
          <t>CULTIVO DE CEREALES (EXCEPTO ARROZ), LEGUMBRES Y SEMILLAS OLEAGINOSAS</t>
        </is>
      </c>
    </row>
    <row r="59" ht="15" customHeight="1">
      <c r="A59" s="29" t="inlineStr"/>
      <c r="B59" s="29" t="inlineStr">
        <is>
          <t>COOPERATIVA AGRARIA CAFETALERA VALLE DEL PERENE OLLANTAYTAMBO</t>
        </is>
      </c>
      <c r="C59" s="29" t="inlineStr">
        <is>
          <t>JUNIN</t>
        </is>
      </c>
      <c r="D59" s="29" t="inlineStr">
        <is>
          <t>CHANCHAMAYO</t>
        </is>
      </c>
      <c r="E59" s="29" t="inlineStr">
        <is>
          <t>PERENE</t>
        </is>
      </c>
      <c r="F59" s="29" t="inlineStr">
        <is>
          <t>PUERTO VICTORIA</t>
        </is>
      </c>
      <c r="G59" s="29" t="inlineStr">
        <is>
          <t>1999.0</t>
        </is>
      </c>
      <c r="H59" s="29" t="inlineStr">
        <is>
          <t>CULTIVO DE PLANTAS CON LAS QUE SE PREPARAN BEBIDAS</t>
        </is>
      </c>
    </row>
    <row r="60" ht="15" customHeight="1">
      <c r="A60" s="30" t="inlineStr"/>
      <c r="B60" s="30" t="inlineStr">
        <is>
          <t>COOPERATIVA AGRARIA CAFETALERA ALTO UBIRIKI  -  COOPERATIVA CAFETALERA ALTO UBIRIKI</t>
        </is>
      </c>
      <c r="C60" s="30" t="inlineStr">
        <is>
          <t>JUNIN</t>
        </is>
      </c>
      <c r="D60" s="30" t="inlineStr">
        <is>
          <t>CHANCHAMAYO</t>
        </is>
      </c>
      <c r="E60" s="30" t="inlineStr">
        <is>
          <t>PICHANAQUI</t>
        </is>
      </c>
      <c r="F60" s="30" t="inlineStr">
        <is>
          <t>PICHANAQUI</t>
        </is>
      </c>
      <c r="G60" s="30" t="inlineStr">
        <is>
          <t>2017.0</t>
        </is>
      </c>
      <c r="H60" s="30" t="inlineStr">
        <is>
          <t>OTRAS ACTIVIDADES DE VENTA AL POR MENOR EN COMERCIOS NO ESPECIALIZADOS</t>
        </is>
      </c>
    </row>
    <row r="61" ht="15" customHeight="1">
      <c r="A61" s="29" t="inlineStr"/>
      <c r="B61" s="29" t="inlineStr">
        <is>
          <t>COOPERATIVA AGRARIA CAFETALERA TURISTICA ARAWAK CAPESHI</t>
        </is>
      </c>
      <c r="C61" s="29" t="inlineStr">
        <is>
          <t>JUNIN</t>
        </is>
      </c>
      <c r="D61" s="29" t="inlineStr">
        <is>
          <t>CHANCHAMAYO</t>
        </is>
      </c>
      <c r="E61" s="29" t="inlineStr">
        <is>
          <t>PICHANAQUI</t>
        </is>
      </c>
      <c r="F61" s="29" t="inlineStr">
        <is>
          <t>PICHANAQUI</t>
        </is>
      </c>
      <c r="G61" s="29" t="inlineStr">
        <is>
          <t>2016.0</t>
        </is>
      </c>
      <c r="H61" s="29" t="inlineStr">
        <is>
          <t>ELABORACIÓN DE OTROS PRODUCTOS ALIMENTICIOS N.C.P.</t>
        </is>
      </c>
    </row>
    <row r="62" ht="15" customHeight="1">
      <c r="A62" s="30" t="inlineStr"/>
      <c r="B62" s="30" t="inlineStr">
        <is>
          <t>CENTRAL DE COOPERATIVA AGRARIA CAFETALERA CONSERVACIONISTA DEL MEDIO AMBIENTE</t>
        </is>
      </c>
      <c r="C62" s="30" t="inlineStr">
        <is>
          <t>JUNIN</t>
        </is>
      </c>
      <c r="D62" s="30" t="inlineStr">
        <is>
          <t>CHANCHAMAYO</t>
        </is>
      </c>
      <c r="E62" s="30" t="inlineStr">
        <is>
          <t>PICHANAQUI</t>
        </is>
      </c>
      <c r="F62" s="30" t="inlineStr">
        <is>
          <t>PICHANAQUI</t>
        </is>
      </c>
      <c r="G62" s="30" t="inlineStr">
        <is>
          <t>2017.0</t>
        </is>
      </c>
      <c r="H62" s="30" t="inlineStr">
        <is>
          <t>CULTIVO DE PRODUCTOS AGRÌCOLAS EN COMBINACIÒN CON LA CRÌA DE ANIMALES</t>
        </is>
      </c>
    </row>
    <row r="63" ht="15" customHeight="1">
      <c r="A63" s="29" t="inlineStr"/>
      <c r="B63" s="29" t="inlineStr">
        <is>
          <t>COOPERATIVA AGRARIA CAFETALERA SAN MATIAS</t>
        </is>
      </c>
      <c r="C63" s="29" t="inlineStr">
        <is>
          <t>JUNIN</t>
        </is>
      </c>
      <c r="D63" s="29" t="inlineStr">
        <is>
          <t>CHANCHAMAYO</t>
        </is>
      </c>
      <c r="E63" s="29" t="inlineStr">
        <is>
          <t>PICHANAQUI</t>
        </is>
      </c>
      <c r="F63" s="29" t="inlineStr">
        <is>
          <t>PICHANAQUI</t>
        </is>
      </c>
      <c r="G63" s="29" t="inlineStr">
        <is>
          <t>2014.0</t>
        </is>
      </c>
      <c r="H63" s="29" t="inlineStr">
        <is>
          <t>CULTIVO DE CEREALES (EXCEPTO ARROZ), LEGUMBRES Y SEMILLAS OLEAGINOSAS</t>
        </is>
      </c>
    </row>
    <row r="64" ht="15" customHeight="1">
      <c r="A64" s="30" t="inlineStr"/>
      <c r="B64" s="30" t="inlineStr">
        <is>
          <t>COOPERATIVA AGRARIA CAFETALERA GOLDEN EXPORT - CAC GOLDEN EXPORT</t>
        </is>
      </c>
      <c r="C64" s="30" t="inlineStr">
        <is>
          <t>JUNIN</t>
        </is>
      </c>
      <c r="D64" s="30" t="inlineStr">
        <is>
          <t>CHANCHAMAYO</t>
        </is>
      </c>
      <c r="E64" s="30" t="inlineStr">
        <is>
          <t>PICHANAQUI</t>
        </is>
      </c>
      <c r="F64" s="30" t="inlineStr">
        <is>
          <t>PICHANAQUI</t>
        </is>
      </c>
      <c r="G64" s="30" t="inlineStr">
        <is>
          <t>2017.0</t>
        </is>
      </c>
      <c r="H64" s="30" t="inlineStr">
        <is>
          <t>OTRAS ACTIVIDADES DE VENTA AL POR MENOR EN COMERCIOS NO ESPECIALIZADOS</t>
        </is>
      </c>
    </row>
    <row r="65" ht="15" customHeight="1">
      <c r="A65" s="29" t="inlineStr"/>
      <c r="B65" s="29" t="inlineStr">
        <is>
          <t>COOPERATIVA AGRARIA CAFETALERA LOS CHANKAS SELVA CENTRAL</t>
        </is>
      </c>
      <c r="C65" s="29" t="inlineStr">
        <is>
          <t>JUNIN</t>
        </is>
      </c>
      <c r="D65" s="29" t="inlineStr">
        <is>
          <t>CHANCHAMAYO</t>
        </is>
      </c>
      <c r="E65" s="29" t="inlineStr">
        <is>
          <t>PICHANAQUI</t>
        </is>
      </c>
      <c r="F65" s="29" t="inlineStr">
        <is>
          <t>PICHANAQUI</t>
        </is>
      </c>
      <c r="G65" s="29" t="inlineStr">
        <is>
          <t>1997.0</t>
        </is>
      </c>
      <c r="H65" s="29" t="inlineStr">
        <is>
          <t>CULTIVO DE CEREALES (EXCEPTO ARROZ), LEGUMBRES Y SEMILLAS OLEAGINOSAS</t>
        </is>
      </c>
    </row>
    <row r="66" ht="15" customHeight="1">
      <c r="A66" s="30" t="inlineStr"/>
      <c r="B66" s="30" t="inlineStr">
        <is>
          <t>COOPERATIVA AGROPECUARIA CAFETALERA RIO NEGRO</t>
        </is>
      </c>
      <c r="C66" s="30" t="inlineStr">
        <is>
          <t>JUNIN</t>
        </is>
      </c>
      <c r="D66" s="30" t="inlineStr">
        <is>
          <t>SATIPO</t>
        </is>
      </c>
      <c r="E66" s="30" t="inlineStr">
        <is>
          <t>RIO NEGRO</t>
        </is>
      </c>
      <c r="F66" s="30" t="inlineStr">
        <is>
          <t>SATIPO</t>
        </is>
      </c>
      <c r="G66" s="30" t="inlineStr">
        <is>
          <t>2013.0</t>
        </is>
      </c>
      <c r="H66" s="30" t="inlineStr">
        <is>
          <t>CULTIVO DE FRUTAS TROPICALES Y SUBTROPICALES</t>
        </is>
      </c>
    </row>
    <row r="67" ht="15" customHeight="1">
      <c r="A67" s="29" t="inlineStr"/>
      <c r="B67" s="29" t="inlineStr">
        <is>
          <t>COOPERATIVA AGROINDUSTRIAL Y AMBIENTAL DE CAFÉS ESPECIALES SATIPO</t>
        </is>
      </c>
      <c r="C67" s="29" t="inlineStr">
        <is>
          <t>JUNIN</t>
        </is>
      </c>
      <c r="D67" s="29" t="inlineStr">
        <is>
          <t>SATIPO</t>
        </is>
      </c>
      <c r="E67" s="29" t="inlineStr">
        <is>
          <t>SATIPO</t>
        </is>
      </c>
      <c r="F67" s="29" t="inlineStr">
        <is>
          <t>SATIPO</t>
        </is>
      </c>
      <c r="G67" s="29" t="inlineStr">
        <is>
          <t>2016.0</t>
        </is>
      </c>
      <c r="H67" s="29" t="inlineStr">
        <is>
          <t>CULTIVO DE FRUTAS TROPICALES Y SUBTROPICALES</t>
        </is>
      </c>
    </row>
    <row r="68" ht="15" customHeight="1">
      <c r="A68" s="30" t="inlineStr"/>
      <c r="B68" s="30" t="inlineStr">
        <is>
          <t>COOPERATIVA AGROPECUARIO CAFETALERA SELVA ALEGRE</t>
        </is>
      </c>
      <c r="C68" s="30" t="inlineStr">
        <is>
          <t>JUNIN</t>
        </is>
      </c>
      <c r="D68" s="30" t="inlineStr">
        <is>
          <t>SATIPO</t>
        </is>
      </c>
      <c r="E68" s="30" t="inlineStr">
        <is>
          <t>LLAYLLA</t>
        </is>
      </c>
      <c r="F68" s="30" t="inlineStr">
        <is>
          <t>SANTA ALBINA</t>
        </is>
      </c>
      <c r="G68" s="30" t="inlineStr">
        <is>
          <t>2014.0</t>
        </is>
      </c>
      <c r="H68" s="30" t="inlineStr">
        <is>
          <t>CULTIVO DE CEREALES (EXCEPTO ARROZ), LEGUMBRES Y SEMILLAS OLEAGINOSAS</t>
        </is>
      </c>
    </row>
    <row r="69" ht="15" customHeight="1">
      <c r="A69" s="29" t="inlineStr"/>
      <c r="B69" s="29" t="inlineStr">
        <is>
          <t>COOPERATIVA ECOLÓGICA DE CAFÉ Y CACAO INKA PERÚ</t>
        </is>
      </c>
      <c r="C69" s="29" t="inlineStr">
        <is>
          <t>JUNIN</t>
        </is>
      </c>
      <c r="D69" s="29" t="inlineStr">
        <is>
          <t>SATIPO</t>
        </is>
      </c>
      <c r="E69" s="29" t="inlineStr">
        <is>
          <t>PANGOA</t>
        </is>
      </c>
      <c r="F69" s="29" t="inlineStr">
        <is>
          <t>PANGOA</t>
        </is>
      </c>
      <c r="G69" s="29" t="inlineStr">
        <is>
          <t>2015.0</t>
        </is>
      </c>
      <c r="H69" s="29" t="inlineStr">
        <is>
          <t>CULTIVO DE PRODUCTOS AGRÌCOLAS EN COMBINACIÒN CON LA CRÌA DE ANIMALES</t>
        </is>
      </c>
    </row>
    <row r="70" ht="15" customHeight="1">
      <c r="A70" s="30" t="inlineStr"/>
      <c r="B70" s="30" t="inlineStr">
        <is>
          <t>COOPERATIVA AGRARIA CAFETALERA VALLE INCARIADO</t>
        </is>
      </c>
      <c r="C70" s="30" t="inlineStr">
        <is>
          <t>JUNIN</t>
        </is>
      </c>
      <c r="D70" s="30" t="inlineStr">
        <is>
          <t>CHANCHAMAYO</t>
        </is>
      </c>
      <c r="E70" s="30" t="inlineStr">
        <is>
          <t>CHANCHAMAYO</t>
        </is>
      </c>
      <c r="F70" s="30" t="inlineStr">
        <is>
          <t>PICHANAQUI</t>
        </is>
      </c>
      <c r="G70" s="30" t="inlineStr">
        <is>
          <t>2014.0</t>
        </is>
      </c>
      <c r="H70" s="30" t="inlineStr">
        <is>
          <t>VENTA AL POR MAYOR DE ALIMENTOS, BEBIDAS Y TABACO.</t>
        </is>
      </c>
    </row>
    <row r="71" ht="15" customHeight="1">
      <c r="A71" s="29" t="inlineStr"/>
      <c r="B71" s="29" t="inlineStr">
        <is>
          <t>COOPERATIVA AGRARIA CAFETALERA DE SERVICIOS ALTO PERENE</t>
        </is>
      </c>
      <c r="C71" s="29" t="inlineStr">
        <is>
          <t>JUNIN</t>
        </is>
      </c>
      <c r="D71" s="29" t="inlineStr">
        <is>
          <t>CHANCHAMAYO</t>
        </is>
      </c>
      <c r="E71" s="29" t="inlineStr">
        <is>
          <t>CHANCHAMAYO</t>
        </is>
      </c>
      <c r="F71" s="29" t="inlineStr">
        <is>
          <t>LA MERCED</t>
        </is>
      </c>
      <c r="G71" s="29" t="inlineStr">
        <is>
          <t>2010.0</t>
        </is>
      </c>
      <c r="H71" s="29" t="inlineStr">
        <is>
          <t>CULTIVO DE CEREALES (EXCEPTO ARROZ), LEGUMBRES Y SEMILLAS OLEAGINOSAS</t>
        </is>
      </c>
    </row>
    <row r="72" ht="15" customHeight="1">
      <c r="A72" s="30" t="inlineStr"/>
      <c r="B72" s="30" t="inlineStr">
        <is>
          <t>COOPERATIVA AGRARIA CAFETALERA MACHU PICCHU CHANCHAMAYO PERU - C.A.C. MACHU PICCHU</t>
        </is>
      </c>
      <c r="C72" s="30" t="inlineStr">
        <is>
          <t>JUNIN</t>
        </is>
      </c>
      <c r="D72" s="30" t="inlineStr">
        <is>
          <t>CHANCHAMAYO</t>
        </is>
      </c>
      <c r="E72" s="30" t="inlineStr">
        <is>
          <t>CHANCHAMAYO</t>
        </is>
      </c>
      <c r="F72" s="30" t="inlineStr">
        <is>
          <t>LA MERCED</t>
        </is>
      </c>
      <c r="G72" s="30" t="inlineStr">
        <is>
          <t>2010.0</t>
        </is>
      </c>
      <c r="H72" s="30" t="inlineStr">
        <is>
          <t>CULTIVO DE CEREALES (EXCEPTO ARROZ), LEGUMBRES Y SEMILLAS OLEAGINOSAS</t>
        </is>
      </c>
    </row>
    <row r="73" ht="15" customHeight="1">
      <c r="A73" s="29" t="inlineStr"/>
      <c r="B73" s="29" t="inlineStr">
        <is>
          <t>COOPERATIVA AGRARIA CAFETALERA PAUCARTAMBO</t>
        </is>
      </c>
      <c r="C73" s="29" t="inlineStr">
        <is>
          <t>JUNIN</t>
        </is>
      </c>
      <c r="D73" s="29" t="inlineStr">
        <is>
          <t>CHANCHAMAYO</t>
        </is>
      </c>
      <c r="E73" s="29" t="inlineStr">
        <is>
          <t>CHANCHAMAYO</t>
        </is>
      </c>
      <c r="F73" s="29" t="inlineStr">
        <is>
          <t>LA MERCED</t>
        </is>
      </c>
      <c r="G73" s="29" t="inlineStr">
        <is>
          <t>1993.0</t>
        </is>
      </c>
      <c r="H73" s="29" t="inlineStr">
        <is>
          <t>ACTIVIDADES INMOBILIARIAS REALIZADAS CON BIENES PROPIOS O ARRENDADOS</t>
        </is>
      </c>
    </row>
    <row r="74" ht="15" customHeight="1">
      <c r="A74" s="30" t="inlineStr"/>
      <c r="B74" s="30" t="inlineStr">
        <is>
          <t>COOPERATIVA AGRARIA CAFETALERA ECOLOGICO ALTO PALOMAR</t>
        </is>
      </c>
      <c r="C74" s="30" t="inlineStr">
        <is>
          <t>JUNIN</t>
        </is>
      </c>
      <c r="D74" s="30" t="inlineStr">
        <is>
          <t>CHANCHAMAYO</t>
        </is>
      </c>
      <c r="E74" s="30" t="inlineStr">
        <is>
          <t>SAN LUIS DE SHUARO</t>
        </is>
      </c>
      <c r="F74" s="30" t="inlineStr">
        <is>
          <t>SANTA HERMINIA PALOMAR</t>
        </is>
      </c>
      <c r="G74" s="30" t="inlineStr">
        <is>
          <t>2002.0</t>
        </is>
      </c>
      <c r="H74" s="30" t="inlineStr">
        <is>
          <t>CULTIVO DE PLANTAS CON LAS QUE SE PREPARAN BEBIDAS</t>
        </is>
      </c>
    </row>
    <row r="75" ht="15" customHeight="1">
      <c r="A75" s="29" t="inlineStr"/>
      <c r="B75" s="29" t="inlineStr">
        <is>
          <t>COOPERATIVA AGRARIA DE CAFES ESPECIALES YAPAZ BAJO</t>
        </is>
      </c>
      <c r="C75" s="29" t="inlineStr">
        <is>
          <t>JUNIN</t>
        </is>
      </c>
      <c r="D75" s="29" t="inlineStr">
        <is>
          <t>CHANCHAMAYO</t>
        </is>
      </c>
      <c r="E75" s="29" t="inlineStr">
        <is>
          <t>SAN LUIS DE SHUARO</t>
        </is>
      </c>
      <c r="F75" s="29" t="inlineStr">
        <is>
          <t>SANCHIRIO PALOMAR</t>
        </is>
      </c>
      <c r="G75" s="29" t="inlineStr">
        <is>
          <t>2010.0</t>
        </is>
      </c>
      <c r="H75" s="29" t="inlineStr">
        <is>
          <t>CULTIVO DE FRUTAS TROPICALES Y SUBTROPICALES</t>
        </is>
      </c>
    </row>
    <row r="76" ht="15" customHeight="1">
      <c r="A76" s="30" t="inlineStr"/>
      <c r="B76" s="30" t="inlineStr">
        <is>
          <t>COOPERATIVA AGRARIA CAFETALERA CAMPO CAFE</t>
        </is>
      </c>
      <c r="C76" s="30" t="inlineStr">
        <is>
          <t>JUNIN</t>
        </is>
      </c>
      <c r="D76" s="30" t="inlineStr">
        <is>
          <t>CHANCHAMAYO</t>
        </is>
      </c>
      <c r="E76" s="30" t="inlineStr">
        <is>
          <t>PICHANAQUI</t>
        </is>
      </c>
      <c r="F76" s="30" t="inlineStr">
        <is>
          <t>PICHANAKI</t>
        </is>
      </c>
      <c r="G76" s="30" t="inlineStr">
        <is>
          <t>2016.0</t>
        </is>
      </c>
      <c r="H76" s="30" t="inlineStr">
        <is>
          <t>CULTIVO DE CEREALES (EXCEPTO ARROZ), LEGUMBRES Y SEMILLAS OLEAGINOSAS</t>
        </is>
      </c>
    </row>
    <row r="77" ht="15" customHeight="1">
      <c r="A77" s="29" t="inlineStr"/>
      <c r="B77" s="29" t="inlineStr">
        <is>
          <t>COOPERATIVA AGRARIA CAFETALERA ORIGEN PERU</t>
        </is>
      </c>
      <c r="C77" s="29" t="inlineStr">
        <is>
          <t>JUNIN</t>
        </is>
      </c>
      <c r="D77" s="29" t="inlineStr">
        <is>
          <t>CHANCHAMAYO</t>
        </is>
      </c>
      <c r="E77" s="29" t="inlineStr">
        <is>
          <t>PICHANAQUI</t>
        </is>
      </c>
      <c r="F77" s="29" t="inlineStr">
        <is>
          <t>PICHANAQUI</t>
        </is>
      </c>
      <c r="G77" s="29" t="inlineStr">
        <is>
          <t>2016.0</t>
        </is>
      </c>
      <c r="H77" s="29" t="inlineStr">
        <is>
          <t>CULTIVO DE PLANTAS CON LAS QUE SE PREPARAN BEBIDAS</t>
        </is>
      </c>
    </row>
    <row r="78" ht="15" customHeight="1">
      <c r="A78" s="30" t="inlineStr"/>
      <c r="B78" s="30" t="inlineStr">
        <is>
          <t>COOPERATIVA AGRARIA CAFETALERA TAHUANTINSUYO</t>
        </is>
      </c>
      <c r="C78" s="30" t="inlineStr">
        <is>
          <t>JUNIN</t>
        </is>
      </c>
      <c r="D78" s="30" t="inlineStr">
        <is>
          <t>CHANCHAMAYO</t>
        </is>
      </c>
      <c r="E78" s="30" t="inlineStr">
        <is>
          <t>PICHANAQUI</t>
        </is>
      </c>
      <c r="F78" s="30" t="inlineStr">
        <is>
          <t>JUAN VALER SANDOVAL</t>
        </is>
      </c>
      <c r="G78" s="30" t="inlineStr">
        <is>
          <t>1994.0</t>
        </is>
      </c>
      <c r="H78" s="30" t="inlineStr">
        <is>
          <t>CULTIVO DE CEREALES (EXCEPTO ARROZ), LEGUMBRES Y SEMILLAS OLEAGINOSAS</t>
        </is>
      </c>
    </row>
    <row r="79" ht="15" customHeight="1">
      <c r="A79" s="29" t="inlineStr"/>
      <c r="B79" s="29" t="inlineStr">
        <is>
          <t>COOPERATIVA AGRARIA CAFETALERA VALLE KUVIRIANI</t>
        </is>
      </c>
      <c r="C79" s="29" t="inlineStr">
        <is>
          <t>JUNIN</t>
        </is>
      </c>
      <c r="D79" s="29" t="inlineStr">
        <is>
          <t>CHANCHAMAYO</t>
        </is>
      </c>
      <c r="E79" s="29" t="inlineStr">
        <is>
          <t>PICHANAQUI</t>
        </is>
      </c>
      <c r="F79" s="29" t="inlineStr">
        <is>
          <t>PICHANAQUI</t>
        </is>
      </c>
      <c r="G79" s="29" t="inlineStr">
        <is>
          <t>2011.0</t>
        </is>
      </c>
      <c r="H79" s="29" t="inlineStr">
        <is>
          <t>CULTIVO DE CEREALES (EXCEPTO ARROZ), LEGUMBRES Y SEMILLAS OLEAGINOSAS</t>
        </is>
      </c>
    </row>
    <row r="80" ht="15" customHeight="1">
      <c r="A80" s="30" t="inlineStr"/>
      <c r="B80" s="30" t="inlineStr">
        <is>
          <t>COOPERATIVA AGROPECUARIA CACAOTERA VALLE RIO ENE - CACVRE</t>
        </is>
      </c>
      <c r="C80" s="30" t="inlineStr">
        <is>
          <t>JUNIN</t>
        </is>
      </c>
      <c r="D80" s="30" t="inlineStr">
        <is>
          <t>SATIPO</t>
        </is>
      </c>
      <c r="E80" s="30" t="inlineStr">
        <is>
          <t>SATIPO</t>
        </is>
      </c>
      <c r="F80" s="30" t="inlineStr">
        <is>
          <t>SATIPO</t>
        </is>
      </c>
      <c r="G80" s="30" t="inlineStr">
        <is>
          <t>2014.0</t>
        </is>
      </c>
      <c r="H80" s="30" t="inlineStr">
        <is>
          <t>VENTA AL POR MAYOR DE MATERIAS PRIMAS AGROPECUARIAS Y ANIMALES VIVOS.</t>
        </is>
      </c>
    </row>
    <row r="81" ht="15" customHeight="1">
      <c r="A81" s="29" t="inlineStr"/>
      <c r="B81" s="29" t="inlineStr">
        <is>
          <t>COOPERATIVA AGROPECUARIA CAFETALERA ECOLOGICA VALLE SANTA CRUZ - RIO TAMBO LTDA</t>
        </is>
      </c>
      <c r="C81" s="29" t="inlineStr">
        <is>
          <t>JUNIN</t>
        </is>
      </c>
      <c r="D81" s="29" t="inlineStr">
        <is>
          <t>SATIPO</t>
        </is>
      </c>
      <c r="E81" s="29" t="inlineStr">
        <is>
          <t>SATIPO</t>
        </is>
      </c>
      <c r="F81" s="29" t="inlineStr">
        <is>
          <t>SATIPO</t>
        </is>
      </c>
      <c r="G81" s="29" t="inlineStr">
        <is>
          <t>2006.0</t>
        </is>
      </c>
      <c r="H81" s="29" t="inlineStr">
        <is>
          <t>CULTIVO DE OTRAS PLANTAS NO PERENNES</t>
        </is>
      </c>
    </row>
    <row r="82" ht="15" customHeight="1">
      <c r="A82" s="30" t="inlineStr"/>
      <c r="B82" s="30" t="inlineStr">
        <is>
          <t>COOPERATIVA CACAOTERA AGROECOLOGICA TURISTICA VALLE RÍO ENE</t>
        </is>
      </c>
      <c r="C82" s="30" t="inlineStr">
        <is>
          <t>JUNIN</t>
        </is>
      </c>
      <c r="D82" s="30" t="inlineStr">
        <is>
          <t>SATIPO</t>
        </is>
      </c>
      <c r="E82" s="30" t="inlineStr">
        <is>
          <t>MAZAMARI</t>
        </is>
      </c>
      <c r="F82" s="30" t="inlineStr">
        <is>
          <t>NAZCA</t>
        </is>
      </c>
      <c r="G82" s="30" t="inlineStr">
        <is>
          <t>2015.0</t>
        </is>
      </c>
      <c r="H82" s="30" t="inlineStr">
        <is>
          <t>CULTIVO DE CEREALES (EXCEPTO ARROZ), LEGUMBRES Y SEMILLAS OLEAGINOSAS</t>
        </is>
      </c>
    </row>
    <row r="83" ht="15" customHeight="1">
      <c r="A83" s="29" t="inlineStr"/>
      <c r="B83" s="29" t="inlineStr">
        <is>
          <t>COOPERATIVA AGRARIA CAFETALERA DE LA NACION YANESHA</t>
        </is>
      </c>
      <c r="C83" s="29" t="inlineStr">
        <is>
          <t>PASCO</t>
        </is>
      </c>
      <c r="D83" s="29" t="inlineStr">
        <is>
          <t>OXAPAMPA</t>
        </is>
      </c>
      <c r="E83" s="29" t="inlineStr">
        <is>
          <t>VILLA RICA</t>
        </is>
      </c>
      <c r="F83" s="29" t="inlineStr">
        <is>
          <t>ÑAGAZU</t>
        </is>
      </c>
      <c r="G83" s="29" t="inlineStr">
        <is>
          <t>2016.0</t>
        </is>
      </c>
      <c r="H83" s="29" t="inlineStr">
        <is>
          <t>OTRAS ACTIVIDADES DE VENTA AL POR MENOR EN COMERCIOS NO ESPECIALIZADOS</t>
        </is>
      </c>
    </row>
    <row r="84" ht="15" customHeight="1">
      <c r="A84" s="30" t="inlineStr"/>
      <c r="B84" s="30" t="inlineStr">
        <is>
          <t>COOPERATIVA AGRARIA CAFETALERA MONTESECO LTDA</t>
        </is>
      </c>
      <c r="C84" s="30" t="inlineStr">
        <is>
          <t>LIMA</t>
        </is>
      </c>
      <c r="D84" s="30" t="inlineStr">
        <is>
          <t>LIMA</t>
        </is>
      </c>
      <c r="E84" s="30" t="inlineStr">
        <is>
          <t>JESUS MARIA</t>
        </is>
      </c>
      <c r="F84" s="30" t="inlineStr">
        <is>
          <t>JESÚS MARÍA</t>
        </is>
      </c>
      <c r="G84" s="30" t="inlineStr">
        <is>
          <t>2016.0</t>
        </is>
      </c>
      <c r="H84" s="30" t="inlineStr">
        <is>
          <t>CULTIVO DE PLANTAS CON LAS QUE SE PREPARAN BEBIDAS</t>
        </is>
      </c>
    </row>
    <row r="85" ht="15" customHeight="1">
      <c r="A85" s="29" t="inlineStr"/>
      <c r="B85" s="29" t="inlineStr">
        <is>
          <t>COOPERATIVA AGRARIA CAFETELERA SELVA VERDE</t>
        </is>
      </c>
      <c r="C85" s="29" t="inlineStr">
        <is>
          <t>SAN MARTIN</t>
        </is>
      </c>
      <c r="D85" s="29" t="inlineStr">
        <is>
          <t>SAN MARTIN</t>
        </is>
      </c>
      <c r="E85" s="29" t="inlineStr">
        <is>
          <t>TARAPOTO</t>
        </is>
      </c>
      <c r="F85" s="29" t="inlineStr">
        <is>
          <t>LA BANDA DE SHILCAYO</t>
        </is>
      </c>
      <c r="G85" s="29" t="inlineStr">
        <is>
          <t>2017.0</t>
        </is>
      </c>
      <c r="H85" s="29" t="inlineStr">
        <is>
          <t>ACTIVIDADES DE CONSULTORÍA DE GESTIÓN</t>
        </is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0" t="inlineStr">
        <is>
          <t>RUC</t>
        </is>
      </c>
      <c r="B1" s="20" t="inlineStr">
        <is>
          <t>Nombre</t>
        </is>
      </c>
      <c r="C1" s="20" t="inlineStr">
        <is>
          <t>D1</t>
        </is>
      </c>
      <c r="D1" s="20" t="inlineStr">
        <is>
          <t>D2</t>
        </is>
      </c>
      <c r="E1" s="20" t="inlineStr">
        <is>
          <t>D3</t>
        </is>
      </c>
      <c r="F1" s="20" t="inlineStr">
        <is>
          <t>D4</t>
        </is>
      </c>
      <c r="G1" s="20" t="inlineStr">
        <is>
          <t>D5</t>
        </is>
      </c>
      <c r="H1" s="20" t="inlineStr">
        <is>
          <t>D6</t>
        </is>
      </c>
      <c r="I1" s="20" t="inlineStr">
        <is>
          <t>D7</t>
        </is>
      </c>
      <c r="J1" s="20" t="inlineStr">
        <is>
          <t>D8</t>
        </is>
      </c>
      <c r="K1" s="20" t="inlineStr">
        <is>
          <t>D9</t>
        </is>
      </c>
      <c r="L1" s="20" t="inlineStr">
        <is>
          <t>D10</t>
        </is>
      </c>
      <c r="M1" s="20" t="inlineStr">
        <is>
          <t>D11</t>
        </is>
      </c>
      <c r="N1" s="20" t="inlineStr">
        <is>
          <t>ISA</t>
        </is>
      </c>
      <c r="O1" s="20" t="inlineStr">
        <is>
          <t>IP</t>
        </is>
      </c>
      <c r="P1" s="20" t="inlineStr">
        <is>
          <t>IV</t>
        </is>
      </c>
    </row>
    <row r="2" ht="24" customHeight="1">
      <c r="A2" s="31" t="inlineStr">
        <is>
          <t>ISCAM: D1-D7 = Instrumento 2 (campo). D8-D9 = IP (Indice Preparacion). D10-D11 = IV (Indice Vulnerabilidad). ISA = Indice Sintetico Alineamiento. RE = Riesgo Exclusion (ponderacion AHP). ISA = geom(D1..D7), IP = media(D8,D9), IV = geom(D10,D11), RE = ponderacion AHP.</t>
        </is>
      </c>
    </row>
    <row r="3" ht="14" customHeight="1">
      <c r="A3" s="36" t="inlineStr">
        <is>
          <t>--- Glosario de indices ISCAM ---</t>
        </is>
      </c>
    </row>
    <row r="4" ht="16" customHeight="1">
      <c r="A4" s="37" t="inlineStr">
        <is>
          <t>Indice</t>
        </is>
      </c>
      <c r="B4" s="22" t="n"/>
      <c r="C4" s="23" t="n"/>
      <c r="D4" s="37" t="inlineStr">
        <is>
          <t>Nombre completo</t>
        </is>
      </c>
      <c r="E4" s="22" t="n"/>
      <c r="F4" s="22" t="n"/>
      <c r="G4" s="23" t="n"/>
      <c r="H4" s="37" t="inlineStr">
        <is>
          <t>Formula</t>
        </is>
      </c>
      <c r="I4" s="22" t="n"/>
      <c r="J4" s="22" t="n"/>
      <c r="K4" s="23" t="n"/>
      <c r="L4" s="37" t="inlineStr">
        <is>
          <t>Rango</t>
        </is>
      </c>
      <c r="M4" s="23" t="n"/>
      <c r="N4" s="37" t="inlineStr">
        <is>
          <t>Dimension</t>
        </is>
      </c>
    </row>
    <row r="5" ht="18" customHeight="1">
      <c r="A5" s="35" t="inlineStr">
        <is>
          <t>ISA</t>
        </is>
      </c>
      <c r="B5" s="22" t="n"/>
      <c r="C5" s="23" t="n"/>
      <c r="D5" s="18" t="inlineStr">
        <is>
          <t>Indice Sintetico de Alineamiento</t>
        </is>
      </c>
      <c r="E5" s="22" t="n"/>
      <c r="F5" s="22" t="n"/>
      <c r="G5" s="23" t="n"/>
      <c r="H5" s="18" t="inlineStr">
        <is>
          <t>geom(D1..D7)</t>
        </is>
      </c>
      <c r="I5" s="22" t="n"/>
      <c r="J5" s="22" t="n"/>
      <c r="K5" s="23" t="n"/>
      <c r="L5" s="18" t="inlineStr">
        <is>
          <t>0.0-1.0</t>
        </is>
      </c>
      <c r="M5" s="23" t="n"/>
      <c r="N5" s="18" t="inlineStr">
        <is>
          <t>Sostenibilidad, due diligence, derechos humanos, traceabilidad, medio ambiente</t>
        </is>
      </c>
    </row>
    <row r="6" ht="18" customHeight="1">
      <c r="A6" s="35" t="inlineStr">
        <is>
          <t>IP</t>
        </is>
      </c>
      <c r="B6" s="22" t="n"/>
      <c r="C6" s="23" t="n"/>
      <c r="D6" s="14" t="inlineStr">
        <is>
          <t>Indice de Preparacion</t>
        </is>
      </c>
      <c r="E6" s="22" t="n"/>
      <c r="F6" s="22" t="n"/>
      <c r="G6" s="23" t="n"/>
      <c r="H6" s="14" t="inlineStr">
        <is>
          <t>media(D8,D9)</t>
        </is>
      </c>
      <c r="I6" s="22" t="n"/>
      <c r="J6" s="22" t="n"/>
      <c r="K6" s="23" t="n"/>
      <c r="L6" s="14" t="inlineStr">
        <is>
          <t>0.0-1.0</t>
        </is>
      </c>
      <c r="M6" s="23" t="n"/>
      <c r="N6" s="14" t="inlineStr">
        <is>
          <t>Anos de operacion, n. socios, capacidad exportar, n. paises destino</t>
        </is>
      </c>
    </row>
    <row r="7" ht="18" customHeight="1">
      <c r="A7" s="35" t="inlineStr">
        <is>
          <t>IV</t>
        </is>
      </c>
      <c r="B7" s="22" t="n"/>
      <c r="C7" s="23" t="n"/>
      <c r="D7" s="18" t="inlineStr">
        <is>
          <t>Indice de Vulnerabilidad</t>
        </is>
      </c>
      <c r="E7" s="22" t="n"/>
      <c r="F7" s="22" t="n"/>
      <c r="G7" s="23" t="n"/>
      <c r="H7" s="18" t="inlineStr">
        <is>
          <t>geom(D10,D11)</t>
        </is>
      </c>
      <c r="I7" s="22" t="n"/>
      <c r="J7" s="22" t="n"/>
      <c r="K7" s="23" t="n"/>
      <c r="L7" s="18" t="inlineStr">
        <is>
          <t>0.0-1.0</t>
        </is>
      </c>
      <c r="M7" s="23" t="n"/>
      <c r="N7" s="18" t="inlineStr">
        <is>
          <t>Certificaciones, volumen FOB, exposicion a EUDR</t>
        </is>
      </c>
    </row>
    <row r="8" ht="18" customHeight="1">
      <c r="A8" s="35" t="inlineStr">
        <is>
          <t>RE</t>
        </is>
      </c>
      <c r="B8" s="22" t="n"/>
      <c r="C8" s="23" t="n"/>
      <c r="D8" s="14" t="inlineStr">
        <is>
          <t>Riesgo de Exclusion</t>
        </is>
      </c>
      <c r="E8" s="22" t="n"/>
      <c r="F8" s="22" t="n"/>
      <c r="G8" s="23" t="n"/>
      <c r="H8" s="14" t="inlineStr">
        <is>
          <t>ponderacion AHP</t>
        </is>
      </c>
      <c r="I8" s="22" t="n"/>
      <c r="J8" s="22" t="n"/>
      <c r="K8" s="23" t="n"/>
      <c r="L8" s="14" t="inlineStr">
        <is>
          <t>0.0-1.0</t>
        </is>
      </c>
      <c r="M8" s="23" t="n"/>
      <c r="N8" s="14" t="inlineStr">
        <is>
          <t>Probabilidad de exclusion del mercado EU por incumplimiento</t>
        </is>
      </c>
    </row>
    <row r="9" ht="14" customHeight="1">
      <c r="A9" s="36" t="inlineStr">
        <is>
          <t>--- Glosario de indices ISCAM ---</t>
        </is>
      </c>
    </row>
    <row r="10" ht="16" customHeight="1">
      <c r="A10" s="37" t="inlineStr">
        <is>
          <t>Indice</t>
        </is>
      </c>
      <c r="B10" s="22" t="n"/>
      <c r="C10" s="23" t="n"/>
      <c r="D10" s="37" t="inlineStr">
        <is>
          <t>Nombre completo</t>
        </is>
      </c>
      <c r="E10" s="22" t="n"/>
      <c r="F10" s="22" t="n"/>
      <c r="G10" s="23" t="n"/>
      <c r="H10" s="37" t="inlineStr">
        <is>
          <t>Formula</t>
        </is>
      </c>
      <c r="I10" s="22" t="n"/>
      <c r="J10" s="22" t="n"/>
      <c r="K10" s="23" t="n"/>
      <c r="L10" s="37" t="inlineStr">
        <is>
          <t>Rango</t>
        </is>
      </c>
      <c r="M10" s="23" t="n"/>
      <c r="N10" s="37" t="inlineStr">
        <is>
          <t>Dimension</t>
        </is>
      </c>
    </row>
    <row r="11" ht="18" customHeight="1">
      <c r="A11" s="35" t="inlineStr">
        <is>
          <t>ISA</t>
        </is>
      </c>
      <c r="B11" s="22" t="n"/>
      <c r="C11" s="23" t="n"/>
      <c r="D11" s="18" t="inlineStr">
        <is>
          <t>Indice Sintetico de Alineamiento</t>
        </is>
      </c>
      <c r="E11" s="22" t="n"/>
      <c r="F11" s="22" t="n"/>
      <c r="G11" s="23" t="n"/>
      <c r="H11" s="18" t="inlineStr">
        <is>
          <t>geom(D1..D7)</t>
        </is>
      </c>
      <c r="I11" s="22" t="n"/>
      <c r="J11" s="22" t="n"/>
      <c r="K11" s="23" t="n"/>
      <c r="L11" s="18" t="inlineStr">
        <is>
          <t>0.0-1.0</t>
        </is>
      </c>
      <c r="M11" s="23" t="n"/>
      <c r="N11" s="18" t="inlineStr">
        <is>
          <t>Sostenibilidad, due diligence, derechos humanos, traceabilidad, medio ambiente</t>
        </is>
      </c>
    </row>
    <row r="12" ht="18" customHeight="1">
      <c r="A12" s="35" t="inlineStr">
        <is>
          <t>IP</t>
        </is>
      </c>
      <c r="B12" s="22" t="n"/>
      <c r="C12" s="23" t="n"/>
      <c r="D12" s="14" t="inlineStr">
        <is>
          <t>Indice de Preparacion</t>
        </is>
      </c>
      <c r="E12" s="22" t="n"/>
      <c r="F12" s="22" t="n"/>
      <c r="G12" s="23" t="n"/>
      <c r="H12" s="14" t="inlineStr">
        <is>
          <t>media(D8,D9)</t>
        </is>
      </c>
      <c r="I12" s="22" t="n"/>
      <c r="J12" s="22" t="n"/>
      <c r="K12" s="23" t="n"/>
      <c r="L12" s="14" t="inlineStr">
        <is>
          <t>0.0-1.0</t>
        </is>
      </c>
      <c r="M12" s="23" t="n"/>
      <c r="N12" s="14" t="inlineStr">
        <is>
          <t>Anos de operacion, n. socios, capacidad exportar, n. paises destino</t>
        </is>
      </c>
    </row>
    <row r="13" ht="18" customHeight="1">
      <c r="A13" s="35" t="inlineStr">
        <is>
          <t>IV</t>
        </is>
      </c>
      <c r="B13" s="22" t="n"/>
      <c r="C13" s="23" t="n"/>
      <c r="D13" s="18" t="inlineStr">
        <is>
          <t>Indice de Vulnerabilidad</t>
        </is>
      </c>
      <c r="E13" s="22" t="n"/>
      <c r="F13" s="22" t="n"/>
      <c r="G13" s="23" t="n"/>
      <c r="H13" s="18" t="inlineStr">
        <is>
          <t>geom(D10,D11)</t>
        </is>
      </c>
      <c r="I13" s="22" t="n"/>
      <c r="J13" s="22" t="n"/>
      <c r="K13" s="23" t="n"/>
      <c r="L13" s="18" t="inlineStr">
        <is>
          <t>0.0-1.0</t>
        </is>
      </c>
      <c r="M13" s="23" t="n"/>
      <c r="N13" s="18" t="inlineStr">
        <is>
          <t>Certificaciones, volumen FOB, exposicion a EUDR</t>
        </is>
      </c>
    </row>
    <row r="14" ht="18" customHeight="1">
      <c r="A14" s="35" t="inlineStr">
        <is>
          <t>RE</t>
        </is>
      </c>
      <c r="B14" s="22" t="n"/>
      <c r="C14" s="23" t="n"/>
      <c r="D14" s="14" t="inlineStr">
        <is>
          <t>Riesgo de Exclusion</t>
        </is>
      </c>
      <c r="E14" s="22" t="n"/>
      <c r="F14" s="22" t="n"/>
      <c r="G14" s="23" t="n"/>
      <c r="H14" s="14" t="inlineStr">
        <is>
          <t>ponderacion AHP</t>
        </is>
      </c>
      <c r="I14" s="22" t="n"/>
      <c r="J14" s="22" t="n"/>
      <c r="K14" s="23" t="n"/>
      <c r="L14" s="14" t="inlineStr">
        <is>
          <t>0.0-1.0</t>
        </is>
      </c>
      <c r="M14" s="23" t="n"/>
      <c r="N14" s="14" t="inlineStr">
        <is>
          <t>Probabilidad de exclusion del mercado EU por incumplimiento</t>
        </is>
      </c>
    </row>
  </sheetData>
  <mergeCells count="53">
    <mergeCell ref="A9:N9"/>
    <mergeCell ref="N13"/>
    <mergeCell ref="H13:K13"/>
    <mergeCell ref="L7:M7"/>
    <mergeCell ref="D12:G12"/>
    <mergeCell ref="D8:G8"/>
    <mergeCell ref="H12:K12"/>
    <mergeCell ref="N6"/>
    <mergeCell ref="A12:C12"/>
    <mergeCell ref="D5:G5"/>
    <mergeCell ref="L13:M13"/>
    <mergeCell ref="D14:G14"/>
    <mergeCell ref="H5:K5"/>
    <mergeCell ref="H14:K14"/>
    <mergeCell ref="L12:M12"/>
    <mergeCell ref="A5:C5"/>
    <mergeCell ref="H8:K8"/>
    <mergeCell ref="N4"/>
    <mergeCell ref="A8:C8"/>
    <mergeCell ref="N11"/>
    <mergeCell ref="A14:C14"/>
    <mergeCell ref="L5:M5"/>
    <mergeCell ref="N7"/>
    <mergeCell ref="D10:G10"/>
    <mergeCell ref="A4:C4"/>
    <mergeCell ref="L8:M8"/>
    <mergeCell ref="L14:M14"/>
    <mergeCell ref="H10:K10"/>
    <mergeCell ref="A10:C10"/>
    <mergeCell ref="H4:K4"/>
    <mergeCell ref="A3:N3"/>
    <mergeCell ref="A13:C13"/>
    <mergeCell ref="L4:M4"/>
    <mergeCell ref="D6:G6"/>
    <mergeCell ref="A2:N2"/>
    <mergeCell ref="L10:M10"/>
    <mergeCell ref="N12"/>
    <mergeCell ref="H6:K6"/>
    <mergeCell ref="D11:G11"/>
    <mergeCell ref="D13:G13"/>
    <mergeCell ref="N5"/>
    <mergeCell ref="N14"/>
    <mergeCell ref="A11:C11"/>
    <mergeCell ref="L6:M6"/>
    <mergeCell ref="N8"/>
    <mergeCell ref="H11:K11"/>
    <mergeCell ref="A6:C6"/>
    <mergeCell ref="D7:G7"/>
    <mergeCell ref="L11:M11"/>
    <mergeCell ref="H7:K7"/>
    <mergeCell ref="A7:C7"/>
    <mergeCell ref="N10"/>
    <mergeCell ref="D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2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46" customWidth="1" min="2" max="2"/>
    <col width="14" customWidth="1" min="3" max="3"/>
    <col width="16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 ht="24" customHeight="1">
      <c r="A1" s="49" t="inlineStr">
        <is>
          <t>EUDR PERÚ — Datos de Venta SISPAC 20 (PA) | Cobertura: 76 orgs con dato SISPAC | Resto vacío → completar con Instrumento 2</t>
        </is>
      </c>
    </row>
    <row r="2" ht="20" customHeight="1">
      <c r="A2" s="50" t="inlineStr">
        <is>
          <t>RUC | NOMBRE | PRODUCTO</t>
        </is>
      </c>
      <c r="E2" s="51" t="inlineStr">
        <is>
          <t>VENTAS TOTALES (S/)</t>
        </is>
      </c>
      <c r="M2" s="52" t="inlineStr">
        <is>
          <t>V. EJEC. NACIONALES (S/)</t>
        </is>
      </c>
      <c r="U2" s="53" t="inlineStr">
        <is>
          <t>V. EJEC. EXPORTACIÓN (S/)</t>
        </is>
      </c>
      <c r="AC2" s="54" t="inlineStr">
        <is>
          <t>COMPROBANTES 2023</t>
        </is>
      </c>
      <c r="AI2" s="55" t="inlineStr">
        <is>
          <t>COMPROBANTES 2024</t>
        </is>
      </c>
      <c r="AO2" s="56" t="inlineStr">
        <is>
          <t>COMPROBANTES 2025</t>
        </is>
      </c>
    </row>
    <row r="3" ht="36" customHeight="1">
      <c r="A3" s="57" t="inlineStr">
        <is>
          <t>RUC</t>
        </is>
      </c>
      <c r="B3" s="57" t="inlineStr">
        <is>
          <t>NOMBRE</t>
        </is>
      </c>
      <c r="C3" s="57" t="inlineStr">
        <is>
          <t>PRODUCTO_DOM</t>
        </is>
      </c>
      <c r="D3" s="57" t="inlineStr">
        <is>
          <t>DEPARTAMENTO</t>
        </is>
      </c>
      <c r="E3" s="57" t="inlineStr">
        <is>
          <t>PROVINCIA</t>
        </is>
      </c>
      <c r="F3" s="57" t="inlineStr">
        <is>
          <t>DISTRITO</t>
        </is>
      </c>
      <c r="G3" s="57" t="inlineStr">
        <is>
          <t>Ventas Totales 2018</t>
        </is>
      </c>
      <c r="H3" s="57" t="inlineStr">
        <is>
          <t>Ventas Totales 2019</t>
        </is>
      </c>
      <c r="I3" s="57" t="inlineStr">
        <is>
          <t>Ventas Totales 2020</t>
        </is>
      </c>
      <c r="J3" s="57" t="inlineStr">
        <is>
          <t>Ventas Totales 2021</t>
        </is>
      </c>
      <c r="K3" s="57" t="inlineStr">
        <is>
          <t>Ventas Totales 2022</t>
        </is>
      </c>
      <c r="L3" s="57" t="inlineStr">
        <is>
          <t>Ventas Totales 2023</t>
        </is>
      </c>
      <c r="M3" s="57" t="inlineStr">
        <is>
          <t>Ventas Totales 2024</t>
        </is>
      </c>
      <c r="N3" s="57" t="inlineStr">
        <is>
          <t>Ventas Totales 2025</t>
        </is>
      </c>
      <c r="O3" s="57" t="inlineStr">
        <is>
          <t>V. Nac. 2020</t>
        </is>
      </c>
      <c r="P3" s="57" t="inlineStr">
        <is>
          <t>V. Exp. 2020</t>
        </is>
      </c>
      <c r="Q3" s="57" t="inlineStr">
        <is>
          <t>V. Nac. 2021</t>
        </is>
      </c>
      <c r="R3" s="57" t="inlineStr">
        <is>
          <t>V. Exp. 2021</t>
        </is>
      </c>
      <c r="S3" s="57" t="inlineStr">
        <is>
          <t>V. Nac. 2022</t>
        </is>
      </c>
      <c r="T3" s="57" t="inlineStr">
        <is>
          <t>V. Exp. 2022</t>
        </is>
      </c>
      <c r="U3" s="57" t="inlineStr">
        <is>
          <t>V. Nac. 2023</t>
        </is>
      </c>
      <c r="V3" s="57" t="inlineStr">
        <is>
          <t>V. Exp. 2023</t>
        </is>
      </c>
      <c r="W3" s="57" t="inlineStr">
        <is>
          <t>V. Nac. 2024</t>
        </is>
      </c>
      <c r="X3" s="57" t="inlineStr">
        <is>
          <t>V. Exp. 2024</t>
        </is>
      </c>
      <c r="Y3" s="57" t="inlineStr">
        <is>
          <t>V. Nac. 2025</t>
        </is>
      </c>
      <c r="Z3" s="57" t="inlineStr">
        <is>
          <t>V. Exp. 2025</t>
        </is>
      </c>
      <c r="AA3" s="57" t="inlineStr">
        <is>
          <t>Boleta 2023</t>
        </is>
      </c>
      <c r="AB3" s="57" t="inlineStr">
        <is>
          <t>Declaración Jurada 2023</t>
        </is>
      </c>
      <c r="AC3" s="57" t="inlineStr">
        <is>
          <t>Factura 2023</t>
        </is>
      </c>
      <c r="AD3" s="57" t="inlineStr">
        <is>
          <t>Guía Remisión 2023</t>
        </is>
      </c>
      <c r="AE3" s="57" t="inlineStr">
        <is>
          <t>Liq. Compra 2023</t>
        </is>
      </c>
      <c r="AF3" s="57" t="inlineStr">
        <is>
          <t>Total Comp. 2023</t>
        </is>
      </c>
      <c r="AG3" s="57" t="inlineStr">
        <is>
          <t>Boleta 2024</t>
        </is>
      </c>
      <c r="AH3" s="57" t="inlineStr">
        <is>
          <t>Declaración Jurada 2024</t>
        </is>
      </c>
      <c r="AI3" s="57" t="inlineStr">
        <is>
          <t>Factura 2024</t>
        </is>
      </c>
      <c r="AJ3" s="57" t="inlineStr">
        <is>
          <t>Guía Remisión 2024</t>
        </is>
      </c>
      <c r="AK3" s="57" t="inlineStr">
        <is>
          <t>Liq. Compra 2024</t>
        </is>
      </c>
      <c r="AL3" s="57" t="inlineStr">
        <is>
          <t>Total Comp. 2024</t>
        </is>
      </c>
      <c r="AM3" s="57" t="inlineStr">
        <is>
          <t>Boleta 2025</t>
        </is>
      </c>
      <c r="AN3" s="57" t="inlineStr">
        <is>
          <t>Declaración Jurada 2025</t>
        </is>
      </c>
      <c r="AO3" s="57" t="inlineStr">
        <is>
          <t>Factura 2025</t>
        </is>
      </c>
      <c r="AP3" s="57" t="inlineStr">
        <is>
          <t>Guía Remisión 2025</t>
        </is>
      </c>
      <c r="AQ3" s="57" t="inlineStr">
        <is>
          <t>Liq. Compra 2025</t>
        </is>
      </c>
      <c r="AR3" s="57" t="inlineStr">
        <is>
          <t>Total Comp. 2025</t>
        </is>
      </c>
    </row>
    <row r="4" ht="16" customHeight="1">
      <c r="A4" s="58" t="inlineStr">
        <is>
          <t>20568271379</t>
        </is>
      </c>
      <c r="B4" s="59" t="inlineStr">
        <is>
          <t>Aproselva</t>
        </is>
      </c>
      <c r="C4" s="58" t="n"/>
      <c r="D4" s="58" t="n"/>
      <c r="E4" s="58" t="n"/>
      <c r="F4" s="58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  <c r="Z4" s="60" t="n"/>
      <c r="AA4" s="60" t="n"/>
      <c r="AB4" s="60" t="n"/>
      <c r="AC4" s="60" t="n"/>
      <c r="AD4" s="60" t="n"/>
      <c r="AE4" s="60" t="n"/>
      <c r="AF4" s="60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0" t="n"/>
      <c r="AP4" s="60" t="n"/>
      <c r="AQ4" s="60" t="n"/>
      <c r="AR4" s="60" t="n"/>
    </row>
    <row r="5" ht="16" customHeight="1">
      <c r="A5" s="61" t="inlineStr">
        <is>
          <t>20438297775</t>
        </is>
      </c>
      <c r="B5" s="62" t="inlineStr">
        <is>
          <t>CENFROCAFE</t>
        </is>
      </c>
      <c r="C5" s="61" t="n"/>
      <c r="D5" s="61" t="n"/>
      <c r="E5" s="61" t="n"/>
      <c r="F5" s="61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  <c r="AL5" s="63" t="n"/>
      <c r="AM5" s="63" t="n"/>
      <c r="AN5" s="63" t="n"/>
      <c r="AO5" s="63" t="n"/>
      <c r="AP5" s="63" t="n"/>
      <c r="AQ5" s="63" t="n"/>
      <c r="AR5" s="63" t="n"/>
    </row>
    <row r="6" ht="16" customHeight="1">
      <c r="A6" s="58" t="inlineStr">
        <is>
          <t>20572190251</t>
        </is>
      </c>
      <c r="B6" s="59" t="inlineStr">
        <is>
          <t>Cacao Aroma</t>
        </is>
      </c>
      <c r="C6" s="58" t="inlineStr">
        <is>
          <t>CACAO</t>
        </is>
      </c>
      <c r="D6" s="58" t="inlineStr">
        <is>
          <t>SAN MARTIN</t>
        </is>
      </c>
      <c r="E6" s="58" t="inlineStr">
        <is>
          <t>TOCACHE</t>
        </is>
      </c>
      <c r="F6" s="58" t="inlineStr">
        <is>
          <t>TOCACHE</t>
        </is>
      </c>
      <c r="G6" s="64" t="n">
        <v>0</v>
      </c>
      <c r="H6" s="64" t="n">
        <v>0</v>
      </c>
      <c r="I6" s="64" t="n">
        <v>0</v>
      </c>
      <c r="J6" s="64" t="n">
        <v>4566700.38</v>
      </c>
      <c r="K6" s="64" t="n">
        <v>3275617.93</v>
      </c>
      <c r="L6" s="64" t="n">
        <v>1495378.19</v>
      </c>
      <c r="M6" s="64" t="n">
        <v>0</v>
      </c>
      <c r="N6" s="64" t="n">
        <v>0</v>
      </c>
      <c r="O6" s="64" t="n">
        <v>0</v>
      </c>
      <c r="P6" s="64" t="n">
        <v>0</v>
      </c>
      <c r="Q6" s="64" t="n">
        <v>4566700.38</v>
      </c>
      <c r="R6" s="64" t="n">
        <v>0</v>
      </c>
      <c r="S6" s="64" t="n">
        <v>3275617.93</v>
      </c>
      <c r="T6" s="64" t="n">
        <v>0</v>
      </c>
      <c r="U6" s="64" t="n">
        <v>1164789.82</v>
      </c>
      <c r="V6" s="64" t="n">
        <v>330588.37</v>
      </c>
      <c r="W6" s="64" t="n">
        <v>0</v>
      </c>
      <c r="X6" s="64" t="n">
        <v>0</v>
      </c>
      <c r="Y6" s="64" t="n">
        <v>0</v>
      </c>
      <c r="Z6" s="64" t="n">
        <v>0</v>
      </c>
      <c r="AA6" s="64" t="n">
        <v>0</v>
      </c>
      <c r="AB6" s="64" t="n">
        <v>0</v>
      </c>
      <c r="AC6" s="64" t="n">
        <v>1495378.18051658</v>
      </c>
      <c r="AD6" s="64" t="n">
        <v>0</v>
      </c>
      <c r="AE6" s="64" t="n">
        <v>0</v>
      </c>
      <c r="AF6" s="64" t="n">
        <v>1495378.18051658</v>
      </c>
      <c r="AG6" s="64" t="n">
        <v>0</v>
      </c>
      <c r="AH6" s="64" t="n">
        <v>0</v>
      </c>
      <c r="AI6" s="64" t="n">
        <v>0</v>
      </c>
      <c r="AJ6" s="64" t="n">
        <v>0</v>
      </c>
      <c r="AK6" s="64" t="n">
        <v>0</v>
      </c>
      <c r="AL6" s="64" t="n">
        <v>0</v>
      </c>
      <c r="AM6" s="64" t="n">
        <v>0</v>
      </c>
      <c r="AN6" s="64" t="n">
        <v>0</v>
      </c>
      <c r="AO6" s="64" t="n">
        <v>0</v>
      </c>
      <c r="AP6" s="64" t="n">
        <v>0</v>
      </c>
      <c r="AQ6" s="64" t="n">
        <v>0</v>
      </c>
      <c r="AR6" s="64" t="n">
        <v>0</v>
      </c>
    </row>
    <row r="7" ht="16" customHeight="1">
      <c r="A7" s="61" t="inlineStr">
        <is>
          <t>20600499719</t>
        </is>
      </c>
      <c r="B7" s="62" t="inlineStr">
        <is>
          <t>Coopbam Ltda.</t>
        </is>
      </c>
      <c r="C7" s="61" t="n"/>
      <c r="D7" s="61" t="n"/>
      <c r="E7" s="61" t="n"/>
      <c r="F7" s="61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3" t="n"/>
      <c r="AK7" s="63" t="n"/>
      <c r="AL7" s="63" t="n"/>
      <c r="AM7" s="63" t="n"/>
      <c r="AN7" s="63" t="n"/>
      <c r="AO7" s="63" t="n"/>
      <c r="AP7" s="63" t="n"/>
      <c r="AQ7" s="63" t="n"/>
      <c r="AR7" s="63" t="n"/>
    </row>
    <row r="8" ht="16" customHeight="1">
      <c r="A8" s="58" t="inlineStr">
        <is>
          <t>20404175913</t>
        </is>
      </c>
      <c r="B8" s="59" t="inlineStr">
        <is>
          <t>Cooperativa Agraria Acepat</t>
        </is>
      </c>
      <c r="C8" s="58" t="n"/>
      <c r="D8" s="58" t="n"/>
      <c r="E8" s="58" t="n"/>
      <c r="F8" s="58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</row>
    <row r="9" ht="16" customHeight="1">
      <c r="A9" s="61" t="inlineStr">
        <is>
          <t>20530336281</t>
        </is>
      </c>
      <c r="B9" s="62" t="inlineStr">
        <is>
          <t>Cooperativa Agraria Agroexportadora del Norte</t>
        </is>
      </c>
      <c r="C9" s="61" t="n"/>
      <c r="D9" s="61" t="n"/>
      <c r="E9" s="61" t="n"/>
      <c r="F9" s="61" t="n"/>
      <c r="G9" s="63" t="n"/>
      <c r="H9" s="63" t="n"/>
      <c r="I9" s="63" t="n"/>
      <c r="J9" s="63" t="n"/>
      <c r="K9" s="63" t="n"/>
      <c r="L9" s="63" t="n"/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3" t="n"/>
      <c r="AK9" s="63" t="n"/>
      <c r="AL9" s="63" t="n"/>
      <c r="AM9" s="63" t="n"/>
      <c r="AN9" s="63" t="n"/>
      <c r="AO9" s="63" t="n"/>
      <c r="AP9" s="63" t="n"/>
      <c r="AQ9" s="63" t="n"/>
      <c r="AR9" s="63" t="n"/>
    </row>
    <row r="10" ht="16" customHeight="1">
      <c r="A10" s="58" t="inlineStr">
        <is>
          <t>20600717902</t>
        </is>
      </c>
      <c r="B10" s="59" t="inlineStr">
        <is>
          <t>Cooperativa Agraria Agropia Ltda.</t>
        </is>
      </c>
      <c r="C10" s="58" t="inlineStr">
        <is>
          <t>PAPA</t>
        </is>
      </c>
      <c r="D10" s="58" t="inlineStr">
        <is>
          <t>HUANCAVELICA</t>
        </is>
      </c>
      <c r="E10" s="58" t="inlineStr">
        <is>
          <t>TAYACAJA</t>
        </is>
      </c>
      <c r="F10" s="58" t="inlineStr">
        <is>
          <t>PAZOS</t>
        </is>
      </c>
      <c r="G10" s="64" t="n">
        <v>0</v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0</v>
      </c>
      <c r="U10" s="64" t="n">
        <v>0</v>
      </c>
      <c r="V10" s="64" t="n">
        <v>0</v>
      </c>
      <c r="W10" s="64" t="n">
        <v>0</v>
      </c>
      <c r="X10" s="64" t="n">
        <v>0</v>
      </c>
      <c r="Y10" s="64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E10" s="64" t="n">
        <v>0</v>
      </c>
      <c r="AF10" s="64" t="n">
        <v>0</v>
      </c>
      <c r="AG10" s="64" t="n">
        <v>0</v>
      </c>
      <c r="AH10" s="64" t="n">
        <v>0</v>
      </c>
      <c r="AI10" s="64" t="n">
        <v>0</v>
      </c>
      <c r="AJ10" s="64" t="n">
        <v>0</v>
      </c>
      <c r="AK10" s="64" t="n">
        <v>0</v>
      </c>
      <c r="AL10" s="64" t="n">
        <v>0</v>
      </c>
      <c r="AM10" s="64" t="n">
        <v>0</v>
      </c>
      <c r="AN10" s="64" t="n">
        <v>0</v>
      </c>
      <c r="AO10" s="64" t="n">
        <v>0</v>
      </c>
      <c r="AP10" s="64" t="n">
        <v>0</v>
      </c>
      <c r="AQ10" s="64" t="n">
        <v>0</v>
      </c>
      <c r="AR10" s="64" t="n">
        <v>0</v>
      </c>
    </row>
    <row r="11" ht="16" customHeight="1">
      <c r="A11" s="61" t="inlineStr">
        <is>
          <t>20600061691</t>
        </is>
      </c>
      <c r="B11" s="62" t="inlineStr">
        <is>
          <t>Cooperativa Agraria Alto Grande Santa Sofia</t>
        </is>
      </c>
      <c r="C11" s="61" t="n"/>
      <c r="D11" s="61" t="n"/>
      <c r="E11" s="61" t="n"/>
      <c r="F11" s="61" t="n"/>
      <c r="G11" s="63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  <c r="AC11" s="63" t="n"/>
      <c r="AD11" s="63" t="n"/>
      <c r="AE11" s="63" t="n"/>
      <c r="AF11" s="63" t="n"/>
      <c r="AG11" s="63" t="n"/>
      <c r="AH11" s="63" t="n"/>
      <c r="AI11" s="63" t="n"/>
      <c r="AJ11" s="63" t="n"/>
      <c r="AK11" s="63" t="n"/>
      <c r="AL11" s="63" t="n"/>
      <c r="AM11" s="63" t="n"/>
      <c r="AN11" s="63" t="n"/>
      <c r="AO11" s="63" t="n"/>
      <c r="AP11" s="63" t="n"/>
      <c r="AQ11" s="63" t="n"/>
      <c r="AR11" s="63" t="n"/>
    </row>
    <row r="12" ht="16" customHeight="1">
      <c r="A12" s="58" t="inlineStr">
        <is>
          <t>20531741596</t>
        </is>
      </c>
      <c r="B12" s="59" t="inlineStr">
        <is>
          <t>Cooperativa Agraria Apaes</t>
        </is>
      </c>
      <c r="C12" s="58" t="n"/>
      <c r="D12" s="58" t="n"/>
      <c r="E12" s="58" t="n"/>
      <c r="F12" s="58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</row>
    <row r="13" ht="16" customHeight="1">
      <c r="A13" s="61" t="inlineStr">
        <is>
          <t>20525545866</t>
        </is>
      </c>
      <c r="B13" s="62" t="inlineStr">
        <is>
          <t>Cooperativa Agraria Apbosmam</t>
        </is>
      </c>
      <c r="C13" s="61" t="n"/>
      <c r="D13" s="61" t="n"/>
      <c r="E13" s="61" t="n"/>
      <c r="F13" s="61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  <c r="AC13" s="63" t="n"/>
      <c r="AD13" s="63" t="n"/>
      <c r="AE13" s="63" t="n"/>
      <c r="AF13" s="63" t="n"/>
      <c r="AG13" s="63" t="n"/>
      <c r="AH13" s="63" t="n"/>
      <c r="AI13" s="63" t="n"/>
      <c r="AJ13" s="63" t="n"/>
      <c r="AK13" s="63" t="n"/>
      <c r="AL13" s="63" t="n"/>
      <c r="AM13" s="63" t="n"/>
      <c r="AN13" s="63" t="n"/>
      <c r="AO13" s="63" t="n"/>
      <c r="AP13" s="63" t="n"/>
      <c r="AQ13" s="63" t="n"/>
      <c r="AR13" s="63" t="n"/>
    </row>
    <row r="14" ht="16" customHeight="1">
      <c r="A14" s="58" t="inlineStr">
        <is>
          <t>20484062031</t>
        </is>
      </c>
      <c r="B14" s="59" t="inlineStr">
        <is>
          <t>Cooperativa Agraria Appbosa</t>
        </is>
      </c>
      <c r="C14" s="58" t="n"/>
      <c r="D14" s="58" t="n"/>
      <c r="E14" s="58" t="n"/>
      <c r="F14" s="58" t="n"/>
      <c r="G14" s="60" t="n"/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  <c r="AH14" s="60" t="n"/>
      <c r="AI14" s="60" t="n"/>
      <c r="AJ14" s="60" t="n"/>
      <c r="AK14" s="60" t="n"/>
      <c r="AL14" s="60" t="n"/>
      <c r="AM14" s="60" t="n"/>
      <c r="AN14" s="60" t="n"/>
      <c r="AO14" s="60" t="n"/>
      <c r="AP14" s="60" t="n"/>
      <c r="AQ14" s="60" t="n"/>
      <c r="AR14" s="60" t="n"/>
    </row>
    <row r="15" ht="16" customHeight="1">
      <c r="A15" s="61" t="inlineStr">
        <is>
          <t>20132505455</t>
        </is>
      </c>
      <c r="B15" s="62" t="inlineStr">
        <is>
          <t>Cooperativa Agraria Cafetalera Aguilayoc Ltda. 084</t>
        </is>
      </c>
      <c r="C15" s="61" t="inlineStr">
        <is>
          <t>CAFÉ</t>
        </is>
      </c>
      <c r="D15" s="61" t="inlineStr">
        <is>
          <t>CUSCO</t>
        </is>
      </c>
      <c r="E15" s="61" t="inlineStr">
        <is>
          <t>LA CONVENCION</t>
        </is>
      </c>
      <c r="F15" s="61" t="inlineStr">
        <is>
          <t>SANTA ANA</t>
        </is>
      </c>
      <c r="G15" s="65" t="n">
        <v>0</v>
      </c>
      <c r="H15" s="65" t="n">
        <v>0</v>
      </c>
      <c r="I15" s="65" t="n">
        <v>0</v>
      </c>
      <c r="J15" s="65" t="n">
        <v>0</v>
      </c>
      <c r="K15" s="65" t="n">
        <v>0</v>
      </c>
      <c r="L15" s="65" t="n">
        <v>0</v>
      </c>
      <c r="M15" s="65" t="n">
        <v>168351.562</v>
      </c>
      <c r="N15" s="65" t="n">
        <v>615259.8295000002</v>
      </c>
      <c r="O15" s="65" t="n">
        <v>0</v>
      </c>
      <c r="P15" s="65" t="n">
        <v>0</v>
      </c>
      <c r="Q15" s="65" t="n">
        <v>0</v>
      </c>
      <c r="R15" s="65" t="n">
        <v>0</v>
      </c>
      <c r="S15" s="65" t="n">
        <v>0</v>
      </c>
      <c r="T15" s="65" t="n">
        <v>0</v>
      </c>
      <c r="U15" s="65" t="n">
        <v>0</v>
      </c>
      <c r="V15" s="65" t="n">
        <v>0</v>
      </c>
      <c r="W15" s="65" t="n">
        <v>168351.562</v>
      </c>
      <c r="X15" s="65" t="n">
        <v>0</v>
      </c>
      <c r="Y15" s="65" t="n">
        <v>615259.8295000002</v>
      </c>
      <c r="Z15" s="65" t="n">
        <v>0</v>
      </c>
      <c r="AA15" s="65" t="n">
        <v>0</v>
      </c>
      <c r="AB15" s="65" t="n">
        <v>0</v>
      </c>
      <c r="AC15" s="65" t="n">
        <v>0</v>
      </c>
      <c r="AD15" s="65" t="n">
        <v>0</v>
      </c>
      <c r="AE15" s="65" t="n">
        <v>0</v>
      </c>
      <c r="AF15" s="65" t="n">
        <v>0</v>
      </c>
      <c r="AG15" s="65" t="n">
        <v>0</v>
      </c>
      <c r="AH15" s="65" t="n">
        <v>0</v>
      </c>
      <c r="AI15" s="65" t="n">
        <v>168351.562</v>
      </c>
      <c r="AJ15" s="65" t="n">
        <v>0</v>
      </c>
      <c r="AK15" s="65" t="n">
        <v>0</v>
      </c>
      <c r="AL15" s="65" t="n">
        <v>168351.562</v>
      </c>
      <c r="AM15" s="65" t="n">
        <v>113261.5</v>
      </c>
      <c r="AN15" s="65" t="n">
        <v>23369.86</v>
      </c>
      <c r="AO15" s="65" t="n">
        <v>478628.4695</v>
      </c>
      <c r="AP15" s="65" t="n">
        <v>0</v>
      </c>
      <c r="AQ15" s="65" t="n">
        <v>0</v>
      </c>
      <c r="AR15" s="65" t="n">
        <v>615259.8295</v>
      </c>
    </row>
    <row r="16" ht="16" customHeight="1">
      <c r="A16" s="58" t="inlineStr">
        <is>
          <t>20487272800</t>
        </is>
      </c>
      <c r="B16" s="59" t="inlineStr">
        <is>
          <t>Cooperativa Agraria Cafetalera Café y Cacao Rio Negro Ltda.</t>
        </is>
      </c>
      <c r="C16" s="58" t="n"/>
      <c r="D16" s="58" t="n"/>
      <c r="E16" s="58" t="n"/>
      <c r="F16" s="58" t="n"/>
      <c r="G16" s="60" t="n"/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0" t="n"/>
      <c r="AI16" s="60" t="n"/>
      <c r="AJ16" s="60" t="n"/>
      <c r="AK16" s="60" t="n"/>
      <c r="AL16" s="60" t="n"/>
      <c r="AM16" s="60" t="n"/>
      <c r="AN16" s="60" t="n"/>
      <c r="AO16" s="60" t="n"/>
      <c r="AP16" s="60" t="n"/>
      <c r="AQ16" s="60" t="n"/>
      <c r="AR16" s="60" t="n"/>
    </row>
    <row r="17" ht="16" customHeight="1">
      <c r="A17" s="61" t="inlineStr">
        <is>
          <t>20568071281</t>
        </is>
      </c>
      <c r="B17" s="62" t="inlineStr">
        <is>
          <t>Cooperativa Agraria Cafetalera Cepro Yanesha</t>
        </is>
      </c>
      <c r="C17" s="61" t="inlineStr">
        <is>
          <t>CAFÉ</t>
        </is>
      </c>
      <c r="D17" s="61" t="inlineStr">
        <is>
          <t>PASCO</t>
        </is>
      </c>
      <c r="E17" s="61" t="inlineStr">
        <is>
          <t>OXAPAMPA</t>
        </is>
      </c>
      <c r="F17" s="61" t="inlineStr">
        <is>
          <t>VILLA RICA</t>
        </is>
      </c>
      <c r="G17" s="65" t="n">
        <v>2653362.14</v>
      </c>
      <c r="H17" s="65" t="n">
        <v>3503738.66</v>
      </c>
      <c r="I17" s="65" t="n">
        <v>0</v>
      </c>
      <c r="J17" s="65" t="n">
        <v>0</v>
      </c>
      <c r="K17" s="65" t="n">
        <v>0</v>
      </c>
      <c r="L17" s="65" t="n">
        <v>0</v>
      </c>
      <c r="M17" s="65" t="n">
        <v>0</v>
      </c>
      <c r="N17" s="65" t="n">
        <v>0</v>
      </c>
      <c r="O17" s="65" t="n">
        <v>0</v>
      </c>
      <c r="P17" s="65" t="n">
        <v>0</v>
      </c>
      <c r="Q17" s="65" t="n">
        <v>0</v>
      </c>
      <c r="R17" s="65" t="n">
        <v>0</v>
      </c>
      <c r="S17" s="65" t="n">
        <v>0</v>
      </c>
      <c r="T17" s="65" t="n">
        <v>0</v>
      </c>
      <c r="U17" s="65" t="n">
        <v>0</v>
      </c>
      <c r="V17" s="65" t="n">
        <v>0</v>
      </c>
      <c r="W17" s="65" t="n">
        <v>0</v>
      </c>
      <c r="X17" s="65" t="n">
        <v>0</v>
      </c>
      <c r="Y17" s="65" t="n">
        <v>0</v>
      </c>
      <c r="Z17" s="65" t="n">
        <v>0</v>
      </c>
      <c r="AA17" s="65" t="n">
        <v>0</v>
      </c>
      <c r="AB17" s="65" t="n">
        <v>0</v>
      </c>
      <c r="AC17" s="65" t="n">
        <v>0</v>
      </c>
      <c r="AD17" s="65" t="n">
        <v>0</v>
      </c>
      <c r="AE17" s="65" t="n">
        <v>0</v>
      </c>
      <c r="AF17" s="65" t="n">
        <v>0</v>
      </c>
      <c r="AG17" s="65" t="n">
        <v>0</v>
      </c>
      <c r="AH17" s="65" t="n">
        <v>0</v>
      </c>
      <c r="AI17" s="65" t="n">
        <v>0</v>
      </c>
      <c r="AJ17" s="65" t="n">
        <v>0</v>
      </c>
      <c r="AK17" s="65" t="n">
        <v>0</v>
      </c>
      <c r="AL17" s="65" t="n">
        <v>0</v>
      </c>
      <c r="AM17" s="65" t="n">
        <v>0</v>
      </c>
      <c r="AN17" s="65" t="n">
        <v>0</v>
      </c>
      <c r="AO17" s="65" t="n">
        <v>0</v>
      </c>
      <c r="AP17" s="65" t="n">
        <v>0</v>
      </c>
      <c r="AQ17" s="65" t="n">
        <v>0</v>
      </c>
      <c r="AR17" s="65" t="n">
        <v>0</v>
      </c>
    </row>
    <row r="18" ht="16" customHeight="1">
      <c r="A18" s="58" t="inlineStr">
        <is>
          <t>20568333820</t>
        </is>
      </c>
      <c r="B18" s="59" t="inlineStr">
        <is>
          <t>Cooperativa Agraria Cafetalera Juan Santos Atahualpa</t>
        </is>
      </c>
      <c r="C18" s="58" t="n"/>
      <c r="D18" s="58" t="n"/>
      <c r="E18" s="58" t="n"/>
      <c r="F18" s="58" t="n"/>
      <c r="G18" s="60" t="n"/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0" t="n"/>
      <c r="AI18" s="60" t="n"/>
      <c r="AJ18" s="60" t="n"/>
      <c r="AK18" s="60" t="n"/>
      <c r="AL18" s="60" t="n"/>
      <c r="AM18" s="60" t="n"/>
      <c r="AN18" s="60" t="n"/>
      <c r="AO18" s="60" t="n"/>
      <c r="AP18" s="60" t="n"/>
      <c r="AQ18" s="60" t="n"/>
      <c r="AR18" s="60" t="n"/>
    </row>
    <row r="19" ht="16" customHeight="1">
      <c r="A19" s="61" t="inlineStr">
        <is>
          <t>20116854989</t>
        </is>
      </c>
      <c r="B19" s="62" t="inlineStr">
        <is>
          <t>Cooperativa Agraria Cafetalera San Jorge Ltda.</t>
        </is>
      </c>
      <c r="C19" s="61" t="n"/>
      <c r="D19" s="61" t="n"/>
      <c r="E19" s="61" t="n"/>
      <c r="F19" s="61" t="n"/>
      <c r="G19" s="63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  <c r="Z19" s="63" t="n"/>
      <c r="AA19" s="63" t="n"/>
      <c r="AB19" s="63" t="n"/>
      <c r="AC19" s="63" t="n"/>
      <c r="AD19" s="63" t="n"/>
      <c r="AE19" s="63" t="n"/>
      <c r="AF19" s="63" t="n"/>
      <c r="AG19" s="63" t="n"/>
      <c r="AH19" s="63" t="n"/>
      <c r="AI19" s="63" t="n"/>
      <c r="AJ19" s="63" t="n"/>
      <c r="AK19" s="63" t="n"/>
      <c r="AL19" s="63" t="n"/>
      <c r="AM19" s="63" t="n"/>
      <c r="AN19" s="63" t="n"/>
      <c r="AO19" s="63" t="n"/>
      <c r="AP19" s="63" t="n"/>
      <c r="AQ19" s="63" t="n"/>
      <c r="AR19" s="63" t="n"/>
    </row>
    <row r="20" ht="16" customHeight="1">
      <c r="A20" s="58" t="inlineStr">
        <is>
          <t>20486389371</t>
        </is>
      </c>
      <c r="B20" s="59" t="inlineStr">
        <is>
          <t>Cooperativa Agraria Cafetalera Selva Alta</t>
        </is>
      </c>
      <c r="C20" s="58" t="n"/>
      <c r="D20" s="58" t="n"/>
      <c r="E20" s="58" t="n"/>
      <c r="F20" s="58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  <c r="AI20" s="60" t="n"/>
      <c r="AJ20" s="60" t="n"/>
      <c r="AK20" s="60" t="n"/>
      <c r="AL20" s="60" t="n"/>
      <c r="AM20" s="60" t="n"/>
      <c r="AN20" s="60" t="n"/>
      <c r="AO20" s="60" t="n"/>
      <c r="AP20" s="60" t="n"/>
      <c r="AQ20" s="60" t="n"/>
      <c r="AR20" s="60" t="n"/>
    </row>
    <row r="21" ht="16" customHeight="1">
      <c r="A21" s="61" t="inlineStr">
        <is>
          <t>20156100855</t>
        </is>
      </c>
      <c r="B21" s="62" t="inlineStr">
        <is>
          <t>Cooperativa Agraria Cafetalera Unión Azata Ltda.</t>
        </is>
      </c>
      <c r="C21" s="61" t="n"/>
      <c r="D21" s="61" t="n"/>
      <c r="E21" s="61" t="n"/>
      <c r="F21" s="61" t="n"/>
      <c r="G21" s="63" t="n"/>
      <c r="H21" s="63" t="n"/>
      <c r="I21" s="63" t="n"/>
      <c r="J21" s="63" t="n"/>
      <c r="K21" s="63" t="n"/>
      <c r="L21" s="63" t="n"/>
      <c r="M21" s="63" t="n"/>
      <c r="N21" s="63" t="n"/>
      <c r="O21" s="63" t="n"/>
      <c r="P21" s="63" t="n"/>
      <c r="Q21" s="63" t="n"/>
      <c r="R21" s="63" t="n"/>
      <c r="S21" s="63" t="n"/>
      <c r="T21" s="63" t="n"/>
      <c r="U21" s="63" t="n"/>
      <c r="V21" s="63" t="n"/>
      <c r="W21" s="63" t="n"/>
      <c r="X21" s="63" t="n"/>
      <c r="Y21" s="63" t="n"/>
      <c r="Z21" s="63" t="n"/>
      <c r="AA21" s="63" t="n"/>
      <c r="AB21" s="63" t="n"/>
      <c r="AC21" s="63" t="n"/>
      <c r="AD21" s="63" t="n"/>
      <c r="AE21" s="63" t="n"/>
      <c r="AF21" s="63" t="n"/>
      <c r="AG21" s="63" t="n"/>
      <c r="AH21" s="63" t="n"/>
      <c r="AI21" s="63" t="n"/>
      <c r="AJ21" s="63" t="n"/>
      <c r="AK21" s="63" t="n"/>
      <c r="AL21" s="63" t="n"/>
      <c r="AM21" s="63" t="n"/>
      <c r="AN21" s="63" t="n"/>
      <c r="AO21" s="63" t="n"/>
      <c r="AP21" s="63" t="n"/>
      <c r="AQ21" s="63" t="n"/>
      <c r="AR21" s="63" t="n"/>
    </row>
    <row r="22" ht="16" customHeight="1">
      <c r="A22" s="58" t="inlineStr">
        <is>
          <t>20450437892</t>
        </is>
      </c>
      <c r="B22" s="59" t="inlineStr">
        <is>
          <t>Cooperativa Agraria Cpcacao Ltda.</t>
        </is>
      </c>
      <c r="C22" s="58" t="n"/>
      <c r="D22" s="58" t="n"/>
      <c r="E22" s="58" t="n"/>
      <c r="F22" s="58" t="n"/>
      <c r="G22" s="60" t="n"/>
      <c r="H22" s="60" t="n"/>
      <c r="I22" s="60" t="n"/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  <c r="AF22" s="60" t="n"/>
      <c r="AG22" s="60" t="n"/>
      <c r="AH22" s="60" t="n"/>
      <c r="AI22" s="60" t="n"/>
      <c r="AJ22" s="60" t="n"/>
      <c r="AK22" s="60" t="n"/>
      <c r="AL22" s="60" t="n"/>
      <c r="AM22" s="60" t="n"/>
      <c r="AN22" s="60" t="n"/>
      <c r="AO22" s="60" t="n"/>
      <c r="AP22" s="60" t="n"/>
      <c r="AQ22" s="60" t="n"/>
      <c r="AR22" s="60" t="n"/>
    </row>
    <row r="23" ht="16" customHeight="1">
      <c r="A23" s="61" t="inlineStr">
        <is>
          <t>20525692141</t>
        </is>
      </c>
      <c r="B23" s="62" t="inlineStr">
        <is>
          <t>Cooperativa Agraria De Bananeros Orgánicos Señor De Chocan De San Vicente De Piedra Rodada</t>
        </is>
      </c>
      <c r="C23" s="61" t="n"/>
      <c r="D23" s="61" t="n"/>
      <c r="E23" s="61" t="n"/>
      <c r="F23" s="61" t="n"/>
      <c r="G23" s="63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63" t="n"/>
      <c r="AE23" s="63" t="n"/>
      <c r="AF23" s="63" t="n"/>
      <c r="AG23" s="63" t="n"/>
      <c r="AH23" s="63" t="n"/>
      <c r="AI23" s="63" t="n"/>
      <c r="AJ23" s="63" t="n"/>
      <c r="AK23" s="63" t="n"/>
      <c r="AL23" s="63" t="n"/>
      <c r="AM23" s="63" t="n"/>
      <c r="AN23" s="63" t="n"/>
      <c r="AO23" s="63" t="n"/>
      <c r="AP23" s="63" t="n"/>
      <c r="AQ23" s="63" t="n"/>
      <c r="AR23" s="63" t="n"/>
    </row>
    <row r="24" ht="16" customHeight="1">
      <c r="A24" s="58" t="inlineStr">
        <is>
          <t>20486299895</t>
        </is>
      </c>
      <c r="B24" s="59" t="inlineStr">
        <is>
          <t>Cooperativa Agraria De Frutos Ecologicos Sanchirio Palomar</t>
        </is>
      </c>
      <c r="C24" s="58" t="n"/>
      <c r="D24" s="58" t="n"/>
      <c r="E24" s="58" t="n"/>
      <c r="F24" s="58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</row>
    <row r="25" ht="16" customHeight="1">
      <c r="A25" s="61" t="inlineStr">
        <is>
          <t>20600058186</t>
        </is>
      </c>
      <c r="B25" s="62" t="inlineStr">
        <is>
          <t>Cooperativa Agraria De Pequeños Productores De Banano Orgánico San Antonio De Padua – Jibito</t>
        </is>
      </c>
      <c r="C25" s="61" t="n"/>
      <c r="D25" s="61" t="n"/>
      <c r="E25" s="61" t="n"/>
      <c r="F25" s="61" t="n"/>
      <c r="G25" s="63" t="n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  <c r="Z25" s="63" t="n"/>
      <c r="AA25" s="63" t="n"/>
      <c r="AB25" s="63" t="n"/>
      <c r="AC25" s="63" t="n"/>
      <c r="AD25" s="63" t="n"/>
      <c r="AE25" s="63" t="n"/>
      <c r="AF25" s="63" t="n"/>
      <c r="AG25" s="63" t="n"/>
      <c r="AH25" s="63" t="n"/>
      <c r="AI25" s="63" t="n"/>
      <c r="AJ25" s="63" t="n"/>
      <c r="AK25" s="63" t="n"/>
      <c r="AL25" s="63" t="n"/>
      <c r="AM25" s="63" t="n"/>
      <c r="AN25" s="63" t="n"/>
      <c r="AO25" s="63" t="n"/>
      <c r="AP25" s="63" t="n"/>
      <c r="AQ25" s="63" t="n"/>
      <c r="AR25" s="63" t="n"/>
    </row>
    <row r="26" ht="16" customHeight="1">
      <c r="A26" s="58" t="inlineStr">
        <is>
          <t>20534847352</t>
        </is>
      </c>
      <c r="B26" s="59" t="inlineStr">
        <is>
          <t>Cooperativa Agraria De Productores Orgánicos De La Sierra</t>
        </is>
      </c>
      <c r="C26" s="58" t="inlineStr">
        <is>
          <t>PALTA</t>
        </is>
      </c>
      <c r="D26" s="58" t="inlineStr">
        <is>
          <t>AYACUCHO</t>
        </is>
      </c>
      <c r="E26" s="58" t="inlineStr">
        <is>
          <t>HUAMANGA</t>
        </is>
      </c>
      <c r="F26" s="58" t="inlineStr">
        <is>
          <t>OCROS</t>
        </is>
      </c>
      <c r="G26" s="64" t="n">
        <v>0</v>
      </c>
      <c r="H26" s="64" t="n">
        <v>0</v>
      </c>
      <c r="I26" s="64" t="n">
        <v>201381.5</v>
      </c>
      <c r="J26" s="64" t="n">
        <v>473731.18</v>
      </c>
      <c r="K26" s="64" t="n">
        <v>688066.53</v>
      </c>
      <c r="L26" s="64" t="n">
        <v>0</v>
      </c>
      <c r="M26" s="64" t="n">
        <v>0</v>
      </c>
      <c r="N26" s="64" t="n">
        <v>0</v>
      </c>
      <c r="O26" s="64" t="n">
        <v>201381.5</v>
      </c>
      <c r="P26" s="64" t="n">
        <v>0</v>
      </c>
      <c r="Q26" s="64" t="n">
        <v>473731.18</v>
      </c>
      <c r="R26" s="64" t="n">
        <v>0</v>
      </c>
      <c r="S26" s="64" t="n">
        <v>688066.53</v>
      </c>
      <c r="T26" s="64" t="n">
        <v>0</v>
      </c>
      <c r="U26" s="64" t="n">
        <v>0</v>
      </c>
      <c r="V26" s="64" t="n">
        <v>0</v>
      </c>
      <c r="W26" s="64" t="n">
        <v>0</v>
      </c>
      <c r="X26" s="64" t="n">
        <v>0</v>
      </c>
      <c r="Y26" s="64" t="n">
        <v>0</v>
      </c>
      <c r="Z26" s="64" t="n">
        <v>0</v>
      </c>
      <c r="AA26" s="64" t="n">
        <v>0</v>
      </c>
      <c r="AB26" s="64" t="n">
        <v>0</v>
      </c>
      <c r="AC26" s="64" t="n">
        <v>0</v>
      </c>
      <c r="AD26" s="64" t="n">
        <v>0</v>
      </c>
      <c r="AE26" s="64" t="n">
        <v>0</v>
      </c>
      <c r="AF26" s="64" t="n">
        <v>0</v>
      </c>
      <c r="AG26" s="64" t="n">
        <v>0</v>
      </c>
      <c r="AH26" s="64" t="n">
        <v>0</v>
      </c>
      <c r="AI26" s="64" t="n">
        <v>0</v>
      </c>
      <c r="AJ26" s="64" t="n">
        <v>0</v>
      </c>
      <c r="AK26" s="64" t="n">
        <v>0</v>
      </c>
      <c r="AL26" s="64" t="n">
        <v>0</v>
      </c>
      <c r="AM26" s="64" t="n">
        <v>0</v>
      </c>
      <c r="AN26" s="64" t="n">
        <v>0</v>
      </c>
      <c r="AO26" s="64" t="n">
        <v>0</v>
      </c>
      <c r="AP26" s="64" t="n">
        <v>0</v>
      </c>
      <c r="AQ26" s="64" t="n">
        <v>0</v>
      </c>
      <c r="AR26" s="64" t="n">
        <v>0</v>
      </c>
    </row>
    <row r="27" ht="16" customHeight="1">
      <c r="A27" s="61" t="inlineStr">
        <is>
          <t>20601006368</t>
        </is>
      </c>
      <c r="B27" s="62" t="inlineStr">
        <is>
          <t>Cooperativa Agraria De Servicios Múltiples Sur Andino - COOPSUR</t>
        </is>
      </c>
      <c r="C27" s="61" t="inlineStr">
        <is>
          <t>QUINUA Y OTROS GRANOS</t>
        </is>
      </c>
      <c r="D27" s="61" t="inlineStr">
        <is>
          <t>APURIMAC</t>
        </is>
      </c>
      <c r="E27" s="61" t="inlineStr">
        <is>
          <t>ANDAHUAYLAS</t>
        </is>
      </c>
      <c r="F27" s="61" t="inlineStr">
        <is>
          <t>SAN JERONIMO</t>
        </is>
      </c>
      <c r="G27" s="65" t="n">
        <v>0</v>
      </c>
      <c r="H27" s="65" t="n">
        <v>0</v>
      </c>
      <c r="I27" s="65" t="n">
        <v>0</v>
      </c>
      <c r="J27" s="65" t="n">
        <v>216103.95</v>
      </c>
      <c r="K27" s="65" t="n">
        <v>377066.8</v>
      </c>
      <c r="L27" s="65" t="n">
        <v>568018.75</v>
      </c>
      <c r="M27" s="65" t="n">
        <v>1274243.5</v>
      </c>
      <c r="N27" s="65" t="n">
        <v>3685880.59720472</v>
      </c>
      <c r="O27" s="65" t="n">
        <v>0</v>
      </c>
      <c r="P27" s="65" t="n">
        <v>0</v>
      </c>
      <c r="Q27" s="65" t="n">
        <v>216103.95</v>
      </c>
      <c r="R27" s="65" t="n">
        <v>0</v>
      </c>
      <c r="S27" s="65" t="n">
        <v>377066.8</v>
      </c>
      <c r="T27" s="65" t="n">
        <v>0</v>
      </c>
      <c r="U27" s="65" t="n">
        <v>568018.75</v>
      </c>
      <c r="V27" s="65" t="n">
        <v>0</v>
      </c>
      <c r="W27" s="65" t="n">
        <v>1274243.5</v>
      </c>
      <c r="X27" s="65" t="n">
        <v>0</v>
      </c>
      <c r="Y27" s="65" t="n">
        <v>3685880.59720472</v>
      </c>
      <c r="Z27" s="65" t="n">
        <v>0</v>
      </c>
      <c r="AA27" s="65" t="n">
        <v>0</v>
      </c>
      <c r="AB27" s="65" t="n">
        <v>0</v>
      </c>
      <c r="AC27" s="65" t="n">
        <v>568018.75</v>
      </c>
      <c r="AD27" s="65" t="n">
        <v>0</v>
      </c>
      <c r="AE27" s="65" t="n">
        <v>0</v>
      </c>
      <c r="AF27" s="65" t="n">
        <v>568018.75</v>
      </c>
      <c r="AG27" s="65" t="n">
        <v>0</v>
      </c>
      <c r="AH27" s="65" t="n">
        <v>0</v>
      </c>
      <c r="AI27" s="65" t="n">
        <v>1274243.5</v>
      </c>
      <c r="AJ27" s="65" t="n">
        <v>0</v>
      </c>
      <c r="AK27" s="65" t="n">
        <v>0</v>
      </c>
      <c r="AL27" s="65" t="n">
        <v>1274243.5</v>
      </c>
      <c r="AM27" s="65" t="n">
        <v>0</v>
      </c>
      <c r="AN27" s="65" t="n">
        <v>3673784.59720472</v>
      </c>
      <c r="AO27" s="65" t="n">
        <v>12096</v>
      </c>
      <c r="AP27" s="65" t="n">
        <v>0</v>
      </c>
      <c r="AQ27" s="65" t="n">
        <v>0</v>
      </c>
      <c r="AR27" s="65" t="n">
        <v>3685880.59720472</v>
      </c>
    </row>
    <row r="28" ht="16" customHeight="1">
      <c r="A28" s="58" t="inlineStr">
        <is>
          <t>20530744991</t>
        </is>
      </c>
      <c r="B28" s="59" t="inlineStr">
        <is>
          <t>Cooperativa Agraria De Usuarios Caldera Ltda. N° 221</t>
        </is>
      </c>
      <c r="C28" s="58" t="n"/>
      <c r="D28" s="58" t="n"/>
      <c r="E28" s="58" t="n"/>
      <c r="F28" s="58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60" t="n"/>
      <c r="AH28" s="60" t="n"/>
      <c r="AI28" s="60" t="n"/>
      <c r="AJ28" s="60" t="n"/>
      <c r="AK28" s="60" t="n"/>
      <c r="AL28" s="60" t="n"/>
      <c r="AM28" s="60" t="n"/>
      <c r="AN28" s="60" t="n"/>
      <c r="AO28" s="60" t="n"/>
      <c r="AP28" s="60" t="n"/>
      <c r="AQ28" s="60" t="n"/>
      <c r="AR28" s="60" t="n"/>
    </row>
    <row r="29" ht="16" customHeight="1">
      <c r="A29" s="61" t="inlineStr">
        <is>
          <t>20533933816</t>
        </is>
      </c>
      <c r="B29" s="62" t="inlineStr">
        <is>
          <t>Cooperativa Agraria De Usuarios El Sol Ltda</t>
        </is>
      </c>
      <c r="C29" s="61" t="n"/>
      <c r="D29" s="61" t="n"/>
      <c r="E29" s="61" t="n"/>
      <c r="F29" s="61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63" t="n"/>
      <c r="AE29" s="63" t="n"/>
      <c r="AF29" s="63" t="n"/>
      <c r="AG29" s="63" t="n"/>
      <c r="AH29" s="63" t="n"/>
      <c r="AI29" s="63" t="n"/>
      <c r="AJ29" s="63" t="n"/>
      <c r="AK29" s="63" t="n"/>
      <c r="AL29" s="63" t="n"/>
      <c r="AM29" s="63" t="n"/>
      <c r="AN29" s="63" t="n"/>
      <c r="AO29" s="63" t="n"/>
      <c r="AP29" s="63" t="n"/>
      <c r="AQ29" s="63" t="n"/>
      <c r="AR29" s="63" t="n"/>
    </row>
    <row r="30" ht="16" customHeight="1">
      <c r="A30" s="58" t="inlineStr">
        <is>
          <t>20142158168</t>
        </is>
      </c>
      <c r="B30" s="59" t="inlineStr">
        <is>
          <t>Cooperativa Agraria De Usuarios Laura Caller Iberico Ltda-Caulaci</t>
        </is>
      </c>
      <c r="C30" s="58" t="n"/>
      <c r="D30" s="58" t="n"/>
      <c r="E30" s="58" t="n"/>
      <c r="F30" s="58" t="n"/>
      <c r="G30" s="60" t="n"/>
      <c r="H30" s="60" t="n"/>
      <c r="I30" s="60" t="n"/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  <c r="AF30" s="60" t="n"/>
      <c r="AG30" s="60" t="n"/>
      <c r="AH30" s="60" t="n"/>
      <c r="AI30" s="60" t="n"/>
      <c r="AJ30" s="60" t="n"/>
      <c r="AK30" s="60" t="n"/>
      <c r="AL30" s="60" t="n"/>
      <c r="AM30" s="60" t="n"/>
      <c r="AN30" s="60" t="n"/>
      <c r="AO30" s="60" t="n"/>
      <c r="AP30" s="60" t="n"/>
      <c r="AQ30" s="60" t="n"/>
      <c r="AR30" s="60" t="n"/>
    </row>
    <row r="31" ht="16" customHeight="1">
      <c r="A31" s="61" t="inlineStr">
        <is>
          <t>20163253683</t>
        </is>
      </c>
      <c r="B31" s="62" t="inlineStr">
        <is>
          <t>Cooperativa Agraria De Usuarios Sinchi Roca Ltda</t>
        </is>
      </c>
      <c r="C31" s="61" t="n"/>
      <c r="D31" s="61" t="n"/>
      <c r="E31" s="61" t="n"/>
      <c r="F31" s="61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n"/>
      <c r="AF31" s="63" t="n"/>
      <c r="AG31" s="63" t="n"/>
      <c r="AH31" s="63" t="n"/>
      <c r="AI31" s="63" t="n"/>
      <c r="AJ31" s="63" t="n"/>
      <c r="AK31" s="63" t="n"/>
      <c r="AL31" s="63" t="n"/>
      <c r="AM31" s="63" t="n"/>
      <c r="AN31" s="63" t="n"/>
      <c r="AO31" s="63" t="n"/>
      <c r="AP31" s="63" t="n"/>
      <c r="AQ31" s="63" t="n"/>
      <c r="AR31" s="63" t="n"/>
    </row>
    <row r="32" ht="16" customHeight="1">
      <c r="A32" s="58" t="inlineStr">
        <is>
          <t>20600668430</t>
        </is>
      </c>
      <c r="B32" s="59" t="inlineStr">
        <is>
          <t>Cooperativa Agraria Del Centro Poblado De Bella - Bajo Monzón</t>
        </is>
      </c>
      <c r="C32" s="58" t="inlineStr">
        <is>
          <t>CACAO</t>
        </is>
      </c>
      <c r="D32" s="58" t="inlineStr">
        <is>
          <t>HUANUCO</t>
        </is>
      </c>
      <c r="E32" s="58" t="inlineStr">
        <is>
          <t>LEONCIO PRADO</t>
        </is>
      </c>
      <c r="F32" s="58" t="inlineStr">
        <is>
          <t>MARIANO DAMASO BERAUN</t>
        </is>
      </c>
      <c r="G32" s="64" t="n">
        <v>0</v>
      </c>
      <c r="H32" s="64" t="n">
        <v>0</v>
      </c>
      <c r="I32" s="64" t="n">
        <v>61283.38</v>
      </c>
      <c r="J32" s="64" t="n">
        <v>83713.92</v>
      </c>
      <c r="K32" s="64" t="n">
        <v>154702.22</v>
      </c>
      <c r="L32" s="64" t="n">
        <v>128099.45</v>
      </c>
      <c r="M32" s="64" t="n">
        <v>0</v>
      </c>
      <c r="N32" s="64" t="n">
        <v>0</v>
      </c>
      <c r="O32" s="64" t="n">
        <v>61283.38</v>
      </c>
      <c r="P32" s="64" t="n">
        <v>0</v>
      </c>
      <c r="Q32" s="64" t="n">
        <v>83713.92</v>
      </c>
      <c r="R32" s="64" t="n">
        <v>0</v>
      </c>
      <c r="S32" s="64" t="n">
        <v>154702.22</v>
      </c>
      <c r="T32" s="64" t="n">
        <v>0</v>
      </c>
      <c r="U32" s="64" t="n">
        <v>128099.45</v>
      </c>
      <c r="V32" s="64" t="n">
        <v>0</v>
      </c>
      <c r="W32" s="64" t="n">
        <v>0</v>
      </c>
      <c r="X32" s="64" t="n">
        <v>0</v>
      </c>
      <c r="Y32" s="64" t="n">
        <v>0</v>
      </c>
      <c r="Z32" s="64" t="n">
        <v>0</v>
      </c>
      <c r="AA32" s="64" t="n">
        <v>90768.10199999998</v>
      </c>
      <c r="AB32" s="64" t="n">
        <v>0</v>
      </c>
      <c r="AC32" s="64" t="n">
        <v>37311.35000000001</v>
      </c>
      <c r="AD32" s="64" t="n">
        <v>0</v>
      </c>
      <c r="AE32" s="64" t="n">
        <v>0</v>
      </c>
      <c r="AF32" s="64" t="n">
        <v>128079.452</v>
      </c>
      <c r="AG32" s="64" t="n">
        <v>0</v>
      </c>
      <c r="AH32" s="64" t="n">
        <v>0</v>
      </c>
      <c r="AI32" s="64" t="n">
        <v>0</v>
      </c>
      <c r="AJ32" s="64" t="n">
        <v>0</v>
      </c>
      <c r="AK32" s="64" t="n">
        <v>0</v>
      </c>
      <c r="AL32" s="64" t="n">
        <v>0</v>
      </c>
      <c r="AM32" s="64" t="n">
        <v>0</v>
      </c>
      <c r="AN32" s="64" t="n">
        <v>0</v>
      </c>
      <c r="AO32" s="64" t="n">
        <v>0</v>
      </c>
      <c r="AP32" s="64" t="n">
        <v>0</v>
      </c>
      <c r="AQ32" s="64" t="n">
        <v>0</v>
      </c>
      <c r="AR32" s="64" t="n">
        <v>0</v>
      </c>
    </row>
    <row r="33" ht="16" customHeight="1">
      <c r="A33" s="61" t="inlineStr">
        <is>
          <t>20600382064</t>
        </is>
      </c>
      <c r="B33" s="62" t="inlineStr">
        <is>
          <t>Cooperativa Agraria Ecológica Agroindustrial de Curimana Ltda</t>
        </is>
      </c>
      <c r="C33" s="61" t="inlineStr">
        <is>
          <t>CACAO</t>
        </is>
      </c>
      <c r="D33" s="61" t="inlineStr">
        <is>
          <t>UCAYALI</t>
        </is>
      </c>
      <c r="E33" s="61" t="inlineStr">
        <is>
          <t>PADRE ABAD</t>
        </is>
      </c>
      <c r="F33" s="61" t="inlineStr">
        <is>
          <t>CURIMANA</t>
        </is>
      </c>
      <c r="G33" s="65" t="n">
        <v>0</v>
      </c>
      <c r="H33" s="65" t="n">
        <v>0</v>
      </c>
      <c r="I33" s="65" t="n">
        <v>0</v>
      </c>
      <c r="J33" s="65" t="n">
        <v>0</v>
      </c>
      <c r="K33" s="65" t="n">
        <v>0</v>
      </c>
      <c r="L33" s="65" t="n">
        <v>0</v>
      </c>
      <c r="M33" s="65" t="n">
        <v>0</v>
      </c>
      <c r="N33" s="65" t="n">
        <v>0</v>
      </c>
      <c r="O33" s="65" t="n">
        <v>0</v>
      </c>
      <c r="P33" s="65" t="n">
        <v>0</v>
      </c>
      <c r="Q33" s="65" t="n">
        <v>0</v>
      </c>
      <c r="R33" s="65" t="n">
        <v>0</v>
      </c>
      <c r="S33" s="65" t="n">
        <v>0</v>
      </c>
      <c r="T33" s="65" t="n">
        <v>0</v>
      </c>
      <c r="U33" s="65" t="n">
        <v>0</v>
      </c>
      <c r="V33" s="65" t="n">
        <v>0</v>
      </c>
      <c r="W33" s="65" t="n">
        <v>0</v>
      </c>
      <c r="X33" s="65" t="n">
        <v>0</v>
      </c>
      <c r="Y33" s="65" t="n">
        <v>0</v>
      </c>
      <c r="Z33" s="65" t="n">
        <v>0</v>
      </c>
      <c r="AA33" s="65" t="n">
        <v>0</v>
      </c>
      <c r="AB33" s="65" t="n">
        <v>0</v>
      </c>
      <c r="AC33" s="65" t="n">
        <v>0</v>
      </c>
      <c r="AD33" s="65" t="n">
        <v>0</v>
      </c>
      <c r="AE33" s="65" t="n">
        <v>0</v>
      </c>
      <c r="AF33" s="65" t="n">
        <v>0</v>
      </c>
      <c r="AG33" s="65" t="n">
        <v>0</v>
      </c>
      <c r="AH33" s="65" t="n">
        <v>0</v>
      </c>
      <c r="AI33" s="65" t="n">
        <v>0</v>
      </c>
      <c r="AJ33" s="65" t="n">
        <v>0</v>
      </c>
      <c r="AK33" s="65" t="n">
        <v>0</v>
      </c>
      <c r="AL33" s="65" t="n">
        <v>0</v>
      </c>
      <c r="AM33" s="65" t="n">
        <v>0</v>
      </c>
      <c r="AN33" s="65" t="n">
        <v>0</v>
      </c>
      <c r="AO33" s="65" t="n">
        <v>0</v>
      </c>
      <c r="AP33" s="65" t="n">
        <v>0</v>
      </c>
      <c r="AQ33" s="65" t="n">
        <v>0</v>
      </c>
      <c r="AR33" s="65" t="n">
        <v>0</v>
      </c>
    </row>
    <row r="34" ht="16" customHeight="1">
      <c r="A34" s="58" t="inlineStr">
        <is>
          <t>20487224660</t>
        </is>
      </c>
      <c r="B34" s="59" t="inlineStr">
        <is>
          <t>Cooperativa Agraria Ecológica De Café De Origen Selva Central</t>
        </is>
      </c>
      <c r="C34" s="58" t="n"/>
      <c r="D34" s="58" t="n"/>
      <c r="E34" s="58" t="n"/>
      <c r="F34" s="58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  <c r="AF34" s="60" t="n"/>
      <c r="AG34" s="60" t="n"/>
      <c r="AH34" s="60" t="n"/>
      <c r="AI34" s="60" t="n"/>
      <c r="AJ34" s="60" t="n"/>
      <c r="AK34" s="60" t="n"/>
      <c r="AL34" s="60" t="n"/>
      <c r="AM34" s="60" t="n"/>
      <c r="AN34" s="60" t="n"/>
      <c r="AO34" s="60" t="n"/>
      <c r="AP34" s="60" t="n"/>
      <c r="AQ34" s="60" t="n"/>
      <c r="AR34" s="60" t="n"/>
    </row>
    <row r="35" ht="16" customHeight="1">
      <c r="A35" s="61" t="inlineStr">
        <is>
          <t>20601063922</t>
        </is>
      </c>
      <c r="B35" s="62" t="inlineStr">
        <is>
          <t>Cooperativa Agraria Ecológica El Cafecito - Pichanaqui</t>
        </is>
      </c>
      <c r="C35" s="61" t="n"/>
      <c r="D35" s="61" t="n"/>
      <c r="E35" s="61" t="n"/>
      <c r="F35" s="61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  <c r="Z35" s="63" t="n"/>
      <c r="AA35" s="63" t="n"/>
      <c r="AB35" s="63" t="n"/>
      <c r="AC35" s="63" t="n"/>
      <c r="AD35" s="63" t="n"/>
      <c r="AE35" s="63" t="n"/>
      <c r="AF35" s="63" t="n"/>
      <c r="AG35" s="63" t="n"/>
      <c r="AH35" s="63" t="n"/>
      <c r="AI35" s="63" t="n"/>
      <c r="AJ35" s="63" t="n"/>
      <c r="AK35" s="63" t="n"/>
      <c r="AL35" s="63" t="n"/>
      <c r="AM35" s="63" t="n"/>
      <c r="AN35" s="63" t="n"/>
      <c r="AO35" s="63" t="n"/>
      <c r="AP35" s="63" t="n"/>
      <c r="AQ35" s="63" t="n"/>
      <c r="AR35" s="63" t="n"/>
    </row>
    <row r="36" ht="16" customHeight="1">
      <c r="A36" s="58" t="inlineStr">
        <is>
          <t>20601125715</t>
        </is>
      </c>
      <c r="B36" s="59" t="inlineStr">
        <is>
          <t>Cooperativa Agraria Ecológica Markahuamachuco</t>
        </is>
      </c>
      <c r="C36" s="58" t="inlineStr">
        <is>
          <t>QUINUA Y OTROS GRANOS</t>
        </is>
      </c>
      <c r="D36" s="58" t="inlineStr">
        <is>
          <t>LA LIBERTAD</t>
        </is>
      </c>
      <c r="E36" s="58" t="inlineStr">
        <is>
          <t>SANCHEZ CARRION</t>
        </is>
      </c>
      <c r="F36" s="58" t="inlineStr">
        <is>
          <t>HUAMACHUCO</t>
        </is>
      </c>
      <c r="G36" s="64" t="n">
        <v>0</v>
      </c>
      <c r="H36" s="64" t="n">
        <v>150304.29</v>
      </c>
      <c r="I36" s="64" t="n">
        <v>515547.12</v>
      </c>
      <c r="J36" s="64" t="n">
        <v>516000</v>
      </c>
      <c r="K36" s="64" t="n">
        <v>510000</v>
      </c>
      <c r="L36" s="64" t="n">
        <v>653514.4399999999</v>
      </c>
      <c r="M36" s="64" t="n">
        <v>0</v>
      </c>
      <c r="N36" s="64" t="n">
        <v>0</v>
      </c>
      <c r="O36" s="64" t="n">
        <v>515547.12</v>
      </c>
      <c r="P36" s="64" t="n">
        <v>0</v>
      </c>
      <c r="Q36" s="64" t="n">
        <v>516000</v>
      </c>
      <c r="R36" s="64" t="n">
        <v>0</v>
      </c>
      <c r="S36" s="64" t="n">
        <v>510000</v>
      </c>
      <c r="T36" s="64" t="n">
        <v>0</v>
      </c>
      <c r="U36" s="64" t="n">
        <v>653514.4399999999</v>
      </c>
      <c r="V36" s="64" t="n">
        <v>0</v>
      </c>
      <c r="W36" s="64" t="n">
        <v>0</v>
      </c>
      <c r="X36" s="64" t="n">
        <v>0</v>
      </c>
      <c r="Y36" s="64" t="n">
        <v>0</v>
      </c>
      <c r="Z36" s="64" t="n">
        <v>0</v>
      </c>
      <c r="AA36" s="64" t="n">
        <v>0</v>
      </c>
      <c r="AB36" s="64" t="n">
        <v>388050</v>
      </c>
      <c r="AC36" s="64" t="n">
        <v>265464.44155</v>
      </c>
      <c r="AD36" s="64" t="n">
        <v>0</v>
      </c>
      <c r="AE36" s="64" t="n">
        <v>0</v>
      </c>
      <c r="AF36" s="64" t="n">
        <v>653514.44155</v>
      </c>
      <c r="AG36" s="64" t="n">
        <v>0</v>
      </c>
      <c r="AH36" s="64" t="n">
        <v>0</v>
      </c>
      <c r="AI36" s="64" t="n">
        <v>0</v>
      </c>
      <c r="AJ36" s="64" t="n">
        <v>0</v>
      </c>
      <c r="AK36" s="64" t="n">
        <v>0</v>
      </c>
      <c r="AL36" s="64" t="n">
        <v>0</v>
      </c>
      <c r="AM36" s="64" t="n">
        <v>0</v>
      </c>
      <c r="AN36" s="64" t="n">
        <v>0</v>
      </c>
      <c r="AO36" s="64" t="n">
        <v>0</v>
      </c>
      <c r="AP36" s="64" t="n">
        <v>0</v>
      </c>
      <c r="AQ36" s="64" t="n">
        <v>0</v>
      </c>
      <c r="AR36" s="64" t="n">
        <v>0</v>
      </c>
    </row>
    <row r="37" ht="16" customHeight="1">
      <c r="A37" s="61" t="inlineStr">
        <is>
          <t>20541443933</t>
        </is>
      </c>
      <c r="B37" s="62" t="inlineStr">
        <is>
          <t>Cooperativa Agraria Ecológico Café &amp; Cacao del Vraem Ltda</t>
        </is>
      </c>
      <c r="C37" s="61" t="n"/>
      <c r="D37" s="61" t="n"/>
      <c r="E37" s="61" t="n"/>
      <c r="F37" s="61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</row>
    <row r="38" ht="16" customHeight="1">
      <c r="A38" s="58" t="inlineStr">
        <is>
          <t>20574602450</t>
        </is>
      </c>
      <c r="B38" s="59" t="inlineStr">
        <is>
          <t>Cooperativa Agraria Frutos del Ande</t>
        </is>
      </c>
      <c r="C38" s="58" t="inlineStr">
        <is>
          <t>QUINUA Y OTROS GRANOS</t>
        </is>
      </c>
      <c r="D38" s="58" t="inlineStr">
        <is>
          <t>AYACUCHO</t>
        </is>
      </c>
      <c r="E38" s="58" t="inlineStr">
        <is>
          <t>HUAMANGA</t>
        </is>
      </c>
      <c r="F38" s="58" t="inlineStr">
        <is>
          <t>AYACUCHO</t>
        </is>
      </c>
      <c r="G38" s="64" t="n">
        <v>0</v>
      </c>
      <c r="H38" s="64" t="n">
        <v>0</v>
      </c>
      <c r="I38" s="64" t="n">
        <v>0</v>
      </c>
      <c r="J38" s="64" t="n">
        <v>195944.1</v>
      </c>
      <c r="K38" s="64" t="n">
        <v>115372.86</v>
      </c>
      <c r="L38" s="64" t="n">
        <v>923638.72</v>
      </c>
      <c r="M38" s="64" t="n">
        <v>726147.1999399997</v>
      </c>
      <c r="N38" s="64" t="n">
        <v>155461.4000000001</v>
      </c>
      <c r="O38" s="64" t="n">
        <v>0</v>
      </c>
      <c r="P38" s="64" t="n">
        <v>0</v>
      </c>
      <c r="Q38" s="64" t="n">
        <v>195944.1</v>
      </c>
      <c r="R38" s="64" t="n">
        <v>0</v>
      </c>
      <c r="S38" s="64" t="n">
        <v>0</v>
      </c>
      <c r="T38" s="64" t="n">
        <v>115372.86</v>
      </c>
      <c r="U38" s="64" t="n">
        <v>624324.13</v>
      </c>
      <c r="V38" s="64" t="n">
        <v>299314.59</v>
      </c>
      <c r="W38" s="64" t="n">
        <v>726147.1999399997</v>
      </c>
      <c r="X38" s="64" t="n">
        <v>0</v>
      </c>
      <c r="Y38" s="64" t="n">
        <v>155461.4000000001</v>
      </c>
      <c r="Z38" s="64" t="n">
        <v>0</v>
      </c>
      <c r="AA38" s="64" t="n">
        <v>0</v>
      </c>
      <c r="AB38" s="64" t="n">
        <v>0</v>
      </c>
      <c r="AC38" s="64" t="n">
        <v>923638.7199999999</v>
      </c>
      <c r="AD38" s="64" t="n">
        <v>0</v>
      </c>
      <c r="AE38" s="64" t="n">
        <v>0</v>
      </c>
      <c r="AF38" s="64" t="n">
        <v>923638.7199999999</v>
      </c>
      <c r="AG38" s="64" t="n">
        <v>0</v>
      </c>
      <c r="AH38" s="64" t="n">
        <v>0</v>
      </c>
      <c r="AI38" s="64" t="n">
        <v>726147.1999399997</v>
      </c>
      <c r="AJ38" s="64" t="n">
        <v>0</v>
      </c>
      <c r="AK38" s="64" t="n">
        <v>0</v>
      </c>
      <c r="AL38" s="64" t="n">
        <v>726147.1999399997</v>
      </c>
      <c r="AM38" s="64" t="n">
        <v>327</v>
      </c>
      <c r="AN38" s="64" t="n">
        <v>0</v>
      </c>
      <c r="AO38" s="64" t="n">
        <v>155134.4000000001</v>
      </c>
      <c r="AP38" s="64" t="n">
        <v>0</v>
      </c>
      <c r="AQ38" s="64" t="n">
        <v>0</v>
      </c>
      <c r="AR38" s="64" t="n">
        <v>155461.4000000001</v>
      </c>
    </row>
    <row r="39" ht="16" customHeight="1">
      <c r="A39" s="61" t="inlineStr">
        <is>
          <t>20570586506</t>
        </is>
      </c>
      <c r="B39" s="62" t="inlineStr">
        <is>
          <t>Cooperativa Agraria Gallito de las Rocas</t>
        </is>
      </c>
      <c r="C39" s="61" t="n"/>
      <c r="D39" s="61" t="n"/>
      <c r="E39" s="61" t="n"/>
      <c r="F39" s="61" t="n"/>
      <c r="G39" s="63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  <c r="AA39" s="63" t="n"/>
      <c r="AB39" s="63" t="n"/>
      <c r="AC39" s="63" t="n"/>
      <c r="AD39" s="63" t="n"/>
      <c r="AE39" s="63" t="n"/>
      <c r="AF39" s="63" t="n"/>
      <c r="AG39" s="63" t="n"/>
      <c r="AH39" s="63" t="n"/>
      <c r="AI39" s="63" t="n"/>
      <c r="AJ39" s="63" t="n"/>
      <c r="AK39" s="63" t="n"/>
      <c r="AL39" s="63" t="n"/>
      <c r="AM39" s="63" t="n"/>
      <c r="AN39" s="63" t="n"/>
      <c r="AO39" s="63" t="n"/>
      <c r="AP39" s="63" t="n"/>
      <c r="AQ39" s="63" t="n"/>
      <c r="AR39" s="63" t="n"/>
    </row>
    <row r="40" ht="16" customHeight="1">
      <c r="A40" s="58" t="inlineStr">
        <is>
          <t>20600284992</t>
        </is>
      </c>
      <c r="B40" s="59" t="inlineStr">
        <is>
          <t>Cooperativa Agraria Granos de Oro del Valle de Pangoa Limitada</t>
        </is>
      </c>
      <c r="C40" s="58" t="n"/>
      <c r="D40" s="58" t="n"/>
      <c r="E40" s="58" t="n"/>
      <c r="F40" s="58" t="n"/>
      <c r="G40" s="60" t="n"/>
      <c r="H40" s="60" t="n"/>
      <c r="I40" s="60" t="n"/>
      <c r="J40" s="60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  <c r="Z40" s="60" t="n"/>
      <c r="AA40" s="60" t="n"/>
      <c r="AB40" s="60" t="n"/>
      <c r="AC40" s="60" t="n"/>
      <c r="AD40" s="60" t="n"/>
      <c r="AE40" s="60" t="n"/>
      <c r="AF40" s="60" t="n"/>
      <c r="AG40" s="60" t="n"/>
      <c r="AH40" s="60" t="n"/>
      <c r="AI40" s="60" t="n"/>
      <c r="AJ40" s="60" t="n"/>
      <c r="AK40" s="60" t="n"/>
      <c r="AL40" s="60" t="n"/>
      <c r="AM40" s="60" t="n"/>
      <c r="AN40" s="60" t="n"/>
      <c r="AO40" s="60" t="n"/>
      <c r="AP40" s="60" t="n"/>
      <c r="AQ40" s="60" t="n"/>
      <c r="AR40" s="60" t="n"/>
    </row>
    <row r="41" ht="16" customHeight="1">
      <c r="A41" s="61" t="inlineStr">
        <is>
          <t>20450246442</t>
        </is>
      </c>
      <c r="B41" s="62" t="inlineStr">
        <is>
          <t>Cooperativa Agraria Industrial Asproc - Nbt Ltda.</t>
        </is>
      </c>
      <c r="C41" s="61" t="n"/>
      <c r="D41" s="61" t="n"/>
      <c r="E41" s="61" t="n"/>
      <c r="F41" s="61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  <c r="Z41" s="63" t="n"/>
      <c r="AA41" s="63" t="n"/>
      <c r="AB41" s="63" t="n"/>
      <c r="AC41" s="63" t="n"/>
      <c r="AD41" s="63" t="n"/>
      <c r="AE41" s="63" t="n"/>
      <c r="AF41" s="63" t="n"/>
      <c r="AG41" s="63" t="n"/>
      <c r="AH41" s="63" t="n"/>
      <c r="AI41" s="63" t="n"/>
      <c r="AJ41" s="63" t="n"/>
      <c r="AK41" s="63" t="n"/>
      <c r="AL41" s="63" t="n"/>
      <c r="AM41" s="63" t="n"/>
      <c r="AN41" s="63" t="n"/>
      <c r="AO41" s="63" t="n"/>
      <c r="AP41" s="63" t="n"/>
      <c r="AQ41" s="63" t="n"/>
      <c r="AR41" s="63" t="n"/>
    </row>
    <row r="42" ht="16" customHeight="1">
      <c r="A42" s="58" t="inlineStr">
        <is>
          <t>20393819317</t>
        </is>
      </c>
      <c r="B42" s="59" t="inlineStr">
        <is>
          <t>Cooperativa Agraria Industrial Atalaya Limitada</t>
        </is>
      </c>
      <c r="C42" s="58" t="n"/>
      <c r="D42" s="58" t="n"/>
      <c r="E42" s="58" t="n"/>
      <c r="F42" s="58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</row>
    <row r="43" ht="16" customHeight="1">
      <c r="A43" s="61" t="inlineStr">
        <is>
          <t>20568660278</t>
        </is>
      </c>
      <c r="B43" s="62" t="inlineStr">
        <is>
          <t>Cooperativa Agraria Industrial de Productores Ecológicos Grano de Oro</t>
        </is>
      </c>
      <c r="C43" s="61" t="n"/>
      <c r="D43" s="61" t="n"/>
      <c r="E43" s="61" t="n"/>
      <c r="F43" s="61" t="n"/>
      <c r="G43" s="63" t="n"/>
      <c r="H43" s="63" t="n"/>
      <c r="I43" s="63" t="n"/>
      <c r="J43" s="63" t="n"/>
      <c r="K43" s="63" t="n"/>
      <c r="L43" s="63" t="n"/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  <c r="Z43" s="63" t="n"/>
      <c r="AA43" s="63" t="n"/>
      <c r="AB43" s="63" t="n"/>
      <c r="AC43" s="63" t="n"/>
      <c r="AD43" s="63" t="n"/>
      <c r="AE43" s="63" t="n"/>
      <c r="AF43" s="63" t="n"/>
      <c r="AG43" s="63" t="n"/>
      <c r="AH43" s="63" t="n"/>
      <c r="AI43" s="63" t="n"/>
      <c r="AJ43" s="63" t="n"/>
      <c r="AK43" s="63" t="n"/>
      <c r="AL43" s="63" t="n"/>
      <c r="AM43" s="63" t="n"/>
      <c r="AN43" s="63" t="n"/>
      <c r="AO43" s="63" t="n"/>
      <c r="AP43" s="63" t="n"/>
      <c r="AQ43" s="63" t="n"/>
      <c r="AR43" s="63" t="n"/>
    </row>
    <row r="44" ht="16" customHeight="1">
      <c r="A44" s="58" t="inlineStr">
        <is>
          <t>20448277781</t>
        </is>
      </c>
      <c r="B44" s="59" t="inlineStr">
        <is>
          <t>Cooperativa Agraria Industrializada Cabana Ltda.</t>
        </is>
      </c>
      <c r="C44" s="58" t="inlineStr">
        <is>
          <t>QUINUA Y OTROS GRANOS</t>
        </is>
      </c>
      <c r="D44" s="58" t="inlineStr">
        <is>
          <t>PUNO</t>
        </is>
      </c>
      <c r="E44" s="58" t="inlineStr">
        <is>
          <t>SAN ROMAN</t>
        </is>
      </c>
      <c r="F44" s="58" t="inlineStr">
        <is>
          <t>CABANA</t>
        </is>
      </c>
      <c r="G44" s="64" t="n">
        <v>0</v>
      </c>
      <c r="H44" s="64" t="n">
        <v>2672916.64</v>
      </c>
      <c r="I44" s="64" t="n">
        <v>2242326.82</v>
      </c>
      <c r="J44" s="64" t="n">
        <v>527787.3899999999</v>
      </c>
      <c r="K44" s="64" t="n">
        <v>1346926.34</v>
      </c>
      <c r="L44" s="64" t="n">
        <v>699309.58</v>
      </c>
      <c r="M44" s="64" t="n">
        <v>0</v>
      </c>
      <c r="N44" s="64" t="n">
        <v>0</v>
      </c>
      <c r="O44" s="64" t="n">
        <v>798737.28</v>
      </c>
      <c r="P44" s="64" t="n">
        <v>1443589.54</v>
      </c>
      <c r="Q44" s="64" t="n">
        <v>2171.2</v>
      </c>
      <c r="R44" s="64" t="n">
        <v>525616.1899999999</v>
      </c>
      <c r="S44" s="64" t="n">
        <v>820108.17</v>
      </c>
      <c r="T44" s="64" t="n">
        <v>526818.17</v>
      </c>
      <c r="U44" s="64" t="n">
        <v>424800</v>
      </c>
      <c r="V44" s="64" t="n">
        <v>274509.58</v>
      </c>
      <c r="W44" s="64" t="n">
        <v>0</v>
      </c>
      <c r="X44" s="64" t="n">
        <v>0</v>
      </c>
      <c r="Y44" s="64" t="n">
        <v>0</v>
      </c>
      <c r="Z44" s="64" t="n">
        <v>0</v>
      </c>
      <c r="AA44" s="64" t="n">
        <v>0</v>
      </c>
      <c r="AB44" s="64" t="n">
        <v>0</v>
      </c>
      <c r="AC44" s="64" t="n">
        <v>699309.58</v>
      </c>
      <c r="AD44" s="64" t="n">
        <v>0</v>
      </c>
      <c r="AE44" s="64" t="n">
        <v>0</v>
      </c>
      <c r="AF44" s="64" t="n">
        <v>699309.58</v>
      </c>
      <c r="AG44" s="64" t="n">
        <v>0</v>
      </c>
      <c r="AH44" s="64" t="n">
        <v>0</v>
      </c>
      <c r="AI44" s="64" t="n">
        <v>0</v>
      </c>
      <c r="AJ44" s="64" t="n">
        <v>0</v>
      </c>
      <c r="AK44" s="64" t="n">
        <v>0</v>
      </c>
      <c r="AL44" s="64" t="n">
        <v>0</v>
      </c>
      <c r="AM44" s="64" t="n">
        <v>0</v>
      </c>
      <c r="AN44" s="64" t="n">
        <v>0</v>
      </c>
      <c r="AO44" s="64" t="n">
        <v>0</v>
      </c>
      <c r="AP44" s="64" t="n">
        <v>0</v>
      </c>
      <c r="AQ44" s="64" t="n">
        <v>0</v>
      </c>
      <c r="AR44" s="64" t="n">
        <v>0</v>
      </c>
    </row>
    <row r="45" ht="16" customHeight="1">
      <c r="A45" s="61" t="inlineStr">
        <is>
          <t>20573202814</t>
        </is>
      </c>
      <c r="B45" s="62" t="inlineStr">
        <is>
          <t>Cooperativa Agraria Inka Cuchara</t>
        </is>
      </c>
      <c r="C45" s="61" t="n"/>
      <c r="D45" s="61" t="n"/>
      <c r="E45" s="61" t="n"/>
      <c r="F45" s="61" t="n"/>
      <c r="G45" s="63" t="n"/>
      <c r="H45" s="63" t="n"/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  <c r="Z45" s="63" t="n"/>
      <c r="AA45" s="63" t="n"/>
      <c r="AB45" s="63" t="n"/>
      <c r="AC45" s="63" t="n"/>
      <c r="AD45" s="63" t="n"/>
      <c r="AE45" s="63" t="n"/>
      <c r="AF45" s="63" t="n"/>
      <c r="AG45" s="63" t="n"/>
      <c r="AH45" s="63" t="n"/>
      <c r="AI45" s="63" t="n"/>
      <c r="AJ45" s="63" t="n"/>
      <c r="AK45" s="63" t="n"/>
      <c r="AL45" s="63" t="n"/>
      <c r="AM45" s="63" t="n"/>
      <c r="AN45" s="63" t="n"/>
      <c r="AO45" s="63" t="n"/>
      <c r="AP45" s="63" t="n"/>
      <c r="AQ45" s="63" t="n"/>
      <c r="AR45" s="63" t="n"/>
    </row>
    <row r="46" ht="16" customHeight="1">
      <c r="A46" s="58" t="inlineStr">
        <is>
          <t>20136345487</t>
        </is>
      </c>
      <c r="B46" s="59" t="inlineStr">
        <is>
          <t>Cooperativa Agraria José Zuñiga Letona De Huaran Limitada 001-BVII</t>
        </is>
      </c>
      <c r="C46" s="58" t="n"/>
      <c r="D46" s="58" t="n"/>
      <c r="E46" s="58" t="n"/>
      <c r="F46" s="58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0" t="n"/>
      <c r="AP46" s="60" t="n"/>
      <c r="AQ46" s="60" t="n"/>
      <c r="AR46" s="60" t="n"/>
    </row>
    <row r="47" ht="16" customHeight="1">
      <c r="A47" s="61" t="inlineStr">
        <is>
          <t>20600558715</t>
        </is>
      </c>
      <c r="B47" s="62" t="inlineStr">
        <is>
          <t>Cooperativa Agraria Kiwicha Wayi Ltda</t>
        </is>
      </c>
      <c r="C47" s="61" t="inlineStr">
        <is>
          <t>KIWICHA</t>
        </is>
      </c>
      <c r="D47" s="61" t="inlineStr">
        <is>
          <t>ANCASH</t>
        </is>
      </c>
      <c r="E47" s="61" t="inlineStr">
        <is>
          <t>HUAYLAS</t>
        </is>
      </c>
      <c r="F47" s="61" t="inlineStr">
        <is>
          <t>CARAZ</t>
        </is>
      </c>
      <c r="G47" s="65" t="n">
        <v>0</v>
      </c>
      <c r="H47" s="65" t="n">
        <v>0</v>
      </c>
      <c r="I47" s="65" t="n">
        <v>0</v>
      </c>
      <c r="J47" s="65" t="n">
        <v>0</v>
      </c>
      <c r="K47" s="65" t="n">
        <v>88340</v>
      </c>
      <c r="L47" s="65" t="n">
        <v>132750.28</v>
      </c>
      <c r="M47" s="65" t="n">
        <v>197902</v>
      </c>
      <c r="N47" s="65" t="n">
        <v>102372.154992</v>
      </c>
      <c r="O47" s="65" t="n">
        <v>0</v>
      </c>
      <c r="P47" s="65" t="n">
        <v>0</v>
      </c>
      <c r="Q47" s="65" t="n">
        <v>0</v>
      </c>
      <c r="R47" s="65" t="n">
        <v>0</v>
      </c>
      <c r="S47" s="65" t="n">
        <v>88340</v>
      </c>
      <c r="T47" s="65" t="n">
        <v>0</v>
      </c>
      <c r="U47" s="65" t="n">
        <v>132750.28</v>
      </c>
      <c r="V47" s="65" t="n">
        <v>0</v>
      </c>
      <c r="W47" s="65" t="n">
        <v>197902</v>
      </c>
      <c r="X47" s="65" t="n">
        <v>0</v>
      </c>
      <c r="Y47" s="65" t="n">
        <v>102372.154992</v>
      </c>
      <c r="Z47" s="65" t="n">
        <v>0</v>
      </c>
      <c r="AA47" s="65" t="n">
        <v>0</v>
      </c>
      <c r="AB47" s="65" t="n">
        <v>59729</v>
      </c>
      <c r="AC47" s="65" t="n">
        <v>73021.28419999999</v>
      </c>
      <c r="AD47" s="65" t="n">
        <v>0</v>
      </c>
      <c r="AE47" s="65" t="n">
        <v>0</v>
      </c>
      <c r="AF47" s="65" t="n">
        <v>132750.2842</v>
      </c>
      <c r="AG47" s="65" t="n">
        <v>0</v>
      </c>
      <c r="AH47" s="65" t="n">
        <v>197902</v>
      </c>
      <c r="AI47" s="65" t="n">
        <v>0</v>
      </c>
      <c r="AJ47" s="65" t="n">
        <v>0</v>
      </c>
      <c r="AK47" s="65" t="n">
        <v>0</v>
      </c>
      <c r="AL47" s="65" t="n">
        <v>197902</v>
      </c>
      <c r="AM47" s="65" t="n">
        <v>0</v>
      </c>
      <c r="AN47" s="65" t="n">
        <v>77932.10000000001</v>
      </c>
      <c r="AO47" s="65" t="n">
        <v>24440.054992</v>
      </c>
      <c r="AP47" s="65" t="n">
        <v>0</v>
      </c>
      <c r="AQ47" s="65" t="n">
        <v>0</v>
      </c>
      <c r="AR47" s="65" t="n">
        <v>102372.154992</v>
      </c>
    </row>
    <row r="48" ht="16" customHeight="1">
      <c r="A48" s="58" t="inlineStr">
        <is>
          <t>20130891676</t>
        </is>
      </c>
      <c r="B48" s="59" t="inlineStr">
        <is>
          <t>Cooperativa Agraria La Esperanza Es Majes</t>
        </is>
      </c>
      <c r="C48" s="58" t="n"/>
      <c r="D48" s="58" t="n"/>
      <c r="E48" s="58" t="n"/>
      <c r="F48" s="58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  <c r="Z48" s="60" t="n"/>
      <c r="AA48" s="60" t="n"/>
      <c r="AB48" s="60" t="n"/>
      <c r="AC48" s="60" t="n"/>
      <c r="AD48" s="60" t="n"/>
      <c r="AE48" s="60" t="n"/>
      <c r="AF48" s="60" t="n"/>
      <c r="AG48" s="60" t="n"/>
      <c r="AH48" s="60" t="n"/>
      <c r="AI48" s="60" t="n"/>
      <c r="AJ48" s="60" t="n"/>
      <c r="AK48" s="60" t="n"/>
      <c r="AL48" s="60" t="n"/>
      <c r="AM48" s="60" t="n"/>
      <c r="AN48" s="60" t="n"/>
      <c r="AO48" s="60" t="n"/>
      <c r="AP48" s="60" t="n"/>
      <c r="AQ48" s="60" t="n"/>
      <c r="AR48" s="60" t="n"/>
    </row>
    <row r="49" ht="16" customHeight="1">
      <c r="A49" s="61" t="inlineStr">
        <is>
          <t>20490810146</t>
        </is>
      </c>
      <c r="B49" s="62" t="inlineStr">
        <is>
          <t>Cooperativa Agraria Machupicchu Ltda.</t>
        </is>
      </c>
      <c r="C49" s="61" t="inlineStr">
        <is>
          <t>QUINUA Y OTROS GRANOS</t>
        </is>
      </c>
      <c r="D49" s="61" t="inlineStr">
        <is>
          <t>APURIMAC</t>
        </is>
      </c>
      <c r="E49" s="61" t="inlineStr">
        <is>
          <t>ANDAHUAYLAS</t>
        </is>
      </c>
      <c r="F49" s="61" t="inlineStr">
        <is>
          <t>SAN JERONIMO</t>
        </is>
      </c>
      <c r="G49" s="65" t="n">
        <v>2120163.16</v>
      </c>
      <c r="H49" s="65" t="n">
        <v>2632717.16</v>
      </c>
      <c r="I49" s="65" t="n">
        <v>2364419.79</v>
      </c>
      <c r="J49" s="65" t="n">
        <v>1036046.15</v>
      </c>
      <c r="K49" s="65" t="n">
        <v>0</v>
      </c>
      <c r="L49" s="65" t="n">
        <v>2082623.3</v>
      </c>
      <c r="M49" s="65" t="n">
        <v>0</v>
      </c>
      <c r="N49" s="65" t="n">
        <v>108583.6</v>
      </c>
      <c r="O49" s="65" t="n">
        <v>1413126.59</v>
      </c>
      <c r="P49" s="65" t="n">
        <v>951293.2</v>
      </c>
      <c r="Q49" s="65" t="n">
        <v>671996.5699999999</v>
      </c>
      <c r="R49" s="65" t="n">
        <v>364049.58</v>
      </c>
      <c r="S49" s="65" t="n">
        <v>0</v>
      </c>
      <c r="T49" s="65" t="n">
        <v>0</v>
      </c>
      <c r="U49" s="65" t="n">
        <v>2082623.3</v>
      </c>
      <c r="V49" s="65" t="n">
        <v>0</v>
      </c>
      <c r="W49" s="65" t="n">
        <v>0</v>
      </c>
      <c r="X49" s="65" t="n">
        <v>0</v>
      </c>
      <c r="Y49" s="65" t="n">
        <v>108583.6</v>
      </c>
      <c r="Z49" s="65" t="n">
        <v>0</v>
      </c>
      <c r="AA49" s="65" t="n">
        <v>0</v>
      </c>
      <c r="AB49" s="65" t="n">
        <v>0</v>
      </c>
      <c r="AC49" s="65" t="n">
        <v>2082623.3</v>
      </c>
      <c r="AD49" s="65" t="n">
        <v>0</v>
      </c>
      <c r="AE49" s="65" t="n">
        <v>0</v>
      </c>
      <c r="AF49" s="65" t="n">
        <v>2082623.3</v>
      </c>
      <c r="AG49" s="65" t="n">
        <v>0</v>
      </c>
      <c r="AH49" s="65" t="n">
        <v>0</v>
      </c>
      <c r="AI49" s="65" t="n">
        <v>0</v>
      </c>
      <c r="AJ49" s="65" t="n">
        <v>0</v>
      </c>
      <c r="AK49" s="65" t="n">
        <v>0</v>
      </c>
      <c r="AL49" s="65" t="n">
        <v>0</v>
      </c>
      <c r="AM49" s="65" t="n">
        <v>0</v>
      </c>
      <c r="AN49" s="65" t="n">
        <v>0</v>
      </c>
      <c r="AO49" s="65" t="n">
        <v>108583.6</v>
      </c>
      <c r="AP49" s="65" t="n">
        <v>0</v>
      </c>
      <c r="AQ49" s="65" t="n">
        <v>0</v>
      </c>
      <c r="AR49" s="65" t="n">
        <v>108583.6</v>
      </c>
    </row>
    <row r="50" ht="16" customHeight="1">
      <c r="A50" s="58" t="inlineStr">
        <is>
          <t>20568804709</t>
        </is>
      </c>
      <c r="B50" s="59" t="inlineStr">
        <is>
          <t>Cooperativa Agraria Mujer Andina</t>
        </is>
      </c>
      <c r="C50" s="58" t="inlineStr">
        <is>
          <t>DERIVADOS LACTEOS</t>
        </is>
      </c>
      <c r="D50" s="58" t="inlineStr">
        <is>
          <t>JUNIN</t>
        </is>
      </c>
      <c r="E50" s="58" t="inlineStr">
        <is>
          <t>CONCEPCION</t>
        </is>
      </c>
      <c r="F50" s="58" t="inlineStr">
        <is>
          <t>CONCEPCION</t>
        </is>
      </c>
      <c r="G50" s="64" t="n">
        <v>0</v>
      </c>
      <c r="H50" s="64" t="n">
        <v>0</v>
      </c>
      <c r="I50" s="64" t="n">
        <v>0</v>
      </c>
      <c r="J50" s="64" t="n">
        <v>14646.08</v>
      </c>
      <c r="K50" s="64" t="n">
        <v>137580.62</v>
      </c>
      <c r="L50" s="64" t="n">
        <v>422750.57</v>
      </c>
      <c r="M50" s="64" t="n">
        <v>287100</v>
      </c>
      <c r="N50" s="64" t="n">
        <v>0</v>
      </c>
      <c r="O50" s="64" t="n">
        <v>0</v>
      </c>
      <c r="P50" s="64" t="n">
        <v>0</v>
      </c>
      <c r="Q50" s="64" t="n">
        <v>14646.08</v>
      </c>
      <c r="R50" s="64" t="n">
        <v>0</v>
      </c>
      <c r="S50" s="64" t="n">
        <v>137580.62</v>
      </c>
      <c r="T50" s="64" t="n">
        <v>0</v>
      </c>
      <c r="U50" s="64" t="n">
        <v>422750.57</v>
      </c>
      <c r="V50" s="64" t="n">
        <v>0</v>
      </c>
      <c r="W50" s="64" t="n">
        <v>287100</v>
      </c>
      <c r="X50" s="64" t="n">
        <v>0</v>
      </c>
      <c r="Y50" s="64" t="n">
        <v>0</v>
      </c>
      <c r="Z50" s="64" t="n">
        <v>0</v>
      </c>
      <c r="AA50" s="64" t="n">
        <v>57005.72919999999</v>
      </c>
      <c r="AB50" s="64" t="n">
        <v>365744.8067</v>
      </c>
      <c r="AC50" s="64" t="n">
        <v>0</v>
      </c>
      <c r="AD50" s="64" t="n">
        <v>0</v>
      </c>
      <c r="AE50" s="64" t="n">
        <v>0</v>
      </c>
      <c r="AF50" s="64" t="n">
        <v>422750.5359</v>
      </c>
      <c r="AG50" s="64" t="n">
        <v>0</v>
      </c>
      <c r="AH50" s="64" t="n">
        <v>287100</v>
      </c>
      <c r="AI50" s="64" t="n">
        <v>0</v>
      </c>
      <c r="AJ50" s="64" t="n">
        <v>0</v>
      </c>
      <c r="AK50" s="64" t="n">
        <v>0</v>
      </c>
      <c r="AL50" s="64" t="n">
        <v>287100</v>
      </c>
      <c r="AM50" s="64" t="n">
        <v>0</v>
      </c>
      <c r="AN50" s="64" t="n">
        <v>0</v>
      </c>
      <c r="AO50" s="64" t="n">
        <v>0</v>
      </c>
      <c r="AP50" s="64" t="n">
        <v>0</v>
      </c>
      <c r="AQ50" s="64" t="n">
        <v>0</v>
      </c>
      <c r="AR50" s="64" t="n">
        <v>0</v>
      </c>
    </row>
    <row r="51" ht="16" customHeight="1">
      <c r="A51" s="61" t="inlineStr">
        <is>
          <t>20571496390</t>
        </is>
      </c>
      <c r="B51" s="62" t="inlineStr">
        <is>
          <t>Cooperativa Agraria Norte Chico</t>
        </is>
      </c>
      <c r="C51" s="61" t="n"/>
      <c r="D51" s="61" t="n"/>
      <c r="E51" s="61" t="n"/>
      <c r="F51" s="61" t="n"/>
      <c r="G51" s="63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  <c r="Z51" s="63" t="n"/>
      <c r="AA51" s="63" t="n"/>
      <c r="AB51" s="63" t="n"/>
      <c r="AC51" s="63" t="n"/>
      <c r="AD51" s="63" t="n"/>
      <c r="AE51" s="63" t="n"/>
      <c r="AF51" s="63" t="n"/>
      <c r="AG51" s="63" t="n"/>
      <c r="AH51" s="63" t="n"/>
      <c r="AI51" s="63" t="n"/>
      <c r="AJ51" s="63" t="n"/>
      <c r="AK51" s="63" t="n"/>
      <c r="AL51" s="63" t="n"/>
      <c r="AM51" s="63" t="n"/>
      <c r="AN51" s="63" t="n"/>
      <c r="AO51" s="63" t="n"/>
      <c r="AP51" s="63" t="n"/>
      <c r="AQ51" s="63" t="n"/>
      <c r="AR51" s="63" t="n"/>
    </row>
    <row r="52" ht="16" customHeight="1">
      <c r="A52" s="58" t="inlineStr">
        <is>
          <t>20573057385</t>
        </is>
      </c>
      <c r="B52" s="59" t="inlineStr">
        <is>
          <t>Cooperativa Agraria Paraíso</t>
        </is>
      </c>
      <c r="C52" s="58" t="inlineStr">
        <is>
          <t>CACAO</t>
        </is>
      </c>
      <c r="D52" s="58" t="inlineStr">
        <is>
          <t>HUANUCO</t>
        </is>
      </c>
      <c r="E52" s="58" t="inlineStr">
        <is>
          <t>MARAÑON</t>
        </is>
      </c>
      <c r="F52" s="58" t="inlineStr">
        <is>
          <t>CHOLON</t>
        </is>
      </c>
      <c r="G52" s="64" t="n">
        <v>0</v>
      </c>
      <c r="H52" s="64" t="n">
        <v>63200</v>
      </c>
      <c r="I52" s="64" t="n">
        <v>493337.02</v>
      </c>
      <c r="J52" s="64" t="n">
        <v>0</v>
      </c>
      <c r="K52" s="64" t="n">
        <v>0</v>
      </c>
      <c r="L52" s="64" t="n">
        <v>0</v>
      </c>
      <c r="M52" s="64" t="n">
        <v>0</v>
      </c>
      <c r="N52" s="64" t="n">
        <v>0</v>
      </c>
      <c r="O52" s="64" t="n">
        <v>493337.02</v>
      </c>
      <c r="P52" s="64" t="n">
        <v>0</v>
      </c>
      <c r="Q52" s="64" t="n">
        <v>0</v>
      </c>
      <c r="R52" s="64" t="n">
        <v>0</v>
      </c>
      <c r="S52" s="64" t="n">
        <v>0</v>
      </c>
      <c r="T52" s="64" t="n">
        <v>0</v>
      </c>
      <c r="U52" s="64" t="n">
        <v>0</v>
      </c>
      <c r="V52" s="64" t="n">
        <v>0</v>
      </c>
      <c r="W52" s="64" t="n">
        <v>0</v>
      </c>
      <c r="X52" s="64" t="n">
        <v>0</v>
      </c>
      <c r="Y52" s="64" t="n">
        <v>0</v>
      </c>
      <c r="Z52" s="64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64" t="n">
        <v>0</v>
      </c>
      <c r="AG52" s="64" t="n">
        <v>0</v>
      </c>
      <c r="AH52" s="64" t="n">
        <v>0</v>
      </c>
      <c r="AI52" s="64" t="n">
        <v>0</v>
      </c>
      <c r="AJ52" s="64" t="n">
        <v>0</v>
      </c>
      <c r="AK52" s="64" t="n">
        <v>0</v>
      </c>
      <c r="AL52" s="64" t="n">
        <v>0</v>
      </c>
      <c r="AM52" s="64" t="n">
        <v>0</v>
      </c>
      <c r="AN52" s="64" t="n">
        <v>0</v>
      </c>
      <c r="AO52" s="64" t="n">
        <v>0</v>
      </c>
      <c r="AP52" s="64" t="n">
        <v>0</v>
      </c>
      <c r="AQ52" s="64" t="n">
        <v>0</v>
      </c>
      <c r="AR52" s="64" t="n">
        <v>0</v>
      </c>
    </row>
    <row r="53" ht="16" customHeight="1">
      <c r="A53" s="61" t="inlineStr">
        <is>
          <t>20525795544</t>
        </is>
      </c>
      <c r="B53" s="62" t="inlineStr">
        <is>
          <t>Cooperativa Agraria Pueblo Nuevo</t>
        </is>
      </c>
      <c r="C53" s="61" t="n"/>
      <c r="D53" s="61" t="n"/>
      <c r="E53" s="61" t="n"/>
      <c r="F53" s="61" t="n"/>
      <c r="G53" s="63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  <c r="Z53" s="63" t="n"/>
      <c r="AA53" s="63" t="n"/>
      <c r="AB53" s="63" t="n"/>
      <c r="AC53" s="63" t="n"/>
      <c r="AD53" s="63" t="n"/>
      <c r="AE53" s="63" t="n"/>
      <c r="AF53" s="63" t="n"/>
      <c r="AG53" s="63" t="n"/>
      <c r="AH53" s="63" t="n"/>
      <c r="AI53" s="63" t="n"/>
      <c r="AJ53" s="63" t="n"/>
      <c r="AK53" s="63" t="n"/>
      <c r="AL53" s="63" t="n"/>
      <c r="AM53" s="63" t="n"/>
      <c r="AN53" s="63" t="n"/>
      <c r="AO53" s="63" t="n"/>
      <c r="AP53" s="63" t="n"/>
      <c r="AQ53" s="63" t="n"/>
      <c r="AR53" s="63" t="n"/>
    </row>
    <row r="54" ht="16" customHeight="1">
      <c r="A54" s="58" t="inlineStr">
        <is>
          <t>20600256808</t>
        </is>
      </c>
      <c r="B54" s="59" t="inlineStr">
        <is>
          <t>Cooperativa Agraria Reverendo Padre Gerardo Cote - Ucayali</t>
        </is>
      </c>
      <c r="C54" s="58" t="inlineStr">
        <is>
          <t>CAMU CAMU</t>
        </is>
      </c>
      <c r="D54" s="58" t="inlineStr">
        <is>
          <t>UCAYALI</t>
        </is>
      </c>
      <c r="E54" s="58" t="inlineStr">
        <is>
          <t>CORONEL PORTILLO</t>
        </is>
      </c>
      <c r="F54" s="58" t="inlineStr">
        <is>
          <t>YARINACOCHA</t>
        </is>
      </c>
      <c r="G54" s="64" t="n">
        <v>0</v>
      </c>
      <c r="H54" s="64" t="n">
        <v>0</v>
      </c>
      <c r="I54" s="64" t="n">
        <v>0</v>
      </c>
      <c r="J54" s="64" t="n">
        <v>0</v>
      </c>
      <c r="K54" s="64" t="n">
        <v>0</v>
      </c>
      <c r="L54" s="64" t="n">
        <v>0</v>
      </c>
      <c r="M54" s="64" t="n">
        <v>4175.940000000001</v>
      </c>
      <c r="N54" s="64" t="n">
        <v>15912.1</v>
      </c>
      <c r="O54" s="64" t="n">
        <v>0</v>
      </c>
      <c r="P54" s="64" t="n">
        <v>0</v>
      </c>
      <c r="Q54" s="64" t="n">
        <v>0</v>
      </c>
      <c r="R54" s="64" t="n">
        <v>0</v>
      </c>
      <c r="S54" s="64" t="n">
        <v>0</v>
      </c>
      <c r="T54" s="64" t="n">
        <v>0</v>
      </c>
      <c r="U54" s="64" t="n">
        <v>0</v>
      </c>
      <c r="V54" s="64" t="n">
        <v>0</v>
      </c>
      <c r="W54" s="64" t="n">
        <v>4175.940000000001</v>
      </c>
      <c r="X54" s="64" t="n">
        <v>0</v>
      </c>
      <c r="Y54" s="64" t="n">
        <v>15912.1</v>
      </c>
      <c r="Z54" s="64" t="n">
        <v>0</v>
      </c>
      <c r="AA54" s="64" t="n">
        <v>0</v>
      </c>
      <c r="AB54" s="64" t="n">
        <v>0</v>
      </c>
      <c r="AC54" s="64" t="n">
        <v>0</v>
      </c>
      <c r="AD54" s="64" t="n">
        <v>0</v>
      </c>
      <c r="AE54" s="64" t="n">
        <v>0</v>
      </c>
      <c r="AF54" s="64" t="n">
        <v>0</v>
      </c>
      <c r="AG54" s="64" t="n">
        <v>120</v>
      </c>
      <c r="AH54" s="64" t="n">
        <v>0</v>
      </c>
      <c r="AI54" s="64" t="n">
        <v>4055.94</v>
      </c>
      <c r="AJ54" s="64" t="n">
        <v>0</v>
      </c>
      <c r="AK54" s="64" t="n">
        <v>0</v>
      </c>
      <c r="AL54" s="64" t="n">
        <v>4175.940000000001</v>
      </c>
      <c r="AM54" s="64" t="n">
        <v>5991.5</v>
      </c>
      <c r="AN54" s="64" t="n">
        <v>0</v>
      </c>
      <c r="AO54" s="64" t="n">
        <v>9920.599999999999</v>
      </c>
      <c r="AP54" s="64" t="n">
        <v>0</v>
      </c>
      <c r="AQ54" s="64" t="n">
        <v>0</v>
      </c>
      <c r="AR54" s="64" t="n">
        <v>15912.1</v>
      </c>
    </row>
    <row r="55" ht="16" customHeight="1">
      <c r="A55" s="61" t="inlineStr">
        <is>
          <t>20526080310</t>
        </is>
      </c>
      <c r="B55" s="62" t="inlineStr">
        <is>
          <t>Cooperativa Agraria San Lorenzo</t>
        </is>
      </c>
      <c r="C55" s="61" t="n"/>
      <c r="D55" s="61" t="n"/>
      <c r="E55" s="61" t="n"/>
      <c r="F55" s="61" t="n"/>
      <c r="G55" s="63" t="n"/>
      <c r="H55" s="63" t="n"/>
      <c r="I55" s="63" t="n"/>
      <c r="J55" s="63" t="n"/>
      <c r="K55" s="63" t="n"/>
      <c r="L55" s="63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  <c r="Z55" s="63" t="n"/>
      <c r="AA55" s="63" t="n"/>
      <c r="AB55" s="63" t="n"/>
      <c r="AC55" s="63" t="n"/>
      <c r="AD55" s="63" t="n"/>
      <c r="AE55" s="63" t="n"/>
      <c r="AF55" s="63" t="n"/>
      <c r="AG55" s="63" t="n"/>
      <c r="AH55" s="63" t="n"/>
      <c r="AI55" s="63" t="n"/>
      <c r="AJ55" s="63" t="n"/>
      <c r="AK55" s="63" t="n"/>
      <c r="AL55" s="63" t="n"/>
      <c r="AM55" s="63" t="n"/>
      <c r="AN55" s="63" t="n"/>
      <c r="AO55" s="63" t="n"/>
      <c r="AP55" s="63" t="n"/>
      <c r="AQ55" s="63" t="n"/>
      <c r="AR55" s="63" t="n"/>
    </row>
    <row r="56" ht="16" customHeight="1">
      <c r="A56" s="58" t="inlineStr">
        <is>
          <t>20601198321</t>
        </is>
      </c>
      <c r="B56" s="59" t="inlineStr">
        <is>
          <t>Cooperativa Agraria Sostenible Llaylla Ltda</t>
        </is>
      </c>
      <c r="C56" s="58" t="n"/>
      <c r="D56" s="58" t="n"/>
      <c r="E56" s="58" t="n"/>
      <c r="F56" s="58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  <c r="Z56" s="60" t="n"/>
      <c r="AA56" s="60" t="n"/>
      <c r="AB56" s="60" t="n"/>
      <c r="AC56" s="60" t="n"/>
      <c r="AD56" s="60" t="n"/>
      <c r="AE56" s="60" t="n"/>
      <c r="AF56" s="60" t="n"/>
      <c r="AG56" s="60" t="n"/>
      <c r="AH56" s="60" t="n"/>
      <c r="AI56" s="60" t="n"/>
      <c r="AJ56" s="60" t="n"/>
      <c r="AK56" s="60" t="n"/>
      <c r="AL56" s="60" t="n"/>
      <c r="AM56" s="60" t="n"/>
      <c r="AN56" s="60" t="n"/>
      <c r="AO56" s="60" t="n"/>
      <c r="AP56" s="60" t="n"/>
      <c r="AQ56" s="60" t="n"/>
      <c r="AR56" s="60" t="n"/>
    </row>
    <row r="57" ht="16" customHeight="1">
      <c r="A57" s="61" t="inlineStr">
        <is>
          <t>20570810236</t>
        </is>
      </c>
      <c r="B57" s="62" t="inlineStr">
        <is>
          <t>Cooperativa Agraria Union y Fe La Coipa</t>
        </is>
      </c>
      <c r="C57" s="61" t="n"/>
      <c r="D57" s="61" t="n"/>
      <c r="E57" s="61" t="n"/>
      <c r="F57" s="61" t="n"/>
      <c r="G57" s="63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  <c r="Z57" s="63" t="n"/>
      <c r="AA57" s="63" t="n"/>
      <c r="AB57" s="63" t="n"/>
      <c r="AC57" s="63" t="n"/>
      <c r="AD57" s="63" t="n"/>
      <c r="AE57" s="63" t="n"/>
      <c r="AF57" s="63" t="n"/>
      <c r="AG57" s="63" t="n"/>
      <c r="AH57" s="63" t="n"/>
      <c r="AI57" s="63" t="n"/>
      <c r="AJ57" s="63" t="n"/>
      <c r="AK57" s="63" t="n"/>
      <c r="AL57" s="63" t="n"/>
      <c r="AM57" s="63" t="n"/>
      <c r="AN57" s="63" t="n"/>
      <c r="AO57" s="63" t="n"/>
      <c r="AP57" s="63" t="n"/>
      <c r="AQ57" s="63" t="n"/>
      <c r="AR57" s="63" t="n"/>
    </row>
    <row r="58" ht="16" customHeight="1">
      <c r="A58" s="58" t="inlineStr">
        <is>
          <t>20525795897</t>
        </is>
      </c>
      <c r="B58" s="59" t="inlineStr">
        <is>
          <t>Cooperativa Agraria de Bananeros Organicos Huayquiquira - COOPABOH</t>
        </is>
      </c>
      <c r="C58" s="58" t="n"/>
      <c r="D58" s="58" t="n"/>
      <c r="E58" s="58" t="n"/>
      <c r="F58" s="58" t="n"/>
      <c r="G58" s="60" t="n"/>
      <c r="H58" s="60" t="n"/>
      <c r="I58" s="60" t="n"/>
      <c r="J58" s="60" t="n"/>
      <c r="K58" s="60" t="n"/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  <c r="Z58" s="60" t="n"/>
      <c r="AA58" s="60" t="n"/>
      <c r="AB58" s="60" t="n"/>
      <c r="AC58" s="60" t="n"/>
      <c r="AD58" s="60" t="n"/>
      <c r="AE58" s="60" t="n"/>
      <c r="AF58" s="60" t="n"/>
      <c r="AG58" s="60" t="n"/>
      <c r="AH58" s="60" t="n"/>
      <c r="AI58" s="60" t="n"/>
      <c r="AJ58" s="60" t="n"/>
      <c r="AK58" s="60" t="n"/>
      <c r="AL58" s="60" t="n"/>
      <c r="AM58" s="60" t="n"/>
      <c r="AN58" s="60" t="n"/>
      <c r="AO58" s="60" t="n"/>
      <c r="AP58" s="60" t="n"/>
      <c r="AQ58" s="60" t="n"/>
      <c r="AR58" s="60" t="n"/>
    </row>
    <row r="59" ht="16" customHeight="1">
      <c r="A59" s="61" t="inlineStr">
        <is>
          <t>20600724089</t>
        </is>
      </c>
      <c r="B59" s="62" t="inlineStr">
        <is>
          <t>Cooperativa Agraria de Jovenes Pangoa Ltda</t>
        </is>
      </c>
      <c r="C59" s="61" t="n"/>
      <c r="D59" s="61" t="n"/>
      <c r="E59" s="61" t="n"/>
      <c r="F59" s="61" t="n"/>
      <c r="G59" s="63" t="n"/>
      <c r="H59" s="63" t="n"/>
      <c r="I59" s="63" t="n"/>
      <c r="J59" s="63" t="n"/>
      <c r="K59" s="63" t="n"/>
      <c r="L59" s="63" t="n"/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  <c r="Z59" s="63" t="n"/>
      <c r="AA59" s="63" t="n"/>
      <c r="AB59" s="63" t="n"/>
      <c r="AC59" s="63" t="n"/>
      <c r="AD59" s="63" t="n"/>
      <c r="AE59" s="63" t="n"/>
      <c r="AF59" s="63" t="n"/>
      <c r="AG59" s="63" t="n"/>
      <c r="AH59" s="63" t="n"/>
      <c r="AI59" s="63" t="n"/>
      <c r="AJ59" s="63" t="n"/>
      <c r="AK59" s="63" t="n"/>
      <c r="AL59" s="63" t="n"/>
      <c r="AM59" s="63" t="n"/>
      <c r="AN59" s="63" t="n"/>
      <c r="AO59" s="63" t="n"/>
      <c r="AP59" s="63" t="n"/>
      <c r="AQ59" s="63" t="n"/>
      <c r="AR59" s="63" t="n"/>
    </row>
    <row r="60" ht="16" customHeight="1">
      <c r="A60" s="58" t="inlineStr">
        <is>
          <t>20568633629</t>
        </is>
      </c>
      <c r="B60" s="59" t="inlineStr">
        <is>
          <t>Cooperativa Agraria de Mujeres Productoras de Café - Pichanaki</t>
        </is>
      </c>
      <c r="C60" s="58" t="n"/>
      <c r="D60" s="58" t="n"/>
      <c r="E60" s="58" t="n"/>
      <c r="F60" s="58" t="n"/>
      <c r="G60" s="60" t="n"/>
      <c r="H60" s="60" t="n"/>
      <c r="I60" s="60" t="n"/>
      <c r="J60" s="60" t="n"/>
      <c r="K60" s="60" t="n"/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  <c r="Z60" s="60" t="n"/>
      <c r="AA60" s="60" t="n"/>
      <c r="AB60" s="60" t="n"/>
      <c r="AC60" s="60" t="n"/>
      <c r="AD60" s="60" t="n"/>
      <c r="AE60" s="60" t="n"/>
      <c r="AF60" s="60" t="n"/>
      <c r="AG60" s="60" t="n"/>
      <c r="AH60" s="60" t="n"/>
      <c r="AI60" s="60" t="n"/>
      <c r="AJ60" s="60" t="n"/>
      <c r="AK60" s="60" t="n"/>
      <c r="AL60" s="60" t="n"/>
      <c r="AM60" s="60" t="n"/>
      <c r="AN60" s="60" t="n"/>
      <c r="AO60" s="60" t="n"/>
      <c r="AP60" s="60" t="n"/>
      <c r="AQ60" s="60" t="n"/>
      <c r="AR60" s="60" t="n"/>
    </row>
    <row r="61" ht="16" customHeight="1">
      <c r="A61" s="61" t="inlineStr">
        <is>
          <t>20168357576</t>
        </is>
      </c>
      <c r="B61" s="62" t="inlineStr">
        <is>
          <t>Cooperativa Agraria de Producción Pucayacu Limitada N°004</t>
        </is>
      </c>
      <c r="C61" s="61" t="n"/>
      <c r="D61" s="61" t="n"/>
      <c r="E61" s="61" t="n"/>
      <c r="F61" s="61" t="n"/>
      <c r="G61" s="63" t="n"/>
      <c r="H61" s="63" t="n"/>
      <c r="I61" s="63" t="n"/>
      <c r="J61" s="63" t="n"/>
      <c r="K61" s="63" t="n"/>
      <c r="L61" s="63" t="n"/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  <c r="Z61" s="63" t="n"/>
      <c r="AA61" s="63" t="n"/>
      <c r="AB61" s="63" t="n"/>
      <c r="AC61" s="63" t="n"/>
      <c r="AD61" s="63" t="n"/>
      <c r="AE61" s="63" t="n"/>
      <c r="AF61" s="63" t="n"/>
      <c r="AG61" s="63" t="n"/>
      <c r="AH61" s="63" t="n"/>
      <c r="AI61" s="63" t="n"/>
      <c r="AJ61" s="63" t="n"/>
      <c r="AK61" s="63" t="n"/>
      <c r="AL61" s="63" t="n"/>
      <c r="AM61" s="63" t="n"/>
      <c r="AN61" s="63" t="n"/>
      <c r="AO61" s="63" t="n"/>
      <c r="AP61" s="63" t="n"/>
      <c r="AQ61" s="63" t="n"/>
      <c r="AR61" s="63" t="n"/>
    </row>
    <row r="62" ht="16" customHeight="1">
      <c r="A62" s="58" t="inlineStr">
        <is>
          <t>20601027896</t>
        </is>
      </c>
      <c r="B62" s="59" t="inlineStr">
        <is>
          <t>Cooperativa Agraria de Productores Organicos Capo Caleb Lta.</t>
        </is>
      </c>
      <c r="C62" s="58" t="n"/>
      <c r="D62" s="58" t="n"/>
      <c r="E62" s="58" t="n"/>
      <c r="F62" s="58" t="n"/>
      <c r="G62" s="60" t="n"/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  <c r="Z62" s="60" t="n"/>
      <c r="AA62" s="60" t="n"/>
      <c r="AB62" s="60" t="n"/>
      <c r="AC62" s="60" t="n"/>
      <c r="AD62" s="60" t="n"/>
      <c r="AE62" s="60" t="n"/>
      <c r="AF62" s="60" t="n"/>
      <c r="AG62" s="60" t="n"/>
      <c r="AH62" s="60" t="n"/>
      <c r="AI62" s="60" t="n"/>
      <c r="AJ62" s="60" t="n"/>
      <c r="AK62" s="60" t="n"/>
      <c r="AL62" s="60" t="n"/>
      <c r="AM62" s="60" t="n"/>
      <c r="AN62" s="60" t="n"/>
      <c r="AO62" s="60" t="n"/>
      <c r="AP62" s="60" t="n"/>
      <c r="AQ62" s="60" t="n"/>
      <c r="AR62" s="60" t="n"/>
    </row>
    <row r="63" ht="16" customHeight="1">
      <c r="A63" s="61" t="inlineStr">
        <is>
          <t>20601283523</t>
        </is>
      </c>
      <c r="B63" s="62" t="inlineStr">
        <is>
          <t>Cooperativa Agraria de Productores Sostenibles Selva Central</t>
        </is>
      </c>
      <c r="C63" s="61" t="n"/>
      <c r="D63" s="61" t="n"/>
      <c r="E63" s="61" t="n"/>
      <c r="F63" s="61" t="n"/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  <c r="Z63" s="63" t="n"/>
      <c r="AA63" s="63" t="n"/>
      <c r="AB63" s="63" t="n"/>
      <c r="AC63" s="63" t="n"/>
      <c r="AD63" s="63" t="n"/>
      <c r="AE63" s="63" t="n"/>
      <c r="AF63" s="63" t="n"/>
      <c r="AG63" s="63" t="n"/>
      <c r="AH63" s="63" t="n"/>
      <c r="AI63" s="63" t="n"/>
      <c r="AJ63" s="63" t="n"/>
      <c r="AK63" s="63" t="n"/>
      <c r="AL63" s="63" t="n"/>
      <c r="AM63" s="63" t="n"/>
      <c r="AN63" s="63" t="n"/>
      <c r="AO63" s="63" t="n"/>
      <c r="AP63" s="63" t="n"/>
      <c r="AQ63" s="63" t="n"/>
      <c r="AR63" s="63" t="n"/>
    </row>
    <row r="64" ht="16" customHeight="1">
      <c r="A64" s="58" t="inlineStr">
        <is>
          <t>20601105641</t>
        </is>
      </c>
      <c r="B64" s="59" t="inlineStr">
        <is>
          <t>Cooperativa Agraria de Productores de Banano Orgánico Javier Heraud Quebrada Parales Medio Piura Ltda.</t>
        </is>
      </c>
      <c r="C64" s="58" t="n"/>
      <c r="D64" s="58" t="n"/>
      <c r="E64" s="58" t="n"/>
      <c r="F64" s="58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0" t="n"/>
      <c r="AP64" s="60" t="n"/>
      <c r="AQ64" s="60" t="n"/>
      <c r="AR64" s="60" t="n"/>
    </row>
    <row r="65" ht="16" customHeight="1">
      <c r="A65" s="61" t="inlineStr">
        <is>
          <t>20530322573</t>
        </is>
      </c>
      <c r="B65" s="62" t="inlineStr">
        <is>
          <t>Cooperativa Agraria de Productores de Banano Orgánico Olivares - San Fernando</t>
        </is>
      </c>
      <c r="C65" s="61" t="n"/>
      <c r="D65" s="61" t="n"/>
      <c r="E65" s="61" t="n"/>
      <c r="F65" s="61" t="n"/>
      <c r="G65" s="63" t="n"/>
      <c r="H65" s="63" t="n"/>
      <c r="I65" s="63" t="n"/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  <c r="Z65" s="63" t="n"/>
      <c r="AA65" s="63" t="n"/>
      <c r="AB65" s="63" t="n"/>
      <c r="AC65" s="63" t="n"/>
      <c r="AD65" s="63" t="n"/>
      <c r="AE65" s="63" t="n"/>
      <c r="AF65" s="63" t="n"/>
      <c r="AG65" s="63" t="n"/>
      <c r="AH65" s="63" t="n"/>
      <c r="AI65" s="63" t="n"/>
      <c r="AJ65" s="63" t="n"/>
      <c r="AK65" s="63" t="n"/>
      <c r="AL65" s="63" t="n"/>
      <c r="AM65" s="63" t="n"/>
      <c r="AN65" s="63" t="n"/>
      <c r="AO65" s="63" t="n"/>
      <c r="AP65" s="63" t="n"/>
      <c r="AQ65" s="63" t="n"/>
      <c r="AR65" s="63" t="n"/>
    </row>
    <row r="66" ht="16" customHeight="1">
      <c r="A66" s="58" t="inlineStr">
        <is>
          <t>20525969551</t>
        </is>
      </c>
      <c r="B66" s="59" t="inlineStr">
        <is>
          <t>Cooperativa Agraria de Productores de Banano, Cacao Orgánico y Otros Cultivos Agrarios Ltda.</t>
        </is>
      </c>
      <c r="C66" s="58" t="inlineStr">
        <is>
          <t>CACAO</t>
        </is>
      </c>
      <c r="D66" s="58" t="inlineStr">
        <is>
          <t>PIURA</t>
        </is>
      </c>
      <c r="E66" s="58" t="inlineStr">
        <is>
          <t>MORROPON</t>
        </is>
      </c>
      <c r="F66" s="58" t="inlineStr">
        <is>
          <t>BUENOS AIRES</t>
        </is>
      </c>
      <c r="G66" s="64" t="n">
        <v>0</v>
      </c>
      <c r="H66" s="64" t="n">
        <v>0</v>
      </c>
      <c r="I66" s="64" t="n">
        <v>0</v>
      </c>
      <c r="J66" s="64" t="n">
        <v>0</v>
      </c>
      <c r="K66" s="64" t="n">
        <v>0</v>
      </c>
      <c r="L66" s="64" t="n">
        <v>0</v>
      </c>
      <c r="M66" s="64" t="n">
        <v>0</v>
      </c>
      <c r="N66" s="64" t="n">
        <v>0</v>
      </c>
      <c r="O66" s="64" t="n">
        <v>0</v>
      </c>
      <c r="P66" s="64" t="n">
        <v>0</v>
      </c>
      <c r="Q66" s="64" t="n">
        <v>0</v>
      </c>
      <c r="R66" s="64" t="n">
        <v>0</v>
      </c>
      <c r="S66" s="64" t="n">
        <v>0</v>
      </c>
      <c r="T66" s="64" t="n">
        <v>0</v>
      </c>
      <c r="U66" s="64" t="n">
        <v>0</v>
      </c>
      <c r="V66" s="64" t="n">
        <v>0</v>
      </c>
      <c r="W66" s="64" t="n">
        <v>0</v>
      </c>
      <c r="X66" s="64" t="n">
        <v>0</v>
      </c>
      <c r="Y66" s="64" t="n">
        <v>0</v>
      </c>
      <c r="Z66" s="64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64" t="n">
        <v>0</v>
      </c>
      <c r="AG66" s="64" t="n">
        <v>0</v>
      </c>
      <c r="AH66" s="64" t="n">
        <v>0</v>
      </c>
      <c r="AI66" s="64" t="n">
        <v>0</v>
      </c>
      <c r="AJ66" s="64" t="n">
        <v>0</v>
      </c>
      <c r="AK66" s="64" t="n">
        <v>0</v>
      </c>
      <c r="AL66" s="64" t="n">
        <v>0</v>
      </c>
      <c r="AM66" s="64" t="n">
        <v>0</v>
      </c>
      <c r="AN66" s="64" t="n">
        <v>0</v>
      </c>
      <c r="AO66" s="64" t="n">
        <v>0</v>
      </c>
      <c r="AP66" s="64" t="n">
        <v>0</v>
      </c>
      <c r="AQ66" s="64" t="n">
        <v>0</v>
      </c>
      <c r="AR66" s="64" t="n">
        <v>0</v>
      </c>
    </row>
    <row r="67" ht="16" customHeight="1">
      <c r="A67" s="61" t="inlineStr">
        <is>
          <t>20486054949</t>
        </is>
      </c>
      <c r="B67" s="62" t="inlineStr">
        <is>
          <t>Cooperativa Agraria de Servicios Café Hemalu de Los Bosques del Inka - COOPCHEBI</t>
        </is>
      </c>
      <c r="C67" s="61" t="n"/>
      <c r="D67" s="61" t="n"/>
      <c r="E67" s="61" t="n"/>
      <c r="F67" s="61" t="n"/>
      <c r="G67" s="63" t="n"/>
      <c r="H67" s="63" t="n"/>
      <c r="I67" s="63" t="n"/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  <c r="Z67" s="63" t="n"/>
      <c r="AA67" s="63" t="n"/>
      <c r="AB67" s="63" t="n"/>
      <c r="AC67" s="63" t="n"/>
      <c r="AD67" s="63" t="n"/>
      <c r="AE67" s="63" t="n"/>
      <c r="AF67" s="63" t="n"/>
      <c r="AG67" s="63" t="n"/>
      <c r="AH67" s="63" t="n"/>
      <c r="AI67" s="63" t="n"/>
      <c r="AJ67" s="63" t="n"/>
      <c r="AK67" s="63" t="n"/>
      <c r="AL67" s="63" t="n"/>
      <c r="AM67" s="63" t="n"/>
      <c r="AN67" s="63" t="n"/>
      <c r="AO67" s="63" t="n"/>
      <c r="AP67" s="63" t="n"/>
      <c r="AQ67" s="63" t="n"/>
      <c r="AR67" s="63" t="n"/>
    </row>
    <row r="68" ht="16" customHeight="1">
      <c r="A68" s="58" t="inlineStr">
        <is>
          <t>20601173477</t>
        </is>
      </c>
      <c r="B68" s="59" t="inlineStr">
        <is>
          <t>Cooperativa Agraria de Servicios Múltiples para el Progreso e Integración de Cafetaleros</t>
        </is>
      </c>
      <c r="C68" s="58" t="n"/>
      <c r="D68" s="58" t="n"/>
      <c r="E68" s="58" t="n"/>
      <c r="F68" s="58" t="n"/>
      <c r="G68" s="60" t="n"/>
      <c r="H68" s="60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  <c r="AA68" s="60" t="n"/>
      <c r="AB68" s="60" t="n"/>
      <c r="AC68" s="60" t="n"/>
      <c r="AD68" s="60" t="n"/>
      <c r="AE68" s="60" t="n"/>
      <c r="AF68" s="60" t="n"/>
      <c r="AG68" s="60" t="n"/>
      <c r="AH68" s="60" t="n"/>
      <c r="AI68" s="60" t="n"/>
      <c r="AJ68" s="60" t="n"/>
      <c r="AK68" s="60" t="n"/>
      <c r="AL68" s="60" t="n"/>
      <c r="AM68" s="60" t="n"/>
      <c r="AN68" s="60" t="n"/>
      <c r="AO68" s="60" t="n"/>
      <c r="AP68" s="60" t="n"/>
      <c r="AQ68" s="60" t="n"/>
      <c r="AR68" s="60" t="n"/>
    </row>
    <row r="69" ht="16" customHeight="1">
      <c r="A69" s="61" t="inlineStr">
        <is>
          <t>20449165927</t>
        </is>
      </c>
      <c r="B69" s="62" t="inlineStr">
        <is>
          <t>Cooperativa Agraria de Usuarios Herbay Limitada</t>
        </is>
      </c>
      <c r="C69" s="61" t="n"/>
      <c r="D69" s="61" t="n"/>
      <c r="E69" s="61" t="n"/>
      <c r="F69" s="61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  <c r="Z69" s="63" t="n"/>
      <c r="AA69" s="63" t="n"/>
      <c r="AB69" s="63" t="n"/>
      <c r="AC69" s="63" t="n"/>
      <c r="AD69" s="63" t="n"/>
      <c r="AE69" s="63" t="n"/>
      <c r="AF69" s="63" t="n"/>
      <c r="AG69" s="63" t="n"/>
      <c r="AH69" s="63" t="n"/>
      <c r="AI69" s="63" t="n"/>
      <c r="AJ69" s="63" t="n"/>
      <c r="AK69" s="63" t="n"/>
      <c r="AL69" s="63" t="n"/>
      <c r="AM69" s="63" t="n"/>
      <c r="AN69" s="63" t="n"/>
      <c r="AO69" s="63" t="n"/>
      <c r="AP69" s="63" t="n"/>
      <c r="AQ69" s="63" t="n"/>
      <c r="AR69" s="63" t="n"/>
    </row>
    <row r="70" ht="16" customHeight="1">
      <c r="A70" s="58" t="inlineStr">
        <is>
          <t>20529595787</t>
        </is>
      </c>
      <c r="B70" s="59" t="inlineStr">
        <is>
          <t>Cooperativa Agraria del Alto Jequetepeque</t>
        </is>
      </c>
      <c r="C70" s="58" t="n"/>
      <c r="D70" s="58" t="n"/>
      <c r="E70" s="58" t="n"/>
      <c r="F70" s="58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  <c r="AF70" s="60" t="n"/>
      <c r="AG70" s="60" t="n"/>
      <c r="AH70" s="60" t="n"/>
      <c r="AI70" s="60" t="n"/>
      <c r="AJ70" s="60" t="n"/>
      <c r="AK70" s="60" t="n"/>
      <c r="AL70" s="60" t="n"/>
      <c r="AM70" s="60" t="n"/>
      <c r="AN70" s="60" t="n"/>
      <c r="AO70" s="60" t="n"/>
      <c r="AP70" s="60" t="n"/>
      <c r="AQ70" s="60" t="n"/>
      <c r="AR70" s="60" t="n"/>
    </row>
    <row r="71" ht="16" customHeight="1">
      <c r="A71" s="61" t="inlineStr">
        <is>
          <t>20601427690</t>
        </is>
      </c>
      <c r="B71" s="62" t="inlineStr">
        <is>
          <t>Cooperativa Agraria e Industrial Pangoa Vraem Limitada</t>
        </is>
      </c>
      <c r="C71" s="61" t="n"/>
      <c r="D71" s="61" t="n"/>
      <c r="E71" s="61" t="n"/>
      <c r="F71" s="61" t="n"/>
      <c r="G71" s="63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  <c r="Z71" s="63" t="n"/>
      <c r="AA71" s="63" t="n"/>
      <c r="AB71" s="63" t="n"/>
      <c r="AC71" s="63" t="n"/>
      <c r="AD71" s="63" t="n"/>
      <c r="AE71" s="63" t="n"/>
      <c r="AF71" s="63" t="n"/>
      <c r="AG71" s="63" t="n"/>
      <c r="AH71" s="63" t="n"/>
      <c r="AI71" s="63" t="n"/>
      <c r="AJ71" s="63" t="n"/>
      <c r="AK71" s="63" t="n"/>
      <c r="AL71" s="63" t="n"/>
      <c r="AM71" s="63" t="n"/>
      <c r="AN71" s="63" t="n"/>
      <c r="AO71" s="63" t="n"/>
      <c r="AP71" s="63" t="n"/>
      <c r="AQ71" s="63" t="n"/>
      <c r="AR71" s="63" t="n"/>
    </row>
    <row r="72" ht="16" customHeight="1">
      <c r="A72" s="58" t="inlineStr">
        <is>
          <t>20129846772</t>
        </is>
      </c>
      <c r="B72" s="59" t="inlineStr">
        <is>
          <t>Cooperativa Comunal Quiulacocha Ltda. 11</t>
        </is>
      </c>
      <c r="C72" s="58" t="n"/>
      <c r="D72" s="58" t="n"/>
      <c r="E72" s="58" t="n"/>
      <c r="F72" s="58" t="n"/>
      <c r="G72" s="60" t="n"/>
      <c r="H72" s="60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  <c r="AA72" s="60" t="n"/>
      <c r="AB72" s="60" t="n"/>
      <c r="AC72" s="60" t="n"/>
      <c r="AD72" s="60" t="n"/>
      <c r="AE72" s="60" t="n"/>
      <c r="AF72" s="60" t="n"/>
      <c r="AG72" s="60" t="n"/>
      <c r="AH72" s="60" t="n"/>
      <c r="AI72" s="60" t="n"/>
      <c r="AJ72" s="60" t="n"/>
      <c r="AK72" s="60" t="n"/>
      <c r="AL72" s="60" t="n"/>
      <c r="AM72" s="60" t="n"/>
      <c r="AN72" s="60" t="n"/>
      <c r="AO72" s="60" t="n"/>
      <c r="AP72" s="60" t="n"/>
      <c r="AQ72" s="60" t="n"/>
      <c r="AR72" s="60" t="n"/>
    </row>
    <row r="73" ht="16" customHeight="1">
      <c r="A73" s="61" t="inlineStr">
        <is>
          <t>20130740384</t>
        </is>
      </c>
      <c r="B73" s="62" t="inlineStr">
        <is>
          <t>Cooperativa Comunal Sacra Familia Ltda 13</t>
        </is>
      </c>
      <c r="C73" s="61" t="n"/>
      <c r="D73" s="61" t="n"/>
      <c r="E73" s="61" t="n"/>
      <c r="F73" s="61" t="n"/>
      <c r="G73" s="63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  <c r="AA73" s="63" t="n"/>
      <c r="AB73" s="63" t="n"/>
      <c r="AC73" s="63" t="n"/>
      <c r="AD73" s="63" t="n"/>
      <c r="AE73" s="63" t="n"/>
      <c r="AF73" s="63" t="n"/>
      <c r="AG73" s="63" t="n"/>
      <c r="AH73" s="63" t="n"/>
      <c r="AI73" s="63" t="n"/>
      <c r="AJ73" s="63" t="n"/>
      <c r="AK73" s="63" t="n"/>
      <c r="AL73" s="63" t="n"/>
      <c r="AM73" s="63" t="n"/>
      <c r="AN73" s="63" t="n"/>
      <c r="AO73" s="63" t="n"/>
      <c r="AP73" s="63" t="n"/>
      <c r="AQ73" s="63" t="n"/>
      <c r="AR73" s="63" t="n"/>
    </row>
    <row r="74" ht="16" customHeight="1">
      <c r="A74" s="58" t="inlineStr">
        <is>
          <t>20131453427</t>
        </is>
      </c>
      <c r="B74" s="59" t="inlineStr">
        <is>
          <t>Cooperativa Comunal San Pedro de Racco</t>
        </is>
      </c>
      <c r="C74" s="58" t="inlineStr">
        <is>
          <t>FIBRA DE ALPACA</t>
        </is>
      </c>
      <c r="D74" s="58" t="inlineStr">
        <is>
          <t>PASCO</t>
        </is>
      </c>
      <c r="E74" s="58" t="inlineStr">
        <is>
          <t>PASCO</t>
        </is>
      </c>
      <c r="F74" s="58" t="inlineStr">
        <is>
          <t>SIMON BOLIVAR</t>
        </is>
      </c>
      <c r="G74" s="64" t="n">
        <v>0</v>
      </c>
      <c r="H74" s="64" t="n">
        <v>0</v>
      </c>
      <c r="I74" s="64" t="n">
        <v>0</v>
      </c>
      <c r="J74" s="64" t="n">
        <v>130050.3</v>
      </c>
      <c r="K74" s="64" t="n">
        <v>83938</v>
      </c>
      <c r="L74" s="64" t="n">
        <v>0</v>
      </c>
      <c r="M74" s="64" t="n">
        <v>0</v>
      </c>
      <c r="N74" s="64" t="n">
        <v>0</v>
      </c>
      <c r="O74" s="64" t="n">
        <v>0</v>
      </c>
      <c r="P74" s="64" t="n">
        <v>0</v>
      </c>
      <c r="Q74" s="64" t="n">
        <v>130050.3</v>
      </c>
      <c r="R74" s="64" t="n">
        <v>0</v>
      </c>
      <c r="S74" s="64" t="n">
        <v>83938</v>
      </c>
      <c r="T74" s="64" t="n">
        <v>0</v>
      </c>
      <c r="U74" s="64" t="n">
        <v>0</v>
      </c>
      <c r="V74" s="64" t="n">
        <v>0</v>
      </c>
      <c r="W74" s="64" t="n">
        <v>0</v>
      </c>
      <c r="X74" s="64" t="n">
        <v>0</v>
      </c>
      <c r="Y74" s="64" t="n">
        <v>0</v>
      </c>
      <c r="Z74" s="64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64" t="n">
        <v>0</v>
      </c>
      <c r="AG74" s="64" t="n">
        <v>0</v>
      </c>
      <c r="AH74" s="64" t="n">
        <v>0</v>
      </c>
      <c r="AI74" s="64" t="n">
        <v>0</v>
      </c>
      <c r="AJ74" s="64" t="n">
        <v>0</v>
      </c>
      <c r="AK74" s="64" t="n">
        <v>0</v>
      </c>
      <c r="AL74" s="64" t="n">
        <v>0</v>
      </c>
      <c r="AM74" s="64" t="n">
        <v>0</v>
      </c>
      <c r="AN74" s="64" t="n">
        <v>0</v>
      </c>
      <c r="AO74" s="64" t="n">
        <v>0</v>
      </c>
      <c r="AP74" s="64" t="n">
        <v>0</v>
      </c>
      <c r="AQ74" s="64" t="n">
        <v>0</v>
      </c>
      <c r="AR74" s="64" t="n">
        <v>0</v>
      </c>
    </row>
    <row r="75" ht="16" customHeight="1">
      <c r="A75" s="61" t="inlineStr">
        <is>
          <t>20129765420</t>
        </is>
      </c>
      <c r="B75" s="62" t="inlineStr">
        <is>
          <t>Cooperativa Comunal Yurajhuanca Ltda. 15.</t>
        </is>
      </c>
      <c r="C75" s="61" t="n"/>
      <c r="D75" s="61" t="n"/>
      <c r="E75" s="61" t="n"/>
      <c r="F75" s="61" t="n"/>
      <c r="G75" s="63" t="n"/>
      <c r="H75" s="63" t="n"/>
      <c r="I75" s="63" t="n"/>
      <c r="J75" s="63" t="n"/>
      <c r="K75" s="63" t="n"/>
      <c r="L75" s="63" t="n"/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  <c r="Z75" s="63" t="n"/>
      <c r="AA75" s="63" t="n"/>
      <c r="AB75" s="63" t="n"/>
      <c r="AC75" s="63" t="n"/>
      <c r="AD75" s="63" t="n"/>
      <c r="AE75" s="63" t="n"/>
      <c r="AF75" s="63" t="n"/>
      <c r="AG75" s="63" t="n"/>
      <c r="AH75" s="63" t="n"/>
      <c r="AI75" s="63" t="n"/>
      <c r="AJ75" s="63" t="n"/>
      <c r="AK75" s="63" t="n"/>
      <c r="AL75" s="63" t="n"/>
      <c r="AM75" s="63" t="n"/>
      <c r="AN75" s="63" t="n"/>
      <c r="AO75" s="63" t="n"/>
      <c r="AP75" s="63" t="n"/>
      <c r="AQ75" s="63" t="n"/>
      <c r="AR75" s="63" t="n"/>
    </row>
    <row r="76" ht="16" customHeight="1">
      <c r="A76" s="58" t="inlineStr">
        <is>
          <t>20143692010</t>
        </is>
      </c>
      <c r="B76" s="59" t="inlineStr">
        <is>
          <t>El Quinacho</t>
        </is>
      </c>
      <c r="C76" s="58" t="inlineStr">
        <is>
          <t>CACAO</t>
        </is>
      </c>
      <c r="D76" s="58" t="inlineStr">
        <is>
          <t>AYACUCHO</t>
        </is>
      </c>
      <c r="E76" s="58" t="inlineStr">
        <is>
          <t>HUANTA</t>
        </is>
      </c>
      <c r="F76" s="58" t="inlineStr">
        <is>
          <t>SIVIA</t>
        </is>
      </c>
      <c r="G76" s="64" t="n">
        <v>0</v>
      </c>
      <c r="H76" s="64" t="n">
        <v>0</v>
      </c>
      <c r="I76" s="64" t="n">
        <v>3459563.94</v>
      </c>
      <c r="J76" s="64" t="n">
        <v>2752409.1</v>
      </c>
      <c r="K76" s="64" t="n">
        <v>3385224.14</v>
      </c>
      <c r="L76" s="64" t="n">
        <v>3313766.32</v>
      </c>
      <c r="M76" s="64" t="n">
        <v>0</v>
      </c>
      <c r="N76" s="64" t="n">
        <v>3073770.65988</v>
      </c>
      <c r="O76" s="64" t="n">
        <v>0</v>
      </c>
      <c r="P76" s="64" t="n">
        <v>3459563.94</v>
      </c>
      <c r="Q76" s="64" t="n">
        <v>0</v>
      </c>
      <c r="R76" s="64" t="n">
        <v>2752409.1</v>
      </c>
      <c r="S76" s="64" t="n">
        <v>508928.25</v>
      </c>
      <c r="T76" s="64" t="n">
        <v>2876295.89</v>
      </c>
      <c r="U76" s="64" t="n">
        <v>0</v>
      </c>
      <c r="V76" s="64" t="n">
        <v>3313766.32</v>
      </c>
      <c r="W76" s="64" t="n">
        <v>0</v>
      </c>
      <c r="X76" s="64" t="n">
        <v>0</v>
      </c>
      <c r="Y76" s="64" t="n">
        <v>0</v>
      </c>
      <c r="Z76" s="64" t="n">
        <v>3073770.65988</v>
      </c>
      <c r="AA76" s="64" t="n">
        <v>0</v>
      </c>
      <c r="AB76" s="64" t="n">
        <v>0</v>
      </c>
      <c r="AC76" s="64" t="n">
        <v>3313766.32</v>
      </c>
      <c r="AD76" s="64" t="n">
        <v>0</v>
      </c>
      <c r="AE76" s="64" t="n">
        <v>0</v>
      </c>
      <c r="AF76" s="64" t="n">
        <v>3313766.32</v>
      </c>
      <c r="AG76" s="64" t="n">
        <v>0</v>
      </c>
      <c r="AH76" s="64" t="n">
        <v>0</v>
      </c>
      <c r="AI76" s="64" t="n">
        <v>0</v>
      </c>
      <c r="AJ76" s="64" t="n">
        <v>0</v>
      </c>
      <c r="AK76" s="64" t="n">
        <v>0</v>
      </c>
      <c r="AL76" s="64" t="n">
        <v>0</v>
      </c>
      <c r="AM76" s="64" t="n">
        <v>0</v>
      </c>
      <c r="AN76" s="64" t="n">
        <v>0</v>
      </c>
      <c r="AO76" s="64" t="n">
        <v>3073770.65988</v>
      </c>
      <c r="AP76" s="64" t="n">
        <v>0</v>
      </c>
      <c r="AQ76" s="64" t="n">
        <v>0</v>
      </c>
      <c r="AR76" s="64" t="n">
        <v>3073770.65988</v>
      </c>
    </row>
    <row r="77" ht="16" customHeight="1">
      <c r="A77" s="61" t="inlineStr">
        <is>
          <t>20136264053</t>
        </is>
      </c>
      <c r="B77" s="62" t="inlineStr">
        <is>
          <t>Naranjillo</t>
        </is>
      </c>
      <c r="C77" s="61" t="n"/>
      <c r="D77" s="61" t="n"/>
      <c r="E77" s="61" t="n"/>
      <c r="F77" s="61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  <c r="Z77" s="63" t="n"/>
      <c r="AA77" s="63" t="n"/>
      <c r="AB77" s="63" t="n"/>
      <c r="AC77" s="63" t="n"/>
      <c r="AD77" s="63" t="n"/>
      <c r="AE77" s="63" t="n"/>
      <c r="AF77" s="63" t="n"/>
      <c r="AG77" s="63" t="n"/>
      <c r="AH77" s="63" t="n"/>
      <c r="AI77" s="63" t="n"/>
      <c r="AJ77" s="63" t="n"/>
      <c r="AK77" s="63" t="n"/>
      <c r="AL77" s="63" t="n"/>
      <c r="AM77" s="63" t="n"/>
      <c r="AN77" s="63" t="n"/>
      <c r="AO77" s="63" t="n"/>
      <c r="AP77" s="63" t="n"/>
      <c r="AQ77" s="63" t="n"/>
      <c r="AR77" s="63" t="n"/>
    </row>
    <row r="78" ht="16" customHeight="1">
      <c r="A78" s="58" t="inlineStr">
        <is>
          <t>20114942937</t>
        </is>
      </c>
      <c r="B78" s="59" t="inlineStr">
        <is>
          <t>San Juan del Oro</t>
        </is>
      </c>
      <c r="C78" s="58" t="n"/>
      <c r="D78" s="58" t="n"/>
      <c r="E78" s="58" t="n"/>
      <c r="F78" s="58" t="n"/>
      <c r="G78" s="60" t="n"/>
      <c r="H78" s="60" t="n"/>
      <c r="I78" s="60" t="n"/>
      <c r="J78" s="60" t="n"/>
      <c r="K78" s="60" t="n"/>
      <c r="L78" s="60" t="n"/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  <c r="Z78" s="60" t="n"/>
      <c r="AA78" s="60" t="n"/>
      <c r="AB78" s="60" t="n"/>
      <c r="AC78" s="60" t="n"/>
      <c r="AD78" s="60" t="n"/>
      <c r="AE78" s="60" t="n"/>
      <c r="AF78" s="60" t="n"/>
      <c r="AG78" s="60" t="n"/>
      <c r="AH78" s="60" t="n"/>
      <c r="AI78" s="60" t="n"/>
      <c r="AJ78" s="60" t="n"/>
      <c r="AK78" s="60" t="n"/>
      <c r="AL78" s="60" t="n"/>
      <c r="AM78" s="60" t="n"/>
      <c r="AN78" s="60" t="n"/>
      <c r="AO78" s="60" t="n"/>
      <c r="AP78" s="60" t="n"/>
      <c r="AQ78" s="60" t="n"/>
      <c r="AR78" s="60" t="n"/>
    </row>
    <row r="79" ht="16" customHeight="1">
      <c r="A79" s="61" t="inlineStr">
        <is>
          <t>20480458550</t>
        </is>
      </c>
      <c r="B79" s="62" t="inlineStr">
        <is>
          <t>Cooperativa Agraria APROCAM</t>
        </is>
      </c>
      <c r="C79" s="61" t="inlineStr">
        <is>
          <t>CACAO</t>
        </is>
      </c>
      <c r="D79" s="61" t="inlineStr">
        <is>
          <t>AMAZONAS</t>
        </is>
      </c>
      <c r="E79" s="61" t="inlineStr">
        <is>
          <t>BAGUA</t>
        </is>
      </c>
      <c r="F79" s="61" t="inlineStr">
        <is>
          <t>BAGUA</t>
        </is>
      </c>
      <c r="G79" s="65" t="n">
        <v>279033.24</v>
      </c>
      <c r="H79" s="65" t="n">
        <v>1026216.81</v>
      </c>
      <c r="I79" s="65" t="n">
        <v>385942.77</v>
      </c>
      <c r="J79" s="65" t="n">
        <v>2112039.54</v>
      </c>
      <c r="K79" s="65" t="n">
        <v>1255188.62</v>
      </c>
      <c r="L79" s="65" t="n">
        <v>1206624.69</v>
      </c>
      <c r="M79" s="65" t="n">
        <v>0</v>
      </c>
      <c r="N79" s="65" t="n">
        <v>0</v>
      </c>
      <c r="O79" s="65" t="n">
        <v>101917.7</v>
      </c>
      <c r="P79" s="65" t="n">
        <v>284025.07</v>
      </c>
      <c r="Q79" s="65" t="n">
        <v>78859.14999999999</v>
      </c>
      <c r="R79" s="65" t="n">
        <v>2033180.39</v>
      </c>
      <c r="S79" s="65" t="n">
        <v>65644.73</v>
      </c>
      <c r="T79" s="65" t="n">
        <v>1189543.89</v>
      </c>
      <c r="U79" s="65" t="n">
        <v>114467.98</v>
      </c>
      <c r="V79" s="65" t="n">
        <v>1092156.71</v>
      </c>
      <c r="W79" s="65" t="n">
        <v>0</v>
      </c>
      <c r="X79" s="65" t="n">
        <v>0</v>
      </c>
      <c r="Y79" s="65" t="n">
        <v>0</v>
      </c>
      <c r="Z79" s="65" t="n">
        <v>0</v>
      </c>
      <c r="AA79" s="65" t="n">
        <v>34067.084</v>
      </c>
      <c r="AB79" s="65" t="n">
        <v>0</v>
      </c>
      <c r="AC79" s="65" t="n">
        <v>1172557.6138</v>
      </c>
      <c r="AD79" s="65" t="n">
        <v>0</v>
      </c>
      <c r="AE79" s="65" t="n">
        <v>0</v>
      </c>
      <c r="AF79" s="65" t="n">
        <v>1206624.6978</v>
      </c>
      <c r="AG79" s="65" t="n">
        <v>0</v>
      </c>
      <c r="AH79" s="65" t="n">
        <v>0</v>
      </c>
      <c r="AI79" s="65" t="n">
        <v>0</v>
      </c>
      <c r="AJ79" s="65" t="n">
        <v>0</v>
      </c>
      <c r="AK79" s="65" t="n">
        <v>0</v>
      </c>
      <c r="AL79" s="65" t="n">
        <v>0</v>
      </c>
      <c r="AM79" s="65" t="n">
        <v>0</v>
      </c>
      <c r="AN79" s="65" t="n">
        <v>0</v>
      </c>
      <c r="AO79" s="65" t="n">
        <v>0</v>
      </c>
      <c r="AP79" s="65" t="n">
        <v>0</v>
      </c>
      <c r="AQ79" s="65" t="n">
        <v>0</v>
      </c>
      <c r="AR79" s="65" t="n">
        <v>0</v>
      </c>
    </row>
    <row r="80" ht="16" customHeight="1">
      <c r="A80" s="58" t="inlineStr">
        <is>
          <t>20601123178</t>
        </is>
      </c>
      <c r="B80" s="59" t="inlineStr">
        <is>
          <t>Cooperativa Agraria Amazonas Siempre Verde Ltda.</t>
        </is>
      </c>
      <c r="C80" s="58" t="n"/>
      <c r="D80" s="58" t="n"/>
      <c r="E80" s="58" t="n"/>
      <c r="F80" s="58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  <c r="AQ80" s="60" t="n"/>
      <c r="AR80" s="60" t="n"/>
    </row>
    <row r="81" ht="16" customHeight="1">
      <c r="A81" s="61" t="inlineStr">
        <is>
          <t>20603320621</t>
        </is>
      </c>
      <c r="B81" s="62" t="inlineStr">
        <is>
          <t>Cooperativa Agraria Cafetalera Alta Montaña</t>
        </is>
      </c>
      <c r="C81" s="61" t="inlineStr">
        <is>
          <t>CAFÉ</t>
        </is>
      </c>
      <c r="D81" s="61" t="inlineStr">
        <is>
          <t>AMAZONAS</t>
        </is>
      </c>
      <c r="E81" s="61" t="inlineStr">
        <is>
          <t>RODRIGUEZ DE MENDOZA</t>
        </is>
      </c>
      <c r="F81" s="61" t="inlineStr">
        <is>
          <t>HUAMBO</t>
        </is>
      </c>
      <c r="G81" s="65" t="n">
        <v>0</v>
      </c>
      <c r="H81" s="65" t="n">
        <v>409100</v>
      </c>
      <c r="I81" s="65" t="n">
        <v>325000</v>
      </c>
      <c r="J81" s="65" t="n">
        <v>1622428.43</v>
      </c>
      <c r="K81" s="65" t="n">
        <v>820950</v>
      </c>
      <c r="L81" s="65" t="n">
        <v>165821.2</v>
      </c>
      <c r="M81" s="65" t="n">
        <v>0</v>
      </c>
      <c r="N81" s="65" t="n">
        <v>0</v>
      </c>
      <c r="O81" s="65" t="n">
        <v>325000</v>
      </c>
      <c r="P81" s="65" t="n">
        <v>0</v>
      </c>
      <c r="Q81" s="65" t="n">
        <v>1224192.51</v>
      </c>
      <c r="R81" s="65" t="n">
        <v>398235.92</v>
      </c>
      <c r="S81" s="65" t="n">
        <v>820950</v>
      </c>
      <c r="T81" s="65" t="n">
        <v>0</v>
      </c>
      <c r="U81" s="65" t="n">
        <v>165821.2</v>
      </c>
      <c r="V81" s="65" t="n">
        <v>0</v>
      </c>
      <c r="W81" s="65" t="n">
        <v>0</v>
      </c>
      <c r="X81" s="65" t="n">
        <v>0</v>
      </c>
      <c r="Y81" s="65" t="n">
        <v>0</v>
      </c>
      <c r="Z81" s="65" t="n">
        <v>0</v>
      </c>
      <c r="AA81" s="65" t="n">
        <v>9793.4</v>
      </c>
      <c r="AB81" s="65" t="n">
        <v>0</v>
      </c>
      <c r="AC81" s="65" t="n">
        <v>156027.8</v>
      </c>
      <c r="AD81" s="65" t="n">
        <v>0</v>
      </c>
      <c r="AE81" s="65" t="n">
        <v>0</v>
      </c>
      <c r="AF81" s="65" t="n">
        <v>165821.2</v>
      </c>
      <c r="AG81" s="65" t="n">
        <v>0</v>
      </c>
      <c r="AH81" s="65" t="n">
        <v>0</v>
      </c>
      <c r="AI81" s="65" t="n">
        <v>0</v>
      </c>
      <c r="AJ81" s="65" t="n">
        <v>0</v>
      </c>
      <c r="AK81" s="65" t="n">
        <v>0</v>
      </c>
      <c r="AL81" s="65" t="n">
        <v>0</v>
      </c>
      <c r="AM81" s="65" t="n">
        <v>0</v>
      </c>
      <c r="AN81" s="65" t="n">
        <v>0</v>
      </c>
      <c r="AO81" s="65" t="n">
        <v>0</v>
      </c>
      <c r="AP81" s="65" t="n">
        <v>0</v>
      </c>
      <c r="AQ81" s="65" t="n">
        <v>0</v>
      </c>
      <c r="AR81" s="65" t="n">
        <v>0</v>
      </c>
    </row>
    <row r="82" ht="16" customHeight="1">
      <c r="A82" s="58" t="inlineStr">
        <is>
          <t>20170142773</t>
        </is>
      </c>
      <c r="B82" s="59" t="inlineStr">
        <is>
          <t>Cooperativa Agraria Cafetalera Bagua Grande Ltda.</t>
        </is>
      </c>
      <c r="C82" s="58" t="inlineStr">
        <is>
          <t>CAFÉ</t>
        </is>
      </c>
      <c r="D82" s="58" t="inlineStr">
        <is>
          <t>AMAZONAS</t>
        </is>
      </c>
      <c r="E82" s="58" t="inlineStr">
        <is>
          <t>UTCUBAMBA</t>
        </is>
      </c>
      <c r="F82" s="58" t="inlineStr">
        <is>
          <t>BAGUA GRANDE</t>
        </is>
      </c>
      <c r="G82" s="64" t="n">
        <v>448800</v>
      </c>
      <c r="H82" s="64" t="n">
        <v>1768356.9</v>
      </c>
      <c r="I82" s="64" t="n">
        <v>1827399.63</v>
      </c>
      <c r="J82" s="64" t="n">
        <v>0</v>
      </c>
      <c r="K82" s="64" t="n">
        <v>0</v>
      </c>
      <c r="L82" s="64" t="n">
        <v>5910875.29</v>
      </c>
      <c r="M82" s="64" t="n">
        <v>9154081.970030097</v>
      </c>
      <c r="N82" s="64" t="n">
        <v>0</v>
      </c>
      <c r="O82" s="64" t="n">
        <v>443003.7</v>
      </c>
      <c r="P82" s="64" t="n">
        <v>1384395.93</v>
      </c>
      <c r="Q82" s="64" t="n">
        <v>0</v>
      </c>
      <c r="R82" s="64" t="n">
        <v>0</v>
      </c>
      <c r="S82" s="64" t="n">
        <v>0</v>
      </c>
      <c r="T82" s="64" t="n">
        <v>0</v>
      </c>
      <c r="U82" s="64" t="n">
        <v>0</v>
      </c>
      <c r="V82" s="64" t="n">
        <v>5910875.29</v>
      </c>
      <c r="W82" s="64" t="n">
        <v>264948.69159</v>
      </c>
      <c r="X82" s="64" t="n">
        <v>8889133.278440097</v>
      </c>
      <c r="Y82" s="64" t="n">
        <v>0</v>
      </c>
      <c r="Z82" s="64" t="n">
        <v>0</v>
      </c>
      <c r="AA82" s="64" t="n">
        <v>0</v>
      </c>
      <c r="AB82" s="64" t="n">
        <v>0</v>
      </c>
      <c r="AC82" s="64" t="n">
        <v>5910875.310000001</v>
      </c>
      <c r="AD82" s="64" t="n">
        <v>0</v>
      </c>
      <c r="AE82" s="64" t="n">
        <v>0</v>
      </c>
      <c r="AF82" s="64" t="n">
        <v>5910875.310000001</v>
      </c>
      <c r="AG82" s="64" t="n">
        <v>0</v>
      </c>
      <c r="AH82" s="64" t="n">
        <v>0</v>
      </c>
      <c r="AI82" s="64" t="n">
        <v>9154081.970030097</v>
      </c>
      <c r="AJ82" s="64" t="n">
        <v>0</v>
      </c>
      <c r="AK82" s="64" t="n">
        <v>0</v>
      </c>
      <c r="AL82" s="64" t="n">
        <v>9154081.970030097</v>
      </c>
      <c r="AM82" s="64" t="n">
        <v>0</v>
      </c>
      <c r="AN82" s="64" t="n">
        <v>0</v>
      </c>
      <c r="AO82" s="64" t="n">
        <v>0</v>
      </c>
      <c r="AP82" s="64" t="n">
        <v>0</v>
      </c>
      <c r="AQ82" s="64" t="n">
        <v>0</v>
      </c>
      <c r="AR82" s="64" t="n">
        <v>0</v>
      </c>
    </row>
    <row r="83" ht="16" customHeight="1">
      <c r="A83" s="61" t="inlineStr">
        <is>
          <t>20610402489</t>
        </is>
      </c>
      <c r="B83" s="62" t="inlineStr">
        <is>
          <t>Cooperativa Agraria Cafetalera Cafe Amigo De Las Aves</t>
        </is>
      </c>
      <c r="C83" s="61" t="n"/>
      <c r="D83" s="61" t="n"/>
      <c r="E83" s="61" t="n"/>
      <c r="F83" s="61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  <c r="AA83" s="63" t="n"/>
      <c r="AB83" s="63" t="n"/>
      <c r="AC83" s="63" t="n"/>
      <c r="AD83" s="63" t="n"/>
      <c r="AE83" s="63" t="n"/>
      <c r="AF83" s="63" t="n"/>
      <c r="AG83" s="63" t="n"/>
      <c r="AH83" s="63" t="n"/>
      <c r="AI83" s="63" t="n"/>
      <c r="AJ83" s="63" t="n"/>
      <c r="AK83" s="63" t="n"/>
      <c r="AL83" s="63" t="n"/>
      <c r="AM83" s="63" t="n"/>
      <c r="AN83" s="63" t="n"/>
      <c r="AO83" s="63" t="n"/>
      <c r="AP83" s="63" t="n"/>
      <c r="AQ83" s="63" t="n"/>
      <c r="AR83" s="63" t="n"/>
    </row>
    <row r="84" ht="16" customHeight="1">
      <c r="A84" s="58" t="inlineStr">
        <is>
          <t>20601958911</t>
        </is>
      </c>
      <c r="B84" s="59" t="inlineStr">
        <is>
          <t>Cooperativa Agraria Cafetalera Laguna De Los Cóndores Ltda</t>
        </is>
      </c>
      <c r="C84" s="58" t="inlineStr">
        <is>
          <t>CAFÉ</t>
        </is>
      </c>
      <c r="D84" s="58" t="inlineStr">
        <is>
          <t>AMAZONAS</t>
        </is>
      </c>
      <c r="E84" s="58" t="inlineStr">
        <is>
          <t>LUYA</t>
        </is>
      </c>
      <c r="F84" s="58" t="inlineStr">
        <is>
          <t>LUYA</t>
        </is>
      </c>
      <c r="G84" s="64" t="n">
        <v>0</v>
      </c>
      <c r="H84" s="64" t="n">
        <v>0</v>
      </c>
      <c r="I84" s="64" t="n">
        <v>0</v>
      </c>
      <c r="J84" s="64" t="n">
        <v>0</v>
      </c>
      <c r="K84" s="64" t="n">
        <v>0</v>
      </c>
      <c r="L84" s="64" t="n">
        <v>0</v>
      </c>
      <c r="M84" s="64" t="n">
        <v>11124378.40014348</v>
      </c>
      <c r="N84" s="64" t="n">
        <v>0</v>
      </c>
      <c r="O84" s="64" t="n">
        <v>0</v>
      </c>
      <c r="P84" s="64" t="n">
        <v>0</v>
      </c>
      <c r="Q84" s="64" t="n">
        <v>0</v>
      </c>
      <c r="R84" s="64" t="n">
        <v>0</v>
      </c>
      <c r="S84" s="64" t="n">
        <v>0</v>
      </c>
      <c r="T84" s="64" t="n">
        <v>0</v>
      </c>
      <c r="U84" s="64" t="n">
        <v>0</v>
      </c>
      <c r="V84" s="64" t="n">
        <v>0</v>
      </c>
      <c r="W84" s="64" t="n">
        <v>9210983.5053191</v>
      </c>
      <c r="X84" s="64" t="n">
        <v>1913394.89482438</v>
      </c>
      <c r="Y84" s="64" t="n">
        <v>0</v>
      </c>
      <c r="Z84" s="64" t="n">
        <v>0</v>
      </c>
      <c r="AA84" s="64" t="n">
        <v>0</v>
      </c>
      <c r="AB84" s="64" t="n">
        <v>0</v>
      </c>
      <c r="AC84" s="64" t="n">
        <v>0</v>
      </c>
      <c r="AD84" s="64" t="n">
        <v>0</v>
      </c>
      <c r="AE84" s="64" t="n">
        <v>0</v>
      </c>
      <c r="AF84" s="64" t="n">
        <v>0</v>
      </c>
      <c r="AG84" s="64" t="n">
        <v>0</v>
      </c>
      <c r="AH84" s="64" t="n">
        <v>0</v>
      </c>
      <c r="AI84" s="64" t="n">
        <v>11124378.40014348</v>
      </c>
      <c r="AJ84" s="64" t="n">
        <v>0</v>
      </c>
      <c r="AK84" s="64" t="n">
        <v>0</v>
      </c>
      <c r="AL84" s="64" t="n">
        <v>11124378.40014348</v>
      </c>
      <c r="AM84" s="64" t="n">
        <v>0</v>
      </c>
      <c r="AN84" s="64" t="n">
        <v>0</v>
      </c>
      <c r="AO84" s="64" t="n">
        <v>0</v>
      </c>
      <c r="AP84" s="64" t="n">
        <v>0</v>
      </c>
      <c r="AQ84" s="64" t="n">
        <v>0</v>
      </c>
      <c r="AR84" s="64" t="n">
        <v>0</v>
      </c>
    </row>
    <row r="85" ht="16" customHeight="1">
      <c r="A85" s="61" t="inlineStr">
        <is>
          <t>20600200756</t>
        </is>
      </c>
      <c r="B85" s="62" t="inlineStr">
        <is>
          <t>Cooperativa Agraria Cafetalera Montaña Azul Ltda.</t>
        </is>
      </c>
      <c r="C85" s="61" t="inlineStr">
        <is>
          <t>CAFÉ</t>
        </is>
      </c>
      <c r="D85" s="61" t="inlineStr">
        <is>
          <t>AMAZONAS</t>
        </is>
      </c>
      <c r="E85" s="61" t="inlineStr">
        <is>
          <t>UTCUBAMBA</t>
        </is>
      </c>
      <c r="F85" s="61" t="inlineStr">
        <is>
          <t>LONYA GRANDE</t>
        </is>
      </c>
      <c r="G85" s="65" t="n">
        <v>0</v>
      </c>
      <c r="H85" s="65" t="n">
        <v>83583.84</v>
      </c>
      <c r="I85" s="65" t="n">
        <v>3460.24</v>
      </c>
      <c r="J85" s="65" t="n">
        <v>0</v>
      </c>
      <c r="K85" s="65" t="n">
        <v>0</v>
      </c>
      <c r="L85" s="65" t="n">
        <v>0</v>
      </c>
      <c r="M85" s="65" t="n">
        <v>0</v>
      </c>
      <c r="N85" s="65" t="n">
        <v>0</v>
      </c>
      <c r="O85" s="65" t="n">
        <v>3460.24</v>
      </c>
      <c r="P85" s="65" t="n">
        <v>0</v>
      </c>
      <c r="Q85" s="65" t="n">
        <v>0</v>
      </c>
      <c r="R85" s="65" t="n">
        <v>0</v>
      </c>
      <c r="S85" s="65" t="n">
        <v>0</v>
      </c>
      <c r="T85" s="65" t="n">
        <v>0</v>
      </c>
      <c r="U85" s="65" t="n">
        <v>0</v>
      </c>
      <c r="V85" s="65" t="n">
        <v>0</v>
      </c>
      <c r="W85" s="65" t="n">
        <v>0</v>
      </c>
      <c r="X85" s="65" t="n">
        <v>0</v>
      </c>
      <c r="Y85" s="65" t="n">
        <v>0</v>
      </c>
      <c r="Z85" s="65" t="n">
        <v>0</v>
      </c>
      <c r="AA85" s="65" t="n">
        <v>0</v>
      </c>
      <c r="AB85" s="65" t="n">
        <v>0</v>
      </c>
      <c r="AC85" s="65" t="n">
        <v>0</v>
      </c>
      <c r="AD85" s="65" t="n">
        <v>0</v>
      </c>
      <c r="AE85" s="65" t="n">
        <v>0</v>
      </c>
      <c r="AF85" s="65" t="n">
        <v>0</v>
      </c>
      <c r="AG85" s="65" t="n">
        <v>0</v>
      </c>
      <c r="AH85" s="65" t="n">
        <v>0</v>
      </c>
      <c r="AI85" s="65" t="n">
        <v>0</v>
      </c>
      <c r="AJ85" s="65" t="n">
        <v>0</v>
      </c>
      <c r="AK85" s="65" t="n">
        <v>0</v>
      </c>
      <c r="AL85" s="65" t="n">
        <v>0</v>
      </c>
      <c r="AM85" s="65" t="n">
        <v>0</v>
      </c>
      <c r="AN85" s="65" t="n">
        <v>0</v>
      </c>
      <c r="AO85" s="65" t="n">
        <v>0</v>
      </c>
      <c r="AP85" s="65" t="n">
        <v>0</v>
      </c>
      <c r="AQ85" s="65" t="n">
        <v>0</v>
      </c>
      <c r="AR85" s="65" t="n">
        <v>0</v>
      </c>
    </row>
    <row r="86" ht="16" customHeight="1">
      <c r="A86" s="58" t="inlineStr">
        <is>
          <t>20601558204</t>
        </is>
      </c>
      <c r="B86" s="59" t="inlineStr">
        <is>
          <t>Cooperativa Agraria Cafetalera Ocumal</t>
        </is>
      </c>
      <c r="C86" s="58" t="inlineStr">
        <is>
          <t>CAFÉ</t>
        </is>
      </c>
      <c r="D86" s="58" t="inlineStr">
        <is>
          <t>AMAZONAS</t>
        </is>
      </c>
      <c r="E86" s="58" t="inlineStr">
        <is>
          <t>LUYA</t>
        </is>
      </c>
      <c r="F86" s="58" t="inlineStr">
        <is>
          <t>OCUMAL</t>
        </is>
      </c>
      <c r="G86" s="64" t="n">
        <v>0</v>
      </c>
      <c r="H86" s="64" t="n">
        <v>0</v>
      </c>
      <c r="I86" s="64" t="n">
        <v>0</v>
      </c>
      <c r="J86" s="64" t="n">
        <v>0</v>
      </c>
      <c r="K86" s="64" t="n">
        <v>0</v>
      </c>
      <c r="L86" s="64" t="n">
        <v>0</v>
      </c>
      <c r="M86" s="64" t="n">
        <v>2114794.59052061</v>
      </c>
      <c r="N86" s="64" t="n">
        <v>2618365.01243819</v>
      </c>
      <c r="O86" s="64" t="n">
        <v>0</v>
      </c>
      <c r="P86" s="64" t="n">
        <v>0</v>
      </c>
      <c r="Q86" s="64" t="n">
        <v>0</v>
      </c>
      <c r="R86" s="64" t="n">
        <v>0</v>
      </c>
      <c r="S86" s="64" t="n">
        <v>0</v>
      </c>
      <c r="T86" s="64" t="n">
        <v>0</v>
      </c>
      <c r="U86" s="64" t="n">
        <v>0</v>
      </c>
      <c r="V86" s="64" t="n">
        <v>0</v>
      </c>
      <c r="W86" s="64" t="n">
        <v>834198.49630464</v>
      </c>
      <c r="X86" s="64" t="n">
        <v>1280596.09421597</v>
      </c>
      <c r="Y86" s="64" t="n">
        <v>2618365.01243819</v>
      </c>
      <c r="Z86" s="64" t="n">
        <v>0</v>
      </c>
      <c r="AA86" s="64" t="n">
        <v>0</v>
      </c>
      <c r="AB86" s="64" t="n">
        <v>0</v>
      </c>
      <c r="AC86" s="64" t="n">
        <v>0</v>
      </c>
      <c r="AD86" s="64" t="n">
        <v>0</v>
      </c>
      <c r="AE86" s="64" t="n">
        <v>0</v>
      </c>
      <c r="AF86" s="64" t="n">
        <v>0</v>
      </c>
      <c r="AG86" s="64" t="n">
        <v>0</v>
      </c>
      <c r="AH86" s="64" t="n">
        <v>0</v>
      </c>
      <c r="AI86" s="64" t="n">
        <v>2114794.59052061</v>
      </c>
      <c r="AJ86" s="64" t="n">
        <v>0</v>
      </c>
      <c r="AK86" s="64" t="n">
        <v>0</v>
      </c>
      <c r="AL86" s="64" t="n">
        <v>2114794.59052061</v>
      </c>
      <c r="AM86" s="64" t="n">
        <v>0</v>
      </c>
      <c r="AN86" s="64" t="n">
        <v>0</v>
      </c>
      <c r="AO86" s="64" t="n">
        <v>2618365.01243819</v>
      </c>
      <c r="AP86" s="64" t="n">
        <v>0</v>
      </c>
      <c r="AQ86" s="64" t="n">
        <v>0</v>
      </c>
      <c r="AR86" s="64" t="n">
        <v>2618365.01243819</v>
      </c>
    </row>
    <row r="87" ht="16" customHeight="1">
      <c r="A87" s="61" t="inlineStr">
        <is>
          <t>20600001109</t>
        </is>
      </c>
      <c r="B87" s="62" t="inlineStr">
        <is>
          <t>Cooperativa Agraria Cafetalera Productora Comercial Exportadora Café Andez Amazonicos Ltda.</t>
        </is>
      </c>
      <c r="C87" s="61" t="inlineStr">
        <is>
          <t>CAFÉ</t>
        </is>
      </c>
      <c r="D87" s="61" t="inlineStr">
        <is>
          <t>AMAZONAS</t>
        </is>
      </c>
      <c r="E87" s="61" t="inlineStr">
        <is>
          <t>UTCUBAMBA</t>
        </is>
      </c>
      <c r="F87" s="61" t="inlineStr">
        <is>
          <t>LONYA GRANDE</t>
        </is>
      </c>
      <c r="G87" s="65" t="n">
        <v>0</v>
      </c>
      <c r="H87" s="65" t="n">
        <v>0</v>
      </c>
      <c r="I87" s="65" t="n">
        <v>0</v>
      </c>
      <c r="J87" s="65" t="n">
        <v>250823.36</v>
      </c>
      <c r="K87" s="65" t="n">
        <v>0</v>
      </c>
      <c r="L87" s="65" t="n">
        <v>0</v>
      </c>
      <c r="M87" s="65" t="n">
        <v>0</v>
      </c>
      <c r="N87" s="65" t="n">
        <v>0</v>
      </c>
      <c r="O87" s="65" t="n">
        <v>0</v>
      </c>
      <c r="P87" s="65" t="n">
        <v>0</v>
      </c>
      <c r="Q87" s="65" t="n">
        <v>250823.36</v>
      </c>
      <c r="R87" s="65" t="n">
        <v>0</v>
      </c>
      <c r="S87" s="65" t="n">
        <v>0</v>
      </c>
      <c r="T87" s="65" t="n">
        <v>0</v>
      </c>
      <c r="U87" s="65" t="n">
        <v>0</v>
      </c>
      <c r="V87" s="65" t="n">
        <v>0</v>
      </c>
      <c r="W87" s="65" t="n">
        <v>0</v>
      </c>
      <c r="X87" s="65" t="n">
        <v>0</v>
      </c>
      <c r="Y87" s="65" t="n">
        <v>0</v>
      </c>
      <c r="Z87" s="65" t="n">
        <v>0</v>
      </c>
      <c r="AA87" s="65" t="n">
        <v>0</v>
      </c>
      <c r="AB87" s="65" t="n">
        <v>0</v>
      </c>
      <c r="AC87" s="65" t="n">
        <v>0</v>
      </c>
      <c r="AD87" s="65" t="n">
        <v>0</v>
      </c>
      <c r="AE87" s="65" t="n">
        <v>0</v>
      </c>
      <c r="AF87" s="65" t="n">
        <v>0</v>
      </c>
      <c r="AG87" s="65" t="n">
        <v>0</v>
      </c>
      <c r="AH87" s="65" t="n">
        <v>0</v>
      </c>
      <c r="AI87" s="65" t="n">
        <v>0</v>
      </c>
      <c r="AJ87" s="65" t="n">
        <v>0</v>
      </c>
      <c r="AK87" s="65" t="n">
        <v>0</v>
      </c>
      <c r="AL87" s="65" t="n">
        <v>0</v>
      </c>
      <c r="AM87" s="65" t="n">
        <v>0</v>
      </c>
      <c r="AN87" s="65" t="n">
        <v>0</v>
      </c>
      <c r="AO87" s="65" t="n">
        <v>0</v>
      </c>
      <c r="AP87" s="65" t="n">
        <v>0</v>
      </c>
      <c r="AQ87" s="65" t="n">
        <v>0</v>
      </c>
      <c r="AR87" s="65" t="n">
        <v>0</v>
      </c>
    </row>
    <row r="88" ht="16" customHeight="1">
      <c r="A88" s="58" t="inlineStr">
        <is>
          <t>20601310202</t>
        </is>
      </c>
      <c r="B88" s="59" t="inlineStr">
        <is>
          <t>Cooperativa Agraria Cafetalera Valle Alto Ltda.</t>
        </is>
      </c>
      <c r="C88" s="58" t="n"/>
      <c r="D88" s="58" t="n"/>
      <c r="E88" s="58" t="n"/>
      <c r="F88" s="58" t="n"/>
      <c r="G88" s="60" t="n"/>
      <c r="H88" s="60" t="n"/>
      <c r="I88" s="60" t="n"/>
      <c r="J88" s="60" t="n"/>
      <c r="K88" s="60" t="n"/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  <c r="AA88" s="60" t="n"/>
      <c r="AB88" s="60" t="n"/>
      <c r="AC88" s="60" t="n"/>
      <c r="AD88" s="60" t="n"/>
      <c r="AE88" s="60" t="n"/>
      <c r="AF88" s="60" t="n"/>
      <c r="AG88" s="60" t="n"/>
      <c r="AH88" s="60" t="n"/>
      <c r="AI88" s="60" t="n"/>
      <c r="AJ88" s="60" t="n"/>
      <c r="AK88" s="60" t="n"/>
      <c r="AL88" s="60" t="n"/>
      <c r="AM88" s="60" t="n"/>
      <c r="AN88" s="60" t="n"/>
      <c r="AO88" s="60" t="n"/>
      <c r="AP88" s="60" t="n"/>
      <c r="AQ88" s="60" t="n"/>
      <c r="AR88" s="60" t="n"/>
    </row>
    <row r="89" ht="16" customHeight="1">
      <c r="A89" s="61" t="inlineStr">
        <is>
          <t>20479917141</t>
        </is>
      </c>
      <c r="B89" s="62" t="inlineStr">
        <is>
          <t>Cooperativa Agraria Central de Productores Agropecuarios del Amazonas</t>
        </is>
      </c>
      <c r="C89" s="61" t="inlineStr">
        <is>
          <t>CACAO</t>
        </is>
      </c>
      <c r="D89" s="61" t="inlineStr">
        <is>
          <t>AMAZONAS</t>
        </is>
      </c>
      <c r="E89" s="61" t="inlineStr">
        <is>
          <t>UTCUBAMBA</t>
        </is>
      </c>
      <c r="F89" s="61" t="inlineStr">
        <is>
          <t>CAJARURO</t>
        </is>
      </c>
      <c r="G89" s="65" t="n">
        <v>0</v>
      </c>
      <c r="H89" s="65" t="n">
        <v>1072102.29</v>
      </c>
      <c r="I89" s="65" t="n">
        <v>454472.63</v>
      </c>
      <c r="J89" s="65" t="n">
        <v>1609560.38</v>
      </c>
      <c r="K89" s="65" t="n">
        <v>1731876.81</v>
      </c>
      <c r="L89" s="65" t="n">
        <v>1545263.11</v>
      </c>
      <c r="M89" s="65" t="n">
        <v>0</v>
      </c>
      <c r="N89" s="65" t="n">
        <v>0</v>
      </c>
      <c r="O89" s="65" t="n">
        <v>454472.63</v>
      </c>
      <c r="P89" s="65" t="n">
        <v>0</v>
      </c>
      <c r="Q89" s="65" t="n">
        <v>1609560.38</v>
      </c>
      <c r="R89" s="65" t="n">
        <v>0</v>
      </c>
      <c r="S89" s="65" t="n">
        <v>1731876.81</v>
      </c>
      <c r="T89" s="65" t="n">
        <v>0</v>
      </c>
      <c r="U89" s="65" t="n">
        <v>1545263.11</v>
      </c>
      <c r="V89" s="65" t="n">
        <v>0</v>
      </c>
      <c r="W89" s="65" t="n">
        <v>0</v>
      </c>
      <c r="X89" s="65" t="n">
        <v>0</v>
      </c>
      <c r="Y89" s="65" t="n">
        <v>0</v>
      </c>
      <c r="Z89" s="65" t="n">
        <v>0</v>
      </c>
      <c r="AA89" s="65" t="n">
        <v>9912.9964</v>
      </c>
      <c r="AB89" s="65" t="n">
        <v>0</v>
      </c>
      <c r="AC89" s="65" t="n">
        <v>715183.5202599999</v>
      </c>
      <c r="AD89" s="65" t="n">
        <v>0</v>
      </c>
      <c r="AE89" s="65" t="n">
        <v>0</v>
      </c>
      <c r="AF89" s="65" t="n">
        <v>1545263.09769121</v>
      </c>
      <c r="AG89" s="65" t="n">
        <v>0</v>
      </c>
      <c r="AH89" s="65" t="n">
        <v>0</v>
      </c>
      <c r="AI89" s="65" t="n">
        <v>0</v>
      </c>
      <c r="AJ89" s="65" t="n">
        <v>0</v>
      </c>
      <c r="AK89" s="65" t="n">
        <v>0</v>
      </c>
      <c r="AL89" s="65" t="n">
        <v>0</v>
      </c>
      <c r="AM89" s="65" t="n">
        <v>0</v>
      </c>
      <c r="AN89" s="65" t="n">
        <v>0</v>
      </c>
      <c r="AO89" s="65" t="n">
        <v>0</v>
      </c>
      <c r="AP89" s="65" t="n">
        <v>0</v>
      </c>
      <c r="AQ89" s="65" t="n">
        <v>0</v>
      </c>
      <c r="AR89" s="65" t="n">
        <v>0</v>
      </c>
    </row>
    <row r="90" ht="16" customHeight="1">
      <c r="A90" s="58" t="inlineStr">
        <is>
          <t>20611644826</t>
        </is>
      </c>
      <c r="B90" s="59" t="inlineStr">
        <is>
          <t>Cooperativa Agraria De Servicios Múltiples Intercoffee</t>
        </is>
      </c>
      <c r="C90" s="58" t="n"/>
      <c r="D90" s="58" t="n"/>
      <c r="E90" s="58" t="n"/>
      <c r="F90" s="58" t="n"/>
      <c r="G90" s="60" t="n"/>
      <c r="H90" s="60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  <c r="Z90" s="60" t="n"/>
      <c r="AA90" s="60" t="n"/>
      <c r="AB90" s="60" t="n"/>
      <c r="AC90" s="60" t="n"/>
      <c r="AD90" s="60" t="n"/>
      <c r="AE90" s="60" t="n"/>
      <c r="AF90" s="60" t="n"/>
      <c r="AG90" s="60" t="n"/>
      <c r="AH90" s="60" t="n"/>
      <c r="AI90" s="60" t="n"/>
      <c r="AJ90" s="60" t="n"/>
      <c r="AK90" s="60" t="n"/>
      <c r="AL90" s="60" t="n"/>
      <c r="AM90" s="60" t="n"/>
      <c r="AN90" s="60" t="n"/>
      <c r="AO90" s="60" t="n"/>
      <c r="AP90" s="60" t="n"/>
      <c r="AQ90" s="60" t="n"/>
      <c r="AR90" s="60" t="n"/>
    </row>
    <row r="91" ht="16" customHeight="1">
      <c r="A91" s="61" t="inlineStr">
        <is>
          <t>20609201674</t>
        </is>
      </c>
      <c r="B91" s="62" t="inlineStr">
        <is>
          <t>Cooperativa Agraria De Servicios Múltiples La Semilla Del Campo Ltda</t>
        </is>
      </c>
      <c r="C91" s="61" t="n"/>
      <c r="D91" s="61" t="n"/>
      <c r="E91" s="61" t="n"/>
      <c r="F91" s="61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  <c r="Z91" s="63" t="n"/>
      <c r="AA91" s="63" t="n"/>
      <c r="AB91" s="63" t="n"/>
      <c r="AC91" s="63" t="n"/>
      <c r="AD91" s="63" t="n"/>
      <c r="AE91" s="63" t="n"/>
      <c r="AF91" s="63" t="n"/>
      <c r="AG91" s="63" t="n"/>
      <c r="AH91" s="63" t="n"/>
      <c r="AI91" s="63" t="n"/>
      <c r="AJ91" s="63" t="n"/>
      <c r="AK91" s="63" t="n"/>
      <c r="AL91" s="63" t="n"/>
      <c r="AM91" s="63" t="n"/>
      <c r="AN91" s="63" t="n"/>
      <c r="AO91" s="63" t="n"/>
      <c r="AP91" s="63" t="n"/>
      <c r="AQ91" s="63" t="n"/>
      <c r="AR91" s="63" t="n"/>
    </row>
    <row r="92" ht="16" customHeight="1">
      <c r="A92" s="58" t="inlineStr">
        <is>
          <t>20561140091</t>
        </is>
      </c>
      <c r="B92" s="59" t="inlineStr">
        <is>
          <t>Cooperativa Agraria Ecológica Cafetalera De Lonya Grande</t>
        </is>
      </c>
      <c r="C92" s="58" t="inlineStr">
        <is>
          <t>CAFÉ</t>
        </is>
      </c>
      <c r="D92" s="58" t="inlineStr">
        <is>
          <t>AMAZONAS</t>
        </is>
      </c>
      <c r="E92" s="58" t="inlineStr">
        <is>
          <t>UTCUBAMBA</t>
        </is>
      </c>
      <c r="F92" s="58" t="inlineStr">
        <is>
          <t>LONYA GRANDE</t>
        </is>
      </c>
      <c r="G92" s="64" t="n">
        <v>0</v>
      </c>
      <c r="H92" s="64" t="n">
        <v>0</v>
      </c>
      <c r="I92" s="64" t="n">
        <v>0</v>
      </c>
      <c r="J92" s="64" t="n">
        <v>0</v>
      </c>
      <c r="K92" s="64" t="n">
        <v>0</v>
      </c>
      <c r="L92" s="64" t="n">
        <v>0</v>
      </c>
      <c r="M92" s="64" t="n">
        <v>8306798.938878559</v>
      </c>
      <c r="N92" s="64" t="n">
        <v>2107273.02621216</v>
      </c>
      <c r="O92" s="64" t="n">
        <v>0</v>
      </c>
      <c r="P92" s="64" t="n">
        <v>0</v>
      </c>
      <c r="Q92" s="64" t="n">
        <v>0</v>
      </c>
      <c r="R92" s="64" t="n">
        <v>0</v>
      </c>
      <c r="S92" s="64" t="n">
        <v>0</v>
      </c>
      <c r="T92" s="64" t="n">
        <v>0</v>
      </c>
      <c r="U92" s="64" t="n">
        <v>0</v>
      </c>
      <c r="V92" s="64" t="n">
        <v>0</v>
      </c>
      <c r="W92" s="64" t="n">
        <v>8306798.938878559</v>
      </c>
      <c r="X92" s="64" t="n">
        <v>0</v>
      </c>
      <c r="Y92" s="64" t="n">
        <v>2107273.02621216</v>
      </c>
      <c r="Z92" s="64" t="n">
        <v>0</v>
      </c>
      <c r="AA92" s="64" t="n">
        <v>0</v>
      </c>
      <c r="AB92" s="64" t="n">
        <v>0</v>
      </c>
      <c r="AC92" s="64" t="n">
        <v>0</v>
      </c>
      <c r="AD92" s="64" t="n">
        <v>0</v>
      </c>
      <c r="AE92" s="64" t="n">
        <v>0</v>
      </c>
      <c r="AF92" s="64" t="n">
        <v>0</v>
      </c>
      <c r="AG92" s="64" t="n">
        <v>0</v>
      </c>
      <c r="AH92" s="64" t="n">
        <v>0</v>
      </c>
      <c r="AI92" s="64" t="n">
        <v>8306798.938878559</v>
      </c>
      <c r="AJ92" s="64" t="n">
        <v>0</v>
      </c>
      <c r="AK92" s="64" t="n">
        <v>0</v>
      </c>
      <c r="AL92" s="64" t="n">
        <v>8306798.938878559</v>
      </c>
      <c r="AM92" s="64" t="n">
        <v>0</v>
      </c>
      <c r="AN92" s="64" t="n">
        <v>0</v>
      </c>
      <c r="AO92" s="64" t="n">
        <v>2107273.02621216</v>
      </c>
      <c r="AP92" s="64" t="n">
        <v>0</v>
      </c>
      <c r="AQ92" s="64" t="n">
        <v>0</v>
      </c>
      <c r="AR92" s="64" t="n">
        <v>2107273.02621216</v>
      </c>
    </row>
    <row r="93" ht="16" customHeight="1">
      <c r="A93" s="61" t="inlineStr">
        <is>
          <t>20609813963</t>
        </is>
      </c>
      <c r="B93" s="62" t="inlineStr">
        <is>
          <t>Cooperativa Agraria Frutos &amp; Aromas del Valle de Rodriguez de Mendoza Ltda.</t>
        </is>
      </c>
      <c r="C93" s="61" t="n"/>
      <c r="D93" s="61" t="n"/>
      <c r="E93" s="61" t="n"/>
      <c r="F93" s="61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  <c r="Z93" s="63" t="n"/>
      <c r="AA93" s="63" t="n"/>
      <c r="AB93" s="63" t="n"/>
      <c r="AC93" s="63" t="n"/>
      <c r="AD93" s="63" t="n"/>
      <c r="AE93" s="63" t="n"/>
      <c r="AF93" s="63" t="n"/>
      <c r="AG93" s="63" t="n"/>
      <c r="AH93" s="63" t="n"/>
      <c r="AI93" s="63" t="n"/>
      <c r="AJ93" s="63" t="n"/>
      <c r="AK93" s="63" t="n"/>
      <c r="AL93" s="63" t="n"/>
      <c r="AM93" s="63" t="n"/>
      <c r="AN93" s="63" t="n"/>
      <c r="AO93" s="63" t="n"/>
      <c r="AP93" s="63" t="n"/>
      <c r="AQ93" s="63" t="n"/>
      <c r="AR93" s="63" t="n"/>
    </row>
    <row r="94" ht="16" customHeight="1">
      <c r="A94" s="58" t="inlineStr">
        <is>
          <t>20479622699</t>
        </is>
      </c>
      <c r="B94" s="59" t="inlineStr">
        <is>
          <t>Cooperativa Agraria Juan Marco El Palto</t>
        </is>
      </c>
      <c r="C94" s="58" t="inlineStr">
        <is>
          <t>CAFÉ</t>
        </is>
      </c>
      <c r="D94" s="58" t="inlineStr">
        <is>
          <t>AMAZONAS</t>
        </is>
      </c>
      <c r="E94" s="58" t="inlineStr">
        <is>
          <t>UTCUBAMBA</t>
        </is>
      </c>
      <c r="F94" s="58" t="inlineStr">
        <is>
          <t>LONYA GRANDE</t>
        </is>
      </c>
      <c r="G94" s="64" t="n">
        <v>0</v>
      </c>
      <c r="H94" s="64" t="n">
        <v>0</v>
      </c>
      <c r="I94" s="64" t="n">
        <v>0</v>
      </c>
      <c r="J94" s="64" t="n">
        <v>1177220.48</v>
      </c>
      <c r="K94" s="64" t="n">
        <v>3225488.92</v>
      </c>
      <c r="L94" s="64" t="n">
        <v>3090187.2</v>
      </c>
      <c r="M94" s="64" t="n">
        <v>0</v>
      </c>
      <c r="N94" s="64" t="n">
        <v>0</v>
      </c>
      <c r="O94" s="64" t="n">
        <v>0</v>
      </c>
      <c r="P94" s="64" t="n">
        <v>0</v>
      </c>
      <c r="Q94" s="64" t="n">
        <v>0</v>
      </c>
      <c r="R94" s="64" t="n">
        <v>1177220.48</v>
      </c>
      <c r="S94" s="64" t="n">
        <v>117797.43</v>
      </c>
      <c r="T94" s="64" t="n">
        <v>3107691.49</v>
      </c>
      <c r="U94" s="64" t="n">
        <v>45403.05</v>
      </c>
      <c r="V94" s="64" t="n">
        <v>3044784.15</v>
      </c>
      <c r="W94" s="64" t="n">
        <v>0</v>
      </c>
      <c r="X94" s="64" t="n">
        <v>0</v>
      </c>
      <c r="Y94" s="64" t="n">
        <v>0</v>
      </c>
      <c r="Z94" s="64" t="n">
        <v>0</v>
      </c>
      <c r="AA94" s="64" t="n">
        <v>0</v>
      </c>
      <c r="AB94" s="64" t="n">
        <v>0</v>
      </c>
      <c r="AC94" s="64" t="n">
        <v>3090187.15685368</v>
      </c>
      <c r="AD94" s="64" t="n">
        <v>0</v>
      </c>
      <c r="AE94" s="64" t="n">
        <v>0</v>
      </c>
      <c r="AF94" s="64" t="n">
        <v>3090187.15685368</v>
      </c>
      <c r="AG94" s="64" t="n">
        <v>0</v>
      </c>
      <c r="AH94" s="64" t="n">
        <v>0</v>
      </c>
      <c r="AI94" s="64" t="n">
        <v>0</v>
      </c>
      <c r="AJ94" s="64" t="n">
        <v>0</v>
      </c>
      <c r="AK94" s="64" t="n">
        <v>0</v>
      </c>
      <c r="AL94" s="64" t="n">
        <v>0</v>
      </c>
      <c r="AM94" s="64" t="n">
        <v>0</v>
      </c>
      <c r="AN94" s="64" t="n">
        <v>0</v>
      </c>
      <c r="AO94" s="64" t="n">
        <v>0</v>
      </c>
      <c r="AP94" s="64" t="n">
        <v>0</v>
      </c>
      <c r="AQ94" s="64" t="n">
        <v>0</v>
      </c>
      <c r="AR94" s="64" t="n">
        <v>0</v>
      </c>
    </row>
    <row r="95" ht="16" customHeight="1">
      <c r="A95" s="61" t="inlineStr">
        <is>
          <t>20480298412</t>
        </is>
      </c>
      <c r="B95" s="62" t="inlineStr">
        <is>
          <t>Cooperativa Agraria Rodriguez De Mendoza</t>
        </is>
      </c>
      <c r="C95" s="61" t="n"/>
      <c r="D95" s="61" t="n"/>
      <c r="E95" s="61" t="n"/>
      <c r="F95" s="61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  <c r="AA95" s="63" t="n"/>
      <c r="AB95" s="63" t="n"/>
      <c r="AC95" s="63" t="n"/>
      <c r="AD95" s="63" t="n"/>
      <c r="AE95" s="63" t="n"/>
      <c r="AF95" s="63" t="n"/>
      <c r="AG95" s="63" t="n"/>
      <c r="AH95" s="63" t="n"/>
      <c r="AI95" s="63" t="n"/>
      <c r="AJ95" s="63" t="n"/>
      <c r="AK95" s="63" t="n"/>
      <c r="AL95" s="63" t="n"/>
      <c r="AM95" s="63" t="n"/>
      <c r="AN95" s="63" t="n"/>
      <c r="AO95" s="63" t="n"/>
      <c r="AP95" s="63" t="n"/>
      <c r="AQ95" s="63" t="n"/>
      <c r="AR95" s="63" t="n"/>
    </row>
    <row r="96" ht="16" customHeight="1">
      <c r="A96" s="58" t="inlineStr">
        <is>
          <t>20608478311</t>
        </is>
      </c>
      <c r="B96" s="59" t="inlineStr">
        <is>
          <t>Cooperativa Agraria Yakatheo del Amazonas Coopayakat</t>
        </is>
      </c>
      <c r="C96" s="58" t="inlineStr">
        <is>
          <t>CACAO</t>
        </is>
      </c>
      <c r="D96" s="58" t="inlineStr">
        <is>
          <t>AMAZONAS</t>
        </is>
      </c>
      <c r="E96" s="58" t="inlineStr">
        <is>
          <t>BAGUA</t>
        </is>
      </c>
      <c r="F96" s="58" t="inlineStr">
        <is>
          <t>IMAZA</t>
        </is>
      </c>
      <c r="G96" s="64" t="n">
        <v>0</v>
      </c>
      <c r="H96" s="64" t="n">
        <v>0</v>
      </c>
      <c r="I96" s="64" t="n">
        <v>0</v>
      </c>
      <c r="J96" s="64" t="n">
        <v>0</v>
      </c>
      <c r="K96" s="64" t="n">
        <v>0</v>
      </c>
      <c r="L96" s="64" t="n">
        <v>0</v>
      </c>
      <c r="M96" s="64" t="n">
        <v>3875881.56320115</v>
      </c>
      <c r="N96" s="64" t="n">
        <v>423505.75</v>
      </c>
      <c r="O96" s="64" t="n">
        <v>0</v>
      </c>
      <c r="P96" s="64" t="n">
        <v>0</v>
      </c>
      <c r="Q96" s="64" t="n">
        <v>0</v>
      </c>
      <c r="R96" s="64" t="n">
        <v>0</v>
      </c>
      <c r="S96" s="64" t="n">
        <v>0</v>
      </c>
      <c r="T96" s="64" t="n">
        <v>0</v>
      </c>
      <c r="U96" s="64" t="n">
        <v>0</v>
      </c>
      <c r="V96" s="64" t="n">
        <v>0</v>
      </c>
      <c r="W96" s="64" t="n">
        <v>3875881.56320115</v>
      </c>
      <c r="X96" s="64" t="n">
        <v>0</v>
      </c>
      <c r="Y96" s="64" t="n">
        <v>381843.4</v>
      </c>
      <c r="Z96" s="64" t="n">
        <v>41662.35</v>
      </c>
      <c r="AA96" s="64" t="n">
        <v>0</v>
      </c>
      <c r="AB96" s="64" t="n">
        <v>0</v>
      </c>
      <c r="AC96" s="64" t="n">
        <v>0</v>
      </c>
      <c r="AD96" s="64" t="n">
        <v>0</v>
      </c>
      <c r="AE96" s="64" t="n">
        <v>0</v>
      </c>
      <c r="AF96" s="64" t="n">
        <v>0</v>
      </c>
      <c r="AG96" s="64" t="n">
        <v>0</v>
      </c>
      <c r="AH96" s="64" t="n">
        <v>0</v>
      </c>
      <c r="AI96" s="64" t="n">
        <v>3875881.56320115</v>
      </c>
      <c r="AJ96" s="64" t="n">
        <v>0</v>
      </c>
      <c r="AK96" s="64" t="n">
        <v>0</v>
      </c>
      <c r="AL96" s="64" t="n">
        <v>3875881.56320115</v>
      </c>
      <c r="AM96" s="64" t="n">
        <v>0</v>
      </c>
      <c r="AN96" s="64" t="n">
        <v>0</v>
      </c>
      <c r="AO96" s="64" t="n">
        <v>423505.7500000001</v>
      </c>
      <c r="AP96" s="64" t="n">
        <v>0</v>
      </c>
      <c r="AQ96" s="64" t="n">
        <v>0</v>
      </c>
      <c r="AR96" s="64" t="n">
        <v>423505.7500000001</v>
      </c>
    </row>
    <row r="97" ht="16" customHeight="1">
      <c r="A97" s="61" t="inlineStr">
        <is>
          <t>20527565376</t>
        </is>
      </c>
      <c r="B97" s="62" t="inlineStr">
        <is>
          <t>Cooperativa Agraria Cafetalera Valle De Incahuasi</t>
        </is>
      </c>
      <c r="C97" s="61" t="inlineStr">
        <is>
          <t>CAFÉ</t>
        </is>
      </c>
      <c r="D97" s="61" t="inlineStr">
        <is>
          <t>APURIMAC</t>
        </is>
      </c>
      <c r="E97" s="61" t="inlineStr">
        <is>
          <t>ANDAHUAYLAS</t>
        </is>
      </c>
      <c r="F97" s="61" t="inlineStr">
        <is>
          <t>ANDAHUAYLAS</t>
        </is>
      </c>
      <c r="G97" s="65" t="n">
        <v>0</v>
      </c>
      <c r="H97" s="65" t="n">
        <v>3104568.46</v>
      </c>
      <c r="I97" s="65" t="n">
        <v>8063872.33</v>
      </c>
      <c r="J97" s="65" t="n">
        <v>9080188.869999999</v>
      </c>
      <c r="K97" s="65" t="n">
        <v>14394607.59</v>
      </c>
      <c r="L97" s="65" t="n">
        <v>7567391.28</v>
      </c>
      <c r="M97" s="65" t="n">
        <v>0</v>
      </c>
      <c r="N97" s="65" t="n">
        <v>0</v>
      </c>
      <c r="O97" s="65" t="n">
        <v>0</v>
      </c>
      <c r="P97" s="65" t="n">
        <v>8063872.33</v>
      </c>
      <c r="Q97" s="65" t="n">
        <v>0</v>
      </c>
      <c r="R97" s="65" t="n">
        <v>9080188.869999999</v>
      </c>
      <c r="S97" s="65" t="n">
        <v>1723946.91</v>
      </c>
      <c r="T97" s="65" t="n">
        <v>12670660.68</v>
      </c>
      <c r="U97" s="65" t="n">
        <v>227111.23</v>
      </c>
      <c r="V97" s="65" t="n">
        <v>7340280.05</v>
      </c>
      <c r="W97" s="65" t="n">
        <v>0</v>
      </c>
      <c r="X97" s="65" t="n">
        <v>0</v>
      </c>
      <c r="Y97" s="65" t="n">
        <v>0</v>
      </c>
      <c r="Z97" s="65" t="n">
        <v>0</v>
      </c>
      <c r="AA97" s="65" t="n">
        <v>0</v>
      </c>
      <c r="AB97" s="65" t="n">
        <v>0</v>
      </c>
      <c r="AC97" s="65" t="n">
        <v>7567391.290117881</v>
      </c>
      <c r="AD97" s="65" t="n">
        <v>0</v>
      </c>
      <c r="AE97" s="65" t="n">
        <v>0</v>
      </c>
      <c r="AF97" s="65" t="n">
        <v>7567391.290117881</v>
      </c>
      <c r="AG97" s="65" t="n">
        <v>0</v>
      </c>
      <c r="AH97" s="65" t="n">
        <v>0</v>
      </c>
      <c r="AI97" s="65" t="n">
        <v>0</v>
      </c>
      <c r="AJ97" s="65" t="n">
        <v>0</v>
      </c>
      <c r="AK97" s="65" t="n">
        <v>0</v>
      </c>
      <c r="AL97" s="65" t="n">
        <v>0</v>
      </c>
      <c r="AM97" s="65" t="n">
        <v>0</v>
      </c>
      <c r="AN97" s="65" t="n">
        <v>0</v>
      </c>
      <c r="AO97" s="65" t="n">
        <v>0</v>
      </c>
      <c r="AP97" s="65" t="n">
        <v>0</v>
      </c>
      <c r="AQ97" s="65" t="n">
        <v>0</v>
      </c>
      <c r="AR97" s="65" t="n">
        <v>0</v>
      </c>
    </row>
    <row r="98" ht="16" customHeight="1">
      <c r="A98" s="58" t="inlineStr">
        <is>
          <t>20602937128</t>
        </is>
      </c>
      <c r="B98" s="59" t="inlineStr">
        <is>
          <t>KAFFEE SATIPO S.A.C.</t>
        </is>
      </c>
      <c r="C98" s="58" t="n"/>
      <c r="D98" s="58" t="n"/>
      <c r="E98" s="58" t="n"/>
      <c r="F98" s="58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  <c r="AA98" s="60" t="n"/>
      <c r="AB98" s="60" t="n"/>
      <c r="AC98" s="60" t="n"/>
      <c r="AD98" s="60" t="n"/>
      <c r="AE98" s="60" t="n"/>
      <c r="AF98" s="60" t="n"/>
      <c r="AG98" s="60" t="n"/>
      <c r="AH98" s="60" t="n"/>
      <c r="AI98" s="60" t="n"/>
      <c r="AJ98" s="60" t="n"/>
      <c r="AK98" s="60" t="n"/>
      <c r="AL98" s="60" t="n"/>
      <c r="AM98" s="60" t="n"/>
      <c r="AN98" s="60" t="n"/>
      <c r="AO98" s="60" t="n"/>
      <c r="AP98" s="60" t="n"/>
      <c r="AQ98" s="60" t="n"/>
      <c r="AR98" s="60" t="n"/>
    </row>
    <row r="99" ht="16" customHeight="1">
      <c r="A99" s="61" t="inlineStr">
        <is>
          <t>20129156083</t>
        </is>
      </c>
      <c r="B99" s="62" t="inlineStr">
        <is>
          <t>Cooperativa Agraria Cafetalera Valle Río Apurímac</t>
        </is>
      </c>
      <c r="C99" s="61" t="inlineStr">
        <is>
          <t>CACAO</t>
        </is>
      </c>
      <c r="D99" s="61" t="inlineStr">
        <is>
          <t>AYACUCHO</t>
        </is>
      </c>
      <c r="E99" s="61" t="inlineStr">
        <is>
          <t>LA MAR</t>
        </is>
      </c>
      <c r="F99" s="61" t="inlineStr">
        <is>
          <t>AYNA</t>
        </is>
      </c>
      <c r="G99" s="65" t="n">
        <v>0</v>
      </c>
      <c r="H99" s="65" t="n">
        <v>716954.65</v>
      </c>
      <c r="I99" s="65" t="n">
        <v>230338</v>
      </c>
      <c r="J99" s="65" t="n">
        <v>1300</v>
      </c>
      <c r="K99" s="65" t="n">
        <v>0</v>
      </c>
      <c r="L99" s="65" t="n">
        <v>112621.8</v>
      </c>
      <c r="M99" s="65" t="n">
        <v>0</v>
      </c>
      <c r="N99" s="65" t="n">
        <v>0</v>
      </c>
      <c r="O99" s="65" t="n">
        <v>230338</v>
      </c>
      <c r="P99" s="65" t="n">
        <v>0</v>
      </c>
      <c r="Q99" s="65" t="n">
        <v>1300</v>
      </c>
      <c r="R99" s="65" t="n">
        <v>0</v>
      </c>
      <c r="S99" s="65" t="n">
        <v>0</v>
      </c>
      <c r="T99" s="65" t="n">
        <v>0</v>
      </c>
      <c r="U99" s="65" t="n">
        <v>112621.8</v>
      </c>
      <c r="V99" s="65" t="n">
        <v>0</v>
      </c>
      <c r="W99" s="65" t="n">
        <v>0</v>
      </c>
      <c r="X99" s="65" t="n">
        <v>0</v>
      </c>
      <c r="Y99" s="65" t="n">
        <v>0</v>
      </c>
      <c r="Z99" s="65" t="n">
        <v>0</v>
      </c>
      <c r="AA99" s="65" t="n">
        <v>2390</v>
      </c>
      <c r="AB99" s="65" t="n">
        <v>0</v>
      </c>
      <c r="AC99" s="65" t="n">
        <v>110231.8</v>
      </c>
      <c r="AD99" s="65" t="n">
        <v>0</v>
      </c>
      <c r="AE99" s="65" t="n">
        <v>0</v>
      </c>
      <c r="AF99" s="65" t="n">
        <v>112621.8</v>
      </c>
      <c r="AG99" s="65" t="n">
        <v>0</v>
      </c>
      <c r="AH99" s="65" t="n">
        <v>0</v>
      </c>
      <c r="AI99" s="65" t="n">
        <v>0</v>
      </c>
      <c r="AJ99" s="65" t="n">
        <v>0</v>
      </c>
      <c r="AK99" s="65" t="n">
        <v>0</v>
      </c>
      <c r="AL99" s="65" t="n">
        <v>0</v>
      </c>
      <c r="AM99" s="65" t="n">
        <v>0</v>
      </c>
      <c r="AN99" s="65" t="n">
        <v>0</v>
      </c>
      <c r="AO99" s="65" t="n">
        <v>0</v>
      </c>
      <c r="AP99" s="65" t="n">
        <v>0</v>
      </c>
      <c r="AQ99" s="65" t="n">
        <v>0</v>
      </c>
      <c r="AR99" s="65" t="n">
        <v>0</v>
      </c>
    </row>
    <row r="100" ht="16" customHeight="1">
      <c r="A100" s="58" t="inlineStr">
        <is>
          <t>20611498447</t>
        </is>
      </c>
      <c r="B100" s="59" t="inlineStr">
        <is>
          <t>Cooperativa Agraria Selva Vraem</t>
        </is>
      </c>
      <c r="C100" s="58" t="n"/>
      <c r="D100" s="58" t="n"/>
      <c r="E100" s="58" t="n"/>
      <c r="F100" s="58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  <c r="AA100" s="60" t="n"/>
      <c r="AB100" s="60" t="n"/>
      <c r="AC100" s="60" t="n"/>
      <c r="AD100" s="60" t="n"/>
      <c r="AE100" s="60" t="n"/>
      <c r="AF100" s="60" t="n"/>
      <c r="AG100" s="60" t="n"/>
      <c r="AH100" s="60" t="n"/>
      <c r="AI100" s="60" t="n"/>
      <c r="AJ100" s="60" t="n"/>
      <c r="AK100" s="60" t="n"/>
      <c r="AL100" s="60" t="n"/>
      <c r="AM100" s="60" t="n"/>
      <c r="AN100" s="60" t="n"/>
      <c r="AO100" s="60" t="n"/>
      <c r="AP100" s="60" t="n"/>
      <c r="AQ100" s="60" t="n"/>
      <c r="AR100" s="60" t="n"/>
    </row>
    <row r="101" ht="16" customHeight="1">
      <c r="A101" s="61" t="inlineStr">
        <is>
          <t>20609130700</t>
        </is>
      </c>
      <c r="B101" s="62" t="inlineStr">
        <is>
          <t>Cooperativa Agraria Unión Anco</t>
        </is>
      </c>
      <c r="C101" s="61" t="n"/>
      <c r="D101" s="61" t="n"/>
      <c r="E101" s="61" t="n"/>
      <c r="F101" s="61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  <c r="AA101" s="63" t="n"/>
      <c r="AB101" s="63" t="n"/>
      <c r="AC101" s="63" t="n"/>
      <c r="AD101" s="63" t="n"/>
      <c r="AE101" s="63" t="n"/>
      <c r="AF101" s="63" t="n"/>
      <c r="AG101" s="63" t="n"/>
      <c r="AH101" s="63" t="n"/>
      <c r="AI101" s="63" t="n"/>
      <c r="AJ101" s="63" t="n"/>
      <c r="AK101" s="63" t="n"/>
      <c r="AL101" s="63" t="n"/>
      <c r="AM101" s="63" t="n"/>
      <c r="AN101" s="63" t="n"/>
      <c r="AO101" s="63" t="n"/>
      <c r="AP101" s="63" t="n"/>
      <c r="AQ101" s="63" t="n"/>
      <c r="AR101" s="63" t="n"/>
    </row>
    <row r="102" ht="16" customHeight="1">
      <c r="A102" s="58" t="inlineStr">
        <is>
          <t>20437547263</t>
        </is>
      </c>
      <c r="B102" s="59" t="inlineStr">
        <is>
          <t>Cooperativa Agraria APROCASSI</t>
        </is>
      </c>
      <c r="C102" s="58" t="n"/>
      <c r="D102" s="58" t="n"/>
      <c r="E102" s="58" t="n"/>
      <c r="F102" s="58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  <c r="AA102" s="60" t="n"/>
      <c r="AB102" s="60" t="n"/>
      <c r="AC102" s="60" t="n"/>
      <c r="AD102" s="60" t="n"/>
      <c r="AE102" s="60" t="n"/>
      <c r="AF102" s="60" t="n"/>
      <c r="AG102" s="60" t="n"/>
      <c r="AH102" s="60" t="n"/>
      <c r="AI102" s="60" t="n"/>
      <c r="AJ102" s="60" t="n"/>
      <c r="AK102" s="60" t="n"/>
      <c r="AL102" s="60" t="n"/>
      <c r="AM102" s="60" t="n"/>
      <c r="AN102" s="60" t="n"/>
      <c r="AO102" s="60" t="n"/>
      <c r="AP102" s="60" t="n"/>
      <c r="AQ102" s="60" t="n"/>
      <c r="AR102" s="60" t="n"/>
    </row>
    <row r="103" ht="16" customHeight="1">
      <c r="A103" s="61" t="inlineStr">
        <is>
          <t>20607450677</t>
        </is>
      </c>
      <c r="B103" s="62" t="inlineStr">
        <is>
          <t>Cooperativa Agraria Aromas del Valle</t>
        </is>
      </c>
      <c r="C103" s="61" t="n"/>
      <c r="D103" s="61" t="n"/>
      <c r="E103" s="61" t="n"/>
      <c r="F103" s="61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  <c r="Z103" s="63" t="n"/>
      <c r="AA103" s="63" t="n"/>
      <c r="AB103" s="63" t="n"/>
      <c r="AC103" s="63" t="n"/>
      <c r="AD103" s="63" t="n"/>
      <c r="AE103" s="63" t="n"/>
      <c r="AF103" s="63" t="n"/>
      <c r="AG103" s="63" t="n"/>
      <c r="AH103" s="63" t="n"/>
      <c r="AI103" s="63" t="n"/>
      <c r="AJ103" s="63" t="n"/>
      <c r="AK103" s="63" t="n"/>
      <c r="AL103" s="63" t="n"/>
      <c r="AM103" s="63" t="n"/>
      <c r="AN103" s="63" t="n"/>
      <c r="AO103" s="63" t="n"/>
      <c r="AP103" s="63" t="n"/>
      <c r="AQ103" s="63" t="n"/>
      <c r="AR103" s="63" t="n"/>
    </row>
    <row r="104" ht="16" customHeight="1">
      <c r="A104" s="58" t="inlineStr">
        <is>
          <t>20607800830</t>
        </is>
      </c>
      <c r="B104" s="59" t="inlineStr">
        <is>
          <t>AROMAS FINOS DEL PERU S.A.C.</t>
        </is>
      </c>
      <c r="C104" s="58" t="n"/>
      <c r="D104" s="58" t="n"/>
      <c r="E104" s="58" t="n"/>
      <c r="F104" s="58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  <c r="AA104" s="60" t="n"/>
      <c r="AB104" s="60" t="n"/>
      <c r="AC104" s="60" t="n"/>
      <c r="AD104" s="60" t="n"/>
      <c r="AE104" s="60" t="n"/>
      <c r="AF104" s="60" t="n"/>
      <c r="AG104" s="60" t="n"/>
      <c r="AH104" s="60" t="n"/>
      <c r="AI104" s="60" t="n"/>
      <c r="AJ104" s="60" t="n"/>
      <c r="AK104" s="60" t="n"/>
      <c r="AL104" s="60" t="n"/>
      <c r="AM104" s="60" t="n"/>
      <c r="AN104" s="60" t="n"/>
      <c r="AO104" s="60" t="n"/>
      <c r="AP104" s="60" t="n"/>
      <c r="AQ104" s="60" t="n"/>
      <c r="AR104" s="60" t="n"/>
    </row>
    <row r="105" ht="16" customHeight="1">
      <c r="A105" s="61" t="inlineStr">
        <is>
          <t>20479836061</t>
        </is>
      </c>
      <c r="B105" s="62" t="inlineStr">
        <is>
          <t>Cooperativa Agraria Cafetalera Aprocanorsi Ltda.</t>
        </is>
      </c>
      <c r="C105" s="61" t="n"/>
      <c r="D105" s="61" t="n"/>
      <c r="E105" s="61" t="n"/>
      <c r="F105" s="61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  <c r="AA105" s="63" t="n"/>
      <c r="AB105" s="63" t="n"/>
      <c r="AC105" s="63" t="n"/>
      <c r="AD105" s="63" t="n"/>
      <c r="AE105" s="63" t="n"/>
      <c r="AF105" s="63" t="n"/>
      <c r="AG105" s="63" t="n"/>
      <c r="AH105" s="63" t="n"/>
      <c r="AI105" s="63" t="n"/>
      <c r="AJ105" s="63" t="n"/>
      <c r="AK105" s="63" t="n"/>
      <c r="AL105" s="63" t="n"/>
      <c r="AM105" s="63" t="n"/>
      <c r="AN105" s="63" t="n"/>
      <c r="AO105" s="63" t="n"/>
      <c r="AP105" s="63" t="n"/>
      <c r="AQ105" s="63" t="n"/>
      <c r="AR105" s="63" t="n"/>
    </row>
    <row r="106" ht="16" customHeight="1">
      <c r="A106" s="58" t="inlineStr">
        <is>
          <t>20479595276</t>
        </is>
      </c>
      <c r="B106" s="59" t="inlineStr">
        <is>
          <t>Cooperativa Agraria Cafetalera Casil Ltda.</t>
        </is>
      </c>
      <c r="C106" s="58" t="inlineStr">
        <is>
          <t>CAFÉ</t>
        </is>
      </c>
      <c r="D106" s="58" t="inlineStr">
        <is>
          <t>CAJAMARCA</t>
        </is>
      </c>
      <c r="E106" s="58" t="inlineStr">
        <is>
          <t>SAN IGNACIO</t>
        </is>
      </c>
      <c r="F106" s="58" t="inlineStr">
        <is>
          <t>SAN IGNACIO</t>
        </is>
      </c>
      <c r="G106" s="60" t="n"/>
      <c r="H106" s="60" t="n"/>
      <c r="I106" s="60" t="n"/>
      <c r="J106" s="60" t="n"/>
      <c r="K106" s="60" t="n"/>
      <c r="L106" s="60" t="n"/>
      <c r="M106" s="60" t="n"/>
      <c r="N106" s="64" t="n">
        <v>2396608.5597</v>
      </c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4" t="n">
        <v>0</v>
      </c>
      <c r="Z106" s="64" t="n">
        <v>2396608.5597</v>
      </c>
      <c r="AA106" s="60" t="n"/>
      <c r="AB106" s="60" t="n"/>
      <c r="AC106" s="60" t="n"/>
      <c r="AD106" s="60" t="n"/>
      <c r="AE106" s="60" t="n"/>
      <c r="AF106" s="60" t="n"/>
      <c r="AG106" s="60" t="n"/>
      <c r="AH106" s="60" t="n"/>
      <c r="AI106" s="60" t="n"/>
      <c r="AJ106" s="60" t="n"/>
      <c r="AK106" s="60" t="n"/>
      <c r="AL106" s="60" t="n"/>
      <c r="AM106" s="64" t="n">
        <v>0</v>
      </c>
      <c r="AN106" s="64" t="n">
        <v>0</v>
      </c>
      <c r="AO106" s="64" t="n">
        <v>2396608.5597</v>
      </c>
      <c r="AP106" s="64" t="n">
        <v>0</v>
      </c>
      <c r="AQ106" s="64" t="n">
        <v>0</v>
      </c>
      <c r="AR106" s="64" t="n">
        <v>2396608.5597</v>
      </c>
    </row>
    <row r="107" ht="16" customHeight="1">
      <c r="A107" s="61" t="inlineStr">
        <is>
          <t>20147123052</t>
        </is>
      </c>
      <c r="B107" s="62" t="inlineStr">
        <is>
          <t>Cooperativa Agraria Cafetalera La Prosperidad de Chirinos</t>
        </is>
      </c>
      <c r="C107" s="61" t="n"/>
      <c r="D107" s="61" t="n"/>
      <c r="E107" s="61" t="n"/>
      <c r="F107" s="61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  <c r="AA107" s="63" t="n"/>
      <c r="AB107" s="63" t="n"/>
      <c r="AC107" s="63" t="n"/>
      <c r="AD107" s="63" t="n"/>
      <c r="AE107" s="63" t="n"/>
      <c r="AF107" s="63" t="n"/>
      <c r="AG107" s="63" t="n"/>
      <c r="AH107" s="63" t="n"/>
      <c r="AI107" s="63" t="n"/>
      <c r="AJ107" s="63" t="n"/>
      <c r="AK107" s="63" t="n"/>
      <c r="AL107" s="63" t="n"/>
      <c r="AM107" s="63" t="n"/>
      <c r="AN107" s="63" t="n"/>
      <c r="AO107" s="63" t="n"/>
      <c r="AP107" s="63" t="n"/>
      <c r="AQ107" s="63" t="n"/>
      <c r="AR107" s="63" t="n"/>
    </row>
    <row r="108" ht="16" customHeight="1">
      <c r="A108" s="58" t="inlineStr">
        <is>
          <t>20604477337</t>
        </is>
      </c>
      <c r="B108" s="59" t="inlineStr">
        <is>
          <t>Cooperativa Agraria Cafetalera Perù Andino</t>
        </is>
      </c>
      <c r="C108" s="58" t="n"/>
      <c r="D108" s="58" t="n"/>
      <c r="E108" s="58" t="n"/>
      <c r="F108" s="58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  <c r="Z108" s="60" t="n"/>
      <c r="AA108" s="60" t="n"/>
      <c r="AB108" s="60" t="n"/>
      <c r="AC108" s="60" t="n"/>
      <c r="AD108" s="60" t="n"/>
      <c r="AE108" s="60" t="n"/>
      <c r="AF108" s="60" t="n"/>
      <c r="AG108" s="60" t="n"/>
      <c r="AH108" s="60" t="n"/>
      <c r="AI108" s="60" t="n"/>
      <c r="AJ108" s="60" t="n"/>
      <c r="AK108" s="60" t="n"/>
      <c r="AL108" s="60" t="n"/>
      <c r="AM108" s="60" t="n"/>
      <c r="AN108" s="60" t="n"/>
      <c r="AO108" s="60" t="n"/>
      <c r="AP108" s="60" t="n"/>
      <c r="AQ108" s="60" t="n"/>
      <c r="AR108" s="60" t="n"/>
    </row>
    <row r="109" ht="16" customHeight="1">
      <c r="A109" s="61" t="inlineStr">
        <is>
          <t>20609286921</t>
        </is>
      </c>
      <c r="B109" s="62" t="inlineStr">
        <is>
          <t>Cooperativa Agraria Cafetalera Rayos del Sol</t>
        </is>
      </c>
      <c r="C109" s="61" t="n"/>
      <c r="D109" s="61" t="n"/>
      <c r="E109" s="61" t="n"/>
      <c r="F109" s="61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  <c r="Z109" s="63" t="n"/>
      <c r="AA109" s="63" t="n"/>
      <c r="AB109" s="63" t="n"/>
      <c r="AC109" s="63" t="n"/>
      <c r="AD109" s="63" t="n"/>
      <c r="AE109" s="63" t="n"/>
      <c r="AF109" s="63" t="n"/>
      <c r="AG109" s="63" t="n"/>
      <c r="AH109" s="63" t="n"/>
      <c r="AI109" s="63" t="n"/>
      <c r="AJ109" s="63" t="n"/>
      <c r="AK109" s="63" t="n"/>
      <c r="AL109" s="63" t="n"/>
      <c r="AM109" s="63" t="n"/>
      <c r="AN109" s="63" t="n"/>
      <c r="AO109" s="63" t="n"/>
      <c r="AP109" s="63" t="n"/>
      <c r="AQ109" s="63" t="n"/>
      <c r="AR109" s="63" t="n"/>
    </row>
    <row r="110" ht="16" customHeight="1">
      <c r="A110" s="58" t="inlineStr">
        <is>
          <t>20601152984</t>
        </is>
      </c>
      <c r="B110" s="59" t="inlineStr">
        <is>
          <t>Cooperativa Agraria Caficultores Alto Cajamarca</t>
        </is>
      </c>
      <c r="C110" s="58" t="n"/>
      <c r="D110" s="58" t="n"/>
      <c r="E110" s="58" t="n"/>
      <c r="F110" s="58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  <c r="Z110" s="60" t="n"/>
      <c r="AA110" s="60" t="n"/>
      <c r="AB110" s="60" t="n"/>
      <c r="AC110" s="60" t="n"/>
      <c r="AD110" s="60" t="n"/>
      <c r="AE110" s="60" t="n"/>
      <c r="AF110" s="60" t="n"/>
      <c r="AG110" s="60" t="n"/>
      <c r="AH110" s="60" t="n"/>
      <c r="AI110" s="60" t="n"/>
      <c r="AJ110" s="60" t="n"/>
      <c r="AK110" s="60" t="n"/>
      <c r="AL110" s="60" t="n"/>
      <c r="AM110" s="60" t="n"/>
      <c r="AN110" s="60" t="n"/>
      <c r="AO110" s="60" t="n"/>
      <c r="AP110" s="60" t="n"/>
      <c r="AQ110" s="60" t="n"/>
      <c r="AR110" s="60" t="n"/>
    </row>
    <row r="111" ht="16" customHeight="1">
      <c r="A111" s="61" t="inlineStr">
        <is>
          <t>20607246051</t>
        </is>
      </c>
      <c r="B111" s="62" t="inlineStr">
        <is>
          <t>Cooperativa Agraria Café Sierra Andina</t>
        </is>
      </c>
      <c r="C111" s="61" t="n"/>
      <c r="D111" s="61" t="n"/>
      <c r="E111" s="61" t="n"/>
      <c r="F111" s="61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  <c r="AA111" s="63" t="n"/>
      <c r="AB111" s="63" t="n"/>
      <c r="AC111" s="63" t="n"/>
      <c r="AD111" s="63" t="n"/>
      <c r="AE111" s="63" t="n"/>
      <c r="AF111" s="63" t="n"/>
      <c r="AG111" s="63" t="n"/>
      <c r="AH111" s="63" t="n"/>
      <c r="AI111" s="63" t="n"/>
      <c r="AJ111" s="63" t="n"/>
      <c r="AK111" s="63" t="n"/>
      <c r="AL111" s="63" t="n"/>
      <c r="AM111" s="63" t="n"/>
      <c r="AN111" s="63" t="n"/>
      <c r="AO111" s="63" t="n"/>
      <c r="AP111" s="63" t="n"/>
      <c r="AQ111" s="63" t="n"/>
      <c r="AR111" s="63" t="n"/>
    </row>
    <row r="112" ht="16" customHeight="1">
      <c r="A112" s="58" t="inlineStr">
        <is>
          <t>20570630173</t>
        </is>
      </c>
      <c r="B112" s="59" t="inlineStr">
        <is>
          <t>Cooperativa Agraria Cedros Café Ltda.</t>
        </is>
      </c>
      <c r="C112" s="58" t="n"/>
      <c r="D112" s="58" t="n"/>
      <c r="E112" s="58" t="n"/>
      <c r="F112" s="58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  <c r="Z112" s="60" t="n"/>
      <c r="AA112" s="60" t="n"/>
      <c r="AB112" s="60" t="n"/>
      <c r="AC112" s="60" t="n"/>
      <c r="AD112" s="60" t="n"/>
      <c r="AE112" s="60" t="n"/>
      <c r="AF112" s="60" t="n"/>
      <c r="AG112" s="60" t="n"/>
      <c r="AH112" s="60" t="n"/>
      <c r="AI112" s="60" t="n"/>
      <c r="AJ112" s="60" t="n"/>
      <c r="AK112" s="60" t="n"/>
      <c r="AL112" s="60" t="n"/>
      <c r="AM112" s="60" t="n"/>
      <c r="AN112" s="60" t="n"/>
      <c r="AO112" s="60" t="n"/>
      <c r="AP112" s="60" t="n"/>
      <c r="AQ112" s="60" t="n"/>
      <c r="AR112" s="60" t="n"/>
    </row>
    <row r="113" ht="16" customHeight="1">
      <c r="A113" s="61" t="inlineStr">
        <is>
          <t>20605600485</t>
        </is>
      </c>
      <c r="B113" s="62" t="inlineStr">
        <is>
          <t>Cooperativa Agraria Colinas del Santuario</t>
        </is>
      </c>
      <c r="C113" s="61" t="n"/>
      <c r="D113" s="61" t="n"/>
      <c r="E113" s="61" t="n"/>
      <c r="F113" s="61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  <c r="AA113" s="63" t="n"/>
      <c r="AB113" s="63" t="n"/>
      <c r="AC113" s="63" t="n"/>
      <c r="AD113" s="63" t="n"/>
      <c r="AE113" s="63" t="n"/>
      <c r="AF113" s="63" t="n"/>
      <c r="AG113" s="63" t="n"/>
      <c r="AH113" s="63" t="n"/>
      <c r="AI113" s="63" t="n"/>
      <c r="AJ113" s="63" t="n"/>
      <c r="AK113" s="63" t="n"/>
      <c r="AL113" s="63" t="n"/>
      <c r="AM113" s="63" t="n"/>
      <c r="AN113" s="63" t="n"/>
      <c r="AO113" s="63" t="n"/>
      <c r="AP113" s="63" t="n"/>
      <c r="AQ113" s="63" t="n"/>
      <c r="AR113" s="63" t="n"/>
    </row>
    <row r="114" ht="16" customHeight="1">
      <c r="A114" s="58" t="inlineStr">
        <is>
          <t>20607536016</t>
        </is>
      </c>
      <c r="B114" s="59" t="inlineStr">
        <is>
          <t>Cooperativa Agraria Coopagro Ltda.</t>
        </is>
      </c>
      <c r="C114" s="58" t="inlineStr">
        <is>
          <t>CAFÉ</t>
        </is>
      </c>
      <c r="D114" s="58" t="inlineStr">
        <is>
          <t>CAJAMARCA</t>
        </is>
      </c>
      <c r="E114" s="58" t="inlineStr">
        <is>
          <t>JAEN</t>
        </is>
      </c>
      <c r="F114" s="58" t="inlineStr">
        <is>
          <t>JAEN</t>
        </is>
      </c>
      <c r="G114" s="64" t="n">
        <v>0</v>
      </c>
      <c r="H114" s="64" t="n">
        <v>0</v>
      </c>
      <c r="I114" s="64" t="n">
        <v>0</v>
      </c>
      <c r="J114" s="64" t="n">
        <v>1321243.8</v>
      </c>
      <c r="K114" s="64" t="n">
        <v>1959097.08</v>
      </c>
      <c r="L114" s="64" t="n">
        <v>1515083.79</v>
      </c>
      <c r="M114" s="64" t="n">
        <v>841453.18629015</v>
      </c>
      <c r="N114" s="64" t="n">
        <v>0</v>
      </c>
      <c r="O114" s="64" t="n">
        <v>0</v>
      </c>
      <c r="P114" s="64" t="n">
        <v>0</v>
      </c>
      <c r="Q114" s="64" t="n">
        <v>579309.04</v>
      </c>
      <c r="R114" s="64" t="n">
        <v>741934.76</v>
      </c>
      <c r="S114" s="64" t="n">
        <v>0</v>
      </c>
      <c r="T114" s="64" t="n">
        <v>1959097.08</v>
      </c>
      <c r="U114" s="64" t="n">
        <v>0</v>
      </c>
      <c r="V114" s="64" t="n">
        <v>1515083.79</v>
      </c>
      <c r="W114" s="64" t="n">
        <v>0</v>
      </c>
      <c r="X114" s="64" t="n">
        <v>841453.18629015</v>
      </c>
      <c r="Y114" s="64" t="n">
        <v>0</v>
      </c>
      <c r="Z114" s="64" t="n">
        <v>0</v>
      </c>
      <c r="AA114" s="64" t="n">
        <v>0</v>
      </c>
      <c r="AB114" s="64" t="n">
        <v>0</v>
      </c>
      <c r="AC114" s="64" t="n">
        <v>1515083.79</v>
      </c>
      <c r="AD114" s="64" t="n">
        <v>0</v>
      </c>
      <c r="AE114" s="64" t="n">
        <v>0</v>
      </c>
      <c r="AF114" s="64" t="n">
        <v>1515083.79</v>
      </c>
      <c r="AG114" s="64" t="n">
        <v>0</v>
      </c>
      <c r="AH114" s="64" t="n">
        <v>0</v>
      </c>
      <c r="AI114" s="64" t="n">
        <v>841453.18629015</v>
      </c>
      <c r="AJ114" s="64" t="n">
        <v>0</v>
      </c>
      <c r="AK114" s="64" t="n">
        <v>0</v>
      </c>
      <c r="AL114" s="64" t="n">
        <v>841453.18629015</v>
      </c>
      <c r="AM114" s="64" t="n">
        <v>0</v>
      </c>
      <c r="AN114" s="64" t="n">
        <v>0</v>
      </c>
      <c r="AO114" s="64" t="n">
        <v>0</v>
      </c>
      <c r="AP114" s="64" t="n">
        <v>0</v>
      </c>
      <c r="AQ114" s="64" t="n">
        <v>0</v>
      </c>
      <c r="AR114" s="64" t="n">
        <v>0</v>
      </c>
    </row>
    <row r="115" ht="16" customHeight="1">
      <c r="A115" s="61" t="inlineStr">
        <is>
          <t>20610993801</t>
        </is>
      </c>
      <c r="B115" s="62" t="inlineStr">
        <is>
          <t>Cooperativa Agraria De Mujeres Campesinas Indigenas Y Nativas Del Nor Oriente Peruano "COMUNORP"</t>
        </is>
      </c>
      <c r="C115" s="61" t="n"/>
      <c r="D115" s="61" t="n"/>
      <c r="E115" s="61" t="n"/>
      <c r="F115" s="61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  <c r="Z115" s="63" t="n"/>
      <c r="AA115" s="63" t="n"/>
      <c r="AB115" s="63" t="n"/>
      <c r="AC115" s="63" t="n"/>
      <c r="AD115" s="63" t="n"/>
      <c r="AE115" s="63" t="n"/>
      <c r="AF115" s="63" t="n"/>
      <c r="AG115" s="63" t="n"/>
      <c r="AH115" s="63" t="n"/>
      <c r="AI115" s="63" t="n"/>
      <c r="AJ115" s="63" t="n"/>
      <c r="AK115" s="63" t="n"/>
      <c r="AL115" s="63" t="n"/>
      <c r="AM115" s="63" t="n"/>
      <c r="AN115" s="63" t="n"/>
      <c r="AO115" s="63" t="n"/>
      <c r="AP115" s="63" t="n"/>
      <c r="AQ115" s="63" t="n"/>
      <c r="AR115" s="63" t="n"/>
    </row>
    <row r="116" ht="16" customHeight="1">
      <c r="A116" s="58" t="inlineStr">
        <is>
          <t>20542380455</t>
        </is>
      </c>
      <c r="B116" s="59" t="inlineStr">
        <is>
          <t>Cooperativa Agraria Ecoforest</t>
        </is>
      </c>
      <c r="C116" s="58" t="inlineStr">
        <is>
          <t>CAFÉ</t>
        </is>
      </c>
      <c r="D116" s="58" t="inlineStr">
        <is>
          <t>CAJAMARCA</t>
        </is>
      </c>
      <c r="E116" s="58" t="inlineStr">
        <is>
          <t>JAEN</t>
        </is>
      </c>
      <c r="F116" s="58" t="inlineStr">
        <is>
          <t>JAEN</t>
        </is>
      </c>
      <c r="G116" s="64" t="n">
        <v>0</v>
      </c>
      <c r="H116" s="64" t="n">
        <v>992420.62</v>
      </c>
      <c r="I116" s="64" t="n">
        <v>0</v>
      </c>
      <c r="J116" s="64" t="n">
        <v>0</v>
      </c>
      <c r="K116" s="64" t="n">
        <v>0</v>
      </c>
      <c r="L116" s="64" t="n">
        <v>0</v>
      </c>
      <c r="M116" s="64" t="n">
        <v>0</v>
      </c>
      <c r="N116" s="64" t="n">
        <v>0</v>
      </c>
      <c r="O116" s="64" t="n">
        <v>0</v>
      </c>
      <c r="P116" s="64" t="n">
        <v>0</v>
      </c>
      <c r="Q116" s="64" t="n">
        <v>0</v>
      </c>
      <c r="R116" s="64" t="n">
        <v>0</v>
      </c>
      <c r="S116" s="64" t="n">
        <v>0</v>
      </c>
      <c r="T116" s="64" t="n">
        <v>0</v>
      </c>
      <c r="U116" s="64" t="n">
        <v>0</v>
      </c>
      <c r="V116" s="64" t="n">
        <v>0</v>
      </c>
      <c r="W116" s="64" t="n">
        <v>0</v>
      </c>
      <c r="X116" s="64" t="n">
        <v>0</v>
      </c>
      <c r="Y116" s="64" t="n">
        <v>0</v>
      </c>
      <c r="Z116" s="64" t="n">
        <v>0</v>
      </c>
      <c r="AA116" s="64" t="n">
        <v>0</v>
      </c>
      <c r="AB116" s="64" t="n">
        <v>0</v>
      </c>
      <c r="AC116" s="64" t="n">
        <v>0</v>
      </c>
      <c r="AD116" s="64" t="n">
        <v>0</v>
      </c>
      <c r="AE116" s="64" t="n">
        <v>0</v>
      </c>
      <c r="AF116" s="64" t="n">
        <v>0</v>
      </c>
      <c r="AG116" s="64" t="n">
        <v>0</v>
      </c>
      <c r="AH116" s="64" t="n">
        <v>0</v>
      </c>
      <c r="AI116" s="64" t="n">
        <v>0</v>
      </c>
      <c r="AJ116" s="64" t="n">
        <v>0</v>
      </c>
      <c r="AK116" s="64" t="n">
        <v>0</v>
      </c>
      <c r="AL116" s="64" t="n">
        <v>0</v>
      </c>
      <c r="AM116" s="64" t="n">
        <v>0</v>
      </c>
      <c r="AN116" s="64" t="n">
        <v>0</v>
      </c>
      <c r="AO116" s="64" t="n">
        <v>0</v>
      </c>
      <c r="AP116" s="64" t="n">
        <v>0</v>
      </c>
      <c r="AQ116" s="64" t="n">
        <v>0</v>
      </c>
      <c r="AR116" s="64" t="n">
        <v>0</v>
      </c>
    </row>
    <row r="117" ht="16" customHeight="1">
      <c r="A117" s="61" t="inlineStr">
        <is>
          <t>20113940515</t>
        </is>
      </c>
      <c r="B117" s="62" t="inlineStr">
        <is>
          <t>Cooperativa Agraria Frontera San Ignacio Ltda.</t>
        </is>
      </c>
      <c r="C117" s="61" t="n"/>
      <c r="D117" s="61" t="n"/>
      <c r="E117" s="61" t="n"/>
      <c r="F117" s="61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  <c r="AA117" s="63" t="n"/>
      <c r="AB117" s="63" t="n"/>
      <c r="AC117" s="63" t="n"/>
      <c r="AD117" s="63" t="n"/>
      <c r="AE117" s="63" t="n"/>
      <c r="AF117" s="63" t="n"/>
      <c r="AG117" s="63" t="n"/>
      <c r="AH117" s="63" t="n"/>
      <c r="AI117" s="63" t="n"/>
      <c r="AJ117" s="63" t="n"/>
      <c r="AK117" s="63" t="n"/>
      <c r="AL117" s="63" t="n"/>
      <c r="AM117" s="63" t="n"/>
      <c r="AN117" s="63" t="n"/>
      <c r="AO117" s="63" t="n"/>
      <c r="AP117" s="63" t="n"/>
      <c r="AQ117" s="63" t="n"/>
      <c r="AR117" s="63" t="n"/>
    </row>
    <row r="118" ht="16" customHeight="1">
      <c r="A118" s="58" t="inlineStr">
        <is>
          <t>20604774277</t>
        </is>
      </c>
      <c r="B118" s="59" t="inlineStr">
        <is>
          <t>Cooperativa Agraria Norcafe Perú</t>
        </is>
      </c>
      <c r="C118" s="58" t="n"/>
      <c r="D118" s="58" t="n"/>
      <c r="E118" s="58" t="n"/>
      <c r="F118" s="58" t="n"/>
      <c r="G118" s="60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  <c r="Z118" s="60" t="n"/>
      <c r="AA118" s="60" t="n"/>
      <c r="AB118" s="60" t="n"/>
      <c r="AC118" s="60" t="n"/>
      <c r="AD118" s="60" t="n"/>
      <c r="AE118" s="60" t="n"/>
      <c r="AF118" s="60" t="n"/>
      <c r="AG118" s="60" t="n"/>
      <c r="AH118" s="60" t="n"/>
      <c r="AI118" s="60" t="n"/>
      <c r="AJ118" s="60" t="n"/>
      <c r="AK118" s="60" t="n"/>
      <c r="AL118" s="60" t="n"/>
      <c r="AM118" s="60" t="n"/>
      <c r="AN118" s="60" t="n"/>
      <c r="AO118" s="60" t="n"/>
      <c r="AP118" s="60" t="n"/>
      <c r="AQ118" s="60" t="n"/>
      <c r="AR118" s="60" t="n"/>
    </row>
    <row r="119" ht="16" customHeight="1">
      <c r="A119" s="61" t="inlineStr">
        <is>
          <t>20570706927</t>
        </is>
      </c>
      <c r="B119" s="62" t="inlineStr">
        <is>
          <t>Cooperativa Agraria Rutas del Inca</t>
        </is>
      </c>
      <c r="C119" s="61" t="inlineStr">
        <is>
          <t>CAFÉ</t>
        </is>
      </c>
      <c r="D119" s="61" t="inlineStr">
        <is>
          <t>CAJAMARCA</t>
        </is>
      </c>
      <c r="E119" s="61" t="inlineStr">
        <is>
          <t>CHOTA</t>
        </is>
      </c>
      <c r="F119" s="61" t="inlineStr">
        <is>
          <t>QUEROCOTO</t>
        </is>
      </c>
      <c r="G119" s="65" t="n">
        <v>0</v>
      </c>
      <c r="H119" s="65" t="n">
        <v>602600.1899999999</v>
      </c>
      <c r="I119" s="65" t="n">
        <v>1330188.14</v>
      </c>
      <c r="J119" s="65" t="n">
        <v>2804492.06</v>
      </c>
      <c r="K119" s="65" t="n">
        <v>3857237.47</v>
      </c>
      <c r="L119" s="65" t="n">
        <v>1684839.95</v>
      </c>
      <c r="M119" s="65" t="n">
        <v>0</v>
      </c>
      <c r="N119" s="65" t="n">
        <v>0</v>
      </c>
      <c r="O119" s="65" t="n">
        <v>1927.98</v>
      </c>
      <c r="P119" s="65" t="n">
        <v>1328260.16</v>
      </c>
      <c r="Q119" s="65" t="n">
        <v>0</v>
      </c>
      <c r="R119" s="65" t="n">
        <v>2804492.06</v>
      </c>
      <c r="S119" s="65" t="n">
        <v>0</v>
      </c>
      <c r="T119" s="65" t="n">
        <v>3857237.47</v>
      </c>
      <c r="U119" s="65" t="n">
        <v>0</v>
      </c>
      <c r="V119" s="65" t="n">
        <v>1684839.95</v>
      </c>
      <c r="W119" s="65" t="n">
        <v>0</v>
      </c>
      <c r="X119" s="65" t="n">
        <v>0</v>
      </c>
      <c r="Y119" s="65" t="n">
        <v>0</v>
      </c>
      <c r="Z119" s="65" t="n">
        <v>0</v>
      </c>
      <c r="AA119" s="65" t="n">
        <v>0</v>
      </c>
      <c r="AB119" s="65" t="n">
        <v>0</v>
      </c>
      <c r="AC119" s="65" t="n">
        <v>1684839.95</v>
      </c>
      <c r="AD119" s="65" t="n">
        <v>0</v>
      </c>
      <c r="AE119" s="65" t="n">
        <v>0</v>
      </c>
      <c r="AF119" s="65" t="n">
        <v>1684839.95</v>
      </c>
      <c r="AG119" s="65" t="n">
        <v>0</v>
      </c>
      <c r="AH119" s="65" t="n">
        <v>0</v>
      </c>
      <c r="AI119" s="65" t="n">
        <v>0</v>
      </c>
      <c r="AJ119" s="65" t="n">
        <v>0</v>
      </c>
      <c r="AK119" s="65" t="n">
        <v>0</v>
      </c>
      <c r="AL119" s="65" t="n">
        <v>0</v>
      </c>
      <c r="AM119" s="65" t="n">
        <v>0</v>
      </c>
      <c r="AN119" s="65" t="n">
        <v>0</v>
      </c>
      <c r="AO119" s="65" t="n">
        <v>0</v>
      </c>
      <c r="AP119" s="65" t="n">
        <v>0</v>
      </c>
      <c r="AQ119" s="65" t="n">
        <v>0</v>
      </c>
      <c r="AR119" s="65" t="n">
        <v>0</v>
      </c>
    </row>
    <row r="120" ht="16" customHeight="1">
      <c r="A120" s="58" t="inlineStr">
        <is>
          <t>20600761731</t>
        </is>
      </c>
      <c r="B120" s="59" t="inlineStr">
        <is>
          <t>Cooperativa Agraria Selva Andina</t>
        </is>
      </c>
      <c r="C120" s="58" t="n"/>
      <c r="D120" s="58" t="n"/>
      <c r="E120" s="58" t="n"/>
      <c r="F120" s="58" t="n"/>
      <c r="G120" s="60" t="n"/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  <c r="Z120" s="60" t="n"/>
      <c r="AA120" s="60" t="n"/>
      <c r="AB120" s="60" t="n"/>
      <c r="AC120" s="60" t="n"/>
      <c r="AD120" s="60" t="n"/>
      <c r="AE120" s="60" t="n"/>
      <c r="AF120" s="60" t="n"/>
      <c r="AG120" s="60" t="n"/>
      <c r="AH120" s="60" t="n"/>
      <c r="AI120" s="60" t="n"/>
      <c r="AJ120" s="60" t="n"/>
      <c r="AK120" s="60" t="n"/>
      <c r="AL120" s="60" t="n"/>
      <c r="AM120" s="60" t="n"/>
      <c r="AN120" s="60" t="n"/>
      <c r="AO120" s="60" t="n"/>
      <c r="AP120" s="60" t="n"/>
      <c r="AQ120" s="60" t="n"/>
      <c r="AR120" s="60" t="n"/>
    </row>
    <row r="121" ht="16" customHeight="1">
      <c r="A121" s="61" t="inlineStr">
        <is>
          <t>20480560672</t>
        </is>
      </c>
      <c r="B121" s="62" t="inlineStr">
        <is>
          <t>Cooperativa Agraria Valle del Marañon</t>
        </is>
      </c>
      <c r="C121" s="61" t="n"/>
      <c r="D121" s="61" t="n"/>
      <c r="E121" s="61" t="n"/>
      <c r="F121" s="61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  <c r="AA121" s="63" t="n"/>
      <c r="AB121" s="63" t="n"/>
      <c r="AC121" s="63" t="n"/>
      <c r="AD121" s="63" t="n"/>
      <c r="AE121" s="63" t="n"/>
      <c r="AF121" s="63" t="n"/>
      <c r="AG121" s="63" t="n"/>
      <c r="AH121" s="63" t="n"/>
      <c r="AI121" s="63" t="n"/>
      <c r="AJ121" s="63" t="n"/>
      <c r="AK121" s="63" t="n"/>
      <c r="AL121" s="63" t="n"/>
      <c r="AM121" s="63" t="n"/>
      <c r="AN121" s="63" t="n"/>
      <c r="AO121" s="63" t="n"/>
      <c r="AP121" s="63" t="n"/>
      <c r="AQ121" s="63" t="n"/>
      <c r="AR121" s="63" t="n"/>
    </row>
    <row r="122" ht="16" customHeight="1">
      <c r="A122" s="58" t="inlineStr">
        <is>
          <t>20602023711</t>
        </is>
      </c>
      <c r="B122" s="59" t="inlineStr">
        <is>
          <t>Cooperativa Agraria Valles de Café</t>
        </is>
      </c>
      <c r="C122" s="58" t="n"/>
      <c r="D122" s="58" t="n"/>
      <c r="E122" s="58" t="n"/>
      <c r="F122" s="58" t="n"/>
      <c r="G122" s="60" t="n"/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n"/>
      <c r="Y122" s="60" t="n"/>
      <c r="Z122" s="60" t="n"/>
      <c r="AA122" s="60" t="n"/>
      <c r="AB122" s="60" t="n"/>
      <c r="AC122" s="60" t="n"/>
      <c r="AD122" s="60" t="n"/>
      <c r="AE122" s="60" t="n"/>
      <c r="AF122" s="60" t="n"/>
      <c r="AG122" s="60" t="n"/>
      <c r="AH122" s="60" t="n"/>
      <c r="AI122" s="60" t="n"/>
      <c r="AJ122" s="60" t="n"/>
      <c r="AK122" s="60" t="n"/>
      <c r="AL122" s="60" t="n"/>
      <c r="AM122" s="60" t="n"/>
      <c r="AN122" s="60" t="n"/>
      <c r="AO122" s="60" t="n"/>
      <c r="AP122" s="60" t="n"/>
      <c r="AQ122" s="60" t="n"/>
      <c r="AR122" s="60" t="n"/>
    </row>
    <row r="123" ht="16" customHeight="1">
      <c r="A123" s="61" t="inlineStr">
        <is>
          <t>20570777352</t>
        </is>
      </c>
      <c r="B123" s="62" t="inlineStr">
        <is>
          <t>Cooperativa Agraria de Servicios Múltiples Integración de Cafetaleros</t>
        </is>
      </c>
      <c r="C123" s="61" t="n"/>
      <c r="D123" s="61" t="n"/>
      <c r="E123" s="61" t="n"/>
      <c r="F123" s="61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  <c r="AA123" s="63" t="n"/>
      <c r="AB123" s="63" t="n"/>
      <c r="AC123" s="63" t="n"/>
      <c r="AD123" s="63" t="n"/>
      <c r="AE123" s="63" t="n"/>
      <c r="AF123" s="63" t="n"/>
      <c r="AG123" s="63" t="n"/>
      <c r="AH123" s="63" t="n"/>
      <c r="AI123" s="63" t="n"/>
      <c r="AJ123" s="63" t="n"/>
      <c r="AK123" s="63" t="n"/>
      <c r="AL123" s="63" t="n"/>
      <c r="AM123" s="63" t="n"/>
      <c r="AN123" s="63" t="n"/>
      <c r="AO123" s="63" t="n"/>
      <c r="AP123" s="63" t="n"/>
      <c r="AQ123" s="63" t="n"/>
      <c r="AR123" s="63" t="n"/>
    </row>
    <row r="124" ht="16" customHeight="1">
      <c r="A124" s="58" t="inlineStr">
        <is>
          <t>20479958921</t>
        </is>
      </c>
      <c r="B124" s="59" t="inlineStr">
        <is>
          <t>Cooperativa Agraria de Servicios Múltuples El Milagro</t>
        </is>
      </c>
      <c r="C124" s="58" t="n"/>
      <c r="D124" s="58" t="n"/>
      <c r="E124" s="58" t="n"/>
      <c r="F124" s="58" t="n"/>
      <c r="G124" s="60" t="n"/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n"/>
      <c r="Y124" s="60" t="n"/>
      <c r="Z124" s="60" t="n"/>
      <c r="AA124" s="60" t="n"/>
      <c r="AB124" s="60" t="n"/>
      <c r="AC124" s="60" t="n"/>
      <c r="AD124" s="60" t="n"/>
      <c r="AE124" s="60" t="n"/>
      <c r="AF124" s="60" t="n"/>
      <c r="AG124" s="60" t="n"/>
      <c r="AH124" s="60" t="n"/>
      <c r="AI124" s="60" t="n"/>
      <c r="AJ124" s="60" t="n"/>
      <c r="AK124" s="60" t="n"/>
      <c r="AL124" s="60" t="n"/>
      <c r="AM124" s="60" t="n"/>
      <c r="AN124" s="60" t="n"/>
      <c r="AO124" s="60" t="n"/>
      <c r="AP124" s="60" t="n"/>
      <c r="AQ124" s="60" t="n"/>
      <c r="AR124" s="60" t="n"/>
    </row>
    <row r="125" ht="16" customHeight="1">
      <c r="A125" s="61" t="inlineStr">
        <is>
          <t>20601714893</t>
        </is>
      </c>
      <c r="B125" s="62" t="inlineStr">
        <is>
          <t>Cooperativa Agraria y Servicios Múltiples Café Amoju</t>
        </is>
      </c>
      <c r="C125" s="61" t="n"/>
      <c r="D125" s="61" t="n"/>
      <c r="E125" s="61" t="n"/>
      <c r="F125" s="61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  <c r="AA125" s="63" t="n"/>
      <c r="AB125" s="63" t="n"/>
      <c r="AC125" s="63" t="n"/>
      <c r="AD125" s="63" t="n"/>
      <c r="AE125" s="63" t="n"/>
      <c r="AF125" s="63" t="n"/>
      <c r="AG125" s="63" t="n"/>
      <c r="AH125" s="63" t="n"/>
      <c r="AI125" s="63" t="n"/>
      <c r="AJ125" s="63" t="n"/>
      <c r="AK125" s="63" t="n"/>
      <c r="AL125" s="63" t="n"/>
      <c r="AM125" s="63" t="n"/>
      <c r="AN125" s="63" t="n"/>
      <c r="AO125" s="63" t="n"/>
      <c r="AP125" s="63" t="n"/>
      <c r="AQ125" s="63" t="n"/>
      <c r="AR125" s="63" t="n"/>
    </row>
    <row r="126" ht="16" customHeight="1">
      <c r="A126" s="58" t="inlineStr">
        <is>
          <t>20602046321</t>
        </is>
      </c>
      <c r="B126" s="59" t="inlineStr">
        <is>
          <t>Cooperativa Agraria y de Servicios Múltiples Cumbres del Norte</t>
        </is>
      </c>
      <c r="C126" s="58" t="n"/>
      <c r="D126" s="58" t="n"/>
      <c r="E126" s="58" t="n"/>
      <c r="F126" s="58" t="n"/>
      <c r="G126" s="60" t="n"/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  <c r="Z126" s="60" t="n"/>
      <c r="AA126" s="60" t="n"/>
      <c r="AB126" s="60" t="n"/>
      <c r="AC126" s="60" t="n"/>
      <c r="AD126" s="60" t="n"/>
      <c r="AE126" s="60" t="n"/>
      <c r="AF126" s="60" t="n"/>
      <c r="AG126" s="60" t="n"/>
      <c r="AH126" s="60" t="n"/>
      <c r="AI126" s="60" t="n"/>
      <c r="AJ126" s="60" t="n"/>
      <c r="AK126" s="60" t="n"/>
      <c r="AL126" s="60" t="n"/>
      <c r="AM126" s="60" t="n"/>
      <c r="AN126" s="60" t="n"/>
      <c r="AO126" s="60" t="n"/>
      <c r="AP126" s="60" t="n"/>
      <c r="AQ126" s="60" t="n"/>
      <c r="AR126" s="60" t="n"/>
    </row>
    <row r="127" ht="16" customHeight="1">
      <c r="A127" s="61" t="inlineStr">
        <is>
          <t>20601214505</t>
        </is>
      </c>
      <c r="B127" s="62" t="inlineStr">
        <is>
          <t>Cooperativa Agraria y de Servicios Múltiples Ilucan</t>
        </is>
      </c>
      <c r="C127" s="61" t="n"/>
      <c r="D127" s="61" t="n"/>
      <c r="E127" s="61" t="n"/>
      <c r="F127" s="61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  <c r="AA127" s="63" t="n"/>
      <c r="AB127" s="63" t="n"/>
      <c r="AC127" s="63" t="n"/>
      <c r="AD127" s="63" t="n"/>
      <c r="AE127" s="63" t="n"/>
      <c r="AF127" s="63" t="n"/>
      <c r="AG127" s="63" t="n"/>
      <c r="AH127" s="63" t="n"/>
      <c r="AI127" s="63" t="n"/>
      <c r="AJ127" s="63" t="n"/>
      <c r="AK127" s="63" t="n"/>
      <c r="AL127" s="63" t="n"/>
      <c r="AM127" s="63" t="n"/>
      <c r="AN127" s="63" t="n"/>
      <c r="AO127" s="63" t="n"/>
      <c r="AP127" s="63" t="n"/>
      <c r="AQ127" s="63" t="n"/>
      <c r="AR127" s="63" t="n"/>
    </row>
    <row r="128" ht="16" customHeight="1">
      <c r="A128" s="58" t="inlineStr">
        <is>
          <t>20601971624</t>
        </is>
      </c>
      <c r="B128" s="59" t="inlineStr">
        <is>
          <t>Cooperativa Agraria y de Servicios Múltiples Valle Tabaconas</t>
        </is>
      </c>
      <c r="C128" s="58" t="n"/>
      <c r="D128" s="58" t="n"/>
      <c r="E128" s="58" t="n"/>
      <c r="F128" s="58" t="n"/>
      <c r="G128" s="60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  <c r="Z128" s="60" t="n"/>
      <c r="AA128" s="60" t="n"/>
      <c r="AB128" s="60" t="n"/>
      <c r="AC128" s="60" t="n"/>
      <c r="AD128" s="60" t="n"/>
      <c r="AE128" s="60" t="n"/>
      <c r="AF128" s="60" t="n"/>
      <c r="AG128" s="60" t="n"/>
      <c r="AH128" s="60" t="n"/>
      <c r="AI128" s="60" t="n"/>
      <c r="AJ128" s="60" t="n"/>
      <c r="AK128" s="60" t="n"/>
      <c r="AL128" s="60" t="n"/>
      <c r="AM128" s="60" t="n"/>
      <c r="AN128" s="60" t="n"/>
      <c r="AO128" s="60" t="n"/>
      <c r="AP128" s="60" t="n"/>
      <c r="AQ128" s="60" t="n"/>
      <c r="AR128" s="60" t="n"/>
    </row>
    <row r="129" ht="16" customHeight="1">
      <c r="A129" s="61" t="inlineStr">
        <is>
          <t>20479548600</t>
        </is>
      </c>
      <c r="B129" s="62" t="inlineStr">
        <is>
          <t>Cooperativa Agraria y de Servicios Unión de Cafetaleros Ecológicos</t>
        </is>
      </c>
      <c r="C129" s="61" t="n"/>
      <c r="D129" s="61" t="n"/>
      <c r="E129" s="61" t="n"/>
      <c r="F129" s="61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  <c r="AA129" s="63" t="n"/>
      <c r="AB129" s="63" t="n"/>
      <c r="AC129" s="63" t="n"/>
      <c r="AD129" s="63" t="n"/>
      <c r="AE129" s="63" t="n"/>
      <c r="AF129" s="63" t="n"/>
      <c r="AG129" s="63" t="n"/>
      <c r="AH129" s="63" t="n"/>
      <c r="AI129" s="63" t="n"/>
      <c r="AJ129" s="63" t="n"/>
      <c r="AK129" s="63" t="n"/>
      <c r="AL129" s="63" t="n"/>
      <c r="AM129" s="63" t="n"/>
      <c r="AN129" s="63" t="n"/>
      <c r="AO129" s="63" t="n"/>
      <c r="AP129" s="63" t="n"/>
      <c r="AQ129" s="63" t="n"/>
      <c r="AR129" s="63" t="n"/>
    </row>
    <row r="130" ht="16" customHeight="1">
      <c r="A130" s="58" t="inlineStr">
        <is>
          <t>20136201213</t>
        </is>
      </c>
      <c r="B130" s="59" t="inlineStr">
        <is>
          <t>Central De Cooperativas Agrarias Cafetaleras Cocla Ltda. N° 281</t>
        </is>
      </c>
      <c r="C130" s="58" t="inlineStr">
        <is>
          <t>CAFÉ</t>
        </is>
      </c>
      <c r="D130" s="58" t="inlineStr">
        <is>
          <t>CUSCO</t>
        </is>
      </c>
      <c r="E130" s="58" t="inlineStr">
        <is>
          <t>LA CONVENCION</t>
        </is>
      </c>
      <c r="F130" s="58" t="inlineStr">
        <is>
          <t>SANTA ANA</t>
        </is>
      </c>
      <c r="G130" s="64" t="n">
        <v>0</v>
      </c>
      <c r="H130" s="64" t="n">
        <v>0</v>
      </c>
      <c r="I130" s="64" t="n">
        <v>0</v>
      </c>
      <c r="J130" s="64" t="n">
        <v>0</v>
      </c>
      <c r="K130" s="64" t="n">
        <v>0</v>
      </c>
      <c r="L130" s="64" t="n">
        <v>0</v>
      </c>
      <c r="M130" s="64" t="n">
        <v>6987135.670337229</v>
      </c>
      <c r="N130" s="64" t="n">
        <v>9915753.438609499</v>
      </c>
      <c r="O130" s="64" t="n">
        <v>0</v>
      </c>
      <c r="P130" s="64" t="n">
        <v>0</v>
      </c>
      <c r="Q130" s="64" t="n">
        <v>0</v>
      </c>
      <c r="R130" s="64" t="n">
        <v>0</v>
      </c>
      <c r="S130" s="64" t="n">
        <v>0</v>
      </c>
      <c r="T130" s="64" t="n">
        <v>0</v>
      </c>
      <c r="U130" s="64" t="n">
        <v>0</v>
      </c>
      <c r="V130" s="64" t="n">
        <v>0</v>
      </c>
      <c r="W130" s="64" t="n">
        <v>0</v>
      </c>
      <c r="X130" s="64" t="n">
        <v>6987135.670337229</v>
      </c>
      <c r="Y130" s="64" t="n">
        <v>1525696.94594723</v>
      </c>
      <c r="Z130" s="64" t="n">
        <v>8390056.49266227</v>
      </c>
      <c r="AA130" s="64" t="n">
        <v>0</v>
      </c>
      <c r="AB130" s="64" t="n">
        <v>0</v>
      </c>
      <c r="AC130" s="64" t="n">
        <v>0</v>
      </c>
      <c r="AD130" s="64" t="n">
        <v>0</v>
      </c>
      <c r="AE130" s="64" t="n">
        <v>0</v>
      </c>
      <c r="AF130" s="64" t="n">
        <v>0</v>
      </c>
      <c r="AG130" s="64" t="n">
        <v>0</v>
      </c>
      <c r="AH130" s="64" t="n">
        <v>0</v>
      </c>
      <c r="AI130" s="64" t="n">
        <v>6987135.670337229</v>
      </c>
      <c r="AJ130" s="64" t="n">
        <v>0</v>
      </c>
      <c r="AK130" s="64" t="n">
        <v>0</v>
      </c>
      <c r="AL130" s="64" t="n">
        <v>6987135.670337229</v>
      </c>
      <c r="AM130" s="64" t="n">
        <v>0</v>
      </c>
      <c r="AN130" s="64" t="n">
        <v>889079.2992272303</v>
      </c>
      <c r="AO130" s="64" t="n">
        <v>9026674.139382269</v>
      </c>
      <c r="AP130" s="64" t="n">
        <v>0</v>
      </c>
      <c r="AQ130" s="64" t="n">
        <v>0</v>
      </c>
      <c r="AR130" s="64" t="n">
        <v>9915753.438609499</v>
      </c>
    </row>
    <row r="131" ht="16" customHeight="1">
      <c r="A131" s="61" t="inlineStr">
        <is>
          <t>20136203003</t>
        </is>
      </c>
      <c r="B131" s="62" t="inlineStr">
        <is>
          <t>Central de Cooperativas Agrarias Te Huyro Ltda. N° 43</t>
        </is>
      </c>
      <c r="C131" s="61" t="n"/>
      <c r="D131" s="61" t="n"/>
      <c r="E131" s="61" t="n"/>
      <c r="F131" s="61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  <c r="AA131" s="63" t="n"/>
      <c r="AB131" s="63" t="n"/>
      <c r="AC131" s="63" t="n"/>
      <c r="AD131" s="63" t="n"/>
      <c r="AE131" s="63" t="n"/>
      <c r="AF131" s="63" t="n"/>
      <c r="AG131" s="63" t="n"/>
      <c r="AH131" s="63" t="n"/>
      <c r="AI131" s="63" t="n"/>
      <c r="AJ131" s="63" t="n"/>
      <c r="AK131" s="63" t="n"/>
      <c r="AL131" s="63" t="n"/>
      <c r="AM131" s="63" t="n"/>
      <c r="AN131" s="63" t="n"/>
      <c r="AO131" s="63" t="n"/>
      <c r="AP131" s="63" t="n"/>
      <c r="AQ131" s="63" t="n"/>
      <c r="AR131" s="63" t="n"/>
    </row>
    <row r="132" ht="16" customHeight="1">
      <c r="A132" s="58" t="inlineStr">
        <is>
          <t>20602657249</t>
        </is>
      </c>
      <c r="B132" s="59" t="inlineStr">
        <is>
          <t>Cooperativa Agraria Agroindustrial Q´ori Warmi Ltda.</t>
        </is>
      </c>
      <c r="C132" s="58" t="n"/>
      <c r="D132" s="58" t="n"/>
      <c r="E132" s="58" t="n"/>
      <c r="F132" s="58" t="n"/>
      <c r="G132" s="60" t="n"/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n"/>
      <c r="Y132" s="60" t="n"/>
      <c r="Z132" s="60" t="n"/>
      <c r="AA132" s="60" t="n"/>
      <c r="AB132" s="60" t="n"/>
      <c r="AC132" s="60" t="n"/>
      <c r="AD132" s="60" t="n"/>
      <c r="AE132" s="60" t="n"/>
      <c r="AF132" s="60" t="n"/>
      <c r="AG132" s="60" t="n"/>
      <c r="AH132" s="60" t="n"/>
      <c r="AI132" s="60" t="n"/>
      <c r="AJ132" s="60" t="n"/>
      <c r="AK132" s="60" t="n"/>
      <c r="AL132" s="60" t="n"/>
      <c r="AM132" s="60" t="n"/>
      <c r="AN132" s="60" t="n"/>
      <c r="AO132" s="60" t="n"/>
      <c r="AP132" s="60" t="n"/>
      <c r="AQ132" s="60" t="n"/>
      <c r="AR132" s="60" t="n"/>
    </row>
    <row r="133" ht="16" customHeight="1">
      <c r="A133" s="61" t="inlineStr">
        <is>
          <t>20132491217</t>
        </is>
      </c>
      <c r="B133" s="62" t="inlineStr">
        <is>
          <t>Cooperativa Agraria Cafetalera "Chaco Huaynay" Ltda. 100</t>
        </is>
      </c>
      <c r="C133" s="61" t="n"/>
      <c r="D133" s="61" t="n"/>
      <c r="E133" s="61" t="n"/>
      <c r="F133" s="61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  <c r="AA133" s="63" t="n"/>
      <c r="AB133" s="63" t="n"/>
      <c r="AC133" s="63" t="n"/>
      <c r="AD133" s="63" t="n"/>
      <c r="AE133" s="63" t="n"/>
      <c r="AF133" s="63" t="n"/>
      <c r="AG133" s="63" t="n"/>
      <c r="AH133" s="63" t="n"/>
      <c r="AI133" s="63" t="n"/>
      <c r="AJ133" s="63" t="n"/>
      <c r="AK133" s="63" t="n"/>
      <c r="AL133" s="63" t="n"/>
      <c r="AM133" s="63" t="n"/>
      <c r="AN133" s="63" t="n"/>
      <c r="AO133" s="63" t="n"/>
      <c r="AP133" s="63" t="n"/>
      <c r="AQ133" s="63" t="n"/>
      <c r="AR133" s="63" t="n"/>
    </row>
    <row r="134" ht="16" customHeight="1">
      <c r="A134" s="58" t="inlineStr">
        <is>
          <t>20136201132</t>
        </is>
      </c>
      <c r="B134" s="59" t="inlineStr">
        <is>
          <t>Cooperativa Agraria Cafetalera Alto Urubamba Ltda. Nº 239</t>
        </is>
      </c>
      <c r="C134" s="58" t="inlineStr">
        <is>
          <t>CAFÉ</t>
        </is>
      </c>
      <c r="D134" s="58" t="inlineStr">
        <is>
          <t>CUSCO</t>
        </is>
      </c>
      <c r="E134" s="58" t="inlineStr">
        <is>
          <t>LA CONVENCION</t>
        </is>
      </c>
      <c r="F134" s="58" t="inlineStr">
        <is>
          <t>SANTA ANA</t>
        </is>
      </c>
      <c r="G134" s="64" t="n">
        <v>0</v>
      </c>
      <c r="H134" s="64" t="n">
        <v>723018.2</v>
      </c>
      <c r="I134" s="64" t="n">
        <v>923748.54</v>
      </c>
      <c r="J134" s="64" t="n">
        <v>1432837.27</v>
      </c>
      <c r="K134" s="64" t="n">
        <v>2484611.27</v>
      </c>
      <c r="L134" s="64" t="n">
        <v>1850113.53</v>
      </c>
      <c r="M134" s="64" t="n">
        <v>0</v>
      </c>
      <c r="N134" s="64" t="n">
        <v>0</v>
      </c>
      <c r="O134" s="64" t="n">
        <v>923748.54</v>
      </c>
      <c r="P134" s="64" t="n">
        <v>0</v>
      </c>
      <c r="Q134" s="64" t="n">
        <v>1432837.27</v>
      </c>
      <c r="R134" s="64" t="n">
        <v>0</v>
      </c>
      <c r="S134" s="64" t="n">
        <v>477668.71</v>
      </c>
      <c r="T134" s="64" t="n">
        <v>2006942.56</v>
      </c>
      <c r="U134" s="64" t="n">
        <v>1303391.22</v>
      </c>
      <c r="V134" s="64" t="n">
        <v>546722.3100000001</v>
      </c>
      <c r="W134" s="64" t="n">
        <v>0</v>
      </c>
      <c r="X134" s="64" t="n">
        <v>0</v>
      </c>
      <c r="Y134" s="64" t="n">
        <v>0</v>
      </c>
      <c r="Z134" s="64" t="n">
        <v>0</v>
      </c>
      <c r="AA134" s="64" t="n">
        <v>0</v>
      </c>
      <c r="AB134" s="64" t="n">
        <v>0</v>
      </c>
      <c r="AC134" s="64" t="n">
        <v>1850120.185402</v>
      </c>
      <c r="AD134" s="64" t="n">
        <v>0</v>
      </c>
      <c r="AE134" s="64" t="n">
        <v>0</v>
      </c>
      <c r="AF134" s="64" t="n">
        <v>1850120.185402</v>
      </c>
      <c r="AG134" s="64" t="n">
        <v>0</v>
      </c>
      <c r="AH134" s="64" t="n">
        <v>0</v>
      </c>
      <c r="AI134" s="64" t="n">
        <v>0</v>
      </c>
      <c r="AJ134" s="64" t="n">
        <v>0</v>
      </c>
      <c r="AK134" s="64" t="n">
        <v>0</v>
      </c>
      <c r="AL134" s="64" t="n">
        <v>0</v>
      </c>
      <c r="AM134" s="64" t="n">
        <v>0</v>
      </c>
      <c r="AN134" s="64" t="n">
        <v>0</v>
      </c>
      <c r="AO134" s="64" t="n">
        <v>0</v>
      </c>
      <c r="AP134" s="64" t="n">
        <v>0</v>
      </c>
      <c r="AQ134" s="64" t="n">
        <v>0</v>
      </c>
      <c r="AR134" s="64" t="n">
        <v>0</v>
      </c>
    </row>
    <row r="135" ht="16" customHeight="1">
      <c r="A135" s="61" t="inlineStr">
        <is>
          <t>20140292657</t>
        </is>
      </c>
      <c r="B135" s="62" t="inlineStr">
        <is>
          <t>Cooperativa Agraria Cafetalera Ccochapampa Ltda.</t>
        </is>
      </c>
      <c r="C135" s="61" t="inlineStr">
        <is>
          <t>CAFÉ</t>
        </is>
      </c>
      <c r="D135" s="61" t="inlineStr">
        <is>
          <t>CUSCO</t>
        </is>
      </c>
      <c r="E135" s="61" t="inlineStr">
        <is>
          <t>LA CONVENCION</t>
        </is>
      </c>
      <c r="F135" s="61" t="inlineStr">
        <is>
          <t>SANTA ANA</t>
        </is>
      </c>
      <c r="G135" s="65" t="n">
        <v>0</v>
      </c>
      <c r="H135" s="65" t="n">
        <v>0</v>
      </c>
      <c r="I135" s="65" t="n">
        <v>0</v>
      </c>
      <c r="J135" s="65" t="n">
        <v>0</v>
      </c>
      <c r="K135" s="65" t="n">
        <v>0</v>
      </c>
      <c r="L135" s="65" t="n">
        <v>0</v>
      </c>
      <c r="M135" s="65" t="n">
        <v>477922.30663951</v>
      </c>
      <c r="N135" s="65" t="n">
        <v>1773460</v>
      </c>
      <c r="O135" s="65" t="n">
        <v>0</v>
      </c>
      <c r="P135" s="65" t="n">
        <v>0</v>
      </c>
      <c r="Q135" s="65" t="n">
        <v>0</v>
      </c>
      <c r="R135" s="65" t="n">
        <v>0</v>
      </c>
      <c r="S135" s="65" t="n">
        <v>0</v>
      </c>
      <c r="T135" s="65" t="n">
        <v>0</v>
      </c>
      <c r="U135" s="65" t="n">
        <v>0</v>
      </c>
      <c r="V135" s="65" t="n">
        <v>0</v>
      </c>
      <c r="W135" s="65" t="n">
        <v>477922.30663951</v>
      </c>
      <c r="X135" s="65" t="n">
        <v>0</v>
      </c>
      <c r="Y135" s="65" t="n">
        <v>0</v>
      </c>
      <c r="Z135" s="65" t="n">
        <v>1773460</v>
      </c>
      <c r="AA135" s="65" t="n">
        <v>0</v>
      </c>
      <c r="AB135" s="65" t="n">
        <v>0</v>
      </c>
      <c r="AC135" s="65" t="n">
        <v>0</v>
      </c>
      <c r="AD135" s="65" t="n">
        <v>0</v>
      </c>
      <c r="AE135" s="65" t="n">
        <v>0</v>
      </c>
      <c r="AF135" s="65" t="n">
        <v>0</v>
      </c>
      <c r="AG135" s="65" t="n">
        <v>0</v>
      </c>
      <c r="AH135" s="65" t="n">
        <v>0</v>
      </c>
      <c r="AI135" s="65" t="n">
        <v>477922.30663951</v>
      </c>
      <c r="AJ135" s="65" t="n">
        <v>0</v>
      </c>
      <c r="AK135" s="65" t="n">
        <v>0</v>
      </c>
      <c r="AL135" s="65" t="n">
        <v>477922.30663951</v>
      </c>
      <c r="AM135" s="65" t="n">
        <v>0</v>
      </c>
      <c r="AN135" s="65" t="n">
        <v>1773460</v>
      </c>
      <c r="AO135" s="65" t="n">
        <v>0</v>
      </c>
      <c r="AP135" s="65" t="n">
        <v>0</v>
      </c>
      <c r="AQ135" s="65" t="n">
        <v>0</v>
      </c>
      <c r="AR135" s="65" t="n">
        <v>1773460</v>
      </c>
    </row>
    <row r="136" ht="16" customHeight="1">
      <c r="A136" s="58" t="inlineStr">
        <is>
          <t>20132489824</t>
        </is>
      </c>
      <c r="B136" s="59" t="inlineStr">
        <is>
          <t>Cooperativa Agraria Cafetalera Chanchamayo Ltda. N°008-B-VII</t>
        </is>
      </c>
      <c r="C136" s="58" t="n"/>
      <c r="D136" s="58" t="n"/>
      <c r="E136" s="58" t="n"/>
      <c r="F136" s="58" t="n"/>
      <c r="G136" s="60" t="n"/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  <c r="Z136" s="60" t="n"/>
      <c r="AA136" s="60" t="n"/>
      <c r="AB136" s="60" t="n"/>
      <c r="AC136" s="60" t="n"/>
      <c r="AD136" s="60" t="n"/>
      <c r="AE136" s="60" t="n"/>
      <c r="AF136" s="60" t="n"/>
      <c r="AG136" s="60" t="n"/>
      <c r="AH136" s="60" t="n"/>
      <c r="AI136" s="60" t="n"/>
      <c r="AJ136" s="60" t="n"/>
      <c r="AK136" s="60" t="n"/>
      <c r="AL136" s="60" t="n"/>
      <c r="AM136" s="60" t="n"/>
      <c r="AN136" s="60" t="n"/>
      <c r="AO136" s="60" t="n"/>
      <c r="AP136" s="60" t="n"/>
      <c r="AQ136" s="60" t="n"/>
      <c r="AR136" s="60" t="n"/>
    </row>
    <row r="137" ht="16" customHeight="1">
      <c r="A137" s="61" t="inlineStr">
        <is>
          <t>20132489158</t>
        </is>
      </c>
      <c r="B137" s="62" t="inlineStr">
        <is>
          <t>Cooperativa Agraria Cafetalera Chaupimayo Ltda.</t>
        </is>
      </c>
      <c r="C137" s="61" t="n"/>
      <c r="D137" s="61" t="n"/>
      <c r="E137" s="61" t="n"/>
      <c r="F137" s="61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  <c r="AA137" s="63" t="n"/>
      <c r="AB137" s="63" t="n"/>
      <c r="AC137" s="63" t="n"/>
      <c r="AD137" s="63" t="n"/>
      <c r="AE137" s="63" t="n"/>
      <c r="AF137" s="63" t="n"/>
      <c r="AG137" s="63" t="n"/>
      <c r="AH137" s="63" t="n"/>
      <c r="AI137" s="63" t="n"/>
      <c r="AJ137" s="63" t="n"/>
      <c r="AK137" s="63" t="n"/>
      <c r="AL137" s="63" t="n"/>
      <c r="AM137" s="63" t="n"/>
      <c r="AN137" s="63" t="n"/>
      <c r="AO137" s="63" t="n"/>
      <c r="AP137" s="63" t="n"/>
      <c r="AQ137" s="63" t="n"/>
      <c r="AR137" s="63" t="n"/>
    </row>
    <row r="138" ht="16" customHeight="1">
      <c r="A138" s="58" t="inlineStr">
        <is>
          <t>20132497410</t>
        </is>
      </c>
      <c r="B138" s="59" t="inlineStr">
        <is>
          <t>Cooperativa Agraria Cafetalera Huadquiña Ltda. N°109</t>
        </is>
      </c>
      <c r="C138" s="58" t="n"/>
      <c r="D138" s="58" t="n"/>
      <c r="E138" s="58" t="n"/>
      <c r="F138" s="58" t="n"/>
      <c r="G138" s="60" t="n"/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  <c r="Z138" s="60" t="n"/>
      <c r="AA138" s="60" t="n"/>
      <c r="AB138" s="60" t="n"/>
      <c r="AC138" s="60" t="n"/>
      <c r="AD138" s="60" t="n"/>
      <c r="AE138" s="60" t="n"/>
      <c r="AF138" s="60" t="n"/>
      <c r="AG138" s="60" t="n"/>
      <c r="AH138" s="60" t="n"/>
      <c r="AI138" s="60" t="n"/>
      <c r="AJ138" s="60" t="n"/>
      <c r="AK138" s="60" t="n"/>
      <c r="AL138" s="60" t="n"/>
      <c r="AM138" s="60" t="n"/>
      <c r="AN138" s="60" t="n"/>
      <c r="AO138" s="60" t="n"/>
      <c r="AP138" s="60" t="n"/>
      <c r="AQ138" s="60" t="n"/>
      <c r="AR138" s="60" t="n"/>
    </row>
    <row r="139" ht="16" customHeight="1">
      <c r="A139" s="61" t="inlineStr">
        <is>
          <t>20132490245</t>
        </is>
      </c>
      <c r="B139" s="62" t="inlineStr">
        <is>
          <t>Cooperativa Agraria Cafetalera Huayopata Limitada N°110</t>
        </is>
      </c>
      <c r="C139" s="61" t="n"/>
      <c r="D139" s="61" t="n"/>
      <c r="E139" s="61" t="n"/>
      <c r="F139" s="61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  <c r="AA139" s="63" t="n"/>
      <c r="AB139" s="63" t="n"/>
      <c r="AC139" s="63" t="n"/>
      <c r="AD139" s="63" t="n"/>
      <c r="AE139" s="63" t="n"/>
      <c r="AF139" s="63" t="n"/>
      <c r="AG139" s="63" t="n"/>
      <c r="AH139" s="63" t="n"/>
      <c r="AI139" s="63" t="n"/>
      <c r="AJ139" s="63" t="n"/>
      <c r="AK139" s="63" t="n"/>
      <c r="AL139" s="63" t="n"/>
      <c r="AM139" s="63" t="n"/>
      <c r="AN139" s="63" t="n"/>
      <c r="AO139" s="63" t="n"/>
      <c r="AP139" s="63" t="n"/>
      <c r="AQ139" s="63" t="n"/>
      <c r="AR139" s="63" t="n"/>
    </row>
    <row r="140" ht="16" customHeight="1">
      <c r="A140" s="58" t="inlineStr">
        <is>
          <t>20200880448</t>
        </is>
      </c>
      <c r="B140" s="59" t="inlineStr">
        <is>
          <t>Cooperativa Agraria Cafetalera Jorge Chavez Ltda.</t>
        </is>
      </c>
      <c r="C140" s="58" t="n"/>
      <c r="D140" s="58" t="n"/>
      <c r="E140" s="58" t="n"/>
      <c r="F140" s="58" t="n"/>
      <c r="G140" s="60" t="n"/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60" t="n"/>
      <c r="X140" s="60" t="n"/>
      <c r="Y140" s="60" t="n"/>
      <c r="Z140" s="60" t="n"/>
      <c r="AA140" s="60" t="n"/>
      <c r="AB140" s="60" t="n"/>
      <c r="AC140" s="60" t="n"/>
      <c r="AD140" s="60" t="n"/>
      <c r="AE140" s="60" t="n"/>
      <c r="AF140" s="60" t="n"/>
      <c r="AG140" s="60" t="n"/>
      <c r="AH140" s="60" t="n"/>
      <c r="AI140" s="60" t="n"/>
      <c r="AJ140" s="60" t="n"/>
      <c r="AK140" s="60" t="n"/>
      <c r="AL140" s="60" t="n"/>
      <c r="AM140" s="60" t="n"/>
      <c r="AN140" s="60" t="n"/>
      <c r="AO140" s="60" t="n"/>
      <c r="AP140" s="60" t="n"/>
      <c r="AQ140" s="60" t="n"/>
      <c r="AR140" s="60" t="n"/>
    </row>
    <row r="141" ht="16" customHeight="1">
      <c r="A141" s="61" t="inlineStr">
        <is>
          <t>20132509795</t>
        </is>
      </c>
      <c r="B141" s="62" t="inlineStr">
        <is>
          <t>Cooperativa Agraria Cafetalera Jose Olaya Ltda. N°252</t>
        </is>
      </c>
      <c r="C141" s="61" t="inlineStr">
        <is>
          <t>CAFÉ</t>
        </is>
      </c>
      <c r="D141" s="61" t="inlineStr">
        <is>
          <t>CUSCO</t>
        </is>
      </c>
      <c r="E141" s="61" t="inlineStr">
        <is>
          <t>LA CONVENCION</t>
        </is>
      </c>
      <c r="F141" s="61" t="inlineStr">
        <is>
          <t>SANTA ANA</t>
        </is>
      </c>
      <c r="G141" s="65" t="n">
        <v>0</v>
      </c>
      <c r="H141" s="65" t="n">
        <v>2788235.18</v>
      </c>
      <c r="I141" s="65" t="n">
        <v>983684.64</v>
      </c>
      <c r="J141" s="65" t="n">
        <v>2331201.48</v>
      </c>
      <c r="K141" s="65" t="n">
        <v>4795406.38</v>
      </c>
      <c r="L141" s="65" t="n">
        <v>4455607.34</v>
      </c>
      <c r="M141" s="65" t="n">
        <v>0</v>
      </c>
      <c r="N141" s="65" t="n">
        <v>0</v>
      </c>
      <c r="O141" s="65" t="n">
        <v>0</v>
      </c>
      <c r="P141" s="65" t="n">
        <v>983684.64</v>
      </c>
      <c r="Q141" s="65" t="n">
        <v>113752.69</v>
      </c>
      <c r="R141" s="65" t="n">
        <v>2217448.79</v>
      </c>
      <c r="S141" s="65" t="n">
        <v>0</v>
      </c>
      <c r="T141" s="65" t="n">
        <v>4795406.38</v>
      </c>
      <c r="U141" s="65" t="n">
        <v>5497.5</v>
      </c>
      <c r="V141" s="65" t="n">
        <v>4450109.84</v>
      </c>
      <c r="W141" s="65" t="n">
        <v>0</v>
      </c>
      <c r="X141" s="65" t="n">
        <v>0</v>
      </c>
      <c r="Y141" s="65" t="n">
        <v>0</v>
      </c>
      <c r="Z141" s="65" t="n">
        <v>0</v>
      </c>
      <c r="AA141" s="65" t="n">
        <v>5197.5</v>
      </c>
      <c r="AB141" s="65" t="n">
        <v>132</v>
      </c>
      <c r="AC141" s="65" t="n">
        <v>4450277.840000001</v>
      </c>
      <c r="AD141" s="65" t="n">
        <v>0</v>
      </c>
      <c r="AE141" s="65" t="n">
        <v>0</v>
      </c>
      <c r="AF141" s="65" t="n">
        <v>4455607.340000001</v>
      </c>
      <c r="AG141" s="65" t="n">
        <v>0</v>
      </c>
      <c r="AH141" s="65" t="n">
        <v>0</v>
      </c>
      <c r="AI141" s="65" t="n">
        <v>0</v>
      </c>
      <c r="AJ141" s="65" t="n">
        <v>0</v>
      </c>
      <c r="AK141" s="65" t="n">
        <v>0</v>
      </c>
      <c r="AL141" s="65" t="n">
        <v>0</v>
      </c>
      <c r="AM141" s="65" t="n">
        <v>0</v>
      </c>
      <c r="AN141" s="65" t="n">
        <v>0</v>
      </c>
      <c r="AO141" s="65" t="n">
        <v>0</v>
      </c>
      <c r="AP141" s="65" t="n">
        <v>0</v>
      </c>
      <c r="AQ141" s="65" t="n">
        <v>0</v>
      </c>
      <c r="AR141" s="65" t="n">
        <v>0</v>
      </c>
    </row>
    <row r="142" ht="16" customHeight="1">
      <c r="A142" s="58" t="inlineStr">
        <is>
          <t>20179744750</t>
        </is>
      </c>
      <c r="B142" s="59" t="inlineStr">
        <is>
          <t>Cooperativa Agraria Cafetalera Macamango Ltda. 85</t>
        </is>
      </c>
      <c r="C142" s="58" t="n"/>
      <c r="D142" s="58" t="n"/>
      <c r="E142" s="58" t="n"/>
      <c r="F142" s="58" t="n"/>
      <c r="G142" s="60" t="n"/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n"/>
      <c r="Y142" s="60" t="n"/>
      <c r="Z142" s="60" t="n"/>
      <c r="AA142" s="60" t="n"/>
      <c r="AB142" s="60" t="n"/>
      <c r="AC142" s="60" t="n"/>
      <c r="AD142" s="60" t="n"/>
      <c r="AE142" s="60" t="n"/>
      <c r="AF142" s="60" t="n"/>
      <c r="AG142" s="60" t="n"/>
      <c r="AH142" s="60" t="n"/>
      <c r="AI142" s="60" t="n"/>
      <c r="AJ142" s="60" t="n"/>
      <c r="AK142" s="60" t="n"/>
      <c r="AL142" s="60" t="n"/>
      <c r="AM142" s="60" t="n"/>
      <c r="AN142" s="60" t="n"/>
      <c r="AO142" s="60" t="n"/>
      <c r="AP142" s="60" t="n"/>
      <c r="AQ142" s="60" t="n"/>
      <c r="AR142" s="60" t="n"/>
    </row>
    <row r="143" ht="16" customHeight="1">
      <c r="A143" s="61" t="inlineStr">
        <is>
          <t>20140282007</t>
        </is>
      </c>
      <c r="B143" s="62" t="inlineStr">
        <is>
          <t>Cooperativa Agraria Cafetalera Manco II Ltda. 11</t>
        </is>
      </c>
      <c r="C143" s="61" t="n"/>
      <c r="D143" s="61" t="n"/>
      <c r="E143" s="61" t="n"/>
      <c r="F143" s="61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  <c r="AA143" s="63" t="n"/>
      <c r="AB143" s="63" t="n"/>
      <c r="AC143" s="63" t="n"/>
      <c r="AD143" s="63" t="n"/>
      <c r="AE143" s="63" t="n"/>
      <c r="AF143" s="63" t="n"/>
      <c r="AG143" s="63" t="n"/>
      <c r="AH143" s="63" t="n"/>
      <c r="AI143" s="63" t="n"/>
      <c r="AJ143" s="63" t="n"/>
      <c r="AK143" s="63" t="n"/>
      <c r="AL143" s="63" t="n"/>
      <c r="AM143" s="63" t="n"/>
      <c r="AN143" s="63" t="n"/>
      <c r="AO143" s="63" t="n"/>
      <c r="AP143" s="63" t="n"/>
      <c r="AQ143" s="63" t="n"/>
      <c r="AR143" s="63" t="n"/>
    </row>
    <row r="144" ht="16" customHeight="1">
      <c r="A144" s="58" t="inlineStr">
        <is>
          <t>20187587337</t>
        </is>
      </c>
      <c r="B144" s="59" t="inlineStr">
        <is>
          <t>Cooperativa Agraria Cafetalera Manco Inca Ltda</t>
        </is>
      </c>
      <c r="C144" s="58" t="n"/>
      <c r="D144" s="58" t="n"/>
      <c r="E144" s="58" t="n"/>
      <c r="F144" s="58" t="n"/>
      <c r="G144" s="60" t="n"/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60" t="n"/>
      <c r="X144" s="60" t="n"/>
      <c r="Y144" s="60" t="n"/>
      <c r="Z144" s="60" t="n"/>
      <c r="AA144" s="60" t="n"/>
      <c r="AB144" s="60" t="n"/>
      <c r="AC144" s="60" t="n"/>
      <c r="AD144" s="60" t="n"/>
      <c r="AE144" s="60" t="n"/>
      <c r="AF144" s="60" t="n"/>
      <c r="AG144" s="60" t="n"/>
      <c r="AH144" s="60" t="n"/>
      <c r="AI144" s="60" t="n"/>
      <c r="AJ144" s="60" t="n"/>
      <c r="AK144" s="60" t="n"/>
      <c r="AL144" s="60" t="n"/>
      <c r="AM144" s="60" t="n"/>
      <c r="AN144" s="60" t="n"/>
      <c r="AO144" s="60" t="n"/>
      <c r="AP144" s="60" t="n"/>
      <c r="AQ144" s="60" t="n"/>
      <c r="AR144" s="60" t="n"/>
    </row>
    <row r="145" ht="16" customHeight="1">
      <c r="A145" s="61" t="inlineStr">
        <is>
          <t>20132517119</t>
        </is>
      </c>
      <c r="B145" s="62" t="inlineStr">
        <is>
          <t>Cooperativa Agraria Cafetalera Mateo Pumachua Ltda N° 185</t>
        </is>
      </c>
      <c r="C145" s="61" t="inlineStr">
        <is>
          <t>CAFÉ</t>
        </is>
      </c>
      <c r="D145" s="61" t="inlineStr">
        <is>
          <t>CUSCO</t>
        </is>
      </c>
      <c r="E145" s="61" t="inlineStr">
        <is>
          <t>LA CONVENCION</t>
        </is>
      </c>
      <c r="F145" s="61" t="inlineStr">
        <is>
          <t>SANTA ANA</t>
        </is>
      </c>
      <c r="G145" s="65" t="n">
        <v>0</v>
      </c>
      <c r="H145" s="65" t="n">
        <v>0</v>
      </c>
      <c r="I145" s="65" t="n">
        <v>0</v>
      </c>
      <c r="J145" s="65" t="n">
        <v>0</v>
      </c>
      <c r="K145" s="65" t="n">
        <v>0</v>
      </c>
      <c r="L145" s="65" t="n">
        <v>0</v>
      </c>
      <c r="M145" s="65" t="n">
        <v>80172.95199999999</v>
      </c>
      <c r="N145" s="65" t="n">
        <v>274646.15</v>
      </c>
      <c r="O145" s="65" t="n">
        <v>0</v>
      </c>
      <c r="P145" s="65" t="n">
        <v>0</v>
      </c>
      <c r="Q145" s="65" t="n">
        <v>0</v>
      </c>
      <c r="R145" s="65" t="n">
        <v>0</v>
      </c>
      <c r="S145" s="65" t="n">
        <v>0</v>
      </c>
      <c r="T145" s="65" t="n">
        <v>0</v>
      </c>
      <c r="U145" s="65" t="n">
        <v>0</v>
      </c>
      <c r="V145" s="65" t="n">
        <v>0</v>
      </c>
      <c r="W145" s="65" t="n">
        <v>80172.95199999999</v>
      </c>
      <c r="X145" s="65" t="n">
        <v>0</v>
      </c>
      <c r="Y145" s="65" t="n">
        <v>274646.15</v>
      </c>
      <c r="Z145" s="65" t="n">
        <v>0</v>
      </c>
      <c r="AA145" s="65" t="n">
        <v>0</v>
      </c>
      <c r="AB145" s="65" t="n">
        <v>0</v>
      </c>
      <c r="AC145" s="65" t="n">
        <v>0</v>
      </c>
      <c r="AD145" s="65" t="n">
        <v>0</v>
      </c>
      <c r="AE145" s="65" t="n">
        <v>0</v>
      </c>
      <c r="AF145" s="65" t="n">
        <v>0</v>
      </c>
      <c r="AG145" s="65" t="n">
        <v>0</v>
      </c>
      <c r="AH145" s="65" t="n">
        <v>0</v>
      </c>
      <c r="AI145" s="65" t="n">
        <v>80172.95199999999</v>
      </c>
      <c r="AJ145" s="65" t="n">
        <v>0</v>
      </c>
      <c r="AK145" s="65" t="n">
        <v>0</v>
      </c>
      <c r="AL145" s="65" t="n">
        <v>80172.95199999999</v>
      </c>
      <c r="AM145" s="65" t="n">
        <v>0</v>
      </c>
      <c r="AN145" s="65" t="n">
        <v>169145.5</v>
      </c>
      <c r="AO145" s="65" t="n">
        <v>105500.65</v>
      </c>
      <c r="AP145" s="65" t="n">
        <v>0</v>
      </c>
      <c r="AQ145" s="65" t="n">
        <v>0</v>
      </c>
      <c r="AR145" s="65" t="n">
        <v>274646.15</v>
      </c>
    </row>
    <row r="146" ht="16" customHeight="1">
      <c r="A146" s="58" t="inlineStr">
        <is>
          <t>20563844991</t>
        </is>
      </c>
      <c r="B146" s="59" t="inlineStr">
        <is>
          <t>Cooperativa Agraria Cafetalera Quillabamba Limitada</t>
        </is>
      </c>
      <c r="C146" s="58" t="n"/>
      <c r="D146" s="58" t="n"/>
      <c r="E146" s="58" t="n"/>
      <c r="F146" s="58" t="n"/>
      <c r="G146" s="60" t="n"/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0" t="n"/>
      <c r="V146" s="60" t="n"/>
      <c r="W146" s="60" t="n"/>
      <c r="X146" s="60" t="n"/>
      <c r="Y146" s="60" t="n"/>
      <c r="Z146" s="60" t="n"/>
      <c r="AA146" s="60" t="n"/>
      <c r="AB146" s="60" t="n"/>
      <c r="AC146" s="60" t="n"/>
      <c r="AD146" s="60" t="n"/>
      <c r="AE146" s="60" t="n"/>
      <c r="AF146" s="60" t="n"/>
      <c r="AG146" s="60" t="n"/>
      <c r="AH146" s="60" t="n"/>
      <c r="AI146" s="60" t="n"/>
      <c r="AJ146" s="60" t="n"/>
      <c r="AK146" s="60" t="n"/>
      <c r="AL146" s="60" t="n"/>
      <c r="AM146" s="60" t="n"/>
      <c r="AN146" s="60" t="n"/>
      <c r="AO146" s="60" t="n"/>
      <c r="AP146" s="60" t="n"/>
      <c r="AQ146" s="60" t="n"/>
      <c r="AR146" s="60" t="n"/>
    </row>
    <row r="147" ht="16" customHeight="1">
      <c r="A147" s="61" t="inlineStr">
        <is>
          <t>20527181047</t>
        </is>
      </c>
      <c r="B147" s="62" t="inlineStr">
        <is>
          <t>Cooperativa Agraria Cafetalera San Fernando Ltda</t>
        </is>
      </c>
      <c r="C147" s="61" t="n"/>
      <c r="D147" s="61" t="n"/>
      <c r="E147" s="61" t="n"/>
      <c r="F147" s="61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  <c r="AA147" s="63" t="n"/>
      <c r="AB147" s="63" t="n"/>
      <c r="AC147" s="63" t="n"/>
      <c r="AD147" s="63" t="n"/>
      <c r="AE147" s="63" t="n"/>
      <c r="AF147" s="63" t="n"/>
      <c r="AG147" s="63" t="n"/>
      <c r="AH147" s="63" t="n"/>
      <c r="AI147" s="63" t="n"/>
      <c r="AJ147" s="63" t="n"/>
      <c r="AK147" s="63" t="n"/>
      <c r="AL147" s="63" t="n"/>
      <c r="AM147" s="63" t="n"/>
      <c r="AN147" s="63" t="n"/>
      <c r="AO147" s="63" t="n"/>
      <c r="AP147" s="63" t="n"/>
      <c r="AQ147" s="63" t="n"/>
      <c r="AR147" s="63" t="n"/>
    </row>
    <row r="148" ht="16" customHeight="1">
      <c r="A148" s="58" t="inlineStr">
        <is>
          <t>20132526703</t>
        </is>
      </c>
      <c r="B148" s="59" t="inlineStr">
        <is>
          <t>Cooperativa Agraria Cafetalera Santa Ana Ltda. 232</t>
        </is>
      </c>
      <c r="C148" s="58" t="n"/>
      <c r="D148" s="58" t="n"/>
      <c r="E148" s="58" t="n"/>
      <c r="F148" s="58" t="n"/>
      <c r="G148" s="60" t="n"/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0" t="n"/>
      <c r="V148" s="60" t="n"/>
      <c r="W148" s="60" t="n"/>
      <c r="X148" s="60" t="n"/>
      <c r="Y148" s="60" t="n"/>
      <c r="Z148" s="60" t="n"/>
      <c r="AA148" s="60" t="n"/>
      <c r="AB148" s="60" t="n"/>
      <c r="AC148" s="60" t="n"/>
      <c r="AD148" s="60" t="n"/>
      <c r="AE148" s="60" t="n"/>
      <c r="AF148" s="60" t="n"/>
      <c r="AG148" s="60" t="n"/>
      <c r="AH148" s="60" t="n"/>
      <c r="AI148" s="60" t="n"/>
      <c r="AJ148" s="60" t="n"/>
      <c r="AK148" s="60" t="n"/>
      <c r="AL148" s="60" t="n"/>
      <c r="AM148" s="60" t="n"/>
      <c r="AN148" s="60" t="n"/>
      <c r="AO148" s="60" t="n"/>
      <c r="AP148" s="60" t="n"/>
      <c r="AQ148" s="60" t="n"/>
      <c r="AR148" s="60" t="n"/>
    </row>
    <row r="149" ht="16" customHeight="1">
      <c r="A149" s="61" t="inlineStr">
        <is>
          <t>20140274756</t>
        </is>
      </c>
      <c r="B149" s="62" t="inlineStr">
        <is>
          <t>Cooperativa Agraria Cafetalera Tiobamba Ltda.</t>
        </is>
      </c>
      <c r="C149" s="61" t="n"/>
      <c r="D149" s="61" t="n"/>
      <c r="E149" s="61" t="n"/>
      <c r="F149" s="61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  <c r="AA149" s="63" t="n"/>
      <c r="AB149" s="63" t="n"/>
      <c r="AC149" s="63" t="n"/>
      <c r="AD149" s="63" t="n"/>
      <c r="AE149" s="63" t="n"/>
      <c r="AF149" s="63" t="n"/>
      <c r="AG149" s="63" t="n"/>
      <c r="AH149" s="63" t="n"/>
      <c r="AI149" s="63" t="n"/>
      <c r="AJ149" s="63" t="n"/>
      <c r="AK149" s="63" t="n"/>
      <c r="AL149" s="63" t="n"/>
      <c r="AM149" s="63" t="n"/>
      <c r="AN149" s="63" t="n"/>
      <c r="AO149" s="63" t="n"/>
      <c r="AP149" s="63" t="n"/>
      <c r="AQ149" s="63" t="n"/>
      <c r="AR149" s="63" t="n"/>
    </row>
    <row r="150" ht="16" customHeight="1">
      <c r="A150" s="58" t="inlineStr">
        <is>
          <t>20143224857</t>
        </is>
      </c>
      <c r="B150" s="59" t="inlineStr">
        <is>
          <t>Cooperativa Agraria De Usuarios Amaybamba Pistipata Ltda N° 34</t>
        </is>
      </c>
      <c r="C150" s="58" t="inlineStr">
        <is>
          <t>TE</t>
        </is>
      </c>
      <c r="D150" s="58" t="inlineStr">
        <is>
          <t>CUSCO</t>
        </is>
      </c>
      <c r="E150" s="58" t="inlineStr">
        <is>
          <t>LA CONVENCION</t>
        </is>
      </c>
      <c r="F150" s="58" t="inlineStr">
        <is>
          <t>HUAYOPATA</t>
        </is>
      </c>
      <c r="G150" s="64" t="n">
        <v>0</v>
      </c>
      <c r="H150" s="64" t="n">
        <v>0</v>
      </c>
      <c r="I150" s="64" t="n">
        <v>0</v>
      </c>
      <c r="J150" s="64" t="n">
        <v>11267.5</v>
      </c>
      <c r="K150" s="64" t="n">
        <v>75014</v>
      </c>
      <c r="L150" s="64" t="n">
        <v>110208</v>
      </c>
      <c r="M150" s="64" t="n">
        <v>45825.4025</v>
      </c>
      <c r="N150" s="64" t="n">
        <v>167028.998</v>
      </c>
      <c r="O150" s="64" t="n">
        <v>0</v>
      </c>
      <c r="P150" s="64" t="n">
        <v>0</v>
      </c>
      <c r="Q150" s="64" t="n">
        <v>11267.5</v>
      </c>
      <c r="R150" s="64" t="n">
        <v>0</v>
      </c>
      <c r="S150" s="64" t="n">
        <v>75014</v>
      </c>
      <c r="T150" s="64" t="n">
        <v>0</v>
      </c>
      <c r="U150" s="64" t="n">
        <v>110208</v>
      </c>
      <c r="V150" s="64" t="n">
        <v>0</v>
      </c>
      <c r="W150" s="64" t="n">
        <v>45825.4025</v>
      </c>
      <c r="X150" s="64" t="n">
        <v>0</v>
      </c>
      <c r="Y150" s="64" t="n">
        <v>167028.998</v>
      </c>
      <c r="Z150" s="64" t="n">
        <v>0</v>
      </c>
      <c r="AA150" s="64" t="n">
        <v>65795.5</v>
      </c>
      <c r="AB150" s="64" t="n">
        <v>0</v>
      </c>
      <c r="AC150" s="64" t="n">
        <v>44412.5</v>
      </c>
      <c r="AD150" s="64" t="n">
        <v>0</v>
      </c>
      <c r="AE150" s="64" t="n">
        <v>0</v>
      </c>
      <c r="AF150" s="64" t="n">
        <v>110208</v>
      </c>
      <c r="AG150" s="64" t="n">
        <v>0</v>
      </c>
      <c r="AH150" s="64" t="n">
        <v>0</v>
      </c>
      <c r="AI150" s="64" t="n">
        <v>45825.4025</v>
      </c>
      <c r="AJ150" s="64" t="n">
        <v>0</v>
      </c>
      <c r="AK150" s="64" t="n">
        <v>0</v>
      </c>
      <c r="AL150" s="64" t="n">
        <v>45825.4025</v>
      </c>
      <c r="AM150" s="64" t="n">
        <v>29041.5</v>
      </c>
      <c r="AN150" s="64" t="n">
        <v>0</v>
      </c>
      <c r="AO150" s="64" t="n">
        <v>137987.498</v>
      </c>
      <c r="AP150" s="64" t="n">
        <v>0</v>
      </c>
      <c r="AQ150" s="64" t="n">
        <v>0</v>
      </c>
      <c r="AR150" s="64" t="n">
        <v>167028.998</v>
      </c>
    </row>
    <row r="151" ht="16" customHeight="1">
      <c r="A151" s="61" t="inlineStr">
        <is>
          <t>20609488477</t>
        </is>
      </c>
      <c r="B151" s="62" t="inlineStr">
        <is>
          <t>Cooperativa Agraria Origenes del Valle de Lacco</t>
        </is>
      </c>
      <c r="C151" s="61" t="n"/>
      <c r="D151" s="61" t="n"/>
      <c r="E151" s="61" t="n"/>
      <c r="F151" s="61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  <c r="Z151" s="63" t="n"/>
      <c r="AA151" s="63" t="n"/>
      <c r="AB151" s="63" t="n"/>
      <c r="AC151" s="63" t="n"/>
      <c r="AD151" s="63" t="n"/>
      <c r="AE151" s="63" t="n"/>
      <c r="AF151" s="63" t="n"/>
      <c r="AG151" s="63" t="n"/>
      <c r="AH151" s="63" t="n"/>
      <c r="AI151" s="63" t="n"/>
      <c r="AJ151" s="63" t="n"/>
      <c r="AK151" s="63" t="n"/>
      <c r="AL151" s="63" t="n"/>
      <c r="AM151" s="63" t="n"/>
      <c r="AN151" s="63" t="n"/>
      <c r="AO151" s="63" t="n"/>
      <c r="AP151" s="63" t="n"/>
      <c r="AQ151" s="63" t="n"/>
      <c r="AR151" s="63" t="n"/>
    </row>
    <row r="152" ht="16" customHeight="1">
      <c r="A152" s="58" t="inlineStr">
        <is>
          <t>20600161378</t>
        </is>
      </c>
      <c r="B152" s="59" t="inlineStr">
        <is>
          <t>Cooperativa Agraria de Agricultores Huyro</t>
        </is>
      </c>
      <c r="C152" s="58" t="inlineStr">
        <is>
          <t>TE</t>
        </is>
      </c>
      <c r="D152" s="58" t="inlineStr">
        <is>
          <t>CUSCO</t>
        </is>
      </c>
      <c r="E152" s="58" t="inlineStr">
        <is>
          <t>LA CONVENCION</t>
        </is>
      </c>
      <c r="F152" s="58" t="inlineStr">
        <is>
          <t>HUAYOPATA</t>
        </is>
      </c>
      <c r="G152" s="64" t="n">
        <v>0</v>
      </c>
      <c r="H152" s="64" t="n">
        <v>126414</v>
      </c>
      <c r="I152" s="64" t="n">
        <v>53481</v>
      </c>
      <c r="J152" s="64" t="n">
        <v>30897.8</v>
      </c>
      <c r="K152" s="64" t="n">
        <v>39677</v>
      </c>
      <c r="L152" s="64" t="n">
        <v>19964</v>
      </c>
      <c r="M152" s="64" t="n">
        <v>0</v>
      </c>
      <c r="N152" s="64" t="n">
        <v>0</v>
      </c>
      <c r="O152" s="64" t="n">
        <v>53481</v>
      </c>
      <c r="P152" s="64" t="n">
        <v>0</v>
      </c>
      <c r="Q152" s="64" t="n">
        <v>30897.8</v>
      </c>
      <c r="R152" s="64" t="n">
        <v>0</v>
      </c>
      <c r="S152" s="64" t="n">
        <v>39677</v>
      </c>
      <c r="T152" s="64" t="n">
        <v>0</v>
      </c>
      <c r="U152" s="64" t="n">
        <v>19964</v>
      </c>
      <c r="V152" s="64" t="n">
        <v>0</v>
      </c>
      <c r="W152" s="64" t="n">
        <v>0</v>
      </c>
      <c r="X152" s="64" t="n">
        <v>0</v>
      </c>
      <c r="Y152" s="64" t="n">
        <v>0</v>
      </c>
      <c r="Z152" s="64" t="n">
        <v>0</v>
      </c>
      <c r="AA152" s="64" t="n">
        <v>0</v>
      </c>
      <c r="AB152" s="64" t="n">
        <v>0</v>
      </c>
      <c r="AC152" s="64" t="n">
        <v>19964</v>
      </c>
      <c r="AD152" s="64" t="n">
        <v>0</v>
      </c>
      <c r="AE152" s="64" t="n">
        <v>0</v>
      </c>
      <c r="AF152" s="64" t="n">
        <v>19964</v>
      </c>
      <c r="AG152" s="64" t="n">
        <v>0</v>
      </c>
      <c r="AH152" s="64" t="n">
        <v>0</v>
      </c>
      <c r="AI152" s="64" t="n">
        <v>0</v>
      </c>
      <c r="AJ152" s="64" t="n">
        <v>0</v>
      </c>
      <c r="AK152" s="64" t="n">
        <v>0</v>
      </c>
      <c r="AL152" s="64" t="n">
        <v>0</v>
      </c>
      <c r="AM152" s="64" t="n">
        <v>0</v>
      </c>
      <c r="AN152" s="64" t="n">
        <v>0</v>
      </c>
      <c r="AO152" s="64" t="n">
        <v>0</v>
      </c>
      <c r="AP152" s="64" t="n">
        <v>0</v>
      </c>
      <c r="AQ152" s="64" t="n">
        <v>0</v>
      </c>
      <c r="AR152" s="64" t="n">
        <v>0</v>
      </c>
    </row>
    <row r="153" ht="16" customHeight="1">
      <c r="A153" s="61" t="inlineStr">
        <is>
          <t>20573260008</t>
        </is>
      </c>
      <c r="B153" s="62" t="inlineStr">
        <is>
          <t>Cooperativa Agraria Aucayacu</t>
        </is>
      </c>
      <c r="C153" s="61" t="inlineStr">
        <is>
          <t>CACAO</t>
        </is>
      </c>
      <c r="D153" s="61" t="inlineStr">
        <is>
          <t>HUANUCO</t>
        </is>
      </c>
      <c r="E153" s="61" t="inlineStr">
        <is>
          <t>LEONCIO PRADO</t>
        </is>
      </c>
      <c r="F153" s="61" t="inlineStr">
        <is>
          <t>JOSE CRESPO Y CASTILLO</t>
        </is>
      </c>
      <c r="G153" s="65" t="n">
        <v>0</v>
      </c>
      <c r="H153" s="65" t="n">
        <v>0</v>
      </c>
      <c r="I153" s="65" t="n">
        <v>0</v>
      </c>
      <c r="J153" s="65" t="n">
        <v>1656081.51</v>
      </c>
      <c r="K153" s="65" t="n">
        <v>877631.42</v>
      </c>
      <c r="L153" s="65" t="n">
        <v>373566.45</v>
      </c>
      <c r="M153" s="65" t="n">
        <v>244100</v>
      </c>
      <c r="N153" s="65" t="n">
        <v>0</v>
      </c>
      <c r="O153" s="65" t="n">
        <v>0</v>
      </c>
      <c r="P153" s="65" t="n">
        <v>0</v>
      </c>
      <c r="Q153" s="65" t="n">
        <v>1656081.51</v>
      </c>
      <c r="R153" s="65" t="n">
        <v>0</v>
      </c>
      <c r="S153" s="65" t="n">
        <v>877631.42</v>
      </c>
      <c r="T153" s="65" t="n">
        <v>0</v>
      </c>
      <c r="U153" s="65" t="n">
        <v>373566.45</v>
      </c>
      <c r="V153" s="65" t="n">
        <v>0</v>
      </c>
      <c r="W153" s="65" t="n">
        <v>244100</v>
      </c>
      <c r="X153" s="65" t="n">
        <v>0</v>
      </c>
      <c r="Y153" s="65" t="n">
        <v>0</v>
      </c>
      <c r="Z153" s="65" t="n">
        <v>0</v>
      </c>
      <c r="AA153" s="65" t="n">
        <v>0</v>
      </c>
      <c r="AB153" s="65" t="n">
        <v>373566.44080793</v>
      </c>
      <c r="AC153" s="65" t="n">
        <v>0</v>
      </c>
      <c r="AD153" s="65" t="n">
        <v>0</v>
      </c>
      <c r="AE153" s="65" t="n">
        <v>0</v>
      </c>
      <c r="AF153" s="65" t="n">
        <v>373566.44080793</v>
      </c>
      <c r="AG153" s="65" t="n">
        <v>0</v>
      </c>
      <c r="AH153" s="65" t="n">
        <v>244100</v>
      </c>
      <c r="AI153" s="65" t="n">
        <v>0</v>
      </c>
      <c r="AJ153" s="65" t="n">
        <v>0</v>
      </c>
      <c r="AK153" s="65" t="n">
        <v>0</v>
      </c>
      <c r="AL153" s="65" t="n">
        <v>244100</v>
      </c>
      <c r="AM153" s="65" t="n">
        <v>0</v>
      </c>
      <c r="AN153" s="65" t="n">
        <v>0</v>
      </c>
      <c r="AO153" s="65" t="n">
        <v>0</v>
      </c>
      <c r="AP153" s="65" t="n">
        <v>0</v>
      </c>
      <c r="AQ153" s="65" t="n">
        <v>0</v>
      </c>
      <c r="AR153" s="65" t="n">
        <v>0</v>
      </c>
    </row>
    <row r="154" ht="16" customHeight="1">
      <c r="A154" s="58" t="inlineStr">
        <is>
          <t>20573049102</t>
        </is>
      </c>
      <c r="B154" s="59" t="inlineStr">
        <is>
          <t>Cooperativa Agraria Cacaotera Puerto Inca</t>
        </is>
      </c>
      <c r="C154" s="58" t="inlineStr">
        <is>
          <t>CACAO</t>
        </is>
      </c>
      <c r="D154" s="58" t="inlineStr">
        <is>
          <t>HUANUCO</t>
        </is>
      </c>
      <c r="E154" s="58" t="inlineStr">
        <is>
          <t>PUERTO INCA</t>
        </is>
      </c>
      <c r="F154" s="58" t="inlineStr">
        <is>
          <t>PUERTO INCA</t>
        </is>
      </c>
      <c r="G154" s="64" t="n">
        <v>0</v>
      </c>
      <c r="H154" s="64" t="n">
        <v>133603.4</v>
      </c>
      <c r="I154" s="64" t="n">
        <v>0</v>
      </c>
      <c r="J154" s="64" t="n">
        <v>0</v>
      </c>
      <c r="K154" s="64" t="n">
        <v>0</v>
      </c>
      <c r="L154" s="64" t="n">
        <v>0</v>
      </c>
      <c r="M154" s="64" t="n">
        <v>0</v>
      </c>
      <c r="N154" s="64" t="n">
        <v>0</v>
      </c>
      <c r="O154" s="64" t="n">
        <v>0</v>
      </c>
      <c r="P154" s="64" t="n">
        <v>0</v>
      </c>
      <c r="Q154" s="64" t="n">
        <v>0</v>
      </c>
      <c r="R154" s="64" t="n">
        <v>0</v>
      </c>
      <c r="S154" s="64" t="n">
        <v>0</v>
      </c>
      <c r="T154" s="64" t="n">
        <v>0</v>
      </c>
      <c r="U154" s="64" t="n">
        <v>0</v>
      </c>
      <c r="V154" s="64" t="n">
        <v>0</v>
      </c>
      <c r="W154" s="64" t="n">
        <v>0</v>
      </c>
      <c r="X154" s="64" t="n">
        <v>0</v>
      </c>
      <c r="Y154" s="64" t="n">
        <v>0</v>
      </c>
      <c r="Z154" s="64" t="n">
        <v>0</v>
      </c>
      <c r="AA154" s="64" t="n">
        <v>0</v>
      </c>
      <c r="AB154" s="64" t="n">
        <v>0</v>
      </c>
      <c r="AC154" s="64" t="n">
        <v>0</v>
      </c>
      <c r="AD154" s="64" t="n">
        <v>0</v>
      </c>
      <c r="AE154" s="64" t="n">
        <v>0</v>
      </c>
      <c r="AF154" s="64" t="n">
        <v>0</v>
      </c>
      <c r="AG154" s="64" t="n">
        <v>0</v>
      </c>
      <c r="AH154" s="64" t="n">
        <v>0</v>
      </c>
      <c r="AI154" s="64" t="n">
        <v>0</v>
      </c>
      <c r="AJ154" s="64" t="n">
        <v>0</v>
      </c>
      <c r="AK154" s="64" t="n">
        <v>0</v>
      </c>
      <c r="AL154" s="64" t="n">
        <v>0</v>
      </c>
      <c r="AM154" s="64" t="n">
        <v>0</v>
      </c>
      <c r="AN154" s="64" t="n">
        <v>0</v>
      </c>
      <c r="AO154" s="64" t="n">
        <v>0</v>
      </c>
      <c r="AP154" s="64" t="n">
        <v>0</v>
      </c>
      <c r="AQ154" s="64" t="n">
        <v>0</v>
      </c>
      <c r="AR154" s="64" t="n">
        <v>0</v>
      </c>
    </row>
    <row r="155" ht="16" customHeight="1">
      <c r="A155" s="61" t="inlineStr">
        <is>
          <t>20352423921</t>
        </is>
      </c>
      <c r="B155" s="62" t="inlineStr">
        <is>
          <t>Cooperativa Agraria Cafetalera Divisoria Ltda.</t>
        </is>
      </c>
      <c r="C155" s="61" t="inlineStr">
        <is>
          <t>CAFÉ</t>
        </is>
      </c>
      <c r="D155" s="61" t="inlineStr">
        <is>
          <t>HUANUCO</t>
        </is>
      </c>
      <c r="E155" s="61" t="inlineStr">
        <is>
          <t>LEONCIO PRADO</t>
        </is>
      </c>
      <c r="F155" s="61" t="inlineStr">
        <is>
          <t>LUYANDO</t>
        </is>
      </c>
      <c r="G155" s="65" t="n">
        <v>771919.6800000001</v>
      </c>
      <c r="H155" s="65" t="n">
        <v>0</v>
      </c>
      <c r="I155" s="65" t="n">
        <v>0</v>
      </c>
      <c r="J155" s="65" t="n">
        <v>0</v>
      </c>
      <c r="K155" s="65" t="n">
        <v>0</v>
      </c>
      <c r="L155" s="65" t="n">
        <v>0</v>
      </c>
      <c r="M155" s="65" t="n">
        <v>0</v>
      </c>
      <c r="N155" s="65" t="n">
        <v>0</v>
      </c>
      <c r="O155" s="65" t="n">
        <v>0</v>
      </c>
      <c r="P155" s="65" t="n">
        <v>0</v>
      </c>
      <c r="Q155" s="65" t="n">
        <v>0</v>
      </c>
      <c r="R155" s="65" t="n">
        <v>0</v>
      </c>
      <c r="S155" s="65" t="n">
        <v>0</v>
      </c>
      <c r="T155" s="65" t="n">
        <v>0</v>
      </c>
      <c r="U155" s="65" t="n">
        <v>0</v>
      </c>
      <c r="V155" s="65" t="n">
        <v>0</v>
      </c>
      <c r="W155" s="65" t="n">
        <v>0</v>
      </c>
      <c r="X155" s="65" t="n">
        <v>0</v>
      </c>
      <c r="Y155" s="65" t="n">
        <v>0</v>
      </c>
      <c r="Z155" s="65" t="n">
        <v>0</v>
      </c>
      <c r="AA155" s="65" t="n">
        <v>0</v>
      </c>
      <c r="AB155" s="65" t="n">
        <v>0</v>
      </c>
      <c r="AC155" s="65" t="n">
        <v>0</v>
      </c>
      <c r="AD155" s="65" t="n">
        <v>0</v>
      </c>
      <c r="AE155" s="65" t="n">
        <v>0</v>
      </c>
      <c r="AF155" s="65" t="n">
        <v>0</v>
      </c>
      <c r="AG155" s="65" t="n">
        <v>0</v>
      </c>
      <c r="AH155" s="65" t="n">
        <v>0</v>
      </c>
      <c r="AI155" s="65" t="n">
        <v>0</v>
      </c>
      <c r="AJ155" s="65" t="n">
        <v>0</v>
      </c>
      <c r="AK155" s="65" t="n">
        <v>0</v>
      </c>
      <c r="AL155" s="65" t="n">
        <v>0</v>
      </c>
      <c r="AM155" s="65" t="n">
        <v>0</v>
      </c>
      <c r="AN155" s="65" t="n">
        <v>0</v>
      </c>
      <c r="AO155" s="65" t="n">
        <v>0</v>
      </c>
      <c r="AP155" s="65" t="n">
        <v>0</v>
      </c>
      <c r="AQ155" s="65" t="n">
        <v>0</v>
      </c>
      <c r="AR155" s="65" t="n">
        <v>0</v>
      </c>
    </row>
    <row r="156" ht="16" customHeight="1">
      <c r="A156" s="58" t="inlineStr">
        <is>
          <t>20608362631</t>
        </is>
      </c>
      <c r="B156" s="59" t="inlineStr">
        <is>
          <t>Cooperativa Agraria Palmas del Paraiso</t>
        </is>
      </c>
      <c r="C156" s="58" t="n"/>
      <c r="D156" s="58" t="n"/>
      <c r="E156" s="58" t="n"/>
      <c r="F156" s="58" t="n"/>
      <c r="G156" s="60" t="n"/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  <c r="Z156" s="60" t="n"/>
      <c r="AA156" s="60" t="n"/>
      <c r="AB156" s="60" t="n"/>
      <c r="AC156" s="60" t="n"/>
      <c r="AD156" s="60" t="n"/>
      <c r="AE156" s="60" t="n"/>
      <c r="AF156" s="60" t="n"/>
      <c r="AG156" s="60" t="n"/>
      <c r="AH156" s="60" t="n"/>
      <c r="AI156" s="60" t="n"/>
      <c r="AJ156" s="60" t="n"/>
      <c r="AK156" s="60" t="n"/>
      <c r="AL156" s="60" t="n"/>
      <c r="AM156" s="60" t="n"/>
      <c r="AN156" s="60" t="n"/>
      <c r="AO156" s="60" t="n"/>
      <c r="AP156" s="60" t="n"/>
      <c r="AQ156" s="60" t="n"/>
      <c r="AR156" s="60" t="n"/>
    </row>
    <row r="157" ht="16" customHeight="1">
      <c r="A157" s="61" t="inlineStr">
        <is>
          <t>20600720733</t>
        </is>
      </c>
      <c r="B157" s="62" t="inlineStr">
        <is>
          <t>Cooperativa Agraria Valle Del Monzón</t>
        </is>
      </c>
      <c r="C157" s="61" t="inlineStr">
        <is>
          <t>CACAO</t>
        </is>
      </c>
      <c r="D157" s="61" t="inlineStr">
        <is>
          <t>HUANUCO</t>
        </is>
      </c>
      <c r="E157" s="61" t="inlineStr">
        <is>
          <t>HUAMALIES</t>
        </is>
      </c>
      <c r="F157" s="61" t="inlineStr">
        <is>
          <t>MONZON</t>
        </is>
      </c>
      <c r="G157" s="65" t="n">
        <v>0</v>
      </c>
      <c r="H157" s="65" t="n">
        <v>176729.13</v>
      </c>
      <c r="I157" s="65" t="n">
        <v>0</v>
      </c>
      <c r="J157" s="65" t="n">
        <v>0</v>
      </c>
      <c r="K157" s="65" t="n">
        <v>0</v>
      </c>
      <c r="L157" s="65" t="n">
        <v>58864.35</v>
      </c>
      <c r="M157" s="65" t="n">
        <v>226629</v>
      </c>
      <c r="N157" s="65" t="n">
        <v>61650</v>
      </c>
      <c r="O157" s="65" t="n">
        <v>0</v>
      </c>
      <c r="P157" s="65" t="n">
        <v>0</v>
      </c>
      <c r="Q157" s="65" t="n">
        <v>0</v>
      </c>
      <c r="R157" s="65" t="n">
        <v>0</v>
      </c>
      <c r="S157" s="65" t="n">
        <v>0</v>
      </c>
      <c r="T157" s="65" t="n">
        <v>0</v>
      </c>
      <c r="U157" s="65" t="n">
        <v>58864.35</v>
      </c>
      <c r="V157" s="65" t="n">
        <v>0</v>
      </c>
      <c r="W157" s="65" t="n">
        <v>226629</v>
      </c>
      <c r="X157" s="65" t="n">
        <v>0</v>
      </c>
      <c r="Y157" s="65" t="n">
        <v>61650</v>
      </c>
      <c r="Z157" s="65" t="n">
        <v>0</v>
      </c>
      <c r="AA157" s="65" t="n">
        <v>626.4</v>
      </c>
      <c r="AB157" s="65" t="n">
        <v>0</v>
      </c>
      <c r="AC157" s="65" t="n">
        <v>58237.95</v>
      </c>
      <c r="AD157" s="65" t="n">
        <v>0</v>
      </c>
      <c r="AE157" s="65" t="n">
        <v>0</v>
      </c>
      <c r="AF157" s="65" t="n">
        <v>58864.35</v>
      </c>
      <c r="AG157" s="65" t="n">
        <v>0</v>
      </c>
      <c r="AH157" s="65" t="n">
        <v>226629</v>
      </c>
      <c r="AI157" s="65" t="n">
        <v>0</v>
      </c>
      <c r="AJ157" s="65" t="n">
        <v>0</v>
      </c>
      <c r="AK157" s="65" t="n">
        <v>0</v>
      </c>
      <c r="AL157" s="65" t="n">
        <v>226629</v>
      </c>
      <c r="AM157" s="65" t="n">
        <v>0</v>
      </c>
      <c r="AN157" s="65" t="n">
        <v>61650</v>
      </c>
      <c r="AO157" s="65" t="n">
        <v>0</v>
      </c>
      <c r="AP157" s="65" t="n">
        <v>0</v>
      </c>
      <c r="AQ157" s="65" t="n">
        <v>0</v>
      </c>
      <c r="AR157" s="65" t="n">
        <v>61650</v>
      </c>
    </row>
    <row r="158" ht="16" customHeight="1">
      <c r="A158" s="58" t="inlineStr">
        <is>
          <t>20600902793</t>
        </is>
      </c>
      <c r="B158" s="59" t="inlineStr">
        <is>
          <t>Cooperativa Agraria de Cacaoteros de Codo del Pozuzo</t>
        </is>
      </c>
      <c r="C158" s="58" t="n"/>
      <c r="D158" s="58" t="n"/>
      <c r="E158" s="58" t="n"/>
      <c r="F158" s="58" t="n"/>
      <c r="G158" s="60" t="n"/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  <c r="Z158" s="60" t="n"/>
      <c r="AA158" s="60" t="n"/>
      <c r="AB158" s="60" t="n"/>
      <c r="AC158" s="60" t="n"/>
      <c r="AD158" s="60" t="n"/>
      <c r="AE158" s="60" t="n"/>
      <c r="AF158" s="60" t="n"/>
      <c r="AG158" s="60" t="n"/>
      <c r="AH158" s="60" t="n"/>
      <c r="AI158" s="60" t="n"/>
      <c r="AJ158" s="60" t="n"/>
      <c r="AK158" s="60" t="n"/>
      <c r="AL158" s="60" t="n"/>
      <c r="AM158" s="60" t="n"/>
      <c r="AN158" s="60" t="n"/>
      <c r="AO158" s="60" t="n"/>
      <c r="AP158" s="60" t="n"/>
      <c r="AQ158" s="60" t="n"/>
      <c r="AR158" s="60" t="n"/>
    </row>
    <row r="159" ht="16" customHeight="1">
      <c r="A159" s="61" t="inlineStr">
        <is>
          <t>20605616837</t>
        </is>
      </c>
      <c r="B159" s="62" t="inlineStr">
        <is>
          <t>Cooperativa Agraria Agroindustrial Asháninka Ecológica Kasankari Kemito Del Valle Del Río Perené - Selva Central Ltda.</t>
        </is>
      </c>
      <c r="C159" s="61" t="n"/>
      <c r="D159" s="61" t="n"/>
      <c r="E159" s="61" t="n"/>
      <c r="F159" s="61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3" t="n"/>
      <c r="AA159" s="63" t="n"/>
      <c r="AB159" s="63" t="n"/>
      <c r="AC159" s="63" t="n"/>
      <c r="AD159" s="63" t="n"/>
      <c r="AE159" s="63" t="n"/>
      <c r="AF159" s="63" t="n"/>
      <c r="AG159" s="63" t="n"/>
      <c r="AH159" s="63" t="n"/>
      <c r="AI159" s="63" t="n"/>
      <c r="AJ159" s="63" t="n"/>
      <c r="AK159" s="63" t="n"/>
      <c r="AL159" s="63" t="n"/>
      <c r="AM159" s="63" t="n"/>
      <c r="AN159" s="63" t="n"/>
      <c r="AO159" s="63" t="n"/>
      <c r="AP159" s="63" t="n"/>
      <c r="AQ159" s="63" t="n"/>
      <c r="AR159" s="63" t="n"/>
    </row>
    <row r="160" ht="16" customHeight="1">
      <c r="A160" s="58" t="inlineStr">
        <is>
          <t>20610292098</t>
        </is>
      </c>
      <c r="B160" s="59" t="inlineStr">
        <is>
          <t>Cooperativa Agraria Agroindustrial De Café Y Cacao Roy Selva Central</t>
        </is>
      </c>
      <c r="C160" s="58" t="n"/>
      <c r="D160" s="58" t="n"/>
      <c r="E160" s="58" t="n"/>
      <c r="F160" s="58" t="n"/>
      <c r="G160" s="60" t="n"/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0" t="n"/>
      <c r="V160" s="60" t="n"/>
      <c r="W160" s="60" t="n"/>
      <c r="X160" s="60" t="n"/>
      <c r="Y160" s="60" t="n"/>
      <c r="Z160" s="60" t="n"/>
      <c r="AA160" s="60" t="n"/>
      <c r="AB160" s="60" t="n"/>
      <c r="AC160" s="60" t="n"/>
      <c r="AD160" s="60" t="n"/>
      <c r="AE160" s="60" t="n"/>
      <c r="AF160" s="60" t="n"/>
      <c r="AG160" s="60" t="n"/>
      <c r="AH160" s="60" t="n"/>
      <c r="AI160" s="60" t="n"/>
      <c r="AJ160" s="60" t="n"/>
      <c r="AK160" s="60" t="n"/>
      <c r="AL160" s="60" t="n"/>
      <c r="AM160" s="60" t="n"/>
      <c r="AN160" s="60" t="n"/>
      <c r="AO160" s="60" t="n"/>
      <c r="AP160" s="60" t="n"/>
      <c r="AQ160" s="60" t="n"/>
      <c r="AR160" s="60" t="n"/>
    </row>
    <row r="161" ht="16" customHeight="1">
      <c r="A161" s="61" t="inlineStr">
        <is>
          <t>20444479753</t>
        </is>
      </c>
      <c r="B161" s="62" t="inlineStr">
        <is>
          <t>Cooperativa Agraria Cafetalera ACPC Pichanaki</t>
        </is>
      </c>
      <c r="C161" s="61" t="n"/>
      <c r="D161" s="61" t="n"/>
      <c r="E161" s="61" t="n"/>
      <c r="F161" s="61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  <c r="AA161" s="63" t="n"/>
      <c r="AB161" s="63" t="n"/>
      <c r="AC161" s="63" t="n"/>
      <c r="AD161" s="63" t="n"/>
      <c r="AE161" s="63" t="n"/>
      <c r="AF161" s="63" t="n"/>
      <c r="AG161" s="63" t="n"/>
      <c r="AH161" s="63" t="n"/>
      <c r="AI161" s="63" t="n"/>
      <c r="AJ161" s="63" t="n"/>
      <c r="AK161" s="63" t="n"/>
      <c r="AL161" s="63" t="n"/>
      <c r="AM161" s="63" t="n"/>
      <c r="AN161" s="63" t="n"/>
      <c r="AO161" s="63" t="n"/>
      <c r="AP161" s="63" t="n"/>
      <c r="AQ161" s="63" t="n"/>
      <c r="AR161" s="63" t="n"/>
    </row>
    <row r="162" ht="16" customHeight="1">
      <c r="A162" s="58" t="inlineStr">
        <is>
          <t>20601915473</t>
        </is>
      </c>
      <c r="B162" s="59" t="inlineStr">
        <is>
          <t>Cooperativa Agraria Cafetalera Agroindustrial Caje Mishki Unión Huahuari Rio Negro Satipo</t>
        </is>
      </c>
      <c r="C162" s="58" t="n"/>
      <c r="D162" s="58" t="n"/>
      <c r="E162" s="58" t="n"/>
      <c r="F162" s="58" t="n"/>
      <c r="G162" s="60" t="n"/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  <c r="Z162" s="60" t="n"/>
      <c r="AA162" s="60" t="n"/>
      <c r="AB162" s="60" t="n"/>
      <c r="AC162" s="60" t="n"/>
      <c r="AD162" s="60" t="n"/>
      <c r="AE162" s="60" t="n"/>
      <c r="AF162" s="60" t="n"/>
      <c r="AG162" s="60" t="n"/>
      <c r="AH162" s="60" t="n"/>
      <c r="AI162" s="60" t="n"/>
      <c r="AJ162" s="60" t="n"/>
      <c r="AK162" s="60" t="n"/>
      <c r="AL162" s="60" t="n"/>
      <c r="AM162" s="60" t="n"/>
      <c r="AN162" s="60" t="n"/>
      <c r="AO162" s="60" t="n"/>
      <c r="AP162" s="60" t="n"/>
      <c r="AQ162" s="60" t="n"/>
      <c r="AR162" s="60" t="n"/>
    </row>
    <row r="163" ht="16" customHeight="1">
      <c r="A163" s="61" t="inlineStr">
        <is>
          <t>20603859503</t>
        </is>
      </c>
      <c r="B163" s="62" t="inlineStr">
        <is>
          <t>Cooperativa Agraria Cafetalera Central Alta Montaña</t>
        </is>
      </c>
      <c r="C163" s="61" t="n"/>
      <c r="D163" s="61" t="n"/>
      <c r="E163" s="61" t="n"/>
      <c r="F163" s="61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  <c r="Z163" s="63" t="n"/>
      <c r="AA163" s="63" t="n"/>
      <c r="AB163" s="63" t="n"/>
      <c r="AC163" s="63" t="n"/>
      <c r="AD163" s="63" t="n"/>
      <c r="AE163" s="63" t="n"/>
      <c r="AF163" s="63" t="n"/>
      <c r="AG163" s="63" t="n"/>
      <c r="AH163" s="63" t="n"/>
      <c r="AI163" s="63" t="n"/>
      <c r="AJ163" s="63" t="n"/>
      <c r="AK163" s="63" t="n"/>
      <c r="AL163" s="63" t="n"/>
      <c r="AM163" s="63" t="n"/>
      <c r="AN163" s="63" t="n"/>
      <c r="AO163" s="63" t="n"/>
      <c r="AP163" s="63" t="n"/>
      <c r="AQ163" s="63" t="n"/>
      <c r="AR163" s="63" t="n"/>
    </row>
    <row r="164" ht="16" customHeight="1">
      <c r="A164" s="58" t="inlineStr">
        <is>
          <t>20600125649</t>
        </is>
      </c>
      <c r="B164" s="59" t="inlineStr">
        <is>
          <t>Cooperativa Agraria Cafetalera Ecosostenible del Valle Huahuari</t>
        </is>
      </c>
      <c r="C164" s="58" t="n"/>
      <c r="D164" s="58" t="n"/>
      <c r="E164" s="58" t="n"/>
      <c r="F164" s="58" t="n"/>
      <c r="G164" s="60" t="n"/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0" t="n"/>
      <c r="V164" s="60" t="n"/>
      <c r="W164" s="60" t="n"/>
      <c r="X164" s="60" t="n"/>
      <c r="Y164" s="60" t="n"/>
      <c r="Z164" s="60" t="n"/>
      <c r="AA164" s="60" t="n"/>
      <c r="AB164" s="60" t="n"/>
      <c r="AC164" s="60" t="n"/>
      <c r="AD164" s="60" t="n"/>
      <c r="AE164" s="60" t="n"/>
      <c r="AF164" s="60" t="n"/>
      <c r="AG164" s="60" t="n"/>
      <c r="AH164" s="60" t="n"/>
      <c r="AI164" s="60" t="n"/>
      <c r="AJ164" s="60" t="n"/>
      <c r="AK164" s="60" t="n"/>
      <c r="AL164" s="60" t="n"/>
      <c r="AM164" s="60" t="n"/>
      <c r="AN164" s="60" t="n"/>
      <c r="AO164" s="60" t="n"/>
      <c r="AP164" s="60" t="n"/>
      <c r="AQ164" s="60" t="n"/>
      <c r="AR164" s="60" t="n"/>
    </row>
    <row r="165" ht="16" customHeight="1">
      <c r="A165" s="61" t="inlineStr">
        <is>
          <t>20602801641</t>
        </is>
      </c>
      <c r="B165" s="62" t="inlineStr">
        <is>
          <t>Cooperativa Agraria Cafetalera Industrial Satinaki</t>
        </is>
      </c>
      <c r="C165" s="61" t="n"/>
      <c r="D165" s="61" t="n"/>
      <c r="E165" s="61" t="n"/>
      <c r="F165" s="61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  <c r="AA165" s="63" t="n"/>
      <c r="AB165" s="63" t="n"/>
      <c r="AC165" s="63" t="n"/>
      <c r="AD165" s="63" t="n"/>
      <c r="AE165" s="63" t="n"/>
      <c r="AF165" s="63" t="n"/>
      <c r="AG165" s="63" t="n"/>
      <c r="AH165" s="63" t="n"/>
      <c r="AI165" s="63" t="n"/>
      <c r="AJ165" s="63" t="n"/>
      <c r="AK165" s="63" t="n"/>
      <c r="AL165" s="63" t="n"/>
      <c r="AM165" s="63" t="n"/>
      <c r="AN165" s="63" t="n"/>
      <c r="AO165" s="63" t="n"/>
      <c r="AP165" s="63" t="n"/>
      <c r="AQ165" s="63" t="n"/>
      <c r="AR165" s="63" t="n"/>
    </row>
    <row r="166" ht="16" customHeight="1">
      <c r="A166" s="58" t="inlineStr">
        <is>
          <t>20140181405</t>
        </is>
      </c>
      <c r="B166" s="59" t="inlineStr">
        <is>
          <t>Cooperativa Agraria Cafetalera La Florida</t>
        </is>
      </c>
      <c r="C166" s="58" t="n"/>
      <c r="D166" s="58" t="n"/>
      <c r="E166" s="58" t="n"/>
      <c r="F166" s="58" t="n"/>
      <c r="G166" s="60" t="n"/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0" t="n"/>
      <c r="V166" s="60" t="n"/>
      <c r="W166" s="60" t="n"/>
      <c r="X166" s="60" t="n"/>
      <c r="Y166" s="60" t="n"/>
      <c r="Z166" s="60" t="n"/>
      <c r="AA166" s="60" t="n"/>
      <c r="AB166" s="60" t="n"/>
      <c r="AC166" s="60" t="n"/>
      <c r="AD166" s="60" t="n"/>
      <c r="AE166" s="60" t="n"/>
      <c r="AF166" s="60" t="n"/>
      <c r="AG166" s="60" t="n"/>
      <c r="AH166" s="60" t="n"/>
      <c r="AI166" s="60" t="n"/>
      <c r="AJ166" s="60" t="n"/>
      <c r="AK166" s="60" t="n"/>
      <c r="AL166" s="60" t="n"/>
      <c r="AM166" s="60" t="n"/>
      <c r="AN166" s="60" t="n"/>
      <c r="AO166" s="60" t="n"/>
      <c r="AP166" s="60" t="n"/>
      <c r="AQ166" s="60" t="n"/>
      <c r="AR166" s="60" t="n"/>
    </row>
    <row r="167" ht="16" customHeight="1">
      <c r="A167" s="61" t="inlineStr">
        <is>
          <t>20601103428</t>
        </is>
      </c>
      <c r="B167" s="62" t="inlineStr">
        <is>
          <t>Cooperativa Agraria Cafetalera Multiservicios Kajiriali Limitada</t>
        </is>
      </c>
      <c r="C167" s="61" t="n"/>
      <c r="D167" s="61" t="n"/>
      <c r="E167" s="61" t="n"/>
      <c r="F167" s="61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  <c r="AA167" s="63" t="n"/>
      <c r="AB167" s="63" t="n"/>
      <c r="AC167" s="63" t="n"/>
      <c r="AD167" s="63" t="n"/>
      <c r="AE167" s="63" t="n"/>
      <c r="AF167" s="63" t="n"/>
      <c r="AG167" s="63" t="n"/>
      <c r="AH167" s="63" t="n"/>
      <c r="AI167" s="63" t="n"/>
      <c r="AJ167" s="63" t="n"/>
      <c r="AK167" s="63" t="n"/>
      <c r="AL167" s="63" t="n"/>
      <c r="AM167" s="63" t="n"/>
      <c r="AN167" s="63" t="n"/>
      <c r="AO167" s="63" t="n"/>
      <c r="AP167" s="63" t="n"/>
      <c r="AQ167" s="63" t="n"/>
      <c r="AR167" s="63" t="n"/>
    </row>
    <row r="168" ht="16" customHeight="1">
      <c r="A168" s="58" t="inlineStr">
        <is>
          <t>20135240681</t>
        </is>
      </c>
      <c r="B168" s="59" t="inlineStr">
        <is>
          <t>Cooperativa Agraria Cafetalera Pangoa Ltda</t>
        </is>
      </c>
      <c r="C168" s="58" t="n"/>
      <c r="D168" s="58" t="n"/>
      <c r="E168" s="58" t="n"/>
      <c r="F168" s="58" t="n"/>
      <c r="G168" s="60" t="n"/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  <c r="Z168" s="60" t="n"/>
      <c r="AA168" s="60" t="n"/>
      <c r="AB168" s="60" t="n"/>
      <c r="AC168" s="60" t="n"/>
      <c r="AD168" s="60" t="n"/>
      <c r="AE168" s="60" t="n"/>
      <c r="AF168" s="60" t="n"/>
      <c r="AG168" s="60" t="n"/>
      <c r="AH168" s="60" t="n"/>
      <c r="AI168" s="60" t="n"/>
      <c r="AJ168" s="60" t="n"/>
      <c r="AK168" s="60" t="n"/>
      <c r="AL168" s="60" t="n"/>
      <c r="AM168" s="60" t="n"/>
      <c r="AN168" s="60" t="n"/>
      <c r="AO168" s="60" t="n"/>
      <c r="AP168" s="60" t="n"/>
      <c r="AQ168" s="60" t="n"/>
      <c r="AR168" s="60" t="n"/>
    </row>
    <row r="169" ht="16" customHeight="1">
      <c r="A169" s="61" t="inlineStr">
        <is>
          <t>20130376127</t>
        </is>
      </c>
      <c r="B169" s="62" t="inlineStr">
        <is>
          <t>Cooperativa Agraria Cafetalera Perene</t>
        </is>
      </c>
      <c r="C169" s="61" t="n"/>
      <c r="D169" s="61" t="n"/>
      <c r="E169" s="61" t="n"/>
      <c r="F169" s="61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  <c r="Z169" s="63" t="n"/>
      <c r="AA169" s="63" t="n"/>
      <c r="AB169" s="63" t="n"/>
      <c r="AC169" s="63" t="n"/>
      <c r="AD169" s="63" t="n"/>
      <c r="AE169" s="63" t="n"/>
      <c r="AF169" s="63" t="n"/>
      <c r="AG169" s="63" t="n"/>
      <c r="AH169" s="63" t="n"/>
      <c r="AI169" s="63" t="n"/>
      <c r="AJ169" s="63" t="n"/>
      <c r="AK169" s="63" t="n"/>
      <c r="AL169" s="63" t="n"/>
      <c r="AM169" s="63" t="n"/>
      <c r="AN169" s="63" t="n"/>
      <c r="AO169" s="63" t="n"/>
      <c r="AP169" s="63" t="n"/>
      <c r="AQ169" s="63" t="n"/>
      <c r="AR169" s="63" t="n"/>
    </row>
    <row r="170" ht="16" customHeight="1">
      <c r="A170" s="58" t="inlineStr">
        <is>
          <t>20602712657</t>
        </is>
      </c>
      <c r="B170" s="59" t="inlineStr">
        <is>
          <t>KEMITO ENE S.A.C.</t>
        </is>
      </c>
      <c r="C170" s="58" t="inlineStr">
        <is>
          <t>CAFÉ</t>
        </is>
      </c>
      <c r="D170" s="58" t="inlineStr">
        <is>
          <t>JUNIN</t>
        </is>
      </c>
      <c r="E170" s="58" t="inlineStr">
        <is>
          <t>SATIPO</t>
        </is>
      </c>
      <c r="F170" s="58" t="inlineStr">
        <is>
          <t>RIO TAMBO</t>
        </is>
      </c>
      <c r="G170" s="60" t="n"/>
      <c r="H170" s="60" t="n"/>
      <c r="I170" s="60" t="n"/>
      <c r="J170" s="60" t="n"/>
      <c r="K170" s="60" t="n"/>
      <c r="L170" s="60" t="n"/>
      <c r="M170" s="60" t="n"/>
      <c r="N170" s="64" t="n">
        <v>2803188.8586</v>
      </c>
      <c r="O170" s="60" t="n"/>
      <c r="P170" s="60" t="n"/>
      <c r="Q170" s="60" t="n"/>
      <c r="R170" s="60" t="n"/>
      <c r="S170" s="60" t="n"/>
      <c r="T170" s="60" t="n"/>
      <c r="U170" s="60" t="n"/>
      <c r="V170" s="60" t="n"/>
      <c r="W170" s="60" t="n"/>
      <c r="X170" s="60" t="n"/>
      <c r="Y170" s="64" t="n">
        <v>2803188.8586</v>
      </c>
      <c r="Z170" s="64" t="n">
        <v>0</v>
      </c>
      <c r="AA170" s="60" t="n"/>
      <c r="AB170" s="60" t="n"/>
      <c r="AC170" s="60" t="n"/>
      <c r="AD170" s="60" t="n"/>
      <c r="AE170" s="60" t="n"/>
      <c r="AF170" s="60" t="n"/>
      <c r="AG170" s="60" t="n"/>
      <c r="AH170" s="60" t="n"/>
      <c r="AI170" s="60" t="n"/>
      <c r="AJ170" s="60" t="n"/>
      <c r="AK170" s="60" t="n"/>
      <c r="AL170" s="60" t="n"/>
      <c r="AM170" s="64" t="n">
        <v>0</v>
      </c>
      <c r="AN170" s="64" t="n">
        <v>0</v>
      </c>
      <c r="AO170" s="64" t="n">
        <v>2803188.8586</v>
      </c>
      <c r="AP170" s="64" t="n">
        <v>0</v>
      </c>
      <c r="AQ170" s="64" t="n">
        <v>0</v>
      </c>
      <c r="AR170" s="64" t="n">
        <v>2803188.8586</v>
      </c>
    </row>
    <row r="171" ht="16" customHeight="1">
      <c r="A171" s="61" t="inlineStr">
        <is>
          <t>20129529530</t>
        </is>
      </c>
      <c r="B171" s="62" t="inlineStr">
        <is>
          <t>Cooperativa Agraria Cafetalera Satipo Ltda.</t>
        </is>
      </c>
      <c r="C171" s="61" t="inlineStr">
        <is>
          <t>CAFÉ</t>
        </is>
      </c>
      <c r="D171" s="61" t="inlineStr">
        <is>
          <t>JUNIN</t>
        </is>
      </c>
      <c r="E171" s="61" t="inlineStr">
        <is>
          <t>SATIPO</t>
        </is>
      </c>
      <c r="F171" s="61" t="inlineStr">
        <is>
          <t>SATIPO</t>
        </is>
      </c>
      <c r="G171" s="65" t="n">
        <v>0</v>
      </c>
      <c r="H171" s="65" t="n">
        <v>0</v>
      </c>
      <c r="I171" s="65" t="n">
        <v>0</v>
      </c>
      <c r="J171" s="65" t="n">
        <v>2455472.68</v>
      </c>
      <c r="K171" s="65" t="n">
        <v>0</v>
      </c>
      <c r="L171" s="65" t="n">
        <v>1830261.53</v>
      </c>
      <c r="M171" s="65" t="n">
        <v>0</v>
      </c>
      <c r="N171" s="65" t="n">
        <v>0</v>
      </c>
      <c r="O171" s="65" t="n">
        <v>0</v>
      </c>
      <c r="P171" s="65" t="n">
        <v>0</v>
      </c>
      <c r="Q171" s="65" t="n">
        <v>1458401.22</v>
      </c>
      <c r="R171" s="65" t="n">
        <v>997071.46</v>
      </c>
      <c r="S171" s="65" t="n">
        <v>0</v>
      </c>
      <c r="T171" s="65" t="n">
        <v>0</v>
      </c>
      <c r="U171" s="65" t="n">
        <v>409579.4</v>
      </c>
      <c r="V171" s="65" t="n">
        <v>1420682.13</v>
      </c>
      <c r="W171" s="65" t="n">
        <v>0</v>
      </c>
      <c r="X171" s="65" t="n">
        <v>0</v>
      </c>
      <c r="Y171" s="65" t="n">
        <v>0</v>
      </c>
      <c r="Z171" s="65" t="n">
        <v>0</v>
      </c>
      <c r="AA171" s="65" t="n">
        <v>0</v>
      </c>
      <c r="AB171" s="65" t="n">
        <v>0</v>
      </c>
      <c r="AC171" s="65" t="n">
        <v>1830261.53</v>
      </c>
      <c r="AD171" s="65" t="n">
        <v>0</v>
      </c>
      <c r="AE171" s="65" t="n">
        <v>0</v>
      </c>
      <c r="AF171" s="65" t="n">
        <v>1830261.53</v>
      </c>
      <c r="AG171" s="65" t="n">
        <v>0</v>
      </c>
      <c r="AH171" s="65" t="n">
        <v>0</v>
      </c>
      <c r="AI171" s="65" t="n">
        <v>0</v>
      </c>
      <c r="AJ171" s="65" t="n">
        <v>0</v>
      </c>
      <c r="AK171" s="65" t="n">
        <v>0</v>
      </c>
      <c r="AL171" s="65" t="n">
        <v>0</v>
      </c>
      <c r="AM171" s="65" t="n">
        <v>0</v>
      </c>
      <c r="AN171" s="65" t="n">
        <v>0</v>
      </c>
      <c r="AO171" s="65" t="n">
        <v>0</v>
      </c>
      <c r="AP171" s="65" t="n">
        <v>0</v>
      </c>
      <c r="AQ171" s="65" t="n">
        <v>0</v>
      </c>
      <c r="AR171" s="65" t="n">
        <v>0</v>
      </c>
    </row>
    <row r="172" ht="16" customHeight="1">
      <c r="A172" s="58" t="inlineStr">
        <is>
          <t>20600472373</t>
        </is>
      </c>
      <c r="B172" s="59" t="inlineStr">
        <is>
          <t>Cooperativa Agraria Cafetalera Shankivironi</t>
        </is>
      </c>
      <c r="C172" s="58" t="n"/>
      <c r="D172" s="58" t="n"/>
      <c r="E172" s="58" t="n"/>
      <c r="F172" s="58" t="n"/>
      <c r="G172" s="60" t="n"/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  <c r="Z172" s="60" t="n"/>
      <c r="AA172" s="60" t="n"/>
      <c r="AB172" s="60" t="n"/>
      <c r="AC172" s="60" t="n"/>
      <c r="AD172" s="60" t="n"/>
      <c r="AE172" s="60" t="n"/>
      <c r="AF172" s="60" t="n"/>
      <c r="AG172" s="60" t="n"/>
      <c r="AH172" s="60" t="n"/>
      <c r="AI172" s="60" t="n"/>
      <c r="AJ172" s="60" t="n"/>
      <c r="AK172" s="60" t="n"/>
      <c r="AL172" s="60" t="n"/>
      <c r="AM172" s="60" t="n"/>
      <c r="AN172" s="60" t="n"/>
      <c r="AO172" s="60" t="n"/>
      <c r="AP172" s="60" t="n"/>
      <c r="AQ172" s="60" t="n"/>
      <c r="AR172" s="60" t="n"/>
    </row>
    <row r="173" ht="16" customHeight="1">
      <c r="A173" s="61" t="inlineStr">
        <is>
          <t>20486267934</t>
        </is>
      </c>
      <c r="B173" s="62" t="inlineStr">
        <is>
          <t>Cooperativa Agraria Cafetalera Sostenible Valle Ubiriki</t>
        </is>
      </c>
      <c r="C173" s="61" t="n"/>
      <c r="D173" s="61" t="n"/>
      <c r="E173" s="61" t="n"/>
      <c r="F173" s="61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  <c r="AA173" s="63" t="n"/>
      <c r="AB173" s="63" t="n"/>
      <c r="AC173" s="63" t="n"/>
      <c r="AD173" s="63" t="n"/>
      <c r="AE173" s="63" t="n"/>
      <c r="AF173" s="63" t="n"/>
      <c r="AG173" s="63" t="n"/>
      <c r="AH173" s="63" t="n"/>
      <c r="AI173" s="63" t="n"/>
      <c r="AJ173" s="63" t="n"/>
      <c r="AK173" s="63" t="n"/>
      <c r="AL173" s="63" t="n"/>
      <c r="AM173" s="63" t="n"/>
      <c r="AN173" s="63" t="n"/>
      <c r="AO173" s="63" t="n"/>
      <c r="AP173" s="63" t="n"/>
      <c r="AQ173" s="63" t="n"/>
      <c r="AR173" s="63" t="n"/>
    </row>
    <row r="174" ht="16" customHeight="1">
      <c r="A174" s="58" t="inlineStr">
        <is>
          <t>20602730671</t>
        </is>
      </c>
      <c r="B174" s="59" t="inlineStr">
        <is>
          <t>Cooperativa Agraria Cafetalera Yurinaki Bayoz</t>
        </is>
      </c>
      <c r="C174" s="58" t="n"/>
      <c r="D174" s="58" t="n"/>
      <c r="E174" s="58" t="n"/>
      <c r="F174" s="58" t="n"/>
      <c r="G174" s="60" t="n"/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0" t="n"/>
      <c r="V174" s="60" t="n"/>
      <c r="W174" s="60" t="n"/>
      <c r="X174" s="60" t="n"/>
      <c r="Y174" s="60" t="n"/>
      <c r="Z174" s="60" t="n"/>
      <c r="AA174" s="60" t="n"/>
      <c r="AB174" s="60" t="n"/>
      <c r="AC174" s="60" t="n"/>
      <c r="AD174" s="60" t="n"/>
      <c r="AE174" s="60" t="n"/>
      <c r="AF174" s="60" t="n"/>
      <c r="AG174" s="60" t="n"/>
      <c r="AH174" s="60" t="n"/>
      <c r="AI174" s="60" t="n"/>
      <c r="AJ174" s="60" t="n"/>
      <c r="AK174" s="60" t="n"/>
      <c r="AL174" s="60" t="n"/>
      <c r="AM174" s="60" t="n"/>
      <c r="AN174" s="60" t="n"/>
      <c r="AO174" s="60" t="n"/>
      <c r="AP174" s="60" t="n"/>
      <c r="AQ174" s="60" t="n"/>
      <c r="AR174" s="60" t="n"/>
    </row>
    <row r="175" ht="16" customHeight="1">
      <c r="A175" s="61" t="inlineStr">
        <is>
          <t>20601156858</t>
        </is>
      </c>
      <c r="B175" s="62" t="inlineStr">
        <is>
          <t>Cooperativa Agraria Coyentimari Ltda.</t>
        </is>
      </c>
      <c r="C175" s="61" t="n"/>
      <c r="D175" s="61" t="n"/>
      <c r="E175" s="61" t="n"/>
      <c r="F175" s="61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  <c r="Z175" s="63" t="n"/>
      <c r="AA175" s="63" t="n"/>
      <c r="AB175" s="63" t="n"/>
      <c r="AC175" s="63" t="n"/>
      <c r="AD175" s="63" t="n"/>
      <c r="AE175" s="63" t="n"/>
      <c r="AF175" s="63" t="n"/>
      <c r="AG175" s="63" t="n"/>
      <c r="AH175" s="63" t="n"/>
      <c r="AI175" s="63" t="n"/>
      <c r="AJ175" s="63" t="n"/>
      <c r="AK175" s="63" t="n"/>
      <c r="AL175" s="63" t="n"/>
      <c r="AM175" s="63" t="n"/>
      <c r="AN175" s="63" t="n"/>
      <c r="AO175" s="63" t="n"/>
      <c r="AP175" s="63" t="n"/>
      <c r="AQ175" s="63" t="n"/>
      <c r="AR175" s="63" t="n"/>
    </row>
    <row r="176" ht="16" customHeight="1">
      <c r="A176" s="58" t="inlineStr">
        <is>
          <t>20487242994</t>
        </is>
      </c>
      <c r="B176" s="59" t="inlineStr">
        <is>
          <t>Cooperativa Agraria Ecologica Cacaotera Valle Rio Ene</t>
        </is>
      </c>
      <c r="C176" s="58" t="inlineStr">
        <is>
          <t>CACAO</t>
        </is>
      </c>
      <c r="D176" s="58" t="inlineStr">
        <is>
          <t>JUNIN</t>
        </is>
      </c>
      <c r="E176" s="58" t="inlineStr">
        <is>
          <t>SATIPO</t>
        </is>
      </c>
      <c r="F176" s="58" t="inlineStr">
        <is>
          <t>RIO TAMBO</t>
        </is>
      </c>
      <c r="G176" s="60" t="n"/>
      <c r="H176" s="60" t="n"/>
      <c r="I176" s="60" t="n"/>
      <c r="J176" s="60" t="n"/>
      <c r="K176" s="60" t="n"/>
      <c r="L176" s="60" t="n"/>
      <c r="M176" s="60" t="n"/>
      <c r="N176" s="64" t="n">
        <v>1782355.8892</v>
      </c>
      <c r="O176" s="60" t="n"/>
      <c r="P176" s="60" t="n"/>
      <c r="Q176" s="60" t="n"/>
      <c r="R176" s="60" t="n"/>
      <c r="S176" s="60" t="n"/>
      <c r="T176" s="60" t="n"/>
      <c r="U176" s="60" t="n"/>
      <c r="V176" s="60" t="n"/>
      <c r="W176" s="60" t="n"/>
      <c r="X176" s="60" t="n"/>
      <c r="Y176" s="64" t="n">
        <v>813381.85</v>
      </c>
      <c r="Z176" s="64" t="n">
        <v>968974.0392</v>
      </c>
      <c r="AA176" s="60" t="n"/>
      <c r="AB176" s="60" t="n"/>
      <c r="AC176" s="60" t="n"/>
      <c r="AD176" s="60" t="n"/>
      <c r="AE176" s="60" t="n"/>
      <c r="AF176" s="60" t="n"/>
      <c r="AG176" s="60" t="n"/>
      <c r="AH176" s="60" t="n"/>
      <c r="AI176" s="60" t="n"/>
      <c r="AJ176" s="60" t="n"/>
      <c r="AK176" s="60" t="n"/>
      <c r="AL176" s="60" t="n"/>
      <c r="AM176" s="64" t="n">
        <v>0</v>
      </c>
      <c r="AN176" s="64" t="n">
        <v>0</v>
      </c>
      <c r="AO176" s="64" t="n">
        <v>1782355.8892</v>
      </c>
      <c r="AP176" s="64" t="n">
        <v>0</v>
      </c>
      <c r="AQ176" s="64" t="n">
        <v>0</v>
      </c>
      <c r="AR176" s="64" t="n">
        <v>1782355.8892</v>
      </c>
    </row>
    <row r="177" ht="16" customHeight="1">
      <c r="A177" s="61" t="inlineStr">
        <is>
          <t>20611271744</t>
        </is>
      </c>
      <c r="B177" s="62" t="inlineStr">
        <is>
          <t>Cooperativa Agraria Industrial Cafés Perú</t>
        </is>
      </c>
      <c r="C177" s="61" t="n"/>
      <c r="D177" s="61" t="n"/>
      <c r="E177" s="61" t="n"/>
      <c r="F177" s="61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  <c r="Z177" s="63" t="n"/>
      <c r="AA177" s="63" t="n"/>
      <c r="AB177" s="63" t="n"/>
      <c r="AC177" s="63" t="n"/>
      <c r="AD177" s="63" t="n"/>
      <c r="AE177" s="63" t="n"/>
      <c r="AF177" s="63" t="n"/>
      <c r="AG177" s="63" t="n"/>
      <c r="AH177" s="63" t="n"/>
      <c r="AI177" s="63" t="n"/>
      <c r="AJ177" s="63" t="n"/>
      <c r="AK177" s="63" t="n"/>
      <c r="AL177" s="63" t="n"/>
      <c r="AM177" s="63" t="n"/>
      <c r="AN177" s="63" t="n"/>
      <c r="AO177" s="63" t="n"/>
      <c r="AP177" s="63" t="n"/>
      <c r="AQ177" s="63" t="n"/>
      <c r="AR177" s="63" t="n"/>
    </row>
    <row r="178" ht="16" customHeight="1">
      <c r="A178" s="58" t="inlineStr">
        <is>
          <t>20611235896</t>
        </is>
      </c>
      <c r="B178" s="59" t="inlineStr">
        <is>
          <t>Cooperativa Agraria Industrial Tami</t>
        </is>
      </c>
      <c r="C178" s="58" t="n"/>
      <c r="D178" s="58" t="n"/>
      <c r="E178" s="58" t="n"/>
      <c r="F178" s="58" t="n"/>
      <c r="G178" s="60" t="n"/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0" t="n"/>
      <c r="V178" s="60" t="n"/>
      <c r="W178" s="60" t="n"/>
      <c r="X178" s="60" t="n"/>
      <c r="Y178" s="60" t="n"/>
      <c r="Z178" s="60" t="n"/>
      <c r="AA178" s="60" t="n"/>
      <c r="AB178" s="60" t="n"/>
      <c r="AC178" s="60" t="n"/>
      <c r="AD178" s="60" t="n"/>
      <c r="AE178" s="60" t="n"/>
      <c r="AF178" s="60" t="n"/>
      <c r="AG178" s="60" t="n"/>
      <c r="AH178" s="60" t="n"/>
      <c r="AI178" s="60" t="n"/>
      <c r="AJ178" s="60" t="n"/>
      <c r="AK178" s="60" t="n"/>
      <c r="AL178" s="60" t="n"/>
      <c r="AM178" s="60" t="n"/>
      <c r="AN178" s="60" t="n"/>
      <c r="AO178" s="60" t="n"/>
      <c r="AP178" s="60" t="n"/>
      <c r="AQ178" s="60" t="n"/>
      <c r="AR178" s="60" t="n"/>
    </row>
    <row r="179" ht="16" customHeight="1">
      <c r="A179" s="61" t="inlineStr">
        <is>
          <t>20601919657</t>
        </is>
      </c>
      <c r="B179" s="62" t="inlineStr">
        <is>
          <t>Cooperativa Agraria Innovación Café y Cacao del Vraem</t>
        </is>
      </c>
      <c r="C179" s="61" t="inlineStr">
        <is>
          <t>CACAO</t>
        </is>
      </c>
      <c r="D179" s="61" t="inlineStr">
        <is>
          <t>JUNIN</t>
        </is>
      </c>
      <c r="E179" s="61" t="inlineStr">
        <is>
          <t>SATIPO</t>
        </is>
      </c>
      <c r="F179" s="61" t="inlineStr">
        <is>
          <t>PANGOA</t>
        </is>
      </c>
      <c r="G179" s="65" t="n">
        <v>0</v>
      </c>
      <c r="H179" s="65" t="n">
        <v>0</v>
      </c>
      <c r="I179" s="65" t="n">
        <v>985679.3200000001</v>
      </c>
      <c r="J179" s="65" t="n">
        <v>100000</v>
      </c>
      <c r="K179" s="65" t="n">
        <v>45000</v>
      </c>
      <c r="L179" s="65" t="n">
        <v>143520</v>
      </c>
      <c r="M179" s="65" t="n">
        <v>0</v>
      </c>
      <c r="N179" s="65" t="n">
        <v>0</v>
      </c>
      <c r="O179" s="65" t="n">
        <v>756531.55</v>
      </c>
      <c r="P179" s="65" t="n">
        <v>229147.77</v>
      </c>
      <c r="Q179" s="65" t="n">
        <v>100000</v>
      </c>
      <c r="R179" s="65" t="n">
        <v>0</v>
      </c>
      <c r="S179" s="65" t="n">
        <v>45000</v>
      </c>
      <c r="T179" s="65" t="n">
        <v>0</v>
      </c>
      <c r="U179" s="65" t="n">
        <v>143520</v>
      </c>
      <c r="V179" s="65" t="n">
        <v>0</v>
      </c>
      <c r="W179" s="65" t="n">
        <v>0</v>
      </c>
      <c r="X179" s="65" t="n">
        <v>0</v>
      </c>
      <c r="Y179" s="65" t="n">
        <v>0</v>
      </c>
      <c r="Z179" s="65" t="n">
        <v>0</v>
      </c>
      <c r="AA179" s="65" t="n">
        <v>0</v>
      </c>
      <c r="AB179" s="65" t="n">
        <v>143520</v>
      </c>
      <c r="AC179" s="65" t="n">
        <v>0</v>
      </c>
      <c r="AD179" s="65" t="n">
        <v>0</v>
      </c>
      <c r="AE179" s="65" t="n">
        <v>0</v>
      </c>
      <c r="AF179" s="65" t="n">
        <v>143520</v>
      </c>
      <c r="AG179" s="65" t="n">
        <v>0</v>
      </c>
      <c r="AH179" s="65" t="n">
        <v>0</v>
      </c>
      <c r="AI179" s="65" t="n">
        <v>0</v>
      </c>
      <c r="AJ179" s="65" t="n">
        <v>0</v>
      </c>
      <c r="AK179" s="65" t="n">
        <v>0</v>
      </c>
      <c r="AL179" s="65" t="n">
        <v>0</v>
      </c>
      <c r="AM179" s="65" t="n">
        <v>0</v>
      </c>
      <c r="AN179" s="65" t="n">
        <v>0</v>
      </c>
      <c r="AO179" s="65" t="n">
        <v>0</v>
      </c>
      <c r="AP179" s="65" t="n">
        <v>0</v>
      </c>
      <c r="AQ179" s="65" t="n">
        <v>0</v>
      </c>
      <c r="AR179" s="65" t="n">
        <v>0</v>
      </c>
    </row>
    <row r="180" ht="16" customHeight="1">
      <c r="A180" s="58" t="inlineStr">
        <is>
          <t>20611340002</t>
        </is>
      </c>
      <c r="B180" s="59" t="inlineStr">
        <is>
          <t>Cooperativa Agraria Intercultural Cafe Pui Pui Ltda</t>
        </is>
      </c>
      <c r="C180" s="58" t="inlineStr">
        <is>
          <t>MARACUYA</t>
        </is>
      </c>
      <c r="D180" s="58" t="inlineStr">
        <is>
          <t>JUNIN</t>
        </is>
      </c>
      <c r="E180" s="58" t="inlineStr">
        <is>
          <t>SATIPO</t>
        </is>
      </c>
      <c r="F180" s="58" t="inlineStr">
        <is>
          <t>SATIPO</t>
        </is>
      </c>
      <c r="G180" s="60" t="n"/>
      <c r="H180" s="60" t="n"/>
      <c r="I180" s="60" t="n"/>
      <c r="J180" s="60" t="n"/>
      <c r="K180" s="60" t="n"/>
      <c r="L180" s="60" t="n"/>
      <c r="M180" s="60" t="n"/>
      <c r="N180" s="64" t="n">
        <v>462</v>
      </c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4" t="n">
        <v>462</v>
      </c>
      <c r="Z180" s="64" t="n">
        <v>0</v>
      </c>
      <c r="AA180" s="60" t="n"/>
      <c r="AB180" s="60" t="n"/>
      <c r="AC180" s="60" t="n"/>
      <c r="AD180" s="60" t="n"/>
      <c r="AE180" s="60" t="n"/>
      <c r="AF180" s="60" t="n"/>
      <c r="AG180" s="60" t="n"/>
      <c r="AH180" s="60" t="n"/>
      <c r="AI180" s="60" t="n"/>
      <c r="AJ180" s="60" t="n"/>
      <c r="AK180" s="60" t="n"/>
      <c r="AL180" s="60" t="n"/>
      <c r="AM180" s="64" t="n">
        <v>0</v>
      </c>
      <c r="AN180" s="64" t="n">
        <v>462</v>
      </c>
      <c r="AO180" s="64" t="n">
        <v>0</v>
      </c>
      <c r="AP180" s="64" t="n">
        <v>0</v>
      </c>
      <c r="AQ180" s="64" t="n">
        <v>0</v>
      </c>
      <c r="AR180" s="64" t="n">
        <v>462</v>
      </c>
    </row>
    <row r="181" ht="16" customHeight="1">
      <c r="A181" s="61" t="inlineStr">
        <is>
          <t>20600329848</t>
        </is>
      </c>
      <c r="B181" s="62" t="inlineStr">
        <is>
          <t>Cooperativa Agraria Intercultural Café y Cacao de Río Tambo - Vraem</t>
        </is>
      </c>
      <c r="C181" s="61" t="n"/>
      <c r="D181" s="61" t="n"/>
      <c r="E181" s="61" t="n"/>
      <c r="F181" s="61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  <c r="Z181" s="63" t="n"/>
      <c r="AA181" s="63" t="n"/>
      <c r="AB181" s="63" t="n"/>
      <c r="AC181" s="63" t="n"/>
      <c r="AD181" s="63" t="n"/>
      <c r="AE181" s="63" t="n"/>
      <c r="AF181" s="63" t="n"/>
      <c r="AG181" s="63" t="n"/>
      <c r="AH181" s="63" t="n"/>
      <c r="AI181" s="63" t="n"/>
      <c r="AJ181" s="63" t="n"/>
      <c r="AK181" s="63" t="n"/>
      <c r="AL181" s="63" t="n"/>
      <c r="AM181" s="63" t="n"/>
      <c r="AN181" s="63" t="n"/>
      <c r="AO181" s="63" t="n"/>
      <c r="AP181" s="63" t="n"/>
      <c r="AQ181" s="63" t="n"/>
      <c r="AR181" s="63" t="n"/>
    </row>
    <row r="182" ht="16" customHeight="1">
      <c r="A182" s="58" t="inlineStr">
        <is>
          <t>20611402415</t>
        </is>
      </c>
      <c r="B182" s="59" t="inlineStr">
        <is>
          <t>Cooperativa Agraria Intercultural De Mujeres Emprendedoras Ltda</t>
        </is>
      </c>
      <c r="C182" s="58" t="n"/>
      <c r="D182" s="58" t="n"/>
      <c r="E182" s="58" t="n"/>
      <c r="F182" s="58" t="n"/>
      <c r="G182" s="60" t="n"/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0" t="n"/>
      <c r="V182" s="60" t="n"/>
      <c r="W182" s="60" t="n"/>
      <c r="X182" s="60" t="n"/>
      <c r="Y182" s="60" t="n"/>
      <c r="Z182" s="60" t="n"/>
      <c r="AA182" s="60" t="n"/>
      <c r="AB182" s="60" t="n"/>
      <c r="AC182" s="60" t="n"/>
      <c r="AD182" s="60" t="n"/>
      <c r="AE182" s="60" t="n"/>
      <c r="AF182" s="60" t="n"/>
      <c r="AG182" s="60" t="n"/>
      <c r="AH182" s="60" t="n"/>
      <c r="AI182" s="60" t="n"/>
      <c r="AJ182" s="60" t="n"/>
      <c r="AK182" s="60" t="n"/>
      <c r="AL182" s="60" t="n"/>
      <c r="AM182" s="60" t="n"/>
      <c r="AN182" s="60" t="n"/>
      <c r="AO182" s="60" t="n"/>
      <c r="AP182" s="60" t="n"/>
      <c r="AQ182" s="60" t="n"/>
      <c r="AR182" s="60" t="n"/>
    </row>
    <row r="183" ht="16" customHeight="1">
      <c r="A183" s="61" t="inlineStr">
        <is>
          <t>20609951886</t>
        </is>
      </c>
      <c r="B183" s="62" t="inlineStr">
        <is>
          <t>Cooperativa Agraria Intercultural Satipo Ltda</t>
        </is>
      </c>
      <c r="C183" s="61" t="n"/>
      <c r="D183" s="61" t="n"/>
      <c r="E183" s="61" t="n"/>
      <c r="F183" s="61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  <c r="Z183" s="63" t="n"/>
      <c r="AA183" s="63" t="n"/>
      <c r="AB183" s="63" t="n"/>
      <c r="AC183" s="63" t="n"/>
      <c r="AD183" s="63" t="n"/>
      <c r="AE183" s="63" t="n"/>
      <c r="AF183" s="63" t="n"/>
      <c r="AG183" s="63" t="n"/>
      <c r="AH183" s="63" t="n"/>
      <c r="AI183" s="63" t="n"/>
      <c r="AJ183" s="63" t="n"/>
      <c r="AK183" s="63" t="n"/>
      <c r="AL183" s="63" t="n"/>
      <c r="AM183" s="63" t="n"/>
      <c r="AN183" s="63" t="n"/>
      <c r="AO183" s="63" t="n"/>
      <c r="AP183" s="63" t="n"/>
      <c r="AQ183" s="63" t="n"/>
      <c r="AR183" s="63" t="n"/>
    </row>
    <row r="184" ht="16" customHeight="1">
      <c r="A184" s="58" t="inlineStr">
        <is>
          <t>20612610658</t>
        </is>
      </c>
      <c r="B184" s="59" t="inlineStr">
        <is>
          <t>Cooperativa Agraria Pakitza</t>
        </is>
      </c>
      <c r="C184" s="58" t="n"/>
      <c r="D184" s="58" t="n"/>
      <c r="E184" s="58" t="n"/>
      <c r="F184" s="58" t="n"/>
      <c r="G184" s="60" t="n"/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  <c r="Z184" s="60" t="n"/>
      <c r="AA184" s="60" t="n"/>
      <c r="AB184" s="60" t="n"/>
      <c r="AC184" s="60" t="n"/>
      <c r="AD184" s="60" t="n"/>
      <c r="AE184" s="60" t="n"/>
      <c r="AF184" s="60" t="n"/>
      <c r="AG184" s="60" t="n"/>
      <c r="AH184" s="60" t="n"/>
      <c r="AI184" s="60" t="n"/>
      <c r="AJ184" s="60" t="n"/>
      <c r="AK184" s="60" t="n"/>
      <c r="AL184" s="60" t="n"/>
      <c r="AM184" s="60" t="n"/>
      <c r="AN184" s="60" t="n"/>
      <c r="AO184" s="60" t="n"/>
      <c r="AP184" s="60" t="n"/>
      <c r="AQ184" s="60" t="n"/>
      <c r="AR184" s="60" t="n"/>
    </row>
    <row r="185" ht="16" customHeight="1">
      <c r="A185" s="61" t="inlineStr">
        <is>
          <t>20486255090</t>
        </is>
      </c>
      <c r="B185" s="62" t="inlineStr">
        <is>
          <t>Cooperativa Agraria Sangareni</t>
        </is>
      </c>
      <c r="C185" s="61" t="inlineStr">
        <is>
          <t>CAFÉ</t>
        </is>
      </c>
      <c r="D185" s="61" t="inlineStr">
        <is>
          <t>JUNIN</t>
        </is>
      </c>
      <c r="E185" s="61" t="inlineStr">
        <is>
          <t>SATIPO</t>
        </is>
      </c>
      <c r="F185" s="61" t="inlineStr">
        <is>
          <t>PANGOA</t>
        </is>
      </c>
      <c r="G185" s="65" t="n">
        <v>0</v>
      </c>
      <c r="H185" s="65" t="n">
        <v>0</v>
      </c>
      <c r="I185" s="65" t="n">
        <v>0</v>
      </c>
      <c r="J185" s="65" t="n">
        <v>0</v>
      </c>
      <c r="K185" s="65" t="n">
        <v>0</v>
      </c>
      <c r="L185" s="65" t="n">
        <v>0</v>
      </c>
      <c r="M185" s="65" t="n">
        <v>8202629.249985601</v>
      </c>
      <c r="N185" s="65" t="n">
        <v>9860568.488207728</v>
      </c>
      <c r="O185" s="65" t="n">
        <v>0</v>
      </c>
      <c r="P185" s="65" t="n">
        <v>0</v>
      </c>
      <c r="Q185" s="65" t="n">
        <v>0</v>
      </c>
      <c r="R185" s="65" t="n">
        <v>0</v>
      </c>
      <c r="S185" s="65" t="n">
        <v>0</v>
      </c>
      <c r="T185" s="65" t="n">
        <v>0</v>
      </c>
      <c r="U185" s="65" t="n">
        <v>0</v>
      </c>
      <c r="V185" s="65" t="n">
        <v>0</v>
      </c>
      <c r="W185" s="65" t="n">
        <v>0</v>
      </c>
      <c r="X185" s="65" t="n">
        <v>8202629.249985601</v>
      </c>
      <c r="Y185" s="65" t="n">
        <v>0</v>
      </c>
      <c r="Z185" s="65" t="n">
        <v>9860568.488207728</v>
      </c>
      <c r="AA185" s="65" t="n">
        <v>0</v>
      </c>
      <c r="AB185" s="65" t="n">
        <v>0</v>
      </c>
      <c r="AC185" s="65" t="n">
        <v>0</v>
      </c>
      <c r="AD185" s="65" t="n">
        <v>0</v>
      </c>
      <c r="AE185" s="65" t="n">
        <v>0</v>
      </c>
      <c r="AF185" s="65" t="n">
        <v>0</v>
      </c>
      <c r="AG185" s="65" t="n">
        <v>0</v>
      </c>
      <c r="AH185" s="65" t="n">
        <v>0</v>
      </c>
      <c r="AI185" s="65" t="n">
        <v>8202629.249985601</v>
      </c>
      <c r="AJ185" s="65" t="n">
        <v>0</v>
      </c>
      <c r="AK185" s="65" t="n">
        <v>0</v>
      </c>
      <c r="AL185" s="65" t="n">
        <v>8202629.249985601</v>
      </c>
      <c r="AM185" s="65" t="n">
        <v>0</v>
      </c>
      <c r="AN185" s="65" t="n">
        <v>0</v>
      </c>
      <c r="AO185" s="65" t="n">
        <v>9860568.488207728</v>
      </c>
      <c r="AP185" s="65" t="n">
        <v>0</v>
      </c>
      <c r="AQ185" s="65" t="n">
        <v>0</v>
      </c>
      <c r="AR185" s="65" t="n">
        <v>9860568.488207728</v>
      </c>
    </row>
    <row r="186" ht="16" customHeight="1">
      <c r="A186" s="58" t="inlineStr">
        <is>
          <t>20611134836</t>
        </is>
      </c>
      <c r="B186" s="59" t="inlineStr">
        <is>
          <t>Cooperativa Agraria Tropical Sostenible El Agricultor</t>
        </is>
      </c>
      <c r="C186" s="58" t="n"/>
      <c r="D186" s="58" t="n"/>
      <c r="E186" s="58" t="n"/>
      <c r="F186" s="58" t="n"/>
      <c r="G186" s="60" t="n"/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0" t="n"/>
      <c r="V186" s="60" t="n"/>
      <c r="W186" s="60" t="n"/>
      <c r="X186" s="60" t="n"/>
      <c r="Y186" s="60" t="n"/>
      <c r="Z186" s="60" t="n"/>
      <c r="AA186" s="60" t="n"/>
      <c r="AB186" s="60" t="n"/>
      <c r="AC186" s="60" t="n"/>
      <c r="AD186" s="60" t="n"/>
      <c r="AE186" s="60" t="n"/>
      <c r="AF186" s="60" t="n"/>
      <c r="AG186" s="60" t="n"/>
      <c r="AH186" s="60" t="n"/>
      <c r="AI186" s="60" t="n"/>
      <c r="AJ186" s="60" t="n"/>
      <c r="AK186" s="60" t="n"/>
      <c r="AL186" s="60" t="n"/>
      <c r="AM186" s="60" t="n"/>
      <c r="AN186" s="60" t="n"/>
      <c r="AO186" s="60" t="n"/>
      <c r="AP186" s="60" t="n"/>
      <c r="AQ186" s="60" t="n"/>
      <c r="AR186" s="60" t="n"/>
    </row>
    <row r="187" ht="16" customHeight="1">
      <c r="A187" s="61" t="inlineStr">
        <is>
          <t>20605010882</t>
        </is>
      </c>
      <c r="B187" s="62" t="inlineStr">
        <is>
          <t>Cooperativa Agraria de Cafés Especiales de La Cuenca del Tulumayo</t>
        </is>
      </c>
      <c r="C187" s="61" t="n"/>
      <c r="D187" s="61" t="n"/>
      <c r="E187" s="61" t="n"/>
      <c r="F187" s="61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  <c r="Z187" s="63" t="n"/>
      <c r="AA187" s="63" t="n"/>
      <c r="AB187" s="63" t="n"/>
      <c r="AC187" s="63" t="n"/>
      <c r="AD187" s="63" t="n"/>
      <c r="AE187" s="63" t="n"/>
      <c r="AF187" s="63" t="n"/>
      <c r="AG187" s="63" t="n"/>
      <c r="AH187" s="63" t="n"/>
      <c r="AI187" s="63" t="n"/>
      <c r="AJ187" s="63" t="n"/>
      <c r="AK187" s="63" t="n"/>
      <c r="AL187" s="63" t="n"/>
      <c r="AM187" s="63" t="n"/>
      <c r="AN187" s="63" t="n"/>
      <c r="AO187" s="63" t="n"/>
      <c r="AP187" s="63" t="n"/>
      <c r="AQ187" s="63" t="n"/>
      <c r="AR187" s="63" t="n"/>
    </row>
    <row r="188" ht="16" customHeight="1">
      <c r="A188" s="58" t="inlineStr">
        <is>
          <t>20610300988</t>
        </is>
      </c>
      <c r="B188" s="59" t="inlineStr">
        <is>
          <t>Cooperativa Agraria de Mujeres Interculturales del Vraem Ltda</t>
        </is>
      </c>
      <c r="C188" s="58" t="n"/>
      <c r="D188" s="58" t="n"/>
      <c r="E188" s="58" t="n"/>
      <c r="F188" s="58" t="n"/>
      <c r="G188" s="60" t="n"/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  <c r="Z188" s="60" t="n"/>
      <c r="AA188" s="60" t="n"/>
      <c r="AB188" s="60" t="n"/>
      <c r="AC188" s="60" t="n"/>
      <c r="AD188" s="60" t="n"/>
      <c r="AE188" s="60" t="n"/>
      <c r="AF188" s="60" t="n"/>
      <c r="AG188" s="60" t="n"/>
      <c r="AH188" s="60" t="n"/>
      <c r="AI188" s="60" t="n"/>
      <c r="AJ188" s="60" t="n"/>
      <c r="AK188" s="60" t="n"/>
      <c r="AL188" s="60" t="n"/>
      <c r="AM188" s="60" t="n"/>
      <c r="AN188" s="60" t="n"/>
      <c r="AO188" s="60" t="n"/>
      <c r="AP188" s="60" t="n"/>
      <c r="AQ188" s="60" t="n"/>
      <c r="AR188" s="60" t="n"/>
    </row>
    <row r="189" ht="16" customHeight="1">
      <c r="A189" s="61" t="inlineStr">
        <is>
          <t>20600426584</t>
        </is>
      </c>
      <c r="B189" s="62" t="inlineStr">
        <is>
          <t>La Cooperativa Agraria Ashaninka Y Nomatsiguenga Con Criterios Ambientales Ltda</t>
        </is>
      </c>
      <c r="C189" s="61" t="n"/>
      <c r="D189" s="61" t="n"/>
      <c r="E189" s="61" t="n"/>
      <c r="F189" s="61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  <c r="Z189" s="63" t="n"/>
      <c r="AA189" s="63" t="n"/>
      <c r="AB189" s="63" t="n"/>
      <c r="AC189" s="63" t="n"/>
      <c r="AD189" s="63" t="n"/>
      <c r="AE189" s="63" t="n"/>
      <c r="AF189" s="63" t="n"/>
      <c r="AG189" s="63" t="n"/>
      <c r="AH189" s="63" t="n"/>
      <c r="AI189" s="63" t="n"/>
      <c r="AJ189" s="63" t="n"/>
      <c r="AK189" s="63" t="n"/>
      <c r="AL189" s="63" t="n"/>
      <c r="AM189" s="63" t="n"/>
      <c r="AN189" s="63" t="n"/>
      <c r="AO189" s="63" t="n"/>
      <c r="AP189" s="63" t="n"/>
      <c r="AQ189" s="63" t="n"/>
      <c r="AR189" s="63" t="n"/>
    </row>
    <row r="190" ht="16" customHeight="1">
      <c r="A190" s="58" t="inlineStr">
        <is>
          <t>20607434281</t>
        </is>
      </c>
      <c r="B190" s="59" t="inlineStr">
        <is>
          <t>Cooperativa Agraria Central de Productores de La Libertad</t>
        </is>
      </c>
      <c r="C190" s="58" t="n"/>
      <c r="D190" s="58" t="n"/>
      <c r="E190" s="58" t="n"/>
      <c r="F190" s="58" t="n"/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0" t="n"/>
      <c r="V190" s="60" t="n"/>
      <c r="W190" s="60" t="n"/>
      <c r="X190" s="60" t="n"/>
      <c r="Y190" s="60" t="n"/>
      <c r="Z190" s="60" t="n"/>
      <c r="AA190" s="60" t="n"/>
      <c r="AB190" s="60" t="n"/>
      <c r="AC190" s="60" t="n"/>
      <c r="AD190" s="60" t="n"/>
      <c r="AE190" s="60" t="n"/>
      <c r="AF190" s="60" t="n"/>
      <c r="AG190" s="60" t="n"/>
      <c r="AH190" s="60" t="n"/>
      <c r="AI190" s="60" t="n"/>
      <c r="AJ190" s="60" t="n"/>
      <c r="AK190" s="60" t="n"/>
      <c r="AL190" s="60" t="n"/>
      <c r="AM190" s="60" t="n"/>
      <c r="AN190" s="60" t="n"/>
      <c r="AO190" s="60" t="n"/>
      <c r="AP190" s="60" t="n"/>
      <c r="AQ190" s="60" t="n"/>
      <c r="AR190" s="60" t="n"/>
    </row>
    <row r="191" ht="16" customHeight="1">
      <c r="A191" s="61" t="inlineStr">
        <is>
          <t>20609902869</t>
        </is>
      </c>
      <c r="B191" s="62" t="inlineStr">
        <is>
          <t>Cooperativa Agraria Agricultores Terra</t>
        </is>
      </c>
      <c r="C191" s="61" t="n"/>
      <c r="D191" s="61" t="n"/>
      <c r="E191" s="61" t="n"/>
      <c r="F191" s="61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  <c r="AA191" s="63" t="n"/>
      <c r="AB191" s="63" t="n"/>
      <c r="AC191" s="63" t="n"/>
      <c r="AD191" s="63" t="n"/>
      <c r="AE191" s="63" t="n"/>
      <c r="AF191" s="63" t="n"/>
      <c r="AG191" s="63" t="n"/>
      <c r="AH191" s="63" t="n"/>
      <c r="AI191" s="63" t="n"/>
      <c r="AJ191" s="63" t="n"/>
      <c r="AK191" s="63" t="n"/>
      <c r="AL191" s="63" t="n"/>
      <c r="AM191" s="63" t="n"/>
      <c r="AN191" s="63" t="n"/>
      <c r="AO191" s="63" t="n"/>
      <c r="AP191" s="63" t="n"/>
      <c r="AQ191" s="63" t="n"/>
      <c r="AR191" s="63" t="n"/>
    </row>
    <row r="192" ht="16" customHeight="1">
      <c r="A192" s="58" t="inlineStr">
        <is>
          <t>20542311569</t>
        </is>
      </c>
      <c r="B192" s="59" t="inlineStr">
        <is>
          <t>Cooperativa Agraria Achuar Shakaim Ltda</t>
        </is>
      </c>
      <c r="C192" s="58" t="inlineStr">
        <is>
          <t>CACAO</t>
        </is>
      </c>
      <c r="D192" s="58" t="inlineStr">
        <is>
          <t>LORETO</t>
        </is>
      </c>
      <c r="E192" s="58" t="inlineStr">
        <is>
          <t>DATEM DEL MARAÑON</t>
        </is>
      </c>
      <c r="F192" s="58" t="inlineStr">
        <is>
          <t>BARRANCA</t>
        </is>
      </c>
      <c r="G192" s="64" t="n">
        <v>0</v>
      </c>
      <c r="H192" s="64" t="n">
        <v>0</v>
      </c>
      <c r="I192" s="64" t="n">
        <v>0</v>
      </c>
      <c r="J192" s="64" t="n">
        <v>0</v>
      </c>
      <c r="K192" s="64" t="n">
        <v>0</v>
      </c>
      <c r="L192" s="64" t="n">
        <v>96478</v>
      </c>
      <c r="M192" s="64" t="n">
        <v>321698.5</v>
      </c>
      <c r="N192" s="64" t="n">
        <v>0</v>
      </c>
      <c r="O192" s="64" t="n">
        <v>0</v>
      </c>
      <c r="P192" s="64" t="n">
        <v>0</v>
      </c>
      <c r="Q192" s="64" t="n">
        <v>0</v>
      </c>
      <c r="R192" s="64" t="n">
        <v>0</v>
      </c>
      <c r="S192" s="64" t="n">
        <v>0</v>
      </c>
      <c r="T192" s="64" t="n">
        <v>0</v>
      </c>
      <c r="U192" s="64" t="n">
        <v>96478</v>
      </c>
      <c r="V192" s="64" t="n">
        <v>0</v>
      </c>
      <c r="W192" s="64" t="n">
        <v>321698.5</v>
      </c>
      <c r="X192" s="64" t="n">
        <v>0</v>
      </c>
      <c r="Y192" s="64" t="n">
        <v>0</v>
      </c>
      <c r="Z192" s="64" t="n">
        <v>0</v>
      </c>
      <c r="AA192" s="64" t="n">
        <v>0</v>
      </c>
      <c r="AB192" s="64" t="n">
        <v>12838</v>
      </c>
      <c r="AC192" s="64" t="n">
        <v>83640</v>
      </c>
      <c r="AD192" s="64" t="n">
        <v>0</v>
      </c>
      <c r="AE192" s="64" t="n">
        <v>0</v>
      </c>
      <c r="AF192" s="64" t="n">
        <v>96478</v>
      </c>
      <c r="AG192" s="64" t="n">
        <v>0</v>
      </c>
      <c r="AH192" s="64" t="n">
        <v>109228.5</v>
      </c>
      <c r="AI192" s="64" t="n">
        <v>212470</v>
      </c>
      <c r="AJ192" s="64" t="n">
        <v>0</v>
      </c>
      <c r="AK192" s="64" t="n">
        <v>0</v>
      </c>
      <c r="AL192" s="64" t="n">
        <v>321698.5</v>
      </c>
      <c r="AM192" s="64" t="n">
        <v>0</v>
      </c>
      <c r="AN192" s="64" t="n">
        <v>0</v>
      </c>
      <c r="AO192" s="64" t="n">
        <v>0</v>
      </c>
      <c r="AP192" s="64" t="n">
        <v>0</v>
      </c>
      <c r="AQ192" s="64" t="n">
        <v>0</v>
      </c>
      <c r="AR192" s="64" t="n">
        <v>0</v>
      </c>
    </row>
    <row r="193" ht="16" customHeight="1">
      <c r="A193" s="61" t="inlineStr">
        <is>
          <t>20600029887</t>
        </is>
      </c>
      <c r="B193" s="62" t="inlineStr">
        <is>
          <t>Cooperativa Agraria Integral Luz de la Esperanza - COOPAILE</t>
        </is>
      </c>
      <c r="C193" s="61" t="inlineStr">
        <is>
          <t>CACAO</t>
        </is>
      </c>
      <c r="D193" s="61" t="inlineStr">
        <is>
          <t>LORETO</t>
        </is>
      </c>
      <c r="E193" s="61" t="inlineStr">
        <is>
          <t>MAYNAS</t>
        </is>
      </c>
      <c r="F193" s="61" t="inlineStr">
        <is>
          <t>IQUITOS</t>
        </is>
      </c>
      <c r="G193" s="65" t="n">
        <v>0</v>
      </c>
      <c r="H193" s="65" t="n">
        <v>0</v>
      </c>
      <c r="I193" s="65" t="n">
        <v>0</v>
      </c>
      <c r="J193" s="65" t="n">
        <v>0</v>
      </c>
      <c r="K193" s="65" t="n">
        <v>0</v>
      </c>
      <c r="L193" s="65" t="n">
        <v>0</v>
      </c>
      <c r="M193" s="65" t="n">
        <v>0</v>
      </c>
      <c r="N193" s="65" t="n">
        <v>0</v>
      </c>
      <c r="O193" s="65" t="n">
        <v>0</v>
      </c>
      <c r="P193" s="65" t="n">
        <v>0</v>
      </c>
      <c r="Q193" s="65" t="n">
        <v>0</v>
      </c>
      <c r="R193" s="65" t="n">
        <v>0</v>
      </c>
      <c r="S193" s="65" t="n">
        <v>0</v>
      </c>
      <c r="T193" s="65" t="n">
        <v>0</v>
      </c>
      <c r="U193" s="65" t="n">
        <v>0</v>
      </c>
      <c r="V193" s="65" t="n">
        <v>0</v>
      </c>
      <c r="W193" s="65" t="n">
        <v>0</v>
      </c>
      <c r="X193" s="65" t="n">
        <v>0</v>
      </c>
      <c r="Y193" s="65" t="n">
        <v>0</v>
      </c>
      <c r="Z193" s="65" t="n">
        <v>0</v>
      </c>
      <c r="AA193" s="65" t="n">
        <v>0</v>
      </c>
      <c r="AB193" s="65" t="n">
        <v>0</v>
      </c>
      <c r="AC193" s="65" t="n">
        <v>0</v>
      </c>
      <c r="AD193" s="65" t="n">
        <v>0</v>
      </c>
      <c r="AE193" s="65" t="n">
        <v>0</v>
      </c>
      <c r="AF193" s="65" t="n">
        <v>0</v>
      </c>
      <c r="AG193" s="65" t="n">
        <v>0</v>
      </c>
      <c r="AH193" s="65" t="n">
        <v>0</v>
      </c>
      <c r="AI193" s="65" t="n">
        <v>0</v>
      </c>
      <c r="AJ193" s="65" t="n">
        <v>0</v>
      </c>
      <c r="AK193" s="65" t="n">
        <v>0</v>
      </c>
      <c r="AL193" s="65" t="n">
        <v>0</v>
      </c>
      <c r="AM193" s="65" t="n">
        <v>0</v>
      </c>
      <c r="AN193" s="65" t="n">
        <v>0</v>
      </c>
      <c r="AO193" s="65" t="n">
        <v>0</v>
      </c>
      <c r="AP193" s="65" t="n">
        <v>0</v>
      </c>
      <c r="AQ193" s="65" t="n">
        <v>0</v>
      </c>
      <c r="AR193" s="65" t="n">
        <v>0</v>
      </c>
    </row>
    <row r="194" ht="16" customHeight="1">
      <c r="A194" s="58" t="inlineStr">
        <is>
          <t>20542825163</t>
        </is>
      </c>
      <c r="B194" s="59" t="inlineStr">
        <is>
          <t>Cooperativa Agraria De Servicios Cacao Fino Agrobosque - Cooperativa Agrobosque</t>
        </is>
      </c>
      <c r="C194" s="58" t="inlineStr">
        <is>
          <t>CACAO</t>
        </is>
      </c>
      <c r="D194" s="58" t="inlineStr">
        <is>
          <t>MADRE DE DIOS</t>
        </is>
      </c>
      <c r="E194" s="58" t="inlineStr">
        <is>
          <t>TAMBOPATA</t>
        </is>
      </c>
      <c r="F194" s="58" t="inlineStr">
        <is>
          <t>INAMBARI</t>
        </is>
      </c>
      <c r="G194" s="64" t="n">
        <v>0</v>
      </c>
      <c r="H194" s="64" t="n">
        <v>160624.49</v>
      </c>
      <c r="I194" s="64" t="n">
        <v>226412.12</v>
      </c>
      <c r="J194" s="64" t="n">
        <v>278172.69</v>
      </c>
      <c r="K194" s="64" t="n">
        <v>673426.5</v>
      </c>
      <c r="L194" s="64" t="n">
        <v>1879212.05</v>
      </c>
      <c r="M194" s="64" t="n">
        <v>0</v>
      </c>
      <c r="N194" s="64" t="n">
        <v>0</v>
      </c>
      <c r="O194" s="64" t="n">
        <v>166540</v>
      </c>
      <c r="P194" s="64" t="n">
        <v>59872.12</v>
      </c>
      <c r="Q194" s="64" t="n">
        <v>247137.51</v>
      </c>
      <c r="R194" s="64" t="n">
        <v>31035.18</v>
      </c>
      <c r="S194" s="64" t="n">
        <v>673426.5</v>
      </c>
      <c r="T194" s="64" t="n">
        <v>0</v>
      </c>
      <c r="U194" s="64" t="n">
        <v>1879212.05</v>
      </c>
      <c r="V194" s="64" t="n">
        <v>0</v>
      </c>
      <c r="W194" s="64" t="n">
        <v>0</v>
      </c>
      <c r="X194" s="64" t="n">
        <v>0</v>
      </c>
      <c r="Y194" s="64" t="n">
        <v>0</v>
      </c>
      <c r="Z194" s="64" t="n">
        <v>0</v>
      </c>
      <c r="AA194" s="64" t="n">
        <v>148.5</v>
      </c>
      <c r="AB194" s="64" t="n">
        <v>0</v>
      </c>
      <c r="AC194" s="64" t="n">
        <v>1879063.550050001</v>
      </c>
      <c r="AD194" s="64" t="n">
        <v>0</v>
      </c>
      <c r="AE194" s="64" t="n">
        <v>0</v>
      </c>
      <c r="AF194" s="64" t="n">
        <v>1879212.050050001</v>
      </c>
      <c r="AG194" s="64" t="n">
        <v>0</v>
      </c>
      <c r="AH194" s="64" t="n">
        <v>0</v>
      </c>
      <c r="AI194" s="64" t="n">
        <v>0</v>
      </c>
      <c r="AJ194" s="64" t="n">
        <v>0</v>
      </c>
      <c r="AK194" s="64" t="n">
        <v>0</v>
      </c>
      <c r="AL194" s="64" t="n">
        <v>0</v>
      </c>
      <c r="AM194" s="64" t="n">
        <v>0</v>
      </c>
      <c r="AN194" s="64" t="n">
        <v>0</v>
      </c>
      <c r="AO194" s="64" t="n">
        <v>0</v>
      </c>
      <c r="AP194" s="64" t="n">
        <v>0</v>
      </c>
      <c r="AQ194" s="64" t="n">
        <v>0</v>
      </c>
      <c r="AR194" s="64" t="n">
        <v>0</v>
      </c>
    </row>
    <row r="195" ht="16" customHeight="1">
      <c r="A195" s="61" t="inlineStr">
        <is>
          <t>20600146689</t>
        </is>
      </c>
      <c r="B195" s="62" t="inlineStr">
        <is>
          <t>Cooperativa Agraria De Servicios Múltiples Tambopata Candamo - Coopaser Tambopata Candamo</t>
        </is>
      </c>
      <c r="C195" s="61" t="inlineStr">
        <is>
          <t>CACAO</t>
        </is>
      </c>
      <c r="D195" s="61" t="inlineStr">
        <is>
          <t>MADRE DE DIOS</t>
        </is>
      </c>
      <c r="E195" s="61" t="inlineStr">
        <is>
          <t>TAMBOPATA</t>
        </is>
      </c>
      <c r="F195" s="61" t="inlineStr">
        <is>
          <t>TAMBOPATA</t>
        </is>
      </c>
      <c r="G195" s="65" t="n">
        <v>0</v>
      </c>
      <c r="H195" s="65" t="n">
        <v>460103.37</v>
      </c>
      <c r="I195" s="65" t="n">
        <v>463984.74</v>
      </c>
      <c r="J195" s="65" t="n">
        <v>0</v>
      </c>
      <c r="K195" s="65" t="n">
        <v>0</v>
      </c>
      <c r="L195" s="65" t="n">
        <v>1019579.64</v>
      </c>
      <c r="M195" s="65" t="n">
        <v>785336.65</v>
      </c>
      <c r="N195" s="65" t="n">
        <v>0</v>
      </c>
      <c r="O195" s="65" t="n">
        <v>218</v>
      </c>
      <c r="P195" s="65" t="n">
        <v>463766.74</v>
      </c>
      <c r="Q195" s="65" t="n">
        <v>0</v>
      </c>
      <c r="R195" s="65" t="n">
        <v>0</v>
      </c>
      <c r="S195" s="65" t="n">
        <v>0</v>
      </c>
      <c r="T195" s="65" t="n">
        <v>0</v>
      </c>
      <c r="U195" s="65" t="n">
        <v>0</v>
      </c>
      <c r="V195" s="65" t="n">
        <v>1019579.64</v>
      </c>
      <c r="W195" s="65" t="n">
        <v>785336.65</v>
      </c>
      <c r="X195" s="65" t="n">
        <v>0</v>
      </c>
      <c r="Y195" s="65" t="n">
        <v>0</v>
      </c>
      <c r="Z195" s="65" t="n">
        <v>0</v>
      </c>
      <c r="AA195" s="65" t="n">
        <v>0</v>
      </c>
      <c r="AB195" s="65" t="n">
        <v>0</v>
      </c>
      <c r="AC195" s="65" t="n">
        <v>1019579.64</v>
      </c>
      <c r="AD195" s="65" t="n">
        <v>0</v>
      </c>
      <c r="AE195" s="65" t="n">
        <v>0</v>
      </c>
      <c r="AF195" s="65" t="n">
        <v>1019579.64</v>
      </c>
      <c r="AG195" s="65" t="n">
        <v>0</v>
      </c>
      <c r="AH195" s="65" t="n">
        <v>0</v>
      </c>
      <c r="AI195" s="65" t="n">
        <v>785336.65</v>
      </c>
      <c r="AJ195" s="65" t="n">
        <v>0</v>
      </c>
      <c r="AK195" s="65" t="n">
        <v>0</v>
      </c>
      <c r="AL195" s="65" t="n">
        <v>785336.65</v>
      </c>
      <c r="AM195" s="65" t="n">
        <v>0</v>
      </c>
      <c r="AN195" s="65" t="n">
        <v>0</v>
      </c>
      <c r="AO195" s="65" t="n">
        <v>0</v>
      </c>
      <c r="AP195" s="65" t="n">
        <v>0</v>
      </c>
      <c r="AQ195" s="65" t="n">
        <v>0</v>
      </c>
      <c r="AR195" s="65" t="n">
        <v>0</v>
      </c>
    </row>
    <row r="196" ht="16" customHeight="1">
      <c r="A196" s="58" t="inlineStr">
        <is>
          <t>20604151954</t>
        </is>
      </c>
      <c r="B196" s="59" t="inlineStr">
        <is>
          <t>Cooperativa Agraria de Servicios Múltiples Sur Oriente - Coopssur Oriente</t>
        </is>
      </c>
      <c r="C196" s="58" t="inlineStr">
        <is>
          <t>CACAO</t>
        </is>
      </c>
      <c r="D196" s="58" t="inlineStr">
        <is>
          <t>MADRE DE DIOS</t>
        </is>
      </c>
      <c r="E196" s="58" t="inlineStr">
        <is>
          <t>TAMBOPATA</t>
        </is>
      </c>
      <c r="F196" s="58" t="inlineStr">
        <is>
          <t>TAMBOPATA</t>
        </is>
      </c>
      <c r="G196" s="64" t="n">
        <v>0</v>
      </c>
      <c r="H196" s="64" t="n">
        <v>0</v>
      </c>
      <c r="I196" s="64" t="n">
        <v>921293.49</v>
      </c>
      <c r="J196" s="64" t="n">
        <v>1558542.81</v>
      </c>
      <c r="K196" s="64" t="n">
        <v>1793021.84</v>
      </c>
      <c r="L196" s="64" t="n">
        <v>2800345.15</v>
      </c>
      <c r="M196" s="64" t="n">
        <v>0</v>
      </c>
      <c r="N196" s="64" t="n">
        <v>0</v>
      </c>
      <c r="O196" s="64" t="n">
        <v>921293.49</v>
      </c>
      <c r="P196" s="64" t="n">
        <v>0</v>
      </c>
      <c r="Q196" s="64" t="n">
        <v>1558542.81</v>
      </c>
      <c r="R196" s="64" t="n">
        <v>0</v>
      </c>
      <c r="S196" s="64" t="n">
        <v>1754342.05</v>
      </c>
      <c r="T196" s="64" t="n">
        <v>38679.79</v>
      </c>
      <c r="U196" s="64" t="n">
        <v>2476844.9</v>
      </c>
      <c r="V196" s="64" t="n">
        <v>323500.25</v>
      </c>
      <c r="W196" s="64" t="n">
        <v>0</v>
      </c>
      <c r="X196" s="64" t="n">
        <v>0</v>
      </c>
      <c r="Y196" s="64" t="n">
        <v>0</v>
      </c>
      <c r="Z196" s="64" t="n">
        <v>0</v>
      </c>
      <c r="AA196" s="64" t="n">
        <v>184</v>
      </c>
      <c r="AB196" s="64" t="n">
        <v>0</v>
      </c>
      <c r="AC196" s="64" t="n">
        <v>2800161.1475</v>
      </c>
      <c r="AD196" s="64" t="n">
        <v>0</v>
      </c>
      <c r="AE196" s="64" t="n">
        <v>0</v>
      </c>
      <c r="AF196" s="64" t="n">
        <v>2800345.1475</v>
      </c>
      <c r="AG196" s="64" t="n">
        <v>0</v>
      </c>
      <c r="AH196" s="64" t="n">
        <v>0</v>
      </c>
      <c r="AI196" s="64" t="n">
        <v>0</v>
      </c>
      <c r="AJ196" s="64" t="n">
        <v>0</v>
      </c>
      <c r="AK196" s="64" t="n">
        <v>0</v>
      </c>
      <c r="AL196" s="64" t="n">
        <v>0</v>
      </c>
      <c r="AM196" s="64" t="n">
        <v>0</v>
      </c>
      <c r="AN196" s="64" t="n">
        <v>0</v>
      </c>
      <c r="AO196" s="64" t="n">
        <v>0</v>
      </c>
      <c r="AP196" s="64" t="n">
        <v>0</v>
      </c>
      <c r="AQ196" s="64" t="n">
        <v>0</v>
      </c>
      <c r="AR196" s="64" t="n">
        <v>0</v>
      </c>
    </row>
    <row r="197" ht="16" customHeight="1">
      <c r="A197" s="61" t="inlineStr">
        <is>
          <t>20606969237</t>
        </is>
      </c>
      <c r="B197" s="62" t="inlineStr">
        <is>
          <t>Cooperativa Agraria Coffee and Sharem Villa Rica - Palcazu</t>
        </is>
      </c>
      <c r="C197" s="61" t="n"/>
      <c r="D197" s="61" t="n"/>
      <c r="E197" s="61" t="n"/>
      <c r="F197" s="61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  <c r="AA197" s="63" t="n"/>
      <c r="AB197" s="63" t="n"/>
      <c r="AC197" s="63" t="n"/>
      <c r="AD197" s="63" t="n"/>
      <c r="AE197" s="63" t="n"/>
      <c r="AF197" s="63" t="n"/>
      <c r="AG197" s="63" t="n"/>
      <c r="AH197" s="63" t="n"/>
      <c r="AI197" s="63" t="n"/>
      <c r="AJ197" s="63" t="n"/>
      <c r="AK197" s="63" t="n"/>
      <c r="AL197" s="63" t="n"/>
      <c r="AM197" s="63" t="n"/>
      <c r="AN197" s="63" t="n"/>
      <c r="AO197" s="63" t="n"/>
      <c r="AP197" s="63" t="n"/>
      <c r="AQ197" s="63" t="n"/>
      <c r="AR197" s="63" t="n"/>
    </row>
    <row r="198" ht="16" customHeight="1">
      <c r="A198" s="58" t="inlineStr">
        <is>
          <t>20568549083</t>
        </is>
      </c>
      <c r="B198" s="59" t="inlineStr">
        <is>
          <t>Cooperativa Agraria Industrial Apasc Sancore Palcazu Ltda.</t>
        </is>
      </c>
      <c r="C198" s="58" t="inlineStr">
        <is>
          <t>CACAO</t>
        </is>
      </c>
      <c r="D198" s="58" t="inlineStr">
        <is>
          <t>PASCO</t>
        </is>
      </c>
      <c r="E198" s="58" t="inlineStr">
        <is>
          <t>OXAPAMPA</t>
        </is>
      </c>
      <c r="F198" s="58" t="inlineStr">
        <is>
          <t>PALCAZU</t>
        </is>
      </c>
      <c r="G198" s="64" t="n">
        <v>0</v>
      </c>
      <c r="H198" s="64" t="n">
        <v>592505.36</v>
      </c>
      <c r="I198" s="64" t="n">
        <v>197254.83</v>
      </c>
      <c r="J198" s="64" t="n">
        <v>0</v>
      </c>
      <c r="K198" s="64" t="n">
        <v>0</v>
      </c>
      <c r="L198" s="64" t="n">
        <v>961036.36</v>
      </c>
      <c r="M198" s="64" t="n">
        <v>1962423.225</v>
      </c>
      <c r="N198" s="64" t="n">
        <v>0</v>
      </c>
      <c r="O198" s="64" t="n">
        <v>197254.83</v>
      </c>
      <c r="P198" s="64" t="n">
        <v>0</v>
      </c>
      <c r="Q198" s="64" t="n">
        <v>0</v>
      </c>
      <c r="R198" s="64" t="n">
        <v>0</v>
      </c>
      <c r="S198" s="64" t="n">
        <v>0</v>
      </c>
      <c r="T198" s="64" t="n">
        <v>0</v>
      </c>
      <c r="U198" s="64" t="n">
        <v>961036.36</v>
      </c>
      <c r="V198" s="64" t="n">
        <v>0</v>
      </c>
      <c r="W198" s="64" t="n">
        <v>1962423.225</v>
      </c>
      <c r="X198" s="64" t="n">
        <v>0</v>
      </c>
      <c r="Y198" s="64" t="n">
        <v>0</v>
      </c>
      <c r="Z198" s="64" t="n">
        <v>0</v>
      </c>
      <c r="AA198" s="64" t="n">
        <v>0</v>
      </c>
      <c r="AB198" s="64" t="n">
        <v>113225.7996834</v>
      </c>
      <c r="AC198" s="64" t="n">
        <v>847810.5599999999</v>
      </c>
      <c r="AD198" s="64" t="n">
        <v>0</v>
      </c>
      <c r="AE198" s="64" t="n">
        <v>0</v>
      </c>
      <c r="AF198" s="64" t="n">
        <v>961036.3596833999</v>
      </c>
      <c r="AG198" s="64" t="n">
        <v>2950</v>
      </c>
      <c r="AH198" s="64" t="n">
        <v>0</v>
      </c>
      <c r="AI198" s="64" t="n">
        <v>1959473.225</v>
      </c>
      <c r="AJ198" s="64" t="n">
        <v>0</v>
      </c>
      <c r="AK198" s="64" t="n">
        <v>0</v>
      </c>
      <c r="AL198" s="64" t="n">
        <v>1962423.225</v>
      </c>
      <c r="AM198" s="64" t="n">
        <v>0</v>
      </c>
      <c r="AN198" s="64" t="n">
        <v>0</v>
      </c>
      <c r="AO198" s="64" t="n">
        <v>0</v>
      </c>
      <c r="AP198" s="64" t="n">
        <v>0</v>
      </c>
      <c r="AQ198" s="64" t="n">
        <v>0</v>
      </c>
      <c r="AR198" s="64" t="n">
        <v>0</v>
      </c>
    </row>
    <row r="199" ht="16" customHeight="1">
      <c r="A199" s="61" t="inlineStr">
        <is>
          <t>20568567731</t>
        </is>
      </c>
      <c r="B199" s="62" t="inlineStr">
        <is>
          <t>Cooperativa Agraria Villa Rica Golden Coffee Ltda.</t>
        </is>
      </c>
      <c r="C199" s="61" t="inlineStr">
        <is>
          <t>CAFÉ</t>
        </is>
      </c>
      <c r="D199" s="61" t="inlineStr">
        <is>
          <t>PASCO</t>
        </is>
      </c>
      <c r="E199" s="61" t="inlineStr">
        <is>
          <t>OXAPAMPA</t>
        </is>
      </c>
      <c r="F199" s="61" t="inlineStr">
        <is>
          <t>VILLA RICA</t>
        </is>
      </c>
      <c r="G199" s="65" t="n">
        <v>0</v>
      </c>
      <c r="H199" s="65" t="n">
        <v>0</v>
      </c>
      <c r="I199" s="65" t="n">
        <v>0</v>
      </c>
      <c r="J199" s="65" t="n">
        <v>8160480.66</v>
      </c>
      <c r="K199" s="65" t="n">
        <v>1181696.11</v>
      </c>
      <c r="L199" s="65" t="n">
        <v>12662979.86</v>
      </c>
      <c r="M199" s="65" t="n">
        <v>172146.2785</v>
      </c>
      <c r="N199" s="65" t="n">
        <v>21169.100001</v>
      </c>
      <c r="O199" s="65" t="n">
        <v>0</v>
      </c>
      <c r="P199" s="65" t="n">
        <v>0</v>
      </c>
      <c r="Q199" s="65" t="n">
        <v>0</v>
      </c>
      <c r="R199" s="65" t="n">
        <v>8160480.66</v>
      </c>
      <c r="S199" s="65" t="n">
        <v>0</v>
      </c>
      <c r="T199" s="65" t="n">
        <v>1181696.11</v>
      </c>
      <c r="U199" s="65" t="n">
        <v>9680703.58</v>
      </c>
      <c r="V199" s="65" t="n">
        <v>2982276.28</v>
      </c>
      <c r="W199" s="65" t="n">
        <v>172146.2785</v>
      </c>
      <c r="X199" s="65" t="n">
        <v>0</v>
      </c>
      <c r="Y199" s="65" t="n">
        <v>21169.100001</v>
      </c>
      <c r="Z199" s="65" t="n">
        <v>0</v>
      </c>
      <c r="AA199" s="65" t="n">
        <v>0</v>
      </c>
      <c r="AB199" s="65" t="n">
        <v>0</v>
      </c>
      <c r="AC199" s="65" t="n">
        <v>12662979.85828558</v>
      </c>
      <c r="AD199" s="65" t="n">
        <v>0</v>
      </c>
      <c r="AE199" s="65" t="n">
        <v>0</v>
      </c>
      <c r="AF199" s="65" t="n">
        <v>12662979.85828558</v>
      </c>
      <c r="AG199" s="65" t="n">
        <v>0</v>
      </c>
      <c r="AH199" s="65" t="n">
        <v>0</v>
      </c>
      <c r="AI199" s="65" t="n">
        <v>172146.2785</v>
      </c>
      <c r="AJ199" s="65" t="n">
        <v>0</v>
      </c>
      <c r="AK199" s="65" t="n">
        <v>0</v>
      </c>
      <c r="AL199" s="65" t="n">
        <v>172146.2785</v>
      </c>
      <c r="AM199" s="65" t="n">
        <v>0</v>
      </c>
      <c r="AN199" s="65" t="n">
        <v>14600.000001</v>
      </c>
      <c r="AO199" s="65" t="n">
        <v>6569.1</v>
      </c>
      <c r="AP199" s="65" t="n">
        <v>0</v>
      </c>
      <c r="AQ199" s="65" t="n">
        <v>0</v>
      </c>
      <c r="AR199" s="65" t="n">
        <v>21169.100001</v>
      </c>
    </row>
    <row r="200" ht="16" customHeight="1">
      <c r="A200" s="58" t="inlineStr">
        <is>
          <t>20605894977</t>
        </is>
      </c>
      <c r="B200" s="59" t="inlineStr">
        <is>
          <t>Cooperativa Agraria y Servicios San José Valle Paucartambo - Oxapampa</t>
        </is>
      </c>
      <c r="C200" s="58" t="n"/>
      <c r="D200" s="58" t="n"/>
      <c r="E200" s="58" t="n"/>
      <c r="F200" s="58" t="n"/>
      <c r="G200" s="60" t="n"/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0" t="n"/>
      <c r="V200" s="60" t="n"/>
      <c r="W200" s="60" t="n"/>
      <c r="X200" s="60" t="n"/>
      <c r="Y200" s="60" t="n"/>
      <c r="Z200" s="60" t="n"/>
      <c r="AA200" s="60" t="n"/>
      <c r="AB200" s="60" t="n"/>
      <c r="AC200" s="60" t="n"/>
      <c r="AD200" s="60" t="n"/>
      <c r="AE200" s="60" t="n"/>
      <c r="AF200" s="60" t="n"/>
      <c r="AG200" s="60" t="n"/>
      <c r="AH200" s="60" t="n"/>
      <c r="AI200" s="60" t="n"/>
      <c r="AJ200" s="60" t="n"/>
      <c r="AK200" s="60" t="n"/>
      <c r="AL200" s="60" t="n"/>
      <c r="AM200" s="60" t="n"/>
      <c r="AN200" s="60" t="n"/>
      <c r="AO200" s="60" t="n"/>
      <c r="AP200" s="60" t="n"/>
      <c r="AQ200" s="60" t="n"/>
      <c r="AR200" s="60" t="n"/>
    </row>
    <row r="201" ht="16" customHeight="1">
      <c r="A201" s="61" t="inlineStr">
        <is>
          <t>20609444941</t>
        </is>
      </c>
      <c r="B201" s="62" t="inlineStr">
        <is>
          <t>Cooperativa Agraria Agrolatina</t>
        </is>
      </c>
      <c r="C201" s="61" t="n"/>
      <c r="D201" s="61" t="n"/>
      <c r="E201" s="61" t="n"/>
      <c r="F201" s="61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  <c r="AA201" s="63" t="n"/>
      <c r="AB201" s="63" t="n"/>
      <c r="AC201" s="63" t="n"/>
      <c r="AD201" s="63" t="n"/>
      <c r="AE201" s="63" t="n"/>
      <c r="AF201" s="63" t="n"/>
      <c r="AG201" s="63" t="n"/>
      <c r="AH201" s="63" t="n"/>
      <c r="AI201" s="63" t="n"/>
      <c r="AJ201" s="63" t="n"/>
      <c r="AK201" s="63" t="n"/>
      <c r="AL201" s="63" t="n"/>
      <c r="AM201" s="63" t="n"/>
      <c r="AN201" s="63" t="n"/>
      <c r="AO201" s="63" t="n"/>
      <c r="AP201" s="63" t="n"/>
      <c r="AQ201" s="63" t="n"/>
      <c r="AR201" s="63" t="n"/>
    </row>
    <row r="202" ht="16" customHeight="1">
      <c r="A202" s="58" t="inlineStr">
        <is>
          <t>20484163902</t>
        </is>
      </c>
      <c r="B202" s="59" t="inlineStr">
        <is>
          <t>Cooperativa Agraria Approcap Ltda.</t>
        </is>
      </c>
      <c r="C202" s="58" t="inlineStr">
        <is>
          <t>CACAO</t>
        </is>
      </c>
      <c r="D202" s="58" t="inlineStr">
        <is>
          <t>PIURA</t>
        </is>
      </c>
      <c r="E202" s="58" t="inlineStr">
        <is>
          <t>MORROPON</t>
        </is>
      </c>
      <c r="F202" s="58" t="inlineStr">
        <is>
          <t>SAN JUAN DE BIGOTE</t>
        </is>
      </c>
      <c r="G202" s="60" t="n"/>
      <c r="H202" s="60" t="n"/>
      <c r="I202" s="60" t="n"/>
      <c r="J202" s="60" t="n"/>
      <c r="K202" s="60" t="n"/>
      <c r="L202" s="60" t="n"/>
      <c r="M202" s="60" t="n"/>
      <c r="N202" s="64" t="n">
        <v>1289165.59990175</v>
      </c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4" t="n">
        <v>220735.59990175</v>
      </c>
      <c r="Z202" s="64" t="n">
        <v>1068430</v>
      </c>
      <c r="AA202" s="60" t="n"/>
      <c r="AB202" s="60" t="n"/>
      <c r="AC202" s="60" t="n"/>
      <c r="AD202" s="60" t="n"/>
      <c r="AE202" s="60" t="n"/>
      <c r="AF202" s="60" t="n"/>
      <c r="AG202" s="60" t="n"/>
      <c r="AH202" s="60" t="n"/>
      <c r="AI202" s="60" t="n"/>
      <c r="AJ202" s="60" t="n"/>
      <c r="AK202" s="60" t="n"/>
      <c r="AL202" s="60" t="n"/>
      <c r="AM202" s="64" t="n">
        <v>127317.59990175</v>
      </c>
      <c r="AN202" s="64" t="n">
        <v>0</v>
      </c>
      <c r="AO202" s="64" t="n">
        <v>1161848</v>
      </c>
      <c r="AP202" s="64" t="n">
        <v>0</v>
      </c>
      <c r="AQ202" s="64" t="n">
        <v>0</v>
      </c>
      <c r="AR202" s="64" t="n">
        <v>1289165.59990175</v>
      </c>
    </row>
    <row r="203" ht="16" customHeight="1">
      <c r="A203" s="61" t="inlineStr">
        <is>
          <t>20146696041</t>
        </is>
      </c>
      <c r="B203" s="62" t="inlineStr">
        <is>
          <t>Cooperativa Agraria Cafetalera José Gabriel Condorcanqui Ltda.</t>
        </is>
      </c>
      <c r="C203" s="61" t="inlineStr">
        <is>
          <t>CAFÉ</t>
        </is>
      </c>
      <c r="D203" s="61" t="inlineStr">
        <is>
          <t>PIURA</t>
        </is>
      </c>
      <c r="E203" s="61" t="inlineStr">
        <is>
          <t>HUANCABAMBA</t>
        </is>
      </c>
      <c r="F203" s="61" t="inlineStr">
        <is>
          <t>CANCHAQUE</t>
        </is>
      </c>
      <c r="G203" s="65" t="n">
        <v>0</v>
      </c>
      <c r="H203" s="65" t="n">
        <v>0</v>
      </c>
      <c r="I203" s="65" t="n">
        <v>0</v>
      </c>
      <c r="J203" s="65" t="n">
        <v>106838.51</v>
      </c>
      <c r="K203" s="65" t="n">
        <v>0</v>
      </c>
      <c r="L203" s="65" t="n">
        <v>0</v>
      </c>
      <c r="M203" s="65" t="n">
        <v>0</v>
      </c>
      <c r="N203" s="65" t="n">
        <v>0</v>
      </c>
      <c r="O203" s="65" t="n">
        <v>0</v>
      </c>
      <c r="P203" s="65" t="n">
        <v>0</v>
      </c>
      <c r="Q203" s="65" t="n">
        <v>106838.51</v>
      </c>
      <c r="R203" s="65" t="n">
        <v>0</v>
      </c>
      <c r="S203" s="65" t="n">
        <v>0</v>
      </c>
      <c r="T203" s="65" t="n">
        <v>0</v>
      </c>
      <c r="U203" s="65" t="n">
        <v>0</v>
      </c>
      <c r="V203" s="65" t="n">
        <v>0</v>
      </c>
      <c r="W203" s="65" t="n">
        <v>0</v>
      </c>
      <c r="X203" s="65" t="n">
        <v>0</v>
      </c>
      <c r="Y203" s="65" t="n">
        <v>0</v>
      </c>
      <c r="Z203" s="65" t="n">
        <v>0</v>
      </c>
      <c r="AA203" s="65" t="n">
        <v>0</v>
      </c>
      <c r="AB203" s="65" t="n">
        <v>0</v>
      </c>
      <c r="AC203" s="65" t="n">
        <v>0</v>
      </c>
      <c r="AD203" s="65" t="n">
        <v>0</v>
      </c>
      <c r="AE203" s="65" t="n">
        <v>0</v>
      </c>
      <c r="AF203" s="65" t="n">
        <v>0</v>
      </c>
      <c r="AG203" s="65" t="n">
        <v>0</v>
      </c>
      <c r="AH203" s="65" t="n">
        <v>0</v>
      </c>
      <c r="AI203" s="65" t="n">
        <v>0</v>
      </c>
      <c r="AJ203" s="65" t="n">
        <v>0</v>
      </c>
      <c r="AK203" s="65" t="n">
        <v>0</v>
      </c>
      <c r="AL203" s="65" t="n">
        <v>0</v>
      </c>
      <c r="AM203" s="65" t="n">
        <v>0</v>
      </c>
      <c r="AN203" s="65" t="n">
        <v>0</v>
      </c>
      <c r="AO203" s="65" t="n">
        <v>0</v>
      </c>
      <c r="AP203" s="65" t="n">
        <v>0</v>
      </c>
      <c r="AQ203" s="65" t="n">
        <v>0</v>
      </c>
      <c r="AR203" s="65" t="n">
        <v>0</v>
      </c>
    </row>
    <row r="204" ht="16" customHeight="1">
      <c r="A204" s="58" t="inlineStr">
        <is>
          <t>20608371291</t>
        </is>
      </c>
      <c r="B204" s="59" t="inlineStr">
        <is>
          <t>Cooperativa Agraria Los Apus de Las Huarigas de Huancabamba</t>
        </is>
      </c>
      <c r="C204" s="58" t="n"/>
      <c r="D204" s="58" t="n"/>
      <c r="E204" s="58" t="n"/>
      <c r="F204" s="58" t="n"/>
      <c r="G204" s="60" t="n"/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  <c r="Z204" s="60" t="n"/>
      <c r="AA204" s="60" t="n"/>
      <c r="AB204" s="60" t="n"/>
      <c r="AC204" s="60" t="n"/>
      <c r="AD204" s="60" t="n"/>
      <c r="AE204" s="60" t="n"/>
      <c r="AF204" s="60" t="n"/>
      <c r="AG204" s="60" t="n"/>
      <c r="AH204" s="60" t="n"/>
      <c r="AI204" s="60" t="n"/>
      <c r="AJ204" s="60" t="n"/>
      <c r="AK204" s="60" t="n"/>
      <c r="AL204" s="60" t="n"/>
      <c r="AM204" s="60" t="n"/>
      <c r="AN204" s="60" t="n"/>
      <c r="AO204" s="60" t="n"/>
      <c r="AP204" s="60" t="n"/>
      <c r="AQ204" s="60" t="n"/>
      <c r="AR204" s="60" t="n"/>
    </row>
    <row r="205" ht="16" customHeight="1">
      <c r="A205" s="61" t="inlineStr">
        <is>
          <t>20525416543</t>
        </is>
      </c>
      <c r="B205" s="62" t="inlineStr">
        <is>
          <t>Cooperativa Agraria Norandino Ltda.</t>
        </is>
      </c>
      <c r="C205" s="61" t="n"/>
      <c r="D205" s="61" t="n"/>
      <c r="E205" s="61" t="n"/>
      <c r="F205" s="61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  <c r="AA205" s="63" t="n"/>
      <c r="AB205" s="63" t="n"/>
      <c r="AC205" s="63" t="n"/>
      <c r="AD205" s="63" t="n"/>
      <c r="AE205" s="63" t="n"/>
      <c r="AF205" s="63" t="n"/>
      <c r="AG205" s="63" t="n"/>
      <c r="AH205" s="63" t="n"/>
      <c r="AI205" s="63" t="n"/>
      <c r="AJ205" s="63" t="n"/>
      <c r="AK205" s="63" t="n"/>
      <c r="AL205" s="63" t="n"/>
      <c r="AM205" s="63" t="n"/>
      <c r="AN205" s="63" t="n"/>
      <c r="AO205" s="63" t="n"/>
      <c r="AP205" s="63" t="n"/>
      <c r="AQ205" s="63" t="n"/>
      <c r="AR205" s="63" t="n"/>
    </row>
    <row r="206" ht="16" customHeight="1">
      <c r="A206" s="58" t="inlineStr">
        <is>
          <t>20118578415</t>
        </is>
      </c>
      <c r="B206" s="59" t="inlineStr">
        <is>
          <t>Central de Cooperativas Agrarias Cafetaleras de Los Valles De Sandia Cecovasa Ltda.</t>
        </is>
      </c>
      <c r="C206" s="58" t="inlineStr">
        <is>
          <t>CAFÉ</t>
        </is>
      </c>
      <c r="D206" s="58" t="inlineStr">
        <is>
          <t>PUNO</t>
        </is>
      </c>
      <c r="E206" s="58" t="inlineStr">
        <is>
          <t>SANDIA</t>
        </is>
      </c>
      <c r="F206" s="58" t="inlineStr">
        <is>
          <t>SAN JUAN DEL ORO</t>
        </is>
      </c>
      <c r="G206" s="64" t="n">
        <v>0</v>
      </c>
      <c r="H206" s="64" t="n">
        <v>604663.11</v>
      </c>
      <c r="I206" s="64" t="n">
        <v>1688718.63</v>
      </c>
      <c r="J206" s="64" t="n">
        <v>1711114.01</v>
      </c>
      <c r="K206" s="64" t="n">
        <v>2026268.9</v>
      </c>
      <c r="L206" s="64" t="n">
        <v>4872767.58</v>
      </c>
      <c r="M206" s="64" t="n">
        <v>7419780.92143226</v>
      </c>
      <c r="N206" s="64" t="n">
        <v>9510626.861729059</v>
      </c>
      <c r="O206" s="64" t="n">
        <v>379238</v>
      </c>
      <c r="P206" s="64" t="n">
        <v>1309480.63</v>
      </c>
      <c r="Q206" s="64" t="n">
        <v>202782.52</v>
      </c>
      <c r="R206" s="64" t="n">
        <v>1508331.49</v>
      </c>
      <c r="S206" s="64" t="n">
        <v>875382.84</v>
      </c>
      <c r="T206" s="64" t="n">
        <v>1150886.06</v>
      </c>
      <c r="U206" s="64" t="n">
        <v>2529989.97</v>
      </c>
      <c r="V206" s="64" t="n">
        <v>2342777.61</v>
      </c>
      <c r="W206" s="64" t="n">
        <v>1153393.76798</v>
      </c>
      <c r="X206" s="64" t="n">
        <v>6266387.15345226</v>
      </c>
      <c r="Y206" s="64" t="n">
        <v>1816927.69921</v>
      </c>
      <c r="Z206" s="64" t="n">
        <v>7693699.162519059</v>
      </c>
      <c r="AA206" s="64" t="n">
        <v>63500.34147733999</v>
      </c>
      <c r="AB206" s="64" t="n">
        <v>0</v>
      </c>
      <c r="AC206" s="64" t="n">
        <v>4809267.088323612</v>
      </c>
      <c r="AD206" s="64" t="n">
        <v>0</v>
      </c>
      <c r="AE206" s="64" t="n">
        <v>0</v>
      </c>
      <c r="AF206" s="64" t="n">
        <v>4872767.429800952</v>
      </c>
      <c r="AG206" s="64" t="n">
        <v>60531</v>
      </c>
      <c r="AH206" s="64" t="n">
        <v>0</v>
      </c>
      <c r="AI206" s="64" t="n">
        <v>7359249.92143226</v>
      </c>
      <c r="AJ206" s="64" t="n">
        <v>0</v>
      </c>
      <c r="AK206" s="64" t="n">
        <v>0</v>
      </c>
      <c r="AL206" s="64" t="n">
        <v>7419780.92143226</v>
      </c>
      <c r="AM206" s="64" t="n">
        <v>73416</v>
      </c>
      <c r="AN206" s="64" t="n">
        <v>0</v>
      </c>
      <c r="AO206" s="64" t="n">
        <v>9437210.861729058</v>
      </c>
      <c r="AP206" s="64" t="n">
        <v>0</v>
      </c>
      <c r="AQ206" s="64" t="n">
        <v>0</v>
      </c>
      <c r="AR206" s="64" t="n">
        <v>9510626.861729058</v>
      </c>
    </row>
    <row r="207" ht="16" customHeight="1">
      <c r="A207" s="61" t="inlineStr">
        <is>
          <t>20146128662</t>
        </is>
      </c>
      <c r="B207" s="62" t="inlineStr">
        <is>
          <t>Cooperativa Agraria Cafetalera Inambari Ltda.</t>
        </is>
      </c>
      <c r="C207" s="61" t="n"/>
      <c r="D207" s="61" t="n"/>
      <c r="E207" s="61" t="n"/>
      <c r="F207" s="61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  <c r="AA207" s="63" t="n"/>
      <c r="AB207" s="63" t="n"/>
      <c r="AC207" s="63" t="n"/>
      <c r="AD207" s="63" t="n"/>
      <c r="AE207" s="63" t="n"/>
      <c r="AF207" s="63" t="n"/>
      <c r="AG207" s="63" t="n"/>
      <c r="AH207" s="63" t="n"/>
      <c r="AI207" s="63" t="n"/>
      <c r="AJ207" s="63" t="n"/>
      <c r="AK207" s="63" t="n"/>
      <c r="AL207" s="63" t="n"/>
      <c r="AM207" s="63" t="n"/>
      <c r="AN207" s="63" t="n"/>
      <c r="AO207" s="63" t="n"/>
      <c r="AP207" s="63" t="n"/>
      <c r="AQ207" s="63" t="n"/>
      <c r="AR207" s="63" t="n"/>
    </row>
    <row r="208" ht="16" customHeight="1">
      <c r="A208" s="58" t="inlineStr">
        <is>
          <t>20145484597</t>
        </is>
      </c>
      <c r="B208" s="59" t="inlineStr">
        <is>
          <t>Cooperativa Agraria Cafetalera San Ignacio Ltda.</t>
        </is>
      </c>
      <c r="C208" s="58" t="inlineStr">
        <is>
          <t>CAFÉ</t>
        </is>
      </c>
      <c r="D208" s="58" t="inlineStr">
        <is>
          <t>PUNO</t>
        </is>
      </c>
      <c r="E208" s="58" t="inlineStr">
        <is>
          <t>SANDIA</t>
        </is>
      </c>
      <c r="F208" s="58" t="inlineStr">
        <is>
          <t>SANDIA</t>
        </is>
      </c>
      <c r="G208" s="64" t="n">
        <v>0</v>
      </c>
      <c r="H208" s="64" t="n">
        <v>0</v>
      </c>
      <c r="I208" s="64" t="n">
        <v>107187.5</v>
      </c>
      <c r="J208" s="64" t="n">
        <v>0</v>
      </c>
      <c r="K208" s="64" t="n">
        <v>0</v>
      </c>
      <c r="L208" s="64" t="n">
        <v>0</v>
      </c>
      <c r="M208" s="64" t="n">
        <v>0</v>
      </c>
      <c r="N208" s="64" t="n">
        <v>0</v>
      </c>
      <c r="O208" s="64" t="n">
        <v>107187.5</v>
      </c>
      <c r="P208" s="64" t="n">
        <v>0</v>
      </c>
      <c r="Q208" s="64" t="n">
        <v>0</v>
      </c>
      <c r="R208" s="64" t="n">
        <v>0</v>
      </c>
      <c r="S208" s="64" t="n">
        <v>0</v>
      </c>
      <c r="T208" s="64" t="n">
        <v>0</v>
      </c>
      <c r="U208" s="64" t="n">
        <v>0</v>
      </c>
      <c r="V208" s="64" t="n">
        <v>0</v>
      </c>
      <c r="W208" s="64" t="n">
        <v>0</v>
      </c>
      <c r="X208" s="64" t="n">
        <v>0</v>
      </c>
      <c r="Y208" s="64" t="n">
        <v>0</v>
      </c>
      <c r="Z208" s="64" t="n">
        <v>0</v>
      </c>
      <c r="AA208" s="64" t="n">
        <v>0</v>
      </c>
      <c r="AB208" s="64" t="n">
        <v>0</v>
      </c>
      <c r="AC208" s="64" t="n">
        <v>0</v>
      </c>
      <c r="AD208" s="64" t="n">
        <v>0</v>
      </c>
      <c r="AE208" s="64" t="n">
        <v>0</v>
      </c>
      <c r="AF208" s="64" t="n">
        <v>0</v>
      </c>
      <c r="AG208" s="64" t="n">
        <v>0</v>
      </c>
      <c r="AH208" s="64" t="n">
        <v>0</v>
      </c>
      <c r="AI208" s="64" t="n">
        <v>0</v>
      </c>
      <c r="AJ208" s="64" t="n">
        <v>0</v>
      </c>
      <c r="AK208" s="64" t="n">
        <v>0</v>
      </c>
      <c r="AL208" s="64" t="n">
        <v>0</v>
      </c>
      <c r="AM208" s="64" t="n">
        <v>0</v>
      </c>
      <c r="AN208" s="64" t="n">
        <v>0</v>
      </c>
      <c r="AO208" s="64" t="n">
        <v>0</v>
      </c>
      <c r="AP208" s="64" t="n">
        <v>0</v>
      </c>
      <c r="AQ208" s="64" t="n">
        <v>0</v>
      </c>
      <c r="AR208" s="64" t="n">
        <v>0</v>
      </c>
    </row>
    <row r="209" ht="16" customHeight="1">
      <c r="A209" s="61" t="inlineStr">
        <is>
          <t>20185883664</t>
        </is>
      </c>
      <c r="B209" s="62" t="inlineStr">
        <is>
          <t>Cooperativa Agraria Cafetalera Túpac Amaru Ltda.</t>
        </is>
      </c>
      <c r="C209" s="61" t="n"/>
      <c r="D209" s="61" t="n"/>
      <c r="E209" s="61" t="n"/>
      <c r="F209" s="61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  <c r="AA209" s="63" t="n"/>
      <c r="AB209" s="63" t="n"/>
      <c r="AC209" s="63" t="n"/>
      <c r="AD209" s="63" t="n"/>
      <c r="AE209" s="63" t="n"/>
      <c r="AF209" s="63" t="n"/>
      <c r="AG209" s="63" t="n"/>
      <c r="AH209" s="63" t="n"/>
      <c r="AI209" s="63" t="n"/>
      <c r="AJ209" s="63" t="n"/>
      <c r="AK209" s="63" t="n"/>
      <c r="AL209" s="63" t="n"/>
      <c r="AM209" s="63" t="n"/>
      <c r="AN209" s="63" t="n"/>
      <c r="AO209" s="63" t="n"/>
      <c r="AP209" s="63" t="n"/>
      <c r="AQ209" s="63" t="n"/>
      <c r="AR209" s="63" t="n"/>
    </row>
    <row r="210" ht="16" customHeight="1">
      <c r="A210" s="58" t="inlineStr">
        <is>
          <t>20233074561</t>
        </is>
      </c>
      <c r="B210" s="59" t="inlineStr">
        <is>
          <t>Cooperativa Agraria Cafetalera Valle Grande</t>
        </is>
      </c>
      <c r="C210" s="58" t="n"/>
      <c r="D210" s="58" t="n"/>
      <c r="E210" s="58" t="n"/>
      <c r="F210" s="58" t="n"/>
      <c r="G210" s="60" t="n"/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0" t="n"/>
      <c r="V210" s="60" t="n"/>
      <c r="W210" s="60" t="n"/>
      <c r="X210" s="60" t="n"/>
      <c r="Y210" s="60" t="n"/>
      <c r="Z210" s="60" t="n"/>
      <c r="AA210" s="60" t="n"/>
      <c r="AB210" s="60" t="n"/>
      <c r="AC210" s="60" t="n"/>
      <c r="AD210" s="60" t="n"/>
      <c r="AE210" s="60" t="n"/>
      <c r="AF210" s="60" t="n"/>
      <c r="AG210" s="60" t="n"/>
      <c r="AH210" s="60" t="n"/>
      <c r="AI210" s="60" t="n"/>
      <c r="AJ210" s="60" t="n"/>
      <c r="AK210" s="60" t="n"/>
      <c r="AL210" s="60" t="n"/>
      <c r="AM210" s="60" t="n"/>
      <c r="AN210" s="60" t="n"/>
      <c r="AO210" s="60" t="n"/>
      <c r="AP210" s="60" t="n"/>
      <c r="AQ210" s="60" t="n"/>
      <c r="AR210" s="60" t="n"/>
    </row>
    <row r="211" ht="16" customHeight="1">
      <c r="A211" s="61" t="inlineStr">
        <is>
          <t>20447895316</t>
        </is>
      </c>
      <c r="B211" s="62" t="inlineStr">
        <is>
          <t>Cooperativa Agraria Centro De Productores De Origen Natural Chacaneque Ltda.</t>
        </is>
      </c>
      <c r="C211" s="61" t="n"/>
      <c r="D211" s="61" t="n"/>
      <c r="E211" s="61" t="n"/>
      <c r="F211" s="61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  <c r="AA211" s="63" t="n"/>
      <c r="AB211" s="63" t="n"/>
      <c r="AC211" s="63" t="n"/>
      <c r="AD211" s="63" t="n"/>
      <c r="AE211" s="63" t="n"/>
      <c r="AF211" s="63" t="n"/>
      <c r="AG211" s="63" t="n"/>
      <c r="AH211" s="63" t="n"/>
      <c r="AI211" s="63" t="n"/>
      <c r="AJ211" s="63" t="n"/>
      <c r="AK211" s="63" t="n"/>
      <c r="AL211" s="63" t="n"/>
      <c r="AM211" s="63" t="n"/>
      <c r="AN211" s="63" t="n"/>
      <c r="AO211" s="63" t="n"/>
      <c r="AP211" s="63" t="n"/>
      <c r="AQ211" s="63" t="n"/>
      <c r="AR211" s="63" t="n"/>
    </row>
    <row r="212" ht="16" customHeight="1">
      <c r="A212" s="58" t="inlineStr">
        <is>
          <t>20447888701</t>
        </is>
      </c>
      <c r="B212" s="59" t="inlineStr">
        <is>
          <t>Cooperativa Agraria Industrial San Gabán Ltda.</t>
        </is>
      </c>
      <c r="C212" s="58" t="inlineStr">
        <is>
          <t>CACAO</t>
        </is>
      </c>
      <c r="D212" s="58" t="inlineStr">
        <is>
          <t>PUNO</t>
        </is>
      </c>
      <c r="E212" s="58" t="inlineStr">
        <is>
          <t>CARABAYA</t>
        </is>
      </c>
      <c r="F212" s="58" t="inlineStr">
        <is>
          <t>SAN GABAN</t>
        </is>
      </c>
      <c r="G212" s="60" t="n"/>
      <c r="H212" s="60" t="n"/>
      <c r="I212" s="60" t="n"/>
      <c r="J212" s="60" t="n"/>
      <c r="K212" s="60" t="n"/>
      <c r="L212" s="60" t="n"/>
      <c r="M212" s="60" t="n"/>
      <c r="N212" s="64" t="n">
        <v>49800.51158664</v>
      </c>
      <c r="O212" s="60" t="n"/>
      <c r="P212" s="60" t="n"/>
      <c r="Q212" s="60" t="n"/>
      <c r="R212" s="60" t="n"/>
      <c r="S212" s="60" t="n"/>
      <c r="T212" s="60" t="n"/>
      <c r="U212" s="60" t="n"/>
      <c r="V212" s="60" t="n"/>
      <c r="W212" s="60" t="n"/>
      <c r="X212" s="60" t="n"/>
      <c r="Y212" s="64" t="n">
        <v>49800.51158664</v>
      </c>
      <c r="Z212" s="64" t="n">
        <v>0</v>
      </c>
      <c r="AA212" s="60" t="n"/>
      <c r="AB212" s="60" t="n"/>
      <c r="AC212" s="60" t="n"/>
      <c r="AD212" s="60" t="n"/>
      <c r="AE212" s="60" t="n"/>
      <c r="AF212" s="60" t="n"/>
      <c r="AG212" s="60" t="n"/>
      <c r="AH212" s="60" t="n"/>
      <c r="AI212" s="60" t="n"/>
      <c r="AJ212" s="60" t="n"/>
      <c r="AK212" s="60" t="n"/>
      <c r="AL212" s="60" t="n"/>
      <c r="AM212" s="64" t="n">
        <v>0</v>
      </c>
      <c r="AN212" s="64" t="n">
        <v>0</v>
      </c>
      <c r="AO212" s="64" t="n">
        <v>49800.51158664</v>
      </c>
      <c r="AP212" s="64" t="n">
        <v>0</v>
      </c>
      <c r="AQ212" s="64" t="n">
        <v>0</v>
      </c>
      <c r="AR212" s="64" t="n">
        <v>49800.51158664</v>
      </c>
    </row>
    <row r="213" ht="16" customHeight="1">
      <c r="A213" s="61" t="inlineStr">
        <is>
          <t>20404057805</t>
        </is>
      </c>
      <c r="B213" s="62" t="inlineStr">
        <is>
          <t>Cooperativa Agraria Acopagro Ltda.</t>
        </is>
      </c>
      <c r="C213" s="61" t="n"/>
      <c r="D213" s="61" t="n"/>
      <c r="E213" s="61" t="n"/>
      <c r="F213" s="61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  <c r="AA213" s="63" t="n"/>
      <c r="AB213" s="63" t="n"/>
      <c r="AC213" s="63" t="n"/>
      <c r="AD213" s="63" t="n"/>
      <c r="AE213" s="63" t="n"/>
      <c r="AF213" s="63" t="n"/>
      <c r="AG213" s="63" t="n"/>
      <c r="AH213" s="63" t="n"/>
      <c r="AI213" s="63" t="n"/>
      <c r="AJ213" s="63" t="n"/>
      <c r="AK213" s="63" t="n"/>
      <c r="AL213" s="63" t="n"/>
      <c r="AM213" s="63" t="n"/>
      <c r="AN213" s="63" t="n"/>
      <c r="AO213" s="63" t="n"/>
      <c r="AP213" s="63" t="n"/>
      <c r="AQ213" s="63" t="n"/>
      <c r="AR213" s="63" t="n"/>
    </row>
    <row r="214" ht="16" customHeight="1">
      <c r="A214" s="58" t="inlineStr">
        <is>
          <t>20531441797</t>
        </is>
      </c>
      <c r="B214" s="59" t="inlineStr">
        <is>
          <t>Cooperativa Agraria Allima Cacao Ltda.</t>
        </is>
      </c>
      <c r="C214" s="58" t="inlineStr">
        <is>
          <t>CACAO</t>
        </is>
      </c>
      <c r="D214" s="58" t="inlineStr">
        <is>
          <t>SAN MARTIN</t>
        </is>
      </c>
      <c r="E214" s="58" t="inlineStr">
        <is>
          <t>SAN MARTIN</t>
        </is>
      </c>
      <c r="F214" s="58" t="inlineStr">
        <is>
          <t>CHAZUTA</t>
        </is>
      </c>
      <c r="G214" s="64" t="n">
        <v>0</v>
      </c>
      <c r="H214" s="64" t="n">
        <v>1263436.78</v>
      </c>
      <c r="I214" s="64" t="n">
        <v>2651559.91</v>
      </c>
      <c r="J214" s="64" t="n">
        <v>3530015.59</v>
      </c>
      <c r="K214" s="64" t="n">
        <v>1702210.8</v>
      </c>
      <c r="L214" s="64" t="n">
        <v>2012043.06</v>
      </c>
      <c r="M214" s="64" t="n">
        <v>0</v>
      </c>
      <c r="N214" s="64" t="n">
        <v>0</v>
      </c>
      <c r="O214" s="64" t="n">
        <v>1052657.07</v>
      </c>
      <c r="P214" s="64" t="n">
        <v>1598902.84</v>
      </c>
      <c r="Q214" s="64" t="n">
        <v>2086036.97</v>
      </c>
      <c r="R214" s="64" t="n">
        <v>1443978.62</v>
      </c>
      <c r="S214" s="64" t="n">
        <v>629946.74</v>
      </c>
      <c r="T214" s="64" t="n">
        <v>1072264.06</v>
      </c>
      <c r="U214" s="64" t="n">
        <v>2012043.06</v>
      </c>
      <c r="V214" s="64" t="n">
        <v>0</v>
      </c>
      <c r="W214" s="64" t="n">
        <v>0</v>
      </c>
      <c r="X214" s="64" t="n">
        <v>0</v>
      </c>
      <c r="Y214" s="64" t="n">
        <v>0</v>
      </c>
      <c r="Z214" s="64" t="n">
        <v>0</v>
      </c>
      <c r="AA214" s="64" t="n">
        <v>0</v>
      </c>
      <c r="AB214" s="64" t="n">
        <v>0</v>
      </c>
      <c r="AC214" s="64" t="n">
        <v>2011938.03872093</v>
      </c>
      <c r="AD214" s="64" t="n">
        <v>0</v>
      </c>
      <c r="AE214" s="64" t="n">
        <v>0</v>
      </c>
      <c r="AF214" s="64" t="n">
        <v>2011938.03872093</v>
      </c>
      <c r="AG214" s="64" t="n">
        <v>0</v>
      </c>
      <c r="AH214" s="64" t="n">
        <v>0</v>
      </c>
      <c r="AI214" s="64" t="n">
        <v>0</v>
      </c>
      <c r="AJ214" s="64" t="n">
        <v>0</v>
      </c>
      <c r="AK214" s="64" t="n">
        <v>0</v>
      </c>
      <c r="AL214" s="64" t="n">
        <v>0</v>
      </c>
      <c r="AM214" s="64" t="n">
        <v>0</v>
      </c>
      <c r="AN214" s="64" t="n">
        <v>0</v>
      </c>
      <c r="AO214" s="64" t="n">
        <v>0</v>
      </c>
      <c r="AP214" s="64" t="n">
        <v>0</v>
      </c>
      <c r="AQ214" s="64" t="n">
        <v>0</v>
      </c>
      <c r="AR214" s="64" t="n">
        <v>0</v>
      </c>
    </row>
    <row r="215" ht="16" customHeight="1">
      <c r="A215" s="61" t="inlineStr">
        <is>
          <t>20603478879</t>
        </is>
      </c>
      <c r="B215" s="62" t="inlineStr">
        <is>
          <t>MISHAGRO S.A.C.</t>
        </is>
      </c>
      <c r="C215" s="61" t="inlineStr">
        <is>
          <t>ARROZ</t>
        </is>
      </c>
      <c r="D215" s="61" t="inlineStr">
        <is>
          <t>SAN MARTIN</t>
        </is>
      </c>
      <c r="E215" s="61" t="inlineStr">
        <is>
          <t>RIOJA</t>
        </is>
      </c>
      <c r="F215" s="61" t="inlineStr">
        <is>
          <t>RIOJA</t>
        </is>
      </c>
      <c r="G215" s="65" t="n">
        <v>0</v>
      </c>
      <c r="H215" s="65" t="n">
        <v>0</v>
      </c>
      <c r="I215" s="65" t="n">
        <v>0</v>
      </c>
      <c r="J215" s="65" t="n">
        <v>0</v>
      </c>
      <c r="K215" s="65" t="n">
        <v>0</v>
      </c>
      <c r="L215" s="65" t="n">
        <v>5931250</v>
      </c>
      <c r="M215" s="65" t="n">
        <v>0</v>
      </c>
      <c r="N215" s="65" t="n">
        <v>6500</v>
      </c>
      <c r="O215" s="65" t="n">
        <v>0</v>
      </c>
      <c r="P215" s="65" t="n">
        <v>0</v>
      </c>
      <c r="Q215" s="65" t="n">
        <v>0</v>
      </c>
      <c r="R215" s="65" t="n">
        <v>0</v>
      </c>
      <c r="S215" s="65" t="n">
        <v>0</v>
      </c>
      <c r="T215" s="65" t="n">
        <v>0</v>
      </c>
      <c r="U215" s="65" t="n">
        <v>5931250</v>
      </c>
      <c r="V215" s="65" t="n">
        <v>0</v>
      </c>
      <c r="W215" s="65" t="n">
        <v>0</v>
      </c>
      <c r="X215" s="65" t="n">
        <v>0</v>
      </c>
      <c r="Y215" s="65" t="n">
        <v>6500</v>
      </c>
      <c r="Z215" s="65" t="n">
        <v>0</v>
      </c>
      <c r="AA215" s="65" t="n">
        <v>0</v>
      </c>
      <c r="AB215" s="65" t="n">
        <v>5931250</v>
      </c>
      <c r="AC215" s="65" t="n">
        <v>0</v>
      </c>
      <c r="AD215" s="65" t="n">
        <v>0</v>
      </c>
      <c r="AE215" s="65" t="n">
        <v>0</v>
      </c>
      <c r="AF215" s="65" t="n">
        <v>5931250</v>
      </c>
      <c r="AG215" s="65" t="n">
        <v>0</v>
      </c>
      <c r="AH215" s="65" t="n">
        <v>0</v>
      </c>
      <c r="AI215" s="65" t="n">
        <v>0</v>
      </c>
      <c r="AJ215" s="65" t="n">
        <v>0</v>
      </c>
      <c r="AK215" s="65" t="n">
        <v>0</v>
      </c>
      <c r="AL215" s="65" t="n">
        <v>0</v>
      </c>
      <c r="AM215" s="65" t="n">
        <v>0</v>
      </c>
      <c r="AN215" s="65" t="n">
        <v>0</v>
      </c>
      <c r="AO215" s="65" t="n">
        <v>6500</v>
      </c>
      <c r="AP215" s="65" t="n">
        <v>0</v>
      </c>
      <c r="AQ215" s="65" t="n">
        <v>0</v>
      </c>
      <c r="AR215" s="65" t="n">
        <v>6500</v>
      </c>
    </row>
    <row r="216" ht="16" customHeight="1">
      <c r="A216" s="58" t="inlineStr">
        <is>
          <t>20531360525</t>
        </is>
      </c>
      <c r="B216" s="59" t="inlineStr">
        <is>
          <t>Cooperativa Agraria Aproeco</t>
        </is>
      </c>
      <c r="C216" s="58" t="n"/>
      <c r="D216" s="58" t="n"/>
      <c r="E216" s="58" t="n"/>
      <c r="F216" s="58" t="n"/>
      <c r="G216" s="60" t="n"/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  <c r="Z216" s="60" t="n"/>
      <c r="AA216" s="60" t="n"/>
      <c r="AB216" s="60" t="n"/>
      <c r="AC216" s="60" t="n"/>
      <c r="AD216" s="60" t="n"/>
      <c r="AE216" s="60" t="n"/>
      <c r="AF216" s="60" t="n"/>
      <c r="AG216" s="60" t="n"/>
      <c r="AH216" s="60" t="n"/>
      <c r="AI216" s="60" t="n"/>
      <c r="AJ216" s="60" t="n"/>
      <c r="AK216" s="60" t="n"/>
      <c r="AL216" s="60" t="n"/>
      <c r="AM216" s="60" t="n"/>
      <c r="AN216" s="60" t="n"/>
      <c r="AO216" s="60" t="n"/>
      <c r="AP216" s="60" t="n"/>
      <c r="AQ216" s="60" t="n"/>
      <c r="AR216" s="60" t="n"/>
    </row>
    <row r="217" ht="16" customHeight="1">
      <c r="A217" s="61" t="inlineStr">
        <is>
          <t>20542310911</t>
        </is>
      </c>
      <c r="B217" s="62" t="inlineStr">
        <is>
          <t>Cooperativa Agraria Cacaotera Alto Huayabamba Ltda.</t>
        </is>
      </c>
      <c r="C217" s="61" t="n"/>
      <c r="D217" s="61" t="n"/>
      <c r="E217" s="61" t="n"/>
      <c r="F217" s="61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  <c r="AA217" s="63" t="n"/>
      <c r="AB217" s="63" t="n"/>
      <c r="AC217" s="63" t="n"/>
      <c r="AD217" s="63" t="n"/>
      <c r="AE217" s="63" t="n"/>
      <c r="AF217" s="63" t="n"/>
      <c r="AG217" s="63" t="n"/>
      <c r="AH217" s="63" t="n"/>
      <c r="AI217" s="63" t="n"/>
      <c r="AJ217" s="63" t="n"/>
      <c r="AK217" s="63" t="n"/>
      <c r="AL217" s="63" t="n"/>
      <c r="AM217" s="63" t="n"/>
      <c r="AN217" s="63" t="n"/>
      <c r="AO217" s="63" t="n"/>
      <c r="AP217" s="63" t="n"/>
      <c r="AQ217" s="63" t="n"/>
      <c r="AR217" s="63" t="n"/>
    </row>
    <row r="218" ht="16" customHeight="1">
      <c r="A218" s="58" t="inlineStr">
        <is>
          <t>20600286367</t>
        </is>
      </c>
      <c r="B218" s="59" t="inlineStr">
        <is>
          <t>Cooperativa Agraria Cacaotera Choba Choba Ltda.</t>
        </is>
      </c>
      <c r="C218" s="58" t="n"/>
      <c r="D218" s="58" t="n"/>
      <c r="E218" s="58" t="n"/>
      <c r="F218" s="58" t="n"/>
      <c r="G218" s="60" t="n"/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0" t="n"/>
      <c r="V218" s="60" t="n"/>
      <c r="W218" s="60" t="n"/>
      <c r="X218" s="60" t="n"/>
      <c r="Y218" s="60" t="n"/>
      <c r="Z218" s="60" t="n"/>
      <c r="AA218" s="60" t="n"/>
      <c r="AB218" s="60" t="n"/>
      <c r="AC218" s="60" t="n"/>
      <c r="AD218" s="60" t="n"/>
      <c r="AE218" s="60" t="n"/>
      <c r="AF218" s="60" t="n"/>
      <c r="AG218" s="60" t="n"/>
      <c r="AH218" s="60" t="n"/>
      <c r="AI218" s="60" t="n"/>
      <c r="AJ218" s="60" t="n"/>
      <c r="AK218" s="60" t="n"/>
      <c r="AL218" s="60" t="n"/>
      <c r="AM218" s="60" t="n"/>
      <c r="AN218" s="60" t="n"/>
      <c r="AO218" s="60" t="n"/>
      <c r="AP218" s="60" t="n"/>
      <c r="AQ218" s="60" t="n"/>
      <c r="AR218" s="60" t="n"/>
    </row>
    <row r="219" ht="16" customHeight="1">
      <c r="A219" s="61" t="inlineStr">
        <is>
          <t>20542215501</t>
        </is>
      </c>
      <c r="B219" s="62" t="inlineStr">
        <is>
          <t>Cooperativa Agraria Cafetalera Alto Mayo</t>
        </is>
      </c>
      <c r="C219" s="61" t="n"/>
      <c r="D219" s="61" t="n"/>
      <c r="E219" s="61" t="n"/>
      <c r="F219" s="61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  <c r="AA219" s="63" t="n"/>
      <c r="AB219" s="63" t="n"/>
      <c r="AC219" s="63" t="n"/>
      <c r="AD219" s="63" t="n"/>
      <c r="AE219" s="63" t="n"/>
      <c r="AF219" s="63" t="n"/>
      <c r="AG219" s="63" t="n"/>
      <c r="AH219" s="63" t="n"/>
      <c r="AI219" s="63" t="n"/>
      <c r="AJ219" s="63" t="n"/>
      <c r="AK219" s="63" t="n"/>
      <c r="AL219" s="63" t="n"/>
      <c r="AM219" s="63" t="n"/>
      <c r="AN219" s="63" t="n"/>
      <c r="AO219" s="63" t="n"/>
      <c r="AP219" s="63" t="n"/>
      <c r="AQ219" s="63" t="n"/>
      <c r="AR219" s="63" t="n"/>
    </row>
    <row r="220" ht="16" customHeight="1">
      <c r="A220" s="58" t="inlineStr">
        <is>
          <t>20608495275</t>
        </is>
      </c>
      <c r="B220" s="59" t="inlineStr">
        <is>
          <t>Cooperativa Agraria Cafetalera Moyobamba</t>
        </is>
      </c>
      <c r="C220" s="58" t="n"/>
      <c r="D220" s="58" t="n"/>
      <c r="E220" s="58" t="n"/>
      <c r="F220" s="58" t="n"/>
      <c r="G220" s="60" t="n"/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0" t="n"/>
      <c r="V220" s="60" t="n"/>
      <c r="W220" s="60" t="n"/>
      <c r="X220" s="60" t="n"/>
      <c r="Y220" s="60" t="n"/>
      <c r="Z220" s="60" t="n"/>
      <c r="AA220" s="60" t="n"/>
      <c r="AB220" s="60" t="n"/>
      <c r="AC220" s="60" t="n"/>
      <c r="AD220" s="60" t="n"/>
      <c r="AE220" s="60" t="n"/>
      <c r="AF220" s="60" t="n"/>
      <c r="AG220" s="60" t="n"/>
      <c r="AH220" s="60" t="n"/>
      <c r="AI220" s="60" t="n"/>
      <c r="AJ220" s="60" t="n"/>
      <c r="AK220" s="60" t="n"/>
      <c r="AL220" s="60" t="n"/>
      <c r="AM220" s="60" t="n"/>
      <c r="AN220" s="60" t="n"/>
      <c r="AO220" s="60" t="n"/>
      <c r="AP220" s="60" t="n"/>
      <c r="AQ220" s="60" t="n"/>
      <c r="AR220" s="60" t="n"/>
    </row>
    <row r="221" ht="16" customHeight="1">
      <c r="A221" s="61" t="inlineStr">
        <is>
          <t>20542226294</t>
        </is>
      </c>
      <c r="B221" s="62" t="inlineStr">
        <is>
          <t>Cooperativa Agraria Cafetalera Shunte Ltda</t>
        </is>
      </c>
      <c r="C221" s="61" t="n"/>
      <c r="D221" s="61" t="n"/>
      <c r="E221" s="61" t="n"/>
      <c r="F221" s="61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  <c r="AA221" s="63" t="n"/>
      <c r="AB221" s="63" t="n"/>
      <c r="AC221" s="63" t="n"/>
      <c r="AD221" s="63" t="n"/>
      <c r="AE221" s="63" t="n"/>
      <c r="AF221" s="63" t="n"/>
      <c r="AG221" s="63" t="n"/>
      <c r="AH221" s="63" t="n"/>
      <c r="AI221" s="63" t="n"/>
      <c r="AJ221" s="63" t="n"/>
      <c r="AK221" s="63" t="n"/>
      <c r="AL221" s="63" t="n"/>
      <c r="AM221" s="63" t="n"/>
      <c r="AN221" s="63" t="n"/>
      <c r="AO221" s="63" t="n"/>
      <c r="AP221" s="63" t="n"/>
      <c r="AQ221" s="63" t="n"/>
      <c r="AR221" s="63" t="n"/>
    </row>
    <row r="222" ht="16" customHeight="1">
      <c r="A222" s="58" t="inlineStr">
        <is>
          <t>20493931726</t>
        </is>
      </c>
      <c r="B222" s="59" t="inlineStr">
        <is>
          <t>Cooperativa Agraria Cafetalera Tocache Ltda.</t>
        </is>
      </c>
      <c r="C222" s="58" t="n"/>
      <c r="D222" s="58" t="n"/>
      <c r="E222" s="58" t="n"/>
      <c r="F222" s="58" t="n"/>
      <c r="G222" s="60" t="n"/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0" t="n"/>
      <c r="V222" s="60" t="n"/>
      <c r="W222" s="60" t="n"/>
      <c r="X222" s="60" t="n"/>
      <c r="Y222" s="60" t="n"/>
      <c r="Z222" s="60" t="n"/>
      <c r="AA222" s="60" t="n"/>
      <c r="AB222" s="60" t="n"/>
      <c r="AC222" s="60" t="n"/>
      <c r="AD222" s="60" t="n"/>
      <c r="AE222" s="60" t="n"/>
      <c r="AF222" s="60" t="n"/>
      <c r="AG222" s="60" t="n"/>
      <c r="AH222" s="60" t="n"/>
      <c r="AI222" s="60" t="n"/>
      <c r="AJ222" s="60" t="n"/>
      <c r="AK222" s="60" t="n"/>
      <c r="AL222" s="60" t="n"/>
      <c r="AM222" s="60" t="n"/>
      <c r="AN222" s="60" t="n"/>
      <c r="AO222" s="60" t="n"/>
      <c r="AP222" s="60" t="n"/>
      <c r="AQ222" s="60" t="n"/>
      <c r="AR222" s="60" t="n"/>
    </row>
    <row r="223" ht="16" customHeight="1">
      <c r="A223" s="61" t="inlineStr">
        <is>
          <t>20609759381</t>
        </is>
      </c>
      <c r="B223" s="62" t="inlineStr">
        <is>
          <t>Cooperativa Agraria Cafetalera Valle Verde</t>
        </is>
      </c>
      <c r="C223" s="61" t="n"/>
      <c r="D223" s="61" t="n"/>
      <c r="E223" s="61" t="n"/>
      <c r="F223" s="61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  <c r="AA223" s="63" t="n"/>
      <c r="AB223" s="63" t="n"/>
      <c r="AC223" s="63" t="n"/>
      <c r="AD223" s="63" t="n"/>
      <c r="AE223" s="63" t="n"/>
      <c r="AF223" s="63" t="n"/>
      <c r="AG223" s="63" t="n"/>
      <c r="AH223" s="63" t="n"/>
      <c r="AI223" s="63" t="n"/>
      <c r="AJ223" s="63" t="n"/>
      <c r="AK223" s="63" t="n"/>
      <c r="AL223" s="63" t="n"/>
      <c r="AM223" s="63" t="n"/>
      <c r="AN223" s="63" t="n"/>
      <c r="AO223" s="63" t="n"/>
      <c r="AP223" s="63" t="n"/>
      <c r="AQ223" s="63" t="n"/>
      <c r="AR223" s="63" t="n"/>
    </row>
    <row r="224" ht="16" customHeight="1">
      <c r="A224" s="58" t="inlineStr">
        <is>
          <t>20602333907</t>
        </is>
      </c>
      <c r="B224" s="59" t="inlineStr">
        <is>
          <t>Cooperativa Agraria Cafetalera Valles De Polvora Ltda.</t>
        </is>
      </c>
      <c r="C224" s="58" t="n"/>
      <c r="D224" s="58" t="n"/>
      <c r="E224" s="58" t="n"/>
      <c r="F224" s="58" t="n"/>
      <c r="G224" s="60" t="n"/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0" t="n"/>
      <c r="V224" s="60" t="n"/>
      <c r="W224" s="60" t="n"/>
      <c r="X224" s="60" t="n"/>
      <c r="Y224" s="60" t="n"/>
      <c r="Z224" s="60" t="n"/>
      <c r="AA224" s="60" t="n"/>
      <c r="AB224" s="60" t="n"/>
      <c r="AC224" s="60" t="n"/>
      <c r="AD224" s="60" t="n"/>
      <c r="AE224" s="60" t="n"/>
      <c r="AF224" s="60" t="n"/>
      <c r="AG224" s="60" t="n"/>
      <c r="AH224" s="60" t="n"/>
      <c r="AI224" s="60" t="n"/>
      <c r="AJ224" s="60" t="n"/>
      <c r="AK224" s="60" t="n"/>
      <c r="AL224" s="60" t="n"/>
      <c r="AM224" s="60" t="n"/>
      <c r="AN224" s="60" t="n"/>
      <c r="AO224" s="60" t="n"/>
      <c r="AP224" s="60" t="n"/>
      <c r="AQ224" s="60" t="n"/>
      <c r="AR224" s="60" t="n"/>
    </row>
    <row r="225" ht="16" customHeight="1">
      <c r="A225" s="61" t="inlineStr">
        <is>
          <t>20489109981</t>
        </is>
      </c>
      <c r="B225" s="62" t="inlineStr">
        <is>
          <t>Cooperativa Agraria Cafetalera y de Servicios Oro Verde Ltda.</t>
        </is>
      </c>
      <c r="C225" s="61" t="n"/>
      <c r="D225" s="61" t="n"/>
      <c r="E225" s="61" t="n"/>
      <c r="F225" s="61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  <c r="AA225" s="63" t="n"/>
      <c r="AB225" s="63" t="n"/>
      <c r="AC225" s="63" t="n"/>
      <c r="AD225" s="63" t="n"/>
      <c r="AE225" s="63" t="n"/>
      <c r="AF225" s="63" t="n"/>
      <c r="AG225" s="63" t="n"/>
      <c r="AH225" s="63" t="n"/>
      <c r="AI225" s="63" t="n"/>
      <c r="AJ225" s="63" t="n"/>
      <c r="AK225" s="63" t="n"/>
      <c r="AL225" s="63" t="n"/>
      <c r="AM225" s="63" t="n"/>
      <c r="AN225" s="63" t="n"/>
      <c r="AO225" s="63" t="n"/>
      <c r="AP225" s="63" t="n"/>
      <c r="AQ225" s="63" t="n"/>
      <c r="AR225" s="63" t="n"/>
    </row>
    <row r="226" ht="16" customHeight="1">
      <c r="A226" s="58" t="inlineStr">
        <is>
          <t>20572145388</t>
        </is>
      </c>
      <c r="B226" s="59" t="inlineStr">
        <is>
          <t>Cooperativa Agraria Cordillera Azul Nuevo Progreso Ltda.</t>
        </is>
      </c>
      <c r="C226" s="58" t="n"/>
      <c r="D226" s="58" t="n"/>
      <c r="E226" s="58" t="n"/>
      <c r="F226" s="58" t="n"/>
      <c r="G226" s="60" t="n"/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0" t="n"/>
      <c r="V226" s="60" t="n"/>
      <c r="W226" s="60" t="n"/>
      <c r="X226" s="60" t="n"/>
      <c r="Y226" s="60" t="n"/>
      <c r="Z226" s="60" t="n"/>
      <c r="AA226" s="60" t="n"/>
      <c r="AB226" s="60" t="n"/>
      <c r="AC226" s="60" t="n"/>
      <c r="AD226" s="60" t="n"/>
      <c r="AE226" s="60" t="n"/>
      <c r="AF226" s="60" t="n"/>
      <c r="AG226" s="60" t="n"/>
      <c r="AH226" s="60" t="n"/>
      <c r="AI226" s="60" t="n"/>
      <c r="AJ226" s="60" t="n"/>
      <c r="AK226" s="60" t="n"/>
      <c r="AL226" s="60" t="n"/>
      <c r="AM226" s="60" t="n"/>
      <c r="AN226" s="60" t="n"/>
      <c r="AO226" s="60" t="n"/>
      <c r="AP226" s="60" t="n"/>
      <c r="AQ226" s="60" t="n"/>
      <c r="AR226" s="60" t="n"/>
    </row>
    <row r="227" ht="16" customHeight="1">
      <c r="A227" s="61" t="inlineStr">
        <is>
          <t>20606730650</t>
        </is>
      </c>
      <c r="B227" s="62" t="inlineStr">
        <is>
          <t>Cooperativa Agraria De Productores Integrados San Martin</t>
        </is>
      </c>
      <c r="C227" s="61" t="n"/>
      <c r="D227" s="61" t="n"/>
      <c r="E227" s="61" t="n"/>
      <c r="F227" s="61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  <c r="AA227" s="63" t="n"/>
      <c r="AB227" s="63" t="n"/>
      <c r="AC227" s="63" t="n"/>
      <c r="AD227" s="63" t="n"/>
      <c r="AE227" s="63" t="n"/>
      <c r="AF227" s="63" t="n"/>
      <c r="AG227" s="63" t="n"/>
      <c r="AH227" s="63" t="n"/>
      <c r="AI227" s="63" t="n"/>
      <c r="AJ227" s="63" t="n"/>
      <c r="AK227" s="63" t="n"/>
      <c r="AL227" s="63" t="n"/>
      <c r="AM227" s="63" t="n"/>
      <c r="AN227" s="63" t="n"/>
      <c r="AO227" s="63" t="n"/>
      <c r="AP227" s="63" t="n"/>
      <c r="AQ227" s="63" t="n"/>
      <c r="AR227" s="63" t="n"/>
    </row>
    <row r="228" ht="16" customHeight="1">
      <c r="A228" s="58" t="inlineStr">
        <is>
          <t>20542370735</t>
        </is>
      </c>
      <c r="B228" s="59" t="inlineStr">
        <is>
          <t>Cooperativa Agraria Industrial Mishollo Ltda.</t>
        </is>
      </c>
      <c r="C228" s="58" t="n"/>
      <c r="D228" s="58" t="n"/>
      <c r="E228" s="58" t="n"/>
      <c r="F228" s="58" t="n"/>
      <c r="G228" s="60" t="n"/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0" t="n"/>
      <c r="V228" s="60" t="n"/>
      <c r="W228" s="60" t="n"/>
      <c r="X228" s="60" t="n"/>
      <c r="Y228" s="60" t="n"/>
      <c r="Z228" s="60" t="n"/>
      <c r="AA228" s="60" t="n"/>
      <c r="AB228" s="60" t="n"/>
      <c r="AC228" s="60" t="n"/>
      <c r="AD228" s="60" t="n"/>
      <c r="AE228" s="60" t="n"/>
      <c r="AF228" s="60" t="n"/>
      <c r="AG228" s="60" t="n"/>
      <c r="AH228" s="60" t="n"/>
      <c r="AI228" s="60" t="n"/>
      <c r="AJ228" s="60" t="n"/>
      <c r="AK228" s="60" t="n"/>
      <c r="AL228" s="60" t="n"/>
      <c r="AM228" s="60" t="n"/>
      <c r="AN228" s="60" t="n"/>
      <c r="AO228" s="60" t="n"/>
      <c r="AP228" s="60" t="n"/>
      <c r="AQ228" s="60" t="n"/>
      <c r="AR228" s="60" t="n"/>
    </row>
    <row r="229" ht="16" customHeight="1">
      <c r="A229" s="61" t="inlineStr">
        <is>
          <t>20450306445</t>
        </is>
      </c>
      <c r="B229" s="62" t="inlineStr">
        <is>
          <t>Cooperativa Agraria Industrial Progreso Ltda.</t>
        </is>
      </c>
      <c r="C229" s="61" t="n"/>
      <c r="D229" s="61" t="n"/>
      <c r="E229" s="61" t="n"/>
      <c r="F229" s="61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  <c r="AA229" s="63" t="n"/>
      <c r="AB229" s="63" t="n"/>
      <c r="AC229" s="63" t="n"/>
      <c r="AD229" s="63" t="n"/>
      <c r="AE229" s="63" t="n"/>
      <c r="AF229" s="63" t="n"/>
      <c r="AG229" s="63" t="n"/>
      <c r="AH229" s="63" t="n"/>
      <c r="AI229" s="63" t="n"/>
      <c r="AJ229" s="63" t="n"/>
      <c r="AK229" s="63" t="n"/>
      <c r="AL229" s="63" t="n"/>
      <c r="AM229" s="63" t="n"/>
      <c r="AN229" s="63" t="n"/>
      <c r="AO229" s="63" t="n"/>
      <c r="AP229" s="63" t="n"/>
      <c r="AQ229" s="63" t="n"/>
      <c r="AR229" s="63" t="n"/>
    </row>
    <row r="230" ht="16" customHeight="1">
      <c r="A230" s="58" t="inlineStr">
        <is>
          <t>20608294512</t>
        </is>
      </c>
      <c r="B230" s="59" t="inlineStr">
        <is>
          <t>Cooperativa Agraria Kuri Valle Del Sisa Ltda.</t>
        </is>
      </c>
      <c r="C230" s="58" t="inlineStr">
        <is>
          <t>CACAO</t>
        </is>
      </c>
      <c r="D230" s="58" t="inlineStr">
        <is>
          <t>SAN MARTIN</t>
        </is>
      </c>
      <c r="E230" s="58" t="inlineStr">
        <is>
          <t>EL DORADO</t>
        </is>
      </c>
      <c r="F230" s="58" t="inlineStr">
        <is>
          <t>SAN JOSE DE SISA</t>
        </is>
      </c>
      <c r="G230" s="64" t="n">
        <v>0</v>
      </c>
      <c r="H230" s="64" t="n">
        <v>0</v>
      </c>
      <c r="I230" s="64" t="n">
        <v>0</v>
      </c>
      <c r="J230" s="64" t="n">
        <v>0</v>
      </c>
      <c r="K230" s="64" t="n">
        <v>0</v>
      </c>
      <c r="L230" s="64" t="n">
        <v>0</v>
      </c>
      <c r="M230" s="64" t="n">
        <v>1663070.89</v>
      </c>
      <c r="N230" s="64" t="n">
        <v>1305327.129</v>
      </c>
      <c r="O230" s="64" t="n">
        <v>0</v>
      </c>
      <c r="P230" s="64" t="n">
        <v>0</v>
      </c>
      <c r="Q230" s="64" t="n">
        <v>0</v>
      </c>
      <c r="R230" s="64" t="n">
        <v>0</v>
      </c>
      <c r="S230" s="64" t="n">
        <v>0</v>
      </c>
      <c r="T230" s="64" t="n">
        <v>0</v>
      </c>
      <c r="U230" s="64" t="n">
        <v>0</v>
      </c>
      <c r="V230" s="64" t="n">
        <v>0</v>
      </c>
      <c r="W230" s="64" t="n">
        <v>1663070.89</v>
      </c>
      <c r="X230" s="64" t="n">
        <v>0</v>
      </c>
      <c r="Y230" s="64" t="n">
        <v>1305327.129</v>
      </c>
      <c r="Z230" s="64" t="n">
        <v>0</v>
      </c>
      <c r="AA230" s="64" t="n">
        <v>0</v>
      </c>
      <c r="AB230" s="64" t="n">
        <v>0</v>
      </c>
      <c r="AC230" s="64" t="n">
        <v>0</v>
      </c>
      <c r="AD230" s="64" t="n">
        <v>0</v>
      </c>
      <c r="AE230" s="64" t="n">
        <v>0</v>
      </c>
      <c r="AF230" s="64" t="n">
        <v>0</v>
      </c>
      <c r="AG230" s="64" t="n">
        <v>0</v>
      </c>
      <c r="AH230" s="64" t="n">
        <v>0</v>
      </c>
      <c r="AI230" s="64" t="n">
        <v>1663070.89</v>
      </c>
      <c r="AJ230" s="64" t="n">
        <v>0</v>
      </c>
      <c r="AK230" s="64" t="n">
        <v>0</v>
      </c>
      <c r="AL230" s="64" t="n">
        <v>1663070.89</v>
      </c>
      <c r="AM230" s="64" t="n">
        <v>0</v>
      </c>
      <c r="AN230" s="64" t="n">
        <v>0</v>
      </c>
      <c r="AO230" s="64" t="n">
        <v>1305327.129</v>
      </c>
      <c r="AP230" s="64" t="n">
        <v>0</v>
      </c>
      <c r="AQ230" s="64" t="n">
        <v>0</v>
      </c>
      <c r="AR230" s="64" t="n">
        <v>1305327.129</v>
      </c>
    </row>
    <row r="231" ht="16" customHeight="1">
      <c r="A231" s="61" t="inlineStr">
        <is>
          <t>20606808730</t>
        </is>
      </c>
      <c r="B231" s="62" t="inlineStr">
        <is>
          <t>Cooperativa Agraria Mi Perú Ltda. - COOPA Mi Perú Ltda.</t>
        </is>
      </c>
      <c r="C231" s="61" t="n"/>
      <c r="D231" s="61" t="n"/>
      <c r="E231" s="61" t="n"/>
      <c r="F231" s="61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  <c r="AA231" s="63" t="n"/>
      <c r="AB231" s="63" t="n"/>
      <c r="AC231" s="63" t="n"/>
      <c r="AD231" s="63" t="n"/>
      <c r="AE231" s="63" t="n"/>
      <c r="AF231" s="63" t="n"/>
      <c r="AG231" s="63" t="n"/>
      <c r="AH231" s="63" t="n"/>
      <c r="AI231" s="63" t="n"/>
      <c r="AJ231" s="63" t="n"/>
      <c r="AK231" s="63" t="n"/>
      <c r="AL231" s="63" t="n"/>
      <c r="AM231" s="63" t="n"/>
      <c r="AN231" s="63" t="n"/>
      <c r="AO231" s="63" t="n"/>
      <c r="AP231" s="63" t="n"/>
      <c r="AQ231" s="63" t="n"/>
      <c r="AR231" s="63" t="n"/>
    </row>
    <row r="232" ht="16" customHeight="1">
      <c r="A232" s="58" t="inlineStr">
        <is>
          <t>20600847156</t>
        </is>
      </c>
      <c r="B232" s="59" t="inlineStr">
        <is>
          <t>Cooperativa Agraria Monte Azul</t>
        </is>
      </c>
      <c r="C232" s="58" t="n"/>
      <c r="D232" s="58" t="n"/>
      <c r="E232" s="58" t="n"/>
      <c r="F232" s="58" t="n"/>
      <c r="G232" s="60" t="n"/>
      <c r="H232" s="60" t="n"/>
      <c r="I232" s="60" t="n"/>
      <c r="J232" s="60" t="n"/>
      <c r="K232" s="60" t="n"/>
      <c r="L232" s="60" t="n"/>
      <c r="M232" s="60" t="n"/>
      <c r="N232" s="60" t="n"/>
      <c r="O232" s="60" t="n"/>
      <c r="P232" s="60" t="n"/>
      <c r="Q232" s="60" t="n"/>
      <c r="R232" s="60" t="n"/>
      <c r="S232" s="60" t="n"/>
      <c r="T232" s="60" t="n"/>
      <c r="U232" s="60" t="n"/>
      <c r="V232" s="60" t="n"/>
      <c r="W232" s="60" t="n"/>
      <c r="X232" s="60" t="n"/>
      <c r="Y232" s="60" t="n"/>
      <c r="Z232" s="60" t="n"/>
      <c r="AA232" s="60" t="n"/>
      <c r="AB232" s="60" t="n"/>
      <c r="AC232" s="60" t="n"/>
      <c r="AD232" s="60" t="n"/>
      <c r="AE232" s="60" t="n"/>
      <c r="AF232" s="60" t="n"/>
      <c r="AG232" s="60" t="n"/>
      <c r="AH232" s="60" t="n"/>
      <c r="AI232" s="60" t="n"/>
      <c r="AJ232" s="60" t="n"/>
      <c r="AK232" s="60" t="n"/>
      <c r="AL232" s="60" t="n"/>
      <c r="AM232" s="60" t="n"/>
      <c r="AN232" s="60" t="n"/>
      <c r="AO232" s="60" t="n"/>
      <c r="AP232" s="60" t="n"/>
      <c r="AQ232" s="60" t="n"/>
      <c r="AR232" s="60" t="n"/>
    </row>
    <row r="233" ht="16" customHeight="1">
      <c r="A233" s="61" t="inlineStr">
        <is>
          <t>20493934822</t>
        </is>
      </c>
      <c r="B233" s="62" t="inlineStr">
        <is>
          <t>Cooperativa Agraria Nuevo Amanecer Ltda</t>
        </is>
      </c>
      <c r="C233" s="61" t="inlineStr">
        <is>
          <t>CACAO</t>
        </is>
      </c>
      <c r="D233" s="61" t="inlineStr">
        <is>
          <t>SAN MARTIN</t>
        </is>
      </c>
      <c r="E233" s="61" t="inlineStr">
        <is>
          <t>LAMAS</t>
        </is>
      </c>
      <c r="F233" s="61" t="inlineStr">
        <is>
          <t>BARRANQUITA</t>
        </is>
      </c>
      <c r="G233" s="65" t="n">
        <v>0</v>
      </c>
      <c r="H233" s="65" t="n">
        <v>238771.31</v>
      </c>
      <c r="I233" s="65" t="n">
        <v>318916.71</v>
      </c>
      <c r="J233" s="65" t="n">
        <v>1054461.65</v>
      </c>
      <c r="K233" s="65" t="n">
        <v>4331730.9</v>
      </c>
      <c r="L233" s="65" t="n">
        <v>1204863.18</v>
      </c>
      <c r="M233" s="65" t="n">
        <v>0</v>
      </c>
      <c r="N233" s="65" t="n">
        <v>0</v>
      </c>
      <c r="O233" s="65" t="n">
        <v>318916.71</v>
      </c>
      <c r="P233" s="65" t="n">
        <v>0</v>
      </c>
      <c r="Q233" s="65" t="n">
        <v>1054461.65</v>
      </c>
      <c r="R233" s="65" t="n">
        <v>0</v>
      </c>
      <c r="S233" s="65" t="n">
        <v>4331730.9</v>
      </c>
      <c r="T233" s="65" t="n">
        <v>0</v>
      </c>
      <c r="U233" s="65" t="n">
        <v>1204863.18</v>
      </c>
      <c r="V233" s="65" t="n">
        <v>0</v>
      </c>
      <c r="W233" s="65" t="n">
        <v>0</v>
      </c>
      <c r="X233" s="65" t="n">
        <v>0</v>
      </c>
      <c r="Y233" s="65" t="n">
        <v>0</v>
      </c>
      <c r="Z233" s="65" t="n">
        <v>0</v>
      </c>
      <c r="AA233" s="65" t="n">
        <v>0</v>
      </c>
      <c r="AB233" s="65" t="n">
        <v>0</v>
      </c>
      <c r="AC233" s="65" t="n">
        <v>1204863.175</v>
      </c>
      <c r="AD233" s="65" t="n">
        <v>0</v>
      </c>
      <c r="AE233" s="65" t="n">
        <v>0</v>
      </c>
      <c r="AF233" s="65" t="n">
        <v>1204863.175</v>
      </c>
      <c r="AG233" s="65" t="n">
        <v>0</v>
      </c>
      <c r="AH233" s="65" t="n">
        <v>0</v>
      </c>
      <c r="AI233" s="65" t="n">
        <v>0</v>
      </c>
      <c r="AJ233" s="65" t="n">
        <v>0</v>
      </c>
      <c r="AK233" s="65" t="n">
        <v>0</v>
      </c>
      <c r="AL233" s="65" t="n">
        <v>0</v>
      </c>
      <c r="AM233" s="65" t="n">
        <v>0</v>
      </c>
      <c r="AN233" s="65" t="n">
        <v>0</v>
      </c>
      <c r="AO233" s="65" t="n">
        <v>0</v>
      </c>
      <c r="AP233" s="65" t="n">
        <v>0</v>
      </c>
      <c r="AQ233" s="65" t="n">
        <v>0</v>
      </c>
      <c r="AR233" s="65" t="n">
        <v>0</v>
      </c>
    </row>
    <row r="234" ht="16" customHeight="1">
      <c r="A234" s="58" t="inlineStr">
        <is>
          <t>20603264372</t>
        </is>
      </c>
      <c r="B234" s="59" t="inlineStr">
        <is>
          <t>Cooperativa Agraria Qoriqao Ltda.</t>
        </is>
      </c>
      <c r="C234" s="58" t="n"/>
      <c r="D234" s="58" t="n"/>
      <c r="E234" s="58" t="n"/>
      <c r="F234" s="58" t="n"/>
      <c r="G234" s="60" t="n"/>
      <c r="H234" s="60" t="n"/>
      <c r="I234" s="60" t="n"/>
      <c r="J234" s="60" t="n"/>
      <c r="K234" s="60" t="n"/>
      <c r="L234" s="60" t="n"/>
      <c r="M234" s="60" t="n"/>
      <c r="N234" s="60" t="n"/>
      <c r="O234" s="60" t="n"/>
      <c r="P234" s="60" t="n"/>
      <c r="Q234" s="60" t="n"/>
      <c r="R234" s="60" t="n"/>
      <c r="S234" s="60" t="n"/>
      <c r="T234" s="60" t="n"/>
      <c r="U234" s="60" t="n"/>
      <c r="V234" s="60" t="n"/>
      <c r="W234" s="60" t="n"/>
      <c r="X234" s="60" t="n"/>
      <c r="Y234" s="60" t="n"/>
      <c r="Z234" s="60" t="n"/>
      <c r="AA234" s="60" t="n"/>
      <c r="AB234" s="60" t="n"/>
      <c r="AC234" s="60" t="n"/>
      <c r="AD234" s="60" t="n"/>
      <c r="AE234" s="60" t="n"/>
      <c r="AF234" s="60" t="n"/>
      <c r="AG234" s="60" t="n"/>
      <c r="AH234" s="60" t="n"/>
      <c r="AI234" s="60" t="n"/>
      <c r="AJ234" s="60" t="n"/>
      <c r="AK234" s="60" t="n"/>
      <c r="AL234" s="60" t="n"/>
      <c r="AM234" s="60" t="n"/>
      <c r="AN234" s="60" t="n"/>
      <c r="AO234" s="60" t="n"/>
      <c r="AP234" s="60" t="n"/>
      <c r="AQ234" s="60" t="n"/>
      <c r="AR234" s="60" t="n"/>
    </row>
    <row r="235" ht="16" customHeight="1">
      <c r="A235" s="61" t="inlineStr">
        <is>
          <t>20605343440</t>
        </is>
      </c>
      <c r="B235" s="62" t="inlineStr">
        <is>
          <t>Cooperativa Agraria Santiago Tello Grandez de Picota</t>
        </is>
      </c>
      <c r="C235" s="61" t="n"/>
      <c r="D235" s="61" t="n"/>
      <c r="E235" s="61" t="n"/>
      <c r="F235" s="61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  <c r="AA235" s="63" t="n"/>
      <c r="AB235" s="63" t="n"/>
      <c r="AC235" s="63" t="n"/>
      <c r="AD235" s="63" t="n"/>
      <c r="AE235" s="63" t="n"/>
      <c r="AF235" s="63" t="n"/>
      <c r="AG235" s="63" t="n"/>
      <c r="AH235" s="63" t="n"/>
      <c r="AI235" s="63" t="n"/>
      <c r="AJ235" s="63" t="n"/>
      <c r="AK235" s="63" t="n"/>
      <c r="AL235" s="63" t="n"/>
      <c r="AM235" s="63" t="n"/>
      <c r="AN235" s="63" t="n"/>
      <c r="AO235" s="63" t="n"/>
      <c r="AP235" s="63" t="n"/>
      <c r="AQ235" s="63" t="n"/>
      <c r="AR235" s="63" t="n"/>
    </row>
    <row r="236" ht="16" customHeight="1">
      <c r="A236" s="58" t="inlineStr">
        <is>
          <t>20607055204</t>
        </is>
      </c>
      <c r="B236" s="59" t="inlineStr">
        <is>
          <t>Cooperativa Agraria Sol Del Oriente Del Alto Mayo</t>
        </is>
      </c>
      <c r="C236" s="58" t="n"/>
      <c r="D236" s="58" t="n"/>
      <c r="E236" s="58" t="n"/>
      <c r="F236" s="58" t="n"/>
      <c r="G236" s="60" t="n"/>
      <c r="H236" s="60" t="n"/>
      <c r="I236" s="60" t="n"/>
      <c r="J236" s="60" t="n"/>
      <c r="K236" s="60" t="n"/>
      <c r="L236" s="60" t="n"/>
      <c r="M236" s="60" t="n"/>
      <c r="N236" s="60" t="n"/>
      <c r="O236" s="60" t="n"/>
      <c r="P236" s="60" t="n"/>
      <c r="Q236" s="60" t="n"/>
      <c r="R236" s="60" t="n"/>
      <c r="S236" s="60" t="n"/>
      <c r="T236" s="60" t="n"/>
      <c r="U236" s="60" t="n"/>
      <c r="V236" s="60" t="n"/>
      <c r="W236" s="60" t="n"/>
      <c r="X236" s="60" t="n"/>
      <c r="Y236" s="60" t="n"/>
      <c r="Z236" s="60" t="n"/>
      <c r="AA236" s="60" t="n"/>
      <c r="AB236" s="60" t="n"/>
      <c r="AC236" s="60" t="n"/>
      <c r="AD236" s="60" t="n"/>
      <c r="AE236" s="60" t="n"/>
      <c r="AF236" s="60" t="n"/>
      <c r="AG236" s="60" t="n"/>
      <c r="AH236" s="60" t="n"/>
      <c r="AI236" s="60" t="n"/>
      <c r="AJ236" s="60" t="n"/>
      <c r="AK236" s="60" t="n"/>
      <c r="AL236" s="60" t="n"/>
      <c r="AM236" s="60" t="n"/>
      <c r="AN236" s="60" t="n"/>
      <c r="AO236" s="60" t="n"/>
      <c r="AP236" s="60" t="n"/>
      <c r="AQ236" s="60" t="n"/>
      <c r="AR236" s="60" t="n"/>
    </row>
    <row r="237" ht="16" customHeight="1">
      <c r="A237" s="61" t="inlineStr">
        <is>
          <t>20542377586</t>
        </is>
      </c>
      <c r="B237" s="62" t="inlineStr">
        <is>
          <t>Cooperativa Agraria Villa del Triunfo</t>
        </is>
      </c>
      <c r="C237" s="61" t="n"/>
      <c r="D237" s="61" t="n"/>
      <c r="E237" s="61" t="n"/>
      <c r="F237" s="61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  <c r="AA237" s="63" t="n"/>
      <c r="AB237" s="63" t="n"/>
      <c r="AC237" s="63" t="n"/>
      <c r="AD237" s="63" t="n"/>
      <c r="AE237" s="63" t="n"/>
      <c r="AF237" s="63" t="n"/>
      <c r="AG237" s="63" t="n"/>
      <c r="AH237" s="63" t="n"/>
      <c r="AI237" s="63" t="n"/>
      <c r="AJ237" s="63" t="n"/>
      <c r="AK237" s="63" t="n"/>
      <c r="AL237" s="63" t="n"/>
      <c r="AM237" s="63" t="n"/>
      <c r="AN237" s="63" t="n"/>
      <c r="AO237" s="63" t="n"/>
      <c r="AP237" s="63" t="n"/>
      <c r="AQ237" s="63" t="n"/>
      <c r="AR237" s="63" t="n"/>
    </row>
    <row r="238" ht="16" customHeight="1">
      <c r="A238" s="58" t="inlineStr">
        <is>
          <t>20609726351</t>
        </is>
      </c>
      <c r="B238" s="59" t="inlineStr">
        <is>
          <t>Cooperativa Agraria de Productores Arroceros del Alto Huallaga Ltda.</t>
        </is>
      </c>
      <c r="C238" s="58" t="n"/>
      <c r="D238" s="58" t="n"/>
      <c r="E238" s="58" t="n"/>
      <c r="F238" s="58" t="n"/>
      <c r="G238" s="60" t="n"/>
      <c r="H238" s="60" t="n"/>
      <c r="I238" s="60" t="n"/>
      <c r="J238" s="60" t="n"/>
      <c r="K238" s="60" t="n"/>
      <c r="L238" s="60" t="n"/>
      <c r="M238" s="60" t="n"/>
      <c r="N238" s="60" t="n"/>
      <c r="O238" s="60" t="n"/>
      <c r="P238" s="60" t="n"/>
      <c r="Q238" s="60" t="n"/>
      <c r="R238" s="60" t="n"/>
      <c r="S238" s="60" t="n"/>
      <c r="T238" s="60" t="n"/>
      <c r="U238" s="60" t="n"/>
      <c r="V238" s="60" t="n"/>
      <c r="W238" s="60" t="n"/>
      <c r="X238" s="60" t="n"/>
      <c r="Y238" s="60" t="n"/>
      <c r="Z238" s="60" t="n"/>
      <c r="AA238" s="60" t="n"/>
      <c r="AB238" s="60" t="n"/>
      <c r="AC238" s="60" t="n"/>
      <c r="AD238" s="60" t="n"/>
      <c r="AE238" s="60" t="n"/>
      <c r="AF238" s="60" t="n"/>
      <c r="AG238" s="60" t="n"/>
      <c r="AH238" s="60" t="n"/>
      <c r="AI238" s="60" t="n"/>
      <c r="AJ238" s="60" t="n"/>
      <c r="AK238" s="60" t="n"/>
      <c r="AL238" s="60" t="n"/>
      <c r="AM238" s="60" t="n"/>
      <c r="AN238" s="60" t="n"/>
      <c r="AO238" s="60" t="n"/>
      <c r="AP238" s="60" t="n"/>
      <c r="AQ238" s="60" t="n"/>
      <c r="AR238" s="60" t="n"/>
    </row>
    <row r="239" ht="16" customHeight="1">
      <c r="A239" s="61" t="inlineStr">
        <is>
          <t>20542347911</t>
        </is>
      </c>
      <c r="B239" s="62" t="inlineStr">
        <is>
          <t>Cooperativa Agraria de Productores de Alonso de Alvarado - San Martin Limitada</t>
        </is>
      </c>
      <c r="C239" s="61" t="n"/>
      <c r="D239" s="61" t="n"/>
      <c r="E239" s="61" t="n"/>
      <c r="F239" s="61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  <c r="AA239" s="63" t="n"/>
      <c r="AB239" s="63" t="n"/>
      <c r="AC239" s="63" t="n"/>
      <c r="AD239" s="63" t="n"/>
      <c r="AE239" s="63" t="n"/>
      <c r="AF239" s="63" t="n"/>
      <c r="AG239" s="63" t="n"/>
      <c r="AH239" s="63" t="n"/>
      <c r="AI239" s="63" t="n"/>
      <c r="AJ239" s="63" t="n"/>
      <c r="AK239" s="63" t="n"/>
      <c r="AL239" s="63" t="n"/>
      <c r="AM239" s="63" t="n"/>
      <c r="AN239" s="63" t="n"/>
      <c r="AO239" s="63" t="n"/>
      <c r="AP239" s="63" t="n"/>
      <c r="AQ239" s="63" t="n"/>
      <c r="AR239" s="63" t="n"/>
    </row>
    <row r="240" ht="16" customHeight="1">
      <c r="A240" s="58" t="inlineStr">
        <is>
          <t>20542264544</t>
        </is>
      </c>
      <c r="B240" s="59" t="inlineStr">
        <is>
          <t>Cooperativa Agraria del Bajo Biavo Ltda.</t>
        </is>
      </c>
      <c r="C240" s="58" t="inlineStr">
        <is>
          <t>CAFÉ</t>
        </is>
      </c>
      <c r="D240" s="58" t="inlineStr">
        <is>
          <t>SAN MARTiN</t>
        </is>
      </c>
      <c r="E240" s="58" t="inlineStr">
        <is>
          <t>BELLAVISTA</t>
        </is>
      </c>
      <c r="F240" s="58" t="inlineStr">
        <is>
          <t>BELLAVISTA</t>
        </is>
      </c>
      <c r="G240" s="60" t="n"/>
      <c r="H240" s="60" t="n"/>
      <c r="I240" s="60" t="n"/>
      <c r="J240" s="60" t="n"/>
      <c r="K240" s="60" t="n"/>
      <c r="L240" s="60" t="n"/>
      <c r="M240" s="60" t="n"/>
      <c r="N240" s="64" t="n">
        <v>13849720.54965269</v>
      </c>
      <c r="O240" s="60" t="n"/>
      <c r="P240" s="60" t="n"/>
      <c r="Q240" s="60" t="n"/>
      <c r="R240" s="60" t="n"/>
      <c r="S240" s="60" t="n"/>
      <c r="T240" s="60" t="n"/>
      <c r="U240" s="60" t="n"/>
      <c r="V240" s="60" t="n"/>
      <c r="W240" s="60" t="n"/>
      <c r="X240" s="60" t="n"/>
      <c r="Y240" s="64" t="n">
        <v>9983111.209602989</v>
      </c>
      <c r="Z240" s="64" t="n">
        <v>3866609.3400497</v>
      </c>
      <c r="AA240" s="60" t="n"/>
      <c r="AB240" s="60" t="n"/>
      <c r="AC240" s="60" t="n"/>
      <c r="AD240" s="60" t="n"/>
      <c r="AE240" s="60" t="n"/>
      <c r="AF240" s="60" t="n"/>
      <c r="AG240" s="60" t="n"/>
      <c r="AH240" s="60" t="n"/>
      <c r="AI240" s="60" t="n"/>
      <c r="AJ240" s="60" t="n"/>
      <c r="AK240" s="60" t="n"/>
      <c r="AL240" s="60" t="n"/>
      <c r="AM240" s="64" t="n">
        <v>0</v>
      </c>
      <c r="AN240" s="64" t="n">
        <v>0</v>
      </c>
      <c r="AO240" s="64" t="n">
        <v>13849720.54965269</v>
      </c>
      <c r="AP240" s="64" t="n">
        <v>0</v>
      </c>
      <c r="AQ240" s="64" t="n">
        <v>0</v>
      </c>
      <c r="AR240" s="64" t="n">
        <v>13849720.54965269</v>
      </c>
    </row>
    <row r="241" ht="16" customHeight="1">
      <c r="A241" s="61" t="inlineStr">
        <is>
          <t>20605970690</t>
        </is>
      </c>
      <c r="B241" s="62" t="inlineStr">
        <is>
          <t>Cooperativa Agraria del Valle Dorado</t>
        </is>
      </c>
      <c r="C241" s="61" t="n"/>
      <c r="D241" s="61" t="n"/>
      <c r="E241" s="61" t="n"/>
      <c r="F241" s="61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  <c r="AA241" s="63" t="n"/>
      <c r="AB241" s="63" t="n"/>
      <c r="AC241" s="63" t="n"/>
      <c r="AD241" s="63" t="n"/>
      <c r="AE241" s="63" t="n"/>
      <c r="AF241" s="63" t="n"/>
      <c r="AG241" s="63" t="n"/>
      <c r="AH241" s="63" t="n"/>
      <c r="AI241" s="63" t="n"/>
      <c r="AJ241" s="63" t="n"/>
      <c r="AK241" s="63" t="n"/>
      <c r="AL241" s="63" t="n"/>
      <c r="AM241" s="63" t="n"/>
      <c r="AN241" s="63" t="n"/>
      <c r="AO241" s="63" t="n"/>
      <c r="AP241" s="63" t="n"/>
      <c r="AQ241" s="63" t="n"/>
      <c r="AR241" s="63" t="n"/>
    </row>
    <row r="242" ht="16" customHeight="1">
      <c r="A242" s="58" t="inlineStr">
        <is>
          <t>20450398111</t>
        </is>
      </c>
      <c r="B242" s="59" t="inlineStr">
        <is>
          <t>Cooperativa Agraria el Gran Saposoa Ltda.</t>
        </is>
      </c>
      <c r="C242" s="58" t="n"/>
      <c r="D242" s="58" t="n"/>
      <c r="E242" s="58" t="n"/>
      <c r="F242" s="58" t="n"/>
      <c r="G242" s="60" t="n"/>
      <c r="H242" s="60" t="n"/>
      <c r="I242" s="60" t="n"/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0" t="n"/>
      <c r="V242" s="60" t="n"/>
      <c r="W242" s="60" t="n"/>
      <c r="X242" s="60" t="n"/>
      <c r="Y242" s="60" t="n"/>
      <c r="Z242" s="60" t="n"/>
      <c r="AA242" s="60" t="n"/>
      <c r="AB242" s="60" t="n"/>
      <c r="AC242" s="60" t="n"/>
      <c r="AD242" s="60" t="n"/>
      <c r="AE242" s="60" t="n"/>
      <c r="AF242" s="60" t="n"/>
      <c r="AG242" s="60" t="n"/>
      <c r="AH242" s="60" t="n"/>
      <c r="AI242" s="60" t="n"/>
      <c r="AJ242" s="60" t="n"/>
      <c r="AK242" s="60" t="n"/>
      <c r="AL242" s="60" t="n"/>
      <c r="AM242" s="60" t="n"/>
      <c r="AN242" s="60" t="n"/>
      <c r="AO242" s="60" t="n"/>
      <c r="AP242" s="60" t="n"/>
      <c r="AQ242" s="60" t="n"/>
      <c r="AR242" s="60" t="n"/>
    </row>
    <row r="243" ht="16" customHeight="1">
      <c r="A243" s="61" t="inlineStr">
        <is>
          <t>20393882868</t>
        </is>
      </c>
      <c r="B243" s="62" t="inlineStr">
        <is>
          <t>Cooperativa Agraria ASCAH</t>
        </is>
      </c>
      <c r="C243" s="61" t="inlineStr">
        <is>
          <t>CACAO</t>
        </is>
      </c>
      <c r="D243" s="61" t="inlineStr">
        <is>
          <t>UCAYALI</t>
        </is>
      </c>
      <c r="E243" s="61" t="inlineStr">
        <is>
          <t>PADRE ABAD</t>
        </is>
      </c>
      <c r="F243" s="61" t="inlineStr">
        <is>
          <t>PADRE ABAD</t>
        </is>
      </c>
      <c r="G243" s="65" t="n">
        <v>0</v>
      </c>
      <c r="H243" s="65" t="n">
        <v>11460.9</v>
      </c>
      <c r="I243" s="65" t="n">
        <v>0</v>
      </c>
      <c r="J243" s="65" t="n">
        <v>0</v>
      </c>
      <c r="K243" s="65" t="n">
        <v>0</v>
      </c>
      <c r="L243" s="65" t="n">
        <v>0</v>
      </c>
      <c r="M243" s="65" t="n">
        <v>0</v>
      </c>
      <c r="N243" s="65" t="n">
        <v>0</v>
      </c>
      <c r="O243" s="65" t="n">
        <v>0</v>
      </c>
      <c r="P243" s="65" t="n">
        <v>0</v>
      </c>
      <c r="Q243" s="65" t="n">
        <v>0</v>
      </c>
      <c r="R243" s="65" t="n">
        <v>0</v>
      </c>
      <c r="S243" s="65" t="n">
        <v>0</v>
      </c>
      <c r="T243" s="65" t="n">
        <v>0</v>
      </c>
      <c r="U243" s="65" t="n">
        <v>0</v>
      </c>
      <c r="V243" s="65" t="n">
        <v>0</v>
      </c>
      <c r="W243" s="65" t="n">
        <v>0</v>
      </c>
      <c r="X243" s="65" t="n">
        <v>0</v>
      </c>
      <c r="Y243" s="65" t="n">
        <v>0</v>
      </c>
      <c r="Z243" s="65" t="n">
        <v>0</v>
      </c>
      <c r="AA243" s="65" t="n">
        <v>0</v>
      </c>
      <c r="AB243" s="65" t="n">
        <v>0</v>
      </c>
      <c r="AC243" s="65" t="n">
        <v>0</v>
      </c>
      <c r="AD243" s="65" t="n">
        <v>0</v>
      </c>
      <c r="AE243" s="65" t="n">
        <v>0</v>
      </c>
      <c r="AF243" s="65" t="n">
        <v>0</v>
      </c>
      <c r="AG243" s="65" t="n">
        <v>0</v>
      </c>
      <c r="AH243" s="65" t="n">
        <v>0</v>
      </c>
      <c r="AI243" s="65" t="n">
        <v>0</v>
      </c>
      <c r="AJ243" s="65" t="n">
        <v>0</v>
      </c>
      <c r="AK243" s="65" t="n">
        <v>0</v>
      </c>
      <c r="AL243" s="65" t="n">
        <v>0</v>
      </c>
      <c r="AM243" s="65" t="n">
        <v>0</v>
      </c>
      <c r="AN243" s="65" t="n">
        <v>0</v>
      </c>
      <c r="AO243" s="65" t="n">
        <v>0</v>
      </c>
      <c r="AP243" s="65" t="n">
        <v>0</v>
      </c>
      <c r="AQ243" s="65" t="n">
        <v>0</v>
      </c>
      <c r="AR243" s="65" t="n">
        <v>0</v>
      </c>
    </row>
    <row r="244" ht="16" customHeight="1">
      <c r="A244" s="58" t="inlineStr">
        <is>
          <t>20605688170</t>
        </is>
      </c>
      <c r="B244" s="59" t="inlineStr">
        <is>
          <t>Cooperativa Agraria Alexander Von Humboldt Ltda.</t>
        </is>
      </c>
      <c r="C244" s="58" t="inlineStr">
        <is>
          <t>CACAO</t>
        </is>
      </c>
      <c r="D244" s="58" t="inlineStr">
        <is>
          <t>UCAYALI</t>
        </is>
      </c>
      <c r="E244" s="58" t="inlineStr">
        <is>
          <t>PADRE ABAD</t>
        </is>
      </c>
      <c r="F244" s="58" t="inlineStr">
        <is>
          <t>ALEXANDER VON HUMBOLDT</t>
        </is>
      </c>
      <c r="G244" s="60" t="n"/>
      <c r="H244" s="60" t="n"/>
      <c r="I244" s="60" t="n"/>
      <c r="J244" s="60" t="n"/>
      <c r="K244" s="60" t="n"/>
      <c r="L244" s="60" t="n"/>
      <c r="M244" s="60" t="n"/>
      <c r="N244" s="64" t="n">
        <v>683342.25</v>
      </c>
      <c r="O244" s="60" t="n"/>
      <c r="P244" s="60" t="n"/>
      <c r="Q244" s="60" t="n"/>
      <c r="R244" s="60" t="n"/>
      <c r="S244" s="60" t="n"/>
      <c r="T244" s="60" t="n"/>
      <c r="U244" s="60" t="n"/>
      <c r="V244" s="60" t="n"/>
      <c r="W244" s="60" t="n"/>
      <c r="X244" s="60" t="n"/>
      <c r="Y244" s="64" t="n">
        <v>683342.25</v>
      </c>
      <c r="Z244" s="64" t="n">
        <v>0</v>
      </c>
      <c r="AA244" s="60" t="n"/>
      <c r="AB244" s="60" t="n"/>
      <c r="AC244" s="60" t="n"/>
      <c r="AD244" s="60" t="n"/>
      <c r="AE244" s="60" t="n"/>
      <c r="AF244" s="60" t="n"/>
      <c r="AG244" s="60" t="n"/>
      <c r="AH244" s="60" t="n"/>
      <c r="AI244" s="60" t="n"/>
      <c r="AJ244" s="60" t="n"/>
      <c r="AK244" s="60" t="n"/>
      <c r="AL244" s="60" t="n"/>
      <c r="AM244" s="64" t="n">
        <v>0</v>
      </c>
      <c r="AN244" s="64" t="n">
        <v>0</v>
      </c>
      <c r="AO244" s="64" t="n">
        <v>683342.25</v>
      </c>
      <c r="AP244" s="64" t="n">
        <v>0</v>
      </c>
      <c r="AQ244" s="64" t="n">
        <v>0</v>
      </c>
      <c r="AR244" s="64" t="n">
        <v>683342.25</v>
      </c>
    </row>
    <row r="245" ht="16" customHeight="1">
      <c r="A245" s="61" t="inlineStr">
        <is>
          <t>20393692228</t>
        </is>
      </c>
      <c r="B245" s="62" t="inlineStr">
        <is>
          <t>Cooperativa Agraria Cacaotera San Alejandro Ltda.</t>
        </is>
      </c>
      <c r="C245" s="61" t="inlineStr">
        <is>
          <t>CACAO</t>
        </is>
      </c>
      <c r="D245" s="61" t="inlineStr">
        <is>
          <t>UCAYALI</t>
        </is>
      </c>
      <c r="E245" s="61" t="inlineStr">
        <is>
          <t>PADRE ABAD</t>
        </is>
      </c>
      <c r="F245" s="61" t="inlineStr">
        <is>
          <t>IRAZOLA</t>
        </is>
      </c>
      <c r="G245" s="63" t="n"/>
      <c r="H245" s="63" t="n"/>
      <c r="I245" s="63" t="n"/>
      <c r="J245" s="63" t="n"/>
      <c r="K245" s="63" t="n"/>
      <c r="L245" s="63" t="n"/>
      <c r="M245" s="63" t="n"/>
      <c r="N245" s="65" t="n">
        <v>55074.5</v>
      </c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5" t="n">
        <v>55074.5</v>
      </c>
      <c r="Z245" s="65" t="n">
        <v>0</v>
      </c>
      <c r="AA245" s="63" t="n"/>
      <c r="AB245" s="63" t="n"/>
      <c r="AC245" s="63" t="n"/>
      <c r="AD245" s="63" t="n"/>
      <c r="AE245" s="63" t="n"/>
      <c r="AF245" s="63" t="n"/>
      <c r="AG245" s="63" t="n"/>
      <c r="AH245" s="63" t="n"/>
      <c r="AI245" s="63" t="n"/>
      <c r="AJ245" s="63" t="n"/>
      <c r="AK245" s="63" t="n"/>
      <c r="AL245" s="63" t="n"/>
      <c r="AM245" s="65" t="n">
        <v>0</v>
      </c>
      <c r="AN245" s="65" t="n">
        <v>55074.5</v>
      </c>
      <c r="AO245" s="65" t="n">
        <v>0</v>
      </c>
      <c r="AP245" s="65" t="n">
        <v>0</v>
      </c>
      <c r="AQ245" s="65" t="n">
        <v>0</v>
      </c>
      <c r="AR245" s="65" t="n">
        <v>55074.5</v>
      </c>
    </row>
    <row r="246" ht="16" customHeight="1">
      <c r="A246" s="58" t="inlineStr">
        <is>
          <t>20393786044</t>
        </is>
      </c>
      <c r="B246" s="59" t="inlineStr">
        <is>
          <t>Cooperativa Agraria Cafetalera Coordillera Azul de Ucayali Ltda</t>
        </is>
      </c>
      <c r="C246" s="58" t="inlineStr">
        <is>
          <t>CAFÉ</t>
        </is>
      </c>
      <c r="D246" s="58" t="inlineStr">
        <is>
          <t>UCAYALI</t>
        </is>
      </c>
      <c r="E246" s="58" t="inlineStr">
        <is>
          <t>PADRE ABAD</t>
        </is>
      </c>
      <c r="F246" s="58" t="inlineStr">
        <is>
          <t>PADRE ABAD</t>
        </is>
      </c>
      <c r="G246" s="64" t="n">
        <v>0</v>
      </c>
      <c r="H246" s="64" t="n">
        <v>0</v>
      </c>
      <c r="I246" s="64" t="n">
        <v>0</v>
      </c>
      <c r="J246" s="64" t="n">
        <v>0</v>
      </c>
      <c r="K246" s="64" t="n">
        <v>0</v>
      </c>
      <c r="L246" s="64" t="n">
        <v>0</v>
      </c>
      <c r="M246" s="64" t="n">
        <v>0</v>
      </c>
      <c r="N246" s="64" t="n">
        <v>0</v>
      </c>
      <c r="O246" s="64" t="n">
        <v>0</v>
      </c>
      <c r="P246" s="64" t="n">
        <v>0</v>
      </c>
      <c r="Q246" s="64" t="n">
        <v>0</v>
      </c>
      <c r="R246" s="64" t="n">
        <v>0</v>
      </c>
      <c r="S246" s="64" t="n">
        <v>0</v>
      </c>
      <c r="T246" s="64" t="n">
        <v>0</v>
      </c>
      <c r="U246" s="64" t="n">
        <v>0</v>
      </c>
      <c r="V246" s="64" t="n">
        <v>0</v>
      </c>
      <c r="W246" s="64" t="n">
        <v>0</v>
      </c>
      <c r="X246" s="64" t="n">
        <v>0</v>
      </c>
      <c r="Y246" s="64" t="n">
        <v>0</v>
      </c>
      <c r="Z246" s="64" t="n">
        <v>0</v>
      </c>
      <c r="AA246" s="64" t="n">
        <v>0</v>
      </c>
      <c r="AB246" s="64" t="n">
        <v>0</v>
      </c>
      <c r="AC246" s="64" t="n">
        <v>0</v>
      </c>
      <c r="AD246" s="64" t="n">
        <v>0</v>
      </c>
      <c r="AE246" s="64" t="n">
        <v>0</v>
      </c>
      <c r="AF246" s="64" t="n">
        <v>0</v>
      </c>
      <c r="AG246" s="64" t="n">
        <v>0</v>
      </c>
      <c r="AH246" s="64" t="n">
        <v>0</v>
      </c>
      <c r="AI246" s="64" t="n">
        <v>0</v>
      </c>
      <c r="AJ246" s="64" t="n">
        <v>0</v>
      </c>
      <c r="AK246" s="64" t="n">
        <v>0</v>
      </c>
      <c r="AL246" s="64" t="n">
        <v>0</v>
      </c>
      <c r="AM246" s="64" t="n">
        <v>0</v>
      </c>
      <c r="AN246" s="64" t="n">
        <v>0</v>
      </c>
      <c r="AO246" s="64" t="n">
        <v>0</v>
      </c>
      <c r="AP246" s="64" t="n">
        <v>0</v>
      </c>
      <c r="AQ246" s="64" t="n">
        <v>0</v>
      </c>
      <c r="AR246" s="64" t="n">
        <v>0</v>
      </c>
    </row>
    <row r="247" ht="16" customHeight="1">
      <c r="A247" s="61" t="inlineStr">
        <is>
          <t>20600390911</t>
        </is>
      </c>
      <c r="B247" s="62" t="inlineStr">
        <is>
          <t>Cooperativa Agraria De Cacao Aromático Colpa de Loros</t>
        </is>
      </c>
      <c r="C247" s="61" t="inlineStr">
        <is>
          <t>CACAO</t>
        </is>
      </c>
      <c r="D247" s="61" t="inlineStr">
        <is>
          <t>UCAYALI</t>
        </is>
      </c>
      <c r="E247" s="61" t="inlineStr">
        <is>
          <t>PADRE ABAD</t>
        </is>
      </c>
      <c r="F247" s="61" t="inlineStr">
        <is>
          <t>NESHUYA</t>
        </is>
      </c>
      <c r="G247" s="65" t="n">
        <v>0</v>
      </c>
      <c r="H247" s="65" t="n">
        <v>0</v>
      </c>
      <c r="I247" s="65" t="n">
        <v>0</v>
      </c>
      <c r="J247" s="65" t="n">
        <v>0</v>
      </c>
      <c r="K247" s="65" t="n">
        <v>0</v>
      </c>
      <c r="L247" s="65" t="n">
        <v>0</v>
      </c>
      <c r="M247" s="65" t="n">
        <v>28651766.73180553</v>
      </c>
      <c r="N247" s="65" t="n">
        <v>1464838.82412148</v>
      </c>
      <c r="O247" s="65" t="n">
        <v>0</v>
      </c>
      <c r="P247" s="65" t="n">
        <v>0</v>
      </c>
      <c r="Q247" s="65" t="n">
        <v>0</v>
      </c>
      <c r="R247" s="65" t="n">
        <v>0</v>
      </c>
      <c r="S247" s="65" t="n">
        <v>0</v>
      </c>
      <c r="T247" s="65" t="n">
        <v>0</v>
      </c>
      <c r="U247" s="65" t="n">
        <v>0</v>
      </c>
      <c r="V247" s="65" t="n">
        <v>0</v>
      </c>
      <c r="W247" s="65" t="n">
        <v>0</v>
      </c>
      <c r="X247" s="65" t="n">
        <v>28651766.73180553</v>
      </c>
      <c r="Y247" s="65" t="n">
        <v>0</v>
      </c>
      <c r="Z247" s="65" t="n">
        <v>1464838.82412148</v>
      </c>
      <c r="AA247" s="65" t="n">
        <v>0</v>
      </c>
      <c r="AB247" s="65" t="n">
        <v>0</v>
      </c>
      <c r="AC247" s="65" t="n">
        <v>0</v>
      </c>
      <c r="AD247" s="65" t="n">
        <v>0</v>
      </c>
      <c r="AE247" s="65" t="n">
        <v>0</v>
      </c>
      <c r="AF247" s="65" t="n">
        <v>0</v>
      </c>
      <c r="AG247" s="65" t="n">
        <v>0</v>
      </c>
      <c r="AH247" s="65" t="n">
        <v>0</v>
      </c>
      <c r="AI247" s="65" t="n">
        <v>28651766.73180553</v>
      </c>
      <c r="AJ247" s="65" t="n">
        <v>0</v>
      </c>
      <c r="AK247" s="65" t="n">
        <v>0</v>
      </c>
      <c r="AL247" s="65" t="n">
        <v>28651766.73180553</v>
      </c>
      <c r="AM247" s="65" t="n">
        <v>0</v>
      </c>
      <c r="AN247" s="65" t="n">
        <v>0</v>
      </c>
      <c r="AO247" s="65" t="n">
        <v>1464838.82412148</v>
      </c>
      <c r="AP247" s="65" t="n">
        <v>0</v>
      </c>
      <c r="AQ247" s="65" t="n">
        <v>0</v>
      </c>
      <c r="AR247" s="65" t="n">
        <v>1464838.82412148</v>
      </c>
    </row>
    <row r="248" ht="16" customHeight="1">
      <c r="A248" s="58" t="inlineStr">
        <is>
          <t>20393816211</t>
        </is>
      </c>
      <c r="B248" s="59" t="inlineStr">
        <is>
          <t>Cooperativa Agraria San Juan Bautista</t>
        </is>
      </c>
      <c r="C248" s="58" t="inlineStr">
        <is>
          <t>CACAO</t>
        </is>
      </c>
      <c r="D248" s="58" t="inlineStr">
        <is>
          <t>UCAYALI</t>
        </is>
      </c>
      <c r="E248" s="58" t="inlineStr">
        <is>
          <t>PADRE ABAD</t>
        </is>
      </c>
      <c r="F248" s="58" t="inlineStr">
        <is>
          <t>IRAZOLA</t>
        </is>
      </c>
      <c r="G248" s="64" t="n">
        <v>0</v>
      </c>
      <c r="H248" s="64" t="n">
        <v>0</v>
      </c>
      <c r="I248" s="64" t="n">
        <v>0</v>
      </c>
      <c r="J248" s="64" t="n">
        <v>0</v>
      </c>
      <c r="K248" s="64" t="n">
        <v>0</v>
      </c>
      <c r="L248" s="64" t="n">
        <v>0</v>
      </c>
      <c r="M248" s="64" t="n">
        <v>73430.39999999999</v>
      </c>
      <c r="N248" s="64" t="n">
        <v>160363.5</v>
      </c>
      <c r="O248" s="64" t="n">
        <v>0</v>
      </c>
      <c r="P248" s="64" t="n">
        <v>0</v>
      </c>
      <c r="Q248" s="64" t="n">
        <v>0</v>
      </c>
      <c r="R248" s="64" t="n">
        <v>0</v>
      </c>
      <c r="S248" s="64" t="n">
        <v>0</v>
      </c>
      <c r="T248" s="64" t="n">
        <v>0</v>
      </c>
      <c r="U248" s="64" t="n">
        <v>0</v>
      </c>
      <c r="V248" s="64" t="n">
        <v>0</v>
      </c>
      <c r="W248" s="64" t="n">
        <v>73430.39999999999</v>
      </c>
      <c r="X248" s="64" t="n">
        <v>0</v>
      </c>
      <c r="Y248" s="64" t="n">
        <v>160363.5</v>
      </c>
      <c r="Z248" s="64" t="n">
        <v>0</v>
      </c>
      <c r="AA248" s="64" t="n">
        <v>0</v>
      </c>
      <c r="AB248" s="64" t="n">
        <v>0</v>
      </c>
      <c r="AC248" s="64" t="n">
        <v>0</v>
      </c>
      <c r="AD248" s="64" t="n">
        <v>0</v>
      </c>
      <c r="AE248" s="64" t="n">
        <v>0</v>
      </c>
      <c r="AF248" s="64" t="n">
        <v>0</v>
      </c>
      <c r="AG248" s="64" t="n">
        <v>0</v>
      </c>
      <c r="AH248" s="64" t="n">
        <v>66683.7</v>
      </c>
      <c r="AI248" s="64" t="n">
        <v>6746.7</v>
      </c>
      <c r="AJ248" s="64" t="n">
        <v>0</v>
      </c>
      <c r="AK248" s="64" t="n">
        <v>0</v>
      </c>
      <c r="AL248" s="64" t="n">
        <v>73430.39999999999</v>
      </c>
      <c r="AM248" s="64" t="n">
        <v>102833</v>
      </c>
      <c r="AN248" s="64" t="n">
        <v>55552.5</v>
      </c>
      <c r="AO248" s="64" t="n">
        <v>1978</v>
      </c>
      <c r="AP248" s="64" t="n">
        <v>0</v>
      </c>
      <c r="AQ248" s="64" t="n">
        <v>0</v>
      </c>
      <c r="AR248" s="64" t="n">
        <v>160363.5</v>
      </c>
    </row>
    <row r="249" ht="16" customHeight="1">
      <c r="A249" s="61" t="inlineStr">
        <is>
          <t>NOTA: ISA = Indice Sintetico de Alineamiento | IP = Indice de Preparacion | IV = Indice de Vulnerabilidad | RE = Riesgo de Exclusion. D1-D7 requieren Instrumento 2 (campo via Google Forms ISCAM). D8-D11 se calculan desde fuentes administrativas. Actualizacion: septiembre 2026.</t>
        </is>
      </c>
      <c r="B249" s="62" t="inlineStr"/>
      <c r="C249" s="61" t="n"/>
      <c r="D249" s="61" t="n"/>
      <c r="E249" s="61" t="n"/>
      <c r="F249" s="61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  <c r="AA249" s="63" t="n"/>
      <c r="AB249" s="63" t="n"/>
      <c r="AC249" s="63" t="n"/>
      <c r="AD249" s="63" t="n"/>
      <c r="AE249" s="63" t="n"/>
      <c r="AF249" s="63" t="n"/>
      <c r="AG249" s="63" t="n"/>
      <c r="AH249" s="63" t="n"/>
      <c r="AI249" s="63" t="n"/>
      <c r="AJ249" s="63" t="n"/>
      <c r="AK249" s="63" t="n"/>
      <c r="AL249" s="63" t="n"/>
      <c r="AM249" s="63" t="n"/>
      <c r="AN249" s="63" t="n"/>
      <c r="AO249" s="63" t="n"/>
      <c r="AP249" s="63" t="n"/>
      <c r="AQ249" s="63" t="n"/>
      <c r="AR249" s="63" t="n"/>
    </row>
    <row r="250" ht="16" customHeight="1">
      <c r="A250" s="58" t="inlineStr">
        <is>
          <t>20530078878</t>
        </is>
      </c>
      <c r="B250" s="59" t="inlineStr">
        <is>
          <t>MARANURA S.A.C.</t>
        </is>
      </c>
      <c r="C250" s="58" t="n"/>
      <c r="D250" s="58" t="n"/>
      <c r="E250" s="58" t="n"/>
      <c r="F250" s="58" t="n"/>
      <c r="G250" s="60" t="n"/>
      <c r="H250" s="60" t="n"/>
      <c r="I250" s="60" t="n"/>
      <c r="J250" s="60" t="n"/>
      <c r="K250" s="60" t="n"/>
      <c r="L250" s="60" t="n"/>
      <c r="M250" s="60" t="n"/>
      <c r="N250" s="60" t="n"/>
      <c r="O250" s="60" t="n"/>
      <c r="P250" s="60" t="n"/>
      <c r="Q250" s="60" t="n"/>
      <c r="R250" s="60" t="n"/>
      <c r="S250" s="60" t="n"/>
      <c r="T250" s="60" t="n"/>
      <c r="U250" s="60" t="n"/>
      <c r="V250" s="60" t="n"/>
      <c r="W250" s="60" t="n"/>
      <c r="X250" s="60" t="n"/>
      <c r="Y250" s="60" t="n"/>
      <c r="Z250" s="60" t="n"/>
      <c r="AA250" s="60" t="n"/>
      <c r="AB250" s="60" t="n"/>
      <c r="AC250" s="60" t="n"/>
      <c r="AD250" s="60" t="n"/>
      <c r="AE250" s="60" t="n"/>
      <c r="AF250" s="60" t="n"/>
      <c r="AG250" s="60" t="n"/>
      <c r="AH250" s="60" t="n"/>
      <c r="AI250" s="60" t="n"/>
      <c r="AJ250" s="60" t="n"/>
      <c r="AK250" s="60" t="n"/>
      <c r="AL250" s="60" t="n"/>
      <c r="AM250" s="60" t="n"/>
      <c r="AN250" s="60" t="n"/>
      <c r="AO250" s="60" t="n"/>
      <c r="AP250" s="60" t="n"/>
      <c r="AQ250" s="60" t="n"/>
      <c r="AR250" s="60" t="n"/>
    </row>
  </sheetData>
  <mergeCells count="8">
    <mergeCell ref="AC2:AH2"/>
    <mergeCell ref="AI2:AN2"/>
    <mergeCell ref="M2:T2"/>
    <mergeCell ref="U2:AB2"/>
    <mergeCell ref="E2:L2"/>
    <mergeCell ref="A1:AR1"/>
    <mergeCell ref="AO2:AR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2026-09-18T01:30:10Z</dcterms:created>
  <dcterms:modified xmlns:dcterms="http://purl.org/dc/terms/" xmlns:xsi="http://www.w3.org/2001/XMLSchema-instance" xsi:type="dcterms:W3CDTF">2026-10-08T02:33:49Z</dcterms:modified>
</cp:coreProperties>
</file>