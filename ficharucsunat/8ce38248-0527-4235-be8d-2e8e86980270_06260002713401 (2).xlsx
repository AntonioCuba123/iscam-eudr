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  <sheet state="visible" name="Hoja1" sheetId="2" r:id="rId5"/>
  </sheets>
  <externalReferences>
    <externalReference r:id="rId6"/>
    <externalReference r:id="rId7"/>
  </externalReferences>
  <definedNames/>
  <calcPr/>
</workbook>
</file>

<file path=xl/sharedStrings.xml><?xml version="1.0" encoding="utf-8"?>
<sst xmlns="http://schemas.openxmlformats.org/spreadsheetml/2006/main" count="100" uniqueCount="73">
  <si>
    <t>VENTAS POR TIPO DE COMPROMABNTE año 2025 -12.01.26)</t>
  </si>
  <si>
    <r>
      <rPr>
        <rFont val="Calibri"/>
        <b/>
        <color/>
        <sz val="11.0"/>
      </rPr>
      <t xml:space="preserve">2025 </t>
    </r>
    <r>
      <rPr>
        <rFont val="Calibri"/>
        <b/>
        <color rgb="FFFF0000"/>
        <sz val="11.0"/>
      </rPr>
      <t>(Ciierre de Agosto 2025)</t>
    </r>
  </si>
  <si>
    <r>
      <rPr>
        <rFont val="Calibri"/>
        <b/>
        <sz val="11.0"/>
      </rPr>
      <t>2025</t>
    </r>
    <r>
      <rPr>
        <rFont val="Calibri"/>
        <b/>
        <color/>
        <sz val="11.0"/>
      </rPr>
      <t xml:space="preserve"> (Cierre de 12.01.26)</t>
    </r>
  </si>
  <si>
    <t>Nombre de la Organización</t>
  </si>
  <si>
    <t>PRODUCTO DOM</t>
  </si>
  <si>
    <t xml:space="preserve">PRODUCTO 1 </t>
  </si>
  <si>
    <t>SEDE</t>
  </si>
  <si>
    <t>Ubigeo</t>
  </si>
  <si>
    <t>DEPARTAMENTO</t>
  </si>
  <si>
    <t xml:space="preserve">Provincia </t>
  </si>
  <si>
    <t xml:space="preserve">Distrito </t>
  </si>
  <si>
    <t>TIPO DE CERTIFICADO</t>
  </si>
  <si>
    <t>2025</t>
  </si>
  <si>
    <t>SERVICIO</t>
  </si>
  <si>
    <t>AÑOS DE INTERVENCION</t>
  </si>
  <si>
    <t>AÑOS DE INTERVENCIÓN DESDE 2018 AL 2024</t>
  </si>
  <si>
    <t>INTERVENCIÓN 2019 al 2025</t>
  </si>
  <si>
    <t>BENF
MASC 2025</t>
  </si>
  <si>
    <t>BENF
FEM 2025</t>
  </si>
  <si>
    <t>TOTAL
BENF 2025</t>
  </si>
  <si>
    <t>TOTAL VENTAS 2018 AL 2025</t>
  </si>
  <si>
    <t>V. EJEC  NACIONALES 2025</t>
  </si>
  <si>
    <t>V. EJEC EXPORTACION 2025</t>
  </si>
  <si>
    <t>VENTAS TOTALES 2025</t>
  </si>
  <si>
    <t>INCREMENTOS VENTAS EN 2025</t>
  </si>
  <si>
    <t>DIFERENCIA VENTAS 
2025-2024</t>
  </si>
  <si>
    <t>Boleta de Venta 2025</t>
  </si>
  <si>
    <t>Declaración Jurada 2025</t>
  </si>
  <si>
    <t>Factura 2025</t>
  </si>
  <si>
    <t>Guía de Remisión 2025</t>
  </si>
  <si>
    <t>Liquidación de Compra 2025</t>
  </si>
  <si>
    <t>Total general 2025</t>
  </si>
  <si>
    <t>RUC</t>
  </si>
  <si>
    <t>Tipo de Organización*  (Asociación/Cooperativa/CCNN, Comunidad Campesina y otros.)</t>
  </si>
  <si>
    <t>COOPERATIVA AGRARIA DE USUARIOS DE PEQUEÑOS PRODUCTORES DEL PERU</t>
  </si>
  <si>
    <t>MANGO</t>
  </si>
  <si>
    <t>ANCASH</t>
  </si>
  <si>
    <t>020801</t>
  </si>
  <si>
    <t>CASMA</t>
  </si>
  <si>
    <t>FAIR TRADE</t>
  </si>
  <si>
    <t>PAC</t>
  </si>
  <si>
    <t xml:space="preserve">SI </t>
  </si>
  <si>
    <t xml:space="preserve"> Cooperativa</t>
  </si>
  <si>
    <t>COOPERATIVA AGRARIA AGROFRUTOS ORGANICOS</t>
  </si>
  <si>
    <t>LAMBAYEQUE</t>
  </si>
  <si>
    <t>140307</t>
  </si>
  <si>
    <t>MOTUPE</t>
  </si>
  <si>
    <t>ORGANICO</t>
  </si>
  <si>
    <t>COOPERATIVA AGRARIA DE USUARIOS ASPRAOSRA LTDA</t>
  </si>
  <si>
    <t>BANANO</t>
  </si>
  <si>
    <t>PIURA</t>
  </si>
  <si>
    <t>MORROPON</t>
  </si>
  <si>
    <t>BUENOS AIRES</t>
  </si>
  <si>
    <t>ORGANICO/GLOBAL GAP</t>
  </si>
  <si>
    <t>Cooperativa</t>
  </si>
  <si>
    <t>ASOCIACION DE AGRICULTORES INNOVADORES DE ANCASH, EDIFLOR</t>
  </si>
  <si>
    <t>PALTA</t>
  </si>
  <si>
    <t>SANTA</t>
  </si>
  <si>
    <t>CHIMBOTE</t>
  </si>
  <si>
    <t>GLOBAL GAP</t>
  </si>
  <si>
    <t> 20611531088</t>
  </si>
  <si>
    <t>Asociacion</t>
  </si>
  <si>
    <t>ASOCIACIÓN DE PRODUCTORES AGROPECUARIOS CHASKAS DE HUANCALLAMA-APACHAHUA</t>
  </si>
  <si>
    <t>HUANCAVELICA</t>
  </si>
  <si>
    <t>090409</t>
  </si>
  <si>
    <t>CASTROVIRREYNA</t>
  </si>
  <si>
    <t>MOLLEPAMPA</t>
  </si>
  <si>
    <t xml:space="preserve"> Asociación</t>
  </si>
  <si>
    <t>ASOCIACION DE AGRICULTORES DE PALTOS EN HUAMAMPALI - ALTO LARAN</t>
  </si>
  <si>
    <t>ICA</t>
  </si>
  <si>
    <t xml:space="preserve">CHINCHA </t>
  </si>
  <si>
    <t>HUAMANPALI</t>
  </si>
  <si>
    <t xml:space="preserve"> COOPERATIVA AGRARIA DE USUARIOS DE PEQUEÑOS PRODUCTORES DEL PERU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</si>
</sst>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S/&quot;\ * #,##0.00_ ;_ &quot;S/&quot;\ * \-#,##0.00_ "/>
  </numFmts>
  <fonts count="8">
    <font>
      <sz val="11.0"/>
      <color/>
      <name val="Arial"/>
      <scheme val="minor"/>
    </font>
    <font>
      <b/>
      <sz val="14.0"/>
      <color/>
      <name val="Calibri"/>
    </font>
    <font/>
    <font>
      <b/>
      <sz val="11.0"/>
      <color/>
      <name val="Calibri"/>
    </font>
    <font>
      <b/>
      <sz val="11.0"/>
      <name val="Calibri"/>
    </font>
    <font>
      <b/>
      <sz val="14.0"/>
      <name val="Calibri"/>
    </font>
    <font>
      <sz val="11.0"/>
      <color/>
      <name val="Calibri"/>
    </font>
    <font>
      <sz val="10.0"/>
      <color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5FFAB"/>
        <bgColor rgb="FFD5FFAB"/>
      </patternFill>
    </fill>
    <fill>
      <patternFill patternType="solid">
        <fgColor rgb="FF00B050"/>
        <bgColor rgb="FF00B05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C9FFE4"/>
        <bgColor rgb="FFC9FFE4"/>
      </patternFill>
    </fill>
    <fill>
      <patternFill patternType="solid">
        <fgColor rgb="FF0070C0"/>
        <bgColor rgb="FF0070C0"/>
      </patternFill>
    </fill>
    <fill>
      <patternFill patternType="solid">
        <fgColor rgb="FF9FE6FF"/>
        <bgColor rgb="FF9FE6FF"/>
      </patternFill>
    </fill>
    <fill>
      <patternFill patternType="solid">
        <fgColor rgb="FF00DA6D"/>
        <bgColor rgb="FF00DA6D"/>
      </patternFill>
    </fill>
    <fill>
      <patternFill patternType="solid">
        <fgColor rgb="FF00B0F0"/>
        <bgColor rgb="FF00B0F0"/>
      </patternFill>
    </fill>
    <fill>
      <patternFill patternType="solid">
        <fgColor rgb="FFFFE598"/>
        <bgColor rgb="FFFFE598"/>
      </patternFill>
    </fill>
  </fills>
  <borders count="24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/>
    </border>
    <border>
      <bottom/>
    </border>
    <border>
      <right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ill="1" applyFont="1">
      <alignment horizontal="left" shrinkToFit="0" vertical="center" wrapText="1"/>
    </xf>
    <xf borderId="4" fillId="4" fontId="3" numFmtId="3" xfId="0" applyAlignment="1" applyBorder="1" applyFill="1" applyFont="1" applyNumberFormat="1">
      <alignment horizontal="center" vertical="center"/>
    </xf>
    <xf borderId="5" fillId="5" fontId="3" numFmtId="0" xfId="0" applyAlignment="1" applyBorder="1" applyFill="1" applyFont="1">
      <alignment horizontal="center"/>
    </xf>
    <xf borderId="6" fillId="6" fontId="4" numFmtId="14" xfId="0" applyAlignment="1" applyBorder="1" applyFill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1" fillId="2" fontId="5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7" fontId="3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8" fontId="4" numFmtId="0" xfId="0" applyAlignment="1" applyBorder="1" applyFill="1" applyFont="1">
      <alignment horizontal="center" shrinkToFit="0" vertical="center" wrapText="1"/>
    </xf>
    <xf borderId="16" fillId="9" fontId="4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10" fontId="3" numFmtId="0" xfId="0" applyAlignment="1" applyBorder="1" applyFill="1" applyFont="1">
      <alignment horizontal="left" shrinkToFit="0" vertical="top" wrapText="1"/>
    </xf>
    <xf borderId="21" fillId="0" fontId="3" numFmtId="0" xfId="0" applyAlignment="1" applyBorder="1" applyFont="1">
      <alignment horizontal="left" shrinkToFit="0" vertical="top" wrapText="1"/>
    </xf>
    <xf borderId="21" fillId="10" fontId="4" numFmtId="0" xfId="0" applyAlignment="1" applyBorder="1" applyFill="1" applyFont="1">
      <alignment horizontal="center" shrinkToFit="0" vertical="top" wrapText="1"/>
    </xf>
    <xf borderId="21" fillId="10" fontId="4" numFmtId="0" xfId="0" applyAlignment="1" applyBorder="1" applyFill="1" applyFont="1">
      <alignment horizontal="left" shrinkToFit="0" vertical="top" wrapText="1"/>
    </xf>
    <xf borderId="21" fillId="10" fontId="3" numFmtId="3" xfId="0" applyAlignment="1" applyBorder="1" applyFill="1" applyFont="1" applyNumberFormat="1">
      <alignment horizontal="center" shrinkToFit="0" vertical="top" wrapText="1"/>
    </xf>
    <xf borderId="21" fillId="8" fontId="3" numFmtId="0" xfId="0" applyAlignment="1" applyBorder="1" applyFill="1" applyFont="1">
      <alignment horizontal="center" shrinkToFit="0" vertical="top" wrapText="1"/>
    </xf>
    <xf borderId="21" fillId="11" fontId="4" numFmtId="0" xfId="0" applyAlignment="1" applyBorder="1" applyFill="1" applyFont="1">
      <alignment horizontal="center" shrinkToFit="0" vertical="top" wrapText="1"/>
    </xf>
    <xf borderId="21" fillId="11" fontId="3" numFmtId="0" xfId="0" applyAlignment="1" applyBorder="1" applyFill="1" applyFont="1">
      <alignment horizontal="center" shrinkToFit="0" vertical="top" wrapText="1"/>
    </xf>
    <xf borderId="21" fillId="6" fontId="4" numFmtId="0" xfId="0" applyAlignment="1" applyBorder="1" applyFill="1" applyFont="1">
      <alignment horizontal="center" shrinkToFit="0" vertical="top" wrapText="1"/>
    </xf>
    <xf borderId="21" fillId="10" fontId="3" numFmtId="0" xfId="0" applyAlignment="1" applyBorder="1" applyFill="1" applyFont="1">
      <alignment horizontal="center" shrinkToFit="0" vertical="top" wrapText="1"/>
    </xf>
    <xf borderId="22" fillId="0" fontId="6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3" fillId="0" fontId="7" numFmtId="0" xfId="0" applyAlignment="1" applyBorder="1" applyFont="1">
      <alignment horizontal="left" vertical="center"/>
    </xf>
    <xf borderId="23" fillId="12" fontId="6" numFmtId="0" xfId="0" applyAlignment="1" applyBorder="1" applyFill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2" fillId="0" fontId="6" numFmtId="3" xfId="0" applyAlignment="1" applyBorder="1" applyFont="1" applyNumberFormat="1">
      <alignment horizontal="center" shrinkToFit="0" vertical="center" wrapText="1"/>
    </xf>
    <xf borderId="23" fillId="0" fontId="6" numFmtId="164" xfId="0" applyAlignment="1" applyBorder="1" applyFont="1" applyNumberFormat="1">
      <alignment shrinkToFit="0" vertical="center" wrapText="1"/>
    </xf>
    <xf borderId="22" fillId="0" fontId="6" numFmtId="0" xfId="0" applyAlignment="1" applyBorder="1" applyFont="1">
      <alignment shrinkToFit="0" vertical="center" wrapText="1"/>
    </xf>
    <xf borderId="23" fillId="0" fontId="6" numFmtId="3" xfId="0" applyAlignment="1" applyBorder="1" applyFont="1" applyNumberFormat="1">
      <alignment horizontal="center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shrinkToFit="0" wrapText="1"/>
    </xf>
    <xf borderId="23" fillId="0" fontId="6" numFmtId="0" xfId="0" applyBorder="1" applyFont="1"/>
    <xf borderId="23" fillId="0" fontId="6" numFmtId="0" xfId="0" applyAlignment="1" applyBorder="1" applyFont="1">
      <alignment horizontal="center" vertical="center"/>
    </xf>
    <xf borderId="23" fillId="0" fontId="6" numFmtId="0" xfId="0" applyBorder="1" applyFont="1"/>
  </cellXfs>
  <cellStyles count="1">
    <cellStyle xfId="0" name="Normal" builtinId="0"/>
  </cellStyles>
  <dxfs count="2">
    <dxf>
      <font>
        <color/>
      </font>
      <fill>
        <patternFill patternType="solid">
          <fgColor rgb="FF99FF66"/>
          <bgColor rgb="FF99FF66"/>
        </patternFill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GuillermoParodi\CERTIFICADO%20Y%20PROY%20IMPLEM%20CALIDAD\DATA%20ORGANIZACIONES%20CERTIFICACIONE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2\dgop\VilsicBocangel\Especialista%20Cacao\Documentos%20Especialistas\Data%20historica%20PACs\BD%20HIST&#211;RICA%202018%20al%202025%20AGROMERCADO%2012.01.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DATA ORGANIZACIONES CERTIFICACI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CONSOLIDADA 2018-2025  (2)"/>
      <sheetName val="PACs"/>
      <sheetName val="org"/>
      <sheetName val="Benef"/>
      <sheetName val="Ventas nac"/>
      <sheetName val="Ventas exp"/>
      <sheetName val="Ventas Totales"/>
      <sheetName val="Contactos"/>
      <sheetName val="Hoja7"/>
      <sheetName val="RES BD1"/>
      <sheetName val="Hoja1"/>
      <sheetName val="Hoja3"/>
      <sheetName val="Hoja4"/>
      <sheetName val="xDepa"/>
      <sheetName val="Hoja6"/>
      <sheetName val="xDepa2"/>
      <sheetName val="xCadena"/>
      <sheetName val="Hoja5"/>
      <sheetName val="Hoja9"/>
      <sheetName val="Hoja10"/>
      <sheetName val="DATA CONSOLIDADA 2018-2025 "/>
      <sheetName val="Hoja8"/>
      <sheetName val="Dashboard"/>
      <sheetName val="xProductos"/>
      <sheetName val="Hoja2"/>
      <sheetName val="PAC-BENEF-DEPARTAMENTOS"/>
      <sheetName val="Indicadores completos"/>
      <sheetName val="Ventas x año"/>
      <sheetName val="Lista opciones"/>
      <sheetName val="Siglas"/>
      <sheetName val="xTipoComprobante"/>
      <sheetName val="ubigeo"/>
      <sheetName val="generacion histo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0.71"/>
    <col customWidth="1" min="3" max="3" width="13.71"/>
    <col customWidth="1" min="4" max="4" width="19.14"/>
    <col customWidth="1" min="5" max="5" width="10.71"/>
    <col customWidth="1" min="6" max="6" width="16.0"/>
    <col customWidth="1" min="7" max="7" width="15.43"/>
    <col customWidth="1" min="8" max="8" width="17.71"/>
    <col customWidth="1" min="9" max="9" width="18.43"/>
    <col customWidth="1" min="10" max="11" width="10.71"/>
    <col customWidth="1" min="12" max="12" width="21.29"/>
    <col customWidth="1" min="13" max="13" width="21.71"/>
    <col customWidth="1" min="14" max="14" width="13.86"/>
    <col customWidth="1" min="15" max="17" width="10.71"/>
    <col customWidth="1" min="18" max="18" width="19.43"/>
    <col customWidth="1" min="19" max="19" width="17.29"/>
    <col customWidth="1" min="20" max="20" width="17.14"/>
    <col customWidth="1" min="21" max="21" width="17.0"/>
    <col customWidth="1" min="22" max="22" width="16.57"/>
    <col customWidth="1" min="23" max="23" width="18.43"/>
    <col customWidth="1" min="24" max="24" width="10.71"/>
    <col customWidth="1" min="25" max="26" width="17.14"/>
    <col customWidth="1" min="27" max="28" width="10.71"/>
    <col customWidth="1" min="29" max="29" width="18.14"/>
    <col customWidth="1" min="30" max="30" width="16.71"/>
    <col customWidth="1" min="31" max="31" width="18.43"/>
  </cols>
  <sheetData>
    <row r="1" ht="15.0" customHeight="1">
      <c r="A1" s="1"/>
      <c r="B1" s="2"/>
      <c r="C1" s="2"/>
      <c r="D1" s="2"/>
      <c r="E1" s="2"/>
      <c r="F1" s="2"/>
      <c r="G1" s="2"/>
      <c r="H1" s="3"/>
      <c r="I1" s="4"/>
      <c r="J1" s="5"/>
      <c r="K1" s="2"/>
      <c r="L1" s="2"/>
      <c r="M1" s="3"/>
      <c r="N1" s="6"/>
      <c r="O1" s="7"/>
      <c r="P1" s="7"/>
      <c r="Q1" s="7"/>
      <c r="R1" s="8"/>
      <c r="S1" s="8"/>
      <c r="T1" s="8"/>
      <c r="U1" s="8"/>
      <c r="V1" s="8"/>
      <c r="W1" s="8"/>
      <c r="X1" s="9" t="s">
        <v>0</v>
      </c>
      <c r="Y1" s="10"/>
      <c r="Z1" s="10"/>
      <c r="AA1" s="10"/>
      <c r="AB1" s="10"/>
      <c r="AC1" s="11"/>
      <c r="AD1" s="12"/>
      <c r="AE1" s="3"/>
    </row>
    <row r="2" ht="15.0" customHeight="1">
      <c r="A2" s="13"/>
      <c r="B2" s="14"/>
      <c r="C2" s="14"/>
      <c r="D2" s="14"/>
      <c r="E2" s="14"/>
      <c r="F2" s="14"/>
      <c r="G2" s="14"/>
      <c r="H2" s="15"/>
      <c r="I2" s="4"/>
      <c r="J2" s="13"/>
      <c r="K2" s="14"/>
      <c r="L2" s="14"/>
      <c r="M2" s="15"/>
      <c r="N2" s="6"/>
      <c r="O2" s="16" t="s">
        <v>1</v>
      </c>
      <c r="P2" s="17"/>
      <c r="Q2" s="18"/>
      <c r="R2" s="19"/>
      <c r="S2" s="20" t="s">
        <v>2</v>
      </c>
      <c r="T2" s="21"/>
      <c r="U2" s="21"/>
      <c r="V2" s="21"/>
      <c r="W2" s="22"/>
      <c r="X2" s="23"/>
      <c r="Y2" s="14"/>
      <c r="Z2" s="14"/>
      <c r="AA2" s="14"/>
      <c r="AB2" s="14"/>
      <c r="AC2" s="24"/>
      <c r="AD2" s="13"/>
      <c r="AE2" s="15"/>
    </row>
    <row r="3" ht="50.25" customHeight="1">
      <c r="A3" s="25" t="s">
        <v>3</v>
      </c>
      <c r="B3" s="25" t="s">
        <v>4</v>
      </c>
      <c r="C3" s="26" t="s">
        <v>5</v>
      </c>
      <c r="D3" s="25" t="s">
        <v>6</v>
      </c>
      <c r="E3" s="25" t="s">
        <v>7</v>
      </c>
      <c r="F3" s="25" t="s">
        <v>8</v>
      </c>
      <c r="G3" s="25" t="s">
        <v>9</v>
      </c>
      <c r="H3" s="25" t="s">
        <v>10</v>
      </c>
      <c r="I3" s="25" t="s">
        <v>11</v>
      </c>
      <c r="J3" s="27" t="s">
        <v>12</v>
      </c>
      <c r="K3" s="27" t="s">
        <v>13</v>
      </c>
      <c r="L3" s="28" t="s">
        <v>14</v>
      </c>
      <c r="M3" s="27" t="s">
        <v>15</v>
      </c>
      <c r="N3" s="27" t="s">
        <v>16</v>
      </c>
      <c r="O3" s="29" t="s">
        <v>17</v>
      </c>
      <c r="P3" s="29" t="s">
        <v>18</v>
      </c>
      <c r="Q3" s="29" t="s">
        <v>19</v>
      </c>
      <c r="R3" s="30" t="s">
        <v>20</v>
      </c>
      <c r="S3" s="31" t="s">
        <v>21</v>
      </c>
      <c r="T3" s="31" t="s">
        <v>22</v>
      </c>
      <c r="U3" s="32" t="s">
        <v>23</v>
      </c>
      <c r="V3" s="32" t="s">
        <v>24</v>
      </c>
      <c r="W3" s="32" t="s">
        <v>25</v>
      </c>
      <c r="X3" s="33" t="s">
        <v>26</v>
      </c>
      <c r="Y3" s="33" t="s">
        <v>27</v>
      </c>
      <c r="Z3" s="33" t="s">
        <v>28</v>
      </c>
      <c r="AA3" s="33" t="s">
        <v>29</v>
      </c>
      <c r="AB3" s="33" t="s">
        <v>30</v>
      </c>
      <c r="AC3" s="33" t="s">
        <v>31</v>
      </c>
      <c r="AD3" s="25" t="s">
        <v>32</v>
      </c>
      <c r="AE3" s="34" t="s">
        <v>33</v>
      </c>
    </row>
    <row r="4" ht="53.25" customHeight="1">
      <c r="A4" s="35" t="s">
        <v>34</v>
      </c>
      <c r="B4" s="35" t="s">
        <v>35</v>
      </c>
      <c r="C4" s="36" t="s">
        <v>35</v>
      </c>
      <c r="D4" s="37" t="s">
        <v>36</v>
      </c>
      <c r="E4" s="35" t="s">
        <v>37</v>
      </c>
      <c r="F4" s="35" t="s">
        <v>36</v>
      </c>
      <c r="G4" s="35" t="s">
        <v>38</v>
      </c>
      <c r="H4" s="35" t="s">
        <v>38</v>
      </c>
      <c r="I4" s="35" t="s">
        <v>39</v>
      </c>
      <c r="J4" s="38">
        <v>1.0</v>
      </c>
      <c r="K4" s="39" t="s">
        <v>40</v>
      </c>
      <c r="L4" s="35">
        <v>2025.0</v>
      </c>
      <c r="M4" s="40">
        <v>1.0</v>
      </c>
      <c r="N4" s="39" t="s">
        <v>41</v>
      </c>
      <c r="O4" s="41">
        <v>15.0</v>
      </c>
      <c r="P4" s="41">
        <v>9.0</v>
      </c>
      <c r="Q4" s="41">
        <v>24.0</v>
      </c>
      <c r="R4" s="42"/>
      <c r="S4" s="42"/>
      <c r="T4" s="42"/>
      <c r="U4" s="42"/>
      <c r="V4" s="42"/>
      <c r="W4" s="42"/>
      <c r="X4" s="42">
        <v>0.0</v>
      </c>
      <c r="Y4" s="42">
        <v>399056.39999999997</v>
      </c>
      <c r="Z4" s="42">
        <v>866144.8743903001</v>
      </c>
      <c r="AA4" s="42">
        <v>0.0</v>
      </c>
      <c r="AB4" s="42">
        <v>0.0</v>
      </c>
      <c r="AC4" s="42">
        <v>1265201.2743903</v>
      </c>
      <c r="AD4" s="40">
        <v>2.0601575184E10</v>
      </c>
      <c r="AE4" s="43" t="s">
        <v>42</v>
      </c>
    </row>
    <row r="5" ht="66.75" customHeight="1">
      <c r="A5" s="36" t="s">
        <v>43</v>
      </c>
      <c r="B5" s="36" t="s">
        <v>35</v>
      </c>
      <c r="C5" s="36" t="s">
        <v>35</v>
      </c>
      <c r="D5" s="36" t="s">
        <v>44</v>
      </c>
      <c r="E5" s="36" t="s">
        <v>45</v>
      </c>
      <c r="F5" s="36" t="s">
        <v>44</v>
      </c>
      <c r="G5" s="36" t="s">
        <v>44</v>
      </c>
      <c r="H5" s="36" t="s">
        <v>46</v>
      </c>
      <c r="I5" s="36" t="s">
        <v>47</v>
      </c>
      <c r="J5" s="38">
        <v>1.0</v>
      </c>
      <c r="K5" s="39" t="s">
        <v>40</v>
      </c>
      <c r="L5" s="36">
        <v>2025.0</v>
      </c>
      <c r="M5" s="39">
        <v>1.0</v>
      </c>
      <c r="N5" s="39" t="str">
        <f>IF(OR([1]!Tabla16[[#This Row],[2019]]=1,[1]!Tabla16[[#This Row],[2020]]=1,[1]!Tabla16[[#This Row],[2021]]=1,[1]!Tabla16[[#This Row],[2022]]=1,[1]!Tabla16[[#This Row],[2023]]=1,[1]!Tabla16[[#This Row],[2024]]=1,[1]!Tabla16[[#This Row],[2025]]=1),"SI","NO")</f>
        <v>#ERROR!</v>
      </c>
      <c r="O5" s="44">
        <v>62.0</v>
      </c>
      <c r="P5" s="44">
        <v>10.0</v>
      </c>
      <c r="Q5" s="44">
        <v>72.0</v>
      </c>
      <c r="R5" s="42" t="str">
        <f t="shared" ref="R5:R6" si="1">'[2]DATA CONSOLIDADA 2018-2025 '!$BE5+'[2]DATA CONSOLIDADA 2018-2025 '!$BH5+'[2]DATA CONSOLIDADA 2018-2025 '!$BM5+'[2]DATA CONSOLIDADA 2018-2025 '!$BR5+'[2]DATA CONSOLIDADA 2018-2025 '!$BW5+'[2]DATA CONSOLIDADA 2018-2025 '!$CB5+'[2]DATA CONSOLIDADA 2018-2025 '!$CG5</f>
        <v>#REF!</v>
      </c>
      <c r="S5" s="42">
        <v>22435.0025</v>
      </c>
      <c r="T5" s="42">
        <v>0.0</v>
      </c>
      <c r="U5" s="42">
        <v>22435.0025</v>
      </c>
      <c r="V5" s="42" t="str">
        <f t="shared" ref="V5:V6" si="2">IF('[2]DATA CONSOLIDADA 2018-2025 '!$CM5&gt;'[2]DATA CONSOLIDADA 2018-2025 '!$CG5,"Incremento",IF('[2]DATA CONSOLIDADA 2018-2025 '!$CG5='[2]DATA CONSOLIDADA 2018-2025 '!$CM5,"Sin incremento",IF('[2]DATA CONSOLIDADA 2018-2025 '!$CM5&lt;'[2]DATA CONSOLIDADA 2018-2025 '!$CG5,"Disminución"," ---")))</f>
        <v>#REF!</v>
      </c>
      <c r="W5" s="42" t="str">
        <f>'[2]DATA CONSOLIDADA 2018-2025 '!$CM5-[1]!Tabla16[[#This Row],[VENTAS TOTALES 20224]]</f>
        <v>#ERROR!</v>
      </c>
      <c r="X5" s="42">
        <v>0.0</v>
      </c>
      <c r="Y5" s="42">
        <v>0.0</v>
      </c>
      <c r="Z5" s="42">
        <v>22435.0025</v>
      </c>
      <c r="AA5" s="42">
        <v>0.0</v>
      </c>
      <c r="AB5" s="42">
        <v>0.0</v>
      </c>
      <c r="AC5" s="42">
        <v>22435.0025</v>
      </c>
      <c r="AD5" s="39">
        <v>2.0613899287E10</v>
      </c>
      <c r="AE5" s="43" t="s">
        <v>42</v>
      </c>
    </row>
    <row r="6" ht="58.5" customHeight="1">
      <c r="A6" s="45" t="s">
        <v>48</v>
      </c>
      <c r="B6" s="45" t="s">
        <v>49</v>
      </c>
      <c r="C6" s="45" t="s">
        <v>49</v>
      </c>
      <c r="D6" s="45" t="s">
        <v>50</v>
      </c>
      <c r="E6" s="45"/>
      <c r="F6" s="45" t="s">
        <v>50</v>
      </c>
      <c r="G6" s="45" t="s">
        <v>51</v>
      </c>
      <c r="H6" s="45" t="s">
        <v>52</v>
      </c>
      <c r="I6" s="45" t="s">
        <v>53</v>
      </c>
      <c r="J6" s="46">
        <v>1.0</v>
      </c>
      <c r="K6" s="46" t="s">
        <v>40</v>
      </c>
      <c r="L6" s="36">
        <v>2025.0</v>
      </c>
      <c r="M6" s="39">
        <v>1.0</v>
      </c>
      <c r="N6" s="39" t="str">
        <f>IF(OR([1]!Tabla16[[#This Row],[2019]]=1,[1]!Tabla16[[#This Row],[2020]]=1,[1]!Tabla16[[#This Row],[2021]]=1,[1]!Tabla16[[#This Row],[2022]]=1,[1]!Tabla16[[#This Row],[2023]]=1,[1]!Tabla16[[#This Row],[2024]]=1,[1]!Tabla16[[#This Row],[2025]]=1),"SI","NO")</f>
        <v>#ERROR!</v>
      </c>
      <c r="O6" s="44">
        <v>22.0</v>
      </c>
      <c r="P6" s="44">
        <v>14.0</v>
      </c>
      <c r="Q6" s="44">
        <v>36.0</v>
      </c>
      <c r="R6" s="42" t="str">
        <f t="shared" si="1"/>
        <v>#REF!</v>
      </c>
      <c r="S6" s="42">
        <v>0.0</v>
      </c>
      <c r="T6" s="42">
        <v>781855.2000000002</v>
      </c>
      <c r="U6" s="42">
        <v>781855.2000000002</v>
      </c>
      <c r="V6" s="42" t="str">
        <f t="shared" si="2"/>
        <v>#REF!</v>
      </c>
      <c r="W6" s="42" t="str">
        <f>'[2]DATA CONSOLIDADA 2018-2025 '!$CM6-[1]!Tabla16[[#This Row],[VENTAS TOTALES 20224]]</f>
        <v>#ERROR!</v>
      </c>
      <c r="X6" s="42">
        <v>0.0</v>
      </c>
      <c r="Y6" s="42">
        <v>0.0</v>
      </c>
      <c r="Z6" s="42">
        <v>781855.2000000002</v>
      </c>
      <c r="AA6" s="42">
        <v>0.0</v>
      </c>
      <c r="AB6" s="42">
        <v>0.0</v>
      </c>
      <c r="AC6" s="42">
        <v>781855.2000000002</v>
      </c>
      <c r="AD6" s="46">
        <v>2.0526179367E10</v>
      </c>
      <c r="AE6" s="47" t="s">
        <v>54</v>
      </c>
    </row>
    <row r="7" ht="46.5" customHeight="1">
      <c r="A7" s="36" t="s">
        <v>55</v>
      </c>
      <c r="B7" s="45" t="s">
        <v>56</v>
      </c>
      <c r="C7" s="45" t="s">
        <v>56</v>
      </c>
      <c r="D7" s="45" t="s">
        <v>36</v>
      </c>
      <c r="E7" s="45"/>
      <c r="F7" s="45" t="s">
        <v>36</v>
      </c>
      <c r="G7" s="45" t="s">
        <v>57</v>
      </c>
      <c r="H7" s="45" t="s">
        <v>58</v>
      </c>
      <c r="I7" s="45" t="s">
        <v>59</v>
      </c>
      <c r="J7" s="46">
        <v>1.0</v>
      </c>
      <c r="K7" s="46" t="s">
        <v>40</v>
      </c>
      <c r="L7" s="36">
        <v>2025.0</v>
      </c>
      <c r="M7" s="39" t="str">
        <f>SUM([1]!Tabla16[[#This Row],[2018]:[2025]])</f>
        <v>#ERROR!</v>
      </c>
      <c r="N7" s="40" t="str">
        <f>IF(OR([1]!Tabla16[[#This Row],[2019]]=1,[1]!Tabla16[[#This Row],[2020]]=1,[1]!Tabla16[[#This Row],[2021]]=1,[1]!Tabla16[[#This Row],[2022]]=1,[1]!Tabla16[[#This Row],[2023]]=1,[1]!Tabla16[[#This Row],[2024]]=1,[1]!Tabla16[[#This Row],[2025]]=1),"SI","NO")</f>
        <v>#ERROR!</v>
      </c>
      <c r="O7" s="44">
        <v>4.0</v>
      </c>
      <c r="P7" s="44">
        <v>7.0</v>
      </c>
      <c r="Q7" s="44">
        <v>11.0</v>
      </c>
      <c r="R7" s="42" t="str">
        <f t="shared" ref="R7:R8" si="3">'[2]DATA CONSOLIDADA 2018-2025 '!$BE10+'[2]DATA CONSOLIDADA 2018-2025 '!$BH10+'[2]DATA CONSOLIDADA 2018-2025 '!$BM10+'[2]DATA CONSOLIDADA 2018-2025 '!$BR10+'[2]DATA CONSOLIDADA 2018-2025 '!$BW10+'[2]DATA CONSOLIDADA 2018-2025 '!$CB10+'[2]DATA CONSOLIDADA 2018-2025 '!$CG10</f>
        <v>#REF!</v>
      </c>
      <c r="S7" s="42">
        <v>120000.0</v>
      </c>
      <c r="T7" s="42">
        <v>0.0</v>
      </c>
      <c r="U7" s="42">
        <v>120000.0</v>
      </c>
      <c r="V7" s="42" t="str">
        <f t="shared" ref="V7:V8" si="4">IF('[2]DATA CONSOLIDADA 2018-2025 '!$CM10&gt;'[2]DATA CONSOLIDADA 2018-2025 '!$CG10,"Incremento",IF('[2]DATA CONSOLIDADA 2018-2025 '!$CG10='[2]DATA CONSOLIDADA 2018-2025 '!$CM10,"Sin incremento",IF('[2]DATA CONSOLIDADA 2018-2025 '!$CM10&lt;'[2]DATA CONSOLIDADA 2018-2025 '!$CG10,"Disminución"," ---")))</f>
        <v>#REF!</v>
      </c>
      <c r="W7" s="42" t="str">
        <f>'[2]DATA CONSOLIDADA 2018-2025 '!$CM10-[1]!Tabla16[[#This Row],[VENTAS TOTALES 20224]]</f>
        <v>#ERROR!</v>
      </c>
      <c r="X7" s="42">
        <v>0.0</v>
      </c>
      <c r="Y7" s="42">
        <v>120000.0</v>
      </c>
      <c r="Z7" s="42">
        <v>0.0</v>
      </c>
      <c r="AA7" s="42">
        <v>0.0</v>
      </c>
      <c r="AB7" s="42">
        <v>0.0</v>
      </c>
      <c r="AC7" s="42">
        <v>120000.0</v>
      </c>
      <c r="AD7" s="46" t="s">
        <v>60</v>
      </c>
      <c r="AE7" s="47" t="s">
        <v>61</v>
      </c>
    </row>
    <row r="8" ht="42.0" customHeight="1">
      <c r="A8" s="45" t="s">
        <v>62</v>
      </c>
      <c r="B8" s="45" t="s">
        <v>56</v>
      </c>
      <c r="C8" s="45" t="s">
        <v>56</v>
      </c>
      <c r="D8" s="45" t="s">
        <v>63</v>
      </c>
      <c r="E8" s="45" t="s">
        <v>64</v>
      </c>
      <c r="F8" s="45" t="s">
        <v>63</v>
      </c>
      <c r="G8" s="45" t="s">
        <v>65</v>
      </c>
      <c r="H8" s="45" t="s">
        <v>66</v>
      </c>
      <c r="I8" s="45" t="s">
        <v>59</v>
      </c>
      <c r="J8" s="46">
        <v>1.0</v>
      </c>
      <c r="K8" s="46" t="s">
        <v>40</v>
      </c>
      <c r="L8" s="36">
        <v>2025.0</v>
      </c>
      <c r="M8" s="39">
        <v>1.0</v>
      </c>
      <c r="N8" s="39" t="str">
        <f>IF(OR([1]!Tabla16[[#This Row],[2019]]=1,[1]!Tabla16[[#This Row],[2020]]=1,[1]!Tabla16[[#This Row],[2021]]=1,[1]!Tabla16[[#This Row],[2022]]=1,[1]!Tabla16[[#This Row],[2023]]=1,[1]!Tabla16[[#This Row],[2024]]=1,[1]!Tabla16[[#This Row],[2025]]=1),"SI","NO")</f>
        <v>#ERROR!</v>
      </c>
      <c r="O8" s="44">
        <v>20.0</v>
      </c>
      <c r="P8" s="44">
        <v>4.0</v>
      </c>
      <c r="Q8" s="44">
        <v>24.0</v>
      </c>
      <c r="R8" s="42" t="str">
        <f t="shared" si="3"/>
        <v>#REF!</v>
      </c>
      <c r="S8" s="42">
        <v>0.0</v>
      </c>
      <c r="T8" s="42">
        <v>0.0</v>
      </c>
      <c r="U8" s="42">
        <v>0.0</v>
      </c>
      <c r="V8" s="42" t="str">
        <f t="shared" si="4"/>
        <v>#REF!</v>
      </c>
      <c r="W8" s="42" t="str">
        <f>'[2]DATA CONSOLIDADA 2018-2025 '!$CM11-[1]!Tabla16[[#This Row],[VENTAS TOTALES 20224]]</f>
        <v>#ERROR!</v>
      </c>
      <c r="X8" s="42">
        <v>0.0</v>
      </c>
      <c r="Y8" s="42">
        <v>0.0</v>
      </c>
      <c r="Z8" s="42">
        <v>0.0</v>
      </c>
      <c r="AA8" s="42">
        <v>0.0</v>
      </c>
      <c r="AB8" s="42">
        <v>0.0</v>
      </c>
      <c r="AC8" s="42">
        <v>0.0</v>
      </c>
      <c r="AD8" s="46">
        <v>2.0607063576E10</v>
      </c>
      <c r="AE8" s="47" t="s">
        <v>67</v>
      </c>
    </row>
    <row r="9" ht="57.0" customHeight="1">
      <c r="A9" s="48" t="s">
        <v>68</v>
      </c>
      <c r="B9" s="45" t="s">
        <v>56</v>
      </c>
      <c r="C9" s="45" t="s">
        <v>56</v>
      </c>
      <c r="D9" s="45" t="s">
        <v>69</v>
      </c>
      <c r="E9" s="49"/>
      <c r="F9" s="45" t="s">
        <v>69</v>
      </c>
      <c r="G9" s="45" t="s">
        <v>70</v>
      </c>
      <c r="H9" s="45" t="s">
        <v>71</v>
      </c>
      <c r="I9" s="45" t="s">
        <v>59</v>
      </c>
      <c r="J9" s="46">
        <v>1.0</v>
      </c>
      <c r="K9" s="46" t="s">
        <v>40</v>
      </c>
      <c r="L9" s="36">
        <v>2025.0</v>
      </c>
      <c r="M9" s="39">
        <v>1.0</v>
      </c>
      <c r="N9" s="39" t="str">
        <f>IF(OR([1]!Tabla16[[#This Row],[2019]]=1,[1]!Tabla16[[#This Row],[2020]]=1,[1]!Tabla16[[#This Row],[2021]]=1,[1]!Tabla16[[#This Row],[2022]]=1,[1]!Tabla16[[#This Row],[2023]]=1,[1]!Tabla16[[#This Row],[2024]]=1,[1]!Tabla16[[#This Row],[2025]]=1),"SI","NO")</f>
        <v>#ERROR!</v>
      </c>
      <c r="O9" s="44">
        <v>19.0</v>
      </c>
      <c r="P9" s="44">
        <v>2.0</v>
      </c>
      <c r="Q9" s="50">
        <v>21.0</v>
      </c>
      <c r="R9" s="51">
        <v>0.0</v>
      </c>
      <c r="S9" s="51">
        <v>0.0</v>
      </c>
      <c r="T9" s="51">
        <v>0.0</v>
      </c>
      <c r="U9" s="51">
        <v>0.0</v>
      </c>
      <c r="V9" s="51">
        <v>0.0</v>
      </c>
      <c r="W9" s="51">
        <v>0.0</v>
      </c>
      <c r="X9" s="42">
        <v>0.0</v>
      </c>
      <c r="Y9" s="42">
        <v>0.0</v>
      </c>
      <c r="Z9" s="42">
        <v>0.0</v>
      </c>
      <c r="AA9" s="42">
        <v>0.0</v>
      </c>
      <c r="AB9" s="42">
        <v>0.0</v>
      </c>
      <c r="AC9" s="42">
        <v>0.0</v>
      </c>
      <c r="AD9" s="46">
        <v>2.0605371869E10</v>
      </c>
      <c r="AE9" s="47" t="s">
        <v>67</v>
      </c>
    </row>
    <row r="10">
      <c r="L1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S2:W2"/>
    <mergeCell ref="X1:AC2"/>
    <mergeCell ref="AD1:AE2"/>
    <mergeCell ref="A1:H2"/>
    <mergeCell ref="J1:M2"/>
    <mergeCell ref="O2:Q2"/>
  </mergeCells>
  <conditionalFormatting sqref="J4:K9">
    <cfRule type="cellIs" dxfId="0" priority="1" operator="equal">
      <formula>1</formula>
    </cfRule>
  </conditionalFormatting>
  <conditionalFormatting sqref="W4:W8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</cols>
  <sheetData>
    <row r="1">
      <c r="A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Hoja2</vt:lpstr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2026-07-06T16:54:00Z</dcterms:created>
  <dc:creator>Guillermo Parodi Macedo</dc:creator>
  <cp:lastModifiedBy>Cesar Berrospi Ramon</cp:lastModifiedBy>
  <dcterms:modified xsi:type="dcterms:W3CDTF">2026-07-06T20:43:23Z</dcterms:modified>
</cp:coreProperties>
</file>